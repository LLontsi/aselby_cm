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20490" windowHeight="7620" activeTab="3"/>
  </bookViews>
  <sheets>
    <sheet name="BILAN 2016" sheetId="4" r:id="rId1"/>
    <sheet name="BILAN 2017" sheetId="7" r:id="rId2"/>
    <sheet name="SITFINANCIERE" sheetId="17" r:id="rId3"/>
    <sheet name="BILAN 2018" sheetId="8" r:id="rId4"/>
    <sheet name="ENTREE" sheetId="1" r:id="rId5"/>
    <sheet name="SORTIE" sheetId="2" r:id="rId6"/>
    <sheet name="SORTIEDETAILLE" sheetId="9" r:id="rId7"/>
    <sheet name="INVENT2016_2017" sheetId="13" r:id="rId8"/>
    <sheet name="INVENT2017_2018" sheetId="14" r:id="rId9"/>
    <sheet name="INVENT2017_2018 (4)" sheetId="18" r:id="rId10"/>
    <sheet name="DETTESIMOABEL" sheetId="19" r:id="rId11"/>
    <sheet name="INVENT2017_2018 (3)" sheetId="16" r:id="rId12"/>
    <sheet name="INVENT2017_2018 (2)" sheetId="15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BANQUE" localSheetId="3">#REF!</definedName>
    <definedName name="BANQUE" localSheetId="7">#REF!</definedName>
    <definedName name="BANQUE" localSheetId="8">#REF!</definedName>
    <definedName name="BANQUE" localSheetId="12">#REF!</definedName>
    <definedName name="BANQUE" localSheetId="11">#REF!</definedName>
    <definedName name="BANQUE" localSheetId="9">#REF!</definedName>
    <definedName name="BANQUE" localSheetId="2">#REF!</definedName>
    <definedName name="BANQUE">#REF!</definedName>
    <definedName name="_xlnm.Print_Titles" localSheetId="12">'INVENT2017_2018 (2)'!$A:$A,'INVENT2017_2018 (2)'!$1:$3</definedName>
    <definedName name="_xlnm.Print_Titles" localSheetId="11">'INVENT2017_2018 (3)'!$A:$A,'INVENT2017_2018 (3)'!$1:$3</definedName>
    <definedName name="MODEPAID" localSheetId="1">[1]Feuil2!$A$1:$A$3</definedName>
    <definedName name="MODEPAID" localSheetId="3">[1]Feuil2!$A$1:$A$3</definedName>
    <definedName name="MODEPAID" localSheetId="7">[2]Feuil2!$A$1:$A$3</definedName>
    <definedName name="MODEPAID" localSheetId="8">[2]Feuil2!$A$1:$A$3</definedName>
    <definedName name="MODEPAID" localSheetId="12">[2]Feuil2!$A$1:$A$3</definedName>
    <definedName name="MODEPAID" localSheetId="11">[2]Feuil2!$A$1:$A$3</definedName>
    <definedName name="MODEPAID" localSheetId="9">[2]Feuil2!$A$1:$A$3</definedName>
    <definedName name="MODEPAID" localSheetId="2">[1]Feuil2!$A$1:$A$3</definedName>
    <definedName name="MODEPAID">[3]Feuil2!$A$1:$A$3</definedName>
    <definedName name="MODET25000">[4]MODEVERSEMENT!$A$1:$A$3</definedName>
    <definedName name="MODEVERSEMENT" localSheetId="3">#REF!</definedName>
    <definedName name="MODEVERSEMENT" localSheetId="7">#REF!</definedName>
    <definedName name="MODEVERSEMENT" localSheetId="8">#REF!</definedName>
    <definedName name="MODEVERSEMENT" localSheetId="12">#REF!</definedName>
    <definedName name="MODEVERSEMENT" localSheetId="11">#REF!</definedName>
    <definedName name="MODEVERSEMENT" localSheetId="9">#REF!</definedName>
    <definedName name="MODEVERSEMENT" localSheetId="2">#REF!</definedName>
    <definedName name="MODEVERSEMENT">#REF!</definedName>
    <definedName name="MODEVERSEMENTS" localSheetId="7">#REF!</definedName>
    <definedName name="MODEVERSEMENTS" localSheetId="8">#REF!</definedName>
    <definedName name="MODEVERSEMENTS" localSheetId="12">#REF!</definedName>
    <definedName name="MODEVERSEMENTS" localSheetId="11">#REF!</definedName>
    <definedName name="MODEVERSEMENTS" localSheetId="9">#REF!</definedName>
    <definedName name="MODEVERSEMENTS">[5]MODEVERSEMENT!$A$1:$A$3</definedName>
    <definedName name="VALMODEPAID" localSheetId="7">[6]MODEPAID!$A$1:$A$3</definedName>
    <definedName name="VALMODEPAID" localSheetId="8">[6]MODEPAID!$A$1:$A$3</definedName>
    <definedName name="VALMODEPAID" localSheetId="12">[6]MODEPAID!$A$1:$A$3</definedName>
    <definedName name="VALMODEPAID" localSheetId="11">[6]MODEPAID!$A$1:$A$3</definedName>
    <definedName name="VALMODEPAID" localSheetId="9">[6]MODEPAID!$A$1:$A$3</definedName>
    <definedName name="VALMODEPAID">[7]MODEPAID!$A$1:$A$3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7" i="13" l="1"/>
  <c r="K44" i="13"/>
  <c r="D13" i="19" l="1"/>
  <c r="D12" i="19"/>
  <c r="D10" i="19"/>
  <c r="B13" i="19" l="1"/>
  <c r="B15" i="19" s="1"/>
  <c r="B8" i="19"/>
  <c r="B6" i="19"/>
  <c r="D40" i="8" l="1"/>
  <c r="D7" i="8"/>
  <c r="E9" i="8"/>
  <c r="E16" i="8"/>
  <c r="E17" i="8"/>
  <c r="E18" i="8"/>
  <c r="E19" i="8"/>
  <c r="E20" i="8"/>
  <c r="E22" i="8"/>
  <c r="E23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25" i="7"/>
  <c r="B24" i="8" s="1"/>
  <c r="E24" i="8" s="1"/>
  <c r="B33" i="8"/>
  <c r="E19" i="7"/>
  <c r="E20" i="7"/>
  <c r="E21" i="7"/>
  <c r="B22" i="8"/>
  <c r="B18" i="8"/>
  <c r="B19" i="8"/>
  <c r="B17" i="8"/>
  <c r="B21" i="7"/>
  <c r="E29" i="7"/>
  <c r="E8" i="4"/>
  <c r="E29" i="4"/>
  <c r="D39" i="7"/>
  <c r="B37" i="4"/>
  <c r="C7" i="4"/>
  <c r="E20" i="4"/>
  <c r="E13" i="4"/>
  <c r="E14" i="4"/>
  <c r="E15" i="4"/>
  <c r="E16" i="4"/>
  <c r="E17" i="4"/>
  <c r="E19" i="4"/>
  <c r="D9" i="4"/>
  <c r="B18" i="7" l="1"/>
  <c r="E18" i="7" s="1"/>
  <c r="B17" i="7"/>
  <c r="E17" i="7" s="1"/>
  <c r="B15" i="7"/>
  <c r="E15" i="7" s="1"/>
  <c r="B16" i="7"/>
  <c r="E16" i="7" s="1"/>
  <c r="B12" i="4"/>
  <c r="B15" i="8" l="1"/>
  <c r="D12" i="7" l="1"/>
  <c r="D11" i="7"/>
  <c r="D10" i="7"/>
  <c r="D9" i="7"/>
  <c r="AC11" i="18" l="1"/>
  <c r="AC12" i="18"/>
  <c r="AC20" i="18"/>
  <c r="AC29" i="18"/>
  <c r="AC36" i="18"/>
  <c r="AC37" i="18"/>
  <c r="AC38" i="18"/>
  <c r="AC41" i="18"/>
  <c r="AC46" i="18"/>
  <c r="AC51" i="18"/>
  <c r="AC56" i="18"/>
  <c r="AC4" i="18"/>
  <c r="AB53" i="18"/>
  <c r="AC53" i="18" s="1"/>
  <c r="AB52" i="18"/>
  <c r="AC52" i="18" s="1"/>
  <c r="AB54" i="18"/>
  <c r="AB49" i="18"/>
  <c r="AC49" i="18" s="1"/>
  <c r="AB50" i="18"/>
  <c r="AC50" i="18" s="1"/>
  <c r="AB47" i="18"/>
  <c r="AC47" i="18" s="1"/>
  <c r="AB42" i="18"/>
  <c r="AC42" i="18" s="1"/>
  <c r="AB43" i="18"/>
  <c r="AC43" i="18" s="1"/>
  <c r="AB44" i="18"/>
  <c r="AC44" i="18" s="1"/>
  <c r="G20" i="1" l="1"/>
  <c r="H20" i="1"/>
  <c r="X13" i="18" l="1"/>
  <c r="L58" i="18" l="1"/>
  <c r="C21" i="8" s="1"/>
  <c r="E21" i="8" s="1"/>
  <c r="M58" i="18"/>
  <c r="W13" i="18" l="1"/>
  <c r="N58" i="18" l="1"/>
  <c r="O56" i="18" l="1"/>
  <c r="V50" i="18" l="1"/>
  <c r="W50" i="18" l="1"/>
  <c r="X50" i="18" s="1"/>
  <c r="G58" i="18"/>
  <c r="H58" i="18"/>
  <c r="Q58" i="18"/>
  <c r="J58" i="18"/>
  <c r="I58" i="18"/>
  <c r="U56" i="18"/>
  <c r="T56" i="18"/>
  <c r="S56" i="18"/>
  <c r="R56" i="18"/>
  <c r="E56" i="18"/>
  <c r="D56" i="18"/>
  <c r="C56" i="18"/>
  <c r="U55" i="18"/>
  <c r="T55" i="18"/>
  <c r="S55" i="18"/>
  <c r="R55" i="18"/>
  <c r="E55" i="18"/>
  <c r="D55" i="18"/>
  <c r="C55" i="18"/>
  <c r="V54" i="18"/>
  <c r="U54" i="18"/>
  <c r="T54" i="18"/>
  <c r="S54" i="18"/>
  <c r="R54" i="18"/>
  <c r="E54" i="18"/>
  <c r="D54" i="18"/>
  <c r="C54" i="18"/>
  <c r="B54" i="18"/>
  <c r="O54" i="18" s="1"/>
  <c r="U53" i="18"/>
  <c r="S53" i="18"/>
  <c r="R53" i="18"/>
  <c r="E53" i="18"/>
  <c r="D53" i="18"/>
  <c r="U52" i="18"/>
  <c r="S52" i="18"/>
  <c r="R52" i="18"/>
  <c r="E52" i="18"/>
  <c r="D52" i="18"/>
  <c r="U51" i="18"/>
  <c r="S51" i="18"/>
  <c r="R51" i="18"/>
  <c r="E51" i="18"/>
  <c r="D51" i="18"/>
  <c r="U50" i="18"/>
  <c r="S50" i="18"/>
  <c r="R50" i="18"/>
  <c r="E50" i="18"/>
  <c r="D50" i="18"/>
  <c r="U49" i="18"/>
  <c r="S49" i="18"/>
  <c r="R49" i="18"/>
  <c r="E49" i="18"/>
  <c r="D49" i="18"/>
  <c r="X48" i="18"/>
  <c r="U48" i="18"/>
  <c r="S48" i="18"/>
  <c r="R48" i="18"/>
  <c r="E48" i="18"/>
  <c r="D48" i="18"/>
  <c r="U47" i="18"/>
  <c r="S47" i="18"/>
  <c r="R47" i="18"/>
  <c r="E47" i="18"/>
  <c r="D47" i="18"/>
  <c r="U46" i="18"/>
  <c r="S46" i="18"/>
  <c r="R46" i="18"/>
  <c r="E46" i="18"/>
  <c r="D46" i="18"/>
  <c r="U45" i="18"/>
  <c r="S45" i="18"/>
  <c r="R45" i="18"/>
  <c r="E45" i="18"/>
  <c r="D45" i="18"/>
  <c r="W44" i="18"/>
  <c r="X44" i="18" s="1"/>
  <c r="U44" i="18"/>
  <c r="S44" i="18"/>
  <c r="R44" i="18"/>
  <c r="E44" i="18"/>
  <c r="D44" i="18"/>
  <c r="U43" i="18"/>
  <c r="S43" i="18"/>
  <c r="R43" i="18"/>
  <c r="E43" i="18"/>
  <c r="D43" i="18"/>
  <c r="U42" i="18"/>
  <c r="V42" i="18" s="1"/>
  <c r="S42" i="18"/>
  <c r="R42" i="18"/>
  <c r="E42" i="18"/>
  <c r="D42" i="18"/>
  <c r="W41" i="18"/>
  <c r="X41" i="18" s="1"/>
  <c r="U41" i="18"/>
  <c r="S41" i="18"/>
  <c r="R41" i="18"/>
  <c r="E41" i="18"/>
  <c r="D41" i="18"/>
  <c r="W40" i="18"/>
  <c r="X40" i="18" s="1"/>
  <c r="U40" i="18"/>
  <c r="S40" i="18"/>
  <c r="R40" i="18"/>
  <c r="E40" i="18"/>
  <c r="D40" i="18"/>
  <c r="U39" i="18"/>
  <c r="S39" i="18"/>
  <c r="R39" i="18"/>
  <c r="E39" i="18"/>
  <c r="D39" i="18"/>
  <c r="V35" i="18"/>
  <c r="U35" i="18"/>
  <c r="S35" i="18"/>
  <c r="R35" i="18"/>
  <c r="E35" i="18"/>
  <c r="D35" i="18"/>
  <c r="V34" i="18"/>
  <c r="U34" i="18"/>
  <c r="S34" i="18"/>
  <c r="R34" i="18"/>
  <c r="E34" i="18"/>
  <c r="D34" i="18"/>
  <c r="V33" i="18"/>
  <c r="U33" i="18"/>
  <c r="S33" i="18"/>
  <c r="R33" i="18"/>
  <c r="E33" i="18"/>
  <c r="D33" i="18"/>
  <c r="U32" i="18"/>
  <c r="S32" i="18"/>
  <c r="R32" i="18"/>
  <c r="E32" i="18"/>
  <c r="D32" i="18"/>
  <c r="U31" i="18"/>
  <c r="S31" i="18"/>
  <c r="R31" i="18"/>
  <c r="E31" i="18"/>
  <c r="D31" i="18"/>
  <c r="W30" i="18"/>
  <c r="X30" i="18" s="1"/>
  <c r="U30" i="18"/>
  <c r="S30" i="18"/>
  <c r="R30" i="18"/>
  <c r="E30" i="18"/>
  <c r="D30" i="18"/>
  <c r="U29" i="18"/>
  <c r="S29" i="18"/>
  <c r="R29" i="18"/>
  <c r="E29" i="18"/>
  <c r="D29" i="18"/>
  <c r="U28" i="18"/>
  <c r="S28" i="18"/>
  <c r="R28" i="18"/>
  <c r="E28" i="18"/>
  <c r="D28" i="18"/>
  <c r="U27" i="18"/>
  <c r="S27" i="18"/>
  <c r="R27" i="18"/>
  <c r="E27" i="18"/>
  <c r="D27" i="18"/>
  <c r="W26" i="18"/>
  <c r="X26" i="18" s="1"/>
  <c r="U26" i="18"/>
  <c r="S26" i="18"/>
  <c r="R26" i="18"/>
  <c r="E26" i="18"/>
  <c r="D26" i="18"/>
  <c r="V25" i="18"/>
  <c r="U25" i="18"/>
  <c r="S25" i="18"/>
  <c r="R25" i="18"/>
  <c r="E25" i="18"/>
  <c r="D25" i="18"/>
  <c r="W24" i="18"/>
  <c r="X24" i="18" s="1"/>
  <c r="U24" i="18"/>
  <c r="S24" i="18"/>
  <c r="R24" i="18"/>
  <c r="E24" i="18"/>
  <c r="D24" i="18"/>
  <c r="U23" i="18"/>
  <c r="S23" i="18"/>
  <c r="R23" i="18"/>
  <c r="E23" i="18"/>
  <c r="D23" i="18"/>
  <c r="X22" i="18"/>
  <c r="U22" i="18"/>
  <c r="S22" i="18"/>
  <c r="R22" i="18"/>
  <c r="E22" i="18"/>
  <c r="D22" i="18"/>
  <c r="U21" i="18"/>
  <c r="S21" i="18"/>
  <c r="R21" i="18"/>
  <c r="E21" i="18"/>
  <c r="D21" i="18"/>
  <c r="U20" i="18"/>
  <c r="S20" i="18"/>
  <c r="R20" i="18"/>
  <c r="O20" i="18"/>
  <c r="E20" i="18"/>
  <c r="D20" i="18"/>
  <c r="U19" i="18"/>
  <c r="S19" i="18"/>
  <c r="R19" i="18"/>
  <c r="E19" i="18"/>
  <c r="D19" i="18"/>
  <c r="U18" i="18"/>
  <c r="S18" i="18"/>
  <c r="R18" i="18"/>
  <c r="E18" i="18"/>
  <c r="D18" i="18"/>
  <c r="U17" i="18"/>
  <c r="S17" i="18"/>
  <c r="R17" i="18"/>
  <c r="E17" i="18"/>
  <c r="D17" i="18"/>
  <c r="V16" i="18"/>
  <c r="U16" i="18"/>
  <c r="S16" i="18"/>
  <c r="R16" i="18"/>
  <c r="E16" i="18"/>
  <c r="D16" i="18"/>
  <c r="X15" i="18"/>
  <c r="U15" i="18"/>
  <c r="S15" i="18"/>
  <c r="R15" i="18"/>
  <c r="E15" i="18"/>
  <c r="D15" i="18"/>
  <c r="U13" i="18"/>
  <c r="S13" i="18"/>
  <c r="R13" i="18"/>
  <c r="E13" i="18"/>
  <c r="D13" i="18"/>
  <c r="U12" i="18"/>
  <c r="S12" i="18"/>
  <c r="R12" i="18"/>
  <c r="E12" i="18"/>
  <c r="D12" i="18"/>
  <c r="U10" i="18"/>
  <c r="S10" i="18"/>
  <c r="R10" i="18"/>
  <c r="E10" i="18"/>
  <c r="D10" i="18"/>
  <c r="U9" i="18"/>
  <c r="S9" i="18"/>
  <c r="R9" i="18"/>
  <c r="E9" i="18"/>
  <c r="D9" i="18"/>
  <c r="U7" i="18"/>
  <c r="S7" i="18"/>
  <c r="R7" i="18"/>
  <c r="E7" i="18"/>
  <c r="D7" i="18"/>
  <c r="U6" i="18"/>
  <c r="S6" i="18"/>
  <c r="R6" i="18"/>
  <c r="E6" i="18"/>
  <c r="D6" i="18"/>
  <c r="X5" i="18"/>
  <c r="U5" i="18"/>
  <c r="S5" i="18"/>
  <c r="R5" i="18"/>
  <c r="E5" i="18"/>
  <c r="D5" i="18"/>
  <c r="U4" i="18"/>
  <c r="S4" i="18"/>
  <c r="R4" i="18"/>
  <c r="E4" i="18"/>
  <c r="D4" i="18"/>
  <c r="F54" i="18" l="1"/>
  <c r="K54" i="18" s="1"/>
  <c r="P54" i="18" s="1"/>
  <c r="W19" i="18"/>
  <c r="X23" i="18"/>
  <c r="F56" i="18"/>
  <c r="E58" i="18"/>
  <c r="W42" i="18"/>
  <c r="X42" i="18" s="1"/>
  <c r="D58" i="18"/>
  <c r="S63" i="18" s="1"/>
  <c r="S58" i="18"/>
  <c r="X9" i="18"/>
  <c r="U58" i="18"/>
  <c r="R58" i="18"/>
  <c r="F55" i="18"/>
  <c r="K55" i="18" s="1"/>
  <c r="P55" i="18" s="1"/>
  <c r="U48" i="14"/>
  <c r="U46" i="14"/>
  <c r="U42" i="14"/>
  <c r="U39" i="14"/>
  <c r="U38" i="14"/>
  <c r="U28" i="14"/>
  <c r="U24" i="14"/>
  <c r="U22" i="14"/>
  <c r="U21" i="14"/>
  <c r="U20" i="14"/>
  <c r="U13" i="14"/>
  <c r="U12" i="14"/>
  <c r="U8" i="14"/>
  <c r="U5" i="14"/>
  <c r="T48" i="14"/>
  <c r="T46" i="14"/>
  <c r="T42" i="14"/>
  <c r="T39" i="14"/>
  <c r="T38" i="14"/>
  <c r="T28" i="14"/>
  <c r="T24" i="14"/>
  <c r="T22" i="14"/>
  <c r="T21" i="14"/>
  <c r="T20" i="14"/>
  <c r="T13" i="14"/>
  <c r="T12" i="14"/>
  <c r="T8" i="14"/>
  <c r="K56" i="18" l="1"/>
  <c r="P56" i="18" s="1"/>
  <c r="X19" i="18"/>
  <c r="Z8" i="14"/>
  <c r="Z12" i="14"/>
  <c r="Z13" i="14"/>
  <c r="Z20" i="14"/>
  <c r="Z21" i="14"/>
  <c r="Z22" i="14"/>
  <c r="Z24" i="14"/>
  <c r="Z28" i="14"/>
  <c r="Z38" i="14"/>
  <c r="Z39" i="14"/>
  <c r="Z42" i="14"/>
  <c r="Z46" i="14"/>
  <c r="Z48" i="14"/>
  <c r="AA8" i="14"/>
  <c r="AA12" i="14"/>
  <c r="AA13" i="14"/>
  <c r="AA20" i="14"/>
  <c r="AA21" i="14"/>
  <c r="AA22" i="14"/>
  <c r="AA24" i="14"/>
  <c r="AA28" i="14"/>
  <c r="AA38" i="14"/>
  <c r="AA39" i="14"/>
  <c r="AA42" i="14"/>
  <c r="AA46" i="14"/>
  <c r="AA48" i="14"/>
  <c r="AA5" i="14"/>
  <c r="S48" i="14"/>
  <c r="O10" i="9" l="1"/>
  <c r="S33" i="14"/>
  <c r="S21" i="14" l="1"/>
  <c r="S23" i="14"/>
  <c r="S14" i="14"/>
  <c r="S52" i="14"/>
  <c r="S32" i="14"/>
  <c r="S31" i="14"/>
  <c r="R41" i="14"/>
  <c r="R54" i="14"/>
  <c r="R53" i="14"/>
  <c r="R52" i="14"/>
  <c r="R51" i="14"/>
  <c r="R50" i="14"/>
  <c r="R49" i="14"/>
  <c r="R48" i="14"/>
  <c r="R47" i="14"/>
  <c r="R46" i="14"/>
  <c r="R45" i="14"/>
  <c r="R44" i="14"/>
  <c r="R43" i="14"/>
  <c r="R42" i="14"/>
  <c r="R40" i="14"/>
  <c r="S40" i="14" s="1"/>
  <c r="R39" i="14"/>
  <c r="R38" i="14"/>
  <c r="R37" i="14"/>
  <c r="R33" i="14"/>
  <c r="R32" i="14"/>
  <c r="R31" i="14"/>
  <c r="R30" i="14"/>
  <c r="R29" i="14"/>
  <c r="R28" i="14"/>
  <c r="R27" i="14"/>
  <c r="R26" i="14"/>
  <c r="R25" i="14"/>
  <c r="R24" i="14"/>
  <c r="R23" i="14"/>
  <c r="R22" i="14"/>
  <c r="R21" i="14"/>
  <c r="R20" i="14"/>
  <c r="R19" i="14"/>
  <c r="R18" i="14"/>
  <c r="R17" i="14"/>
  <c r="R16" i="14"/>
  <c r="R15" i="14"/>
  <c r="R14" i="14"/>
  <c r="R13" i="14"/>
  <c r="R12" i="14"/>
  <c r="R11" i="14"/>
  <c r="R9" i="14"/>
  <c r="R8" i="14"/>
  <c r="R7" i="14"/>
  <c r="R6" i="14"/>
  <c r="R5" i="14"/>
  <c r="R4" i="14"/>
  <c r="L18" i="14"/>
  <c r="AA40" i="14" l="1"/>
  <c r="Z40" i="14" s="1"/>
  <c r="T40" i="14"/>
  <c r="U40" i="14" s="1"/>
  <c r="X65" i="14"/>
  <c r="W63" i="14"/>
  <c r="X63" i="14"/>
  <c r="B20" i="17"/>
  <c r="N56" i="16" l="1"/>
  <c r="J56" i="16"/>
  <c r="I56" i="16"/>
  <c r="H56" i="16"/>
  <c r="G56" i="16"/>
  <c r="R54" i="16"/>
  <c r="Q54" i="16"/>
  <c r="P54" i="16"/>
  <c r="O54" i="16"/>
  <c r="L54" i="16"/>
  <c r="C54" i="16"/>
  <c r="B54" i="16"/>
  <c r="R53" i="16"/>
  <c r="Q53" i="16"/>
  <c r="P53" i="16"/>
  <c r="O53" i="16"/>
  <c r="C53" i="16"/>
  <c r="R52" i="16"/>
  <c r="Q52" i="16"/>
  <c r="P52" i="16"/>
  <c r="O52" i="16"/>
  <c r="C52" i="16"/>
  <c r="B52" i="16"/>
  <c r="L52" i="16" s="1"/>
  <c r="R51" i="16"/>
  <c r="P51" i="16"/>
  <c r="O51" i="16"/>
  <c r="R50" i="16"/>
  <c r="P50" i="16"/>
  <c r="O50" i="16"/>
  <c r="R49" i="16"/>
  <c r="P49" i="16"/>
  <c r="O49" i="16"/>
  <c r="R48" i="16"/>
  <c r="P48" i="16"/>
  <c r="O48" i="16"/>
  <c r="S48" i="16" s="1"/>
  <c r="R47" i="16"/>
  <c r="P47" i="16"/>
  <c r="O47" i="16"/>
  <c r="R46" i="16"/>
  <c r="P46" i="16"/>
  <c r="O46" i="16"/>
  <c r="R45" i="16"/>
  <c r="P45" i="16"/>
  <c r="O45" i="16"/>
  <c r="R44" i="16"/>
  <c r="P44" i="16"/>
  <c r="O44" i="16"/>
  <c r="R43" i="16"/>
  <c r="P43" i="16"/>
  <c r="O43" i="16"/>
  <c r="R42" i="16"/>
  <c r="P42" i="16"/>
  <c r="O42" i="16"/>
  <c r="S42" i="16" s="1"/>
  <c r="R41" i="16"/>
  <c r="P41" i="16"/>
  <c r="O41" i="16"/>
  <c r="R40" i="16"/>
  <c r="P40" i="16"/>
  <c r="O40" i="16"/>
  <c r="R39" i="16"/>
  <c r="P39" i="16"/>
  <c r="O39" i="16"/>
  <c r="R38" i="16"/>
  <c r="P38" i="16"/>
  <c r="O38" i="16"/>
  <c r="R37" i="16"/>
  <c r="P37" i="16"/>
  <c r="O37" i="16"/>
  <c r="R33" i="16"/>
  <c r="P33" i="16"/>
  <c r="O33" i="16"/>
  <c r="R32" i="16"/>
  <c r="P32" i="16"/>
  <c r="O32" i="16"/>
  <c r="R31" i="16"/>
  <c r="P31" i="16"/>
  <c r="O31" i="16"/>
  <c r="S31" i="16" s="1"/>
  <c r="R30" i="16"/>
  <c r="P30" i="16"/>
  <c r="O30" i="16"/>
  <c r="R29" i="16"/>
  <c r="P29" i="16"/>
  <c r="O29" i="16"/>
  <c r="R28" i="16"/>
  <c r="P28" i="16"/>
  <c r="O28" i="16"/>
  <c r="R27" i="16"/>
  <c r="P27" i="16"/>
  <c r="O27" i="16"/>
  <c r="R26" i="16"/>
  <c r="P26" i="16"/>
  <c r="O26" i="16"/>
  <c r="S26" i="16" s="1"/>
  <c r="R25" i="16"/>
  <c r="P25" i="16"/>
  <c r="O25" i="16"/>
  <c r="R24" i="16"/>
  <c r="P24" i="16"/>
  <c r="O24" i="16"/>
  <c r="R23" i="16"/>
  <c r="P23" i="16"/>
  <c r="O23" i="16"/>
  <c r="S23" i="16" s="1"/>
  <c r="R22" i="16"/>
  <c r="P22" i="16"/>
  <c r="O22" i="16"/>
  <c r="S22" i="16" s="1"/>
  <c r="R21" i="16"/>
  <c r="P21" i="16"/>
  <c r="O21" i="16"/>
  <c r="S21" i="16" s="1"/>
  <c r="R20" i="16"/>
  <c r="P20" i="16"/>
  <c r="O20" i="16"/>
  <c r="R19" i="16"/>
  <c r="P19" i="16"/>
  <c r="O19" i="16"/>
  <c r="R18" i="16"/>
  <c r="P18" i="16"/>
  <c r="O18" i="16"/>
  <c r="R17" i="16"/>
  <c r="O17" i="16"/>
  <c r="R16" i="16"/>
  <c r="P16" i="16"/>
  <c r="O16" i="16"/>
  <c r="R15" i="16"/>
  <c r="P15" i="16"/>
  <c r="O15" i="16"/>
  <c r="R14" i="16"/>
  <c r="P14" i="16"/>
  <c r="O14" i="16"/>
  <c r="R13" i="16"/>
  <c r="O13" i="16"/>
  <c r="R12" i="16"/>
  <c r="P12" i="16"/>
  <c r="O12" i="16"/>
  <c r="S12" i="16" s="1"/>
  <c r="R11" i="16"/>
  <c r="P11" i="16"/>
  <c r="O11" i="16"/>
  <c r="R9" i="16"/>
  <c r="P9" i="16"/>
  <c r="O9" i="16"/>
  <c r="R8" i="16"/>
  <c r="P8" i="16"/>
  <c r="O8" i="16"/>
  <c r="S8" i="16" s="1"/>
  <c r="R7" i="16"/>
  <c r="P7" i="16"/>
  <c r="O7" i="16"/>
  <c r="R6" i="16"/>
  <c r="P6" i="16"/>
  <c r="O6" i="16"/>
  <c r="R5" i="16"/>
  <c r="P5" i="16"/>
  <c r="O5" i="16"/>
  <c r="R4" i="16"/>
  <c r="P4" i="16"/>
  <c r="O4" i="16"/>
  <c r="D4" i="16"/>
  <c r="C54" i="15"/>
  <c r="B54" i="15"/>
  <c r="C53" i="15"/>
  <c r="C52" i="15"/>
  <c r="B52" i="15"/>
  <c r="D4" i="15"/>
  <c r="S52" i="16" l="1"/>
  <c r="S14" i="16"/>
  <c r="S20" i="16"/>
  <c r="S24" i="16"/>
  <c r="S32" i="16"/>
  <c r="S33" i="16"/>
  <c r="O56" i="16"/>
  <c r="S6" i="16"/>
  <c r="R56" i="16"/>
  <c r="G56" i="13" l="1"/>
  <c r="H56" i="13"/>
  <c r="B56" i="13"/>
  <c r="N56" i="14" l="1"/>
  <c r="S15" i="15" l="1"/>
  <c r="Q15" i="15"/>
  <c r="P15" i="15"/>
  <c r="L52" i="15"/>
  <c r="M52" i="15"/>
  <c r="I56" i="14"/>
  <c r="J56" i="14"/>
  <c r="C8" i="8" s="1"/>
  <c r="C51" i="13" l="1"/>
  <c r="C50" i="13"/>
  <c r="C49" i="13"/>
  <c r="C48" i="13"/>
  <c r="C46" i="13"/>
  <c r="C45" i="13"/>
  <c r="C44" i="13"/>
  <c r="C43" i="13"/>
  <c r="C42" i="13"/>
  <c r="C41" i="13"/>
  <c r="C40" i="13"/>
  <c r="C39" i="13"/>
  <c r="C38" i="13"/>
  <c r="C37" i="13"/>
  <c r="C36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4" i="13"/>
  <c r="C13" i="13"/>
  <c r="C12" i="13"/>
  <c r="C11" i="13"/>
  <c r="C10" i="13"/>
  <c r="C9" i="13"/>
  <c r="C8" i="13"/>
  <c r="C7" i="13"/>
  <c r="C6" i="13"/>
  <c r="C5" i="13"/>
  <c r="C4" i="13"/>
  <c r="C56" i="13" l="1"/>
  <c r="J39" i="13"/>
  <c r="J46" i="13"/>
  <c r="B48" i="18" s="1"/>
  <c r="O48" i="18" s="1"/>
  <c r="J43" i="13"/>
  <c r="B45" i="18" s="1"/>
  <c r="O45" i="18" s="1"/>
  <c r="H56" i="14"/>
  <c r="B46" i="16" l="1"/>
  <c r="L46" i="16" s="1"/>
  <c r="B46" i="15"/>
  <c r="B43" i="16"/>
  <c r="L43" i="16" s="1"/>
  <c r="B43" i="15"/>
  <c r="G56" i="14"/>
  <c r="F52" i="13"/>
  <c r="F53" i="13"/>
  <c r="F54" i="13"/>
  <c r="B52" i="14"/>
  <c r="L52" i="14" s="1"/>
  <c r="L54" i="14"/>
  <c r="C52" i="14"/>
  <c r="C53" i="14"/>
  <c r="C54" i="14"/>
  <c r="Q52" i="14" l="1"/>
  <c r="Q53" i="14"/>
  <c r="Q54" i="14"/>
  <c r="N38" i="13"/>
  <c r="N39" i="13"/>
  <c r="N40" i="13"/>
  <c r="N41" i="13"/>
  <c r="N42" i="13"/>
  <c r="N43" i="13"/>
  <c r="N44" i="13"/>
  <c r="N45" i="13"/>
  <c r="N46" i="13"/>
  <c r="N48" i="13"/>
  <c r="N49" i="13"/>
  <c r="N50" i="13"/>
  <c r="N51" i="13"/>
  <c r="N37" i="13"/>
  <c r="N12" i="13"/>
  <c r="N13" i="13"/>
  <c r="N14" i="13"/>
  <c r="N15" i="13"/>
  <c r="N16" i="13"/>
  <c r="T18" i="18" s="1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11" i="13"/>
  <c r="N5" i="13"/>
  <c r="N6" i="13"/>
  <c r="N7" i="13"/>
  <c r="N8" i="13"/>
  <c r="N9" i="13"/>
  <c r="Q33" i="16" l="1"/>
  <c r="T35" i="18"/>
  <c r="Q17" i="16"/>
  <c r="T17" i="16" s="1"/>
  <c r="T19" i="18"/>
  <c r="Q50" i="16"/>
  <c r="T52" i="18"/>
  <c r="Q38" i="16"/>
  <c r="T40" i="18"/>
  <c r="Q4" i="16"/>
  <c r="T4" i="18"/>
  <c r="Q6" i="16"/>
  <c r="T6" i="18"/>
  <c r="Q32" i="16"/>
  <c r="T34" i="18"/>
  <c r="Q28" i="16"/>
  <c r="S28" i="16" s="1"/>
  <c r="T30" i="18"/>
  <c r="Q24" i="16"/>
  <c r="T26" i="18"/>
  <c r="Q20" i="16"/>
  <c r="T22" i="18"/>
  <c r="Q12" i="16"/>
  <c r="T12" i="16" s="1"/>
  <c r="T13" i="18"/>
  <c r="Q49" i="16"/>
  <c r="T51" i="18"/>
  <c r="Q45" i="16"/>
  <c r="T47" i="18"/>
  <c r="Q41" i="16"/>
  <c r="S41" i="16" s="1"/>
  <c r="T43" i="18"/>
  <c r="V43" i="18" s="1"/>
  <c r="Q7" i="16"/>
  <c r="T7" i="18"/>
  <c r="Q25" i="16"/>
  <c r="T27" i="18"/>
  <c r="Q46" i="16"/>
  <c r="S46" i="16" s="1"/>
  <c r="T48" i="18"/>
  <c r="Q9" i="16"/>
  <c r="T10" i="18"/>
  <c r="Q31" i="16"/>
  <c r="T33" i="18"/>
  <c r="Q27" i="16"/>
  <c r="T29" i="18"/>
  <c r="Q23" i="16"/>
  <c r="T25" i="18"/>
  <c r="Q19" i="16"/>
  <c r="T21" i="18"/>
  <c r="Q15" i="16"/>
  <c r="T17" i="18"/>
  <c r="Q37" i="16"/>
  <c r="T39" i="18"/>
  <c r="Q48" i="16"/>
  <c r="T50" i="18"/>
  <c r="Q44" i="16"/>
  <c r="T46" i="18"/>
  <c r="Q40" i="16"/>
  <c r="S40" i="16" s="1"/>
  <c r="T42" i="18"/>
  <c r="Q29" i="16"/>
  <c r="T31" i="18"/>
  <c r="Q21" i="16"/>
  <c r="T23" i="18"/>
  <c r="Q13" i="16"/>
  <c r="T15" i="18"/>
  <c r="Q42" i="16"/>
  <c r="T44" i="18"/>
  <c r="Q5" i="16"/>
  <c r="S5" i="16" s="1"/>
  <c r="T5" i="18"/>
  <c r="Q8" i="16"/>
  <c r="T9" i="18"/>
  <c r="Q11" i="16"/>
  <c r="T11" i="16" s="1"/>
  <c r="T12" i="18"/>
  <c r="Q30" i="16"/>
  <c r="T32" i="18"/>
  <c r="Q26" i="16"/>
  <c r="T28" i="18"/>
  <c r="Q22" i="16"/>
  <c r="T24" i="18"/>
  <c r="Q18" i="16"/>
  <c r="T20" i="18"/>
  <c r="Q14" i="16"/>
  <c r="T16" i="18"/>
  <c r="Q51" i="16"/>
  <c r="T53" i="18"/>
  <c r="Q47" i="16"/>
  <c r="T49" i="18"/>
  <c r="Q43" i="16"/>
  <c r="T45" i="18"/>
  <c r="Q39" i="16"/>
  <c r="S39" i="16" s="1"/>
  <c r="S56" i="16" s="1"/>
  <c r="T41" i="18"/>
  <c r="R15" i="15"/>
  <c r="Q16" i="16"/>
  <c r="Q56" i="16" s="1"/>
  <c r="N56" i="13"/>
  <c r="Q8" i="14"/>
  <c r="Q11" i="14"/>
  <c r="W11" i="14" s="1"/>
  <c r="Q30" i="14"/>
  <c r="Q26" i="14"/>
  <c r="Q22" i="14"/>
  <c r="Q18" i="14"/>
  <c r="Q14" i="14"/>
  <c r="Q47" i="14"/>
  <c r="Q43" i="14"/>
  <c r="Q39" i="14"/>
  <c r="Q7" i="14"/>
  <c r="Q33" i="14"/>
  <c r="Q29" i="14"/>
  <c r="Q25" i="14"/>
  <c r="Q21" i="14"/>
  <c r="Q17" i="14"/>
  <c r="W17" i="14" s="1"/>
  <c r="S17" i="14" s="1"/>
  <c r="Q13" i="14"/>
  <c r="Q50" i="14"/>
  <c r="Q46" i="14"/>
  <c r="Q42" i="14"/>
  <c r="Q38" i="14"/>
  <c r="Q51" i="14"/>
  <c r="Q4" i="14"/>
  <c r="Q6" i="14"/>
  <c r="Q32" i="14"/>
  <c r="Q28" i="14"/>
  <c r="Q24" i="14"/>
  <c r="Q20" i="14"/>
  <c r="Q16" i="14"/>
  <c r="Q12" i="14"/>
  <c r="W12" i="14" s="1"/>
  <c r="Q49" i="14"/>
  <c r="Q45" i="14"/>
  <c r="Q41" i="14"/>
  <c r="S41" i="14" s="1"/>
  <c r="Q9" i="14"/>
  <c r="Q5" i="14"/>
  <c r="Q31" i="14"/>
  <c r="Q27" i="14"/>
  <c r="Q23" i="14"/>
  <c r="Q19" i="14"/>
  <c r="Q15" i="14"/>
  <c r="Q37" i="14"/>
  <c r="Q48" i="14"/>
  <c r="Q44" i="14"/>
  <c r="Q40" i="14"/>
  <c r="R56" i="14"/>
  <c r="W43" i="18" l="1"/>
  <c r="V58" i="18"/>
  <c r="S66" i="18" s="1"/>
  <c r="T58" i="18"/>
  <c r="AA41" i="14"/>
  <c r="Z41" i="14" s="1"/>
  <c r="T41" i="14"/>
  <c r="U41" i="14" s="1"/>
  <c r="AA17" i="14"/>
  <c r="Z17" i="14" s="1"/>
  <c r="T17" i="14"/>
  <c r="Q56" i="14"/>
  <c r="O52" i="14"/>
  <c r="P52" i="14"/>
  <c r="O53" i="14"/>
  <c r="P53" i="14"/>
  <c r="O54" i="14"/>
  <c r="P54" i="14"/>
  <c r="O38" i="14"/>
  <c r="P38" i="14"/>
  <c r="O39" i="14"/>
  <c r="P39" i="14"/>
  <c r="O40" i="14"/>
  <c r="P40" i="14"/>
  <c r="O41" i="14"/>
  <c r="P41" i="14"/>
  <c r="O42" i="14"/>
  <c r="P42" i="14"/>
  <c r="O43" i="14"/>
  <c r="P43" i="14"/>
  <c r="O44" i="14"/>
  <c r="P44" i="14"/>
  <c r="O45" i="14"/>
  <c r="P45" i="14"/>
  <c r="O46" i="14"/>
  <c r="P46" i="14"/>
  <c r="O47" i="14"/>
  <c r="P47" i="14"/>
  <c r="O48" i="14"/>
  <c r="P48" i="14"/>
  <c r="O49" i="14"/>
  <c r="P49" i="14"/>
  <c r="O50" i="14"/>
  <c r="P50" i="14"/>
  <c r="O51" i="14"/>
  <c r="P51" i="14"/>
  <c r="P37" i="14"/>
  <c r="O37" i="14"/>
  <c r="O12" i="14"/>
  <c r="P12" i="14"/>
  <c r="O13" i="14"/>
  <c r="O14" i="14"/>
  <c r="P14" i="14"/>
  <c r="O15" i="14"/>
  <c r="P15" i="14"/>
  <c r="O16" i="14"/>
  <c r="P16" i="14"/>
  <c r="O17" i="14"/>
  <c r="O18" i="14"/>
  <c r="P18" i="14"/>
  <c r="O19" i="14"/>
  <c r="P19" i="14"/>
  <c r="O20" i="14"/>
  <c r="P20" i="14"/>
  <c r="O21" i="14"/>
  <c r="P21" i="14"/>
  <c r="O22" i="14"/>
  <c r="P22" i="14"/>
  <c r="O23" i="14"/>
  <c r="P23" i="14"/>
  <c r="O24" i="14"/>
  <c r="P24" i="14"/>
  <c r="O25" i="14"/>
  <c r="P25" i="14"/>
  <c r="O26" i="14"/>
  <c r="P26" i="14"/>
  <c r="O27" i="14"/>
  <c r="P27" i="14"/>
  <c r="O28" i="14"/>
  <c r="P28" i="14"/>
  <c r="O29" i="14"/>
  <c r="P29" i="14"/>
  <c r="O30" i="14"/>
  <c r="P30" i="14"/>
  <c r="O31" i="14"/>
  <c r="P31" i="14"/>
  <c r="O32" i="14"/>
  <c r="P32" i="14"/>
  <c r="O33" i="14"/>
  <c r="P33" i="14"/>
  <c r="P11" i="14"/>
  <c r="O11" i="14"/>
  <c r="O5" i="14"/>
  <c r="P5" i="14"/>
  <c r="O6" i="14"/>
  <c r="P6" i="14"/>
  <c r="O7" i="14"/>
  <c r="P7" i="14"/>
  <c r="O8" i="14"/>
  <c r="P8" i="14"/>
  <c r="O9" i="14"/>
  <c r="P9" i="14"/>
  <c r="P4" i="14"/>
  <c r="O4" i="14"/>
  <c r="D4" i="14"/>
  <c r="M5" i="13"/>
  <c r="M6" i="13"/>
  <c r="M7" i="13"/>
  <c r="M8" i="13"/>
  <c r="M9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8" i="13"/>
  <c r="M29" i="13"/>
  <c r="M30" i="13"/>
  <c r="M31" i="13"/>
  <c r="M32" i="13"/>
  <c r="M33" i="13"/>
  <c r="M35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E5" i="13"/>
  <c r="E6" i="13"/>
  <c r="E7" i="13"/>
  <c r="E8" i="13"/>
  <c r="E9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5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4" i="13"/>
  <c r="F5" i="13"/>
  <c r="C5" i="18" s="1"/>
  <c r="F5" i="18" s="1"/>
  <c r="K5" i="18" s="1"/>
  <c r="D6" i="13"/>
  <c r="F6" i="13" s="1"/>
  <c r="I6" i="13" s="1"/>
  <c r="C6" i="18" s="1"/>
  <c r="F6" i="18" s="1"/>
  <c r="D7" i="13"/>
  <c r="F7" i="13" s="1"/>
  <c r="I7" i="13" s="1"/>
  <c r="C7" i="18" s="1"/>
  <c r="F7" i="18" s="1"/>
  <c r="K7" i="18" s="1"/>
  <c r="D8" i="13"/>
  <c r="F8" i="13" s="1"/>
  <c r="I8" i="13" s="1"/>
  <c r="C9" i="18" s="1"/>
  <c r="F9" i="18" s="1"/>
  <c r="K9" i="18" s="1"/>
  <c r="D9" i="13"/>
  <c r="F9" i="13" s="1"/>
  <c r="I9" i="13" s="1"/>
  <c r="C10" i="18" s="1"/>
  <c r="F10" i="18" s="1"/>
  <c r="K10" i="18" s="1"/>
  <c r="K10" i="13"/>
  <c r="D11" i="13"/>
  <c r="F11" i="13" s="1"/>
  <c r="I11" i="13" s="1"/>
  <c r="C12" i="18" s="1"/>
  <c r="F12" i="18" s="1"/>
  <c r="K12" i="18" s="1"/>
  <c r="D12" i="13"/>
  <c r="F12" i="13" s="1"/>
  <c r="I12" i="13" s="1"/>
  <c r="C13" i="18" s="1"/>
  <c r="F13" i="18" s="1"/>
  <c r="K13" i="18" s="1"/>
  <c r="D13" i="13"/>
  <c r="F13" i="13" s="1"/>
  <c r="I13" i="13" s="1"/>
  <c r="C15" i="18" s="1"/>
  <c r="F15" i="18" s="1"/>
  <c r="K15" i="18" s="1"/>
  <c r="D14" i="13"/>
  <c r="F14" i="13" s="1"/>
  <c r="I14" i="13" s="1"/>
  <c r="C16" i="18" s="1"/>
  <c r="F16" i="18" s="1"/>
  <c r="K16" i="18" s="1"/>
  <c r="D15" i="13"/>
  <c r="F15" i="13" s="1"/>
  <c r="C17" i="18" s="1"/>
  <c r="F17" i="18" s="1"/>
  <c r="K17" i="18" s="1"/>
  <c r="F16" i="13"/>
  <c r="C18" i="18" s="1"/>
  <c r="F18" i="18" s="1"/>
  <c r="K18" i="18" s="1"/>
  <c r="P18" i="18" s="1"/>
  <c r="D17" i="13"/>
  <c r="F17" i="13" s="1"/>
  <c r="I17" i="13" s="1"/>
  <c r="C19" i="18" s="1"/>
  <c r="F19" i="18" s="1"/>
  <c r="K19" i="18" s="1"/>
  <c r="D18" i="13"/>
  <c r="F18" i="13" s="1"/>
  <c r="I18" i="13" s="1"/>
  <c r="C20" i="18" s="1"/>
  <c r="F20" i="18" s="1"/>
  <c r="K20" i="18" s="1"/>
  <c r="D19" i="13"/>
  <c r="F19" i="13" s="1"/>
  <c r="I19" i="13" s="1"/>
  <c r="C21" i="18" s="1"/>
  <c r="F21" i="18" s="1"/>
  <c r="K21" i="18" s="1"/>
  <c r="D20" i="13"/>
  <c r="F20" i="13" s="1"/>
  <c r="I20" i="13" s="1"/>
  <c r="C22" i="18" s="1"/>
  <c r="F22" i="18" s="1"/>
  <c r="K22" i="18" s="1"/>
  <c r="D21" i="13"/>
  <c r="F21" i="13" s="1"/>
  <c r="I21" i="13" s="1"/>
  <c r="C23" i="18" s="1"/>
  <c r="F23" i="18" s="1"/>
  <c r="K23" i="18" s="1"/>
  <c r="D22" i="13"/>
  <c r="F22" i="13" s="1"/>
  <c r="I22" i="13" s="1"/>
  <c r="C24" i="18" s="1"/>
  <c r="F24" i="18" s="1"/>
  <c r="D23" i="13"/>
  <c r="F23" i="13" s="1"/>
  <c r="I23" i="13" s="1"/>
  <c r="C25" i="18" s="1"/>
  <c r="F25" i="18" s="1"/>
  <c r="K25" i="18" s="1"/>
  <c r="D24" i="13"/>
  <c r="F24" i="13" s="1"/>
  <c r="I24" i="13" s="1"/>
  <c r="C26" i="18" s="1"/>
  <c r="F26" i="18" s="1"/>
  <c r="K26" i="18" s="1"/>
  <c r="D25" i="13"/>
  <c r="F25" i="13" s="1"/>
  <c r="I25" i="13" s="1"/>
  <c r="C27" i="18" s="1"/>
  <c r="F27" i="18" s="1"/>
  <c r="K27" i="18" s="1"/>
  <c r="D26" i="13"/>
  <c r="F26" i="13" s="1"/>
  <c r="I26" i="13" s="1"/>
  <c r="C28" i="18" s="1"/>
  <c r="F28" i="18" s="1"/>
  <c r="K28" i="18" s="1"/>
  <c r="F27" i="13"/>
  <c r="I27" i="13" s="1"/>
  <c r="C29" i="18" s="1"/>
  <c r="F29" i="18" s="1"/>
  <c r="K29" i="18" s="1"/>
  <c r="D28" i="13"/>
  <c r="F28" i="13" s="1"/>
  <c r="I28" i="13" s="1"/>
  <c r="C30" i="18" s="1"/>
  <c r="F30" i="18" s="1"/>
  <c r="K30" i="18" s="1"/>
  <c r="F29" i="13"/>
  <c r="I29" i="13" s="1"/>
  <c r="C31" i="18" s="1"/>
  <c r="F31" i="18" s="1"/>
  <c r="K31" i="18" s="1"/>
  <c r="P31" i="18" s="1"/>
  <c r="D30" i="13"/>
  <c r="F30" i="13" s="1"/>
  <c r="I30" i="13" s="1"/>
  <c r="C32" i="18" s="1"/>
  <c r="F32" i="18" s="1"/>
  <c r="D31" i="13"/>
  <c r="F31" i="13" s="1"/>
  <c r="I31" i="13" s="1"/>
  <c r="C33" i="18" s="1"/>
  <c r="F33" i="18" s="1"/>
  <c r="K33" i="18" s="1"/>
  <c r="D32" i="13"/>
  <c r="F32" i="13" s="1"/>
  <c r="I32" i="13" s="1"/>
  <c r="C34" i="18" s="1"/>
  <c r="F34" i="18" s="1"/>
  <c r="K34" i="18" s="1"/>
  <c r="D33" i="13"/>
  <c r="F33" i="13" s="1"/>
  <c r="I33" i="13" s="1"/>
  <c r="C35" i="18" s="1"/>
  <c r="F35" i="18" s="1"/>
  <c r="K35" i="18" s="1"/>
  <c r="F34" i="13"/>
  <c r="I34" i="13" s="1"/>
  <c r="K34" i="13" s="1"/>
  <c r="F35" i="13"/>
  <c r="I35" i="13" s="1"/>
  <c r="K35" i="13" s="1"/>
  <c r="F36" i="13"/>
  <c r="I36" i="13" s="1"/>
  <c r="K36" i="13" s="1"/>
  <c r="D37" i="13"/>
  <c r="F37" i="13" s="1"/>
  <c r="I37" i="13" s="1"/>
  <c r="C39" i="18" s="1"/>
  <c r="F39" i="18" s="1"/>
  <c r="K39" i="18" s="1"/>
  <c r="D38" i="13"/>
  <c r="F38" i="13" s="1"/>
  <c r="I38" i="13" s="1"/>
  <c r="C40" i="18" s="1"/>
  <c r="F40" i="18" s="1"/>
  <c r="K40" i="18" s="1"/>
  <c r="D39" i="13"/>
  <c r="F39" i="13" s="1"/>
  <c r="I39" i="13" s="1"/>
  <c r="C41" i="18" s="1"/>
  <c r="F41" i="18" s="1"/>
  <c r="K41" i="18" s="1"/>
  <c r="P41" i="18" s="1"/>
  <c r="D40" i="13"/>
  <c r="F40" i="13" s="1"/>
  <c r="I40" i="13" s="1"/>
  <c r="C42" i="18" s="1"/>
  <c r="F42" i="18" s="1"/>
  <c r="K42" i="18" s="1"/>
  <c r="D41" i="13"/>
  <c r="F41" i="13" s="1"/>
  <c r="I41" i="13" s="1"/>
  <c r="C43" i="18" s="1"/>
  <c r="F43" i="18" s="1"/>
  <c r="K43" i="18" s="1"/>
  <c r="D42" i="13"/>
  <c r="F42" i="13" s="1"/>
  <c r="I42" i="13" s="1"/>
  <c r="C44" i="18" s="1"/>
  <c r="F44" i="18" s="1"/>
  <c r="K44" i="18" s="1"/>
  <c r="D43" i="13"/>
  <c r="F43" i="13" s="1"/>
  <c r="I43" i="13" s="1"/>
  <c r="C45" i="18" s="1"/>
  <c r="F45" i="18" s="1"/>
  <c r="K45" i="18" s="1"/>
  <c r="P45" i="18" s="1"/>
  <c r="F44" i="13"/>
  <c r="C46" i="18" s="1"/>
  <c r="F46" i="18" s="1"/>
  <c r="K46" i="18" s="1"/>
  <c r="P46" i="18" s="1"/>
  <c r="D45" i="13"/>
  <c r="F45" i="13" s="1"/>
  <c r="I45" i="13" s="1"/>
  <c r="C47" i="18" s="1"/>
  <c r="F47" i="18" s="1"/>
  <c r="K47" i="18" s="1"/>
  <c r="D46" i="13"/>
  <c r="F46" i="13" s="1"/>
  <c r="I46" i="13" s="1"/>
  <c r="C48" i="18" s="1"/>
  <c r="F48" i="18" s="1"/>
  <c r="D47" i="13"/>
  <c r="C49" i="18" s="1"/>
  <c r="F49" i="18" s="1"/>
  <c r="K49" i="18" s="1"/>
  <c r="P49" i="18" s="1"/>
  <c r="D48" i="13"/>
  <c r="F48" i="13" s="1"/>
  <c r="I48" i="13" s="1"/>
  <c r="C50" i="18" s="1"/>
  <c r="F50" i="18" s="1"/>
  <c r="K50" i="18" s="1"/>
  <c r="D49" i="13"/>
  <c r="F49" i="13" s="1"/>
  <c r="I49" i="13" s="1"/>
  <c r="C51" i="18" s="1"/>
  <c r="F51" i="18" s="1"/>
  <c r="K51" i="18" s="1"/>
  <c r="D50" i="13"/>
  <c r="F50" i="13" s="1"/>
  <c r="I50" i="13" s="1"/>
  <c r="C52" i="18" s="1"/>
  <c r="F52" i="18" s="1"/>
  <c r="D51" i="13"/>
  <c r="F51" i="13" s="1"/>
  <c r="I51" i="13" s="1"/>
  <c r="C53" i="18" s="1"/>
  <c r="F53" i="18" s="1"/>
  <c r="K53" i="18" s="1"/>
  <c r="J38" i="13"/>
  <c r="B40" i="18" s="1"/>
  <c r="O40" i="18" s="1"/>
  <c r="J40" i="13"/>
  <c r="B42" i="18" s="1"/>
  <c r="O42" i="18" s="1"/>
  <c r="J41" i="13"/>
  <c r="B43" i="18" s="1"/>
  <c r="O43" i="18" s="1"/>
  <c r="J42" i="13"/>
  <c r="B44" i="18" s="1"/>
  <c r="O44" i="18" s="1"/>
  <c r="B43" i="14"/>
  <c r="L43" i="14" s="1"/>
  <c r="J44" i="13"/>
  <c r="J45" i="13"/>
  <c r="B47" i="18" s="1"/>
  <c r="O47" i="18" s="1"/>
  <c r="B46" i="14"/>
  <c r="L46" i="14" s="1"/>
  <c r="J47" i="13"/>
  <c r="J48" i="13"/>
  <c r="B50" i="18" s="1"/>
  <c r="O50" i="18" s="1"/>
  <c r="J49" i="13"/>
  <c r="B51" i="18" s="1"/>
  <c r="O51" i="18" s="1"/>
  <c r="J50" i="13"/>
  <c r="B52" i="18" s="1"/>
  <c r="O52" i="18" s="1"/>
  <c r="J51" i="13"/>
  <c r="B53" i="18" s="1"/>
  <c r="O53" i="18" s="1"/>
  <c r="J37" i="13"/>
  <c r="B39" i="18" s="1"/>
  <c r="O39" i="18" s="1"/>
  <c r="J33" i="13"/>
  <c r="B35" i="18" s="1"/>
  <c r="O35" i="18" s="1"/>
  <c r="J30" i="13"/>
  <c r="B32" i="18" s="1"/>
  <c r="O32" i="18" s="1"/>
  <c r="J31" i="13"/>
  <c r="B33" i="18" s="1"/>
  <c r="O33" i="18" s="1"/>
  <c r="J32" i="13"/>
  <c r="B34" i="18" s="1"/>
  <c r="O34" i="18" s="1"/>
  <c r="J28" i="13"/>
  <c r="B30" i="18" s="1"/>
  <c r="O30" i="18" s="1"/>
  <c r="J29" i="13"/>
  <c r="J23" i="13"/>
  <c r="B25" i="18" s="1"/>
  <c r="O25" i="18" s="1"/>
  <c r="J24" i="13"/>
  <c r="B26" i="18" s="1"/>
  <c r="O26" i="18" s="1"/>
  <c r="J25" i="13"/>
  <c r="B27" i="18" s="1"/>
  <c r="O27" i="18" s="1"/>
  <c r="J26" i="13"/>
  <c r="B28" i="18" s="1"/>
  <c r="O28" i="18" s="1"/>
  <c r="J27" i="13"/>
  <c r="B29" i="18" s="1"/>
  <c r="O29" i="18" s="1"/>
  <c r="J17" i="13"/>
  <c r="B19" i="18" s="1"/>
  <c r="O19" i="18" s="1"/>
  <c r="J18" i="13"/>
  <c r="J19" i="13"/>
  <c r="B21" i="18" s="1"/>
  <c r="O21" i="18" s="1"/>
  <c r="J20" i="13"/>
  <c r="B22" i="18" s="1"/>
  <c r="O22" i="18" s="1"/>
  <c r="J21" i="13"/>
  <c r="B23" i="18" s="1"/>
  <c r="O23" i="18" s="1"/>
  <c r="J22" i="13"/>
  <c r="B24" i="18" s="1"/>
  <c r="O24" i="18" s="1"/>
  <c r="J12" i="13"/>
  <c r="B13" i="18" s="1"/>
  <c r="O13" i="18" s="1"/>
  <c r="J13" i="13"/>
  <c r="B15" i="18" s="1"/>
  <c r="O15" i="18" s="1"/>
  <c r="J14" i="13"/>
  <c r="B16" i="18" s="1"/>
  <c r="O16" i="18" s="1"/>
  <c r="J15" i="13"/>
  <c r="B17" i="18" s="1"/>
  <c r="O17" i="18" s="1"/>
  <c r="J16" i="13"/>
  <c r="J11" i="13"/>
  <c r="B12" i="18" s="1"/>
  <c r="O12" i="18" s="1"/>
  <c r="J5" i="13"/>
  <c r="B5" i="18" s="1"/>
  <c r="J6" i="13"/>
  <c r="B6" i="18" s="1"/>
  <c r="O6" i="18" s="1"/>
  <c r="J7" i="13"/>
  <c r="B7" i="18" s="1"/>
  <c r="O7" i="18" s="1"/>
  <c r="J8" i="13"/>
  <c r="B9" i="18" s="1"/>
  <c r="O9" i="18" s="1"/>
  <c r="J9" i="13"/>
  <c r="B10" i="18" s="1"/>
  <c r="O10" i="18" s="1"/>
  <c r="X43" i="18" l="1"/>
  <c r="X58" i="18" s="1"/>
  <c r="W58" i="18"/>
  <c r="P28" i="18"/>
  <c r="P51" i="18"/>
  <c r="K52" i="18"/>
  <c r="P52" i="18" s="1"/>
  <c r="K48" i="18"/>
  <c r="P48" i="18" s="1"/>
  <c r="P44" i="18"/>
  <c r="P40" i="18"/>
  <c r="K32" i="18"/>
  <c r="P32" i="18" s="1"/>
  <c r="K24" i="18"/>
  <c r="P24" i="18" s="1"/>
  <c r="P20" i="18"/>
  <c r="K6" i="18"/>
  <c r="P6" i="18" s="1"/>
  <c r="P47" i="18"/>
  <c r="P43" i="18"/>
  <c r="P39" i="18"/>
  <c r="P35" i="18"/>
  <c r="P27" i="18"/>
  <c r="P23" i="18"/>
  <c r="P19" i="18"/>
  <c r="P15" i="18"/>
  <c r="P10" i="18"/>
  <c r="P50" i="18"/>
  <c r="P42" i="18"/>
  <c r="P34" i="18"/>
  <c r="P30" i="18"/>
  <c r="P26" i="18"/>
  <c r="P22" i="18"/>
  <c r="P13" i="18"/>
  <c r="P9" i="18"/>
  <c r="O5" i="18"/>
  <c r="O58" i="18" s="1"/>
  <c r="B58" i="18"/>
  <c r="S61" i="18" s="1"/>
  <c r="P16" i="18"/>
  <c r="P53" i="18"/>
  <c r="P33" i="18"/>
  <c r="P29" i="18"/>
  <c r="P25" i="18"/>
  <c r="P21" i="18"/>
  <c r="P17" i="18"/>
  <c r="P12" i="18"/>
  <c r="P7" i="18"/>
  <c r="T56" i="14"/>
  <c r="U17" i="14"/>
  <c r="U56" i="14" s="1"/>
  <c r="K51" i="13"/>
  <c r="C51" i="16"/>
  <c r="C51" i="15"/>
  <c r="K23" i="13"/>
  <c r="C23" i="15"/>
  <c r="C23" i="16"/>
  <c r="K11" i="13"/>
  <c r="C11" i="15"/>
  <c r="C11" i="16"/>
  <c r="K48" i="13"/>
  <c r="C48" i="15"/>
  <c r="C48" i="16"/>
  <c r="C44" i="15"/>
  <c r="C44" i="16"/>
  <c r="K40" i="13"/>
  <c r="C40" i="15"/>
  <c r="C40" i="16"/>
  <c r="K32" i="13"/>
  <c r="C32" i="16"/>
  <c r="C32" i="15"/>
  <c r="K28" i="13"/>
  <c r="C28" i="16"/>
  <c r="C28" i="15"/>
  <c r="K24" i="13"/>
  <c r="C24" i="16"/>
  <c r="C24" i="15"/>
  <c r="K20" i="13"/>
  <c r="C20" i="16"/>
  <c r="C20" i="15"/>
  <c r="C16" i="16"/>
  <c r="C16" i="15"/>
  <c r="K12" i="13"/>
  <c r="C12" i="16"/>
  <c r="C12" i="15"/>
  <c r="K8" i="13"/>
  <c r="C8" i="15"/>
  <c r="C8" i="16"/>
  <c r="K43" i="13"/>
  <c r="C43" i="16"/>
  <c r="C43" i="15"/>
  <c r="K31" i="13"/>
  <c r="C31" i="15"/>
  <c r="C31" i="16"/>
  <c r="K19" i="13"/>
  <c r="C19" i="15"/>
  <c r="C19" i="16"/>
  <c r="K7" i="13"/>
  <c r="C7" i="16"/>
  <c r="C7" i="15"/>
  <c r="K50" i="13"/>
  <c r="C50" i="15"/>
  <c r="C50" i="16"/>
  <c r="K46" i="13"/>
  <c r="C46" i="15"/>
  <c r="C46" i="16"/>
  <c r="K42" i="13"/>
  <c r="C42" i="15"/>
  <c r="C42" i="16"/>
  <c r="K38" i="13"/>
  <c r="C38" i="15"/>
  <c r="C38" i="16"/>
  <c r="K30" i="13"/>
  <c r="C30" i="16"/>
  <c r="C30" i="15"/>
  <c r="K26" i="13"/>
  <c r="C26" i="16"/>
  <c r="C26" i="15"/>
  <c r="K22" i="13"/>
  <c r="C22" i="16"/>
  <c r="C22" i="15"/>
  <c r="K18" i="13"/>
  <c r="C18" i="16"/>
  <c r="C18" i="15"/>
  <c r="K14" i="13"/>
  <c r="C14" i="16"/>
  <c r="C14" i="15"/>
  <c r="K6" i="13"/>
  <c r="C6" i="15"/>
  <c r="C6" i="16"/>
  <c r="K47" i="13"/>
  <c r="C47" i="16"/>
  <c r="C47" i="15"/>
  <c r="K39" i="13"/>
  <c r="C39" i="16"/>
  <c r="C39" i="15"/>
  <c r="K27" i="13"/>
  <c r="C27" i="15"/>
  <c r="C27" i="16"/>
  <c r="K15" i="13"/>
  <c r="C15" i="15"/>
  <c r="C15" i="16"/>
  <c r="K49" i="13"/>
  <c r="C49" i="15"/>
  <c r="C49" i="16"/>
  <c r="K45" i="13"/>
  <c r="C45" i="16"/>
  <c r="C45" i="15"/>
  <c r="K41" i="13"/>
  <c r="C41" i="16"/>
  <c r="C41" i="15"/>
  <c r="K37" i="13"/>
  <c r="C37" i="16"/>
  <c r="C37" i="15"/>
  <c r="K33" i="13"/>
  <c r="C33" i="15"/>
  <c r="C33" i="16"/>
  <c r="K29" i="13"/>
  <c r="C29" i="15"/>
  <c r="C29" i="16"/>
  <c r="K25" i="13"/>
  <c r="C25" i="15"/>
  <c r="C25" i="16"/>
  <c r="K21" i="13"/>
  <c r="C21" i="15"/>
  <c r="C21" i="16"/>
  <c r="K17" i="13"/>
  <c r="C17" i="15"/>
  <c r="C17" i="16"/>
  <c r="K13" i="13"/>
  <c r="C13" i="15"/>
  <c r="C13" i="16"/>
  <c r="K9" i="13"/>
  <c r="C9" i="16"/>
  <c r="C9" i="15"/>
  <c r="K5" i="13"/>
  <c r="C5" i="15"/>
  <c r="C5" i="16"/>
  <c r="B7" i="14"/>
  <c r="L7" i="14" s="1"/>
  <c r="B7" i="16"/>
  <c r="L7" i="16" s="1"/>
  <c r="B7" i="15"/>
  <c r="B19" i="14"/>
  <c r="L19" i="14" s="1"/>
  <c r="B19" i="16"/>
  <c r="L19" i="16" s="1"/>
  <c r="B19" i="15"/>
  <c r="B6" i="14"/>
  <c r="L6" i="14" s="1"/>
  <c r="B6" i="16"/>
  <c r="L6" i="16" s="1"/>
  <c r="B6" i="15"/>
  <c r="B15" i="14"/>
  <c r="L15" i="14" s="1"/>
  <c r="B15" i="15"/>
  <c r="B15" i="16"/>
  <c r="L15" i="16" s="1"/>
  <c r="B22" i="14"/>
  <c r="L22" i="14" s="1"/>
  <c r="B22" i="15"/>
  <c r="B22" i="16"/>
  <c r="L22" i="16" s="1"/>
  <c r="B25" i="14"/>
  <c r="L25" i="14" s="1"/>
  <c r="B25" i="16"/>
  <c r="L25" i="16" s="1"/>
  <c r="B25" i="15"/>
  <c r="B28" i="14"/>
  <c r="L28" i="14" s="1"/>
  <c r="B28" i="16"/>
  <c r="L28" i="16" s="1"/>
  <c r="B28" i="15"/>
  <c r="B33" i="14"/>
  <c r="L33" i="14" s="1"/>
  <c r="B33" i="15"/>
  <c r="B33" i="16"/>
  <c r="L33" i="16" s="1"/>
  <c r="B49" i="14"/>
  <c r="L49" i="14" s="1"/>
  <c r="B49" i="16"/>
  <c r="L49" i="16" s="1"/>
  <c r="B49" i="15"/>
  <c r="B45" i="14"/>
  <c r="L45" i="14" s="1"/>
  <c r="B45" i="15"/>
  <c r="B45" i="16"/>
  <c r="L45" i="16" s="1"/>
  <c r="B41" i="14"/>
  <c r="L41" i="14" s="1"/>
  <c r="B41" i="16"/>
  <c r="L41" i="16" s="1"/>
  <c r="B41" i="15"/>
  <c r="B26" i="14"/>
  <c r="L26" i="14" s="1"/>
  <c r="B26" i="16"/>
  <c r="L26" i="16" s="1"/>
  <c r="B26" i="15"/>
  <c r="B30" i="14"/>
  <c r="L30" i="14" s="1"/>
  <c r="B30" i="16"/>
  <c r="L30" i="16" s="1"/>
  <c r="B30" i="15"/>
  <c r="B42" i="14"/>
  <c r="L42" i="14" s="1"/>
  <c r="B42" i="16"/>
  <c r="L42" i="16" s="1"/>
  <c r="B42" i="15"/>
  <c r="B5" i="15"/>
  <c r="B5" i="16"/>
  <c r="B14" i="14"/>
  <c r="L14" i="14" s="1"/>
  <c r="B14" i="15"/>
  <c r="B14" i="16"/>
  <c r="L14" i="16" s="1"/>
  <c r="B21" i="14"/>
  <c r="L21" i="14" s="1"/>
  <c r="B21" i="15"/>
  <c r="B21" i="16"/>
  <c r="L21" i="16" s="1"/>
  <c r="B17" i="14"/>
  <c r="L17" i="14" s="1"/>
  <c r="B17" i="15"/>
  <c r="B17" i="16"/>
  <c r="L17" i="16" s="1"/>
  <c r="B24" i="14"/>
  <c r="L24" i="14" s="1"/>
  <c r="B24" i="15"/>
  <c r="B24" i="16"/>
  <c r="L24" i="16" s="1"/>
  <c r="B32" i="14"/>
  <c r="L32" i="14" s="1"/>
  <c r="B32" i="16"/>
  <c r="L32" i="16" s="1"/>
  <c r="B32" i="15"/>
  <c r="B37" i="14"/>
  <c r="L37" i="14" s="1"/>
  <c r="B37" i="16"/>
  <c r="L37" i="16" s="1"/>
  <c r="B37" i="15"/>
  <c r="B48" i="14"/>
  <c r="L48" i="14" s="1"/>
  <c r="B48" i="16"/>
  <c r="L48" i="16" s="1"/>
  <c r="B48" i="15"/>
  <c r="B40" i="14"/>
  <c r="L40" i="14" s="1"/>
  <c r="B40" i="15"/>
  <c r="B40" i="16"/>
  <c r="L40" i="16" s="1"/>
  <c r="B12" i="14"/>
  <c r="L12" i="14" s="1"/>
  <c r="B12" i="15"/>
  <c r="B12" i="16"/>
  <c r="L12" i="16" s="1"/>
  <c r="B50" i="14"/>
  <c r="L50" i="14" s="1"/>
  <c r="B50" i="16"/>
  <c r="L50" i="16" s="1"/>
  <c r="B50" i="15"/>
  <c r="B9" i="14"/>
  <c r="L9" i="14" s="1"/>
  <c r="B9" i="16"/>
  <c r="L9" i="16" s="1"/>
  <c r="B9" i="15"/>
  <c r="B8" i="14"/>
  <c r="L8" i="14" s="1"/>
  <c r="B8" i="15"/>
  <c r="B8" i="16"/>
  <c r="L8" i="16" s="1"/>
  <c r="B11" i="15"/>
  <c r="B11" i="16"/>
  <c r="L11" i="16" s="1"/>
  <c r="B13" i="14"/>
  <c r="L13" i="14" s="1"/>
  <c r="B13" i="15"/>
  <c r="B13" i="16"/>
  <c r="L13" i="16" s="1"/>
  <c r="B20" i="14"/>
  <c r="L20" i="14" s="1"/>
  <c r="B20" i="16"/>
  <c r="L20" i="16" s="1"/>
  <c r="B20" i="15"/>
  <c r="B27" i="14"/>
  <c r="L27" i="14" s="1"/>
  <c r="B27" i="16"/>
  <c r="L27" i="16" s="1"/>
  <c r="B27" i="15"/>
  <c r="B23" i="14"/>
  <c r="L23" i="14" s="1"/>
  <c r="B23" i="15"/>
  <c r="B23" i="16"/>
  <c r="L23" i="16" s="1"/>
  <c r="B31" i="14"/>
  <c r="L31" i="14" s="1"/>
  <c r="B31" i="16"/>
  <c r="L31" i="16" s="1"/>
  <c r="B31" i="15"/>
  <c r="B51" i="14"/>
  <c r="L51" i="14" s="1"/>
  <c r="B51" i="16"/>
  <c r="L51" i="16" s="1"/>
  <c r="B51" i="15"/>
  <c r="B38" i="14"/>
  <c r="L38" i="14" s="1"/>
  <c r="B38" i="16"/>
  <c r="L38" i="16" s="1"/>
  <c r="B38" i="15"/>
  <c r="M56" i="13"/>
  <c r="F4" i="13"/>
  <c r="F56" i="13" s="1"/>
  <c r="D56" i="13"/>
  <c r="E56" i="13"/>
  <c r="L56" i="13"/>
  <c r="B5" i="14"/>
  <c r="L5" i="14" s="1"/>
  <c r="J56" i="13"/>
  <c r="K16" i="13"/>
  <c r="C50" i="14"/>
  <c r="C46" i="14"/>
  <c r="C42" i="14"/>
  <c r="C38" i="14"/>
  <c r="C30" i="14"/>
  <c r="C26" i="14"/>
  <c r="C18" i="14"/>
  <c r="C14" i="14"/>
  <c r="C6" i="14"/>
  <c r="C45" i="14"/>
  <c r="C41" i="14"/>
  <c r="C37" i="14"/>
  <c r="C29" i="14"/>
  <c r="C21" i="14"/>
  <c r="C13" i="14"/>
  <c r="C5" i="14"/>
  <c r="C48" i="14"/>
  <c r="C40" i="14"/>
  <c r="C32" i="14"/>
  <c r="C24" i="14"/>
  <c r="C16" i="14"/>
  <c r="C8" i="14"/>
  <c r="C43" i="14"/>
  <c r="C31" i="14"/>
  <c r="C27" i="14"/>
  <c r="C19" i="14"/>
  <c r="C15" i="14"/>
  <c r="C11" i="14"/>
  <c r="B11" i="14"/>
  <c r="L11" i="14" s="1"/>
  <c r="C47" i="14"/>
  <c r="O56" i="14"/>
  <c r="P5" i="18" l="1"/>
  <c r="B56" i="16"/>
  <c r="L5" i="16"/>
  <c r="L56" i="16" s="1"/>
  <c r="L56" i="14"/>
  <c r="B56" i="14"/>
  <c r="C23" i="14"/>
  <c r="C39" i="14"/>
  <c r="C51" i="14"/>
  <c r="C12" i="14"/>
  <c r="C20" i="14"/>
  <c r="C28" i="14"/>
  <c r="C44" i="14"/>
  <c r="C9" i="14"/>
  <c r="C17" i="14"/>
  <c r="C25" i="14"/>
  <c r="C33" i="14"/>
  <c r="C49" i="14"/>
  <c r="C22" i="14"/>
  <c r="C7" i="14"/>
  <c r="S56" i="14"/>
  <c r="C22" i="17" s="1"/>
  <c r="C24" i="17" s="1"/>
  <c r="K4" i="13" l="1"/>
  <c r="K56" i="13" s="1"/>
  <c r="C4" i="18"/>
  <c r="I56" i="13"/>
  <c r="C4" i="16"/>
  <c r="C56" i="16" s="1"/>
  <c r="C4" i="15"/>
  <c r="C4" i="14"/>
  <c r="C56" i="14" s="1"/>
  <c r="C7" i="8" s="1"/>
  <c r="P59" i="14"/>
  <c r="P64" i="14"/>
  <c r="D28" i="9"/>
  <c r="E28" i="9"/>
  <c r="F28" i="9"/>
  <c r="G28" i="9"/>
  <c r="H28" i="9"/>
  <c r="I28" i="9"/>
  <c r="J28" i="9"/>
  <c r="K28" i="9"/>
  <c r="L28" i="9"/>
  <c r="M28" i="9"/>
  <c r="C28" i="9"/>
  <c r="D24" i="9"/>
  <c r="E24" i="9"/>
  <c r="E10" i="2" s="1"/>
  <c r="F24" i="9"/>
  <c r="G24" i="9"/>
  <c r="E12" i="2" s="1"/>
  <c r="H24" i="9"/>
  <c r="I24" i="9"/>
  <c r="E14" i="2" s="1"/>
  <c r="J24" i="9"/>
  <c r="K24" i="9"/>
  <c r="E16" i="2" s="1"/>
  <c r="L24" i="9"/>
  <c r="M24" i="9"/>
  <c r="E18" i="2" s="1"/>
  <c r="N24" i="9"/>
  <c r="N28" i="9" s="1"/>
  <c r="O24" i="9"/>
  <c r="E20" i="2" s="1"/>
  <c r="C24" i="9"/>
  <c r="E8" i="2" s="1"/>
  <c r="D11" i="8"/>
  <c r="D13" i="9"/>
  <c r="E13" i="9"/>
  <c r="F13" i="9"/>
  <c r="C11" i="2" s="1"/>
  <c r="G13" i="9"/>
  <c r="C12" i="2" s="1"/>
  <c r="H13" i="9"/>
  <c r="I13" i="9"/>
  <c r="J13" i="9"/>
  <c r="C15" i="2" s="1"/>
  <c r="K13" i="9"/>
  <c r="C16" i="2" s="1"/>
  <c r="L13" i="9"/>
  <c r="M13" i="9"/>
  <c r="N13" i="9"/>
  <c r="C19" i="2" s="1"/>
  <c r="O13" i="9"/>
  <c r="C20" i="2" s="1"/>
  <c r="C13" i="9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E17" i="2"/>
  <c r="E15" i="2"/>
  <c r="E13" i="2"/>
  <c r="E11" i="2"/>
  <c r="E9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C18" i="2"/>
  <c r="C17" i="2"/>
  <c r="C14" i="2"/>
  <c r="C13" i="2"/>
  <c r="C10" i="2"/>
  <c r="C9" i="2"/>
  <c r="C8" i="2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C58" i="18" l="1"/>
  <c r="S62" i="18" s="1"/>
  <c r="S65" i="18" s="1"/>
  <c r="F4" i="18"/>
  <c r="I20" i="2"/>
  <c r="O28" i="9"/>
  <c r="P60" i="14"/>
  <c r="E19" i="2"/>
  <c r="I19" i="2" s="1"/>
  <c r="H19" i="1"/>
  <c r="G19" i="1"/>
  <c r="K4" i="18" l="1"/>
  <c r="F58" i="18"/>
  <c r="P4" i="18" l="1"/>
  <c r="P58" i="18" s="1"/>
  <c r="K58" i="18"/>
  <c r="C14" i="7"/>
  <c r="C18" i="4" l="1"/>
  <c r="E18" i="4" s="1"/>
  <c r="D12" i="4"/>
  <c r="C12" i="4"/>
  <c r="D11" i="4"/>
  <c r="C11" i="4"/>
  <c r="D10" i="4"/>
  <c r="C10" i="4"/>
  <c r="E10" i="4" s="1"/>
  <c r="B10" i="7" s="1"/>
  <c r="C9" i="4"/>
  <c r="E12" i="4" l="1"/>
  <c r="B12" i="7" s="1"/>
  <c r="E9" i="4"/>
  <c r="B9" i="7" s="1"/>
  <c r="C37" i="4"/>
  <c r="D37" i="4"/>
  <c r="E11" i="4"/>
  <c r="B11" i="7" s="1"/>
  <c r="E7" i="4"/>
  <c r="B7" i="7" s="1"/>
  <c r="I18" i="2"/>
  <c r="I17" i="2"/>
  <c r="I16" i="2"/>
  <c r="I15" i="2"/>
  <c r="I14" i="2"/>
  <c r="I13" i="2"/>
  <c r="I12" i="2"/>
  <c r="I11" i="2"/>
  <c r="I10" i="2"/>
  <c r="I9" i="2"/>
  <c r="H22" i="2"/>
  <c r="D13" i="8" s="1"/>
  <c r="G22" i="2"/>
  <c r="F22" i="2"/>
  <c r="E22" i="2"/>
  <c r="D12" i="8" s="1"/>
  <c r="D22" i="2"/>
  <c r="C22" i="2"/>
  <c r="D10" i="8" s="1"/>
  <c r="I8" i="2"/>
  <c r="E37" i="4" l="1"/>
  <c r="I22" i="2"/>
  <c r="B22" i="2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0" i="1"/>
  <c r="H10" i="1"/>
  <c r="G9" i="1"/>
  <c r="H9" i="1"/>
  <c r="G8" i="1"/>
  <c r="H8" i="1"/>
  <c r="H22" i="1" l="1"/>
  <c r="C13" i="8" s="1"/>
  <c r="G22" i="1"/>
  <c r="C15" i="8" s="1"/>
  <c r="E15" i="8" l="1"/>
  <c r="B19" i="17" s="1"/>
  <c r="P13" i="16" l="1"/>
  <c r="P13" i="14"/>
  <c r="P17" i="16"/>
  <c r="P17" i="14"/>
  <c r="P56" i="16" l="1"/>
  <c r="P56" i="14"/>
  <c r="F8" i="1"/>
  <c r="F16" i="1"/>
  <c r="F17" i="1" l="1"/>
  <c r="F9" i="1"/>
  <c r="F10" i="1"/>
  <c r="F11" i="1"/>
  <c r="C11" i="1" l="1"/>
  <c r="E11" i="1"/>
  <c r="D11" i="1"/>
  <c r="B11" i="1" l="1"/>
  <c r="I11" i="1" s="1"/>
  <c r="C9" i="1" l="1"/>
  <c r="E9" i="1"/>
  <c r="D9" i="1"/>
  <c r="B9" i="1" l="1"/>
  <c r="I9" i="1" s="1"/>
  <c r="D8" i="1" l="1"/>
  <c r="E8" i="1"/>
  <c r="C8" i="1"/>
  <c r="B8" i="1" l="1"/>
  <c r="I8" i="1" s="1"/>
  <c r="C10" i="1" l="1"/>
  <c r="D10" i="1"/>
  <c r="E10" i="1"/>
  <c r="B10" i="1" l="1"/>
  <c r="I10" i="1" s="1"/>
  <c r="C16" i="1" l="1"/>
  <c r="E16" i="1"/>
  <c r="D16" i="1"/>
  <c r="B16" i="1" l="1"/>
  <c r="I16" i="1" s="1"/>
  <c r="E17" i="1" l="1"/>
  <c r="C17" i="1"/>
  <c r="D17" i="1"/>
  <c r="B17" i="1" l="1"/>
  <c r="I17" i="1" s="1"/>
  <c r="F15" i="1" l="1"/>
  <c r="C15" i="1" l="1"/>
  <c r="D15" i="1"/>
  <c r="E15" i="1"/>
  <c r="B15" i="1" l="1"/>
  <c r="I15" i="1" s="1"/>
  <c r="F12" i="1" l="1"/>
  <c r="E12" i="1" l="1"/>
  <c r="D12" i="1"/>
  <c r="C12" i="1"/>
  <c r="B12" i="1" l="1"/>
  <c r="I12" i="1" s="1"/>
  <c r="F18" i="1" l="1"/>
  <c r="D18" i="1" l="1"/>
  <c r="E18" i="1"/>
  <c r="C18" i="1"/>
  <c r="B18" i="1" l="1"/>
  <c r="I18" i="1" s="1"/>
  <c r="D14" i="1" l="1"/>
  <c r="C14" i="1"/>
  <c r="E14" i="1"/>
  <c r="B14" i="1" l="1"/>
  <c r="F13" i="1" l="1"/>
  <c r="F14" i="1"/>
  <c r="I14" i="1" s="1"/>
  <c r="C13" i="1" l="1"/>
  <c r="D13" i="1"/>
  <c r="E13" i="1"/>
  <c r="B13" i="1" l="1"/>
  <c r="I13" i="1" l="1"/>
  <c r="D54" i="16" l="1"/>
  <c r="D54" i="15"/>
  <c r="D54" i="14"/>
  <c r="D52" i="15"/>
  <c r="D52" i="14"/>
  <c r="D52" i="16"/>
  <c r="D53" i="15"/>
  <c r="D53" i="14"/>
  <c r="D53" i="16"/>
  <c r="D11" i="14" l="1"/>
  <c r="D11" i="15"/>
  <c r="D11" i="16"/>
  <c r="D6" i="16"/>
  <c r="D6" i="14"/>
  <c r="D6" i="15"/>
  <c r="D22" i="15"/>
  <c r="D22" i="16"/>
  <c r="D22" i="14"/>
  <c r="F19" i="1"/>
  <c r="E19" i="1" l="1"/>
  <c r="C19" i="1"/>
  <c r="D19" i="1"/>
  <c r="D26" i="16"/>
  <c r="D26" i="15"/>
  <c r="D26" i="14"/>
  <c r="D41" i="16"/>
  <c r="D41" i="15"/>
  <c r="D41" i="14"/>
  <c r="D43" i="14"/>
  <c r="D43" i="16"/>
  <c r="D43" i="15"/>
  <c r="D25" i="16"/>
  <c r="D25" i="15"/>
  <c r="D25" i="14"/>
  <c r="D12" i="14"/>
  <c r="D12" i="15"/>
  <c r="D12" i="16"/>
  <c r="D46" i="16"/>
  <c r="D46" i="15"/>
  <c r="D46" i="14"/>
  <c r="D40" i="15"/>
  <c r="D40" i="16"/>
  <c r="D40" i="14"/>
  <c r="D28" i="16"/>
  <c r="D28" i="15"/>
  <c r="D28" i="14"/>
  <c r="D37" i="16"/>
  <c r="D37" i="15"/>
  <c r="D37" i="14"/>
  <c r="D50" i="16"/>
  <c r="D50" i="15"/>
  <c r="D50" i="14"/>
  <c r="D8" i="15"/>
  <c r="D8" i="16"/>
  <c r="D8" i="14"/>
  <c r="D5" i="15"/>
  <c r="D5" i="16"/>
  <c r="D5" i="14"/>
  <c r="D45" i="14"/>
  <c r="D45" i="16"/>
  <c r="D45" i="15"/>
  <c r="D27" i="15"/>
  <c r="D27" i="16"/>
  <c r="D27" i="14"/>
  <c r="D16" i="15"/>
  <c r="D16" i="14"/>
  <c r="D16" i="16"/>
  <c r="D21" i="14"/>
  <c r="D21" i="15"/>
  <c r="D21" i="16"/>
  <c r="D42" i="15"/>
  <c r="D42" i="14"/>
  <c r="D42" i="16"/>
  <c r="D29" i="16"/>
  <c r="D29" i="15"/>
  <c r="D29" i="14"/>
  <c r="D38" i="14"/>
  <c r="D38" i="15"/>
  <c r="D38" i="16"/>
  <c r="D18" i="14"/>
  <c r="D18" i="15"/>
  <c r="D18" i="16"/>
  <c r="D44" i="14"/>
  <c r="D44" i="16"/>
  <c r="D44" i="15"/>
  <c r="D31" i="14"/>
  <c r="D31" i="16"/>
  <c r="D31" i="15"/>
  <c r="D9" i="14"/>
  <c r="D9" i="16"/>
  <c r="D9" i="15"/>
  <c r="D32" i="15"/>
  <c r="D32" i="16"/>
  <c r="D32" i="14"/>
  <c r="D7" i="14"/>
  <c r="D7" i="16"/>
  <c r="D7" i="15"/>
  <c r="D39" i="14"/>
  <c r="D39" i="15"/>
  <c r="D39" i="16"/>
  <c r="D20" i="15"/>
  <c r="D20" i="14"/>
  <c r="D20" i="16"/>
  <c r="D33" i="15"/>
  <c r="D33" i="16"/>
  <c r="D33" i="14"/>
  <c r="D48" i="16"/>
  <c r="D48" i="14"/>
  <c r="D48" i="15"/>
  <c r="D17" i="16"/>
  <c r="D17" i="15"/>
  <c r="D17" i="14"/>
  <c r="D23" i="15"/>
  <c r="D23" i="16"/>
  <c r="D23" i="14"/>
  <c r="D13" i="14"/>
  <c r="D13" i="16"/>
  <c r="D13" i="15"/>
  <c r="D15" i="16"/>
  <c r="D15" i="15"/>
  <c r="D15" i="14"/>
  <c r="D19" i="16"/>
  <c r="D19" i="14"/>
  <c r="D19" i="15"/>
  <c r="D30" i="16"/>
  <c r="D30" i="15"/>
  <c r="D30" i="14"/>
  <c r="D51" i="15"/>
  <c r="D51" i="16"/>
  <c r="D51" i="14"/>
  <c r="D47" i="14"/>
  <c r="D47" i="15"/>
  <c r="D47" i="16"/>
  <c r="D24" i="15"/>
  <c r="D24" i="14"/>
  <c r="D24" i="16"/>
  <c r="D14" i="15"/>
  <c r="D14" i="16"/>
  <c r="D14" i="14"/>
  <c r="D49" i="15"/>
  <c r="D49" i="14"/>
  <c r="D49" i="16"/>
  <c r="B19" i="1" l="1"/>
  <c r="D56" i="14"/>
  <c r="D56" i="16"/>
  <c r="I19" i="1" l="1"/>
  <c r="P61" i="14"/>
  <c r="P63" i="14" s="1"/>
  <c r="E7" i="14"/>
  <c r="F7" i="14" s="1"/>
  <c r="E7" i="15"/>
  <c r="F7" i="15" s="1"/>
  <c r="E7" i="16"/>
  <c r="F7" i="16" s="1"/>
  <c r="K7" i="16" s="1"/>
  <c r="M7" i="16" s="1"/>
  <c r="E18" i="16" l="1"/>
  <c r="F18" i="16" s="1"/>
  <c r="K18" i="16" s="1"/>
  <c r="M18" i="16" s="1"/>
  <c r="E18" i="15"/>
  <c r="F18" i="15" s="1"/>
  <c r="E18" i="14"/>
  <c r="F18" i="14" s="1"/>
  <c r="K18" i="14" s="1"/>
  <c r="M18" i="14" s="1"/>
  <c r="E52" i="15"/>
  <c r="F52" i="15" s="1"/>
  <c r="E52" i="16"/>
  <c r="F52" i="16" s="1"/>
  <c r="K52" i="16" s="1"/>
  <c r="M52" i="16" s="1"/>
  <c r="E52" i="14"/>
  <c r="F52" i="14" s="1"/>
  <c r="E19" i="16"/>
  <c r="F19" i="16" s="1"/>
  <c r="K19" i="16" s="1"/>
  <c r="M19" i="16" s="1"/>
  <c r="E19" i="14"/>
  <c r="F19" i="14" s="1"/>
  <c r="E19" i="15"/>
  <c r="F19" i="15" s="1"/>
  <c r="E28" i="15"/>
  <c r="F28" i="15" s="1"/>
  <c r="E28" i="14"/>
  <c r="F28" i="14" s="1"/>
  <c r="E28" i="16"/>
  <c r="F28" i="16" s="1"/>
  <c r="K28" i="16" s="1"/>
  <c r="M28" i="16" s="1"/>
  <c r="E29" i="15"/>
  <c r="F29" i="15" s="1"/>
  <c r="E29" i="14"/>
  <c r="F29" i="14" s="1"/>
  <c r="E29" i="16"/>
  <c r="F29" i="16" s="1"/>
  <c r="K29" i="16" s="1"/>
  <c r="M29" i="16" s="1"/>
  <c r="E12" i="15"/>
  <c r="F12" i="15" s="1"/>
  <c r="E12" i="16"/>
  <c r="F12" i="16" s="1"/>
  <c r="K12" i="16" s="1"/>
  <c r="M12" i="16" s="1"/>
  <c r="E12" i="14"/>
  <c r="F12" i="14" s="1"/>
  <c r="E51" i="16"/>
  <c r="F51" i="16" s="1"/>
  <c r="K51" i="16" s="1"/>
  <c r="M51" i="16" s="1"/>
  <c r="E51" i="15"/>
  <c r="F51" i="15" s="1"/>
  <c r="E51" i="14"/>
  <c r="F51" i="14" s="1"/>
  <c r="E11" i="15"/>
  <c r="F11" i="15" s="1"/>
  <c r="E11" i="14"/>
  <c r="F11" i="14" s="1"/>
  <c r="E11" i="16"/>
  <c r="F11" i="16" s="1"/>
  <c r="K11" i="16" s="1"/>
  <c r="M11" i="16" s="1"/>
  <c r="E21" i="16"/>
  <c r="F21" i="16" s="1"/>
  <c r="K21" i="16" s="1"/>
  <c r="M21" i="16" s="1"/>
  <c r="E21" i="14"/>
  <c r="F21" i="14" s="1"/>
  <c r="E21" i="15"/>
  <c r="F21" i="15" s="1"/>
  <c r="E31" i="14"/>
  <c r="F31" i="14" s="1"/>
  <c r="E31" i="15"/>
  <c r="F31" i="15" s="1"/>
  <c r="E31" i="16"/>
  <c r="F31" i="16" s="1"/>
  <c r="K31" i="16" s="1"/>
  <c r="M31" i="16" s="1"/>
  <c r="E48" i="14"/>
  <c r="F48" i="14" s="1"/>
  <c r="E48" i="16"/>
  <c r="F48" i="16" s="1"/>
  <c r="K48" i="16" s="1"/>
  <c r="M48" i="16" s="1"/>
  <c r="E48" i="15"/>
  <c r="F48" i="15" s="1"/>
  <c r="E16" i="14"/>
  <c r="F16" i="14" s="1"/>
  <c r="E16" i="16"/>
  <c r="F16" i="16" s="1"/>
  <c r="K16" i="16" s="1"/>
  <c r="M16" i="16" s="1"/>
  <c r="E16" i="15"/>
  <c r="F16" i="15" s="1"/>
  <c r="E24" i="14"/>
  <c r="F24" i="14" s="1"/>
  <c r="E24" i="16"/>
  <c r="F24" i="16" s="1"/>
  <c r="K24" i="16" s="1"/>
  <c r="M24" i="16" s="1"/>
  <c r="E24" i="15"/>
  <c r="F24" i="15" s="1"/>
  <c r="E30" i="14"/>
  <c r="F30" i="14" s="1"/>
  <c r="E30" i="15"/>
  <c r="F30" i="15" s="1"/>
  <c r="E30" i="16"/>
  <c r="F30" i="16" s="1"/>
  <c r="K30" i="16" s="1"/>
  <c r="M30" i="16" s="1"/>
  <c r="E23" i="14"/>
  <c r="F23" i="14" s="1"/>
  <c r="E23" i="16"/>
  <c r="F23" i="16" s="1"/>
  <c r="K23" i="16" s="1"/>
  <c r="M23" i="16" s="1"/>
  <c r="E23" i="15"/>
  <c r="F23" i="15" s="1"/>
  <c r="E45" i="15"/>
  <c r="F45" i="15" s="1"/>
  <c r="E45" i="16"/>
  <c r="F45" i="16" s="1"/>
  <c r="K45" i="16" s="1"/>
  <c r="M45" i="16" s="1"/>
  <c r="E45" i="14"/>
  <c r="F45" i="14" s="1"/>
  <c r="E39" i="15"/>
  <c r="F39" i="15" s="1"/>
  <c r="E39" i="14"/>
  <c r="F39" i="14" s="1"/>
  <c r="E39" i="16"/>
  <c r="F39" i="16" s="1"/>
  <c r="K39" i="16" s="1"/>
  <c r="M39" i="16" s="1"/>
  <c r="E47" i="16"/>
  <c r="F47" i="16" s="1"/>
  <c r="K47" i="16" s="1"/>
  <c r="M47" i="16" s="1"/>
  <c r="E47" i="15"/>
  <c r="F47" i="15" s="1"/>
  <c r="E47" i="14"/>
  <c r="F47" i="14" s="1"/>
  <c r="E49" i="14"/>
  <c r="F49" i="14" s="1"/>
  <c r="E49" i="16"/>
  <c r="F49" i="16" s="1"/>
  <c r="K49" i="16" s="1"/>
  <c r="M49" i="16" s="1"/>
  <c r="E49" i="15"/>
  <c r="F49" i="15" s="1"/>
  <c r="E41" i="14"/>
  <c r="F41" i="14" s="1"/>
  <c r="E41" i="15"/>
  <c r="F41" i="15" s="1"/>
  <c r="E41" i="16"/>
  <c r="F41" i="16" s="1"/>
  <c r="K41" i="16" s="1"/>
  <c r="M41" i="16" s="1"/>
  <c r="E20" i="14"/>
  <c r="F20" i="14" s="1"/>
  <c r="E20" i="15"/>
  <c r="F20" i="15" s="1"/>
  <c r="E20" i="16"/>
  <c r="F20" i="16" s="1"/>
  <c r="K20" i="16" s="1"/>
  <c r="M20" i="16" s="1"/>
  <c r="E54" i="15"/>
  <c r="F54" i="15" s="1"/>
  <c r="E54" i="16"/>
  <c r="F54" i="16" s="1"/>
  <c r="K54" i="16" s="1"/>
  <c r="M54" i="16" s="1"/>
  <c r="E54" i="14"/>
  <c r="F54" i="14" s="1"/>
  <c r="E26" i="16"/>
  <c r="F26" i="16" s="1"/>
  <c r="K26" i="16" s="1"/>
  <c r="M26" i="16" s="1"/>
  <c r="E26" i="15"/>
  <c r="F26" i="15" s="1"/>
  <c r="E26" i="14"/>
  <c r="F26" i="14" s="1"/>
  <c r="E53" i="16"/>
  <c r="F53" i="16" s="1"/>
  <c r="K53" i="16" s="1"/>
  <c r="M53" i="16" s="1"/>
  <c r="E53" i="14"/>
  <c r="F53" i="14" s="1"/>
  <c r="E53" i="15"/>
  <c r="F53" i="15" s="1"/>
  <c r="K7" i="14"/>
  <c r="M7" i="14" s="1"/>
  <c r="E38" i="15"/>
  <c r="F38" i="15" s="1"/>
  <c r="E38" i="16"/>
  <c r="F38" i="16" s="1"/>
  <c r="K38" i="16" s="1"/>
  <c r="M38" i="16" s="1"/>
  <c r="E38" i="14"/>
  <c r="F38" i="14" s="1"/>
  <c r="E5" i="15"/>
  <c r="F5" i="15" s="1"/>
  <c r="E5" i="14"/>
  <c r="F5" i="14" s="1"/>
  <c r="E5" i="16"/>
  <c r="F5" i="16" s="1"/>
  <c r="K5" i="16" s="1"/>
  <c r="M5" i="16" s="1"/>
  <c r="E43" i="16"/>
  <c r="F43" i="16" s="1"/>
  <c r="K43" i="16" s="1"/>
  <c r="M43" i="16" s="1"/>
  <c r="E43" i="14"/>
  <c r="F43" i="14" s="1"/>
  <c r="E43" i="15"/>
  <c r="F43" i="15" s="1"/>
  <c r="E17" i="16"/>
  <c r="F17" i="16" s="1"/>
  <c r="K17" i="16" s="1"/>
  <c r="M17" i="16" s="1"/>
  <c r="E17" i="14"/>
  <c r="F17" i="14" s="1"/>
  <c r="E17" i="15"/>
  <c r="F17" i="15" s="1"/>
  <c r="E44" i="16"/>
  <c r="F44" i="16" s="1"/>
  <c r="K44" i="16" s="1"/>
  <c r="M44" i="16" s="1"/>
  <c r="E44" i="15"/>
  <c r="F44" i="15" s="1"/>
  <c r="E44" i="14"/>
  <c r="F44" i="14" s="1"/>
  <c r="E22" i="16"/>
  <c r="F22" i="16" s="1"/>
  <c r="K22" i="16" s="1"/>
  <c r="M22" i="16" s="1"/>
  <c r="E22" i="14"/>
  <c r="F22" i="14" s="1"/>
  <c r="E22" i="15"/>
  <c r="F22" i="15" s="1"/>
  <c r="E46" i="15"/>
  <c r="F46" i="15" s="1"/>
  <c r="E46" i="14"/>
  <c r="F46" i="14" s="1"/>
  <c r="E46" i="16"/>
  <c r="F46" i="16" s="1"/>
  <c r="K46" i="16" s="1"/>
  <c r="M46" i="16" s="1"/>
  <c r="E33" i="16"/>
  <c r="F33" i="16" s="1"/>
  <c r="K33" i="16" s="1"/>
  <c r="M33" i="16" s="1"/>
  <c r="E33" i="15"/>
  <c r="F33" i="15" s="1"/>
  <c r="E33" i="14"/>
  <c r="F33" i="14" s="1"/>
  <c r="E6" i="14"/>
  <c r="F6" i="14" s="1"/>
  <c r="E6" i="15"/>
  <c r="F6" i="15" s="1"/>
  <c r="E6" i="16"/>
  <c r="F6" i="16" s="1"/>
  <c r="K6" i="16" s="1"/>
  <c r="M6" i="16" s="1"/>
  <c r="E25" i="15"/>
  <c r="F25" i="15" s="1"/>
  <c r="E25" i="16"/>
  <c r="F25" i="16" s="1"/>
  <c r="K25" i="16" s="1"/>
  <c r="M25" i="16" s="1"/>
  <c r="E25" i="14"/>
  <c r="F25" i="14" s="1"/>
  <c r="E50" i="16"/>
  <c r="F50" i="16" s="1"/>
  <c r="K50" i="16" s="1"/>
  <c r="M50" i="16" s="1"/>
  <c r="E50" i="15"/>
  <c r="F50" i="15" s="1"/>
  <c r="E50" i="14"/>
  <c r="F50" i="14" s="1"/>
  <c r="E42" i="14"/>
  <c r="F42" i="14" s="1"/>
  <c r="E42" i="16"/>
  <c r="F42" i="16" s="1"/>
  <c r="K42" i="16" s="1"/>
  <c r="M42" i="16" s="1"/>
  <c r="E42" i="15"/>
  <c r="F42" i="15" s="1"/>
  <c r="E8" i="15"/>
  <c r="F8" i="15" s="1"/>
  <c r="E8" i="14"/>
  <c r="F8" i="14" s="1"/>
  <c r="E8" i="16"/>
  <c r="F8" i="16" s="1"/>
  <c r="K8" i="16" s="1"/>
  <c r="M8" i="16" s="1"/>
  <c r="E40" i="15"/>
  <c r="F40" i="15" s="1"/>
  <c r="E40" i="14"/>
  <c r="F40" i="14" s="1"/>
  <c r="E40" i="16"/>
  <c r="F40" i="16" s="1"/>
  <c r="K40" i="16" s="1"/>
  <c r="M40" i="16" s="1"/>
  <c r="E13" i="15"/>
  <c r="F13" i="15" s="1"/>
  <c r="E13" i="14"/>
  <c r="F13" i="14" s="1"/>
  <c r="E13" i="16"/>
  <c r="F13" i="16" s="1"/>
  <c r="K13" i="16" s="1"/>
  <c r="M13" i="16" s="1"/>
  <c r="E27" i="15"/>
  <c r="F27" i="15" s="1"/>
  <c r="E27" i="14"/>
  <c r="F27" i="14" s="1"/>
  <c r="E27" i="16"/>
  <c r="F27" i="16" s="1"/>
  <c r="K27" i="16" s="1"/>
  <c r="M27" i="16" s="1"/>
  <c r="E37" i="16"/>
  <c r="F37" i="16" s="1"/>
  <c r="K37" i="16" s="1"/>
  <c r="M37" i="16" s="1"/>
  <c r="E37" i="15"/>
  <c r="F37" i="15" s="1"/>
  <c r="E37" i="14"/>
  <c r="F37" i="14" s="1"/>
  <c r="E4" i="14"/>
  <c r="E4" i="15"/>
  <c r="F4" i="15" s="1"/>
  <c r="E4" i="16"/>
  <c r="E15" i="15"/>
  <c r="F15" i="15" s="1"/>
  <c r="K15" i="15" s="1"/>
  <c r="E15" i="16"/>
  <c r="F15" i="16" s="1"/>
  <c r="K15" i="16" s="1"/>
  <c r="M15" i="16" s="1"/>
  <c r="E15" i="14"/>
  <c r="F15" i="14" s="1"/>
  <c r="E32" i="14"/>
  <c r="F32" i="14" s="1"/>
  <c r="E32" i="15"/>
  <c r="F32" i="15" s="1"/>
  <c r="E32" i="16"/>
  <c r="F32" i="16" s="1"/>
  <c r="K32" i="16" s="1"/>
  <c r="M32" i="16" s="1"/>
  <c r="E9" i="15"/>
  <c r="F9" i="15" s="1"/>
  <c r="E9" i="16"/>
  <c r="F9" i="16" s="1"/>
  <c r="K9" i="16" s="1"/>
  <c r="M9" i="16" s="1"/>
  <c r="E9" i="14"/>
  <c r="F9" i="14" s="1"/>
  <c r="E14" i="16"/>
  <c r="F14" i="16" s="1"/>
  <c r="K14" i="16" s="1"/>
  <c r="M14" i="16" s="1"/>
  <c r="E14" i="14"/>
  <c r="F14" i="14" s="1"/>
  <c r="E14" i="15"/>
  <c r="F14" i="15" s="1"/>
  <c r="K9" i="14" l="1"/>
  <c r="M9" i="14" s="1"/>
  <c r="K14" i="14"/>
  <c r="M14" i="14" s="1"/>
  <c r="K52" i="15"/>
  <c r="O15" i="15"/>
  <c r="F4" i="14"/>
  <c r="E56" i="14"/>
  <c r="K13" i="14"/>
  <c r="M13" i="14" s="1"/>
  <c r="K33" i="14"/>
  <c r="M33" i="14" s="1"/>
  <c r="K46" i="14"/>
  <c r="M46" i="14" s="1"/>
  <c r="K43" i="14"/>
  <c r="M43" i="14" s="1"/>
  <c r="K54" i="14"/>
  <c r="M54" i="14" s="1"/>
  <c r="K41" i="14"/>
  <c r="M41" i="14" s="1"/>
  <c r="K47" i="14"/>
  <c r="M47" i="14" s="1"/>
  <c r="K39" i="14"/>
  <c r="M39" i="14" s="1"/>
  <c r="K51" i="14"/>
  <c r="M51" i="14" s="1"/>
  <c r="K12" i="14"/>
  <c r="M12" i="14" s="1"/>
  <c r="K29" i="14"/>
  <c r="M29" i="14" s="1"/>
  <c r="K28" i="14"/>
  <c r="M28" i="14" s="1"/>
  <c r="K32" i="14"/>
  <c r="M32" i="14" s="1"/>
  <c r="K37" i="14"/>
  <c r="M37" i="14" s="1"/>
  <c r="K27" i="14"/>
  <c r="M27" i="14" s="1"/>
  <c r="K44" i="14"/>
  <c r="M44" i="14" s="1"/>
  <c r="K17" i="14"/>
  <c r="M17" i="14" s="1"/>
  <c r="K38" i="14"/>
  <c r="M38" i="14" s="1"/>
  <c r="K26" i="14"/>
  <c r="M26" i="14" s="1"/>
  <c r="K20" i="14"/>
  <c r="M20" i="14" s="1"/>
  <c r="K15" i="14"/>
  <c r="M15" i="14" s="1"/>
  <c r="E56" i="16"/>
  <c r="F4" i="16"/>
  <c r="K8" i="14"/>
  <c r="M8" i="14" s="1"/>
  <c r="K42" i="14"/>
  <c r="M42" i="14" s="1"/>
  <c r="K25" i="14"/>
  <c r="M25" i="14" s="1"/>
  <c r="K45" i="14"/>
  <c r="M45" i="14" s="1"/>
  <c r="K21" i="14"/>
  <c r="M21" i="14" s="1"/>
  <c r="K11" i="14"/>
  <c r="M11" i="14" s="1"/>
  <c r="K52" i="14"/>
  <c r="M52" i="14" s="1"/>
  <c r="K40" i="14"/>
  <c r="M40" i="14" s="1"/>
  <c r="K50" i="14"/>
  <c r="M50" i="14" s="1"/>
  <c r="K6" i="14"/>
  <c r="M6" i="14" s="1"/>
  <c r="K22" i="14"/>
  <c r="M22" i="14" s="1"/>
  <c r="K5" i="14"/>
  <c r="M5" i="14" s="1"/>
  <c r="K53" i="14"/>
  <c r="M53" i="14" s="1"/>
  <c r="K49" i="14"/>
  <c r="M49" i="14" s="1"/>
  <c r="K23" i="14"/>
  <c r="M23" i="14" s="1"/>
  <c r="K30" i="14"/>
  <c r="M30" i="14" s="1"/>
  <c r="K24" i="14"/>
  <c r="M24" i="14" s="1"/>
  <c r="K16" i="14"/>
  <c r="M16" i="14" s="1"/>
  <c r="K48" i="14"/>
  <c r="M48" i="14" s="1"/>
  <c r="K31" i="14"/>
  <c r="M31" i="14" s="1"/>
  <c r="K19" i="14"/>
  <c r="M19" i="14" s="1"/>
  <c r="K4" i="16" l="1"/>
  <c r="F56" i="16"/>
  <c r="K4" i="14"/>
  <c r="F56" i="14"/>
  <c r="M4" i="14" l="1"/>
  <c r="M56" i="14" s="1"/>
  <c r="K56" i="14"/>
  <c r="B13" i="17" s="1"/>
  <c r="K56" i="16"/>
  <c r="M4" i="16"/>
  <c r="M56" i="16" s="1"/>
  <c r="C12" i="7" l="1"/>
  <c r="E12" i="7" s="1"/>
  <c r="B13" i="8" s="1"/>
  <c r="E13" i="8" s="1"/>
  <c r="B17" i="17" s="1"/>
  <c r="C8" i="7"/>
  <c r="C13" i="7"/>
  <c r="E13" i="7" s="1"/>
  <c r="B14" i="8" s="1"/>
  <c r="C11" i="7"/>
  <c r="E11" i="7" s="1"/>
  <c r="B12" i="8" s="1"/>
  <c r="C7" i="7"/>
  <c r="C10" i="7"/>
  <c r="E10" i="7" s="1"/>
  <c r="B11" i="8" s="1"/>
  <c r="C9" i="7"/>
  <c r="E9" i="7" s="1"/>
  <c r="B10" i="8" s="1"/>
  <c r="B39" i="7"/>
  <c r="B8" i="7"/>
  <c r="E8" i="7"/>
  <c r="B8" i="8" l="1"/>
  <c r="E8" i="8" s="1"/>
  <c r="B12" i="17" s="1"/>
  <c r="C39" i="7"/>
  <c r="E39" i="7" s="1"/>
  <c r="E7" i="7"/>
  <c r="B7" i="8" s="1"/>
  <c r="E20" i="1"/>
  <c r="E22" i="1" s="1"/>
  <c r="C12" i="8" s="1"/>
  <c r="E12" i="8" s="1"/>
  <c r="B16" i="17" s="1"/>
  <c r="D20" i="1"/>
  <c r="D22" i="1" s="1"/>
  <c r="C11" i="8" s="1"/>
  <c r="E11" i="8" s="1"/>
  <c r="B15" i="17" s="1"/>
  <c r="C20" i="1"/>
  <c r="C22" i="1" s="1"/>
  <c r="C10" i="8" s="1"/>
  <c r="B40" i="8" l="1"/>
  <c r="E7" i="8"/>
  <c r="B11" i="17" s="1"/>
  <c r="E10" i="8"/>
  <c r="B14" i="17" s="1"/>
  <c r="B20" i="1"/>
  <c r="B22" i="1" l="1"/>
  <c r="C25" i="1" s="1"/>
  <c r="F20" i="1" l="1"/>
  <c r="F22" i="1" l="1"/>
  <c r="C14" i="8" s="1"/>
  <c r="I20" i="1"/>
  <c r="I22" i="1" s="1"/>
  <c r="E14" i="8" l="1"/>
  <c r="B18" i="17" s="1"/>
  <c r="B24" i="17" s="1"/>
  <c r="D24" i="17" s="1"/>
  <c r="C40" i="8"/>
  <c r="E40" i="8" s="1"/>
  <c r="AB7" i="18" l="1"/>
  <c r="AC7" i="18" s="1"/>
  <c r="AB8" i="18" l="1"/>
  <c r="AC8" i="18" s="1"/>
  <c r="AB28" i="18"/>
  <c r="AC28" i="18" s="1"/>
  <c r="AB39" i="18"/>
  <c r="AC39" i="18" s="1"/>
  <c r="AB33" i="18"/>
  <c r="AC33" i="18" s="1"/>
  <c r="AB22" i="18"/>
  <c r="AC22" i="18" s="1"/>
  <c r="AB24" i="18"/>
  <c r="AC24" i="18" s="1"/>
  <c r="AB9" i="18"/>
  <c r="AC9" i="18" s="1"/>
  <c r="AB19" i="18"/>
  <c r="AC19" i="18" s="1"/>
  <c r="AB18" i="18"/>
  <c r="AC18" i="18" s="1"/>
  <c r="AB10" i="18"/>
  <c r="AC10" i="18" s="1"/>
  <c r="AB5" i="18"/>
  <c r="AB31" i="18" l="1"/>
  <c r="AC31" i="18" s="1"/>
  <c r="AB45" i="18"/>
  <c r="AC45" i="18" s="1"/>
  <c r="AB25" i="18"/>
  <c r="AC25" i="18" s="1"/>
  <c r="AB14" i="18"/>
  <c r="AC14" i="18" s="1"/>
  <c r="AB34" i="18"/>
  <c r="AC34" i="18" s="1"/>
  <c r="AC5" i="18"/>
  <c r="AB17" i="18"/>
  <c r="AC17" i="18" s="1"/>
  <c r="AB35" i="18"/>
  <c r="AC35" i="18" s="1"/>
  <c r="AB15" i="18"/>
  <c r="AC15" i="18" s="1"/>
  <c r="AB13" i="18"/>
  <c r="AC13" i="18" s="1"/>
  <c r="AB27" i="18"/>
  <c r="AC27" i="18" s="1"/>
  <c r="AB16" i="18"/>
  <c r="AC16" i="18" s="1"/>
  <c r="AB21" i="18"/>
  <c r="AC21" i="18" s="1"/>
  <c r="AB30" i="18" l="1"/>
  <c r="AC30" i="18" s="1"/>
  <c r="AB23" i="18"/>
  <c r="AC23" i="18" s="1"/>
  <c r="AB26" i="18"/>
  <c r="AC26" i="18" s="1"/>
  <c r="AB40" i="18"/>
  <c r="AC40" i="18" s="1"/>
  <c r="AB32" i="18"/>
  <c r="AC32" i="18" s="1"/>
  <c r="AB6" i="18" l="1"/>
  <c r="AB48" i="18"/>
  <c r="AC48" i="18" s="1"/>
  <c r="AC6" i="18" l="1"/>
  <c r="AC58" i="18" s="1"/>
  <c r="AB58" i="18"/>
  <c r="AC59" i="18" s="1"/>
</calcChain>
</file>

<file path=xl/comments1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LOWE JEAN</t>
        </r>
      </text>
    </comment>
    <comment ref="D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FOTSO THOMAS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NKAMGAING DEJOLIE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KOUAMO EMMANUEL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DJOMO JEAN PAUL 700 000 ET A SIME PIERRE 290 000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KOUATCHO MESSACK 850 000 ET A BOGNING T GUY 1 000 000</t>
        </r>
      </text>
    </comment>
    <comment ref="J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NDJOMO ETIENNE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SEUMO RICHELOT 1 000 000 ET A DJUOMBESSY ANTOINE 1 000 000</t>
        </r>
      </text>
    </comment>
    <comment ref="L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KOUAMO MOISE 1 000 000 ET A TIEYAM ERNEST 1 000 000</t>
        </r>
      </text>
    </comment>
    <comment ref="M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NJEPDJIO DELUXE</t>
        </r>
      </text>
    </comment>
    <comment ref="L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TRANSPORT COMMISSION SEDIL</t>
        </r>
      </text>
    </comment>
    <comment ref="M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AIDE UEEB 50 000 ET JOURNEE DE LA FEMME 40 000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ACHAT SOURIS ET PHOTOCOPIE</t>
        </r>
      </text>
    </comment>
    <comment ref="I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CONSEIL 75 000 CONTRIBUTION 35 000</t>
        </r>
      </text>
    </comment>
    <comment ref="F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FESTAC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NKEPSEU DIEUDONNE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NKOUMO EMMANUEL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NGUIEMENIE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TAGNIE NANGUEP</t>
        </r>
      </text>
    </comment>
    <comment ref="H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DJOMO JEAN PAUL</t>
        </r>
      </text>
    </comment>
    <comment ref="J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MBOUTCHOUANG WILLIAM</t>
        </r>
      </text>
    </comment>
    <comment ref="K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FOYER LANGWE</t>
        </r>
      </text>
    </comment>
    <comment ref="L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DJOUNKWE GUY</t>
        </r>
      </text>
    </comment>
    <comment ref="M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FOYER</t>
        </r>
      </text>
    </comment>
    <comment ref="N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NGONDIEP</t>
        </r>
      </text>
    </comment>
    <comment ref="F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BOISSON CONSEIL</t>
        </r>
      </text>
    </comment>
    <comment ref="N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BOISSON VEILLEE DJOUENKEP</t>
        </r>
      </text>
    </comment>
    <comment ref="F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MERE NKOUAMO EMMANUEL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MERE NANKEP APPOLINAIRE</t>
        </r>
      </text>
    </comment>
    <comment ref="I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LIQUIDATION NKEPSEU HENANG ET NTOMBOU ADOLPHE</t>
        </r>
      </text>
    </comment>
    <comment ref="L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BELLE MERE NGUIEMENIE</t>
        </r>
      </text>
    </comment>
    <comment ref="M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BELLE MERE BOGNING T G</t>
        </r>
      </text>
    </comment>
    <comment ref="N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OBSEQUES DJOUENKEP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S3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SIME PIERRE TONTINE
700 000</t>
        </r>
      </text>
    </comment>
    <comment ref="S4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885600 NON REMBOURSE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V4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SIME PIERRE TONTINE
700 000</t>
        </r>
      </text>
    </comment>
    <comment ref="V5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885600 NON REMBOURSE</t>
        </r>
      </text>
    </comment>
  </commentList>
</comments>
</file>

<file path=xl/comments4.xml><?xml version="1.0" encoding="utf-8"?>
<comments xmlns="http://schemas.openxmlformats.org/spreadsheetml/2006/main">
  <authors>
    <author>DJUOMBESSY</author>
  </authors>
  <commentList>
    <comment ref="S3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SIME PIERRE TONTINE
700 000</t>
        </r>
      </text>
    </comment>
    <comment ref="S4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885600 NON REMBOURSE</t>
        </r>
      </text>
    </comment>
  </commentList>
</comments>
</file>

<file path=xl/comments5.xml><?xml version="1.0" encoding="utf-8"?>
<comments xmlns="http://schemas.openxmlformats.org/spreadsheetml/2006/main">
  <authors>
    <author>DJUOMBESSY</author>
  </authors>
  <commentList>
    <comment ref="M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SIME PIERRE TONTINE
700 000</t>
        </r>
      </text>
    </comment>
    <comment ref="M4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885600 NON REMBOURSE</t>
        </r>
      </text>
    </comment>
  </commentList>
</comments>
</file>

<file path=xl/sharedStrings.xml><?xml version="1.0" encoding="utf-8"?>
<sst xmlns="http://schemas.openxmlformats.org/spreadsheetml/2006/main" count="624" uniqueCount="178">
  <si>
    <t>ENTREE DES DIFFERENTES RUBRIQUES</t>
  </si>
  <si>
    <t>EPARGNE</t>
  </si>
  <si>
    <t>FONDS DE ROULEMENT</t>
  </si>
  <si>
    <t>FRAIS EXCEPTIONNEL</t>
  </si>
  <si>
    <t>COLLATION</t>
  </si>
  <si>
    <t>PENALITE VST ESPECES</t>
  </si>
  <si>
    <t>INSCRIPTION</t>
  </si>
  <si>
    <t>MUTUELLE</t>
  </si>
  <si>
    <t>MOIS</t>
  </si>
  <si>
    <t>REPORT</t>
  </si>
  <si>
    <t>ANNEE</t>
  </si>
  <si>
    <t>2017-2018</t>
  </si>
  <si>
    <t>AOUT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</si>
  <si>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</si>
  <si>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</si>
  <si>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</si>
  <si>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</si>
  <si>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</si>
  <si>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</si>
  <si>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</si>
  <si>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</si>
  <si>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</si>
  <si>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</si>
  <si>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</si>
  <si>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</si>
  <si>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TOTAL</t>
  </si>
  <si>
    <t>SORTIE DETAILLEES DES DIFFERENTES RUBRIQUES</t>
  </si>
  <si>
    <t>SORTIE DES DIFFERENTES RUBRIQUES</t>
  </si>
  <si>
    <t>BILAN ALLANT DE LA PERIODE  DU 01 DECEMBRE 2015 AU 30 NOVEMBRE 2016</t>
  </si>
  <si>
    <t>RUBRIQUE</t>
  </si>
  <si>
    <t>REPORT A NOUVEAU</t>
  </si>
  <si>
    <t>ENTREES</t>
  </si>
  <si>
    <t>SORTIES</t>
  </si>
  <si>
    <t>SOLDE</t>
  </si>
  <si>
    <t>EPARGNE\RELIQUAT2015</t>
  </si>
  <si>
    <t>FONDS DE CAISSE</t>
  </si>
  <si>
    <t>FRAIS EXCEPTIONNELS</t>
  </si>
  <si>
    <t>MUTUELLE\COMPLEMENT MUTUEL</t>
  </si>
  <si>
    <t>FOYER</t>
  </si>
  <si>
    <t>RECOUVREMENT POUR LAGWEU GENERAL</t>
  </si>
  <si>
    <t>AUTRES</t>
  </si>
  <si>
    <t>INTERET EMPRUNT</t>
  </si>
  <si>
    <t>EMPRUNT</t>
  </si>
  <si>
    <t>RELIQUAT 2016</t>
  </si>
  <si>
    <t>COMPTE CCA</t>
  </si>
  <si>
    <t>COMPTE AFRILAND</t>
  </si>
  <si>
    <t>COMPTE MC2</t>
  </si>
  <si>
    <t>ASELBY CAISSE(NDJOMO ETIENNE)</t>
  </si>
  <si>
    <t>RETRAIT DISTRIBUTION EPARGNE</t>
  </si>
  <si>
    <t>SOUS TOTAL</t>
  </si>
  <si>
    <t>MONTANT DISPONIBLE</t>
  </si>
  <si>
    <t>BILAN ALLANT DE LA PERIODE  DU 01 DECEMBRE 2016 AU 30 AOUT 2017</t>
  </si>
  <si>
    <t>EPARGNE\RELIQUAT2016</t>
  </si>
  <si>
    <t>PENALITE VERSEMENT EN ESPECES</t>
  </si>
  <si>
    <t>SANCTION</t>
  </si>
  <si>
    <t>RELIQUAT 2017</t>
  </si>
  <si>
    <t>BILAN ALLANT DE LA PERIODE  DU 01 SEPTEMBRE  2017 AU 30 AOUT 2018</t>
  </si>
  <si>
    <t>LIBELLE</t>
  </si>
  <si>
    <t>COMPTE</t>
  </si>
  <si>
    <t>AOUT 2017</t>
  </si>
  <si>
    <t>COMMUNICATION</t>
  </si>
  <si>
    <t>COMMISSION</t>
  </si>
  <si>
    <t xml:space="preserve">PRÊT </t>
  </si>
  <si>
    <t>MUET</t>
  </si>
  <si>
    <t xml:space="preserve">DECES </t>
  </si>
  <si>
    <t>BOISSON</t>
  </si>
  <si>
    <t>GRATIFICATION BUREAU</t>
  </si>
  <si>
    <t>CONTRIBUTION ET PRÊT CONSEIL</t>
  </si>
  <si>
    <t>FRAIS EXEPTIONNEL</t>
  </si>
  <si>
    <t>ACHAT SOURIS ET PHOTOCOPIE</t>
  </si>
  <si>
    <t>AIDE UEEB ET CONT FEMME</t>
  </si>
  <si>
    <t>FESTAC</t>
  </si>
  <si>
    <t>S/TOTAL</t>
  </si>
  <si>
    <t>ASELBY</t>
  </si>
  <si>
    <t>NOM ET PRENOM</t>
  </si>
  <si>
    <t>RELIQUAT</t>
  </si>
  <si>
    <t>INTERETEPARGNE</t>
  </si>
  <si>
    <t>TOTAL AVOIR</t>
  </si>
  <si>
    <t>NOUVEAU FONDS</t>
  </si>
  <si>
    <t>SOLDE TOUT COMPTE</t>
  </si>
  <si>
    <t>BAKOP ACHILLE</t>
  </si>
  <si>
    <t>BOUTCHOUANG WILLIAM</t>
  </si>
  <si>
    <t>CHINGUE FABRICE</t>
  </si>
  <si>
    <t xml:space="preserve">DJOMO JEAN PAUL </t>
  </si>
  <si>
    <t>DJOUKWE NANGUEN GUY BLAISE</t>
  </si>
  <si>
    <t>DJOSSEU JOSUE</t>
  </si>
  <si>
    <t>DJOUNKEP SAMUEL</t>
  </si>
  <si>
    <t>DJUOMBESSY ANTOINE</t>
  </si>
  <si>
    <t>DONHOU DAVID</t>
  </si>
  <si>
    <t>FOTSO THOMAS</t>
  </si>
  <si>
    <t>HENGUE PAUL OMER</t>
  </si>
  <si>
    <t>HODIEP JULES</t>
  </si>
  <si>
    <t>HOTCHO BENJAMIN</t>
  </si>
  <si>
    <t>KEPHE DAVID</t>
  </si>
  <si>
    <t>KEPSEU FRANCIS</t>
  </si>
  <si>
    <t>KOUAMOU EMMANUEL</t>
  </si>
  <si>
    <t>KOUAMOU MOISE</t>
  </si>
  <si>
    <t>KOUAMO VICTOR PEGUY</t>
  </si>
  <si>
    <t>KOUATCHO MESSACK</t>
  </si>
  <si>
    <t>LOWE JEAN</t>
  </si>
  <si>
    <t>NANKAM APPOLINAIRE</t>
  </si>
  <si>
    <t>NDJOMO ETIENNE</t>
  </si>
  <si>
    <t>NDOMBOU JEAN CLAUDE</t>
  </si>
  <si>
    <t>NGONDIEP CLAUDE</t>
  </si>
  <si>
    <t>NGONGANG JEAN THEODORE</t>
  </si>
  <si>
    <t>NGUIEMEGNI MATHIEU BLAISE</t>
  </si>
  <si>
    <t>NJEPDJIO MBOUKAM DELUXE</t>
  </si>
  <si>
    <t>NKAMGANG JUSTIN DEJOLIE</t>
  </si>
  <si>
    <t>NKEPSEU DIEUDONNE</t>
  </si>
  <si>
    <t>NKEPSEU HENANG RENE</t>
  </si>
  <si>
    <t>NTEPDIE TUEMAC MZ</t>
  </si>
  <si>
    <t>NTOMBOU ADOLPHE</t>
  </si>
  <si>
    <t>PATEGO NJOSSU GUSTAVE</t>
  </si>
  <si>
    <t>SEUNOU RICHELOT</t>
  </si>
  <si>
    <t>SIME ABEL</t>
  </si>
  <si>
    <t>SIME FONGANG ERIC</t>
  </si>
  <si>
    <t>SIME MATHIEU</t>
  </si>
  <si>
    <t>SIME PIERRE</t>
  </si>
  <si>
    <t>TAGNE NANGUEN MARTIN</t>
  </si>
  <si>
    <t>TCHOUAMOU JEAN PAUL</t>
  </si>
  <si>
    <t>TCHOUAMOU MATHIEU</t>
  </si>
  <si>
    <t>TCHOUANTE FRANCOIS</t>
  </si>
  <si>
    <t>TCHOUTOU NANA CLAUDE</t>
  </si>
  <si>
    <t>TIEYAM ERNEST</t>
  </si>
  <si>
    <t>TUGMA PIERRE LOTI</t>
  </si>
  <si>
    <t>YEPMOU JEAN JACQUES</t>
  </si>
  <si>
    <t>YOUMBI EMMANUEL</t>
  </si>
  <si>
    <t>MBOGNING TUGMA GUY</t>
  </si>
  <si>
    <t>DJOMO DOMO</t>
  </si>
  <si>
    <t>DOMOU FABIEN</t>
  </si>
  <si>
    <t>CALCUL INTERET EPARGNE DECEMBRE 2016- JUILLET 2017</t>
  </si>
  <si>
    <t>CALCUL INTERET EPARGNE AOUT 2017- JUILLET 2018</t>
  </si>
  <si>
    <t>REPORT EMPRUNT 2017</t>
  </si>
  <si>
    <t>REMBOURSEMENT 2017-2018</t>
  </si>
  <si>
    <t>OBSERVATION</t>
  </si>
  <si>
    <t>OK</t>
  </si>
  <si>
    <t>REPORT EMPRUNT 2018</t>
  </si>
  <si>
    <t>EMPRUNT 2018</t>
  </si>
  <si>
    <t>A ANALYSER</t>
  </si>
  <si>
    <t>A REMBOURSER AOUT 2017</t>
  </si>
  <si>
    <t>AVANCE</t>
  </si>
  <si>
    <t>TOTAL A PERCEVOIR</t>
  </si>
  <si>
    <t>FONDS CAISSE</t>
  </si>
  <si>
    <t>COMPLEMENT MUTUEL</t>
  </si>
  <si>
    <t>COMPLEMENT FONDS</t>
  </si>
  <si>
    <t>A REVOIR</t>
  </si>
  <si>
    <t>COMPLEMENT MUTUELLE</t>
  </si>
  <si>
    <t>EMPRUNT EN COURS 2018</t>
  </si>
  <si>
    <t>INTERET PRET 18 MOIS</t>
  </si>
  <si>
    <t>PRET EN COURS</t>
  </si>
  <si>
    <t>FONDS DE CAISSE 2017</t>
  </si>
  <si>
    <t>EPARGNE 2018</t>
  </si>
  <si>
    <t>PRÊT 2018</t>
  </si>
  <si>
    <t>DATE REMBOURSEMENT</t>
  </si>
  <si>
    <t>SITUATION TRESORERIE  ALLANT DE LA PERIODE  DU 01 SEPTEMBRE  2017 AU 30 AOUT 2018</t>
  </si>
  <si>
    <t>TRESORERIE</t>
  </si>
  <si>
    <t>MOUVEMENT ASELBY</t>
  </si>
  <si>
    <t>CAISSE</t>
  </si>
  <si>
    <t>PENALITE</t>
  </si>
  <si>
    <t>REMBOURSEMENT</t>
  </si>
  <si>
    <t>EMPRUNT EN COURS 2018 PENALITE</t>
  </si>
  <si>
    <t>SAISIE LANGWE GENERALE</t>
  </si>
  <si>
    <t>SAISIE PENALITE REMBOURSEMENT</t>
  </si>
  <si>
    <t>TOTAL  PERCU</t>
  </si>
  <si>
    <t>FONDS GELE</t>
  </si>
  <si>
    <t>CHAISE</t>
  </si>
  <si>
    <t>TENUE</t>
  </si>
  <si>
    <t>RELIQUAT 2017/EPARGNE</t>
  </si>
  <si>
    <t>INTERET BQUE AFRILAND</t>
  </si>
  <si>
    <t>RECOUVREMENT POUR LAGWEU GENERAL 2</t>
  </si>
  <si>
    <t>FONDS</t>
  </si>
  <si>
    <t>PARGNE</t>
  </si>
  <si>
    <t>TONTINE 25 000</t>
  </si>
  <si>
    <t>INT NON REMBOURSE</t>
  </si>
  <si>
    <t>PRÊT SIMO PIERRE</t>
  </si>
  <si>
    <t>MONTANT</t>
  </si>
  <si>
    <t>RESTE</t>
  </si>
  <si>
    <t>PENALITE TONTINE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</si>
</sst>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Britannic Bold"/>
      <family val="2"/>
    </font>
    <font>
      <sz val="11"/>
      <color rgb="FFFF0000"/>
      <name val="Britannic Bold"/>
      <family val="2"/>
    </font>
    <font>
      <sz val="11"/>
      <name val="Britannic Bold"/>
      <family val="2"/>
    </font>
    <font>
      <sz val="16"/>
      <color rgb="FF00B050"/>
      <name val="Britannic Bold"/>
      <family val="2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stellar"/>
      <family val="1"/>
    </font>
    <font>
      <sz val="11"/>
      <name val="Calibri"/>
      <family val="2"/>
      <scheme val="minor"/>
    </font>
    <font>
      <sz val="11"/>
      <name val="Castellar"/>
      <family val="1"/>
    </font>
    <font>
      <b/>
      <sz val="18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rgb="FF00B050"/>
      <name val="Calibri"/>
      <family val="2"/>
      <scheme val="minor"/>
    </font>
    <font>
      <b/>
      <sz val="11"/>
      <color rgb="FF00B050"/>
      <name val="Britannic Bold"/>
      <family val="2"/>
    </font>
    <font>
      <b/>
      <sz val="11"/>
      <color rgb="FF00B050"/>
      <name val="Castellar"/>
      <family val="1"/>
    </font>
    <font>
      <b/>
      <sz val="14"/>
      <color rgb="FF00B050"/>
      <name val="Britannic Bold"/>
      <family val="2"/>
    </font>
    <font>
      <b/>
      <sz val="11"/>
      <color rgb="FFFF0000"/>
      <name val="Castellar"/>
      <family val="1"/>
    </font>
    <font>
      <sz val="11"/>
      <color rgb="FFFF0000"/>
      <name val="Castellar"/>
      <family val="1"/>
    </font>
    <font>
      <b/>
      <sz val="11"/>
      <color rgb="FFFF0000"/>
      <name val="Calibri"/>
      <family val="2"/>
      <scheme val="minor"/>
    </font>
    <font>
      <b/>
      <sz val="14"/>
      <color rgb="FFFF0000"/>
      <name val="Britannic Bold"/>
      <family val="2"/>
    </font>
    <font>
      <b/>
      <sz val="11"/>
      <color rgb="FF7030A0"/>
      <name val="Calibri"/>
      <family val="2"/>
      <scheme val="minor"/>
    </font>
    <font>
      <b/>
      <sz val="11"/>
      <color rgb="FF7030A0"/>
      <name val="Britannic Bold"/>
      <family val="2"/>
    </font>
    <font>
      <b/>
      <sz val="11"/>
      <color rgb="FF7030A0"/>
      <name val="Castellar"/>
      <family val="1"/>
    </font>
    <font>
      <b/>
      <sz val="14"/>
      <color rgb="FF7030A0"/>
      <name val="Britannic Bold"/>
      <family val="2"/>
    </font>
    <font>
      <b/>
      <sz val="2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stellar"/>
      <family val="1"/>
    </font>
    <font>
      <b/>
      <sz val="14"/>
      <color theme="1"/>
      <name val="Britannic Bold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48118533890809E-2"/>
        <bgColor indexed="64"/>
      </patternFill>
    </fill>
  </fills>
  <borders count="14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/>
    <xf numFmtId="0" fontId="1" fillId="0" borderId="0" xfId="0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 wrapText="1"/>
    </xf>
    <xf numFmtId="3" fontId="5" fillId="2" borderId="3" xfId="0" applyNumberFormat="1" applyFont="1" applyFill="1" applyBorder="1" applyAlignment="1">
      <alignment horizontal="center" wrapText="1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4" fillId="0" borderId="4" xfId="0" applyFont="1" applyBorder="1"/>
    <xf numFmtId="3" fontId="4" fillId="0" borderId="5" xfId="0" applyNumberFormat="1" applyFont="1" applyBorder="1"/>
    <xf numFmtId="3" fontId="5" fillId="0" borderId="6" xfId="0" applyNumberFormat="1" applyFont="1" applyBorder="1"/>
    <xf numFmtId="0" fontId="3" fillId="0" borderId="5" xfId="0" applyFont="1" applyBorder="1"/>
    <xf numFmtId="0" fontId="0" fillId="0" borderId="4" xfId="0" applyBorder="1"/>
    <xf numFmtId="0" fontId="5" fillId="0" borderId="7" xfId="0" applyFont="1" applyBorder="1"/>
    <xf numFmtId="3" fontId="5" fillId="0" borderId="8" xfId="0" applyNumberFormat="1" applyFont="1" applyBorder="1"/>
    <xf numFmtId="3" fontId="5" fillId="0" borderId="9" xfId="0" applyNumberFormat="1" applyFont="1" applyBorder="1"/>
    <xf numFmtId="0" fontId="9" fillId="0" borderId="0" xfId="0" applyFont="1"/>
    <xf numFmtId="0" fontId="10" fillId="3" borderId="1" xfId="0" applyFont="1" applyFill="1" applyBorder="1"/>
    <xf numFmtId="0" fontId="10" fillId="3" borderId="2" xfId="0" applyFont="1" applyFill="1" applyBorder="1" applyAlignment="1">
      <alignment wrapText="1"/>
    </xf>
    <xf numFmtId="0" fontId="10" fillId="3" borderId="2" xfId="0" applyFont="1" applyFill="1" applyBorder="1"/>
    <xf numFmtId="0" fontId="10" fillId="3" borderId="3" xfId="0" applyFont="1" applyFill="1" applyBorder="1"/>
    <xf numFmtId="3" fontId="2" fillId="0" borderId="5" xfId="0" applyNumberFormat="1" applyFont="1" applyBorder="1"/>
    <xf numFmtId="3" fontId="2" fillId="0" borderId="6" xfId="0" applyNumberFormat="1" applyFont="1" applyBorder="1"/>
    <xf numFmtId="3" fontId="0" fillId="0" borderId="0" xfId="0" applyNumberFormat="1"/>
    <xf numFmtId="3" fontId="0" fillId="0" borderId="5" xfId="0" applyNumberFormat="1" applyBorder="1"/>
    <xf numFmtId="3" fontId="0" fillId="0" borderId="6" xfId="0" applyNumberFormat="1" applyBorder="1"/>
    <xf numFmtId="3" fontId="8" fillId="0" borderId="0" xfId="0" applyNumberFormat="1" applyFont="1"/>
    <xf numFmtId="0" fontId="2" fillId="0" borderId="7" xfId="0" applyFont="1" applyBorder="1"/>
    <xf numFmtId="3" fontId="2" fillId="0" borderId="9" xfId="0" applyNumberFormat="1" applyFont="1" applyBorder="1"/>
    <xf numFmtId="0" fontId="10" fillId="3" borderId="10" xfId="0" applyFont="1" applyFill="1" applyBorder="1"/>
    <xf numFmtId="0" fontId="10" fillId="3" borderId="11" xfId="0" applyFont="1" applyFill="1" applyBorder="1" applyAlignment="1">
      <alignment wrapText="1"/>
    </xf>
    <xf numFmtId="0" fontId="10" fillId="3" borderId="11" xfId="0" applyFont="1" applyFill="1" applyBorder="1"/>
    <xf numFmtId="0" fontId="10" fillId="3" borderId="12" xfId="0" applyFont="1" applyFill="1" applyBorder="1"/>
    <xf numFmtId="3" fontId="10" fillId="0" borderId="0" xfId="0" applyNumberFormat="1" applyFont="1"/>
    <xf numFmtId="3" fontId="2" fillId="0" borderId="0" xfId="0" applyNumberFormat="1" applyFont="1"/>
    <xf numFmtId="3" fontId="2" fillId="0" borderId="0" xfId="0" applyNumberFormat="1" applyFont="1" applyAlignment="1">
      <alignment wrapText="1"/>
    </xf>
    <xf numFmtId="3" fontId="13" fillId="0" borderId="0" xfId="0" applyNumberFormat="1" applyFont="1"/>
    <xf numFmtId="0" fontId="3" fillId="0" borderId="0" xfId="0" applyFont="1"/>
    <xf numFmtId="3" fontId="1" fillId="0" borderId="0" xfId="0" applyNumberFormat="1" applyFont="1"/>
    <xf numFmtId="3" fontId="14" fillId="0" borderId="0" xfId="0" applyNumberFormat="1" applyFont="1"/>
    <xf numFmtId="0" fontId="14" fillId="0" borderId="0" xfId="0" applyFont="1"/>
    <xf numFmtId="3" fontId="15" fillId="0" borderId="0" xfId="0" applyNumberFormat="1" applyFont="1"/>
    <xf numFmtId="3" fontId="4" fillId="0" borderId="0" xfId="0" applyNumberFormat="1" applyFont="1" applyAlignment="1">
      <alignment wrapText="1"/>
    </xf>
    <xf numFmtId="0" fontId="16" fillId="0" borderId="0" xfId="0" applyFont="1"/>
    <xf numFmtId="3" fontId="17" fillId="0" borderId="0" xfId="0" applyNumberFormat="1" applyFont="1"/>
    <xf numFmtId="0" fontId="18" fillId="0" borderId="0" xfId="0" applyFont="1"/>
    <xf numFmtId="3" fontId="19" fillId="0" borderId="0" xfId="0" applyNumberFormat="1" applyFont="1" applyAlignment="1">
      <alignment wrapText="1"/>
    </xf>
    <xf numFmtId="3" fontId="20" fillId="0" borderId="0" xfId="0" applyNumberFormat="1" applyFont="1"/>
    <xf numFmtId="3" fontId="21" fillId="0" borderId="0" xfId="0" applyNumberFormat="1" applyFont="1"/>
    <xf numFmtId="3" fontId="22" fillId="0" borderId="0" xfId="0" applyNumberFormat="1" applyFont="1"/>
    <xf numFmtId="3" fontId="23" fillId="0" borderId="0" xfId="0" applyNumberFormat="1" applyFont="1"/>
    <xf numFmtId="0" fontId="2" fillId="0" borderId="1" xfId="0" applyFont="1" applyBorder="1"/>
    <xf numFmtId="3" fontId="2" fillId="0" borderId="2" xfId="0" applyNumberFormat="1" applyFont="1" applyBorder="1" applyAlignment="1">
      <alignment wrapText="1"/>
    </xf>
    <xf numFmtId="3" fontId="4" fillId="0" borderId="2" xfId="0" applyNumberFormat="1" applyFont="1" applyBorder="1" applyAlignment="1">
      <alignment wrapText="1"/>
    </xf>
    <xf numFmtId="3" fontId="2" fillId="0" borderId="3" xfId="0" applyNumberFormat="1" applyFont="1" applyBorder="1" applyAlignment="1">
      <alignment wrapText="1"/>
    </xf>
    <xf numFmtId="3" fontId="13" fillId="0" borderId="5" xfId="0" applyNumberFormat="1" applyFont="1" applyBorder="1"/>
    <xf numFmtId="3" fontId="15" fillId="0" borderId="5" xfId="0" applyNumberFormat="1" applyFont="1" applyBorder="1"/>
    <xf numFmtId="3" fontId="23" fillId="0" borderId="5" xfId="0" applyNumberFormat="1" applyFont="1" applyBorder="1"/>
    <xf numFmtId="3" fontId="14" fillId="0" borderId="5" xfId="0" applyNumberFormat="1" applyFont="1" applyBorder="1"/>
    <xf numFmtId="0" fontId="2" fillId="0" borderId="5" xfId="0" applyFont="1" applyBorder="1"/>
    <xf numFmtId="3" fontId="17" fillId="0" borderId="7" xfId="0" applyNumberFormat="1" applyFont="1" applyBorder="1"/>
    <xf numFmtId="3" fontId="17" fillId="0" borderId="8" xfId="0" applyNumberFormat="1" applyFont="1" applyBorder="1"/>
    <xf numFmtId="3" fontId="13" fillId="0" borderId="6" xfId="0" applyNumberFormat="1" applyFont="1" applyBorder="1"/>
    <xf numFmtId="0" fontId="24" fillId="0" borderId="0" xfId="0" applyFont="1"/>
    <xf numFmtId="3" fontId="25" fillId="0" borderId="0" xfId="0" applyNumberFormat="1" applyFont="1"/>
    <xf numFmtId="0" fontId="26" fillId="0" borderId="0" xfId="0" applyFont="1"/>
    <xf numFmtId="3" fontId="27" fillId="0" borderId="0" xfId="0" applyNumberFormat="1" applyFont="1" applyAlignment="1">
      <alignment wrapText="1"/>
    </xf>
    <xf numFmtId="3" fontId="28" fillId="0" borderId="0" xfId="0" applyNumberFormat="1" applyFont="1"/>
    <xf numFmtId="3" fontId="29" fillId="0" borderId="0" xfId="0" applyNumberFormat="1" applyFont="1"/>
    <xf numFmtId="3" fontId="30" fillId="0" borderId="0" xfId="0" applyNumberFormat="1" applyFont="1"/>
    <xf numFmtId="3" fontId="31" fillId="0" borderId="0" xfId="0" applyNumberFormat="1" applyFont="1"/>
    <xf numFmtId="3" fontId="18" fillId="0" borderId="0" xfId="0" applyNumberFormat="1" applyFont="1"/>
    <xf numFmtId="3" fontId="20" fillId="0" borderId="5" xfId="0" applyNumberFormat="1" applyFont="1" applyBorder="1"/>
    <xf numFmtId="3" fontId="28" fillId="0" borderId="5" xfId="0" applyNumberFormat="1" applyFont="1" applyBorder="1"/>
    <xf numFmtId="3" fontId="15" fillId="0" borderId="6" xfId="0" applyNumberFormat="1" applyFont="1" applyBorder="1"/>
    <xf numFmtId="3" fontId="22" fillId="0" borderId="5" xfId="0" applyNumberFormat="1" applyFont="1" applyBorder="1"/>
    <xf numFmtId="3" fontId="1" fillId="0" borderId="5" xfId="0" applyNumberFormat="1" applyFont="1" applyBorder="1"/>
    <xf numFmtId="0" fontId="18" fillId="0" borderId="5" xfId="0" applyFont="1" applyBorder="1"/>
    <xf numFmtId="0" fontId="26" fillId="0" borderId="5" xfId="0" applyFont="1" applyBorder="1"/>
    <xf numFmtId="0" fontId="24" fillId="0" borderId="5" xfId="0" applyFont="1" applyBorder="1"/>
    <xf numFmtId="3" fontId="21" fillId="0" borderId="8" xfId="0" applyNumberFormat="1" applyFont="1" applyBorder="1"/>
    <xf numFmtId="3" fontId="29" fillId="0" borderId="8" xfId="0" applyNumberFormat="1" applyFont="1" applyBorder="1"/>
    <xf numFmtId="3" fontId="25" fillId="0" borderId="8" xfId="0" applyNumberFormat="1" applyFont="1" applyBorder="1"/>
    <xf numFmtId="3" fontId="17" fillId="0" borderId="9" xfId="0" applyNumberFormat="1" applyFont="1" applyBorder="1"/>
    <xf numFmtId="3" fontId="2" fillId="4" borderId="2" xfId="0" applyNumberFormat="1" applyFont="1" applyFill="1" applyBorder="1" applyAlignment="1">
      <alignment wrapText="1"/>
    </xf>
    <xf numFmtId="3" fontId="4" fillId="4" borderId="2" xfId="0" applyNumberFormat="1" applyFont="1" applyFill="1" applyBorder="1" applyAlignment="1">
      <alignment wrapText="1"/>
    </xf>
    <xf numFmtId="3" fontId="19" fillId="4" borderId="2" xfId="0" applyNumberFormat="1" applyFont="1" applyFill="1" applyBorder="1" applyAlignment="1">
      <alignment wrapText="1"/>
    </xf>
    <xf numFmtId="3" fontId="27" fillId="4" borderId="2" xfId="0" applyNumberFormat="1" applyFont="1" applyFill="1" applyBorder="1" applyAlignment="1">
      <alignment wrapText="1"/>
    </xf>
    <xf numFmtId="3" fontId="2" fillId="4" borderId="3" xfId="0" applyNumberFormat="1" applyFont="1" applyFill="1" applyBorder="1" applyAlignment="1">
      <alignment wrapText="1"/>
    </xf>
    <xf numFmtId="3" fontId="32" fillId="0" borderId="5" xfId="0" applyNumberFormat="1" applyFont="1" applyBorder="1"/>
    <xf numFmtId="14" fontId="0" fillId="0" borderId="0" xfId="0" applyNumberFormat="1"/>
    <xf numFmtId="14" fontId="14" fillId="0" borderId="0" xfId="0" applyNumberFormat="1" applyFont="1"/>
    <xf numFmtId="0" fontId="13" fillId="0" borderId="0" xfId="0" applyFont="1"/>
    <xf numFmtId="14" fontId="13" fillId="0" borderId="0" xfId="0" applyNumberFormat="1" applyFont="1"/>
    <xf numFmtId="0" fontId="15" fillId="0" borderId="0" xfId="0" applyFont="1"/>
    <xf numFmtId="14" fontId="15" fillId="0" borderId="0" xfId="0" applyNumberFormat="1" applyFont="1"/>
    <xf numFmtId="0" fontId="10" fillId="3" borderId="4" xfId="0" applyFont="1" applyFill="1" applyBorder="1"/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/>
    <xf numFmtId="0" fontId="10" fillId="3" borderId="6" xfId="0" applyFont="1" applyFill="1" applyBorder="1"/>
    <xf numFmtId="3" fontId="2" fillId="0" borderId="8" xfId="0" applyNumberFormat="1" applyFont="1" applyBorder="1"/>
    <xf numFmtId="3" fontId="19" fillId="0" borderId="2" xfId="0" applyNumberFormat="1" applyFont="1" applyBorder="1" applyAlignment="1">
      <alignment wrapText="1"/>
    </xf>
    <xf numFmtId="3" fontId="27" fillId="0" borderId="2" xfId="0" applyNumberFormat="1" applyFont="1" applyBorder="1" applyAlignment="1">
      <alignment wrapText="1"/>
    </xf>
    <xf numFmtId="0" fontId="13" fillId="0" borderId="6" xfId="0" applyFont="1" applyBorder="1"/>
    <xf numFmtId="14" fontId="13" fillId="0" borderId="6" xfId="0" applyNumberFormat="1" applyFont="1" applyBorder="1"/>
    <xf numFmtId="0" fontId="3" fillId="0" borderId="4" xfId="0" applyFont="1" applyBorder="1"/>
    <xf numFmtId="0" fontId="15" fillId="0" borderId="6" xfId="0" applyFont="1" applyBorder="1"/>
    <xf numFmtId="14" fontId="15" fillId="0" borderId="6" xfId="0" applyNumberFormat="1" applyFont="1" applyBorder="1"/>
    <xf numFmtId="0" fontId="1" fillId="0" borderId="5" xfId="0" applyFont="1" applyBorder="1"/>
    <xf numFmtId="0" fontId="23" fillId="0" borderId="6" xfId="0" applyFont="1" applyBorder="1"/>
    <xf numFmtId="3" fontId="3" fillId="0" borderId="5" xfId="0" applyNumberFormat="1" applyFont="1" applyBorder="1"/>
    <xf numFmtId="3" fontId="33" fillId="0" borderId="8" xfId="0" applyNumberFormat="1" applyFont="1" applyBorder="1"/>
    <xf numFmtId="3" fontId="33" fillId="0" borderId="13" xfId="0" applyNumberFormat="1" applyFont="1" applyBorder="1"/>
    <xf numFmtId="3" fontId="6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ONTASELB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5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\ASELBYTONTINE\ASELBYTONTINE10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100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MOUVEMENT2018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MOUVEMENT201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UXFINEXERCICE2017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AUTREMVTONT25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AUTREMOUV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>
        <row r="5">
          <cell r="D5">
            <v>355097</v>
          </cell>
          <cell r="E5">
            <v>201.53421177616366</v>
          </cell>
        </row>
        <row r="6">
          <cell r="D6">
            <v>51993</v>
          </cell>
          <cell r="E6">
            <v>267.87817756519149</v>
          </cell>
          <cell r="R6">
            <v>0</v>
          </cell>
        </row>
        <row r="7">
          <cell r="D7">
            <v>2720</v>
          </cell>
          <cell r="E7">
            <v>241.61607852882</v>
          </cell>
          <cell r="L7">
            <v>3000</v>
          </cell>
          <cell r="R7">
            <v>0</v>
          </cell>
        </row>
        <row r="8">
          <cell r="D8">
            <v>5874</v>
          </cell>
          <cell r="E8">
            <v>243.40612154225582</v>
          </cell>
          <cell r="L8">
            <v>3000</v>
          </cell>
          <cell r="R8">
            <v>0</v>
          </cell>
        </row>
        <row r="9">
          <cell r="D9">
            <v>2570</v>
          </cell>
          <cell r="E9">
            <v>241.53094648949997</v>
          </cell>
          <cell r="L9">
            <v>3000</v>
          </cell>
          <cell r="R9">
            <v>0</v>
          </cell>
        </row>
        <row r="10">
          <cell r="D10">
            <v>2697</v>
          </cell>
          <cell r="E10">
            <v>241.60302494945759</v>
          </cell>
          <cell r="L10">
            <v>3000</v>
          </cell>
          <cell r="R10">
            <v>0</v>
          </cell>
        </row>
        <row r="11">
          <cell r="D11">
            <v>0</v>
          </cell>
        </row>
        <row r="12">
          <cell r="D12">
            <v>635540</v>
          </cell>
          <cell r="E12">
            <v>600.77112601216083</v>
          </cell>
          <cell r="L12">
            <v>3000</v>
          </cell>
          <cell r="R12">
            <v>0</v>
          </cell>
        </row>
        <row r="13">
          <cell r="D13">
            <v>2746</v>
          </cell>
          <cell r="E13">
            <v>241.63083474896879</v>
          </cell>
          <cell r="L13">
            <v>3000</v>
          </cell>
          <cell r="R13">
            <v>0</v>
          </cell>
        </row>
        <row r="14">
          <cell r="D14">
            <v>53748</v>
          </cell>
          <cell r="E14">
            <v>270.57686321163646</v>
          </cell>
          <cell r="L14">
            <v>3000</v>
          </cell>
          <cell r="R14">
            <v>0</v>
          </cell>
        </row>
        <row r="15">
          <cell r="D15">
            <v>2522</v>
          </cell>
          <cell r="E15">
            <v>241.50370423691754</v>
          </cell>
          <cell r="L15">
            <v>3000</v>
          </cell>
          <cell r="R15">
            <v>0</v>
          </cell>
        </row>
        <row r="16">
          <cell r="E16">
            <v>277.53044818329647</v>
          </cell>
          <cell r="L16">
            <v>69000</v>
          </cell>
          <cell r="R16">
            <v>0</v>
          </cell>
        </row>
        <row r="17">
          <cell r="D17">
            <v>260</v>
          </cell>
          <cell r="E17">
            <v>28.524908641497916</v>
          </cell>
          <cell r="R17">
            <v>0</v>
          </cell>
        </row>
        <row r="18">
          <cell r="D18">
            <v>112685</v>
          </cell>
          <cell r="E18">
            <v>304.02637655433369</v>
          </cell>
          <cell r="L18">
            <v>3000</v>
          </cell>
          <cell r="R18">
            <v>0</v>
          </cell>
        </row>
        <row r="19">
          <cell r="D19">
            <v>177</v>
          </cell>
          <cell r="E19">
            <v>204.41735017446865</v>
          </cell>
          <cell r="L19">
            <v>3000</v>
          </cell>
          <cell r="R19">
            <v>0</v>
          </cell>
        </row>
        <row r="20">
          <cell r="D20">
            <v>705425</v>
          </cell>
          <cell r="E20">
            <v>1209.6837127179606</v>
          </cell>
          <cell r="L20">
            <v>1006000</v>
          </cell>
          <cell r="R20">
            <v>0</v>
          </cell>
        </row>
        <row r="21">
          <cell r="D21">
            <v>2357</v>
          </cell>
          <cell r="E21">
            <v>241.4100589936655</v>
          </cell>
          <cell r="L21">
            <v>3000</v>
          </cell>
          <cell r="R21">
            <v>0</v>
          </cell>
        </row>
        <row r="22">
          <cell r="D22">
            <v>3048</v>
          </cell>
          <cell r="E22">
            <v>241.80223392146644</v>
          </cell>
          <cell r="L22">
            <v>3000</v>
          </cell>
          <cell r="R22">
            <v>0</v>
          </cell>
        </row>
        <row r="23">
          <cell r="D23">
            <v>2686</v>
          </cell>
          <cell r="E23">
            <v>241.59678193324078</v>
          </cell>
          <cell r="L23">
            <v>3000</v>
          </cell>
          <cell r="R23">
            <v>0</v>
          </cell>
        </row>
        <row r="24">
          <cell r="D24">
            <v>3818</v>
          </cell>
          <cell r="E24">
            <v>242.2392450566426</v>
          </cell>
          <cell r="L24">
            <v>3000</v>
          </cell>
          <cell r="R24">
            <v>0</v>
          </cell>
        </row>
        <row r="25">
          <cell r="D25">
            <v>2652</v>
          </cell>
          <cell r="E25">
            <v>241.57748533766159</v>
          </cell>
          <cell r="L25">
            <v>3000</v>
          </cell>
          <cell r="R25">
            <v>0</v>
          </cell>
        </row>
        <row r="26">
          <cell r="D26">
            <v>2741</v>
          </cell>
          <cell r="E26">
            <v>241.62799701432479</v>
          </cell>
          <cell r="L26">
            <v>3000</v>
          </cell>
          <cell r="R26">
            <v>0</v>
          </cell>
        </row>
        <row r="27">
          <cell r="D27">
            <v>2818</v>
          </cell>
          <cell r="E27">
            <v>244.50943277184339</v>
          </cell>
          <cell r="L27">
            <v>8000</v>
          </cell>
          <cell r="R27">
            <v>12000</v>
          </cell>
        </row>
        <row r="28">
          <cell r="D28">
            <v>0</v>
          </cell>
          <cell r="E28">
            <v>238.36971009608285</v>
          </cell>
        </row>
        <row r="29">
          <cell r="D29">
            <v>3250</v>
          </cell>
          <cell r="E29">
            <v>241.91687840108409</v>
          </cell>
          <cell r="L29">
            <v>3000</v>
          </cell>
          <cell r="R29">
            <v>0</v>
          </cell>
        </row>
        <row r="30">
          <cell r="D30">
            <v>106</v>
          </cell>
          <cell r="E30">
            <v>1.7628007608534126</v>
          </cell>
          <cell r="R30">
            <v>0</v>
          </cell>
        </row>
        <row r="31">
          <cell r="D31">
            <v>40133</v>
          </cell>
          <cell r="E31">
            <v>262.84971177602176</v>
          </cell>
          <cell r="L31">
            <v>3000</v>
          </cell>
          <cell r="R31">
            <v>0</v>
          </cell>
        </row>
        <row r="32">
          <cell r="D32">
            <v>2773</v>
          </cell>
          <cell r="E32">
            <v>241.6461585160464</v>
          </cell>
          <cell r="L32">
            <v>3000</v>
          </cell>
          <cell r="R32">
            <v>0</v>
          </cell>
        </row>
        <row r="33">
          <cell r="D33">
            <v>69808</v>
          </cell>
          <cell r="E33">
            <v>281.39430767456821</v>
          </cell>
          <cell r="L33">
            <v>6000</v>
          </cell>
          <cell r="R33">
            <v>0</v>
          </cell>
        </row>
        <row r="34">
          <cell r="D34">
            <v>2772</v>
          </cell>
          <cell r="E34">
            <v>301.23801849313833</v>
          </cell>
          <cell r="L34">
            <v>108000</v>
          </cell>
          <cell r="R34">
            <v>0</v>
          </cell>
        </row>
        <row r="35">
          <cell r="D35">
            <v>0</v>
          </cell>
        </row>
        <row r="36">
          <cell r="E36">
            <v>0</v>
          </cell>
          <cell r="R36">
            <v>0</v>
          </cell>
        </row>
        <row r="37">
          <cell r="D37">
            <v>0</v>
          </cell>
        </row>
        <row r="38">
          <cell r="D38">
            <v>2474</v>
          </cell>
          <cell r="E38">
            <v>241.47646198433515</v>
          </cell>
          <cell r="L38">
            <v>3000</v>
          </cell>
          <cell r="R38">
            <v>0</v>
          </cell>
        </row>
        <row r="39">
          <cell r="D39">
            <v>6756</v>
          </cell>
          <cell r="E39">
            <v>243.90669793345759</v>
          </cell>
          <cell r="L39">
            <v>3000</v>
          </cell>
          <cell r="R39">
            <v>0</v>
          </cell>
        </row>
        <row r="40">
          <cell r="D40">
            <v>488</v>
          </cell>
          <cell r="E40">
            <v>223.32290591973202</v>
          </cell>
          <cell r="L40">
            <v>3000</v>
          </cell>
          <cell r="R40">
            <v>0</v>
          </cell>
        </row>
        <row r="41">
          <cell r="D41">
            <v>4914</v>
          </cell>
          <cell r="E41">
            <v>242.86127649060762</v>
          </cell>
          <cell r="L41">
            <v>3000</v>
          </cell>
          <cell r="R41">
            <v>0</v>
          </cell>
        </row>
        <row r="42">
          <cell r="D42">
            <v>4528</v>
          </cell>
          <cell r="E42">
            <v>242.64220337609075</v>
          </cell>
          <cell r="L42">
            <v>3000</v>
          </cell>
          <cell r="R42">
            <v>0</v>
          </cell>
        </row>
        <row r="43">
          <cell r="D43">
            <v>105975</v>
          </cell>
          <cell r="E43">
            <v>303.05587130608535</v>
          </cell>
          <cell r="L43">
            <v>8000</v>
          </cell>
          <cell r="R43">
            <v>0</v>
          </cell>
        </row>
        <row r="44">
          <cell r="D44">
            <v>1621</v>
          </cell>
          <cell r="E44">
            <v>223.96593659006265</v>
          </cell>
          <cell r="L44">
            <v>3000</v>
          </cell>
          <cell r="R44">
            <v>0</v>
          </cell>
        </row>
        <row r="45">
          <cell r="D45">
            <v>14843</v>
          </cell>
          <cell r="E45">
            <v>21.477678426585864</v>
          </cell>
          <cell r="R45">
            <v>0</v>
          </cell>
        </row>
        <row r="46">
          <cell r="D46">
            <v>2654</v>
          </cell>
          <cell r="E46">
            <v>241.57862043151917</v>
          </cell>
          <cell r="L46">
            <v>3000</v>
          </cell>
          <cell r="R46">
            <v>0</v>
          </cell>
        </row>
        <row r="47">
          <cell r="D47">
            <v>25832</v>
          </cell>
          <cell r="E47">
            <v>245.54974629233416</v>
          </cell>
          <cell r="L47">
            <v>3000</v>
          </cell>
          <cell r="R47">
            <v>0</v>
          </cell>
        </row>
        <row r="48">
          <cell r="E48">
            <v>1.7026407864005919</v>
          </cell>
          <cell r="L48">
            <v>3000</v>
          </cell>
          <cell r="R48">
            <v>0</v>
          </cell>
        </row>
        <row r="49">
          <cell r="D49">
            <v>2593</v>
          </cell>
          <cell r="E49">
            <v>241.54400006886237</v>
          </cell>
          <cell r="L49">
            <v>3000</v>
          </cell>
          <cell r="R49">
            <v>0</v>
          </cell>
        </row>
        <row r="50">
          <cell r="D50">
            <v>2503</v>
          </cell>
          <cell r="E50">
            <v>241.49292084527033</v>
          </cell>
          <cell r="L50">
            <v>3000</v>
          </cell>
          <cell r="R50">
            <v>0</v>
          </cell>
        </row>
        <row r="51">
          <cell r="D51">
            <v>393982</v>
          </cell>
          <cell r="E51">
            <v>463.67562498504276</v>
          </cell>
          <cell r="L51">
            <v>3000</v>
          </cell>
          <cell r="R51">
            <v>0</v>
          </cell>
        </row>
        <row r="52">
          <cell r="D52">
            <v>883628</v>
          </cell>
          <cell r="E52">
            <v>741.57270848434416</v>
          </cell>
          <cell r="L52">
            <v>3000</v>
          </cell>
          <cell r="R52">
            <v>0</v>
          </cell>
        </row>
      </sheetData>
      <sheetData sheetId="4" refreshError="1">
        <row r="5">
          <cell r="C5">
            <v>0</v>
          </cell>
        </row>
        <row r="6">
          <cell r="C6">
            <v>0</v>
          </cell>
          <cell r="P6">
            <v>0</v>
          </cell>
        </row>
        <row r="7">
          <cell r="C7">
            <v>0</v>
          </cell>
          <cell r="J7">
            <v>3000</v>
          </cell>
          <cell r="P7">
            <v>0</v>
          </cell>
        </row>
        <row r="8">
          <cell r="C8">
            <v>0</v>
          </cell>
          <cell r="J8">
            <v>3000</v>
          </cell>
          <cell r="P8">
            <v>0</v>
          </cell>
        </row>
        <row r="9">
          <cell r="C9">
            <v>0</v>
          </cell>
          <cell r="J9">
            <v>3000</v>
          </cell>
          <cell r="P9">
            <v>0</v>
          </cell>
        </row>
        <row r="10">
          <cell r="C10">
            <v>0</v>
          </cell>
          <cell r="J10">
            <v>3000</v>
          </cell>
          <cell r="P10">
            <v>0</v>
          </cell>
        </row>
        <row r="12">
          <cell r="C12">
            <v>0</v>
          </cell>
          <cell r="J12">
            <v>3000</v>
          </cell>
          <cell r="P12">
            <v>0</v>
          </cell>
        </row>
        <row r="13">
          <cell r="C13">
            <v>0</v>
          </cell>
          <cell r="J13">
            <v>3000</v>
          </cell>
          <cell r="P13">
            <v>0</v>
          </cell>
        </row>
        <row r="14">
          <cell r="C14">
            <v>0</v>
          </cell>
          <cell r="J14">
            <v>3000</v>
          </cell>
          <cell r="P14">
            <v>0</v>
          </cell>
        </row>
        <row r="15">
          <cell r="C15">
            <v>0</v>
          </cell>
          <cell r="J15">
            <v>3000</v>
          </cell>
          <cell r="P15">
            <v>0</v>
          </cell>
        </row>
        <row r="16">
          <cell r="C16">
            <v>0</v>
          </cell>
          <cell r="J16">
            <v>3000</v>
          </cell>
          <cell r="P16">
            <v>0</v>
          </cell>
        </row>
        <row r="17">
          <cell r="C17">
            <v>0</v>
          </cell>
          <cell r="P17">
            <v>0</v>
          </cell>
        </row>
        <row r="18">
          <cell r="C18">
            <v>0</v>
          </cell>
          <cell r="J18">
            <v>3000</v>
          </cell>
          <cell r="P18">
            <v>0</v>
          </cell>
        </row>
        <row r="19">
          <cell r="C19">
            <v>0</v>
          </cell>
          <cell r="J19">
            <v>3000</v>
          </cell>
          <cell r="P19">
            <v>0</v>
          </cell>
        </row>
        <row r="20">
          <cell r="C20">
            <v>0</v>
          </cell>
          <cell r="J20">
            <v>6000</v>
          </cell>
          <cell r="P20">
            <v>0</v>
          </cell>
        </row>
        <row r="21">
          <cell r="C21">
            <v>0</v>
          </cell>
          <cell r="J21">
            <v>3000</v>
          </cell>
          <cell r="P21">
            <v>0</v>
          </cell>
        </row>
        <row r="22">
          <cell r="C22">
            <v>0</v>
          </cell>
          <cell r="J22">
            <v>3000</v>
          </cell>
          <cell r="P22">
            <v>0</v>
          </cell>
        </row>
        <row r="23">
          <cell r="C23">
            <v>0</v>
          </cell>
          <cell r="J23">
            <v>3000</v>
          </cell>
          <cell r="P23">
            <v>0</v>
          </cell>
        </row>
        <row r="24">
          <cell r="C24">
            <v>0</v>
          </cell>
          <cell r="J24">
            <v>3000</v>
          </cell>
          <cell r="P24">
            <v>0</v>
          </cell>
        </row>
        <row r="25">
          <cell r="C25">
            <v>0</v>
          </cell>
          <cell r="J25">
            <v>3000</v>
          </cell>
          <cell r="P25">
            <v>0</v>
          </cell>
        </row>
        <row r="26">
          <cell r="C26">
            <v>0</v>
          </cell>
          <cell r="J26">
            <v>3000</v>
          </cell>
          <cell r="P26">
            <v>0</v>
          </cell>
        </row>
        <row r="27">
          <cell r="C27">
            <v>0</v>
          </cell>
          <cell r="J27">
            <v>8000</v>
          </cell>
          <cell r="P27">
            <v>0</v>
          </cell>
        </row>
        <row r="28">
          <cell r="C28">
            <v>0</v>
          </cell>
        </row>
        <row r="29">
          <cell r="C29">
            <v>0</v>
          </cell>
          <cell r="J29">
            <v>12000</v>
          </cell>
          <cell r="P29">
            <v>0</v>
          </cell>
        </row>
        <row r="30">
          <cell r="C30">
            <v>0</v>
          </cell>
          <cell r="P30">
            <v>0</v>
          </cell>
        </row>
        <row r="31">
          <cell r="C31">
            <v>0</v>
          </cell>
          <cell r="J31">
            <v>3000</v>
          </cell>
          <cell r="P31">
            <v>0</v>
          </cell>
        </row>
        <row r="32">
          <cell r="C32">
            <v>0</v>
          </cell>
          <cell r="J32">
            <v>8000</v>
          </cell>
          <cell r="P32">
            <v>0</v>
          </cell>
        </row>
        <row r="33">
          <cell r="C33">
            <v>0</v>
          </cell>
          <cell r="J33">
            <v>8000</v>
          </cell>
          <cell r="P33">
            <v>0</v>
          </cell>
        </row>
        <row r="34">
          <cell r="C34">
            <v>0</v>
          </cell>
          <cell r="J34">
            <v>8000</v>
          </cell>
          <cell r="P34">
            <v>0</v>
          </cell>
        </row>
        <row r="36">
          <cell r="C36">
            <v>0</v>
          </cell>
          <cell r="P36">
            <v>0</v>
          </cell>
        </row>
        <row r="38">
          <cell r="C38">
            <v>0</v>
          </cell>
          <cell r="J38">
            <v>3000</v>
          </cell>
          <cell r="P38">
            <v>0</v>
          </cell>
        </row>
        <row r="39">
          <cell r="C39">
            <v>0</v>
          </cell>
          <cell r="J39">
            <v>3000</v>
          </cell>
          <cell r="P39">
            <v>0</v>
          </cell>
        </row>
        <row r="40">
          <cell r="C40">
            <v>0</v>
          </cell>
          <cell r="J40">
            <v>3000</v>
          </cell>
          <cell r="P40">
            <v>0</v>
          </cell>
        </row>
        <row r="41">
          <cell r="C41">
            <v>0</v>
          </cell>
          <cell r="J41">
            <v>3000</v>
          </cell>
          <cell r="P41">
            <v>0</v>
          </cell>
        </row>
        <row r="42">
          <cell r="C42">
            <v>0</v>
          </cell>
          <cell r="J42">
            <v>3000</v>
          </cell>
          <cell r="P42">
            <v>0</v>
          </cell>
        </row>
        <row r="43">
          <cell r="C43">
            <v>0</v>
          </cell>
          <cell r="J43">
            <v>13000</v>
          </cell>
          <cell r="P43">
            <v>0</v>
          </cell>
        </row>
        <row r="44">
          <cell r="C44">
            <v>0</v>
          </cell>
          <cell r="J44">
            <v>3000</v>
          </cell>
          <cell r="P44">
            <v>0</v>
          </cell>
        </row>
        <row r="45">
          <cell r="C45">
            <v>0</v>
          </cell>
          <cell r="P45">
            <v>0</v>
          </cell>
        </row>
        <row r="46">
          <cell r="C46">
            <v>0</v>
          </cell>
          <cell r="J46">
            <v>3000</v>
          </cell>
          <cell r="P46">
            <v>0</v>
          </cell>
        </row>
        <row r="47">
          <cell r="C47">
            <v>0</v>
          </cell>
          <cell r="J47">
            <v>43000</v>
          </cell>
          <cell r="P47">
            <v>0</v>
          </cell>
        </row>
        <row r="48">
          <cell r="C48">
            <v>0</v>
          </cell>
          <cell r="J48">
            <v>3000</v>
          </cell>
          <cell r="P48">
            <v>0</v>
          </cell>
        </row>
        <row r="49">
          <cell r="C49">
            <v>0</v>
          </cell>
          <cell r="J49">
            <v>3000</v>
          </cell>
          <cell r="P49">
            <v>0</v>
          </cell>
        </row>
        <row r="50">
          <cell r="C50">
            <v>0</v>
          </cell>
          <cell r="J50">
            <v>3000</v>
          </cell>
          <cell r="P50">
            <v>0</v>
          </cell>
        </row>
        <row r="51">
          <cell r="C51">
            <v>0</v>
          </cell>
          <cell r="J51">
            <v>3000</v>
          </cell>
          <cell r="P51">
            <v>0</v>
          </cell>
        </row>
        <row r="52">
          <cell r="C52">
            <v>0</v>
          </cell>
          <cell r="J52">
            <v>203000</v>
          </cell>
          <cell r="P52">
            <v>0</v>
          </cell>
        </row>
      </sheetData>
      <sheetData sheetId="5" refreshError="1">
        <row r="5">
          <cell r="C5">
            <v>3926.9222601773699</v>
          </cell>
        </row>
        <row r="6">
          <cell r="C6">
            <v>5219.6436983356589</v>
          </cell>
          <cell r="P6">
            <v>0</v>
          </cell>
        </row>
        <row r="7">
          <cell r="C7">
            <v>4774.2377814311385</v>
          </cell>
          <cell r="J7">
            <v>3000</v>
          </cell>
          <cell r="P7">
            <v>0</v>
          </cell>
        </row>
        <row r="8">
          <cell r="C8">
            <v>4809.1170195227005</v>
          </cell>
          <cell r="J8">
            <v>3000</v>
          </cell>
          <cell r="P8">
            <v>0</v>
          </cell>
        </row>
        <row r="9">
          <cell r="C9">
            <v>4849.9461803835575</v>
          </cell>
          <cell r="J9">
            <v>10000</v>
          </cell>
          <cell r="P9">
            <v>120000</v>
          </cell>
        </row>
        <row r="10">
          <cell r="C10">
            <v>4818.1932641155263</v>
          </cell>
          <cell r="J10">
            <v>7000</v>
          </cell>
          <cell r="P10">
            <v>0</v>
          </cell>
        </row>
        <row r="12">
          <cell r="C12">
            <v>11772.424036695033</v>
          </cell>
          <cell r="J12">
            <v>3000</v>
          </cell>
          <cell r="P12">
            <v>0</v>
          </cell>
        </row>
        <row r="13">
          <cell r="C13">
            <v>4774.5253084414053</v>
          </cell>
          <cell r="J13">
            <v>3000</v>
          </cell>
          <cell r="P13">
            <v>0</v>
          </cell>
        </row>
        <row r="14">
          <cell r="C14">
            <v>5338.5427152726825</v>
          </cell>
          <cell r="J14">
            <v>3000</v>
          </cell>
          <cell r="P14">
            <v>0</v>
          </cell>
        </row>
        <row r="15">
          <cell r="C15">
            <v>4772.0481526606472</v>
          </cell>
          <cell r="J15">
            <v>3000</v>
          </cell>
          <cell r="P15">
            <v>0</v>
          </cell>
        </row>
        <row r="16">
          <cell r="C16">
            <v>5474.0342894952</v>
          </cell>
          <cell r="J16">
            <v>3000</v>
          </cell>
          <cell r="P16">
            <v>0</v>
          </cell>
        </row>
        <row r="17">
          <cell r="C17">
            <v>555.81182830751766</v>
          </cell>
          <cell r="P17">
            <v>0</v>
          </cell>
        </row>
        <row r="18">
          <cell r="C18">
            <v>5990.3111538910698</v>
          </cell>
          <cell r="J18">
            <v>3000</v>
          </cell>
          <cell r="P18">
            <v>0</v>
          </cell>
        </row>
        <row r="19">
          <cell r="C19">
            <v>4049.4153647427256</v>
          </cell>
          <cell r="J19">
            <v>3000</v>
          </cell>
          <cell r="P19">
            <v>0</v>
          </cell>
        </row>
        <row r="20">
          <cell r="C20">
            <v>23703.48557193904</v>
          </cell>
          <cell r="J20">
            <v>6000</v>
          </cell>
          <cell r="P20">
            <v>0</v>
          </cell>
        </row>
        <row r="21">
          <cell r="C21">
            <v>4770.2234620185718</v>
          </cell>
          <cell r="J21">
            <v>3000</v>
          </cell>
          <cell r="P21">
            <v>0</v>
          </cell>
        </row>
        <row r="22">
          <cell r="C22">
            <v>4777.8650452529628</v>
          </cell>
          <cell r="J22">
            <v>3000</v>
          </cell>
          <cell r="P22">
            <v>0</v>
          </cell>
        </row>
        <row r="23">
          <cell r="C23">
            <v>4773.8617845715589</v>
          </cell>
          <cell r="J23">
            <v>3000</v>
          </cell>
          <cell r="P23">
            <v>0</v>
          </cell>
        </row>
        <row r="24">
          <cell r="C24">
            <v>4786.3802682493169</v>
          </cell>
          <cell r="J24">
            <v>3000</v>
          </cell>
          <cell r="P24">
            <v>0</v>
          </cell>
        </row>
        <row r="25">
          <cell r="C25">
            <v>4773.4857877119803</v>
          </cell>
          <cell r="J25">
            <v>3000</v>
          </cell>
          <cell r="P25">
            <v>0</v>
          </cell>
        </row>
        <row r="26">
          <cell r="C26">
            <v>4774.4700147855847</v>
          </cell>
          <cell r="J26">
            <v>3000</v>
          </cell>
          <cell r="P26">
            <v>0</v>
          </cell>
        </row>
        <row r="27">
          <cell r="C27">
            <v>4941.1397766586097</v>
          </cell>
          <cell r="J27">
            <v>8000</v>
          </cell>
          <cell r="P27">
            <v>0</v>
          </cell>
        </row>
        <row r="28">
          <cell r="C28">
            <v>4644.6670889207608</v>
          </cell>
        </row>
        <row r="29">
          <cell r="C29">
            <v>4879.5710343257242</v>
          </cell>
          <cell r="J29">
            <v>3000</v>
          </cell>
          <cell r="P29">
            <v>0</v>
          </cell>
        </row>
        <row r="30">
          <cell r="C30">
            <v>100.6631692474282</v>
          </cell>
          <cell r="P30">
            <v>0</v>
          </cell>
        </row>
        <row r="31">
          <cell r="C31">
            <v>5187.9780904735017</v>
          </cell>
          <cell r="J31">
            <v>3000</v>
          </cell>
          <cell r="P31">
            <v>0</v>
          </cell>
        </row>
        <row r="32">
          <cell r="C32">
            <v>4830.0861860592886</v>
          </cell>
          <cell r="J32">
            <v>3000</v>
          </cell>
          <cell r="P32">
            <v>0</v>
          </cell>
        </row>
        <row r="33">
          <cell r="C33">
            <v>5637.7417982626957</v>
          </cell>
          <cell r="J33">
            <v>6000</v>
          </cell>
          <cell r="P33">
            <v>0</v>
          </cell>
        </row>
        <row r="34">
          <cell r="C34">
            <v>6046.5041914347667</v>
          </cell>
          <cell r="J34">
            <v>8000</v>
          </cell>
          <cell r="P34">
            <v>0</v>
          </cell>
        </row>
        <row r="36">
          <cell r="C36">
            <v>0</v>
          </cell>
          <cell r="P36">
            <v>0</v>
          </cell>
        </row>
        <row r="38">
          <cell r="C38">
            <v>4771.5173335647705</v>
          </cell>
          <cell r="J38">
            <v>3000</v>
          </cell>
          <cell r="P38">
            <v>0</v>
          </cell>
        </row>
        <row r="39">
          <cell r="C39">
            <v>4818.8708204094346</v>
          </cell>
          <cell r="J39">
            <v>3000</v>
          </cell>
          <cell r="P39">
            <v>0</v>
          </cell>
        </row>
        <row r="40">
          <cell r="C40">
            <v>4417.7927585499629</v>
          </cell>
          <cell r="J40">
            <v>3000</v>
          </cell>
          <cell r="P40">
            <v>0</v>
          </cell>
        </row>
        <row r="41">
          <cell r="C41">
            <v>4798.5006376051679</v>
          </cell>
          <cell r="J41">
            <v>3000</v>
          </cell>
          <cell r="P41">
            <v>0</v>
          </cell>
        </row>
        <row r="42">
          <cell r="C42">
            <v>4794.2319673758266</v>
          </cell>
          <cell r="J42">
            <v>3000</v>
          </cell>
          <cell r="P42">
            <v>0</v>
          </cell>
        </row>
        <row r="43">
          <cell r="C43">
            <v>6192.4498911062738</v>
          </cell>
          <cell r="J43">
            <v>13000</v>
          </cell>
          <cell r="P43">
            <v>0</v>
          </cell>
        </row>
        <row r="44">
          <cell r="C44">
            <v>4430.3223009588846</v>
          </cell>
          <cell r="J44">
            <v>3000</v>
          </cell>
          <cell r="P44">
            <v>0</v>
          </cell>
        </row>
        <row r="45">
          <cell r="C45">
            <v>484.8103136946674</v>
          </cell>
          <cell r="P45">
            <v>0</v>
          </cell>
        </row>
        <row r="46">
          <cell r="C46">
            <v>4773.5079051743087</v>
          </cell>
          <cell r="J46">
            <v>3000</v>
          </cell>
          <cell r="P46">
            <v>0</v>
          </cell>
        </row>
        <row r="47">
          <cell r="C47">
            <v>5292.9841821411137</v>
          </cell>
          <cell r="J47">
            <v>3000</v>
          </cell>
          <cell r="P47">
            <v>0</v>
          </cell>
        </row>
        <row r="48">
          <cell r="C48">
            <v>99.490943744033899</v>
          </cell>
          <cell r="J48">
            <v>3000</v>
          </cell>
          <cell r="P48">
            <v>0</v>
          </cell>
        </row>
        <row r="49">
          <cell r="C49">
            <v>4772.8333225732986</v>
          </cell>
          <cell r="J49">
            <v>3000</v>
          </cell>
          <cell r="P49">
            <v>120000</v>
          </cell>
        </row>
        <row r="50">
          <cell r="C50">
            <v>4771.8380367685295</v>
          </cell>
          <cell r="J50">
            <v>3000</v>
          </cell>
          <cell r="P50">
            <v>0</v>
          </cell>
        </row>
        <row r="51">
          <cell r="C51">
            <v>9101.0990541580777</v>
          </cell>
          <cell r="J51">
            <v>3000</v>
          </cell>
          <cell r="P51">
            <v>0</v>
          </cell>
        </row>
        <row r="52">
          <cell r="C52">
            <v>16726.454208791634</v>
          </cell>
          <cell r="J52">
            <v>3000</v>
          </cell>
          <cell r="P52">
            <v>0</v>
          </cell>
        </row>
      </sheetData>
      <sheetData sheetId="6" refreshError="1">
        <row r="5">
          <cell r="C5">
            <v>3115.4276531260366</v>
          </cell>
        </row>
        <row r="6">
          <cell r="C6">
            <v>4141.0094827101257</v>
          </cell>
          <cell r="P6">
            <v>0</v>
          </cell>
        </row>
        <row r="7">
          <cell r="C7">
            <v>3813.6641334973669</v>
          </cell>
          <cell r="J7">
            <v>3000</v>
          </cell>
          <cell r="P7">
            <v>0</v>
          </cell>
        </row>
        <row r="8">
          <cell r="C8">
            <v>3841.3356114821422</v>
          </cell>
          <cell r="J8">
            <v>3000</v>
          </cell>
          <cell r="P8">
            <v>0</v>
          </cell>
        </row>
        <row r="9">
          <cell r="C9">
            <v>3873.7274665717555</v>
          </cell>
          <cell r="J9">
            <v>3000</v>
          </cell>
          <cell r="P9">
            <v>0</v>
          </cell>
        </row>
        <row r="10">
          <cell r="C10">
            <v>3848.5362590930645</v>
          </cell>
          <cell r="J10">
            <v>3000</v>
          </cell>
          <cell r="P10">
            <v>0</v>
          </cell>
        </row>
        <row r="12">
          <cell r="C12">
            <v>9365.6821101381665</v>
          </cell>
          <cell r="J12">
            <v>3000</v>
          </cell>
          <cell r="P12">
            <v>0</v>
          </cell>
        </row>
        <row r="13">
          <cell r="C13">
            <v>3813.8922433349085</v>
          </cell>
          <cell r="J13">
            <v>3000</v>
          </cell>
          <cell r="P13">
            <v>0</v>
          </cell>
        </row>
        <row r="14">
          <cell r="C14">
            <v>4261.3560100373425</v>
          </cell>
          <cell r="J14">
            <v>3000</v>
          </cell>
          <cell r="P14">
            <v>0</v>
          </cell>
        </row>
        <row r="15">
          <cell r="C15">
            <v>3811.9269893499404</v>
          </cell>
          <cell r="J15">
            <v>3000</v>
          </cell>
          <cell r="P15">
            <v>0</v>
          </cell>
        </row>
        <row r="16">
          <cell r="C16">
            <v>4368.8483842508676</v>
          </cell>
          <cell r="J16">
            <v>3000</v>
          </cell>
          <cell r="P16">
            <v>0</v>
          </cell>
        </row>
        <row r="17">
          <cell r="C17">
            <v>440.95386287722681</v>
          </cell>
          <cell r="P17">
            <v>0</v>
          </cell>
        </row>
        <row r="18">
          <cell r="C18">
            <v>4778.4371444662138</v>
          </cell>
          <cell r="J18">
            <v>3000</v>
          </cell>
          <cell r="P18">
            <v>0</v>
          </cell>
        </row>
        <row r="19">
          <cell r="C19">
            <v>3238.6255534225152</v>
          </cell>
          <cell r="J19">
            <v>3000</v>
          </cell>
          <cell r="P19">
            <v>0</v>
          </cell>
        </row>
        <row r="20">
          <cell r="C20">
            <v>18857.21943641191</v>
          </cell>
          <cell r="J20">
            <v>6000</v>
          </cell>
          <cell r="P20">
            <v>0</v>
          </cell>
        </row>
        <row r="21">
          <cell r="C21">
            <v>3810.4793692270846</v>
          </cell>
          <cell r="J21">
            <v>3000</v>
          </cell>
          <cell r="P21">
            <v>0</v>
          </cell>
        </row>
        <row r="22">
          <cell r="C22">
            <v>3816.5418268324993</v>
          </cell>
          <cell r="J22">
            <v>3000</v>
          </cell>
          <cell r="P22">
            <v>0</v>
          </cell>
        </row>
        <row r="23">
          <cell r="C23">
            <v>3813.3658360175059</v>
          </cell>
          <cell r="J23">
            <v>3000</v>
          </cell>
          <cell r="P23">
            <v>0</v>
          </cell>
        </row>
        <row r="24">
          <cell r="C24">
            <v>3823.2973874058271</v>
          </cell>
          <cell r="J24">
            <v>3000</v>
          </cell>
          <cell r="P24">
            <v>0</v>
          </cell>
        </row>
        <row r="25">
          <cell r="C25">
            <v>3813.0675385376449</v>
          </cell>
          <cell r="J25">
            <v>3000</v>
          </cell>
          <cell r="P25">
            <v>0</v>
          </cell>
        </row>
        <row r="26">
          <cell r="C26">
            <v>3813.8483760584581</v>
          </cell>
          <cell r="J26">
            <v>3000</v>
          </cell>
          <cell r="P26">
            <v>0</v>
          </cell>
        </row>
        <row r="27">
          <cell r="C27">
            <v>3989.4391209377955</v>
          </cell>
          <cell r="J27">
            <v>8000</v>
          </cell>
          <cell r="P27">
            <v>72000</v>
          </cell>
        </row>
        <row r="28">
          <cell r="C28">
            <v>3684.8512218152659</v>
          </cell>
        </row>
        <row r="29">
          <cell r="C29">
            <v>3897.2303737026646</v>
          </cell>
          <cell r="J29">
            <v>3000</v>
          </cell>
          <cell r="P29">
            <v>0</v>
          </cell>
        </row>
        <row r="30">
          <cell r="C30">
            <v>192.60534896075251</v>
          </cell>
          <cell r="P30">
            <v>0</v>
          </cell>
        </row>
        <row r="31">
          <cell r="C31">
            <v>4141.9054162634975</v>
          </cell>
          <cell r="J31">
            <v>3000</v>
          </cell>
          <cell r="P31">
            <v>0</v>
          </cell>
        </row>
        <row r="32">
          <cell r="C32">
            <v>3857.9715204619492</v>
          </cell>
          <cell r="J32">
            <v>3000</v>
          </cell>
          <cell r="P32">
            <v>0</v>
          </cell>
        </row>
        <row r="33">
          <cell r="C33">
            <v>4524.7437728222121</v>
          </cell>
          <cell r="J33">
            <v>6000</v>
          </cell>
          <cell r="P33">
            <v>0</v>
          </cell>
        </row>
        <row r="34">
          <cell r="C34">
            <v>4866.381070998088</v>
          </cell>
          <cell r="J34">
            <v>8000</v>
          </cell>
          <cell r="P34">
            <v>0</v>
          </cell>
        </row>
        <row r="36">
          <cell r="C36">
            <v>0</v>
          </cell>
          <cell r="P36">
            <v>0</v>
          </cell>
        </row>
        <row r="38">
          <cell r="C38">
            <v>3811.5058634960183</v>
          </cell>
          <cell r="J38">
            <v>3000</v>
          </cell>
          <cell r="P38">
            <v>0</v>
          </cell>
        </row>
        <row r="39">
          <cell r="C39">
            <v>3849.0737990479538</v>
          </cell>
          <cell r="J39">
            <v>3000</v>
          </cell>
          <cell r="P39">
            <v>0</v>
          </cell>
        </row>
        <row r="40">
          <cell r="C40">
            <v>3530.8781225889161</v>
          </cell>
          <cell r="J40">
            <v>3000</v>
          </cell>
          <cell r="P40">
            <v>0</v>
          </cell>
        </row>
        <row r="41">
          <cell r="C41">
            <v>3832.913094403707</v>
          </cell>
          <cell r="J41">
            <v>3000</v>
          </cell>
          <cell r="P41">
            <v>0</v>
          </cell>
        </row>
        <row r="42">
          <cell r="C42">
            <v>3829.5265406617532</v>
          </cell>
          <cell r="J42">
            <v>3000</v>
          </cell>
          <cell r="P42">
            <v>120000</v>
          </cell>
        </row>
        <row r="43">
          <cell r="C43">
            <v>5025.5303606638972</v>
          </cell>
          <cell r="J43">
            <v>13000</v>
          </cell>
          <cell r="P43">
            <v>0</v>
          </cell>
        </row>
        <row r="44">
          <cell r="C44">
            <v>3540.8184474325271</v>
          </cell>
          <cell r="J44">
            <v>3000</v>
          </cell>
          <cell r="P44">
            <v>0</v>
          </cell>
        </row>
        <row r="45">
          <cell r="C45">
            <v>410.64261596393914</v>
          </cell>
          <cell r="P45">
            <v>0</v>
          </cell>
        </row>
        <row r="46">
          <cell r="C46">
            <v>3813.0850854482255</v>
          </cell>
          <cell r="J46">
            <v>3000</v>
          </cell>
          <cell r="P46">
            <v>0</v>
          </cell>
        </row>
        <row r="47">
          <cell r="C47">
            <v>4225.2121027862886</v>
          </cell>
          <cell r="J47">
            <v>3000</v>
          </cell>
          <cell r="P47">
            <v>0</v>
          </cell>
        </row>
        <row r="48">
          <cell r="C48">
            <v>104.94911329320269</v>
          </cell>
          <cell r="J48">
            <v>3000</v>
          </cell>
          <cell r="P48">
            <v>0</v>
          </cell>
        </row>
        <row r="49">
          <cell r="C49">
            <v>4055.383403014589</v>
          </cell>
          <cell r="J49">
            <v>31000</v>
          </cell>
          <cell r="P49">
            <v>0</v>
          </cell>
        </row>
        <row r="50">
          <cell r="C50">
            <v>3811.7602936994299</v>
          </cell>
          <cell r="J50">
            <v>3000</v>
          </cell>
          <cell r="P50">
            <v>0</v>
          </cell>
        </row>
        <row r="51">
          <cell r="C51">
            <v>7246.3837971875682</v>
          </cell>
          <cell r="J51">
            <v>3000</v>
          </cell>
          <cell r="P51">
            <v>0</v>
          </cell>
        </row>
        <row r="52">
          <cell r="C52">
            <v>13295.966839501101</v>
          </cell>
          <cell r="J52">
            <v>3000</v>
          </cell>
          <cell r="P52">
            <v>0</v>
          </cell>
        </row>
      </sheetData>
      <sheetData sheetId="7" refreshError="1">
        <row r="5">
          <cell r="C5">
            <v>2175.6285821906904</v>
          </cell>
        </row>
        <row r="6">
          <cell r="C6">
            <v>2891.8336719091699</v>
          </cell>
          <cell r="P6">
            <v>0</v>
          </cell>
        </row>
        <row r="7">
          <cell r="C7">
            <v>2681.2483417539829</v>
          </cell>
          <cell r="J7">
            <v>3000</v>
          </cell>
          <cell r="P7">
            <v>0</v>
          </cell>
        </row>
        <row r="8">
          <cell r="C8">
            <v>2700.5724491055785</v>
          </cell>
          <cell r="J8">
            <v>3000</v>
          </cell>
          <cell r="P8">
            <v>0</v>
          </cell>
        </row>
        <row r="9">
          <cell r="C9">
            <v>2723.1929858695853</v>
          </cell>
          <cell r="J9">
            <v>3000</v>
          </cell>
          <cell r="P9">
            <v>0</v>
          </cell>
        </row>
        <row r="10">
          <cell r="C10">
            <v>2705.6009512878991</v>
          </cell>
          <cell r="J10">
            <v>3000</v>
          </cell>
          <cell r="P10">
            <v>0</v>
          </cell>
        </row>
        <row r="12">
          <cell r="C12">
            <v>6558.4460634523148</v>
          </cell>
          <cell r="J12">
            <v>3000</v>
          </cell>
          <cell r="P12">
            <v>0</v>
          </cell>
        </row>
        <row r="13">
          <cell r="C13">
            <v>2681.4076400390632</v>
          </cell>
          <cell r="J13">
            <v>3000</v>
          </cell>
          <cell r="P13">
            <v>0</v>
          </cell>
        </row>
        <row r="14">
          <cell r="C14">
            <v>2993.8896067943147</v>
          </cell>
          <cell r="J14">
            <v>3000</v>
          </cell>
          <cell r="P14">
            <v>0</v>
          </cell>
        </row>
        <row r="15">
          <cell r="C15">
            <v>2680.03522404453</v>
          </cell>
          <cell r="J15">
            <v>3000</v>
          </cell>
          <cell r="P15">
            <v>0</v>
          </cell>
        </row>
        <row r="16">
          <cell r="C16">
            <v>3068.9558602095794</v>
          </cell>
          <cell r="J16">
            <v>3000</v>
          </cell>
          <cell r="P16">
            <v>0</v>
          </cell>
        </row>
        <row r="17">
          <cell r="C17">
            <v>307.93583877336079</v>
          </cell>
          <cell r="P17">
            <v>0</v>
          </cell>
        </row>
        <row r="18">
          <cell r="C18">
            <v>3354.9881847844763</v>
          </cell>
          <cell r="J18">
            <v>3000</v>
          </cell>
          <cell r="P18">
            <v>0</v>
          </cell>
        </row>
        <row r="19">
          <cell r="C19">
            <v>2279.6757456393316</v>
          </cell>
          <cell r="J19">
            <v>3000</v>
          </cell>
          <cell r="P19">
            <v>0</v>
          </cell>
        </row>
        <row r="20">
          <cell r="C20">
            <v>13204.781892268813</v>
          </cell>
          <cell r="J20">
            <v>6000</v>
          </cell>
          <cell r="P20">
            <v>0</v>
          </cell>
        </row>
        <row r="21">
          <cell r="C21">
            <v>2679.0242926199853</v>
          </cell>
          <cell r="J21">
            <v>3000</v>
          </cell>
          <cell r="P21">
            <v>0</v>
          </cell>
        </row>
        <row r="22">
          <cell r="C22">
            <v>2683.2579508888352</v>
          </cell>
          <cell r="J22">
            <v>3000</v>
          </cell>
          <cell r="P22">
            <v>15000</v>
          </cell>
        </row>
        <row r="23">
          <cell r="C23">
            <v>2681.0400286119557</v>
          </cell>
          <cell r="J23">
            <v>3000</v>
          </cell>
          <cell r="P23">
            <v>0</v>
          </cell>
        </row>
        <row r="24">
          <cell r="C24">
            <v>2687.9756308700426</v>
          </cell>
          <cell r="J24">
            <v>3000</v>
          </cell>
          <cell r="P24">
            <v>120000</v>
          </cell>
        </row>
        <row r="25">
          <cell r="C25">
            <v>2680.8317154699284</v>
          </cell>
          <cell r="J25">
            <v>3000</v>
          </cell>
          <cell r="P25">
            <v>0</v>
          </cell>
        </row>
        <row r="26">
          <cell r="C26">
            <v>2681.3770057534707</v>
          </cell>
          <cell r="J26">
            <v>3000</v>
          </cell>
          <cell r="P26">
            <v>0</v>
          </cell>
        </row>
        <row r="27">
          <cell r="C27">
            <v>2834.0209414886954</v>
          </cell>
          <cell r="J27">
            <v>8000</v>
          </cell>
          <cell r="P27">
            <v>0</v>
          </cell>
        </row>
        <row r="28">
          <cell r="C28">
            <v>2573.2799897495333</v>
          </cell>
        </row>
        <row r="29">
          <cell r="C29">
            <v>2739.6060123339525</v>
          </cell>
          <cell r="J29">
            <v>3000</v>
          </cell>
          <cell r="P29">
            <v>0</v>
          </cell>
        </row>
        <row r="30">
          <cell r="C30">
            <v>212.56087554831325</v>
          </cell>
          <cell r="P30">
            <v>0</v>
          </cell>
        </row>
        <row r="31">
          <cell r="C31">
            <v>2910.4724471266004</v>
          </cell>
          <cell r="J31">
            <v>3000</v>
          </cell>
          <cell r="P31">
            <v>0</v>
          </cell>
        </row>
        <row r="32">
          <cell r="C32">
            <v>2712.1899742408114</v>
          </cell>
          <cell r="J32">
            <v>3000</v>
          </cell>
          <cell r="P32">
            <v>0</v>
          </cell>
        </row>
        <row r="33">
          <cell r="C33">
            <v>3195.8369963827245</v>
          </cell>
          <cell r="J33">
            <v>6000</v>
          </cell>
          <cell r="P33">
            <v>0</v>
          </cell>
        </row>
        <row r="34">
          <cell r="C34">
            <v>3446.4248179063734</v>
          </cell>
          <cell r="J34">
            <v>8000</v>
          </cell>
          <cell r="P34">
            <v>0</v>
          </cell>
        </row>
        <row r="36">
          <cell r="C36">
            <v>0</v>
          </cell>
          <cell r="P36">
            <v>0</v>
          </cell>
        </row>
        <row r="38">
          <cell r="C38">
            <v>2679.7411349028444</v>
          </cell>
          <cell r="J38">
            <v>3000</v>
          </cell>
          <cell r="P38">
            <v>0</v>
          </cell>
        </row>
        <row r="39">
          <cell r="C39">
            <v>2705.9763370840524</v>
          </cell>
          <cell r="J39">
            <v>3000</v>
          </cell>
          <cell r="P39">
            <v>0</v>
          </cell>
        </row>
        <row r="40">
          <cell r="C40">
            <v>2465.754374372395</v>
          </cell>
          <cell r="J40">
            <v>0</v>
          </cell>
          <cell r="P40">
            <v>0</v>
          </cell>
        </row>
        <row r="41">
          <cell r="C41">
            <v>2694.6906662718648</v>
          </cell>
          <cell r="J41">
            <v>3000</v>
          </cell>
          <cell r="P41">
            <v>0</v>
          </cell>
        </row>
        <row r="42">
          <cell r="C42">
            <v>2692.3256994241433</v>
          </cell>
          <cell r="J42">
            <v>3000</v>
          </cell>
          <cell r="P42">
            <v>0</v>
          </cell>
        </row>
        <row r="43">
          <cell r="C43">
            <v>3587.5870234016206</v>
          </cell>
          <cell r="J43">
            <v>13000</v>
          </cell>
          <cell r="P43">
            <v>0</v>
          </cell>
        </row>
        <row r="44">
          <cell r="C44">
            <v>2490.709212227267</v>
          </cell>
          <cell r="J44">
            <v>3000</v>
          </cell>
          <cell r="P44">
            <v>0</v>
          </cell>
        </row>
        <row r="45">
          <cell r="C45">
            <v>304.7813832204601</v>
          </cell>
          <cell r="P45">
            <v>0</v>
          </cell>
        </row>
        <row r="46">
          <cell r="C46">
            <v>2680.8439691841654</v>
          </cell>
          <cell r="J46">
            <v>3000</v>
          </cell>
          <cell r="P46">
            <v>0</v>
          </cell>
        </row>
        <row r="47">
          <cell r="C47">
            <v>2968.6488609183712</v>
          </cell>
          <cell r="J47">
            <v>3000</v>
          </cell>
          <cell r="P47">
            <v>0</v>
          </cell>
        </row>
        <row r="48">
          <cell r="C48">
            <v>91.303300642262556</v>
          </cell>
          <cell r="J48">
            <v>3000</v>
          </cell>
          <cell r="P48">
            <v>0</v>
          </cell>
        </row>
        <row r="49">
          <cell r="C49">
            <v>2850.050641207235</v>
          </cell>
          <cell r="J49">
            <v>3000</v>
          </cell>
          <cell r="P49">
            <v>0</v>
          </cell>
        </row>
        <row r="50">
          <cell r="C50">
            <v>2679.9188137592796</v>
          </cell>
          <cell r="J50">
            <v>3000</v>
          </cell>
          <cell r="P50">
            <v>0</v>
          </cell>
        </row>
        <row r="51">
          <cell r="C51">
            <v>5078.4547116334634</v>
          </cell>
          <cell r="J51">
            <v>3000</v>
          </cell>
          <cell r="P51">
            <v>0</v>
          </cell>
        </row>
        <row r="52">
          <cell r="C52">
            <v>9303.1221546366633</v>
          </cell>
          <cell r="J52">
            <v>3000</v>
          </cell>
          <cell r="P52">
            <v>0</v>
          </cell>
        </row>
      </sheetData>
      <sheetData sheetId="8" refreshError="1">
        <row r="5">
          <cell r="C5">
            <v>8085.1025748373995</v>
          </cell>
        </row>
        <row r="6">
          <cell r="C6">
            <v>10746.674344208002</v>
          </cell>
          <cell r="P6">
            <v>0</v>
          </cell>
        </row>
        <row r="7">
          <cell r="C7">
            <v>10030.635117629836</v>
          </cell>
          <cell r="J7">
            <v>3000</v>
          </cell>
          <cell r="P7">
            <v>0</v>
          </cell>
        </row>
        <row r="8">
          <cell r="C8">
            <v>10102.447646378425</v>
          </cell>
          <cell r="J8">
            <v>3000</v>
          </cell>
          <cell r="P8">
            <v>0</v>
          </cell>
        </row>
        <row r="9">
          <cell r="C9">
            <v>10186.510414045653</v>
          </cell>
          <cell r="J9">
            <v>3000</v>
          </cell>
          <cell r="P9">
            <v>0</v>
          </cell>
        </row>
        <row r="10">
          <cell r="C10">
            <v>10121.134639312171</v>
          </cell>
          <cell r="J10">
            <v>3000</v>
          </cell>
          <cell r="P10">
            <v>0</v>
          </cell>
        </row>
        <row r="12">
          <cell r="C12">
            <v>24439.133672696771</v>
          </cell>
          <cell r="J12">
            <v>3000</v>
          </cell>
          <cell r="P12">
            <v>0</v>
          </cell>
        </row>
        <row r="13">
          <cell r="C13">
            <v>10031.227104233345</v>
          </cell>
          <cell r="J13">
            <v>3000</v>
          </cell>
          <cell r="P13">
            <v>0</v>
          </cell>
        </row>
        <row r="14">
          <cell r="C14">
            <v>11192.477133160251</v>
          </cell>
          <cell r="J14">
            <v>3000</v>
          </cell>
          <cell r="P14">
            <v>0</v>
          </cell>
        </row>
        <row r="15">
          <cell r="C15">
            <v>10026.126911956972</v>
          </cell>
          <cell r="J15">
            <v>3000</v>
          </cell>
          <cell r="P15">
            <v>0</v>
          </cell>
        </row>
        <row r="16">
          <cell r="C16">
            <v>11471.439435705493</v>
          </cell>
          <cell r="J16">
            <v>3000</v>
          </cell>
          <cell r="P16">
            <v>0</v>
          </cell>
        </row>
        <row r="17">
          <cell r="C17">
            <v>1144.355642011416</v>
          </cell>
          <cell r="P17">
            <v>0</v>
          </cell>
        </row>
        <row r="18">
          <cell r="C18">
            <v>12534.396919734596</v>
          </cell>
          <cell r="J18">
            <v>3000</v>
          </cell>
          <cell r="P18">
            <v>0</v>
          </cell>
        </row>
        <row r="19">
          <cell r="C19">
            <v>8538.3051963334929</v>
          </cell>
          <cell r="J19">
            <v>3000</v>
          </cell>
          <cell r="P19">
            <v>0</v>
          </cell>
        </row>
        <row r="20">
          <cell r="C20">
            <v>49204.884569521157</v>
          </cell>
          <cell r="J20">
            <v>6000</v>
          </cell>
          <cell r="P20">
            <v>0</v>
          </cell>
        </row>
        <row r="21">
          <cell r="C21">
            <v>10022.370073896249</v>
          </cell>
          <cell r="J21">
            <v>3000</v>
          </cell>
          <cell r="P21">
            <v>0</v>
          </cell>
        </row>
        <row r="22">
          <cell r="C22">
            <v>9971.5622166719495</v>
          </cell>
          <cell r="J22">
            <v>0</v>
          </cell>
          <cell r="P22">
            <v>0</v>
          </cell>
        </row>
        <row r="23">
          <cell r="C23">
            <v>10029.860981302172</v>
          </cell>
          <cell r="J23">
            <v>3000</v>
          </cell>
          <cell r="P23">
            <v>0</v>
          </cell>
        </row>
        <row r="24">
          <cell r="C24">
            <v>10055.635167270277</v>
          </cell>
          <cell r="J24">
            <v>3000</v>
          </cell>
          <cell r="P24">
            <v>0</v>
          </cell>
        </row>
        <row r="25">
          <cell r="C25">
            <v>10029.08684497451</v>
          </cell>
          <cell r="J25">
            <v>3000</v>
          </cell>
          <cell r="P25">
            <v>0</v>
          </cell>
        </row>
        <row r="26">
          <cell r="C26">
            <v>10031.113260655748</v>
          </cell>
          <cell r="J26">
            <v>3000</v>
          </cell>
          <cell r="P26">
            <v>0</v>
          </cell>
        </row>
        <row r="27">
          <cell r="C27">
            <v>10709.272607109879</v>
          </cell>
          <cell r="J27">
            <v>8000</v>
          </cell>
          <cell r="P27">
            <v>0</v>
          </cell>
        </row>
        <row r="28">
          <cell r="C28">
            <v>9562.8605182012489</v>
          </cell>
        </row>
        <row r="29">
          <cell r="C29">
            <v>10247.504741668574</v>
          </cell>
          <cell r="J29">
            <v>3000</v>
          </cell>
          <cell r="P29">
            <v>0</v>
          </cell>
        </row>
        <row r="30">
          <cell r="C30">
            <v>239.69395989277311</v>
          </cell>
          <cell r="P30">
            <v>0</v>
          </cell>
        </row>
        <row r="31">
          <cell r="C31">
            <v>10882.481071361892</v>
          </cell>
          <cell r="J31">
            <v>3000</v>
          </cell>
          <cell r="P31">
            <v>0</v>
          </cell>
        </row>
        <row r="32">
          <cell r="C32">
            <v>10145.620862226477</v>
          </cell>
          <cell r="J32">
            <v>3000</v>
          </cell>
          <cell r="P32">
            <v>96000</v>
          </cell>
        </row>
        <row r="33">
          <cell r="C33">
            <v>12009.497998688968</v>
          </cell>
          <cell r="J33">
            <v>6000</v>
          </cell>
          <cell r="P33">
            <v>0</v>
          </cell>
        </row>
        <row r="34">
          <cell r="C34">
            <v>12985.096798148656</v>
          </cell>
          <cell r="J34">
            <v>8000</v>
          </cell>
          <cell r="P34">
            <v>0</v>
          </cell>
        </row>
        <row r="36">
          <cell r="C36">
            <v>0</v>
          </cell>
          <cell r="P36">
            <v>0</v>
          </cell>
        </row>
        <row r="38">
          <cell r="C38">
            <v>10025.034013612034</v>
          </cell>
          <cell r="J38">
            <v>3000</v>
          </cell>
          <cell r="P38">
            <v>0</v>
          </cell>
        </row>
        <row r="39">
          <cell r="C39">
            <v>10122.529653466649</v>
          </cell>
          <cell r="J39">
            <v>3000</v>
          </cell>
          <cell r="P39">
            <v>0</v>
          </cell>
        </row>
        <row r="40">
          <cell r="C40">
            <v>9229.8133023618793</v>
          </cell>
          <cell r="J40">
            <v>3000</v>
          </cell>
          <cell r="P40">
            <v>84000</v>
          </cell>
        </row>
        <row r="41">
          <cell r="C41">
            <v>10080.589679479677</v>
          </cell>
          <cell r="J41">
            <v>3000</v>
          </cell>
          <cell r="P41">
            <v>120000</v>
          </cell>
        </row>
        <row r="42">
          <cell r="C42">
            <v>10071.800955289142</v>
          </cell>
          <cell r="J42">
            <v>3000</v>
          </cell>
          <cell r="P42">
            <v>0</v>
          </cell>
        </row>
        <row r="43">
          <cell r="C43">
            <v>13398.784106224884</v>
          </cell>
          <cell r="J43">
            <v>3000</v>
          </cell>
          <cell r="P43">
            <v>0</v>
          </cell>
        </row>
        <row r="44">
          <cell r="C44">
            <v>9322.5508336880739</v>
          </cell>
          <cell r="J44">
            <v>3000</v>
          </cell>
          <cell r="P44">
            <v>0</v>
          </cell>
        </row>
        <row r="45">
          <cell r="C45">
            <v>1199.1740480623487</v>
          </cell>
          <cell r="P45">
            <v>0</v>
          </cell>
        </row>
        <row r="46">
          <cell r="C46">
            <v>10029.132382405549</v>
          </cell>
          <cell r="J46">
            <v>3000</v>
          </cell>
          <cell r="P46">
            <v>0</v>
          </cell>
        </row>
        <row r="47">
          <cell r="C47">
            <v>11475.742997628842</v>
          </cell>
          <cell r="J47">
            <v>20000</v>
          </cell>
          <cell r="P47">
            <v>84000</v>
          </cell>
        </row>
        <row r="48">
          <cell r="C48">
            <v>6.5974553257152611</v>
          </cell>
          <cell r="J48">
            <v>-15000</v>
          </cell>
          <cell r="P48">
            <v>0</v>
          </cell>
        </row>
        <row r="49">
          <cell r="C49">
            <v>10657.940677558512</v>
          </cell>
          <cell r="J49">
            <v>3000</v>
          </cell>
          <cell r="P49">
            <v>0</v>
          </cell>
        </row>
        <row r="50">
          <cell r="C50">
            <v>10025.6943063621</v>
          </cell>
          <cell r="J50">
            <v>3000</v>
          </cell>
          <cell r="P50">
            <v>120000</v>
          </cell>
        </row>
        <row r="51">
          <cell r="C51">
            <v>18939.168289230925</v>
          </cell>
          <cell r="J51">
            <v>3000</v>
          </cell>
          <cell r="P51">
            <v>0</v>
          </cell>
        </row>
        <row r="52">
          <cell r="C52">
            <v>34638.938875469306</v>
          </cell>
          <cell r="J52">
            <v>3000</v>
          </cell>
          <cell r="P52">
            <v>0</v>
          </cell>
        </row>
      </sheetData>
      <sheetData sheetId="9" refreshError="1">
        <row r="5">
          <cell r="C5">
            <v>5898.5888177611278</v>
          </cell>
        </row>
        <row r="6">
          <cell r="C6">
            <v>7840.3721570768776</v>
          </cell>
          <cell r="P6">
            <v>0</v>
          </cell>
        </row>
        <row r="7">
          <cell r="C7">
            <v>7365.4691428746073</v>
          </cell>
          <cell r="J7">
            <v>3000</v>
          </cell>
          <cell r="P7">
            <v>0</v>
          </cell>
        </row>
        <row r="8">
          <cell r="C8">
            <v>7417.8608812762805</v>
          </cell>
          <cell r="J8">
            <v>3000</v>
          </cell>
          <cell r="P8">
            <v>0</v>
          </cell>
        </row>
        <row r="9">
          <cell r="C9">
            <v>7479.1899363825405</v>
          </cell>
          <cell r="J9">
            <v>3000</v>
          </cell>
          <cell r="P9">
            <v>0</v>
          </cell>
        </row>
        <row r="10">
          <cell r="C10">
            <v>7573.9715863682814</v>
          </cell>
          <cell r="J10">
            <v>12000</v>
          </cell>
          <cell r="P10">
            <v>0</v>
          </cell>
        </row>
        <row r="12">
          <cell r="C12">
            <v>17877.371455920333</v>
          </cell>
          <cell r="J12">
            <v>3000</v>
          </cell>
          <cell r="P12">
            <v>100000</v>
          </cell>
        </row>
        <row r="13">
          <cell r="C13">
            <v>7365.9010341867333</v>
          </cell>
          <cell r="J13">
            <v>3000</v>
          </cell>
          <cell r="P13">
            <v>70000</v>
          </cell>
        </row>
        <row r="14">
          <cell r="C14">
            <v>8213.1056765336234</v>
          </cell>
          <cell r="J14">
            <v>3000</v>
          </cell>
          <cell r="P14">
            <v>0</v>
          </cell>
        </row>
        <row r="15">
          <cell r="C15">
            <v>7362.1801244207309</v>
          </cell>
          <cell r="J15">
            <v>3000</v>
          </cell>
          <cell r="P15">
            <v>0</v>
          </cell>
        </row>
        <row r="16">
          <cell r="C16">
            <v>8416.626151770557</v>
          </cell>
          <cell r="J16">
            <v>3000</v>
          </cell>
          <cell r="P16">
            <v>0</v>
          </cell>
        </row>
        <row r="17">
          <cell r="C17">
            <v>834.87912874700248</v>
          </cell>
          <cell r="P17">
            <v>0</v>
          </cell>
        </row>
        <row r="18">
          <cell r="C18">
            <v>9192.1202251003142</v>
          </cell>
          <cell r="J18">
            <v>3000</v>
          </cell>
          <cell r="P18">
            <v>84000</v>
          </cell>
        </row>
        <row r="19">
          <cell r="C19">
            <v>6276.7209786194389</v>
          </cell>
          <cell r="J19">
            <v>3000</v>
          </cell>
          <cell r="P19">
            <v>0</v>
          </cell>
        </row>
        <row r="20">
          <cell r="C20">
            <v>51823.849871525672</v>
          </cell>
          <cell r="J20">
            <v>1006000</v>
          </cell>
          <cell r="P20">
            <v>0</v>
          </cell>
        </row>
        <row r="21">
          <cell r="C21">
            <v>7359.4392757091655</v>
          </cell>
          <cell r="J21">
            <v>3000</v>
          </cell>
          <cell r="P21">
            <v>0</v>
          </cell>
        </row>
        <row r="22">
          <cell r="C22">
            <v>7369.8642187188107</v>
          </cell>
          <cell r="J22">
            <v>6000</v>
          </cell>
          <cell r="P22">
            <v>0</v>
          </cell>
        </row>
        <row r="23">
          <cell r="C23">
            <v>7364.9043619279828</v>
          </cell>
          <cell r="J23">
            <v>3000</v>
          </cell>
          <cell r="P23">
            <v>0</v>
          </cell>
        </row>
        <row r="24">
          <cell r="C24">
            <v>7383.7082452097493</v>
          </cell>
          <cell r="J24">
            <v>3000</v>
          </cell>
          <cell r="P24">
            <v>0</v>
          </cell>
        </row>
        <row r="25">
          <cell r="C25">
            <v>7316.847123279892</v>
          </cell>
          <cell r="J25">
            <v>0</v>
          </cell>
          <cell r="P25">
            <v>0</v>
          </cell>
        </row>
        <row r="26">
          <cell r="C26">
            <v>7365.8179781651706</v>
          </cell>
          <cell r="J26">
            <v>3000</v>
          </cell>
          <cell r="P26">
            <v>0</v>
          </cell>
        </row>
        <row r="27">
          <cell r="C27">
            <v>7939.7318007110334</v>
          </cell>
          <cell r="J27">
            <v>8000</v>
          </cell>
          <cell r="P27">
            <v>0</v>
          </cell>
        </row>
        <row r="28">
          <cell r="C28">
            <v>6976.7058112562881</v>
          </cell>
        </row>
        <row r="29">
          <cell r="C29">
            <v>7523.6891193592828</v>
          </cell>
          <cell r="J29">
            <v>3000</v>
          </cell>
          <cell r="P29">
            <v>120000</v>
          </cell>
        </row>
        <row r="30">
          <cell r="C30">
            <v>222.36421701700311</v>
          </cell>
          <cell r="P30">
            <v>0</v>
          </cell>
        </row>
        <row r="31">
          <cell r="C31">
            <v>7986.9441298187303</v>
          </cell>
          <cell r="J31">
            <v>3000</v>
          </cell>
          <cell r="P31">
            <v>0</v>
          </cell>
        </row>
        <row r="32">
          <cell r="C32">
            <v>7449.3584468137497</v>
          </cell>
          <cell r="J32">
            <v>3000</v>
          </cell>
          <cell r="P32">
            <v>0</v>
          </cell>
        </row>
        <row r="33">
          <cell r="C33">
            <v>8856.6660377251228</v>
          </cell>
          <cell r="J33">
            <v>6000</v>
          </cell>
          <cell r="P33">
            <v>0</v>
          </cell>
        </row>
        <row r="34">
          <cell r="C34">
            <v>9600.0881165641549</v>
          </cell>
          <cell r="J34">
            <v>8000</v>
          </cell>
          <cell r="P34">
            <v>0</v>
          </cell>
        </row>
        <row r="36">
          <cell r="C36">
            <v>0</v>
          </cell>
          <cell r="P36">
            <v>0</v>
          </cell>
        </row>
        <row r="38">
          <cell r="C38">
            <v>7361.3827866137299</v>
          </cell>
          <cell r="J38">
            <v>3000</v>
          </cell>
          <cell r="P38">
            <v>0</v>
          </cell>
        </row>
        <row r="39">
          <cell r="C39">
            <v>7432.5119634799194</v>
          </cell>
          <cell r="J39">
            <v>3000</v>
          </cell>
          <cell r="P39">
            <v>0</v>
          </cell>
        </row>
        <row r="40">
          <cell r="C40">
            <v>6781.2194613356269</v>
          </cell>
          <cell r="J40">
            <v>3000</v>
          </cell>
          <cell r="P40">
            <v>0</v>
          </cell>
        </row>
        <row r="41">
          <cell r="C41">
            <v>7401.9141251362644</v>
          </cell>
          <cell r="J41">
            <v>3000</v>
          </cell>
          <cell r="P41">
            <v>0</v>
          </cell>
        </row>
        <row r="42">
          <cell r="C42">
            <v>7395.502200271636</v>
          </cell>
          <cell r="J42">
            <v>3000</v>
          </cell>
          <cell r="P42">
            <v>0</v>
          </cell>
        </row>
        <row r="43">
          <cell r="C43">
            <v>9901.8989231533615</v>
          </cell>
          <cell r="J43">
            <v>8000</v>
          </cell>
          <cell r="P43">
            <v>12000</v>
          </cell>
        </row>
        <row r="44">
          <cell r="C44">
            <v>6848.8772999597049</v>
          </cell>
          <cell r="J44">
            <v>3000</v>
          </cell>
          <cell r="P44">
            <v>0</v>
          </cell>
        </row>
        <row r="45">
          <cell r="C45">
            <v>922.36504774923901</v>
          </cell>
          <cell r="P45">
            <v>0</v>
          </cell>
        </row>
        <row r="46">
          <cell r="C46">
            <v>7364.3728033899833</v>
          </cell>
          <cell r="J46">
            <v>3000</v>
          </cell>
          <cell r="P46">
            <v>0</v>
          </cell>
        </row>
        <row r="47">
          <cell r="C47">
            <v>8419.7658697893003</v>
          </cell>
          <cell r="J47">
            <v>3000</v>
          </cell>
          <cell r="P47">
            <v>0</v>
          </cell>
        </row>
        <row r="48">
          <cell r="C48">
            <v>52.30571465766792</v>
          </cell>
          <cell r="J48">
            <v>3000</v>
          </cell>
          <cell r="P48">
            <v>0</v>
          </cell>
        </row>
        <row r="49">
          <cell r="C49">
            <v>7918.1127616600488</v>
          </cell>
          <cell r="J49">
            <v>9000</v>
          </cell>
          <cell r="P49">
            <v>0</v>
          </cell>
        </row>
        <row r="50">
          <cell r="C50">
            <v>7361.8645115387926</v>
          </cell>
          <cell r="J50">
            <v>3000</v>
          </cell>
          <cell r="P50">
            <v>0</v>
          </cell>
        </row>
        <row r="51">
          <cell r="C51">
            <v>13864.802164597841</v>
          </cell>
          <cell r="J51">
            <v>3000</v>
          </cell>
          <cell r="P51">
            <v>0</v>
          </cell>
        </row>
        <row r="52">
          <cell r="C52">
            <v>25318.768315826692</v>
          </cell>
          <cell r="J52">
            <v>3000</v>
          </cell>
          <cell r="P52">
            <v>0</v>
          </cell>
        </row>
      </sheetData>
      <sheetData sheetId="10" refreshError="1">
        <row r="5">
          <cell r="C5">
            <v>0</v>
          </cell>
        </row>
        <row r="6">
          <cell r="C6">
            <v>0</v>
          </cell>
          <cell r="P6">
            <v>0</v>
          </cell>
        </row>
        <row r="7">
          <cell r="C7">
            <v>0</v>
          </cell>
          <cell r="J7">
            <v>3000</v>
          </cell>
          <cell r="P7">
            <v>0</v>
          </cell>
        </row>
        <row r="8">
          <cell r="C8">
            <v>0</v>
          </cell>
          <cell r="J8">
            <v>3000</v>
          </cell>
          <cell r="P8">
            <v>0</v>
          </cell>
        </row>
        <row r="9">
          <cell r="C9">
            <v>0</v>
          </cell>
          <cell r="J9">
            <v>6500</v>
          </cell>
          <cell r="P9">
            <v>0</v>
          </cell>
        </row>
        <row r="10">
          <cell r="C10">
            <v>0</v>
          </cell>
          <cell r="J10">
            <v>3000</v>
          </cell>
          <cell r="P10">
            <v>0</v>
          </cell>
        </row>
        <row r="12">
          <cell r="C12">
            <v>0</v>
          </cell>
          <cell r="J12">
            <v>3000</v>
          </cell>
          <cell r="P12">
            <v>0</v>
          </cell>
        </row>
        <row r="13">
          <cell r="C13">
            <v>0</v>
          </cell>
          <cell r="J13">
            <v>3000</v>
          </cell>
          <cell r="P13">
            <v>0</v>
          </cell>
        </row>
        <row r="14">
          <cell r="C14">
            <v>0</v>
          </cell>
          <cell r="J14">
            <v>3000</v>
          </cell>
          <cell r="P14">
            <v>0</v>
          </cell>
        </row>
        <row r="15">
          <cell r="C15">
            <v>0</v>
          </cell>
          <cell r="J15">
            <v>3000</v>
          </cell>
          <cell r="P15">
            <v>0</v>
          </cell>
        </row>
        <row r="16">
          <cell r="C16">
            <v>0</v>
          </cell>
          <cell r="J16">
            <v>3000</v>
          </cell>
          <cell r="P16">
            <v>0</v>
          </cell>
        </row>
        <row r="17">
          <cell r="C17">
            <v>0</v>
          </cell>
          <cell r="P17">
            <v>0</v>
          </cell>
        </row>
        <row r="18">
          <cell r="C18">
            <v>0</v>
          </cell>
          <cell r="J18">
            <v>3000</v>
          </cell>
          <cell r="P18">
            <v>0</v>
          </cell>
        </row>
        <row r="19">
          <cell r="C19">
            <v>0</v>
          </cell>
          <cell r="J19">
            <v>3000</v>
          </cell>
          <cell r="P19">
            <v>0</v>
          </cell>
        </row>
        <row r="20">
          <cell r="C20">
            <v>0</v>
          </cell>
          <cell r="J20">
            <v>6000</v>
          </cell>
          <cell r="P20">
            <v>0</v>
          </cell>
        </row>
        <row r="21">
          <cell r="C21">
            <v>0</v>
          </cell>
          <cell r="J21">
            <v>3000</v>
          </cell>
          <cell r="P21">
            <v>0</v>
          </cell>
        </row>
        <row r="22">
          <cell r="C22">
            <v>0</v>
          </cell>
          <cell r="J22">
            <v>3000</v>
          </cell>
          <cell r="P22">
            <v>0</v>
          </cell>
        </row>
        <row r="23">
          <cell r="C23">
            <v>0</v>
          </cell>
          <cell r="J23">
            <v>3000</v>
          </cell>
          <cell r="P23">
            <v>0</v>
          </cell>
        </row>
        <row r="24">
          <cell r="C24">
            <v>0</v>
          </cell>
          <cell r="J24">
            <v>3000</v>
          </cell>
          <cell r="P24">
            <v>0</v>
          </cell>
        </row>
        <row r="25">
          <cell r="C25">
            <v>0</v>
          </cell>
          <cell r="J25">
            <v>3000</v>
          </cell>
          <cell r="P25">
            <v>0</v>
          </cell>
        </row>
        <row r="26">
          <cell r="C26">
            <v>0</v>
          </cell>
          <cell r="J26">
            <v>3000</v>
          </cell>
          <cell r="P26">
            <v>0</v>
          </cell>
        </row>
        <row r="27">
          <cell r="C27">
            <v>0</v>
          </cell>
          <cell r="J27">
            <v>8000</v>
          </cell>
          <cell r="P27">
            <v>0</v>
          </cell>
        </row>
        <row r="28">
          <cell r="C28">
            <v>0</v>
          </cell>
        </row>
        <row r="29">
          <cell r="C29">
            <v>0</v>
          </cell>
          <cell r="J29">
            <v>3000</v>
          </cell>
          <cell r="P29">
            <v>0</v>
          </cell>
        </row>
        <row r="30">
          <cell r="C30">
            <v>0</v>
          </cell>
          <cell r="P30">
            <v>0</v>
          </cell>
        </row>
        <row r="31">
          <cell r="C31">
            <v>0</v>
          </cell>
          <cell r="J31">
            <v>3000</v>
          </cell>
          <cell r="P31">
            <v>0</v>
          </cell>
        </row>
        <row r="32">
          <cell r="C32">
            <v>0</v>
          </cell>
          <cell r="J32">
            <v>3000</v>
          </cell>
          <cell r="P32">
            <v>0</v>
          </cell>
        </row>
        <row r="33">
          <cell r="C33">
            <v>0</v>
          </cell>
          <cell r="J33">
            <v>6000</v>
          </cell>
          <cell r="P33">
            <v>0</v>
          </cell>
        </row>
        <row r="34">
          <cell r="C34">
            <v>0</v>
          </cell>
          <cell r="J34">
            <v>8000</v>
          </cell>
          <cell r="P34">
            <v>0</v>
          </cell>
        </row>
        <row r="36">
          <cell r="C36">
            <v>0</v>
          </cell>
          <cell r="P36">
            <v>0</v>
          </cell>
        </row>
        <row r="38">
          <cell r="C38">
            <v>0</v>
          </cell>
          <cell r="J38">
            <v>3000</v>
          </cell>
          <cell r="P38">
            <v>0</v>
          </cell>
        </row>
        <row r="39">
          <cell r="C39">
            <v>0</v>
          </cell>
          <cell r="J39">
            <v>3000</v>
          </cell>
          <cell r="P39">
            <v>0</v>
          </cell>
        </row>
        <row r="40">
          <cell r="C40">
            <v>0</v>
          </cell>
          <cell r="J40">
            <v>3000</v>
          </cell>
          <cell r="P40">
            <v>0</v>
          </cell>
        </row>
        <row r="41">
          <cell r="C41">
            <v>0</v>
          </cell>
          <cell r="J41">
            <v>3000</v>
          </cell>
          <cell r="P41">
            <v>0</v>
          </cell>
        </row>
        <row r="42">
          <cell r="C42">
            <v>0</v>
          </cell>
          <cell r="J42">
            <v>3000</v>
          </cell>
          <cell r="P42">
            <v>0</v>
          </cell>
        </row>
        <row r="43">
          <cell r="C43">
            <v>0</v>
          </cell>
          <cell r="J43">
            <v>8000</v>
          </cell>
          <cell r="P43">
            <v>0</v>
          </cell>
        </row>
        <row r="44">
          <cell r="C44">
            <v>0</v>
          </cell>
          <cell r="J44">
            <v>3000</v>
          </cell>
          <cell r="P44">
            <v>0</v>
          </cell>
        </row>
        <row r="45">
          <cell r="C45">
            <v>0</v>
          </cell>
          <cell r="P45">
            <v>0</v>
          </cell>
        </row>
        <row r="46">
          <cell r="C46">
            <v>0</v>
          </cell>
          <cell r="J46">
            <v>3000</v>
          </cell>
          <cell r="P46">
            <v>0</v>
          </cell>
        </row>
        <row r="47">
          <cell r="C47">
            <v>0</v>
          </cell>
          <cell r="J47">
            <v>3000</v>
          </cell>
          <cell r="P47">
            <v>0</v>
          </cell>
        </row>
        <row r="48">
          <cell r="C48">
            <v>0</v>
          </cell>
          <cell r="J48">
            <v>3000</v>
          </cell>
          <cell r="P48">
            <v>0</v>
          </cell>
        </row>
        <row r="49">
          <cell r="C49">
            <v>0</v>
          </cell>
          <cell r="J49">
            <v>3000</v>
          </cell>
          <cell r="P49">
            <v>0</v>
          </cell>
        </row>
        <row r="50">
          <cell r="C50">
            <v>0</v>
          </cell>
          <cell r="J50">
            <v>0</v>
          </cell>
          <cell r="P50">
            <v>0</v>
          </cell>
        </row>
        <row r="51">
          <cell r="C51">
            <v>0</v>
          </cell>
          <cell r="J51">
            <v>3000</v>
          </cell>
          <cell r="P51">
            <v>0</v>
          </cell>
        </row>
        <row r="52">
          <cell r="C52">
            <v>0</v>
          </cell>
          <cell r="J52">
            <v>3000</v>
          </cell>
          <cell r="P52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UIN"/>
      <sheetName val="TONTJUIL"/>
      <sheetName val="TONTAOUT"/>
      <sheetName val="TONTSEP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 refreshError="1"/>
      <sheetData sheetId="3">
        <row r="11">
          <cell r="J11">
            <v>110000</v>
          </cell>
        </row>
      </sheetData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 refreshError="1"/>
      <sheetData sheetId="1" refreshError="1"/>
      <sheetData sheetId="2" refreshError="1">
        <row r="54">
          <cell r="C54">
            <v>14428521</v>
          </cell>
          <cell r="O54">
            <v>1719860</v>
          </cell>
          <cell r="R54">
            <v>3821141</v>
          </cell>
          <cell r="S54">
            <v>250500</v>
          </cell>
          <cell r="T54">
            <v>501000</v>
          </cell>
          <cell r="U54">
            <v>1252500</v>
          </cell>
          <cell r="V54">
            <v>235000</v>
          </cell>
        </row>
      </sheetData>
      <sheetData sheetId="3" refreshError="1">
        <row r="5">
          <cell r="B5">
            <v>0</v>
          </cell>
        </row>
        <row r="6">
          <cell r="B6">
            <v>1100000</v>
          </cell>
        </row>
        <row r="7">
          <cell r="B7">
            <v>1260000</v>
          </cell>
        </row>
        <row r="8">
          <cell r="B8">
            <v>2595000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6">
          <cell r="D6">
            <v>588000</v>
          </cell>
        </row>
        <row r="7">
          <cell r="D7">
            <v>784000</v>
          </cell>
        </row>
        <row r="8">
          <cell r="D8">
            <v>1293600</v>
          </cell>
        </row>
        <row r="9">
          <cell r="D9">
            <v>1017000</v>
          </cell>
        </row>
        <row r="10">
          <cell r="D10">
            <v>140000</v>
          </cell>
        </row>
        <row r="11">
          <cell r="D11">
            <v>1120000</v>
          </cell>
        </row>
        <row r="12">
          <cell r="D12">
            <v>784000</v>
          </cell>
        </row>
        <row r="13">
          <cell r="D13">
            <v>0</v>
          </cell>
        </row>
        <row r="14">
          <cell r="D14">
            <v>1293600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784000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1100000</v>
          </cell>
        </row>
        <row r="21">
          <cell r="D21">
            <v>592000</v>
          </cell>
        </row>
        <row r="22">
          <cell r="D22">
            <v>896000</v>
          </cell>
        </row>
        <row r="23">
          <cell r="D23">
            <v>1120000</v>
          </cell>
        </row>
        <row r="24">
          <cell r="D24">
            <v>154500</v>
          </cell>
        </row>
        <row r="25">
          <cell r="D25">
            <v>0</v>
          </cell>
        </row>
        <row r="26">
          <cell r="D26">
            <v>672000</v>
          </cell>
        </row>
        <row r="27">
          <cell r="D27">
            <v>0</v>
          </cell>
        </row>
        <row r="28">
          <cell r="D28">
            <v>1120000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896000</v>
          </cell>
        </row>
        <row r="32">
          <cell r="D32">
            <v>1120000</v>
          </cell>
        </row>
        <row r="33">
          <cell r="D33">
            <v>472000</v>
          </cell>
        </row>
        <row r="35">
          <cell r="D35">
            <v>0</v>
          </cell>
        </row>
        <row r="36">
          <cell r="D36">
            <v>1120000</v>
          </cell>
        </row>
        <row r="37">
          <cell r="D37">
            <v>784000</v>
          </cell>
        </row>
        <row r="38">
          <cell r="D38">
            <v>1120000</v>
          </cell>
        </row>
        <row r="39">
          <cell r="D39">
            <v>963000</v>
          </cell>
        </row>
        <row r="40">
          <cell r="D40">
            <v>87200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851500</v>
          </cell>
        </row>
        <row r="46">
          <cell r="D46">
            <v>1064000</v>
          </cell>
        </row>
        <row r="47">
          <cell r="D47">
            <v>1120000</v>
          </cell>
        </row>
        <row r="48">
          <cell r="D48">
            <v>0</v>
          </cell>
        </row>
        <row r="49">
          <cell r="D49">
            <v>0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>
        <row r="9">
          <cell r="D9">
            <v>224500</v>
          </cell>
        </row>
      </sheetData>
      <sheetData sheetId="1"/>
      <sheetData sheetId="2">
        <row r="54">
          <cell r="C54">
            <v>14428521</v>
          </cell>
        </row>
      </sheetData>
      <sheetData sheetId="3">
        <row r="5">
          <cell r="B5">
            <v>0</v>
          </cell>
        </row>
      </sheetData>
      <sheetData sheetId="4">
        <row r="17">
          <cell r="D17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6">
          <cell r="D6">
            <v>588000</v>
          </cell>
        </row>
      </sheetData>
      <sheetData sheetId="12"/>
      <sheetData sheetId="13"/>
      <sheetData sheetId="1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 (2)"/>
      <sheetName val="BILAN 2016"/>
      <sheetName val="BILANFINAOUT2017"/>
      <sheetName val="BILANUPDATE"/>
      <sheetName val="BILANUPDATEDPA"/>
      <sheetName val="Feuil1"/>
      <sheetName val="Feuil2"/>
      <sheetName val="Feuil2 (2)"/>
    </sheetNames>
    <sheetDataSet>
      <sheetData sheetId="0"/>
      <sheetData sheetId="1"/>
      <sheetData sheetId="2">
        <row r="56">
          <cell r="C56">
            <v>16310819</v>
          </cell>
          <cell r="E56">
            <v>3963693</v>
          </cell>
          <cell r="F56">
            <v>182000</v>
          </cell>
          <cell r="G56">
            <v>364000</v>
          </cell>
          <cell r="H56">
            <v>910000</v>
          </cell>
          <cell r="I56">
            <v>2009927</v>
          </cell>
          <cell r="J56">
            <v>0</v>
          </cell>
          <cell r="R56">
            <v>125000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AOUT2017"/>
      <sheetName val="MVTAOUT"/>
      <sheetName val="MVTSEPT"/>
      <sheetName val="MVTOCT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2018"/>
      <sheetName val="RECAP"/>
    </sheetNames>
    <sheetDataSet>
      <sheetData sheetId="0"/>
      <sheetData sheetId="1"/>
      <sheetData sheetId="2">
        <row r="53">
          <cell r="H53">
            <v>359000</v>
          </cell>
        </row>
      </sheetData>
      <sheetData sheetId="3">
        <row r="5">
          <cell r="D5">
            <v>269.6156423446804</v>
          </cell>
        </row>
        <row r="6">
          <cell r="D6">
            <v>379.74143298331433</v>
          </cell>
          <cell r="H6">
            <v>30000</v>
          </cell>
          <cell r="P6">
            <v>0</v>
          </cell>
        </row>
        <row r="7">
          <cell r="D7">
            <v>340.93849821290723</v>
          </cell>
          <cell r="H7">
            <v>3000</v>
          </cell>
          <cell r="P7">
            <v>0</v>
          </cell>
        </row>
        <row r="8">
          <cell r="D8">
            <v>343.33324594649872</v>
          </cell>
          <cell r="H8">
            <v>3000</v>
          </cell>
          <cell r="P8">
            <v>0</v>
          </cell>
        </row>
        <row r="9">
          <cell r="D9">
            <v>348.62964699346929</v>
          </cell>
          <cell r="H9">
            <v>3000</v>
          </cell>
          <cell r="P9">
            <v>0</v>
          </cell>
        </row>
        <row r="10">
          <cell r="D10">
            <v>350.46883198760821</v>
          </cell>
          <cell r="H10">
            <v>3000</v>
          </cell>
          <cell r="P10">
            <v>0</v>
          </cell>
        </row>
        <row r="11">
          <cell r="D11">
            <v>963.88703282302413</v>
          </cell>
          <cell r="H11">
            <v>203000</v>
          </cell>
          <cell r="P11">
            <v>0</v>
          </cell>
        </row>
        <row r="12">
          <cell r="D12">
            <v>340.9582393166084</v>
          </cell>
          <cell r="H12">
            <v>3000</v>
          </cell>
          <cell r="P12">
            <v>0</v>
          </cell>
        </row>
        <row r="13">
          <cell r="D13">
            <v>379.68269204604127</v>
          </cell>
          <cell r="H13">
            <v>3000</v>
          </cell>
          <cell r="P13">
            <v>0</v>
          </cell>
        </row>
        <row r="14">
          <cell r="D14">
            <v>340.78816211549099</v>
          </cell>
          <cell r="H14">
            <v>3000</v>
          </cell>
          <cell r="P14">
            <v>0</v>
          </cell>
        </row>
        <row r="15">
          <cell r="D15">
            <v>388.98530752859114</v>
          </cell>
          <cell r="H15">
            <v>3000</v>
          </cell>
          <cell r="P15">
            <v>0</v>
          </cell>
        </row>
        <row r="16">
          <cell r="D16">
            <v>38.161072000731181</v>
          </cell>
          <cell r="H16">
            <v>0</v>
          </cell>
          <cell r="P16">
            <v>0</v>
          </cell>
        </row>
        <row r="17">
          <cell r="D17">
            <v>424.43197777041615</v>
          </cell>
          <cell r="H17">
            <v>3000</v>
          </cell>
          <cell r="P17">
            <v>0</v>
          </cell>
        </row>
        <row r="18">
          <cell r="D18">
            <v>289.03647476217208</v>
          </cell>
          <cell r="H18">
            <v>0</v>
          </cell>
          <cell r="P18">
            <v>0</v>
          </cell>
        </row>
        <row r="19">
          <cell r="D19">
            <v>2377.3383165165205</v>
          </cell>
          <cell r="H19">
            <v>6000</v>
          </cell>
          <cell r="P19">
            <v>0</v>
          </cell>
        </row>
        <row r="20">
          <cell r="D20">
            <v>340.66288203431066</v>
          </cell>
          <cell r="H20">
            <v>3000</v>
          </cell>
          <cell r="P20">
            <v>0</v>
          </cell>
          <cell r="Q20">
            <v>50000</v>
          </cell>
        </row>
        <row r="21">
          <cell r="D21">
            <v>341.13939053368074</v>
          </cell>
          <cell r="H21">
            <v>3000</v>
          </cell>
          <cell r="P21">
            <v>0</v>
          </cell>
        </row>
        <row r="22">
          <cell r="D22">
            <v>340.91268292345194</v>
          </cell>
          <cell r="H22">
            <v>3000</v>
          </cell>
          <cell r="P22">
            <v>0</v>
          </cell>
        </row>
        <row r="23">
          <cell r="D23">
            <v>341.77218020767054</v>
          </cell>
          <cell r="H23">
            <v>3000</v>
          </cell>
          <cell r="P23">
            <v>0</v>
          </cell>
        </row>
        <row r="24">
          <cell r="D24">
            <v>338.71605866844334</v>
          </cell>
          <cell r="H24">
            <v>3000</v>
          </cell>
          <cell r="O24">
            <v>150000</v>
          </cell>
          <cell r="P24">
            <v>18000</v>
          </cell>
        </row>
        <row r="25">
          <cell r="D25">
            <v>340.95444295051203</v>
          </cell>
          <cell r="H25">
            <v>3000</v>
          </cell>
          <cell r="P25">
            <v>0</v>
          </cell>
          <cell r="Q25">
            <v>21000</v>
          </cell>
        </row>
        <row r="26">
          <cell r="D26">
            <v>374.31044525711991</v>
          </cell>
          <cell r="H26">
            <v>8000</v>
          </cell>
          <cell r="P26">
            <v>0</v>
          </cell>
        </row>
        <row r="27">
          <cell r="D27">
            <v>321.03173093508008</v>
          </cell>
          <cell r="H27">
            <v>3000</v>
          </cell>
          <cell r="P27">
            <v>0</v>
          </cell>
        </row>
        <row r="28">
          <cell r="D28">
            <v>348.17049588381246</v>
          </cell>
          <cell r="H28">
            <v>3000</v>
          </cell>
          <cell r="P28">
            <v>0</v>
          </cell>
        </row>
        <row r="29">
          <cell r="D29">
            <v>12.300913478740295</v>
          </cell>
          <cell r="H29">
            <v>0</v>
          </cell>
          <cell r="P29">
            <v>0</v>
          </cell>
        </row>
        <row r="30">
          <cell r="D30">
            <v>369.3451871656203</v>
          </cell>
          <cell r="H30">
            <v>3000</v>
          </cell>
          <cell r="P30">
            <v>0</v>
          </cell>
        </row>
        <row r="31">
          <cell r="D31">
            <v>344.77295239613426</v>
          </cell>
          <cell r="H31">
            <v>3000</v>
          </cell>
          <cell r="P31">
            <v>0</v>
          </cell>
        </row>
        <row r="32">
          <cell r="D32">
            <v>413.37282798986445</v>
          </cell>
          <cell r="H32">
            <v>6000</v>
          </cell>
          <cell r="P32">
            <v>0</v>
          </cell>
        </row>
        <row r="33">
          <cell r="D33">
            <v>450.20284061647305</v>
          </cell>
          <cell r="H33">
            <v>8000</v>
          </cell>
          <cell r="P33">
            <v>0</v>
          </cell>
          <cell r="Q33">
            <v>200000</v>
          </cell>
        </row>
        <row r="35">
          <cell r="D35">
            <v>340.75171700096581</v>
          </cell>
          <cell r="H35">
            <v>3000</v>
          </cell>
          <cell r="P35">
            <v>0</v>
          </cell>
        </row>
        <row r="36">
          <cell r="D36">
            <v>344.00292492589881</v>
          </cell>
          <cell r="H36">
            <v>3000</v>
          </cell>
          <cell r="P36">
            <v>0</v>
          </cell>
        </row>
        <row r="37">
          <cell r="D37">
            <v>314.23332210307348</v>
          </cell>
          <cell r="H37">
            <v>3000</v>
          </cell>
          <cell r="P37">
            <v>0</v>
          </cell>
        </row>
        <row r="38">
          <cell r="D38">
            <v>342.60434365599525</v>
          </cell>
          <cell r="H38">
            <v>3000</v>
          </cell>
          <cell r="P38">
            <v>0</v>
          </cell>
        </row>
        <row r="39">
          <cell r="D39">
            <v>342.31126419335544</v>
          </cell>
          <cell r="H39">
            <v>3000</v>
          </cell>
          <cell r="P39">
            <v>0</v>
          </cell>
          <cell r="Q39">
            <v>95000</v>
          </cell>
        </row>
        <row r="40">
          <cell r="D40">
            <v>463.99815963245436</v>
          </cell>
          <cell r="H40">
            <v>8000</v>
          </cell>
          <cell r="P40">
            <v>0</v>
          </cell>
        </row>
        <row r="41">
          <cell r="D41">
            <v>317.32586036669284</v>
          </cell>
          <cell r="H41">
            <v>3000</v>
          </cell>
          <cell r="P41">
            <v>0</v>
          </cell>
        </row>
        <row r="42">
          <cell r="D42">
            <v>44.296900900578699</v>
          </cell>
          <cell r="H42">
            <v>0</v>
          </cell>
          <cell r="P42">
            <v>0</v>
          </cell>
        </row>
        <row r="43">
          <cell r="D43">
            <v>340.88838618043519</v>
          </cell>
          <cell r="H43">
            <v>3000</v>
          </cell>
          <cell r="P43">
            <v>0</v>
          </cell>
        </row>
        <row r="44">
          <cell r="D44">
            <v>389.1288193271854</v>
          </cell>
          <cell r="H44">
            <v>3000</v>
          </cell>
          <cell r="P44">
            <v>0</v>
          </cell>
        </row>
        <row r="45">
          <cell r="D45">
            <v>4.5277945571895746</v>
          </cell>
          <cell r="H45">
            <v>0</v>
          </cell>
          <cell r="P45">
            <v>0</v>
          </cell>
          <cell r="Q45">
            <v>0</v>
          </cell>
        </row>
        <row r="46">
          <cell r="D46">
            <v>366.19900862819003</v>
          </cell>
          <cell r="H46">
            <v>3000</v>
          </cell>
          <cell r="P46">
            <v>0</v>
          </cell>
        </row>
        <row r="47">
          <cell r="D47">
            <v>336.49977824465799</v>
          </cell>
          <cell r="H47">
            <v>0</v>
          </cell>
          <cell r="P47">
            <v>0</v>
          </cell>
        </row>
        <row r="48">
          <cell r="D48">
            <v>638.01325653264632</v>
          </cell>
          <cell r="H48">
            <v>3000</v>
          </cell>
          <cell r="P48">
            <v>0</v>
          </cell>
        </row>
        <row r="49">
          <cell r="D49">
            <v>1161.556859361694</v>
          </cell>
          <cell r="H49">
            <v>3000</v>
          </cell>
          <cell r="P49">
            <v>0</v>
          </cell>
        </row>
        <row r="54">
          <cell r="H54">
            <v>359000</v>
          </cell>
          <cell r="I54">
            <v>23000</v>
          </cell>
          <cell r="J54">
            <v>46000</v>
          </cell>
          <cell r="K54">
            <v>115000</v>
          </cell>
          <cell r="L54">
            <v>27500</v>
          </cell>
          <cell r="M54">
            <v>0</v>
          </cell>
          <cell r="N54">
            <v>30000</v>
          </cell>
        </row>
      </sheetData>
      <sheetData sheetId="4">
        <row r="5">
          <cell r="E5">
            <v>1297.4202318451312</v>
          </cell>
        </row>
        <row r="6">
          <cell r="C6">
            <v>450000</v>
          </cell>
          <cell r="E6">
            <v>1614.1521278001894</v>
          </cell>
          <cell r="I6">
            <v>0</v>
          </cell>
          <cell r="Q6">
            <v>0</v>
          </cell>
        </row>
        <row r="7">
          <cell r="C7">
            <v>450000</v>
          </cell>
          <cell r="E7">
            <v>1616.6230776335826</v>
          </cell>
          <cell r="I7">
            <v>3000</v>
          </cell>
          <cell r="Q7">
            <v>0</v>
          </cell>
        </row>
        <row r="8">
          <cell r="C8">
            <v>450000</v>
          </cell>
          <cell r="E8">
            <v>1617.335550167013</v>
          </cell>
          <cell r="I8">
            <v>3000</v>
          </cell>
          <cell r="Q8">
            <v>0</v>
          </cell>
        </row>
        <row r="9">
          <cell r="C9">
            <v>450000</v>
          </cell>
          <cell r="E9">
            <v>1618.173057907055</v>
          </cell>
          <cell r="I9">
            <v>3000</v>
          </cell>
          <cell r="Q9">
            <v>0</v>
          </cell>
        </row>
        <row r="10">
          <cell r="C10">
            <v>450000</v>
          </cell>
          <cell r="E10">
            <v>1631.4340448192947</v>
          </cell>
          <cell r="I10">
            <v>7000</v>
          </cell>
          <cell r="Q10">
            <v>0</v>
          </cell>
        </row>
        <row r="11">
          <cell r="C11">
            <v>450000</v>
          </cell>
          <cell r="E11">
            <v>1760.0511340673197</v>
          </cell>
          <cell r="I11">
            <v>3000</v>
          </cell>
          <cell r="Q11">
            <v>0</v>
          </cell>
        </row>
        <row r="12">
          <cell r="C12">
            <v>450000</v>
          </cell>
          <cell r="E12">
            <v>1616.6289509011378</v>
          </cell>
          <cell r="I12">
            <v>3000</v>
          </cell>
          <cell r="Q12">
            <v>0</v>
          </cell>
        </row>
        <row r="13">
          <cell r="C13">
            <v>450000</v>
          </cell>
          <cell r="E13">
            <v>1628.1500428954382</v>
          </cell>
          <cell r="I13">
            <v>3000</v>
          </cell>
          <cell r="Q13">
            <v>0</v>
          </cell>
        </row>
        <row r="14">
          <cell r="C14">
            <v>450000</v>
          </cell>
          <cell r="E14">
            <v>1616.5783504422006</v>
          </cell>
          <cell r="I14">
            <v>3000</v>
          </cell>
          <cell r="P14">
            <v>600000</v>
          </cell>
          <cell r="Q14">
            <v>66000</v>
          </cell>
          <cell r="R14">
            <v>1293000</v>
          </cell>
        </row>
        <row r="15">
          <cell r="C15">
            <v>450000</v>
          </cell>
          <cell r="E15">
            <v>1630.9177072833868</v>
          </cell>
          <cell r="I15">
            <v>3000</v>
          </cell>
          <cell r="Q15">
            <v>0</v>
          </cell>
        </row>
        <row r="16">
          <cell r="C16">
            <v>80000</v>
          </cell>
          <cell r="E16">
            <v>279.34417325522566</v>
          </cell>
          <cell r="I16">
            <v>0</v>
          </cell>
          <cell r="Q16">
            <v>0</v>
          </cell>
        </row>
        <row r="17">
          <cell r="C17">
            <v>450000</v>
          </cell>
          <cell r="E17">
            <v>1641.4636109686132</v>
          </cell>
          <cell r="I17">
            <v>3000</v>
          </cell>
          <cell r="Q17">
            <v>0</v>
          </cell>
          <cell r="R17">
            <v>105000</v>
          </cell>
        </row>
        <row r="18">
          <cell r="C18">
            <v>387000</v>
          </cell>
          <cell r="E18">
            <v>1380.7165589556118</v>
          </cell>
          <cell r="I18">
            <v>0</v>
          </cell>
          <cell r="Q18">
            <v>0</v>
          </cell>
        </row>
        <row r="19">
          <cell r="C19">
            <v>450000</v>
          </cell>
          <cell r="E19">
            <v>2072.8462083215345</v>
          </cell>
          <cell r="I19">
            <v>6000</v>
          </cell>
          <cell r="Q19">
            <v>0</v>
          </cell>
        </row>
        <row r="20">
          <cell r="C20">
            <v>450000</v>
          </cell>
          <cell r="E20">
            <v>1616.5410777827153</v>
          </cell>
          <cell r="I20">
            <v>3000</v>
          </cell>
          <cell r="Q20">
            <v>0</v>
          </cell>
        </row>
        <row r="21">
          <cell r="C21">
            <v>450000</v>
          </cell>
          <cell r="E21">
            <v>1616.4704132386082</v>
          </cell>
          <cell r="I21">
            <v>3000</v>
          </cell>
          <cell r="Q21">
            <v>0</v>
          </cell>
        </row>
        <row r="22">
          <cell r="C22">
            <v>450000</v>
          </cell>
          <cell r="E22">
            <v>1616.6153972067796</v>
          </cell>
          <cell r="I22">
            <v>3000</v>
          </cell>
          <cell r="Q22">
            <v>0</v>
          </cell>
        </row>
        <row r="23">
          <cell r="C23">
            <v>450000</v>
          </cell>
          <cell r="E23">
            <v>1616.8711102403381</v>
          </cell>
          <cell r="I23">
            <v>3000</v>
          </cell>
          <cell r="Q23">
            <v>0</v>
          </cell>
        </row>
        <row r="24">
          <cell r="C24">
            <v>450000</v>
          </cell>
          <cell r="E24">
            <v>1616.4339962917441</v>
          </cell>
          <cell r="I24">
            <v>3000</v>
          </cell>
          <cell r="Q24">
            <v>0</v>
          </cell>
        </row>
        <row r="25">
          <cell r="C25">
            <v>450000</v>
          </cell>
          <cell r="E25">
            <v>1616.6278214266081</v>
          </cell>
          <cell r="I25">
            <v>3000</v>
          </cell>
          <cell r="Q25">
            <v>0</v>
          </cell>
        </row>
        <row r="26">
          <cell r="C26">
            <v>450000</v>
          </cell>
          <cell r="E26">
            <v>1639.4517410124586</v>
          </cell>
          <cell r="I26">
            <v>8000</v>
          </cell>
          <cell r="Q26">
            <v>0</v>
          </cell>
        </row>
        <row r="27">
          <cell r="C27">
            <v>450000</v>
          </cell>
          <cell r="E27">
            <v>1612.3815377860956</v>
          </cell>
          <cell r="I27">
            <v>3000</v>
          </cell>
          <cell r="Q27">
            <v>0</v>
          </cell>
        </row>
        <row r="28">
          <cell r="C28">
            <v>450000</v>
          </cell>
          <cell r="E28">
            <v>1803.0012046540783</v>
          </cell>
          <cell r="I28">
            <v>58000</v>
          </cell>
          <cell r="Q28">
            <v>0</v>
          </cell>
        </row>
        <row r="29">
          <cell r="C29">
            <v>30000</v>
          </cell>
          <cell r="E29">
            <v>103.82760666900724</v>
          </cell>
          <cell r="I29">
            <v>0</v>
          </cell>
          <cell r="Q29">
            <v>0</v>
          </cell>
        </row>
        <row r="30">
          <cell r="C30">
            <v>450000</v>
          </cell>
          <cell r="E30">
            <v>1625.0805168428449</v>
          </cell>
          <cell r="I30">
            <v>3000</v>
          </cell>
          <cell r="Q30">
            <v>0</v>
          </cell>
        </row>
        <row r="31">
          <cell r="C31">
            <v>450000</v>
          </cell>
          <cell r="E31">
            <v>1617.760416330535</v>
          </cell>
          <cell r="I31">
            <v>3000</v>
          </cell>
          <cell r="Q31">
            <v>0</v>
          </cell>
        </row>
        <row r="32">
          <cell r="C32">
            <v>450000</v>
          </cell>
          <cell r="E32">
            <v>1813.4170211156209</v>
          </cell>
          <cell r="I32">
            <v>56000</v>
          </cell>
          <cell r="Q32">
            <v>0</v>
          </cell>
        </row>
        <row r="33">
          <cell r="C33">
            <v>450000</v>
          </cell>
          <cell r="E33">
            <v>1662.0489397203996</v>
          </cell>
          <cell r="I33">
            <v>8000</v>
          </cell>
          <cell r="Q33">
            <v>0</v>
          </cell>
          <cell r="R33">
            <v>472000</v>
          </cell>
        </row>
        <row r="35">
          <cell r="C35">
            <v>450000</v>
          </cell>
          <cell r="E35">
            <v>1616.5735405789071</v>
          </cell>
          <cell r="I35">
            <v>3000</v>
          </cell>
          <cell r="Q35">
            <v>0</v>
          </cell>
        </row>
        <row r="36">
          <cell r="C36">
            <v>450000</v>
          </cell>
          <cell r="E36">
            <v>1617.540822566272</v>
          </cell>
          <cell r="I36">
            <v>3000</v>
          </cell>
          <cell r="Q36">
            <v>0</v>
          </cell>
        </row>
        <row r="37">
          <cell r="C37">
            <v>420000</v>
          </cell>
          <cell r="E37">
            <v>1508.3883305341526</v>
          </cell>
          <cell r="I37">
            <v>3000</v>
          </cell>
          <cell r="Q37">
            <v>0</v>
          </cell>
        </row>
        <row r="38">
          <cell r="C38">
            <v>450000</v>
          </cell>
          <cell r="E38">
            <v>1617.1247241494748</v>
          </cell>
          <cell r="I38">
            <v>3000</v>
          </cell>
          <cell r="Q38">
            <v>0</v>
          </cell>
        </row>
        <row r="39">
          <cell r="C39">
            <v>450000</v>
          </cell>
          <cell r="E39">
            <v>1617.0375287157703</v>
          </cell>
          <cell r="I39">
            <v>3000</v>
          </cell>
          <cell r="Q39">
            <v>0</v>
          </cell>
          <cell r="R39">
            <v>95000</v>
          </cell>
        </row>
        <row r="40">
          <cell r="C40">
            <v>450000</v>
          </cell>
          <cell r="E40">
            <v>1649.2903048677806</v>
          </cell>
          <cell r="I40">
            <v>3000</v>
          </cell>
          <cell r="Q40">
            <v>0</v>
          </cell>
        </row>
        <row r="41">
          <cell r="C41">
            <v>420000</v>
          </cell>
          <cell r="E41">
            <v>1509.1074943145702</v>
          </cell>
          <cell r="I41">
            <v>3000</v>
          </cell>
          <cell r="Q41">
            <v>0</v>
          </cell>
        </row>
        <row r="42">
          <cell r="C42">
            <v>50000</v>
          </cell>
          <cell r="E42">
            <v>178.9921464626949</v>
          </cell>
          <cell r="I42">
            <v>0</v>
          </cell>
          <cell r="Q42">
            <v>0</v>
          </cell>
        </row>
        <row r="43">
          <cell r="C43">
            <v>450000</v>
          </cell>
          <cell r="E43">
            <v>1616.6142016619817</v>
          </cell>
          <cell r="I43">
            <v>3000</v>
          </cell>
          <cell r="Q43">
            <v>0</v>
          </cell>
        </row>
        <row r="44">
          <cell r="C44">
            <v>433819</v>
          </cell>
          <cell r="E44">
            <v>1575.2143633827636</v>
          </cell>
          <cell r="I44">
            <v>3000</v>
          </cell>
          <cell r="Q44">
            <v>0</v>
          </cell>
        </row>
        <row r="45">
          <cell r="C45">
            <v>30000</v>
          </cell>
          <cell r="E45">
            <v>101.72074595948962</v>
          </cell>
          <cell r="I45">
            <v>0</v>
          </cell>
          <cell r="Q45">
            <v>0</v>
          </cell>
        </row>
        <row r="46">
          <cell r="C46">
            <v>450000</v>
          </cell>
          <cell r="E46">
            <v>1622.122254480237</v>
          </cell>
          <cell r="I46">
            <v>3000</v>
          </cell>
          <cell r="Q46">
            <v>0</v>
          </cell>
        </row>
        <row r="47">
          <cell r="C47">
            <v>450000</v>
          </cell>
          <cell r="E47">
            <v>1606.5016437757461</v>
          </cell>
          <cell r="I47">
            <v>0</v>
          </cell>
          <cell r="Q47">
            <v>0</v>
          </cell>
        </row>
        <row r="48">
          <cell r="C48">
            <v>450000</v>
          </cell>
          <cell r="E48">
            <v>1705.013203425551</v>
          </cell>
          <cell r="I48">
            <v>3000</v>
          </cell>
          <cell r="Q48">
            <v>0</v>
          </cell>
        </row>
        <row r="49">
          <cell r="C49">
            <v>450000</v>
          </cell>
          <cell r="E49">
            <v>1860.3950675440265</v>
          </cell>
          <cell r="I49">
            <v>3000</v>
          </cell>
          <cell r="Q49">
            <v>0</v>
          </cell>
        </row>
        <row r="54">
          <cell r="I54">
            <v>233000</v>
          </cell>
          <cell r="J54">
            <v>18000</v>
          </cell>
          <cell r="K54">
            <v>36000</v>
          </cell>
          <cell r="L54">
            <v>90000</v>
          </cell>
          <cell r="M54">
            <v>15000</v>
          </cell>
          <cell r="N54">
            <v>0</v>
          </cell>
          <cell r="O54">
            <v>0</v>
          </cell>
        </row>
      </sheetData>
      <sheetData sheetId="5">
        <row r="5">
          <cell r="C5">
            <v>4285.2807407029477</v>
          </cell>
        </row>
        <row r="6">
          <cell r="C6">
            <v>5364.5046132105999</v>
          </cell>
          <cell r="G6">
            <v>3000</v>
          </cell>
          <cell r="O6">
            <v>0</v>
          </cell>
        </row>
        <row r="7">
          <cell r="C7">
            <v>5372.6659733253746</v>
          </cell>
          <cell r="G7">
            <v>3000</v>
          </cell>
          <cell r="O7">
            <v>0</v>
          </cell>
        </row>
        <row r="8">
          <cell r="C8">
            <v>5375.0192161304813</v>
          </cell>
          <cell r="G8">
            <v>3000</v>
          </cell>
          <cell r="O8">
            <v>0</v>
          </cell>
        </row>
        <row r="9">
          <cell r="C9">
            <v>5377.7854407510795</v>
          </cell>
          <cell r="G9">
            <v>3000</v>
          </cell>
          <cell r="O9">
            <v>0</v>
          </cell>
        </row>
        <row r="10">
          <cell r="C10">
            <v>5421.5854759462427</v>
          </cell>
          <cell r="G10">
            <v>3000</v>
          </cell>
          <cell r="O10">
            <v>0</v>
          </cell>
        </row>
        <row r="11">
          <cell r="C11">
            <v>5846.397978442832</v>
          </cell>
          <cell r="G11">
            <v>3000</v>
          </cell>
          <cell r="O11">
            <v>0</v>
          </cell>
        </row>
        <row r="12">
          <cell r="C12">
            <v>5372.6853722831856</v>
          </cell>
          <cell r="G12">
            <v>3000</v>
          </cell>
          <cell r="O12">
            <v>0</v>
          </cell>
        </row>
        <row r="13">
          <cell r="C13">
            <v>5410.7386663688103</v>
          </cell>
          <cell r="G13">
            <v>3000</v>
          </cell>
          <cell r="O13">
            <v>0</v>
          </cell>
        </row>
        <row r="14">
          <cell r="C14">
            <v>5372.5182428005146</v>
          </cell>
          <cell r="G14">
            <v>3000</v>
          </cell>
          <cell r="O14">
            <v>0</v>
          </cell>
        </row>
        <row r="15">
          <cell r="C15">
            <v>5419.8800521798967</v>
          </cell>
          <cell r="G15">
            <v>3000</v>
          </cell>
          <cell r="O15">
            <v>0</v>
          </cell>
        </row>
        <row r="16">
          <cell r="C16">
            <v>922.65264275691993</v>
          </cell>
          <cell r="G16">
            <v>0</v>
          </cell>
          <cell r="O16">
            <v>0</v>
          </cell>
        </row>
        <row r="17">
          <cell r="C17">
            <v>5454.7123731552974</v>
          </cell>
          <cell r="G17">
            <v>3000</v>
          </cell>
          <cell r="O17">
            <v>0</v>
          </cell>
          <cell r="P17">
            <v>100000</v>
          </cell>
        </row>
        <row r="18">
          <cell r="C18">
            <v>4560.402199099045</v>
          </cell>
          <cell r="G18">
            <v>0</v>
          </cell>
          <cell r="O18">
            <v>0</v>
          </cell>
        </row>
        <row r="19">
          <cell r="C19">
            <v>6912.6188271035271</v>
          </cell>
          <cell r="G19">
            <v>6000</v>
          </cell>
          <cell r="O19">
            <v>0</v>
          </cell>
        </row>
        <row r="20">
          <cell r="C20">
            <v>5372.3951340297963</v>
          </cell>
          <cell r="G20">
            <v>3000</v>
          </cell>
          <cell r="O20">
            <v>0</v>
          </cell>
        </row>
        <row r="21">
          <cell r="C21">
            <v>5372.1617343937496</v>
          </cell>
          <cell r="G21">
            <v>3000</v>
          </cell>
          <cell r="O21">
            <v>0</v>
          </cell>
        </row>
        <row r="22">
          <cell r="C22">
            <v>5372.64060545747</v>
          </cell>
          <cell r="G22">
            <v>3000</v>
          </cell>
          <cell r="N22">
            <v>700000</v>
          </cell>
          <cell r="O22">
            <v>70000</v>
          </cell>
          <cell r="P22">
            <v>896000</v>
          </cell>
        </row>
        <row r="23">
          <cell r="C23">
            <v>5373.4852062359669</v>
          </cell>
          <cell r="G23">
            <v>3000</v>
          </cell>
          <cell r="O23">
            <v>0</v>
          </cell>
        </row>
        <row r="24">
          <cell r="C24">
            <v>5372.0414519769956</v>
          </cell>
          <cell r="G24">
            <v>3000</v>
          </cell>
          <cell r="O24">
            <v>0</v>
          </cell>
        </row>
        <row r="25">
          <cell r="C25">
            <v>5372.6816417143755</v>
          </cell>
          <cell r="G25">
            <v>3000</v>
          </cell>
          <cell r="O25">
            <v>0</v>
          </cell>
        </row>
        <row r="26">
          <cell r="C26">
            <v>5503.2046756838663</v>
          </cell>
          <cell r="G26">
            <v>8000</v>
          </cell>
          <cell r="O26">
            <v>0</v>
          </cell>
        </row>
        <row r="27">
          <cell r="C27">
            <v>5358.6564885237458</v>
          </cell>
          <cell r="G27">
            <v>3000</v>
          </cell>
          <cell r="O27">
            <v>0</v>
          </cell>
        </row>
        <row r="28">
          <cell r="C28">
            <v>5988.2588079410098</v>
          </cell>
          <cell r="G28">
            <v>3000</v>
          </cell>
          <cell r="O28">
            <v>0</v>
          </cell>
        </row>
        <row r="29">
          <cell r="C29">
            <v>342.93471944646507</v>
          </cell>
          <cell r="G29">
            <v>0</v>
          </cell>
          <cell r="O29">
            <v>0</v>
          </cell>
        </row>
        <row r="30">
          <cell r="C30">
            <v>5400.6002543467021</v>
          </cell>
          <cell r="G30">
            <v>3000</v>
          </cell>
          <cell r="O30">
            <v>0</v>
          </cell>
        </row>
        <row r="31">
          <cell r="C31">
            <v>5376.4225168831817</v>
          </cell>
          <cell r="G31">
            <v>3000</v>
          </cell>
          <cell r="O31">
            <v>0</v>
          </cell>
        </row>
        <row r="32">
          <cell r="C32">
            <v>6607.1174404836029</v>
          </cell>
          <cell r="G32">
            <v>56000</v>
          </cell>
          <cell r="O32">
            <v>0</v>
          </cell>
        </row>
        <row r="33">
          <cell r="C33">
            <v>5577.841511182618</v>
          </cell>
          <cell r="G33">
            <v>8000</v>
          </cell>
          <cell r="N33">
            <v>500000</v>
          </cell>
          <cell r="O33">
            <v>50000</v>
          </cell>
          <cell r="P33">
            <v>472000</v>
          </cell>
        </row>
        <row r="35">
          <cell r="C35">
            <v>5372.5023561864236</v>
          </cell>
          <cell r="G35">
            <v>3000</v>
          </cell>
          <cell r="O35">
            <v>0</v>
          </cell>
        </row>
        <row r="36">
          <cell r="C36">
            <v>5375.69721531498</v>
          </cell>
          <cell r="G36">
            <v>3000</v>
          </cell>
          <cell r="N36">
            <v>1000000</v>
          </cell>
          <cell r="O36">
            <v>100000</v>
          </cell>
          <cell r="P36">
            <v>1120000</v>
          </cell>
        </row>
        <row r="37">
          <cell r="C37">
            <v>5015.1748028967904</v>
          </cell>
          <cell r="G37">
            <v>3000</v>
          </cell>
          <cell r="O37">
            <v>0</v>
          </cell>
        </row>
        <row r="38">
          <cell r="C38">
            <v>5374.3228737655172</v>
          </cell>
          <cell r="G38">
            <v>3000</v>
          </cell>
          <cell r="O38">
            <v>0</v>
          </cell>
        </row>
        <row r="39">
          <cell r="C39">
            <v>5374.0348738534149</v>
          </cell>
          <cell r="G39">
            <v>3000</v>
          </cell>
          <cell r="O39">
            <v>0</v>
          </cell>
          <cell r="P39">
            <v>95000</v>
          </cell>
        </row>
        <row r="40">
          <cell r="C40">
            <v>5535.7007067850836</v>
          </cell>
          <cell r="G40">
            <v>8000</v>
          </cell>
          <cell r="O40">
            <v>0</v>
          </cell>
        </row>
        <row r="41">
          <cell r="C41">
            <v>5017.5501463838054</v>
          </cell>
          <cell r="G41">
            <v>3000</v>
          </cell>
          <cell r="O41">
            <v>0</v>
          </cell>
        </row>
        <row r="42">
          <cell r="C42">
            <v>591.19750035255026</v>
          </cell>
          <cell r="G42">
            <v>0</v>
          </cell>
          <cell r="O42">
            <v>0</v>
          </cell>
        </row>
        <row r="43">
          <cell r="C43">
            <v>5372.6366566635697</v>
          </cell>
          <cell r="G43">
            <v>3000</v>
          </cell>
          <cell r="O43">
            <v>0</v>
          </cell>
        </row>
        <row r="44">
          <cell r="C44">
            <v>5235.8961270405298</v>
          </cell>
          <cell r="G44">
            <v>3000</v>
          </cell>
          <cell r="O44">
            <v>0</v>
          </cell>
        </row>
        <row r="45">
          <cell r="C45">
            <v>335.97591812655673</v>
          </cell>
          <cell r="G45">
            <v>0</v>
          </cell>
          <cell r="O45">
            <v>0</v>
          </cell>
        </row>
        <row r="46">
          <cell r="C46">
            <v>5390.829337863921</v>
          </cell>
          <cell r="G46">
            <v>3000</v>
          </cell>
          <cell r="O46">
            <v>0</v>
          </cell>
        </row>
        <row r="47">
          <cell r="C47">
            <v>5306.1532300828112</v>
          </cell>
          <cell r="G47">
            <v>0</v>
          </cell>
          <cell r="O47">
            <v>0</v>
          </cell>
        </row>
        <row r="48">
          <cell r="C48">
            <v>5664.6118628895865</v>
          </cell>
          <cell r="G48">
            <v>3000</v>
          </cell>
          <cell r="O48">
            <v>0</v>
          </cell>
        </row>
        <row r="49">
          <cell r="C49">
            <v>6177.8263892381374</v>
          </cell>
          <cell r="G49">
            <v>3000</v>
          </cell>
          <cell r="O49">
            <v>0</v>
          </cell>
        </row>
        <row r="54">
          <cell r="G54">
            <v>182000</v>
          </cell>
          <cell r="H54">
            <v>18500</v>
          </cell>
          <cell r="I54">
            <v>37000</v>
          </cell>
          <cell r="J54">
            <v>92500</v>
          </cell>
          <cell r="K54">
            <v>14000</v>
          </cell>
          <cell r="L54">
            <v>0</v>
          </cell>
          <cell r="M54">
            <v>0</v>
          </cell>
        </row>
      </sheetData>
      <sheetData sheetId="6">
        <row r="5">
          <cell r="C5">
            <v>1737.3498317746098</v>
          </cell>
        </row>
        <row r="6">
          <cell r="C6">
            <v>2183.7356691158393</v>
          </cell>
          <cell r="G6">
            <v>2000</v>
          </cell>
          <cell r="O6">
            <v>0</v>
          </cell>
        </row>
        <row r="7">
          <cell r="C7">
            <v>2191.4664920871551</v>
          </cell>
          <cell r="G7">
            <v>3000</v>
          </cell>
          <cell r="O7">
            <v>0</v>
          </cell>
        </row>
        <row r="8">
          <cell r="C8">
            <v>2192.4205499981676</v>
          </cell>
          <cell r="G8">
            <v>3000</v>
          </cell>
          <cell r="O8">
            <v>0</v>
          </cell>
        </row>
        <row r="9">
          <cell r="C9">
            <v>2193.5420400871594</v>
          </cell>
          <cell r="G9">
            <v>3000</v>
          </cell>
          <cell r="O9">
            <v>0</v>
          </cell>
          <cell r="P9">
            <v>1020000</v>
          </cell>
        </row>
        <row r="10">
          <cell r="C10">
            <v>2211.2995659956155</v>
          </cell>
          <cell r="G10">
            <v>3000</v>
          </cell>
          <cell r="O10">
            <v>0</v>
          </cell>
          <cell r="P10">
            <v>70000</v>
          </cell>
        </row>
        <row r="11">
          <cell r="C11">
            <v>2383.5281723359158</v>
          </cell>
          <cell r="G11">
            <v>3000</v>
          </cell>
          <cell r="O11">
            <v>0</v>
          </cell>
        </row>
        <row r="12">
          <cell r="C12">
            <v>2191.4743568638469</v>
          </cell>
          <cell r="G12">
            <v>3000</v>
          </cell>
          <cell r="O12">
            <v>0</v>
          </cell>
        </row>
        <row r="13">
          <cell r="C13">
            <v>2206.9020238192879</v>
          </cell>
          <cell r="G13">
            <v>3000</v>
          </cell>
          <cell r="O13">
            <v>0</v>
          </cell>
        </row>
        <row r="14">
          <cell r="C14">
            <v>2191.406598787732</v>
          </cell>
          <cell r="G14">
            <v>3000</v>
          </cell>
          <cell r="O14">
            <v>0</v>
          </cell>
        </row>
        <row r="15">
          <cell r="C15">
            <v>2210.6081485896511</v>
          </cell>
          <cell r="G15">
            <v>3000</v>
          </cell>
          <cell r="O15">
            <v>0</v>
          </cell>
        </row>
        <row r="16">
          <cell r="C16">
            <v>374.0642703883122</v>
          </cell>
          <cell r="G16">
            <v>0</v>
          </cell>
          <cell r="O16">
            <v>0</v>
          </cell>
        </row>
        <row r="17">
          <cell r="C17">
            <v>2224.729960122821</v>
          </cell>
          <cell r="G17">
            <v>3000</v>
          </cell>
          <cell r="O17">
            <v>0</v>
          </cell>
        </row>
        <row r="18">
          <cell r="C18">
            <v>1848.8902998055653</v>
          </cell>
          <cell r="G18">
            <v>0</v>
          </cell>
          <cell r="O18">
            <v>0</v>
          </cell>
        </row>
        <row r="19">
          <cell r="C19">
            <v>2829.0643122250785</v>
          </cell>
          <cell r="G19">
            <v>6000</v>
          </cell>
          <cell r="O19">
            <v>0</v>
          </cell>
        </row>
        <row r="20">
          <cell r="C20">
            <v>2191.3566877048793</v>
          </cell>
          <cell r="G20">
            <v>3000</v>
          </cell>
          <cell r="O20">
            <v>0</v>
          </cell>
          <cell r="P20">
            <v>650000</v>
          </cell>
        </row>
        <row r="21">
          <cell r="C21">
            <v>2191.2620622082181</v>
          </cell>
          <cell r="G21">
            <v>3000</v>
          </cell>
          <cell r="O21">
            <v>0</v>
          </cell>
        </row>
        <row r="22">
          <cell r="C22">
            <v>2191.4562073791735</v>
          </cell>
          <cell r="G22">
            <v>3000</v>
          </cell>
          <cell r="O22">
            <v>0</v>
          </cell>
        </row>
        <row r="23">
          <cell r="C23">
            <v>2191.7986276566835</v>
          </cell>
          <cell r="G23">
            <v>3000</v>
          </cell>
          <cell r="O23">
            <v>0</v>
          </cell>
        </row>
        <row r="24">
          <cell r="C24">
            <v>2191.2132969932513</v>
          </cell>
          <cell r="G24">
            <v>3000</v>
          </cell>
          <cell r="O24">
            <v>0</v>
          </cell>
        </row>
        <row r="25">
          <cell r="C25">
            <v>2191.472844406791</v>
          </cell>
          <cell r="G25">
            <v>3000</v>
          </cell>
          <cell r="O25">
            <v>0</v>
          </cell>
        </row>
        <row r="26">
          <cell r="C26">
            <v>2266.4999514729211</v>
          </cell>
          <cell r="G26">
            <v>8000</v>
          </cell>
          <cell r="O26">
            <v>0</v>
          </cell>
        </row>
        <row r="27">
          <cell r="C27">
            <v>2185.7867297714274</v>
          </cell>
          <cell r="G27">
            <v>3000</v>
          </cell>
          <cell r="O27">
            <v>0</v>
          </cell>
        </row>
        <row r="28">
          <cell r="C28">
            <v>2447.6747985773591</v>
          </cell>
          <cell r="G28">
            <v>4500</v>
          </cell>
          <cell r="O28">
            <v>0</v>
          </cell>
        </row>
        <row r="29">
          <cell r="C29">
            <v>139.03349936467777</v>
          </cell>
          <cell r="G29">
            <v>0</v>
          </cell>
          <cell r="O29">
            <v>0</v>
          </cell>
        </row>
        <row r="30">
          <cell r="C30">
            <v>2202.7916820501323</v>
          </cell>
          <cell r="G30">
            <v>3000</v>
          </cell>
          <cell r="O30">
            <v>0</v>
          </cell>
        </row>
        <row r="31">
          <cell r="C31">
            <v>2192.9894798942828</v>
          </cell>
          <cell r="G31">
            <v>3000</v>
          </cell>
          <cell r="O31">
            <v>0</v>
          </cell>
        </row>
        <row r="32">
          <cell r="C32">
            <v>2926.3082737947939</v>
          </cell>
          <cell r="G32">
            <v>56000</v>
          </cell>
          <cell r="N32">
            <v>1000000</v>
          </cell>
          <cell r="O32">
            <v>90000</v>
          </cell>
          <cell r="P32">
            <v>1120000</v>
          </cell>
        </row>
        <row r="33">
          <cell r="C33">
            <v>2296.7594143749188</v>
          </cell>
          <cell r="G33">
            <v>8000</v>
          </cell>
          <cell r="O33">
            <v>0</v>
          </cell>
        </row>
        <row r="35">
          <cell r="C35">
            <v>2191.4001579947039</v>
          </cell>
          <cell r="G35">
            <v>3000</v>
          </cell>
          <cell r="O35">
            <v>0</v>
          </cell>
        </row>
        <row r="36">
          <cell r="C36">
            <v>2192.6954262175814</v>
          </cell>
          <cell r="G36">
            <v>3000</v>
          </cell>
          <cell r="O36">
            <v>0</v>
          </cell>
        </row>
        <row r="37">
          <cell r="C37">
            <v>2046.5314779337702</v>
          </cell>
          <cell r="G37">
            <v>3000</v>
          </cell>
          <cell r="O37">
            <v>0</v>
          </cell>
        </row>
        <row r="38">
          <cell r="C38">
            <v>2192.1382370381002</v>
          </cell>
          <cell r="G38">
            <v>3000</v>
          </cell>
          <cell r="O38">
            <v>0</v>
          </cell>
        </row>
        <row r="39">
          <cell r="C39">
            <v>2192.0214753533664</v>
          </cell>
          <cell r="G39">
            <v>3000</v>
          </cell>
          <cell r="O39">
            <v>0</v>
          </cell>
          <cell r="P39">
            <v>95000</v>
          </cell>
        </row>
        <row r="40">
          <cell r="C40">
            <v>2279.6745781970926</v>
          </cell>
          <cell r="G40">
            <v>8000</v>
          </cell>
          <cell r="O40">
            <v>0</v>
          </cell>
        </row>
        <row r="41">
          <cell r="C41">
            <v>2047.4944959615914</v>
          </cell>
          <cell r="G41">
            <v>3000</v>
          </cell>
          <cell r="O41">
            <v>0</v>
          </cell>
        </row>
        <row r="42">
          <cell r="C42">
            <v>239.68485145610023</v>
          </cell>
          <cell r="G42">
            <v>0</v>
          </cell>
          <cell r="O42">
            <v>0</v>
          </cell>
        </row>
        <row r="43">
          <cell r="C43">
            <v>2191.4546064487249</v>
          </cell>
          <cell r="G43">
            <v>3000</v>
          </cell>
          <cell r="O43">
            <v>0</v>
          </cell>
        </row>
        <row r="44">
          <cell r="C44">
            <v>2136.0168999104158</v>
          </cell>
          <cell r="G44">
            <v>3000</v>
          </cell>
          <cell r="O44">
            <v>0</v>
          </cell>
        </row>
        <row r="45">
          <cell r="C45">
            <v>136.21224376112716</v>
          </cell>
          <cell r="G45">
            <v>0</v>
          </cell>
          <cell r="O45">
            <v>0</v>
          </cell>
        </row>
        <row r="46">
          <cell r="C46">
            <v>2198.8303312927815</v>
          </cell>
          <cell r="G46">
            <v>3000</v>
          </cell>
          <cell r="O46">
            <v>0</v>
          </cell>
        </row>
        <row r="47">
          <cell r="C47">
            <v>2151.2346516980983</v>
          </cell>
          <cell r="G47">
            <v>0</v>
          </cell>
          <cell r="O47">
            <v>0</v>
          </cell>
        </row>
        <row r="48">
          <cell r="C48">
            <v>2309.8279654216817</v>
          </cell>
          <cell r="G48">
            <v>3000</v>
          </cell>
          <cell r="O48">
            <v>0</v>
          </cell>
        </row>
        <row r="49">
          <cell r="C49">
            <v>2517.896753668605</v>
          </cell>
          <cell r="G49">
            <v>3000</v>
          </cell>
          <cell r="O49">
            <v>0</v>
          </cell>
        </row>
        <row r="54">
          <cell r="G54">
            <v>182500</v>
          </cell>
          <cell r="H54">
            <v>18500</v>
          </cell>
          <cell r="I54">
            <v>37000</v>
          </cell>
          <cell r="J54">
            <v>92500</v>
          </cell>
          <cell r="K54">
            <v>17000</v>
          </cell>
          <cell r="L54">
            <v>25000</v>
          </cell>
          <cell r="M54">
            <v>0</v>
          </cell>
        </row>
      </sheetData>
      <sheetData sheetId="7">
        <row r="5">
          <cell r="C5">
            <v>918.54363258949627</v>
          </cell>
        </row>
        <row r="6">
          <cell r="C6">
            <v>1154.549565919054</v>
          </cell>
          <cell r="G6">
            <v>0</v>
          </cell>
          <cell r="O6">
            <v>0</v>
          </cell>
        </row>
        <row r="7">
          <cell r="C7">
            <v>1165.6198255603347</v>
          </cell>
          <cell r="G7">
            <v>3000</v>
          </cell>
          <cell r="O7">
            <v>0</v>
          </cell>
          <cell r="P7">
            <v>823200</v>
          </cell>
        </row>
        <row r="8">
          <cell r="C8">
            <v>1166.1242396991884</v>
          </cell>
          <cell r="G8">
            <v>3000</v>
          </cell>
          <cell r="O8">
            <v>0</v>
          </cell>
        </row>
        <row r="9">
          <cell r="C9">
            <v>1166.7171758836087</v>
          </cell>
          <cell r="G9">
            <v>3000</v>
          </cell>
          <cell r="O9">
            <v>0</v>
          </cell>
        </row>
        <row r="10">
          <cell r="C10">
            <v>1176.105649094611</v>
          </cell>
          <cell r="G10">
            <v>3000</v>
          </cell>
          <cell r="O10">
            <v>0</v>
          </cell>
        </row>
        <row r="11">
          <cell r="C11">
            <v>1267.1635850441335</v>
          </cell>
          <cell r="G11">
            <v>3000</v>
          </cell>
          <cell r="O11">
            <v>0</v>
          </cell>
        </row>
        <row r="12">
          <cell r="C12">
            <v>1165.6239836984482</v>
          </cell>
          <cell r="G12">
            <v>3000</v>
          </cell>
          <cell r="O12">
            <v>0</v>
          </cell>
        </row>
        <row r="13">
          <cell r="C13">
            <v>1173.7806513933804</v>
          </cell>
          <cell r="G13">
            <v>3000</v>
          </cell>
          <cell r="O13">
            <v>0</v>
          </cell>
        </row>
        <row r="14">
          <cell r="C14">
            <v>1165.5881597393161</v>
          </cell>
          <cell r="G14">
            <v>3000</v>
          </cell>
          <cell r="O14">
            <v>0</v>
          </cell>
        </row>
        <row r="15">
          <cell r="C15">
            <v>1175.7400940152052</v>
          </cell>
          <cell r="G15">
            <v>3000</v>
          </cell>
          <cell r="O15">
            <v>0</v>
          </cell>
        </row>
        <row r="16">
          <cell r="C16">
            <v>197.76923879139332</v>
          </cell>
          <cell r="G16">
            <v>0</v>
          </cell>
          <cell r="O16">
            <v>0</v>
          </cell>
        </row>
        <row r="17">
          <cell r="C17">
            <v>1183.2063508548956</v>
          </cell>
          <cell r="G17">
            <v>3000</v>
          </cell>
          <cell r="O17">
            <v>0</v>
          </cell>
          <cell r="P17">
            <v>100000</v>
          </cell>
        </row>
        <row r="18">
          <cell r="C18">
            <v>977.51551310088087</v>
          </cell>
          <cell r="G18">
            <v>0</v>
          </cell>
          <cell r="O18">
            <v>0</v>
          </cell>
        </row>
        <row r="19">
          <cell r="C19">
            <v>1509.7032233988232</v>
          </cell>
          <cell r="G19">
            <v>6000</v>
          </cell>
          <cell r="O19">
            <v>0</v>
          </cell>
        </row>
        <row r="20">
          <cell r="C20">
            <v>1165.5617715551336</v>
          </cell>
          <cell r="G20">
            <v>3000</v>
          </cell>
          <cell r="N20">
            <v>600000</v>
          </cell>
          <cell r="O20">
            <v>48000</v>
          </cell>
          <cell r="P20">
            <v>450000</v>
          </cell>
        </row>
        <row r="21">
          <cell r="C21">
            <v>1165.5117426859622</v>
          </cell>
          <cell r="G21">
            <v>3000</v>
          </cell>
          <cell r="O21">
            <v>0</v>
          </cell>
        </row>
        <row r="22">
          <cell r="C22">
            <v>1165.6143879951094</v>
          </cell>
          <cell r="G22">
            <v>3000</v>
          </cell>
          <cell r="O22">
            <v>0</v>
          </cell>
        </row>
        <row r="23">
          <cell r="C23">
            <v>1165.7954269314387</v>
          </cell>
          <cell r="G23">
            <v>3000</v>
          </cell>
          <cell r="O23">
            <v>0</v>
          </cell>
        </row>
        <row r="24">
          <cell r="C24">
            <v>1165.4859603266007</v>
          </cell>
          <cell r="G24">
            <v>3000</v>
          </cell>
          <cell r="O24">
            <v>0</v>
          </cell>
          <cell r="P24">
            <v>157500</v>
          </cell>
        </row>
        <row r="25">
          <cell r="C25">
            <v>1165.6231840565033</v>
          </cell>
          <cell r="G25">
            <v>3000</v>
          </cell>
          <cell r="O25">
            <v>0</v>
          </cell>
        </row>
        <row r="26">
          <cell r="C26">
            <v>1216.9285471759504</v>
          </cell>
          <cell r="G26">
            <v>8000</v>
          </cell>
          <cell r="O26">
            <v>0</v>
          </cell>
        </row>
        <row r="27">
          <cell r="C27">
            <v>1162.6169130701055</v>
          </cell>
          <cell r="G27">
            <v>3000</v>
          </cell>
          <cell r="O27">
            <v>0</v>
          </cell>
        </row>
        <row r="28">
          <cell r="C28">
            <v>1301.0781565417981</v>
          </cell>
          <cell r="G28">
            <v>3000</v>
          </cell>
          <cell r="O28">
            <v>0</v>
          </cell>
        </row>
        <row r="29">
          <cell r="C29">
            <v>73.50755341404863</v>
          </cell>
          <cell r="G29">
            <v>0</v>
          </cell>
          <cell r="O29">
            <v>0</v>
          </cell>
          <cell r="P29">
            <v>50000</v>
          </cell>
        </row>
        <row r="30">
          <cell r="C30">
            <v>1171.6074976676462</v>
          </cell>
          <cell r="G30">
            <v>3000</v>
          </cell>
          <cell r="O30">
            <v>0</v>
          </cell>
        </row>
        <row r="31">
          <cell r="C31">
            <v>1166.4250351543747</v>
          </cell>
          <cell r="G31">
            <v>3000</v>
          </cell>
          <cell r="O31">
            <v>0</v>
          </cell>
        </row>
        <row r="32">
          <cell r="C32">
            <v>1677.4988748853702</v>
          </cell>
          <cell r="G32">
            <v>56000</v>
          </cell>
          <cell r="O32">
            <v>0</v>
          </cell>
        </row>
        <row r="33">
          <cell r="C33">
            <v>1232.9268432392237</v>
          </cell>
          <cell r="G33">
            <v>8000</v>
          </cell>
          <cell r="O33">
            <v>0</v>
          </cell>
          <cell r="P33">
            <v>130000</v>
          </cell>
        </row>
        <row r="35">
          <cell r="C35">
            <v>1165.5847544669198</v>
          </cell>
          <cell r="G35">
            <v>3000</v>
          </cell>
          <cell r="O35">
            <v>0</v>
          </cell>
        </row>
        <row r="36">
          <cell r="C36">
            <v>1166.2695678285465</v>
          </cell>
          <cell r="G36">
            <v>3000</v>
          </cell>
          <cell r="O36">
            <v>0</v>
          </cell>
        </row>
        <row r="37">
          <cell r="C37">
            <v>1088.9921182586475</v>
          </cell>
          <cell r="G37">
            <v>3000</v>
          </cell>
          <cell r="O37">
            <v>0</v>
          </cell>
        </row>
        <row r="38">
          <cell r="C38">
            <v>1165.9749797360394</v>
          </cell>
          <cell r="G38">
            <v>3000</v>
          </cell>
          <cell r="O38">
            <v>0</v>
          </cell>
        </row>
        <row r="39">
          <cell r="C39">
            <v>1165.913247377892</v>
          </cell>
          <cell r="G39">
            <v>3000</v>
          </cell>
          <cell r="O39">
            <v>0</v>
          </cell>
        </row>
        <row r="40">
          <cell r="C40">
            <v>1223.8940237126305</v>
          </cell>
          <cell r="G40">
            <v>8000</v>
          </cell>
          <cell r="O40">
            <v>0</v>
          </cell>
        </row>
        <row r="41">
          <cell r="C41">
            <v>1089.5012696462068</v>
          </cell>
          <cell r="G41">
            <v>3000</v>
          </cell>
          <cell r="O41">
            <v>0</v>
          </cell>
        </row>
        <row r="42">
          <cell r="C42">
            <v>126.72231585522269</v>
          </cell>
          <cell r="G42">
            <v>0</v>
          </cell>
          <cell r="O42">
            <v>0</v>
          </cell>
        </row>
        <row r="43">
          <cell r="C43">
            <v>1165.6135415769368</v>
          </cell>
          <cell r="G43">
            <v>3000</v>
          </cell>
          <cell r="O43">
            <v>0</v>
          </cell>
        </row>
        <row r="44">
          <cell r="C44">
            <v>1136.3034098954463</v>
          </cell>
          <cell r="G44">
            <v>3000</v>
          </cell>
          <cell r="O44">
            <v>0</v>
          </cell>
        </row>
        <row r="45">
          <cell r="C45">
            <v>72.015944572148442</v>
          </cell>
          <cell r="G45">
            <v>0</v>
          </cell>
          <cell r="O45">
            <v>0</v>
          </cell>
        </row>
        <row r="46">
          <cell r="C46">
            <v>1169.5131160709925</v>
          </cell>
          <cell r="G46">
            <v>3000</v>
          </cell>
          <cell r="O46">
            <v>0</v>
          </cell>
        </row>
        <row r="47">
          <cell r="C47">
            <v>1137.3661512401277</v>
          </cell>
          <cell r="G47">
            <v>0</v>
          </cell>
          <cell r="O47">
            <v>0</v>
          </cell>
        </row>
        <row r="48">
          <cell r="C48">
            <v>1228.1979981810377</v>
          </cell>
          <cell r="G48">
            <v>3000</v>
          </cell>
          <cell r="O48">
            <v>0</v>
          </cell>
        </row>
        <row r="49">
          <cell r="C49">
            <v>1338.2047780991641</v>
          </cell>
          <cell r="G49">
            <v>3000</v>
          </cell>
          <cell r="O49">
            <v>0</v>
          </cell>
        </row>
        <row r="50">
          <cell r="G50">
            <v>33000</v>
          </cell>
        </row>
        <row r="54">
          <cell r="G54">
            <v>212000</v>
          </cell>
          <cell r="H54">
            <v>18000</v>
          </cell>
          <cell r="I54">
            <v>36000</v>
          </cell>
          <cell r="J54">
            <v>90000</v>
          </cell>
          <cell r="K54">
            <v>17000</v>
          </cell>
          <cell r="L54">
            <v>0</v>
          </cell>
          <cell r="M54">
            <v>220000</v>
          </cell>
        </row>
      </sheetData>
      <sheetData sheetId="8">
        <row r="5">
          <cell r="C5">
            <v>1317.9221822406801</v>
          </cell>
        </row>
        <row r="6">
          <cell r="C6">
            <v>1656.5424106544174</v>
          </cell>
          <cell r="G6">
            <v>0</v>
          </cell>
          <cell r="O6">
            <v>0</v>
          </cell>
        </row>
        <row r="7">
          <cell r="C7">
            <v>1682.4217966090234</v>
          </cell>
          <cell r="G7">
            <v>3000</v>
          </cell>
          <cell r="O7">
            <v>0</v>
          </cell>
        </row>
        <row r="8">
          <cell r="C8">
            <v>1683.1455276970689</v>
          </cell>
          <cell r="G8">
            <v>3000</v>
          </cell>
          <cell r="O8">
            <v>0</v>
          </cell>
          <cell r="P8">
            <v>782500</v>
          </cell>
        </row>
        <row r="9">
          <cell r="C9">
            <v>1683.996269809229</v>
          </cell>
          <cell r="G9">
            <v>3000</v>
          </cell>
          <cell r="N9">
            <v>693000</v>
          </cell>
          <cell r="O9">
            <v>49000</v>
          </cell>
          <cell r="P9">
            <v>20000</v>
          </cell>
        </row>
        <row r="10">
          <cell r="C10">
            <v>1697.4668080211925</v>
          </cell>
          <cell r="G10">
            <v>3000</v>
          </cell>
          <cell r="O10">
            <v>0</v>
          </cell>
        </row>
        <row r="11">
          <cell r="C11">
            <v>1828.1163160022234</v>
          </cell>
          <cell r="G11">
            <v>3000</v>
          </cell>
          <cell r="O11">
            <v>0</v>
          </cell>
        </row>
        <row r="12">
          <cell r="C12">
            <v>1682.4277626864773</v>
          </cell>
          <cell r="G12">
            <v>3000</v>
          </cell>
          <cell r="O12">
            <v>0</v>
          </cell>
        </row>
        <row r="13">
          <cell r="C13">
            <v>1694.1309120055921</v>
          </cell>
          <cell r="G13">
            <v>3000</v>
          </cell>
          <cell r="O13">
            <v>0</v>
          </cell>
        </row>
        <row r="14">
          <cell r="C14">
            <v>1682.3763626345683</v>
          </cell>
          <cell r="G14">
            <v>3000</v>
          </cell>
          <cell r="O14">
            <v>0</v>
          </cell>
        </row>
        <row r="15">
          <cell r="C15">
            <v>1696.9423112734205</v>
          </cell>
          <cell r="G15">
            <v>3000</v>
          </cell>
          <cell r="O15">
            <v>0</v>
          </cell>
        </row>
        <row r="16">
          <cell r="C16">
            <v>283.75839483339507</v>
          </cell>
          <cell r="G16">
            <v>0</v>
          </cell>
          <cell r="O16">
            <v>0</v>
          </cell>
        </row>
        <row r="17">
          <cell r="C17">
            <v>1707.6548622706925</v>
          </cell>
          <cell r="G17">
            <v>3000</v>
          </cell>
          <cell r="O17">
            <v>0</v>
          </cell>
          <cell r="P17">
            <v>100000</v>
          </cell>
        </row>
        <row r="18">
          <cell r="C18">
            <v>1402.5347653525969</v>
          </cell>
          <cell r="G18">
            <v>0</v>
          </cell>
          <cell r="O18">
            <v>0</v>
          </cell>
        </row>
        <row r="19">
          <cell r="C19">
            <v>2186.1069026581722</v>
          </cell>
          <cell r="G19">
            <v>6000</v>
          </cell>
          <cell r="O19">
            <v>0</v>
          </cell>
        </row>
        <row r="20">
          <cell r="C20">
            <v>1682.3385009891879</v>
          </cell>
          <cell r="G20">
            <v>3000</v>
          </cell>
          <cell r="O20">
            <v>0</v>
          </cell>
        </row>
        <row r="21">
          <cell r="C21">
            <v>1682.2667197976432</v>
          </cell>
          <cell r="G21">
            <v>3000</v>
          </cell>
          <cell r="O21">
            <v>0</v>
          </cell>
          <cell r="P21">
            <v>399000</v>
          </cell>
        </row>
        <row r="22">
          <cell r="C22">
            <v>1682.4139948154302</v>
          </cell>
          <cell r="G22">
            <v>3000</v>
          </cell>
          <cell r="O22">
            <v>0</v>
          </cell>
        </row>
        <row r="23">
          <cell r="C23">
            <v>1682.6737486491868</v>
          </cell>
          <cell r="G23">
            <v>3000</v>
          </cell>
          <cell r="O23">
            <v>0</v>
          </cell>
        </row>
        <row r="24">
          <cell r="C24">
            <v>1682.2297273869317</v>
          </cell>
          <cell r="G24">
            <v>3000</v>
          </cell>
          <cell r="O24">
            <v>0</v>
          </cell>
        </row>
        <row r="25">
          <cell r="C25">
            <v>1682.4266153638901</v>
          </cell>
          <cell r="G25">
            <v>3000</v>
          </cell>
          <cell r="O25">
            <v>0</v>
          </cell>
        </row>
        <row r="26">
          <cell r="C26">
            <v>1772.6990283957477</v>
          </cell>
          <cell r="G26">
            <v>8000</v>
          </cell>
          <cell r="O26">
            <v>0</v>
          </cell>
        </row>
        <row r="27">
          <cell r="C27">
            <v>1678.1132315699913</v>
          </cell>
          <cell r="G27">
            <v>3000</v>
          </cell>
          <cell r="O27">
            <v>0</v>
          </cell>
        </row>
        <row r="28">
          <cell r="C28">
            <v>1876.7767873093446</v>
          </cell>
          <cell r="G28">
            <v>3000</v>
          </cell>
          <cell r="O28">
            <v>0</v>
          </cell>
        </row>
        <row r="29">
          <cell r="C29">
            <v>105.46829978398148</v>
          </cell>
          <cell r="G29">
            <v>0</v>
          </cell>
          <cell r="O29">
            <v>0</v>
          </cell>
        </row>
        <row r="30">
          <cell r="C30">
            <v>1691.0128810281306</v>
          </cell>
          <cell r="G30">
            <v>3000</v>
          </cell>
          <cell r="O30">
            <v>0</v>
          </cell>
        </row>
        <row r="31">
          <cell r="C31">
            <v>1683.577107633658</v>
          </cell>
          <cell r="G31">
            <v>3000</v>
          </cell>
          <cell r="O31">
            <v>0</v>
          </cell>
        </row>
        <row r="32">
          <cell r="C32">
            <v>2426.8593321908002</v>
          </cell>
          <cell r="G32">
            <v>6000</v>
          </cell>
          <cell r="O32">
            <v>0</v>
          </cell>
        </row>
        <row r="33">
          <cell r="C33">
            <v>1795.6533100561646</v>
          </cell>
          <cell r="G33">
            <v>8000</v>
          </cell>
          <cell r="O33">
            <v>0</v>
          </cell>
        </row>
        <row r="35">
          <cell r="C35">
            <v>1682.3714767653851</v>
          </cell>
          <cell r="G35">
            <v>3000</v>
          </cell>
          <cell r="O35">
            <v>0</v>
          </cell>
        </row>
        <row r="36">
          <cell r="C36">
            <v>1683.3540438291168</v>
          </cell>
          <cell r="G36">
            <v>3000</v>
          </cell>
          <cell r="O36">
            <v>0</v>
          </cell>
        </row>
        <row r="37">
          <cell r="C37">
            <v>1572.4767143678705</v>
          </cell>
          <cell r="G37">
            <v>3000</v>
          </cell>
          <cell r="O37">
            <v>0</v>
          </cell>
        </row>
        <row r="38">
          <cell r="C38">
            <v>1682.9313701879694</v>
          </cell>
          <cell r="G38">
            <v>3000</v>
          </cell>
          <cell r="O38">
            <v>0</v>
          </cell>
        </row>
        <row r="39">
          <cell r="C39">
            <v>1682.8427968842332</v>
          </cell>
          <cell r="G39">
            <v>3000</v>
          </cell>
          <cell r="O39">
            <v>0</v>
          </cell>
          <cell r="P39">
            <v>95000</v>
          </cell>
        </row>
        <row r="40">
          <cell r="C40">
            <v>1782.6930621159406</v>
          </cell>
          <cell r="G40">
            <v>8000</v>
          </cell>
          <cell r="N40">
            <v>290000</v>
          </cell>
          <cell r="O40">
            <v>20300</v>
          </cell>
          <cell r="P40">
            <v>87200</v>
          </cell>
        </row>
        <row r="41">
          <cell r="C41">
            <v>1573.2072424385854</v>
          </cell>
          <cell r="G41">
            <v>3000</v>
          </cell>
          <cell r="O41">
            <v>0</v>
          </cell>
        </row>
        <row r="42">
          <cell r="C42">
            <v>181.82059634955399</v>
          </cell>
          <cell r="G42">
            <v>0</v>
          </cell>
          <cell r="O42">
            <v>0</v>
          </cell>
        </row>
        <row r="43">
          <cell r="C43">
            <v>1682.4127803785266</v>
          </cell>
          <cell r="G43">
            <v>3000</v>
          </cell>
          <cell r="O43">
            <v>0</v>
          </cell>
        </row>
        <row r="44">
          <cell r="C44">
            <v>1640.3587381567838</v>
          </cell>
          <cell r="G44">
            <v>3000</v>
          </cell>
          <cell r="O44">
            <v>0</v>
          </cell>
        </row>
        <row r="45">
          <cell r="C45">
            <v>103.32814627333693</v>
          </cell>
          <cell r="G45">
            <v>0</v>
          </cell>
          <cell r="O45">
            <v>0</v>
          </cell>
        </row>
        <row r="46">
          <cell r="C46">
            <v>1688.0078719394223</v>
          </cell>
          <cell r="G46">
            <v>3000</v>
          </cell>
          <cell r="O46">
            <v>0</v>
          </cell>
        </row>
        <row r="47">
          <cell r="C47">
            <v>1631.887726251289</v>
          </cell>
          <cell r="G47">
            <v>0</v>
          </cell>
          <cell r="O47">
            <v>0</v>
          </cell>
        </row>
        <row r="48">
          <cell r="C48">
            <v>1772.2086710641956</v>
          </cell>
          <cell r="G48">
            <v>3000</v>
          </cell>
          <cell r="O48">
            <v>0</v>
          </cell>
        </row>
        <row r="49">
          <cell r="C49">
            <v>1930.0458932789409</v>
          </cell>
          <cell r="G49">
            <v>3000</v>
          </cell>
          <cell r="O49">
            <v>0</v>
          </cell>
        </row>
        <row r="50">
          <cell r="G50">
            <v>3000</v>
          </cell>
          <cell r="O50">
            <v>0</v>
          </cell>
        </row>
        <row r="51">
          <cell r="G51">
            <v>6000</v>
          </cell>
        </row>
        <row r="54">
          <cell r="G54">
            <v>138000</v>
          </cell>
          <cell r="H54">
            <v>19500</v>
          </cell>
          <cell r="I54">
            <v>39000</v>
          </cell>
          <cell r="J54">
            <v>97500</v>
          </cell>
          <cell r="K54">
            <v>17000</v>
          </cell>
          <cell r="L54">
            <v>0</v>
          </cell>
          <cell r="M54">
            <v>50000</v>
          </cell>
        </row>
      </sheetData>
      <sheetData sheetId="9">
        <row r="5">
          <cell r="C5">
            <v>2883.1711307152564</v>
          </cell>
        </row>
        <row r="6">
          <cell r="C6">
            <v>3623.9584700548417</v>
          </cell>
          <cell r="G6">
            <v>0</v>
          </cell>
          <cell r="O6">
            <v>0</v>
          </cell>
        </row>
        <row r="7">
          <cell r="C7">
            <v>3702.3687713601726</v>
          </cell>
          <cell r="G7">
            <v>3000</v>
          </cell>
          <cell r="O7">
            <v>0</v>
          </cell>
        </row>
        <row r="8">
          <cell r="C8">
            <v>3703.9520519267885</v>
          </cell>
          <cell r="G8">
            <v>3000</v>
          </cell>
          <cell r="O8">
            <v>0</v>
          </cell>
        </row>
        <row r="9">
          <cell r="C9">
            <v>3705.8131899594559</v>
          </cell>
          <cell r="G9">
            <v>3000</v>
          </cell>
          <cell r="O9">
            <v>0</v>
          </cell>
        </row>
        <row r="10">
          <cell r="C10">
            <v>3735.2822036928001</v>
          </cell>
          <cell r="G10">
            <v>3000</v>
          </cell>
          <cell r="O10">
            <v>0</v>
          </cell>
        </row>
        <row r="11">
          <cell r="C11">
            <v>4021.0994505143349</v>
          </cell>
          <cell r="G11">
            <v>3000</v>
          </cell>
          <cell r="O11">
            <v>0</v>
          </cell>
        </row>
        <row r="12">
          <cell r="C12">
            <v>3702.3818231340251</v>
          </cell>
          <cell r="G12">
            <v>3000</v>
          </cell>
          <cell r="O12">
            <v>0</v>
          </cell>
        </row>
        <row r="13">
          <cell r="C13">
            <v>3727.9843835203715</v>
          </cell>
          <cell r="G13">
            <v>3000</v>
          </cell>
          <cell r="N13">
            <v>700000</v>
          </cell>
          <cell r="O13">
            <v>42000</v>
          </cell>
        </row>
        <row r="14">
          <cell r="C14">
            <v>3702.2693770823707</v>
          </cell>
          <cell r="G14">
            <v>3000</v>
          </cell>
          <cell r="O14">
            <v>0</v>
          </cell>
        </row>
        <row r="15">
          <cell r="C15">
            <v>3734.1347809528934</v>
          </cell>
          <cell r="G15">
            <v>3000</v>
          </cell>
          <cell r="O15">
            <v>0</v>
          </cell>
        </row>
        <row r="16">
          <cell r="C16">
            <v>620.76807197432788</v>
          </cell>
          <cell r="G16">
            <v>0</v>
          </cell>
          <cell r="O16">
            <v>0</v>
          </cell>
        </row>
        <row r="17">
          <cell r="C17">
            <v>3793.8950716100153</v>
          </cell>
          <cell r="G17">
            <v>8000</v>
          </cell>
          <cell r="O17">
            <v>0</v>
          </cell>
        </row>
        <row r="18">
          <cell r="C18">
            <v>3068.2750467209535</v>
          </cell>
          <cell r="G18">
            <v>0</v>
          </cell>
          <cell r="O18">
            <v>0</v>
          </cell>
        </row>
        <row r="19">
          <cell r="C19">
            <v>4826.057524482032</v>
          </cell>
          <cell r="G19">
            <v>6000</v>
          </cell>
          <cell r="O19">
            <v>0</v>
          </cell>
        </row>
        <row r="20">
          <cell r="C20">
            <v>3702.1865485175335</v>
          </cell>
          <cell r="G20">
            <v>3000</v>
          </cell>
          <cell r="O20">
            <v>0</v>
          </cell>
        </row>
        <row r="21">
          <cell r="C21">
            <v>3702.0295153770498</v>
          </cell>
          <cell r="G21">
            <v>3000</v>
          </cell>
          <cell r="O21">
            <v>0</v>
          </cell>
        </row>
        <row r="22">
          <cell r="C22">
            <v>3702.3517036559037</v>
          </cell>
          <cell r="G22">
            <v>3000</v>
          </cell>
          <cell r="O22">
            <v>0</v>
          </cell>
        </row>
        <row r="23">
          <cell r="C23">
            <v>3702.9199578098069</v>
          </cell>
          <cell r="G23">
            <v>3000</v>
          </cell>
          <cell r="N23">
            <v>850000</v>
          </cell>
          <cell r="O23">
            <v>51000</v>
          </cell>
          <cell r="P23">
            <v>1100000</v>
          </cell>
        </row>
        <row r="24">
          <cell r="C24">
            <v>3701.948588405749</v>
          </cell>
          <cell r="G24">
            <v>3000</v>
          </cell>
          <cell r="O24">
            <v>0</v>
          </cell>
        </row>
        <row r="25">
          <cell r="C25">
            <v>3702.3793131775155</v>
          </cell>
          <cell r="G25">
            <v>3000</v>
          </cell>
          <cell r="O25">
            <v>0</v>
          </cell>
        </row>
        <row r="26">
          <cell r="C26">
            <v>3936.1898630023029</v>
          </cell>
          <cell r="G26">
            <v>8000</v>
          </cell>
          <cell r="O26">
            <v>0</v>
          </cell>
        </row>
        <row r="27">
          <cell r="C27">
            <v>3692.9430780205048</v>
          </cell>
          <cell r="G27">
            <v>3000</v>
          </cell>
          <cell r="O27">
            <v>0</v>
          </cell>
        </row>
        <row r="28">
          <cell r="C28">
            <v>4163.8770465802063</v>
          </cell>
          <cell r="G28">
            <v>8000</v>
          </cell>
          <cell r="O28">
            <v>0</v>
          </cell>
        </row>
        <row r="29">
          <cell r="C29">
            <v>230.72922001040084</v>
          </cell>
          <cell r="G29">
            <v>0</v>
          </cell>
          <cell r="O29">
            <v>0</v>
          </cell>
        </row>
        <row r="30">
          <cell r="C30">
            <v>3721.1631788847462</v>
          </cell>
          <cell r="G30">
            <v>3000</v>
          </cell>
          <cell r="O30">
            <v>0</v>
          </cell>
        </row>
        <row r="31">
          <cell r="C31">
            <v>3683.1013078555229</v>
          </cell>
          <cell r="G31">
            <v>0</v>
          </cell>
          <cell r="O31">
            <v>0</v>
          </cell>
        </row>
        <row r="32">
          <cell r="C32">
            <v>5715.9912544911858</v>
          </cell>
          <cell r="G32">
            <v>56000</v>
          </cell>
          <cell r="O32">
            <v>0</v>
          </cell>
        </row>
        <row r="33">
          <cell r="C33">
            <v>3986.406122430536</v>
          </cell>
          <cell r="G33">
            <v>8000</v>
          </cell>
          <cell r="O33">
            <v>0</v>
          </cell>
        </row>
        <row r="35">
          <cell r="C35">
            <v>3702.2586884414422</v>
          </cell>
          <cell r="G35">
            <v>3000</v>
          </cell>
          <cell r="O35">
            <v>0</v>
          </cell>
        </row>
        <row r="36">
          <cell r="C36">
            <v>3704.4082151967523</v>
          </cell>
          <cell r="G36">
            <v>3000</v>
          </cell>
          <cell r="O36">
            <v>0</v>
          </cell>
        </row>
        <row r="37">
          <cell r="C37">
            <v>3461.8458547924643</v>
          </cell>
          <cell r="G37">
            <v>3000</v>
          </cell>
          <cell r="O37">
            <v>0</v>
          </cell>
        </row>
        <row r="38">
          <cell r="C38">
            <v>3703.4835472184059</v>
          </cell>
          <cell r="G38">
            <v>3000</v>
          </cell>
          <cell r="O38">
            <v>0</v>
          </cell>
        </row>
        <row r="39">
          <cell r="C39">
            <v>3703.2897785758214</v>
          </cell>
          <cell r="G39">
            <v>3000</v>
          </cell>
          <cell r="O39">
            <v>0</v>
          </cell>
          <cell r="P39">
            <v>95000</v>
          </cell>
        </row>
        <row r="40">
          <cell r="C40">
            <v>3958.0534524385666</v>
          </cell>
          <cell r="G40">
            <v>8000</v>
          </cell>
          <cell r="O40">
            <v>0</v>
          </cell>
        </row>
        <row r="41">
          <cell r="C41">
            <v>3463.4440048744982</v>
          </cell>
          <cell r="G41">
            <v>3000</v>
          </cell>
          <cell r="O41">
            <v>0</v>
          </cell>
        </row>
        <row r="42">
          <cell r="C42">
            <v>397.76240314371785</v>
          </cell>
          <cell r="G42">
            <v>0</v>
          </cell>
          <cell r="O42">
            <v>0</v>
          </cell>
        </row>
        <row r="43">
          <cell r="C43">
            <v>3702.3490468758087</v>
          </cell>
          <cell r="G43">
            <v>3000</v>
          </cell>
          <cell r="O43">
            <v>0</v>
          </cell>
        </row>
        <row r="44">
          <cell r="C44">
            <v>3610.3489257021397</v>
          </cell>
          <cell r="G44">
            <v>3000</v>
          </cell>
          <cell r="O44">
            <v>0</v>
          </cell>
        </row>
        <row r="45">
          <cell r="C45">
            <v>226.04728286696607</v>
          </cell>
          <cell r="G45">
            <v>0</v>
          </cell>
          <cell r="O45">
            <v>0</v>
          </cell>
        </row>
        <row r="46">
          <cell r="C46">
            <v>3714.5892281850392</v>
          </cell>
          <cell r="G46">
            <v>3000</v>
          </cell>
          <cell r="O46">
            <v>0</v>
          </cell>
        </row>
        <row r="47">
          <cell r="C47">
            <v>3570.0223004798349</v>
          </cell>
          <cell r="G47">
            <v>0</v>
          </cell>
          <cell r="O47">
            <v>0</v>
          </cell>
        </row>
        <row r="48">
          <cell r="C48">
            <v>3898.7922991182268</v>
          </cell>
          <cell r="G48">
            <v>3000</v>
          </cell>
          <cell r="O48">
            <v>0</v>
          </cell>
        </row>
        <row r="49">
          <cell r="C49">
            <v>4244.087134104725</v>
          </cell>
          <cell r="G49">
            <v>3000</v>
          </cell>
          <cell r="O49">
            <v>0</v>
          </cell>
        </row>
        <row r="50">
          <cell r="C50">
            <v>21.794896032994735</v>
          </cell>
          <cell r="G50">
            <v>3000</v>
          </cell>
          <cell r="N50">
            <v>1000000</v>
          </cell>
          <cell r="O50">
            <v>60000</v>
          </cell>
        </row>
        <row r="51">
          <cell r="C51">
            <v>21.794896032994735</v>
          </cell>
          <cell r="G51">
            <v>3000</v>
          </cell>
        </row>
        <row r="54">
          <cell r="G54">
            <v>192000</v>
          </cell>
          <cell r="H54">
            <v>18500</v>
          </cell>
          <cell r="I54">
            <v>37000</v>
          </cell>
          <cell r="J54">
            <v>92500</v>
          </cell>
          <cell r="K54">
            <v>17000</v>
          </cell>
          <cell r="L54">
            <v>0</v>
          </cell>
          <cell r="M54">
            <v>0</v>
          </cell>
        </row>
      </sheetData>
      <sheetData sheetId="10">
        <row r="5">
          <cell r="C5">
            <v>653.6634166373625</v>
          </cell>
        </row>
        <row r="6">
          <cell r="C6">
            <v>821.61237328298762</v>
          </cell>
          <cell r="G6">
            <v>0</v>
          </cell>
          <cell r="O6">
            <v>0</v>
          </cell>
        </row>
        <row r="7">
          <cell r="C7">
            <v>844.29493865189056</v>
          </cell>
          <cell r="G7">
            <v>3000</v>
          </cell>
          <cell r="O7">
            <v>0</v>
          </cell>
        </row>
        <row r="8">
          <cell r="C8">
            <v>844.65389500160029</v>
          </cell>
          <cell r="G8">
            <v>3000</v>
          </cell>
          <cell r="O8">
            <v>0</v>
          </cell>
        </row>
        <row r="9">
          <cell r="C9">
            <v>845.07584631496718</v>
          </cell>
          <cell r="G9">
            <v>3000</v>
          </cell>
          <cell r="O9">
            <v>0</v>
          </cell>
        </row>
        <row r="10">
          <cell r="C10">
            <v>859.93301847440671</v>
          </cell>
          <cell r="G10">
            <v>8000</v>
          </cell>
          <cell r="O10">
            <v>0</v>
          </cell>
          <cell r="P10">
            <v>140000</v>
          </cell>
        </row>
        <row r="11">
          <cell r="C11">
            <v>916.55654758086564</v>
          </cell>
          <cell r="G11">
            <v>3000</v>
          </cell>
          <cell r="O11">
            <v>0</v>
          </cell>
        </row>
        <row r="12">
          <cell r="C12">
            <v>844.29789770867319</v>
          </cell>
          <cell r="G12">
            <v>3000</v>
          </cell>
          <cell r="O12">
            <v>0</v>
          </cell>
        </row>
        <row r="13">
          <cell r="C13">
            <v>850.10242901745187</v>
          </cell>
          <cell r="G13">
            <v>3000</v>
          </cell>
          <cell r="O13">
            <v>0</v>
          </cell>
        </row>
        <row r="14">
          <cell r="C14">
            <v>844.27240429639221</v>
          </cell>
          <cell r="G14">
            <v>3000</v>
          </cell>
          <cell r="O14">
            <v>0</v>
          </cell>
        </row>
        <row r="15">
          <cell r="C15">
            <v>851.49682762133307</v>
          </cell>
          <cell r="G15">
            <v>3000</v>
          </cell>
          <cell r="O15">
            <v>0</v>
          </cell>
        </row>
        <row r="16">
          <cell r="C16">
            <v>140.73856891230147</v>
          </cell>
          <cell r="G16">
            <v>0</v>
          </cell>
          <cell r="O16">
            <v>0</v>
          </cell>
        </row>
        <row r="17">
          <cell r="C17">
            <v>873.22154203567618</v>
          </cell>
          <cell r="G17">
            <v>8000</v>
          </cell>
          <cell r="O17">
            <v>0</v>
          </cell>
          <cell r="P17">
            <v>160000</v>
          </cell>
        </row>
        <row r="18">
          <cell r="C18">
            <v>695.62958953644488</v>
          </cell>
          <cell r="G18">
            <v>0</v>
          </cell>
          <cell r="O18">
            <v>0</v>
          </cell>
        </row>
        <row r="19">
          <cell r="C19">
            <v>1103.9597201899398</v>
          </cell>
          <cell r="G19">
            <v>6000</v>
          </cell>
          <cell r="O19">
            <v>0</v>
          </cell>
        </row>
        <row r="20">
          <cell r="C20">
            <v>844.25362566680974</v>
          </cell>
          <cell r="G20">
            <v>3000</v>
          </cell>
          <cell r="O20">
            <v>0</v>
          </cell>
        </row>
        <row r="21">
          <cell r="C21">
            <v>844.21802361112861</v>
          </cell>
          <cell r="G21">
            <v>3000</v>
          </cell>
          <cell r="O21">
            <v>0</v>
          </cell>
        </row>
        <row r="22">
          <cell r="C22">
            <v>842.65585895453921</v>
          </cell>
          <cell r="G22">
            <v>2000</v>
          </cell>
          <cell r="O22">
            <v>0</v>
          </cell>
        </row>
        <row r="23">
          <cell r="C23">
            <v>844.41990189601916</v>
          </cell>
          <cell r="G23">
            <v>3000</v>
          </cell>
          <cell r="O23">
            <v>0</v>
          </cell>
        </row>
        <row r="24">
          <cell r="C24">
            <v>844.19967610480296</v>
          </cell>
          <cell r="G24">
            <v>3000</v>
          </cell>
          <cell r="O24">
            <v>0</v>
          </cell>
        </row>
        <row r="25">
          <cell r="C25">
            <v>844.29732865929191</v>
          </cell>
          <cell r="G25">
            <v>3000</v>
          </cell>
          <cell r="O25">
            <v>0</v>
          </cell>
        </row>
        <row r="26">
          <cell r="C26">
            <v>905.48216594394512</v>
          </cell>
          <cell r="G26">
            <v>8000</v>
          </cell>
          <cell r="N26">
            <v>700000</v>
          </cell>
          <cell r="O26">
            <v>35000</v>
          </cell>
          <cell r="P26">
            <v>672000</v>
          </cell>
        </row>
        <row r="27">
          <cell r="C27">
            <v>842.1579753454306</v>
          </cell>
          <cell r="G27">
            <v>3000</v>
          </cell>
          <cell r="O27">
            <v>0</v>
          </cell>
        </row>
        <row r="28">
          <cell r="C28">
            <v>948.92663143382583</v>
          </cell>
          <cell r="G28">
            <v>3000</v>
          </cell>
          <cell r="O28">
            <v>0</v>
          </cell>
        </row>
        <row r="29">
          <cell r="C29">
            <v>52.310197151792764</v>
          </cell>
          <cell r="G29">
            <v>0</v>
          </cell>
          <cell r="O29">
            <v>0</v>
          </cell>
        </row>
        <row r="30">
          <cell r="C30">
            <v>848.55594713151572</v>
          </cell>
          <cell r="G30">
            <v>3000</v>
          </cell>
          <cell r="O30">
            <v>0</v>
          </cell>
        </row>
        <row r="31">
          <cell r="C31">
            <v>839.92668042045477</v>
          </cell>
          <cell r="G31">
            <v>3000</v>
          </cell>
          <cell r="O31">
            <v>0</v>
          </cell>
        </row>
        <row r="32">
          <cell r="C32">
            <v>1387.4831816844853</v>
          </cell>
          <cell r="G32">
            <v>56000</v>
          </cell>
          <cell r="O32">
            <v>0</v>
          </cell>
        </row>
        <row r="33">
          <cell r="C33">
            <v>916.86703705302295</v>
          </cell>
          <cell r="G33">
            <v>8000</v>
          </cell>
          <cell r="O33">
            <v>0</v>
          </cell>
        </row>
        <row r="35">
          <cell r="C35">
            <v>844.26998100161302</v>
          </cell>
          <cell r="G35">
            <v>3000</v>
          </cell>
          <cell r="O35">
            <v>0</v>
          </cell>
        </row>
        <row r="36">
          <cell r="C36">
            <v>844.7573148917387</v>
          </cell>
          <cell r="G36">
            <v>3000</v>
          </cell>
          <cell r="O36">
            <v>0</v>
          </cell>
        </row>
        <row r="37">
          <cell r="C37">
            <v>784.85871518634337</v>
          </cell>
          <cell r="G37">
            <v>0</v>
          </cell>
          <cell r="O37">
            <v>0</v>
          </cell>
        </row>
        <row r="38">
          <cell r="C38">
            <v>844.54767709967632</v>
          </cell>
          <cell r="G38">
            <v>3000</v>
          </cell>
          <cell r="O38">
            <v>0</v>
          </cell>
        </row>
        <row r="39">
          <cell r="C39">
            <v>844.50374648744196</v>
          </cell>
          <cell r="G39">
            <v>3000</v>
          </cell>
          <cell r="O39">
            <v>0</v>
          </cell>
        </row>
        <row r="40">
          <cell r="C40">
            <v>910.43900961465692</v>
          </cell>
          <cell r="G40">
            <v>8000</v>
          </cell>
          <cell r="O40">
            <v>0</v>
          </cell>
        </row>
        <row r="41">
          <cell r="C41">
            <v>790.12667319011564</v>
          </cell>
          <cell r="G41">
            <v>3000</v>
          </cell>
          <cell r="O41">
            <v>0</v>
          </cell>
        </row>
        <row r="42">
          <cell r="C42">
            <v>90.17943079372786</v>
          </cell>
          <cell r="G42">
            <v>0</v>
          </cell>
          <cell r="O42">
            <v>0</v>
          </cell>
        </row>
        <row r="43">
          <cell r="C43">
            <v>844.290466779339</v>
          </cell>
          <cell r="G43">
            <v>3000</v>
          </cell>
          <cell r="O43">
            <v>0</v>
          </cell>
        </row>
        <row r="44">
          <cell r="C44">
            <v>823.43249102591471</v>
          </cell>
          <cell r="G44">
            <v>3000</v>
          </cell>
          <cell r="O44">
            <v>0</v>
          </cell>
        </row>
        <row r="45">
          <cell r="C45">
            <v>51.248723208378337</v>
          </cell>
          <cell r="G45">
            <v>0</v>
          </cell>
          <cell r="O45">
            <v>0</v>
          </cell>
        </row>
        <row r="46">
          <cell r="C46">
            <v>847.06552187392435</v>
          </cell>
          <cell r="G46">
            <v>3000</v>
          </cell>
          <cell r="O46">
            <v>0</v>
          </cell>
        </row>
        <row r="47">
          <cell r="C47">
            <v>809.38413594073006</v>
          </cell>
          <cell r="G47">
            <v>0</v>
          </cell>
          <cell r="O47">
            <v>0</v>
          </cell>
        </row>
        <row r="48">
          <cell r="C48">
            <v>888.82745803461671</v>
          </cell>
          <cell r="G48">
            <v>3000</v>
          </cell>
          <cell r="O48">
            <v>0</v>
          </cell>
        </row>
        <row r="49">
          <cell r="C49">
            <v>967.11160814280515</v>
          </cell>
          <cell r="G49">
            <v>3000</v>
          </cell>
          <cell r="O49">
            <v>0</v>
          </cell>
        </row>
        <row r="50">
          <cell r="C50">
            <v>9.846900204815574</v>
          </cell>
          <cell r="G50">
            <v>3000</v>
          </cell>
          <cell r="O50">
            <v>0</v>
          </cell>
        </row>
        <row r="51">
          <cell r="C51">
            <v>9.846900204815574</v>
          </cell>
          <cell r="G51">
            <v>3000</v>
          </cell>
          <cell r="O51">
            <v>0</v>
          </cell>
        </row>
        <row r="54">
          <cell r="G54">
            <v>191000</v>
          </cell>
          <cell r="H54">
            <v>18500</v>
          </cell>
          <cell r="I54">
            <v>37000</v>
          </cell>
          <cell r="J54">
            <v>92500</v>
          </cell>
          <cell r="K54">
            <v>12000</v>
          </cell>
          <cell r="L54">
            <v>0</v>
          </cell>
          <cell r="M54">
            <v>20000</v>
          </cell>
        </row>
      </sheetData>
      <sheetData sheetId="11">
        <row r="5">
          <cell r="C5">
            <v>1470.4254495387659</v>
          </cell>
        </row>
        <row r="6">
          <cell r="C6">
            <v>1881.2809091577483</v>
          </cell>
          <cell r="G6">
            <v>9000</v>
          </cell>
          <cell r="O6">
            <v>0</v>
          </cell>
        </row>
        <row r="7">
          <cell r="C7">
            <v>1910.2711284275472</v>
          </cell>
          <cell r="G7">
            <v>3000</v>
          </cell>
          <cell r="O7">
            <v>0</v>
          </cell>
        </row>
        <row r="8">
          <cell r="C8">
            <v>1911.0786060046187</v>
          </cell>
          <cell r="G8">
            <v>3000</v>
          </cell>
          <cell r="O8">
            <v>0</v>
          </cell>
          <cell r="P8">
            <v>511000</v>
          </cell>
        </row>
        <row r="9">
          <cell r="C9">
            <v>1912.0277916770137</v>
          </cell>
          <cell r="G9">
            <v>3000</v>
          </cell>
          <cell r="O9">
            <v>0</v>
          </cell>
        </row>
        <row r="10">
          <cell r="C10">
            <v>1941.7767944350451</v>
          </cell>
          <cell r="G10">
            <v>2000</v>
          </cell>
          <cell r="O10">
            <v>0</v>
          </cell>
        </row>
        <row r="11">
          <cell r="C11">
            <v>2072.8246782963638</v>
          </cell>
          <cell r="G11">
            <v>3000</v>
          </cell>
          <cell r="O11">
            <v>0</v>
          </cell>
          <cell r="P11">
            <v>1100000</v>
          </cell>
        </row>
        <row r="12">
          <cell r="C12">
            <v>1910.2777848692097</v>
          </cell>
          <cell r="G12">
            <v>3000</v>
          </cell>
          <cell r="N12">
            <v>1000000</v>
          </cell>
          <cell r="O12">
            <v>40000</v>
          </cell>
          <cell r="P12">
            <v>770000</v>
          </cell>
        </row>
        <row r="13">
          <cell r="C13">
            <v>1923.3351632413694</v>
          </cell>
          <cell r="G13">
            <v>3000</v>
          </cell>
          <cell r="O13">
            <v>0</v>
          </cell>
        </row>
        <row r="14">
          <cell r="C14">
            <v>1910.2204370641168</v>
          </cell>
          <cell r="G14">
            <v>3000</v>
          </cell>
          <cell r="O14">
            <v>0</v>
          </cell>
        </row>
        <row r="15">
          <cell r="C15">
            <v>1926.4718833663778</v>
          </cell>
          <cell r="G15">
            <v>3000</v>
          </cell>
          <cell r="O15">
            <v>0</v>
          </cell>
        </row>
        <row r="16">
          <cell r="C16">
            <v>316.59347638713302</v>
          </cell>
          <cell r="G16">
            <v>0</v>
          </cell>
          <cell r="O16">
            <v>0</v>
          </cell>
        </row>
        <row r="17">
          <cell r="C17">
            <v>1993.7040676610688</v>
          </cell>
          <cell r="G17">
            <v>8000</v>
          </cell>
          <cell r="O17">
            <v>0</v>
          </cell>
        </row>
        <row r="18">
          <cell r="C18">
            <v>1564.8289714124539</v>
          </cell>
          <cell r="G18">
            <v>0</v>
          </cell>
          <cell r="O18">
            <v>0</v>
          </cell>
        </row>
        <row r="19">
          <cell r="C19">
            <v>2505.4081378151168</v>
          </cell>
          <cell r="G19">
            <v>6000</v>
          </cell>
          <cell r="O19">
            <v>0</v>
          </cell>
        </row>
        <row r="20">
          <cell r="C20">
            <v>1910.1781942612574</v>
          </cell>
          <cell r="G20">
            <v>3000</v>
          </cell>
          <cell r="O20">
            <v>0</v>
          </cell>
        </row>
        <row r="21">
          <cell r="C21">
            <v>1910.0981069144716</v>
          </cell>
          <cell r="G21">
            <v>3000</v>
          </cell>
          <cell r="O21">
            <v>0</v>
          </cell>
        </row>
        <row r="22">
          <cell r="C22">
            <v>1906.583994591595</v>
          </cell>
          <cell r="G22">
            <v>3000</v>
          </cell>
          <cell r="O22">
            <v>0</v>
          </cell>
        </row>
        <row r="23">
          <cell r="C23">
            <v>1910.552235079299</v>
          </cell>
          <cell r="G23">
            <v>3000</v>
          </cell>
          <cell r="O23">
            <v>0</v>
          </cell>
        </row>
        <row r="24">
          <cell r="C24">
            <v>1910.056833929706</v>
          </cell>
          <cell r="G24">
            <v>3000</v>
          </cell>
          <cell r="O24">
            <v>0</v>
          </cell>
        </row>
        <row r="25">
          <cell r="C25">
            <v>1910.2765047842747</v>
          </cell>
          <cell r="G25">
            <v>3000</v>
          </cell>
          <cell r="O25">
            <v>0</v>
          </cell>
        </row>
        <row r="26">
          <cell r="C26">
            <v>2066.274814631653</v>
          </cell>
          <cell r="G26">
            <v>8000</v>
          </cell>
          <cell r="O26">
            <v>0</v>
          </cell>
        </row>
        <row r="27">
          <cell r="C27">
            <v>1905.4639981054713</v>
          </cell>
          <cell r="G27">
            <v>3000</v>
          </cell>
          <cell r="O27">
            <v>0</v>
          </cell>
        </row>
        <row r="28">
          <cell r="C28">
            <v>2145.6416570190736</v>
          </cell>
          <cell r="G28">
            <v>3000</v>
          </cell>
          <cell r="O28">
            <v>0</v>
          </cell>
        </row>
        <row r="29">
          <cell r="C29">
            <v>117.67255624932555</v>
          </cell>
          <cell r="G29">
            <v>0</v>
          </cell>
          <cell r="O29">
            <v>0</v>
          </cell>
        </row>
        <row r="30">
          <cell r="C30">
            <v>1919.8563295412532</v>
          </cell>
          <cell r="G30">
            <v>3000</v>
          </cell>
          <cell r="O30">
            <v>0</v>
          </cell>
        </row>
        <row r="31">
          <cell r="C31">
            <v>1900.4446674230394</v>
          </cell>
          <cell r="G31">
            <v>3000</v>
          </cell>
          <cell r="O31">
            <v>0</v>
          </cell>
        </row>
        <row r="32">
          <cell r="C32">
            <v>3143.1983257187953</v>
          </cell>
          <cell r="G32">
            <v>6000</v>
          </cell>
          <cell r="O32">
            <v>0</v>
          </cell>
        </row>
        <row r="33">
          <cell r="C33">
            <v>2091.8852492871902</v>
          </cell>
          <cell r="G33">
            <v>8000</v>
          </cell>
          <cell r="O33">
            <v>0</v>
          </cell>
        </row>
        <row r="35">
          <cell r="C35">
            <v>1910.2149858269447</v>
          </cell>
          <cell r="G35">
            <v>3000</v>
          </cell>
          <cell r="O35">
            <v>0</v>
          </cell>
        </row>
        <row r="36">
          <cell r="C36">
            <v>1911.311250565378</v>
          </cell>
          <cell r="G36">
            <v>3000</v>
          </cell>
          <cell r="N36">
            <v>1000000</v>
          </cell>
          <cell r="O36">
            <v>40000</v>
          </cell>
          <cell r="P36">
            <v>1080000</v>
          </cell>
        </row>
        <row r="37">
          <cell r="C37">
            <v>1765.5511991771025</v>
          </cell>
          <cell r="G37">
            <v>0</v>
          </cell>
          <cell r="O37">
            <v>0</v>
          </cell>
        </row>
        <row r="38">
          <cell r="C38">
            <v>1910.8396672752815</v>
          </cell>
          <cell r="G38">
            <v>3000</v>
          </cell>
          <cell r="O38">
            <v>0</v>
          </cell>
        </row>
        <row r="39">
          <cell r="C39">
            <v>1910.7408447182909</v>
          </cell>
          <cell r="G39">
            <v>3000</v>
          </cell>
          <cell r="O39">
            <v>0</v>
          </cell>
        </row>
        <row r="40">
          <cell r="C40">
            <v>2077.425307220476</v>
          </cell>
          <cell r="G40">
            <v>8000</v>
          </cell>
          <cell r="O40">
            <v>0</v>
          </cell>
        </row>
        <row r="41">
          <cell r="C41">
            <v>1788.4188202440621</v>
          </cell>
          <cell r="G41">
            <v>3000</v>
          </cell>
          <cell r="O41">
            <v>0</v>
          </cell>
        </row>
        <row r="42">
          <cell r="C42">
            <v>202.85995313331415</v>
          </cell>
          <cell r="G42">
            <v>0</v>
          </cell>
          <cell r="O42">
            <v>0</v>
          </cell>
        </row>
        <row r="43">
          <cell r="C43">
            <v>1910.2610688846087</v>
          </cell>
          <cell r="G43">
            <v>3000</v>
          </cell>
          <cell r="O43">
            <v>0</v>
          </cell>
        </row>
        <row r="44">
          <cell r="C44">
            <v>1852.3234740752343</v>
          </cell>
          <cell r="G44">
            <v>0</v>
          </cell>
          <cell r="O44">
            <v>0</v>
          </cell>
        </row>
        <row r="45">
          <cell r="C45">
            <v>115.28475503436975</v>
          </cell>
          <cell r="G45">
            <v>0</v>
          </cell>
          <cell r="O45">
            <v>0</v>
          </cell>
        </row>
        <row r="46">
          <cell r="C46">
            <v>1916.503596049341</v>
          </cell>
          <cell r="G46">
            <v>3000</v>
          </cell>
          <cell r="O46">
            <v>0</v>
          </cell>
          <cell r="P46">
            <v>408000</v>
          </cell>
        </row>
        <row r="47">
          <cell r="C47">
            <v>1820.7214931235103</v>
          </cell>
          <cell r="G47">
            <v>0</v>
          </cell>
          <cell r="O47">
            <v>0</v>
          </cell>
        </row>
        <row r="48">
          <cell r="C48">
            <v>2010.4476843824395</v>
          </cell>
          <cell r="G48">
            <v>3000</v>
          </cell>
          <cell r="O48">
            <v>0</v>
          </cell>
        </row>
        <row r="49">
          <cell r="C49">
            <v>2186.5490290266885</v>
          </cell>
          <cell r="G49">
            <v>3000</v>
          </cell>
          <cell r="O49">
            <v>0</v>
          </cell>
        </row>
        <row r="50">
          <cell r="C50">
            <v>33.168018753306626</v>
          </cell>
          <cell r="G50">
            <v>3000</v>
          </cell>
          <cell r="O50">
            <v>0</v>
          </cell>
        </row>
        <row r="51">
          <cell r="C51">
            <v>33.168018753306626</v>
          </cell>
          <cell r="G51">
            <v>3000</v>
          </cell>
          <cell r="O51">
            <v>0</v>
          </cell>
        </row>
        <row r="52">
          <cell r="C52">
            <v>745.50208686597443</v>
          </cell>
          <cell r="G52">
            <v>203000</v>
          </cell>
          <cell r="O52">
            <v>0</v>
          </cell>
        </row>
        <row r="54">
          <cell r="G54">
            <v>345000</v>
          </cell>
          <cell r="H54">
            <v>20000</v>
          </cell>
          <cell r="I54">
            <v>40000</v>
          </cell>
          <cell r="J54">
            <v>100000</v>
          </cell>
          <cell r="K54">
            <v>13000</v>
          </cell>
          <cell r="L54">
            <v>25000</v>
          </cell>
          <cell r="M54">
            <v>170000</v>
          </cell>
        </row>
      </sheetData>
      <sheetData sheetId="12">
        <row r="5">
          <cell r="C5">
            <v>575.50335067121171</v>
          </cell>
        </row>
        <row r="6">
          <cell r="C6">
            <v>740.60248649253811</v>
          </cell>
          <cell r="G6">
            <v>3000</v>
          </cell>
          <cell r="O6">
            <v>0</v>
          </cell>
        </row>
        <row r="7">
          <cell r="C7">
            <v>751.94884093144947</v>
          </cell>
          <cell r="G7">
            <v>3000</v>
          </cell>
          <cell r="O7">
            <v>0</v>
          </cell>
        </row>
        <row r="8">
          <cell r="C8">
            <v>752.26487602955137</v>
          </cell>
          <cell r="G8">
            <v>3000</v>
          </cell>
          <cell r="O8">
            <v>0</v>
          </cell>
        </row>
        <row r="9">
          <cell r="C9">
            <v>752.63637363593728</v>
          </cell>
          <cell r="G9">
            <v>3000</v>
          </cell>
          <cell r="O9">
            <v>0</v>
          </cell>
        </row>
        <row r="10">
          <cell r="C10">
            <v>770.00800390076085</v>
          </cell>
          <cell r="G10">
            <v>7000</v>
          </cell>
          <cell r="O10">
            <v>0</v>
          </cell>
        </row>
        <row r="11">
          <cell r="C11">
            <v>815.56996000440085</v>
          </cell>
          <cell r="G11">
            <v>3000</v>
          </cell>
          <cell r="O11">
            <v>0</v>
          </cell>
        </row>
        <row r="12">
          <cell r="C12">
            <v>751.95144616688071</v>
          </cell>
          <cell r="G12">
            <v>3000</v>
          </cell>
          <cell r="O12">
            <v>0</v>
          </cell>
        </row>
        <row r="13">
          <cell r="C13">
            <v>757.06191606966775</v>
          </cell>
          <cell r="G13">
            <v>3000</v>
          </cell>
          <cell r="O13">
            <v>0</v>
          </cell>
        </row>
        <row r="14">
          <cell r="C14">
            <v>751.92900106162574</v>
          </cell>
          <cell r="G14">
            <v>3000</v>
          </cell>
          <cell r="O14">
            <v>0</v>
          </cell>
        </row>
        <row r="15">
          <cell r="C15">
            <v>758.28958316603519</v>
          </cell>
          <cell r="G15">
            <v>3000</v>
          </cell>
          <cell r="O15">
            <v>0</v>
          </cell>
        </row>
        <row r="16">
          <cell r="C16">
            <v>123.91012854041242</v>
          </cell>
          <cell r="G16">
            <v>0</v>
          </cell>
          <cell r="O16">
            <v>0</v>
          </cell>
        </row>
        <row r="17">
          <cell r="C17">
            <v>784.60329213147497</v>
          </cell>
          <cell r="G17">
            <v>3000</v>
          </cell>
          <cell r="O17">
            <v>0</v>
          </cell>
        </row>
        <row r="18">
          <cell r="C18">
            <v>612.4515299689192</v>
          </cell>
          <cell r="G18">
            <v>0</v>
          </cell>
          <cell r="O18">
            <v>0</v>
          </cell>
        </row>
        <row r="19">
          <cell r="C19">
            <v>2421.2478454388488</v>
          </cell>
          <cell r="G19">
            <v>1006000</v>
          </cell>
          <cell r="O19">
            <v>0</v>
          </cell>
        </row>
        <row r="20">
          <cell r="C20">
            <v>751.91246783677229</v>
          </cell>
          <cell r="G20">
            <v>3000</v>
          </cell>
          <cell r="O20">
            <v>0</v>
          </cell>
        </row>
        <row r="21">
          <cell r="C21">
            <v>751.8811228022887</v>
          </cell>
          <cell r="G21">
            <v>3000</v>
          </cell>
          <cell r="N21">
            <v>110000</v>
          </cell>
          <cell r="O21">
            <v>3300</v>
          </cell>
        </row>
        <row r="22">
          <cell r="C22">
            <v>750.5057498331355</v>
          </cell>
          <cell r="G22">
            <v>3000</v>
          </cell>
          <cell r="O22">
            <v>0</v>
          </cell>
        </row>
        <row r="23">
          <cell r="C23">
            <v>752.05886202774502</v>
          </cell>
          <cell r="G23">
            <v>3000</v>
          </cell>
          <cell r="O23">
            <v>0</v>
          </cell>
        </row>
        <row r="24">
          <cell r="C24">
            <v>751.86496915027431</v>
          </cell>
          <cell r="G24">
            <v>3000</v>
          </cell>
          <cell r="O24">
            <v>0</v>
          </cell>
        </row>
        <row r="25">
          <cell r="C25">
            <v>751.95094516006714</v>
          </cell>
          <cell r="G25">
            <v>3000</v>
          </cell>
          <cell r="O25">
            <v>0</v>
          </cell>
        </row>
        <row r="26">
          <cell r="C26">
            <v>820.16681128332164</v>
          </cell>
          <cell r="G26">
            <v>8000</v>
          </cell>
          <cell r="O26">
            <v>0</v>
          </cell>
        </row>
        <row r="27">
          <cell r="C27">
            <v>750.06739933348501</v>
          </cell>
          <cell r="G27">
            <v>3000</v>
          </cell>
          <cell r="O27">
            <v>0</v>
          </cell>
        </row>
        <row r="28">
          <cell r="C28">
            <v>844.06947710254303</v>
          </cell>
          <cell r="G28">
            <v>3000</v>
          </cell>
          <cell r="O28">
            <v>0</v>
          </cell>
        </row>
        <row r="29">
          <cell r="C29">
            <v>46.055344339133811</v>
          </cell>
          <cell r="G29">
            <v>0</v>
          </cell>
          <cell r="O29">
            <v>0</v>
          </cell>
        </row>
        <row r="30">
          <cell r="C30">
            <v>755.70035064554315</v>
          </cell>
          <cell r="G30">
            <v>3000</v>
          </cell>
          <cell r="O30">
            <v>0</v>
          </cell>
        </row>
        <row r="31">
          <cell r="C31">
            <v>748.10290556960695</v>
          </cell>
          <cell r="G31">
            <v>3000</v>
          </cell>
          <cell r="O31">
            <v>0</v>
          </cell>
        </row>
        <row r="32">
          <cell r="C32">
            <v>1238.7950191961006</v>
          </cell>
          <cell r="G32">
            <v>6000</v>
          </cell>
          <cell r="O32">
            <v>0</v>
          </cell>
        </row>
        <row r="33">
          <cell r="C33">
            <v>830.1903666842644</v>
          </cell>
          <cell r="G33">
            <v>8000</v>
          </cell>
          <cell r="O33">
            <v>0</v>
          </cell>
        </row>
        <row r="35">
          <cell r="C35">
            <v>751.9268675258802</v>
          </cell>
          <cell r="G35">
            <v>3000</v>
          </cell>
          <cell r="O35">
            <v>0</v>
          </cell>
        </row>
        <row r="36">
          <cell r="C36">
            <v>752.35592976115981</v>
          </cell>
          <cell r="G36">
            <v>3000</v>
          </cell>
          <cell r="O36">
            <v>0</v>
          </cell>
        </row>
        <row r="37">
          <cell r="C37">
            <v>691.0113200412278</v>
          </cell>
          <cell r="G37">
            <v>0</v>
          </cell>
          <cell r="O37">
            <v>0</v>
          </cell>
        </row>
        <row r="38">
          <cell r="C38">
            <v>752.17135885098105</v>
          </cell>
          <cell r="G38">
            <v>3000</v>
          </cell>
          <cell r="O38">
            <v>0</v>
          </cell>
        </row>
        <row r="39">
          <cell r="C39">
            <v>752.1326811249611</v>
          </cell>
          <cell r="G39">
            <v>3000</v>
          </cell>
          <cell r="O39">
            <v>0</v>
          </cell>
        </row>
        <row r="40">
          <cell r="C40">
            <v>824.5309535446753</v>
          </cell>
          <cell r="G40">
            <v>8000</v>
          </cell>
          <cell r="O40">
            <v>0</v>
          </cell>
        </row>
        <row r="41">
          <cell r="C41">
            <v>704.25760186277478</v>
          </cell>
          <cell r="G41">
            <v>3000</v>
          </cell>
          <cell r="O41">
            <v>0</v>
          </cell>
        </row>
        <row r="42">
          <cell r="C42">
            <v>79.396465003953537</v>
          </cell>
          <cell r="G42">
            <v>0</v>
          </cell>
          <cell r="O42">
            <v>0</v>
          </cell>
        </row>
        <row r="43">
          <cell r="C43">
            <v>751.94490377117449</v>
          </cell>
          <cell r="G43">
            <v>3000</v>
          </cell>
          <cell r="O43">
            <v>0</v>
          </cell>
        </row>
        <row r="44">
          <cell r="C44">
            <v>724.97273914268749</v>
          </cell>
          <cell r="G44">
            <v>0</v>
          </cell>
          <cell r="O44">
            <v>0</v>
          </cell>
        </row>
        <row r="45">
          <cell r="C45">
            <v>45.120793321688552</v>
          </cell>
          <cell r="G45">
            <v>0</v>
          </cell>
          <cell r="O45">
            <v>0</v>
          </cell>
        </row>
        <row r="46">
          <cell r="C46">
            <v>754.38813902739662</v>
          </cell>
          <cell r="G46">
            <v>3000</v>
          </cell>
          <cell r="N46">
            <v>1000000</v>
          </cell>
          <cell r="O46">
            <v>30000</v>
          </cell>
          <cell r="P46">
            <v>885600</v>
          </cell>
        </row>
        <row r="47">
          <cell r="C47">
            <v>712.60417878400369</v>
          </cell>
          <cell r="G47">
            <v>0</v>
          </cell>
          <cell r="O47">
            <v>0</v>
          </cell>
        </row>
        <row r="48">
          <cell r="C48">
            <v>791.15650265195802</v>
          </cell>
          <cell r="G48">
            <v>3000</v>
          </cell>
          <cell r="O48">
            <v>0</v>
          </cell>
        </row>
        <row r="49">
          <cell r="C49">
            <v>860.08003354722428</v>
          </cell>
          <cell r="G49">
            <v>3000</v>
          </cell>
          <cell r="O49">
            <v>0</v>
          </cell>
        </row>
        <row r="50">
          <cell r="C50">
            <v>17.277709177213385</v>
          </cell>
          <cell r="G50">
            <v>3000</v>
          </cell>
          <cell r="O50">
            <v>0</v>
          </cell>
        </row>
        <row r="51">
          <cell r="C51">
            <v>17.277709177213385</v>
          </cell>
          <cell r="G51">
            <v>3000</v>
          </cell>
          <cell r="O51">
            <v>0</v>
          </cell>
        </row>
        <row r="52">
          <cell r="C52">
            <v>654.09368850983321</v>
          </cell>
          <cell r="G52">
            <v>253000</v>
          </cell>
          <cell r="O52">
            <v>0</v>
          </cell>
        </row>
        <row r="54">
          <cell r="G54">
            <v>1389000</v>
          </cell>
          <cell r="H54">
            <v>19000</v>
          </cell>
          <cell r="I54">
            <v>38000</v>
          </cell>
          <cell r="J54">
            <v>95000</v>
          </cell>
          <cell r="K54">
            <v>14000</v>
          </cell>
          <cell r="L54">
            <v>0</v>
          </cell>
          <cell r="M54">
            <v>200000</v>
          </cell>
        </row>
      </sheetData>
      <sheetData sheetId="13">
        <row r="5">
          <cell r="C5">
            <v>171.8276742375391</v>
          </cell>
        </row>
        <row r="6">
          <cell r="C6">
            <v>222.40210623619294</v>
          </cell>
          <cell r="G6">
            <v>3000</v>
          </cell>
          <cell r="O6">
            <v>0</v>
          </cell>
        </row>
        <row r="7">
          <cell r="C7">
            <v>225.78978016031354</v>
          </cell>
          <cell r="G7">
            <v>3000</v>
          </cell>
          <cell r="O7">
            <v>0</v>
          </cell>
        </row>
        <row r="8">
          <cell r="C8">
            <v>225.88413856121767</v>
          </cell>
          <cell r="G8">
            <v>3000</v>
          </cell>
          <cell r="O8">
            <v>0</v>
          </cell>
        </row>
        <row r="9">
          <cell r="C9">
            <v>225.99505636841315</v>
          </cell>
          <cell r="G9">
            <v>3000</v>
          </cell>
          <cell r="O9">
            <v>0</v>
          </cell>
        </row>
        <row r="10">
          <cell r="C10">
            <v>231.18169311455503</v>
          </cell>
          <cell r="G10">
            <v>3000</v>
          </cell>
          <cell r="O10">
            <v>0</v>
          </cell>
        </row>
        <row r="11">
          <cell r="C11">
            <v>244.785097754807</v>
          </cell>
          <cell r="G11">
            <v>3000</v>
          </cell>
          <cell r="O11">
            <v>0</v>
          </cell>
        </row>
        <row r="12">
          <cell r="C12">
            <v>225.79055800382127</v>
          </cell>
          <cell r="G12">
            <v>3000</v>
          </cell>
          <cell r="O12">
            <v>0</v>
          </cell>
        </row>
        <row r="13">
          <cell r="C13">
            <v>227.31638779548575</v>
          </cell>
          <cell r="G13">
            <v>3000</v>
          </cell>
          <cell r="O13">
            <v>0</v>
          </cell>
        </row>
        <row r="14">
          <cell r="C14">
            <v>225.78385658283133</v>
          </cell>
          <cell r="G14">
            <v>3000</v>
          </cell>
          <cell r="O14">
            <v>0</v>
          </cell>
        </row>
        <row r="15">
          <cell r="C15">
            <v>227.68293158999316</v>
          </cell>
          <cell r="G15">
            <v>3000</v>
          </cell>
          <cell r="O15">
            <v>0</v>
          </cell>
        </row>
        <row r="16">
          <cell r="C16">
            <v>36.995769315229161</v>
          </cell>
          <cell r="G16">
            <v>0</v>
          </cell>
          <cell r="O16">
            <v>0</v>
          </cell>
        </row>
        <row r="17">
          <cell r="C17">
            <v>235.5393991619398</v>
          </cell>
          <cell r="G17">
            <v>3000</v>
          </cell>
          <cell r="O17">
            <v>0</v>
          </cell>
        </row>
        <row r="18">
          <cell r="C18">
            <v>182.8592689426475</v>
          </cell>
          <cell r="G18">
            <v>0</v>
          </cell>
          <cell r="O18">
            <v>0</v>
          </cell>
        </row>
        <row r="19">
          <cell r="C19">
            <v>725.47222295211577</v>
          </cell>
          <cell r="G19">
            <v>6000</v>
          </cell>
          <cell r="O19">
            <v>0</v>
          </cell>
        </row>
        <row r="20">
          <cell r="C20">
            <v>225.77892026826271</v>
          </cell>
          <cell r="G20">
            <v>3000</v>
          </cell>
          <cell r="O20">
            <v>0</v>
          </cell>
        </row>
        <row r="21">
          <cell r="C21">
            <v>225.76956160098834</v>
          </cell>
          <cell r="G21">
            <v>3000</v>
          </cell>
          <cell r="O21">
            <v>0</v>
          </cell>
        </row>
        <row r="22">
          <cell r="C22">
            <v>225.35891735673999</v>
          </cell>
          <cell r="G22">
            <v>3000</v>
          </cell>
          <cell r="O22">
            <v>0</v>
          </cell>
        </row>
        <row r="23">
          <cell r="C23">
            <v>225.82262908998788</v>
          </cell>
          <cell r="G23">
            <v>3000</v>
          </cell>
          <cell r="O23">
            <v>0</v>
          </cell>
        </row>
        <row r="24">
          <cell r="C24">
            <v>225.76473861524408</v>
          </cell>
          <cell r="G24">
            <v>3000</v>
          </cell>
          <cell r="O24">
            <v>0</v>
          </cell>
        </row>
        <row r="25">
          <cell r="C25">
            <v>225.7904084185314</v>
          </cell>
          <cell r="G25">
            <v>3000</v>
          </cell>
          <cell r="O25">
            <v>0</v>
          </cell>
        </row>
        <row r="26">
          <cell r="C26">
            <v>248.29238780430236</v>
          </cell>
          <cell r="G26">
            <v>8000</v>
          </cell>
          <cell r="O26">
            <v>0</v>
          </cell>
        </row>
        <row r="27">
          <cell r="C27">
            <v>225.22803932315782</v>
          </cell>
          <cell r="G27">
            <v>3000</v>
          </cell>
          <cell r="O27">
            <v>0</v>
          </cell>
        </row>
        <row r="28">
          <cell r="C28">
            <v>253.29418068917278</v>
          </cell>
          <cell r="G28">
            <v>3000</v>
          </cell>
          <cell r="O28">
            <v>0</v>
          </cell>
        </row>
        <row r="29">
          <cell r="C29">
            <v>13.750715256084494</v>
          </cell>
          <cell r="G29">
            <v>0</v>
          </cell>
          <cell r="O29">
            <v>0</v>
          </cell>
        </row>
        <row r="30">
          <cell r="C30">
            <v>226.9098660612913</v>
          </cell>
          <cell r="G30">
            <v>3000</v>
          </cell>
          <cell r="O30">
            <v>0</v>
          </cell>
        </row>
        <row r="31">
          <cell r="C31">
            <v>225.92238828176107</v>
          </cell>
          <cell r="G31">
            <v>6000</v>
          </cell>
          <cell r="N31">
            <v>500000</v>
          </cell>
          <cell r="O31">
            <v>10000</v>
          </cell>
          <cell r="P31">
            <v>940800</v>
          </cell>
        </row>
        <row r="32">
          <cell r="C32">
            <v>372.42802470039589</v>
          </cell>
          <cell r="G32">
            <v>6000</v>
          </cell>
          <cell r="O32">
            <v>0</v>
          </cell>
        </row>
        <row r="33">
          <cell r="C33">
            <v>251.28511444981424</v>
          </cell>
          <cell r="G33">
            <v>8000</v>
          </cell>
          <cell r="O33">
            <v>0</v>
          </cell>
        </row>
        <row r="35">
          <cell r="C35">
            <v>225.78321957440275</v>
          </cell>
          <cell r="G35">
            <v>3000</v>
          </cell>
          <cell r="O35">
            <v>0</v>
          </cell>
        </row>
        <row r="36">
          <cell r="C36">
            <v>225.91132441672084</v>
          </cell>
          <cell r="G36">
            <v>3000</v>
          </cell>
          <cell r="O36">
            <v>0</v>
          </cell>
        </row>
        <row r="37">
          <cell r="C37">
            <v>206.31481616226046</v>
          </cell>
          <cell r="G37">
            <v>0</v>
          </cell>
          <cell r="O37">
            <v>0</v>
          </cell>
        </row>
        <row r="38">
          <cell r="C38">
            <v>225.85621719590111</v>
          </cell>
          <cell r="G38">
            <v>3000</v>
          </cell>
          <cell r="O38">
            <v>0</v>
          </cell>
        </row>
        <row r="39">
          <cell r="C39">
            <v>225.84466921151659</v>
          </cell>
          <cell r="G39">
            <v>3000</v>
          </cell>
          <cell r="O39">
            <v>0</v>
          </cell>
        </row>
        <row r="40">
          <cell r="C40">
            <v>249.59538702044168</v>
          </cell>
          <cell r="G40">
            <v>8000</v>
          </cell>
          <cell r="O40">
            <v>0</v>
          </cell>
        </row>
        <row r="41">
          <cell r="C41">
            <v>211.5506368414791</v>
          </cell>
          <cell r="G41">
            <v>3000</v>
          </cell>
          <cell r="O41">
            <v>0</v>
          </cell>
        </row>
        <row r="42">
          <cell r="C42">
            <v>23.705352728876715</v>
          </cell>
          <cell r="G42">
            <v>0</v>
          </cell>
          <cell r="O42">
            <v>0</v>
          </cell>
        </row>
        <row r="43">
          <cell r="C43">
            <v>225.78860464484114</v>
          </cell>
          <cell r="G43">
            <v>3000</v>
          </cell>
          <cell r="O43">
            <v>0</v>
          </cell>
        </row>
        <row r="44">
          <cell r="C44">
            <v>216.4546557499956</v>
          </cell>
          <cell r="G44">
            <v>0</v>
          </cell>
          <cell r="O44">
            <v>0</v>
          </cell>
        </row>
        <row r="45">
          <cell r="C45">
            <v>13.471686945308097</v>
          </cell>
          <cell r="G45">
            <v>0</v>
          </cell>
          <cell r="O45">
            <v>0</v>
          </cell>
        </row>
        <row r="46">
          <cell r="C46">
            <v>225.23719323316021</v>
          </cell>
          <cell r="G46">
            <v>0</v>
          </cell>
          <cell r="O46">
            <v>0</v>
          </cell>
        </row>
        <row r="47">
          <cell r="C47">
            <v>212.76178244592089</v>
          </cell>
          <cell r="G47">
            <v>0</v>
          </cell>
          <cell r="O47">
            <v>0</v>
          </cell>
        </row>
        <row r="48">
          <cell r="C48">
            <v>237.49598711439967</v>
          </cell>
          <cell r="G48">
            <v>3000</v>
          </cell>
          <cell r="O48">
            <v>0</v>
          </cell>
        </row>
        <row r="49">
          <cell r="C49">
            <v>258.0744424790127</v>
          </cell>
          <cell r="G49">
            <v>3000</v>
          </cell>
          <cell r="O49">
            <v>0</v>
          </cell>
        </row>
        <row r="50">
          <cell r="C50">
            <v>6.4394814147709845</v>
          </cell>
          <cell r="G50">
            <v>3000</v>
          </cell>
          <cell r="O50">
            <v>0</v>
          </cell>
        </row>
        <row r="51">
          <cell r="C51">
            <v>6.4394814147709845</v>
          </cell>
          <cell r="G51">
            <v>3000</v>
          </cell>
          <cell r="O51">
            <v>0</v>
          </cell>
        </row>
        <row r="52">
          <cell r="C52">
            <v>196.57322871338329</v>
          </cell>
          <cell r="G52">
            <v>3000</v>
          </cell>
          <cell r="O52">
            <v>0</v>
          </cell>
        </row>
        <row r="54">
          <cell r="G54">
            <v>135000</v>
          </cell>
          <cell r="H54">
            <v>19000</v>
          </cell>
          <cell r="I54">
            <v>38000</v>
          </cell>
          <cell r="J54">
            <v>95000</v>
          </cell>
          <cell r="K54">
            <v>19000</v>
          </cell>
          <cell r="L54">
            <v>0</v>
          </cell>
          <cell r="M54">
            <v>170000</v>
          </cell>
        </row>
      </sheetData>
      <sheetData sheetId="14">
        <row r="5">
          <cell r="C5">
            <v>0</v>
          </cell>
        </row>
        <row r="6">
          <cell r="C6">
            <v>0</v>
          </cell>
          <cell r="G6">
            <v>3000</v>
          </cell>
          <cell r="O6">
            <v>0</v>
          </cell>
        </row>
        <row r="7">
          <cell r="C7">
            <v>0</v>
          </cell>
          <cell r="G7">
            <v>3000</v>
          </cell>
          <cell r="O7">
            <v>0</v>
          </cell>
        </row>
        <row r="8">
          <cell r="C8">
            <v>0</v>
          </cell>
          <cell r="G8">
            <v>3000</v>
          </cell>
          <cell r="O8">
            <v>0</v>
          </cell>
        </row>
        <row r="9">
          <cell r="C9">
            <v>0</v>
          </cell>
          <cell r="G9">
            <v>3000</v>
          </cell>
          <cell r="O9">
            <v>0</v>
          </cell>
        </row>
        <row r="10">
          <cell r="C10">
            <v>0</v>
          </cell>
          <cell r="G10">
            <v>3000</v>
          </cell>
          <cell r="O10">
            <v>0</v>
          </cell>
        </row>
        <row r="11">
          <cell r="C11">
            <v>0</v>
          </cell>
          <cell r="G11">
            <v>0</v>
          </cell>
          <cell r="O11">
            <v>0</v>
          </cell>
        </row>
        <row r="12">
          <cell r="C12">
            <v>0</v>
          </cell>
          <cell r="G12">
            <v>3000</v>
          </cell>
          <cell r="O12">
            <v>0</v>
          </cell>
        </row>
        <row r="13">
          <cell r="C13">
            <v>0</v>
          </cell>
          <cell r="G13">
            <v>3000</v>
          </cell>
          <cell r="O13">
            <v>0</v>
          </cell>
        </row>
        <row r="14">
          <cell r="C14">
            <v>0</v>
          </cell>
          <cell r="G14">
            <v>4000</v>
          </cell>
          <cell r="O14">
            <v>0</v>
          </cell>
        </row>
        <row r="15">
          <cell r="C15">
            <v>0</v>
          </cell>
          <cell r="G15">
            <v>3000</v>
          </cell>
          <cell r="O15">
            <v>0</v>
          </cell>
        </row>
        <row r="16">
          <cell r="C16">
            <v>0</v>
          </cell>
          <cell r="G16">
            <v>0</v>
          </cell>
          <cell r="O16">
            <v>0</v>
          </cell>
        </row>
        <row r="17">
          <cell r="C17">
            <v>0</v>
          </cell>
          <cell r="G17">
            <v>3000</v>
          </cell>
          <cell r="O17">
            <v>0</v>
          </cell>
        </row>
        <row r="18">
          <cell r="C18">
            <v>0</v>
          </cell>
          <cell r="G18">
            <v>0</v>
          </cell>
          <cell r="O18">
            <v>0</v>
          </cell>
        </row>
        <row r="19">
          <cell r="C19">
            <v>0</v>
          </cell>
          <cell r="G19">
            <v>6000</v>
          </cell>
          <cell r="O19">
            <v>0</v>
          </cell>
        </row>
        <row r="20">
          <cell r="C20">
            <v>0</v>
          </cell>
          <cell r="G20">
            <v>3000</v>
          </cell>
          <cell r="O20">
            <v>0</v>
          </cell>
        </row>
        <row r="21">
          <cell r="C21">
            <v>0</v>
          </cell>
          <cell r="G21">
            <v>3000</v>
          </cell>
          <cell r="O21">
            <v>0</v>
          </cell>
        </row>
        <row r="22">
          <cell r="C22">
            <v>0</v>
          </cell>
          <cell r="G22">
            <v>3000</v>
          </cell>
          <cell r="O22">
            <v>0</v>
          </cell>
        </row>
        <row r="23">
          <cell r="C23">
            <v>0</v>
          </cell>
          <cell r="G23">
            <v>3000</v>
          </cell>
          <cell r="O23">
            <v>0</v>
          </cell>
        </row>
        <row r="24">
          <cell r="C24">
            <v>0</v>
          </cell>
          <cell r="G24">
            <v>3000</v>
          </cell>
          <cell r="O24">
            <v>0</v>
          </cell>
        </row>
        <row r="25">
          <cell r="C25">
            <v>0</v>
          </cell>
          <cell r="G25">
            <v>3000</v>
          </cell>
          <cell r="O25">
            <v>0</v>
          </cell>
        </row>
        <row r="26">
          <cell r="C26">
            <v>0</v>
          </cell>
          <cell r="G26">
            <v>8000</v>
          </cell>
          <cell r="O26">
            <v>0</v>
          </cell>
        </row>
        <row r="27">
          <cell r="C27">
            <v>0</v>
          </cell>
          <cell r="G27">
            <v>3000</v>
          </cell>
          <cell r="O27">
            <v>0</v>
          </cell>
        </row>
        <row r="28">
          <cell r="C28">
            <v>0</v>
          </cell>
          <cell r="G28">
            <v>8000</v>
          </cell>
          <cell r="O28">
            <v>0</v>
          </cell>
        </row>
        <row r="29">
          <cell r="C29">
            <v>0</v>
          </cell>
          <cell r="G29">
            <v>0</v>
          </cell>
          <cell r="O29">
            <v>0</v>
          </cell>
        </row>
        <row r="30">
          <cell r="C30">
            <v>0</v>
          </cell>
          <cell r="G30">
            <v>3000</v>
          </cell>
          <cell r="O30">
            <v>0</v>
          </cell>
        </row>
        <row r="31">
          <cell r="C31">
            <v>0</v>
          </cell>
          <cell r="G31">
            <v>3000</v>
          </cell>
          <cell r="O31">
            <v>0</v>
          </cell>
        </row>
        <row r="32">
          <cell r="C32">
            <v>0</v>
          </cell>
          <cell r="G32">
            <v>6000</v>
          </cell>
          <cell r="O32">
            <v>0</v>
          </cell>
        </row>
        <row r="33">
          <cell r="C33">
            <v>0</v>
          </cell>
          <cell r="G33">
            <v>8000</v>
          </cell>
          <cell r="O33">
            <v>0</v>
          </cell>
        </row>
        <row r="35">
          <cell r="C35">
            <v>0</v>
          </cell>
          <cell r="G35">
            <v>3000</v>
          </cell>
          <cell r="O35">
            <v>0</v>
          </cell>
        </row>
        <row r="36">
          <cell r="C36">
            <v>0</v>
          </cell>
          <cell r="G36">
            <v>3000</v>
          </cell>
          <cell r="O36">
            <v>0</v>
          </cell>
        </row>
        <row r="37">
          <cell r="C37">
            <v>0</v>
          </cell>
          <cell r="G37">
            <v>0</v>
          </cell>
          <cell r="O37">
            <v>0</v>
          </cell>
        </row>
        <row r="38">
          <cell r="C38">
            <v>0</v>
          </cell>
          <cell r="G38">
            <v>3000</v>
          </cell>
          <cell r="O38">
            <v>0</v>
          </cell>
        </row>
        <row r="39">
          <cell r="C39">
            <v>0</v>
          </cell>
          <cell r="G39">
            <v>3000</v>
          </cell>
          <cell r="O39">
            <v>0</v>
          </cell>
          <cell r="P39">
            <v>100000</v>
          </cell>
        </row>
        <row r="40">
          <cell r="C40">
            <v>0</v>
          </cell>
          <cell r="G40">
            <v>18000</v>
          </cell>
          <cell r="O40">
            <v>0</v>
          </cell>
        </row>
        <row r="41">
          <cell r="C41">
            <v>0</v>
          </cell>
          <cell r="G41">
            <v>3000</v>
          </cell>
          <cell r="O41">
            <v>0</v>
          </cell>
        </row>
        <row r="42">
          <cell r="C42">
            <v>0</v>
          </cell>
          <cell r="G42">
            <v>0</v>
          </cell>
          <cell r="O42">
            <v>0</v>
          </cell>
        </row>
        <row r="43">
          <cell r="C43">
            <v>0</v>
          </cell>
          <cell r="G43">
            <v>3000</v>
          </cell>
          <cell r="O43">
            <v>0</v>
          </cell>
        </row>
        <row r="44">
          <cell r="C44">
            <v>0</v>
          </cell>
          <cell r="G44">
            <v>0</v>
          </cell>
          <cell r="O44">
            <v>0</v>
          </cell>
        </row>
        <row r="45">
          <cell r="C45">
            <v>0</v>
          </cell>
          <cell r="G45">
            <v>0</v>
          </cell>
          <cell r="O45">
            <v>0</v>
          </cell>
        </row>
        <row r="46">
          <cell r="C46">
            <v>0</v>
          </cell>
          <cell r="G46">
            <v>3000</v>
          </cell>
          <cell r="O46">
            <v>0</v>
          </cell>
        </row>
        <row r="47">
          <cell r="C47">
            <v>0</v>
          </cell>
          <cell r="G47">
            <v>0</v>
          </cell>
          <cell r="O47">
            <v>0</v>
          </cell>
        </row>
        <row r="48">
          <cell r="C48">
            <v>0</v>
          </cell>
          <cell r="G48">
            <v>3000</v>
          </cell>
          <cell r="O48">
            <v>0</v>
          </cell>
        </row>
        <row r="49">
          <cell r="C49">
            <v>0</v>
          </cell>
          <cell r="G49">
            <v>3000</v>
          </cell>
          <cell r="O49">
            <v>0</v>
          </cell>
        </row>
        <row r="50">
          <cell r="C50">
            <v>0</v>
          </cell>
          <cell r="G50">
            <v>3000</v>
          </cell>
          <cell r="O50">
            <v>0</v>
          </cell>
        </row>
        <row r="51">
          <cell r="C51">
            <v>0</v>
          </cell>
          <cell r="G51">
            <v>3000</v>
          </cell>
          <cell r="O51">
            <v>0</v>
          </cell>
        </row>
        <row r="52">
          <cell r="C52">
            <v>0</v>
          </cell>
          <cell r="G52">
            <v>3000</v>
          </cell>
          <cell r="O52">
            <v>0</v>
          </cell>
        </row>
        <row r="54">
          <cell r="G54">
            <v>148000</v>
          </cell>
          <cell r="H54">
            <v>18500</v>
          </cell>
          <cell r="I54">
            <v>37000</v>
          </cell>
          <cell r="J54">
            <v>92500</v>
          </cell>
          <cell r="K54">
            <v>16000</v>
          </cell>
          <cell r="L54">
            <v>0</v>
          </cell>
          <cell r="M54">
            <v>0</v>
          </cell>
        </row>
      </sheetData>
      <sheetData sheetId="15">
        <row r="6">
          <cell r="G6">
            <v>15000</v>
          </cell>
        </row>
        <row r="7">
          <cell r="G7">
            <v>3000</v>
          </cell>
        </row>
        <row r="8">
          <cell r="G8">
            <v>3000</v>
          </cell>
        </row>
        <row r="9">
          <cell r="G9">
            <v>3000</v>
          </cell>
        </row>
        <row r="10">
          <cell r="G10">
            <v>3000</v>
          </cell>
        </row>
        <row r="11">
          <cell r="G11">
            <v>0</v>
          </cell>
        </row>
        <row r="12">
          <cell r="G12">
            <v>3000</v>
          </cell>
        </row>
        <row r="13">
          <cell r="G13">
            <v>3000</v>
          </cell>
        </row>
        <row r="14">
          <cell r="G14">
            <v>3000</v>
          </cell>
          <cell r="P14">
            <v>666000</v>
          </cell>
        </row>
        <row r="15">
          <cell r="G15">
            <v>3000</v>
          </cell>
        </row>
        <row r="16">
          <cell r="G16">
            <v>0</v>
          </cell>
        </row>
        <row r="17">
          <cell r="G17">
            <v>3000</v>
          </cell>
        </row>
        <row r="18">
          <cell r="G18">
            <v>0</v>
          </cell>
        </row>
        <row r="19">
          <cell r="G19">
            <v>6000</v>
          </cell>
        </row>
        <row r="20">
          <cell r="G20">
            <v>3000</v>
          </cell>
        </row>
        <row r="21">
          <cell r="G21">
            <v>3000</v>
          </cell>
          <cell r="P21">
            <v>94000</v>
          </cell>
        </row>
        <row r="22">
          <cell r="G22">
            <v>3000</v>
          </cell>
        </row>
        <row r="23">
          <cell r="G23">
            <v>3000</v>
          </cell>
          <cell r="P23">
            <v>850000</v>
          </cell>
        </row>
        <row r="24">
          <cell r="G24">
            <v>3000</v>
          </cell>
        </row>
        <row r="25">
          <cell r="G25">
            <v>3000</v>
          </cell>
        </row>
        <row r="26">
          <cell r="G26">
            <v>8000</v>
          </cell>
          <cell r="P26">
            <v>700000</v>
          </cell>
        </row>
        <row r="27">
          <cell r="G27">
            <v>3000</v>
          </cell>
        </row>
        <row r="28">
          <cell r="G28">
            <v>3000</v>
          </cell>
        </row>
        <row r="29">
          <cell r="G29">
            <v>0</v>
          </cell>
        </row>
        <row r="30">
          <cell r="G30">
            <v>3000</v>
          </cell>
        </row>
        <row r="31">
          <cell r="G31">
            <v>3000</v>
          </cell>
          <cell r="P31">
            <v>500000</v>
          </cell>
        </row>
        <row r="32">
          <cell r="G32">
            <v>6000</v>
          </cell>
          <cell r="P32">
            <v>1090000</v>
          </cell>
        </row>
        <row r="33">
          <cell r="G33">
            <v>8000</v>
          </cell>
          <cell r="P33">
            <v>320000</v>
          </cell>
        </row>
        <row r="35">
          <cell r="G35">
            <v>3000</v>
          </cell>
        </row>
        <row r="36">
          <cell r="G36">
            <v>3000</v>
          </cell>
        </row>
        <row r="37">
          <cell r="G37">
            <v>0</v>
          </cell>
        </row>
        <row r="38">
          <cell r="G38">
            <v>3000</v>
          </cell>
        </row>
        <row r="39">
          <cell r="G39">
            <v>3000</v>
          </cell>
          <cell r="P39">
            <v>100000</v>
          </cell>
        </row>
        <row r="40">
          <cell r="G40">
            <v>18000</v>
          </cell>
        </row>
        <row r="41">
          <cell r="G41">
            <v>3000</v>
          </cell>
        </row>
        <row r="42">
          <cell r="G42">
            <v>0</v>
          </cell>
        </row>
        <row r="43">
          <cell r="G43">
            <v>3000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3000</v>
          </cell>
        </row>
        <row r="47">
          <cell r="G47">
            <v>0</v>
          </cell>
        </row>
        <row r="48">
          <cell r="G48">
            <v>3000</v>
          </cell>
        </row>
        <row r="49">
          <cell r="G49">
            <v>3000</v>
          </cell>
        </row>
        <row r="50">
          <cell r="G50">
            <v>3000</v>
          </cell>
          <cell r="P50">
            <v>1060000</v>
          </cell>
        </row>
        <row r="51">
          <cell r="G51">
            <v>3000</v>
          </cell>
        </row>
        <row r="52">
          <cell r="G52">
            <v>3000</v>
          </cell>
        </row>
      </sheetData>
      <sheetData sheetId="1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CPTECHINGUE"/>
      <sheetName val="MVTRESUME2019"/>
      <sheetName val="Feuil1"/>
      <sheetName val="MVTRESUMEEDIT2019"/>
      <sheetName val="MVTRESUMETAB"/>
      <sheetName val="MVTRESUME20BACKUP"/>
    </sheetNames>
    <sheetDataSet>
      <sheetData sheetId="0" refreshError="1"/>
      <sheetData sheetId="1" refreshError="1"/>
      <sheetData sheetId="2">
        <row r="44">
          <cell r="C44">
            <v>16412126.924414562</v>
          </cell>
        </row>
      </sheetData>
      <sheetData sheetId="3">
        <row r="49">
          <cell r="E49">
            <v>0</v>
          </cell>
        </row>
      </sheetData>
      <sheetData sheetId="4">
        <row r="49">
          <cell r="E49">
            <v>0</v>
          </cell>
        </row>
      </sheetData>
      <sheetData sheetId="5">
        <row r="49">
          <cell r="E49">
            <v>0</v>
          </cell>
        </row>
      </sheetData>
      <sheetData sheetId="6">
        <row r="49">
          <cell r="E49">
            <v>0</v>
          </cell>
        </row>
      </sheetData>
      <sheetData sheetId="7">
        <row r="49">
          <cell r="E49">
            <v>0</v>
          </cell>
        </row>
      </sheetData>
      <sheetData sheetId="8">
        <row r="49">
          <cell r="E49">
            <v>0</v>
          </cell>
        </row>
      </sheetData>
      <sheetData sheetId="9">
        <row r="49">
          <cell r="E49">
            <v>0</v>
          </cell>
        </row>
      </sheetData>
      <sheetData sheetId="10">
        <row r="49">
          <cell r="E49">
            <v>0</v>
          </cell>
        </row>
      </sheetData>
      <sheetData sheetId="11">
        <row r="49">
          <cell r="E49">
            <v>0</v>
          </cell>
        </row>
      </sheetData>
      <sheetData sheetId="12">
        <row r="2">
          <cell r="A2" t="str">
            <v>ANNEE</v>
          </cell>
        </row>
        <row r="7">
          <cell r="D7">
            <v>648642.04691810464</v>
          </cell>
        </row>
        <row r="8">
          <cell r="D8">
            <v>671889.76687987673</v>
          </cell>
        </row>
        <row r="9">
          <cell r="D9">
            <v>312839.88914258289</v>
          </cell>
        </row>
        <row r="10">
          <cell r="D10">
            <v>1119730.2223502491</v>
          </cell>
        </row>
        <row r="11">
          <cell r="D11">
            <v>653645.29287423182</v>
          </cell>
        </row>
        <row r="12">
          <cell r="D12">
            <v>644946.58962549234</v>
          </cell>
        </row>
        <row r="13">
          <cell r="D13">
            <v>912642.46594586375</v>
          </cell>
        </row>
        <row r="14">
          <cell r="D14">
            <v>634013.91120654321</v>
          </cell>
        </row>
        <row r="15">
          <cell r="D15">
            <v>761566.84181084961</v>
          </cell>
        </row>
        <row r="16">
          <cell r="D16">
            <v>861035.46410902217</v>
          </cell>
        </row>
        <row r="17">
          <cell r="D17">
            <v>6032356.5526907975</v>
          </cell>
        </row>
        <row r="18">
          <cell r="D18">
            <v>660968.36417477601</v>
          </cell>
        </row>
        <row r="19">
          <cell r="D19">
            <v>649452.04544350482</v>
          </cell>
        </row>
        <row r="20">
          <cell r="D20">
            <v>664981.57481833594</v>
          </cell>
        </row>
        <row r="22">
          <cell r="D22">
            <v>647639.79241332458</v>
          </cell>
        </row>
        <row r="23">
          <cell r="D23">
            <v>698777.96460327017</v>
          </cell>
        </row>
        <row r="24">
          <cell r="D24">
            <v>650993.538418688</v>
          </cell>
        </row>
        <row r="26">
          <cell r="D26">
            <v>751990.68038595188</v>
          </cell>
        </row>
        <row r="27">
          <cell r="D27">
            <v>662211.18967186077</v>
          </cell>
        </row>
        <row r="28">
          <cell r="D28">
            <v>732079.68619970349</v>
          </cell>
        </row>
        <row r="30">
          <cell r="D30">
            <v>657300.9813535969</v>
          </cell>
        </row>
        <row r="31">
          <cell r="D31">
            <v>812754.93599793687</v>
          </cell>
        </row>
        <row r="32">
          <cell r="D32">
            <v>488413.94808294007</v>
          </cell>
        </row>
        <row r="33">
          <cell r="D33">
            <v>643162.62499808788</v>
          </cell>
        </row>
        <row r="34">
          <cell r="D34">
            <v>795838.38063859928</v>
          </cell>
        </row>
        <row r="36">
          <cell r="D36">
            <v>814964.21948103607</v>
          </cell>
        </row>
        <row r="37">
          <cell r="D37">
            <v>651185.68382878136</v>
          </cell>
        </row>
        <row r="38">
          <cell r="D38">
            <v>1371674.2565483693</v>
          </cell>
        </row>
        <row r="44">
          <cell r="D44">
            <v>32545683.200606219</v>
          </cell>
        </row>
        <row r="47">
          <cell r="D47" t="str">
            <v>TONTINE</v>
          </cell>
        </row>
        <row r="48">
          <cell r="D48" t="str">
            <v>PENALITE VERST ESPECES</v>
          </cell>
        </row>
        <row r="50">
          <cell r="D50" t="str">
            <v>EPARGNE</v>
          </cell>
        </row>
        <row r="53">
          <cell r="D53" t="str">
            <v>COLLATION</v>
          </cell>
        </row>
      </sheetData>
      <sheetData sheetId="13">
        <row r="49">
          <cell r="E49">
            <v>0</v>
          </cell>
        </row>
      </sheetData>
      <sheetData sheetId="14">
        <row r="49">
          <cell r="E49">
            <v>0</v>
          </cell>
        </row>
      </sheetData>
      <sheetData sheetId="15">
        <row r="49">
          <cell r="E49">
            <v>0</v>
          </cell>
        </row>
      </sheetData>
      <sheetData sheetId="16">
        <row r="44">
          <cell r="C44">
            <v>2031980</v>
          </cell>
        </row>
      </sheetData>
      <sheetData sheetId="17" refreshError="1"/>
      <sheetData sheetId="18">
        <row r="54">
          <cell r="C54">
            <v>17782722.011083744</v>
          </cell>
        </row>
      </sheetData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8"/>
  <sheetViews>
    <sheetView workbookViewId="0">
      <selection activeCell="A29" sqref="A29:XFD29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3.140625" customWidth="1"/>
    <col min="5" max="5" width="16.140625" customWidth="1"/>
  </cols>
  <sheetData>
    <row r="2" spans="1:8" ht="21" x14ac:dyDescent="0.35">
      <c r="A2" s="25" t="s">
        <v>28</v>
      </c>
    </row>
    <row r="4" spans="1:8" ht="15.75" thickBot="1" x14ac:dyDescent="0.3"/>
    <row r="5" spans="1:8" ht="38.25" thickTop="1" x14ac:dyDescent="0.3">
      <c r="A5" s="26" t="s">
        <v>29</v>
      </c>
      <c r="B5" s="27" t="s">
        <v>30</v>
      </c>
      <c r="C5" s="28" t="s">
        <v>31</v>
      </c>
      <c r="D5" s="28" t="s">
        <v>32</v>
      </c>
      <c r="E5" s="29" t="s">
        <v>33</v>
      </c>
    </row>
    <row r="6" spans="1:8" x14ac:dyDescent="0.25">
      <c r="A6" s="21"/>
      <c r="B6" s="15"/>
      <c r="C6" s="15"/>
      <c r="D6" s="15"/>
      <c r="E6" s="16"/>
    </row>
    <row r="7" spans="1:8" x14ac:dyDescent="0.25">
      <c r="A7" s="14" t="s">
        <v>34</v>
      </c>
      <c r="B7" s="30">
        <v>29756024</v>
      </c>
      <c r="C7" s="30">
        <f>[8]TRAVAUXINVENTAIRE!R54+C20+1050000+2230668</f>
        <v>7101809</v>
      </c>
      <c r="D7" s="30"/>
      <c r="E7" s="31">
        <f>B7+C7-D7</f>
        <v>36857833</v>
      </c>
      <c r="F7" s="32"/>
      <c r="G7" s="32"/>
    </row>
    <row r="8" spans="1:8" x14ac:dyDescent="0.25">
      <c r="A8" s="14" t="s">
        <v>35</v>
      </c>
      <c r="B8" s="30"/>
      <c r="C8" s="30">
        <v>28382451</v>
      </c>
      <c r="D8" s="30">
        <v>39386431</v>
      </c>
      <c r="E8" s="31">
        <f>B8+C8-D8</f>
        <v>-11003980</v>
      </c>
      <c r="F8" s="32"/>
      <c r="H8" s="32"/>
    </row>
    <row r="9" spans="1:8" x14ac:dyDescent="0.25">
      <c r="A9" s="14" t="s">
        <v>2</v>
      </c>
      <c r="B9" s="30">
        <v>3031178</v>
      </c>
      <c r="C9" s="30">
        <f>[8]TRAVAUXINVENTAIRE!S54</f>
        <v>250500</v>
      </c>
      <c r="D9" s="30">
        <f>'[9]BILAN 2016'!$D$9</f>
        <v>224500</v>
      </c>
      <c r="E9" s="31">
        <f t="shared" ref="E9:E19" si="0">B9+C9-D9</f>
        <v>3057178</v>
      </c>
      <c r="F9" s="32"/>
      <c r="G9" s="32"/>
    </row>
    <row r="10" spans="1:8" x14ac:dyDescent="0.25">
      <c r="A10" s="14" t="s">
        <v>36</v>
      </c>
      <c r="B10" s="30">
        <v>1267460</v>
      </c>
      <c r="C10" s="30">
        <f>[8]TRAVAUXINVENTAIRE!T54</f>
        <v>501000</v>
      </c>
      <c r="D10" s="30">
        <f>[8]TRAVAUXINVENTAIREDEC!B6</f>
        <v>1100000</v>
      </c>
      <c r="E10" s="31">
        <f t="shared" si="0"/>
        <v>668460</v>
      </c>
      <c r="F10" s="32"/>
    </row>
    <row r="11" spans="1:8" x14ac:dyDescent="0.25">
      <c r="A11" s="14" t="s">
        <v>4</v>
      </c>
      <c r="B11" s="30">
        <v>940125</v>
      </c>
      <c r="C11" s="30">
        <f>[8]TRAVAUXINVENTAIRE!U54</f>
        <v>1252500</v>
      </c>
      <c r="D11" s="30">
        <f>[8]TRAVAUXINVENTAIREDEC!B7</f>
        <v>1260000</v>
      </c>
      <c r="E11" s="31">
        <f t="shared" si="0"/>
        <v>932625</v>
      </c>
      <c r="F11" s="32"/>
    </row>
    <row r="12" spans="1:8" x14ac:dyDescent="0.25">
      <c r="A12" s="14" t="s">
        <v>37</v>
      </c>
      <c r="B12" s="30">
        <f>-101500</f>
        <v>-101500</v>
      </c>
      <c r="C12" s="30">
        <f>[8]TRAVAUXINVENTAIRE!V54+[8]TRAVAUXINVENTAIRE!O54</f>
        <v>1954860</v>
      </c>
      <c r="D12" s="30">
        <f>[8]TRAVAUXINVENTAIREDEC!B8</f>
        <v>2595000</v>
      </c>
      <c r="E12" s="31">
        <f t="shared" si="0"/>
        <v>-741640</v>
      </c>
      <c r="F12" s="32"/>
    </row>
    <row r="13" spans="1:8" x14ac:dyDescent="0.25">
      <c r="A13" s="14" t="s">
        <v>6</v>
      </c>
      <c r="B13" s="30">
        <v>530000</v>
      </c>
      <c r="C13" s="30"/>
      <c r="D13" s="30"/>
      <c r="E13" s="31">
        <f t="shared" si="0"/>
        <v>530000</v>
      </c>
      <c r="F13" s="32"/>
    </row>
    <row r="14" spans="1:8" x14ac:dyDescent="0.25">
      <c r="A14" s="14" t="s">
        <v>164</v>
      </c>
      <c r="B14" s="30">
        <v>54508</v>
      </c>
      <c r="C14" s="30"/>
      <c r="D14" s="30"/>
      <c r="E14" s="31">
        <f t="shared" si="0"/>
        <v>54508</v>
      </c>
      <c r="F14" s="32"/>
    </row>
    <row r="15" spans="1:8" x14ac:dyDescent="0.25">
      <c r="A15" s="14" t="s">
        <v>165</v>
      </c>
      <c r="B15" s="30">
        <v>-164500</v>
      </c>
      <c r="C15" s="30"/>
      <c r="D15" s="30"/>
      <c r="E15" s="31">
        <f t="shared" si="0"/>
        <v>-164500</v>
      </c>
      <c r="F15" s="32"/>
    </row>
    <row r="16" spans="1:8" x14ac:dyDescent="0.25">
      <c r="A16" s="14" t="s">
        <v>166</v>
      </c>
      <c r="B16" s="30">
        <v>-75000</v>
      </c>
      <c r="C16" s="30"/>
      <c r="D16" s="30"/>
      <c r="E16" s="31">
        <f t="shared" si="0"/>
        <v>-75000</v>
      </c>
      <c r="F16" s="32"/>
    </row>
    <row r="17" spans="1:6" x14ac:dyDescent="0.25">
      <c r="A17" s="14" t="s">
        <v>38</v>
      </c>
      <c r="B17" s="30"/>
      <c r="C17" s="30"/>
      <c r="D17" s="30"/>
      <c r="E17" s="31">
        <f t="shared" si="0"/>
        <v>0</v>
      </c>
      <c r="F17" s="32"/>
    </row>
    <row r="18" spans="1:6" x14ac:dyDescent="0.25">
      <c r="A18" s="14" t="s">
        <v>39</v>
      </c>
      <c r="B18" s="33"/>
      <c r="C18" s="30">
        <f>320750+16500</f>
        <v>337250</v>
      </c>
      <c r="D18" s="33"/>
      <c r="E18" s="31">
        <f t="shared" si="0"/>
        <v>337250</v>
      </c>
      <c r="F18" s="35">
        <v>1711250</v>
      </c>
    </row>
    <row r="19" spans="1:6" x14ac:dyDescent="0.25">
      <c r="A19" s="14" t="s">
        <v>40</v>
      </c>
      <c r="B19" s="33"/>
      <c r="C19" s="33"/>
      <c r="D19" s="33"/>
      <c r="E19" s="31">
        <f t="shared" si="0"/>
        <v>0</v>
      </c>
      <c r="F19" s="32"/>
    </row>
    <row r="20" spans="1:6" x14ac:dyDescent="0.25">
      <c r="A20" s="14" t="s">
        <v>41</v>
      </c>
      <c r="B20" s="33"/>
      <c r="C20" s="30"/>
      <c r="D20" s="33"/>
      <c r="E20" s="31">
        <f t="shared" ref="E20" si="1">B20+C20-D20</f>
        <v>0</v>
      </c>
      <c r="F20" s="32"/>
    </row>
    <row r="21" spans="1:6" x14ac:dyDescent="0.25">
      <c r="A21" s="14"/>
      <c r="B21" s="33"/>
      <c r="C21" s="30"/>
      <c r="D21" s="33"/>
      <c r="E21" s="31"/>
      <c r="F21" s="32"/>
    </row>
    <row r="22" spans="1:6" x14ac:dyDescent="0.25">
      <c r="A22" s="14" t="s">
        <v>42</v>
      </c>
      <c r="B22" s="33"/>
      <c r="C22" s="15"/>
      <c r="D22" s="30"/>
      <c r="E22" s="31"/>
      <c r="F22" s="32"/>
    </row>
    <row r="23" spans="1:6" x14ac:dyDescent="0.25">
      <c r="A23" s="14"/>
      <c r="B23" s="33"/>
      <c r="C23" s="30"/>
      <c r="D23" s="33"/>
      <c r="E23" s="31"/>
      <c r="F23" s="32"/>
    </row>
    <row r="24" spans="1:6" x14ac:dyDescent="0.25">
      <c r="A24" s="14" t="s">
        <v>43</v>
      </c>
      <c r="B24" s="33"/>
      <c r="C24" s="30"/>
      <c r="D24" s="33"/>
      <c r="E24" s="31"/>
      <c r="F24" s="32"/>
    </row>
    <row r="25" spans="1:6" x14ac:dyDescent="0.25">
      <c r="A25" s="14"/>
      <c r="B25" s="33"/>
      <c r="C25" s="30"/>
      <c r="D25" s="33"/>
      <c r="E25" s="34"/>
      <c r="F25" s="32"/>
    </row>
    <row r="26" spans="1:6" x14ac:dyDescent="0.25">
      <c r="A26" s="14"/>
      <c r="B26" s="33"/>
      <c r="C26" s="30"/>
      <c r="D26" s="33"/>
      <c r="E26" s="34"/>
      <c r="F26" s="32"/>
    </row>
    <row r="27" spans="1:6" x14ac:dyDescent="0.25">
      <c r="A27" s="14" t="s">
        <v>44</v>
      </c>
      <c r="B27" s="33"/>
      <c r="C27" s="30"/>
      <c r="D27" s="30"/>
      <c r="E27" s="31"/>
      <c r="F27" s="32"/>
    </row>
    <row r="28" spans="1:6" x14ac:dyDescent="0.25">
      <c r="A28" s="14" t="s">
        <v>45</v>
      </c>
      <c r="B28" s="33"/>
      <c r="C28" s="15"/>
      <c r="D28" s="15"/>
      <c r="E28" s="31"/>
      <c r="F28" s="32"/>
    </row>
    <row r="29" spans="1:6" x14ac:dyDescent="0.25">
      <c r="A29" s="14" t="s">
        <v>168</v>
      </c>
      <c r="B29" s="30">
        <v>1779594</v>
      </c>
      <c r="C29" s="15"/>
      <c r="D29" s="15"/>
      <c r="E29" s="31">
        <f t="shared" ref="E29" si="2">B29+C29-D29</f>
        <v>1779594</v>
      </c>
      <c r="F29" s="32"/>
    </row>
    <row r="30" spans="1:6" x14ac:dyDescent="0.25">
      <c r="A30" s="14" t="s">
        <v>46</v>
      </c>
      <c r="B30" s="33"/>
      <c r="C30" s="30"/>
      <c r="D30" s="33"/>
      <c r="E30" s="31"/>
      <c r="F30" s="32"/>
    </row>
    <row r="31" spans="1:6" x14ac:dyDescent="0.25">
      <c r="A31" s="14" t="s">
        <v>47</v>
      </c>
      <c r="B31" s="33"/>
      <c r="C31" s="30"/>
      <c r="D31" s="33"/>
      <c r="E31" s="31"/>
      <c r="F31" s="32"/>
    </row>
    <row r="32" spans="1:6" x14ac:dyDescent="0.25">
      <c r="A32" s="14"/>
      <c r="B32" s="33"/>
      <c r="C32" s="30"/>
      <c r="D32" s="33"/>
      <c r="E32" s="31"/>
      <c r="F32" s="32"/>
    </row>
    <row r="33" spans="1:6" x14ac:dyDescent="0.25">
      <c r="A33" s="14" t="s">
        <v>48</v>
      </c>
      <c r="B33" s="33"/>
      <c r="C33" s="30"/>
      <c r="D33" s="33"/>
      <c r="E33" s="31"/>
      <c r="F33" s="32"/>
    </row>
    <row r="34" spans="1:6" x14ac:dyDescent="0.25">
      <c r="A34" s="14"/>
      <c r="B34" s="33"/>
      <c r="C34" s="30"/>
      <c r="D34" s="33"/>
      <c r="E34" s="31"/>
      <c r="F34" s="32"/>
    </row>
    <row r="35" spans="1:6" x14ac:dyDescent="0.25">
      <c r="A35" s="14" t="s">
        <v>49</v>
      </c>
      <c r="B35" s="15"/>
      <c r="C35" s="15"/>
      <c r="D35" s="15"/>
      <c r="E35" s="31"/>
    </row>
    <row r="36" spans="1:6" x14ac:dyDescent="0.25">
      <c r="A36" s="21"/>
      <c r="B36" s="15"/>
      <c r="C36" s="15"/>
      <c r="D36" s="15"/>
      <c r="E36" s="16"/>
    </row>
    <row r="37" spans="1:6" ht="15.75" thickBot="1" x14ac:dyDescent="0.3">
      <c r="A37" s="36" t="s">
        <v>50</v>
      </c>
      <c r="B37" s="109">
        <f>SUM(B7:B36)</f>
        <v>37017889</v>
      </c>
      <c r="C37" s="109">
        <f t="shared" ref="C37:D37" si="3">SUM(C7:C36)</f>
        <v>39780370</v>
      </c>
      <c r="D37" s="109">
        <f t="shared" si="3"/>
        <v>44565931</v>
      </c>
      <c r="E37" s="37">
        <f>B37+C37-D37</f>
        <v>32232328</v>
      </c>
    </row>
    <row r="38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0"/>
  <sheetViews>
    <sheetView topLeftCell="A4" workbookViewId="0">
      <selection activeCell="C13" sqref="C13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3.140625" customWidth="1"/>
    <col min="5" max="5" width="16.140625" customWidth="1"/>
  </cols>
  <sheetData>
    <row r="2" spans="1:7" ht="21" x14ac:dyDescent="0.35">
      <c r="A2" s="25" t="s">
        <v>51</v>
      </c>
    </row>
    <row r="4" spans="1:7" ht="15.75" thickBot="1" x14ac:dyDescent="0.3"/>
    <row r="5" spans="1:7" ht="38.25" thickTop="1" x14ac:dyDescent="0.3">
      <c r="A5" s="26" t="s">
        <v>29</v>
      </c>
      <c r="B5" s="27" t="s">
        <v>30</v>
      </c>
      <c r="C5" s="28" t="s">
        <v>31</v>
      </c>
      <c r="D5" s="28" t="s">
        <v>32</v>
      </c>
      <c r="E5" s="29" t="s">
        <v>33</v>
      </c>
    </row>
    <row r="6" spans="1:7" x14ac:dyDescent="0.25">
      <c r="A6" s="21"/>
      <c r="B6" s="15"/>
      <c r="C6" s="15"/>
      <c r="D6" s="15"/>
      <c r="E6" s="16"/>
    </row>
    <row r="7" spans="1:7" x14ac:dyDescent="0.25">
      <c r="A7" s="14" t="s">
        <v>52</v>
      </c>
      <c r="B7" s="30">
        <f>'BILAN 2016'!E7</f>
        <v>36857833</v>
      </c>
      <c r="C7" s="30">
        <f>[10]BILANFINAOUT2017!E56</f>
        <v>3963693</v>
      </c>
      <c r="D7" s="30">
        <v>13500000</v>
      </c>
      <c r="E7" s="31">
        <f t="shared" ref="E7:E13" si="0">B7+C7-D7</f>
        <v>27321526</v>
      </c>
      <c r="F7" s="32"/>
    </row>
    <row r="8" spans="1:7" x14ac:dyDescent="0.25">
      <c r="A8" s="14" t="s">
        <v>35</v>
      </c>
      <c r="B8" s="30">
        <f>'BILAN 2016'!E8</f>
        <v>-11003980</v>
      </c>
      <c r="C8" s="30">
        <f>[10]BILANFINAOUT2017!C56</f>
        <v>16310819</v>
      </c>
      <c r="D8" s="30"/>
      <c r="E8" s="31">
        <f t="shared" si="0"/>
        <v>5306839</v>
      </c>
      <c r="F8" s="32"/>
    </row>
    <row r="9" spans="1:7" x14ac:dyDescent="0.25">
      <c r="A9" s="14" t="s">
        <v>2</v>
      </c>
      <c r="B9" s="30">
        <f>'BILAN 2016'!E9</f>
        <v>3057178</v>
      </c>
      <c r="C9" s="30">
        <f>[10]BILANFINAOUT2017!F56</f>
        <v>182000</v>
      </c>
      <c r="D9" s="30">
        <f>89000+84000+12000+10000+6000+48000+13000+5000</f>
        <v>267000</v>
      </c>
      <c r="E9" s="31">
        <f t="shared" si="0"/>
        <v>2972178</v>
      </c>
      <c r="F9" s="32"/>
    </row>
    <row r="10" spans="1:7" x14ac:dyDescent="0.25">
      <c r="A10" s="14" t="s">
        <v>36</v>
      </c>
      <c r="B10" s="30">
        <f>'BILAN 2016'!E10</f>
        <v>668460</v>
      </c>
      <c r="C10" s="30">
        <f>[10]BILANFINAOUT2017!G56</f>
        <v>364000</v>
      </c>
      <c r="D10" s="30">
        <f>200000+345000</f>
        <v>545000</v>
      </c>
      <c r="E10" s="31">
        <f t="shared" si="0"/>
        <v>487460</v>
      </c>
      <c r="F10" s="32"/>
    </row>
    <row r="11" spans="1:7" x14ac:dyDescent="0.25">
      <c r="A11" s="14" t="s">
        <v>4</v>
      </c>
      <c r="B11" s="30">
        <f>'BILAN 2016'!E11</f>
        <v>932625</v>
      </c>
      <c r="C11" s="30">
        <f>[10]BILANFINAOUT2017!H56</f>
        <v>910000</v>
      </c>
      <c r="D11" s="30">
        <f>100000+110000+100000+100000+100000+100000+100000+100000+100000</f>
        <v>910000</v>
      </c>
      <c r="E11" s="31">
        <f t="shared" si="0"/>
        <v>932625</v>
      </c>
      <c r="F11" s="32"/>
    </row>
    <row r="12" spans="1:7" x14ac:dyDescent="0.25">
      <c r="A12" s="14" t="s">
        <v>37</v>
      </c>
      <c r="B12" s="30">
        <f>'BILAN 2016'!E12</f>
        <v>-741640</v>
      </c>
      <c r="C12" s="30">
        <f>[10]BILANFINAOUT2017!I56</f>
        <v>2009927</v>
      </c>
      <c r="D12" s="30">
        <f>200000+100000+640000</f>
        <v>940000</v>
      </c>
      <c r="E12" s="31">
        <f t="shared" si="0"/>
        <v>328287</v>
      </c>
      <c r="F12" s="32"/>
    </row>
    <row r="13" spans="1:7" x14ac:dyDescent="0.25">
      <c r="A13" s="14" t="s">
        <v>53</v>
      </c>
      <c r="B13" s="30"/>
      <c r="C13" s="30">
        <f>[10]BILANFINAOUT2017!R56</f>
        <v>125000</v>
      </c>
      <c r="D13" s="30"/>
      <c r="E13" s="31">
        <f t="shared" si="0"/>
        <v>125000</v>
      </c>
      <c r="F13" s="32"/>
    </row>
    <row r="14" spans="1:7" x14ac:dyDescent="0.25">
      <c r="A14" s="14" t="s">
        <v>54</v>
      </c>
      <c r="B14" s="30"/>
      <c r="C14" s="30">
        <f>+[10]BILANFINAOUT2017!J56</f>
        <v>0</v>
      </c>
      <c r="D14" s="30"/>
      <c r="E14" s="31"/>
      <c r="F14" s="32"/>
      <c r="G14" s="32"/>
    </row>
    <row r="15" spans="1:7" x14ac:dyDescent="0.25">
      <c r="A15" s="14" t="s">
        <v>6</v>
      </c>
      <c r="B15" s="30">
        <f>'BILAN 2016'!E13</f>
        <v>530000</v>
      </c>
      <c r="C15" s="30"/>
      <c r="D15" s="30"/>
      <c r="E15" s="31">
        <f t="shared" ref="E15:E21" si="1">B15+C15-D15</f>
        <v>530000</v>
      </c>
      <c r="F15" s="32"/>
    </row>
    <row r="16" spans="1:7" x14ac:dyDescent="0.25">
      <c r="A16" s="14" t="s">
        <v>164</v>
      </c>
      <c r="B16" s="30">
        <f>'BILAN 2016'!E14</f>
        <v>54508</v>
      </c>
      <c r="C16" s="30"/>
      <c r="D16" s="30"/>
      <c r="E16" s="31">
        <f t="shared" si="1"/>
        <v>54508</v>
      </c>
      <c r="F16" s="32"/>
    </row>
    <row r="17" spans="1:6" x14ac:dyDescent="0.25">
      <c r="A17" s="14" t="s">
        <v>165</v>
      </c>
      <c r="B17" s="30">
        <f>'BILAN 2016'!E15</f>
        <v>-164500</v>
      </c>
      <c r="C17" s="30"/>
      <c r="D17" s="30"/>
      <c r="E17" s="31">
        <f t="shared" si="1"/>
        <v>-164500</v>
      </c>
      <c r="F17" s="32"/>
    </row>
    <row r="18" spans="1:6" x14ac:dyDescent="0.25">
      <c r="A18" s="14" t="s">
        <v>166</v>
      </c>
      <c r="B18" s="30">
        <f>'BILAN 2016'!E16</f>
        <v>-75000</v>
      </c>
      <c r="C18" s="30"/>
      <c r="D18" s="30"/>
      <c r="E18" s="31">
        <f t="shared" si="1"/>
        <v>-75000</v>
      </c>
      <c r="F18" s="32"/>
    </row>
    <row r="19" spans="1:6" x14ac:dyDescent="0.25">
      <c r="A19" s="14"/>
      <c r="B19" s="30"/>
      <c r="C19" s="30"/>
      <c r="D19" s="30"/>
      <c r="E19" s="31">
        <f t="shared" si="1"/>
        <v>0</v>
      </c>
      <c r="F19" s="32"/>
    </row>
    <row r="20" spans="1:6" x14ac:dyDescent="0.25">
      <c r="A20" s="14" t="s">
        <v>38</v>
      </c>
      <c r="B20" s="30"/>
      <c r="C20" s="30"/>
      <c r="D20" s="30"/>
      <c r="E20" s="31">
        <f t="shared" si="1"/>
        <v>0</v>
      </c>
      <c r="F20" s="32"/>
    </row>
    <row r="21" spans="1:6" x14ac:dyDescent="0.25">
      <c r="A21" s="14" t="s">
        <v>39</v>
      </c>
      <c r="B21" s="30">
        <f>'BILAN 2016'!E18</f>
        <v>337250</v>
      </c>
      <c r="C21" s="30"/>
      <c r="D21" s="33"/>
      <c r="E21" s="31">
        <f t="shared" si="1"/>
        <v>337250</v>
      </c>
      <c r="F21" s="35"/>
    </row>
    <row r="22" spans="1:6" x14ac:dyDescent="0.25">
      <c r="A22" s="14" t="s">
        <v>40</v>
      </c>
      <c r="B22" s="33"/>
      <c r="C22" s="33"/>
      <c r="D22" s="33"/>
      <c r="E22" s="34"/>
      <c r="F22" s="32"/>
    </row>
    <row r="23" spans="1:6" x14ac:dyDescent="0.25">
      <c r="A23" s="14" t="s">
        <v>41</v>
      </c>
      <c r="B23" s="33"/>
      <c r="C23" s="30"/>
      <c r="D23" s="33"/>
      <c r="E23" s="31"/>
      <c r="F23" s="32"/>
    </row>
    <row r="24" spans="1:6" x14ac:dyDescent="0.25">
      <c r="A24" s="14"/>
      <c r="B24" s="33"/>
      <c r="C24" s="30"/>
      <c r="D24" s="33"/>
      <c r="E24" s="31"/>
      <c r="F24" s="32"/>
    </row>
    <row r="25" spans="1:6" x14ac:dyDescent="0.25">
      <c r="A25" s="14" t="s">
        <v>42</v>
      </c>
      <c r="B25" s="33"/>
      <c r="C25" s="15"/>
      <c r="D25" s="30"/>
      <c r="E25" s="31">
        <f t="shared" ref="E25" si="2">B25+C25-D25</f>
        <v>0</v>
      </c>
      <c r="F25" s="32"/>
    </row>
    <row r="26" spans="1:6" x14ac:dyDescent="0.25">
      <c r="A26" s="14"/>
      <c r="B26" s="33"/>
      <c r="C26" s="30"/>
      <c r="D26" s="33"/>
      <c r="E26" s="31"/>
      <c r="F26" s="32"/>
    </row>
    <row r="27" spans="1:6" x14ac:dyDescent="0.25">
      <c r="A27" s="14" t="s">
        <v>43</v>
      </c>
      <c r="B27" s="33"/>
      <c r="C27" s="30"/>
      <c r="D27" s="33"/>
      <c r="E27" s="31"/>
      <c r="F27" s="32"/>
    </row>
    <row r="28" spans="1:6" x14ac:dyDescent="0.25">
      <c r="A28" s="14"/>
      <c r="B28" s="33"/>
      <c r="C28" s="30"/>
      <c r="D28" s="33"/>
      <c r="E28" s="34"/>
      <c r="F28" s="32"/>
    </row>
    <row r="29" spans="1:6" x14ac:dyDescent="0.25">
      <c r="A29" s="14" t="s">
        <v>168</v>
      </c>
      <c r="B29" s="30">
        <v>1779594</v>
      </c>
      <c r="C29" s="15"/>
      <c r="D29" s="15"/>
      <c r="E29" s="31">
        <f t="shared" ref="E29" si="3">B29+C29-D29</f>
        <v>1779594</v>
      </c>
      <c r="F29" s="32"/>
    </row>
    <row r="30" spans="1:6" x14ac:dyDescent="0.25">
      <c r="A30" s="14" t="s">
        <v>44</v>
      </c>
      <c r="B30" s="33"/>
      <c r="C30" s="30"/>
      <c r="D30" s="30"/>
      <c r="E30" s="31"/>
      <c r="F30" s="32"/>
    </row>
    <row r="31" spans="1:6" x14ac:dyDescent="0.25">
      <c r="A31" s="14" t="s">
        <v>45</v>
      </c>
      <c r="B31" s="33"/>
      <c r="C31" s="15"/>
      <c r="D31" s="15"/>
      <c r="E31" s="31"/>
      <c r="F31" s="32"/>
    </row>
    <row r="32" spans="1:6" x14ac:dyDescent="0.25">
      <c r="A32" s="14" t="s">
        <v>46</v>
      </c>
      <c r="B32" s="33"/>
      <c r="C32" s="30"/>
      <c r="D32" s="33"/>
      <c r="E32" s="31"/>
      <c r="F32" s="32"/>
    </row>
    <row r="33" spans="1:6" x14ac:dyDescent="0.25">
      <c r="A33" s="14" t="s">
        <v>47</v>
      </c>
      <c r="B33" s="33"/>
      <c r="C33" s="30"/>
      <c r="D33" s="33"/>
      <c r="E33" s="31"/>
      <c r="F33" s="32"/>
    </row>
    <row r="34" spans="1:6" x14ac:dyDescent="0.25">
      <c r="A34" s="14"/>
      <c r="B34" s="33"/>
      <c r="C34" s="30"/>
      <c r="D34" s="33"/>
      <c r="E34" s="31"/>
      <c r="F34" s="32"/>
    </row>
    <row r="35" spans="1:6" x14ac:dyDescent="0.25">
      <c r="A35" s="14" t="s">
        <v>48</v>
      </c>
      <c r="B35" s="33"/>
      <c r="C35" s="30"/>
      <c r="D35" s="30"/>
      <c r="E35" s="31"/>
      <c r="F35" s="32"/>
    </row>
    <row r="36" spans="1:6" x14ac:dyDescent="0.25">
      <c r="A36" s="14"/>
      <c r="B36" s="33"/>
      <c r="C36" s="30"/>
      <c r="D36" s="33"/>
      <c r="E36" s="31"/>
      <c r="F36" s="32"/>
    </row>
    <row r="37" spans="1:6" x14ac:dyDescent="0.25">
      <c r="A37" s="21"/>
      <c r="B37" s="15"/>
      <c r="C37" s="15"/>
      <c r="D37" s="15"/>
      <c r="E37" s="31"/>
    </row>
    <row r="38" spans="1:6" x14ac:dyDescent="0.25">
      <c r="A38" s="21"/>
      <c r="B38" s="15"/>
      <c r="C38" s="15"/>
      <c r="D38" s="15"/>
      <c r="E38" s="16"/>
    </row>
    <row r="39" spans="1:6" ht="15.75" thickBot="1" x14ac:dyDescent="0.3">
      <c r="A39" s="36" t="s">
        <v>50</v>
      </c>
      <c r="B39" s="109">
        <f>SUM(B7:B38)</f>
        <v>32232328</v>
      </c>
      <c r="C39" s="109">
        <f t="shared" ref="C39:D39" si="4">SUM(C7:C38)</f>
        <v>23865439</v>
      </c>
      <c r="D39" s="109">
        <f t="shared" si="4"/>
        <v>16162000</v>
      </c>
      <c r="E39" s="37">
        <f>B39+C39-D39</f>
        <v>39935767</v>
      </c>
    </row>
    <row r="40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5"/>
  <sheetViews>
    <sheetView topLeftCell="A10" workbookViewId="0">
      <selection activeCell="F14" sqref="F14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6.140625" customWidth="1"/>
  </cols>
  <sheetData>
    <row r="2" spans="1:5" ht="21" x14ac:dyDescent="0.35">
      <c r="A2" s="25" t="s">
        <v>154</v>
      </c>
    </row>
    <row r="4" spans="1:5" ht="15.75" thickBot="1" x14ac:dyDescent="0.3"/>
    <row r="5" spans="1:5" ht="38.25" thickTop="1" x14ac:dyDescent="0.3">
      <c r="A5" s="26" t="s">
        <v>29</v>
      </c>
      <c r="B5" s="27" t="s">
        <v>156</v>
      </c>
      <c r="C5" s="28" t="s">
        <v>155</v>
      </c>
      <c r="D5" s="29" t="s">
        <v>33</v>
      </c>
    </row>
    <row r="6" spans="1:5" ht="18.75" x14ac:dyDescent="0.3">
      <c r="A6" s="105"/>
      <c r="B6" s="106"/>
      <c r="C6" s="107"/>
      <c r="D6" s="108"/>
    </row>
    <row r="7" spans="1:5" x14ac:dyDescent="0.25">
      <c r="A7" s="14" t="s">
        <v>157</v>
      </c>
      <c r="B7" s="15"/>
      <c r="C7" s="30">
        <v>0</v>
      </c>
      <c r="D7" s="16"/>
    </row>
    <row r="8" spans="1:5" x14ac:dyDescent="0.25">
      <c r="A8" s="14" t="s">
        <v>44</v>
      </c>
      <c r="B8" s="30"/>
      <c r="C8" s="30">
        <v>10660936</v>
      </c>
      <c r="D8" s="31"/>
      <c r="E8" s="32"/>
    </row>
    <row r="9" spans="1:5" x14ac:dyDescent="0.25">
      <c r="A9" s="14" t="s">
        <v>45</v>
      </c>
      <c r="B9" s="30"/>
      <c r="C9" s="30">
        <v>4817411</v>
      </c>
      <c r="D9" s="31"/>
      <c r="E9" s="32"/>
    </row>
    <row r="10" spans="1:5" x14ac:dyDescent="0.25">
      <c r="A10" s="14" t="s">
        <v>46</v>
      </c>
      <c r="B10" s="30"/>
      <c r="C10" s="30">
        <v>630005</v>
      </c>
      <c r="D10" s="31"/>
      <c r="E10" s="32"/>
    </row>
    <row r="11" spans="1:5" x14ac:dyDescent="0.25">
      <c r="A11" s="14" t="s">
        <v>36</v>
      </c>
      <c r="B11" s="30">
        <f>'BILAN 2018'!E7</f>
        <v>9719176.8883337826</v>
      </c>
      <c r="C11" s="30"/>
      <c r="D11" s="31"/>
      <c r="E11" s="32"/>
    </row>
    <row r="12" spans="1:5" x14ac:dyDescent="0.25">
      <c r="A12" s="14" t="s">
        <v>35</v>
      </c>
      <c r="B12" s="30">
        <f>'BILAN 2018'!E8</f>
        <v>6536839</v>
      </c>
      <c r="C12" s="30"/>
      <c r="D12" s="31"/>
      <c r="E12" s="32"/>
    </row>
    <row r="13" spans="1:5" x14ac:dyDescent="0.25">
      <c r="A13" s="14" t="s">
        <v>1</v>
      </c>
      <c r="B13" s="30">
        <f>INVENT2017_2018!K56</f>
        <v>8164348.8883337853</v>
      </c>
      <c r="C13" s="30"/>
      <c r="D13" s="31"/>
      <c r="E13" s="32"/>
    </row>
    <row r="14" spans="1:5" x14ac:dyDescent="0.25">
      <c r="A14" s="14" t="s">
        <v>2</v>
      </c>
      <c r="B14" s="30">
        <f>'BILAN 2018'!E10</f>
        <v>2895678</v>
      </c>
      <c r="C14" s="30"/>
      <c r="D14" s="31"/>
      <c r="E14" s="32"/>
    </row>
    <row r="15" spans="1:5" x14ac:dyDescent="0.25">
      <c r="A15" s="14" t="s">
        <v>36</v>
      </c>
      <c r="B15" s="30">
        <f>'BILAN 2018'!E11</f>
        <v>331960</v>
      </c>
      <c r="C15" s="30"/>
      <c r="D15" s="31"/>
      <c r="E15" s="32"/>
    </row>
    <row r="16" spans="1:5" x14ac:dyDescent="0.25">
      <c r="A16" s="14" t="s">
        <v>4</v>
      </c>
      <c r="B16" s="30">
        <f>'BILAN 2018'!E12</f>
        <v>927625</v>
      </c>
      <c r="C16" s="30"/>
      <c r="D16" s="31"/>
      <c r="E16" s="32"/>
    </row>
    <row r="17" spans="1:5" x14ac:dyDescent="0.25">
      <c r="A17" s="14" t="s">
        <v>37</v>
      </c>
      <c r="B17" s="30">
        <f>'BILAN 2018'!E13</f>
        <v>88287</v>
      </c>
      <c r="C17" s="30"/>
      <c r="D17" s="31"/>
      <c r="E17" s="32"/>
    </row>
    <row r="18" spans="1:5" x14ac:dyDescent="0.25">
      <c r="A18" s="14" t="s">
        <v>53</v>
      </c>
      <c r="B18" s="30">
        <f>'BILAN 2018'!E14</f>
        <v>323500</v>
      </c>
      <c r="C18" s="30"/>
      <c r="D18" s="31"/>
      <c r="E18" s="32"/>
    </row>
    <row r="19" spans="1:5" x14ac:dyDescent="0.25">
      <c r="A19" s="14" t="s">
        <v>6</v>
      </c>
      <c r="B19" s="30">
        <f>'BILAN 2018'!E15</f>
        <v>580000</v>
      </c>
      <c r="C19" s="30"/>
      <c r="D19" s="31"/>
      <c r="E19" s="32"/>
    </row>
    <row r="20" spans="1:5" x14ac:dyDescent="0.25">
      <c r="A20" s="14" t="s">
        <v>54</v>
      </c>
      <c r="B20" s="30">
        <f>'BILAN 2018'!E16</f>
        <v>0</v>
      </c>
      <c r="C20" s="30"/>
      <c r="D20" s="34"/>
      <c r="E20" s="35"/>
    </row>
    <row r="21" spans="1:5" x14ac:dyDescent="0.25">
      <c r="A21" s="14" t="s">
        <v>40</v>
      </c>
      <c r="B21" s="33"/>
      <c r="C21" s="33"/>
      <c r="D21" s="34"/>
      <c r="E21" s="32"/>
    </row>
    <row r="22" spans="1:5" x14ac:dyDescent="0.25">
      <c r="A22" s="14" t="s">
        <v>149</v>
      </c>
      <c r="B22" s="33"/>
      <c r="C22" s="30">
        <f>INVENT2017_2018!S56</f>
        <v>10310500</v>
      </c>
      <c r="D22" s="31"/>
      <c r="E22" s="32"/>
    </row>
    <row r="23" spans="1:5" x14ac:dyDescent="0.25">
      <c r="A23" s="21"/>
      <c r="B23" s="15"/>
      <c r="C23" s="15"/>
      <c r="D23" s="16"/>
    </row>
    <row r="24" spans="1:5" ht="15.75" thickBot="1" x14ac:dyDescent="0.3">
      <c r="A24" s="36" t="s">
        <v>50</v>
      </c>
      <c r="B24" s="109">
        <f>SUM(B11:B23)</f>
        <v>29567414.776667569</v>
      </c>
      <c r="C24" s="109">
        <f>SUM(C7:C23)</f>
        <v>26418852</v>
      </c>
      <c r="D24" s="37">
        <f>B24-C24</f>
        <v>3148562.7766675688</v>
      </c>
    </row>
    <row r="25" spans="1:5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tabSelected="1" workbookViewId="0">
      <selection activeCell="B14" sqref="B14"/>
    </sheetView>
  </sheetViews>
  <sheetFormatPr baseColWidth="10" defaultRowHeight="15" x14ac:dyDescent="0.25"/>
  <cols>
    <col min="1" max="1" width="40.7109375" customWidth="1"/>
    <col min="2" max="4" width="18.5703125" bestFit="1" customWidth="1"/>
    <col min="5" max="5" width="20.42578125" customWidth="1"/>
  </cols>
  <sheetData>
    <row r="2" spans="1:7" ht="21" x14ac:dyDescent="0.35">
      <c r="A2" s="25" t="s">
        <v>56</v>
      </c>
    </row>
    <row r="4" spans="1:7" ht="15.75" thickBot="1" x14ac:dyDescent="0.3"/>
    <row r="5" spans="1:7" ht="38.25" thickTop="1" x14ac:dyDescent="0.3">
      <c r="A5" s="26" t="s">
        <v>29</v>
      </c>
      <c r="B5" s="27" t="s">
        <v>30</v>
      </c>
      <c r="C5" s="28" t="s">
        <v>31</v>
      </c>
      <c r="D5" s="28" t="s">
        <v>32</v>
      </c>
      <c r="E5" s="29" t="s">
        <v>33</v>
      </c>
    </row>
    <row r="6" spans="1:7" ht="18.75" x14ac:dyDescent="0.3">
      <c r="A6" s="38"/>
      <c r="B6" s="39"/>
      <c r="C6" s="40"/>
      <c r="D6" s="40"/>
      <c r="E6" s="41"/>
    </row>
    <row r="7" spans="1:7" x14ac:dyDescent="0.25">
      <c r="A7" s="14" t="s">
        <v>167</v>
      </c>
      <c r="B7" s="30">
        <f>'BILAN 2017'!E7</f>
        <v>27321526</v>
      </c>
      <c r="C7" s="30">
        <f>INVENT2017_2018!C56+3860500</f>
        <v>10034613.888333784</v>
      </c>
      <c r="D7" s="119">
        <f>24505800+3131163</f>
        <v>27636963</v>
      </c>
      <c r="E7" s="31">
        <f>B7+C7-D7</f>
        <v>9719176.8883337826</v>
      </c>
    </row>
    <row r="8" spans="1:7" x14ac:dyDescent="0.25">
      <c r="A8" s="14" t="s">
        <v>35</v>
      </c>
      <c r="B8" s="30">
        <f>'BILAN 2017'!E8</f>
        <v>5306839</v>
      </c>
      <c r="C8" s="30">
        <f>INVENT2017_2018!J56</f>
        <v>1230000</v>
      </c>
      <c r="D8" s="119"/>
      <c r="E8" s="31">
        <f t="shared" ref="E8:E38" si="0">B8+C8-D8</f>
        <v>6536839</v>
      </c>
      <c r="F8" s="32"/>
    </row>
    <row r="9" spans="1:7" x14ac:dyDescent="0.25">
      <c r="A9" s="14" t="s">
        <v>1</v>
      </c>
      <c r="B9" s="30"/>
      <c r="C9" s="30"/>
      <c r="D9" s="119"/>
      <c r="E9" s="31">
        <f t="shared" si="0"/>
        <v>0</v>
      </c>
      <c r="F9" s="32"/>
    </row>
    <row r="10" spans="1:7" x14ac:dyDescent="0.25">
      <c r="A10" s="14" t="s">
        <v>2</v>
      </c>
      <c r="B10" s="30">
        <f>'BILAN 2017'!E9</f>
        <v>2972178</v>
      </c>
      <c r="C10" s="30">
        <f>ENTREE!C22</f>
        <v>229000</v>
      </c>
      <c r="D10" s="119">
        <f>SORTIE!C22</f>
        <v>305500</v>
      </c>
      <c r="E10" s="31">
        <f t="shared" si="0"/>
        <v>2895678</v>
      </c>
      <c r="F10" s="32"/>
    </row>
    <row r="11" spans="1:7" x14ac:dyDescent="0.25">
      <c r="A11" s="14" t="s">
        <v>36</v>
      </c>
      <c r="B11" s="30">
        <f>'BILAN 2017'!E10</f>
        <v>487460</v>
      </c>
      <c r="C11" s="30">
        <f>ENTREE!D22</f>
        <v>458000</v>
      </c>
      <c r="D11" s="119">
        <f>SORTIE!D22</f>
        <v>613500</v>
      </c>
      <c r="E11" s="31">
        <f t="shared" si="0"/>
        <v>331960</v>
      </c>
      <c r="F11" s="32"/>
    </row>
    <row r="12" spans="1:7" x14ac:dyDescent="0.25">
      <c r="A12" s="14" t="s">
        <v>4</v>
      </c>
      <c r="B12" s="30">
        <f>'BILAN 2017'!E11</f>
        <v>932625</v>
      </c>
      <c r="C12" s="30">
        <f>ENTREE!E22</f>
        <v>1145000</v>
      </c>
      <c r="D12" s="119">
        <f>SORTIE!E22</f>
        <v>1150000</v>
      </c>
      <c r="E12" s="31">
        <f t="shared" si="0"/>
        <v>927625</v>
      </c>
      <c r="F12" s="32"/>
    </row>
    <row r="13" spans="1:7" x14ac:dyDescent="0.25">
      <c r="A13" s="14" t="s">
        <v>37</v>
      </c>
      <c r="B13" s="30">
        <f>'BILAN 2017'!E12</f>
        <v>328287</v>
      </c>
      <c r="C13" s="30">
        <f>ENTREE!H22</f>
        <v>860000</v>
      </c>
      <c r="D13" s="119">
        <f>SORTIE!H22</f>
        <v>1100000</v>
      </c>
      <c r="E13" s="31">
        <f t="shared" si="0"/>
        <v>88287</v>
      </c>
      <c r="F13" s="32"/>
    </row>
    <row r="14" spans="1:7" x14ac:dyDescent="0.25">
      <c r="A14" s="14" t="s">
        <v>53</v>
      </c>
      <c r="B14" s="30">
        <f>+'BILAN 2017'!E13</f>
        <v>125000</v>
      </c>
      <c r="C14" s="30">
        <f>ENTREE!F22</f>
        <v>198500</v>
      </c>
      <c r="D14" s="119"/>
      <c r="E14" s="31">
        <f t="shared" si="0"/>
        <v>323500</v>
      </c>
      <c r="F14" s="32"/>
      <c r="G14" s="32"/>
    </row>
    <row r="15" spans="1:7" x14ac:dyDescent="0.25">
      <c r="A15" s="14" t="s">
        <v>6</v>
      </c>
      <c r="B15" s="30">
        <f>'BILAN 2017'!E15</f>
        <v>530000</v>
      </c>
      <c r="C15" s="30">
        <f>ENTREE!G22</f>
        <v>50000</v>
      </c>
      <c r="D15" s="119"/>
      <c r="E15" s="31">
        <f t="shared" si="0"/>
        <v>580000</v>
      </c>
      <c r="F15" s="32"/>
    </row>
    <row r="16" spans="1:7" x14ac:dyDescent="0.25">
      <c r="A16" s="14" t="s">
        <v>54</v>
      </c>
      <c r="B16" s="30"/>
      <c r="C16" s="30"/>
      <c r="D16" s="119"/>
      <c r="E16" s="31">
        <f t="shared" si="0"/>
        <v>0</v>
      </c>
      <c r="F16" s="32"/>
    </row>
    <row r="17" spans="1:6" x14ac:dyDescent="0.25">
      <c r="A17" s="14" t="s">
        <v>164</v>
      </c>
      <c r="B17" s="30">
        <f>'BILAN 2017'!E16</f>
        <v>54508</v>
      </c>
      <c r="C17" s="30"/>
      <c r="D17" s="30"/>
      <c r="E17" s="31">
        <f t="shared" si="0"/>
        <v>54508</v>
      </c>
      <c r="F17" s="32"/>
    </row>
    <row r="18" spans="1:6" x14ac:dyDescent="0.25">
      <c r="A18" s="14" t="s">
        <v>165</v>
      </c>
      <c r="B18" s="30">
        <f>'BILAN 2017'!E17</f>
        <v>-164500</v>
      </c>
      <c r="C18" s="30"/>
      <c r="D18" s="30"/>
      <c r="E18" s="31">
        <f t="shared" si="0"/>
        <v>-164500</v>
      </c>
      <c r="F18" s="32"/>
    </row>
    <row r="19" spans="1:6" x14ac:dyDescent="0.25">
      <c r="A19" s="14" t="s">
        <v>166</v>
      </c>
      <c r="B19" s="30">
        <f>'BILAN 2017'!E18</f>
        <v>-75000</v>
      </c>
      <c r="C19" s="30"/>
      <c r="D19" s="30"/>
      <c r="E19" s="31">
        <f t="shared" si="0"/>
        <v>-75000</v>
      </c>
      <c r="F19" s="32"/>
    </row>
    <row r="20" spans="1:6" x14ac:dyDescent="0.25">
      <c r="A20" s="14"/>
      <c r="B20" s="30"/>
      <c r="C20" s="30"/>
      <c r="D20" s="119"/>
      <c r="E20" s="31">
        <f t="shared" si="0"/>
        <v>0</v>
      </c>
      <c r="F20" s="32"/>
    </row>
    <row r="21" spans="1:6" x14ac:dyDescent="0.25">
      <c r="A21" s="14" t="s">
        <v>169</v>
      </c>
      <c r="B21" s="30"/>
      <c r="C21" s="30">
        <f>+'INVENT2017_2018 (4)'!L58</f>
        <v>655300</v>
      </c>
      <c r="D21" s="119">
        <v>1400000</v>
      </c>
      <c r="E21" s="31">
        <f t="shared" si="0"/>
        <v>-744700</v>
      </c>
      <c r="F21" s="32"/>
    </row>
    <row r="22" spans="1:6" x14ac:dyDescent="0.25">
      <c r="A22" s="14" t="s">
        <v>39</v>
      </c>
      <c r="B22" s="30">
        <f>'BILAN 2017'!E21</f>
        <v>337250</v>
      </c>
      <c r="C22" s="30"/>
      <c r="D22" s="85"/>
      <c r="E22" s="31">
        <f t="shared" si="0"/>
        <v>337250</v>
      </c>
      <c r="F22" s="35"/>
    </row>
    <row r="23" spans="1:6" x14ac:dyDescent="0.25">
      <c r="A23" s="14" t="s">
        <v>40</v>
      </c>
      <c r="B23" s="33"/>
      <c r="C23" s="33"/>
      <c r="D23" s="85"/>
      <c r="E23" s="31">
        <f t="shared" si="0"/>
        <v>0</v>
      </c>
      <c r="F23" s="32"/>
    </row>
    <row r="24" spans="1:6" x14ac:dyDescent="0.25">
      <c r="A24" s="14" t="s">
        <v>149</v>
      </c>
      <c r="B24" s="30">
        <f>'BILAN 2017'!E25</f>
        <v>0</v>
      </c>
      <c r="C24" s="30"/>
      <c r="D24" s="119"/>
      <c r="E24" s="31">
        <f t="shared" si="0"/>
        <v>0</v>
      </c>
      <c r="F24" s="32"/>
    </row>
    <row r="25" spans="1:6" x14ac:dyDescent="0.25">
      <c r="A25" s="14" t="s">
        <v>148</v>
      </c>
      <c r="B25" s="33"/>
      <c r="C25" s="30"/>
      <c r="D25" s="119"/>
      <c r="E25" s="31">
        <f t="shared" si="0"/>
        <v>0</v>
      </c>
      <c r="F25" s="32"/>
    </row>
    <row r="26" spans="1:6" x14ac:dyDescent="0.25">
      <c r="A26" s="14"/>
      <c r="B26" s="33"/>
      <c r="C26" s="15"/>
      <c r="D26" s="119"/>
      <c r="E26" s="31">
        <f t="shared" si="0"/>
        <v>0</v>
      </c>
      <c r="F26" s="32"/>
    </row>
    <row r="27" spans="1:6" x14ac:dyDescent="0.25">
      <c r="A27" s="14"/>
      <c r="B27" s="33"/>
      <c r="C27" s="30"/>
      <c r="D27" s="85"/>
      <c r="E27" s="31">
        <f t="shared" si="0"/>
        <v>0</v>
      </c>
      <c r="F27" s="32"/>
    </row>
    <row r="28" spans="1:6" x14ac:dyDescent="0.25">
      <c r="A28" s="14"/>
      <c r="B28" s="33"/>
      <c r="C28" s="30"/>
      <c r="D28" s="85"/>
      <c r="E28" s="31">
        <f t="shared" si="0"/>
        <v>0</v>
      </c>
      <c r="F28" s="32"/>
    </row>
    <row r="29" spans="1:6" x14ac:dyDescent="0.25">
      <c r="A29" s="14"/>
      <c r="B29" s="33"/>
      <c r="C29" s="30"/>
      <c r="D29" s="85"/>
      <c r="E29" s="31">
        <f t="shared" si="0"/>
        <v>0</v>
      </c>
      <c r="F29" s="32"/>
    </row>
    <row r="30" spans="1:6" x14ac:dyDescent="0.25">
      <c r="A30" s="14"/>
      <c r="B30" s="33"/>
      <c r="C30" s="30"/>
      <c r="D30" s="85"/>
      <c r="E30" s="31">
        <f t="shared" si="0"/>
        <v>0</v>
      </c>
      <c r="F30" s="32"/>
    </row>
    <row r="31" spans="1:6" x14ac:dyDescent="0.25">
      <c r="A31" s="14" t="s">
        <v>44</v>
      </c>
      <c r="C31" s="30">
        <v>13614473</v>
      </c>
      <c r="D31" s="119"/>
      <c r="E31" s="31">
        <f t="shared" si="0"/>
        <v>13614473</v>
      </c>
      <c r="F31" s="32"/>
    </row>
    <row r="32" spans="1:6" x14ac:dyDescent="0.25">
      <c r="A32" s="14" t="s">
        <v>45</v>
      </c>
      <c r="C32" s="30">
        <v>4817411</v>
      </c>
      <c r="D32" s="117"/>
      <c r="E32" s="31">
        <f t="shared" si="0"/>
        <v>4817411</v>
      </c>
      <c r="F32" s="32"/>
    </row>
    <row r="33" spans="1:6" x14ac:dyDescent="0.25">
      <c r="A33" s="14" t="s">
        <v>168</v>
      </c>
      <c r="B33" s="30">
        <f>'BILAN 2017'!B29</f>
        <v>1779594</v>
      </c>
      <c r="C33" s="30"/>
      <c r="D33" s="117"/>
      <c r="E33" s="31">
        <f t="shared" si="0"/>
        <v>1779594</v>
      </c>
      <c r="F33" s="32"/>
    </row>
    <row r="34" spans="1:6" x14ac:dyDescent="0.25">
      <c r="A34" s="14" t="s">
        <v>46</v>
      </c>
      <c r="C34" s="30">
        <v>630005</v>
      </c>
      <c r="D34" s="85"/>
      <c r="E34" s="31">
        <f t="shared" si="0"/>
        <v>630005</v>
      </c>
      <c r="F34" s="32"/>
    </row>
    <row r="35" spans="1:6" x14ac:dyDescent="0.25">
      <c r="A35" s="14"/>
      <c r="B35" s="33"/>
      <c r="C35" s="30"/>
      <c r="D35" s="85"/>
      <c r="E35" s="31">
        <f t="shared" si="0"/>
        <v>0</v>
      </c>
      <c r="F35" s="32"/>
    </row>
    <row r="36" spans="1:6" x14ac:dyDescent="0.25">
      <c r="A36" s="14" t="s">
        <v>48</v>
      </c>
      <c r="B36" s="33"/>
      <c r="C36" s="30"/>
      <c r="D36" s="119"/>
      <c r="E36" s="31">
        <f t="shared" si="0"/>
        <v>0</v>
      </c>
      <c r="F36" s="32"/>
    </row>
    <row r="37" spans="1:6" x14ac:dyDescent="0.25">
      <c r="A37" s="14"/>
      <c r="B37" s="33"/>
      <c r="C37" s="30"/>
      <c r="D37" s="85"/>
      <c r="E37" s="31">
        <f t="shared" si="0"/>
        <v>0</v>
      </c>
      <c r="F37" s="32"/>
    </row>
    <row r="38" spans="1:6" x14ac:dyDescent="0.25">
      <c r="A38" s="21"/>
      <c r="B38" s="15"/>
      <c r="C38" s="15"/>
      <c r="D38" s="117"/>
      <c r="E38" s="31">
        <f t="shared" si="0"/>
        <v>0</v>
      </c>
    </row>
    <row r="39" spans="1:6" x14ac:dyDescent="0.25">
      <c r="A39" s="21"/>
      <c r="B39" s="15"/>
      <c r="C39" s="15"/>
      <c r="D39" s="117"/>
      <c r="E39" s="16"/>
    </row>
    <row r="40" spans="1:6" ht="18.75" thickBot="1" x14ac:dyDescent="0.3">
      <c r="A40" s="36" t="s">
        <v>50</v>
      </c>
      <c r="B40" s="120">
        <f>SUM(B7:B39)</f>
        <v>39935767</v>
      </c>
      <c r="C40" s="120">
        <f>SUM(C7:C30)</f>
        <v>14860413.888333784</v>
      </c>
      <c r="D40" s="120">
        <f>SUM(D7:D30)</f>
        <v>32205963</v>
      </c>
      <c r="E40" s="121">
        <f t="shared" ref="E40" si="1">B40+C40-D40</f>
        <v>22590217.888333783</v>
      </c>
    </row>
    <row r="41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5"/>
  <sheetViews>
    <sheetView workbookViewId="0">
      <selection activeCell="J20" sqref="J20"/>
    </sheetView>
  </sheetViews>
  <sheetFormatPr baseColWidth="10" defaultRowHeight="15" x14ac:dyDescent="0.25"/>
  <cols>
    <col min="1" max="1" width="12.42578125" bestFit="1" customWidth="1"/>
    <col min="2" max="2" width="16.28515625" bestFit="1" customWidth="1"/>
    <col min="3" max="4" width="13.5703125" bestFit="1" customWidth="1"/>
    <col min="5" max="5" width="16.28515625" bestFit="1" customWidth="1"/>
    <col min="6" max="8" width="13.5703125" bestFit="1" customWidth="1"/>
    <col min="9" max="9" width="16.28515625" bestFit="1" customWidth="1"/>
  </cols>
  <sheetData>
    <row r="2" spans="1:9" ht="26.25" x14ac:dyDescent="0.4">
      <c r="B2" s="122" t="s">
        <v>0</v>
      </c>
      <c r="C2" s="123"/>
      <c r="D2" s="123"/>
      <c r="E2" s="123"/>
      <c r="F2" s="123"/>
      <c r="G2" s="123"/>
      <c r="H2" s="123"/>
    </row>
    <row r="3" spans="1:9" x14ac:dyDescent="0.25">
      <c r="A3" s="1" t="s">
        <v>10</v>
      </c>
      <c r="B3" s="1" t="s">
        <v>11</v>
      </c>
    </row>
    <row r="6" spans="1:9" ht="43.5" x14ac:dyDescent="0.25">
      <c r="A6" s="7" t="s">
        <v>8</v>
      </c>
      <c r="B6" s="7" t="s">
        <v>1</v>
      </c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9" t="s">
        <v>25</v>
      </c>
    </row>
    <row r="7" spans="1:9" x14ac:dyDescent="0.25">
      <c r="A7" s="1" t="s">
        <v>9</v>
      </c>
    </row>
    <row r="8" spans="1:9" s="2" customFormat="1" ht="19.5" x14ac:dyDescent="0.25">
      <c r="A8" s="4" t="s">
        <v>12</v>
      </c>
      <c r="B8" s="3">
        <f>+[11]MVTAOUT!H$54</f>
        <v>359000</v>
      </c>
      <c r="C8" s="3">
        <f>+[11]MVTAOUT!I$54</f>
        <v>23000</v>
      </c>
      <c r="D8" s="3">
        <f>+[11]MVTAOUT!J$54</f>
        <v>46000</v>
      </c>
      <c r="E8" s="3">
        <f>+[11]MVTAOUT!K$54</f>
        <v>115000</v>
      </c>
      <c r="F8" s="3">
        <f>+[11]MVTAOUT!L$54</f>
        <v>27500</v>
      </c>
      <c r="G8" s="3">
        <f>+[11]MVTAOUT!M$54</f>
        <v>0</v>
      </c>
      <c r="H8" s="3">
        <f>+[11]MVTAOUT!N$54</f>
        <v>30000</v>
      </c>
      <c r="I8" s="5">
        <f>SUM(B8:H8)</f>
        <v>600500</v>
      </c>
    </row>
    <row r="9" spans="1:9" ht="19.5" x14ac:dyDescent="0.25">
      <c r="A9" s="1" t="s">
        <v>13</v>
      </c>
      <c r="B9" s="3">
        <f>+[11]MVTSEPT!I$54</f>
        <v>233000</v>
      </c>
      <c r="C9" s="3">
        <f>+[11]MVTSEPT!J$54</f>
        <v>18000</v>
      </c>
      <c r="D9" s="3">
        <f>+[11]MVTSEPT!K$54</f>
        <v>36000</v>
      </c>
      <c r="E9" s="3">
        <f>+[11]MVTSEPT!L$54</f>
        <v>90000</v>
      </c>
      <c r="F9" s="3">
        <f>+[11]MVTSEPT!M$54</f>
        <v>15000</v>
      </c>
      <c r="G9" s="3">
        <f>+[11]MVTSEPT!N$54</f>
        <v>0</v>
      </c>
      <c r="H9" s="3">
        <f>+[11]MVTSEPT!O$54</f>
        <v>0</v>
      </c>
      <c r="I9" s="5">
        <f t="shared" ref="I9:I18" si="0">SUM(B9:H9)</f>
        <v>392000</v>
      </c>
    </row>
    <row r="10" spans="1:9" ht="19.5" x14ac:dyDescent="0.25">
      <c r="A10" s="1" t="s">
        <v>14</v>
      </c>
      <c r="B10" s="3">
        <f>+[11]MVTOCT!G$54</f>
        <v>182000</v>
      </c>
      <c r="C10" s="3">
        <f>+[11]MVTOCT!H$54</f>
        <v>18500</v>
      </c>
      <c r="D10" s="3">
        <f>+[11]MVTOCT!I$54</f>
        <v>37000</v>
      </c>
      <c r="E10" s="3">
        <f>+[11]MVTOCT!J$54</f>
        <v>92500</v>
      </c>
      <c r="F10" s="3">
        <f>+[11]MVTOCT!K$54</f>
        <v>14000</v>
      </c>
      <c r="G10" s="3">
        <f>+[11]MVTOCT!L$54</f>
        <v>0</v>
      </c>
      <c r="H10" s="3">
        <f>+[11]MVTOCT!M$54</f>
        <v>0</v>
      </c>
      <c r="I10" s="5">
        <f t="shared" si="0"/>
        <v>344000</v>
      </c>
    </row>
    <row r="11" spans="1:9" ht="19.5" x14ac:dyDescent="0.25">
      <c r="A11" s="1" t="s">
        <v>15</v>
      </c>
      <c r="B11" s="3">
        <f>+[11]MVTNOV!G$54</f>
        <v>182500</v>
      </c>
      <c r="C11" s="3">
        <f>+[11]MVTNOV!H$54</f>
        <v>18500</v>
      </c>
      <c r="D11" s="3">
        <f>+[11]MVTNOV!I$54</f>
        <v>37000</v>
      </c>
      <c r="E11" s="3">
        <f>+[11]MVTNOV!J$54</f>
        <v>92500</v>
      </c>
      <c r="F11" s="3">
        <f>+[11]MVTNOV!K$54</f>
        <v>17000</v>
      </c>
      <c r="G11" s="3">
        <f>+[11]MVTNOV!L$54</f>
        <v>25000</v>
      </c>
      <c r="H11" s="3">
        <f>+[11]MVTNOV!M$54</f>
        <v>0</v>
      </c>
      <c r="I11" s="5">
        <f t="shared" si="0"/>
        <v>372500</v>
      </c>
    </row>
    <row r="12" spans="1:9" ht="19.5" x14ac:dyDescent="0.25">
      <c r="A12" s="1" t="s">
        <v>16</v>
      </c>
      <c r="B12" s="3">
        <f>+[11]MVTDEC!G$54</f>
        <v>212000</v>
      </c>
      <c r="C12" s="3">
        <f>+[11]MVTDEC!H$54</f>
        <v>18000</v>
      </c>
      <c r="D12" s="3">
        <f>+[11]MVTDEC!I$54</f>
        <v>36000</v>
      </c>
      <c r="E12" s="3">
        <f>+[11]MVTDEC!J$54</f>
        <v>90000</v>
      </c>
      <c r="F12" s="3">
        <f>+[11]MVTDEC!K$54</f>
        <v>17000</v>
      </c>
      <c r="G12" s="3">
        <f>+[11]MVTDEC!L$54</f>
        <v>0</v>
      </c>
      <c r="H12" s="3">
        <f>+[11]MVTDEC!M$54</f>
        <v>220000</v>
      </c>
      <c r="I12" s="5">
        <f t="shared" si="0"/>
        <v>593000</v>
      </c>
    </row>
    <row r="13" spans="1:9" ht="19.5" x14ac:dyDescent="0.25">
      <c r="A13" s="1" t="s">
        <v>17</v>
      </c>
      <c r="B13" s="3">
        <f>+[11]MVTJANV!G$54</f>
        <v>138000</v>
      </c>
      <c r="C13" s="3">
        <f>+[11]MVTJANV!H$54</f>
        <v>19500</v>
      </c>
      <c r="D13" s="3">
        <f>+[11]MVTJANV!I$54</f>
        <v>39000</v>
      </c>
      <c r="E13" s="3">
        <f>+[11]MVTJANV!J$54</f>
        <v>97500</v>
      </c>
      <c r="F13" s="3">
        <f>+[11]MVTJANV!K$54</f>
        <v>17000</v>
      </c>
      <c r="G13" s="3">
        <f>+[11]MVTJANV!L$54</f>
        <v>0</v>
      </c>
      <c r="H13" s="3">
        <f>+[11]MVTJANV!M$54</f>
        <v>50000</v>
      </c>
      <c r="I13" s="5">
        <f t="shared" si="0"/>
        <v>361000</v>
      </c>
    </row>
    <row r="14" spans="1:9" ht="19.5" x14ac:dyDescent="0.25">
      <c r="A14" s="1" t="s">
        <v>18</v>
      </c>
      <c r="B14" s="3">
        <f>+[11]MVTFEV!G$54</f>
        <v>192000</v>
      </c>
      <c r="C14" s="3">
        <f>+[11]MVTFEV!H$54</f>
        <v>18500</v>
      </c>
      <c r="D14" s="3">
        <f>+[11]MVTFEV!I$54</f>
        <v>37000</v>
      </c>
      <c r="E14" s="3">
        <f>+[11]MVTFEV!J$54</f>
        <v>92500</v>
      </c>
      <c r="F14" s="3">
        <f>+[11]MVTFEV!K$54</f>
        <v>17000</v>
      </c>
      <c r="G14" s="3">
        <f>+[11]MVTFEV!L$54</f>
        <v>0</v>
      </c>
      <c r="H14" s="3">
        <f>+[11]MVTFEV!M$54</f>
        <v>0</v>
      </c>
      <c r="I14" s="5">
        <f t="shared" si="0"/>
        <v>357000</v>
      </c>
    </row>
    <row r="15" spans="1:9" ht="19.5" x14ac:dyDescent="0.25">
      <c r="A15" s="1" t="s">
        <v>19</v>
      </c>
      <c r="B15" s="3">
        <f>+[11]MVTMARS!G$54</f>
        <v>191000</v>
      </c>
      <c r="C15" s="3">
        <f>+[11]MVTMARS!H$54</f>
        <v>18500</v>
      </c>
      <c r="D15" s="3">
        <f>+[11]MVTMARS!I$54</f>
        <v>37000</v>
      </c>
      <c r="E15" s="3">
        <f>+[11]MVTMARS!J$54</f>
        <v>92500</v>
      </c>
      <c r="F15" s="3">
        <f>+[11]MVTMARS!K$54</f>
        <v>12000</v>
      </c>
      <c r="G15" s="3">
        <f>+[11]MVTMARS!L$54</f>
        <v>0</v>
      </c>
      <c r="H15" s="3">
        <f>+[11]MVTMARS!M$54</f>
        <v>20000</v>
      </c>
      <c r="I15" s="5">
        <f t="shared" si="0"/>
        <v>371000</v>
      </c>
    </row>
    <row r="16" spans="1:9" ht="19.5" x14ac:dyDescent="0.25">
      <c r="A16" s="1" t="s">
        <v>20</v>
      </c>
      <c r="B16" s="3">
        <f>+[11]MVTAVRIL!G$54</f>
        <v>345000</v>
      </c>
      <c r="C16" s="3">
        <f>+[11]MVTAVRIL!H$54</f>
        <v>20000</v>
      </c>
      <c r="D16" s="3">
        <f>+[11]MVTAVRIL!I$54</f>
        <v>40000</v>
      </c>
      <c r="E16" s="3">
        <f>+[11]MVTAVRIL!J$54</f>
        <v>100000</v>
      </c>
      <c r="F16" s="3">
        <f>+[11]MVTAVRIL!K$54</f>
        <v>13000</v>
      </c>
      <c r="G16" s="3">
        <f>+[11]MVTAVRIL!L$54</f>
        <v>25000</v>
      </c>
      <c r="H16" s="3">
        <f>+[11]MVTAVRIL!M$54</f>
        <v>170000</v>
      </c>
      <c r="I16" s="5">
        <f t="shared" si="0"/>
        <v>713000</v>
      </c>
    </row>
    <row r="17" spans="1:9" ht="19.5" x14ac:dyDescent="0.25">
      <c r="A17" s="1" t="s">
        <v>21</v>
      </c>
      <c r="B17" s="3">
        <f>+[11]MVTMAI!G$54</f>
        <v>1389000</v>
      </c>
      <c r="C17" s="3">
        <f>+[11]MVTMAI!H$54</f>
        <v>19000</v>
      </c>
      <c r="D17" s="3">
        <f>+[11]MVTMAI!I$54</f>
        <v>38000</v>
      </c>
      <c r="E17" s="3">
        <f>+[11]MVTMAI!J$54</f>
        <v>95000</v>
      </c>
      <c r="F17" s="3">
        <f>+[11]MVTMAI!K$54</f>
        <v>14000</v>
      </c>
      <c r="G17" s="3">
        <f>+[11]MVTMAI!L$54</f>
        <v>0</v>
      </c>
      <c r="H17" s="3">
        <f>+[11]MVTMAI!M$54</f>
        <v>200000</v>
      </c>
      <c r="I17" s="5">
        <f t="shared" si="0"/>
        <v>1755000</v>
      </c>
    </row>
    <row r="18" spans="1:9" ht="19.5" x14ac:dyDescent="0.25">
      <c r="A18" s="1" t="s">
        <v>22</v>
      </c>
      <c r="B18" s="3">
        <f>+[11]MVTJUIN!G$54</f>
        <v>135000</v>
      </c>
      <c r="C18" s="3">
        <f>+[11]MVTJUIN!H$54</f>
        <v>19000</v>
      </c>
      <c r="D18" s="3">
        <f>+[11]MVTJUIN!I$54</f>
        <v>38000</v>
      </c>
      <c r="E18" s="3">
        <f>+[11]MVTJUIN!J$54</f>
        <v>95000</v>
      </c>
      <c r="F18" s="3">
        <f>+[11]MVTJUIN!K$54</f>
        <v>19000</v>
      </c>
      <c r="G18" s="3">
        <f>+[11]MVTJUIN!L$54</f>
        <v>0</v>
      </c>
      <c r="H18" s="3">
        <f>+[11]MVTJUIN!M$54</f>
        <v>170000</v>
      </c>
      <c r="I18" s="5">
        <f t="shared" si="0"/>
        <v>476000</v>
      </c>
    </row>
    <row r="19" spans="1:9" ht="19.5" x14ac:dyDescent="0.25">
      <c r="A19" s="1" t="s">
        <v>23</v>
      </c>
      <c r="B19" s="3">
        <f>+[11]MVTJUIL!G$54</f>
        <v>148000</v>
      </c>
      <c r="C19" s="3">
        <f>+[11]MVTJUIL!H$54</f>
        <v>18500</v>
      </c>
      <c r="D19" s="3">
        <f>+[11]MVTJUIL!I$54</f>
        <v>37000</v>
      </c>
      <c r="E19" s="3">
        <f>+[11]MVTJUIL!J$54</f>
        <v>92500</v>
      </c>
      <c r="F19" s="3">
        <f>+[11]MVTJUIL!K$54</f>
        <v>16000</v>
      </c>
      <c r="G19" s="3">
        <f>+[11]MVTJUIL!L$54</f>
        <v>0</v>
      </c>
      <c r="H19" s="3">
        <f>+[11]MVTJUIL!M$54</f>
        <v>0</v>
      </c>
      <c r="I19" s="5">
        <f t="shared" ref="I19:I20" si="1">SUM(B19:H19)</f>
        <v>312000</v>
      </c>
    </row>
    <row r="20" spans="1:9" ht="19.5" x14ac:dyDescent="0.25">
      <c r="A20" s="1" t="s">
        <v>24</v>
      </c>
      <c r="B20" s="3">
        <f>+[12]MVTAOUT!G$54</f>
        <v>0</v>
      </c>
      <c r="C20" s="3">
        <f>+[12]MVTAOUT!H$54</f>
        <v>0</v>
      </c>
      <c r="D20" s="3">
        <f>+[12]MVTAOUT!I$54</f>
        <v>0</v>
      </c>
      <c r="E20" s="3">
        <f>+[12]MVTAOUT!J$54</f>
        <v>0</v>
      </c>
      <c r="F20" s="3">
        <f>+[12]MVTAOUT!K$54</f>
        <v>0</v>
      </c>
      <c r="G20" s="3">
        <f>+[12]MVTAOUT!L$54</f>
        <v>0</v>
      </c>
      <c r="H20" s="3">
        <f>+[12]MVTAOUT!M$54</f>
        <v>0</v>
      </c>
      <c r="I20" s="5">
        <f t="shared" si="1"/>
        <v>0</v>
      </c>
    </row>
    <row r="22" spans="1:9" ht="19.5" x14ac:dyDescent="0.25">
      <c r="A22" s="6" t="s">
        <v>25</v>
      </c>
      <c r="B22" s="5">
        <f>SUM(B8:B21)</f>
        <v>3706500</v>
      </c>
      <c r="C22" s="5">
        <f t="shared" ref="C22:I22" si="2">SUM(C8:C21)</f>
        <v>229000</v>
      </c>
      <c r="D22" s="5">
        <f t="shared" si="2"/>
        <v>458000</v>
      </c>
      <c r="E22" s="5">
        <f t="shared" si="2"/>
        <v>1145000</v>
      </c>
      <c r="F22" s="5">
        <f t="shared" si="2"/>
        <v>198500</v>
      </c>
      <c r="G22" s="5">
        <f t="shared" si="2"/>
        <v>50000</v>
      </c>
      <c r="H22" s="5">
        <f t="shared" si="2"/>
        <v>860000</v>
      </c>
      <c r="I22" s="5">
        <f t="shared" si="2"/>
        <v>6647000</v>
      </c>
    </row>
    <row r="25" spans="1:9" x14ac:dyDescent="0.25">
      <c r="C25" s="32">
        <f>+INVENT2017_2018!D56-ENTREE!B22</f>
        <v>154000</v>
      </c>
    </row>
  </sheetData>
  <mergeCells count="1">
    <mergeCell ref="B2:H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3"/>
  <sheetViews>
    <sheetView workbookViewId="0">
      <selection activeCell="C8" sqref="C8"/>
    </sheetView>
  </sheetViews>
  <sheetFormatPr baseColWidth="10" defaultRowHeight="15" x14ac:dyDescent="0.25"/>
  <cols>
    <col min="1" max="1" width="12.42578125" bestFit="1" customWidth="1"/>
    <col min="2" max="2" width="16.28515625" bestFit="1" customWidth="1"/>
    <col min="3" max="3" width="18.28515625" bestFit="1" customWidth="1"/>
    <col min="4" max="4" width="17.5703125" customWidth="1"/>
    <col min="5" max="5" width="16.28515625" bestFit="1" customWidth="1"/>
    <col min="6" max="7" width="13.5703125" bestFit="1" customWidth="1"/>
    <col min="8" max="8" width="16.28515625" bestFit="1" customWidth="1"/>
    <col min="9" max="9" width="18.28515625" bestFit="1" customWidth="1"/>
  </cols>
  <sheetData>
    <row r="2" spans="1:9" ht="26.25" x14ac:dyDescent="0.4">
      <c r="B2" s="122" t="s">
        <v>27</v>
      </c>
      <c r="C2" s="123"/>
      <c r="D2" s="123"/>
      <c r="E2" s="123"/>
      <c r="F2" s="123"/>
      <c r="G2" s="123"/>
      <c r="H2" s="123"/>
    </row>
    <row r="3" spans="1:9" x14ac:dyDescent="0.25">
      <c r="A3" s="1" t="s">
        <v>10</v>
      </c>
      <c r="B3" s="1" t="s">
        <v>11</v>
      </c>
    </row>
    <row r="5" spans="1:9" ht="15.75" thickBot="1" x14ac:dyDescent="0.3"/>
    <row r="6" spans="1:9" ht="44.25" thickTop="1" x14ac:dyDescent="0.25">
      <c r="A6" s="10" t="s">
        <v>8</v>
      </c>
      <c r="B6" s="11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3" t="s">
        <v>25</v>
      </c>
    </row>
    <row r="7" spans="1:9" x14ac:dyDescent="0.25">
      <c r="A7" s="14" t="s">
        <v>9</v>
      </c>
      <c r="B7" s="15"/>
      <c r="C7" s="15"/>
      <c r="D7" s="15"/>
      <c r="E7" s="15"/>
      <c r="F7" s="15"/>
      <c r="G7" s="15"/>
      <c r="H7" s="15"/>
      <c r="I7" s="16"/>
    </row>
    <row r="8" spans="1:9" s="2" customFormat="1" ht="19.5" x14ac:dyDescent="0.25">
      <c r="A8" s="17" t="s">
        <v>12</v>
      </c>
      <c r="B8" s="18"/>
      <c r="C8" s="18">
        <f>SORTIEDETAILLE!$C$13</f>
        <v>5000</v>
      </c>
      <c r="D8" s="18">
        <f>SORTIEDETAILLE!$C$20</f>
        <v>0</v>
      </c>
      <c r="E8" s="18">
        <f>SORTIEDETAILLE!$C$24</f>
        <v>100000</v>
      </c>
      <c r="F8" s="18"/>
      <c r="G8" s="18"/>
      <c r="H8" s="18">
        <f>SORTIEDETAILLE!$C$26</f>
        <v>0</v>
      </c>
      <c r="I8" s="19">
        <f>SUM(B8:H8)</f>
        <v>105000</v>
      </c>
    </row>
    <row r="9" spans="1:9" ht="19.5" x14ac:dyDescent="0.25">
      <c r="A9" s="14" t="s">
        <v>13</v>
      </c>
      <c r="B9" s="18"/>
      <c r="C9" s="18">
        <f>SORTIEDETAILLE!$D$13</f>
        <v>60500</v>
      </c>
      <c r="D9" s="18">
        <f>SORTIEDETAILLE!$D$20</f>
        <v>0</v>
      </c>
      <c r="E9" s="18">
        <f>SORTIEDETAILLE!$D$24</f>
        <v>100000</v>
      </c>
      <c r="F9" s="18"/>
      <c r="G9" s="18"/>
      <c r="H9" s="18">
        <f>SORTIEDETAILLE!$D$26</f>
        <v>0</v>
      </c>
      <c r="I9" s="19">
        <f t="shared" ref="I9:I20" si="0">SUM(B9:H9)</f>
        <v>160500</v>
      </c>
    </row>
    <row r="10" spans="1:9" ht="19.5" x14ac:dyDescent="0.25">
      <c r="A10" s="14" t="s">
        <v>14</v>
      </c>
      <c r="B10" s="18"/>
      <c r="C10" s="18">
        <f>SORTIEDETAILLE!$E$13</f>
        <v>0</v>
      </c>
      <c r="D10" s="18">
        <f>SORTIEDETAILLE!$E$20</f>
        <v>0</v>
      </c>
      <c r="E10" s="18">
        <f>SORTIEDETAILLE!$E$24</f>
        <v>0</v>
      </c>
      <c r="F10" s="18"/>
      <c r="G10" s="18"/>
      <c r="H10" s="18">
        <f>SORTIEDETAILLE!$E$26</f>
        <v>0</v>
      </c>
      <c r="I10" s="19">
        <f t="shared" si="0"/>
        <v>0</v>
      </c>
    </row>
    <row r="11" spans="1:9" ht="19.5" x14ac:dyDescent="0.25">
      <c r="A11" s="14" t="s">
        <v>15</v>
      </c>
      <c r="B11" s="18"/>
      <c r="C11" s="18">
        <f>SORTIEDETAILLE!$F$13</f>
        <v>18000</v>
      </c>
      <c r="D11" s="18">
        <f>SORTIEDETAILLE!$F$20</f>
        <v>300000</v>
      </c>
      <c r="E11" s="18">
        <f>SORTIEDETAILLE!$F$24</f>
        <v>110000</v>
      </c>
      <c r="F11" s="18"/>
      <c r="G11" s="18"/>
      <c r="H11" s="18">
        <f>SORTIEDETAILLE!$F$26</f>
        <v>100000</v>
      </c>
      <c r="I11" s="19">
        <f t="shared" si="0"/>
        <v>528000</v>
      </c>
    </row>
    <row r="12" spans="1:9" ht="19.5" x14ac:dyDescent="0.25">
      <c r="A12" s="14" t="s">
        <v>16</v>
      </c>
      <c r="B12" s="18"/>
      <c r="C12" s="18">
        <f>SORTIEDETAILLE!$G$13</f>
        <v>29000</v>
      </c>
      <c r="D12" s="18">
        <f>SORTIEDETAILLE!$G$20</f>
        <v>0</v>
      </c>
      <c r="E12" s="18">
        <f>SORTIEDETAILLE!$G$24</f>
        <v>100000</v>
      </c>
      <c r="F12" s="18"/>
      <c r="G12" s="18"/>
      <c r="H12" s="18">
        <f>SORTIEDETAILLE!$G$26</f>
        <v>0</v>
      </c>
      <c r="I12" s="19">
        <f t="shared" si="0"/>
        <v>129000</v>
      </c>
    </row>
    <row r="13" spans="1:9" ht="19.5" x14ac:dyDescent="0.25">
      <c r="A13" s="14" t="s">
        <v>17</v>
      </c>
      <c r="B13" s="18"/>
      <c r="C13" s="18">
        <f>SORTIEDETAILLE!$H$13</f>
        <v>18000</v>
      </c>
      <c r="D13" s="18">
        <f>SORTIEDETAILLE!$H$20</f>
        <v>3500</v>
      </c>
      <c r="E13" s="18">
        <f>SORTIEDETAILLE!$H$24</f>
        <v>100000</v>
      </c>
      <c r="F13" s="18"/>
      <c r="G13" s="18"/>
      <c r="H13" s="18">
        <f>SORTIEDETAILLE!$H$26</f>
        <v>100000</v>
      </c>
      <c r="I13" s="19">
        <f t="shared" si="0"/>
        <v>221500</v>
      </c>
    </row>
    <row r="14" spans="1:9" ht="19.5" x14ac:dyDescent="0.25">
      <c r="A14" s="14" t="s">
        <v>18</v>
      </c>
      <c r="B14" s="18"/>
      <c r="C14" s="18">
        <f>SORTIEDETAILLE!$I$13</f>
        <v>0</v>
      </c>
      <c r="D14" s="18">
        <f>SORTIEDETAILLE!$I$20</f>
        <v>310000</v>
      </c>
      <c r="E14" s="18">
        <f>SORTIEDETAILLE!$I$24</f>
        <v>0</v>
      </c>
      <c r="F14" s="18"/>
      <c r="G14" s="18"/>
      <c r="H14" s="18">
        <f>SORTIEDETAILLE!$I$26</f>
        <v>0</v>
      </c>
      <c r="I14" s="19">
        <f t="shared" si="0"/>
        <v>310000</v>
      </c>
    </row>
    <row r="15" spans="1:9" ht="19.5" x14ac:dyDescent="0.25">
      <c r="A15" s="14" t="s">
        <v>19</v>
      </c>
      <c r="B15" s="18"/>
      <c r="C15" s="18">
        <f>SORTIEDETAILLE!$J$13</f>
        <v>14000</v>
      </c>
      <c r="D15" s="18">
        <f>SORTIEDETAILLE!$J$20</f>
        <v>0</v>
      </c>
      <c r="E15" s="18">
        <f>SORTIEDETAILLE!$J$24</f>
        <v>100000</v>
      </c>
      <c r="F15" s="18"/>
      <c r="G15" s="18"/>
      <c r="H15" s="18">
        <f>SORTIEDETAILLE!$J$26</f>
        <v>0</v>
      </c>
      <c r="I15" s="19">
        <f t="shared" si="0"/>
        <v>114000</v>
      </c>
    </row>
    <row r="16" spans="1:9" ht="19.5" x14ac:dyDescent="0.25">
      <c r="A16" s="14" t="s">
        <v>20</v>
      </c>
      <c r="B16" s="18"/>
      <c r="C16" s="18">
        <f>SORTIEDETAILLE!$K$13</f>
        <v>12000</v>
      </c>
      <c r="D16" s="18">
        <f>SORTIEDETAILLE!$K$20</f>
        <v>0</v>
      </c>
      <c r="E16" s="18">
        <f>SORTIEDETAILLE!$K$24</f>
        <v>100000</v>
      </c>
      <c r="F16" s="18"/>
      <c r="G16" s="18"/>
      <c r="H16" s="18">
        <f>SORTIEDETAILLE!$K$26</f>
        <v>0</v>
      </c>
      <c r="I16" s="19">
        <f t="shared" si="0"/>
        <v>112000</v>
      </c>
    </row>
    <row r="17" spans="1:9" ht="19.5" x14ac:dyDescent="0.25">
      <c r="A17" s="14" t="s">
        <v>21</v>
      </c>
      <c r="B17" s="18"/>
      <c r="C17" s="18">
        <f>SORTIEDETAILLE!$L$13</f>
        <v>15000</v>
      </c>
      <c r="D17" s="18">
        <f>SORTIEDETAILLE!$L$20</f>
        <v>0</v>
      </c>
      <c r="E17" s="18">
        <f>SORTIEDETAILLE!$L$24</f>
        <v>100000</v>
      </c>
      <c r="F17" s="18"/>
      <c r="G17" s="18"/>
      <c r="H17" s="18">
        <f>SORTIEDETAILLE!$L$26</f>
        <v>100000</v>
      </c>
      <c r="I17" s="19">
        <f t="shared" si="0"/>
        <v>215000</v>
      </c>
    </row>
    <row r="18" spans="1:9" ht="19.5" x14ac:dyDescent="0.25">
      <c r="A18" s="14" t="s">
        <v>22</v>
      </c>
      <c r="B18" s="18"/>
      <c r="C18" s="18">
        <f>SORTIEDETAILLE!$M$13</f>
        <v>93000</v>
      </c>
      <c r="D18" s="18">
        <f>SORTIEDETAILLE!$M$20</f>
        <v>0</v>
      </c>
      <c r="E18" s="18">
        <f>SORTIEDETAILLE!$M$24</f>
        <v>100000</v>
      </c>
      <c r="F18" s="18"/>
      <c r="G18" s="18"/>
      <c r="H18" s="18">
        <f>SORTIEDETAILLE!$M$26</f>
        <v>100000</v>
      </c>
      <c r="I18" s="19">
        <f t="shared" si="0"/>
        <v>293000</v>
      </c>
    </row>
    <row r="19" spans="1:9" ht="19.5" x14ac:dyDescent="0.25">
      <c r="A19" s="14" t="s">
        <v>23</v>
      </c>
      <c r="B19" s="20"/>
      <c r="C19" s="18">
        <f>SORTIEDETAILLE!$N$13</f>
        <v>0</v>
      </c>
      <c r="D19" s="18">
        <f>SORTIEDETAILLE!$N$20</f>
        <v>0</v>
      </c>
      <c r="E19" s="18">
        <f>SORTIEDETAILLE!$N$24</f>
        <v>140000</v>
      </c>
      <c r="F19" s="15"/>
      <c r="G19" s="15"/>
      <c r="H19" s="18">
        <f>SORTIEDETAILLE!$N$26</f>
        <v>500000</v>
      </c>
      <c r="I19" s="19">
        <f t="shared" si="0"/>
        <v>640000</v>
      </c>
    </row>
    <row r="20" spans="1:9" ht="19.5" x14ac:dyDescent="0.25">
      <c r="A20" s="14" t="s">
        <v>24</v>
      </c>
      <c r="B20" s="18">
        <v>4862745.3001698852</v>
      </c>
      <c r="C20" s="18">
        <f>SORTIEDETAILLE!$O$13</f>
        <v>41000</v>
      </c>
      <c r="D20" s="18">
        <f>SORTIEDETAILLE!$O$20</f>
        <v>0</v>
      </c>
      <c r="E20" s="18">
        <f>SORTIEDETAILLE!$O$24</f>
        <v>100000</v>
      </c>
      <c r="F20" s="15"/>
      <c r="G20" s="15"/>
      <c r="H20" s="18">
        <f>SORTIEDETAILLE!$O$26</f>
        <v>200000</v>
      </c>
      <c r="I20" s="19">
        <f t="shared" si="0"/>
        <v>5203745.3001698852</v>
      </c>
    </row>
    <row r="21" spans="1:9" x14ac:dyDescent="0.25">
      <c r="A21" s="21"/>
      <c r="B21" s="15"/>
      <c r="C21" s="15"/>
      <c r="D21" s="15"/>
      <c r="E21" s="15"/>
      <c r="F21" s="15"/>
      <c r="G21" s="15"/>
      <c r="H21" s="15"/>
      <c r="I21" s="16"/>
    </row>
    <row r="22" spans="1:9" ht="20.25" thickBot="1" x14ac:dyDescent="0.3">
      <c r="A22" s="22" t="s">
        <v>25</v>
      </c>
      <c r="B22" s="23">
        <f>SUM(B8:B21)</f>
        <v>4862745.3001698852</v>
      </c>
      <c r="C22" s="23">
        <f t="shared" ref="C22:I22" si="1">SUM(C8:C21)</f>
        <v>305500</v>
      </c>
      <c r="D22" s="23">
        <f t="shared" si="1"/>
        <v>613500</v>
      </c>
      <c r="E22" s="23">
        <f t="shared" si="1"/>
        <v>1150000</v>
      </c>
      <c r="F22" s="23">
        <f t="shared" si="1"/>
        <v>0</v>
      </c>
      <c r="G22" s="23">
        <f t="shared" si="1"/>
        <v>0</v>
      </c>
      <c r="H22" s="23">
        <f t="shared" si="1"/>
        <v>1100000</v>
      </c>
      <c r="I22" s="24">
        <f t="shared" si="1"/>
        <v>8031745.3001698852</v>
      </c>
    </row>
    <row r="23" spans="1:9" ht="15.75" thickTop="1" x14ac:dyDescent="0.25"/>
  </sheetData>
  <mergeCells count="1">
    <mergeCell ref="B2:H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8"/>
  <sheetViews>
    <sheetView workbookViewId="0">
      <selection activeCell="G10" sqref="G10"/>
    </sheetView>
  </sheetViews>
  <sheetFormatPr baseColWidth="10" defaultRowHeight="15" x14ac:dyDescent="0.25"/>
  <cols>
    <col min="1" max="1" width="30" bestFit="1" customWidth="1"/>
    <col min="2" max="2" width="21.42578125" bestFit="1" customWidth="1"/>
    <col min="3" max="5" width="11.5703125" style="32" bestFit="1" customWidth="1"/>
    <col min="6" max="6" width="12.42578125" style="32" bestFit="1" customWidth="1"/>
    <col min="7" max="7" width="11.5703125" style="32" bestFit="1" customWidth="1"/>
    <col min="8" max="9" width="12.42578125" style="32" bestFit="1" customWidth="1"/>
    <col min="10" max="10" width="11.5703125" style="32" bestFit="1" customWidth="1"/>
    <col min="11" max="12" width="12.42578125" style="32" bestFit="1" customWidth="1"/>
    <col min="13" max="15" width="11.5703125" style="32" bestFit="1" customWidth="1"/>
  </cols>
  <sheetData>
    <row r="1" spans="1:15" ht="26.25" x14ac:dyDescent="0.4">
      <c r="B1" s="122" t="s">
        <v>26</v>
      </c>
      <c r="C1" s="123"/>
      <c r="D1" s="123"/>
      <c r="E1" s="123"/>
      <c r="F1" s="123"/>
      <c r="G1" s="123"/>
      <c r="H1" s="123"/>
      <c r="I1"/>
      <c r="J1"/>
      <c r="K1"/>
      <c r="L1"/>
      <c r="M1"/>
      <c r="N1"/>
      <c r="O1"/>
    </row>
    <row r="2" spans="1:15" x14ac:dyDescent="0.25">
      <c r="A2" s="1" t="s">
        <v>10</v>
      </c>
      <c r="B2" s="1" t="s">
        <v>11</v>
      </c>
      <c r="C2"/>
      <c r="D2"/>
      <c r="E2"/>
      <c r="F2"/>
      <c r="G2"/>
      <c r="H2"/>
      <c r="I2"/>
      <c r="J2"/>
      <c r="K2"/>
      <c r="L2"/>
      <c r="M2"/>
      <c r="N2"/>
      <c r="O2"/>
    </row>
    <row r="3" spans="1:15" x14ac:dyDescent="0.25">
      <c r="A3" s="1"/>
      <c r="B3" s="1"/>
      <c r="C3"/>
      <c r="D3"/>
      <c r="E3"/>
      <c r="F3"/>
      <c r="G3"/>
      <c r="H3"/>
      <c r="I3"/>
      <c r="J3"/>
      <c r="K3"/>
      <c r="L3"/>
      <c r="M3"/>
      <c r="N3"/>
      <c r="O3"/>
    </row>
    <row r="4" spans="1:15" x14ac:dyDescent="0.25">
      <c r="A4" s="7"/>
      <c r="O4"/>
    </row>
    <row r="6" spans="1:15" x14ac:dyDescent="0.25">
      <c r="A6" t="s">
        <v>57</v>
      </c>
      <c r="B6" t="s">
        <v>58</v>
      </c>
      <c r="C6" s="4" t="s">
        <v>59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  <c r="N6" s="1" t="s">
        <v>23</v>
      </c>
      <c r="O6" s="1" t="s">
        <v>24</v>
      </c>
    </row>
    <row r="8" spans="1:15" x14ac:dyDescent="0.25">
      <c r="A8" t="s">
        <v>62</v>
      </c>
      <c r="C8" s="32">
        <v>150000</v>
      </c>
      <c r="D8" s="32">
        <v>600000</v>
      </c>
      <c r="E8" s="32" t="s">
        <v>63</v>
      </c>
      <c r="F8" s="32">
        <v>1000000</v>
      </c>
      <c r="G8" s="32">
        <v>600000</v>
      </c>
      <c r="H8" s="32">
        <v>990000</v>
      </c>
      <c r="I8" s="32">
        <v>1850000</v>
      </c>
      <c r="J8" s="32">
        <v>700000</v>
      </c>
      <c r="K8" s="32">
        <v>2000000</v>
      </c>
      <c r="L8" s="32">
        <v>2000000</v>
      </c>
      <c r="M8" s="32">
        <v>500000</v>
      </c>
    </row>
    <row r="9" spans="1:15" x14ac:dyDescent="0.25">
      <c r="A9" t="s">
        <v>60</v>
      </c>
      <c r="B9" t="s">
        <v>2</v>
      </c>
      <c r="C9" s="32">
        <v>5000</v>
      </c>
      <c r="D9" s="32">
        <v>3000</v>
      </c>
      <c r="F9" s="32">
        <v>18000</v>
      </c>
      <c r="G9" s="32">
        <v>5000</v>
      </c>
      <c r="M9" s="32">
        <v>3000</v>
      </c>
    </row>
    <row r="10" spans="1:15" x14ac:dyDescent="0.25">
      <c r="A10" t="s">
        <v>61</v>
      </c>
      <c r="B10" t="s">
        <v>2</v>
      </c>
      <c r="D10" s="32">
        <v>57500</v>
      </c>
      <c r="G10" s="32">
        <v>24000</v>
      </c>
      <c r="H10" s="32">
        <v>18000</v>
      </c>
      <c r="J10" s="32">
        <v>14000</v>
      </c>
      <c r="K10" s="32">
        <v>12000</v>
      </c>
      <c r="L10" s="32">
        <v>15000</v>
      </c>
      <c r="O10" s="32">
        <f>33000+8000</f>
        <v>41000</v>
      </c>
    </row>
    <row r="11" spans="1:15" x14ac:dyDescent="0.25">
      <c r="A11" t="s">
        <v>70</v>
      </c>
      <c r="B11" t="s">
        <v>2</v>
      </c>
      <c r="M11" s="32">
        <v>90000</v>
      </c>
    </row>
    <row r="13" spans="1:15" ht="18.75" x14ac:dyDescent="0.3">
      <c r="A13" s="42" t="s">
        <v>72</v>
      </c>
      <c r="C13" s="42">
        <f>SUM(C9:C11)</f>
        <v>5000</v>
      </c>
      <c r="D13" s="42">
        <f t="shared" ref="D13:O13" si="0">SUM(D9:D11)</f>
        <v>60500</v>
      </c>
      <c r="E13" s="42">
        <f t="shared" si="0"/>
        <v>0</v>
      </c>
      <c r="F13" s="42">
        <f t="shared" si="0"/>
        <v>18000</v>
      </c>
      <c r="G13" s="42">
        <f t="shared" si="0"/>
        <v>29000</v>
      </c>
      <c r="H13" s="42">
        <f t="shared" si="0"/>
        <v>18000</v>
      </c>
      <c r="I13" s="42">
        <f t="shared" si="0"/>
        <v>0</v>
      </c>
      <c r="J13" s="42">
        <f t="shared" si="0"/>
        <v>14000</v>
      </c>
      <c r="K13" s="42">
        <f t="shared" si="0"/>
        <v>12000</v>
      </c>
      <c r="L13" s="42">
        <f t="shared" si="0"/>
        <v>15000</v>
      </c>
      <c r="M13" s="42">
        <f t="shared" si="0"/>
        <v>93000</v>
      </c>
      <c r="N13" s="42">
        <f t="shared" si="0"/>
        <v>0</v>
      </c>
      <c r="O13" s="42">
        <f t="shared" si="0"/>
        <v>41000</v>
      </c>
    </row>
    <row r="14" spans="1:15" ht="18.75" x14ac:dyDescent="0.3">
      <c r="A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</row>
    <row r="15" spans="1:15" x14ac:dyDescent="0.25">
      <c r="A15" t="s">
        <v>69</v>
      </c>
      <c r="B15" t="s">
        <v>68</v>
      </c>
      <c r="H15" s="32">
        <v>3500</v>
      </c>
    </row>
    <row r="16" spans="1:15" x14ac:dyDescent="0.25">
      <c r="A16" t="s">
        <v>66</v>
      </c>
      <c r="B16" t="s">
        <v>68</v>
      </c>
      <c r="I16" s="32">
        <v>200000</v>
      </c>
    </row>
    <row r="17" spans="1:15" x14ac:dyDescent="0.25">
      <c r="A17" t="s">
        <v>67</v>
      </c>
      <c r="B17" t="s">
        <v>68</v>
      </c>
      <c r="I17" s="32">
        <v>110000</v>
      </c>
    </row>
    <row r="18" spans="1:15" x14ac:dyDescent="0.25">
      <c r="A18" t="s">
        <v>71</v>
      </c>
      <c r="B18" t="s">
        <v>68</v>
      </c>
      <c r="F18" s="32">
        <v>300000</v>
      </c>
    </row>
    <row r="20" spans="1:15" ht="18.75" x14ac:dyDescent="0.3">
      <c r="A20" s="42" t="s">
        <v>72</v>
      </c>
      <c r="C20" s="42">
        <f>SUM(C15:C18)</f>
        <v>0</v>
      </c>
      <c r="D20" s="42">
        <f t="shared" ref="D20" si="1">SUM(D15:D18)</f>
        <v>0</v>
      </c>
      <c r="E20" s="42">
        <f t="shared" ref="E20" si="2">SUM(E15:E18)</f>
        <v>0</v>
      </c>
      <c r="F20" s="42">
        <f t="shared" ref="F20" si="3">SUM(F15:F18)</f>
        <v>300000</v>
      </c>
      <c r="G20" s="42">
        <f t="shared" ref="G20" si="4">SUM(G15:G18)</f>
        <v>0</v>
      </c>
      <c r="H20" s="42">
        <f t="shared" ref="H20" si="5">SUM(H15:H18)</f>
        <v>3500</v>
      </c>
      <c r="I20" s="42">
        <f t="shared" ref="I20" si="6">SUM(I15:I18)</f>
        <v>310000</v>
      </c>
      <c r="J20" s="42">
        <f t="shared" ref="J20" si="7">SUM(J15:J18)</f>
        <v>0</v>
      </c>
      <c r="K20" s="42">
        <f t="shared" ref="K20" si="8">SUM(K15:K18)</f>
        <v>0</v>
      </c>
      <c r="L20" s="42">
        <f t="shared" ref="L20" si="9">SUM(L15:L18)</f>
        <v>0</v>
      </c>
      <c r="M20" s="42">
        <f t="shared" ref="M20" si="10">SUM(M15:M18)</f>
        <v>0</v>
      </c>
      <c r="N20" s="42">
        <f t="shared" ref="N20" si="11">SUM(N15:N18)</f>
        <v>0</v>
      </c>
      <c r="O20" s="42">
        <f t="shared" ref="O20" si="12">SUM(O15:O18)</f>
        <v>0</v>
      </c>
    </row>
    <row r="21" spans="1:15" ht="18.75" x14ac:dyDescent="0.3">
      <c r="A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</row>
    <row r="22" spans="1:15" x14ac:dyDescent="0.25">
      <c r="A22" t="s">
        <v>4</v>
      </c>
      <c r="B22" t="s">
        <v>4</v>
      </c>
      <c r="C22" s="32">
        <v>100000</v>
      </c>
      <c r="D22" s="32">
        <v>100000</v>
      </c>
      <c r="F22" s="32">
        <v>100000</v>
      </c>
      <c r="G22" s="32">
        <v>100000</v>
      </c>
      <c r="H22" s="32">
        <v>100000</v>
      </c>
      <c r="J22" s="32">
        <v>100000</v>
      </c>
      <c r="K22" s="32">
        <v>100000</v>
      </c>
      <c r="L22" s="32">
        <v>100000</v>
      </c>
      <c r="M22" s="32">
        <v>100000</v>
      </c>
      <c r="N22" s="32">
        <v>100000</v>
      </c>
      <c r="O22" s="32">
        <v>100000</v>
      </c>
    </row>
    <row r="23" spans="1:15" x14ac:dyDescent="0.25">
      <c r="A23" t="s">
        <v>65</v>
      </c>
      <c r="B23" t="s">
        <v>4</v>
      </c>
      <c r="F23" s="32">
        <v>10000</v>
      </c>
      <c r="N23" s="32">
        <v>40000</v>
      </c>
    </row>
    <row r="24" spans="1:15" ht="18.75" x14ac:dyDescent="0.3">
      <c r="A24" s="42" t="s">
        <v>72</v>
      </c>
      <c r="C24" s="42">
        <f>SUM(C22:C23)</f>
        <v>100000</v>
      </c>
      <c r="D24" s="42">
        <f t="shared" ref="D24:O24" si="13">SUM(D22:D23)</f>
        <v>100000</v>
      </c>
      <c r="E24" s="42">
        <f t="shared" si="13"/>
        <v>0</v>
      </c>
      <c r="F24" s="42">
        <f t="shared" si="13"/>
        <v>110000</v>
      </c>
      <c r="G24" s="42">
        <f t="shared" si="13"/>
        <v>100000</v>
      </c>
      <c r="H24" s="42">
        <f t="shared" si="13"/>
        <v>100000</v>
      </c>
      <c r="I24" s="42">
        <f t="shared" si="13"/>
        <v>0</v>
      </c>
      <c r="J24" s="42">
        <f t="shared" si="13"/>
        <v>100000</v>
      </c>
      <c r="K24" s="42">
        <f t="shared" si="13"/>
        <v>100000</v>
      </c>
      <c r="L24" s="42">
        <f t="shared" si="13"/>
        <v>100000</v>
      </c>
      <c r="M24" s="42">
        <f t="shared" si="13"/>
        <v>100000</v>
      </c>
      <c r="N24" s="42">
        <f t="shared" si="13"/>
        <v>140000</v>
      </c>
      <c r="O24" s="42">
        <f t="shared" si="13"/>
        <v>100000</v>
      </c>
    </row>
    <row r="26" spans="1:15" ht="18.75" x14ac:dyDescent="0.3">
      <c r="A26" t="s">
        <v>64</v>
      </c>
      <c r="B26" t="s">
        <v>7</v>
      </c>
      <c r="C26" s="42"/>
      <c r="D26" s="42"/>
      <c r="E26" s="42"/>
      <c r="F26" s="42">
        <v>100000</v>
      </c>
      <c r="G26" s="42"/>
      <c r="H26" s="42">
        <v>100000</v>
      </c>
      <c r="I26" s="42"/>
      <c r="J26" s="42"/>
      <c r="K26" s="42"/>
      <c r="L26" s="42">
        <v>100000</v>
      </c>
      <c r="M26" s="42">
        <v>100000</v>
      </c>
      <c r="N26" s="42">
        <v>500000</v>
      </c>
      <c r="O26" s="42">
        <v>200000</v>
      </c>
    </row>
    <row r="28" spans="1:15" ht="18.75" x14ac:dyDescent="0.3">
      <c r="A28" s="42" t="s">
        <v>72</v>
      </c>
      <c r="C28" s="42">
        <f>C13+C20+C24+C26</f>
        <v>105000</v>
      </c>
      <c r="D28" s="42">
        <f t="shared" ref="D28:O28" si="14">D13+D20+D24+D26</f>
        <v>160500</v>
      </c>
      <c r="E28" s="42">
        <f t="shared" si="14"/>
        <v>0</v>
      </c>
      <c r="F28" s="42">
        <f t="shared" si="14"/>
        <v>528000</v>
      </c>
      <c r="G28" s="42">
        <f t="shared" si="14"/>
        <v>129000</v>
      </c>
      <c r="H28" s="42">
        <f t="shared" si="14"/>
        <v>221500</v>
      </c>
      <c r="I28" s="42">
        <f t="shared" si="14"/>
        <v>310000</v>
      </c>
      <c r="J28" s="42">
        <f t="shared" si="14"/>
        <v>114000</v>
      </c>
      <c r="K28" s="42">
        <f t="shared" si="14"/>
        <v>112000</v>
      </c>
      <c r="L28" s="42">
        <f t="shared" si="14"/>
        <v>215000</v>
      </c>
      <c r="M28" s="42">
        <f t="shared" si="14"/>
        <v>293000</v>
      </c>
      <c r="N28" s="42">
        <f t="shared" si="14"/>
        <v>640000</v>
      </c>
      <c r="O28" s="42">
        <f t="shared" si="14"/>
        <v>341000</v>
      </c>
    </row>
  </sheetData>
  <mergeCells count="1">
    <mergeCell ref="B1:H1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pane xSplit="1" ySplit="3" topLeftCell="B46" activePane="bottomRight" state="frozen"/>
      <selection pane="topRight" activeCell="B1" sqref="B1"/>
      <selection pane="bottomLeft" activeCell="A4" sqref="A4"/>
      <selection pane="bottomRight" activeCell="M10" sqref="M10"/>
    </sheetView>
  </sheetViews>
  <sheetFormatPr baseColWidth="10" defaultColWidth="15.42578125" defaultRowHeight="15" x14ac:dyDescent="0.25"/>
  <cols>
    <col min="1" max="1" width="19.5703125" customWidth="1"/>
    <col min="2" max="2" width="17.28515625" customWidth="1"/>
    <col min="4" max="6" width="15.42578125" style="32"/>
    <col min="7" max="8" width="15.42578125" style="48"/>
    <col min="10" max="10" width="16.85546875" style="48" bestFit="1" customWidth="1"/>
    <col min="11" max="12" width="16.85546875" bestFit="1" customWidth="1"/>
    <col min="14" max="14" width="16.85546875" bestFit="1" customWidth="1"/>
  </cols>
  <sheetData>
    <row r="1" spans="1:14" ht="23.25" x14ac:dyDescent="0.35">
      <c r="B1" s="52" t="s">
        <v>130</v>
      </c>
    </row>
    <row r="3" spans="1:14" ht="29.25" x14ac:dyDescent="0.25">
      <c r="A3" s="1" t="s">
        <v>74</v>
      </c>
      <c r="B3" s="44" t="s">
        <v>142</v>
      </c>
      <c r="C3" s="44" t="s">
        <v>75</v>
      </c>
      <c r="D3" s="44" t="s">
        <v>1</v>
      </c>
      <c r="E3" s="44" t="s">
        <v>76</v>
      </c>
      <c r="F3" s="44" t="s">
        <v>77</v>
      </c>
      <c r="G3" s="51" t="s">
        <v>54</v>
      </c>
      <c r="H3" s="51" t="s">
        <v>140</v>
      </c>
      <c r="I3" s="44" t="s">
        <v>141</v>
      </c>
      <c r="J3" s="51" t="s">
        <v>78</v>
      </c>
      <c r="K3" s="44" t="s">
        <v>79</v>
      </c>
      <c r="L3" s="44" t="s">
        <v>42</v>
      </c>
      <c r="M3" s="44" t="s">
        <v>41</v>
      </c>
      <c r="N3" s="44" t="s">
        <v>139</v>
      </c>
    </row>
    <row r="4" spans="1:14" x14ac:dyDescent="0.25">
      <c r="A4" s="1" t="s">
        <v>73</v>
      </c>
      <c r="B4" s="45">
        <v>0</v>
      </c>
      <c r="C4" s="45">
        <f>[5]TONT20000DEC2016!$D5</f>
        <v>355097</v>
      </c>
      <c r="D4" s="45"/>
      <c r="E4" s="45">
        <f>[5]TONT20000DEC2016!$E5+[5]TONT20000JANV2017!$C5+[5]TONT20000FEV2017!$C5+[5]TONT20000MARS2017!$C5+[5]TONT20000AVRIL2017!$C5+[5]TONT20000MAI2017!$C5+[5]TONT20000JUIN2017!$C5+[5]TONT20000JUIL2017!$C5</f>
        <v>23403.204099868788</v>
      </c>
      <c r="F4" s="45">
        <f>+C4+D4+E4</f>
        <v>378500.20409986877</v>
      </c>
      <c r="G4" s="49"/>
      <c r="H4" s="59"/>
      <c r="I4" s="45"/>
      <c r="J4" s="45"/>
      <c r="K4" s="56">
        <f t="shared" ref="K4:K51" si="0">B4+I4-N4</f>
        <v>0</v>
      </c>
      <c r="L4" s="32"/>
      <c r="M4" s="32"/>
      <c r="N4" s="32"/>
    </row>
    <row r="5" spans="1:14" x14ac:dyDescent="0.25">
      <c r="A5" s="1" t="s">
        <v>80</v>
      </c>
      <c r="B5" s="45">
        <v>420000</v>
      </c>
      <c r="C5" s="45">
        <f>[5]TONT20000DEC2016!$D6</f>
        <v>51993</v>
      </c>
      <c r="D5" s="45"/>
      <c r="E5" s="45">
        <f>[5]TONT20000DEC2016!$E6+[5]TONT20000JANV2017!$C6+[5]TONT20000FEV2017!$C6+[5]TONT20000MARS2017!$C6+[5]TONT20000AVRIL2017!$C6+[5]TONT20000MAI2017!$C6+[5]TONT20000JUIN2017!$C6+[5]TONT20000JUIL2017!$C6</f>
        <v>31107.411531805024</v>
      </c>
      <c r="F5" s="45">
        <f t="shared" ref="F5:F54" si="1">+C5+D5+E5</f>
        <v>83100.411531805032</v>
      </c>
      <c r="G5" s="50">
        <v>23250</v>
      </c>
      <c r="H5" s="59"/>
      <c r="I5" s="45"/>
      <c r="J5" s="45">
        <f>[11]MVTSEPT!$C6</f>
        <v>450000</v>
      </c>
      <c r="K5" s="56">
        <f t="shared" si="0"/>
        <v>-168000</v>
      </c>
      <c r="L5" s="32"/>
      <c r="M5" s="32">
        <f>[5]TONT20000DEC2016!R6+[5]TONT20000JANV2017!P6+[5]TONT20000FEV2017!P6+[5]TONT20000MARS2017!P6+[5]TONT20000AVRIL2017!P6+[5]TONT20000MAI2017!P6+[5]TONT20000JUIN2017!P6+[5]TONT20000JUIL2017!P6</f>
        <v>0</v>
      </c>
      <c r="N5" s="32">
        <f>[8]EMPRUNT!$D6</f>
        <v>588000</v>
      </c>
    </row>
    <row r="6" spans="1:14" x14ac:dyDescent="0.25">
      <c r="A6" s="1" t="s">
        <v>81</v>
      </c>
      <c r="B6" s="45">
        <v>420000</v>
      </c>
      <c r="C6" s="45">
        <f>[5]TONT20000DEC2016!$D7</f>
        <v>2720</v>
      </c>
      <c r="D6" s="45">
        <f>+[5]TONT20000DEC2016!$L7+[5]TONT20000JANV2017!$J7+[5]TONT20000FEV2017!$J7+[5]TONT20000MARS2017!$J7+[5]TONT20000AVRIL2017!$J7+[5]TONT20000MAI2017!$J7+[5]TONT20000JUIN2017!$J7+[5]TONT20000JUIL2017!$J7</f>
        <v>24000</v>
      </c>
      <c r="E6" s="45">
        <f>[5]TONT20000DEC2016!$E7+[5]TONT20000JANV2017!$C7+[5]TONT20000FEV2017!$C7+[5]TONT20000MARS2017!$C7+[5]TONT20000AVRIL2017!$C7+[5]TONT20000MAI2017!$C7+[5]TONT20000JUIN2017!$C7+[5]TONT20000JUIL2017!$C7</f>
        <v>28906.870595715751</v>
      </c>
      <c r="F6" s="45">
        <f t="shared" si="1"/>
        <v>55626.870595715751</v>
      </c>
      <c r="G6" s="50">
        <v>100</v>
      </c>
      <c r="H6" s="59">
        <v>8000</v>
      </c>
      <c r="I6" s="45">
        <f t="shared" ref="I5:I51" si="2">F6-G6-H6</f>
        <v>47526.870595715751</v>
      </c>
      <c r="J6" s="45">
        <f>[11]MVTSEPT!$C7</f>
        <v>450000</v>
      </c>
      <c r="K6" s="56">
        <f t="shared" si="0"/>
        <v>-316473.12940428423</v>
      </c>
      <c r="L6" s="32"/>
      <c r="M6" s="32">
        <f>[5]TONT20000DEC2016!R7+[5]TONT20000JANV2017!P7+[5]TONT20000FEV2017!P7+[5]TONT20000MARS2017!P7+[5]TONT20000AVRIL2017!P7+[5]TONT20000MAI2017!P7+[5]TONT20000JUIN2017!P7+[5]TONT20000JUIL2017!P7</f>
        <v>0</v>
      </c>
      <c r="N6" s="32">
        <f>[8]EMPRUNT!$D7</f>
        <v>784000</v>
      </c>
    </row>
    <row r="7" spans="1:14" x14ac:dyDescent="0.25">
      <c r="A7" s="1" t="s">
        <v>82</v>
      </c>
      <c r="B7" s="45">
        <v>420000</v>
      </c>
      <c r="C7" s="45">
        <f>[5]TONT20000DEC2016!$D8</f>
        <v>5874</v>
      </c>
      <c r="D7" s="45">
        <f>+[5]TONT20000DEC2016!$L8+[5]TONT20000JANV2017!$J8+[5]TONT20000FEV2017!$J8+[5]TONT20000MARS2017!$J8+[5]TONT20000AVRIL2017!$J8+[5]TONT20000MAI2017!$J8+[5]TONT20000JUIN2017!$J8+[5]TONT20000JUIL2017!$J8</f>
        <v>24000</v>
      </c>
      <c r="E7" s="45">
        <f>[5]TONT20000DEC2016!$E8+[5]TONT20000JANV2017!$C8+[5]TONT20000FEV2017!$C8+[5]TONT20000MARS2017!$C8+[5]TONT20000AVRIL2017!$C8+[5]TONT20000MAI2017!$C8+[5]TONT20000JUIN2017!$C8+[5]TONT20000JUIL2017!$C8</f>
        <v>29114.739729307385</v>
      </c>
      <c r="F7" s="45">
        <f t="shared" si="1"/>
        <v>58988.739729307388</v>
      </c>
      <c r="G7" s="50">
        <v>19100</v>
      </c>
      <c r="H7" s="59"/>
      <c r="I7" s="45">
        <f t="shared" si="2"/>
        <v>39888.739729307388</v>
      </c>
      <c r="J7" s="45">
        <f>[11]MVTSEPT!$C8</f>
        <v>450000</v>
      </c>
      <c r="K7" s="56">
        <f t="shared" si="0"/>
        <v>-833711.26027069264</v>
      </c>
      <c r="L7" s="32"/>
      <c r="M7" s="32">
        <f>[5]TONT20000DEC2016!R8+[5]TONT20000JANV2017!P8+[5]TONT20000FEV2017!P8+[5]TONT20000MARS2017!P8+[5]TONT20000AVRIL2017!P8+[5]TONT20000MAI2017!P8+[5]TONT20000JUIN2017!P8+[5]TONT20000JUIL2017!P8</f>
        <v>0</v>
      </c>
      <c r="N7" s="32">
        <f>[8]EMPRUNT!$D8</f>
        <v>1293600</v>
      </c>
    </row>
    <row r="8" spans="1:14" x14ac:dyDescent="0.25">
      <c r="A8" s="1" t="s">
        <v>83</v>
      </c>
      <c r="B8" s="45">
        <v>420000</v>
      </c>
      <c r="C8" s="45">
        <f>[5]TONT20000DEC2016!$D9</f>
        <v>2570</v>
      </c>
      <c r="D8" s="45">
        <f>+[5]TONT20000DEC2016!$L9+[5]TONT20000JANV2017!$J9+[5]TONT20000FEV2017!$J9+[5]TONT20000MARS2017!$J9+[5]TONT20000AVRIL2017!$J9+[5]TONT20000MAI2017!$J9+[5]TONT20000JUIN2017!$J9+[5]TONT20000JUIL2017!$J9</f>
        <v>34500</v>
      </c>
      <c r="E8" s="45">
        <f>[5]TONT20000DEC2016!$E9+[5]TONT20000JANV2017!$C9+[5]TONT20000FEV2017!$C9+[5]TONT20000MARS2017!$C9+[5]TONT20000AVRIL2017!$C9+[5]TONT20000MAI2017!$C9+[5]TONT20000JUIN2017!$C9+[5]TONT20000JUIL2017!$C9</f>
        <v>29354.097929742591</v>
      </c>
      <c r="F8" s="45">
        <f t="shared" si="1"/>
        <v>66424.097929742595</v>
      </c>
      <c r="G8" s="50">
        <v>43200</v>
      </c>
      <c r="H8" s="59"/>
      <c r="I8" s="45">
        <f t="shared" si="2"/>
        <v>23224.097929742595</v>
      </c>
      <c r="J8" s="45">
        <f>[11]MVTSEPT!$C9</f>
        <v>450000</v>
      </c>
      <c r="K8" s="56">
        <f t="shared" si="0"/>
        <v>-573775.90207025735</v>
      </c>
      <c r="L8" s="32"/>
      <c r="M8" s="32">
        <f>[5]TONT20000DEC2016!R9+[5]TONT20000JANV2017!P9+[5]TONT20000FEV2017!P9+[5]TONT20000MARS2017!P9+[5]TONT20000AVRIL2017!P9+[5]TONT20000MAI2017!P9+[5]TONT20000JUIN2017!P9+[5]TONT20000JUIL2017!P9</f>
        <v>120000</v>
      </c>
      <c r="N8" s="32">
        <f>[8]EMPRUNT!$D9</f>
        <v>1017000</v>
      </c>
    </row>
    <row r="9" spans="1:14" x14ac:dyDescent="0.25">
      <c r="A9" s="1" t="s">
        <v>84</v>
      </c>
      <c r="B9" s="45">
        <v>420000</v>
      </c>
      <c r="C9" s="45">
        <f>[5]TONT20000DEC2016!$D10</f>
        <v>2697</v>
      </c>
      <c r="D9" s="45">
        <f>+[5]TONT20000DEC2016!$L10+[5]TONT20000JANV2017!$J10+[5]TONT20000FEV2017!$J10+[5]TONT20000MARS2017!$J10+[5]TONT20000AVRIL2017!$J10+[5]TONT20000MAI2017!$J10+[5]TONT20000JUIN2017!$J10+[5]TONT20000JUIL2017!$J10</f>
        <v>37000</v>
      </c>
      <c r="E9" s="45">
        <f>[5]TONT20000DEC2016!$E10+[5]TONT20000JANV2017!$C10+[5]TONT20000FEV2017!$C10+[5]TONT20000MARS2017!$C10+[5]TONT20000AVRIL2017!$C10+[5]TONT20000MAI2017!$C10+[5]TONT20000JUIN2017!$C10+[5]TONT20000JUIL2017!$C10</f>
        <v>29309.0397251264</v>
      </c>
      <c r="F9" s="45">
        <f t="shared" si="1"/>
        <v>69006.039725126408</v>
      </c>
      <c r="G9" s="50"/>
      <c r="H9" s="59"/>
      <c r="I9" s="45">
        <f t="shared" si="2"/>
        <v>69006.039725126408</v>
      </c>
      <c r="J9" s="45">
        <f>[11]MVTSEPT!$C10</f>
        <v>450000</v>
      </c>
      <c r="K9" s="56">
        <f t="shared" si="0"/>
        <v>349006.03972512641</v>
      </c>
      <c r="L9" s="32"/>
      <c r="M9" s="32">
        <f>[5]TONT20000DEC2016!R10+[5]TONT20000JANV2017!P10+[5]TONT20000FEV2017!P10+[5]TONT20000MARS2017!P10+[5]TONT20000AVRIL2017!P10+[5]TONT20000MAI2017!P10+[5]TONT20000JUIN2017!P10+[5]TONT20000JUIL2017!P10</f>
        <v>0</v>
      </c>
      <c r="N9" s="32">
        <f>[8]EMPRUNT!$D10</f>
        <v>140000</v>
      </c>
    </row>
    <row r="10" spans="1:14" ht="15" customHeight="1" x14ac:dyDescent="0.25">
      <c r="A10" s="46" t="s">
        <v>85</v>
      </c>
      <c r="B10" s="45">
        <v>0</v>
      </c>
      <c r="C10" s="45">
        <f>[5]TONT20000DEC2016!$D11</f>
        <v>0</v>
      </c>
      <c r="D10" s="45"/>
      <c r="E10" s="45"/>
      <c r="F10" s="45"/>
      <c r="G10" s="50"/>
      <c r="H10" s="59"/>
      <c r="I10" s="45"/>
      <c r="J10" s="45"/>
      <c r="K10" s="56">
        <f t="shared" si="0"/>
        <v>0</v>
      </c>
      <c r="L10" s="32"/>
      <c r="M10" s="32"/>
      <c r="N10" s="32"/>
    </row>
    <row r="11" spans="1:14" ht="15" customHeight="1" x14ac:dyDescent="0.25">
      <c r="A11" s="1" t="s">
        <v>86</v>
      </c>
      <c r="B11" s="45">
        <v>420000</v>
      </c>
      <c r="C11" s="45">
        <f>[5]TONT20000DEC2016!$D12</f>
        <v>635540</v>
      </c>
      <c r="D11" s="45">
        <f>+[5]TONT20000DEC2016!$L12+[5]TONT20000JANV2017!$J12+[5]TONT20000FEV2017!$J12+[5]TONT20000MARS2017!$J12+[5]TONT20000AVRIL2017!$J12+[5]TONT20000MAI2017!$J12+[5]TONT20000JUIN2017!$J12+[5]TONT20000JUIL2017!$J12</f>
        <v>24000</v>
      </c>
      <c r="E11" s="45">
        <f>[5]TONT20000DEC2016!$E12+[5]TONT20000JANV2017!$C12+[5]TONT20000FEV2017!$C12+[5]TONT20000MARS2017!$C12+[5]TONT20000AVRIL2017!$C12+[5]TONT20000MAI2017!$C12+[5]TONT20000JUIN2017!$C12+[5]TONT20000JUIL2017!$C12</f>
        <v>70613.828464914783</v>
      </c>
      <c r="F11" s="45">
        <f t="shared" si="1"/>
        <v>730153.82846491481</v>
      </c>
      <c r="G11" s="50">
        <v>0</v>
      </c>
      <c r="H11" s="59"/>
      <c r="I11" s="45">
        <f t="shared" si="2"/>
        <v>730153.82846491481</v>
      </c>
      <c r="J11" s="45">
        <f>[11]MVTSEPT!$C11</f>
        <v>450000</v>
      </c>
      <c r="K11" s="56">
        <f t="shared" si="0"/>
        <v>30153.828464914812</v>
      </c>
      <c r="L11" s="32"/>
      <c r="M11" s="32">
        <f>[5]TONT20000DEC2016!R12+[5]TONT20000JANV2017!P12+[5]TONT20000FEV2017!P12+[5]TONT20000MARS2017!P12+[5]TONT20000AVRIL2017!P12+[5]TONT20000MAI2017!P12+[5]TONT20000JUIN2017!P12+[5]TONT20000JUIL2017!P12</f>
        <v>100000</v>
      </c>
      <c r="N11" s="32">
        <f>[8]EMPRUNT!$D11</f>
        <v>1120000</v>
      </c>
    </row>
    <row r="12" spans="1:14" ht="15" customHeight="1" x14ac:dyDescent="0.25">
      <c r="A12" s="1" t="s">
        <v>87</v>
      </c>
      <c r="B12" s="45">
        <v>420000</v>
      </c>
      <c r="C12" s="45">
        <f>[5]TONT20000DEC2016!$D13</f>
        <v>2746</v>
      </c>
      <c r="D12" s="45">
        <f>+[5]TONT20000DEC2016!$L13+[5]TONT20000JANV2017!$J13+[5]TONT20000FEV2017!$J13+[5]TONT20000MARS2017!$J13+[5]TONT20000AVRIL2017!$J13+[5]TONT20000MAI2017!$J13+[5]TONT20000JUIN2017!$J13+[5]TONT20000JUIL2017!$J13</f>
        <v>24000</v>
      </c>
      <c r="E12" s="45">
        <f>[5]TONT20000DEC2016!$E13+[5]TONT20000JANV2017!$C13+[5]TONT20000FEV2017!$C13+[5]TONT20000MARS2017!$C13+[5]TONT20000AVRIL2017!$C13+[5]TONT20000MAI2017!$C13+[5]TONT20000JUIN2017!$C13+[5]TONT20000JUIL2017!$C13</f>
        <v>28908.584164984422</v>
      </c>
      <c r="F12" s="45">
        <f t="shared" si="1"/>
        <v>55654.584164984422</v>
      </c>
      <c r="G12" s="50">
        <v>8000</v>
      </c>
      <c r="H12" s="59"/>
      <c r="I12" s="45">
        <f t="shared" si="2"/>
        <v>47654.584164984422</v>
      </c>
      <c r="J12" s="45">
        <f>[11]MVTSEPT!$C12</f>
        <v>450000</v>
      </c>
      <c r="K12" s="56">
        <f t="shared" si="0"/>
        <v>-316345.41583501559</v>
      </c>
      <c r="L12" s="32"/>
      <c r="M12" s="32">
        <f>[5]TONT20000DEC2016!R13+[5]TONT20000JANV2017!P13+[5]TONT20000FEV2017!P13+[5]TONT20000MARS2017!P13+[5]TONT20000AVRIL2017!P13+[5]TONT20000MAI2017!P13+[5]TONT20000JUIN2017!P13+[5]TONT20000JUIL2017!P13</f>
        <v>70000</v>
      </c>
      <c r="N12" s="32">
        <f>[8]EMPRUNT!$D12</f>
        <v>784000</v>
      </c>
    </row>
    <row r="13" spans="1:14" ht="15" customHeight="1" x14ac:dyDescent="0.25">
      <c r="A13" s="1" t="s">
        <v>88</v>
      </c>
      <c r="B13" s="45">
        <v>420000</v>
      </c>
      <c r="C13" s="45">
        <f>[5]TONT20000DEC2016!$D14</f>
        <v>53748</v>
      </c>
      <c r="D13" s="45">
        <f>+[5]TONT20000DEC2016!$L14+[5]TONT20000JANV2017!$J14+[5]TONT20000FEV2017!$J14+[5]TONT20000MARS2017!$J14+[5]TONT20000AVRIL2017!$J14+[5]TONT20000MAI2017!$J14+[5]TONT20000JUIN2017!$J14+[5]TONT20000JUIL2017!$J14</f>
        <v>24000</v>
      </c>
      <c r="E13" s="45">
        <f>[5]TONT20000DEC2016!$E14+[5]TONT20000JANV2017!$C14+[5]TONT20000FEV2017!$C14+[5]TONT20000MARS2017!$C14+[5]TONT20000AVRIL2017!$C14+[5]TONT20000MAI2017!$C14+[5]TONT20000JUIN2017!$C14+[5]TONT20000JUIL2017!$C14</f>
        <v>32269.94800500985</v>
      </c>
      <c r="F13" s="45">
        <f t="shared" si="1"/>
        <v>110017.94800500985</v>
      </c>
      <c r="G13" s="50">
        <v>0</v>
      </c>
      <c r="H13" s="59"/>
      <c r="I13" s="45">
        <f t="shared" si="2"/>
        <v>110017.94800500985</v>
      </c>
      <c r="J13" s="45">
        <f>[11]MVTSEPT!$C13</f>
        <v>450000</v>
      </c>
      <c r="K13" s="56">
        <f t="shared" si="0"/>
        <v>530017.94800500991</v>
      </c>
      <c r="L13" s="32"/>
      <c r="M13" s="32">
        <f>[5]TONT20000DEC2016!R14+[5]TONT20000JANV2017!P14+[5]TONT20000FEV2017!P14+[5]TONT20000MARS2017!P14+[5]TONT20000AVRIL2017!P14+[5]TONT20000MAI2017!P14+[5]TONT20000JUIN2017!P14+[5]TONT20000JUIL2017!P14</f>
        <v>0</v>
      </c>
      <c r="N13" s="32">
        <f>[8]EMPRUNT!$D13</f>
        <v>0</v>
      </c>
    </row>
    <row r="14" spans="1:14" ht="15" customHeight="1" x14ac:dyDescent="0.25">
      <c r="A14" s="1" t="s">
        <v>89</v>
      </c>
      <c r="B14" s="45">
        <v>420000</v>
      </c>
      <c r="C14" s="45">
        <f>[5]TONT20000DEC2016!$D15</f>
        <v>2522</v>
      </c>
      <c r="D14" s="45">
        <f>+[5]TONT20000DEC2016!$L15+[5]TONT20000JANV2017!$J15+[5]TONT20000FEV2017!$J15+[5]TONT20000MARS2017!$J15+[5]TONT20000AVRIL2017!$J15+[5]TONT20000MAI2017!$J15+[5]TONT20000JUIN2017!$J15+[5]TONT20000JUIL2017!$J15</f>
        <v>24000</v>
      </c>
      <c r="E14" s="45">
        <f>[5]TONT20000DEC2016!$E15+[5]TONT20000JANV2017!$C15+[5]TONT20000FEV2017!$C15+[5]TONT20000MARS2017!$C15+[5]TONT20000AVRIL2017!$C15+[5]TONT20000MAI2017!$C15+[5]TONT20000JUIN2017!$C15+[5]TONT20000JUIL2017!$C15</f>
        <v>28893.821106669737</v>
      </c>
      <c r="F14" s="45">
        <f t="shared" si="1"/>
        <v>55415.82110666974</v>
      </c>
      <c r="G14" s="50">
        <v>8000</v>
      </c>
      <c r="H14" s="59"/>
      <c r="I14" s="45">
        <f t="shared" si="2"/>
        <v>47415.82110666974</v>
      </c>
      <c r="J14" s="45">
        <f>[11]MVTSEPT!$C14</f>
        <v>450000</v>
      </c>
      <c r="K14" s="56">
        <f t="shared" si="0"/>
        <v>-826184.17889333027</v>
      </c>
      <c r="L14" s="32"/>
      <c r="M14" s="32">
        <f>[5]TONT20000DEC2016!R15+[5]TONT20000JANV2017!P15+[5]TONT20000FEV2017!P15+[5]TONT20000MARS2017!P15+[5]TONT20000AVRIL2017!P15+[5]TONT20000MAI2017!P15+[5]TONT20000JUIN2017!P15+[5]TONT20000JUIL2017!P15</f>
        <v>0</v>
      </c>
      <c r="N14" s="32">
        <f>[8]EMPRUNT!$D14</f>
        <v>1293600</v>
      </c>
    </row>
    <row r="15" spans="1:14" ht="15" customHeight="1" x14ac:dyDescent="0.25">
      <c r="A15" s="1" t="s">
        <v>90</v>
      </c>
      <c r="B15" s="45">
        <v>420000</v>
      </c>
      <c r="C15" s="45"/>
      <c r="D15" s="45">
        <f>+[5]TONT20000DEC2016!$L16+[5]TONT20000JANV2017!$J16+[5]TONT20000FEV2017!$J16+[5]TONT20000MARS2017!$J16+[5]TONT20000AVRIL2017!$J16+[5]TONT20000MAI2017!$J16+[5]TONT20000JUIN2017!$J16+[5]TONT20000JUIL2017!$J16</f>
        <v>90000</v>
      </c>
      <c r="E15" s="45">
        <f>[5]TONT20000DEC2016!$E16+[5]TONT20000JANV2017!$C16+[5]TONT20000FEV2017!$C16+[5]TONT20000MARS2017!$C16+[5]TONT20000AVRIL2017!$C16+[5]TONT20000MAI2017!$C16+[5]TONT20000JUIN2017!$C16+[5]TONT20000JUIL2017!$C16</f>
        <v>33077.43456961499</v>
      </c>
      <c r="F15" s="45">
        <f t="shared" si="1"/>
        <v>123077.434569615</v>
      </c>
      <c r="G15" s="50">
        <v>8100</v>
      </c>
      <c r="H15" s="59"/>
      <c r="I15" s="45"/>
      <c r="J15" s="45">
        <f>[11]MVTSEPT!$C15</f>
        <v>450000</v>
      </c>
      <c r="K15" s="56">
        <f t="shared" si="0"/>
        <v>420000</v>
      </c>
      <c r="L15" s="32"/>
      <c r="M15" s="32">
        <f>[5]TONT20000DEC2016!R16+[5]TONT20000JANV2017!P16+[5]TONT20000FEV2017!P16+[5]TONT20000MARS2017!P16+[5]TONT20000AVRIL2017!P16+[5]TONT20000MAI2017!P16+[5]TONT20000JUIN2017!P16+[5]TONT20000JUIL2017!P16</f>
        <v>0</v>
      </c>
      <c r="N15" s="32">
        <f>[8]EMPRUNT!$D15</f>
        <v>0</v>
      </c>
    </row>
    <row r="16" spans="1:14" ht="15" customHeight="1" x14ac:dyDescent="0.25">
      <c r="A16" s="4" t="s">
        <v>91</v>
      </c>
      <c r="B16" s="45">
        <v>50000</v>
      </c>
      <c r="C16" s="45">
        <f>[5]TONT20000DEC2016!$D17</f>
        <v>260</v>
      </c>
      <c r="D16" s="45"/>
      <c r="E16" s="45">
        <f>[5]TONT20000DEC2016!$E17+[5]TONT20000JANV2017!$C17+[5]TONT20000FEV2017!$C17+[5]TONT20000MARS2017!$C17+[5]TONT20000AVRIL2017!$C17+[5]TONT20000MAI2017!$C17+[5]TONT20000JUIN2017!$C17+[5]TONT20000JUIL2017!$C17</f>
        <v>3312.4612093580217</v>
      </c>
      <c r="F16" s="45">
        <f t="shared" si="1"/>
        <v>3572.4612093580217</v>
      </c>
      <c r="G16" s="50">
        <v>0</v>
      </c>
      <c r="H16" s="59"/>
      <c r="I16" s="45"/>
      <c r="J16" s="45">
        <f>[11]MVTSEPT!$C16</f>
        <v>80000</v>
      </c>
      <c r="K16" s="56">
        <f t="shared" si="0"/>
        <v>50000</v>
      </c>
      <c r="L16" s="32"/>
      <c r="M16" s="32">
        <f>[5]TONT20000DEC2016!R17+[5]TONT20000JANV2017!P17+[5]TONT20000FEV2017!P17+[5]TONT20000MARS2017!P17+[5]TONT20000AVRIL2017!P17+[5]TONT20000MAI2017!P17+[5]TONT20000JUIN2017!P17+[5]TONT20000JUIL2017!P17</f>
        <v>0</v>
      </c>
      <c r="N16" s="32">
        <f>[8]EMPRUNT!$D16</f>
        <v>0</v>
      </c>
    </row>
    <row r="17" spans="1:14" ht="15" customHeight="1" x14ac:dyDescent="0.25">
      <c r="A17" s="1" t="s">
        <v>92</v>
      </c>
      <c r="B17" s="45">
        <v>420000</v>
      </c>
      <c r="C17" s="45">
        <f>[5]TONT20000DEC2016!$D18</f>
        <v>112685</v>
      </c>
      <c r="D17" s="45">
        <f>+[5]TONT20000DEC2016!$L18+[5]TONT20000JANV2017!$J18+[5]TONT20000FEV2017!$J18+[5]TONT20000MARS2017!$J18+[5]TONT20000AVRIL2017!$J18+[5]TONT20000MAI2017!$J18+[5]TONT20000JUIN2017!$J18+[5]TONT20000JUIL2017!$J18</f>
        <v>24000</v>
      </c>
      <c r="E17" s="45">
        <f>[5]TONT20000DEC2016!$E18+[5]TONT20000JANV2017!$C18+[5]TONT20000FEV2017!$C18+[5]TONT20000MARS2017!$C18+[5]TONT20000AVRIL2017!$C18+[5]TONT20000MAI2017!$C18+[5]TONT20000JUIN2017!$C18+[5]TONT20000JUIL2017!$C18</f>
        <v>36154.280004531</v>
      </c>
      <c r="F17" s="45">
        <f t="shared" si="1"/>
        <v>172839.280004531</v>
      </c>
      <c r="G17" s="50">
        <v>20000</v>
      </c>
      <c r="H17" s="59">
        <v>70000</v>
      </c>
      <c r="I17" s="45">
        <f t="shared" si="2"/>
        <v>82839.280004531</v>
      </c>
      <c r="J17" s="45">
        <f>[11]MVTSEPT!$C17</f>
        <v>450000</v>
      </c>
      <c r="K17" s="56">
        <f t="shared" si="0"/>
        <v>-281160.71999546897</v>
      </c>
      <c r="L17" s="32"/>
      <c r="M17" s="32">
        <f>[5]TONT20000DEC2016!R18+[5]TONT20000JANV2017!P18+[5]TONT20000FEV2017!P18+[5]TONT20000MARS2017!P18+[5]TONT20000AVRIL2017!P18+[5]TONT20000MAI2017!P18+[5]TONT20000JUIN2017!P18+[5]TONT20000JUIL2017!P18</f>
        <v>84000</v>
      </c>
      <c r="N17" s="32">
        <f>[8]EMPRUNT!$D17</f>
        <v>784000</v>
      </c>
    </row>
    <row r="18" spans="1:14" ht="15" customHeight="1" x14ac:dyDescent="0.25">
      <c r="A18" s="4" t="s">
        <v>93</v>
      </c>
      <c r="B18" s="45">
        <v>357000</v>
      </c>
      <c r="C18" s="45">
        <f>[5]TONT20000DEC2016!$D19</f>
        <v>177</v>
      </c>
      <c r="D18" s="45">
        <f>+[5]TONT20000DEC2016!$L19+[5]TONT20000JANV2017!$J19+[5]TONT20000FEV2017!$J19+[5]TONT20000MARS2017!$J19+[5]TONT20000AVRIL2017!$J19+[5]TONT20000MAI2017!$J19+[5]TONT20000JUIN2017!$J19+[5]TONT20000JUIL2017!$J19</f>
        <v>24000</v>
      </c>
      <c r="E18" s="45">
        <f>[5]TONT20000DEC2016!$E19+[5]TONT20000JANV2017!$C19+[5]TONT20000FEV2017!$C19+[5]TONT20000MARS2017!$C19+[5]TONT20000AVRIL2017!$C19+[5]TONT20000MAI2017!$C19+[5]TONT20000JUIN2017!$C19+[5]TONT20000JUIL2017!$C19</f>
        <v>24587.160188931975</v>
      </c>
      <c r="F18" s="45">
        <f t="shared" si="1"/>
        <v>48764.160188931972</v>
      </c>
      <c r="G18" s="50">
        <v>100</v>
      </c>
      <c r="H18" s="59"/>
      <c r="I18" s="45">
        <f t="shared" si="2"/>
        <v>48664.160188931972</v>
      </c>
      <c r="J18" s="45">
        <f>[11]MVTSEPT!$C18</f>
        <v>387000</v>
      </c>
      <c r="K18" s="56">
        <f t="shared" si="0"/>
        <v>405664.16018893197</v>
      </c>
      <c r="L18" s="32"/>
      <c r="M18" s="32">
        <f>[5]TONT20000DEC2016!R19+[5]TONT20000JANV2017!P19+[5]TONT20000FEV2017!P19+[5]TONT20000MARS2017!P19+[5]TONT20000AVRIL2017!P19+[5]TONT20000MAI2017!P19+[5]TONT20000JUIN2017!P19+[5]TONT20000JUIL2017!P19</f>
        <v>0</v>
      </c>
      <c r="N18" s="32">
        <f>[8]EMPRUNT!$D18</f>
        <v>0</v>
      </c>
    </row>
    <row r="19" spans="1:14" ht="15" customHeight="1" x14ac:dyDescent="0.25">
      <c r="A19" s="1" t="s">
        <v>94</v>
      </c>
      <c r="B19" s="45">
        <v>420000</v>
      </c>
      <c r="C19" s="45">
        <f>[5]TONT20000DEC2016!$D20</f>
        <v>705425</v>
      </c>
      <c r="D19" s="45">
        <f>+[5]TONT20000DEC2016!$L20+[5]TONT20000JANV2017!$J20+[5]TONT20000FEV2017!$J20+[5]TONT20000MARS2017!$J20+[5]TONT20000AVRIL2017!$J20+[5]TONT20000MAI2017!$J20+[5]TONT20000JUIN2017!$J20+[5]TONT20000JUIL2017!$J20</f>
        <v>2048000</v>
      </c>
      <c r="E19" s="45">
        <f>[5]TONT20000DEC2016!$E20+[5]TONT20000JANV2017!$C20+[5]TONT20000FEV2017!$C20+[5]TONT20000MARS2017!$C20+[5]TONT20000AVRIL2017!$C20+[5]TONT20000MAI2017!$C20+[5]TONT20000JUIN2017!$C20+[5]TONT20000JUIL2017!$C20</f>
        <v>158003.90505438455</v>
      </c>
      <c r="F19" s="45">
        <f t="shared" si="1"/>
        <v>2911428.9050543844</v>
      </c>
      <c r="G19" s="50">
        <v>0</v>
      </c>
      <c r="H19" s="59">
        <v>1000000</v>
      </c>
      <c r="I19" s="45">
        <f t="shared" si="2"/>
        <v>1911428.9050543844</v>
      </c>
      <c r="J19" s="45">
        <f>[11]MVTSEPT!$C19</f>
        <v>450000</v>
      </c>
      <c r="K19" s="56">
        <f t="shared" si="0"/>
        <v>2331428.9050543844</v>
      </c>
      <c r="L19" s="32"/>
      <c r="M19" s="32">
        <f>[5]TONT20000DEC2016!R20+[5]TONT20000JANV2017!P20+[5]TONT20000FEV2017!P20+[5]TONT20000MARS2017!P20+[5]TONT20000AVRIL2017!P20+[5]TONT20000MAI2017!P20+[5]TONT20000JUIN2017!P20+[5]TONT20000JUIL2017!P20</f>
        <v>0</v>
      </c>
      <c r="N19" s="32">
        <f>[8]EMPRUNT!$D19</f>
        <v>0</v>
      </c>
    </row>
    <row r="20" spans="1:14" x14ac:dyDescent="0.25">
      <c r="A20" s="1" t="s">
        <v>95</v>
      </c>
      <c r="B20" s="45">
        <v>420000</v>
      </c>
      <c r="C20" s="45">
        <f>[5]TONT20000DEC2016!$D21</f>
        <v>2357</v>
      </c>
      <c r="D20" s="45">
        <f>+[5]TONT20000DEC2016!$L21+[5]TONT20000JANV2017!$J21+[5]TONT20000FEV2017!$J21+[5]TONT20000MARS2017!$J21+[5]TONT20000AVRIL2017!$J21+[5]TONT20000MAI2017!$J21+[5]TONT20000JUIN2017!$J21+[5]TONT20000JUIL2017!$J21</f>
        <v>24000</v>
      </c>
      <c r="E20" s="45">
        <f>[5]TONT20000DEC2016!$E21+[5]TONT20000JANV2017!$C21+[5]TONT20000FEV2017!$C21+[5]TONT20000MARS2017!$C21+[5]TONT20000AVRIL2017!$C21+[5]TONT20000MAI2017!$C21+[5]TONT20000JUIN2017!$C21+[5]TONT20000JUIL2017!$C21</f>
        <v>28882.946532464721</v>
      </c>
      <c r="F20" s="45">
        <f t="shared" si="1"/>
        <v>55239.946532464717</v>
      </c>
      <c r="G20" s="50">
        <v>0</v>
      </c>
      <c r="H20" s="59">
        <v>8000</v>
      </c>
      <c r="I20" s="45">
        <f t="shared" si="2"/>
        <v>47239.946532464717</v>
      </c>
      <c r="J20" s="45">
        <f>[11]MVTSEPT!$C20</f>
        <v>450000</v>
      </c>
      <c r="K20" s="56">
        <f t="shared" si="0"/>
        <v>-632760.0534675353</v>
      </c>
      <c r="L20" s="32"/>
      <c r="M20" s="32">
        <f>[5]TONT20000DEC2016!R21+[5]TONT20000JANV2017!P21+[5]TONT20000FEV2017!P21+[5]TONT20000MARS2017!P21+[5]TONT20000AVRIL2017!P21+[5]TONT20000MAI2017!P21+[5]TONT20000JUIN2017!P21+[5]TONT20000JUIL2017!P21</f>
        <v>0</v>
      </c>
      <c r="N20" s="32">
        <f>[8]EMPRUNT!$D20</f>
        <v>1100000</v>
      </c>
    </row>
    <row r="21" spans="1:14" x14ac:dyDescent="0.25">
      <c r="A21" s="1" t="s">
        <v>96</v>
      </c>
      <c r="B21" s="45">
        <v>420000</v>
      </c>
      <c r="C21" s="45">
        <f>[5]TONT20000DEC2016!$D22</f>
        <v>3048</v>
      </c>
      <c r="D21" s="45">
        <f>+[5]TONT20000DEC2016!$L22+[5]TONT20000JANV2017!$J22+[5]TONT20000FEV2017!$J22+[5]TONT20000MARS2017!$J22+[5]TONT20000AVRIL2017!$J22+[5]TONT20000MAI2017!$J22+[5]TONT20000JUIN2017!$J22+[5]TONT20000JUIL2017!$J22</f>
        <v>24000</v>
      </c>
      <c r="E21" s="45">
        <f>[5]TONT20000DEC2016!$E22+[5]TONT20000JANV2017!$C22+[5]TONT20000FEV2017!$C22+[5]TONT20000MARS2017!$C22+[5]TONT20000AVRIL2017!$C22+[5]TONT20000MAI2017!$C22+[5]TONT20000JUIN2017!$C22+[5]TONT20000JUIL2017!$C22</f>
        <v>28860.893492286523</v>
      </c>
      <c r="F21" s="45">
        <f t="shared" si="1"/>
        <v>55908.893492286523</v>
      </c>
      <c r="G21" s="50">
        <v>2100</v>
      </c>
      <c r="H21" s="59"/>
      <c r="I21" s="45">
        <f t="shared" si="2"/>
        <v>53808.893492286523</v>
      </c>
      <c r="J21" s="45">
        <f>[11]MVTSEPT!$C21</f>
        <v>450000</v>
      </c>
      <c r="K21" s="56">
        <f t="shared" si="0"/>
        <v>-118191.1065077135</v>
      </c>
      <c r="L21" s="32"/>
      <c r="M21" s="32">
        <f>[5]TONT20000DEC2016!R22+[5]TONT20000JANV2017!P22+[5]TONT20000FEV2017!P22+[5]TONT20000MARS2017!P22+[5]TONT20000AVRIL2017!P22+[5]TONT20000MAI2017!P22+[5]TONT20000JUIN2017!P22+[5]TONT20000JUIL2017!P22</f>
        <v>15000</v>
      </c>
      <c r="N21" s="32">
        <f>[8]EMPRUNT!$D21</f>
        <v>592000</v>
      </c>
    </row>
    <row r="22" spans="1:14" x14ac:dyDescent="0.25">
      <c r="A22" s="1" t="s">
        <v>97</v>
      </c>
      <c r="B22" s="45">
        <v>420000</v>
      </c>
      <c r="C22" s="45">
        <f>[5]TONT20000DEC2016!$D23</f>
        <v>2686</v>
      </c>
      <c r="D22" s="45">
        <f>+[5]TONT20000DEC2016!$L23+[5]TONT20000JANV2017!$J23+[5]TONT20000FEV2017!$J23+[5]TONT20000MARS2017!$J23+[5]TONT20000AVRIL2017!$J23+[5]TONT20000MAI2017!$J23+[5]TONT20000JUIN2017!$J23+[5]TONT20000JUIL2017!$J23</f>
        <v>24000</v>
      </c>
      <c r="E22" s="45">
        <f>[5]TONT20000DEC2016!$E23+[5]TONT20000JANV2017!$C23+[5]TONT20000FEV2017!$C23+[5]TONT20000MARS2017!$C23+[5]TONT20000AVRIL2017!$C23+[5]TONT20000MAI2017!$C23+[5]TONT20000JUIN2017!$C23+[5]TONT20000JUIL2017!$C23</f>
        <v>28904.629774364417</v>
      </c>
      <c r="F22" s="45">
        <f t="shared" si="1"/>
        <v>55590.629774364417</v>
      </c>
      <c r="G22" s="50">
        <v>16500</v>
      </c>
      <c r="H22" s="59"/>
      <c r="I22" s="45">
        <f t="shared" si="2"/>
        <v>39090.629774364417</v>
      </c>
      <c r="J22" s="45">
        <f>[11]MVTSEPT!$C22</f>
        <v>450000</v>
      </c>
      <c r="K22" s="56">
        <f t="shared" si="0"/>
        <v>-436909.37022563559</v>
      </c>
      <c r="L22" s="32"/>
      <c r="M22" s="32">
        <f>[5]TONT20000DEC2016!R23+[5]TONT20000JANV2017!P23+[5]TONT20000FEV2017!P23+[5]TONT20000MARS2017!P23+[5]TONT20000AVRIL2017!P23+[5]TONT20000MAI2017!P23+[5]TONT20000JUIN2017!P23+[5]TONT20000JUIL2017!P23</f>
        <v>0</v>
      </c>
      <c r="N22" s="32">
        <f>[8]EMPRUNT!$D22</f>
        <v>896000</v>
      </c>
    </row>
    <row r="23" spans="1:14" ht="16.5" customHeight="1" x14ac:dyDescent="0.25">
      <c r="A23" s="1" t="s">
        <v>98</v>
      </c>
      <c r="B23" s="45">
        <v>420000</v>
      </c>
      <c r="C23" s="45">
        <f>[5]TONT20000DEC2016!$D24</f>
        <v>3818</v>
      </c>
      <c r="D23" s="45">
        <f>+[5]TONT20000DEC2016!$L24+[5]TONT20000JANV2017!$J24+[5]TONT20000FEV2017!$J24+[5]TONT20000MARS2017!$J24+[5]TONT20000AVRIL2017!$J24+[5]TONT20000MAI2017!$J24+[5]TONT20000JUIN2017!$J24+[5]TONT20000JUIL2017!$J24</f>
        <v>24000</v>
      </c>
      <c r="E23" s="45">
        <f>[5]TONT20000DEC2016!$E24+[5]TONT20000JANV2017!$C24+[5]TONT20000FEV2017!$C24+[5]TONT20000MARS2017!$C24+[5]TONT20000AVRIL2017!$C24+[5]TONT20000MAI2017!$C24+[5]TONT20000JUIN2017!$C24+[5]TONT20000JUIL2017!$C24</f>
        <v>28979.235944061853</v>
      </c>
      <c r="F23" s="45">
        <f t="shared" si="1"/>
        <v>56797.235944061853</v>
      </c>
      <c r="G23" s="50">
        <v>20000</v>
      </c>
      <c r="H23" s="59"/>
      <c r="I23" s="45">
        <f t="shared" si="2"/>
        <v>36797.235944061853</v>
      </c>
      <c r="J23" s="45">
        <f>[11]MVTSEPT!$C23</f>
        <v>450000</v>
      </c>
      <c r="K23" s="56">
        <f t="shared" si="0"/>
        <v>-663202.76405593823</v>
      </c>
      <c r="L23" s="32"/>
      <c r="M23" s="32">
        <f>[5]TONT20000DEC2016!R24+[5]TONT20000JANV2017!P24+[5]TONT20000FEV2017!P24+[5]TONT20000MARS2017!P24+[5]TONT20000AVRIL2017!P24+[5]TONT20000MAI2017!P24+[5]TONT20000JUIN2017!P24+[5]TONT20000JUIL2017!P24</f>
        <v>120000</v>
      </c>
      <c r="N23" s="32">
        <f>[8]EMPRUNT!$D23</f>
        <v>1120000</v>
      </c>
    </row>
    <row r="24" spans="1:14" x14ac:dyDescent="0.25">
      <c r="A24" s="1" t="s">
        <v>99</v>
      </c>
      <c r="B24" s="45">
        <v>420000</v>
      </c>
      <c r="C24" s="45">
        <f>[5]TONT20000DEC2016!$D25</f>
        <v>2652</v>
      </c>
      <c r="D24" s="45">
        <f>+[5]TONT20000DEC2016!$L25+[5]TONT20000JANV2017!$J25+[5]TONT20000FEV2017!$J25+[5]TONT20000MARS2017!$J25+[5]TONT20000AVRIL2017!$J25+[5]TONT20000MAI2017!$J25+[5]TONT20000JUIN2017!$J25+[5]TONT20000JUIL2017!$J25</f>
        <v>21000</v>
      </c>
      <c r="E24" s="45">
        <f>[5]TONT20000DEC2016!$E25+[5]TONT20000JANV2017!$C25+[5]TONT20000FEV2017!$C25+[5]TONT20000MARS2017!$C25+[5]TONT20000AVRIL2017!$C25+[5]TONT20000MAI2017!$C25+[5]TONT20000JUIN2017!$C25+[5]TONT20000JUIL2017!$C25</f>
        <v>28854.896495311616</v>
      </c>
      <c r="F24" s="45">
        <f t="shared" si="1"/>
        <v>52506.896495311616</v>
      </c>
      <c r="G24" s="50">
        <v>0</v>
      </c>
      <c r="H24" s="59">
        <v>5000</v>
      </c>
      <c r="I24" s="45">
        <f t="shared" si="2"/>
        <v>47506.896495311616</v>
      </c>
      <c r="J24" s="45">
        <f>[11]MVTSEPT!$C24</f>
        <v>450000</v>
      </c>
      <c r="K24" s="56">
        <f t="shared" si="0"/>
        <v>313006.89649531164</v>
      </c>
      <c r="L24" s="32"/>
      <c r="M24" s="32">
        <f>[5]TONT20000DEC2016!R25+[5]TONT20000JANV2017!P25+[5]TONT20000FEV2017!P25+[5]TONT20000MARS2017!P25+[5]TONT20000AVRIL2017!P25+[5]TONT20000MAI2017!P25+[5]TONT20000JUIN2017!P25+[5]TONT20000JUIL2017!P25</f>
        <v>0</v>
      </c>
      <c r="N24" s="32">
        <f>[8]EMPRUNT!$D24</f>
        <v>154500</v>
      </c>
    </row>
    <row r="25" spans="1:14" x14ac:dyDescent="0.25">
      <c r="A25" s="1" t="s">
        <v>100</v>
      </c>
      <c r="B25" s="45">
        <v>420000</v>
      </c>
      <c r="C25" s="45">
        <f>[5]TONT20000DEC2016!$D26</f>
        <v>2741</v>
      </c>
      <c r="D25" s="45">
        <f>+[5]TONT20000DEC2016!$L26+[5]TONT20000JANV2017!$J26+[5]TONT20000FEV2017!$J26+[5]TONT20000MARS2017!$J26+[5]TONT20000AVRIL2017!$J26+[5]TONT20000MAI2017!$J26+[5]TONT20000JUIN2017!$J26+[5]TONT20000JUIL2017!$J26</f>
        <v>24000</v>
      </c>
      <c r="E25" s="45">
        <f>[5]TONT20000DEC2016!$E26+[5]TONT20000JANV2017!$C26+[5]TONT20000FEV2017!$C26+[5]TONT20000MARS2017!$C26+[5]TONT20000AVRIL2017!$C26+[5]TONT20000MAI2017!$C26+[5]TONT20000JUIN2017!$C26+[5]TONT20000JUIL2017!$C26</f>
        <v>28908.254632432756</v>
      </c>
      <c r="F25" s="45">
        <f t="shared" si="1"/>
        <v>55649.254632432756</v>
      </c>
      <c r="G25" s="50">
        <v>100</v>
      </c>
      <c r="H25" s="59">
        <v>8000</v>
      </c>
      <c r="I25" s="45">
        <f t="shared" si="2"/>
        <v>47549.254632432756</v>
      </c>
      <c r="J25" s="45">
        <f>[11]MVTSEPT!$C25</f>
        <v>450000</v>
      </c>
      <c r="K25" s="56">
        <f t="shared" si="0"/>
        <v>467549.25463243277</v>
      </c>
      <c r="L25" s="32"/>
      <c r="M25" s="32">
        <f>[5]TONT20000DEC2016!R26+[5]TONT20000JANV2017!P26+[5]TONT20000FEV2017!P26+[5]TONT20000MARS2017!P26+[5]TONT20000AVRIL2017!P26+[5]TONT20000MAI2017!P26+[5]TONT20000JUIN2017!P26+[5]TONT20000JUIL2017!P26</f>
        <v>0</v>
      </c>
      <c r="N25" s="32">
        <f>[8]EMPRUNT!$D25</f>
        <v>0</v>
      </c>
    </row>
    <row r="26" spans="1:14" x14ac:dyDescent="0.25">
      <c r="A26" s="1" t="s">
        <v>101</v>
      </c>
      <c r="B26" s="45">
        <v>420000</v>
      </c>
      <c r="C26" s="45">
        <f>[5]TONT20000DEC2016!$D27</f>
        <v>2818</v>
      </c>
      <c r="D26" s="45">
        <f>+[5]TONT20000DEC2016!$L27+[5]TONT20000JANV2017!$J27+[5]TONT20000FEV2017!$J27+[5]TONT20000MARS2017!$J27+[5]TONT20000AVRIL2017!$J27+[5]TONT20000MAI2017!$J27+[5]TONT20000JUIN2017!$J27+[5]TONT20000JUIL2017!$J27</f>
        <v>64000</v>
      </c>
      <c r="E26" s="45">
        <f>[5]TONT20000DEC2016!$E27+[5]TONT20000JANV2017!$C27+[5]TONT20000FEV2017!$C27+[5]TONT20000MARS2017!$C27+[5]TONT20000AVRIL2017!$C27+[5]TONT20000MAI2017!$C27+[5]TONT20000JUIN2017!$C27+[5]TONT20000JUIL2017!$C27</f>
        <v>30658.113679677856</v>
      </c>
      <c r="F26" s="45">
        <f t="shared" si="1"/>
        <v>97476.113679677859</v>
      </c>
      <c r="G26" s="50">
        <v>0</v>
      </c>
      <c r="H26" s="59">
        <v>50000</v>
      </c>
      <c r="I26" s="45">
        <f t="shared" si="2"/>
        <v>47476.113679677859</v>
      </c>
      <c r="J26" s="45">
        <f>[11]MVTSEPT!$C26</f>
        <v>450000</v>
      </c>
      <c r="K26" s="56">
        <f t="shared" si="0"/>
        <v>-204523.88632032217</v>
      </c>
      <c r="L26" s="32"/>
      <c r="M26" s="32">
        <f>[5]TONT20000DEC2016!R27+[5]TONT20000JANV2017!P27+[5]TONT20000FEV2017!P27+[5]TONT20000MARS2017!P27+[5]TONT20000AVRIL2017!P27+[5]TONT20000MAI2017!P27+[5]TONT20000JUIN2017!P27+[5]TONT20000JUIL2017!P27</f>
        <v>84000</v>
      </c>
      <c r="N26" s="32">
        <f>[8]EMPRUNT!$D26</f>
        <v>672000</v>
      </c>
    </row>
    <row r="27" spans="1:14" x14ac:dyDescent="0.25">
      <c r="A27" s="1" t="s">
        <v>102</v>
      </c>
      <c r="B27" s="45">
        <v>420000</v>
      </c>
      <c r="C27" s="45">
        <f>[5]TONT20000DEC2016!$D28</f>
        <v>0</v>
      </c>
      <c r="D27" s="45"/>
      <c r="E27" s="45">
        <f>[5]TONT20000DEC2016!$E28+[5]TONT20000JANV2017!$C28+[5]TONT20000FEV2017!$C28+[5]TONT20000MARS2017!$C28+[5]TONT20000AVRIL2017!$C28+[5]TONT20000MAI2017!$C28+[5]TONT20000JUIN2017!$C28+[5]TONT20000JUIL2017!$C28</f>
        <v>27680.73434003918</v>
      </c>
      <c r="F27" s="45">
        <f t="shared" si="1"/>
        <v>27680.73434003918</v>
      </c>
      <c r="G27" s="50">
        <v>0</v>
      </c>
      <c r="H27" s="59"/>
      <c r="I27" s="45">
        <f t="shared" si="2"/>
        <v>27680.73434003918</v>
      </c>
      <c r="J27" s="45">
        <f>[11]MVTSEPT!$C27</f>
        <v>450000</v>
      </c>
      <c r="K27" s="56">
        <f t="shared" si="0"/>
        <v>447680.7343400392</v>
      </c>
      <c r="L27" s="32"/>
      <c r="M27" s="32"/>
      <c r="N27" s="32">
        <f>[8]EMPRUNT!$D27</f>
        <v>0</v>
      </c>
    </row>
    <row r="28" spans="1:14" x14ac:dyDescent="0.25">
      <c r="A28" s="1" t="s">
        <v>103</v>
      </c>
      <c r="B28" s="45">
        <v>420000</v>
      </c>
      <c r="C28" s="45">
        <f>[5]TONT20000DEC2016!$D29</f>
        <v>3250</v>
      </c>
      <c r="D28" s="45">
        <f>+[5]TONT20000DEC2016!$L29+[5]TONT20000JANV2017!$J29+[5]TONT20000FEV2017!$J29+[5]TONT20000MARS2017!$J29+[5]TONT20000AVRIL2017!$J29+[5]TONT20000MAI2017!$J29+[5]TONT20000JUIN2017!$J29+[5]TONT20000JUIL2017!$J29</f>
        <v>33000</v>
      </c>
      <c r="E28" s="45">
        <f>[5]TONT20000DEC2016!$E29+[5]TONT20000JANV2017!$C29+[5]TONT20000FEV2017!$C29+[5]TONT20000MARS2017!$C29+[5]TONT20000AVRIL2017!$C29+[5]TONT20000MAI2017!$C29+[5]TONT20000JUIN2017!$C29+[5]TONT20000JUIL2017!$C29</f>
        <v>29529.518159791282</v>
      </c>
      <c r="F28" s="45">
        <f t="shared" si="1"/>
        <v>65779.518159791274</v>
      </c>
      <c r="G28" s="50">
        <v>18100</v>
      </c>
      <c r="H28" s="59"/>
      <c r="I28" s="45">
        <f t="shared" si="2"/>
        <v>47679.518159791274</v>
      </c>
      <c r="J28" s="45">
        <f>[11]MVTSEPT!$C28</f>
        <v>450000</v>
      </c>
      <c r="K28" s="56">
        <f t="shared" si="0"/>
        <v>-652320.48184020875</v>
      </c>
      <c r="L28" s="32"/>
      <c r="M28" s="32">
        <f>[5]TONT20000DEC2016!R29+[5]TONT20000JANV2017!P29+[5]TONT20000FEV2017!P29+[5]TONT20000MARS2017!P29+[5]TONT20000AVRIL2017!P29+[5]TONT20000MAI2017!P29+[5]TONT20000JUIN2017!P29+[5]TONT20000JUIL2017!P29</f>
        <v>120000</v>
      </c>
      <c r="N28" s="32">
        <f>[8]EMPRUNT!$D28</f>
        <v>1120000</v>
      </c>
    </row>
    <row r="29" spans="1:14" x14ac:dyDescent="0.25">
      <c r="A29" s="4" t="s">
        <v>104</v>
      </c>
      <c r="B29" s="45">
        <v>0</v>
      </c>
      <c r="C29" s="45">
        <f>[5]TONT20000DEC2016!$D30</f>
        <v>106</v>
      </c>
      <c r="D29" s="45"/>
      <c r="E29" s="45">
        <f>[5]TONT20000DEC2016!$E30+[5]TONT20000JANV2017!$C30+[5]TONT20000FEV2017!$C30+[5]TONT20000MARS2017!$C30+[5]TONT20000AVRIL2017!$C30+[5]TONT20000MAI2017!$C30+[5]TONT20000JUIN2017!$C30+[5]TONT20000JUIL2017!$C30</f>
        <v>969.65037142712367</v>
      </c>
      <c r="F29" s="45">
        <f t="shared" si="1"/>
        <v>1075.6503714271237</v>
      </c>
      <c r="G29" s="50">
        <v>5250</v>
      </c>
      <c r="H29" s="59"/>
      <c r="I29" s="45">
        <f t="shared" si="2"/>
        <v>-4174.3496285728761</v>
      </c>
      <c r="J29" s="45">
        <f>[11]MVTSEPT!$C29</f>
        <v>30000</v>
      </c>
      <c r="K29" s="56">
        <f t="shared" si="0"/>
        <v>-4174.3496285728761</v>
      </c>
      <c r="L29" s="32"/>
      <c r="M29" s="32">
        <f>[5]TONT20000DEC2016!R30+[5]TONT20000JANV2017!P30+[5]TONT20000FEV2017!P30+[5]TONT20000MARS2017!P30+[5]TONT20000AVRIL2017!P30+[5]TONT20000MAI2017!P30+[5]TONT20000JUIN2017!P30+[5]TONT20000JUIL2017!P30</f>
        <v>0</v>
      </c>
      <c r="N29" s="32">
        <f>[8]EMPRUNT!$D29</f>
        <v>0</v>
      </c>
    </row>
    <row r="30" spans="1:14" x14ac:dyDescent="0.25">
      <c r="A30" s="1" t="s">
        <v>105</v>
      </c>
      <c r="B30" s="45">
        <v>420000</v>
      </c>
      <c r="C30" s="45">
        <f>[5]TONT20000DEC2016!$D31</f>
        <v>40133</v>
      </c>
      <c r="D30" s="45">
        <f>+[5]TONT20000DEC2016!$L31+[5]TONT20000JANV2017!$J31+[5]TONT20000FEV2017!$J31+[5]TONT20000MARS2017!$J31+[5]TONT20000AVRIL2017!$J31+[5]TONT20000MAI2017!$J31+[5]TONT20000JUIN2017!$J31+[5]TONT20000JUIL2017!$J31</f>
        <v>24000</v>
      </c>
      <c r="E30" s="45">
        <f>[5]TONT20000DEC2016!$E31+[5]TONT20000JANV2017!$C31+[5]TONT20000FEV2017!$C31+[5]TONT20000MARS2017!$C31+[5]TONT20000AVRIL2017!$C31+[5]TONT20000MAI2017!$C31+[5]TONT20000JUIN2017!$C31+[5]TONT20000JUIL2017!$C31</f>
        <v>31372.630866820244</v>
      </c>
      <c r="F30" s="45">
        <f t="shared" si="1"/>
        <v>95505.63086682024</v>
      </c>
      <c r="G30" s="50">
        <v>2300</v>
      </c>
      <c r="H30" s="59"/>
      <c r="I30" s="45">
        <f t="shared" si="2"/>
        <v>93205.63086682024</v>
      </c>
      <c r="J30" s="45">
        <f>[11]MVTSEPT!$C30</f>
        <v>450000</v>
      </c>
      <c r="K30" s="56">
        <f t="shared" si="0"/>
        <v>513205.63086682023</v>
      </c>
      <c r="L30" s="32"/>
      <c r="M30" s="32">
        <f>[5]TONT20000DEC2016!R31+[5]TONT20000JANV2017!P31+[5]TONT20000FEV2017!P31+[5]TONT20000MARS2017!P31+[5]TONT20000AVRIL2017!P31+[5]TONT20000MAI2017!P31+[5]TONT20000JUIN2017!P31+[5]TONT20000JUIL2017!P31</f>
        <v>0</v>
      </c>
      <c r="N30" s="32">
        <f>[8]EMPRUNT!$D30</f>
        <v>0</v>
      </c>
    </row>
    <row r="31" spans="1:14" x14ac:dyDescent="0.25">
      <c r="A31" s="1" t="s">
        <v>106</v>
      </c>
      <c r="B31" s="45">
        <v>420000</v>
      </c>
      <c r="C31" s="45">
        <f>[5]TONT20000DEC2016!$D32</f>
        <v>2773</v>
      </c>
      <c r="D31" s="45">
        <f>+[5]TONT20000DEC2016!$L32+[5]TONT20000JANV2017!$J32+[5]TONT20000FEV2017!$J32+[5]TONT20000MARS2017!$J32+[5]TONT20000AVRIL2017!$J32+[5]TONT20000MAI2017!$J32+[5]TONT20000JUIN2017!$J32+[5]TONT20000JUIL2017!$J32</f>
        <v>29000</v>
      </c>
      <c r="E31" s="45">
        <f>[5]TONT20000DEC2016!$E32+[5]TONT20000JANV2017!$C32+[5]TONT20000FEV2017!$C32+[5]TONT20000MARS2017!$C32+[5]TONT20000AVRIL2017!$C32+[5]TONT20000MAI2017!$C32+[5]TONT20000JUIN2017!$C32+[5]TONT20000JUIL2017!$C32</f>
        <v>29236.873148318322</v>
      </c>
      <c r="F31" s="45">
        <f t="shared" si="1"/>
        <v>61009.873148318322</v>
      </c>
      <c r="G31" s="50">
        <v>200</v>
      </c>
      <c r="H31" s="59">
        <v>13900</v>
      </c>
      <c r="I31" s="45">
        <f t="shared" si="2"/>
        <v>46909.873148318322</v>
      </c>
      <c r="J31" s="45">
        <f>[11]MVTSEPT!$C31</f>
        <v>450000</v>
      </c>
      <c r="K31" s="56">
        <f t="shared" si="0"/>
        <v>-429090.12685168168</v>
      </c>
      <c r="L31" s="32"/>
      <c r="M31" s="32">
        <f>[5]TONT20000DEC2016!R32+[5]TONT20000JANV2017!P32+[5]TONT20000FEV2017!P32+[5]TONT20000MARS2017!P32+[5]TONT20000AVRIL2017!P32+[5]TONT20000MAI2017!P32+[5]TONT20000JUIN2017!P32+[5]TONT20000JUIL2017!P32</f>
        <v>96000</v>
      </c>
      <c r="N31" s="32">
        <f>[8]EMPRUNT!$D31</f>
        <v>896000</v>
      </c>
    </row>
    <row r="32" spans="1:14" x14ac:dyDescent="0.25">
      <c r="A32" s="1" t="s">
        <v>107</v>
      </c>
      <c r="B32" s="45">
        <v>420000</v>
      </c>
      <c r="C32" s="45">
        <f>[5]TONT20000DEC2016!$D33</f>
        <v>69808</v>
      </c>
      <c r="D32" s="45">
        <f>+[5]TONT20000DEC2016!$L33+[5]TONT20000JANV2017!$J33+[5]TONT20000FEV2017!$J33+[5]TONT20000MARS2017!$J33+[5]TONT20000AVRIL2017!$J33+[5]TONT20000MAI2017!$J33+[5]TONT20000JUIN2017!$J33+[5]TONT20000JUIL2017!$J33</f>
        <v>50000</v>
      </c>
      <c r="E32" s="45">
        <f>[5]TONT20000DEC2016!$E33+[5]TONT20000JANV2017!$C33+[5]TONT20000FEV2017!$C33+[5]TONT20000MARS2017!$C33+[5]TONT20000AVRIL2017!$C33+[5]TONT20000MAI2017!$C33+[5]TONT20000JUIN2017!$C33+[5]TONT20000JUIL2017!$C33</f>
        <v>34505.880911556291</v>
      </c>
      <c r="F32" s="45">
        <f t="shared" si="1"/>
        <v>154313.88091155631</v>
      </c>
      <c r="G32" s="50">
        <v>0</v>
      </c>
      <c r="H32" s="59">
        <v>100000</v>
      </c>
      <c r="I32" s="45">
        <f t="shared" si="2"/>
        <v>54313.880911556305</v>
      </c>
      <c r="J32" s="45">
        <f>[11]MVTSEPT!$C32</f>
        <v>450000</v>
      </c>
      <c r="K32" s="56">
        <f t="shared" si="0"/>
        <v>-645686.11908844369</v>
      </c>
      <c r="L32" s="32"/>
      <c r="M32" s="32">
        <f>[5]TONT20000DEC2016!R33+[5]TONT20000JANV2017!P33+[5]TONT20000FEV2017!P33+[5]TONT20000MARS2017!P33+[5]TONT20000AVRIL2017!P33+[5]TONT20000MAI2017!P33+[5]TONT20000JUIN2017!P33+[5]TONT20000JUIL2017!P33</f>
        <v>0</v>
      </c>
      <c r="N32" s="32">
        <f>[8]EMPRUNT!$D32</f>
        <v>1120000</v>
      </c>
    </row>
    <row r="33" spans="1:14" x14ac:dyDescent="0.25">
      <c r="A33" s="1" t="s">
        <v>108</v>
      </c>
      <c r="B33" s="45">
        <v>420000</v>
      </c>
      <c r="C33" s="45">
        <f>[5]TONT20000DEC2016!$D34</f>
        <v>2772</v>
      </c>
      <c r="D33" s="45">
        <f>+[5]TONT20000DEC2016!$L34+[5]TONT20000JANV2017!$J34+[5]TONT20000FEV2017!$J34+[5]TONT20000MARS2017!$J34+[5]TONT20000AVRIL2017!$J34+[5]TONT20000MAI2017!$J34+[5]TONT20000JUIN2017!$J34+[5]TONT20000JUIL2017!$J34</f>
        <v>164000</v>
      </c>
      <c r="E33" s="45">
        <f>[5]TONT20000DEC2016!$E34+[5]TONT20000JANV2017!$C34+[5]TONT20000FEV2017!$C34+[5]TONT20000MARS2017!$C34+[5]TONT20000AVRIL2017!$C34+[5]TONT20000MAI2017!$C34+[5]TONT20000JUIN2017!$C34+[5]TONT20000JUIL2017!$C34</f>
        <v>37245.733013545178</v>
      </c>
      <c r="F33" s="45">
        <f t="shared" si="1"/>
        <v>204017.73301354516</v>
      </c>
      <c r="G33" s="50">
        <v>4000</v>
      </c>
      <c r="H33" s="59">
        <v>150000</v>
      </c>
      <c r="I33" s="45">
        <f t="shared" si="2"/>
        <v>50017.733013545163</v>
      </c>
      <c r="J33" s="45">
        <f>[11]MVTSEPT!$C33</f>
        <v>450000</v>
      </c>
      <c r="K33" s="56">
        <f t="shared" si="0"/>
        <v>-1982.266986454837</v>
      </c>
      <c r="L33" s="32"/>
      <c r="M33" s="32">
        <f>[5]TONT20000DEC2016!R34+[5]TONT20000JANV2017!P34+[5]TONT20000FEV2017!P34+[5]TONT20000MARS2017!P34+[5]TONT20000AVRIL2017!P34+[5]TONT20000MAI2017!P34+[5]TONT20000JUIN2017!P34+[5]TONT20000JUIL2017!P34</f>
        <v>0</v>
      </c>
      <c r="N33" s="32">
        <f>[8]EMPRUNT!$D33</f>
        <v>472000</v>
      </c>
    </row>
    <row r="34" spans="1:14" x14ac:dyDescent="0.25">
      <c r="A34" s="46" t="s">
        <v>109</v>
      </c>
      <c r="B34" s="45">
        <v>0</v>
      </c>
      <c r="C34" s="45">
        <f>[5]TONT20000DEC2016!$D35</f>
        <v>0</v>
      </c>
      <c r="D34" s="45"/>
      <c r="E34" s="45"/>
      <c r="F34" s="45">
        <f t="shared" si="1"/>
        <v>0</v>
      </c>
      <c r="G34" s="50"/>
      <c r="H34" s="59"/>
      <c r="I34" s="45">
        <f t="shared" si="2"/>
        <v>0</v>
      </c>
      <c r="J34" s="50"/>
      <c r="K34" s="56">
        <f t="shared" si="0"/>
        <v>0</v>
      </c>
      <c r="L34" s="32"/>
      <c r="M34" s="32"/>
      <c r="N34" s="32">
        <v>0</v>
      </c>
    </row>
    <row r="35" spans="1:14" x14ac:dyDescent="0.25">
      <c r="A35" s="4" t="s">
        <v>110</v>
      </c>
      <c r="B35" s="45">
        <v>0</v>
      </c>
      <c r="C35" s="45"/>
      <c r="D35" s="45"/>
      <c r="E35" s="45">
        <f>[5]TONT20000DEC2016!$E36+[5]TONT20000JANV2017!$C36+[5]TONT20000FEV2017!$C36+[5]TONT20000MARS2017!$C36+[5]TONT20000AVRIL2017!$C36+[5]TONT20000MAI2017!$C36+[5]TONT20000JUIN2017!$C36+[5]TONT20000JUIL2017!$C36</f>
        <v>0</v>
      </c>
      <c r="F35" s="45">
        <f t="shared" si="1"/>
        <v>0</v>
      </c>
      <c r="G35" s="50"/>
      <c r="H35" s="59"/>
      <c r="I35" s="45">
        <f t="shared" si="2"/>
        <v>0</v>
      </c>
      <c r="J35" s="50"/>
      <c r="K35" s="56">
        <f t="shared" si="0"/>
        <v>0</v>
      </c>
      <c r="L35" s="32"/>
      <c r="M35" s="32">
        <f>[5]TONT20000DEC2016!R36+[5]TONT20000JANV2017!P36+[5]TONT20000FEV2017!P36+[5]TONT20000MARS2017!P36+[5]TONT20000AVRIL2017!P36+[5]TONT20000MAI2017!P36+[5]TONT20000JUIN2017!P36+[5]TONT20000JUIL2017!P36</f>
        <v>0</v>
      </c>
      <c r="N35" s="32">
        <v>0</v>
      </c>
    </row>
    <row r="36" spans="1:14" x14ac:dyDescent="0.25">
      <c r="A36" s="46" t="s">
        <v>111</v>
      </c>
      <c r="B36" s="45">
        <v>0</v>
      </c>
      <c r="C36" s="45">
        <f>[5]TONT20000DEC2016!$D37</f>
        <v>0</v>
      </c>
      <c r="D36" s="45"/>
      <c r="E36" s="45"/>
      <c r="F36" s="45">
        <f t="shared" si="1"/>
        <v>0</v>
      </c>
      <c r="G36" s="50"/>
      <c r="H36" s="59"/>
      <c r="I36" s="45">
        <f t="shared" si="2"/>
        <v>0</v>
      </c>
      <c r="J36" s="50"/>
      <c r="K36" s="56">
        <f t="shared" si="0"/>
        <v>0</v>
      </c>
      <c r="L36" s="32"/>
      <c r="M36" s="32"/>
      <c r="N36" s="32">
        <v>0</v>
      </c>
    </row>
    <row r="37" spans="1:14" x14ac:dyDescent="0.25">
      <c r="A37" s="1" t="s">
        <v>112</v>
      </c>
      <c r="B37" s="45">
        <v>420000</v>
      </c>
      <c r="C37" s="45">
        <f>[5]TONT20000DEC2016!$D38</f>
        <v>2474</v>
      </c>
      <c r="D37" s="45">
        <f>+[5]TONT20000DEC2016!$L38+[5]TONT20000JANV2017!$J38+[5]TONT20000FEV2017!$J38+[5]TONT20000MARS2017!$J38+[5]TONT20000AVRIL2017!$J38+[5]TONT20000MAI2017!$J38+[5]TONT20000JUIN2017!$J38+[5]TONT20000JUIL2017!$J38</f>
        <v>24000</v>
      </c>
      <c r="E37" s="45">
        <f>[5]TONT20000DEC2016!$E38+[5]TONT20000JANV2017!$C38+[5]TONT20000FEV2017!$C38+[5]TONT20000MARS2017!$C38+[5]TONT20000AVRIL2017!$C38+[5]TONT20000MAI2017!$C38+[5]TONT20000JUIN2017!$C38+[5]TONT20000JUIL2017!$C38</f>
        <v>28890.657594173732</v>
      </c>
      <c r="F37" s="45">
        <f t="shared" si="1"/>
        <v>55364.657594173732</v>
      </c>
      <c r="G37" s="50">
        <v>8200</v>
      </c>
      <c r="H37" s="59"/>
      <c r="I37" s="45">
        <f t="shared" si="2"/>
        <v>47164.657594173732</v>
      </c>
      <c r="J37" s="45">
        <f>[11]MVTSEPT!$C35</f>
        <v>450000</v>
      </c>
      <c r="K37" s="56">
        <f t="shared" si="0"/>
        <v>467164.65759417374</v>
      </c>
      <c r="L37" s="32"/>
      <c r="M37" s="32">
        <f>[5]TONT20000DEC2016!R38+[5]TONT20000JANV2017!P38+[5]TONT20000FEV2017!P38+[5]TONT20000MARS2017!P38+[5]TONT20000AVRIL2017!P38+[5]TONT20000MAI2017!P38+[5]TONT20000JUIN2017!P38+[5]TONT20000JUIL2017!P38</f>
        <v>0</v>
      </c>
      <c r="N37" s="32">
        <f>[8]EMPRUNT!$D35</f>
        <v>0</v>
      </c>
    </row>
    <row r="38" spans="1:14" x14ac:dyDescent="0.25">
      <c r="A38" s="1" t="s">
        <v>113</v>
      </c>
      <c r="B38" s="45">
        <v>420000</v>
      </c>
      <c r="C38" s="45">
        <f>[5]TONT20000DEC2016!$D39</f>
        <v>6756</v>
      </c>
      <c r="D38" s="45">
        <f>+[5]TONT20000DEC2016!$L39+[5]TONT20000JANV2017!$J39+[5]TONT20000FEV2017!$J39+[5]TONT20000MARS2017!$J39+[5]TONT20000AVRIL2017!$J39+[5]TONT20000MAI2017!$J39+[5]TONT20000JUIN2017!$J39+[5]TONT20000JUIL2017!$J39</f>
        <v>24000</v>
      </c>
      <c r="E38" s="45">
        <f>[5]TONT20000DEC2016!$E39+[5]TONT20000JANV2017!$C39+[5]TONT20000FEV2017!$C39+[5]TONT20000MARS2017!$C39+[5]TONT20000AVRIL2017!$C39+[5]TONT20000MAI2017!$C39+[5]TONT20000JUIN2017!$C39+[5]TONT20000JUIL2017!$C39</f>
        <v>29172.869271421467</v>
      </c>
      <c r="F38" s="45">
        <f t="shared" si="1"/>
        <v>59928.86927142147</v>
      </c>
      <c r="G38" s="50">
        <v>20500</v>
      </c>
      <c r="H38" s="59"/>
      <c r="I38" s="45">
        <f t="shared" si="2"/>
        <v>39428.86927142147</v>
      </c>
      <c r="J38" s="45">
        <f>[11]MVTSEPT!$C36</f>
        <v>450000</v>
      </c>
      <c r="K38" s="56">
        <f t="shared" si="0"/>
        <v>-660571.13072857854</v>
      </c>
      <c r="L38" s="32"/>
      <c r="M38" s="32">
        <f>[5]TONT20000DEC2016!R39+[5]TONT20000JANV2017!P39+[5]TONT20000FEV2017!P39+[5]TONT20000MARS2017!P39+[5]TONT20000AVRIL2017!P39+[5]TONT20000MAI2017!P39+[5]TONT20000JUIN2017!P39+[5]TONT20000JUIL2017!P39</f>
        <v>0</v>
      </c>
      <c r="N38" s="32">
        <f>[8]EMPRUNT!$D36</f>
        <v>1120000</v>
      </c>
    </row>
    <row r="39" spans="1:14" x14ac:dyDescent="0.25">
      <c r="A39" s="1" t="s">
        <v>114</v>
      </c>
      <c r="B39" s="45">
        <v>390000</v>
      </c>
      <c r="C39" s="45">
        <f>[5]TONT20000DEC2016!$D40</f>
        <v>488</v>
      </c>
      <c r="D39" s="45">
        <f>+[5]TONT20000DEC2016!$L40+[5]TONT20000JANV2017!$J40+[5]TONT20000FEV2017!$J40+[5]TONT20000MARS2017!$J40+[5]TONT20000AVRIL2017!$J40+[5]TONT20000MAI2017!$J40+[5]TONT20000JUIN2017!$J40+[5]TONT20000JUIL2017!$J40</f>
        <v>21000</v>
      </c>
      <c r="E39" s="45">
        <f>[5]TONT20000DEC2016!$E40+[5]TONT20000JANV2017!$C40+[5]TONT20000FEV2017!$C40+[5]TONT20000MARS2017!$C40+[5]TONT20000AVRIL2017!$C40+[5]TONT20000MAI2017!$C40+[5]TONT20000JUIN2017!$C40+[5]TONT20000JUIL2017!$C40</f>
        <v>26648.780925128511</v>
      </c>
      <c r="F39" s="45">
        <f t="shared" si="1"/>
        <v>48136.780925128507</v>
      </c>
      <c r="G39" s="50">
        <v>5250</v>
      </c>
      <c r="H39" s="59"/>
      <c r="I39" s="45">
        <f t="shared" si="2"/>
        <v>42886.780925128507</v>
      </c>
      <c r="J39" s="45">
        <f>[11]MVTSEPT!$C37+30000-106000</f>
        <v>344000</v>
      </c>
      <c r="K39" s="56">
        <f t="shared" si="0"/>
        <v>-351113.21907487151</v>
      </c>
      <c r="L39" s="32"/>
      <c r="M39" s="32">
        <f>[5]TONT20000DEC2016!R40+[5]TONT20000JANV2017!P40+[5]TONT20000FEV2017!P40+[5]TONT20000MARS2017!P40+[5]TONT20000AVRIL2017!P40+[5]TONT20000MAI2017!P40+[5]TONT20000JUIN2017!P40+[5]TONT20000JUIL2017!P40</f>
        <v>84000</v>
      </c>
      <c r="N39" s="32">
        <f>[8]EMPRUNT!$D37</f>
        <v>784000</v>
      </c>
    </row>
    <row r="40" spans="1:14" x14ac:dyDescent="0.25">
      <c r="A40" s="1" t="s">
        <v>115</v>
      </c>
      <c r="B40" s="45">
        <v>420000</v>
      </c>
      <c r="C40" s="45">
        <f>[5]TONT20000DEC2016!$D41</f>
        <v>4914</v>
      </c>
      <c r="D40" s="45">
        <f>+[5]TONT20000DEC2016!$L41+[5]TONT20000JANV2017!$J41+[5]TONT20000FEV2017!$J41+[5]TONT20000MARS2017!$J41+[5]TONT20000AVRIL2017!$J41+[5]TONT20000MAI2017!$J41+[5]TONT20000JUIN2017!$J41+[5]TONT20000JUIL2017!$J41</f>
        <v>24000</v>
      </c>
      <c r="E40" s="45">
        <f>[5]TONT20000DEC2016!$E41+[5]TONT20000JANV2017!$C41+[5]TONT20000FEV2017!$C41+[5]TONT20000MARS2017!$C41+[5]TONT20000AVRIL2017!$C41+[5]TONT20000MAI2017!$C41+[5]TONT20000JUIN2017!$C41+[5]TONT20000JUIL2017!$C41</f>
        <v>29051.469479387288</v>
      </c>
      <c r="F40" s="45">
        <f t="shared" si="1"/>
        <v>57965.469479387291</v>
      </c>
      <c r="G40" s="50">
        <v>4000</v>
      </c>
      <c r="H40" s="59"/>
      <c r="I40" s="45">
        <f t="shared" si="2"/>
        <v>53965.469479387291</v>
      </c>
      <c r="J40" s="45">
        <f>[11]MVTSEPT!$C38</f>
        <v>450000</v>
      </c>
      <c r="K40" s="56">
        <f t="shared" si="0"/>
        <v>-646034.53052061272</v>
      </c>
      <c r="L40" s="32"/>
      <c r="M40" s="32">
        <f>[5]TONT20000DEC2016!R41+[5]TONT20000JANV2017!P41+[5]TONT20000FEV2017!P41+[5]TONT20000MARS2017!P41+[5]TONT20000AVRIL2017!P41+[5]TONT20000MAI2017!P41+[5]TONT20000JUIN2017!P41+[5]TONT20000JUIL2017!P41</f>
        <v>120000</v>
      </c>
      <c r="N40" s="32">
        <f>[8]EMPRUNT!$D38</f>
        <v>1120000</v>
      </c>
    </row>
    <row r="41" spans="1:14" x14ac:dyDescent="0.25">
      <c r="A41" s="1" t="s">
        <v>116</v>
      </c>
      <c r="B41" s="45">
        <v>420000</v>
      </c>
      <c r="C41" s="45">
        <f>[5]TONT20000DEC2016!$D42</f>
        <v>4528</v>
      </c>
      <c r="D41" s="45">
        <f>+[5]TONT20000DEC2016!$L42+[5]TONT20000JANV2017!$J42+[5]TONT20000FEV2017!$J42+[5]TONT20000MARS2017!$J42+[5]TONT20000AVRIL2017!$J42+[5]TONT20000MAI2017!$J42+[5]TONT20000JUIN2017!$J42+[5]TONT20000JUIL2017!$J42</f>
        <v>24000</v>
      </c>
      <c r="E41" s="45">
        <f>[5]TONT20000DEC2016!$E42+[5]TONT20000JANV2017!$C42+[5]TONT20000FEV2017!$C42+[5]TONT20000MARS2017!$C42+[5]TONT20000AVRIL2017!$C42+[5]TONT20000MAI2017!$C42+[5]TONT20000JUIN2017!$C42+[5]TONT20000JUIL2017!$C42</f>
        <v>29026.029566398593</v>
      </c>
      <c r="F41" s="45">
        <f t="shared" si="1"/>
        <v>57554.029566398589</v>
      </c>
      <c r="G41" s="50">
        <v>8100</v>
      </c>
      <c r="H41" s="59"/>
      <c r="I41" s="45">
        <f t="shared" si="2"/>
        <v>49454.029566398589</v>
      </c>
      <c r="J41" s="45">
        <f>[11]MVTSEPT!$C39</f>
        <v>450000</v>
      </c>
      <c r="K41" s="56">
        <f t="shared" si="0"/>
        <v>-493545.97043360141</v>
      </c>
      <c r="L41" s="32"/>
      <c r="M41" s="32">
        <f>[5]TONT20000DEC2016!R42+[5]TONT20000JANV2017!P42+[5]TONT20000FEV2017!P42+[5]TONT20000MARS2017!P42+[5]TONT20000AVRIL2017!P42+[5]TONT20000MAI2017!P42+[5]TONT20000JUIN2017!P42+[5]TONT20000JUIL2017!P42</f>
        <v>120000</v>
      </c>
      <c r="N41" s="32">
        <f>[8]EMPRUNT!$D39</f>
        <v>963000</v>
      </c>
    </row>
    <row r="42" spans="1:14" x14ac:dyDescent="0.25">
      <c r="A42" s="1" t="s">
        <v>117</v>
      </c>
      <c r="B42" s="45">
        <v>420000</v>
      </c>
      <c r="C42" s="45">
        <f>[5]TONT20000DEC2016!$D43</f>
        <v>105975</v>
      </c>
      <c r="D42" s="45">
        <f>+[5]TONT20000DEC2016!$L43+[5]TONT20000JANV2017!$J43+[5]TONT20000FEV2017!$J43+[5]TONT20000MARS2017!$J43+[5]TONT20000AVRIL2017!$J43+[5]TONT20000MAI2017!$J43+[5]TONT20000JUIN2017!$J43+[5]TONT20000JUIL2017!$J43</f>
        <v>79000</v>
      </c>
      <c r="E42" s="45">
        <f>[5]TONT20000DEC2016!$E43+[5]TONT20000JANV2017!$C43+[5]TONT20000FEV2017!$C43+[5]TONT20000MARS2017!$C43+[5]TONT20000AVRIL2017!$C43+[5]TONT20000MAI2017!$C43+[5]TONT20000JUIN2017!$C43+[5]TONT20000JUIL2017!$C43</f>
        <v>38409.306175856123</v>
      </c>
      <c r="F42" s="45">
        <f t="shared" si="1"/>
        <v>223384.30617585612</v>
      </c>
      <c r="G42" s="50">
        <v>1200</v>
      </c>
      <c r="H42" s="59">
        <v>70000</v>
      </c>
      <c r="I42" s="45">
        <f t="shared" si="2"/>
        <v>152184.30617585612</v>
      </c>
      <c r="J42" s="45">
        <f>[11]MVTSEPT!$C40</f>
        <v>450000</v>
      </c>
      <c r="K42" s="56">
        <f t="shared" si="0"/>
        <v>484984.30617585615</v>
      </c>
      <c r="L42" s="32"/>
      <c r="M42" s="32">
        <f>[5]TONT20000DEC2016!R43+[5]TONT20000JANV2017!P43+[5]TONT20000FEV2017!P43+[5]TONT20000MARS2017!P43+[5]TONT20000AVRIL2017!P43+[5]TONT20000MAI2017!P43+[5]TONT20000JUIN2017!P43+[5]TONT20000JUIL2017!P43</f>
        <v>12000</v>
      </c>
      <c r="N42" s="32">
        <f>[8]EMPRUNT!$D40</f>
        <v>87200</v>
      </c>
    </row>
    <row r="43" spans="1:14" x14ac:dyDescent="0.25">
      <c r="A43" s="1" t="s">
        <v>118</v>
      </c>
      <c r="B43" s="45">
        <v>390000</v>
      </c>
      <c r="C43" s="45">
        <f>[5]TONT20000DEC2016!$D44</f>
        <v>1621</v>
      </c>
      <c r="D43" s="45">
        <f>+[5]TONT20000DEC2016!$L44+[5]TONT20000JANV2017!$J44+[5]TONT20000FEV2017!$J44+[5]TONT20000MARS2017!$J44+[5]TONT20000AVRIL2017!$J44+[5]TONT20000MAI2017!$J44+[5]TONT20000JUIN2017!$J44+[5]TONT20000JUIL2017!$J44</f>
        <v>24000</v>
      </c>
      <c r="E43" s="45">
        <f>[5]TONT20000DEC2016!$E44+[5]TONT20000JANV2017!$C44+[5]TONT20000FEV2017!$C44+[5]TONT20000MARS2017!$C44+[5]TONT20000AVRIL2017!$C44+[5]TONT20000MAI2017!$C44+[5]TONT20000JUIN2017!$C44+[5]TONT20000JUIL2017!$C44</f>
        <v>26857.24403085652</v>
      </c>
      <c r="F43" s="45">
        <f t="shared" si="1"/>
        <v>52478.24403085652</v>
      </c>
      <c r="G43" s="50">
        <v>2100</v>
      </c>
      <c r="H43" s="59"/>
      <c r="I43" s="45">
        <f t="shared" si="2"/>
        <v>50378.24403085652</v>
      </c>
      <c r="J43" s="45">
        <f>[11]MVTSEPT!$C41+30000</f>
        <v>450000</v>
      </c>
      <c r="K43" s="56">
        <f t="shared" si="0"/>
        <v>440378.24403085653</v>
      </c>
      <c r="L43" s="32"/>
      <c r="M43" s="32">
        <f>[5]TONT20000DEC2016!R44+[5]TONT20000JANV2017!P44+[5]TONT20000FEV2017!P44+[5]TONT20000MARS2017!P44+[5]TONT20000AVRIL2017!P44+[5]TONT20000MAI2017!P44+[5]TONT20000JUIN2017!P44+[5]TONT20000JUIL2017!P44</f>
        <v>0</v>
      </c>
      <c r="N43" s="32">
        <f>[8]EMPRUNT!$D41</f>
        <v>0</v>
      </c>
    </row>
    <row r="44" spans="1:14" x14ac:dyDescent="0.25">
      <c r="A44" s="4" t="s">
        <v>119</v>
      </c>
      <c r="B44" s="45">
        <v>20000</v>
      </c>
      <c r="C44" s="45">
        <f>[5]TONT20000DEC2016!$D45</f>
        <v>14843</v>
      </c>
      <c r="D44" s="45"/>
      <c r="E44" s="45">
        <f>[5]TONT20000DEC2016!$E45+[5]TONT20000JANV2017!$C45+[5]TONT20000FEV2017!$C45+[5]TONT20000MARS2017!$C45+[5]TONT20000AVRIL2017!$C45+[5]TONT20000MAI2017!$C45+[5]TONT20000JUIN2017!$C45+[5]TONT20000JUIL2017!$C45</f>
        <v>3343.2510871172399</v>
      </c>
      <c r="F44" s="45">
        <f t="shared" si="1"/>
        <v>18186.251087117242</v>
      </c>
      <c r="G44" s="50">
        <v>5250</v>
      </c>
      <c r="H44" s="59"/>
      <c r="I44" s="45"/>
      <c r="J44" s="45">
        <f>[11]MVTSEPT!$C42</f>
        <v>50000</v>
      </c>
      <c r="K44" s="56">
        <f t="shared" si="0"/>
        <v>20000</v>
      </c>
      <c r="L44" s="32"/>
      <c r="M44" s="32">
        <f>[5]TONT20000DEC2016!R45+[5]TONT20000JANV2017!P45+[5]TONT20000FEV2017!P45+[5]TONT20000MARS2017!P45+[5]TONT20000AVRIL2017!P45+[5]TONT20000MAI2017!P45+[5]TONT20000JUIN2017!P45+[5]TONT20000JUIL2017!P45</f>
        <v>0</v>
      </c>
      <c r="N44" s="32">
        <f>[8]EMPRUNT!$D42</f>
        <v>0</v>
      </c>
    </row>
    <row r="45" spans="1:14" x14ac:dyDescent="0.25">
      <c r="A45" s="1" t="s">
        <v>120</v>
      </c>
      <c r="B45" s="45">
        <v>420000</v>
      </c>
      <c r="C45" s="45">
        <f>[5]TONT20000DEC2016!$D46</f>
        <v>2654</v>
      </c>
      <c r="D45" s="45">
        <f>+[5]TONT20000DEC2016!$L46+[5]TONT20000JANV2017!$J46+[5]TONT20000FEV2017!$J46+[5]TONT20000MARS2017!$J46+[5]TONT20000AVRIL2017!$J46+[5]TONT20000MAI2017!$J46+[5]TONT20000JUIN2017!$J46+[5]TONT20000JUIL2017!$J46</f>
        <v>24000</v>
      </c>
      <c r="E45" s="45">
        <f>[5]TONT20000DEC2016!$E46+[5]TONT20000JANV2017!$C46+[5]TONT20000FEV2017!$C46+[5]TONT20000MARS2017!$C46+[5]TONT20000AVRIL2017!$C46+[5]TONT20000MAI2017!$C46+[5]TONT20000JUIN2017!$C46+[5]TONT20000JUIL2017!$C46</f>
        <v>28902.520766033747</v>
      </c>
      <c r="F45" s="45">
        <f t="shared" si="1"/>
        <v>55556.520766033747</v>
      </c>
      <c r="G45" s="50">
        <v>0</v>
      </c>
      <c r="H45" s="59">
        <v>8000</v>
      </c>
      <c r="I45" s="45">
        <f t="shared" si="2"/>
        <v>47556.520766033747</v>
      </c>
      <c r="J45" s="45">
        <f>[11]MVTSEPT!$C43</f>
        <v>450000</v>
      </c>
      <c r="K45" s="56">
        <f t="shared" si="0"/>
        <v>467556.52076603373</v>
      </c>
      <c r="L45" s="32"/>
      <c r="M45" s="32">
        <f>[5]TONT20000DEC2016!R46+[5]TONT20000JANV2017!P46+[5]TONT20000FEV2017!P46+[5]TONT20000MARS2017!P46+[5]TONT20000AVRIL2017!P46+[5]TONT20000MAI2017!P46+[5]TONT20000JUIN2017!P46+[5]TONT20000JUIL2017!P46</f>
        <v>0</v>
      </c>
      <c r="N45" s="32">
        <f>[8]EMPRUNT!$D43</f>
        <v>0</v>
      </c>
    </row>
    <row r="46" spans="1:14" x14ac:dyDescent="0.25">
      <c r="A46" s="1" t="s">
        <v>121</v>
      </c>
      <c r="B46" s="45">
        <v>403819</v>
      </c>
      <c r="C46" s="45">
        <f>[5]TONT20000DEC2016!$D47</f>
        <v>25832</v>
      </c>
      <c r="D46" s="45">
        <f>+[5]TONT20000DEC2016!$L47+[5]TONT20000JANV2017!$J47+[5]TONT20000FEV2017!$J47+[5]TONT20000MARS2017!$J47+[5]TONT20000AVRIL2017!$J47+[5]TONT20000MAI2017!$J47+[5]TONT20000JUIN2017!$J47+[5]TONT20000JUIL2017!$J47</f>
        <v>81000</v>
      </c>
      <c r="E46" s="45">
        <f>[5]TONT20000DEC2016!$E47+[5]TONT20000JANV2017!$C47+[5]TONT20000FEV2017!$C47+[5]TONT20000MARS2017!$C47+[5]TONT20000AVRIL2017!$C47+[5]TONT20000MAI2017!$C47+[5]TONT20000JUIN2017!$C47+[5]TONT20000JUIL2017!$C47</f>
        <v>32627.903759556248</v>
      </c>
      <c r="F46" s="45">
        <f t="shared" si="1"/>
        <v>139459.90375955624</v>
      </c>
      <c r="G46" s="50">
        <v>1000</v>
      </c>
      <c r="H46" s="59">
        <v>23000</v>
      </c>
      <c r="I46" s="45">
        <f t="shared" si="2"/>
        <v>115459.90375955624</v>
      </c>
      <c r="J46" s="45">
        <f>[11]MVTSEPT!$C44+16181</f>
        <v>450000</v>
      </c>
      <c r="K46" s="56">
        <f t="shared" si="0"/>
        <v>-332221.09624044376</v>
      </c>
      <c r="L46" s="32"/>
      <c r="M46" s="32">
        <f>[5]TONT20000DEC2016!R47+[5]TONT20000JANV2017!P47+[5]TONT20000FEV2017!P47+[5]TONT20000MARS2017!P47+[5]TONT20000AVRIL2017!P47+[5]TONT20000MAI2017!P47+[5]TONT20000JUIN2017!P47+[5]TONT20000JUIL2017!P47</f>
        <v>84000</v>
      </c>
      <c r="N46" s="32">
        <f>[8]EMPRUNT!$D44</f>
        <v>851500</v>
      </c>
    </row>
    <row r="47" spans="1:14" x14ac:dyDescent="0.25">
      <c r="A47" s="4" t="s">
        <v>122</v>
      </c>
      <c r="B47" s="45">
        <v>0</v>
      </c>
      <c r="C47" s="45"/>
      <c r="D47" s="45">
        <f>+[5]TONT20000DEC2016!$L48+[5]TONT20000JANV2017!$J48+[5]TONT20000FEV2017!$J48+[5]TONT20000MARS2017!$J48+[5]TONT20000AVRIL2017!$J48+[5]TONT20000MAI2017!$J48+[5]TONT20000JUIN2017!$J48+[5]TONT20000JUIL2017!$J48</f>
        <v>6000</v>
      </c>
      <c r="E47" s="45">
        <f>[5]TONT20000DEC2016!$E48+[5]TONT20000JANV2017!$C48+[5]TONT20000FEV2017!$C48+[5]TONT20000MARS2017!$C48+[5]TONT20000AVRIL2017!$C48+[5]TONT20000MAI2017!$C48+[5]TONT20000JUIN2017!$C48+[5]TONT20000JUIL2017!$C48</f>
        <v>356.3491684492829</v>
      </c>
      <c r="F47" s="45">
        <f t="shared" si="1"/>
        <v>6356.3491684492828</v>
      </c>
      <c r="G47" s="50">
        <v>0</v>
      </c>
      <c r="H47" s="59"/>
      <c r="I47" s="45"/>
      <c r="J47" s="45">
        <f>[11]MVTSEPT!$C45</f>
        <v>30000</v>
      </c>
      <c r="K47" s="56">
        <f t="shared" si="0"/>
        <v>0</v>
      </c>
      <c r="L47" s="32"/>
      <c r="M47" s="32">
        <f>[5]TONT20000DEC2016!R48+[5]TONT20000JANV2017!P48+[5]TONT20000FEV2017!P48+[5]TONT20000MARS2017!P48+[5]TONT20000AVRIL2017!P48+[5]TONT20000MAI2017!P48+[5]TONT20000JUIN2017!P48+[5]TONT20000JUIL2017!P48</f>
        <v>0</v>
      </c>
      <c r="N47" s="32"/>
    </row>
    <row r="48" spans="1:14" x14ac:dyDescent="0.25">
      <c r="A48" s="1" t="s">
        <v>123</v>
      </c>
      <c r="B48" s="45">
        <v>420000</v>
      </c>
      <c r="C48" s="45">
        <f>[5]TONT20000DEC2016!$D49</f>
        <v>2593</v>
      </c>
      <c r="D48" s="45">
        <f>+[5]TONT20000DEC2016!$L49+[5]TONT20000JANV2017!$J49+[5]TONT20000FEV2017!$J49+[5]TONT20000MARS2017!$J49+[5]TONT20000AVRIL2017!$J49+[5]TONT20000MAI2017!$J49+[5]TONT20000JUIN2017!$J49+[5]TONT20000JUIL2017!$J49</f>
        <v>58000</v>
      </c>
      <c r="E48" s="45">
        <f>[5]TONT20000DEC2016!$E49+[5]TONT20000JANV2017!$C49+[5]TONT20000FEV2017!$C49+[5]TONT20000MARS2017!$C49+[5]TONT20000AVRIL2017!$C49+[5]TONT20000MAI2017!$C49+[5]TONT20000JUIN2017!$C49+[5]TONT20000JUIL2017!$C49</f>
        <v>30495.864806082547</v>
      </c>
      <c r="F48" s="45">
        <f t="shared" si="1"/>
        <v>91088.864806082551</v>
      </c>
      <c r="G48" s="50">
        <v>27000</v>
      </c>
      <c r="H48" s="59"/>
      <c r="I48" s="45">
        <f t="shared" si="2"/>
        <v>64088.864806082551</v>
      </c>
      <c r="J48" s="45">
        <f>[11]MVTSEPT!$C46</f>
        <v>450000</v>
      </c>
      <c r="K48" s="56">
        <f t="shared" si="0"/>
        <v>-579911.13519391743</v>
      </c>
      <c r="L48" s="32"/>
      <c r="M48" s="32">
        <f>[5]TONT20000DEC2016!R49+[5]TONT20000JANV2017!P49+[5]TONT20000FEV2017!P49+[5]TONT20000MARS2017!P49+[5]TONT20000AVRIL2017!P49+[5]TONT20000MAI2017!P49+[5]TONT20000JUIN2017!P49+[5]TONT20000JUIL2017!P49</f>
        <v>120000</v>
      </c>
      <c r="N48" s="32">
        <f>[8]EMPRUNT!$D46</f>
        <v>1064000</v>
      </c>
    </row>
    <row r="49" spans="1:14" x14ac:dyDescent="0.25">
      <c r="A49" s="4" t="s">
        <v>124</v>
      </c>
      <c r="B49" s="45">
        <v>420000</v>
      </c>
      <c r="C49" s="45">
        <f>[5]TONT20000DEC2016!$D50</f>
        <v>2503</v>
      </c>
      <c r="D49" s="45">
        <f>+[5]TONT20000DEC2016!$L50+[5]TONT20000JANV2017!$J50+[5]TONT20000FEV2017!$J50+[5]TONT20000MARS2017!$J50+[5]TONT20000AVRIL2017!$J50+[5]TONT20000MAI2017!$J50+[5]TONT20000JUIN2017!$J50+[5]TONT20000JUIL2017!$J50</f>
        <v>21000</v>
      </c>
      <c r="E49" s="45">
        <f>[5]TONT20000DEC2016!$E50+[5]TONT20000JANV2017!$C50+[5]TONT20000FEV2017!$C50+[5]TONT20000MARS2017!$C50+[5]TONT20000AVRIL2017!$C50+[5]TONT20000MAI2017!$C50+[5]TONT20000JUIN2017!$C50+[5]TONT20000JUIL2017!$C50</f>
        <v>28892.568882973399</v>
      </c>
      <c r="F49" s="45">
        <f t="shared" si="1"/>
        <v>52395.568882973399</v>
      </c>
      <c r="G49" s="50"/>
      <c r="H49" s="59"/>
      <c r="I49" s="45">
        <f t="shared" si="2"/>
        <v>52395.568882973399</v>
      </c>
      <c r="J49" s="45">
        <f>[11]MVTSEPT!$C47</f>
        <v>450000</v>
      </c>
      <c r="K49" s="56">
        <f t="shared" si="0"/>
        <v>-647604.4311170266</v>
      </c>
      <c r="L49" s="32"/>
      <c r="M49" s="32">
        <f>[5]TONT20000DEC2016!R50+[5]TONT20000JANV2017!P50+[5]TONT20000FEV2017!P50+[5]TONT20000MARS2017!P50+[5]TONT20000AVRIL2017!P50+[5]TONT20000MAI2017!P50+[5]TONT20000JUIN2017!P50+[5]TONT20000JUIL2017!P50</f>
        <v>120000</v>
      </c>
      <c r="N49" s="32">
        <f>[8]EMPRUNT!$D47</f>
        <v>1120000</v>
      </c>
    </row>
    <row r="50" spans="1:14" x14ac:dyDescent="0.25">
      <c r="A50" s="1" t="s">
        <v>125</v>
      </c>
      <c r="B50" s="45">
        <v>420000</v>
      </c>
      <c r="C50" s="45">
        <f>[5]TONT20000DEC2016!$D51</f>
        <v>393982</v>
      </c>
      <c r="D50" s="45">
        <f>+[5]TONT20000DEC2016!$L51+[5]TONT20000JANV2017!$J51+[5]TONT20000FEV2017!$J51+[5]TONT20000MARS2017!$J51+[5]TONT20000AVRIL2017!$J51+[5]TONT20000MAI2017!$J51+[5]TONT20000JUIN2017!$J51+[5]TONT20000JUIL2017!$J51</f>
        <v>24000</v>
      </c>
      <c r="E50" s="45">
        <f>[5]TONT20000DEC2016!$E51+[5]TONT20000JANV2017!$C51+[5]TONT20000FEV2017!$C51+[5]TONT20000MARS2017!$C51+[5]TONT20000AVRIL2017!$C51+[5]TONT20000MAI2017!$C51+[5]TONT20000JUIN2017!$C51+[5]TONT20000JUIL2017!$C51</f>
        <v>54693.583641792924</v>
      </c>
      <c r="F50" s="45">
        <f t="shared" si="1"/>
        <v>472675.58364179294</v>
      </c>
      <c r="G50" s="50">
        <v>12100</v>
      </c>
      <c r="H50" s="59"/>
      <c r="I50" s="45">
        <f t="shared" si="2"/>
        <v>460575.58364179294</v>
      </c>
      <c r="J50" s="45">
        <f>[11]MVTSEPT!$C48</f>
        <v>450000</v>
      </c>
      <c r="K50" s="56">
        <f t="shared" si="0"/>
        <v>880575.58364179288</v>
      </c>
      <c r="L50" s="32"/>
      <c r="M50" s="32">
        <f>[5]TONT20000DEC2016!R51+[5]TONT20000JANV2017!P51+[5]TONT20000FEV2017!P51+[5]TONT20000MARS2017!P51+[5]TONT20000AVRIL2017!P51+[5]TONT20000MAI2017!P51+[5]TONT20000JUIN2017!P51+[5]TONT20000JUIL2017!P51</f>
        <v>0</v>
      </c>
      <c r="N50" s="32">
        <f>[8]EMPRUNT!$D48</f>
        <v>0</v>
      </c>
    </row>
    <row r="51" spans="1:14" x14ac:dyDescent="0.25">
      <c r="A51" s="1" t="s">
        <v>126</v>
      </c>
      <c r="B51" s="45">
        <v>420000</v>
      </c>
      <c r="C51" s="45">
        <f>[5]TONT20000DEC2016!$D52</f>
        <v>883628</v>
      </c>
      <c r="D51" s="45">
        <f>+[5]TONT20000DEC2016!$L52+[5]TONT20000JANV2017!$J52+[5]TONT20000FEV2017!$J52+[5]TONT20000MARS2017!$J52+[5]TONT20000AVRIL2017!$J52+[5]TONT20000MAI2017!$J52+[5]TONT20000JUIN2017!$J52+[5]TONT20000JUIL2017!$J52</f>
        <v>224000</v>
      </c>
      <c r="E51" s="45">
        <f>[5]TONT20000DEC2016!$E52+[5]TONT20000JANV2017!$C52+[5]TONT20000FEV2017!$C52+[5]TONT20000MARS2017!$C52+[5]TONT20000AVRIL2017!$C52+[5]TONT20000MAI2017!$C52+[5]TONT20000JUIN2017!$C52+[5]TONT20000JUIL2017!$C52</f>
        <v>100024.82310270975</v>
      </c>
      <c r="F51" s="45">
        <f t="shared" si="1"/>
        <v>1207652.8231027098</v>
      </c>
      <c r="G51" s="50">
        <v>2000</v>
      </c>
      <c r="H51" s="59"/>
      <c r="I51" s="45">
        <f t="shared" si="2"/>
        <v>1205652.8231027098</v>
      </c>
      <c r="J51" s="45">
        <f>[11]MVTSEPT!$C49</f>
        <v>450000</v>
      </c>
      <c r="K51" s="56">
        <f t="shared" si="0"/>
        <v>1625652.8231027098</v>
      </c>
      <c r="L51" s="32"/>
      <c r="M51" s="32">
        <f>[5]TONT20000DEC2016!R52+[5]TONT20000JANV2017!P52+[5]TONT20000FEV2017!P52+[5]TONT20000MARS2017!P52+[5]TONT20000AVRIL2017!P52+[5]TONT20000MAI2017!P52+[5]TONT20000JUIN2017!P52+[5]TONT20000JUIL2017!P52</f>
        <v>0</v>
      </c>
      <c r="N51" s="32">
        <f>[8]EMPRUNT!$D49</f>
        <v>0</v>
      </c>
    </row>
    <row r="52" spans="1:14" x14ac:dyDescent="0.25">
      <c r="A52" s="1" t="s">
        <v>127</v>
      </c>
      <c r="C52" s="43"/>
      <c r="F52" s="45">
        <f t="shared" si="1"/>
        <v>0</v>
      </c>
      <c r="H52" s="59"/>
      <c r="J52" s="45">
        <v>450000</v>
      </c>
    </row>
    <row r="53" spans="1:14" x14ac:dyDescent="0.25">
      <c r="A53" s="1" t="s">
        <v>128</v>
      </c>
      <c r="C53" s="43"/>
      <c r="F53" s="45">
        <f t="shared" si="1"/>
        <v>0</v>
      </c>
      <c r="H53" s="59"/>
      <c r="J53" s="45"/>
    </row>
    <row r="54" spans="1:14" x14ac:dyDescent="0.25">
      <c r="A54" s="1" t="s">
        <v>129</v>
      </c>
      <c r="C54" s="1"/>
      <c r="F54" s="45">
        <f t="shared" si="1"/>
        <v>0</v>
      </c>
      <c r="H54" s="47"/>
      <c r="J54" s="45">
        <v>450000</v>
      </c>
    </row>
    <row r="55" spans="1:14" x14ac:dyDescent="0.25">
      <c r="A55" s="1"/>
      <c r="C55" s="1"/>
      <c r="F55" s="45"/>
    </row>
    <row r="56" spans="1:14" ht="18" x14ac:dyDescent="0.25">
      <c r="A56" s="1"/>
      <c r="B56" s="53">
        <f>SUM(B4:B54)</f>
        <v>16310819</v>
      </c>
      <c r="C56" s="53">
        <f t="shared" ref="C56:N56" si="3">SUM(C4:C54)</f>
        <v>3525807</v>
      </c>
      <c r="D56" s="53">
        <f t="shared" si="3"/>
        <v>3564500</v>
      </c>
      <c r="E56" s="53">
        <f t="shared" si="3"/>
        <v>1469000</v>
      </c>
      <c r="F56" s="53">
        <f t="shared" si="3"/>
        <v>8559306.9999999981</v>
      </c>
      <c r="G56" s="53">
        <f t="shared" si="3"/>
        <v>295100</v>
      </c>
      <c r="H56" s="53">
        <f t="shared" si="3"/>
        <v>1513900</v>
      </c>
      <c r="I56" s="53">
        <f t="shared" si="3"/>
        <v>6174113.8883337844</v>
      </c>
      <c r="J56" s="53">
        <f t="shared" si="3"/>
        <v>18471000</v>
      </c>
      <c r="K56" s="53">
        <f t="shared" si="3"/>
        <v>-571467.11166621372</v>
      </c>
      <c r="L56" s="53">
        <f t="shared" si="3"/>
        <v>0</v>
      </c>
      <c r="M56" s="53">
        <f t="shared" si="3"/>
        <v>1469000</v>
      </c>
      <c r="N56" s="53">
        <f t="shared" si="3"/>
        <v>23056400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65"/>
  <sheetViews>
    <sheetView workbookViewId="0">
      <pane xSplit="1" ySplit="3" topLeftCell="B49" activePane="bottomRight" state="frozen"/>
      <selection pane="topRight" activeCell="B1" sqref="B1"/>
      <selection pane="bottomLeft" activeCell="A4" sqref="A4"/>
      <selection pane="bottomRight" activeCell="C4" sqref="C4"/>
    </sheetView>
  </sheetViews>
  <sheetFormatPr baseColWidth="10" defaultColWidth="13.7109375" defaultRowHeight="15" x14ac:dyDescent="0.25"/>
  <cols>
    <col min="1" max="1" width="31.85546875" bestFit="1" customWidth="1"/>
    <col min="2" max="2" width="17" customWidth="1"/>
    <col min="3" max="3" width="15" bestFit="1" customWidth="1"/>
    <col min="4" max="4" width="15" style="32" bestFit="1" customWidth="1"/>
    <col min="5" max="5" width="17.42578125" style="32" customWidth="1"/>
    <col min="6" max="6" width="16.85546875" style="32" bestFit="1" customWidth="1"/>
    <col min="7" max="7" width="13.7109375" style="48"/>
    <col min="8" max="8" width="13.7109375" style="48" customWidth="1"/>
    <col min="9" max="10" width="15" style="48" customWidth="1"/>
    <col min="11" max="11" width="18.5703125" style="54" bestFit="1" customWidth="1"/>
    <col min="12" max="12" width="16.85546875" style="48" bestFit="1" customWidth="1"/>
    <col min="13" max="13" width="18.5703125" style="74" bestFit="1" customWidth="1"/>
    <col min="14" max="14" width="21" style="54" customWidth="1"/>
    <col min="15" max="15" width="16.85546875" bestFit="1" customWidth="1"/>
    <col min="17" max="18" width="16.85546875" bestFit="1" customWidth="1"/>
    <col min="19" max="19" width="18.5703125" bestFit="1" customWidth="1"/>
    <col min="21" max="21" width="17.85546875" customWidth="1"/>
  </cols>
  <sheetData>
    <row r="1" spans="1:27" ht="23.25" x14ac:dyDescent="0.35">
      <c r="B1" s="52" t="s">
        <v>131</v>
      </c>
    </row>
    <row r="3" spans="1:27" ht="43.5" x14ac:dyDescent="0.25">
      <c r="A3" s="1" t="s">
        <v>74</v>
      </c>
      <c r="B3" s="44" t="s">
        <v>142</v>
      </c>
      <c r="C3" s="44" t="s">
        <v>75</v>
      </c>
      <c r="D3" s="44" t="s">
        <v>1</v>
      </c>
      <c r="E3" s="44" t="s">
        <v>76</v>
      </c>
      <c r="F3" s="44" t="s">
        <v>77</v>
      </c>
      <c r="G3" s="51" t="s">
        <v>54</v>
      </c>
      <c r="H3" s="51" t="s">
        <v>140</v>
      </c>
      <c r="I3" s="51" t="s">
        <v>146</v>
      </c>
      <c r="J3" s="51" t="s">
        <v>144</v>
      </c>
      <c r="K3" s="55" t="s">
        <v>141</v>
      </c>
      <c r="L3" s="51" t="s">
        <v>78</v>
      </c>
      <c r="M3" s="75" t="s">
        <v>79</v>
      </c>
      <c r="N3" s="55" t="s">
        <v>140</v>
      </c>
      <c r="O3" s="44" t="s">
        <v>137</v>
      </c>
      <c r="P3" s="44" t="s">
        <v>41</v>
      </c>
      <c r="Q3" s="44" t="s">
        <v>132</v>
      </c>
      <c r="R3" s="44" t="s">
        <v>133</v>
      </c>
      <c r="S3" s="44" t="s">
        <v>147</v>
      </c>
      <c r="T3" s="44" t="s">
        <v>158</v>
      </c>
      <c r="U3" s="44" t="s">
        <v>160</v>
      </c>
      <c r="V3" s="44" t="s">
        <v>153</v>
      </c>
      <c r="W3" s="44"/>
      <c r="X3" s="44" t="s">
        <v>134</v>
      </c>
      <c r="Z3" s="44" t="s">
        <v>158</v>
      </c>
      <c r="AA3" s="44" t="s">
        <v>159</v>
      </c>
    </row>
    <row r="4" spans="1:27" x14ac:dyDescent="0.25">
      <c r="A4" s="1" t="s">
        <v>73</v>
      </c>
      <c r="B4" s="45"/>
      <c r="C4" s="45">
        <f>+INVENT2016_2017!I4</f>
        <v>0</v>
      </c>
      <c r="D4" s="45">
        <f>[11]MVTAOUT!$H5+[11]MVTSEPT!$I5+[11]MVTOCT!$G5+[11]MVTNOV!$G5+[11]MVTDEC!$G5+[11]MVTJANV!$G5+[11]MVTFEV!$G5+[11]MVTMARS!$G5+[11]MVTAVRIL!$G5+[11]MVTMAI!$G5+[11]MVTJUIN!$G5+[11]MVTJUIL!$G5+[11]MVTAOUT2018!$G5</f>
        <v>0</v>
      </c>
      <c r="E4" s="45">
        <f>+[11]MVTAOUT!$D5+[11]MVTSEPT!$E5+[11]MVTOCT!$C5+[11]MVTNOV!$C5+[11]MVTDEC!$C5+[11]MVTJANV!$C5+[11]MVTFEV!$C5+[11]MVTMARS!$C5+[11]MVTAVRIL!$C5+[11]MVTMAI!$C5+[11]MVTJUIN!$C5+[11]MVTJUIL!$C5</f>
        <v>15580.723283297679</v>
      </c>
      <c r="F4" s="45">
        <f t="shared" ref="F4" si="0">+C4+D4+E4</f>
        <v>15580.723283297679</v>
      </c>
      <c r="G4" s="50"/>
      <c r="H4" s="59"/>
      <c r="I4" s="50"/>
      <c r="J4" s="50"/>
      <c r="K4" s="56">
        <f>F4-G4-H4-I4-J4</f>
        <v>15580.723283297679</v>
      </c>
      <c r="L4" s="45"/>
      <c r="M4" s="76">
        <f>K4+L4</f>
        <v>15580.723283297679</v>
      </c>
      <c r="N4" s="59"/>
      <c r="O4" s="50">
        <f>[11]MVTAOUT!O5+[11]MVTSEPT!P5+[11]MVTOCT!N5+[11]MVTNOV!N5+[11]MVTDEC!N5+[11]MVTJANV!N5+[11]MVTFEV!N5+[11]MVTMARS!N5+[11]MVTAVRIL!N5+[11]MVTMAI!N5+[11]MVTJUIN!N5+[11]MVTJUIL!N5</f>
        <v>0</v>
      </c>
      <c r="P4" s="50">
        <f>[11]MVTAOUT!P5+[11]MVTSEPT!Q5+[11]MVTOCT!O5+[11]MVTNOV!O5+[11]MVTDEC!O5+[11]MVTJANV!O5+[11]MVTFEV!O5+[11]MVTMARS!O5+[11]MVTAVRIL!O5+[11]MVTMAI!O5+[11]MVTJUIN!O5+[11]MVTJUIL!O5</f>
        <v>0</v>
      </c>
      <c r="Q4" s="50">
        <f>+INVENT2016_2017!N4</f>
        <v>0</v>
      </c>
      <c r="R4" s="50">
        <f>[11]MVTAOUT!$Q5+[11]MVTSEPT!$R5+[11]MVTOCT!$P5+[11]MVTNOV!$P5+[11]MVTDEC!$P5+[11]MVTJANV!$P5+[11]MVTFEV!$P5+[11]MVTMARS!$P5+[11]MVTAVRIL!$P5+[11]MVTMAI!$P5+[11]MVTJUIN!$P5+[11]MVTJUIL!$P5+[11]MVTAOUT2018!$P$5</f>
        <v>0</v>
      </c>
      <c r="S4" s="50"/>
      <c r="V4" s="101"/>
      <c r="W4" s="32"/>
    </row>
    <row r="5" spans="1:27" x14ac:dyDescent="0.25">
      <c r="A5" s="1" t="s">
        <v>80</v>
      </c>
      <c r="B5" s="45">
        <f>+INVENT2016_2017!J5</f>
        <v>450000</v>
      </c>
      <c r="C5" s="45">
        <f>+INVENT2016_2017!I5</f>
        <v>0</v>
      </c>
      <c r="D5" s="45">
        <f>[11]MVTAOUT!$H6+[11]MVTSEPT!$I6+[11]MVTOCT!$G6+[11]MVTNOV!$G6+[11]MVTDEC!$G6+[11]MVTJANV!$G6+[11]MVTFEV!$G6+[11]MVTMARS!$G6+[11]MVTAVRIL!$G6+[11]MVTMAI!$G6+[11]MVTJUIN!$G6+[11]MVTJUIL!$G6+[11]MVTAOUT2018!$G6</f>
        <v>68000</v>
      </c>
      <c r="E5" s="45">
        <f>+[11]MVTAOUT!$D6+[11]MVTSEPT!$E6+[11]MVTOCT!$C6+[11]MVTNOV!$C6+[11]MVTDEC!$C6+[11]MVTJANV!$C6+[11]MVTFEV!$C6+[11]MVTMARS!$C6+[11]MVTAVRIL!$C6+[11]MVTMAI!$C6+[11]MVTJUIN!$C6+[11]MVTJUIL!$C6</f>
        <v>19643.082164907726</v>
      </c>
      <c r="F5" s="45">
        <f t="shared" ref="F5:F54" si="1">+C5+D5+E5</f>
        <v>87643.082164907726</v>
      </c>
      <c r="G5" s="50"/>
      <c r="H5" s="59"/>
      <c r="I5" s="50">
        <v>25000</v>
      </c>
      <c r="J5" s="50">
        <v>30000</v>
      </c>
      <c r="K5" s="56">
        <f t="shared" ref="K5:K54" si="2">F5-G5-H5-I5-J5</f>
        <v>32643.082164907726</v>
      </c>
      <c r="L5" s="45">
        <f>B5+J5</f>
        <v>480000</v>
      </c>
      <c r="M5" s="76">
        <f t="shared" ref="M5:M33" si="3">K5+L5</f>
        <v>512643.08216490771</v>
      </c>
      <c r="N5" s="59"/>
      <c r="O5" s="50">
        <f>[11]MVTAOUT!O6+[11]MVTSEPT!P6+[11]MVTOCT!N6+[11]MVTNOV!N6+[11]MVTDEC!N6+[11]MVTJANV!N6+[11]MVTFEV!N6+[11]MVTMARS!N6+[11]MVTAVRIL!N6+[11]MVTMAI!N6+[11]MVTJUIN!N6+[11]MVTJUIL!N6</f>
        <v>0</v>
      </c>
      <c r="P5" s="50">
        <f>[11]MVTAOUT!P6+[11]MVTSEPT!Q6+[11]MVTOCT!O6+[11]MVTNOV!O6+[11]MVTDEC!O6+[11]MVTJANV!O6+[11]MVTFEV!O6+[11]MVTMARS!O6+[11]MVTAVRIL!O6+[11]MVTMAI!O6+[11]MVTJUIN!O6+[11]MVTJUIL!O6</f>
        <v>0</v>
      </c>
      <c r="Q5" s="50">
        <f>+INVENT2016_2017!N5</f>
        <v>588000</v>
      </c>
      <c r="R5" s="50">
        <f>[11]MVTAOUT!$Q6+[11]MVTSEPT!$R6+[11]MVTOCT!$P6+[11]MVTNOV!$P6+[11]MVTDEC!$P6+[11]MVTJANV!$P6+[11]MVTFEV!$P6+[11]MVTMARS!$P6+[11]MVTAVRIL!$P6+[11]MVTMAI!$P6+[11]MVTJUIN!$P6+[11]MVTJUIL!$P6+[11]MVTAOUT2018!$P$6</f>
        <v>0</v>
      </c>
      <c r="S5" s="50">
        <v>588000</v>
      </c>
      <c r="T5" s="50">
        <v>88000</v>
      </c>
      <c r="U5" s="50">
        <f>+S5</f>
        <v>588000</v>
      </c>
      <c r="V5" s="102">
        <v>42904</v>
      </c>
      <c r="W5" s="32"/>
      <c r="Z5" s="32">
        <v>88000</v>
      </c>
      <c r="AA5" s="32">
        <f>S5</f>
        <v>588000</v>
      </c>
    </row>
    <row r="6" spans="1:27" x14ac:dyDescent="0.25">
      <c r="A6" s="1" t="s">
        <v>81</v>
      </c>
      <c r="B6" s="45">
        <f>+INVENT2016_2017!J6</f>
        <v>450000</v>
      </c>
      <c r="C6" s="45">
        <f>+INVENT2016_2017!I6</f>
        <v>47526.870595715751</v>
      </c>
      <c r="D6" s="45">
        <f>[11]MVTAOUT!$H7+[11]MVTSEPT!$I7+[11]MVTOCT!$G7+[11]MVTNOV!$G7+[11]MVTDEC!$G7+[11]MVTJANV!$G7+[11]MVTFEV!$G7+[11]MVTMARS!$G7+[11]MVTAVRIL!$G7+[11]MVTMAI!$G7+[11]MVTJUIN!$G7+[11]MVTJUIL!$G7+[11]MVTAOUT2018!$G7</f>
        <v>39000</v>
      </c>
      <c r="E6" s="45">
        <f>+[11]MVTAOUT!$D7+[11]MVTSEPT!$E7+[11]MVTOCT!$C7+[11]MVTNOV!$C7+[11]MVTDEC!$C7+[11]MVTJANV!$C7+[11]MVTFEV!$C7+[11]MVTMARS!$C7+[11]MVTAVRIL!$C7+[11]MVTMAI!$C7+[11]MVTJUIN!$C7+[11]MVTJUIL!$C7</f>
        <v>19804.409122959751</v>
      </c>
      <c r="F6" s="45">
        <f t="shared" si="1"/>
        <v>106331.27971867551</v>
      </c>
      <c r="G6" s="50"/>
      <c r="H6" s="59"/>
      <c r="I6" s="50">
        <v>25000</v>
      </c>
      <c r="J6" s="50">
        <v>30000</v>
      </c>
      <c r="K6" s="56">
        <f t="shared" si="2"/>
        <v>51331.279718675505</v>
      </c>
      <c r="L6" s="45">
        <f>B6+J6</f>
        <v>480000</v>
      </c>
      <c r="M6" s="76">
        <f t="shared" si="3"/>
        <v>531331.27971867553</v>
      </c>
      <c r="N6" s="59"/>
      <c r="O6" s="50">
        <f>[11]MVTAOUT!O7+[11]MVTSEPT!P7+[11]MVTOCT!N7+[11]MVTNOV!N7+[11]MVTDEC!N7+[11]MVTJANV!N7+[11]MVTFEV!N7+[11]MVTMARS!N7+[11]MVTAVRIL!N7+[11]MVTMAI!N7+[11]MVTJUIN!N7+[11]MVTJUIL!N7</f>
        <v>0</v>
      </c>
      <c r="P6" s="50">
        <f>[11]MVTAOUT!P7+[11]MVTSEPT!Q7+[11]MVTOCT!O7+[11]MVTNOV!O7+[11]MVTDEC!O7+[11]MVTJANV!O7+[11]MVTFEV!O7+[11]MVTMARS!O7+[11]MVTAVRIL!O7+[11]MVTMAI!O7+[11]MVTJUIN!O7+[11]MVTJUIL!O7</f>
        <v>0</v>
      </c>
      <c r="Q6" s="50">
        <f>+INVENT2016_2017!N6</f>
        <v>784000</v>
      </c>
      <c r="R6" s="50">
        <f>[11]MVTAOUT!$Q7+[11]MVTSEPT!$R7+[11]MVTOCT!$P7+[11]MVTNOV!$P7+[11]MVTDEC!$P7+[11]MVTJANV!$P7+[11]MVTFEV!$P7+[11]MVTMARS!$P7+[11]MVTAVRIL!$P7+[11]MVTMAI!$P7+[11]MVTJUIN!$P7+[11]MVTJUIL!$P7+[11]MVTAOUT2018!$P$7</f>
        <v>823200</v>
      </c>
      <c r="S6" s="50">
        <v>0</v>
      </c>
      <c r="T6" s="50"/>
      <c r="U6" s="50"/>
      <c r="V6" s="101"/>
      <c r="W6" s="32"/>
      <c r="X6" t="s">
        <v>135</v>
      </c>
      <c r="Z6" s="32"/>
      <c r="AA6" s="32"/>
    </row>
    <row r="7" spans="1:27" x14ac:dyDescent="0.25">
      <c r="A7" s="1" t="s">
        <v>82</v>
      </c>
      <c r="B7" s="45">
        <f>+INVENT2016_2017!J7</f>
        <v>450000</v>
      </c>
      <c r="C7" s="45">
        <f>+INVENT2016_2017!I7</f>
        <v>39888.739729307388</v>
      </c>
      <c r="D7" s="45">
        <f>[11]MVTAOUT!$H8+[11]MVTSEPT!$I8+[11]MVTOCT!$G8+[11]MVTNOV!$G8+[11]MVTDEC!$G8+[11]MVTJANV!$G8+[11]MVTFEV!$G8+[11]MVTMARS!$G8+[11]MVTAVRIL!$G8+[11]MVTMAI!$G8+[11]MVTJUIN!$G8+[11]MVTJUIL!$G8+[11]MVTAOUT2018!$G8</f>
        <v>39000</v>
      </c>
      <c r="E7" s="45">
        <f>+[11]MVTAOUT!$D8+[11]MVTSEPT!$E8+[11]MVTOCT!$C8+[11]MVTNOV!$C8+[11]MVTDEC!$C8+[11]MVTJANV!$C8+[11]MVTFEV!$C8+[11]MVTMARS!$C8+[11]MVTAVRIL!$C8+[11]MVTMAI!$C8+[11]MVTJUIN!$C8+[11]MVTJUIL!$C8</f>
        <v>19815.211897162193</v>
      </c>
      <c r="F7" s="45">
        <f t="shared" si="1"/>
        <v>98703.951626469585</v>
      </c>
      <c r="G7" s="50"/>
      <c r="H7" s="59"/>
      <c r="I7" s="50">
        <v>25000</v>
      </c>
      <c r="J7" s="50">
        <v>30000</v>
      </c>
      <c r="K7" s="56">
        <f t="shared" si="2"/>
        <v>43703.951626469585</v>
      </c>
      <c r="L7" s="45">
        <f>B7+J7</f>
        <v>480000</v>
      </c>
      <c r="M7" s="76">
        <f t="shared" si="3"/>
        <v>523703.95162646961</v>
      </c>
      <c r="N7" s="59"/>
      <c r="O7" s="50">
        <f>[11]MVTAOUT!O8+[11]MVTSEPT!P8+[11]MVTOCT!N8+[11]MVTNOV!N8+[11]MVTDEC!N8+[11]MVTJANV!N8+[11]MVTFEV!N8+[11]MVTMARS!N8+[11]MVTAVRIL!N8+[11]MVTMAI!N8+[11]MVTJUIN!N8+[11]MVTJUIL!N8</f>
        <v>0</v>
      </c>
      <c r="P7" s="50">
        <f>[11]MVTAOUT!P8+[11]MVTSEPT!Q8+[11]MVTOCT!O8+[11]MVTNOV!O8+[11]MVTDEC!O8+[11]MVTJANV!O8+[11]MVTFEV!O8+[11]MVTMARS!O8+[11]MVTAVRIL!O8+[11]MVTMAI!O8+[11]MVTJUIN!O8+[11]MVTJUIL!O8</f>
        <v>0</v>
      </c>
      <c r="Q7" s="50">
        <f>+INVENT2016_2017!N7</f>
        <v>1293600</v>
      </c>
      <c r="R7" s="50">
        <f>[11]MVTAOUT!$Q8+[11]MVTSEPT!$R8+[11]MVTOCT!$P8+[11]MVTNOV!$P8+[11]MVTDEC!$P8+[11]MVTJANV!$P8+[11]MVTFEV!$P8+[11]MVTMARS!$P8+[11]MVTAVRIL!$P8+[11]MVTMAI!$P8+[11]MVTJUIN!$P8+[11]MVTJUIL!$P8+[11]MVTAOUT2018!$P$8</f>
        <v>1293500</v>
      </c>
      <c r="S7" s="50"/>
      <c r="T7" s="50"/>
      <c r="U7" s="50"/>
      <c r="V7" s="101"/>
      <c r="W7" s="32"/>
      <c r="X7" s="32"/>
      <c r="Z7" s="32"/>
      <c r="AA7" s="32"/>
    </row>
    <row r="8" spans="1:27" x14ac:dyDescent="0.25">
      <c r="A8" s="1" t="s">
        <v>83</v>
      </c>
      <c r="B8" s="45">
        <f>+INVENT2016_2017!J8</f>
        <v>450000</v>
      </c>
      <c r="C8" s="45">
        <f>+INVENT2016_2017!I8</f>
        <v>23224.097929742595</v>
      </c>
      <c r="D8" s="45">
        <f>[11]MVTAOUT!$H9+[11]MVTSEPT!$I9+[11]MVTOCT!$G9+[11]MVTNOV!$G9+[11]MVTDEC!$G9+[11]MVTJANV!$G9+[11]MVTFEV!$G9+[11]MVTMARS!$G9+[11]MVTAVRIL!$G9+[11]MVTMAI!$G9+[11]MVTJUIN!$G9+[11]MVTJUIL!$G9+[11]MVTAOUT2018!$G9</f>
        <v>39000</v>
      </c>
      <c r="E8" s="45">
        <f>+[11]MVTAOUT!$D9+[11]MVTSEPT!$E9+[11]MVTOCT!$C9+[11]MVTNOV!$C9+[11]MVTDEC!$C9+[11]MVTJANV!$C9+[11]MVTFEV!$C9+[11]MVTMARS!$C9+[11]MVTAVRIL!$C9+[11]MVTMAI!$C9+[11]MVTJUIN!$C9+[11]MVTJUIL!$C9</f>
        <v>19830.391889387389</v>
      </c>
      <c r="F8" s="45">
        <f t="shared" si="1"/>
        <v>82054.489819129987</v>
      </c>
      <c r="G8" s="50"/>
      <c r="H8" s="59"/>
      <c r="I8" s="50">
        <v>25000</v>
      </c>
      <c r="J8" s="50">
        <v>30000</v>
      </c>
      <c r="K8" s="56">
        <f t="shared" si="2"/>
        <v>27054.489819129987</v>
      </c>
      <c r="L8" s="45">
        <f>B8+J8</f>
        <v>480000</v>
      </c>
      <c r="M8" s="76">
        <f t="shared" si="3"/>
        <v>507054.48981912999</v>
      </c>
      <c r="N8" s="59"/>
      <c r="O8" s="50">
        <f>[11]MVTAOUT!O9+[11]MVTSEPT!P9+[11]MVTOCT!N9+[11]MVTNOV!N9+[11]MVTDEC!N9+[11]MVTJANV!N9+[11]MVTFEV!N9+[11]MVTMARS!N9+[11]MVTAVRIL!N9+[11]MVTMAI!N9+[11]MVTJUIN!N9+[11]MVTJUIL!N9</f>
        <v>693000</v>
      </c>
      <c r="P8" s="50">
        <f>[11]MVTAOUT!P9+[11]MVTSEPT!Q9+[11]MVTOCT!O9+[11]MVTNOV!O9+[11]MVTDEC!O9+[11]MVTJANV!O9+[11]MVTFEV!O9+[11]MVTMARS!O9+[11]MVTAVRIL!O9+[11]MVTMAI!O9+[11]MVTJUIN!O9+[11]MVTJUIL!O9</f>
        <v>49000</v>
      </c>
      <c r="Q8" s="50">
        <f>+INVENT2016_2017!N8</f>
        <v>1017000</v>
      </c>
      <c r="R8" s="50">
        <f>[11]MVTAOUT!$Q9+[11]MVTSEPT!$R9+[11]MVTOCT!$P9+[11]MVTNOV!$P9+[11]MVTDEC!$P9+[11]MVTJANV!$P9+[11]MVTFEV!$P9+[11]MVTMARS!$P9+[11]MVTAVRIL!$P9+[11]MVTMAI!$P9+[11]MVTJUIN!$P9+[11]MVTJUIL!$P9+[11]MVTAOUT2018!$P$9</f>
        <v>1040000</v>
      </c>
      <c r="S8" s="50">
        <v>693000</v>
      </c>
      <c r="T8" s="50">
        <f>S8*5/100</f>
        <v>34650</v>
      </c>
      <c r="U8" s="50">
        <f>+S8+T8</f>
        <v>727650</v>
      </c>
      <c r="V8" s="102">
        <v>43121</v>
      </c>
      <c r="W8" s="32"/>
      <c r="X8" t="s">
        <v>135</v>
      </c>
      <c r="Z8" s="32">
        <f t="shared" ref="Z8:Z48" si="4">+AA8-S8</f>
        <v>34650</v>
      </c>
      <c r="AA8" s="32">
        <f>S8+(S8*5/100)</f>
        <v>727650</v>
      </c>
    </row>
    <row r="9" spans="1:27" x14ac:dyDescent="0.25">
      <c r="A9" s="1" t="s">
        <v>84</v>
      </c>
      <c r="B9" s="45">
        <f>+INVENT2016_2017!J9</f>
        <v>450000</v>
      </c>
      <c r="C9" s="45">
        <f>+INVENT2016_2017!I9</f>
        <v>69006.039725126408</v>
      </c>
      <c r="D9" s="45">
        <f>[11]MVTAOUT!$H10+[11]MVTSEPT!$I10+[11]MVTOCT!$G10+[11]MVTNOV!$G10+[11]MVTDEC!$G10+[11]MVTJANV!$G10+[11]MVTFEV!$G10+[11]MVTMARS!$G10+[11]MVTAVRIL!$G10+[11]MVTMAI!$G10+[11]MVTJUIN!$G10+[11]MVTJUIL!$G10+[11]MVTAOUT2018!$G10</f>
        <v>51000</v>
      </c>
      <c r="E9" s="45">
        <f>+[11]MVTAOUT!$D10+[11]MVTSEPT!$E10+[11]MVTOCT!$C10+[11]MVTNOV!$C10+[11]MVTDEC!$C10+[11]MVTJANV!$C10+[11]MVTFEV!$C10+[11]MVTMARS!$C10+[11]MVTAVRIL!$C10+[11]MVTMAI!$C10+[11]MVTJUIN!$C10+[11]MVTJUIL!$C10</f>
        <v>20026.542089482133</v>
      </c>
      <c r="F9" s="45">
        <f t="shared" si="1"/>
        <v>140032.58181460854</v>
      </c>
      <c r="G9" s="50"/>
      <c r="H9" s="59"/>
      <c r="I9" s="50">
        <v>25000</v>
      </c>
      <c r="J9" s="50">
        <v>30000</v>
      </c>
      <c r="K9" s="56">
        <f t="shared" si="2"/>
        <v>85032.581814608537</v>
      </c>
      <c r="L9" s="45">
        <f>B9+J9</f>
        <v>480000</v>
      </c>
      <c r="M9" s="76">
        <f t="shared" si="3"/>
        <v>565032.58181460854</v>
      </c>
      <c r="N9" s="59"/>
      <c r="O9" s="50">
        <f>[11]MVTAOUT!O10+[11]MVTSEPT!P10+[11]MVTOCT!N10+[11]MVTNOV!N10+[11]MVTDEC!N10+[11]MVTJANV!N10+[11]MVTFEV!N10+[11]MVTMARS!N10+[11]MVTAVRIL!N10+[11]MVTMAI!N10+[11]MVTJUIN!N10+[11]MVTJUIL!N10</f>
        <v>0</v>
      </c>
      <c r="P9" s="50">
        <f>[11]MVTAOUT!P10+[11]MVTSEPT!Q10+[11]MVTOCT!O10+[11]MVTNOV!O10+[11]MVTDEC!O10+[11]MVTJANV!O10+[11]MVTFEV!O10+[11]MVTMARS!O10+[11]MVTAVRIL!O10+[11]MVTMAI!O10+[11]MVTJUIN!O10+[11]MVTJUIL!O10</f>
        <v>0</v>
      </c>
      <c r="Q9" s="50">
        <f>+INVENT2016_2017!N9</f>
        <v>140000</v>
      </c>
      <c r="R9" s="50">
        <f>[11]MVTAOUT!$Q10+[11]MVTSEPT!$R10+[11]MVTOCT!$P10+[11]MVTNOV!$P10+[11]MVTDEC!$P10+[11]MVTJANV!$P10+[11]MVTFEV!$P10+[11]MVTMARS!$P10+[11]MVTAVRIL!$P10+[11]MVTMAI!$P10+[11]MVTJUIN!$P10+[11]MVTJUIL!$P10+[11]MVTAOUT2018!$P$10</f>
        <v>210000</v>
      </c>
      <c r="S9" s="50"/>
      <c r="T9" s="50"/>
      <c r="U9" s="50"/>
      <c r="V9" s="101"/>
      <c r="W9" s="32"/>
      <c r="X9" s="32"/>
      <c r="Z9" s="32"/>
      <c r="AA9" s="32"/>
    </row>
    <row r="10" spans="1:27" x14ac:dyDescent="0.25">
      <c r="A10" s="1"/>
      <c r="B10" s="45"/>
      <c r="C10" s="45"/>
      <c r="D10" s="45"/>
      <c r="E10" s="45"/>
      <c r="F10" s="45"/>
      <c r="G10" s="50"/>
      <c r="H10" s="59"/>
      <c r="I10" s="50"/>
      <c r="J10" s="50"/>
      <c r="K10" s="56"/>
      <c r="L10" s="45"/>
      <c r="M10" s="76"/>
      <c r="N10" s="59"/>
      <c r="O10" s="50"/>
      <c r="P10" s="50"/>
      <c r="Q10" s="50"/>
      <c r="R10" s="50"/>
      <c r="S10" s="50"/>
      <c r="T10" s="50"/>
      <c r="U10" s="50"/>
      <c r="V10" s="101"/>
      <c r="W10" s="32"/>
      <c r="X10" s="32"/>
      <c r="Z10" s="32"/>
      <c r="AA10" s="32"/>
    </row>
    <row r="11" spans="1:27" ht="15" customHeight="1" x14ac:dyDescent="0.25">
      <c r="A11" s="1" t="s">
        <v>86</v>
      </c>
      <c r="B11" s="45">
        <f>+INVENT2016_2017!J11</f>
        <v>450000</v>
      </c>
      <c r="C11" s="45">
        <f>+INVENT2016_2017!I11</f>
        <v>730153.82846491481</v>
      </c>
      <c r="D11" s="45">
        <f>[11]MVTAOUT!$H11+[11]MVTSEPT!$I11+[11]MVTOCT!$G11+[11]MVTNOV!$G11+[11]MVTDEC!$G11+[11]MVTJANV!$G11+[11]MVTFEV!$G11+[11]MVTMARS!$G11+[11]MVTAVRIL!$G11+[11]MVTMAI!$G11+[11]MVTJUIN!$G11+[11]MVTJUIL!$G11+[11]MVTAOUT2018!$G11</f>
        <v>233000</v>
      </c>
      <c r="E11" s="45">
        <f>+[11]MVTAOUT!$D11+[11]MVTSEPT!$E11+[11]MVTOCT!$C11+[11]MVTNOV!$C11+[11]MVTDEC!$C11+[11]MVTJANV!$C11+[11]MVTFEV!$C11+[11]MVTMARS!$C11+[11]MVTAVRIL!$C11+[11]MVTMAI!$C11+[11]MVTJUIN!$C11+[11]MVTJUIL!$C11</f>
        <v>22119.979952866226</v>
      </c>
      <c r="F11" s="45">
        <f t="shared" si="1"/>
        <v>985273.80841778102</v>
      </c>
      <c r="G11" s="50"/>
      <c r="H11" s="59"/>
      <c r="I11" s="50"/>
      <c r="J11" s="50"/>
      <c r="K11" s="56">
        <f t="shared" si="2"/>
        <v>985273.80841778102</v>
      </c>
      <c r="L11" s="45">
        <f>B11+J11</f>
        <v>450000</v>
      </c>
      <c r="M11" s="76">
        <f t="shared" si="3"/>
        <v>1435273.808417781</v>
      </c>
      <c r="N11" s="58"/>
      <c r="O11" s="50">
        <f>[11]MVTAOUT!O11+[11]MVTSEPT!P11+[11]MVTOCT!N11+[11]MVTNOV!N11+[11]MVTDEC!N11+[11]MVTJANV!N11+[11]MVTFEV!N11+[11]MVTMARS!N11+[11]MVTAVRIL!N11+[11]MVTMAI!N11+[11]MVTJUIN!N11+[11]MVTJUIL!N11</f>
        <v>0</v>
      </c>
      <c r="P11" s="50">
        <f>[11]MVTAOUT!P11+[11]MVTSEPT!Q11+[11]MVTOCT!O11+[11]MVTNOV!O11+[11]MVTDEC!O11+[11]MVTJANV!O11+[11]MVTFEV!O11+[11]MVTMARS!O11+[11]MVTAVRIL!O11+[11]MVTMAI!O11+[11]MVTJUIN!O11+[11]MVTJUIL!O11</f>
        <v>0</v>
      </c>
      <c r="Q11" s="50">
        <f>+INVENT2016_2017!N11</f>
        <v>1120000</v>
      </c>
      <c r="R11" s="50">
        <f>[11]MVTAOUT!$Q11+[11]MVTSEPT!$R11+[11]MVTOCT!$P11+[11]MVTNOV!$P11+[11]MVTDEC!$P11+[11]MVTJANV!$P11+[11]MVTFEV!$P11+[11]MVTMARS!$P11+[11]MVTAVRIL!$P11+[11]MVTMAI!$P11+[11]MVTJUIN!$P11+[11]MVTJUIL!$P11+[11]MVTAOUT2018!$P$11</f>
        <v>1100000</v>
      </c>
      <c r="S11" s="50">
        <v>0</v>
      </c>
      <c r="T11" s="50"/>
      <c r="U11" s="50"/>
      <c r="V11" s="101"/>
      <c r="W11" s="47">
        <f>Q11-R11</f>
        <v>20000</v>
      </c>
      <c r="X11" t="s">
        <v>135</v>
      </c>
      <c r="Z11" s="32"/>
      <c r="AA11" s="32"/>
    </row>
    <row r="12" spans="1:27" ht="15" customHeight="1" x14ac:dyDescent="0.25">
      <c r="A12" s="1" t="s">
        <v>87</v>
      </c>
      <c r="B12" s="45">
        <f>+INVENT2016_2017!J12</f>
        <v>450000</v>
      </c>
      <c r="C12" s="45">
        <f>+INVENT2016_2017!I12</f>
        <v>47654.584164984422</v>
      </c>
      <c r="D12" s="45">
        <f>[11]MVTAOUT!$H12+[11]MVTSEPT!$I12+[11]MVTOCT!$G12+[11]MVTNOV!$G12+[11]MVTDEC!$G12+[11]MVTJANV!$G12+[11]MVTFEV!$G12+[11]MVTMARS!$G12+[11]MVTAVRIL!$G12+[11]MVTMAI!$G12+[11]MVTJUIN!$G12+[11]MVTJUIL!$G12+[11]MVTAOUT2018!$G12</f>
        <v>39000</v>
      </c>
      <c r="E12" s="45">
        <f>+[11]MVTAOUT!$D12+[11]MVTSEPT!$E12+[11]MVTOCT!$C12+[11]MVTNOV!$C12+[11]MVTDEC!$C12+[11]MVTJANV!$C12+[11]MVTFEV!$C12+[11]MVTMARS!$C12+[11]MVTAVRIL!$C12+[11]MVTMAI!$C12+[11]MVTJUIN!$C12+[11]MVTJUIL!$C12</f>
        <v>19804.49817563231</v>
      </c>
      <c r="F12" s="45">
        <f t="shared" si="1"/>
        <v>106459.08234061673</v>
      </c>
      <c r="G12" s="50"/>
      <c r="H12" s="59"/>
      <c r="I12" s="50">
        <v>25000</v>
      </c>
      <c r="J12" s="50">
        <v>30000</v>
      </c>
      <c r="K12" s="56">
        <f t="shared" si="2"/>
        <v>51459.082340616733</v>
      </c>
      <c r="L12" s="45">
        <f>B12+J12</f>
        <v>480000</v>
      </c>
      <c r="M12" s="76">
        <f t="shared" si="3"/>
        <v>531459.08234061673</v>
      </c>
      <c r="N12" s="58"/>
      <c r="O12" s="50">
        <f>[11]MVTAOUT!O12+[11]MVTSEPT!P12+[11]MVTOCT!N12+[11]MVTNOV!N12+[11]MVTDEC!N12+[11]MVTJANV!N12+[11]MVTFEV!N12+[11]MVTMARS!N12+[11]MVTAVRIL!N12+[11]MVTMAI!N12+[11]MVTJUIN!N12+[11]MVTJUIL!N12</f>
        <v>1000000</v>
      </c>
      <c r="P12" s="50">
        <f>[11]MVTAOUT!P12+[11]MVTSEPT!Q12+[11]MVTOCT!O12+[11]MVTNOV!O12+[11]MVTDEC!O12+[11]MVTJANV!O12+[11]MVTFEV!O12+[11]MVTMARS!O12+[11]MVTAVRIL!O12+[11]MVTMAI!O12+[11]MVTJUIN!O12+[11]MVTJUIL!O12</f>
        <v>40000</v>
      </c>
      <c r="Q12" s="50">
        <f>+INVENT2016_2017!N12</f>
        <v>784000</v>
      </c>
      <c r="R12" s="50">
        <f>[11]MVTAOUT!$Q12+[11]MVTSEPT!$R12+[11]MVTOCT!$P12+[11]MVTNOV!$P12+[11]MVTDEC!$P12+[11]MVTJANV!$P12+[11]MVTFEV!$P12+[11]MVTMARS!$P12+[11]MVTAVRIL!$P12+[11]MVTMAI!$P12+[11]MVTJUIN!$P12+[11]MVTJUIL!$P12+[11]MVTAOUT2018!$P$12</f>
        <v>770000</v>
      </c>
      <c r="S12" s="50">
        <v>1000000</v>
      </c>
      <c r="T12" s="50">
        <f t="shared" ref="T12:T13" si="5">S12*5/100</f>
        <v>50000</v>
      </c>
      <c r="U12" s="50">
        <f t="shared" ref="U12:U13" si="6">+S12+T12</f>
        <v>1050000</v>
      </c>
      <c r="V12" s="102">
        <v>43205</v>
      </c>
      <c r="W12" s="47">
        <f>Q12-R12</f>
        <v>14000</v>
      </c>
      <c r="X12" t="s">
        <v>135</v>
      </c>
      <c r="Y12" s="32">
        <v>40000</v>
      </c>
      <c r="Z12" s="32">
        <f t="shared" si="4"/>
        <v>50000</v>
      </c>
      <c r="AA12" s="32">
        <f>S12+(S12*5/100)</f>
        <v>1050000</v>
      </c>
    </row>
    <row r="13" spans="1:27" ht="15" customHeight="1" x14ac:dyDescent="0.25">
      <c r="A13" s="1" t="s">
        <v>88</v>
      </c>
      <c r="B13" s="45">
        <f>+INVENT2016_2017!J13</f>
        <v>450000</v>
      </c>
      <c r="C13" s="45">
        <f>+INVENT2016_2017!I13</f>
        <v>110017.94800500985</v>
      </c>
      <c r="D13" s="45">
        <f>[11]MVTAOUT!$H13+[11]MVTSEPT!$I13+[11]MVTOCT!$G13+[11]MVTNOV!$G13+[11]MVTDEC!$G13+[11]MVTJANV!$G13+[11]MVTFEV!$G13+[11]MVTMARS!$G13+[11]MVTAVRIL!$G13+[11]MVTMAI!$G13+[11]MVTJUIN!$G13+[11]MVTJUIL!$G13+[11]MVTAOUT2018!$G13</f>
        <v>39000</v>
      </c>
      <c r="E13" s="45">
        <f>+[11]MVTAOUT!$D13+[11]MVTSEPT!$E13+[11]MVTOCT!$C13+[11]MVTNOV!$C13+[11]MVTDEC!$C13+[11]MVTJANV!$C13+[11]MVTFEV!$C13+[11]MVTMARS!$C13+[11]MVTAVRIL!$C13+[11]MVTMAI!$C13+[11]MVTJUIN!$C13+[11]MVTJUIL!$C13</f>
        <v>19979.185268172896</v>
      </c>
      <c r="F13" s="45">
        <f t="shared" si="1"/>
        <v>168997.13327318276</v>
      </c>
      <c r="G13" s="50"/>
      <c r="H13" s="59"/>
      <c r="I13" s="50">
        <v>25000</v>
      </c>
      <c r="J13" s="50">
        <v>30000</v>
      </c>
      <c r="K13" s="56">
        <f t="shared" si="2"/>
        <v>113997.13327318276</v>
      </c>
      <c r="L13" s="45">
        <f>B13+J13</f>
        <v>480000</v>
      </c>
      <c r="M13" s="76">
        <f t="shared" si="3"/>
        <v>593997.13327318279</v>
      </c>
      <c r="N13" s="58"/>
      <c r="O13" s="50">
        <f>[11]MVTAOUT!O13+[11]MVTSEPT!P13+[11]MVTOCT!N13+[11]MVTNOV!N13+[11]MVTDEC!N13+[11]MVTJANV!N13+[11]MVTFEV!N13+[11]MVTMARS!N13+[11]MVTAVRIL!N13+[11]MVTMAI!N13+[11]MVTJUIN!N13+[11]MVTJUIL!N13</f>
        <v>700000</v>
      </c>
      <c r="P13" s="50">
        <f>[11]MVTAOUT!P13+[11]MVTSEPT!Q13+[11]MVTOCT!O13+[11]MVTNOV!O13+[11]MVTDEC!O13+[11]MVTJANV!O13+[11]MVTFEV!O13+[11]MVTMARS!O13+[11]MVTAVRIL!O13+[11]MVTMAI!O13+[11]MVTJUIN!O13+[11]MVTJUIL!O13</f>
        <v>42000</v>
      </c>
      <c r="Q13" s="50">
        <f>+INVENT2016_2017!N13</f>
        <v>0</v>
      </c>
      <c r="R13" s="50">
        <f>[11]MVTAOUT!$Q13+[11]MVTSEPT!$R13+[11]MVTOCT!$P13+[11]MVTNOV!$P13+[11]MVTDEC!$P13+[11]MVTJANV!$P13+[11]MVTFEV!$P13+[11]MVTMARS!$P13+[11]MVTAVRIL!$P13+[11]MVTMAI!$P13+[11]MVTJUIN!$P13+[11]MVTJUIL!$P13+[11]MVTAOUT2018!$P$13</f>
        <v>0</v>
      </c>
      <c r="S13" s="50">
        <v>700000</v>
      </c>
      <c r="T13" s="50">
        <f t="shared" si="5"/>
        <v>35000</v>
      </c>
      <c r="U13" s="50">
        <f t="shared" si="6"/>
        <v>735000</v>
      </c>
      <c r="V13" s="102">
        <v>43148</v>
      </c>
      <c r="W13" s="32"/>
      <c r="Z13" s="32">
        <f t="shared" si="4"/>
        <v>35000</v>
      </c>
      <c r="AA13" s="32">
        <f>S13+(S13*5/100)</f>
        <v>735000</v>
      </c>
    </row>
    <row r="14" spans="1:27" ht="15" customHeight="1" x14ac:dyDescent="0.25">
      <c r="A14" s="1" t="s">
        <v>89</v>
      </c>
      <c r="B14" s="45">
        <f>+INVENT2016_2017!J14</f>
        <v>450000</v>
      </c>
      <c r="C14" s="45">
        <f>+INVENT2016_2017!I14</f>
        <v>47415.82110666974</v>
      </c>
      <c r="D14" s="45">
        <f>[11]MVTAOUT!$H14+[11]MVTSEPT!$I14+[11]MVTOCT!$G14+[11]MVTNOV!$G14+[11]MVTDEC!$G14+[11]MVTJANV!$G14+[11]MVTFEV!$G14+[11]MVTMARS!$G14+[11]MVTAVRIL!$G14+[11]MVTMAI!$G14+[11]MVTJUIN!$G14+[11]MVTJUIL!$G14+[11]MVTAOUT2018!$G14</f>
        <v>40000</v>
      </c>
      <c r="E14" s="45">
        <f>+[11]MVTAOUT!$D14+[11]MVTSEPT!$E14+[11]MVTOCT!$C14+[11]MVTNOV!$C14+[11]MVTDEC!$C14+[11]MVTJANV!$C14+[11]MVTFEV!$C14+[11]MVTMARS!$C14+[11]MVTAVRIL!$C14+[11]MVTMAI!$C14+[11]MVTJUIN!$C14+[11]MVTJUIL!$C14</f>
        <v>19803.730952607159</v>
      </c>
      <c r="F14" s="45">
        <f t="shared" si="1"/>
        <v>107219.5520592769</v>
      </c>
      <c r="G14" s="50"/>
      <c r="H14" s="59"/>
      <c r="I14" s="50">
        <v>25000</v>
      </c>
      <c r="J14" s="50">
        <v>30000</v>
      </c>
      <c r="K14" s="56">
        <f t="shared" si="2"/>
        <v>52219.552059276903</v>
      </c>
      <c r="L14" s="45">
        <f>B14+J14</f>
        <v>480000</v>
      </c>
      <c r="M14" s="76">
        <f t="shared" si="3"/>
        <v>532219.55205927696</v>
      </c>
      <c r="N14" s="58"/>
      <c r="O14" s="50">
        <f>[11]MVTAOUT!O14+[11]MVTSEPT!P14+[11]MVTOCT!N14+[11]MVTNOV!N14+[11]MVTDEC!N14+[11]MVTJANV!N14+[11]MVTFEV!N14+[11]MVTMARS!N14+[11]MVTAVRIL!N14+[11]MVTMAI!N14+[11]MVTJUIN!N14+[11]MVTJUIL!N14</f>
        <v>600000</v>
      </c>
      <c r="P14" s="50">
        <f>[11]MVTAOUT!P14+[11]MVTSEPT!Q14+[11]MVTOCT!O14+[11]MVTNOV!O14+[11]MVTDEC!O14+[11]MVTJANV!O14+[11]MVTFEV!O14+[11]MVTMARS!O14+[11]MVTAVRIL!O14+[11]MVTMAI!O14+[11]MVTJUIN!O14+[11]MVTJUIL!O14</f>
        <v>66000</v>
      </c>
      <c r="Q14" s="50">
        <f>+INVENT2016_2017!N14</f>
        <v>1293600</v>
      </c>
      <c r="R14" s="50">
        <f>[11]MVTAOUT!$Q14+[11]MVTSEPT!$R14+[11]MVTOCT!$P14+[11]MVTNOV!$P14+[11]MVTDEC!$P14+[11]MVTJANV!$P14+[11]MVTFEV!$P14+[11]MVTMARS!$P14+[11]MVTAVRIL!$P14+[11]MVTMAI!$P14+[11]MVTJUIN!$P14+[11]MVTJUIL!$P14+[11]MVTAOUT2018!$P$14</f>
        <v>1959000</v>
      </c>
      <c r="S14" s="50">
        <f>666000-666000</f>
        <v>0</v>
      </c>
      <c r="T14" s="50"/>
      <c r="U14" s="50"/>
      <c r="V14" s="102">
        <v>42993</v>
      </c>
      <c r="W14" s="32"/>
      <c r="X14" s="32" t="s">
        <v>135</v>
      </c>
      <c r="Z14" s="32"/>
      <c r="AA14" s="32"/>
    </row>
    <row r="15" spans="1:27" ht="15" customHeight="1" x14ac:dyDescent="0.25">
      <c r="A15" s="1" t="s">
        <v>90</v>
      </c>
      <c r="B15" s="45">
        <f>+INVENT2016_2017!J15</f>
        <v>450000</v>
      </c>
      <c r="C15" s="45">
        <f>+INVENT2016_2017!I15</f>
        <v>0</v>
      </c>
      <c r="D15" s="45">
        <f>[11]MVTAOUT!$H15+[11]MVTSEPT!$I15+[11]MVTOCT!$G15+[11]MVTNOV!$G15+[11]MVTDEC!$G15+[11]MVTJANV!$G15+[11]MVTFEV!$G15+[11]MVTMARS!$G15+[11]MVTAVRIL!$G15+[11]MVTMAI!$G15+[11]MVTJUIN!$G15+[11]MVTJUIL!$G15+[11]MVTAOUT2018!$G15</f>
        <v>39000</v>
      </c>
      <c r="E15" s="45">
        <f>+[11]MVTAOUT!$D15+[11]MVTSEPT!$E15+[11]MVTOCT!$C15+[11]MVTNOV!$C15+[11]MVTDEC!$C15+[11]MVTJANV!$C15+[11]MVTFEV!$C15+[11]MVTMARS!$C15+[11]MVTAVRIL!$C15+[11]MVTMAI!$C15+[11]MVTJUIN!$C15+[11]MVTJUIL!$C15</f>
        <v>20021.149627566785</v>
      </c>
      <c r="F15" s="45">
        <f t="shared" si="1"/>
        <v>59021.149627566789</v>
      </c>
      <c r="G15" s="50"/>
      <c r="H15" s="59"/>
      <c r="I15" s="50">
        <v>25000</v>
      </c>
      <c r="J15" s="50">
        <v>30000</v>
      </c>
      <c r="K15" s="56">
        <f t="shared" si="2"/>
        <v>4021.1496275667887</v>
      </c>
      <c r="L15" s="45">
        <f>B15+J15</f>
        <v>480000</v>
      </c>
      <c r="M15" s="76">
        <f t="shared" si="3"/>
        <v>484021.1496275668</v>
      </c>
      <c r="N15" s="58"/>
      <c r="O15" s="50">
        <f>[11]MVTAOUT!O15+[11]MVTSEPT!P15+[11]MVTOCT!N15+[11]MVTNOV!N15+[11]MVTDEC!N15+[11]MVTJANV!N15+[11]MVTFEV!N15+[11]MVTMARS!N15+[11]MVTAVRIL!N15+[11]MVTMAI!N15+[11]MVTJUIN!N15+[11]MVTJUIL!N15</f>
        <v>0</v>
      </c>
      <c r="P15" s="50">
        <f>[11]MVTAOUT!P15+[11]MVTSEPT!Q15+[11]MVTOCT!O15+[11]MVTNOV!O15+[11]MVTDEC!O15+[11]MVTJANV!O15+[11]MVTFEV!O15+[11]MVTMARS!O15+[11]MVTAVRIL!O15+[11]MVTMAI!O15+[11]MVTJUIN!O15+[11]MVTJUIL!O15</f>
        <v>0</v>
      </c>
      <c r="Q15" s="50">
        <f>+INVENT2016_2017!N15</f>
        <v>0</v>
      </c>
      <c r="R15" s="50">
        <f>[11]MVTAOUT!$Q15+[11]MVTSEPT!$R15+[11]MVTOCT!$P15+[11]MVTNOV!$P15+[11]MVTDEC!$P15+[11]MVTJANV!$P15+[11]MVTFEV!$P15+[11]MVTMARS!$P15+[11]MVTAVRIL!$P15+[11]MVTMAI!$P15+[11]MVTJUIN!$P15+[11]MVTJUIL!$P15+[11]MVTAOUT2018!$P$15</f>
        <v>0</v>
      </c>
      <c r="S15" s="50"/>
      <c r="T15" s="50"/>
      <c r="U15" s="50"/>
      <c r="V15" s="101"/>
      <c r="W15" s="32"/>
      <c r="Z15" s="32"/>
      <c r="AA15" s="32"/>
    </row>
    <row r="16" spans="1:27" s="2" customFormat="1" ht="15" customHeight="1" x14ac:dyDescent="0.25">
      <c r="A16" s="46" t="s">
        <v>91</v>
      </c>
      <c r="B16" s="59">
        <v>80000</v>
      </c>
      <c r="C16" s="59">
        <f>+INVENT2016_2017!I16</f>
        <v>0</v>
      </c>
      <c r="D16" s="59">
        <f>[11]MVTAOUT!$H16+[11]MVTSEPT!$I16+[11]MVTOCT!$G16+[11]MVTNOV!$G16+[11]MVTDEC!$G16+[11]MVTJANV!$G16+[11]MVTFEV!$G16+[11]MVTMARS!$G16+[11]MVTAVRIL!$G16+[11]MVTMAI!$G16+[11]MVTJUIN!$G16+[11]MVTJUIL!$G16+[11]MVTAOUT2018!$G16</f>
        <v>0</v>
      </c>
      <c r="E16" s="59">
        <f>+[11]MVTAOUT!$D16+[11]MVTSEPT!$E16+[11]MVTOCT!$C16+[11]MVTNOV!$C16+[11]MVTDEC!$C16+[11]MVTJANV!$C16+[11]MVTFEV!$C16+[11]MVTMARS!$C16+[11]MVTAVRIL!$C16+[11]MVTMAI!$C16+[11]MVTJUIN!$C16+[11]MVTJUIL!$C16</f>
        <v>3334.7558071553813</v>
      </c>
      <c r="F16" s="59">
        <f t="shared" si="1"/>
        <v>3334.7558071553813</v>
      </c>
      <c r="G16" s="59"/>
      <c r="H16" s="59"/>
      <c r="I16" s="59">
        <v>6848</v>
      </c>
      <c r="J16" s="59">
        <v>0</v>
      </c>
      <c r="K16" s="56">
        <f t="shared" si="2"/>
        <v>-3513.2441928446187</v>
      </c>
      <c r="L16" s="45">
        <v>80000</v>
      </c>
      <c r="M16" s="76">
        <f t="shared" si="3"/>
        <v>76486.755807155379</v>
      </c>
      <c r="N16" s="58"/>
      <c r="O16" s="50">
        <f>[11]MVTAOUT!O16+[11]MVTSEPT!P16+[11]MVTOCT!N16+[11]MVTNOV!N16+[11]MVTDEC!N16+[11]MVTJANV!N16+[11]MVTFEV!N16+[11]MVTMARS!N16+[11]MVTAVRIL!N16+[11]MVTMAI!N16+[11]MVTJUIN!N16+[11]MVTJUIL!N16</f>
        <v>0</v>
      </c>
      <c r="P16" s="50">
        <f>[11]MVTAOUT!P16+[11]MVTSEPT!Q16+[11]MVTOCT!O16+[11]MVTNOV!O16+[11]MVTDEC!O16+[11]MVTJANV!O16+[11]MVTFEV!O16+[11]MVTMARS!O16+[11]MVTAVRIL!O16+[11]MVTMAI!O16+[11]MVTJUIN!O16+[11]MVTJUIL!O16</f>
        <v>0</v>
      </c>
      <c r="Q16" s="50">
        <f>+INVENT2016_2017!N16</f>
        <v>0</v>
      </c>
      <c r="R16" s="50">
        <f>[11]MVTAOUT!$Q16+[11]MVTSEPT!$R16+[11]MVTOCT!$P16+[11]MVTNOV!$P16+[11]MVTDEC!$P16+[11]MVTJANV!$P16+[11]MVTFEV!$P16+[11]MVTMARS!$P16+[11]MVTAVRIL!$P16+[11]MVTMAI!$P16+[11]MVTJUIN!$P16+[11]MVTJUIL!$P16+[11]MVTAOUT2018!$P$16</f>
        <v>0</v>
      </c>
      <c r="S16" s="50"/>
      <c r="T16" s="50"/>
      <c r="U16" s="50"/>
      <c r="V16" s="103"/>
      <c r="W16" s="47"/>
      <c r="Z16" s="32"/>
      <c r="AA16" s="32"/>
    </row>
    <row r="17" spans="1:27" ht="15" customHeight="1" x14ac:dyDescent="0.25">
      <c r="A17" s="1" t="s">
        <v>92</v>
      </c>
      <c r="B17" s="45">
        <f>+INVENT2016_2017!J17</f>
        <v>450000</v>
      </c>
      <c r="C17" s="45">
        <f>+INVENT2016_2017!I17</f>
        <v>82839.280004531</v>
      </c>
      <c r="D17" s="45">
        <f>[11]MVTAOUT!$H17+[11]MVTSEPT!$I17+[11]MVTOCT!$G17+[11]MVTNOV!$G17+[11]MVTDEC!$G17+[11]MVTJANV!$G17+[11]MVTFEV!$G17+[11]MVTMARS!$G17+[11]MVTAVRIL!$G17+[11]MVTMAI!$G17+[11]MVTJUIN!$G17+[11]MVTJUIL!$G17+[11]MVTAOUT2018!$G17</f>
        <v>54000</v>
      </c>
      <c r="E17" s="45">
        <f>+[11]MVTAOUT!$D17+[11]MVTSEPT!$E17+[11]MVTOCT!$C17+[11]MVTNOV!$C17+[11]MVTDEC!$C17+[11]MVTJANV!$C17+[11]MVTFEV!$C17+[11]MVTMARS!$C17+[11]MVTAVRIL!$C17+[11]MVTMAI!$C17+[11]MVTJUIN!$C17+[11]MVTJUIL!$C17</f>
        <v>20317.162507742913</v>
      </c>
      <c r="F17" s="45">
        <f t="shared" si="1"/>
        <v>157156.4425122739</v>
      </c>
      <c r="G17" s="50"/>
      <c r="H17" s="59"/>
      <c r="I17" s="50">
        <v>25000</v>
      </c>
      <c r="J17" s="50">
        <v>30000</v>
      </c>
      <c r="K17" s="56">
        <f t="shared" si="2"/>
        <v>102156.4425122739</v>
      </c>
      <c r="L17" s="45">
        <f>B17+J17</f>
        <v>480000</v>
      </c>
      <c r="M17" s="76">
        <f t="shared" si="3"/>
        <v>582156.4425122739</v>
      </c>
      <c r="N17" s="59"/>
      <c r="O17" s="50">
        <f>[11]MVTAOUT!O17+[11]MVTSEPT!P17+[11]MVTOCT!N17+[11]MVTNOV!N17+[11]MVTDEC!N17+[11]MVTJANV!N17+[11]MVTFEV!N17+[11]MVTMARS!N17+[11]MVTAVRIL!N17+[11]MVTMAI!N17+[11]MVTJUIN!N17+[11]MVTJUIL!N17</f>
        <v>0</v>
      </c>
      <c r="P17" s="50">
        <f>[11]MVTAOUT!P17+[11]MVTSEPT!Q17+[11]MVTOCT!O17+[11]MVTNOV!O17+[11]MVTDEC!O17+[11]MVTJANV!O17+[11]MVTFEV!O17+[11]MVTMARS!O17+[11]MVTAVRIL!O17+[11]MVTMAI!O17+[11]MVTJUIN!O17+[11]MVTJUIL!O17</f>
        <v>0</v>
      </c>
      <c r="Q17" s="50">
        <f>+INVENT2016_2017!N17</f>
        <v>784000</v>
      </c>
      <c r="R17" s="50">
        <f>[11]MVTAOUT!$Q17+[11]MVTSEPT!$R17+[11]MVTOCT!$P17+[11]MVTNOV!$P17+[11]MVTDEC!$P17+[11]MVTJANV!$P17+[11]MVTFEV!$P17+[11]MVTMARS!$P17+[11]MVTAVRIL!$P17+[11]MVTMAI!$P17+[11]MVTJUIN!$P17+[11]MVTJUIL!$P17+[11]MVTAOUT2018!$P$17</f>
        <v>565000</v>
      </c>
      <c r="S17" s="50">
        <f>+W17</f>
        <v>219000</v>
      </c>
      <c r="T17" s="50">
        <f>S17*5/100</f>
        <v>10950</v>
      </c>
      <c r="U17" s="50">
        <f>+S17+T17</f>
        <v>229950</v>
      </c>
      <c r="V17" s="102">
        <v>42904</v>
      </c>
      <c r="W17" s="47">
        <f>Q17-R17</f>
        <v>219000</v>
      </c>
      <c r="X17" s="32" t="s">
        <v>138</v>
      </c>
      <c r="Z17" s="32">
        <f t="shared" si="4"/>
        <v>10950</v>
      </c>
      <c r="AA17" s="32">
        <f>S17+(S17*5/100)</f>
        <v>229950</v>
      </c>
    </row>
    <row r="18" spans="1:27" ht="15" customHeight="1" x14ac:dyDescent="0.25">
      <c r="A18" s="4" t="s">
        <v>93</v>
      </c>
      <c r="B18" s="59">
        <v>387000</v>
      </c>
      <c r="C18" s="45">
        <f>+INVENT2016_2017!I18</f>
        <v>48664.160188931972</v>
      </c>
      <c r="D18" s="45">
        <f>[11]MVTAOUT!$H18+[11]MVTSEPT!$I18+[11]MVTOCT!$G18+[11]MVTNOV!$G18+[11]MVTDEC!$G18+[11]MVTJANV!$G18+[11]MVTFEV!$G18+[11]MVTMARS!$G18+[11]MVTAVRIL!$G18+[11]MVTMAI!$G18+[11]MVTJUIN!$G18+[11]MVTJUIL!$G18+[11]MVTAOUT2018!$G18</f>
        <v>0</v>
      </c>
      <c r="E18" s="45">
        <f>+[11]MVTAOUT!$D18+[11]MVTSEPT!$E18+[11]MVTOCT!$C18+[11]MVTNOV!$C18+[11]MVTDEC!$C18+[11]MVTJANV!$C18+[11]MVTFEV!$C18+[11]MVTMARS!$C18+[11]MVTAVRIL!$C18+[11]MVTMAI!$C18+[11]MVTJUIN!$C18+[11]MVTJUIL!$C18</f>
        <v>16583.140217657292</v>
      </c>
      <c r="F18" s="45">
        <f t="shared" si="1"/>
        <v>65247.30040658926</v>
      </c>
      <c r="G18" s="50"/>
      <c r="H18" s="59"/>
      <c r="I18" s="50">
        <v>25000</v>
      </c>
      <c r="J18" s="50">
        <v>30000</v>
      </c>
      <c r="K18" s="56">
        <f>F18-G18-H18-I18-J18-3000</f>
        <v>7247.3004065892601</v>
      </c>
      <c r="L18" s="45">
        <f>447000+30000+3000</f>
        <v>480000</v>
      </c>
      <c r="M18" s="76">
        <f t="shared" si="3"/>
        <v>487247.30040658929</v>
      </c>
      <c r="N18" s="59"/>
      <c r="O18" s="50">
        <f>[11]MVTAOUT!O18+[11]MVTSEPT!P18+[11]MVTOCT!N18+[11]MVTNOV!N18+[11]MVTDEC!N18+[11]MVTJANV!N18+[11]MVTFEV!N18+[11]MVTMARS!N18+[11]MVTAVRIL!N18+[11]MVTMAI!N18+[11]MVTJUIN!N18+[11]MVTJUIL!N18</f>
        <v>0</v>
      </c>
      <c r="P18" s="50">
        <f>[11]MVTAOUT!P18+[11]MVTSEPT!Q18+[11]MVTOCT!O18+[11]MVTNOV!O18+[11]MVTDEC!O18+[11]MVTJANV!O18+[11]MVTFEV!O18+[11]MVTMARS!O18+[11]MVTAVRIL!O18+[11]MVTMAI!O18+[11]MVTJUIN!O18+[11]MVTJUIL!O18</f>
        <v>0</v>
      </c>
      <c r="Q18" s="50">
        <f>+INVENT2016_2017!N18</f>
        <v>0</v>
      </c>
      <c r="R18" s="50">
        <f>[11]MVTAOUT!$Q18+[11]MVTSEPT!$R18+[11]MVTOCT!$P18+[11]MVTNOV!$P18+[11]MVTDEC!$P18+[11]MVTJANV!$P18+[11]MVTFEV!$P18+[11]MVTMARS!$P18+[11]MVTAVRIL!$P18+[11]MVTMAI!$P18+[11]MVTJUIN!$P18+[11]MVTJUIL!$P18+[11]MVTAOUT2018!$P$18</f>
        <v>0</v>
      </c>
      <c r="S18" s="50"/>
      <c r="T18" s="50"/>
      <c r="U18" s="50"/>
      <c r="V18" s="101"/>
      <c r="W18" s="32"/>
      <c r="Z18" s="32"/>
      <c r="AA18" s="32"/>
    </row>
    <row r="19" spans="1:27" ht="15" customHeight="1" x14ac:dyDescent="0.25">
      <c r="A19" s="1" t="s">
        <v>94</v>
      </c>
      <c r="B19" s="45">
        <f>+INVENT2016_2017!J19</f>
        <v>450000</v>
      </c>
      <c r="C19" s="45">
        <f>+INVENT2016_2017!I19</f>
        <v>1911428.9050543844</v>
      </c>
      <c r="D19" s="45">
        <f>[11]MVTAOUT!$H19+[11]MVTSEPT!$I19+[11]MVTOCT!$G19+[11]MVTNOV!$G19+[11]MVTDEC!$G19+[11]MVTJANV!$G19+[11]MVTFEV!$G19+[11]MVTMARS!$G19+[11]MVTAVRIL!$G19+[11]MVTMAI!$G19+[11]MVTJUIN!$G19+[11]MVTJUIL!$G19+[11]MVTAOUT2018!$G19</f>
        <v>1078000</v>
      </c>
      <c r="E19" s="45">
        <f>+[11]MVTAOUT!$D19+[11]MVTSEPT!$E19+[11]MVTOCT!$C19+[11]MVTNOV!$C19+[11]MVTDEC!$C19+[11]MVTJANV!$C19+[11]MVTFEV!$C19+[11]MVTMARS!$C19+[11]MVTAVRIL!$C19+[11]MVTMAI!$C19+[11]MVTJUIN!$C19+[11]MVTJUIL!$C19</f>
        <v>29469.823241101709</v>
      </c>
      <c r="F19" s="45">
        <f t="shared" si="1"/>
        <v>3018898.728295486</v>
      </c>
      <c r="G19" s="50"/>
      <c r="H19" s="59"/>
      <c r="I19" s="50">
        <v>25000</v>
      </c>
      <c r="J19" s="50">
        <v>30000</v>
      </c>
      <c r="K19" s="56">
        <f t="shared" si="2"/>
        <v>2963898.728295486</v>
      </c>
      <c r="L19" s="45">
        <f t="shared" ref="L19:L28" si="7">B19+J19</f>
        <v>480000</v>
      </c>
      <c r="M19" s="76">
        <f t="shared" si="3"/>
        <v>3443898.728295486</v>
      </c>
      <c r="N19" s="59"/>
      <c r="O19" s="50">
        <f>[11]MVTAOUT!O19+[11]MVTSEPT!P19+[11]MVTOCT!N19+[11]MVTNOV!N19+[11]MVTDEC!N19+[11]MVTJANV!N19+[11]MVTFEV!N19+[11]MVTMARS!N19+[11]MVTAVRIL!N19+[11]MVTMAI!N19+[11]MVTJUIN!N19+[11]MVTJUIL!N19</f>
        <v>0</v>
      </c>
      <c r="P19" s="50">
        <f>[11]MVTAOUT!P19+[11]MVTSEPT!Q19+[11]MVTOCT!O19+[11]MVTNOV!O19+[11]MVTDEC!O19+[11]MVTJANV!O19+[11]MVTFEV!O19+[11]MVTMARS!O19+[11]MVTAVRIL!O19+[11]MVTMAI!O19+[11]MVTJUIN!O19+[11]MVTJUIL!O19</f>
        <v>0</v>
      </c>
      <c r="Q19" s="50">
        <f>+INVENT2016_2017!N19</f>
        <v>0</v>
      </c>
      <c r="R19" s="50">
        <f>[11]MVTAOUT!$Q19+[11]MVTSEPT!$R19+[11]MVTOCT!$P19+[11]MVTNOV!$P19+[11]MVTDEC!$P19+[11]MVTJANV!$P19+[11]MVTFEV!$P19+[11]MVTMARS!$P19+[11]MVTAVRIL!$P19+[11]MVTMAI!$P19+[11]MVTJUIN!$P19+[11]MVTJUIL!$P19+[11]MVTAOUT2018!$P$19</f>
        <v>0</v>
      </c>
      <c r="S19" s="50"/>
      <c r="T19" s="50"/>
      <c r="U19" s="50"/>
      <c r="V19" s="101"/>
      <c r="W19" s="32"/>
      <c r="Z19" s="32"/>
      <c r="AA19" s="32"/>
    </row>
    <row r="20" spans="1:27" x14ac:dyDescent="0.25">
      <c r="A20" s="1" t="s">
        <v>95</v>
      </c>
      <c r="B20" s="45">
        <f>+INVENT2016_2017!J20</f>
        <v>450000</v>
      </c>
      <c r="C20" s="45">
        <f>+INVENT2016_2017!I20</f>
        <v>47239.946532464717</v>
      </c>
      <c r="D20" s="45">
        <f>[11]MVTAOUT!$H20+[11]MVTSEPT!$I20+[11]MVTOCT!$G20+[11]MVTNOV!$G20+[11]MVTDEC!$G20+[11]MVTJANV!$G20+[11]MVTFEV!$G20+[11]MVTMARS!$G20+[11]MVTAVRIL!$G20+[11]MVTMAI!$G20+[11]MVTJUIN!$G20+[11]MVTJUIL!$G20+[11]MVTAOUT2018!$G20</f>
        <v>39000</v>
      </c>
      <c r="E20" s="45">
        <f>+[11]MVTAOUT!$D20+[11]MVTSEPT!$E20+[11]MVTOCT!$C20+[11]MVTNOV!$C20+[11]MVTDEC!$C20+[11]MVTJANV!$C20+[11]MVTFEV!$C20+[11]MVTMARS!$C20+[11]MVTAVRIL!$C20+[11]MVTMAI!$C20+[11]MVTJUIN!$C20+[11]MVTJUIL!$C20</f>
        <v>19803.16581064666</v>
      </c>
      <c r="F20" s="45">
        <f t="shared" si="1"/>
        <v>106043.11234311138</v>
      </c>
      <c r="G20" s="50"/>
      <c r="H20" s="59"/>
      <c r="I20" s="50">
        <v>25000</v>
      </c>
      <c r="J20" s="50">
        <v>30000</v>
      </c>
      <c r="K20" s="56">
        <f t="shared" si="2"/>
        <v>51043.112343111381</v>
      </c>
      <c r="L20" s="45">
        <f t="shared" si="7"/>
        <v>480000</v>
      </c>
      <c r="M20" s="76">
        <f t="shared" si="3"/>
        <v>531043.11234311142</v>
      </c>
      <c r="N20" s="59"/>
      <c r="O20" s="50">
        <f>[11]MVTAOUT!O20+[11]MVTSEPT!P20+[11]MVTOCT!N20+[11]MVTNOV!N20+[11]MVTDEC!N20+[11]MVTJANV!N20+[11]MVTFEV!N20+[11]MVTMARS!N20+[11]MVTAVRIL!N20+[11]MVTMAI!N20+[11]MVTJUIN!N20+[11]MVTJUIL!N20</f>
        <v>600000</v>
      </c>
      <c r="P20" s="50">
        <f>[11]MVTAOUT!P20+[11]MVTSEPT!Q20+[11]MVTOCT!O20+[11]MVTNOV!O20+[11]MVTDEC!O20+[11]MVTJANV!O20+[11]MVTFEV!O20+[11]MVTMARS!O20+[11]MVTAVRIL!O20+[11]MVTMAI!O20+[11]MVTJUIN!O20+[11]MVTJUIL!O20</f>
        <v>48000</v>
      </c>
      <c r="Q20" s="50">
        <f>+INVENT2016_2017!N20</f>
        <v>1100000</v>
      </c>
      <c r="R20" s="50">
        <f>[11]MVTAOUT!$Q20+[11]MVTSEPT!$R20+[11]MVTOCT!$P20+[11]MVTNOV!$P20+[11]MVTDEC!$P20+[11]MVTJANV!$P20+[11]MVTFEV!$P20+[11]MVTMARS!$P20+[11]MVTAVRIL!$P20+[11]MVTMAI!$P20+[11]MVTJUIN!$P20+[11]MVTJUIL!$P20+[11]MVTAOUT2018!$P$20</f>
        <v>1150000</v>
      </c>
      <c r="S20" s="50">
        <v>648000</v>
      </c>
      <c r="T20" s="50">
        <f t="shared" ref="T20:T22" si="8">S20*5/100</f>
        <v>32400</v>
      </c>
      <c r="U20" s="50">
        <f t="shared" ref="U20:U22" si="9">+S20+T20</f>
        <v>680400</v>
      </c>
      <c r="V20" s="102">
        <v>43086</v>
      </c>
      <c r="W20" s="32"/>
      <c r="X20" t="s">
        <v>135</v>
      </c>
      <c r="Z20" s="32">
        <f t="shared" si="4"/>
        <v>32400</v>
      </c>
      <c r="AA20" s="32">
        <f>S20+(S20*5/100)</f>
        <v>680400</v>
      </c>
    </row>
    <row r="21" spans="1:27" x14ac:dyDescent="0.25">
      <c r="A21" s="1" t="s">
        <v>96</v>
      </c>
      <c r="B21" s="45">
        <f>+INVENT2016_2017!J21</f>
        <v>450000</v>
      </c>
      <c r="C21" s="45">
        <f>+INVENT2016_2017!I21</f>
        <v>53808.893492286523</v>
      </c>
      <c r="D21" s="45">
        <f>[11]MVTAOUT!$H21+[11]MVTSEPT!$I21+[11]MVTOCT!$G21+[11]MVTNOV!$G21+[11]MVTDEC!$G21+[11]MVTJANV!$G21+[11]MVTFEV!$G21+[11]MVTMARS!$G21+[11]MVTAVRIL!$G21+[11]MVTMAI!$G21+[11]MVTJUIN!$G21+[11]MVTJUIL!$G21+[11]MVTAOUT2018!$G21</f>
        <v>39000</v>
      </c>
      <c r="E21" s="45">
        <f>+[11]MVTAOUT!$D21+[11]MVTSEPT!$E21+[11]MVTOCT!$C21+[11]MVTNOV!$C21+[11]MVTDEC!$C21+[11]MVTJANV!$C21+[11]MVTFEV!$C21+[11]MVTMARS!$C21+[11]MVTAVRIL!$C21+[11]MVTMAI!$C21+[11]MVTJUIN!$C21+[11]MVTJUIL!$C21</f>
        <v>19802.808393163788</v>
      </c>
      <c r="F21" s="45">
        <f t="shared" si="1"/>
        <v>112611.70188545031</v>
      </c>
      <c r="G21" s="50"/>
      <c r="H21" s="59"/>
      <c r="I21" s="50">
        <v>25000</v>
      </c>
      <c r="J21" s="50">
        <v>30000</v>
      </c>
      <c r="K21" s="56">
        <f t="shared" si="2"/>
        <v>57611.701885450311</v>
      </c>
      <c r="L21" s="45">
        <f t="shared" si="7"/>
        <v>480000</v>
      </c>
      <c r="M21" s="76">
        <f t="shared" si="3"/>
        <v>537611.70188545028</v>
      </c>
      <c r="N21" s="59"/>
      <c r="O21" s="50">
        <f>[11]MVTAOUT!O21+[11]MVTSEPT!P21+[11]MVTOCT!N21+[11]MVTNOV!N21+[11]MVTDEC!N21+[11]MVTJANV!N21+[11]MVTFEV!N21+[11]MVTMARS!N21+[11]MVTAVRIL!N21+[11]MVTMAI!N21+[11]MVTJUIN!N21+[11]MVTJUIL!N21</f>
        <v>110000</v>
      </c>
      <c r="P21" s="50">
        <f>[11]MVTAOUT!P21+[11]MVTSEPT!Q21+[11]MVTOCT!O21+[11]MVTNOV!O21+[11]MVTDEC!O21+[11]MVTJANV!O21+[11]MVTFEV!O21+[11]MVTMARS!O21+[11]MVTAVRIL!O21+[11]MVTMAI!O21+[11]MVTJUIN!O21+[11]MVTJUIL!O21</f>
        <v>3300</v>
      </c>
      <c r="Q21" s="50">
        <f>+INVENT2016_2017!N21</f>
        <v>592000</v>
      </c>
      <c r="R21" s="50">
        <f>[11]MVTAOUT!$Q21+[11]MVTSEPT!$R21+[11]MVTOCT!$P21+[11]MVTNOV!$P21+[11]MVTDEC!$P21+[11]MVTJANV!$P21+[11]MVTFEV!$P21+[11]MVTMARS!$P21+[11]MVTAVRIL!$P21+[11]MVTMAI!$P21+[11]MVTJUIN!$P21+[11]MVTJUIL!$P21+[11]MVTAOUT2018!$P$21</f>
        <v>493000</v>
      </c>
      <c r="S21" s="50">
        <f>110000-94000</f>
        <v>16000</v>
      </c>
      <c r="T21" s="50">
        <f t="shared" si="8"/>
        <v>800</v>
      </c>
      <c r="U21" s="50">
        <f t="shared" si="9"/>
        <v>16800</v>
      </c>
      <c r="V21" s="102">
        <v>43241</v>
      </c>
      <c r="W21" s="32"/>
      <c r="X21" s="32" t="s">
        <v>135</v>
      </c>
      <c r="Z21" s="32">
        <f t="shared" si="4"/>
        <v>800</v>
      </c>
      <c r="AA21" s="32">
        <f>S21+(S21*5/100)</f>
        <v>16800</v>
      </c>
    </row>
    <row r="22" spans="1:27" x14ac:dyDescent="0.25">
      <c r="A22" s="1" t="s">
        <v>97</v>
      </c>
      <c r="B22" s="45">
        <f>+INVENT2016_2017!J22</f>
        <v>450000</v>
      </c>
      <c r="C22" s="45">
        <f>+INVENT2016_2017!I22</f>
        <v>39090.629774364417</v>
      </c>
      <c r="D22" s="45">
        <f>[11]MVTAOUT!$H22+[11]MVTSEPT!$I22+[11]MVTOCT!$G22+[11]MVTNOV!$G22+[11]MVTDEC!$G22+[11]MVTJANV!$G22+[11]MVTFEV!$G22+[11]MVTMARS!$G22+[11]MVTAVRIL!$G22+[11]MVTMAI!$G22+[11]MVTJUIN!$G22+[11]MVTJUIL!$G22+[11]MVTAOUT2018!$G22</f>
        <v>38000</v>
      </c>
      <c r="E22" s="45">
        <f>+[11]MVTAOUT!$D22+[11]MVTSEPT!$E22+[11]MVTOCT!$C22+[11]MVTNOV!$C22+[11]MVTDEC!$C22+[11]MVTJANV!$C22+[11]MVTFEV!$C22+[11]MVTMARS!$C22+[11]MVTAVRIL!$C22+[11]MVTMAI!$C22+[11]MVTJUIN!$C22+[11]MVTJUIL!$C22</f>
        <v>19797.109500169328</v>
      </c>
      <c r="F22" s="45">
        <f t="shared" si="1"/>
        <v>96887.739274533742</v>
      </c>
      <c r="G22" s="50"/>
      <c r="H22" s="59"/>
      <c r="I22" s="50">
        <v>25000</v>
      </c>
      <c r="J22" s="50">
        <v>30000</v>
      </c>
      <c r="K22" s="56">
        <f t="shared" si="2"/>
        <v>41887.739274533742</v>
      </c>
      <c r="L22" s="45">
        <f t="shared" si="7"/>
        <v>480000</v>
      </c>
      <c r="M22" s="76">
        <f t="shared" si="3"/>
        <v>521887.73927453376</v>
      </c>
      <c r="N22" s="59"/>
      <c r="O22" s="50">
        <f>[11]MVTAOUT!O22+[11]MVTSEPT!P22+[11]MVTOCT!N22+[11]MVTNOV!N22+[11]MVTDEC!N22+[11]MVTJANV!N22+[11]MVTFEV!N22+[11]MVTMARS!N22+[11]MVTAVRIL!N22+[11]MVTMAI!N22+[11]MVTJUIN!N22+[11]MVTJUIL!N22</f>
        <v>700000</v>
      </c>
      <c r="P22" s="50">
        <f>[11]MVTAOUT!P22+[11]MVTSEPT!Q22+[11]MVTOCT!O22+[11]MVTNOV!O22+[11]MVTDEC!O22+[11]MVTJANV!O22+[11]MVTFEV!O22+[11]MVTMARS!O22+[11]MVTAVRIL!O22+[11]MVTMAI!O22+[11]MVTJUIN!O22+[11]MVTJUIL!O22</f>
        <v>70000</v>
      </c>
      <c r="Q22" s="50">
        <f>+INVENT2016_2017!N22</f>
        <v>896000</v>
      </c>
      <c r="R22" s="50">
        <f>[11]MVTAOUT!$Q22+[11]MVTSEPT!$R22+[11]MVTOCT!$P22+[11]MVTNOV!$P22+[11]MVTDEC!$P22+[11]MVTJANV!$P22+[11]MVTFEV!$P22+[11]MVTMARS!$P22+[11]MVTAVRIL!$P22+[11]MVTMAI!$P22+[11]MVTJUIN!$P22+[11]MVTJUIL!$P22+[11]MVTAOUT2018!$P$22</f>
        <v>896000</v>
      </c>
      <c r="S22" s="50">
        <v>700000</v>
      </c>
      <c r="T22" s="50">
        <f t="shared" si="8"/>
        <v>35000</v>
      </c>
      <c r="U22" s="50">
        <f t="shared" si="9"/>
        <v>735000</v>
      </c>
      <c r="V22" s="102">
        <v>43121</v>
      </c>
      <c r="W22" s="32"/>
      <c r="X22" t="s">
        <v>135</v>
      </c>
      <c r="Z22" s="32">
        <f t="shared" si="4"/>
        <v>35000</v>
      </c>
      <c r="AA22" s="32">
        <f>S22+(S22*5/100)</f>
        <v>735000</v>
      </c>
    </row>
    <row r="23" spans="1:27" ht="16.5" customHeight="1" x14ac:dyDescent="0.25">
      <c r="A23" s="1" t="s">
        <v>98</v>
      </c>
      <c r="B23" s="45">
        <f>+INVENT2016_2017!J23</f>
        <v>450000</v>
      </c>
      <c r="C23" s="45">
        <f>+INVENT2016_2017!I23</f>
        <v>36797.235944061853</v>
      </c>
      <c r="D23" s="45">
        <f>[11]MVTAOUT!$H23+[11]MVTSEPT!$I23+[11]MVTOCT!$G23+[11]MVTNOV!$G23+[11]MVTDEC!$G23+[11]MVTJANV!$G23+[11]MVTFEV!$G23+[11]MVTMARS!$G23+[11]MVTAVRIL!$G23+[11]MVTMAI!$G23+[11]MVTJUIN!$G23+[11]MVTJUIL!$G23+[11]MVTAOUT2018!$G23</f>
        <v>39000</v>
      </c>
      <c r="E23" s="45">
        <f>+[11]MVTAOUT!$D23+[11]MVTSEPT!$E23+[11]MVTOCT!$C23+[11]MVTNOV!$C23+[11]MVTDEC!$C23+[11]MVTJANV!$C23+[11]MVTFEV!$C23+[11]MVTMARS!$C23+[11]MVTAVRIL!$C23+[11]MVTMAI!$C23+[11]MVTJUIN!$C23+[11]MVTJUIL!$C23</f>
        <v>19808.169885824143</v>
      </c>
      <c r="F23" s="45">
        <f t="shared" si="1"/>
        <v>95605.405829886004</v>
      </c>
      <c r="G23" s="50"/>
      <c r="H23" s="59"/>
      <c r="I23" s="50">
        <v>25000</v>
      </c>
      <c r="J23" s="50">
        <v>30000</v>
      </c>
      <c r="K23" s="56">
        <f t="shared" si="2"/>
        <v>40605.405829886004</v>
      </c>
      <c r="L23" s="45">
        <f t="shared" si="7"/>
        <v>480000</v>
      </c>
      <c r="M23" s="76">
        <f t="shared" si="3"/>
        <v>520605.40582988597</v>
      </c>
      <c r="N23" s="59"/>
      <c r="O23" s="50">
        <f>[11]MVTAOUT!O23+[11]MVTSEPT!P23+[11]MVTOCT!N23+[11]MVTNOV!N23+[11]MVTDEC!N23+[11]MVTJANV!N23+[11]MVTFEV!N23+[11]MVTMARS!N23+[11]MVTAVRIL!N23+[11]MVTMAI!N23+[11]MVTJUIN!N23+[11]MVTJUIL!N23</f>
        <v>850000</v>
      </c>
      <c r="P23" s="50">
        <f>[11]MVTAOUT!P23+[11]MVTSEPT!Q23+[11]MVTOCT!O23+[11]MVTNOV!O23+[11]MVTDEC!O23+[11]MVTJANV!O23+[11]MVTFEV!O23+[11]MVTMARS!O23+[11]MVTAVRIL!O23+[11]MVTMAI!O23+[11]MVTJUIN!O23+[11]MVTJUIL!O23</f>
        <v>51000</v>
      </c>
      <c r="Q23" s="50">
        <f>+INVENT2016_2017!N23</f>
        <v>1120000</v>
      </c>
      <c r="R23" s="50">
        <f>[11]MVTAOUT!$Q23+[11]MVTSEPT!$R23+[11]MVTOCT!$P23+[11]MVTNOV!$P23+[11]MVTDEC!$P23+[11]MVTJANV!$P23+[11]MVTFEV!$P23+[11]MVTMARS!$P23+[11]MVTAVRIL!$P23+[11]MVTMAI!$P23+[11]MVTJUIN!$P23+[11]MVTJUIL!$P23+[11]MVTAOUT2018!$P$23</f>
        <v>1950000</v>
      </c>
      <c r="S23" s="50">
        <f>850000-850000</f>
        <v>0</v>
      </c>
      <c r="T23" s="50"/>
      <c r="U23" s="50"/>
      <c r="V23" s="102">
        <v>43241</v>
      </c>
      <c r="W23" s="32"/>
      <c r="X23" s="32" t="s">
        <v>135</v>
      </c>
      <c r="Y23" s="32">
        <v>20000</v>
      </c>
      <c r="Z23" s="32"/>
      <c r="AA23" s="32"/>
    </row>
    <row r="24" spans="1:27" x14ac:dyDescent="0.25">
      <c r="A24" s="1" t="s">
        <v>99</v>
      </c>
      <c r="B24" s="45">
        <f>+INVENT2016_2017!J24</f>
        <v>450000</v>
      </c>
      <c r="C24" s="45">
        <f>+INVENT2016_2017!I24</f>
        <v>47506.896495311616</v>
      </c>
      <c r="D24" s="45">
        <f>[11]MVTAOUT!$H24+[11]MVTSEPT!$I24+[11]MVTOCT!$G24+[11]MVTNOV!$G24+[11]MVTDEC!$G24+[11]MVTJANV!$G24+[11]MVTFEV!$G24+[11]MVTMARS!$G24+[11]MVTAVRIL!$G24+[11]MVTMAI!$G24+[11]MVTJUIN!$G24+[11]MVTJUIL!$G24+[11]MVTAOUT2018!$G24</f>
        <v>39000</v>
      </c>
      <c r="E24" s="45">
        <f>+[11]MVTAOUT!$D24+[11]MVTSEPT!$E24+[11]MVTOCT!$C24+[11]MVTNOV!$C24+[11]MVTDEC!$C24+[11]MVTJANV!$C24+[11]MVTFEV!$C24+[11]MVTMARS!$C24+[11]MVTAVRIL!$C24+[11]MVTMAI!$C24+[11]MVTJUIN!$C24+[11]MVTJUIL!$C24</f>
        <v>19799.955297849745</v>
      </c>
      <c r="F24" s="45">
        <f t="shared" si="1"/>
        <v>106306.85179316136</v>
      </c>
      <c r="G24" s="50"/>
      <c r="H24" s="59"/>
      <c r="I24" s="50">
        <v>25000</v>
      </c>
      <c r="J24" s="50">
        <v>30000</v>
      </c>
      <c r="K24" s="56">
        <f t="shared" si="2"/>
        <v>51306.851793161361</v>
      </c>
      <c r="L24" s="45">
        <f t="shared" si="7"/>
        <v>480000</v>
      </c>
      <c r="M24" s="76">
        <f t="shared" si="3"/>
        <v>531306.85179316136</v>
      </c>
      <c r="N24" s="59"/>
      <c r="O24" s="50">
        <f>[11]MVTAOUT!O24+[11]MVTSEPT!P24+[11]MVTOCT!N24+[11]MVTNOV!N24+[11]MVTDEC!N24+[11]MVTJANV!N24+[11]MVTFEV!N24+[11]MVTMARS!N24+[11]MVTAVRIL!N24+[11]MVTMAI!N24+[11]MVTJUIN!N24+[11]MVTJUIL!N24</f>
        <v>150000</v>
      </c>
      <c r="P24" s="50">
        <f>[11]MVTAOUT!P24+[11]MVTSEPT!Q24+[11]MVTOCT!O24+[11]MVTNOV!O24+[11]MVTDEC!O24+[11]MVTJANV!O24+[11]MVTFEV!O24+[11]MVTMARS!O24+[11]MVTAVRIL!O24+[11]MVTMAI!O24+[11]MVTJUIN!O24+[11]MVTJUIL!O24</f>
        <v>18000</v>
      </c>
      <c r="Q24" s="50">
        <f>+INVENT2016_2017!N24</f>
        <v>154500</v>
      </c>
      <c r="R24" s="50">
        <f>[11]MVTAOUT!$Q24+[11]MVTSEPT!$R24+[11]MVTOCT!$P24+[11]MVTNOV!$P24+[11]MVTDEC!$P24+[11]MVTJANV!$P24+[11]MVTFEV!$P24+[11]MVTMARS!$P24+[11]MVTAVRIL!$P24+[11]MVTMAI!$P24+[11]MVTJUIN!$P24+[11]MVTJUIL!$P24+[11]MVTAOUT2018!$P$24</f>
        <v>157500</v>
      </c>
      <c r="S24" s="50">
        <v>168000</v>
      </c>
      <c r="T24" s="50">
        <f>S24*5/100</f>
        <v>8400</v>
      </c>
      <c r="U24" s="50">
        <f>+S24+T24</f>
        <v>176400</v>
      </c>
      <c r="V24" s="102">
        <v>42967</v>
      </c>
      <c r="W24" s="32"/>
      <c r="X24" t="s">
        <v>135</v>
      </c>
      <c r="Z24" s="32">
        <f t="shared" si="4"/>
        <v>8400</v>
      </c>
      <c r="AA24" s="32">
        <f>S24+(S24*5/100)</f>
        <v>176400</v>
      </c>
    </row>
    <row r="25" spans="1:27" x14ac:dyDescent="0.25">
      <c r="A25" s="1" t="s">
        <v>100</v>
      </c>
      <c r="B25" s="45">
        <f>+INVENT2016_2017!J25</f>
        <v>450000</v>
      </c>
      <c r="C25" s="45">
        <f>+INVENT2016_2017!I25</f>
        <v>47549.254632432756</v>
      </c>
      <c r="D25" s="45">
        <f>[11]MVTAOUT!$H25+[11]MVTSEPT!$I25+[11]MVTOCT!$G25+[11]MVTNOV!$G25+[11]MVTDEC!$G25+[11]MVTJANV!$G25+[11]MVTFEV!$G25+[11]MVTMARS!$G25+[11]MVTAVRIL!$G25+[11]MVTMAI!$G25+[11]MVTJUIN!$G25+[11]MVTJUIL!$G25+[11]MVTAOUT2018!$G25</f>
        <v>39000</v>
      </c>
      <c r="E25" s="45">
        <f>+[11]MVTAOUT!$D25+[11]MVTSEPT!$E25+[11]MVTOCT!$C25+[11]MVTNOV!$C25+[11]MVTDEC!$C25+[11]MVTJANV!$C25+[11]MVTFEV!$C25+[11]MVTMARS!$C25+[11]MVTAVRIL!$C25+[11]MVTMAI!$C25+[11]MVTJUIN!$C25+[11]MVTJUIL!$C25</f>
        <v>19804.481050118364</v>
      </c>
      <c r="F25" s="45">
        <f t="shared" si="1"/>
        <v>106353.73568255112</v>
      </c>
      <c r="G25" s="50"/>
      <c r="H25" s="59"/>
      <c r="I25" s="50">
        <v>25000</v>
      </c>
      <c r="J25" s="50">
        <v>30000</v>
      </c>
      <c r="K25" s="56">
        <f t="shared" si="2"/>
        <v>51353.735682551123</v>
      </c>
      <c r="L25" s="45">
        <f t="shared" si="7"/>
        <v>480000</v>
      </c>
      <c r="M25" s="76">
        <f t="shared" si="3"/>
        <v>531353.73568255117</v>
      </c>
      <c r="N25" s="59"/>
      <c r="O25" s="50">
        <f>[11]MVTAOUT!O25+[11]MVTSEPT!P25+[11]MVTOCT!N25+[11]MVTNOV!N25+[11]MVTDEC!N25+[11]MVTJANV!N25+[11]MVTFEV!N25+[11]MVTMARS!N25+[11]MVTAVRIL!N25+[11]MVTMAI!N25+[11]MVTJUIN!N25+[11]MVTJUIL!N25</f>
        <v>0</v>
      </c>
      <c r="P25" s="50">
        <f>[11]MVTAOUT!P25+[11]MVTSEPT!Q25+[11]MVTOCT!O25+[11]MVTNOV!O25+[11]MVTDEC!O25+[11]MVTJANV!O25+[11]MVTFEV!O25+[11]MVTMARS!O25+[11]MVTAVRIL!O25+[11]MVTMAI!O25+[11]MVTJUIN!O25+[11]MVTJUIL!O25</f>
        <v>0</v>
      </c>
      <c r="Q25" s="50">
        <f>+INVENT2016_2017!N25</f>
        <v>0</v>
      </c>
      <c r="R25" s="50">
        <f>[11]MVTAOUT!$Q25+[11]MVTSEPT!$R25+[11]MVTOCT!$P25+[11]MVTNOV!$P25+[11]MVTDEC!$P25+[11]MVTJANV!$P25+[11]MVTFEV!$P25+[11]MVTMARS!$P25+[11]MVTAVRIL!$P25+[11]MVTMAI!$P25+[11]MVTJUIN!$P25+[11]MVTJUIL!$P25+[11]MVTAOUT2018!$P$25</f>
        <v>21000</v>
      </c>
      <c r="S25" s="50"/>
      <c r="T25" s="50"/>
      <c r="U25" s="50"/>
      <c r="V25" s="101"/>
      <c r="W25" s="32"/>
      <c r="X25" s="32" t="s">
        <v>138</v>
      </c>
      <c r="Z25" s="32"/>
      <c r="AA25" s="32"/>
    </row>
    <row r="26" spans="1:27" x14ac:dyDescent="0.25">
      <c r="A26" s="1" t="s">
        <v>101</v>
      </c>
      <c r="B26" s="45">
        <f>+INVENT2016_2017!J26</f>
        <v>450000</v>
      </c>
      <c r="C26" s="45">
        <f>+INVENT2016_2017!I26</f>
        <v>47476.113679677859</v>
      </c>
      <c r="D26" s="45">
        <f>[11]MVTAOUT!$H26+[11]MVTSEPT!$I26+[11]MVTOCT!$G26+[11]MVTNOV!$G26+[11]MVTDEC!$G26+[11]MVTJANV!$G26+[11]MVTFEV!$G26+[11]MVTMARS!$G26+[11]MVTAVRIL!$G26+[11]MVTMAI!$G26+[11]MVTJUIN!$G26+[11]MVTJUIL!$G26+[11]MVTAOUT2018!$G26</f>
        <v>104000</v>
      </c>
      <c r="E26" s="45">
        <f>+[11]MVTAOUT!$D26+[11]MVTSEPT!$E26+[11]MVTOCT!$C26+[11]MVTNOV!$C26+[11]MVTDEC!$C26+[11]MVTJANV!$C26+[11]MVTFEV!$C26+[11]MVTMARS!$C26+[11]MVTAVRIL!$C26+[11]MVTMAI!$C26+[11]MVTJUIN!$C26+[11]MVTJUIL!$C26</f>
        <v>20749.50043166359</v>
      </c>
      <c r="F26" s="45">
        <f t="shared" si="1"/>
        <v>172225.61411134145</v>
      </c>
      <c r="G26" s="50"/>
      <c r="H26" s="59"/>
      <c r="I26" s="50">
        <v>25000</v>
      </c>
      <c r="J26" s="50">
        <v>30000</v>
      </c>
      <c r="K26" s="56">
        <f t="shared" si="2"/>
        <v>117225.61411134145</v>
      </c>
      <c r="L26" s="45">
        <f t="shared" si="7"/>
        <v>480000</v>
      </c>
      <c r="M26" s="76">
        <f t="shared" si="3"/>
        <v>597225.61411134142</v>
      </c>
      <c r="N26" s="59"/>
      <c r="O26" s="50">
        <f>[11]MVTAOUT!O26+[11]MVTSEPT!P26+[11]MVTOCT!N26+[11]MVTNOV!N26+[11]MVTDEC!N26+[11]MVTJANV!N26+[11]MVTFEV!N26+[11]MVTMARS!N26+[11]MVTAVRIL!N26+[11]MVTMAI!N26+[11]MVTJUIN!N26+[11]MVTJUIL!N26</f>
        <v>700000</v>
      </c>
      <c r="P26" s="50">
        <f>[11]MVTAOUT!P26+[11]MVTSEPT!Q26+[11]MVTOCT!O26+[11]MVTNOV!O26+[11]MVTDEC!O26+[11]MVTJANV!O26+[11]MVTFEV!O26+[11]MVTMARS!O26+[11]MVTAVRIL!O26+[11]MVTMAI!O26+[11]MVTJUIN!O26+[11]MVTJUIL!O26</f>
        <v>35000</v>
      </c>
      <c r="Q26" s="50">
        <f>+INVENT2016_2017!N26</f>
        <v>672000</v>
      </c>
      <c r="R26" s="50">
        <f>[11]MVTAOUT!$Q26+[11]MVTSEPT!$R26+[11]MVTOCT!$P26+[11]MVTNOV!$P26+[11]MVTDEC!$P26+[11]MVTJANV!$P26+[11]MVTFEV!$P26+[11]MVTMARS!$P26+[11]MVTAVRIL!$P26+[11]MVTMAI!$P26+[11]MVTJUIN!$P26+[11]MVTJUIL!$P26+[11]MVTAOUT2018!$P$26</f>
        <v>1372000</v>
      </c>
      <c r="S26" s="50">
        <v>0</v>
      </c>
      <c r="T26" s="50"/>
      <c r="U26" s="50"/>
      <c r="V26" s="102">
        <v>43169</v>
      </c>
      <c r="W26" s="32"/>
      <c r="X26" s="32" t="s">
        <v>135</v>
      </c>
      <c r="Z26" s="32"/>
      <c r="AA26" s="32"/>
    </row>
    <row r="27" spans="1:27" x14ac:dyDescent="0.25">
      <c r="A27" s="1" t="s">
        <v>102</v>
      </c>
      <c r="B27" s="45">
        <f>+INVENT2016_2017!J27</f>
        <v>450000</v>
      </c>
      <c r="C27" s="45">
        <f>+INVENT2016_2017!I27</f>
        <v>27680.73434003918</v>
      </c>
      <c r="D27" s="45">
        <f>[11]MVTAOUT!$H27+[11]MVTSEPT!$I27+[11]MVTOCT!$G27+[11]MVTNOV!$G27+[11]MVTDEC!$G27+[11]MVTJANV!$G27+[11]MVTFEV!$G27+[11]MVTMARS!$G27+[11]MVTAVRIL!$G27+[11]MVTMAI!$G27+[11]MVTJUIN!$G27+[11]MVTJUIL!$G27+[11]MVTAOUT2018!$G27</f>
        <v>39000</v>
      </c>
      <c r="E27" s="45">
        <f>+[11]MVTAOUT!$D27+[11]MVTSEPT!$E27+[11]MVTOCT!$C27+[11]MVTNOV!$C27+[11]MVTDEC!$C27+[11]MVTJANV!$C27+[11]MVTFEV!$C27+[11]MVTMARS!$C27+[11]MVTAVRIL!$C27+[11]MVTMAI!$C27+[11]MVTJUIN!$C27+[11]MVTJUIL!$C27</f>
        <v>19734.447121784498</v>
      </c>
      <c r="F27" s="45">
        <f t="shared" si="1"/>
        <v>86415.181461823682</v>
      </c>
      <c r="G27" s="50"/>
      <c r="H27" s="59"/>
      <c r="I27" s="50">
        <v>25000</v>
      </c>
      <c r="J27" s="50">
        <v>30000</v>
      </c>
      <c r="K27" s="56">
        <f t="shared" si="2"/>
        <v>31415.181461823682</v>
      </c>
      <c r="L27" s="45">
        <f t="shared" si="7"/>
        <v>480000</v>
      </c>
      <c r="M27" s="76">
        <f t="shared" si="3"/>
        <v>511415.1814618237</v>
      </c>
      <c r="N27" s="59"/>
      <c r="O27" s="50">
        <f>[11]MVTAOUT!O27+[11]MVTSEPT!P27+[11]MVTOCT!N27+[11]MVTNOV!N27+[11]MVTDEC!N27+[11]MVTJANV!N27+[11]MVTFEV!N27+[11]MVTMARS!N27+[11]MVTAVRIL!N27+[11]MVTMAI!N27+[11]MVTJUIN!N27+[11]MVTJUIL!N27</f>
        <v>0</v>
      </c>
      <c r="P27" s="50">
        <f>[11]MVTAOUT!P27+[11]MVTSEPT!Q27+[11]MVTOCT!O27+[11]MVTNOV!O27+[11]MVTDEC!O27+[11]MVTJANV!O27+[11]MVTFEV!O27+[11]MVTMARS!O27+[11]MVTAVRIL!O27+[11]MVTMAI!O27+[11]MVTJUIN!O27+[11]MVTJUIL!O27</f>
        <v>0</v>
      </c>
      <c r="Q27" s="50">
        <f>+INVENT2016_2017!N27</f>
        <v>0</v>
      </c>
      <c r="R27" s="50">
        <f>[11]MVTAOUT!$Q27+[11]MVTSEPT!$R27+[11]MVTOCT!$P27+[11]MVTNOV!$P27+[11]MVTDEC!$P27+[11]MVTJANV!$P27+[11]MVTFEV!$P27+[11]MVTMARS!$P27+[11]MVTAVRIL!$P27+[11]MVTMAI!$P27+[11]MVTJUIN!$P27+[11]MVTJUIL!$P27+[11]MVTAOUT2018!$P$27</f>
        <v>0</v>
      </c>
      <c r="S27" s="50"/>
      <c r="T27" s="50"/>
      <c r="U27" s="50"/>
      <c r="V27" s="101"/>
      <c r="W27" s="32"/>
      <c r="Z27" s="32"/>
      <c r="AA27" s="32"/>
    </row>
    <row r="28" spans="1:27" x14ac:dyDescent="0.25">
      <c r="A28" s="1" t="s">
        <v>103</v>
      </c>
      <c r="B28" s="45">
        <f>+INVENT2016_2017!J28</f>
        <v>450000</v>
      </c>
      <c r="C28" s="45">
        <f>+INVENT2016_2017!I28</f>
        <v>47679.518159791274</v>
      </c>
      <c r="D28" s="45">
        <f>[11]MVTAOUT!$H28+[11]MVTSEPT!$I28+[11]MVTOCT!$G28+[11]MVTNOV!$G28+[11]MVTDEC!$G28+[11]MVTJANV!$G28+[11]MVTFEV!$G28+[11]MVTMARS!$G28+[11]MVTAVRIL!$G28+[11]MVTMAI!$G28+[11]MVTJUIN!$G28+[11]MVTJUIL!$G28+[11]MVTAOUT2018!$G28</f>
        <v>105500</v>
      </c>
      <c r="E28" s="45">
        <f>+[11]MVTAOUT!$D28+[11]MVTSEPT!$E28+[11]MVTOCT!$C28+[11]MVTNOV!$C28+[11]MVTDEC!$C28+[11]MVTJANV!$C28+[11]MVTFEV!$C28+[11]MVTMARS!$C28+[11]MVTAVRIL!$C28+[11]MVTMAI!$C28+[11]MVTJUIN!$C28+[11]MVTJUIL!$C28</f>
        <v>22120.769243732229</v>
      </c>
      <c r="F28" s="45">
        <f t="shared" si="1"/>
        <v>175300.28740352351</v>
      </c>
      <c r="G28" s="50"/>
      <c r="H28" s="59">
        <v>100000</v>
      </c>
      <c r="I28" s="50">
        <v>25000</v>
      </c>
      <c r="J28" s="50">
        <v>30000</v>
      </c>
      <c r="K28" s="56">
        <f t="shared" si="2"/>
        <v>20300.287403523515</v>
      </c>
      <c r="L28" s="45">
        <f t="shared" si="7"/>
        <v>480000</v>
      </c>
      <c r="M28" s="76">
        <f t="shared" si="3"/>
        <v>500300.28740352351</v>
      </c>
      <c r="N28" s="59"/>
      <c r="O28" s="50">
        <f>[11]MVTAOUT!O28+[11]MVTSEPT!P28+[11]MVTOCT!N28+[11]MVTNOV!N28+[11]MVTDEC!N28+[11]MVTJANV!N28+[11]MVTFEV!N28+[11]MVTMARS!N28+[11]MVTAVRIL!N28+[11]MVTMAI!N28+[11]MVTJUIN!N28+[11]MVTJUIL!N28</f>
        <v>0</v>
      </c>
      <c r="P28" s="50">
        <f>[11]MVTAOUT!P28+[11]MVTSEPT!Q28+[11]MVTOCT!O28+[11]MVTNOV!O28+[11]MVTDEC!O28+[11]MVTJANV!O28+[11]MVTFEV!O28+[11]MVTMARS!O28+[11]MVTAVRIL!O28+[11]MVTMAI!O28+[11]MVTJUIN!O28+[11]MVTJUIL!O28</f>
        <v>0</v>
      </c>
      <c r="Q28" s="50">
        <f>+INVENT2016_2017!N28</f>
        <v>1120000</v>
      </c>
      <c r="R28" s="50">
        <f>[11]MVTAOUT!$Q28+[11]MVTSEPT!$R28+[11]MVTOCT!$P28+[11]MVTNOV!$P28+[11]MVTDEC!$P28+[11]MVTJANV!$P28+[11]MVTFEV!$P28+[11]MVTMARS!$P28+[11]MVTAVRIL!$P28+[11]MVTMAI!$P28+[11]MVTJUIN!$P28+[11]MVTJUIL!$P28+[11]MVTAOUT2018!$P$28</f>
        <v>0</v>
      </c>
      <c r="S28" s="50">
        <v>1120000</v>
      </c>
      <c r="T28" s="50">
        <f>S28*5/100</f>
        <v>56000</v>
      </c>
      <c r="U28" s="50">
        <f>+S28+T28</f>
        <v>1176000</v>
      </c>
      <c r="V28" s="102">
        <v>42904</v>
      </c>
      <c r="W28" s="32"/>
      <c r="Z28" s="32">
        <f t="shared" si="4"/>
        <v>56000</v>
      </c>
      <c r="AA28" s="32">
        <f>S28+(S28*5/100)</f>
        <v>1176000</v>
      </c>
    </row>
    <row r="29" spans="1:27" s="2" customFormat="1" x14ac:dyDescent="0.25">
      <c r="A29" s="46" t="s">
        <v>104</v>
      </c>
      <c r="B29" s="59">
        <v>30000</v>
      </c>
      <c r="C29" s="59">
        <f>+INVENT2016_2017!I29</f>
        <v>-4174.3496285728761</v>
      </c>
      <c r="D29" s="59">
        <f>[11]MVTAOUT!$H29+[11]MVTSEPT!$I29+[11]MVTOCT!$G29+[11]MVTNOV!$G29+[11]MVTDEC!$G29+[11]MVTJANV!$G29+[11]MVTFEV!$G29+[11]MVTMARS!$G29+[11]MVTAVRIL!$G29+[11]MVTMAI!$G29+[11]MVTJUIN!$G29+[11]MVTJUIL!$G29+[11]MVTAOUT2018!$G29</f>
        <v>0</v>
      </c>
      <c r="E29" s="59">
        <f>+[11]MVTAOUT!$D29+[11]MVTSEPT!$E29+[11]MVTOCT!$C29+[11]MVTNOV!$C29+[11]MVTDEC!$C29+[11]MVTJANV!$C29+[11]MVTFEV!$C29+[11]MVTMARS!$C29+[11]MVTAVRIL!$C29+[11]MVTMAI!$C29+[11]MVTJUIN!$C29+[11]MVTJUIL!$C29</f>
        <v>1237.5906251636579</v>
      </c>
      <c r="F29" s="59">
        <f t="shared" si="1"/>
        <v>-2936.7590034092182</v>
      </c>
      <c r="G29" s="59"/>
      <c r="H29" s="59"/>
      <c r="I29" s="59">
        <v>13234</v>
      </c>
      <c r="J29" s="59">
        <v>0</v>
      </c>
      <c r="K29" s="56">
        <f t="shared" si="2"/>
        <v>-16170.759003409217</v>
      </c>
      <c r="L29" s="45">
        <v>30000</v>
      </c>
      <c r="M29" s="76">
        <f t="shared" si="3"/>
        <v>13829.240996590783</v>
      </c>
      <c r="N29" s="59"/>
      <c r="O29" s="50">
        <f>[11]MVTAOUT!O29+[11]MVTSEPT!P29+[11]MVTOCT!N29+[11]MVTNOV!N29+[11]MVTDEC!N29+[11]MVTJANV!N29+[11]MVTFEV!N29+[11]MVTMARS!N29+[11]MVTAVRIL!N29+[11]MVTMAI!N29+[11]MVTJUIN!N29+[11]MVTJUIL!N29</f>
        <v>0</v>
      </c>
      <c r="P29" s="50">
        <f>[11]MVTAOUT!P29+[11]MVTSEPT!Q29+[11]MVTOCT!O29+[11]MVTNOV!O29+[11]MVTDEC!O29+[11]MVTJANV!O29+[11]MVTFEV!O29+[11]MVTMARS!O29+[11]MVTAVRIL!O29+[11]MVTMAI!O29+[11]MVTJUIN!O29+[11]MVTJUIL!O29</f>
        <v>0</v>
      </c>
      <c r="Q29" s="50">
        <f>+INVENT2016_2017!N29</f>
        <v>0</v>
      </c>
      <c r="R29" s="50">
        <f>[11]MVTAOUT!$Q29+[11]MVTSEPT!$R29+[11]MVTOCT!$P29+[11]MVTNOV!$P29+[11]MVTDEC!$P29+[11]MVTJANV!$P29+[11]MVTFEV!$P29+[11]MVTMARS!$P29+[11]MVTAVRIL!$P29+[11]MVTMAI!$P29+[11]MVTJUIN!$P29+[11]MVTJUIL!$P29+[11]MVTAOUT2018!$P$29</f>
        <v>50000</v>
      </c>
      <c r="S29" s="50"/>
      <c r="T29" s="50"/>
      <c r="U29" s="50"/>
      <c r="V29" s="103"/>
      <c r="W29" s="47"/>
      <c r="X29" s="47" t="s">
        <v>138</v>
      </c>
      <c r="Z29" s="32"/>
      <c r="AA29" s="32"/>
    </row>
    <row r="30" spans="1:27" x14ac:dyDescent="0.25">
      <c r="A30" s="1" t="s">
        <v>105</v>
      </c>
      <c r="B30" s="45">
        <f>+INVENT2016_2017!J30</f>
        <v>450000</v>
      </c>
      <c r="C30" s="45">
        <f>+INVENT2016_2017!I30</f>
        <v>93205.63086682024</v>
      </c>
      <c r="D30" s="45">
        <f>[11]MVTAOUT!$H30+[11]MVTSEPT!$I30+[11]MVTOCT!$G30+[11]MVTNOV!$G30+[11]MVTDEC!$G30+[11]MVTJANV!$G30+[11]MVTFEV!$G30+[11]MVTMARS!$G30+[11]MVTAVRIL!$G30+[11]MVTMAI!$G30+[11]MVTJUIN!$G30+[11]MVTJUIL!$G30+[11]MVTAOUT2018!$G30</f>
        <v>39000</v>
      </c>
      <c r="E30" s="45">
        <f>+[11]MVTAOUT!$D30+[11]MVTSEPT!$E30+[11]MVTOCT!$C30+[11]MVTNOV!$C30+[11]MVTDEC!$C30+[11]MVTJANV!$C30+[11]MVTFEV!$C30+[11]MVTMARS!$C30+[11]MVTAVRIL!$C30+[11]MVTMAI!$C30+[11]MVTJUIN!$C30+[11]MVTJUIL!$C30</f>
        <v>19932.623691365428</v>
      </c>
      <c r="F30" s="45">
        <f t="shared" si="1"/>
        <v>152138.25455818564</v>
      </c>
      <c r="G30" s="50"/>
      <c r="H30" s="59"/>
      <c r="I30" s="50">
        <v>25000</v>
      </c>
      <c r="J30" s="50">
        <v>30000</v>
      </c>
      <c r="K30" s="56">
        <f t="shared" si="2"/>
        <v>97138.254558185639</v>
      </c>
      <c r="L30" s="45">
        <f>B30+J30</f>
        <v>480000</v>
      </c>
      <c r="M30" s="76">
        <f t="shared" si="3"/>
        <v>577138.25455818558</v>
      </c>
      <c r="N30" s="59"/>
      <c r="O30" s="50">
        <f>[11]MVTAOUT!O30+[11]MVTSEPT!P30+[11]MVTOCT!N30+[11]MVTNOV!N30+[11]MVTDEC!N30+[11]MVTJANV!N30+[11]MVTFEV!N30+[11]MVTMARS!N30+[11]MVTAVRIL!N30+[11]MVTMAI!N30+[11]MVTJUIN!N30+[11]MVTJUIL!N30</f>
        <v>0</v>
      </c>
      <c r="P30" s="50">
        <f>[11]MVTAOUT!P30+[11]MVTSEPT!Q30+[11]MVTOCT!O30+[11]MVTNOV!O30+[11]MVTDEC!O30+[11]MVTJANV!O30+[11]MVTFEV!O30+[11]MVTMARS!O30+[11]MVTAVRIL!O30+[11]MVTMAI!O30+[11]MVTJUIN!O30+[11]MVTJUIL!O30</f>
        <v>0</v>
      </c>
      <c r="Q30" s="50">
        <f>+INVENT2016_2017!N30</f>
        <v>0</v>
      </c>
      <c r="R30" s="50">
        <f>[11]MVTAOUT!$Q30+[11]MVTSEPT!$R30+[11]MVTOCT!$P30+[11]MVTNOV!$P30+[11]MVTDEC!$P30+[11]MVTJANV!$P30+[11]MVTFEV!$P30+[11]MVTMARS!$P30+[11]MVTAVRIL!$P30+[11]MVTMAI!$P30+[11]MVTJUIN!$P30+[11]MVTJUIL!$P30+[11]MVTAOUT2018!$P$30</f>
        <v>0</v>
      </c>
      <c r="S30" s="50"/>
      <c r="T30" s="50"/>
      <c r="U30" s="50"/>
      <c r="V30" s="101"/>
      <c r="W30" s="32"/>
      <c r="X30" s="32"/>
      <c r="Z30" s="32"/>
      <c r="AA30" s="32"/>
    </row>
    <row r="31" spans="1:27" x14ac:dyDescent="0.25">
      <c r="A31" s="1" t="s">
        <v>106</v>
      </c>
      <c r="B31" s="45">
        <f>+INVENT2016_2017!J31</f>
        <v>450000</v>
      </c>
      <c r="C31" s="45">
        <f>+INVENT2016_2017!I31</f>
        <v>46909.873148318322</v>
      </c>
      <c r="D31" s="45">
        <f>[11]MVTAOUT!$H31+[11]MVTSEPT!$I31+[11]MVTOCT!$G31+[11]MVTNOV!$G31+[11]MVTDEC!$G31+[11]MVTJANV!$G31+[11]MVTFEV!$G31+[11]MVTMARS!$G31+[11]MVTAVRIL!$G31+[11]MVTMAI!$G31+[11]MVTJUIN!$G31+[11]MVTJUIL!$G31+[11]MVTAOUT2018!$G31</f>
        <v>39000</v>
      </c>
      <c r="E31" s="45">
        <f>+[11]MVTAOUT!$D31+[11]MVTSEPT!$E31+[11]MVTOCT!$C31+[11]MVTNOV!$C31+[11]MVTDEC!$C31+[11]MVTJANV!$C31+[11]MVTFEV!$C31+[11]MVTMARS!$C31+[11]MVTAVRIL!$C31+[11]MVTMAI!$C31+[11]MVTJUIN!$C31+[11]MVTJUIL!$C31</f>
        <v>19779.44545784255</v>
      </c>
      <c r="F31" s="45">
        <f t="shared" si="1"/>
        <v>105689.31860616087</v>
      </c>
      <c r="G31" s="50"/>
      <c r="H31" s="59"/>
      <c r="I31" s="50">
        <v>25000</v>
      </c>
      <c r="J31" s="50">
        <v>30000</v>
      </c>
      <c r="K31" s="56">
        <f t="shared" si="2"/>
        <v>50689.318606160872</v>
      </c>
      <c r="L31" s="45">
        <f>B31+J31</f>
        <v>480000</v>
      </c>
      <c r="M31" s="76">
        <f t="shared" si="3"/>
        <v>530689.31860616081</v>
      </c>
      <c r="N31" s="59"/>
      <c r="O31" s="50">
        <f>[11]MVTAOUT!O31+[11]MVTSEPT!P31+[11]MVTOCT!N31+[11]MVTNOV!N31+[11]MVTDEC!N31+[11]MVTJANV!N31+[11]MVTFEV!N31+[11]MVTMARS!N31+[11]MVTAVRIL!N31+[11]MVTMAI!N31+[11]MVTJUIN!N31+[11]MVTJUIL!N31</f>
        <v>500000</v>
      </c>
      <c r="P31" s="50">
        <f>[11]MVTAOUT!P31+[11]MVTSEPT!Q31+[11]MVTOCT!O31+[11]MVTNOV!O31+[11]MVTDEC!O31+[11]MVTJANV!O31+[11]MVTFEV!O31+[11]MVTMARS!O31+[11]MVTAVRIL!O31+[11]MVTMAI!O31+[11]MVTJUIN!O31+[11]MVTJUIL!O31</f>
        <v>10000</v>
      </c>
      <c r="Q31" s="50">
        <f>+INVENT2016_2017!N31</f>
        <v>896000</v>
      </c>
      <c r="R31" s="50">
        <f>[11]MVTAOUT!$Q31+[11]MVTSEPT!$R31+[11]MVTOCT!$P31+[11]MVTNOV!$P31+[11]MVTDEC!$P31+[11]MVTJANV!$P31+[11]MVTFEV!$P31+[11]MVTMARS!$P31+[11]MVTAVRIL!$P31+[11]MVTMAI!$P31+[11]MVTJUIN!$P31+[11]MVTJUIL!$P31+[11]MVTAOUT2018!$P$31</f>
        <v>1440800</v>
      </c>
      <c r="S31" s="50">
        <f>500000-500000</f>
        <v>0</v>
      </c>
      <c r="T31" s="50"/>
      <c r="U31" s="50"/>
      <c r="V31" s="102">
        <v>43268</v>
      </c>
      <c r="W31" s="32"/>
      <c r="X31" s="32" t="s">
        <v>135</v>
      </c>
      <c r="Z31" s="32"/>
      <c r="AA31" s="32"/>
    </row>
    <row r="32" spans="1:27" x14ac:dyDescent="0.25">
      <c r="A32" s="1" t="s">
        <v>107</v>
      </c>
      <c r="B32" s="45">
        <f>+INVENT2016_2017!J32</f>
        <v>450000</v>
      </c>
      <c r="C32" s="45">
        <f>+INVENT2016_2017!I32</f>
        <v>54313.880911556305</v>
      </c>
      <c r="D32" s="45">
        <f>[11]MVTAOUT!$H32+[11]MVTSEPT!$I32+[11]MVTOCT!$G32+[11]MVTNOV!$G32+[11]MVTDEC!$G32+[11]MVTJANV!$G32+[11]MVTFEV!$G32+[11]MVTMARS!$G32+[11]MVTAVRIL!$G32+[11]MVTMAI!$G32+[11]MVTJUIN!$G32+[11]MVTJUIL!$G32+[11]MVTAOUT2018!$G32</f>
        <v>378000</v>
      </c>
      <c r="E32" s="45">
        <f>+[11]MVTAOUT!$D32+[11]MVTSEPT!$E32+[11]MVTOCT!$C32+[11]MVTNOV!$C32+[11]MVTDEC!$C32+[11]MVTJANV!$C32+[11]MVTFEV!$C32+[11]MVTMARS!$C32+[11]MVTAVRIL!$C32+[11]MVTMAI!$C32+[11]MVTJUIN!$C32+[11]MVTJUIL!$C32</f>
        <v>27722.469576251013</v>
      </c>
      <c r="F32" s="45">
        <f t="shared" si="1"/>
        <v>460036.3504878073</v>
      </c>
      <c r="G32" s="50"/>
      <c r="H32" s="59"/>
      <c r="I32" s="50">
        <v>25000</v>
      </c>
      <c r="J32" s="50">
        <v>30000</v>
      </c>
      <c r="K32" s="56">
        <f t="shared" si="2"/>
        <v>405036.3504878073</v>
      </c>
      <c r="L32" s="45">
        <f>B32+J32</f>
        <v>480000</v>
      </c>
      <c r="M32" s="76">
        <f t="shared" si="3"/>
        <v>885036.3504878073</v>
      </c>
      <c r="N32" s="59"/>
      <c r="O32" s="50">
        <f>[11]MVTAOUT!O32+[11]MVTSEPT!P32+[11]MVTOCT!N32+[11]MVTNOV!N32+[11]MVTDEC!N32+[11]MVTJANV!N32+[11]MVTFEV!N32+[11]MVTMARS!N32+[11]MVTAVRIL!N32+[11]MVTMAI!N32+[11]MVTJUIN!N32+[11]MVTJUIL!N32</f>
        <v>1000000</v>
      </c>
      <c r="P32" s="50">
        <f>[11]MVTAOUT!P32+[11]MVTSEPT!Q32+[11]MVTOCT!O32+[11]MVTNOV!O32+[11]MVTDEC!O32+[11]MVTJANV!O32+[11]MVTFEV!O32+[11]MVTMARS!O32+[11]MVTAVRIL!O32+[11]MVTMAI!O32+[11]MVTJUIN!O32+[11]MVTJUIL!O32</f>
        <v>90000</v>
      </c>
      <c r="Q32" s="50">
        <f>+INVENT2016_2017!N32</f>
        <v>1120000</v>
      </c>
      <c r="R32" s="50">
        <f>[11]MVTAOUT!$Q32+[11]MVTSEPT!$R32+[11]MVTOCT!$P32+[11]MVTNOV!$P32+[11]MVTDEC!$P32+[11]MVTJANV!$P32+[11]MVTFEV!$P32+[11]MVTMARS!$P32+[11]MVTAVRIL!$P32+[11]MVTMAI!$P32+[11]MVTJUIN!$P32+[11]MVTJUIL!$P32+[11]MVTAOUT2018!$P$32</f>
        <v>2210000</v>
      </c>
      <c r="S32" s="50">
        <f>1090000-1090000</f>
        <v>0</v>
      </c>
      <c r="T32" s="50"/>
      <c r="U32" s="50"/>
      <c r="V32" s="102">
        <v>43057</v>
      </c>
      <c r="W32" s="32"/>
      <c r="X32" t="s">
        <v>135</v>
      </c>
      <c r="Z32" s="32"/>
      <c r="AA32" s="32"/>
    </row>
    <row r="33" spans="1:27" x14ac:dyDescent="0.25">
      <c r="A33" s="1" t="s">
        <v>108</v>
      </c>
      <c r="B33" s="45">
        <f>+INVENT2016_2017!J33</f>
        <v>450000</v>
      </c>
      <c r="C33" s="45">
        <f>+INVENT2016_2017!I33</f>
        <v>50017.733013545163</v>
      </c>
      <c r="D33" s="45">
        <f>[11]MVTAOUT!$H33+[11]MVTSEPT!$I33+[11]MVTOCT!$G33+[11]MVTNOV!$G33+[11]MVTDEC!$G33+[11]MVTJANV!$G33+[11]MVTFEV!$G33+[11]MVTMARS!$G33+[11]MVTAVRIL!$G33+[11]MVTMAI!$G33+[11]MVTJUIN!$G33+[11]MVTJUIL!$G33+[11]MVTAOUT2018!$G33</f>
        <v>104000</v>
      </c>
      <c r="E33" s="45">
        <f>+[11]MVTAOUT!$D33+[11]MVTSEPT!$E33+[11]MVTOCT!$C33+[11]MVTNOV!$C33+[11]MVTDEC!$C33+[11]MVTJANV!$C33+[11]MVTFEV!$C33+[11]MVTMARS!$C33+[11]MVTAVRIL!$C33+[11]MVTMAI!$C33+[11]MVTJUIN!$C33+[11]MVTJUIL!$C33</f>
        <v>21092.066749094622</v>
      </c>
      <c r="F33" s="45">
        <f t="shared" si="1"/>
        <v>175109.7997626398</v>
      </c>
      <c r="G33" s="50"/>
      <c r="H33" s="59">
        <v>100000</v>
      </c>
      <c r="I33" s="50">
        <v>25000</v>
      </c>
      <c r="J33" s="50">
        <v>30000</v>
      </c>
      <c r="K33" s="56">
        <f t="shared" si="2"/>
        <v>20109.799762639799</v>
      </c>
      <c r="L33" s="45">
        <f>B33+J33</f>
        <v>480000</v>
      </c>
      <c r="M33" s="76">
        <f t="shared" si="3"/>
        <v>500109.7997626398</v>
      </c>
      <c r="N33" s="59"/>
      <c r="O33" s="50">
        <f>[11]MVTAOUT!O33+[11]MVTSEPT!P33+[11]MVTOCT!N33+[11]MVTNOV!N33+[11]MVTDEC!N33+[11]MVTJANV!N33+[11]MVTFEV!N33+[11]MVTMARS!N33+[11]MVTAVRIL!N33+[11]MVTMAI!N33+[11]MVTJUIN!N33+[11]MVTJUIL!N33</f>
        <v>500000</v>
      </c>
      <c r="P33" s="50">
        <f>[11]MVTAOUT!P33+[11]MVTSEPT!Q33+[11]MVTOCT!O33+[11]MVTNOV!O33+[11]MVTDEC!O33+[11]MVTJANV!O33+[11]MVTFEV!O33+[11]MVTMARS!O33+[11]MVTAVRIL!O33+[11]MVTMAI!O33+[11]MVTJUIN!O33+[11]MVTJUIL!O33</f>
        <v>50000</v>
      </c>
      <c r="Q33" s="50">
        <f>+INVENT2016_2017!N33</f>
        <v>472000</v>
      </c>
      <c r="R33" s="50">
        <f>[11]MVTAOUT!$Q33+[11]MVTSEPT!$R33+[11]MVTOCT!$P33+[11]MVTNOV!$P33+[11]MVTDEC!$P33+[11]MVTJANV!$P33+[11]MVTFEV!$P33+[11]MVTMARS!$P33+[11]MVTAVRIL!$P33+[11]MVTMAI!$P33+[11]MVTJUIN!$P33+[11]MVTJUIL!$P33+[11]MVTAOUT2018!$P$33</f>
        <v>1594000</v>
      </c>
      <c r="S33" s="50">
        <f>420000-320000-100000</f>
        <v>0</v>
      </c>
      <c r="T33" s="50"/>
      <c r="U33" s="50"/>
      <c r="V33" s="102">
        <v>43374</v>
      </c>
      <c r="W33" s="32"/>
      <c r="X33" s="32" t="s">
        <v>135</v>
      </c>
      <c r="Z33" s="32"/>
      <c r="AA33" s="32"/>
    </row>
    <row r="34" spans="1:27" x14ac:dyDescent="0.25">
      <c r="A34" s="1"/>
      <c r="B34" s="45"/>
      <c r="C34" s="45"/>
      <c r="D34" s="45"/>
      <c r="E34" s="45"/>
      <c r="F34" s="45"/>
      <c r="G34" s="50"/>
      <c r="H34" s="59"/>
      <c r="I34" s="50"/>
      <c r="J34" s="50"/>
      <c r="K34" s="56"/>
      <c r="L34" s="45"/>
      <c r="M34" s="76"/>
      <c r="N34" s="59"/>
      <c r="O34" s="50"/>
      <c r="P34" s="50"/>
      <c r="Q34" s="50"/>
      <c r="R34" s="50"/>
      <c r="S34" s="50"/>
      <c r="T34" s="50"/>
      <c r="U34" s="50"/>
      <c r="V34" s="101"/>
      <c r="W34" s="32"/>
      <c r="X34" s="32"/>
      <c r="Z34" s="32"/>
      <c r="AA34" s="32"/>
    </row>
    <row r="35" spans="1:27" x14ac:dyDescent="0.25">
      <c r="A35" s="1"/>
      <c r="B35" s="45"/>
      <c r="C35" s="45"/>
      <c r="D35" s="45"/>
      <c r="E35" s="45"/>
      <c r="F35" s="45"/>
      <c r="G35" s="50"/>
      <c r="H35" s="59"/>
      <c r="I35" s="50"/>
      <c r="J35" s="50"/>
      <c r="K35" s="56"/>
      <c r="L35" s="45"/>
      <c r="M35" s="76"/>
      <c r="N35" s="59"/>
      <c r="O35" s="50"/>
      <c r="P35" s="50"/>
      <c r="Q35" s="50"/>
      <c r="R35" s="50"/>
      <c r="S35" s="50"/>
      <c r="T35" s="50"/>
      <c r="U35" s="50"/>
      <c r="V35" s="101"/>
      <c r="W35" s="32"/>
      <c r="X35" s="32"/>
      <c r="Z35" s="32"/>
      <c r="AA35" s="32"/>
    </row>
    <row r="36" spans="1:27" x14ac:dyDescent="0.25">
      <c r="A36" s="1"/>
      <c r="B36" s="45"/>
      <c r="C36" s="45"/>
      <c r="D36" s="45"/>
      <c r="E36" s="45"/>
      <c r="F36" s="45"/>
      <c r="G36" s="50"/>
      <c r="H36" s="59"/>
      <c r="I36" s="50"/>
      <c r="J36" s="50"/>
      <c r="K36" s="56"/>
      <c r="L36" s="45"/>
      <c r="M36" s="76"/>
      <c r="N36" s="59"/>
      <c r="O36" s="50"/>
      <c r="P36" s="50"/>
      <c r="Q36" s="50"/>
      <c r="R36" s="50"/>
      <c r="S36" s="50"/>
      <c r="T36" s="50"/>
      <c r="U36" s="50"/>
      <c r="V36" s="101"/>
      <c r="W36" s="32"/>
      <c r="X36" s="32"/>
      <c r="Z36" s="32"/>
      <c r="AA36" s="32"/>
    </row>
    <row r="37" spans="1:27" x14ac:dyDescent="0.25">
      <c r="A37" s="1" t="s">
        <v>112</v>
      </c>
      <c r="B37" s="45">
        <f>+INVENT2016_2017!J37</f>
        <v>450000</v>
      </c>
      <c r="C37" s="45">
        <f>+INVENT2016_2017!I37</f>
        <v>47164.657594173732</v>
      </c>
      <c r="D37" s="45">
        <f>[11]MVTAOUT!$H35+[11]MVTSEPT!$I35+[11]MVTOCT!$G35+[11]MVTNOV!$G35+[11]MVTDEC!$G35+[11]MVTJANV!$G35+[11]MVTFEV!$G35+[11]MVTMARS!$G35+[11]MVTAVRIL!$G35+[11]MVTMAI!$G35+[11]MVTJUIN!$G35+[11]MVTJUIL!$G35+[11]MVTAOUT2018!$G35</f>
        <v>39000</v>
      </c>
      <c r="E37" s="45">
        <f>+[11]MVTAOUT!$D35+[11]MVTSEPT!$E35+[11]MVTOCT!$C35+[11]MVTNOV!$C35+[11]MVTDEC!$C35+[11]MVTJANV!$C35+[11]MVTFEV!$C35+[11]MVTMARS!$C35+[11]MVTAVRIL!$C35+[11]MVTMAI!$C35+[11]MVTJUIN!$C35+[11]MVTJUIL!$C35</f>
        <v>19803.637745363583</v>
      </c>
      <c r="F37" s="45">
        <f t="shared" si="1"/>
        <v>105968.29533953732</v>
      </c>
      <c r="G37" s="50"/>
      <c r="H37" s="59"/>
      <c r="I37" s="50">
        <v>25000</v>
      </c>
      <c r="J37" s="50">
        <v>30000</v>
      </c>
      <c r="K37" s="56">
        <f t="shared" si="2"/>
        <v>50968.295339537319</v>
      </c>
      <c r="L37" s="45">
        <f>B37+J37</f>
        <v>480000</v>
      </c>
      <c r="M37" s="76">
        <f t="shared" ref="M37:M38" si="10">K37+L37</f>
        <v>530968.29533953732</v>
      </c>
      <c r="N37" s="58"/>
      <c r="O37" s="50">
        <f>[11]MVTAOUT!O35+[11]MVTSEPT!P35+[11]MVTOCT!N35+[11]MVTNOV!N35+[11]MVTDEC!N35+[11]MVTJANV!N35+[11]MVTFEV!N35+[11]MVTMARS!N35+[11]MVTAVRIL!N35+[11]MVTMAI!N35+[11]MVTJUIN!N35+[11]MVTJUIL!N35</f>
        <v>0</v>
      </c>
      <c r="P37" s="50">
        <f>[11]MVTAOUT!P35+[11]MVTSEPT!Q35+[11]MVTOCT!O35+[11]MVTNOV!O35+[11]MVTDEC!O35+[11]MVTJANV!O35+[11]MVTFEV!O35+[11]MVTMARS!O35+[11]MVTAVRIL!O35+[11]MVTMAI!O35+[11]MVTJUIN!O35+[11]MVTJUIL!O35</f>
        <v>0</v>
      </c>
      <c r="Q37" s="50">
        <f>+INVENT2016_2017!N37</f>
        <v>0</v>
      </c>
      <c r="R37" s="50">
        <f>[11]MVTAOUT!$Q35+[11]MVTSEPT!$R35+[11]MVTOCT!$P35+[11]MVTNOV!$P35+[11]MVTDEC!$P35+[11]MVTJANV!$P35+[11]MVTFEV!$P35+[11]MVTMARS!$P35+[11]MVTAVRIL!$P35+[11]MVTMAI!$P35+[11]MVTJUIN!$P35+[11]MVTJUIL!$P35+[11]MVTAOUT2018!$P$35</f>
        <v>0</v>
      </c>
      <c r="S37" s="50"/>
      <c r="T37" s="50"/>
      <c r="U37" s="50"/>
      <c r="V37" s="101"/>
      <c r="W37" s="32"/>
      <c r="Z37" s="32"/>
      <c r="AA37" s="32"/>
    </row>
    <row r="38" spans="1:27" x14ac:dyDescent="0.25">
      <c r="A38" s="1" t="s">
        <v>113</v>
      </c>
      <c r="B38" s="45">
        <f>+INVENT2016_2017!J38</f>
        <v>450000</v>
      </c>
      <c r="C38" s="45">
        <f>+INVENT2016_2017!I38</f>
        <v>39428.86927142147</v>
      </c>
      <c r="D38" s="45">
        <f>[11]MVTAOUT!$H36+[11]MVTSEPT!$I36+[11]MVTOCT!$G36+[11]MVTNOV!$G36+[11]MVTDEC!$G36+[11]MVTJANV!$G36+[11]MVTFEV!$G36+[11]MVTMARS!$G36+[11]MVTAVRIL!$G36+[11]MVTMAI!$G36+[11]MVTJUIN!$G36+[11]MVTJUIL!$G36+[11]MVTAOUT2018!$G36</f>
        <v>39000</v>
      </c>
      <c r="E38" s="45">
        <f>+[11]MVTAOUT!$D36+[11]MVTSEPT!$E36+[11]MVTOCT!$C36+[11]MVTNOV!$C36+[11]MVTDEC!$C36+[11]MVTJANV!$C36+[11]MVTFEV!$C36+[11]MVTMARS!$C36+[11]MVTAVRIL!$C36+[11]MVTMAI!$C36+[11]MVTJUIN!$C36+[11]MVTJUIL!$C36</f>
        <v>19818.304035514146</v>
      </c>
      <c r="F38" s="45">
        <f t="shared" si="1"/>
        <v>98247.173306935612</v>
      </c>
      <c r="G38" s="50"/>
      <c r="H38" s="59"/>
      <c r="I38" s="50">
        <v>25000</v>
      </c>
      <c r="J38" s="50">
        <v>30000</v>
      </c>
      <c r="K38" s="56">
        <f t="shared" si="2"/>
        <v>43247.173306935612</v>
      </c>
      <c r="L38" s="45">
        <f>B38+J38</f>
        <v>480000</v>
      </c>
      <c r="M38" s="76">
        <f t="shared" si="10"/>
        <v>523247.17330693558</v>
      </c>
      <c r="N38" s="58"/>
      <c r="O38" s="50">
        <f>[11]MVTAOUT!O36+[11]MVTSEPT!P36+[11]MVTOCT!N36+[11]MVTNOV!N36+[11]MVTDEC!N36+[11]MVTJANV!N36+[11]MVTFEV!N36+[11]MVTMARS!N36+[11]MVTAVRIL!N36+[11]MVTMAI!N36+[11]MVTJUIN!N36+[11]MVTJUIL!N36</f>
        <v>2000000</v>
      </c>
      <c r="P38" s="50">
        <f>[11]MVTAOUT!P36+[11]MVTSEPT!Q36+[11]MVTOCT!O36+[11]MVTNOV!O36+[11]MVTDEC!O36+[11]MVTJANV!O36+[11]MVTFEV!O36+[11]MVTMARS!O36+[11]MVTAVRIL!O36+[11]MVTMAI!O36+[11]MVTJUIN!O36+[11]MVTJUIL!O36</f>
        <v>140000</v>
      </c>
      <c r="Q38" s="50">
        <f>+INVENT2016_2017!N38</f>
        <v>1120000</v>
      </c>
      <c r="R38" s="50">
        <f>[11]MVTAOUT!$Q36+[11]MVTSEPT!$R36+[11]MVTOCT!$P36+[11]MVTNOV!$P36+[11]MVTDEC!$P36+[11]MVTJANV!$P36+[11]MVTFEV!$P36+[11]MVTMARS!$P36+[11]MVTAVRIL!$P36+[11]MVTMAI!$P36+[11]MVTJUIN!$P36+[11]MVTJUIL!$P36+[11]MVTAOUT2018!$P$36</f>
        <v>2200000</v>
      </c>
      <c r="S38" s="50">
        <v>1040000</v>
      </c>
      <c r="T38" s="50">
        <f t="shared" ref="T38:T42" si="11">S38*5/100</f>
        <v>52000</v>
      </c>
      <c r="U38" s="50">
        <f t="shared" ref="U38:U42" si="12">+S38+T38</f>
        <v>1092000</v>
      </c>
      <c r="V38" s="102">
        <v>43009</v>
      </c>
      <c r="W38" s="47">
        <v>40000</v>
      </c>
      <c r="X38" t="s">
        <v>135</v>
      </c>
      <c r="Z38" s="32">
        <f t="shared" si="4"/>
        <v>52000</v>
      </c>
      <c r="AA38" s="32">
        <f>S38+(S38*5/100)</f>
        <v>1092000</v>
      </c>
    </row>
    <row r="39" spans="1:27" s="2" customFormat="1" x14ac:dyDescent="0.25">
      <c r="A39" s="46" t="s">
        <v>114</v>
      </c>
      <c r="B39" s="59">
        <v>344000</v>
      </c>
      <c r="C39" s="59">
        <f>+INVENT2016_2017!I39</f>
        <v>42886.780925128507</v>
      </c>
      <c r="D39" s="59">
        <f>[11]MVTAOUT!$H37+[11]MVTSEPT!$I37+[11]MVTOCT!$G37+[11]MVTNOV!$G37+[11]MVTDEC!$G37+[11]MVTJANV!$G37+[11]MVTFEV!$G37+[11]MVTMARS!$G37+[11]MVTAVRIL!$G37+[11]MVTMAI!$G37+[11]MVTJUIN!$G37+[11]MVTJUIL!$G37+[11]MVTAOUT2018!$G37</f>
        <v>21000</v>
      </c>
      <c r="E39" s="59">
        <f>+[11]MVTAOUT!$D37+[11]MVTSEPT!$E37+[11]MVTOCT!$C37+[11]MVTNOV!$C37+[11]MVTDEC!$C37+[11]MVTJANV!$C37+[11]MVTFEV!$C37+[11]MVTMARS!$C37+[11]MVTAVRIL!$C37+[11]MVTMAI!$C37+[11]MVTJUIN!$C37+[11]MVTJUIL!$C37</f>
        <v>18455.378671453702</v>
      </c>
      <c r="F39" s="59">
        <f t="shared" si="1"/>
        <v>82342.159596582205</v>
      </c>
      <c r="G39" s="59"/>
      <c r="H39" s="59"/>
      <c r="I39" s="59">
        <v>25000</v>
      </c>
      <c r="J39" s="59">
        <v>30000</v>
      </c>
      <c r="K39" s="58">
        <f t="shared" si="2"/>
        <v>27342.159596582205</v>
      </c>
      <c r="L39" s="59">
        <v>344000</v>
      </c>
      <c r="M39" s="76">
        <f t="shared" ref="M39:M53" si="13">L39+K39</f>
        <v>371342.15959658218</v>
      </c>
      <c r="N39" s="58"/>
      <c r="O39" s="50">
        <f>[11]MVTAOUT!O37+[11]MVTSEPT!P37+[11]MVTOCT!N37+[11]MVTNOV!N37+[11]MVTDEC!N37+[11]MVTJANV!N37+[11]MVTFEV!N37+[11]MVTMARS!N37+[11]MVTAVRIL!N37+[11]MVTMAI!N37+[11]MVTJUIN!N37+[11]MVTJUIL!N37</f>
        <v>0</v>
      </c>
      <c r="P39" s="50">
        <f>[11]MVTAOUT!P37+[11]MVTSEPT!Q37+[11]MVTOCT!O37+[11]MVTNOV!O37+[11]MVTDEC!O37+[11]MVTJANV!O37+[11]MVTFEV!O37+[11]MVTMARS!O37+[11]MVTAVRIL!O37+[11]MVTMAI!O37+[11]MVTJUIN!O37+[11]MVTJUIL!O37</f>
        <v>0</v>
      </c>
      <c r="Q39" s="50">
        <f>+INVENT2016_2017!N39</f>
        <v>784000</v>
      </c>
      <c r="R39" s="50">
        <f>[11]MVTAOUT!$Q37+[11]MVTSEPT!$R37+[11]MVTOCT!$P37+[11]MVTNOV!$P37+[11]MVTDEC!$P37+[11]MVTJANV!$P37+[11]MVTFEV!$P37+[11]MVTMARS!$P37+[11]MVTAVRIL!$P37+[11]MVTMAI!$P37+[11]MVTJUIN!$P37+[11]MVTJUIL!$P37+[11]MVTAOUT2018!$P$37</f>
        <v>0</v>
      </c>
      <c r="S39" s="50">
        <v>84000</v>
      </c>
      <c r="T39" s="50">
        <f t="shared" si="11"/>
        <v>4200</v>
      </c>
      <c r="U39" s="50">
        <f t="shared" si="12"/>
        <v>88200</v>
      </c>
      <c r="V39" s="104">
        <v>42873</v>
      </c>
      <c r="W39" s="47"/>
      <c r="Z39" s="32">
        <f t="shared" si="4"/>
        <v>4200</v>
      </c>
      <c r="AA39" s="32">
        <f>S39+(S39*5/100)</f>
        <v>88200</v>
      </c>
    </row>
    <row r="40" spans="1:27" x14ac:dyDescent="0.25">
      <c r="A40" s="1" t="s">
        <v>115</v>
      </c>
      <c r="B40" s="45">
        <f>+INVENT2016_2017!J40</f>
        <v>450000</v>
      </c>
      <c r="C40" s="45">
        <f>+INVENT2016_2017!I40</f>
        <v>53965.469479387291</v>
      </c>
      <c r="D40" s="45">
        <f>[11]MVTAOUT!$H38+[11]MVTSEPT!$I38+[11]MVTOCT!$G38+[11]MVTNOV!$G38+[11]MVTDEC!$G38+[11]MVTJANV!$G38+[11]MVTFEV!$G38+[11]MVTMARS!$G38+[11]MVTAVRIL!$G38+[11]MVTMAI!$G38+[11]MVTJUIN!$G38+[11]MVTJUIL!$G38+[11]MVTAOUT2018!$G38</f>
        <v>39000</v>
      </c>
      <c r="E40" s="45">
        <f>+[11]MVTAOUT!$D38+[11]MVTSEPT!$E38+[11]MVTOCT!$C38+[11]MVTNOV!$C38+[11]MVTDEC!$C38+[11]MVTJANV!$C38+[11]MVTFEV!$C38+[11]MVTMARS!$C38+[11]MVTAVRIL!$C38+[11]MVTMAI!$C38+[11]MVTJUIN!$C38+[11]MVTJUIL!$C38</f>
        <v>19811.994996173344</v>
      </c>
      <c r="F40" s="45">
        <f t="shared" si="1"/>
        <v>112777.46447556064</v>
      </c>
      <c r="G40" s="50"/>
      <c r="H40" s="59"/>
      <c r="I40" s="50">
        <v>25000</v>
      </c>
      <c r="J40" s="50">
        <v>30000</v>
      </c>
      <c r="K40" s="56">
        <f t="shared" si="2"/>
        <v>57777.464475560642</v>
      </c>
      <c r="L40" s="45">
        <f>B40+J40</f>
        <v>480000</v>
      </c>
      <c r="M40" s="76">
        <f t="shared" ref="M40:M54" si="14">K40+L40</f>
        <v>537777.4644755607</v>
      </c>
      <c r="N40" s="58"/>
      <c r="O40" s="50">
        <f>[11]MVTAOUT!O38+[11]MVTSEPT!P38+[11]MVTOCT!N38+[11]MVTNOV!N38+[11]MVTDEC!N38+[11]MVTJANV!N38+[11]MVTFEV!N38+[11]MVTMARS!N38+[11]MVTAVRIL!N38+[11]MVTMAI!N38+[11]MVTJUIN!N38+[11]MVTJUIL!N38</f>
        <v>0</v>
      </c>
      <c r="P40" s="50">
        <f>[11]MVTAOUT!P38+[11]MVTSEPT!Q38+[11]MVTOCT!O38+[11]MVTNOV!O38+[11]MVTDEC!O38+[11]MVTJANV!O38+[11]MVTFEV!O38+[11]MVTMARS!O38+[11]MVTAVRIL!O38+[11]MVTMAI!O38+[11]MVTJUIN!O38+[11]MVTJUIL!O38</f>
        <v>0</v>
      </c>
      <c r="Q40" s="50">
        <f>+INVENT2016_2017!N40</f>
        <v>1120000</v>
      </c>
      <c r="R40" s="50">
        <f>[11]MVTAOUT!$Q38+[11]MVTSEPT!$R38+[11]MVTOCT!$P38+[11]MVTNOV!$P38+[11]MVTDEC!$P38+[11]MVTJANV!$P38+[11]MVTFEV!$P38+[11]MVTMARS!$P38+[11]MVTAVRIL!$P38+[11]MVTMAI!$P38+[11]MVTJUIN!$P38+[11]MVTJUIL!$P38+[11]MVTAOUT2018!$P$38</f>
        <v>0</v>
      </c>
      <c r="S40" s="50">
        <f>1000000-R40</f>
        <v>1000000</v>
      </c>
      <c r="T40" s="50">
        <f t="shared" si="11"/>
        <v>50000</v>
      </c>
      <c r="U40" s="50">
        <f t="shared" si="12"/>
        <v>1050000</v>
      </c>
      <c r="V40" s="102">
        <v>43169</v>
      </c>
      <c r="W40" s="32"/>
      <c r="Z40" s="32">
        <f t="shared" si="4"/>
        <v>50000</v>
      </c>
      <c r="AA40" s="32">
        <f>S40+(S40*5/100)</f>
        <v>1050000</v>
      </c>
    </row>
    <row r="41" spans="1:27" x14ac:dyDescent="0.25">
      <c r="A41" s="1" t="s">
        <v>116</v>
      </c>
      <c r="B41" s="45">
        <f>+INVENT2016_2017!J41</f>
        <v>450000</v>
      </c>
      <c r="C41" s="45">
        <f>+INVENT2016_2017!I41</f>
        <v>49454.029566398589</v>
      </c>
      <c r="D41" s="45">
        <f>[11]MVTAOUT!$H39+[11]MVTSEPT!$I39+[11]MVTOCT!$G39+[11]MVTNOV!$G39+[11]MVTDEC!$G39+[11]MVTJANV!$G39+[11]MVTFEV!$G39+[11]MVTMARS!$G39+[11]MVTAVRIL!$G39+[11]MVTMAI!$G39+[11]MVTJUIN!$G39+[11]MVTJUIL!$G39+[11]MVTAOUT2018!$G39</f>
        <v>39000</v>
      </c>
      <c r="E41" s="45">
        <f>+[11]MVTAOUT!$D39+[11]MVTSEPT!$E39+[11]MVTOCT!$C39+[11]MVTNOV!$C39+[11]MVTDEC!$C39+[11]MVTJANV!$C39+[11]MVTFEV!$C39+[11]MVTMARS!$C39+[11]MVTAVRIL!$C39+[11]MVTMAI!$C39+[11]MVTJUIN!$C39+[11]MVTJUIL!$C39</f>
        <v>19810.67290649606</v>
      </c>
      <c r="F41" s="45">
        <f t="shared" si="1"/>
        <v>108264.70247289466</v>
      </c>
      <c r="G41" s="50"/>
      <c r="H41" s="59"/>
      <c r="I41" s="50">
        <v>25000</v>
      </c>
      <c r="J41" s="50">
        <v>30000</v>
      </c>
      <c r="K41" s="56">
        <f t="shared" si="2"/>
        <v>53264.702472894656</v>
      </c>
      <c r="L41" s="45">
        <f>B41+J41</f>
        <v>480000</v>
      </c>
      <c r="M41" s="76">
        <f t="shared" si="14"/>
        <v>533264.70247289469</v>
      </c>
      <c r="N41" s="58"/>
      <c r="O41" s="50">
        <f>[11]MVTAOUT!O39+[11]MVTSEPT!P39+[11]MVTOCT!N39+[11]MVTNOV!N39+[11]MVTDEC!N39+[11]MVTJANV!N39+[11]MVTFEV!N39+[11]MVTMARS!N39+[11]MVTAVRIL!N39+[11]MVTMAI!N39+[11]MVTJUIN!N39+[11]MVTJUIL!N39</f>
        <v>0</v>
      </c>
      <c r="P41" s="50">
        <f>[11]MVTAOUT!P39+[11]MVTSEPT!Q39+[11]MVTOCT!O39+[11]MVTNOV!O39+[11]MVTDEC!O39+[11]MVTJANV!O39+[11]MVTFEV!O39+[11]MVTMARS!O39+[11]MVTAVRIL!O39+[11]MVTMAI!O39+[11]MVTJUIN!O39+[11]MVTJUIL!O39</f>
        <v>0</v>
      </c>
      <c r="Q41" s="50">
        <f>+INVENT2016_2017!N41</f>
        <v>963000</v>
      </c>
      <c r="R41" s="50">
        <f>[11]MVTAOUT!$Q39+[11]MVTSEPT!$R39+[11]MVTOCT!$P39+[11]MVTNOV!$P39+[11]MVTDEC!$P39+[11]MVTJANV!$P39+[11]MVTFEV!$P39+[11]MVTMARS!$P39+[11]MVTAVRIL!$P39+[11]MVTMAI!$P39+[11]MVTJUIN!$P39+[11]MVTJUIL!$P39+[11]MVTAOUT2018!$P$39</f>
        <v>770000</v>
      </c>
      <c r="S41" s="50">
        <f>Q41-R41</f>
        <v>193000</v>
      </c>
      <c r="T41" s="50">
        <f t="shared" si="11"/>
        <v>9650</v>
      </c>
      <c r="U41" s="50">
        <f t="shared" si="12"/>
        <v>202650</v>
      </c>
      <c r="V41" s="101"/>
      <c r="W41" s="47"/>
      <c r="X41" s="32" t="s">
        <v>138</v>
      </c>
      <c r="Z41" s="32">
        <f t="shared" si="4"/>
        <v>9650</v>
      </c>
      <c r="AA41" s="32">
        <f>S41+(S41*5/100)</f>
        <v>202650</v>
      </c>
    </row>
    <row r="42" spans="1:27" x14ac:dyDescent="0.25">
      <c r="A42" s="1" t="s">
        <v>117</v>
      </c>
      <c r="B42" s="45">
        <f>+INVENT2016_2017!J42</f>
        <v>450000</v>
      </c>
      <c r="C42" s="45">
        <f>+INVENT2016_2017!I42</f>
        <v>152184.30617585612</v>
      </c>
      <c r="D42" s="45">
        <f>[11]MVTAOUT!$H40+[11]MVTSEPT!$I40+[11]MVTOCT!$G40+[11]MVTNOV!$G40+[11]MVTDEC!$G40+[11]MVTJANV!$G40+[11]MVTFEV!$G40+[11]MVTMARS!$G40+[11]MVTAVRIL!$G40+[11]MVTMAI!$G40+[11]MVTJUIN!$G40+[11]MVTJUIL!$G40+[11]MVTAOUT2018!$G40</f>
        <v>119000</v>
      </c>
      <c r="E42" s="45">
        <f>+[11]MVTAOUT!$D40+[11]MVTSEPT!$E40+[11]MVTOCT!$C40+[11]MVTNOV!$C40+[11]MVTDEC!$C40+[11]MVTJANV!$C40+[11]MVTFEV!$C40+[11]MVTMARS!$C40+[11]MVTAVRIL!$C40+[11]MVTMAI!$C40+[11]MVTJUIN!$C40+[11]MVTJUIL!$C40</f>
        <v>20955.294945149803</v>
      </c>
      <c r="F42" s="45">
        <f t="shared" si="1"/>
        <v>292139.60112100595</v>
      </c>
      <c r="G42" s="50"/>
      <c r="H42" s="59">
        <v>200000</v>
      </c>
      <c r="I42" s="50">
        <v>25000</v>
      </c>
      <c r="J42" s="50">
        <v>30000</v>
      </c>
      <c r="K42" s="56">
        <f t="shared" si="2"/>
        <v>37139.601121005951</v>
      </c>
      <c r="L42" s="45">
        <f>B42+J42</f>
        <v>480000</v>
      </c>
      <c r="M42" s="76">
        <f t="shared" si="14"/>
        <v>517139.60112100595</v>
      </c>
      <c r="N42" s="59"/>
      <c r="O42" s="50">
        <f>[11]MVTAOUT!O40+[11]MVTSEPT!P40+[11]MVTOCT!N40+[11]MVTNOV!N40+[11]MVTDEC!N40+[11]MVTJANV!N40+[11]MVTFEV!N40+[11]MVTMARS!N40+[11]MVTAVRIL!N40+[11]MVTMAI!N40+[11]MVTJUIN!N40+[11]MVTJUIL!N40</f>
        <v>290000</v>
      </c>
      <c r="P42" s="50">
        <f>[11]MVTAOUT!P40+[11]MVTSEPT!Q40+[11]MVTOCT!O40+[11]MVTNOV!O40+[11]MVTDEC!O40+[11]MVTJANV!O40+[11]MVTFEV!O40+[11]MVTMARS!O40+[11]MVTAVRIL!O40+[11]MVTMAI!O40+[11]MVTJUIN!O40+[11]MVTJUIL!O40</f>
        <v>20300</v>
      </c>
      <c r="Q42" s="50">
        <f>+INVENT2016_2017!N42</f>
        <v>87200</v>
      </c>
      <c r="R42" s="50">
        <f>[11]MVTAOUT!$Q40+[11]MVTSEPT!$R40+[11]MVTOCT!$P40+[11]MVTNOV!$P40+[11]MVTDEC!$P40+[11]MVTJANV!$P40+[11]MVTFEV!$P40+[11]MVTMARS!$P40+[11]MVTAVRIL!$P40+[11]MVTMAI!$P40+[11]MVTJUIN!$P40+[11]MVTJUIL!$P40+[11]MVTAOUT2018!$P$40</f>
        <v>87200</v>
      </c>
      <c r="S42" s="50">
        <v>290000</v>
      </c>
      <c r="T42" s="50">
        <f t="shared" si="11"/>
        <v>14500</v>
      </c>
      <c r="U42" s="50">
        <f t="shared" si="12"/>
        <v>304500</v>
      </c>
      <c r="V42" s="102">
        <v>43121</v>
      </c>
      <c r="W42" s="32"/>
      <c r="X42" t="s">
        <v>135</v>
      </c>
      <c r="Z42" s="32">
        <f t="shared" si="4"/>
        <v>14500</v>
      </c>
      <c r="AA42" s="32">
        <f>S42+(S42*5/100)</f>
        <v>304500</v>
      </c>
    </row>
    <row r="43" spans="1:27" x14ac:dyDescent="0.25">
      <c r="A43" s="1" t="s">
        <v>118</v>
      </c>
      <c r="B43" s="45">
        <f>+INVENT2016_2017!J43</f>
        <v>450000</v>
      </c>
      <c r="C43" s="45">
        <f>+INVENT2016_2017!I43</f>
        <v>50378.24403085652</v>
      </c>
      <c r="D43" s="45">
        <f>[11]MVTAOUT!$H41+[11]MVTSEPT!$I41+[11]MVTOCT!$G41+[11]MVTNOV!$G41+[11]MVTDEC!$G41+[11]MVTJANV!$G41+[11]MVTFEV!$G41+[11]MVTMARS!$G41+[11]MVTAVRIL!$G41+[11]MVTMAI!$G41+[11]MVTJUIN!$G41+[11]MVTJUIL!$G41+[11]MVTAOUT2018!$G41</f>
        <v>39000</v>
      </c>
      <c r="E43" s="45">
        <f>+[11]MVTAOUT!$D41+[11]MVTSEPT!$E41+[11]MVTOCT!$C41+[11]MVTNOV!$C41+[11]MVTDEC!$C41+[11]MVTJANV!$C41+[11]MVTFEV!$C41+[11]MVTMARS!$C41+[11]MVTAVRIL!$C41+[11]MVTMAI!$C41+[11]MVTJUIN!$C41+[11]MVTJUIL!$C41</f>
        <v>18511.984246124382</v>
      </c>
      <c r="F43" s="45">
        <f t="shared" si="1"/>
        <v>107890.22827698091</v>
      </c>
      <c r="G43" s="50"/>
      <c r="H43" s="59"/>
      <c r="I43" s="50">
        <v>25000</v>
      </c>
      <c r="J43" s="50">
        <v>30000</v>
      </c>
      <c r="K43" s="56">
        <f t="shared" si="2"/>
        <v>52890.22827698091</v>
      </c>
      <c r="L43" s="45">
        <f>B43+J43</f>
        <v>480000</v>
      </c>
      <c r="M43" s="76">
        <f t="shared" si="14"/>
        <v>532890.22827698092</v>
      </c>
      <c r="N43" s="59"/>
      <c r="O43" s="50">
        <f>[11]MVTAOUT!O41+[11]MVTSEPT!P41+[11]MVTOCT!N41+[11]MVTNOV!N41+[11]MVTDEC!N41+[11]MVTJANV!N41+[11]MVTFEV!N41+[11]MVTMARS!N41+[11]MVTAVRIL!N41+[11]MVTMAI!N41+[11]MVTJUIN!N41+[11]MVTJUIL!N41</f>
        <v>0</v>
      </c>
      <c r="P43" s="50">
        <f>[11]MVTAOUT!P41+[11]MVTSEPT!Q41+[11]MVTOCT!O41+[11]MVTNOV!O41+[11]MVTDEC!O41+[11]MVTJANV!O41+[11]MVTFEV!O41+[11]MVTMARS!O41+[11]MVTAVRIL!O41+[11]MVTMAI!O41+[11]MVTJUIN!O41+[11]MVTJUIL!O41</f>
        <v>0</v>
      </c>
      <c r="Q43" s="50">
        <f>+INVENT2016_2017!N43</f>
        <v>0</v>
      </c>
      <c r="R43" s="50">
        <f>[11]MVTAOUT!$Q41+[11]MVTSEPT!$R41+[11]MVTOCT!$P41+[11]MVTNOV!$P41+[11]MVTDEC!$P41+[11]MVTJANV!$P41+[11]MVTFEV!$P41+[11]MVTMARS!$P41+[11]MVTAVRIL!$P41+[11]MVTMAI!$P41+[11]MVTJUIN!$P41+[11]MVTJUIL!$P41+[11]MVTAOUT2018!$P$41</f>
        <v>0</v>
      </c>
      <c r="S43" s="50"/>
      <c r="T43" s="50"/>
      <c r="U43" s="50"/>
      <c r="V43" s="101"/>
      <c r="W43" s="32"/>
      <c r="Z43" s="32"/>
      <c r="AA43" s="32"/>
    </row>
    <row r="44" spans="1:27" s="2" customFormat="1" x14ac:dyDescent="0.25">
      <c r="A44" s="46" t="s">
        <v>119</v>
      </c>
      <c r="B44" s="59">
        <v>50000</v>
      </c>
      <c r="C44" s="59">
        <f>+INVENT2016_2017!I44</f>
        <v>0</v>
      </c>
      <c r="D44" s="59">
        <f>[11]MVTAOUT!$H42+[11]MVTSEPT!$I42+[11]MVTOCT!$G42+[11]MVTNOV!$G42+[11]MVTDEC!$G42+[11]MVTJANV!$G42+[11]MVTFEV!$G42+[11]MVTMARS!$G42+[11]MVTAVRIL!$G42+[11]MVTMAI!$G42+[11]MVTJUIN!$G42+[11]MVTJUIL!$G42+[11]MVTAOUT2018!$G42</f>
        <v>0</v>
      </c>
      <c r="E44" s="59">
        <f>+[11]MVTAOUT!$D42+[11]MVTSEPT!$E42+[11]MVTOCT!$C42+[11]MVTNOV!$C42+[11]MVTDEC!$C42+[11]MVTJANV!$C42+[11]MVTFEV!$C42+[11]MVTMARS!$C42+[11]MVTAVRIL!$C42+[11]MVTMAI!$C42+[11]MVTJUIN!$C42+[11]MVTJUIL!$C42</f>
        <v>2156.6179161802906</v>
      </c>
      <c r="F44" s="59">
        <f t="shared" si="1"/>
        <v>2156.6179161802906</v>
      </c>
      <c r="G44" s="59"/>
      <c r="H44" s="59"/>
      <c r="I44" s="59">
        <v>9055</v>
      </c>
      <c r="J44" s="59">
        <v>30000</v>
      </c>
      <c r="K44" s="56">
        <f t="shared" si="2"/>
        <v>-36898.382083819713</v>
      </c>
      <c r="L44" s="45">
        <v>50000</v>
      </c>
      <c r="M44" s="76">
        <f t="shared" si="14"/>
        <v>13101.617916180287</v>
      </c>
      <c r="N44" s="59"/>
      <c r="O44" s="50">
        <f>[11]MVTAOUT!O42+[11]MVTSEPT!P42+[11]MVTOCT!N42+[11]MVTNOV!N42+[11]MVTDEC!N42+[11]MVTJANV!N42+[11]MVTFEV!N42+[11]MVTMARS!N42+[11]MVTAVRIL!N42+[11]MVTMAI!N42+[11]MVTJUIN!N42+[11]MVTJUIL!N42</f>
        <v>0</v>
      </c>
      <c r="P44" s="50">
        <f>[11]MVTAOUT!P42+[11]MVTSEPT!Q42+[11]MVTOCT!O42+[11]MVTNOV!O42+[11]MVTDEC!O42+[11]MVTJANV!O42+[11]MVTFEV!O42+[11]MVTMARS!O42+[11]MVTAVRIL!O42+[11]MVTMAI!O42+[11]MVTJUIN!O42+[11]MVTJUIL!O42</f>
        <v>0</v>
      </c>
      <c r="Q44" s="50">
        <f>+INVENT2016_2017!N44</f>
        <v>0</v>
      </c>
      <c r="R44" s="50">
        <f>[11]MVTAOUT!$Q42+[11]MVTSEPT!$R42+[11]MVTOCT!$P42+[11]MVTNOV!$P42+[11]MVTDEC!$P42+[11]MVTJANV!$P42+[11]MVTFEV!$P42+[11]MVTMARS!$P42+[11]MVTAVRIL!$P42+[11]MVTMAI!$P42+[11]MVTJUIN!$P42+[11]MVTJUIL!$P42+[11]MVTAOUT2018!$P$42</f>
        <v>0</v>
      </c>
      <c r="S44" s="50"/>
      <c r="T44" s="50"/>
      <c r="U44" s="50"/>
      <c r="V44" s="103"/>
      <c r="W44" s="47"/>
      <c r="Z44" s="32"/>
      <c r="AA44" s="32"/>
    </row>
    <row r="45" spans="1:27" x14ac:dyDescent="0.25">
      <c r="A45" s="1" t="s">
        <v>120</v>
      </c>
      <c r="B45" s="45">
        <f>+INVENT2016_2017!J45</f>
        <v>450000</v>
      </c>
      <c r="C45" s="45">
        <f>+INVENT2016_2017!I45</f>
        <v>47556.520766033747</v>
      </c>
      <c r="D45" s="45">
        <f>[11]MVTAOUT!$H43+[11]MVTSEPT!$I43+[11]MVTOCT!$G43+[11]MVTNOV!$G43+[11]MVTDEC!$G43+[11]MVTJANV!$G43+[11]MVTFEV!$G43+[11]MVTMARS!$G43+[11]MVTAVRIL!$G43+[11]MVTMAI!$G43+[11]MVTJUIN!$G43+[11]MVTJUIL!$G43+[11]MVTAOUT2018!$G43</f>
        <v>39000</v>
      </c>
      <c r="E45" s="45">
        <f>+[11]MVTAOUT!$D43+[11]MVTSEPT!$E43+[11]MVTOCT!$C43+[11]MVTNOV!$C43+[11]MVTDEC!$C43+[11]MVTJANV!$C43+[11]MVTFEV!$C43+[11]MVTMARS!$C43+[11]MVTAVRIL!$C43+[11]MVTMAI!$C43+[11]MVTJUIN!$C43+[11]MVTJUIL!$C43</f>
        <v>19804.254263865943</v>
      </c>
      <c r="F45" s="45">
        <f t="shared" si="1"/>
        <v>106360.7750298997</v>
      </c>
      <c r="G45" s="50"/>
      <c r="H45" s="59"/>
      <c r="I45" s="50">
        <v>25000</v>
      </c>
      <c r="J45" s="50">
        <v>30000</v>
      </c>
      <c r="K45" s="56">
        <f t="shared" si="2"/>
        <v>51360.775029899698</v>
      </c>
      <c r="L45" s="45">
        <f>B45+J45</f>
        <v>480000</v>
      </c>
      <c r="M45" s="76">
        <f t="shared" si="14"/>
        <v>531360.77502989967</v>
      </c>
      <c r="N45" s="59"/>
      <c r="O45" s="50">
        <f>[11]MVTAOUT!O43+[11]MVTSEPT!P43+[11]MVTOCT!N43+[11]MVTNOV!N43+[11]MVTDEC!N43+[11]MVTJANV!N43+[11]MVTFEV!N43+[11]MVTMARS!N43+[11]MVTAVRIL!N43+[11]MVTMAI!N43+[11]MVTJUIN!N43+[11]MVTJUIL!N43</f>
        <v>0</v>
      </c>
      <c r="P45" s="50">
        <f>[11]MVTAOUT!P43+[11]MVTSEPT!Q43+[11]MVTOCT!O43+[11]MVTNOV!O43+[11]MVTDEC!O43+[11]MVTJANV!O43+[11]MVTFEV!O43+[11]MVTMARS!O43+[11]MVTAVRIL!O43+[11]MVTMAI!O43+[11]MVTJUIN!O43+[11]MVTJUIL!O43</f>
        <v>0</v>
      </c>
      <c r="Q45" s="50">
        <f>+INVENT2016_2017!N45</f>
        <v>0</v>
      </c>
      <c r="R45" s="50">
        <f>[11]MVTAOUT!$Q43+[11]MVTSEPT!$R43+[11]MVTOCT!$P43+[11]MVTNOV!$P43+[11]MVTDEC!$P43+[11]MVTJANV!$P43+[11]MVTFEV!$P43+[11]MVTMARS!$P43+[11]MVTAVRIL!$P43+[11]MVTMAI!$P43+[11]MVTJUIN!$P43+[11]MVTJUIL!$P43+[11]MVTAOUT2018!$P$43</f>
        <v>0</v>
      </c>
      <c r="S45" s="50"/>
      <c r="T45" s="50"/>
      <c r="U45" s="50"/>
      <c r="V45" s="101"/>
      <c r="W45" s="32"/>
      <c r="Z45" s="32"/>
      <c r="AA45" s="32"/>
    </row>
    <row r="46" spans="1:27" x14ac:dyDescent="0.25">
      <c r="A46" s="1" t="s">
        <v>121</v>
      </c>
      <c r="B46" s="45">
        <f>+INVENT2016_2017!J46</f>
        <v>450000</v>
      </c>
      <c r="C46" s="45">
        <f>+INVENT2016_2017!I46</f>
        <v>115459.90375955624</v>
      </c>
      <c r="D46" s="45">
        <f>[11]MVTAOUT!$H44+[11]MVTSEPT!$I44+[11]MVTOCT!$G44+[11]MVTNOV!$G44+[11]MVTDEC!$G44+[11]MVTJANV!$G44+[11]MVTFEV!$G44+[11]MVTMARS!$G44+[11]MVTAVRIL!$G44+[11]MVTMAI!$G44+[11]MVTJUIN!$G44+[11]MVTJUIL!$G44+[11]MVTAOUT2018!$G44</f>
        <v>24000</v>
      </c>
      <c r="E46" s="45">
        <f>+[11]MVTAOUT!$D44+[11]MVTSEPT!$E44+[11]MVTOCT!$C44+[11]MVTNOV!$C44+[11]MVTDEC!$C44+[11]MVTJANV!$C44+[11]MVTFEV!$C44+[11]MVTMARS!$C44+[11]MVTAVRIL!$C44+[11]MVTMAI!$C44+[11]MVTJUIN!$C44+[11]MVTJUIL!$C44</f>
        <v>19340.450643409094</v>
      </c>
      <c r="F46" s="45">
        <f t="shared" si="1"/>
        <v>158800.35440296534</v>
      </c>
      <c r="G46" s="50"/>
      <c r="H46" s="59"/>
      <c r="I46" s="50">
        <v>25000</v>
      </c>
      <c r="J46" s="50">
        <v>30000</v>
      </c>
      <c r="K46" s="56">
        <f t="shared" si="2"/>
        <v>103800.35440296534</v>
      </c>
      <c r="L46" s="45">
        <f>B46+J46</f>
        <v>480000</v>
      </c>
      <c r="M46" s="76">
        <f t="shared" si="14"/>
        <v>583800.3544029654</v>
      </c>
      <c r="N46" s="59"/>
      <c r="O46" s="50">
        <f>[11]MVTAOUT!O44+[11]MVTSEPT!P44+[11]MVTOCT!N44+[11]MVTNOV!N44+[11]MVTDEC!N44+[11]MVTJANV!N44+[11]MVTFEV!N44+[11]MVTMARS!N44+[11]MVTAVRIL!N44+[11]MVTMAI!N44+[11]MVTJUIN!N44+[11]MVTJUIL!N44</f>
        <v>0</v>
      </c>
      <c r="P46" s="50">
        <f>[11]MVTAOUT!P44+[11]MVTSEPT!Q44+[11]MVTOCT!O44+[11]MVTNOV!O44+[11]MVTDEC!O44+[11]MVTJANV!O44+[11]MVTFEV!O44+[11]MVTMARS!O44+[11]MVTAVRIL!O44+[11]MVTMAI!O44+[11]MVTJUIN!O44+[11]MVTJUIL!O44</f>
        <v>0</v>
      </c>
      <c r="Q46" s="50">
        <f>+INVENT2016_2017!N46</f>
        <v>851500</v>
      </c>
      <c r="R46" s="50">
        <f>[11]MVTAOUT!$Q44+[11]MVTSEPT!$R44+[11]MVTOCT!$P44+[11]MVTNOV!$P44+[11]MVTDEC!$P44+[11]MVTJANV!$P44+[11]MVTFEV!$P44+[11]MVTMARS!$P44+[11]MVTAVRIL!$P44+[11]MVTMAI!$P44+[11]MVTJUIN!$P44+[11]MVTJUIL!$P44+[11]MVTAOUT2018!$P$44</f>
        <v>0</v>
      </c>
      <c r="S46" s="50">
        <v>851500</v>
      </c>
      <c r="T46" s="50">
        <f>S46*5/100</f>
        <v>42575</v>
      </c>
      <c r="U46" s="50">
        <f t="shared" ref="U46:U48" si="15">+S46+T46</f>
        <v>894075</v>
      </c>
      <c r="V46" s="102">
        <v>42876</v>
      </c>
      <c r="W46" s="32"/>
      <c r="Z46" s="32">
        <f t="shared" si="4"/>
        <v>42575</v>
      </c>
      <c r="AA46" s="32">
        <f>S46+(S46*5/100)</f>
        <v>894075</v>
      </c>
    </row>
    <row r="47" spans="1:27" s="2" customFormat="1" x14ac:dyDescent="0.25">
      <c r="A47" s="46" t="s">
        <v>122</v>
      </c>
      <c r="B47" s="59">
        <v>30000</v>
      </c>
      <c r="C47" s="59">
        <f>+INVENT2016_2017!I47</f>
        <v>0</v>
      </c>
      <c r="D47" s="59">
        <f>[11]MVTAOUT!$H45+[11]MVTSEPT!$I45+[11]MVTOCT!$G45+[11]MVTNOV!$G45+[11]MVTDEC!$G45+[11]MVTJANV!$G45+[11]MVTFEV!$G45+[11]MVTMARS!$G45+[11]MVTAVRIL!$G45+[11]MVTMAI!$G45+[11]MVTJUIN!$G45+[11]MVTJUIL!$G45+[11]MVTAOUT2018!$G45</f>
        <v>0</v>
      </c>
      <c r="E47" s="59">
        <f>+[11]MVTAOUT!$D45+[11]MVTSEPT!$E45+[11]MVTOCT!$C45+[11]MVTNOV!$C45+[11]MVTDEC!$C45+[11]MVTJANV!$C45+[11]MVTFEV!$C45+[11]MVTMARS!$C45+[11]MVTAVRIL!$C45+[11]MVTMAI!$C45+[11]MVTJUIN!$C45+[11]MVTJUIL!$C45</f>
        <v>1204.9540346265594</v>
      </c>
      <c r="F47" s="59">
        <f t="shared" si="1"/>
        <v>1204.9540346265594</v>
      </c>
      <c r="G47" s="59"/>
      <c r="H47" s="59"/>
      <c r="I47" s="59">
        <v>7540</v>
      </c>
      <c r="J47" s="59">
        <v>0</v>
      </c>
      <c r="K47" s="56">
        <f t="shared" si="2"/>
        <v>-6335.0459653734406</v>
      </c>
      <c r="L47" s="45">
        <v>30000</v>
      </c>
      <c r="M47" s="76">
        <f t="shared" si="14"/>
        <v>23664.95403462656</v>
      </c>
      <c r="N47" s="58"/>
      <c r="O47" s="50">
        <f>[11]MVTAOUT!O45+[11]MVTSEPT!P45+[11]MVTOCT!N45+[11]MVTNOV!N45+[11]MVTDEC!N45+[11]MVTJANV!N45+[11]MVTFEV!N45+[11]MVTMARS!N45+[11]MVTAVRIL!N45+[11]MVTMAI!N45+[11]MVTJUIN!N45+[11]MVTJUIL!N45</f>
        <v>0</v>
      </c>
      <c r="P47" s="50">
        <f>[11]MVTAOUT!P45+[11]MVTSEPT!Q45+[11]MVTOCT!O45+[11]MVTNOV!O45+[11]MVTDEC!O45+[11]MVTJANV!O45+[11]MVTFEV!O45+[11]MVTMARS!O45+[11]MVTAVRIL!O45+[11]MVTMAI!O45+[11]MVTJUIN!O45+[11]MVTJUIL!O45</f>
        <v>0</v>
      </c>
      <c r="Q47" s="50">
        <f>+INVENT2016_2017!N47</f>
        <v>0</v>
      </c>
      <c r="R47" s="50">
        <f>[11]MVTAOUT!$Q45+[11]MVTSEPT!$R45+[11]MVTOCT!$P45+[11]MVTNOV!$P45+[11]MVTDEC!$P45+[11]MVTJANV!$P45+[11]MVTFEV!$P45+[11]MVTMARS!$P45+[11]MVTAVRIL!$P45+[11]MVTMAI!$P45+[11]MVTJUIN!$P45+[11]MVTJUIL!$P45+[11]MVTAOUT2018!$P$45</f>
        <v>0</v>
      </c>
      <c r="S47" s="50"/>
      <c r="T47" s="50"/>
      <c r="U47" s="50"/>
      <c r="V47" s="103"/>
      <c r="W47" s="47"/>
      <c r="Z47" s="32"/>
      <c r="AA47" s="32"/>
    </row>
    <row r="48" spans="1:27" x14ac:dyDescent="0.25">
      <c r="A48" s="1" t="s">
        <v>123</v>
      </c>
      <c r="B48" s="45">
        <f>+INVENT2016_2017!J48</f>
        <v>450000</v>
      </c>
      <c r="C48" s="45">
        <f>+INVENT2016_2017!I48</f>
        <v>64088.864806082551</v>
      </c>
      <c r="D48" s="45">
        <f>[11]MVTAOUT!$H46+[11]MVTSEPT!$I46+[11]MVTOCT!$G46+[11]MVTNOV!$G46+[11]MVTDEC!$G46+[11]MVTJANV!$G46+[11]MVTFEV!$G46+[11]MVTMARS!$G46+[11]MVTAVRIL!$G46+[11]MVTMAI!$G46+[11]MVTJUIN!$G46+[11]MVTJUIL!$G46+[11]MVTAOUT2018!$G46</f>
        <v>36000</v>
      </c>
      <c r="E48" s="45">
        <f>+[11]MVTAOUT!$D46+[11]MVTSEPT!$E46+[11]MVTOCT!$C46+[11]MVTNOV!$C46+[11]MVTDEC!$C46+[11]MVTJANV!$C46+[11]MVTFEV!$C46+[11]MVTMARS!$C46+[11]MVTAVRIL!$C46+[11]MVTMAI!$C46+[11]MVTJUIN!$C46+[11]MVTJUIL!$C46</f>
        <v>19893.285598644401</v>
      </c>
      <c r="F48" s="45">
        <f t="shared" si="1"/>
        <v>119982.15040472696</v>
      </c>
      <c r="G48" s="50"/>
      <c r="H48" s="59"/>
      <c r="I48" s="50">
        <v>25000</v>
      </c>
      <c r="J48" s="50">
        <v>30000</v>
      </c>
      <c r="K48" s="56">
        <f t="shared" si="2"/>
        <v>64982.150404726955</v>
      </c>
      <c r="L48" s="45">
        <f>B48+J48</f>
        <v>480000</v>
      </c>
      <c r="M48" s="76">
        <f t="shared" si="14"/>
        <v>544982.15040472697</v>
      </c>
      <c r="N48" s="58"/>
      <c r="O48" s="50">
        <f>[11]MVTAOUT!O46+[11]MVTSEPT!P46+[11]MVTOCT!N46+[11]MVTNOV!N46+[11]MVTDEC!N46+[11]MVTJANV!N46+[11]MVTFEV!N46+[11]MVTMARS!N46+[11]MVTAVRIL!N46+[11]MVTMAI!N46+[11]MVTJUIN!N46+[11]MVTJUIL!N46</f>
        <v>1000000</v>
      </c>
      <c r="P48" s="50">
        <f>[11]MVTAOUT!P46+[11]MVTSEPT!Q46+[11]MVTOCT!O46+[11]MVTNOV!O46+[11]MVTDEC!O46+[11]MVTJANV!O46+[11]MVTFEV!O46+[11]MVTMARS!O46+[11]MVTAVRIL!O46+[11]MVTMAI!O46+[11]MVTJUIN!O46+[11]MVTJUIL!O46</f>
        <v>30000</v>
      </c>
      <c r="Q48" s="50">
        <f>+INVENT2016_2017!N48</f>
        <v>1064000</v>
      </c>
      <c r="R48" s="50">
        <f>[11]MVTAOUT!$Q46+[11]MVTSEPT!$R46+[11]MVTOCT!$P46+[11]MVTNOV!$P46+[11]MVTDEC!$P46+[11]MVTJANV!$P46+[11]MVTFEV!$P46+[11]MVTMARS!$P46+[11]MVTAVRIL!$P46+[11]MVTMAI!$P46+[11]MVTJUIN!$P46+[11]MVTJUIL!$P46+[11]MVTAOUT2018!$P$46</f>
        <v>1293600</v>
      </c>
      <c r="S48" s="50">
        <f>1885600-885600</f>
        <v>1000000</v>
      </c>
      <c r="T48" s="50">
        <f>S48*5/100</f>
        <v>50000</v>
      </c>
      <c r="U48" s="50">
        <f t="shared" si="15"/>
        <v>1050000</v>
      </c>
      <c r="V48" s="102">
        <v>43241</v>
      </c>
      <c r="W48" s="32"/>
      <c r="X48" s="32" t="s">
        <v>135</v>
      </c>
      <c r="Z48" s="32">
        <f t="shared" si="4"/>
        <v>50000</v>
      </c>
      <c r="AA48" s="32">
        <f>S48+(S48*5/100)</f>
        <v>1050000</v>
      </c>
    </row>
    <row r="49" spans="1:16384" x14ac:dyDescent="0.25">
      <c r="A49" s="4" t="s">
        <v>124</v>
      </c>
      <c r="B49" s="45">
        <f>+INVENT2016_2017!J49</f>
        <v>450000</v>
      </c>
      <c r="C49" s="45">
        <f>+INVENT2016_2017!I49</f>
        <v>52395.568882973399</v>
      </c>
      <c r="D49" s="45">
        <f>[11]MVTAOUT!$H47+[11]MVTSEPT!$I47+[11]MVTOCT!$G47+[11]MVTNOV!$G47+[11]MVTDEC!$G47+[11]MVTJANV!$G47+[11]MVTFEV!$G47+[11]MVTMARS!$G47+[11]MVTAVRIL!$G47+[11]MVTMAI!$G47+[11]MVTJUIN!$G47+[11]MVTJUIL!$G47+[11]MVTAOUT2018!$G47</f>
        <v>0</v>
      </c>
      <c r="E49" s="45">
        <f>+[11]MVTAOUT!$D47+[11]MVTSEPT!$E47+[11]MVTOCT!$C47+[11]MVTNOV!$C47+[11]MVTDEC!$C47+[11]MVTJANV!$C47+[11]MVTFEV!$C47+[11]MVTMARS!$C47+[11]MVTAVRIL!$C47+[11]MVTMAI!$C47+[11]MVTJUIN!$C47+[11]MVTJUIL!$C47</f>
        <v>19295.137072066729</v>
      </c>
      <c r="F49" s="45">
        <f t="shared" si="1"/>
        <v>71690.705955040132</v>
      </c>
      <c r="G49" s="50"/>
      <c r="H49" s="59"/>
      <c r="I49" s="50">
        <v>25000</v>
      </c>
      <c r="J49" s="50">
        <v>30000</v>
      </c>
      <c r="K49" s="56">
        <f t="shared" si="2"/>
        <v>16690.705955040132</v>
      </c>
      <c r="L49" s="45">
        <f>B49+J49</f>
        <v>480000</v>
      </c>
      <c r="M49" s="76">
        <f t="shared" si="14"/>
        <v>496690.70595504012</v>
      </c>
      <c r="N49" s="58"/>
      <c r="O49" s="50">
        <f>[11]MVTAOUT!O47+[11]MVTSEPT!P47+[11]MVTOCT!N47+[11]MVTNOV!N47+[11]MVTDEC!N47+[11]MVTJANV!N47+[11]MVTFEV!N47+[11]MVTMARS!N47+[11]MVTAVRIL!N47+[11]MVTMAI!N47+[11]MVTJUIN!N47+[11]MVTJUIL!N47</f>
        <v>0</v>
      </c>
      <c r="P49" s="50">
        <f>[11]MVTAOUT!P47+[11]MVTSEPT!Q47+[11]MVTOCT!O47+[11]MVTNOV!O47+[11]MVTDEC!O47+[11]MVTJANV!O47+[11]MVTFEV!O47+[11]MVTMARS!O47+[11]MVTAVRIL!O47+[11]MVTMAI!O47+[11]MVTJUIN!O47+[11]MVTJUIL!O47</f>
        <v>0</v>
      </c>
      <c r="Q49" s="50">
        <f>+INVENT2016_2017!N49</f>
        <v>1120000</v>
      </c>
      <c r="R49" s="50">
        <f>[11]MVTAOUT!$Q47+[11]MVTSEPT!$R47+[11]MVTOCT!$P47+[11]MVTNOV!$P47+[11]MVTDEC!$P47+[11]MVTJANV!$P47+[11]MVTFEV!$P47+[11]MVTMARS!$P47+[11]MVTAVRIL!$P47+[11]MVTMAI!$P47+[11]MVTJUIN!$P47+[11]MVTJUIL!$P47+[11]MVTAOUT2018!$P$47</f>
        <v>0</v>
      </c>
      <c r="S49" s="50">
        <v>0</v>
      </c>
      <c r="T49" s="50"/>
      <c r="U49" s="50"/>
      <c r="V49" s="101"/>
      <c r="W49" s="32"/>
      <c r="X49" t="s">
        <v>145</v>
      </c>
      <c r="Z49" s="32"/>
      <c r="AA49" s="32"/>
    </row>
    <row r="50" spans="1:16384" x14ac:dyDescent="0.25">
      <c r="A50" s="1" t="s">
        <v>125</v>
      </c>
      <c r="B50" s="45">
        <f>+INVENT2016_2017!J50</f>
        <v>450000</v>
      </c>
      <c r="C50" s="45">
        <f>+INVENT2016_2017!I50</f>
        <v>460575.58364179294</v>
      </c>
      <c r="D50" s="45">
        <f>[11]MVTAOUT!$H48+[11]MVTSEPT!$I48+[11]MVTOCT!$G48+[11]MVTNOV!$G48+[11]MVTDEC!$G48+[11]MVTJANV!$G48+[11]MVTFEV!$G48+[11]MVTMARS!$G48+[11]MVTAVRIL!$G48+[11]MVTMAI!$G48+[11]MVTJUIN!$G48+[11]MVTJUIL!$G48+[11]MVTAOUT2018!$G48</f>
        <v>39000</v>
      </c>
      <c r="E50" s="45">
        <f>+[11]MVTAOUT!$D48+[11]MVTSEPT!$E48+[11]MVTOCT!$C48+[11]MVTNOV!$C48+[11]MVTDEC!$C48+[11]MVTJANV!$C48+[11]MVTFEV!$C48+[11]MVTMARS!$C48+[11]MVTAVRIL!$C48+[11]MVTMAI!$C48+[11]MVTJUIN!$C48+[11]MVTJUIL!$C48</f>
        <v>21144.59288881634</v>
      </c>
      <c r="F50" s="45">
        <f t="shared" si="1"/>
        <v>520720.17653060926</v>
      </c>
      <c r="G50" s="50"/>
      <c r="H50" s="59"/>
      <c r="I50" s="50">
        <v>25000</v>
      </c>
      <c r="J50" s="50">
        <v>30000</v>
      </c>
      <c r="K50" s="56">
        <f t="shared" si="2"/>
        <v>465720.17653060926</v>
      </c>
      <c r="L50" s="45">
        <f>B50+J50</f>
        <v>480000</v>
      </c>
      <c r="M50" s="76">
        <f t="shared" si="14"/>
        <v>945720.17653060926</v>
      </c>
      <c r="N50" s="58"/>
      <c r="O50" s="50">
        <f>[11]MVTAOUT!O48+[11]MVTSEPT!P48+[11]MVTOCT!N48+[11]MVTNOV!N48+[11]MVTDEC!N48+[11]MVTJANV!N48+[11]MVTFEV!N48+[11]MVTMARS!N48+[11]MVTAVRIL!N48+[11]MVTMAI!N48+[11]MVTJUIN!N48+[11]MVTJUIL!N48</f>
        <v>0</v>
      </c>
      <c r="P50" s="50">
        <f>[11]MVTAOUT!P48+[11]MVTSEPT!Q48+[11]MVTOCT!O48+[11]MVTNOV!O48+[11]MVTDEC!O48+[11]MVTJANV!O48+[11]MVTFEV!O48+[11]MVTMARS!O48+[11]MVTAVRIL!O48+[11]MVTMAI!O48+[11]MVTJUIN!O48+[11]MVTJUIL!O48</f>
        <v>0</v>
      </c>
      <c r="Q50" s="50">
        <f>+INVENT2016_2017!N50</f>
        <v>0</v>
      </c>
      <c r="R50" s="50">
        <f>[11]MVTAOUT!$Q48+[11]MVTSEPT!$R48+[11]MVTOCT!$P48+[11]MVTNOV!$P48+[11]MVTDEC!$P48+[11]MVTJANV!$P48+[11]MVTFEV!$P48+[11]MVTMARS!$P48+[11]MVTAVRIL!$P48+[11]MVTMAI!$P48+[11]MVTJUIN!$P48+[11]MVTJUIL!$P48+[11]MVTAOUT2018!$P$48</f>
        <v>0</v>
      </c>
      <c r="S50" s="50"/>
      <c r="T50" s="50"/>
      <c r="U50" s="50"/>
      <c r="V50" s="101"/>
      <c r="W50" s="32"/>
      <c r="Z50" s="32"/>
      <c r="AA50" s="32"/>
    </row>
    <row r="51" spans="1:16384" x14ac:dyDescent="0.25">
      <c r="A51" s="1" t="s">
        <v>126</v>
      </c>
      <c r="B51" s="45">
        <f>+INVENT2016_2017!J51</f>
        <v>450000</v>
      </c>
      <c r="C51" s="45">
        <f>+INVENT2016_2017!I51</f>
        <v>1205652.8231027098</v>
      </c>
      <c r="D51" s="45">
        <f>[11]MVTAOUT!$H49+[11]MVTSEPT!$I49+[11]MVTOCT!$G49+[11]MVTNOV!$G49+[11]MVTDEC!$G49+[11]MVTJANV!$G49+[11]MVTFEV!$G49+[11]MVTMARS!$G49+[11]MVTAVRIL!$G49+[11]MVTMAI!$G49+[11]MVTJUIN!$G49+[11]MVTJUIL!$G49+[11]MVTAOUT2018!$G49</f>
        <v>39000</v>
      </c>
      <c r="E51" s="45">
        <f>+[11]MVTAOUT!$D49+[11]MVTSEPT!$E49+[11]MVTOCT!$C49+[11]MVTNOV!$C49+[11]MVTDEC!$C49+[11]MVTJANV!$C49+[11]MVTFEV!$C49+[11]MVTMARS!$C49+[11]MVTAVRIL!$C49+[11]MVTMAI!$C49+[11]MVTJUIN!$C49+[11]MVTJUIL!$C49</f>
        <v>23501.827988491023</v>
      </c>
      <c r="F51" s="45">
        <f t="shared" si="1"/>
        <v>1268154.6510912008</v>
      </c>
      <c r="G51" s="50"/>
      <c r="H51" s="59"/>
      <c r="I51" s="50">
        <v>25000</v>
      </c>
      <c r="J51" s="50">
        <v>30000</v>
      </c>
      <c r="K51" s="56">
        <f t="shared" si="2"/>
        <v>1213154.6510912008</v>
      </c>
      <c r="L51" s="45">
        <f>B51+J51</f>
        <v>480000</v>
      </c>
      <c r="M51" s="76">
        <f t="shared" si="14"/>
        <v>1693154.6510912008</v>
      </c>
      <c r="N51" s="58"/>
      <c r="O51" s="50">
        <f>[11]MVTAOUT!O49+[11]MVTSEPT!P49+[11]MVTOCT!N49+[11]MVTNOV!N49+[11]MVTDEC!N49+[11]MVTJANV!N49+[11]MVTFEV!N49+[11]MVTMARS!N49+[11]MVTAVRIL!N49+[11]MVTMAI!N49+[11]MVTJUIN!N49+[11]MVTJUIL!N49</f>
        <v>0</v>
      </c>
      <c r="P51" s="50">
        <f>[11]MVTAOUT!P49+[11]MVTSEPT!Q49+[11]MVTOCT!O49+[11]MVTNOV!O49+[11]MVTDEC!O49+[11]MVTJANV!O49+[11]MVTFEV!O49+[11]MVTMARS!O49+[11]MVTAVRIL!O49+[11]MVTMAI!O49+[11]MVTJUIN!O49+[11]MVTJUIL!O49</f>
        <v>0</v>
      </c>
      <c r="Q51" s="50">
        <f>+INVENT2016_2017!N51</f>
        <v>0</v>
      </c>
      <c r="R51" s="50">
        <f>[11]MVTAOUT!$Q49+[11]MVTSEPT!$R49+[11]MVTOCT!$P49+[11]MVTNOV!$P49+[11]MVTDEC!$P49+[11]MVTJANV!$P49+[11]MVTFEV!$P49+[11]MVTMARS!$P49+[11]MVTAVRIL!$P49+[11]MVTMAI!$P49+[11]MVTJUIN!$P49+[11]MVTJUIL!$P49+[11]MVTAOUT2018!$P$49</f>
        <v>0</v>
      </c>
      <c r="S51" s="50"/>
      <c r="T51" s="50"/>
      <c r="U51" s="50"/>
      <c r="V51" s="101"/>
      <c r="W51" s="32"/>
      <c r="Z51" s="32"/>
      <c r="AA51" s="32"/>
    </row>
    <row r="52" spans="1:16384" s="49" customFormat="1" x14ac:dyDescent="0.25">
      <c r="A52" s="4" t="s">
        <v>127</v>
      </c>
      <c r="B52" s="50">
        <f>+INVENT2016_2017!J52</f>
        <v>450000</v>
      </c>
      <c r="C52" s="50">
        <f>+INVENT2016_2017!I52</f>
        <v>0</v>
      </c>
      <c r="D52" s="50">
        <f>[11]MVTAOUT!$H50+[11]MVTSEPT!$I50+[11]MVTOCT!$G50+[11]MVTNOV!$G50+[11]MVTDEC!$G50+[11]MVTJANV!$G50+[11]MVTFEV!$G50+[11]MVTMARS!$G50+[11]MVTAVRIL!$G50+[11]MVTMAI!$G50+[11]MVTJUIN!$G50+[11]MVTJUIL!$G50+[11]MVTAOUT2018!$G50</f>
        <v>57000</v>
      </c>
      <c r="E52" s="50">
        <f>+[11]MVTAOUT!$D50+[11]MVTSEPT!$E50+[11]MVTOCT!$C50+[11]MVTNOV!$C50+[11]MVTDEC!$C50+[11]MVTJANV!$C50+[11]MVTFEV!$C50+[11]MVTMARS!$C50+[11]MVTAVRIL!$C50+[11]MVTMAI!$C50+[11]MVTJUIN!$C50+[11]MVTJUIL!$C50</f>
        <v>88.5270055831013</v>
      </c>
      <c r="F52" s="50">
        <f t="shared" si="1"/>
        <v>57088.527005583099</v>
      </c>
      <c r="G52" s="50"/>
      <c r="H52" s="59"/>
      <c r="I52" s="50">
        <v>24094</v>
      </c>
      <c r="J52" s="50">
        <v>30000</v>
      </c>
      <c r="K52" s="56">
        <f t="shared" si="2"/>
        <v>2994.5270055830988</v>
      </c>
      <c r="L52" s="45">
        <f>B52+J52</f>
        <v>480000</v>
      </c>
      <c r="M52" s="76">
        <f t="shared" si="14"/>
        <v>482994.52700558311</v>
      </c>
      <c r="N52" s="58"/>
      <c r="O52" s="50">
        <f>[11]MVTAOUT!O50+[11]MVTSEPT!P50+[11]MVTOCT!N50+[11]MVTNOV!N50+[11]MVTDEC!N50+[11]MVTJANV!N50+[11]MVTFEV!N50+[11]MVTMARS!N50+[11]MVTAVRIL!N50+[11]MVTMAI!N50+[11]MVTJUIN!N50+[11]MVTJUIL!N50</f>
        <v>1000000</v>
      </c>
      <c r="P52" s="50">
        <f>[11]MVTAOUT!P50+[11]MVTSEPT!Q50+[11]MVTOCT!O50+[11]MVTNOV!O50+[11]MVTDEC!O50+[11]MVTJANV!O50+[11]MVTFEV!O50+[11]MVTMARS!O50+[11]MVTAVRIL!O50+[11]MVTMAI!O50+[11]MVTJUIN!O50+[11]MVTJUIL!O50</f>
        <v>60000</v>
      </c>
      <c r="Q52" s="50">
        <f>+INVENT2016_2017!N52</f>
        <v>0</v>
      </c>
      <c r="R52" s="50">
        <f>[11]MVTAOUT!$Q50+[11]MVTSEPT!$R50+[11]MVTOCT!$P50+[11]MVTNOV!$P50+[11]MVTDEC!$P50+[11]MVTJANV!$P50+[11]MVTFEV!$P50+[11]MVTMARS!$P50+[11]MVTAVRIL!$P50+[11]MVTMAI!$P50+[11]MVTJUIN!$P50+[11]MVTJUIL!$P50+[11]MVTAOUT2018!$P$50</f>
        <v>1060000</v>
      </c>
      <c r="S52" s="50">
        <f>1060000-1060000</f>
        <v>0</v>
      </c>
      <c r="T52" s="50"/>
      <c r="U52" s="50"/>
      <c r="V52" s="104">
        <v>43148</v>
      </c>
      <c r="W52" s="48"/>
      <c r="Y52" s="49">
        <v>60000</v>
      </c>
      <c r="Z52" s="32"/>
      <c r="AA52" s="32"/>
    </row>
    <row r="53" spans="1:16384" s="2" customFormat="1" x14ac:dyDescent="0.25">
      <c r="A53" s="46" t="s">
        <v>128</v>
      </c>
      <c r="B53" s="59">
        <v>0</v>
      </c>
      <c r="C53" s="59">
        <f>+INVENT2016_2017!I53</f>
        <v>0</v>
      </c>
      <c r="D53" s="59">
        <f>[11]MVTAOUT!$H51+[11]MVTSEPT!$I51+[11]MVTOCT!$G51+[11]MVTNOV!$G51+[11]MVTDEC!$G51+[11]MVTJANV!$G51+[11]MVTFEV!$G51+[11]MVTMARS!$G51+[11]MVTAVRIL!$G51+[11]MVTMAI!$G51+[11]MVTJUIN!$G51+[11]MVTJUIL!$G51+[11]MVTAOUT2018!$G51</f>
        <v>27000</v>
      </c>
      <c r="E53" s="59">
        <f>+[11]MVTAOUT!$D51+[11]MVTSEPT!$E51+[11]MVTOCT!$C51+[11]MVTNOV!$C51+[11]MVTDEC!$C51+[11]MVTJANV!$C51+[11]MVTFEV!$C51+[11]MVTMARS!$C51+[11]MVTAVRIL!$C51+[11]MVTMAI!$C51+[11]MVTJUIN!$C51+[11]MVTJUIL!$C51</f>
        <v>88.5270055831013</v>
      </c>
      <c r="F53" s="59">
        <f t="shared" si="1"/>
        <v>27088.527005583102</v>
      </c>
      <c r="G53" s="59"/>
      <c r="H53" s="59"/>
      <c r="I53" s="59">
        <v>24094</v>
      </c>
      <c r="J53" s="59"/>
      <c r="K53" s="58">
        <f t="shared" si="2"/>
        <v>2994.5270055831024</v>
      </c>
      <c r="L53" s="59">
        <v>0</v>
      </c>
      <c r="M53" s="76">
        <f t="shared" si="13"/>
        <v>2994.5270055831024</v>
      </c>
      <c r="N53" s="58"/>
      <c r="O53" s="50">
        <f>[11]MVTAOUT!O51+[11]MVTSEPT!P51+[11]MVTOCT!N51+[11]MVTNOV!N51+[11]MVTDEC!N51+[11]MVTJANV!N51+[11]MVTFEV!N51+[11]MVTMARS!N51+[11]MVTAVRIL!N51+[11]MVTMAI!N51+[11]MVTJUIN!N51+[11]MVTJUIL!N51</f>
        <v>0</v>
      </c>
      <c r="P53" s="50">
        <f>[11]MVTAOUT!P51+[11]MVTSEPT!Q51+[11]MVTOCT!O51+[11]MVTNOV!O51+[11]MVTDEC!O51+[11]MVTJANV!O51+[11]MVTFEV!O51+[11]MVTMARS!O51+[11]MVTAVRIL!O51+[11]MVTMAI!O51+[11]MVTJUIN!O51+[11]MVTJUIL!O51</f>
        <v>0</v>
      </c>
      <c r="Q53" s="50">
        <f>+INVENT2016_2017!N53</f>
        <v>0</v>
      </c>
      <c r="R53" s="50">
        <f>[11]MVTAOUT!$Q51+[11]MVTSEPT!$R51+[11]MVTOCT!$P51+[11]MVTNOV!$P51+[11]MVTDEC!$P51+[11]MVTJANV!$P51+[11]MVTFEV!$P51+[11]MVTMARS!$P51+[11]MVTAVRIL!$P51+[11]MVTMAI!$P51+[11]MVTJUIN!$P51+[11]MVTJUIL!$P51+[11]MVTAOUT2018!$P$51</f>
        <v>0</v>
      </c>
      <c r="S53" s="50"/>
      <c r="T53" s="50"/>
      <c r="U53" s="50"/>
      <c r="V53" s="103"/>
      <c r="W53" s="47"/>
    </row>
    <row r="54" spans="1:16384" x14ac:dyDescent="0.25">
      <c r="A54" s="1" t="s">
        <v>129</v>
      </c>
      <c r="B54" s="45">
        <v>0</v>
      </c>
      <c r="C54" s="45">
        <f>+INVENT2016_2017!I54</f>
        <v>0</v>
      </c>
      <c r="D54" s="45">
        <f>[11]MVTAOUT!$H52+[11]MVTSEPT!$I52+[11]MVTOCT!$G52+[11]MVTNOV!$G52+[11]MVTDEC!$G52+[11]MVTJANV!$G52+[11]MVTFEV!$G52+[11]MVTMARS!$G52+[11]MVTAVRIL!$G52+[11]MVTMAI!$G52+[11]MVTJUIN!$G52+[11]MVTJUIL!$G52+[11]MVTAOUT2018!$G52</f>
        <v>465000</v>
      </c>
      <c r="E54" s="45">
        <f>+[11]MVTAOUT!$D52+[11]MVTSEPT!$E52+[11]MVTOCT!$C52+[11]MVTNOV!$C52+[11]MVTDEC!$C52+[11]MVTJANV!$C52+[11]MVTFEV!$C52+[11]MVTMARS!$C52+[11]MVTAVRIL!$C52+[11]MVTMAI!$C52+[11]MVTJUIN!$C52+[11]MVTJUIL!$C52</f>
        <v>1596.1690040891908</v>
      </c>
      <c r="F54" s="45">
        <f t="shared" si="1"/>
        <v>466596.1690040892</v>
      </c>
      <c r="G54" s="50"/>
      <c r="H54" s="47"/>
      <c r="I54" s="50">
        <v>25000</v>
      </c>
      <c r="J54" s="50">
        <v>30000</v>
      </c>
      <c r="K54" s="56">
        <f t="shared" si="2"/>
        <v>411596.1690040892</v>
      </c>
      <c r="L54" s="45">
        <f>B54+J54</f>
        <v>30000</v>
      </c>
      <c r="M54" s="76">
        <f t="shared" si="14"/>
        <v>441596.1690040892</v>
      </c>
      <c r="N54" s="58"/>
      <c r="O54" s="50">
        <f>[11]MVTAOUT!O52+[11]MVTSEPT!P52+[11]MVTOCT!N52+[11]MVTNOV!N52+[11]MVTDEC!N52+[11]MVTJANV!N52+[11]MVTFEV!N52+[11]MVTMARS!N52+[11]MVTAVRIL!N52+[11]MVTMAI!N52+[11]MVTJUIN!N52+[11]MVTJUIL!N52</f>
        <v>0</v>
      </c>
      <c r="P54" s="50">
        <f>[11]MVTAOUT!P52+[11]MVTSEPT!Q52+[11]MVTOCT!O52+[11]MVTNOV!O52+[11]MVTDEC!O52+[11]MVTJANV!O52+[11]MVTFEV!O52+[11]MVTMARS!O52+[11]MVTAVRIL!O52+[11]MVTMAI!O52+[11]MVTJUIN!O52+[11]MVTJUIL!O52</f>
        <v>0</v>
      </c>
      <c r="Q54" s="50">
        <f>+INVENT2016_2017!N54</f>
        <v>0</v>
      </c>
      <c r="R54" s="50">
        <f>[11]MVTAOUT!$Q52+[11]MVTSEPT!$R52+[11]MVTOCT!$P52+[11]MVTNOV!$P52+[11]MVTDEC!$P52+[11]MVTJANV!$P52+[11]MVTFEV!$P52+[11]MVTMARS!$P52+[11]MVTAVRIL!$P52+[11]MVTMAI!$P52+[11]MVTJUIN!$P52+[11]MVTJUIL!$P52+[11]MVTAOUT2018!$P$52</f>
        <v>0</v>
      </c>
      <c r="S54" s="50"/>
      <c r="V54" s="101"/>
      <c r="W54" s="32"/>
    </row>
    <row r="55" spans="1:16384" x14ac:dyDescent="0.25">
      <c r="A55" s="1"/>
      <c r="B55" s="1"/>
      <c r="C55" s="1"/>
      <c r="N55" s="72"/>
    </row>
    <row r="56" spans="1:16384" ht="18" x14ac:dyDescent="0.25">
      <c r="A56" s="53"/>
      <c r="B56" s="53">
        <f t="shared" ref="B56:U56" si="16">SUM(B4:B54)</f>
        <v>18021000</v>
      </c>
      <c r="C56" s="53">
        <f t="shared" si="16"/>
        <v>6174113.8883337844</v>
      </c>
      <c r="D56" s="53">
        <f t="shared" si="16"/>
        <v>3860500</v>
      </c>
      <c r="E56" s="53">
        <f t="shared" si="16"/>
        <v>822600</v>
      </c>
      <c r="F56" s="53">
        <f t="shared" si="16"/>
        <v>10857213.888333786</v>
      </c>
      <c r="G56" s="53">
        <f t="shared" si="16"/>
        <v>0</v>
      </c>
      <c r="H56" s="53">
        <f t="shared" si="16"/>
        <v>400000</v>
      </c>
      <c r="I56" s="53">
        <f t="shared" si="16"/>
        <v>1059865</v>
      </c>
      <c r="J56" s="53">
        <f t="shared" si="16"/>
        <v>1230000</v>
      </c>
      <c r="K56" s="57">
        <f t="shared" si="16"/>
        <v>8164348.8883337853</v>
      </c>
      <c r="L56" s="53">
        <f t="shared" si="16"/>
        <v>19254000</v>
      </c>
      <c r="M56" s="77">
        <f t="shared" si="16"/>
        <v>27418348.888333783</v>
      </c>
      <c r="N56" s="73">
        <f t="shared" si="16"/>
        <v>0</v>
      </c>
      <c r="O56" s="53">
        <f t="shared" si="16"/>
        <v>12393000</v>
      </c>
      <c r="P56" s="53">
        <f t="shared" si="16"/>
        <v>822600</v>
      </c>
      <c r="Q56" s="53">
        <f t="shared" si="16"/>
        <v>23056400</v>
      </c>
      <c r="R56" s="53">
        <f t="shared" si="16"/>
        <v>24505800</v>
      </c>
      <c r="S56" s="53">
        <f t="shared" si="16"/>
        <v>10310500</v>
      </c>
      <c r="T56" s="53">
        <f t="shared" si="16"/>
        <v>574125</v>
      </c>
      <c r="U56" s="53">
        <f t="shared" si="16"/>
        <v>10796625</v>
      </c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  <c r="FH56" s="53"/>
      <c r="FI56" s="53"/>
      <c r="FJ56" s="53"/>
      <c r="FK56" s="53"/>
      <c r="FL56" s="53"/>
      <c r="FM56" s="53"/>
      <c r="FN56" s="53"/>
      <c r="FO56" s="53"/>
      <c r="FP56" s="53"/>
      <c r="FQ56" s="53"/>
      <c r="FR56" s="53"/>
      <c r="FS56" s="53"/>
      <c r="FT56" s="53"/>
      <c r="FU56" s="53"/>
      <c r="FV56" s="53"/>
      <c r="FW56" s="53"/>
      <c r="FX56" s="53"/>
      <c r="FY56" s="53"/>
      <c r="FZ56" s="53"/>
      <c r="GA56" s="53"/>
      <c r="GB56" s="53"/>
      <c r="GC56" s="53"/>
      <c r="GD56" s="53"/>
      <c r="GE56" s="53"/>
      <c r="GF56" s="53"/>
      <c r="GG56" s="53"/>
      <c r="GH56" s="53"/>
      <c r="GI56" s="53"/>
      <c r="GJ56" s="53"/>
      <c r="GK56" s="53"/>
      <c r="GL56" s="53"/>
      <c r="GM56" s="53"/>
      <c r="GN56" s="53"/>
      <c r="GO56" s="53"/>
      <c r="GP56" s="53"/>
      <c r="GQ56" s="53"/>
      <c r="GR56" s="53"/>
      <c r="GS56" s="53"/>
      <c r="GT56" s="53"/>
      <c r="GU56" s="53"/>
      <c r="GV56" s="53"/>
      <c r="GW56" s="53"/>
      <c r="GX56" s="53"/>
      <c r="GY56" s="53"/>
      <c r="GZ56" s="53"/>
      <c r="HA56" s="53"/>
      <c r="HB56" s="53"/>
      <c r="HC56" s="53"/>
      <c r="HD56" s="53"/>
      <c r="HE56" s="53"/>
      <c r="HF56" s="53"/>
      <c r="HG56" s="53"/>
      <c r="HH56" s="53"/>
      <c r="HI56" s="53"/>
      <c r="HJ56" s="53"/>
      <c r="HK56" s="53"/>
      <c r="HL56" s="53"/>
      <c r="HM56" s="53"/>
      <c r="HN56" s="53"/>
      <c r="HO56" s="53"/>
      <c r="HP56" s="53"/>
      <c r="HQ56" s="53"/>
      <c r="HR56" s="53"/>
      <c r="HS56" s="53"/>
      <c r="HT56" s="53"/>
      <c r="HU56" s="53"/>
      <c r="HV56" s="53"/>
      <c r="HW56" s="53"/>
      <c r="HX56" s="53"/>
      <c r="HY56" s="53"/>
      <c r="HZ56" s="53"/>
      <c r="IA56" s="53"/>
      <c r="IB56" s="53"/>
      <c r="IC56" s="53"/>
      <c r="ID56" s="53"/>
      <c r="IE56" s="53"/>
      <c r="IF56" s="53"/>
      <c r="IG56" s="53"/>
      <c r="IH56" s="53"/>
      <c r="II56" s="53"/>
      <c r="IJ56" s="53"/>
      <c r="IK56" s="53"/>
      <c r="IL56" s="53"/>
      <c r="IM56" s="53"/>
      <c r="IN56" s="53"/>
      <c r="IO56" s="53"/>
      <c r="IP56" s="53"/>
      <c r="IQ56" s="53"/>
      <c r="IR56" s="53"/>
      <c r="IS56" s="53"/>
      <c r="IT56" s="53"/>
      <c r="IU56" s="53"/>
      <c r="IV56" s="53"/>
      <c r="IW56" s="53"/>
      <c r="IX56" s="53"/>
      <c r="IY56" s="53"/>
      <c r="IZ56" s="53"/>
      <c r="JA56" s="53"/>
      <c r="JB56" s="53"/>
      <c r="JC56" s="53"/>
      <c r="JD56" s="53"/>
      <c r="JE56" s="53"/>
      <c r="JF56" s="53"/>
      <c r="JG56" s="53"/>
      <c r="JH56" s="53"/>
      <c r="JI56" s="53"/>
      <c r="JJ56" s="53"/>
      <c r="JK56" s="53"/>
      <c r="JL56" s="53"/>
      <c r="JM56" s="53"/>
      <c r="JN56" s="53"/>
      <c r="JO56" s="53"/>
      <c r="JP56" s="53"/>
      <c r="JQ56" s="53"/>
      <c r="JR56" s="53"/>
      <c r="JS56" s="53"/>
      <c r="JT56" s="53"/>
      <c r="JU56" s="53"/>
      <c r="JV56" s="53"/>
      <c r="JW56" s="53"/>
      <c r="JX56" s="53"/>
      <c r="JY56" s="53"/>
      <c r="JZ56" s="53"/>
      <c r="KA56" s="53"/>
      <c r="KB56" s="53"/>
      <c r="KC56" s="53"/>
      <c r="KD56" s="53"/>
      <c r="KE56" s="53"/>
      <c r="KF56" s="53"/>
      <c r="KG56" s="53"/>
      <c r="KH56" s="53"/>
      <c r="KI56" s="53"/>
      <c r="KJ56" s="53"/>
      <c r="KK56" s="53"/>
      <c r="KL56" s="53"/>
      <c r="KM56" s="53"/>
      <c r="KN56" s="53"/>
      <c r="KO56" s="53"/>
      <c r="KP56" s="53"/>
      <c r="KQ56" s="53"/>
      <c r="KR56" s="53"/>
      <c r="KS56" s="53"/>
      <c r="KT56" s="53"/>
      <c r="KU56" s="53"/>
      <c r="KV56" s="53"/>
      <c r="KW56" s="53"/>
      <c r="KX56" s="53"/>
      <c r="KY56" s="53"/>
      <c r="KZ56" s="53"/>
      <c r="LA56" s="53"/>
      <c r="LB56" s="53"/>
      <c r="LC56" s="53"/>
      <c r="LD56" s="53"/>
      <c r="LE56" s="53"/>
      <c r="LF56" s="53"/>
      <c r="LG56" s="53"/>
      <c r="LH56" s="53"/>
      <c r="LI56" s="53"/>
      <c r="LJ56" s="53"/>
      <c r="LK56" s="53"/>
      <c r="LL56" s="53"/>
      <c r="LM56" s="53"/>
      <c r="LN56" s="53"/>
      <c r="LO56" s="53"/>
      <c r="LP56" s="53"/>
      <c r="LQ56" s="53"/>
      <c r="LR56" s="53"/>
      <c r="LS56" s="53"/>
      <c r="LT56" s="53"/>
      <c r="LU56" s="53"/>
      <c r="LV56" s="53"/>
      <c r="LW56" s="53"/>
      <c r="LX56" s="53"/>
      <c r="LY56" s="53"/>
      <c r="LZ56" s="53"/>
      <c r="MA56" s="53"/>
      <c r="MB56" s="53"/>
      <c r="MC56" s="53"/>
      <c r="MD56" s="53"/>
      <c r="ME56" s="53"/>
      <c r="MF56" s="53"/>
      <c r="MG56" s="53"/>
      <c r="MH56" s="53"/>
      <c r="MI56" s="53"/>
      <c r="MJ56" s="53"/>
      <c r="MK56" s="53"/>
      <c r="ML56" s="53"/>
      <c r="MM56" s="53"/>
      <c r="MN56" s="53"/>
      <c r="MO56" s="53"/>
      <c r="MP56" s="53"/>
      <c r="MQ56" s="53"/>
      <c r="MR56" s="53"/>
      <c r="MS56" s="53"/>
      <c r="MT56" s="53"/>
      <c r="MU56" s="53"/>
      <c r="MV56" s="53"/>
      <c r="MW56" s="53"/>
      <c r="MX56" s="53"/>
      <c r="MY56" s="53"/>
      <c r="MZ56" s="53"/>
      <c r="NA56" s="53"/>
      <c r="NB56" s="53"/>
      <c r="NC56" s="53"/>
      <c r="ND56" s="53"/>
      <c r="NE56" s="53"/>
      <c r="NF56" s="53"/>
      <c r="NG56" s="53"/>
      <c r="NH56" s="53"/>
      <c r="NI56" s="53"/>
      <c r="NJ56" s="53"/>
      <c r="NK56" s="53"/>
      <c r="NL56" s="53"/>
      <c r="NM56" s="53"/>
      <c r="NN56" s="53"/>
      <c r="NO56" s="53"/>
      <c r="NP56" s="53"/>
      <c r="NQ56" s="53"/>
      <c r="NR56" s="53"/>
      <c r="NS56" s="53"/>
      <c r="NT56" s="53"/>
      <c r="NU56" s="53"/>
      <c r="NV56" s="53"/>
      <c r="NW56" s="53"/>
      <c r="NX56" s="53"/>
      <c r="NY56" s="53"/>
      <c r="NZ56" s="53"/>
      <c r="OA56" s="53"/>
      <c r="OB56" s="53"/>
      <c r="OC56" s="53"/>
      <c r="OD56" s="53"/>
      <c r="OE56" s="53"/>
      <c r="OF56" s="53"/>
      <c r="OG56" s="53"/>
      <c r="OH56" s="53"/>
      <c r="OI56" s="53"/>
      <c r="OJ56" s="53"/>
      <c r="OK56" s="53"/>
      <c r="OL56" s="53"/>
      <c r="OM56" s="53"/>
      <c r="ON56" s="53"/>
      <c r="OO56" s="53"/>
      <c r="OP56" s="53"/>
      <c r="OQ56" s="53"/>
      <c r="OR56" s="53"/>
      <c r="OS56" s="53"/>
      <c r="OT56" s="53"/>
      <c r="OU56" s="53"/>
      <c r="OV56" s="53"/>
      <c r="OW56" s="53"/>
      <c r="OX56" s="53"/>
      <c r="OY56" s="53"/>
      <c r="OZ56" s="53"/>
      <c r="PA56" s="53"/>
      <c r="PB56" s="53"/>
      <c r="PC56" s="53"/>
      <c r="PD56" s="53"/>
      <c r="PE56" s="53"/>
      <c r="PF56" s="53"/>
      <c r="PG56" s="53"/>
      <c r="PH56" s="53"/>
      <c r="PI56" s="53"/>
      <c r="PJ56" s="53"/>
      <c r="PK56" s="53"/>
      <c r="PL56" s="53"/>
      <c r="PM56" s="53"/>
      <c r="PN56" s="53"/>
      <c r="PO56" s="53"/>
      <c r="PP56" s="53"/>
      <c r="PQ56" s="53"/>
      <c r="PR56" s="53"/>
      <c r="PS56" s="53"/>
      <c r="PT56" s="53"/>
      <c r="PU56" s="53"/>
      <c r="PV56" s="53"/>
      <c r="PW56" s="53"/>
      <c r="PX56" s="53"/>
      <c r="PY56" s="53"/>
      <c r="PZ56" s="53"/>
      <c r="QA56" s="53"/>
      <c r="QB56" s="53"/>
      <c r="QC56" s="53"/>
      <c r="QD56" s="53"/>
      <c r="QE56" s="53"/>
      <c r="QF56" s="53"/>
      <c r="QG56" s="53"/>
      <c r="QH56" s="53"/>
      <c r="QI56" s="53"/>
      <c r="QJ56" s="53"/>
      <c r="QK56" s="53"/>
      <c r="QL56" s="53"/>
      <c r="QM56" s="53"/>
      <c r="QN56" s="53"/>
      <c r="QO56" s="53"/>
      <c r="QP56" s="53"/>
      <c r="QQ56" s="53"/>
      <c r="QR56" s="53"/>
      <c r="QS56" s="53"/>
      <c r="QT56" s="53"/>
      <c r="QU56" s="53"/>
      <c r="QV56" s="53"/>
      <c r="QW56" s="53"/>
      <c r="QX56" s="53"/>
      <c r="QY56" s="53"/>
      <c r="QZ56" s="53"/>
      <c r="RA56" s="53"/>
      <c r="RB56" s="53"/>
      <c r="RC56" s="53"/>
      <c r="RD56" s="53"/>
      <c r="RE56" s="53"/>
      <c r="RF56" s="53"/>
      <c r="RG56" s="53"/>
      <c r="RH56" s="53"/>
      <c r="RI56" s="53"/>
      <c r="RJ56" s="53"/>
      <c r="RK56" s="53"/>
      <c r="RL56" s="53"/>
      <c r="RM56" s="53"/>
      <c r="RN56" s="53"/>
      <c r="RO56" s="53"/>
      <c r="RP56" s="53"/>
      <c r="RQ56" s="53"/>
      <c r="RR56" s="53"/>
      <c r="RS56" s="53"/>
      <c r="RT56" s="53"/>
      <c r="RU56" s="53"/>
      <c r="RV56" s="53"/>
      <c r="RW56" s="53"/>
      <c r="RX56" s="53"/>
      <c r="RY56" s="53"/>
      <c r="RZ56" s="53"/>
      <c r="SA56" s="53"/>
      <c r="SB56" s="53"/>
      <c r="SC56" s="53"/>
      <c r="SD56" s="53"/>
      <c r="SE56" s="53"/>
      <c r="SF56" s="53"/>
      <c r="SG56" s="53"/>
      <c r="SH56" s="53"/>
      <c r="SI56" s="53"/>
      <c r="SJ56" s="53"/>
      <c r="SK56" s="53"/>
      <c r="SL56" s="53"/>
      <c r="SM56" s="53"/>
      <c r="SN56" s="53"/>
      <c r="SO56" s="53"/>
      <c r="SP56" s="53"/>
      <c r="SQ56" s="53"/>
      <c r="SR56" s="53"/>
      <c r="SS56" s="53"/>
      <c r="ST56" s="53"/>
      <c r="SU56" s="53"/>
      <c r="SV56" s="53"/>
      <c r="SW56" s="53"/>
      <c r="SX56" s="53"/>
      <c r="SY56" s="53"/>
      <c r="SZ56" s="53"/>
      <c r="TA56" s="53"/>
      <c r="TB56" s="53"/>
      <c r="TC56" s="53"/>
      <c r="TD56" s="53"/>
      <c r="TE56" s="53"/>
      <c r="TF56" s="53"/>
      <c r="TG56" s="53"/>
      <c r="TH56" s="53"/>
      <c r="TI56" s="53"/>
      <c r="TJ56" s="53"/>
      <c r="TK56" s="53"/>
      <c r="TL56" s="53"/>
      <c r="TM56" s="53"/>
      <c r="TN56" s="53"/>
      <c r="TO56" s="53"/>
      <c r="TP56" s="53"/>
      <c r="TQ56" s="53"/>
      <c r="TR56" s="53"/>
      <c r="TS56" s="53"/>
      <c r="TT56" s="53"/>
      <c r="TU56" s="53"/>
      <c r="TV56" s="53"/>
      <c r="TW56" s="53"/>
      <c r="TX56" s="53"/>
      <c r="TY56" s="53"/>
      <c r="TZ56" s="53"/>
      <c r="UA56" s="53"/>
      <c r="UB56" s="53"/>
      <c r="UC56" s="53"/>
      <c r="UD56" s="53"/>
      <c r="UE56" s="53"/>
      <c r="UF56" s="53"/>
      <c r="UG56" s="53"/>
      <c r="UH56" s="53"/>
      <c r="UI56" s="53"/>
      <c r="UJ56" s="53"/>
      <c r="UK56" s="53"/>
      <c r="UL56" s="53"/>
      <c r="UM56" s="53"/>
      <c r="UN56" s="53"/>
      <c r="UO56" s="53"/>
      <c r="UP56" s="53"/>
      <c r="UQ56" s="53"/>
      <c r="UR56" s="53"/>
      <c r="US56" s="53"/>
      <c r="UT56" s="53"/>
      <c r="UU56" s="53"/>
      <c r="UV56" s="53"/>
      <c r="UW56" s="53"/>
      <c r="UX56" s="53"/>
      <c r="UY56" s="53"/>
      <c r="UZ56" s="53"/>
      <c r="VA56" s="53"/>
      <c r="VB56" s="53"/>
      <c r="VC56" s="53"/>
      <c r="VD56" s="53"/>
      <c r="VE56" s="53"/>
      <c r="VF56" s="53"/>
      <c r="VG56" s="53"/>
      <c r="VH56" s="53"/>
      <c r="VI56" s="53"/>
      <c r="VJ56" s="53"/>
      <c r="VK56" s="53"/>
      <c r="VL56" s="53"/>
      <c r="VM56" s="53"/>
      <c r="VN56" s="53"/>
      <c r="VO56" s="53"/>
      <c r="VP56" s="53"/>
      <c r="VQ56" s="53"/>
      <c r="VR56" s="53"/>
      <c r="VS56" s="53"/>
      <c r="VT56" s="53"/>
      <c r="VU56" s="53"/>
      <c r="VV56" s="53"/>
      <c r="VW56" s="53"/>
      <c r="VX56" s="53"/>
      <c r="VY56" s="53"/>
      <c r="VZ56" s="53"/>
      <c r="WA56" s="53"/>
      <c r="WB56" s="53"/>
      <c r="WC56" s="53"/>
      <c r="WD56" s="53"/>
      <c r="WE56" s="53"/>
      <c r="WF56" s="53"/>
      <c r="WG56" s="53"/>
      <c r="WH56" s="53"/>
      <c r="WI56" s="53"/>
      <c r="WJ56" s="53"/>
      <c r="WK56" s="53"/>
      <c r="WL56" s="53"/>
      <c r="WM56" s="53"/>
      <c r="WN56" s="53"/>
      <c r="WO56" s="53"/>
      <c r="WP56" s="53"/>
      <c r="WQ56" s="53"/>
      <c r="WR56" s="53"/>
      <c r="WS56" s="53"/>
      <c r="WT56" s="53"/>
      <c r="WU56" s="53"/>
      <c r="WV56" s="53"/>
      <c r="WW56" s="53"/>
      <c r="WX56" s="53"/>
      <c r="WY56" s="53"/>
      <c r="WZ56" s="53"/>
      <c r="XA56" s="53"/>
      <c r="XB56" s="53"/>
      <c r="XC56" s="53"/>
      <c r="XD56" s="53"/>
      <c r="XE56" s="53"/>
      <c r="XF56" s="53"/>
      <c r="XG56" s="53"/>
      <c r="XH56" s="53"/>
      <c r="XI56" s="53"/>
      <c r="XJ56" s="53"/>
      <c r="XK56" s="53"/>
      <c r="XL56" s="53"/>
      <c r="XM56" s="53"/>
      <c r="XN56" s="53"/>
      <c r="XO56" s="53"/>
      <c r="XP56" s="53"/>
      <c r="XQ56" s="53"/>
      <c r="XR56" s="53"/>
      <c r="XS56" s="53"/>
      <c r="XT56" s="53"/>
      <c r="XU56" s="53"/>
      <c r="XV56" s="53"/>
      <c r="XW56" s="53"/>
      <c r="XX56" s="53"/>
      <c r="XY56" s="53"/>
      <c r="XZ56" s="53"/>
      <c r="YA56" s="53"/>
      <c r="YB56" s="53"/>
      <c r="YC56" s="53"/>
      <c r="YD56" s="53"/>
      <c r="YE56" s="53"/>
      <c r="YF56" s="53"/>
      <c r="YG56" s="53"/>
      <c r="YH56" s="53"/>
      <c r="YI56" s="53"/>
      <c r="YJ56" s="53"/>
      <c r="YK56" s="53"/>
      <c r="YL56" s="53"/>
      <c r="YM56" s="53"/>
      <c r="YN56" s="53"/>
      <c r="YO56" s="53"/>
      <c r="YP56" s="53"/>
      <c r="YQ56" s="53"/>
      <c r="YR56" s="53"/>
      <c r="YS56" s="53"/>
      <c r="YT56" s="53"/>
      <c r="YU56" s="53"/>
      <c r="YV56" s="53"/>
      <c r="YW56" s="53"/>
      <c r="YX56" s="53"/>
      <c r="YY56" s="53"/>
      <c r="YZ56" s="53"/>
      <c r="ZA56" s="53"/>
      <c r="ZB56" s="53"/>
      <c r="ZC56" s="53"/>
      <c r="ZD56" s="53"/>
      <c r="ZE56" s="53"/>
      <c r="ZF56" s="53"/>
      <c r="ZG56" s="53"/>
      <c r="ZH56" s="53"/>
      <c r="ZI56" s="53"/>
      <c r="ZJ56" s="53"/>
      <c r="ZK56" s="53"/>
      <c r="ZL56" s="53"/>
      <c r="ZM56" s="53"/>
      <c r="ZN56" s="53"/>
      <c r="ZO56" s="53"/>
      <c r="ZP56" s="53"/>
      <c r="ZQ56" s="53"/>
      <c r="ZR56" s="53"/>
      <c r="ZS56" s="53"/>
      <c r="ZT56" s="53"/>
      <c r="ZU56" s="53"/>
      <c r="ZV56" s="53"/>
      <c r="ZW56" s="53"/>
      <c r="ZX56" s="53"/>
      <c r="ZY56" s="53"/>
      <c r="ZZ56" s="53"/>
      <c r="AAA56" s="53"/>
      <c r="AAB56" s="53"/>
      <c r="AAC56" s="53"/>
      <c r="AAD56" s="53"/>
      <c r="AAE56" s="53"/>
      <c r="AAF56" s="53"/>
      <c r="AAG56" s="53"/>
      <c r="AAH56" s="53"/>
      <c r="AAI56" s="53"/>
      <c r="AAJ56" s="53"/>
      <c r="AAK56" s="53"/>
      <c r="AAL56" s="53"/>
      <c r="AAM56" s="53"/>
      <c r="AAN56" s="53"/>
      <c r="AAO56" s="53"/>
      <c r="AAP56" s="53"/>
      <c r="AAQ56" s="53"/>
      <c r="AAR56" s="53"/>
      <c r="AAS56" s="53"/>
      <c r="AAT56" s="53"/>
      <c r="AAU56" s="53"/>
      <c r="AAV56" s="53"/>
      <c r="AAW56" s="53"/>
      <c r="AAX56" s="53"/>
      <c r="AAY56" s="53"/>
      <c r="AAZ56" s="53"/>
      <c r="ABA56" s="53"/>
      <c r="ABB56" s="53"/>
      <c r="ABC56" s="53"/>
      <c r="ABD56" s="53"/>
      <c r="ABE56" s="53"/>
      <c r="ABF56" s="53"/>
      <c r="ABG56" s="53"/>
      <c r="ABH56" s="53"/>
      <c r="ABI56" s="53"/>
      <c r="ABJ56" s="53"/>
      <c r="ABK56" s="53"/>
      <c r="ABL56" s="53"/>
      <c r="ABM56" s="53"/>
      <c r="ABN56" s="53"/>
      <c r="ABO56" s="53"/>
      <c r="ABP56" s="53"/>
      <c r="ABQ56" s="53"/>
      <c r="ABR56" s="53"/>
      <c r="ABS56" s="53"/>
      <c r="ABT56" s="53"/>
      <c r="ABU56" s="53"/>
      <c r="ABV56" s="53"/>
      <c r="ABW56" s="53"/>
      <c r="ABX56" s="53"/>
      <c r="ABY56" s="53"/>
      <c r="ABZ56" s="53"/>
      <c r="ACA56" s="53"/>
      <c r="ACB56" s="53"/>
      <c r="ACC56" s="53"/>
      <c r="ACD56" s="53"/>
      <c r="ACE56" s="53"/>
      <c r="ACF56" s="53"/>
      <c r="ACG56" s="53"/>
      <c r="ACH56" s="53"/>
      <c r="ACI56" s="53"/>
      <c r="ACJ56" s="53"/>
      <c r="ACK56" s="53"/>
      <c r="ACL56" s="53"/>
      <c r="ACM56" s="53"/>
      <c r="ACN56" s="53"/>
      <c r="ACO56" s="53"/>
      <c r="ACP56" s="53"/>
      <c r="ACQ56" s="53"/>
      <c r="ACR56" s="53"/>
      <c r="ACS56" s="53"/>
      <c r="ACT56" s="53"/>
      <c r="ACU56" s="53"/>
      <c r="ACV56" s="53"/>
      <c r="ACW56" s="53"/>
      <c r="ACX56" s="53"/>
      <c r="ACY56" s="53"/>
      <c r="ACZ56" s="53"/>
      <c r="ADA56" s="53"/>
      <c r="ADB56" s="53"/>
      <c r="ADC56" s="53"/>
      <c r="ADD56" s="53"/>
      <c r="ADE56" s="53"/>
      <c r="ADF56" s="53"/>
      <c r="ADG56" s="53"/>
      <c r="ADH56" s="53"/>
      <c r="ADI56" s="53"/>
      <c r="ADJ56" s="53"/>
      <c r="ADK56" s="53"/>
      <c r="ADL56" s="53"/>
      <c r="ADM56" s="53"/>
      <c r="ADN56" s="53"/>
      <c r="ADO56" s="53"/>
      <c r="ADP56" s="53"/>
      <c r="ADQ56" s="53"/>
      <c r="ADR56" s="53"/>
      <c r="ADS56" s="53"/>
      <c r="ADT56" s="53"/>
      <c r="ADU56" s="53"/>
      <c r="ADV56" s="53"/>
      <c r="ADW56" s="53"/>
      <c r="ADX56" s="53"/>
      <c r="ADY56" s="53"/>
      <c r="ADZ56" s="53"/>
      <c r="AEA56" s="53"/>
      <c r="AEB56" s="53"/>
      <c r="AEC56" s="53"/>
      <c r="AED56" s="53"/>
      <c r="AEE56" s="53"/>
      <c r="AEF56" s="53"/>
      <c r="AEG56" s="53"/>
      <c r="AEH56" s="53"/>
      <c r="AEI56" s="53"/>
      <c r="AEJ56" s="53"/>
      <c r="AEK56" s="53"/>
      <c r="AEL56" s="53"/>
      <c r="AEM56" s="53"/>
      <c r="AEN56" s="53"/>
      <c r="AEO56" s="53"/>
      <c r="AEP56" s="53"/>
      <c r="AEQ56" s="53"/>
      <c r="AER56" s="53"/>
      <c r="AES56" s="53"/>
      <c r="AET56" s="53"/>
      <c r="AEU56" s="53"/>
      <c r="AEV56" s="53"/>
      <c r="AEW56" s="53"/>
      <c r="AEX56" s="53"/>
      <c r="AEY56" s="53"/>
      <c r="AEZ56" s="53"/>
      <c r="AFA56" s="53"/>
      <c r="AFB56" s="53"/>
      <c r="AFC56" s="53"/>
      <c r="AFD56" s="53"/>
      <c r="AFE56" s="53"/>
      <c r="AFF56" s="53"/>
      <c r="AFG56" s="53"/>
      <c r="AFH56" s="53"/>
      <c r="AFI56" s="53"/>
      <c r="AFJ56" s="53"/>
      <c r="AFK56" s="53"/>
      <c r="AFL56" s="53"/>
      <c r="AFM56" s="53"/>
      <c r="AFN56" s="53"/>
      <c r="AFO56" s="53"/>
      <c r="AFP56" s="53"/>
      <c r="AFQ56" s="53"/>
      <c r="AFR56" s="53"/>
      <c r="AFS56" s="53"/>
      <c r="AFT56" s="53"/>
      <c r="AFU56" s="53"/>
      <c r="AFV56" s="53"/>
      <c r="AFW56" s="53"/>
      <c r="AFX56" s="53"/>
      <c r="AFY56" s="53"/>
      <c r="AFZ56" s="53"/>
      <c r="AGA56" s="53"/>
      <c r="AGB56" s="53"/>
      <c r="AGC56" s="53"/>
      <c r="AGD56" s="53"/>
      <c r="AGE56" s="53"/>
      <c r="AGF56" s="53"/>
      <c r="AGG56" s="53"/>
      <c r="AGH56" s="53"/>
      <c r="AGI56" s="53"/>
      <c r="AGJ56" s="53"/>
      <c r="AGK56" s="53"/>
      <c r="AGL56" s="53"/>
      <c r="AGM56" s="53"/>
      <c r="AGN56" s="53"/>
      <c r="AGO56" s="53"/>
      <c r="AGP56" s="53"/>
      <c r="AGQ56" s="53"/>
      <c r="AGR56" s="53"/>
      <c r="AGS56" s="53"/>
      <c r="AGT56" s="53"/>
      <c r="AGU56" s="53"/>
      <c r="AGV56" s="53"/>
      <c r="AGW56" s="53"/>
      <c r="AGX56" s="53"/>
      <c r="AGY56" s="53"/>
      <c r="AGZ56" s="53"/>
      <c r="AHA56" s="53"/>
      <c r="AHB56" s="53"/>
      <c r="AHC56" s="53"/>
      <c r="AHD56" s="53"/>
      <c r="AHE56" s="53"/>
      <c r="AHF56" s="53"/>
      <c r="AHG56" s="53"/>
      <c r="AHH56" s="53"/>
      <c r="AHI56" s="53"/>
      <c r="AHJ56" s="53"/>
      <c r="AHK56" s="53"/>
      <c r="AHL56" s="53"/>
      <c r="AHM56" s="53"/>
      <c r="AHN56" s="53"/>
      <c r="AHO56" s="53"/>
      <c r="AHP56" s="53"/>
      <c r="AHQ56" s="53"/>
      <c r="AHR56" s="53"/>
      <c r="AHS56" s="53"/>
      <c r="AHT56" s="53"/>
      <c r="AHU56" s="53"/>
      <c r="AHV56" s="53"/>
      <c r="AHW56" s="53"/>
      <c r="AHX56" s="53"/>
      <c r="AHY56" s="53"/>
      <c r="AHZ56" s="53"/>
      <c r="AIA56" s="53"/>
      <c r="AIB56" s="53"/>
      <c r="AIC56" s="53"/>
      <c r="AID56" s="53"/>
      <c r="AIE56" s="53"/>
      <c r="AIF56" s="53"/>
      <c r="AIG56" s="53"/>
      <c r="AIH56" s="53"/>
      <c r="AII56" s="53"/>
      <c r="AIJ56" s="53"/>
      <c r="AIK56" s="53"/>
      <c r="AIL56" s="53"/>
      <c r="AIM56" s="53"/>
      <c r="AIN56" s="53"/>
      <c r="AIO56" s="53"/>
      <c r="AIP56" s="53"/>
      <c r="AIQ56" s="53"/>
      <c r="AIR56" s="53"/>
      <c r="AIS56" s="53"/>
      <c r="AIT56" s="53"/>
      <c r="AIU56" s="53"/>
      <c r="AIV56" s="53"/>
      <c r="AIW56" s="53"/>
      <c r="AIX56" s="53"/>
      <c r="AIY56" s="53"/>
      <c r="AIZ56" s="53"/>
      <c r="AJA56" s="53"/>
      <c r="AJB56" s="53"/>
      <c r="AJC56" s="53"/>
      <c r="AJD56" s="53"/>
      <c r="AJE56" s="53"/>
      <c r="AJF56" s="53"/>
      <c r="AJG56" s="53"/>
      <c r="AJH56" s="53"/>
      <c r="AJI56" s="53"/>
      <c r="AJJ56" s="53"/>
      <c r="AJK56" s="53"/>
      <c r="AJL56" s="53"/>
      <c r="AJM56" s="53"/>
      <c r="AJN56" s="53"/>
      <c r="AJO56" s="53"/>
      <c r="AJP56" s="53"/>
      <c r="AJQ56" s="53"/>
      <c r="AJR56" s="53"/>
      <c r="AJS56" s="53"/>
      <c r="AJT56" s="53"/>
      <c r="AJU56" s="53"/>
      <c r="AJV56" s="53"/>
      <c r="AJW56" s="53"/>
      <c r="AJX56" s="53"/>
      <c r="AJY56" s="53"/>
      <c r="AJZ56" s="53"/>
      <c r="AKA56" s="53"/>
      <c r="AKB56" s="53"/>
      <c r="AKC56" s="53"/>
      <c r="AKD56" s="53"/>
      <c r="AKE56" s="53"/>
      <c r="AKF56" s="53"/>
      <c r="AKG56" s="53"/>
      <c r="AKH56" s="53"/>
      <c r="AKI56" s="53"/>
      <c r="AKJ56" s="53"/>
      <c r="AKK56" s="53"/>
      <c r="AKL56" s="53"/>
      <c r="AKM56" s="53"/>
      <c r="AKN56" s="53"/>
      <c r="AKO56" s="53"/>
      <c r="AKP56" s="53"/>
      <c r="AKQ56" s="53"/>
      <c r="AKR56" s="53"/>
      <c r="AKS56" s="53"/>
      <c r="AKT56" s="53"/>
      <c r="AKU56" s="53"/>
      <c r="AKV56" s="53"/>
      <c r="AKW56" s="53"/>
      <c r="AKX56" s="53"/>
      <c r="AKY56" s="53"/>
      <c r="AKZ56" s="53"/>
      <c r="ALA56" s="53"/>
      <c r="ALB56" s="53"/>
      <c r="ALC56" s="53"/>
      <c r="ALD56" s="53"/>
      <c r="ALE56" s="53"/>
      <c r="ALF56" s="53"/>
      <c r="ALG56" s="53"/>
      <c r="ALH56" s="53"/>
      <c r="ALI56" s="53"/>
      <c r="ALJ56" s="53"/>
      <c r="ALK56" s="53"/>
      <c r="ALL56" s="53"/>
      <c r="ALM56" s="53"/>
      <c r="ALN56" s="53"/>
      <c r="ALO56" s="53"/>
      <c r="ALP56" s="53"/>
      <c r="ALQ56" s="53"/>
      <c r="ALR56" s="53"/>
      <c r="ALS56" s="53"/>
      <c r="ALT56" s="53"/>
      <c r="ALU56" s="53"/>
      <c r="ALV56" s="53"/>
      <c r="ALW56" s="53"/>
      <c r="ALX56" s="53"/>
      <c r="ALY56" s="53"/>
      <c r="ALZ56" s="53"/>
      <c r="AMA56" s="53"/>
      <c r="AMB56" s="53"/>
      <c r="AMC56" s="53"/>
      <c r="AMD56" s="53"/>
      <c r="AME56" s="53"/>
      <c r="AMF56" s="53"/>
      <c r="AMG56" s="53"/>
      <c r="AMH56" s="53"/>
      <c r="AMI56" s="53"/>
      <c r="AMJ56" s="53"/>
      <c r="AMK56" s="53"/>
      <c r="AML56" s="53"/>
      <c r="AMM56" s="53"/>
      <c r="AMN56" s="53"/>
      <c r="AMO56" s="53"/>
      <c r="AMP56" s="53"/>
      <c r="AMQ56" s="53"/>
      <c r="AMR56" s="53"/>
      <c r="AMS56" s="53"/>
      <c r="AMT56" s="53"/>
      <c r="AMU56" s="53"/>
      <c r="AMV56" s="53"/>
      <c r="AMW56" s="53"/>
      <c r="AMX56" s="53"/>
      <c r="AMY56" s="53"/>
      <c r="AMZ56" s="53"/>
      <c r="ANA56" s="53"/>
      <c r="ANB56" s="53"/>
      <c r="ANC56" s="53"/>
      <c r="AND56" s="53"/>
      <c r="ANE56" s="53"/>
      <c r="ANF56" s="53"/>
      <c r="ANG56" s="53"/>
      <c r="ANH56" s="53"/>
      <c r="ANI56" s="53"/>
      <c r="ANJ56" s="53"/>
      <c r="ANK56" s="53"/>
      <c r="ANL56" s="53"/>
      <c r="ANM56" s="53"/>
      <c r="ANN56" s="53"/>
      <c r="ANO56" s="53"/>
      <c r="ANP56" s="53"/>
      <c r="ANQ56" s="53"/>
      <c r="ANR56" s="53"/>
      <c r="ANS56" s="53"/>
      <c r="ANT56" s="53"/>
      <c r="ANU56" s="53"/>
      <c r="ANV56" s="53"/>
      <c r="ANW56" s="53"/>
      <c r="ANX56" s="53"/>
      <c r="ANY56" s="53"/>
      <c r="ANZ56" s="53"/>
      <c r="AOA56" s="53"/>
      <c r="AOB56" s="53"/>
      <c r="AOC56" s="53"/>
      <c r="AOD56" s="53"/>
      <c r="AOE56" s="53"/>
      <c r="AOF56" s="53"/>
      <c r="AOG56" s="53"/>
      <c r="AOH56" s="53"/>
      <c r="AOI56" s="53"/>
      <c r="AOJ56" s="53"/>
      <c r="AOK56" s="53"/>
      <c r="AOL56" s="53"/>
      <c r="AOM56" s="53"/>
      <c r="AON56" s="53"/>
      <c r="AOO56" s="53"/>
      <c r="AOP56" s="53"/>
      <c r="AOQ56" s="53"/>
      <c r="AOR56" s="53"/>
      <c r="AOS56" s="53"/>
      <c r="AOT56" s="53"/>
      <c r="AOU56" s="53"/>
      <c r="AOV56" s="53"/>
      <c r="AOW56" s="53"/>
      <c r="AOX56" s="53"/>
      <c r="AOY56" s="53"/>
      <c r="AOZ56" s="53"/>
      <c r="APA56" s="53"/>
      <c r="APB56" s="53"/>
      <c r="APC56" s="53"/>
      <c r="APD56" s="53"/>
      <c r="APE56" s="53"/>
      <c r="APF56" s="53"/>
      <c r="APG56" s="53"/>
      <c r="APH56" s="53"/>
      <c r="API56" s="53"/>
      <c r="APJ56" s="53"/>
      <c r="APK56" s="53"/>
      <c r="APL56" s="53"/>
      <c r="APM56" s="53"/>
      <c r="APN56" s="53"/>
      <c r="APO56" s="53"/>
      <c r="APP56" s="53"/>
      <c r="APQ56" s="53"/>
      <c r="APR56" s="53"/>
      <c r="APS56" s="53"/>
      <c r="APT56" s="53"/>
      <c r="APU56" s="53"/>
      <c r="APV56" s="53"/>
      <c r="APW56" s="53"/>
      <c r="APX56" s="53"/>
      <c r="APY56" s="53"/>
      <c r="APZ56" s="53"/>
      <c r="AQA56" s="53"/>
      <c r="AQB56" s="53"/>
      <c r="AQC56" s="53"/>
      <c r="AQD56" s="53"/>
      <c r="AQE56" s="53"/>
      <c r="AQF56" s="53"/>
      <c r="AQG56" s="53"/>
      <c r="AQH56" s="53"/>
      <c r="AQI56" s="53"/>
      <c r="AQJ56" s="53"/>
      <c r="AQK56" s="53"/>
      <c r="AQL56" s="53"/>
      <c r="AQM56" s="53"/>
      <c r="AQN56" s="53"/>
      <c r="AQO56" s="53"/>
      <c r="AQP56" s="53"/>
      <c r="AQQ56" s="53"/>
      <c r="AQR56" s="53"/>
      <c r="AQS56" s="53"/>
      <c r="AQT56" s="53"/>
      <c r="AQU56" s="53"/>
      <c r="AQV56" s="53"/>
      <c r="AQW56" s="53"/>
      <c r="AQX56" s="53"/>
      <c r="AQY56" s="53"/>
      <c r="AQZ56" s="53"/>
      <c r="ARA56" s="53"/>
      <c r="ARB56" s="53"/>
      <c r="ARC56" s="53"/>
      <c r="ARD56" s="53"/>
      <c r="ARE56" s="53"/>
      <c r="ARF56" s="53"/>
      <c r="ARG56" s="53"/>
      <c r="ARH56" s="53"/>
      <c r="ARI56" s="53"/>
      <c r="ARJ56" s="53"/>
      <c r="ARK56" s="53"/>
      <c r="ARL56" s="53"/>
      <c r="ARM56" s="53"/>
      <c r="ARN56" s="53"/>
      <c r="ARO56" s="53"/>
      <c r="ARP56" s="53"/>
      <c r="ARQ56" s="53"/>
      <c r="ARR56" s="53"/>
      <c r="ARS56" s="53"/>
      <c r="ART56" s="53"/>
      <c r="ARU56" s="53"/>
      <c r="ARV56" s="53"/>
      <c r="ARW56" s="53"/>
      <c r="ARX56" s="53"/>
      <c r="ARY56" s="53"/>
      <c r="ARZ56" s="53"/>
      <c r="ASA56" s="53"/>
      <c r="ASB56" s="53"/>
      <c r="ASC56" s="53"/>
      <c r="ASD56" s="53"/>
      <c r="ASE56" s="53"/>
      <c r="ASF56" s="53"/>
      <c r="ASG56" s="53"/>
      <c r="ASH56" s="53"/>
      <c r="ASI56" s="53"/>
      <c r="ASJ56" s="53"/>
      <c r="ASK56" s="53"/>
      <c r="ASL56" s="53"/>
      <c r="ASM56" s="53"/>
      <c r="ASN56" s="53"/>
      <c r="ASO56" s="53"/>
      <c r="ASP56" s="53"/>
      <c r="ASQ56" s="53"/>
      <c r="ASR56" s="53"/>
      <c r="ASS56" s="53"/>
      <c r="AST56" s="53"/>
      <c r="ASU56" s="53"/>
      <c r="ASV56" s="53"/>
      <c r="ASW56" s="53"/>
      <c r="ASX56" s="53"/>
      <c r="ASY56" s="53"/>
      <c r="ASZ56" s="53"/>
      <c r="ATA56" s="53"/>
      <c r="ATB56" s="53"/>
      <c r="ATC56" s="53"/>
      <c r="ATD56" s="53"/>
      <c r="ATE56" s="53"/>
      <c r="ATF56" s="53"/>
      <c r="ATG56" s="53"/>
      <c r="ATH56" s="53"/>
      <c r="ATI56" s="53"/>
      <c r="ATJ56" s="53"/>
      <c r="ATK56" s="53"/>
      <c r="ATL56" s="53"/>
      <c r="ATM56" s="53"/>
      <c r="ATN56" s="53"/>
      <c r="ATO56" s="53"/>
      <c r="ATP56" s="53"/>
      <c r="ATQ56" s="53"/>
      <c r="ATR56" s="53"/>
      <c r="ATS56" s="53"/>
      <c r="ATT56" s="53"/>
      <c r="ATU56" s="53"/>
      <c r="ATV56" s="53"/>
      <c r="ATW56" s="53"/>
      <c r="ATX56" s="53"/>
      <c r="ATY56" s="53"/>
      <c r="ATZ56" s="53"/>
      <c r="AUA56" s="53"/>
      <c r="AUB56" s="53"/>
      <c r="AUC56" s="53"/>
      <c r="AUD56" s="53"/>
      <c r="AUE56" s="53"/>
      <c r="AUF56" s="53"/>
      <c r="AUG56" s="53"/>
      <c r="AUH56" s="53"/>
      <c r="AUI56" s="53"/>
      <c r="AUJ56" s="53"/>
      <c r="AUK56" s="53"/>
      <c r="AUL56" s="53"/>
      <c r="AUM56" s="53"/>
      <c r="AUN56" s="53"/>
      <c r="AUO56" s="53"/>
      <c r="AUP56" s="53"/>
      <c r="AUQ56" s="53"/>
      <c r="AUR56" s="53"/>
      <c r="AUS56" s="53"/>
      <c r="AUT56" s="53"/>
      <c r="AUU56" s="53"/>
      <c r="AUV56" s="53"/>
      <c r="AUW56" s="53"/>
      <c r="AUX56" s="53"/>
      <c r="AUY56" s="53"/>
      <c r="AUZ56" s="53"/>
      <c r="AVA56" s="53"/>
      <c r="AVB56" s="53"/>
      <c r="AVC56" s="53"/>
      <c r="AVD56" s="53"/>
      <c r="AVE56" s="53"/>
      <c r="AVF56" s="53"/>
      <c r="AVG56" s="53"/>
      <c r="AVH56" s="53"/>
      <c r="AVI56" s="53"/>
      <c r="AVJ56" s="53"/>
      <c r="AVK56" s="53"/>
      <c r="AVL56" s="53"/>
      <c r="AVM56" s="53"/>
      <c r="AVN56" s="53"/>
      <c r="AVO56" s="53"/>
      <c r="AVP56" s="53"/>
      <c r="AVQ56" s="53"/>
      <c r="AVR56" s="53"/>
      <c r="AVS56" s="53"/>
      <c r="AVT56" s="53"/>
      <c r="AVU56" s="53"/>
      <c r="AVV56" s="53"/>
      <c r="AVW56" s="53"/>
      <c r="AVX56" s="53"/>
      <c r="AVY56" s="53"/>
      <c r="AVZ56" s="53"/>
      <c r="AWA56" s="53"/>
      <c r="AWB56" s="53"/>
      <c r="AWC56" s="53"/>
      <c r="AWD56" s="53"/>
      <c r="AWE56" s="53"/>
      <c r="AWF56" s="53"/>
      <c r="AWG56" s="53"/>
      <c r="AWH56" s="53"/>
      <c r="AWI56" s="53"/>
      <c r="AWJ56" s="53"/>
      <c r="AWK56" s="53"/>
      <c r="AWL56" s="53"/>
      <c r="AWM56" s="53"/>
      <c r="AWN56" s="53"/>
      <c r="AWO56" s="53"/>
      <c r="AWP56" s="53"/>
      <c r="AWQ56" s="53"/>
      <c r="AWR56" s="53"/>
      <c r="AWS56" s="53"/>
      <c r="AWT56" s="53"/>
      <c r="AWU56" s="53"/>
      <c r="AWV56" s="53"/>
      <c r="AWW56" s="53"/>
      <c r="AWX56" s="53"/>
      <c r="AWY56" s="53"/>
      <c r="AWZ56" s="53"/>
      <c r="AXA56" s="53"/>
      <c r="AXB56" s="53"/>
      <c r="AXC56" s="53"/>
      <c r="AXD56" s="53"/>
      <c r="AXE56" s="53"/>
      <c r="AXF56" s="53"/>
      <c r="AXG56" s="53"/>
      <c r="AXH56" s="53"/>
      <c r="AXI56" s="53"/>
      <c r="AXJ56" s="53"/>
      <c r="AXK56" s="53"/>
      <c r="AXL56" s="53"/>
      <c r="AXM56" s="53"/>
      <c r="AXN56" s="53"/>
      <c r="AXO56" s="53"/>
      <c r="AXP56" s="53"/>
      <c r="AXQ56" s="53"/>
      <c r="AXR56" s="53"/>
      <c r="AXS56" s="53"/>
      <c r="AXT56" s="53"/>
      <c r="AXU56" s="53"/>
      <c r="AXV56" s="53"/>
      <c r="AXW56" s="53"/>
      <c r="AXX56" s="53"/>
      <c r="AXY56" s="53"/>
      <c r="AXZ56" s="53"/>
      <c r="AYA56" s="53"/>
      <c r="AYB56" s="53"/>
      <c r="AYC56" s="53"/>
      <c r="AYD56" s="53"/>
      <c r="AYE56" s="53"/>
      <c r="AYF56" s="53"/>
      <c r="AYG56" s="53"/>
      <c r="AYH56" s="53"/>
      <c r="AYI56" s="53"/>
      <c r="AYJ56" s="53"/>
      <c r="AYK56" s="53"/>
      <c r="AYL56" s="53"/>
      <c r="AYM56" s="53"/>
      <c r="AYN56" s="53"/>
      <c r="AYO56" s="53"/>
      <c r="AYP56" s="53"/>
      <c r="AYQ56" s="53"/>
      <c r="AYR56" s="53"/>
      <c r="AYS56" s="53"/>
      <c r="AYT56" s="53"/>
      <c r="AYU56" s="53"/>
      <c r="AYV56" s="53"/>
      <c r="AYW56" s="53"/>
      <c r="AYX56" s="53"/>
      <c r="AYY56" s="53"/>
      <c r="AYZ56" s="53"/>
      <c r="AZA56" s="53"/>
      <c r="AZB56" s="53"/>
      <c r="AZC56" s="53"/>
      <c r="AZD56" s="53"/>
      <c r="AZE56" s="53"/>
      <c r="AZF56" s="53"/>
      <c r="AZG56" s="53"/>
      <c r="AZH56" s="53"/>
      <c r="AZI56" s="53"/>
      <c r="AZJ56" s="53"/>
      <c r="AZK56" s="53"/>
      <c r="AZL56" s="53"/>
      <c r="AZM56" s="53"/>
      <c r="AZN56" s="53"/>
      <c r="AZO56" s="53"/>
      <c r="AZP56" s="53"/>
      <c r="AZQ56" s="53"/>
      <c r="AZR56" s="53"/>
      <c r="AZS56" s="53"/>
      <c r="AZT56" s="53"/>
      <c r="AZU56" s="53"/>
      <c r="AZV56" s="53"/>
      <c r="AZW56" s="53"/>
      <c r="AZX56" s="53"/>
      <c r="AZY56" s="53"/>
      <c r="AZZ56" s="53"/>
      <c r="BAA56" s="53"/>
      <c r="BAB56" s="53"/>
      <c r="BAC56" s="53"/>
      <c r="BAD56" s="53"/>
      <c r="BAE56" s="53"/>
      <c r="BAF56" s="53"/>
      <c r="BAG56" s="53"/>
      <c r="BAH56" s="53"/>
      <c r="BAI56" s="53"/>
      <c r="BAJ56" s="53"/>
      <c r="BAK56" s="53"/>
      <c r="BAL56" s="53"/>
      <c r="BAM56" s="53"/>
      <c r="BAN56" s="53"/>
      <c r="BAO56" s="53"/>
      <c r="BAP56" s="53"/>
      <c r="BAQ56" s="53"/>
      <c r="BAR56" s="53"/>
      <c r="BAS56" s="53"/>
      <c r="BAT56" s="53"/>
      <c r="BAU56" s="53"/>
      <c r="BAV56" s="53"/>
      <c r="BAW56" s="53"/>
      <c r="BAX56" s="53"/>
      <c r="BAY56" s="53"/>
      <c r="BAZ56" s="53"/>
      <c r="BBA56" s="53"/>
      <c r="BBB56" s="53"/>
      <c r="BBC56" s="53"/>
      <c r="BBD56" s="53"/>
      <c r="BBE56" s="53"/>
      <c r="BBF56" s="53"/>
      <c r="BBG56" s="53"/>
      <c r="BBH56" s="53"/>
      <c r="BBI56" s="53"/>
      <c r="BBJ56" s="53"/>
      <c r="BBK56" s="53"/>
      <c r="BBL56" s="53"/>
      <c r="BBM56" s="53"/>
      <c r="BBN56" s="53"/>
      <c r="BBO56" s="53"/>
      <c r="BBP56" s="53"/>
      <c r="BBQ56" s="53"/>
      <c r="BBR56" s="53"/>
      <c r="BBS56" s="53"/>
      <c r="BBT56" s="53"/>
      <c r="BBU56" s="53"/>
      <c r="BBV56" s="53"/>
      <c r="BBW56" s="53"/>
      <c r="BBX56" s="53"/>
      <c r="BBY56" s="53"/>
      <c r="BBZ56" s="53"/>
      <c r="BCA56" s="53"/>
      <c r="BCB56" s="53"/>
      <c r="BCC56" s="53"/>
      <c r="BCD56" s="53"/>
      <c r="BCE56" s="53"/>
      <c r="BCF56" s="53"/>
      <c r="BCG56" s="53"/>
      <c r="BCH56" s="53"/>
      <c r="BCI56" s="53"/>
      <c r="BCJ56" s="53"/>
      <c r="BCK56" s="53"/>
      <c r="BCL56" s="53"/>
      <c r="BCM56" s="53"/>
      <c r="BCN56" s="53"/>
      <c r="BCO56" s="53"/>
      <c r="BCP56" s="53"/>
      <c r="BCQ56" s="53"/>
      <c r="BCR56" s="53"/>
      <c r="BCS56" s="53"/>
      <c r="BCT56" s="53"/>
      <c r="BCU56" s="53"/>
      <c r="BCV56" s="53"/>
      <c r="BCW56" s="53"/>
      <c r="BCX56" s="53"/>
      <c r="BCY56" s="53"/>
      <c r="BCZ56" s="53"/>
      <c r="BDA56" s="53"/>
      <c r="BDB56" s="53"/>
      <c r="BDC56" s="53"/>
      <c r="BDD56" s="53"/>
      <c r="BDE56" s="53"/>
      <c r="BDF56" s="53"/>
      <c r="BDG56" s="53"/>
      <c r="BDH56" s="53"/>
      <c r="BDI56" s="53"/>
      <c r="BDJ56" s="53"/>
      <c r="BDK56" s="53"/>
      <c r="BDL56" s="53"/>
      <c r="BDM56" s="53"/>
      <c r="BDN56" s="53"/>
      <c r="BDO56" s="53"/>
      <c r="BDP56" s="53"/>
      <c r="BDQ56" s="53"/>
      <c r="BDR56" s="53"/>
      <c r="BDS56" s="53"/>
      <c r="BDT56" s="53"/>
      <c r="BDU56" s="53"/>
      <c r="BDV56" s="53"/>
      <c r="BDW56" s="53"/>
      <c r="BDX56" s="53"/>
      <c r="BDY56" s="53"/>
      <c r="BDZ56" s="53"/>
      <c r="BEA56" s="53"/>
      <c r="BEB56" s="53"/>
      <c r="BEC56" s="53"/>
      <c r="BED56" s="53"/>
      <c r="BEE56" s="53"/>
      <c r="BEF56" s="53"/>
      <c r="BEG56" s="53"/>
      <c r="BEH56" s="53"/>
      <c r="BEI56" s="53"/>
      <c r="BEJ56" s="53"/>
      <c r="BEK56" s="53"/>
      <c r="BEL56" s="53"/>
      <c r="BEM56" s="53"/>
      <c r="BEN56" s="53"/>
      <c r="BEO56" s="53"/>
      <c r="BEP56" s="53"/>
      <c r="BEQ56" s="53"/>
      <c r="BER56" s="53"/>
      <c r="BES56" s="53"/>
      <c r="BET56" s="53"/>
      <c r="BEU56" s="53"/>
      <c r="BEV56" s="53"/>
      <c r="BEW56" s="53"/>
      <c r="BEX56" s="53"/>
      <c r="BEY56" s="53"/>
      <c r="BEZ56" s="53"/>
      <c r="BFA56" s="53"/>
      <c r="BFB56" s="53"/>
      <c r="BFC56" s="53"/>
      <c r="BFD56" s="53"/>
      <c r="BFE56" s="53"/>
      <c r="BFF56" s="53"/>
      <c r="BFG56" s="53"/>
      <c r="BFH56" s="53"/>
      <c r="BFI56" s="53"/>
      <c r="BFJ56" s="53"/>
      <c r="BFK56" s="53"/>
      <c r="BFL56" s="53"/>
      <c r="BFM56" s="53"/>
      <c r="BFN56" s="53"/>
      <c r="BFO56" s="53"/>
      <c r="BFP56" s="53"/>
      <c r="BFQ56" s="53"/>
      <c r="BFR56" s="53"/>
      <c r="BFS56" s="53"/>
      <c r="BFT56" s="53"/>
      <c r="BFU56" s="53"/>
      <c r="BFV56" s="53"/>
      <c r="BFW56" s="53"/>
      <c r="BFX56" s="53"/>
      <c r="BFY56" s="53"/>
      <c r="BFZ56" s="53"/>
      <c r="BGA56" s="53"/>
      <c r="BGB56" s="53"/>
      <c r="BGC56" s="53"/>
      <c r="BGD56" s="53"/>
      <c r="BGE56" s="53"/>
      <c r="BGF56" s="53"/>
      <c r="BGG56" s="53"/>
      <c r="BGH56" s="53"/>
      <c r="BGI56" s="53"/>
      <c r="BGJ56" s="53"/>
      <c r="BGK56" s="53"/>
      <c r="BGL56" s="53"/>
      <c r="BGM56" s="53"/>
      <c r="BGN56" s="53"/>
      <c r="BGO56" s="53"/>
      <c r="BGP56" s="53"/>
      <c r="BGQ56" s="53"/>
      <c r="BGR56" s="53"/>
      <c r="BGS56" s="53"/>
      <c r="BGT56" s="53"/>
      <c r="BGU56" s="53"/>
      <c r="BGV56" s="53"/>
      <c r="BGW56" s="53"/>
      <c r="BGX56" s="53"/>
      <c r="BGY56" s="53"/>
      <c r="BGZ56" s="53"/>
      <c r="BHA56" s="53"/>
      <c r="BHB56" s="53"/>
      <c r="BHC56" s="53"/>
      <c r="BHD56" s="53"/>
      <c r="BHE56" s="53"/>
      <c r="BHF56" s="53"/>
      <c r="BHG56" s="53"/>
      <c r="BHH56" s="53"/>
      <c r="BHI56" s="53"/>
      <c r="BHJ56" s="53"/>
      <c r="BHK56" s="53"/>
      <c r="BHL56" s="53"/>
      <c r="BHM56" s="53"/>
      <c r="BHN56" s="53"/>
      <c r="BHO56" s="53"/>
      <c r="BHP56" s="53"/>
      <c r="BHQ56" s="53"/>
      <c r="BHR56" s="53"/>
      <c r="BHS56" s="53"/>
      <c r="BHT56" s="53"/>
      <c r="BHU56" s="53"/>
      <c r="BHV56" s="53"/>
      <c r="BHW56" s="53"/>
      <c r="BHX56" s="53"/>
      <c r="BHY56" s="53"/>
      <c r="BHZ56" s="53"/>
      <c r="BIA56" s="53"/>
      <c r="BIB56" s="53"/>
      <c r="BIC56" s="53"/>
      <c r="BID56" s="53"/>
      <c r="BIE56" s="53"/>
      <c r="BIF56" s="53"/>
      <c r="BIG56" s="53"/>
      <c r="BIH56" s="53"/>
      <c r="BII56" s="53"/>
      <c r="BIJ56" s="53"/>
      <c r="BIK56" s="53"/>
      <c r="BIL56" s="53"/>
      <c r="BIM56" s="53"/>
      <c r="BIN56" s="53"/>
      <c r="BIO56" s="53"/>
      <c r="BIP56" s="53"/>
      <c r="BIQ56" s="53"/>
      <c r="BIR56" s="53"/>
      <c r="BIS56" s="53"/>
      <c r="BIT56" s="53"/>
      <c r="BIU56" s="53"/>
      <c r="BIV56" s="53"/>
      <c r="BIW56" s="53"/>
      <c r="BIX56" s="53"/>
      <c r="BIY56" s="53"/>
      <c r="BIZ56" s="53"/>
      <c r="BJA56" s="53"/>
      <c r="BJB56" s="53"/>
      <c r="BJC56" s="53"/>
      <c r="BJD56" s="53"/>
      <c r="BJE56" s="53"/>
      <c r="BJF56" s="53"/>
      <c r="BJG56" s="53"/>
      <c r="BJH56" s="53"/>
      <c r="BJI56" s="53"/>
      <c r="BJJ56" s="53"/>
      <c r="BJK56" s="53"/>
      <c r="BJL56" s="53"/>
      <c r="BJM56" s="53"/>
      <c r="BJN56" s="53"/>
      <c r="BJO56" s="53"/>
      <c r="BJP56" s="53"/>
      <c r="BJQ56" s="53"/>
      <c r="BJR56" s="53"/>
      <c r="BJS56" s="53"/>
      <c r="BJT56" s="53"/>
      <c r="BJU56" s="53"/>
      <c r="BJV56" s="53"/>
      <c r="BJW56" s="53"/>
      <c r="BJX56" s="53"/>
      <c r="BJY56" s="53"/>
      <c r="BJZ56" s="53"/>
      <c r="BKA56" s="53"/>
      <c r="BKB56" s="53"/>
      <c r="BKC56" s="53"/>
      <c r="BKD56" s="53"/>
      <c r="BKE56" s="53"/>
      <c r="BKF56" s="53"/>
      <c r="BKG56" s="53"/>
      <c r="BKH56" s="53"/>
      <c r="BKI56" s="53"/>
      <c r="BKJ56" s="53"/>
      <c r="BKK56" s="53"/>
      <c r="BKL56" s="53"/>
      <c r="BKM56" s="53"/>
      <c r="BKN56" s="53"/>
      <c r="BKO56" s="53"/>
      <c r="BKP56" s="53"/>
      <c r="BKQ56" s="53"/>
      <c r="BKR56" s="53"/>
      <c r="BKS56" s="53"/>
      <c r="BKT56" s="53"/>
      <c r="BKU56" s="53"/>
      <c r="BKV56" s="53"/>
      <c r="BKW56" s="53"/>
      <c r="BKX56" s="53"/>
      <c r="BKY56" s="53"/>
      <c r="BKZ56" s="53"/>
      <c r="BLA56" s="53"/>
      <c r="BLB56" s="53"/>
      <c r="BLC56" s="53"/>
      <c r="BLD56" s="53"/>
      <c r="BLE56" s="53"/>
      <c r="BLF56" s="53"/>
      <c r="BLG56" s="53"/>
      <c r="BLH56" s="53"/>
      <c r="BLI56" s="53"/>
      <c r="BLJ56" s="53"/>
      <c r="BLK56" s="53"/>
      <c r="BLL56" s="53"/>
      <c r="BLM56" s="53"/>
      <c r="BLN56" s="53"/>
      <c r="BLO56" s="53"/>
      <c r="BLP56" s="53"/>
      <c r="BLQ56" s="53"/>
      <c r="BLR56" s="53"/>
      <c r="BLS56" s="53"/>
      <c r="BLT56" s="53"/>
      <c r="BLU56" s="53"/>
      <c r="BLV56" s="53"/>
      <c r="BLW56" s="53"/>
      <c r="BLX56" s="53"/>
      <c r="BLY56" s="53"/>
      <c r="BLZ56" s="53"/>
      <c r="BMA56" s="53"/>
      <c r="BMB56" s="53"/>
      <c r="BMC56" s="53"/>
      <c r="BMD56" s="53"/>
      <c r="BME56" s="53"/>
      <c r="BMF56" s="53"/>
      <c r="BMG56" s="53"/>
      <c r="BMH56" s="53"/>
      <c r="BMI56" s="53"/>
      <c r="BMJ56" s="53"/>
      <c r="BMK56" s="53"/>
      <c r="BML56" s="53"/>
      <c r="BMM56" s="53"/>
      <c r="BMN56" s="53"/>
      <c r="BMO56" s="53"/>
      <c r="BMP56" s="53"/>
      <c r="BMQ56" s="53"/>
      <c r="BMR56" s="53"/>
      <c r="BMS56" s="53"/>
      <c r="BMT56" s="53"/>
      <c r="BMU56" s="53"/>
      <c r="BMV56" s="53"/>
      <c r="BMW56" s="53"/>
      <c r="BMX56" s="53"/>
      <c r="BMY56" s="53"/>
      <c r="BMZ56" s="53"/>
      <c r="BNA56" s="53"/>
      <c r="BNB56" s="53"/>
      <c r="BNC56" s="53"/>
      <c r="BND56" s="53"/>
      <c r="BNE56" s="53"/>
      <c r="BNF56" s="53"/>
      <c r="BNG56" s="53"/>
      <c r="BNH56" s="53"/>
      <c r="BNI56" s="53"/>
      <c r="BNJ56" s="53"/>
      <c r="BNK56" s="53"/>
      <c r="BNL56" s="53"/>
      <c r="BNM56" s="53"/>
      <c r="BNN56" s="53"/>
      <c r="BNO56" s="53"/>
      <c r="BNP56" s="53"/>
      <c r="BNQ56" s="53"/>
      <c r="BNR56" s="53"/>
      <c r="BNS56" s="53"/>
      <c r="BNT56" s="53"/>
      <c r="BNU56" s="53"/>
      <c r="BNV56" s="53"/>
      <c r="BNW56" s="53"/>
      <c r="BNX56" s="53"/>
      <c r="BNY56" s="53"/>
      <c r="BNZ56" s="53"/>
      <c r="BOA56" s="53"/>
      <c r="BOB56" s="53"/>
      <c r="BOC56" s="53"/>
      <c r="BOD56" s="53"/>
      <c r="BOE56" s="53"/>
      <c r="BOF56" s="53"/>
      <c r="BOG56" s="53"/>
      <c r="BOH56" s="53"/>
      <c r="BOI56" s="53"/>
      <c r="BOJ56" s="53"/>
      <c r="BOK56" s="53"/>
      <c r="BOL56" s="53"/>
      <c r="BOM56" s="53"/>
      <c r="BON56" s="53"/>
      <c r="BOO56" s="53"/>
      <c r="BOP56" s="53"/>
      <c r="BOQ56" s="53"/>
      <c r="BOR56" s="53"/>
      <c r="BOS56" s="53"/>
      <c r="BOT56" s="53"/>
      <c r="BOU56" s="53"/>
      <c r="BOV56" s="53"/>
      <c r="BOW56" s="53"/>
      <c r="BOX56" s="53"/>
      <c r="BOY56" s="53"/>
      <c r="BOZ56" s="53"/>
      <c r="BPA56" s="53"/>
      <c r="BPB56" s="53"/>
      <c r="BPC56" s="53"/>
      <c r="BPD56" s="53"/>
      <c r="BPE56" s="53"/>
      <c r="BPF56" s="53"/>
      <c r="BPG56" s="53"/>
      <c r="BPH56" s="53"/>
      <c r="BPI56" s="53"/>
      <c r="BPJ56" s="53"/>
      <c r="BPK56" s="53"/>
      <c r="BPL56" s="53"/>
      <c r="BPM56" s="53"/>
      <c r="BPN56" s="53"/>
      <c r="BPO56" s="53"/>
      <c r="BPP56" s="53"/>
      <c r="BPQ56" s="53"/>
      <c r="BPR56" s="53"/>
      <c r="BPS56" s="53"/>
      <c r="BPT56" s="53"/>
      <c r="BPU56" s="53"/>
      <c r="BPV56" s="53"/>
      <c r="BPW56" s="53"/>
      <c r="BPX56" s="53"/>
      <c r="BPY56" s="53"/>
      <c r="BPZ56" s="53"/>
      <c r="BQA56" s="53"/>
      <c r="BQB56" s="53"/>
      <c r="BQC56" s="53"/>
      <c r="BQD56" s="53"/>
      <c r="BQE56" s="53"/>
      <c r="BQF56" s="53"/>
      <c r="BQG56" s="53"/>
      <c r="BQH56" s="53"/>
      <c r="BQI56" s="53"/>
      <c r="BQJ56" s="53"/>
      <c r="BQK56" s="53"/>
      <c r="BQL56" s="53"/>
      <c r="BQM56" s="53"/>
      <c r="BQN56" s="53"/>
      <c r="BQO56" s="53"/>
      <c r="BQP56" s="53"/>
      <c r="BQQ56" s="53"/>
      <c r="BQR56" s="53"/>
      <c r="BQS56" s="53"/>
      <c r="BQT56" s="53"/>
      <c r="BQU56" s="53"/>
      <c r="BQV56" s="53"/>
      <c r="BQW56" s="53"/>
      <c r="BQX56" s="53"/>
      <c r="BQY56" s="53"/>
      <c r="BQZ56" s="53"/>
      <c r="BRA56" s="53"/>
      <c r="BRB56" s="53"/>
      <c r="BRC56" s="53"/>
      <c r="BRD56" s="53"/>
      <c r="BRE56" s="53"/>
      <c r="BRF56" s="53"/>
      <c r="BRG56" s="53"/>
      <c r="BRH56" s="53"/>
      <c r="BRI56" s="53"/>
      <c r="BRJ56" s="53"/>
      <c r="BRK56" s="53"/>
      <c r="BRL56" s="53"/>
      <c r="BRM56" s="53"/>
      <c r="BRN56" s="53"/>
      <c r="BRO56" s="53"/>
      <c r="BRP56" s="53"/>
      <c r="BRQ56" s="53"/>
      <c r="BRR56" s="53"/>
      <c r="BRS56" s="53"/>
      <c r="BRT56" s="53"/>
      <c r="BRU56" s="53"/>
      <c r="BRV56" s="53"/>
      <c r="BRW56" s="53"/>
      <c r="BRX56" s="53"/>
      <c r="BRY56" s="53"/>
      <c r="BRZ56" s="53"/>
      <c r="BSA56" s="53"/>
      <c r="BSB56" s="53"/>
      <c r="BSC56" s="53"/>
      <c r="BSD56" s="53"/>
      <c r="BSE56" s="53"/>
      <c r="BSF56" s="53"/>
      <c r="BSG56" s="53"/>
      <c r="BSH56" s="53"/>
      <c r="BSI56" s="53"/>
      <c r="BSJ56" s="53"/>
      <c r="BSK56" s="53"/>
      <c r="BSL56" s="53"/>
      <c r="BSM56" s="53"/>
      <c r="BSN56" s="53"/>
      <c r="BSO56" s="53"/>
      <c r="BSP56" s="53"/>
      <c r="BSQ56" s="53"/>
      <c r="BSR56" s="53"/>
      <c r="BSS56" s="53"/>
      <c r="BST56" s="53"/>
      <c r="BSU56" s="53"/>
      <c r="BSV56" s="53"/>
      <c r="BSW56" s="53"/>
      <c r="BSX56" s="53"/>
      <c r="BSY56" s="53"/>
      <c r="BSZ56" s="53"/>
      <c r="BTA56" s="53"/>
      <c r="BTB56" s="53"/>
      <c r="BTC56" s="53"/>
      <c r="BTD56" s="53"/>
      <c r="BTE56" s="53"/>
      <c r="BTF56" s="53"/>
      <c r="BTG56" s="53"/>
      <c r="BTH56" s="53"/>
      <c r="BTI56" s="53"/>
      <c r="BTJ56" s="53"/>
      <c r="BTK56" s="53"/>
      <c r="BTL56" s="53"/>
      <c r="BTM56" s="53"/>
      <c r="BTN56" s="53"/>
      <c r="BTO56" s="53"/>
      <c r="BTP56" s="53"/>
      <c r="BTQ56" s="53"/>
      <c r="BTR56" s="53"/>
      <c r="BTS56" s="53"/>
      <c r="BTT56" s="53"/>
      <c r="BTU56" s="53"/>
      <c r="BTV56" s="53"/>
      <c r="BTW56" s="53"/>
      <c r="BTX56" s="53"/>
      <c r="BTY56" s="53"/>
      <c r="BTZ56" s="53"/>
      <c r="BUA56" s="53"/>
      <c r="BUB56" s="53"/>
      <c r="BUC56" s="53"/>
      <c r="BUD56" s="53"/>
      <c r="BUE56" s="53"/>
      <c r="BUF56" s="53"/>
      <c r="BUG56" s="53"/>
      <c r="BUH56" s="53"/>
      <c r="BUI56" s="53"/>
      <c r="BUJ56" s="53"/>
      <c r="BUK56" s="53"/>
      <c r="BUL56" s="53"/>
      <c r="BUM56" s="53"/>
      <c r="BUN56" s="53"/>
      <c r="BUO56" s="53"/>
      <c r="BUP56" s="53"/>
      <c r="BUQ56" s="53"/>
      <c r="BUR56" s="53"/>
      <c r="BUS56" s="53"/>
      <c r="BUT56" s="53"/>
      <c r="BUU56" s="53"/>
      <c r="BUV56" s="53"/>
      <c r="BUW56" s="53"/>
      <c r="BUX56" s="53"/>
      <c r="BUY56" s="53"/>
      <c r="BUZ56" s="53"/>
      <c r="BVA56" s="53"/>
      <c r="BVB56" s="53"/>
      <c r="BVC56" s="53"/>
      <c r="BVD56" s="53"/>
      <c r="BVE56" s="53"/>
      <c r="BVF56" s="53"/>
      <c r="BVG56" s="53"/>
      <c r="BVH56" s="53"/>
      <c r="BVI56" s="53"/>
      <c r="BVJ56" s="53"/>
      <c r="BVK56" s="53"/>
      <c r="BVL56" s="53"/>
      <c r="BVM56" s="53"/>
      <c r="BVN56" s="53"/>
      <c r="BVO56" s="53"/>
      <c r="BVP56" s="53"/>
      <c r="BVQ56" s="53"/>
      <c r="BVR56" s="53"/>
      <c r="BVS56" s="53"/>
      <c r="BVT56" s="53"/>
      <c r="BVU56" s="53"/>
      <c r="BVV56" s="53"/>
      <c r="BVW56" s="53"/>
      <c r="BVX56" s="53"/>
      <c r="BVY56" s="53"/>
      <c r="BVZ56" s="53"/>
      <c r="BWA56" s="53"/>
      <c r="BWB56" s="53"/>
      <c r="BWC56" s="53"/>
      <c r="BWD56" s="53"/>
      <c r="BWE56" s="53"/>
      <c r="BWF56" s="53"/>
      <c r="BWG56" s="53"/>
      <c r="BWH56" s="53"/>
      <c r="BWI56" s="53"/>
      <c r="BWJ56" s="53"/>
      <c r="BWK56" s="53"/>
      <c r="BWL56" s="53"/>
      <c r="BWM56" s="53"/>
      <c r="BWN56" s="53"/>
      <c r="BWO56" s="53"/>
      <c r="BWP56" s="53"/>
      <c r="BWQ56" s="53"/>
      <c r="BWR56" s="53"/>
      <c r="BWS56" s="53"/>
      <c r="BWT56" s="53"/>
      <c r="BWU56" s="53"/>
      <c r="BWV56" s="53"/>
      <c r="BWW56" s="53"/>
      <c r="BWX56" s="53"/>
      <c r="BWY56" s="53"/>
      <c r="BWZ56" s="53"/>
      <c r="BXA56" s="53"/>
      <c r="BXB56" s="53"/>
      <c r="BXC56" s="53"/>
      <c r="BXD56" s="53"/>
      <c r="BXE56" s="53"/>
      <c r="BXF56" s="53"/>
      <c r="BXG56" s="53"/>
      <c r="BXH56" s="53"/>
      <c r="BXI56" s="53"/>
      <c r="BXJ56" s="53"/>
      <c r="BXK56" s="53"/>
      <c r="BXL56" s="53"/>
      <c r="BXM56" s="53"/>
      <c r="BXN56" s="53"/>
      <c r="BXO56" s="53"/>
      <c r="BXP56" s="53"/>
      <c r="BXQ56" s="53"/>
      <c r="BXR56" s="53"/>
      <c r="BXS56" s="53"/>
      <c r="BXT56" s="53"/>
      <c r="BXU56" s="53"/>
      <c r="BXV56" s="53"/>
      <c r="BXW56" s="53"/>
      <c r="BXX56" s="53"/>
      <c r="BXY56" s="53"/>
      <c r="BXZ56" s="53"/>
      <c r="BYA56" s="53"/>
      <c r="BYB56" s="53"/>
      <c r="BYC56" s="53"/>
      <c r="BYD56" s="53"/>
      <c r="BYE56" s="53"/>
      <c r="BYF56" s="53"/>
      <c r="BYG56" s="53"/>
      <c r="BYH56" s="53"/>
      <c r="BYI56" s="53"/>
      <c r="BYJ56" s="53"/>
      <c r="BYK56" s="53"/>
      <c r="BYL56" s="53"/>
      <c r="BYM56" s="53"/>
      <c r="BYN56" s="53"/>
      <c r="BYO56" s="53"/>
      <c r="BYP56" s="53"/>
      <c r="BYQ56" s="53"/>
      <c r="BYR56" s="53"/>
      <c r="BYS56" s="53"/>
      <c r="BYT56" s="53"/>
      <c r="BYU56" s="53"/>
      <c r="BYV56" s="53"/>
      <c r="BYW56" s="53"/>
      <c r="BYX56" s="53"/>
      <c r="BYY56" s="53"/>
      <c r="BYZ56" s="53"/>
      <c r="BZA56" s="53"/>
      <c r="BZB56" s="53"/>
      <c r="BZC56" s="53"/>
      <c r="BZD56" s="53"/>
      <c r="BZE56" s="53"/>
      <c r="BZF56" s="53"/>
      <c r="BZG56" s="53"/>
      <c r="BZH56" s="53"/>
      <c r="BZI56" s="53"/>
      <c r="BZJ56" s="53"/>
      <c r="BZK56" s="53"/>
      <c r="BZL56" s="53"/>
      <c r="BZM56" s="53"/>
      <c r="BZN56" s="53"/>
      <c r="BZO56" s="53"/>
      <c r="BZP56" s="53"/>
      <c r="BZQ56" s="53"/>
      <c r="BZR56" s="53"/>
      <c r="BZS56" s="53"/>
      <c r="BZT56" s="53"/>
      <c r="BZU56" s="53"/>
      <c r="BZV56" s="53"/>
      <c r="BZW56" s="53"/>
      <c r="BZX56" s="53"/>
      <c r="BZY56" s="53"/>
      <c r="BZZ56" s="53"/>
      <c r="CAA56" s="53"/>
      <c r="CAB56" s="53"/>
      <c r="CAC56" s="53"/>
      <c r="CAD56" s="53"/>
      <c r="CAE56" s="53"/>
      <c r="CAF56" s="53"/>
      <c r="CAG56" s="53"/>
      <c r="CAH56" s="53"/>
      <c r="CAI56" s="53"/>
      <c r="CAJ56" s="53"/>
      <c r="CAK56" s="53"/>
      <c r="CAL56" s="53"/>
      <c r="CAM56" s="53"/>
      <c r="CAN56" s="53"/>
      <c r="CAO56" s="53"/>
      <c r="CAP56" s="53"/>
      <c r="CAQ56" s="53"/>
      <c r="CAR56" s="53"/>
      <c r="CAS56" s="53"/>
      <c r="CAT56" s="53"/>
      <c r="CAU56" s="53"/>
      <c r="CAV56" s="53"/>
      <c r="CAW56" s="53"/>
      <c r="CAX56" s="53"/>
      <c r="CAY56" s="53"/>
      <c r="CAZ56" s="53"/>
      <c r="CBA56" s="53"/>
      <c r="CBB56" s="53"/>
      <c r="CBC56" s="53"/>
      <c r="CBD56" s="53"/>
      <c r="CBE56" s="53"/>
      <c r="CBF56" s="53"/>
      <c r="CBG56" s="53"/>
      <c r="CBH56" s="53"/>
      <c r="CBI56" s="53"/>
      <c r="CBJ56" s="53"/>
      <c r="CBK56" s="53"/>
      <c r="CBL56" s="53"/>
      <c r="CBM56" s="53"/>
      <c r="CBN56" s="53"/>
      <c r="CBO56" s="53"/>
      <c r="CBP56" s="53"/>
      <c r="CBQ56" s="53"/>
      <c r="CBR56" s="53"/>
      <c r="CBS56" s="53"/>
      <c r="CBT56" s="53"/>
      <c r="CBU56" s="53"/>
      <c r="CBV56" s="53"/>
      <c r="CBW56" s="53"/>
      <c r="CBX56" s="53"/>
      <c r="CBY56" s="53"/>
      <c r="CBZ56" s="53"/>
      <c r="CCA56" s="53"/>
      <c r="CCB56" s="53"/>
      <c r="CCC56" s="53"/>
      <c r="CCD56" s="53"/>
      <c r="CCE56" s="53"/>
      <c r="CCF56" s="53"/>
      <c r="CCG56" s="53"/>
      <c r="CCH56" s="53"/>
      <c r="CCI56" s="53"/>
      <c r="CCJ56" s="53"/>
      <c r="CCK56" s="53"/>
      <c r="CCL56" s="53"/>
      <c r="CCM56" s="53"/>
      <c r="CCN56" s="53"/>
      <c r="CCO56" s="53"/>
      <c r="CCP56" s="53"/>
      <c r="CCQ56" s="53"/>
      <c r="CCR56" s="53"/>
      <c r="CCS56" s="53"/>
      <c r="CCT56" s="53"/>
      <c r="CCU56" s="53"/>
      <c r="CCV56" s="53"/>
      <c r="CCW56" s="53"/>
      <c r="CCX56" s="53"/>
      <c r="CCY56" s="53"/>
      <c r="CCZ56" s="53"/>
      <c r="CDA56" s="53"/>
      <c r="CDB56" s="53"/>
      <c r="CDC56" s="53"/>
      <c r="CDD56" s="53"/>
      <c r="CDE56" s="53"/>
      <c r="CDF56" s="53"/>
      <c r="CDG56" s="53"/>
      <c r="CDH56" s="53"/>
      <c r="CDI56" s="53"/>
      <c r="CDJ56" s="53"/>
      <c r="CDK56" s="53"/>
      <c r="CDL56" s="53"/>
      <c r="CDM56" s="53"/>
      <c r="CDN56" s="53"/>
      <c r="CDO56" s="53"/>
      <c r="CDP56" s="53"/>
      <c r="CDQ56" s="53"/>
      <c r="CDR56" s="53"/>
      <c r="CDS56" s="53"/>
      <c r="CDT56" s="53"/>
      <c r="CDU56" s="53"/>
      <c r="CDV56" s="53"/>
      <c r="CDW56" s="53"/>
      <c r="CDX56" s="53"/>
      <c r="CDY56" s="53"/>
      <c r="CDZ56" s="53"/>
      <c r="CEA56" s="53"/>
      <c r="CEB56" s="53"/>
      <c r="CEC56" s="53"/>
      <c r="CED56" s="53"/>
      <c r="CEE56" s="53"/>
      <c r="CEF56" s="53"/>
      <c r="CEG56" s="53"/>
      <c r="CEH56" s="53"/>
      <c r="CEI56" s="53"/>
      <c r="CEJ56" s="53"/>
      <c r="CEK56" s="53"/>
      <c r="CEL56" s="53"/>
      <c r="CEM56" s="53"/>
      <c r="CEN56" s="53"/>
      <c r="CEO56" s="53"/>
      <c r="CEP56" s="53"/>
      <c r="CEQ56" s="53"/>
      <c r="CER56" s="53"/>
      <c r="CES56" s="53"/>
      <c r="CET56" s="53"/>
      <c r="CEU56" s="53"/>
      <c r="CEV56" s="53"/>
      <c r="CEW56" s="53"/>
      <c r="CEX56" s="53"/>
      <c r="CEY56" s="53"/>
      <c r="CEZ56" s="53"/>
      <c r="CFA56" s="53"/>
      <c r="CFB56" s="53"/>
      <c r="CFC56" s="53"/>
      <c r="CFD56" s="53"/>
      <c r="CFE56" s="53"/>
      <c r="CFF56" s="53"/>
      <c r="CFG56" s="53"/>
      <c r="CFH56" s="53"/>
      <c r="CFI56" s="53"/>
      <c r="CFJ56" s="53"/>
      <c r="CFK56" s="53"/>
      <c r="CFL56" s="53"/>
      <c r="CFM56" s="53"/>
      <c r="CFN56" s="53"/>
      <c r="CFO56" s="53"/>
      <c r="CFP56" s="53"/>
      <c r="CFQ56" s="53"/>
      <c r="CFR56" s="53"/>
      <c r="CFS56" s="53"/>
      <c r="CFT56" s="53"/>
      <c r="CFU56" s="53"/>
      <c r="CFV56" s="53"/>
      <c r="CFW56" s="53"/>
      <c r="CFX56" s="53"/>
      <c r="CFY56" s="53"/>
      <c r="CFZ56" s="53"/>
      <c r="CGA56" s="53"/>
      <c r="CGB56" s="53"/>
      <c r="CGC56" s="53"/>
      <c r="CGD56" s="53"/>
      <c r="CGE56" s="53"/>
      <c r="CGF56" s="53"/>
      <c r="CGG56" s="53"/>
      <c r="CGH56" s="53"/>
      <c r="CGI56" s="53"/>
      <c r="CGJ56" s="53"/>
      <c r="CGK56" s="53"/>
      <c r="CGL56" s="53"/>
      <c r="CGM56" s="53"/>
      <c r="CGN56" s="53"/>
      <c r="CGO56" s="53"/>
      <c r="CGP56" s="53"/>
      <c r="CGQ56" s="53"/>
      <c r="CGR56" s="53"/>
      <c r="CGS56" s="53"/>
      <c r="CGT56" s="53"/>
      <c r="CGU56" s="53"/>
      <c r="CGV56" s="53"/>
      <c r="CGW56" s="53"/>
      <c r="CGX56" s="53"/>
      <c r="CGY56" s="53"/>
      <c r="CGZ56" s="53"/>
      <c r="CHA56" s="53"/>
      <c r="CHB56" s="53"/>
      <c r="CHC56" s="53"/>
      <c r="CHD56" s="53"/>
      <c r="CHE56" s="53"/>
      <c r="CHF56" s="53"/>
      <c r="CHG56" s="53"/>
      <c r="CHH56" s="53"/>
      <c r="CHI56" s="53"/>
      <c r="CHJ56" s="53"/>
      <c r="CHK56" s="53"/>
      <c r="CHL56" s="53"/>
      <c r="CHM56" s="53"/>
      <c r="CHN56" s="53"/>
      <c r="CHO56" s="53"/>
      <c r="CHP56" s="53"/>
      <c r="CHQ56" s="53"/>
      <c r="CHR56" s="53"/>
      <c r="CHS56" s="53"/>
      <c r="CHT56" s="53"/>
      <c r="CHU56" s="53"/>
      <c r="CHV56" s="53"/>
      <c r="CHW56" s="53"/>
      <c r="CHX56" s="53"/>
      <c r="CHY56" s="53"/>
      <c r="CHZ56" s="53"/>
      <c r="CIA56" s="53"/>
      <c r="CIB56" s="53"/>
      <c r="CIC56" s="53"/>
      <c r="CID56" s="53"/>
      <c r="CIE56" s="53"/>
      <c r="CIF56" s="53"/>
      <c r="CIG56" s="53"/>
      <c r="CIH56" s="53"/>
      <c r="CII56" s="53"/>
      <c r="CIJ56" s="53"/>
      <c r="CIK56" s="53"/>
      <c r="CIL56" s="53"/>
      <c r="CIM56" s="53"/>
      <c r="CIN56" s="53"/>
      <c r="CIO56" s="53"/>
      <c r="CIP56" s="53"/>
      <c r="CIQ56" s="53"/>
      <c r="CIR56" s="53"/>
      <c r="CIS56" s="53"/>
      <c r="CIT56" s="53"/>
      <c r="CIU56" s="53"/>
      <c r="CIV56" s="53"/>
      <c r="CIW56" s="53"/>
      <c r="CIX56" s="53"/>
      <c r="CIY56" s="53"/>
      <c r="CIZ56" s="53"/>
      <c r="CJA56" s="53"/>
      <c r="CJB56" s="53"/>
      <c r="CJC56" s="53"/>
      <c r="CJD56" s="53"/>
      <c r="CJE56" s="53"/>
      <c r="CJF56" s="53"/>
      <c r="CJG56" s="53"/>
      <c r="CJH56" s="53"/>
      <c r="CJI56" s="53"/>
      <c r="CJJ56" s="53"/>
      <c r="CJK56" s="53"/>
      <c r="CJL56" s="53"/>
      <c r="CJM56" s="53"/>
      <c r="CJN56" s="53"/>
      <c r="CJO56" s="53"/>
      <c r="CJP56" s="53"/>
      <c r="CJQ56" s="53"/>
      <c r="CJR56" s="53"/>
      <c r="CJS56" s="53"/>
      <c r="CJT56" s="53"/>
      <c r="CJU56" s="53"/>
      <c r="CJV56" s="53"/>
      <c r="CJW56" s="53"/>
      <c r="CJX56" s="53"/>
      <c r="CJY56" s="53"/>
      <c r="CJZ56" s="53"/>
      <c r="CKA56" s="53"/>
      <c r="CKB56" s="53"/>
      <c r="CKC56" s="53"/>
      <c r="CKD56" s="53"/>
      <c r="CKE56" s="53"/>
      <c r="CKF56" s="53"/>
      <c r="CKG56" s="53"/>
      <c r="CKH56" s="53"/>
      <c r="CKI56" s="53"/>
      <c r="CKJ56" s="53"/>
      <c r="CKK56" s="53"/>
      <c r="CKL56" s="53"/>
      <c r="CKM56" s="53"/>
      <c r="CKN56" s="53"/>
      <c r="CKO56" s="53"/>
      <c r="CKP56" s="53"/>
      <c r="CKQ56" s="53"/>
      <c r="CKR56" s="53"/>
      <c r="CKS56" s="53"/>
      <c r="CKT56" s="53"/>
      <c r="CKU56" s="53"/>
      <c r="CKV56" s="53"/>
      <c r="CKW56" s="53"/>
      <c r="CKX56" s="53"/>
      <c r="CKY56" s="53"/>
      <c r="CKZ56" s="53"/>
      <c r="CLA56" s="53"/>
      <c r="CLB56" s="53"/>
      <c r="CLC56" s="53"/>
      <c r="CLD56" s="53"/>
      <c r="CLE56" s="53"/>
      <c r="CLF56" s="53"/>
      <c r="CLG56" s="53"/>
      <c r="CLH56" s="53"/>
      <c r="CLI56" s="53"/>
      <c r="CLJ56" s="53"/>
      <c r="CLK56" s="53"/>
      <c r="CLL56" s="53"/>
      <c r="CLM56" s="53"/>
      <c r="CLN56" s="53"/>
      <c r="CLO56" s="53"/>
      <c r="CLP56" s="53"/>
      <c r="CLQ56" s="53"/>
      <c r="CLR56" s="53"/>
      <c r="CLS56" s="53"/>
      <c r="CLT56" s="53"/>
      <c r="CLU56" s="53"/>
      <c r="CLV56" s="53"/>
      <c r="CLW56" s="53"/>
      <c r="CLX56" s="53"/>
      <c r="CLY56" s="53"/>
      <c r="CLZ56" s="53"/>
      <c r="CMA56" s="53"/>
      <c r="CMB56" s="53"/>
      <c r="CMC56" s="53"/>
      <c r="CMD56" s="53"/>
      <c r="CME56" s="53"/>
      <c r="CMF56" s="53"/>
      <c r="CMG56" s="53"/>
      <c r="CMH56" s="53"/>
      <c r="CMI56" s="53"/>
      <c r="CMJ56" s="53"/>
      <c r="CMK56" s="53"/>
      <c r="CML56" s="53"/>
      <c r="CMM56" s="53"/>
      <c r="CMN56" s="53"/>
      <c r="CMO56" s="53"/>
      <c r="CMP56" s="53"/>
      <c r="CMQ56" s="53"/>
      <c r="CMR56" s="53"/>
      <c r="CMS56" s="53"/>
      <c r="CMT56" s="53"/>
      <c r="CMU56" s="53"/>
      <c r="CMV56" s="53"/>
      <c r="CMW56" s="53"/>
      <c r="CMX56" s="53"/>
      <c r="CMY56" s="53"/>
      <c r="CMZ56" s="53"/>
      <c r="CNA56" s="53"/>
      <c r="CNB56" s="53"/>
      <c r="CNC56" s="53"/>
      <c r="CND56" s="53"/>
      <c r="CNE56" s="53"/>
      <c r="CNF56" s="53"/>
      <c r="CNG56" s="53"/>
      <c r="CNH56" s="53"/>
      <c r="CNI56" s="53"/>
      <c r="CNJ56" s="53"/>
      <c r="CNK56" s="53"/>
      <c r="CNL56" s="53"/>
      <c r="CNM56" s="53"/>
      <c r="CNN56" s="53"/>
      <c r="CNO56" s="53"/>
      <c r="CNP56" s="53"/>
      <c r="CNQ56" s="53"/>
      <c r="CNR56" s="53"/>
      <c r="CNS56" s="53"/>
      <c r="CNT56" s="53"/>
      <c r="CNU56" s="53"/>
      <c r="CNV56" s="53"/>
      <c r="CNW56" s="53"/>
      <c r="CNX56" s="53"/>
      <c r="CNY56" s="53"/>
      <c r="CNZ56" s="53"/>
      <c r="COA56" s="53"/>
      <c r="COB56" s="53"/>
      <c r="COC56" s="53"/>
      <c r="COD56" s="53"/>
      <c r="COE56" s="53"/>
      <c r="COF56" s="53"/>
      <c r="COG56" s="53"/>
      <c r="COH56" s="53"/>
      <c r="COI56" s="53"/>
      <c r="COJ56" s="53"/>
      <c r="COK56" s="53"/>
      <c r="COL56" s="53"/>
      <c r="COM56" s="53"/>
      <c r="CON56" s="53"/>
      <c r="COO56" s="53"/>
      <c r="COP56" s="53"/>
      <c r="COQ56" s="53"/>
      <c r="COR56" s="53"/>
      <c r="COS56" s="53"/>
      <c r="COT56" s="53"/>
      <c r="COU56" s="53"/>
      <c r="COV56" s="53"/>
      <c r="COW56" s="53"/>
      <c r="COX56" s="53"/>
      <c r="COY56" s="53"/>
      <c r="COZ56" s="53"/>
      <c r="CPA56" s="53"/>
      <c r="CPB56" s="53"/>
      <c r="CPC56" s="53"/>
      <c r="CPD56" s="53"/>
      <c r="CPE56" s="53"/>
      <c r="CPF56" s="53"/>
      <c r="CPG56" s="53"/>
      <c r="CPH56" s="53"/>
      <c r="CPI56" s="53"/>
      <c r="CPJ56" s="53"/>
      <c r="CPK56" s="53"/>
      <c r="CPL56" s="53"/>
      <c r="CPM56" s="53"/>
      <c r="CPN56" s="53"/>
      <c r="CPO56" s="53"/>
      <c r="CPP56" s="53"/>
      <c r="CPQ56" s="53"/>
      <c r="CPR56" s="53"/>
      <c r="CPS56" s="53"/>
      <c r="CPT56" s="53"/>
      <c r="CPU56" s="53"/>
      <c r="CPV56" s="53"/>
      <c r="CPW56" s="53"/>
      <c r="CPX56" s="53"/>
      <c r="CPY56" s="53"/>
      <c r="CPZ56" s="53"/>
      <c r="CQA56" s="53"/>
      <c r="CQB56" s="53"/>
      <c r="CQC56" s="53"/>
      <c r="CQD56" s="53"/>
      <c r="CQE56" s="53"/>
      <c r="CQF56" s="53"/>
      <c r="CQG56" s="53"/>
      <c r="CQH56" s="53"/>
      <c r="CQI56" s="53"/>
      <c r="CQJ56" s="53"/>
      <c r="CQK56" s="53"/>
      <c r="CQL56" s="53"/>
      <c r="CQM56" s="53"/>
      <c r="CQN56" s="53"/>
      <c r="CQO56" s="53"/>
      <c r="CQP56" s="53"/>
      <c r="CQQ56" s="53"/>
      <c r="CQR56" s="53"/>
      <c r="CQS56" s="53"/>
      <c r="CQT56" s="53"/>
      <c r="CQU56" s="53"/>
      <c r="CQV56" s="53"/>
      <c r="CQW56" s="53"/>
      <c r="CQX56" s="53"/>
      <c r="CQY56" s="53"/>
      <c r="CQZ56" s="53"/>
      <c r="CRA56" s="53"/>
      <c r="CRB56" s="53"/>
      <c r="CRC56" s="53"/>
      <c r="CRD56" s="53"/>
      <c r="CRE56" s="53"/>
      <c r="CRF56" s="53"/>
      <c r="CRG56" s="53"/>
      <c r="CRH56" s="53"/>
      <c r="CRI56" s="53"/>
      <c r="CRJ56" s="53"/>
      <c r="CRK56" s="53"/>
      <c r="CRL56" s="53"/>
      <c r="CRM56" s="53"/>
      <c r="CRN56" s="53"/>
      <c r="CRO56" s="53"/>
      <c r="CRP56" s="53"/>
      <c r="CRQ56" s="53"/>
      <c r="CRR56" s="53"/>
      <c r="CRS56" s="53"/>
      <c r="CRT56" s="53"/>
      <c r="CRU56" s="53"/>
      <c r="CRV56" s="53"/>
      <c r="CRW56" s="53"/>
      <c r="CRX56" s="53"/>
      <c r="CRY56" s="53"/>
      <c r="CRZ56" s="53"/>
      <c r="CSA56" s="53"/>
      <c r="CSB56" s="53"/>
      <c r="CSC56" s="53"/>
      <c r="CSD56" s="53"/>
      <c r="CSE56" s="53"/>
      <c r="CSF56" s="53"/>
      <c r="CSG56" s="53"/>
      <c r="CSH56" s="53"/>
      <c r="CSI56" s="53"/>
      <c r="CSJ56" s="53"/>
      <c r="CSK56" s="53"/>
      <c r="CSL56" s="53"/>
      <c r="CSM56" s="53"/>
      <c r="CSN56" s="53"/>
      <c r="CSO56" s="53"/>
      <c r="CSP56" s="53"/>
      <c r="CSQ56" s="53"/>
      <c r="CSR56" s="53"/>
      <c r="CSS56" s="53"/>
      <c r="CST56" s="53"/>
      <c r="CSU56" s="53"/>
      <c r="CSV56" s="53"/>
      <c r="CSW56" s="53"/>
      <c r="CSX56" s="53"/>
      <c r="CSY56" s="53"/>
      <c r="CSZ56" s="53"/>
      <c r="CTA56" s="53"/>
      <c r="CTB56" s="53"/>
      <c r="CTC56" s="53"/>
      <c r="CTD56" s="53"/>
      <c r="CTE56" s="53"/>
      <c r="CTF56" s="53"/>
      <c r="CTG56" s="53"/>
      <c r="CTH56" s="53"/>
      <c r="CTI56" s="53"/>
      <c r="CTJ56" s="53"/>
      <c r="CTK56" s="53"/>
      <c r="CTL56" s="53"/>
      <c r="CTM56" s="53"/>
      <c r="CTN56" s="53"/>
      <c r="CTO56" s="53"/>
      <c r="CTP56" s="53"/>
      <c r="CTQ56" s="53"/>
      <c r="CTR56" s="53"/>
      <c r="CTS56" s="53"/>
      <c r="CTT56" s="53"/>
      <c r="CTU56" s="53"/>
      <c r="CTV56" s="53"/>
      <c r="CTW56" s="53"/>
      <c r="CTX56" s="53"/>
      <c r="CTY56" s="53"/>
      <c r="CTZ56" s="53"/>
      <c r="CUA56" s="53"/>
      <c r="CUB56" s="53"/>
      <c r="CUC56" s="53"/>
      <c r="CUD56" s="53"/>
      <c r="CUE56" s="53"/>
      <c r="CUF56" s="53"/>
      <c r="CUG56" s="53"/>
      <c r="CUH56" s="53"/>
      <c r="CUI56" s="53"/>
      <c r="CUJ56" s="53"/>
      <c r="CUK56" s="53"/>
      <c r="CUL56" s="53"/>
      <c r="CUM56" s="53"/>
      <c r="CUN56" s="53"/>
      <c r="CUO56" s="53"/>
      <c r="CUP56" s="53"/>
      <c r="CUQ56" s="53"/>
      <c r="CUR56" s="53"/>
      <c r="CUS56" s="53"/>
      <c r="CUT56" s="53"/>
      <c r="CUU56" s="53"/>
      <c r="CUV56" s="53"/>
      <c r="CUW56" s="53"/>
      <c r="CUX56" s="53"/>
      <c r="CUY56" s="53"/>
      <c r="CUZ56" s="53"/>
      <c r="CVA56" s="53"/>
      <c r="CVB56" s="53"/>
      <c r="CVC56" s="53"/>
      <c r="CVD56" s="53"/>
      <c r="CVE56" s="53"/>
      <c r="CVF56" s="53"/>
      <c r="CVG56" s="53"/>
      <c r="CVH56" s="53"/>
      <c r="CVI56" s="53"/>
      <c r="CVJ56" s="53"/>
      <c r="CVK56" s="53"/>
      <c r="CVL56" s="53"/>
      <c r="CVM56" s="53"/>
      <c r="CVN56" s="53"/>
      <c r="CVO56" s="53"/>
      <c r="CVP56" s="53"/>
      <c r="CVQ56" s="53"/>
      <c r="CVR56" s="53"/>
      <c r="CVS56" s="53"/>
      <c r="CVT56" s="53"/>
      <c r="CVU56" s="53"/>
      <c r="CVV56" s="53"/>
      <c r="CVW56" s="53"/>
      <c r="CVX56" s="53"/>
      <c r="CVY56" s="53"/>
      <c r="CVZ56" s="53"/>
      <c r="CWA56" s="53"/>
      <c r="CWB56" s="53"/>
      <c r="CWC56" s="53"/>
      <c r="CWD56" s="53"/>
      <c r="CWE56" s="53"/>
      <c r="CWF56" s="53"/>
      <c r="CWG56" s="53"/>
      <c r="CWH56" s="53"/>
      <c r="CWI56" s="53"/>
      <c r="CWJ56" s="53"/>
      <c r="CWK56" s="53"/>
      <c r="CWL56" s="53"/>
      <c r="CWM56" s="53"/>
      <c r="CWN56" s="53"/>
      <c r="CWO56" s="53"/>
      <c r="CWP56" s="53"/>
      <c r="CWQ56" s="53"/>
      <c r="CWR56" s="53"/>
      <c r="CWS56" s="53"/>
      <c r="CWT56" s="53"/>
      <c r="CWU56" s="53"/>
      <c r="CWV56" s="53"/>
      <c r="CWW56" s="53"/>
      <c r="CWX56" s="53"/>
      <c r="CWY56" s="53"/>
      <c r="CWZ56" s="53"/>
      <c r="CXA56" s="53"/>
      <c r="CXB56" s="53"/>
      <c r="CXC56" s="53"/>
      <c r="CXD56" s="53"/>
      <c r="CXE56" s="53"/>
      <c r="CXF56" s="53"/>
      <c r="CXG56" s="53"/>
      <c r="CXH56" s="53"/>
      <c r="CXI56" s="53"/>
      <c r="CXJ56" s="53"/>
      <c r="CXK56" s="53"/>
      <c r="CXL56" s="53"/>
      <c r="CXM56" s="53"/>
      <c r="CXN56" s="53"/>
      <c r="CXO56" s="53"/>
      <c r="CXP56" s="53"/>
      <c r="CXQ56" s="53"/>
      <c r="CXR56" s="53"/>
      <c r="CXS56" s="53"/>
      <c r="CXT56" s="53"/>
      <c r="CXU56" s="53"/>
      <c r="CXV56" s="53"/>
      <c r="CXW56" s="53"/>
      <c r="CXX56" s="53"/>
      <c r="CXY56" s="53"/>
      <c r="CXZ56" s="53"/>
      <c r="CYA56" s="53"/>
      <c r="CYB56" s="53"/>
      <c r="CYC56" s="53"/>
      <c r="CYD56" s="53"/>
      <c r="CYE56" s="53"/>
      <c r="CYF56" s="53"/>
      <c r="CYG56" s="53"/>
      <c r="CYH56" s="53"/>
      <c r="CYI56" s="53"/>
      <c r="CYJ56" s="53"/>
      <c r="CYK56" s="53"/>
      <c r="CYL56" s="53"/>
      <c r="CYM56" s="53"/>
      <c r="CYN56" s="53"/>
      <c r="CYO56" s="53"/>
      <c r="CYP56" s="53"/>
      <c r="CYQ56" s="53"/>
      <c r="CYR56" s="53"/>
      <c r="CYS56" s="53"/>
      <c r="CYT56" s="53"/>
      <c r="CYU56" s="53"/>
      <c r="CYV56" s="53"/>
      <c r="CYW56" s="53"/>
      <c r="CYX56" s="53"/>
      <c r="CYY56" s="53"/>
      <c r="CYZ56" s="53"/>
      <c r="CZA56" s="53"/>
      <c r="CZB56" s="53"/>
      <c r="CZC56" s="53"/>
      <c r="CZD56" s="53"/>
      <c r="CZE56" s="53"/>
      <c r="CZF56" s="53"/>
      <c r="CZG56" s="53"/>
      <c r="CZH56" s="53"/>
      <c r="CZI56" s="53"/>
      <c r="CZJ56" s="53"/>
      <c r="CZK56" s="53"/>
      <c r="CZL56" s="53"/>
      <c r="CZM56" s="53"/>
      <c r="CZN56" s="53"/>
      <c r="CZO56" s="53"/>
      <c r="CZP56" s="53"/>
      <c r="CZQ56" s="53"/>
      <c r="CZR56" s="53"/>
      <c r="CZS56" s="53"/>
      <c r="CZT56" s="53"/>
      <c r="CZU56" s="53"/>
      <c r="CZV56" s="53"/>
      <c r="CZW56" s="53"/>
      <c r="CZX56" s="53"/>
      <c r="CZY56" s="53"/>
      <c r="CZZ56" s="53"/>
      <c r="DAA56" s="53"/>
      <c r="DAB56" s="53"/>
      <c r="DAC56" s="53"/>
      <c r="DAD56" s="53"/>
      <c r="DAE56" s="53"/>
      <c r="DAF56" s="53"/>
      <c r="DAG56" s="53"/>
      <c r="DAH56" s="53"/>
      <c r="DAI56" s="53"/>
      <c r="DAJ56" s="53"/>
      <c r="DAK56" s="53"/>
      <c r="DAL56" s="53"/>
      <c r="DAM56" s="53"/>
      <c r="DAN56" s="53"/>
      <c r="DAO56" s="53"/>
      <c r="DAP56" s="53"/>
      <c r="DAQ56" s="53"/>
      <c r="DAR56" s="53"/>
      <c r="DAS56" s="53"/>
      <c r="DAT56" s="53"/>
      <c r="DAU56" s="53"/>
      <c r="DAV56" s="53"/>
      <c r="DAW56" s="53"/>
      <c r="DAX56" s="53"/>
      <c r="DAY56" s="53"/>
      <c r="DAZ56" s="53"/>
      <c r="DBA56" s="53"/>
      <c r="DBB56" s="53"/>
      <c r="DBC56" s="53"/>
      <c r="DBD56" s="53"/>
      <c r="DBE56" s="53"/>
      <c r="DBF56" s="53"/>
      <c r="DBG56" s="53"/>
      <c r="DBH56" s="53"/>
      <c r="DBI56" s="53"/>
      <c r="DBJ56" s="53"/>
      <c r="DBK56" s="53"/>
      <c r="DBL56" s="53"/>
      <c r="DBM56" s="53"/>
      <c r="DBN56" s="53"/>
      <c r="DBO56" s="53"/>
      <c r="DBP56" s="53"/>
      <c r="DBQ56" s="53"/>
      <c r="DBR56" s="53"/>
      <c r="DBS56" s="53"/>
      <c r="DBT56" s="53"/>
      <c r="DBU56" s="53"/>
      <c r="DBV56" s="53"/>
      <c r="DBW56" s="53"/>
      <c r="DBX56" s="53"/>
      <c r="DBY56" s="53"/>
      <c r="DBZ56" s="53"/>
      <c r="DCA56" s="53"/>
      <c r="DCB56" s="53"/>
      <c r="DCC56" s="53"/>
      <c r="DCD56" s="53"/>
      <c r="DCE56" s="53"/>
      <c r="DCF56" s="53"/>
      <c r="DCG56" s="53"/>
      <c r="DCH56" s="53"/>
      <c r="DCI56" s="53"/>
      <c r="DCJ56" s="53"/>
      <c r="DCK56" s="53"/>
      <c r="DCL56" s="53"/>
      <c r="DCM56" s="53"/>
      <c r="DCN56" s="53"/>
      <c r="DCO56" s="53"/>
      <c r="DCP56" s="53"/>
      <c r="DCQ56" s="53"/>
      <c r="DCR56" s="53"/>
      <c r="DCS56" s="53"/>
      <c r="DCT56" s="53"/>
      <c r="DCU56" s="53"/>
      <c r="DCV56" s="53"/>
      <c r="DCW56" s="53"/>
      <c r="DCX56" s="53"/>
      <c r="DCY56" s="53"/>
      <c r="DCZ56" s="53"/>
      <c r="DDA56" s="53"/>
      <c r="DDB56" s="53"/>
      <c r="DDC56" s="53"/>
      <c r="DDD56" s="53"/>
      <c r="DDE56" s="53"/>
      <c r="DDF56" s="53"/>
      <c r="DDG56" s="53"/>
      <c r="DDH56" s="53"/>
      <c r="DDI56" s="53"/>
      <c r="DDJ56" s="53"/>
      <c r="DDK56" s="53"/>
      <c r="DDL56" s="53"/>
      <c r="DDM56" s="53"/>
      <c r="DDN56" s="53"/>
      <c r="DDO56" s="53"/>
      <c r="DDP56" s="53"/>
      <c r="DDQ56" s="53"/>
      <c r="DDR56" s="53"/>
      <c r="DDS56" s="53"/>
      <c r="DDT56" s="53"/>
      <c r="DDU56" s="53"/>
      <c r="DDV56" s="53"/>
      <c r="DDW56" s="53"/>
      <c r="DDX56" s="53"/>
      <c r="DDY56" s="53"/>
      <c r="DDZ56" s="53"/>
      <c r="DEA56" s="53"/>
      <c r="DEB56" s="53"/>
      <c r="DEC56" s="53"/>
      <c r="DED56" s="53"/>
      <c r="DEE56" s="53"/>
      <c r="DEF56" s="53"/>
      <c r="DEG56" s="53"/>
      <c r="DEH56" s="53"/>
      <c r="DEI56" s="53"/>
      <c r="DEJ56" s="53"/>
      <c r="DEK56" s="53"/>
      <c r="DEL56" s="53"/>
      <c r="DEM56" s="53"/>
      <c r="DEN56" s="53"/>
      <c r="DEO56" s="53"/>
      <c r="DEP56" s="53"/>
      <c r="DEQ56" s="53"/>
      <c r="DER56" s="53"/>
      <c r="DES56" s="53"/>
      <c r="DET56" s="53"/>
      <c r="DEU56" s="53"/>
      <c r="DEV56" s="53"/>
      <c r="DEW56" s="53"/>
      <c r="DEX56" s="53"/>
      <c r="DEY56" s="53"/>
      <c r="DEZ56" s="53"/>
      <c r="DFA56" s="53"/>
      <c r="DFB56" s="53"/>
      <c r="DFC56" s="53"/>
      <c r="DFD56" s="53"/>
      <c r="DFE56" s="53"/>
      <c r="DFF56" s="53"/>
      <c r="DFG56" s="53"/>
      <c r="DFH56" s="53"/>
      <c r="DFI56" s="53"/>
      <c r="DFJ56" s="53"/>
      <c r="DFK56" s="53"/>
      <c r="DFL56" s="53"/>
      <c r="DFM56" s="53"/>
      <c r="DFN56" s="53"/>
      <c r="DFO56" s="53"/>
      <c r="DFP56" s="53"/>
      <c r="DFQ56" s="53"/>
      <c r="DFR56" s="53"/>
      <c r="DFS56" s="53"/>
      <c r="DFT56" s="53"/>
      <c r="DFU56" s="53"/>
      <c r="DFV56" s="53"/>
      <c r="DFW56" s="53"/>
      <c r="DFX56" s="53"/>
      <c r="DFY56" s="53"/>
      <c r="DFZ56" s="53"/>
      <c r="DGA56" s="53"/>
      <c r="DGB56" s="53"/>
      <c r="DGC56" s="53"/>
      <c r="DGD56" s="53"/>
      <c r="DGE56" s="53"/>
      <c r="DGF56" s="53"/>
      <c r="DGG56" s="53"/>
      <c r="DGH56" s="53"/>
      <c r="DGI56" s="53"/>
      <c r="DGJ56" s="53"/>
      <c r="DGK56" s="53"/>
      <c r="DGL56" s="53"/>
      <c r="DGM56" s="53"/>
      <c r="DGN56" s="53"/>
      <c r="DGO56" s="53"/>
      <c r="DGP56" s="53"/>
      <c r="DGQ56" s="53"/>
      <c r="DGR56" s="53"/>
      <c r="DGS56" s="53"/>
      <c r="DGT56" s="53"/>
      <c r="DGU56" s="53"/>
      <c r="DGV56" s="53"/>
      <c r="DGW56" s="53"/>
      <c r="DGX56" s="53"/>
      <c r="DGY56" s="53"/>
      <c r="DGZ56" s="53"/>
      <c r="DHA56" s="53"/>
      <c r="DHB56" s="53"/>
      <c r="DHC56" s="53"/>
      <c r="DHD56" s="53"/>
      <c r="DHE56" s="53"/>
      <c r="DHF56" s="53"/>
      <c r="DHG56" s="53"/>
      <c r="DHH56" s="53"/>
      <c r="DHI56" s="53"/>
      <c r="DHJ56" s="53"/>
      <c r="DHK56" s="53"/>
      <c r="DHL56" s="53"/>
      <c r="DHM56" s="53"/>
      <c r="DHN56" s="53"/>
      <c r="DHO56" s="53"/>
      <c r="DHP56" s="53"/>
      <c r="DHQ56" s="53"/>
      <c r="DHR56" s="53"/>
      <c r="DHS56" s="53"/>
      <c r="DHT56" s="53"/>
      <c r="DHU56" s="53"/>
      <c r="DHV56" s="53"/>
      <c r="DHW56" s="53"/>
      <c r="DHX56" s="53"/>
      <c r="DHY56" s="53"/>
      <c r="DHZ56" s="53"/>
      <c r="DIA56" s="53"/>
      <c r="DIB56" s="53"/>
      <c r="DIC56" s="53"/>
      <c r="DID56" s="53"/>
      <c r="DIE56" s="53"/>
      <c r="DIF56" s="53"/>
      <c r="DIG56" s="53"/>
      <c r="DIH56" s="53"/>
      <c r="DII56" s="53"/>
      <c r="DIJ56" s="53"/>
      <c r="DIK56" s="53"/>
      <c r="DIL56" s="53"/>
      <c r="DIM56" s="53"/>
      <c r="DIN56" s="53"/>
      <c r="DIO56" s="53"/>
      <c r="DIP56" s="53"/>
      <c r="DIQ56" s="53"/>
      <c r="DIR56" s="53"/>
      <c r="DIS56" s="53"/>
      <c r="DIT56" s="53"/>
      <c r="DIU56" s="53"/>
      <c r="DIV56" s="53"/>
      <c r="DIW56" s="53"/>
      <c r="DIX56" s="53"/>
      <c r="DIY56" s="53"/>
      <c r="DIZ56" s="53"/>
      <c r="DJA56" s="53"/>
      <c r="DJB56" s="53"/>
      <c r="DJC56" s="53"/>
      <c r="DJD56" s="53"/>
      <c r="DJE56" s="53"/>
      <c r="DJF56" s="53"/>
      <c r="DJG56" s="53"/>
      <c r="DJH56" s="53"/>
      <c r="DJI56" s="53"/>
      <c r="DJJ56" s="53"/>
      <c r="DJK56" s="53"/>
      <c r="DJL56" s="53"/>
      <c r="DJM56" s="53"/>
      <c r="DJN56" s="53"/>
      <c r="DJO56" s="53"/>
      <c r="DJP56" s="53"/>
      <c r="DJQ56" s="53"/>
      <c r="DJR56" s="53"/>
      <c r="DJS56" s="53"/>
      <c r="DJT56" s="53"/>
      <c r="DJU56" s="53"/>
      <c r="DJV56" s="53"/>
      <c r="DJW56" s="53"/>
      <c r="DJX56" s="53"/>
      <c r="DJY56" s="53"/>
      <c r="DJZ56" s="53"/>
      <c r="DKA56" s="53"/>
      <c r="DKB56" s="53"/>
      <c r="DKC56" s="53"/>
      <c r="DKD56" s="53"/>
      <c r="DKE56" s="53"/>
      <c r="DKF56" s="53"/>
      <c r="DKG56" s="53"/>
      <c r="DKH56" s="53"/>
      <c r="DKI56" s="53"/>
      <c r="DKJ56" s="53"/>
      <c r="DKK56" s="53"/>
      <c r="DKL56" s="53"/>
      <c r="DKM56" s="53"/>
      <c r="DKN56" s="53"/>
      <c r="DKO56" s="53"/>
      <c r="DKP56" s="53"/>
      <c r="DKQ56" s="53"/>
      <c r="DKR56" s="53"/>
      <c r="DKS56" s="53"/>
      <c r="DKT56" s="53"/>
      <c r="DKU56" s="53"/>
      <c r="DKV56" s="53"/>
      <c r="DKW56" s="53"/>
      <c r="DKX56" s="53"/>
      <c r="DKY56" s="53"/>
      <c r="DKZ56" s="53"/>
      <c r="DLA56" s="53"/>
      <c r="DLB56" s="53"/>
      <c r="DLC56" s="53"/>
      <c r="DLD56" s="53"/>
      <c r="DLE56" s="53"/>
      <c r="DLF56" s="53"/>
      <c r="DLG56" s="53"/>
      <c r="DLH56" s="53"/>
      <c r="DLI56" s="53"/>
      <c r="DLJ56" s="53"/>
      <c r="DLK56" s="53"/>
      <c r="DLL56" s="53"/>
      <c r="DLM56" s="53"/>
      <c r="DLN56" s="53"/>
      <c r="DLO56" s="53"/>
      <c r="DLP56" s="53"/>
      <c r="DLQ56" s="53"/>
      <c r="DLR56" s="53"/>
      <c r="DLS56" s="53"/>
      <c r="DLT56" s="53"/>
      <c r="DLU56" s="53"/>
      <c r="DLV56" s="53"/>
      <c r="DLW56" s="53"/>
      <c r="DLX56" s="53"/>
      <c r="DLY56" s="53"/>
      <c r="DLZ56" s="53"/>
      <c r="DMA56" s="53"/>
      <c r="DMB56" s="53"/>
      <c r="DMC56" s="53"/>
      <c r="DMD56" s="53"/>
      <c r="DME56" s="53"/>
      <c r="DMF56" s="53"/>
      <c r="DMG56" s="53"/>
      <c r="DMH56" s="53"/>
      <c r="DMI56" s="53"/>
      <c r="DMJ56" s="53"/>
      <c r="DMK56" s="53"/>
      <c r="DML56" s="53"/>
      <c r="DMM56" s="53"/>
      <c r="DMN56" s="53"/>
      <c r="DMO56" s="53"/>
      <c r="DMP56" s="53"/>
      <c r="DMQ56" s="53"/>
      <c r="DMR56" s="53"/>
      <c r="DMS56" s="53"/>
      <c r="DMT56" s="53"/>
      <c r="DMU56" s="53"/>
      <c r="DMV56" s="53"/>
      <c r="DMW56" s="53"/>
      <c r="DMX56" s="53"/>
      <c r="DMY56" s="53"/>
      <c r="DMZ56" s="53"/>
      <c r="DNA56" s="53"/>
      <c r="DNB56" s="53"/>
      <c r="DNC56" s="53"/>
      <c r="DND56" s="53"/>
      <c r="DNE56" s="53"/>
      <c r="DNF56" s="53"/>
      <c r="DNG56" s="53"/>
      <c r="DNH56" s="53"/>
      <c r="DNI56" s="53"/>
      <c r="DNJ56" s="53"/>
      <c r="DNK56" s="53"/>
      <c r="DNL56" s="53"/>
      <c r="DNM56" s="53"/>
      <c r="DNN56" s="53"/>
      <c r="DNO56" s="53"/>
      <c r="DNP56" s="53"/>
      <c r="DNQ56" s="53"/>
      <c r="DNR56" s="53"/>
      <c r="DNS56" s="53"/>
      <c r="DNT56" s="53"/>
      <c r="DNU56" s="53"/>
      <c r="DNV56" s="53"/>
      <c r="DNW56" s="53"/>
      <c r="DNX56" s="53"/>
      <c r="DNY56" s="53"/>
      <c r="DNZ56" s="53"/>
      <c r="DOA56" s="53"/>
      <c r="DOB56" s="53"/>
      <c r="DOC56" s="53"/>
      <c r="DOD56" s="53"/>
      <c r="DOE56" s="53"/>
      <c r="DOF56" s="53"/>
      <c r="DOG56" s="53"/>
      <c r="DOH56" s="53"/>
      <c r="DOI56" s="53"/>
      <c r="DOJ56" s="53"/>
      <c r="DOK56" s="53"/>
      <c r="DOL56" s="53"/>
      <c r="DOM56" s="53"/>
      <c r="DON56" s="53"/>
      <c r="DOO56" s="53"/>
      <c r="DOP56" s="53"/>
      <c r="DOQ56" s="53"/>
      <c r="DOR56" s="53"/>
      <c r="DOS56" s="53"/>
      <c r="DOT56" s="53"/>
      <c r="DOU56" s="53"/>
      <c r="DOV56" s="53"/>
      <c r="DOW56" s="53"/>
      <c r="DOX56" s="53"/>
      <c r="DOY56" s="53"/>
      <c r="DOZ56" s="53"/>
      <c r="DPA56" s="53"/>
      <c r="DPB56" s="53"/>
      <c r="DPC56" s="53"/>
      <c r="DPD56" s="53"/>
      <c r="DPE56" s="53"/>
      <c r="DPF56" s="53"/>
      <c r="DPG56" s="53"/>
      <c r="DPH56" s="53"/>
      <c r="DPI56" s="53"/>
      <c r="DPJ56" s="53"/>
      <c r="DPK56" s="53"/>
      <c r="DPL56" s="53"/>
      <c r="DPM56" s="53"/>
      <c r="DPN56" s="53"/>
      <c r="DPO56" s="53"/>
      <c r="DPP56" s="53"/>
      <c r="DPQ56" s="53"/>
      <c r="DPR56" s="53"/>
      <c r="DPS56" s="53"/>
      <c r="DPT56" s="53"/>
      <c r="DPU56" s="53"/>
      <c r="DPV56" s="53"/>
      <c r="DPW56" s="53"/>
      <c r="DPX56" s="53"/>
      <c r="DPY56" s="53"/>
      <c r="DPZ56" s="53"/>
      <c r="DQA56" s="53"/>
      <c r="DQB56" s="53"/>
      <c r="DQC56" s="53"/>
      <c r="DQD56" s="53"/>
      <c r="DQE56" s="53"/>
      <c r="DQF56" s="53"/>
      <c r="DQG56" s="53"/>
      <c r="DQH56" s="53"/>
      <c r="DQI56" s="53"/>
      <c r="DQJ56" s="53"/>
      <c r="DQK56" s="53"/>
      <c r="DQL56" s="53"/>
      <c r="DQM56" s="53"/>
      <c r="DQN56" s="53"/>
      <c r="DQO56" s="53"/>
      <c r="DQP56" s="53"/>
      <c r="DQQ56" s="53"/>
      <c r="DQR56" s="53"/>
      <c r="DQS56" s="53"/>
      <c r="DQT56" s="53"/>
      <c r="DQU56" s="53"/>
      <c r="DQV56" s="53"/>
      <c r="DQW56" s="53"/>
      <c r="DQX56" s="53"/>
      <c r="DQY56" s="53"/>
      <c r="DQZ56" s="53"/>
      <c r="DRA56" s="53"/>
      <c r="DRB56" s="53"/>
      <c r="DRC56" s="53"/>
      <c r="DRD56" s="53"/>
      <c r="DRE56" s="53"/>
      <c r="DRF56" s="53"/>
      <c r="DRG56" s="53"/>
      <c r="DRH56" s="53"/>
      <c r="DRI56" s="53"/>
      <c r="DRJ56" s="53"/>
      <c r="DRK56" s="53"/>
      <c r="DRL56" s="53"/>
      <c r="DRM56" s="53"/>
      <c r="DRN56" s="53"/>
      <c r="DRO56" s="53"/>
      <c r="DRP56" s="53"/>
      <c r="DRQ56" s="53"/>
      <c r="DRR56" s="53"/>
      <c r="DRS56" s="53"/>
      <c r="DRT56" s="53"/>
      <c r="DRU56" s="53"/>
      <c r="DRV56" s="53"/>
      <c r="DRW56" s="53"/>
      <c r="DRX56" s="53"/>
      <c r="DRY56" s="53"/>
      <c r="DRZ56" s="53"/>
      <c r="DSA56" s="53"/>
      <c r="DSB56" s="53"/>
      <c r="DSC56" s="53"/>
      <c r="DSD56" s="53"/>
      <c r="DSE56" s="53"/>
      <c r="DSF56" s="53"/>
      <c r="DSG56" s="53"/>
      <c r="DSH56" s="53"/>
      <c r="DSI56" s="53"/>
      <c r="DSJ56" s="53"/>
      <c r="DSK56" s="53"/>
      <c r="DSL56" s="53"/>
      <c r="DSM56" s="53"/>
      <c r="DSN56" s="53"/>
      <c r="DSO56" s="53"/>
      <c r="DSP56" s="53"/>
      <c r="DSQ56" s="53"/>
      <c r="DSR56" s="53"/>
      <c r="DSS56" s="53"/>
      <c r="DST56" s="53"/>
      <c r="DSU56" s="53"/>
      <c r="DSV56" s="53"/>
      <c r="DSW56" s="53"/>
      <c r="DSX56" s="53"/>
      <c r="DSY56" s="53"/>
      <c r="DSZ56" s="53"/>
      <c r="DTA56" s="53"/>
      <c r="DTB56" s="53"/>
      <c r="DTC56" s="53"/>
      <c r="DTD56" s="53"/>
      <c r="DTE56" s="53"/>
      <c r="DTF56" s="53"/>
      <c r="DTG56" s="53"/>
      <c r="DTH56" s="53"/>
      <c r="DTI56" s="53"/>
      <c r="DTJ56" s="53"/>
      <c r="DTK56" s="53"/>
      <c r="DTL56" s="53"/>
      <c r="DTM56" s="53"/>
      <c r="DTN56" s="53"/>
      <c r="DTO56" s="53"/>
      <c r="DTP56" s="53"/>
      <c r="DTQ56" s="53"/>
      <c r="DTR56" s="53"/>
      <c r="DTS56" s="53"/>
      <c r="DTT56" s="53"/>
      <c r="DTU56" s="53"/>
      <c r="DTV56" s="53"/>
      <c r="DTW56" s="53"/>
      <c r="DTX56" s="53"/>
      <c r="DTY56" s="53"/>
      <c r="DTZ56" s="53"/>
      <c r="DUA56" s="53"/>
      <c r="DUB56" s="53"/>
      <c r="DUC56" s="53"/>
      <c r="DUD56" s="53"/>
      <c r="DUE56" s="53"/>
      <c r="DUF56" s="53"/>
      <c r="DUG56" s="53"/>
      <c r="DUH56" s="53"/>
      <c r="DUI56" s="53"/>
      <c r="DUJ56" s="53"/>
      <c r="DUK56" s="53"/>
      <c r="DUL56" s="53"/>
      <c r="DUM56" s="53"/>
      <c r="DUN56" s="53"/>
      <c r="DUO56" s="53"/>
      <c r="DUP56" s="53"/>
      <c r="DUQ56" s="53"/>
      <c r="DUR56" s="53"/>
      <c r="DUS56" s="53"/>
      <c r="DUT56" s="53"/>
      <c r="DUU56" s="53"/>
      <c r="DUV56" s="53"/>
      <c r="DUW56" s="53"/>
      <c r="DUX56" s="53"/>
      <c r="DUY56" s="53"/>
      <c r="DUZ56" s="53"/>
      <c r="DVA56" s="53"/>
      <c r="DVB56" s="53"/>
      <c r="DVC56" s="53"/>
      <c r="DVD56" s="53"/>
      <c r="DVE56" s="53"/>
      <c r="DVF56" s="53"/>
      <c r="DVG56" s="53"/>
      <c r="DVH56" s="53"/>
      <c r="DVI56" s="53"/>
      <c r="DVJ56" s="53"/>
      <c r="DVK56" s="53"/>
      <c r="DVL56" s="53"/>
      <c r="DVM56" s="53"/>
      <c r="DVN56" s="53"/>
      <c r="DVO56" s="53"/>
      <c r="DVP56" s="53"/>
      <c r="DVQ56" s="53"/>
      <c r="DVR56" s="53"/>
      <c r="DVS56" s="53"/>
      <c r="DVT56" s="53"/>
      <c r="DVU56" s="53"/>
      <c r="DVV56" s="53"/>
      <c r="DVW56" s="53"/>
      <c r="DVX56" s="53"/>
      <c r="DVY56" s="53"/>
      <c r="DVZ56" s="53"/>
      <c r="DWA56" s="53"/>
      <c r="DWB56" s="53"/>
      <c r="DWC56" s="53"/>
      <c r="DWD56" s="53"/>
      <c r="DWE56" s="53"/>
      <c r="DWF56" s="53"/>
      <c r="DWG56" s="53"/>
      <c r="DWH56" s="53"/>
      <c r="DWI56" s="53"/>
      <c r="DWJ56" s="53"/>
      <c r="DWK56" s="53"/>
      <c r="DWL56" s="53"/>
      <c r="DWM56" s="53"/>
      <c r="DWN56" s="53"/>
      <c r="DWO56" s="53"/>
      <c r="DWP56" s="53"/>
      <c r="DWQ56" s="53"/>
      <c r="DWR56" s="53"/>
      <c r="DWS56" s="53"/>
      <c r="DWT56" s="53"/>
      <c r="DWU56" s="53"/>
      <c r="DWV56" s="53"/>
      <c r="DWW56" s="53"/>
      <c r="DWX56" s="53"/>
      <c r="DWY56" s="53"/>
      <c r="DWZ56" s="53"/>
      <c r="DXA56" s="53"/>
      <c r="DXB56" s="53"/>
      <c r="DXC56" s="53"/>
      <c r="DXD56" s="53"/>
      <c r="DXE56" s="53"/>
      <c r="DXF56" s="53"/>
      <c r="DXG56" s="53"/>
      <c r="DXH56" s="53"/>
      <c r="DXI56" s="53"/>
      <c r="DXJ56" s="53"/>
      <c r="DXK56" s="53"/>
      <c r="DXL56" s="53"/>
      <c r="DXM56" s="53"/>
      <c r="DXN56" s="53"/>
      <c r="DXO56" s="53"/>
      <c r="DXP56" s="53"/>
      <c r="DXQ56" s="53"/>
      <c r="DXR56" s="53"/>
      <c r="DXS56" s="53"/>
      <c r="DXT56" s="53"/>
      <c r="DXU56" s="53"/>
      <c r="DXV56" s="53"/>
      <c r="DXW56" s="53"/>
      <c r="DXX56" s="53"/>
      <c r="DXY56" s="53"/>
      <c r="DXZ56" s="53"/>
      <c r="DYA56" s="53"/>
      <c r="DYB56" s="53"/>
      <c r="DYC56" s="53"/>
      <c r="DYD56" s="53"/>
      <c r="DYE56" s="53"/>
      <c r="DYF56" s="53"/>
      <c r="DYG56" s="53"/>
      <c r="DYH56" s="53"/>
      <c r="DYI56" s="53"/>
      <c r="DYJ56" s="53"/>
      <c r="DYK56" s="53"/>
      <c r="DYL56" s="53"/>
      <c r="DYM56" s="53"/>
      <c r="DYN56" s="53"/>
      <c r="DYO56" s="53"/>
      <c r="DYP56" s="53"/>
      <c r="DYQ56" s="53"/>
      <c r="DYR56" s="53"/>
      <c r="DYS56" s="53"/>
      <c r="DYT56" s="53"/>
      <c r="DYU56" s="53"/>
      <c r="DYV56" s="53"/>
      <c r="DYW56" s="53"/>
      <c r="DYX56" s="53"/>
      <c r="DYY56" s="53"/>
      <c r="DYZ56" s="53"/>
      <c r="DZA56" s="53"/>
      <c r="DZB56" s="53"/>
      <c r="DZC56" s="53"/>
      <c r="DZD56" s="53"/>
      <c r="DZE56" s="53"/>
      <c r="DZF56" s="53"/>
      <c r="DZG56" s="53"/>
      <c r="DZH56" s="53"/>
      <c r="DZI56" s="53"/>
      <c r="DZJ56" s="53"/>
      <c r="DZK56" s="53"/>
      <c r="DZL56" s="53"/>
      <c r="DZM56" s="53"/>
      <c r="DZN56" s="53"/>
      <c r="DZO56" s="53"/>
      <c r="DZP56" s="53"/>
      <c r="DZQ56" s="53"/>
      <c r="DZR56" s="53"/>
      <c r="DZS56" s="53"/>
      <c r="DZT56" s="53"/>
      <c r="DZU56" s="53"/>
      <c r="DZV56" s="53"/>
      <c r="DZW56" s="53"/>
      <c r="DZX56" s="53"/>
      <c r="DZY56" s="53"/>
      <c r="DZZ56" s="53"/>
      <c r="EAA56" s="53"/>
      <c r="EAB56" s="53"/>
      <c r="EAC56" s="53"/>
      <c r="EAD56" s="53"/>
      <c r="EAE56" s="53"/>
      <c r="EAF56" s="53"/>
      <c r="EAG56" s="53"/>
      <c r="EAH56" s="53"/>
      <c r="EAI56" s="53"/>
      <c r="EAJ56" s="53"/>
      <c r="EAK56" s="53"/>
      <c r="EAL56" s="53"/>
      <c r="EAM56" s="53"/>
      <c r="EAN56" s="53"/>
      <c r="EAO56" s="53"/>
      <c r="EAP56" s="53"/>
      <c r="EAQ56" s="53"/>
      <c r="EAR56" s="53"/>
      <c r="EAS56" s="53"/>
      <c r="EAT56" s="53"/>
      <c r="EAU56" s="53"/>
      <c r="EAV56" s="53"/>
      <c r="EAW56" s="53"/>
      <c r="EAX56" s="53"/>
      <c r="EAY56" s="53"/>
      <c r="EAZ56" s="53"/>
      <c r="EBA56" s="53"/>
      <c r="EBB56" s="53"/>
      <c r="EBC56" s="53"/>
      <c r="EBD56" s="53"/>
      <c r="EBE56" s="53"/>
      <c r="EBF56" s="53"/>
      <c r="EBG56" s="53"/>
      <c r="EBH56" s="53"/>
      <c r="EBI56" s="53"/>
      <c r="EBJ56" s="53"/>
      <c r="EBK56" s="53"/>
      <c r="EBL56" s="53"/>
      <c r="EBM56" s="53"/>
      <c r="EBN56" s="53"/>
      <c r="EBO56" s="53"/>
      <c r="EBP56" s="53"/>
      <c r="EBQ56" s="53"/>
      <c r="EBR56" s="53"/>
      <c r="EBS56" s="53"/>
      <c r="EBT56" s="53"/>
      <c r="EBU56" s="53"/>
      <c r="EBV56" s="53"/>
      <c r="EBW56" s="53"/>
      <c r="EBX56" s="53"/>
      <c r="EBY56" s="53"/>
      <c r="EBZ56" s="53"/>
      <c r="ECA56" s="53"/>
      <c r="ECB56" s="53"/>
      <c r="ECC56" s="53"/>
      <c r="ECD56" s="53"/>
      <c r="ECE56" s="53"/>
      <c r="ECF56" s="53"/>
      <c r="ECG56" s="53"/>
      <c r="ECH56" s="53"/>
      <c r="ECI56" s="53"/>
      <c r="ECJ56" s="53"/>
      <c r="ECK56" s="53"/>
      <c r="ECL56" s="53"/>
      <c r="ECM56" s="53"/>
      <c r="ECN56" s="53"/>
      <c r="ECO56" s="53"/>
      <c r="ECP56" s="53"/>
      <c r="ECQ56" s="53"/>
      <c r="ECR56" s="53"/>
      <c r="ECS56" s="53"/>
      <c r="ECT56" s="53"/>
      <c r="ECU56" s="53"/>
      <c r="ECV56" s="53"/>
      <c r="ECW56" s="53"/>
      <c r="ECX56" s="53"/>
      <c r="ECY56" s="53"/>
      <c r="ECZ56" s="53"/>
      <c r="EDA56" s="53"/>
      <c r="EDB56" s="53"/>
      <c r="EDC56" s="53"/>
      <c r="EDD56" s="53"/>
      <c r="EDE56" s="53"/>
      <c r="EDF56" s="53"/>
      <c r="EDG56" s="53"/>
      <c r="EDH56" s="53"/>
      <c r="EDI56" s="53"/>
      <c r="EDJ56" s="53"/>
      <c r="EDK56" s="53"/>
      <c r="EDL56" s="53"/>
      <c r="EDM56" s="53"/>
      <c r="EDN56" s="53"/>
      <c r="EDO56" s="53"/>
      <c r="EDP56" s="53"/>
      <c r="EDQ56" s="53"/>
      <c r="EDR56" s="53"/>
      <c r="EDS56" s="53"/>
      <c r="EDT56" s="53"/>
      <c r="EDU56" s="53"/>
      <c r="EDV56" s="53"/>
      <c r="EDW56" s="53"/>
      <c r="EDX56" s="53"/>
      <c r="EDY56" s="53"/>
      <c r="EDZ56" s="53"/>
      <c r="EEA56" s="53"/>
      <c r="EEB56" s="53"/>
      <c r="EEC56" s="53"/>
      <c r="EED56" s="53"/>
      <c r="EEE56" s="53"/>
      <c r="EEF56" s="53"/>
      <c r="EEG56" s="53"/>
      <c r="EEH56" s="53"/>
      <c r="EEI56" s="53"/>
      <c r="EEJ56" s="53"/>
      <c r="EEK56" s="53"/>
      <c r="EEL56" s="53"/>
      <c r="EEM56" s="53"/>
      <c r="EEN56" s="53"/>
      <c r="EEO56" s="53"/>
      <c r="EEP56" s="53"/>
      <c r="EEQ56" s="53"/>
      <c r="EER56" s="53"/>
      <c r="EES56" s="53"/>
      <c r="EET56" s="53"/>
      <c r="EEU56" s="53"/>
      <c r="EEV56" s="53"/>
      <c r="EEW56" s="53"/>
      <c r="EEX56" s="53"/>
      <c r="EEY56" s="53"/>
      <c r="EEZ56" s="53"/>
      <c r="EFA56" s="53"/>
      <c r="EFB56" s="53"/>
      <c r="EFC56" s="53"/>
      <c r="EFD56" s="53"/>
      <c r="EFE56" s="53"/>
      <c r="EFF56" s="53"/>
      <c r="EFG56" s="53"/>
      <c r="EFH56" s="53"/>
      <c r="EFI56" s="53"/>
      <c r="EFJ56" s="53"/>
      <c r="EFK56" s="53"/>
      <c r="EFL56" s="53"/>
      <c r="EFM56" s="53"/>
      <c r="EFN56" s="53"/>
      <c r="EFO56" s="53"/>
      <c r="EFP56" s="53"/>
      <c r="EFQ56" s="53"/>
      <c r="EFR56" s="53"/>
      <c r="EFS56" s="53"/>
      <c r="EFT56" s="53"/>
      <c r="EFU56" s="53"/>
      <c r="EFV56" s="53"/>
      <c r="EFW56" s="53"/>
      <c r="EFX56" s="53"/>
      <c r="EFY56" s="53"/>
      <c r="EFZ56" s="53"/>
      <c r="EGA56" s="53"/>
      <c r="EGB56" s="53"/>
      <c r="EGC56" s="53"/>
      <c r="EGD56" s="53"/>
      <c r="EGE56" s="53"/>
      <c r="EGF56" s="53"/>
      <c r="EGG56" s="53"/>
      <c r="EGH56" s="53"/>
      <c r="EGI56" s="53"/>
      <c r="EGJ56" s="53"/>
      <c r="EGK56" s="53"/>
      <c r="EGL56" s="53"/>
      <c r="EGM56" s="53"/>
      <c r="EGN56" s="53"/>
      <c r="EGO56" s="53"/>
      <c r="EGP56" s="53"/>
      <c r="EGQ56" s="53"/>
      <c r="EGR56" s="53"/>
      <c r="EGS56" s="53"/>
      <c r="EGT56" s="53"/>
      <c r="EGU56" s="53"/>
      <c r="EGV56" s="53"/>
      <c r="EGW56" s="53"/>
      <c r="EGX56" s="53"/>
      <c r="EGY56" s="53"/>
      <c r="EGZ56" s="53"/>
      <c r="EHA56" s="53"/>
      <c r="EHB56" s="53"/>
      <c r="EHC56" s="53"/>
      <c r="EHD56" s="53"/>
      <c r="EHE56" s="53"/>
      <c r="EHF56" s="53"/>
      <c r="EHG56" s="53"/>
      <c r="EHH56" s="53"/>
      <c r="EHI56" s="53"/>
      <c r="EHJ56" s="53"/>
      <c r="EHK56" s="53"/>
      <c r="EHL56" s="53"/>
      <c r="EHM56" s="53"/>
      <c r="EHN56" s="53"/>
      <c r="EHO56" s="53"/>
      <c r="EHP56" s="53"/>
      <c r="EHQ56" s="53"/>
      <c r="EHR56" s="53"/>
      <c r="EHS56" s="53"/>
      <c r="EHT56" s="53"/>
      <c r="EHU56" s="53"/>
      <c r="EHV56" s="53"/>
      <c r="EHW56" s="53"/>
      <c r="EHX56" s="53"/>
      <c r="EHY56" s="53"/>
      <c r="EHZ56" s="53"/>
      <c r="EIA56" s="53"/>
      <c r="EIB56" s="53"/>
      <c r="EIC56" s="53"/>
      <c r="EID56" s="53"/>
      <c r="EIE56" s="53"/>
      <c r="EIF56" s="53"/>
      <c r="EIG56" s="53"/>
      <c r="EIH56" s="53"/>
      <c r="EII56" s="53"/>
      <c r="EIJ56" s="53"/>
      <c r="EIK56" s="53"/>
      <c r="EIL56" s="53"/>
      <c r="EIM56" s="53"/>
      <c r="EIN56" s="53"/>
      <c r="EIO56" s="53"/>
      <c r="EIP56" s="53"/>
      <c r="EIQ56" s="53"/>
      <c r="EIR56" s="53"/>
      <c r="EIS56" s="53"/>
      <c r="EIT56" s="53"/>
      <c r="EIU56" s="53"/>
      <c r="EIV56" s="53"/>
      <c r="EIW56" s="53"/>
      <c r="EIX56" s="53"/>
      <c r="EIY56" s="53"/>
      <c r="EIZ56" s="53"/>
      <c r="EJA56" s="53"/>
      <c r="EJB56" s="53"/>
      <c r="EJC56" s="53"/>
      <c r="EJD56" s="53"/>
      <c r="EJE56" s="53"/>
      <c r="EJF56" s="53"/>
      <c r="EJG56" s="53"/>
      <c r="EJH56" s="53"/>
      <c r="EJI56" s="53"/>
      <c r="EJJ56" s="53"/>
      <c r="EJK56" s="53"/>
      <c r="EJL56" s="53"/>
      <c r="EJM56" s="53"/>
      <c r="EJN56" s="53"/>
      <c r="EJO56" s="53"/>
      <c r="EJP56" s="53"/>
      <c r="EJQ56" s="53"/>
      <c r="EJR56" s="53"/>
      <c r="EJS56" s="53"/>
      <c r="EJT56" s="53"/>
      <c r="EJU56" s="53"/>
      <c r="EJV56" s="53"/>
      <c r="EJW56" s="53"/>
      <c r="EJX56" s="53"/>
      <c r="EJY56" s="53"/>
      <c r="EJZ56" s="53"/>
      <c r="EKA56" s="53"/>
      <c r="EKB56" s="53"/>
      <c r="EKC56" s="53"/>
      <c r="EKD56" s="53"/>
      <c r="EKE56" s="53"/>
      <c r="EKF56" s="53"/>
      <c r="EKG56" s="53"/>
      <c r="EKH56" s="53"/>
      <c r="EKI56" s="53"/>
      <c r="EKJ56" s="53"/>
      <c r="EKK56" s="53"/>
      <c r="EKL56" s="53"/>
      <c r="EKM56" s="53"/>
      <c r="EKN56" s="53"/>
      <c r="EKO56" s="53"/>
      <c r="EKP56" s="53"/>
      <c r="EKQ56" s="53"/>
      <c r="EKR56" s="53"/>
      <c r="EKS56" s="53"/>
      <c r="EKT56" s="53"/>
      <c r="EKU56" s="53"/>
      <c r="EKV56" s="53"/>
      <c r="EKW56" s="53"/>
      <c r="EKX56" s="53"/>
      <c r="EKY56" s="53"/>
      <c r="EKZ56" s="53"/>
      <c r="ELA56" s="53"/>
      <c r="ELB56" s="53"/>
      <c r="ELC56" s="53"/>
      <c r="ELD56" s="53"/>
      <c r="ELE56" s="53"/>
      <c r="ELF56" s="53"/>
      <c r="ELG56" s="53"/>
      <c r="ELH56" s="53"/>
      <c r="ELI56" s="53"/>
      <c r="ELJ56" s="53"/>
      <c r="ELK56" s="53"/>
      <c r="ELL56" s="53"/>
      <c r="ELM56" s="53"/>
      <c r="ELN56" s="53"/>
      <c r="ELO56" s="53"/>
      <c r="ELP56" s="53"/>
      <c r="ELQ56" s="53"/>
      <c r="ELR56" s="53"/>
      <c r="ELS56" s="53"/>
      <c r="ELT56" s="53"/>
      <c r="ELU56" s="53"/>
      <c r="ELV56" s="53"/>
      <c r="ELW56" s="53"/>
      <c r="ELX56" s="53"/>
      <c r="ELY56" s="53"/>
      <c r="ELZ56" s="53"/>
      <c r="EMA56" s="53"/>
      <c r="EMB56" s="53"/>
      <c r="EMC56" s="53"/>
      <c r="EMD56" s="53"/>
      <c r="EME56" s="53"/>
      <c r="EMF56" s="53"/>
      <c r="EMG56" s="53"/>
      <c r="EMH56" s="53"/>
      <c r="EMI56" s="53"/>
      <c r="EMJ56" s="53"/>
      <c r="EMK56" s="53"/>
      <c r="EML56" s="53"/>
      <c r="EMM56" s="53"/>
      <c r="EMN56" s="53"/>
      <c r="EMO56" s="53"/>
      <c r="EMP56" s="53"/>
      <c r="EMQ56" s="53"/>
      <c r="EMR56" s="53"/>
      <c r="EMS56" s="53"/>
      <c r="EMT56" s="53"/>
      <c r="EMU56" s="53"/>
      <c r="EMV56" s="53"/>
      <c r="EMW56" s="53"/>
      <c r="EMX56" s="53"/>
      <c r="EMY56" s="53"/>
      <c r="EMZ56" s="53"/>
      <c r="ENA56" s="53"/>
      <c r="ENB56" s="53"/>
      <c r="ENC56" s="53"/>
      <c r="END56" s="53"/>
      <c r="ENE56" s="53"/>
      <c r="ENF56" s="53"/>
      <c r="ENG56" s="53"/>
      <c r="ENH56" s="53"/>
      <c r="ENI56" s="53"/>
      <c r="ENJ56" s="53"/>
      <c r="ENK56" s="53"/>
      <c r="ENL56" s="53"/>
      <c r="ENM56" s="53"/>
      <c r="ENN56" s="53"/>
      <c r="ENO56" s="53"/>
      <c r="ENP56" s="53"/>
      <c r="ENQ56" s="53"/>
      <c r="ENR56" s="53"/>
      <c r="ENS56" s="53"/>
      <c r="ENT56" s="53"/>
      <c r="ENU56" s="53"/>
      <c r="ENV56" s="53"/>
      <c r="ENW56" s="53"/>
      <c r="ENX56" s="53"/>
      <c r="ENY56" s="53"/>
      <c r="ENZ56" s="53"/>
      <c r="EOA56" s="53"/>
      <c r="EOB56" s="53"/>
      <c r="EOC56" s="53"/>
      <c r="EOD56" s="53"/>
      <c r="EOE56" s="53"/>
      <c r="EOF56" s="53"/>
      <c r="EOG56" s="53"/>
      <c r="EOH56" s="53"/>
      <c r="EOI56" s="53"/>
      <c r="EOJ56" s="53"/>
      <c r="EOK56" s="53"/>
      <c r="EOL56" s="53"/>
      <c r="EOM56" s="53"/>
      <c r="EON56" s="53"/>
      <c r="EOO56" s="53"/>
      <c r="EOP56" s="53"/>
      <c r="EOQ56" s="53"/>
      <c r="EOR56" s="53"/>
      <c r="EOS56" s="53"/>
      <c r="EOT56" s="53"/>
      <c r="EOU56" s="53"/>
      <c r="EOV56" s="53"/>
      <c r="EOW56" s="53"/>
      <c r="EOX56" s="53"/>
      <c r="EOY56" s="53"/>
      <c r="EOZ56" s="53"/>
      <c r="EPA56" s="53"/>
      <c r="EPB56" s="53"/>
      <c r="EPC56" s="53"/>
      <c r="EPD56" s="53"/>
      <c r="EPE56" s="53"/>
      <c r="EPF56" s="53"/>
      <c r="EPG56" s="53"/>
      <c r="EPH56" s="53"/>
      <c r="EPI56" s="53"/>
      <c r="EPJ56" s="53"/>
      <c r="EPK56" s="53"/>
      <c r="EPL56" s="53"/>
      <c r="EPM56" s="53"/>
      <c r="EPN56" s="53"/>
      <c r="EPO56" s="53"/>
      <c r="EPP56" s="53"/>
      <c r="EPQ56" s="53"/>
      <c r="EPR56" s="53"/>
      <c r="EPS56" s="53"/>
      <c r="EPT56" s="53"/>
      <c r="EPU56" s="53"/>
      <c r="EPV56" s="53"/>
      <c r="EPW56" s="53"/>
      <c r="EPX56" s="53"/>
      <c r="EPY56" s="53"/>
      <c r="EPZ56" s="53"/>
      <c r="EQA56" s="53"/>
      <c r="EQB56" s="53"/>
      <c r="EQC56" s="53"/>
      <c r="EQD56" s="53"/>
      <c r="EQE56" s="53"/>
      <c r="EQF56" s="53"/>
      <c r="EQG56" s="53"/>
      <c r="EQH56" s="53"/>
      <c r="EQI56" s="53"/>
      <c r="EQJ56" s="53"/>
      <c r="EQK56" s="53"/>
      <c r="EQL56" s="53"/>
      <c r="EQM56" s="53"/>
      <c r="EQN56" s="53"/>
      <c r="EQO56" s="53"/>
      <c r="EQP56" s="53"/>
      <c r="EQQ56" s="53"/>
      <c r="EQR56" s="53"/>
      <c r="EQS56" s="53"/>
      <c r="EQT56" s="53"/>
      <c r="EQU56" s="53"/>
      <c r="EQV56" s="53"/>
      <c r="EQW56" s="53"/>
      <c r="EQX56" s="53"/>
      <c r="EQY56" s="53"/>
      <c r="EQZ56" s="53"/>
      <c r="ERA56" s="53"/>
      <c r="ERB56" s="53"/>
      <c r="ERC56" s="53"/>
      <c r="ERD56" s="53"/>
      <c r="ERE56" s="53"/>
      <c r="ERF56" s="53"/>
      <c r="ERG56" s="53"/>
      <c r="ERH56" s="53"/>
      <c r="ERI56" s="53"/>
      <c r="ERJ56" s="53"/>
      <c r="ERK56" s="53"/>
      <c r="ERL56" s="53"/>
      <c r="ERM56" s="53"/>
      <c r="ERN56" s="53"/>
      <c r="ERO56" s="53"/>
      <c r="ERP56" s="53"/>
      <c r="ERQ56" s="53"/>
      <c r="ERR56" s="53"/>
      <c r="ERS56" s="53"/>
      <c r="ERT56" s="53"/>
      <c r="ERU56" s="53"/>
      <c r="ERV56" s="53"/>
      <c r="ERW56" s="53"/>
      <c r="ERX56" s="53"/>
      <c r="ERY56" s="53"/>
      <c r="ERZ56" s="53"/>
      <c r="ESA56" s="53"/>
      <c r="ESB56" s="53"/>
      <c r="ESC56" s="53"/>
      <c r="ESD56" s="53"/>
      <c r="ESE56" s="53"/>
      <c r="ESF56" s="53"/>
      <c r="ESG56" s="53"/>
      <c r="ESH56" s="53"/>
      <c r="ESI56" s="53"/>
      <c r="ESJ56" s="53"/>
      <c r="ESK56" s="53"/>
      <c r="ESL56" s="53"/>
      <c r="ESM56" s="53"/>
      <c r="ESN56" s="53"/>
      <c r="ESO56" s="53"/>
      <c r="ESP56" s="53"/>
      <c r="ESQ56" s="53"/>
      <c r="ESR56" s="53"/>
      <c r="ESS56" s="53"/>
      <c r="EST56" s="53"/>
      <c r="ESU56" s="53"/>
      <c r="ESV56" s="53"/>
      <c r="ESW56" s="53"/>
      <c r="ESX56" s="53"/>
      <c r="ESY56" s="53"/>
      <c r="ESZ56" s="53"/>
      <c r="ETA56" s="53"/>
      <c r="ETB56" s="53"/>
      <c r="ETC56" s="53"/>
      <c r="ETD56" s="53"/>
      <c r="ETE56" s="53"/>
      <c r="ETF56" s="53"/>
      <c r="ETG56" s="53"/>
      <c r="ETH56" s="53"/>
      <c r="ETI56" s="53"/>
      <c r="ETJ56" s="53"/>
      <c r="ETK56" s="53"/>
      <c r="ETL56" s="53"/>
      <c r="ETM56" s="53"/>
      <c r="ETN56" s="53"/>
      <c r="ETO56" s="53"/>
      <c r="ETP56" s="53"/>
      <c r="ETQ56" s="53"/>
      <c r="ETR56" s="53"/>
      <c r="ETS56" s="53"/>
      <c r="ETT56" s="53"/>
      <c r="ETU56" s="53"/>
      <c r="ETV56" s="53"/>
      <c r="ETW56" s="53"/>
      <c r="ETX56" s="53"/>
      <c r="ETY56" s="53"/>
      <c r="ETZ56" s="53"/>
      <c r="EUA56" s="53"/>
      <c r="EUB56" s="53"/>
      <c r="EUC56" s="53"/>
      <c r="EUD56" s="53"/>
      <c r="EUE56" s="53"/>
      <c r="EUF56" s="53"/>
      <c r="EUG56" s="53"/>
      <c r="EUH56" s="53"/>
      <c r="EUI56" s="53"/>
      <c r="EUJ56" s="53"/>
      <c r="EUK56" s="53"/>
      <c r="EUL56" s="53"/>
      <c r="EUM56" s="53"/>
      <c r="EUN56" s="53"/>
      <c r="EUO56" s="53"/>
      <c r="EUP56" s="53"/>
      <c r="EUQ56" s="53"/>
      <c r="EUR56" s="53"/>
      <c r="EUS56" s="53"/>
      <c r="EUT56" s="53"/>
      <c r="EUU56" s="53"/>
      <c r="EUV56" s="53"/>
      <c r="EUW56" s="53"/>
      <c r="EUX56" s="53"/>
      <c r="EUY56" s="53"/>
      <c r="EUZ56" s="53"/>
      <c r="EVA56" s="53"/>
      <c r="EVB56" s="53"/>
      <c r="EVC56" s="53"/>
      <c r="EVD56" s="53"/>
      <c r="EVE56" s="53"/>
      <c r="EVF56" s="53"/>
      <c r="EVG56" s="53"/>
      <c r="EVH56" s="53"/>
      <c r="EVI56" s="53"/>
      <c r="EVJ56" s="53"/>
      <c r="EVK56" s="53"/>
      <c r="EVL56" s="53"/>
      <c r="EVM56" s="53"/>
      <c r="EVN56" s="53"/>
      <c r="EVO56" s="53"/>
      <c r="EVP56" s="53"/>
      <c r="EVQ56" s="53"/>
      <c r="EVR56" s="53"/>
      <c r="EVS56" s="53"/>
      <c r="EVT56" s="53"/>
      <c r="EVU56" s="53"/>
      <c r="EVV56" s="53"/>
      <c r="EVW56" s="53"/>
      <c r="EVX56" s="53"/>
      <c r="EVY56" s="53"/>
      <c r="EVZ56" s="53"/>
      <c r="EWA56" s="53"/>
      <c r="EWB56" s="53"/>
      <c r="EWC56" s="53"/>
      <c r="EWD56" s="53"/>
      <c r="EWE56" s="53"/>
      <c r="EWF56" s="53"/>
      <c r="EWG56" s="53"/>
      <c r="EWH56" s="53"/>
      <c r="EWI56" s="53"/>
      <c r="EWJ56" s="53"/>
      <c r="EWK56" s="53"/>
      <c r="EWL56" s="53"/>
      <c r="EWM56" s="53"/>
      <c r="EWN56" s="53"/>
      <c r="EWO56" s="53"/>
      <c r="EWP56" s="53"/>
      <c r="EWQ56" s="53"/>
      <c r="EWR56" s="53"/>
      <c r="EWS56" s="53"/>
      <c r="EWT56" s="53"/>
      <c r="EWU56" s="53"/>
      <c r="EWV56" s="53"/>
      <c r="EWW56" s="53"/>
      <c r="EWX56" s="53"/>
      <c r="EWY56" s="53"/>
      <c r="EWZ56" s="53"/>
      <c r="EXA56" s="53"/>
      <c r="EXB56" s="53"/>
      <c r="EXC56" s="53"/>
      <c r="EXD56" s="53"/>
      <c r="EXE56" s="53"/>
      <c r="EXF56" s="53"/>
      <c r="EXG56" s="53"/>
      <c r="EXH56" s="53"/>
      <c r="EXI56" s="53"/>
      <c r="EXJ56" s="53"/>
      <c r="EXK56" s="53"/>
      <c r="EXL56" s="53"/>
      <c r="EXM56" s="53"/>
      <c r="EXN56" s="53"/>
      <c r="EXO56" s="53"/>
      <c r="EXP56" s="53"/>
      <c r="EXQ56" s="53"/>
      <c r="EXR56" s="53"/>
      <c r="EXS56" s="53"/>
      <c r="EXT56" s="53"/>
      <c r="EXU56" s="53"/>
      <c r="EXV56" s="53"/>
      <c r="EXW56" s="53"/>
      <c r="EXX56" s="53"/>
      <c r="EXY56" s="53"/>
      <c r="EXZ56" s="53"/>
      <c r="EYA56" s="53"/>
      <c r="EYB56" s="53"/>
      <c r="EYC56" s="53"/>
      <c r="EYD56" s="53"/>
      <c r="EYE56" s="53"/>
      <c r="EYF56" s="53"/>
      <c r="EYG56" s="53"/>
      <c r="EYH56" s="53"/>
      <c r="EYI56" s="53"/>
      <c r="EYJ56" s="53"/>
      <c r="EYK56" s="53"/>
      <c r="EYL56" s="53"/>
      <c r="EYM56" s="53"/>
      <c r="EYN56" s="53"/>
      <c r="EYO56" s="53"/>
      <c r="EYP56" s="53"/>
      <c r="EYQ56" s="53"/>
      <c r="EYR56" s="53"/>
      <c r="EYS56" s="53"/>
      <c r="EYT56" s="53"/>
      <c r="EYU56" s="53"/>
      <c r="EYV56" s="53"/>
      <c r="EYW56" s="53"/>
      <c r="EYX56" s="53"/>
      <c r="EYY56" s="53"/>
      <c r="EYZ56" s="53"/>
      <c r="EZA56" s="53"/>
      <c r="EZB56" s="53"/>
      <c r="EZC56" s="53"/>
      <c r="EZD56" s="53"/>
      <c r="EZE56" s="53"/>
      <c r="EZF56" s="53"/>
      <c r="EZG56" s="53"/>
      <c r="EZH56" s="53"/>
      <c r="EZI56" s="53"/>
      <c r="EZJ56" s="53"/>
      <c r="EZK56" s="53"/>
      <c r="EZL56" s="53"/>
      <c r="EZM56" s="53"/>
      <c r="EZN56" s="53"/>
      <c r="EZO56" s="53"/>
      <c r="EZP56" s="53"/>
      <c r="EZQ56" s="53"/>
      <c r="EZR56" s="53"/>
      <c r="EZS56" s="53"/>
      <c r="EZT56" s="53"/>
      <c r="EZU56" s="53"/>
      <c r="EZV56" s="53"/>
      <c r="EZW56" s="53"/>
      <c r="EZX56" s="53"/>
      <c r="EZY56" s="53"/>
      <c r="EZZ56" s="53"/>
      <c r="FAA56" s="53"/>
      <c r="FAB56" s="53"/>
      <c r="FAC56" s="53"/>
      <c r="FAD56" s="53"/>
      <c r="FAE56" s="53"/>
      <c r="FAF56" s="53"/>
      <c r="FAG56" s="53"/>
      <c r="FAH56" s="53"/>
      <c r="FAI56" s="53"/>
      <c r="FAJ56" s="53"/>
      <c r="FAK56" s="53"/>
      <c r="FAL56" s="53"/>
      <c r="FAM56" s="53"/>
      <c r="FAN56" s="53"/>
      <c r="FAO56" s="53"/>
      <c r="FAP56" s="53"/>
      <c r="FAQ56" s="53"/>
      <c r="FAR56" s="53"/>
      <c r="FAS56" s="53"/>
      <c r="FAT56" s="53"/>
      <c r="FAU56" s="53"/>
      <c r="FAV56" s="53"/>
      <c r="FAW56" s="53"/>
      <c r="FAX56" s="53"/>
      <c r="FAY56" s="53"/>
      <c r="FAZ56" s="53"/>
      <c r="FBA56" s="53"/>
      <c r="FBB56" s="53"/>
      <c r="FBC56" s="53"/>
      <c r="FBD56" s="53"/>
      <c r="FBE56" s="53"/>
      <c r="FBF56" s="53"/>
      <c r="FBG56" s="53"/>
      <c r="FBH56" s="53"/>
      <c r="FBI56" s="53"/>
      <c r="FBJ56" s="53"/>
      <c r="FBK56" s="53"/>
      <c r="FBL56" s="53"/>
      <c r="FBM56" s="53"/>
      <c r="FBN56" s="53"/>
      <c r="FBO56" s="53"/>
      <c r="FBP56" s="53"/>
      <c r="FBQ56" s="53"/>
      <c r="FBR56" s="53"/>
      <c r="FBS56" s="53"/>
      <c r="FBT56" s="53"/>
      <c r="FBU56" s="53"/>
      <c r="FBV56" s="53"/>
      <c r="FBW56" s="53"/>
      <c r="FBX56" s="53"/>
      <c r="FBY56" s="53"/>
      <c r="FBZ56" s="53"/>
      <c r="FCA56" s="53"/>
      <c r="FCB56" s="53"/>
      <c r="FCC56" s="53"/>
      <c r="FCD56" s="53"/>
      <c r="FCE56" s="53"/>
      <c r="FCF56" s="53"/>
      <c r="FCG56" s="53"/>
      <c r="FCH56" s="53"/>
      <c r="FCI56" s="53"/>
      <c r="FCJ56" s="53"/>
      <c r="FCK56" s="53"/>
      <c r="FCL56" s="53"/>
      <c r="FCM56" s="53"/>
      <c r="FCN56" s="53"/>
      <c r="FCO56" s="53"/>
      <c r="FCP56" s="53"/>
      <c r="FCQ56" s="53"/>
      <c r="FCR56" s="53"/>
      <c r="FCS56" s="53"/>
      <c r="FCT56" s="53"/>
      <c r="FCU56" s="53"/>
      <c r="FCV56" s="53"/>
      <c r="FCW56" s="53"/>
      <c r="FCX56" s="53"/>
      <c r="FCY56" s="53"/>
      <c r="FCZ56" s="53"/>
      <c r="FDA56" s="53"/>
      <c r="FDB56" s="53"/>
      <c r="FDC56" s="53"/>
      <c r="FDD56" s="53"/>
      <c r="FDE56" s="53"/>
      <c r="FDF56" s="53"/>
      <c r="FDG56" s="53"/>
      <c r="FDH56" s="53"/>
      <c r="FDI56" s="53"/>
      <c r="FDJ56" s="53"/>
      <c r="FDK56" s="53"/>
      <c r="FDL56" s="53"/>
      <c r="FDM56" s="53"/>
      <c r="FDN56" s="53"/>
      <c r="FDO56" s="53"/>
      <c r="FDP56" s="53"/>
      <c r="FDQ56" s="53"/>
      <c r="FDR56" s="53"/>
      <c r="FDS56" s="53"/>
      <c r="FDT56" s="53"/>
      <c r="FDU56" s="53"/>
      <c r="FDV56" s="53"/>
      <c r="FDW56" s="53"/>
      <c r="FDX56" s="53"/>
      <c r="FDY56" s="53"/>
      <c r="FDZ56" s="53"/>
      <c r="FEA56" s="53"/>
      <c r="FEB56" s="53"/>
      <c r="FEC56" s="53"/>
      <c r="FED56" s="53"/>
      <c r="FEE56" s="53"/>
      <c r="FEF56" s="53"/>
      <c r="FEG56" s="53"/>
      <c r="FEH56" s="53"/>
      <c r="FEI56" s="53"/>
      <c r="FEJ56" s="53"/>
      <c r="FEK56" s="53"/>
      <c r="FEL56" s="53"/>
      <c r="FEM56" s="53"/>
      <c r="FEN56" s="53"/>
      <c r="FEO56" s="53"/>
      <c r="FEP56" s="53"/>
      <c r="FEQ56" s="53"/>
      <c r="FER56" s="53"/>
      <c r="FES56" s="53"/>
      <c r="FET56" s="53"/>
      <c r="FEU56" s="53"/>
      <c r="FEV56" s="53"/>
      <c r="FEW56" s="53"/>
      <c r="FEX56" s="53"/>
      <c r="FEY56" s="53"/>
      <c r="FEZ56" s="53"/>
      <c r="FFA56" s="53"/>
      <c r="FFB56" s="53"/>
      <c r="FFC56" s="53"/>
      <c r="FFD56" s="53"/>
      <c r="FFE56" s="53"/>
      <c r="FFF56" s="53"/>
      <c r="FFG56" s="53"/>
      <c r="FFH56" s="53"/>
      <c r="FFI56" s="53"/>
      <c r="FFJ56" s="53"/>
      <c r="FFK56" s="53"/>
      <c r="FFL56" s="53"/>
      <c r="FFM56" s="53"/>
      <c r="FFN56" s="53"/>
      <c r="FFO56" s="53"/>
      <c r="FFP56" s="53"/>
      <c r="FFQ56" s="53"/>
      <c r="FFR56" s="53"/>
      <c r="FFS56" s="53"/>
      <c r="FFT56" s="53"/>
      <c r="FFU56" s="53"/>
      <c r="FFV56" s="53"/>
      <c r="FFW56" s="53"/>
      <c r="FFX56" s="53"/>
      <c r="FFY56" s="53"/>
      <c r="FFZ56" s="53"/>
      <c r="FGA56" s="53"/>
      <c r="FGB56" s="53"/>
      <c r="FGC56" s="53"/>
      <c r="FGD56" s="53"/>
      <c r="FGE56" s="53"/>
      <c r="FGF56" s="53"/>
      <c r="FGG56" s="53"/>
      <c r="FGH56" s="53"/>
      <c r="FGI56" s="53"/>
      <c r="FGJ56" s="53"/>
      <c r="FGK56" s="53"/>
      <c r="FGL56" s="53"/>
      <c r="FGM56" s="53"/>
      <c r="FGN56" s="53"/>
      <c r="FGO56" s="53"/>
      <c r="FGP56" s="53"/>
      <c r="FGQ56" s="53"/>
      <c r="FGR56" s="53"/>
      <c r="FGS56" s="53"/>
      <c r="FGT56" s="53"/>
      <c r="FGU56" s="53"/>
      <c r="FGV56" s="53"/>
      <c r="FGW56" s="53"/>
      <c r="FGX56" s="53"/>
      <c r="FGY56" s="53"/>
      <c r="FGZ56" s="53"/>
      <c r="FHA56" s="53"/>
      <c r="FHB56" s="53"/>
      <c r="FHC56" s="53"/>
      <c r="FHD56" s="53"/>
      <c r="FHE56" s="53"/>
      <c r="FHF56" s="53"/>
      <c r="FHG56" s="53"/>
      <c r="FHH56" s="53"/>
      <c r="FHI56" s="53"/>
      <c r="FHJ56" s="53"/>
      <c r="FHK56" s="53"/>
      <c r="FHL56" s="53"/>
      <c r="FHM56" s="53"/>
      <c r="FHN56" s="53"/>
      <c r="FHO56" s="53"/>
      <c r="FHP56" s="53"/>
      <c r="FHQ56" s="53"/>
      <c r="FHR56" s="53"/>
      <c r="FHS56" s="53"/>
      <c r="FHT56" s="53"/>
      <c r="FHU56" s="53"/>
      <c r="FHV56" s="53"/>
      <c r="FHW56" s="53"/>
      <c r="FHX56" s="53"/>
      <c r="FHY56" s="53"/>
      <c r="FHZ56" s="53"/>
      <c r="FIA56" s="53"/>
      <c r="FIB56" s="53"/>
      <c r="FIC56" s="53"/>
      <c r="FID56" s="53"/>
      <c r="FIE56" s="53"/>
      <c r="FIF56" s="53"/>
      <c r="FIG56" s="53"/>
      <c r="FIH56" s="53"/>
      <c r="FII56" s="53"/>
      <c r="FIJ56" s="53"/>
      <c r="FIK56" s="53"/>
      <c r="FIL56" s="53"/>
      <c r="FIM56" s="53"/>
      <c r="FIN56" s="53"/>
      <c r="FIO56" s="53"/>
      <c r="FIP56" s="53"/>
      <c r="FIQ56" s="53"/>
      <c r="FIR56" s="53"/>
      <c r="FIS56" s="53"/>
      <c r="FIT56" s="53"/>
      <c r="FIU56" s="53"/>
      <c r="FIV56" s="53"/>
      <c r="FIW56" s="53"/>
      <c r="FIX56" s="53"/>
      <c r="FIY56" s="53"/>
      <c r="FIZ56" s="53"/>
      <c r="FJA56" s="53"/>
      <c r="FJB56" s="53"/>
      <c r="FJC56" s="53"/>
      <c r="FJD56" s="53"/>
      <c r="FJE56" s="53"/>
      <c r="FJF56" s="53"/>
      <c r="FJG56" s="53"/>
      <c r="FJH56" s="53"/>
      <c r="FJI56" s="53"/>
      <c r="FJJ56" s="53"/>
      <c r="FJK56" s="53"/>
      <c r="FJL56" s="53"/>
      <c r="FJM56" s="53"/>
      <c r="FJN56" s="53"/>
      <c r="FJO56" s="53"/>
      <c r="FJP56" s="53"/>
      <c r="FJQ56" s="53"/>
      <c r="FJR56" s="53"/>
      <c r="FJS56" s="53"/>
      <c r="FJT56" s="53"/>
      <c r="FJU56" s="53"/>
      <c r="FJV56" s="53"/>
      <c r="FJW56" s="53"/>
      <c r="FJX56" s="53"/>
      <c r="FJY56" s="53"/>
      <c r="FJZ56" s="53"/>
      <c r="FKA56" s="53"/>
      <c r="FKB56" s="53"/>
      <c r="FKC56" s="53"/>
      <c r="FKD56" s="53"/>
      <c r="FKE56" s="53"/>
      <c r="FKF56" s="53"/>
      <c r="FKG56" s="53"/>
      <c r="FKH56" s="53"/>
      <c r="FKI56" s="53"/>
      <c r="FKJ56" s="53"/>
      <c r="FKK56" s="53"/>
      <c r="FKL56" s="53"/>
      <c r="FKM56" s="53"/>
      <c r="FKN56" s="53"/>
      <c r="FKO56" s="53"/>
      <c r="FKP56" s="53"/>
      <c r="FKQ56" s="53"/>
      <c r="FKR56" s="53"/>
      <c r="FKS56" s="53"/>
      <c r="FKT56" s="53"/>
      <c r="FKU56" s="53"/>
      <c r="FKV56" s="53"/>
      <c r="FKW56" s="53"/>
      <c r="FKX56" s="53"/>
      <c r="FKY56" s="53"/>
      <c r="FKZ56" s="53"/>
      <c r="FLA56" s="53"/>
      <c r="FLB56" s="53"/>
      <c r="FLC56" s="53"/>
      <c r="FLD56" s="53"/>
      <c r="FLE56" s="53"/>
      <c r="FLF56" s="53"/>
      <c r="FLG56" s="53"/>
      <c r="FLH56" s="53"/>
      <c r="FLI56" s="53"/>
      <c r="FLJ56" s="53"/>
      <c r="FLK56" s="53"/>
      <c r="FLL56" s="53"/>
      <c r="FLM56" s="53"/>
      <c r="FLN56" s="53"/>
      <c r="FLO56" s="53"/>
      <c r="FLP56" s="53"/>
      <c r="FLQ56" s="53"/>
      <c r="FLR56" s="53"/>
      <c r="FLS56" s="53"/>
      <c r="FLT56" s="53"/>
      <c r="FLU56" s="53"/>
      <c r="FLV56" s="53"/>
      <c r="FLW56" s="53"/>
      <c r="FLX56" s="53"/>
      <c r="FLY56" s="53"/>
      <c r="FLZ56" s="53"/>
      <c r="FMA56" s="53"/>
      <c r="FMB56" s="53"/>
      <c r="FMC56" s="53"/>
      <c r="FMD56" s="53"/>
      <c r="FME56" s="53"/>
      <c r="FMF56" s="53"/>
      <c r="FMG56" s="53"/>
      <c r="FMH56" s="53"/>
      <c r="FMI56" s="53"/>
      <c r="FMJ56" s="53"/>
      <c r="FMK56" s="53"/>
      <c r="FML56" s="53"/>
      <c r="FMM56" s="53"/>
      <c r="FMN56" s="53"/>
      <c r="FMO56" s="53"/>
      <c r="FMP56" s="53"/>
      <c r="FMQ56" s="53"/>
      <c r="FMR56" s="53"/>
      <c r="FMS56" s="53"/>
      <c r="FMT56" s="53"/>
      <c r="FMU56" s="53"/>
      <c r="FMV56" s="53"/>
      <c r="FMW56" s="53"/>
      <c r="FMX56" s="53"/>
      <c r="FMY56" s="53"/>
      <c r="FMZ56" s="53"/>
      <c r="FNA56" s="53"/>
      <c r="FNB56" s="53"/>
      <c r="FNC56" s="53"/>
      <c r="FND56" s="53"/>
      <c r="FNE56" s="53"/>
      <c r="FNF56" s="53"/>
      <c r="FNG56" s="53"/>
      <c r="FNH56" s="53"/>
      <c r="FNI56" s="53"/>
      <c r="FNJ56" s="53"/>
      <c r="FNK56" s="53"/>
      <c r="FNL56" s="53"/>
      <c r="FNM56" s="53"/>
      <c r="FNN56" s="53"/>
      <c r="FNO56" s="53"/>
      <c r="FNP56" s="53"/>
      <c r="FNQ56" s="53"/>
      <c r="FNR56" s="53"/>
      <c r="FNS56" s="53"/>
      <c r="FNT56" s="53"/>
      <c r="FNU56" s="53"/>
      <c r="FNV56" s="53"/>
      <c r="FNW56" s="53"/>
      <c r="FNX56" s="53"/>
      <c r="FNY56" s="53"/>
      <c r="FNZ56" s="53"/>
      <c r="FOA56" s="53"/>
      <c r="FOB56" s="53"/>
      <c r="FOC56" s="53"/>
      <c r="FOD56" s="53"/>
      <c r="FOE56" s="53"/>
      <c r="FOF56" s="53"/>
      <c r="FOG56" s="53"/>
      <c r="FOH56" s="53"/>
      <c r="FOI56" s="53"/>
      <c r="FOJ56" s="53"/>
      <c r="FOK56" s="53"/>
      <c r="FOL56" s="53"/>
      <c r="FOM56" s="53"/>
      <c r="FON56" s="53"/>
      <c r="FOO56" s="53"/>
      <c r="FOP56" s="53"/>
      <c r="FOQ56" s="53"/>
      <c r="FOR56" s="53"/>
      <c r="FOS56" s="53"/>
      <c r="FOT56" s="53"/>
      <c r="FOU56" s="53"/>
      <c r="FOV56" s="53"/>
      <c r="FOW56" s="53"/>
      <c r="FOX56" s="53"/>
      <c r="FOY56" s="53"/>
      <c r="FOZ56" s="53"/>
      <c r="FPA56" s="53"/>
      <c r="FPB56" s="53"/>
      <c r="FPC56" s="53"/>
      <c r="FPD56" s="53"/>
      <c r="FPE56" s="53"/>
      <c r="FPF56" s="53"/>
      <c r="FPG56" s="53"/>
      <c r="FPH56" s="53"/>
      <c r="FPI56" s="53"/>
      <c r="FPJ56" s="53"/>
      <c r="FPK56" s="53"/>
      <c r="FPL56" s="53"/>
      <c r="FPM56" s="53"/>
      <c r="FPN56" s="53"/>
      <c r="FPO56" s="53"/>
      <c r="FPP56" s="53"/>
      <c r="FPQ56" s="53"/>
      <c r="FPR56" s="53"/>
      <c r="FPS56" s="53"/>
      <c r="FPT56" s="53"/>
      <c r="FPU56" s="53"/>
      <c r="FPV56" s="53"/>
      <c r="FPW56" s="53"/>
      <c r="FPX56" s="53"/>
      <c r="FPY56" s="53"/>
      <c r="FPZ56" s="53"/>
      <c r="FQA56" s="53"/>
      <c r="FQB56" s="53"/>
      <c r="FQC56" s="53"/>
      <c r="FQD56" s="53"/>
      <c r="FQE56" s="53"/>
      <c r="FQF56" s="53"/>
      <c r="FQG56" s="53"/>
      <c r="FQH56" s="53"/>
      <c r="FQI56" s="53"/>
      <c r="FQJ56" s="53"/>
      <c r="FQK56" s="53"/>
      <c r="FQL56" s="53"/>
      <c r="FQM56" s="53"/>
      <c r="FQN56" s="53"/>
      <c r="FQO56" s="53"/>
      <c r="FQP56" s="53"/>
      <c r="FQQ56" s="53"/>
      <c r="FQR56" s="53"/>
      <c r="FQS56" s="53"/>
      <c r="FQT56" s="53"/>
      <c r="FQU56" s="53"/>
      <c r="FQV56" s="53"/>
      <c r="FQW56" s="53"/>
      <c r="FQX56" s="53"/>
      <c r="FQY56" s="53"/>
      <c r="FQZ56" s="53"/>
      <c r="FRA56" s="53"/>
      <c r="FRB56" s="53"/>
      <c r="FRC56" s="53"/>
      <c r="FRD56" s="53"/>
      <c r="FRE56" s="53"/>
      <c r="FRF56" s="53"/>
      <c r="FRG56" s="53"/>
      <c r="FRH56" s="53"/>
      <c r="FRI56" s="53"/>
      <c r="FRJ56" s="53"/>
      <c r="FRK56" s="53"/>
      <c r="FRL56" s="53"/>
      <c r="FRM56" s="53"/>
      <c r="FRN56" s="53"/>
      <c r="FRO56" s="53"/>
      <c r="FRP56" s="53"/>
      <c r="FRQ56" s="53"/>
      <c r="FRR56" s="53"/>
      <c r="FRS56" s="53"/>
      <c r="FRT56" s="53"/>
      <c r="FRU56" s="53"/>
      <c r="FRV56" s="53"/>
      <c r="FRW56" s="53"/>
      <c r="FRX56" s="53"/>
      <c r="FRY56" s="53"/>
      <c r="FRZ56" s="53"/>
      <c r="FSA56" s="53"/>
      <c r="FSB56" s="53"/>
      <c r="FSC56" s="53"/>
      <c r="FSD56" s="53"/>
      <c r="FSE56" s="53"/>
      <c r="FSF56" s="53"/>
      <c r="FSG56" s="53"/>
      <c r="FSH56" s="53"/>
      <c r="FSI56" s="53"/>
      <c r="FSJ56" s="53"/>
      <c r="FSK56" s="53"/>
      <c r="FSL56" s="53"/>
      <c r="FSM56" s="53"/>
      <c r="FSN56" s="53"/>
      <c r="FSO56" s="53"/>
      <c r="FSP56" s="53"/>
      <c r="FSQ56" s="53"/>
      <c r="FSR56" s="53"/>
      <c r="FSS56" s="53"/>
      <c r="FST56" s="53"/>
      <c r="FSU56" s="53"/>
      <c r="FSV56" s="53"/>
      <c r="FSW56" s="53"/>
      <c r="FSX56" s="53"/>
      <c r="FSY56" s="53"/>
      <c r="FSZ56" s="53"/>
      <c r="FTA56" s="53"/>
      <c r="FTB56" s="53"/>
      <c r="FTC56" s="53"/>
      <c r="FTD56" s="53"/>
      <c r="FTE56" s="53"/>
      <c r="FTF56" s="53"/>
      <c r="FTG56" s="53"/>
      <c r="FTH56" s="53"/>
      <c r="FTI56" s="53"/>
      <c r="FTJ56" s="53"/>
      <c r="FTK56" s="53"/>
      <c r="FTL56" s="53"/>
      <c r="FTM56" s="53"/>
      <c r="FTN56" s="53"/>
      <c r="FTO56" s="53"/>
      <c r="FTP56" s="53"/>
      <c r="FTQ56" s="53"/>
      <c r="FTR56" s="53"/>
      <c r="FTS56" s="53"/>
      <c r="FTT56" s="53"/>
      <c r="FTU56" s="53"/>
      <c r="FTV56" s="53"/>
      <c r="FTW56" s="53"/>
      <c r="FTX56" s="53"/>
      <c r="FTY56" s="53"/>
      <c r="FTZ56" s="53"/>
      <c r="FUA56" s="53"/>
      <c r="FUB56" s="53"/>
      <c r="FUC56" s="53"/>
      <c r="FUD56" s="53"/>
      <c r="FUE56" s="53"/>
      <c r="FUF56" s="53"/>
      <c r="FUG56" s="53"/>
      <c r="FUH56" s="53"/>
      <c r="FUI56" s="53"/>
      <c r="FUJ56" s="53"/>
      <c r="FUK56" s="53"/>
      <c r="FUL56" s="53"/>
      <c r="FUM56" s="53"/>
      <c r="FUN56" s="53"/>
      <c r="FUO56" s="53"/>
      <c r="FUP56" s="53"/>
      <c r="FUQ56" s="53"/>
      <c r="FUR56" s="53"/>
      <c r="FUS56" s="53"/>
      <c r="FUT56" s="53"/>
      <c r="FUU56" s="53"/>
      <c r="FUV56" s="53"/>
      <c r="FUW56" s="53"/>
      <c r="FUX56" s="53"/>
      <c r="FUY56" s="53"/>
      <c r="FUZ56" s="53"/>
      <c r="FVA56" s="53"/>
      <c r="FVB56" s="53"/>
      <c r="FVC56" s="53"/>
      <c r="FVD56" s="53"/>
      <c r="FVE56" s="53"/>
      <c r="FVF56" s="53"/>
      <c r="FVG56" s="53"/>
      <c r="FVH56" s="53"/>
      <c r="FVI56" s="53"/>
      <c r="FVJ56" s="53"/>
      <c r="FVK56" s="53"/>
      <c r="FVL56" s="53"/>
      <c r="FVM56" s="53"/>
      <c r="FVN56" s="53"/>
      <c r="FVO56" s="53"/>
      <c r="FVP56" s="53"/>
      <c r="FVQ56" s="53"/>
      <c r="FVR56" s="53"/>
      <c r="FVS56" s="53"/>
      <c r="FVT56" s="53"/>
      <c r="FVU56" s="53"/>
      <c r="FVV56" s="53"/>
      <c r="FVW56" s="53"/>
      <c r="FVX56" s="53"/>
      <c r="FVY56" s="53"/>
      <c r="FVZ56" s="53"/>
      <c r="FWA56" s="53"/>
      <c r="FWB56" s="53"/>
      <c r="FWC56" s="53"/>
      <c r="FWD56" s="53"/>
      <c r="FWE56" s="53"/>
      <c r="FWF56" s="53"/>
      <c r="FWG56" s="53"/>
      <c r="FWH56" s="53"/>
      <c r="FWI56" s="53"/>
      <c r="FWJ56" s="53"/>
      <c r="FWK56" s="53"/>
      <c r="FWL56" s="53"/>
      <c r="FWM56" s="53"/>
      <c r="FWN56" s="53"/>
      <c r="FWO56" s="53"/>
      <c r="FWP56" s="53"/>
      <c r="FWQ56" s="53"/>
      <c r="FWR56" s="53"/>
      <c r="FWS56" s="53"/>
      <c r="FWT56" s="53"/>
      <c r="FWU56" s="53"/>
      <c r="FWV56" s="53"/>
      <c r="FWW56" s="53"/>
      <c r="FWX56" s="53"/>
      <c r="FWY56" s="53"/>
      <c r="FWZ56" s="53"/>
      <c r="FXA56" s="53"/>
      <c r="FXB56" s="53"/>
      <c r="FXC56" s="53"/>
      <c r="FXD56" s="53"/>
      <c r="FXE56" s="53"/>
      <c r="FXF56" s="53"/>
      <c r="FXG56" s="53"/>
      <c r="FXH56" s="53"/>
      <c r="FXI56" s="53"/>
      <c r="FXJ56" s="53"/>
      <c r="FXK56" s="53"/>
      <c r="FXL56" s="53"/>
      <c r="FXM56" s="53"/>
      <c r="FXN56" s="53"/>
      <c r="FXO56" s="53"/>
      <c r="FXP56" s="53"/>
      <c r="FXQ56" s="53"/>
      <c r="FXR56" s="53"/>
      <c r="FXS56" s="53"/>
      <c r="FXT56" s="53"/>
      <c r="FXU56" s="53"/>
      <c r="FXV56" s="53"/>
      <c r="FXW56" s="53"/>
      <c r="FXX56" s="53"/>
      <c r="FXY56" s="53"/>
      <c r="FXZ56" s="53"/>
      <c r="FYA56" s="53"/>
      <c r="FYB56" s="53"/>
      <c r="FYC56" s="53"/>
      <c r="FYD56" s="53"/>
      <c r="FYE56" s="53"/>
      <c r="FYF56" s="53"/>
      <c r="FYG56" s="53"/>
      <c r="FYH56" s="53"/>
      <c r="FYI56" s="53"/>
      <c r="FYJ56" s="53"/>
      <c r="FYK56" s="53"/>
      <c r="FYL56" s="53"/>
      <c r="FYM56" s="53"/>
      <c r="FYN56" s="53"/>
      <c r="FYO56" s="53"/>
      <c r="FYP56" s="53"/>
      <c r="FYQ56" s="53"/>
      <c r="FYR56" s="53"/>
      <c r="FYS56" s="53"/>
      <c r="FYT56" s="53"/>
      <c r="FYU56" s="53"/>
      <c r="FYV56" s="53"/>
      <c r="FYW56" s="53"/>
      <c r="FYX56" s="53"/>
      <c r="FYY56" s="53"/>
      <c r="FYZ56" s="53"/>
      <c r="FZA56" s="53"/>
      <c r="FZB56" s="53"/>
      <c r="FZC56" s="53"/>
      <c r="FZD56" s="53"/>
      <c r="FZE56" s="53"/>
      <c r="FZF56" s="53"/>
      <c r="FZG56" s="53"/>
      <c r="FZH56" s="53"/>
      <c r="FZI56" s="53"/>
      <c r="FZJ56" s="53"/>
      <c r="FZK56" s="53"/>
      <c r="FZL56" s="53"/>
      <c r="FZM56" s="53"/>
      <c r="FZN56" s="53"/>
      <c r="FZO56" s="53"/>
      <c r="FZP56" s="53"/>
      <c r="FZQ56" s="53"/>
      <c r="FZR56" s="53"/>
      <c r="FZS56" s="53"/>
      <c r="FZT56" s="53"/>
      <c r="FZU56" s="53"/>
      <c r="FZV56" s="53"/>
      <c r="FZW56" s="53"/>
      <c r="FZX56" s="53"/>
      <c r="FZY56" s="53"/>
      <c r="FZZ56" s="53"/>
      <c r="GAA56" s="53"/>
      <c r="GAB56" s="53"/>
      <c r="GAC56" s="53"/>
      <c r="GAD56" s="53"/>
      <c r="GAE56" s="53"/>
      <c r="GAF56" s="53"/>
      <c r="GAG56" s="53"/>
      <c r="GAH56" s="53"/>
      <c r="GAI56" s="53"/>
      <c r="GAJ56" s="53"/>
      <c r="GAK56" s="53"/>
      <c r="GAL56" s="53"/>
      <c r="GAM56" s="53"/>
      <c r="GAN56" s="53"/>
      <c r="GAO56" s="53"/>
      <c r="GAP56" s="53"/>
      <c r="GAQ56" s="53"/>
      <c r="GAR56" s="53"/>
      <c r="GAS56" s="53"/>
      <c r="GAT56" s="53"/>
      <c r="GAU56" s="53"/>
      <c r="GAV56" s="53"/>
      <c r="GAW56" s="53"/>
      <c r="GAX56" s="53"/>
      <c r="GAY56" s="53"/>
      <c r="GAZ56" s="53"/>
      <c r="GBA56" s="53"/>
      <c r="GBB56" s="53"/>
      <c r="GBC56" s="53"/>
      <c r="GBD56" s="53"/>
      <c r="GBE56" s="53"/>
      <c r="GBF56" s="53"/>
      <c r="GBG56" s="53"/>
      <c r="GBH56" s="53"/>
      <c r="GBI56" s="53"/>
      <c r="GBJ56" s="53"/>
      <c r="GBK56" s="53"/>
      <c r="GBL56" s="53"/>
      <c r="GBM56" s="53"/>
      <c r="GBN56" s="53"/>
      <c r="GBO56" s="53"/>
      <c r="GBP56" s="53"/>
      <c r="GBQ56" s="53"/>
      <c r="GBR56" s="53"/>
      <c r="GBS56" s="53"/>
      <c r="GBT56" s="53"/>
      <c r="GBU56" s="53"/>
      <c r="GBV56" s="53"/>
      <c r="GBW56" s="53"/>
      <c r="GBX56" s="53"/>
      <c r="GBY56" s="53"/>
      <c r="GBZ56" s="53"/>
      <c r="GCA56" s="53"/>
      <c r="GCB56" s="53"/>
      <c r="GCC56" s="53"/>
      <c r="GCD56" s="53"/>
      <c r="GCE56" s="53"/>
      <c r="GCF56" s="53"/>
      <c r="GCG56" s="53"/>
      <c r="GCH56" s="53"/>
      <c r="GCI56" s="53"/>
      <c r="GCJ56" s="53"/>
      <c r="GCK56" s="53"/>
      <c r="GCL56" s="53"/>
      <c r="GCM56" s="53"/>
      <c r="GCN56" s="53"/>
      <c r="GCO56" s="53"/>
      <c r="GCP56" s="53"/>
      <c r="GCQ56" s="53"/>
      <c r="GCR56" s="53"/>
      <c r="GCS56" s="53"/>
      <c r="GCT56" s="53"/>
      <c r="GCU56" s="53"/>
      <c r="GCV56" s="53"/>
      <c r="GCW56" s="53"/>
      <c r="GCX56" s="53"/>
      <c r="GCY56" s="53"/>
      <c r="GCZ56" s="53"/>
      <c r="GDA56" s="53"/>
      <c r="GDB56" s="53"/>
      <c r="GDC56" s="53"/>
      <c r="GDD56" s="53"/>
      <c r="GDE56" s="53"/>
      <c r="GDF56" s="53"/>
      <c r="GDG56" s="53"/>
      <c r="GDH56" s="53"/>
      <c r="GDI56" s="53"/>
      <c r="GDJ56" s="53"/>
      <c r="GDK56" s="53"/>
      <c r="GDL56" s="53"/>
      <c r="GDM56" s="53"/>
      <c r="GDN56" s="53"/>
      <c r="GDO56" s="53"/>
      <c r="GDP56" s="53"/>
      <c r="GDQ56" s="53"/>
      <c r="GDR56" s="53"/>
      <c r="GDS56" s="53"/>
      <c r="GDT56" s="53"/>
      <c r="GDU56" s="53"/>
      <c r="GDV56" s="53"/>
      <c r="GDW56" s="53"/>
      <c r="GDX56" s="53"/>
      <c r="GDY56" s="53"/>
      <c r="GDZ56" s="53"/>
      <c r="GEA56" s="53"/>
      <c r="GEB56" s="53"/>
      <c r="GEC56" s="53"/>
      <c r="GED56" s="53"/>
      <c r="GEE56" s="53"/>
      <c r="GEF56" s="53"/>
      <c r="GEG56" s="53"/>
      <c r="GEH56" s="53"/>
      <c r="GEI56" s="53"/>
      <c r="GEJ56" s="53"/>
      <c r="GEK56" s="53"/>
      <c r="GEL56" s="53"/>
      <c r="GEM56" s="53"/>
      <c r="GEN56" s="53"/>
      <c r="GEO56" s="53"/>
      <c r="GEP56" s="53"/>
      <c r="GEQ56" s="53"/>
      <c r="GER56" s="53"/>
      <c r="GES56" s="53"/>
      <c r="GET56" s="53"/>
      <c r="GEU56" s="53"/>
      <c r="GEV56" s="53"/>
      <c r="GEW56" s="53"/>
      <c r="GEX56" s="53"/>
      <c r="GEY56" s="53"/>
      <c r="GEZ56" s="53"/>
      <c r="GFA56" s="53"/>
      <c r="GFB56" s="53"/>
      <c r="GFC56" s="53"/>
      <c r="GFD56" s="53"/>
      <c r="GFE56" s="53"/>
      <c r="GFF56" s="53"/>
      <c r="GFG56" s="53"/>
      <c r="GFH56" s="53"/>
      <c r="GFI56" s="53"/>
      <c r="GFJ56" s="53"/>
      <c r="GFK56" s="53"/>
      <c r="GFL56" s="53"/>
      <c r="GFM56" s="53"/>
      <c r="GFN56" s="53"/>
      <c r="GFO56" s="53"/>
      <c r="GFP56" s="53"/>
      <c r="GFQ56" s="53"/>
      <c r="GFR56" s="53"/>
      <c r="GFS56" s="53"/>
      <c r="GFT56" s="53"/>
      <c r="GFU56" s="53"/>
      <c r="GFV56" s="53"/>
      <c r="GFW56" s="53"/>
      <c r="GFX56" s="53"/>
      <c r="GFY56" s="53"/>
      <c r="GFZ56" s="53"/>
      <c r="GGA56" s="53"/>
      <c r="GGB56" s="53"/>
      <c r="GGC56" s="53"/>
      <c r="GGD56" s="53"/>
      <c r="GGE56" s="53"/>
      <c r="GGF56" s="53"/>
      <c r="GGG56" s="53"/>
      <c r="GGH56" s="53"/>
      <c r="GGI56" s="53"/>
      <c r="GGJ56" s="53"/>
      <c r="GGK56" s="53"/>
      <c r="GGL56" s="53"/>
      <c r="GGM56" s="53"/>
      <c r="GGN56" s="53"/>
      <c r="GGO56" s="53"/>
      <c r="GGP56" s="53"/>
      <c r="GGQ56" s="53"/>
      <c r="GGR56" s="53"/>
      <c r="GGS56" s="53"/>
      <c r="GGT56" s="53"/>
      <c r="GGU56" s="53"/>
      <c r="GGV56" s="53"/>
      <c r="GGW56" s="53"/>
      <c r="GGX56" s="53"/>
      <c r="GGY56" s="53"/>
      <c r="GGZ56" s="53"/>
      <c r="GHA56" s="53"/>
      <c r="GHB56" s="53"/>
      <c r="GHC56" s="53"/>
      <c r="GHD56" s="53"/>
      <c r="GHE56" s="53"/>
      <c r="GHF56" s="53"/>
      <c r="GHG56" s="53"/>
      <c r="GHH56" s="53"/>
      <c r="GHI56" s="53"/>
      <c r="GHJ56" s="53"/>
      <c r="GHK56" s="53"/>
      <c r="GHL56" s="53"/>
      <c r="GHM56" s="53"/>
      <c r="GHN56" s="53"/>
      <c r="GHO56" s="53"/>
      <c r="GHP56" s="53"/>
      <c r="GHQ56" s="53"/>
      <c r="GHR56" s="53"/>
      <c r="GHS56" s="53"/>
      <c r="GHT56" s="53"/>
      <c r="GHU56" s="53"/>
      <c r="GHV56" s="53"/>
      <c r="GHW56" s="53"/>
      <c r="GHX56" s="53"/>
      <c r="GHY56" s="53"/>
      <c r="GHZ56" s="53"/>
      <c r="GIA56" s="53"/>
      <c r="GIB56" s="53"/>
      <c r="GIC56" s="53"/>
      <c r="GID56" s="53"/>
      <c r="GIE56" s="53"/>
      <c r="GIF56" s="53"/>
      <c r="GIG56" s="53"/>
      <c r="GIH56" s="53"/>
      <c r="GII56" s="53"/>
      <c r="GIJ56" s="53"/>
      <c r="GIK56" s="53"/>
      <c r="GIL56" s="53"/>
      <c r="GIM56" s="53"/>
      <c r="GIN56" s="53"/>
      <c r="GIO56" s="53"/>
      <c r="GIP56" s="53"/>
      <c r="GIQ56" s="53"/>
      <c r="GIR56" s="53"/>
      <c r="GIS56" s="53"/>
      <c r="GIT56" s="53"/>
      <c r="GIU56" s="53"/>
      <c r="GIV56" s="53"/>
      <c r="GIW56" s="53"/>
      <c r="GIX56" s="53"/>
      <c r="GIY56" s="53"/>
      <c r="GIZ56" s="53"/>
      <c r="GJA56" s="53"/>
      <c r="GJB56" s="53"/>
      <c r="GJC56" s="53"/>
      <c r="GJD56" s="53"/>
      <c r="GJE56" s="53"/>
      <c r="GJF56" s="53"/>
      <c r="GJG56" s="53"/>
      <c r="GJH56" s="53"/>
      <c r="GJI56" s="53"/>
      <c r="GJJ56" s="53"/>
      <c r="GJK56" s="53"/>
      <c r="GJL56" s="53"/>
      <c r="GJM56" s="53"/>
      <c r="GJN56" s="53"/>
      <c r="GJO56" s="53"/>
      <c r="GJP56" s="53"/>
      <c r="GJQ56" s="53"/>
      <c r="GJR56" s="53"/>
      <c r="GJS56" s="53"/>
      <c r="GJT56" s="53"/>
      <c r="GJU56" s="53"/>
      <c r="GJV56" s="53"/>
      <c r="GJW56" s="53"/>
      <c r="GJX56" s="53"/>
      <c r="GJY56" s="53"/>
      <c r="GJZ56" s="53"/>
      <c r="GKA56" s="53"/>
      <c r="GKB56" s="53"/>
      <c r="GKC56" s="53"/>
      <c r="GKD56" s="53"/>
      <c r="GKE56" s="53"/>
      <c r="GKF56" s="53"/>
      <c r="GKG56" s="53"/>
      <c r="GKH56" s="53"/>
      <c r="GKI56" s="53"/>
      <c r="GKJ56" s="53"/>
      <c r="GKK56" s="53"/>
      <c r="GKL56" s="53"/>
      <c r="GKM56" s="53"/>
      <c r="GKN56" s="53"/>
      <c r="GKO56" s="53"/>
      <c r="GKP56" s="53"/>
      <c r="GKQ56" s="53"/>
      <c r="GKR56" s="53"/>
      <c r="GKS56" s="53"/>
      <c r="GKT56" s="53"/>
      <c r="GKU56" s="53"/>
      <c r="GKV56" s="53"/>
      <c r="GKW56" s="53"/>
      <c r="GKX56" s="53"/>
      <c r="GKY56" s="53"/>
      <c r="GKZ56" s="53"/>
      <c r="GLA56" s="53"/>
      <c r="GLB56" s="53"/>
      <c r="GLC56" s="53"/>
      <c r="GLD56" s="53"/>
      <c r="GLE56" s="53"/>
      <c r="GLF56" s="53"/>
      <c r="GLG56" s="53"/>
      <c r="GLH56" s="53"/>
      <c r="GLI56" s="53"/>
      <c r="GLJ56" s="53"/>
      <c r="GLK56" s="53"/>
      <c r="GLL56" s="53"/>
      <c r="GLM56" s="53"/>
      <c r="GLN56" s="53"/>
      <c r="GLO56" s="53"/>
      <c r="GLP56" s="53"/>
      <c r="GLQ56" s="53"/>
      <c r="GLR56" s="53"/>
      <c r="GLS56" s="53"/>
      <c r="GLT56" s="53"/>
      <c r="GLU56" s="53"/>
      <c r="GLV56" s="53"/>
      <c r="GLW56" s="53"/>
      <c r="GLX56" s="53"/>
      <c r="GLY56" s="53"/>
      <c r="GLZ56" s="53"/>
      <c r="GMA56" s="53"/>
      <c r="GMB56" s="53"/>
      <c r="GMC56" s="53"/>
      <c r="GMD56" s="53"/>
      <c r="GME56" s="53"/>
      <c r="GMF56" s="53"/>
      <c r="GMG56" s="53"/>
      <c r="GMH56" s="53"/>
      <c r="GMI56" s="53"/>
      <c r="GMJ56" s="53"/>
      <c r="GMK56" s="53"/>
      <c r="GML56" s="53"/>
      <c r="GMM56" s="53"/>
      <c r="GMN56" s="53"/>
      <c r="GMO56" s="53"/>
      <c r="GMP56" s="53"/>
      <c r="GMQ56" s="53"/>
      <c r="GMR56" s="53"/>
      <c r="GMS56" s="53"/>
      <c r="GMT56" s="53"/>
      <c r="GMU56" s="53"/>
      <c r="GMV56" s="53"/>
      <c r="GMW56" s="53"/>
      <c r="GMX56" s="53"/>
      <c r="GMY56" s="53"/>
      <c r="GMZ56" s="53"/>
      <c r="GNA56" s="53"/>
      <c r="GNB56" s="53"/>
      <c r="GNC56" s="53"/>
      <c r="GND56" s="53"/>
      <c r="GNE56" s="53"/>
      <c r="GNF56" s="53"/>
      <c r="GNG56" s="53"/>
      <c r="GNH56" s="53"/>
      <c r="GNI56" s="53"/>
      <c r="GNJ56" s="53"/>
      <c r="GNK56" s="53"/>
      <c r="GNL56" s="53"/>
      <c r="GNM56" s="53"/>
      <c r="GNN56" s="53"/>
      <c r="GNO56" s="53"/>
      <c r="GNP56" s="53"/>
      <c r="GNQ56" s="53"/>
      <c r="GNR56" s="53"/>
      <c r="GNS56" s="53"/>
      <c r="GNT56" s="53"/>
      <c r="GNU56" s="53"/>
      <c r="GNV56" s="53"/>
      <c r="GNW56" s="53"/>
      <c r="GNX56" s="53"/>
      <c r="GNY56" s="53"/>
      <c r="GNZ56" s="53"/>
      <c r="GOA56" s="53"/>
      <c r="GOB56" s="53"/>
      <c r="GOC56" s="53"/>
      <c r="GOD56" s="53"/>
      <c r="GOE56" s="53"/>
      <c r="GOF56" s="53"/>
      <c r="GOG56" s="53"/>
      <c r="GOH56" s="53"/>
      <c r="GOI56" s="53"/>
      <c r="GOJ56" s="53"/>
      <c r="GOK56" s="53"/>
      <c r="GOL56" s="53"/>
      <c r="GOM56" s="53"/>
      <c r="GON56" s="53"/>
      <c r="GOO56" s="53"/>
      <c r="GOP56" s="53"/>
      <c r="GOQ56" s="53"/>
      <c r="GOR56" s="53"/>
      <c r="GOS56" s="53"/>
      <c r="GOT56" s="53"/>
      <c r="GOU56" s="53"/>
      <c r="GOV56" s="53"/>
      <c r="GOW56" s="53"/>
      <c r="GOX56" s="53"/>
      <c r="GOY56" s="53"/>
      <c r="GOZ56" s="53"/>
      <c r="GPA56" s="53"/>
      <c r="GPB56" s="53"/>
      <c r="GPC56" s="53"/>
      <c r="GPD56" s="53"/>
      <c r="GPE56" s="53"/>
      <c r="GPF56" s="53"/>
      <c r="GPG56" s="53"/>
      <c r="GPH56" s="53"/>
      <c r="GPI56" s="53"/>
      <c r="GPJ56" s="53"/>
      <c r="GPK56" s="53"/>
      <c r="GPL56" s="53"/>
      <c r="GPM56" s="53"/>
      <c r="GPN56" s="53"/>
      <c r="GPO56" s="53"/>
      <c r="GPP56" s="53"/>
      <c r="GPQ56" s="53"/>
      <c r="GPR56" s="53"/>
      <c r="GPS56" s="53"/>
      <c r="GPT56" s="53"/>
      <c r="GPU56" s="53"/>
      <c r="GPV56" s="53"/>
      <c r="GPW56" s="53"/>
      <c r="GPX56" s="53"/>
      <c r="GPY56" s="53"/>
      <c r="GPZ56" s="53"/>
      <c r="GQA56" s="53"/>
      <c r="GQB56" s="53"/>
      <c r="GQC56" s="53"/>
      <c r="GQD56" s="53"/>
      <c r="GQE56" s="53"/>
      <c r="GQF56" s="53"/>
      <c r="GQG56" s="53"/>
      <c r="GQH56" s="53"/>
      <c r="GQI56" s="53"/>
      <c r="GQJ56" s="53"/>
      <c r="GQK56" s="53"/>
      <c r="GQL56" s="53"/>
      <c r="GQM56" s="53"/>
      <c r="GQN56" s="53"/>
      <c r="GQO56" s="53"/>
      <c r="GQP56" s="53"/>
      <c r="GQQ56" s="53"/>
      <c r="GQR56" s="53"/>
      <c r="GQS56" s="53"/>
      <c r="GQT56" s="53"/>
      <c r="GQU56" s="53"/>
      <c r="GQV56" s="53"/>
      <c r="GQW56" s="53"/>
      <c r="GQX56" s="53"/>
      <c r="GQY56" s="53"/>
      <c r="GQZ56" s="53"/>
      <c r="GRA56" s="53"/>
      <c r="GRB56" s="53"/>
      <c r="GRC56" s="53"/>
      <c r="GRD56" s="53"/>
      <c r="GRE56" s="53"/>
      <c r="GRF56" s="53"/>
      <c r="GRG56" s="53"/>
      <c r="GRH56" s="53"/>
      <c r="GRI56" s="53"/>
      <c r="GRJ56" s="53"/>
      <c r="GRK56" s="53"/>
      <c r="GRL56" s="53"/>
      <c r="GRM56" s="53"/>
      <c r="GRN56" s="53"/>
      <c r="GRO56" s="53"/>
      <c r="GRP56" s="53"/>
      <c r="GRQ56" s="53"/>
      <c r="GRR56" s="53"/>
      <c r="GRS56" s="53"/>
      <c r="GRT56" s="53"/>
      <c r="GRU56" s="53"/>
      <c r="GRV56" s="53"/>
      <c r="GRW56" s="53"/>
      <c r="GRX56" s="53"/>
      <c r="GRY56" s="53"/>
      <c r="GRZ56" s="53"/>
      <c r="GSA56" s="53"/>
      <c r="GSB56" s="53"/>
      <c r="GSC56" s="53"/>
      <c r="GSD56" s="53"/>
      <c r="GSE56" s="53"/>
      <c r="GSF56" s="53"/>
      <c r="GSG56" s="53"/>
      <c r="GSH56" s="53"/>
      <c r="GSI56" s="53"/>
      <c r="GSJ56" s="53"/>
      <c r="GSK56" s="53"/>
      <c r="GSL56" s="53"/>
      <c r="GSM56" s="53"/>
      <c r="GSN56" s="53"/>
      <c r="GSO56" s="53"/>
      <c r="GSP56" s="53"/>
      <c r="GSQ56" s="53"/>
      <c r="GSR56" s="53"/>
      <c r="GSS56" s="53"/>
      <c r="GST56" s="53"/>
      <c r="GSU56" s="53"/>
      <c r="GSV56" s="53"/>
      <c r="GSW56" s="53"/>
      <c r="GSX56" s="53"/>
      <c r="GSY56" s="53"/>
      <c r="GSZ56" s="53"/>
      <c r="GTA56" s="53"/>
      <c r="GTB56" s="53"/>
      <c r="GTC56" s="53"/>
      <c r="GTD56" s="53"/>
      <c r="GTE56" s="53"/>
      <c r="GTF56" s="53"/>
      <c r="GTG56" s="53"/>
      <c r="GTH56" s="53"/>
      <c r="GTI56" s="53"/>
      <c r="GTJ56" s="53"/>
      <c r="GTK56" s="53"/>
      <c r="GTL56" s="53"/>
      <c r="GTM56" s="53"/>
      <c r="GTN56" s="53"/>
      <c r="GTO56" s="53"/>
      <c r="GTP56" s="53"/>
      <c r="GTQ56" s="53"/>
      <c r="GTR56" s="53"/>
      <c r="GTS56" s="53"/>
      <c r="GTT56" s="53"/>
      <c r="GTU56" s="53"/>
      <c r="GTV56" s="53"/>
      <c r="GTW56" s="53"/>
      <c r="GTX56" s="53"/>
      <c r="GTY56" s="53"/>
      <c r="GTZ56" s="53"/>
      <c r="GUA56" s="53"/>
      <c r="GUB56" s="53"/>
      <c r="GUC56" s="53"/>
      <c r="GUD56" s="53"/>
      <c r="GUE56" s="53"/>
      <c r="GUF56" s="53"/>
      <c r="GUG56" s="53"/>
      <c r="GUH56" s="53"/>
      <c r="GUI56" s="53"/>
      <c r="GUJ56" s="53"/>
      <c r="GUK56" s="53"/>
      <c r="GUL56" s="53"/>
      <c r="GUM56" s="53"/>
      <c r="GUN56" s="53"/>
      <c r="GUO56" s="53"/>
      <c r="GUP56" s="53"/>
      <c r="GUQ56" s="53"/>
      <c r="GUR56" s="53"/>
      <c r="GUS56" s="53"/>
      <c r="GUT56" s="53"/>
      <c r="GUU56" s="53"/>
      <c r="GUV56" s="53"/>
      <c r="GUW56" s="53"/>
      <c r="GUX56" s="53"/>
      <c r="GUY56" s="53"/>
      <c r="GUZ56" s="53"/>
      <c r="GVA56" s="53"/>
      <c r="GVB56" s="53"/>
      <c r="GVC56" s="53"/>
      <c r="GVD56" s="53"/>
      <c r="GVE56" s="53"/>
      <c r="GVF56" s="53"/>
      <c r="GVG56" s="53"/>
      <c r="GVH56" s="53"/>
      <c r="GVI56" s="53"/>
      <c r="GVJ56" s="53"/>
      <c r="GVK56" s="53"/>
      <c r="GVL56" s="53"/>
      <c r="GVM56" s="53"/>
      <c r="GVN56" s="53"/>
      <c r="GVO56" s="53"/>
      <c r="GVP56" s="53"/>
      <c r="GVQ56" s="53"/>
      <c r="GVR56" s="53"/>
      <c r="GVS56" s="53"/>
      <c r="GVT56" s="53"/>
      <c r="GVU56" s="53"/>
      <c r="GVV56" s="53"/>
      <c r="GVW56" s="53"/>
      <c r="GVX56" s="53"/>
      <c r="GVY56" s="53"/>
      <c r="GVZ56" s="53"/>
      <c r="GWA56" s="53"/>
      <c r="GWB56" s="53"/>
      <c r="GWC56" s="53"/>
      <c r="GWD56" s="53"/>
      <c r="GWE56" s="53"/>
      <c r="GWF56" s="53"/>
      <c r="GWG56" s="53"/>
      <c r="GWH56" s="53"/>
      <c r="GWI56" s="53"/>
      <c r="GWJ56" s="53"/>
      <c r="GWK56" s="53"/>
      <c r="GWL56" s="53"/>
      <c r="GWM56" s="53"/>
      <c r="GWN56" s="53"/>
      <c r="GWO56" s="53"/>
      <c r="GWP56" s="53"/>
      <c r="GWQ56" s="53"/>
      <c r="GWR56" s="53"/>
      <c r="GWS56" s="53"/>
      <c r="GWT56" s="53"/>
      <c r="GWU56" s="53"/>
      <c r="GWV56" s="53"/>
      <c r="GWW56" s="53"/>
      <c r="GWX56" s="53"/>
      <c r="GWY56" s="53"/>
      <c r="GWZ56" s="53"/>
      <c r="GXA56" s="53"/>
      <c r="GXB56" s="53"/>
      <c r="GXC56" s="53"/>
      <c r="GXD56" s="53"/>
      <c r="GXE56" s="53"/>
      <c r="GXF56" s="53"/>
      <c r="GXG56" s="53"/>
      <c r="GXH56" s="53"/>
      <c r="GXI56" s="53"/>
      <c r="GXJ56" s="53"/>
      <c r="GXK56" s="53"/>
      <c r="GXL56" s="53"/>
      <c r="GXM56" s="53"/>
      <c r="GXN56" s="53"/>
      <c r="GXO56" s="53"/>
      <c r="GXP56" s="53"/>
      <c r="GXQ56" s="53"/>
      <c r="GXR56" s="53"/>
      <c r="GXS56" s="53"/>
      <c r="GXT56" s="53"/>
      <c r="GXU56" s="53"/>
      <c r="GXV56" s="53"/>
      <c r="GXW56" s="53"/>
      <c r="GXX56" s="53"/>
      <c r="GXY56" s="53"/>
      <c r="GXZ56" s="53"/>
      <c r="GYA56" s="53"/>
      <c r="GYB56" s="53"/>
      <c r="GYC56" s="53"/>
      <c r="GYD56" s="53"/>
      <c r="GYE56" s="53"/>
      <c r="GYF56" s="53"/>
      <c r="GYG56" s="53"/>
      <c r="GYH56" s="53"/>
      <c r="GYI56" s="53"/>
      <c r="GYJ56" s="53"/>
      <c r="GYK56" s="53"/>
      <c r="GYL56" s="53"/>
      <c r="GYM56" s="53"/>
      <c r="GYN56" s="53"/>
      <c r="GYO56" s="53"/>
      <c r="GYP56" s="53"/>
      <c r="GYQ56" s="53"/>
      <c r="GYR56" s="53"/>
      <c r="GYS56" s="53"/>
      <c r="GYT56" s="53"/>
      <c r="GYU56" s="53"/>
      <c r="GYV56" s="53"/>
      <c r="GYW56" s="53"/>
      <c r="GYX56" s="53"/>
      <c r="GYY56" s="53"/>
      <c r="GYZ56" s="53"/>
      <c r="GZA56" s="53"/>
      <c r="GZB56" s="53"/>
      <c r="GZC56" s="53"/>
      <c r="GZD56" s="53"/>
      <c r="GZE56" s="53"/>
      <c r="GZF56" s="53"/>
      <c r="GZG56" s="53"/>
      <c r="GZH56" s="53"/>
      <c r="GZI56" s="53"/>
      <c r="GZJ56" s="53"/>
      <c r="GZK56" s="53"/>
      <c r="GZL56" s="53"/>
      <c r="GZM56" s="53"/>
      <c r="GZN56" s="53"/>
      <c r="GZO56" s="53"/>
      <c r="GZP56" s="53"/>
      <c r="GZQ56" s="53"/>
      <c r="GZR56" s="53"/>
      <c r="GZS56" s="53"/>
      <c r="GZT56" s="53"/>
      <c r="GZU56" s="53"/>
      <c r="GZV56" s="53"/>
      <c r="GZW56" s="53"/>
      <c r="GZX56" s="53"/>
      <c r="GZY56" s="53"/>
      <c r="GZZ56" s="53"/>
      <c r="HAA56" s="53"/>
      <c r="HAB56" s="53"/>
      <c r="HAC56" s="53"/>
      <c r="HAD56" s="53"/>
      <c r="HAE56" s="53"/>
      <c r="HAF56" s="53"/>
      <c r="HAG56" s="53"/>
      <c r="HAH56" s="53"/>
      <c r="HAI56" s="53"/>
      <c r="HAJ56" s="53"/>
      <c r="HAK56" s="53"/>
      <c r="HAL56" s="53"/>
      <c r="HAM56" s="53"/>
      <c r="HAN56" s="53"/>
      <c r="HAO56" s="53"/>
      <c r="HAP56" s="53"/>
      <c r="HAQ56" s="53"/>
      <c r="HAR56" s="53"/>
      <c r="HAS56" s="53"/>
      <c r="HAT56" s="53"/>
      <c r="HAU56" s="53"/>
      <c r="HAV56" s="53"/>
      <c r="HAW56" s="53"/>
      <c r="HAX56" s="53"/>
      <c r="HAY56" s="53"/>
      <c r="HAZ56" s="53"/>
      <c r="HBA56" s="53"/>
      <c r="HBB56" s="53"/>
      <c r="HBC56" s="53"/>
      <c r="HBD56" s="53"/>
      <c r="HBE56" s="53"/>
      <c r="HBF56" s="53"/>
      <c r="HBG56" s="53"/>
      <c r="HBH56" s="53"/>
      <c r="HBI56" s="53"/>
      <c r="HBJ56" s="53"/>
      <c r="HBK56" s="53"/>
      <c r="HBL56" s="53"/>
      <c r="HBM56" s="53"/>
      <c r="HBN56" s="53"/>
      <c r="HBO56" s="53"/>
      <c r="HBP56" s="53"/>
      <c r="HBQ56" s="53"/>
      <c r="HBR56" s="53"/>
      <c r="HBS56" s="53"/>
      <c r="HBT56" s="53"/>
      <c r="HBU56" s="53"/>
      <c r="HBV56" s="53"/>
      <c r="HBW56" s="53"/>
      <c r="HBX56" s="53"/>
      <c r="HBY56" s="53"/>
      <c r="HBZ56" s="53"/>
      <c r="HCA56" s="53"/>
      <c r="HCB56" s="53"/>
      <c r="HCC56" s="53"/>
      <c r="HCD56" s="53"/>
      <c r="HCE56" s="53"/>
      <c r="HCF56" s="53"/>
      <c r="HCG56" s="53"/>
      <c r="HCH56" s="53"/>
      <c r="HCI56" s="53"/>
      <c r="HCJ56" s="53"/>
      <c r="HCK56" s="53"/>
      <c r="HCL56" s="53"/>
      <c r="HCM56" s="53"/>
      <c r="HCN56" s="53"/>
      <c r="HCO56" s="53"/>
      <c r="HCP56" s="53"/>
      <c r="HCQ56" s="53"/>
      <c r="HCR56" s="53"/>
      <c r="HCS56" s="53"/>
      <c r="HCT56" s="53"/>
      <c r="HCU56" s="53"/>
      <c r="HCV56" s="53"/>
      <c r="HCW56" s="53"/>
      <c r="HCX56" s="53"/>
      <c r="HCY56" s="53"/>
      <c r="HCZ56" s="53"/>
      <c r="HDA56" s="53"/>
      <c r="HDB56" s="53"/>
      <c r="HDC56" s="53"/>
      <c r="HDD56" s="53"/>
      <c r="HDE56" s="53"/>
      <c r="HDF56" s="53"/>
      <c r="HDG56" s="53"/>
      <c r="HDH56" s="53"/>
      <c r="HDI56" s="53"/>
      <c r="HDJ56" s="53"/>
      <c r="HDK56" s="53"/>
      <c r="HDL56" s="53"/>
      <c r="HDM56" s="53"/>
      <c r="HDN56" s="53"/>
      <c r="HDO56" s="53"/>
      <c r="HDP56" s="53"/>
      <c r="HDQ56" s="53"/>
      <c r="HDR56" s="53"/>
      <c r="HDS56" s="53"/>
      <c r="HDT56" s="53"/>
      <c r="HDU56" s="53"/>
      <c r="HDV56" s="53"/>
      <c r="HDW56" s="53"/>
      <c r="HDX56" s="53"/>
      <c r="HDY56" s="53"/>
      <c r="HDZ56" s="53"/>
      <c r="HEA56" s="53"/>
      <c r="HEB56" s="53"/>
      <c r="HEC56" s="53"/>
      <c r="HED56" s="53"/>
      <c r="HEE56" s="53"/>
      <c r="HEF56" s="53"/>
      <c r="HEG56" s="53"/>
      <c r="HEH56" s="53"/>
      <c r="HEI56" s="53"/>
      <c r="HEJ56" s="53"/>
      <c r="HEK56" s="53"/>
      <c r="HEL56" s="53"/>
      <c r="HEM56" s="53"/>
      <c r="HEN56" s="53"/>
      <c r="HEO56" s="53"/>
      <c r="HEP56" s="53"/>
      <c r="HEQ56" s="53"/>
      <c r="HER56" s="53"/>
      <c r="HES56" s="53"/>
      <c r="HET56" s="53"/>
      <c r="HEU56" s="53"/>
      <c r="HEV56" s="53"/>
      <c r="HEW56" s="53"/>
      <c r="HEX56" s="53"/>
      <c r="HEY56" s="53"/>
      <c r="HEZ56" s="53"/>
      <c r="HFA56" s="53"/>
      <c r="HFB56" s="53"/>
      <c r="HFC56" s="53"/>
      <c r="HFD56" s="53"/>
      <c r="HFE56" s="53"/>
      <c r="HFF56" s="53"/>
      <c r="HFG56" s="53"/>
      <c r="HFH56" s="53"/>
      <c r="HFI56" s="53"/>
      <c r="HFJ56" s="53"/>
      <c r="HFK56" s="53"/>
      <c r="HFL56" s="53"/>
      <c r="HFM56" s="53"/>
      <c r="HFN56" s="53"/>
      <c r="HFO56" s="53"/>
      <c r="HFP56" s="53"/>
      <c r="HFQ56" s="53"/>
      <c r="HFR56" s="53"/>
      <c r="HFS56" s="53"/>
      <c r="HFT56" s="53"/>
      <c r="HFU56" s="53"/>
      <c r="HFV56" s="53"/>
      <c r="HFW56" s="53"/>
      <c r="HFX56" s="53"/>
      <c r="HFY56" s="53"/>
      <c r="HFZ56" s="53"/>
      <c r="HGA56" s="53"/>
      <c r="HGB56" s="53"/>
      <c r="HGC56" s="53"/>
      <c r="HGD56" s="53"/>
      <c r="HGE56" s="53"/>
      <c r="HGF56" s="53"/>
      <c r="HGG56" s="53"/>
      <c r="HGH56" s="53"/>
      <c r="HGI56" s="53"/>
      <c r="HGJ56" s="53"/>
      <c r="HGK56" s="53"/>
      <c r="HGL56" s="53"/>
      <c r="HGM56" s="53"/>
      <c r="HGN56" s="53"/>
      <c r="HGO56" s="53"/>
      <c r="HGP56" s="53"/>
      <c r="HGQ56" s="53"/>
      <c r="HGR56" s="53"/>
      <c r="HGS56" s="53"/>
      <c r="HGT56" s="53"/>
      <c r="HGU56" s="53"/>
      <c r="HGV56" s="53"/>
      <c r="HGW56" s="53"/>
      <c r="HGX56" s="53"/>
      <c r="HGY56" s="53"/>
      <c r="HGZ56" s="53"/>
      <c r="HHA56" s="53"/>
      <c r="HHB56" s="53"/>
      <c r="HHC56" s="53"/>
      <c r="HHD56" s="53"/>
      <c r="HHE56" s="53"/>
      <c r="HHF56" s="53"/>
      <c r="HHG56" s="53"/>
      <c r="HHH56" s="53"/>
      <c r="HHI56" s="53"/>
      <c r="HHJ56" s="53"/>
      <c r="HHK56" s="53"/>
      <c r="HHL56" s="53"/>
      <c r="HHM56" s="53"/>
      <c r="HHN56" s="53"/>
      <c r="HHO56" s="53"/>
      <c r="HHP56" s="53"/>
      <c r="HHQ56" s="53"/>
      <c r="HHR56" s="53"/>
      <c r="HHS56" s="53"/>
      <c r="HHT56" s="53"/>
      <c r="HHU56" s="53"/>
      <c r="HHV56" s="53"/>
      <c r="HHW56" s="53"/>
      <c r="HHX56" s="53"/>
      <c r="HHY56" s="53"/>
      <c r="HHZ56" s="53"/>
      <c r="HIA56" s="53"/>
      <c r="HIB56" s="53"/>
      <c r="HIC56" s="53"/>
      <c r="HID56" s="53"/>
      <c r="HIE56" s="53"/>
      <c r="HIF56" s="53"/>
      <c r="HIG56" s="53"/>
      <c r="HIH56" s="53"/>
      <c r="HII56" s="53"/>
      <c r="HIJ56" s="53"/>
      <c r="HIK56" s="53"/>
      <c r="HIL56" s="53"/>
      <c r="HIM56" s="53"/>
      <c r="HIN56" s="53"/>
      <c r="HIO56" s="53"/>
      <c r="HIP56" s="53"/>
      <c r="HIQ56" s="53"/>
      <c r="HIR56" s="53"/>
      <c r="HIS56" s="53"/>
      <c r="HIT56" s="53"/>
      <c r="HIU56" s="53"/>
      <c r="HIV56" s="53"/>
      <c r="HIW56" s="53"/>
      <c r="HIX56" s="53"/>
      <c r="HIY56" s="53"/>
      <c r="HIZ56" s="53"/>
      <c r="HJA56" s="53"/>
      <c r="HJB56" s="53"/>
      <c r="HJC56" s="53"/>
      <c r="HJD56" s="53"/>
      <c r="HJE56" s="53"/>
      <c r="HJF56" s="53"/>
      <c r="HJG56" s="53"/>
      <c r="HJH56" s="53"/>
      <c r="HJI56" s="53"/>
      <c r="HJJ56" s="53"/>
      <c r="HJK56" s="53"/>
      <c r="HJL56" s="53"/>
      <c r="HJM56" s="53"/>
      <c r="HJN56" s="53"/>
      <c r="HJO56" s="53"/>
      <c r="HJP56" s="53"/>
      <c r="HJQ56" s="53"/>
      <c r="HJR56" s="53"/>
      <c r="HJS56" s="53"/>
      <c r="HJT56" s="53"/>
      <c r="HJU56" s="53"/>
      <c r="HJV56" s="53"/>
      <c r="HJW56" s="53"/>
      <c r="HJX56" s="53"/>
      <c r="HJY56" s="53"/>
      <c r="HJZ56" s="53"/>
      <c r="HKA56" s="53"/>
      <c r="HKB56" s="53"/>
      <c r="HKC56" s="53"/>
      <c r="HKD56" s="53"/>
      <c r="HKE56" s="53"/>
      <c r="HKF56" s="53"/>
      <c r="HKG56" s="53"/>
      <c r="HKH56" s="53"/>
      <c r="HKI56" s="53"/>
      <c r="HKJ56" s="53"/>
      <c r="HKK56" s="53"/>
      <c r="HKL56" s="53"/>
      <c r="HKM56" s="53"/>
      <c r="HKN56" s="53"/>
      <c r="HKO56" s="53"/>
      <c r="HKP56" s="53"/>
      <c r="HKQ56" s="53"/>
      <c r="HKR56" s="53"/>
      <c r="HKS56" s="53"/>
      <c r="HKT56" s="53"/>
      <c r="HKU56" s="53"/>
      <c r="HKV56" s="53"/>
      <c r="HKW56" s="53"/>
      <c r="HKX56" s="53"/>
      <c r="HKY56" s="53"/>
      <c r="HKZ56" s="53"/>
      <c r="HLA56" s="53"/>
      <c r="HLB56" s="53"/>
      <c r="HLC56" s="53"/>
      <c r="HLD56" s="53"/>
      <c r="HLE56" s="53"/>
      <c r="HLF56" s="53"/>
      <c r="HLG56" s="53"/>
      <c r="HLH56" s="53"/>
      <c r="HLI56" s="53"/>
      <c r="HLJ56" s="53"/>
      <c r="HLK56" s="53"/>
      <c r="HLL56" s="53"/>
      <c r="HLM56" s="53"/>
      <c r="HLN56" s="53"/>
      <c r="HLO56" s="53"/>
      <c r="HLP56" s="53"/>
      <c r="HLQ56" s="53"/>
      <c r="HLR56" s="53"/>
      <c r="HLS56" s="53"/>
      <c r="HLT56" s="53"/>
      <c r="HLU56" s="53"/>
      <c r="HLV56" s="53"/>
      <c r="HLW56" s="53"/>
      <c r="HLX56" s="53"/>
      <c r="HLY56" s="53"/>
      <c r="HLZ56" s="53"/>
      <c r="HMA56" s="53"/>
      <c r="HMB56" s="53"/>
      <c r="HMC56" s="53"/>
      <c r="HMD56" s="53"/>
      <c r="HME56" s="53"/>
      <c r="HMF56" s="53"/>
      <c r="HMG56" s="53"/>
      <c r="HMH56" s="53"/>
      <c r="HMI56" s="53"/>
      <c r="HMJ56" s="53"/>
      <c r="HMK56" s="53"/>
      <c r="HML56" s="53"/>
      <c r="HMM56" s="53"/>
      <c r="HMN56" s="53"/>
      <c r="HMO56" s="53"/>
      <c r="HMP56" s="53"/>
      <c r="HMQ56" s="53"/>
      <c r="HMR56" s="53"/>
      <c r="HMS56" s="53"/>
      <c r="HMT56" s="53"/>
      <c r="HMU56" s="53"/>
      <c r="HMV56" s="53"/>
      <c r="HMW56" s="53"/>
      <c r="HMX56" s="53"/>
      <c r="HMY56" s="53"/>
      <c r="HMZ56" s="53"/>
      <c r="HNA56" s="53"/>
      <c r="HNB56" s="53"/>
      <c r="HNC56" s="53"/>
      <c r="HND56" s="53"/>
      <c r="HNE56" s="53"/>
      <c r="HNF56" s="53"/>
      <c r="HNG56" s="53"/>
      <c r="HNH56" s="53"/>
      <c r="HNI56" s="53"/>
      <c r="HNJ56" s="53"/>
      <c r="HNK56" s="53"/>
      <c r="HNL56" s="53"/>
      <c r="HNM56" s="53"/>
      <c r="HNN56" s="53"/>
      <c r="HNO56" s="53"/>
      <c r="HNP56" s="53"/>
      <c r="HNQ56" s="53"/>
      <c r="HNR56" s="53"/>
      <c r="HNS56" s="53"/>
      <c r="HNT56" s="53"/>
      <c r="HNU56" s="53"/>
      <c r="HNV56" s="53"/>
      <c r="HNW56" s="53"/>
      <c r="HNX56" s="53"/>
      <c r="HNY56" s="53"/>
      <c r="HNZ56" s="53"/>
      <c r="HOA56" s="53"/>
      <c r="HOB56" s="53"/>
      <c r="HOC56" s="53"/>
      <c r="HOD56" s="53"/>
      <c r="HOE56" s="53"/>
      <c r="HOF56" s="53"/>
      <c r="HOG56" s="53"/>
      <c r="HOH56" s="53"/>
      <c r="HOI56" s="53"/>
      <c r="HOJ56" s="53"/>
      <c r="HOK56" s="53"/>
      <c r="HOL56" s="53"/>
      <c r="HOM56" s="53"/>
      <c r="HON56" s="53"/>
      <c r="HOO56" s="53"/>
      <c r="HOP56" s="53"/>
      <c r="HOQ56" s="53"/>
      <c r="HOR56" s="53"/>
      <c r="HOS56" s="53"/>
      <c r="HOT56" s="53"/>
      <c r="HOU56" s="53"/>
      <c r="HOV56" s="53"/>
      <c r="HOW56" s="53"/>
      <c r="HOX56" s="53"/>
      <c r="HOY56" s="53"/>
      <c r="HOZ56" s="53"/>
      <c r="HPA56" s="53"/>
      <c r="HPB56" s="53"/>
      <c r="HPC56" s="53"/>
      <c r="HPD56" s="53"/>
      <c r="HPE56" s="53"/>
      <c r="HPF56" s="53"/>
      <c r="HPG56" s="53"/>
      <c r="HPH56" s="53"/>
      <c r="HPI56" s="53"/>
      <c r="HPJ56" s="53"/>
      <c r="HPK56" s="53"/>
      <c r="HPL56" s="53"/>
      <c r="HPM56" s="53"/>
      <c r="HPN56" s="53"/>
      <c r="HPO56" s="53"/>
      <c r="HPP56" s="53"/>
      <c r="HPQ56" s="53"/>
      <c r="HPR56" s="53"/>
      <c r="HPS56" s="53"/>
      <c r="HPT56" s="53"/>
      <c r="HPU56" s="53"/>
      <c r="HPV56" s="53"/>
      <c r="HPW56" s="53"/>
      <c r="HPX56" s="53"/>
      <c r="HPY56" s="53"/>
      <c r="HPZ56" s="53"/>
      <c r="HQA56" s="53"/>
      <c r="HQB56" s="53"/>
      <c r="HQC56" s="53"/>
      <c r="HQD56" s="53"/>
      <c r="HQE56" s="53"/>
      <c r="HQF56" s="53"/>
      <c r="HQG56" s="53"/>
      <c r="HQH56" s="53"/>
      <c r="HQI56" s="53"/>
      <c r="HQJ56" s="53"/>
      <c r="HQK56" s="53"/>
      <c r="HQL56" s="53"/>
      <c r="HQM56" s="53"/>
      <c r="HQN56" s="53"/>
      <c r="HQO56" s="53"/>
      <c r="HQP56" s="53"/>
      <c r="HQQ56" s="53"/>
      <c r="HQR56" s="53"/>
      <c r="HQS56" s="53"/>
      <c r="HQT56" s="53"/>
      <c r="HQU56" s="53"/>
      <c r="HQV56" s="53"/>
      <c r="HQW56" s="53"/>
      <c r="HQX56" s="53"/>
      <c r="HQY56" s="53"/>
      <c r="HQZ56" s="53"/>
      <c r="HRA56" s="53"/>
      <c r="HRB56" s="53"/>
      <c r="HRC56" s="53"/>
      <c r="HRD56" s="53"/>
      <c r="HRE56" s="53"/>
      <c r="HRF56" s="53"/>
      <c r="HRG56" s="53"/>
      <c r="HRH56" s="53"/>
      <c r="HRI56" s="53"/>
      <c r="HRJ56" s="53"/>
      <c r="HRK56" s="53"/>
      <c r="HRL56" s="53"/>
      <c r="HRM56" s="53"/>
      <c r="HRN56" s="53"/>
      <c r="HRO56" s="53"/>
      <c r="HRP56" s="53"/>
      <c r="HRQ56" s="53"/>
      <c r="HRR56" s="53"/>
      <c r="HRS56" s="53"/>
      <c r="HRT56" s="53"/>
      <c r="HRU56" s="53"/>
      <c r="HRV56" s="53"/>
      <c r="HRW56" s="53"/>
      <c r="HRX56" s="53"/>
      <c r="HRY56" s="53"/>
      <c r="HRZ56" s="53"/>
      <c r="HSA56" s="53"/>
      <c r="HSB56" s="53"/>
      <c r="HSC56" s="53"/>
      <c r="HSD56" s="53"/>
      <c r="HSE56" s="53"/>
      <c r="HSF56" s="53"/>
      <c r="HSG56" s="53"/>
      <c r="HSH56" s="53"/>
      <c r="HSI56" s="53"/>
      <c r="HSJ56" s="53"/>
      <c r="HSK56" s="53"/>
      <c r="HSL56" s="53"/>
      <c r="HSM56" s="53"/>
      <c r="HSN56" s="53"/>
      <c r="HSO56" s="53"/>
      <c r="HSP56" s="53"/>
      <c r="HSQ56" s="53"/>
      <c r="HSR56" s="53"/>
      <c r="HSS56" s="53"/>
      <c r="HST56" s="53"/>
      <c r="HSU56" s="53"/>
      <c r="HSV56" s="53"/>
      <c r="HSW56" s="53"/>
      <c r="HSX56" s="53"/>
      <c r="HSY56" s="53"/>
      <c r="HSZ56" s="53"/>
      <c r="HTA56" s="53"/>
      <c r="HTB56" s="53"/>
      <c r="HTC56" s="53"/>
      <c r="HTD56" s="53"/>
      <c r="HTE56" s="53"/>
      <c r="HTF56" s="53"/>
      <c r="HTG56" s="53"/>
      <c r="HTH56" s="53"/>
      <c r="HTI56" s="53"/>
      <c r="HTJ56" s="53"/>
      <c r="HTK56" s="53"/>
      <c r="HTL56" s="53"/>
      <c r="HTM56" s="53"/>
      <c r="HTN56" s="53"/>
      <c r="HTO56" s="53"/>
      <c r="HTP56" s="53"/>
      <c r="HTQ56" s="53"/>
      <c r="HTR56" s="53"/>
      <c r="HTS56" s="53"/>
      <c r="HTT56" s="53"/>
      <c r="HTU56" s="53"/>
      <c r="HTV56" s="53"/>
      <c r="HTW56" s="53"/>
      <c r="HTX56" s="53"/>
      <c r="HTY56" s="53"/>
      <c r="HTZ56" s="53"/>
      <c r="HUA56" s="53"/>
      <c r="HUB56" s="53"/>
      <c r="HUC56" s="53"/>
      <c r="HUD56" s="53"/>
      <c r="HUE56" s="53"/>
      <c r="HUF56" s="53"/>
      <c r="HUG56" s="53"/>
      <c r="HUH56" s="53"/>
      <c r="HUI56" s="53"/>
      <c r="HUJ56" s="53"/>
      <c r="HUK56" s="53"/>
      <c r="HUL56" s="53"/>
      <c r="HUM56" s="53"/>
      <c r="HUN56" s="53"/>
      <c r="HUO56" s="53"/>
      <c r="HUP56" s="53"/>
      <c r="HUQ56" s="53"/>
      <c r="HUR56" s="53"/>
      <c r="HUS56" s="53"/>
      <c r="HUT56" s="53"/>
      <c r="HUU56" s="53"/>
      <c r="HUV56" s="53"/>
      <c r="HUW56" s="53"/>
      <c r="HUX56" s="53"/>
      <c r="HUY56" s="53"/>
      <c r="HUZ56" s="53"/>
      <c r="HVA56" s="53"/>
      <c r="HVB56" s="53"/>
      <c r="HVC56" s="53"/>
      <c r="HVD56" s="53"/>
      <c r="HVE56" s="53"/>
      <c r="HVF56" s="53"/>
      <c r="HVG56" s="53"/>
      <c r="HVH56" s="53"/>
      <c r="HVI56" s="53"/>
      <c r="HVJ56" s="53"/>
      <c r="HVK56" s="53"/>
      <c r="HVL56" s="53"/>
      <c r="HVM56" s="53"/>
      <c r="HVN56" s="53"/>
      <c r="HVO56" s="53"/>
      <c r="HVP56" s="53"/>
      <c r="HVQ56" s="53"/>
      <c r="HVR56" s="53"/>
      <c r="HVS56" s="53"/>
      <c r="HVT56" s="53"/>
      <c r="HVU56" s="53"/>
      <c r="HVV56" s="53"/>
      <c r="HVW56" s="53"/>
      <c r="HVX56" s="53"/>
      <c r="HVY56" s="53"/>
      <c r="HVZ56" s="53"/>
      <c r="HWA56" s="53"/>
      <c r="HWB56" s="53"/>
      <c r="HWC56" s="53"/>
      <c r="HWD56" s="53"/>
      <c r="HWE56" s="53"/>
      <c r="HWF56" s="53"/>
      <c r="HWG56" s="53"/>
      <c r="HWH56" s="53"/>
      <c r="HWI56" s="53"/>
      <c r="HWJ56" s="53"/>
      <c r="HWK56" s="53"/>
      <c r="HWL56" s="53"/>
      <c r="HWM56" s="53"/>
      <c r="HWN56" s="53"/>
      <c r="HWO56" s="53"/>
      <c r="HWP56" s="53"/>
      <c r="HWQ56" s="53"/>
      <c r="HWR56" s="53"/>
      <c r="HWS56" s="53"/>
      <c r="HWT56" s="53"/>
      <c r="HWU56" s="53"/>
      <c r="HWV56" s="53"/>
      <c r="HWW56" s="53"/>
      <c r="HWX56" s="53"/>
      <c r="HWY56" s="53"/>
      <c r="HWZ56" s="53"/>
      <c r="HXA56" s="53"/>
      <c r="HXB56" s="53"/>
      <c r="HXC56" s="53"/>
      <c r="HXD56" s="53"/>
      <c r="HXE56" s="53"/>
      <c r="HXF56" s="53"/>
      <c r="HXG56" s="53"/>
      <c r="HXH56" s="53"/>
      <c r="HXI56" s="53"/>
      <c r="HXJ56" s="53"/>
      <c r="HXK56" s="53"/>
      <c r="HXL56" s="53"/>
      <c r="HXM56" s="53"/>
      <c r="HXN56" s="53"/>
      <c r="HXO56" s="53"/>
      <c r="HXP56" s="53"/>
      <c r="HXQ56" s="53"/>
      <c r="HXR56" s="53"/>
      <c r="HXS56" s="53"/>
      <c r="HXT56" s="53"/>
      <c r="HXU56" s="53"/>
      <c r="HXV56" s="53"/>
      <c r="HXW56" s="53"/>
      <c r="HXX56" s="53"/>
      <c r="HXY56" s="53"/>
      <c r="HXZ56" s="53"/>
      <c r="HYA56" s="53"/>
      <c r="HYB56" s="53"/>
      <c r="HYC56" s="53"/>
      <c r="HYD56" s="53"/>
      <c r="HYE56" s="53"/>
      <c r="HYF56" s="53"/>
      <c r="HYG56" s="53"/>
      <c r="HYH56" s="53"/>
      <c r="HYI56" s="53"/>
      <c r="HYJ56" s="53"/>
      <c r="HYK56" s="53"/>
      <c r="HYL56" s="53"/>
      <c r="HYM56" s="53"/>
      <c r="HYN56" s="53"/>
      <c r="HYO56" s="53"/>
      <c r="HYP56" s="53"/>
      <c r="HYQ56" s="53"/>
      <c r="HYR56" s="53"/>
      <c r="HYS56" s="53"/>
      <c r="HYT56" s="53"/>
      <c r="HYU56" s="53"/>
      <c r="HYV56" s="53"/>
      <c r="HYW56" s="53"/>
      <c r="HYX56" s="53"/>
      <c r="HYY56" s="53"/>
      <c r="HYZ56" s="53"/>
      <c r="HZA56" s="53"/>
      <c r="HZB56" s="53"/>
      <c r="HZC56" s="53"/>
      <c r="HZD56" s="53"/>
      <c r="HZE56" s="53"/>
      <c r="HZF56" s="53"/>
      <c r="HZG56" s="53"/>
      <c r="HZH56" s="53"/>
      <c r="HZI56" s="53"/>
      <c r="HZJ56" s="53"/>
      <c r="HZK56" s="53"/>
      <c r="HZL56" s="53"/>
      <c r="HZM56" s="53"/>
      <c r="HZN56" s="53"/>
      <c r="HZO56" s="53"/>
      <c r="HZP56" s="53"/>
      <c r="HZQ56" s="53"/>
      <c r="HZR56" s="53"/>
      <c r="HZS56" s="53"/>
      <c r="HZT56" s="53"/>
      <c r="HZU56" s="53"/>
      <c r="HZV56" s="53"/>
      <c r="HZW56" s="53"/>
      <c r="HZX56" s="53"/>
      <c r="HZY56" s="53"/>
      <c r="HZZ56" s="53"/>
      <c r="IAA56" s="53"/>
      <c r="IAB56" s="53"/>
      <c r="IAC56" s="53"/>
      <c r="IAD56" s="53"/>
      <c r="IAE56" s="53"/>
      <c r="IAF56" s="53"/>
      <c r="IAG56" s="53"/>
      <c r="IAH56" s="53"/>
      <c r="IAI56" s="53"/>
      <c r="IAJ56" s="53"/>
      <c r="IAK56" s="53"/>
      <c r="IAL56" s="53"/>
      <c r="IAM56" s="53"/>
      <c r="IAN56" s="53"/>
      <c r="IAO56" s="53"/>
      <c r="IAP56" s="53"/>
      <c r="IAQ56" s="53"/>
      <c r="IAR56" s="53"/>
      <c r="IAS56" s="53"/>
      <c r="IAT56" s="53"/>
      <c r="IAU56" s="53"/>
      <c r="IAV56" s="53"/>
      <c r="IAW56" s="53"/>
      <c r="IAX56" s="53"/>
      <c r="IAY56" s="53"/>
      <c r="IAZ56" s="53"/>
      <c r="IBA56" s="53"/>
      <c r="IBB56" s="53"/>
      <c r="IBC56" s="53"/>
      <c r="IBD56" s="53"/>
      <c r="IBE56" s="53"/>
      <c r="IBF56" s="53"/>
      <c r="IBG56" s="53"/>
      <c r="IBH56" s="53"/>
      <c r="IBI56" s="53"/>
      <c r="IBJ56" s="53"/>
      <c r="IBK56" s="53"/>
      <c r="IBL56" s="53"/>
      <c r="IBM56" s="53"/>
      <c r="IBN56" s="53"/>
      <c r="IBO56" s="53"/>
      <c r="IBP56" s="53"/>
      <c r="IBQ56" s="53"/>
      <c r="IBR56" s="53"/>
      <c r="IBS56" s="53"/>
      <c r="IBT56" s="53"/>
      <c r="IBU56" s="53"/>
      <c r="IBV56" s="53"/>
      <c r="IBW56" s="53"/>
      <c r="IBX56" s="53"/>
      <c r="IBY56" s="53"/>
      <c r="IBZ56" s="53"/>
      <c r="ICA56" s="53"/>
      <c r="ICB56" s="53"/>
      <c r="ICC56" s="53"/>
      <c r="ICD56" s="53"/>
      <c r="ICE56" s="53"/>
      <c r="ICF56" s="53"/>
      <c r="ICG56" s="53"/>
      <c r="ICH56" s="53"/>
      <c r="ICI56" s="53"/>
      <c r="ICJ56" s="53"/>
      <c r="ICK56" s="53"/>
      <c r="ICL56" s="53"/>
      <c r="ICM56" s="53"/>
      <c r="ICN56" s="53"/>
      <c r="ICO56" s="53"/>
      <c r="ICP56" s="53"/>
      <c r="ICQ56" s="53"/>
      <c r="ICR56" s="53"/>
      <c r="ICS56" s="53"/>
      <c r="ICT56" s="53"/>
      <c r="ICU56" s="53"/>
      <c r="ICV56" s="53"/>
      <c r="ICW56" s="53"/>
      <c r="ICX56" s="53"/>
      <c r="ICY56" s="53"/>
      <c r="ICZ56" s="53"/>
      <c r="IDA56" s="53"/>
      <c r="IDB56" s="53"/>
      <c r="IDC56" s="53"/>
      <c r="IDD56" s="53"/>
      <c r="IDE56" s="53"/>
      <c r="IDF56" s="53"/>
      <c r="IDG56" s="53"/>
      <c r="IDH56" s="53"/>
      <c r="IDI56" s="53"/>
      <c r="IDJ56" s="53"/>
      <c r="IDK56" s="53"/>
      <c r="IDL56" s="53"/>
      <c r="IDM56" s="53"/>
      <c r="IDN56" s="53"/>
      <c r="IDO56" s="53"/>
      <c r="IDP56" s="53"/>
      <c r="IDQ56" s="53"/>
      <c r="IDR56" s="53"/>
      <c r="IDS56" s="53"/>
      <c r="IDT56" s="53"/>
      <c r="IDU56" s="53"/>
      <c r="IDV56" s="53"/>
      <c r="IDW56" s="53"/>
      <c r="IDX56" s="53"/>
      <c r="IDY56" s="53"/>
      <c r="IDZ56" s="53"/>
      <c r="IEA56" s="53"/>
      <c r="IEB56" s="53"/>
      <c r="IEC56" s="53"/>
      <c r="IED56" s="53"/>
      <c r="IEE56" s="53"/>
      <c r="IEF56" s="53"/>
      <c r="IEG56" s="53"/>
      <c r="IEH56" s="53"/>
      <c r="IEI56" s="53"/>
      <c r="IEJ56" s="53"/>
      <c r="IEK56" s="53"/>
      <c r="IEL56" s="53"/>
      <c r="IEM56" s="53"/>
      <c r="IEN56" s="53"/>
      <c r="IEO56" s="53"/>
      <c r="IEP56" s="53"/>
      <c r="IEQ56" s="53"/>
      <c r="IER56" s="53"/>
      <c r="IES56" s="53"/>
      <c r="IET56" s="53"/>
      <c r="IEU56" s="53"/>
      <c r="IEV56" s="53"/>
      <c r="IEW56" s="53"/>
      <c r="IEX56" s="53"/>
      <c r="IEY56" s="53"/>
      <c r="IEZ56" s="53"/>
      <c r="IFA56" s="53"/>
      <c r="IFB56" s="53"/>
      <c r="IFC56" s="53"/>
      <c r="IFD56" s="53"/>
      <c r="IFE56" s="53"/>
      <c r="IFF56" s="53"/>
      <c r="IFG56" s="53"/>
      <c r="IFH56" s="53"/>
      <c r="IFI56" s="53"/>
      <c r="IFJ56" s="53"/>
      <c r="IFK56" s="53"/>
      <c r="IFL56" s="53"/>
      <c r="IFM56" s="53"/>
      <c r="IFN56" s="53"/>
      <c r="IFO56" s="53"/>
      <c r="IFP56" s="53"/>
      <c r="IFQ56" s="53"/>
      <c r="IFR56" s="53"/>
      <c r="IFS56" s="53"/>
      <c r="IFT56" s="53"/>
      <c r="IFU56" s="53"/>
      <c r="IFV56" s="53"/>
      <c r="IFW56" s="53"/>
      <c r="IFX56" s="53"/>
      <c r="IFY56" s="53"/>
      <c r="IFZ56" s="53"/>
      <c r="IGA56" s="53"/>
      <c r="IGB56" s="53"/>
      <c r="IGC56" s="53"/>
      <c r="IGD56" s="53"/>
      <c r="IGE56" s="53"/>
      <c r="IGF56" s="53"/>
      <c r="IGG56" s="53"/>
      <c r="IGH56" s="53"/>
      <c r="IGI56" s="53"/>
      <c r="IGJ56" s="53"/>
      <c r="IGK56" s="53"/>
      <c r="IGL56" s="53"/>
      <c r="IGM56" s="53"/>
      <c r="IGN56" s="53"/>
      <c r="IGO56" s="53"/>
      <c r="IGP56" s="53"/>
      <c r="IGQ56" s="53"/>
      <c r="IGR56" s="53"/>
      <c r="IGS56" s="53"/>
      <c r="IGT56" s="53"/>
      <c r="IGU56" s="53"/>
      <c r="IGV56" s="53"/>
      <c r="IGW56" s="53"/>
      <c r="IGX56" s="53"/>
      <c r="IGY56" s="53"/>
      <c r="IGZ56" s="53"/>
      <c r="IHA56" s="53"/>
      <c r="IHB56" s="53"/>
      <c r="IHC56" s="53"/>
      <c r="IHD56" s="53"/>
      <c r="IHE56" s="53"/>
      <c r="IHF56" s="53"/>
      <c r="IHG56" s="53"/>
      <c r="IHH56" s="53"/>
      <c r="IHI56" s="53"/>
      <c r="IHJ56" s="53"/>
      <c r="IHK56" s="53"/>
      <c r="IHL56" s="53"/>
      <c r="IHM56" s="53"/>
      <c r="IHN56" s="53"/>
      <c r="IHO56" s="53"/>
      <c r="IHP56" s="53"/>
      <c r="IHQ56" s="53"/>
      <c r="IHR56" s="53"/>
      <c r="IHS56" s="53"/>
      <c r="IHT56" s="53"/>
      <c r="IHU56" s="53"/>
      <c r="IHV56" s="53"/>
      <c r="IHW56" s="53"/>
      <c r="IHX56" s="53"/>
      <c r="IHY56" s="53"/>
      <c r="IHZ56" s="53"/>
      <c r="IIA56" s="53"/>
      <c r="IIB56" s="53"/>
      <c r="IIC56" s="53"/>
      <c r="IID56" s="53"/>
      <c r="IIE56" s="53"/>
      <c r="IIF56" s="53"/>
      <c r="IIG56" s="53"/>
      <c r="IIH56" s="53"/>
      <c r="III56" s="53"/>
      <c r="IIJ56" s="53"/>
      <c r="IIK56" s="53"/>
      <c r="IIL56" s="53"/>
      <c r="IIM56" s="53"/>
      <c r="IIN56" s="53"/>
      <c r="IIO56" s="53"/>
      <c r="IIP56" s="53"/>
      <c r="IIQ56" s="53"/>
      <c r="IIR56" s="53"/>
      <c r="IIS56" s="53"/>
      <c r="IIT56" s="53"/>
      <c r="IIU56" s="53"/>
      <c r="IIV56" s="53"/>
      <c r="IIW56" s="53"/>
      <c r="IIX56" s="53"/>
      <c r="IIY56" s="53"/>
      <c r="IIZ56" s="53"/>
      <c r="IJA56" s="53"/>
      <c r="IJB56" s="53"/>
      <c r="IJC56" s="53"/>
      <c r="IJD56" s="53"/>
      <c r="IJE56" s="53"/>
      <c r="IJF56" s="53"/>
      <c r="IJG56" s="53"/>
      <c r="IJH56" s="53"/>
      <c r="IJI56" s="53"/>
      <c r="IJJ56" s="53"/>
      <c r="IJK56" s="53"/>
      <c r="IJL56" s="53"/>
      <c r="IJM56" s="53"/>
      <c r="IJN56" s="53"/>
      <c r="IJO56" s="53"/>
      <c r="IJP56" s="53"/>
      <c r="IJQ56" s="53"/>
      <c r="IJR56" s="53"/>
      <c r="IJS56" s="53"/>
      <c r="IJT56" s="53"/>
      <c r="IJU56" s="53"/>
      <c r="IJV56" s="53"/>
      <c r="IJW56" s="53"/>
      <c r="IJX56" s="53"/>
      <c r="IJY56" s="53"/>
      <c r="IJZ56" s="53"/>
      <c r="IKA56" s="53"/>
      <c r="IKB56" s="53"/>
      <c r="IKC56" s="53"/>
      <c r="IKD56" s="53"/>
      <c r="IKE56" s="53"/>
      <c r="IKF56" s="53"/>
      <c r="IKG56" s="53"/>
      <c r="IKH56" s="53"/>
      <c r="IKI56" s="53"/>
      <c r="IKJ56" s="53"/>
      <c r="IKK56" s="53"/>
      <c r="IKL56" s="53"/>
      <c r="IKM56" s="53"/>
      <c r="IKN56" s="53"/>
      <c r="IKO56" s="53"/>
      <c r="IKP56" s="53"/>
      <c r="IKQ56" s="53"/>
      <c r="IKR56" s="53"/>
      <c r="IKS56" s="53"/>
      <c r="IKT56" s="53"/>
      <c r="IKU56" s="53"/>
      <c r="IKV56" s="53"/>
      <c r="IKW56" s="53"/>
      <c r="IKX56" s="53"/>
      <c r="IKY56" s="53"/>
      <c r="IKZ56" s="53"/>
      <c r="ILA56" s="53"/>
      <c r="ILB56" s="53"/>
      <c r="ILC56" s="53"/>
      <c r="ILD56" s="53"/>
      <c r="ILE56" s="53"/>
      <c r="ILF56" s="53"/>
      <c r="ILG56" s="53"/>
      <c r="ILH56" s="53"/>
      <c r="ILI56" s="53"/>
      <c r="ILJ56" s="53"/>
      <c r="ILK56" s="53"/>
      <c r="ILL56" s="53"/>
      <c r="ILM56" s="53"/>
      <c r="ILN56" s="53"/>
      <c r="ILO56" s="53"/>
      <c r="ILP56" s="53"/>
      <c r="ILQ56" s="53"/>
      <c r="ILR56" s="53"/>
      <c r="ILS56" s="53"/>
      <c r="ILT56" s="53"/>
      <c r="ILU56" s="53"/>
      <c r="ILV56" s="53"/>
      <c r="ILW56" s="53"/>
      <c r="ILX56" s="53"/>
      <c r="ILY56" s="53"/>
      <c r="ILZ56" s="53"/>
      <c r="IMA56" s="53"/>
      <c r="IMB56" s="53"/>
      <c r="IMC56" s="53"/>
      <c r="IMD56" s="53"/>
      <c r="IME56" s="53"/>
      <c r="IMF56" s="53"/>
      <c r="IMG56" s="53"/>
      <c r="IMH56" s="53"/>
      <c r="IMI56" s="53"/>
      <c r="IMJ56" s="53"/>
      <c r="IMK56" s="53"/>
      <c r="IML56" s="53"/>
      <c r="IMM56" s="53"/>
      <c r="IMN56" s="53"/>
      <c r="IMO56" s="53"/>
      <c r="IMP56" s="53"/>
      <c r="IMQ56" s="53"/>
      <c r="IMR56" s="53"/>
      <c r="IMS56" s="53"/>
      <c r="IMT56" s="53"/>
      <c r="IMU56" s="53"/>
      <c r="IMV56" s="53"/>
      <c r="IMW56" s="53"/>
      <c r="IMX56" s="53"/>
      <c r="IMY56" s="53"/>
      <c r="IMZ56" s="53"/>
      <c r="INA56" s="53"/>
      <c r="INB56" s="53"/>
      <c r="INC56" s="53"/>
      <c r="IND56" s="53"/>
      <c r="INE56" s="53"/>
      <c r="INF56" s="53"/>
      <c r="ING56" s="53"/>
      <c r="INH56" s="53"/>
      <c r="INI56" s="53"/>
      <c r="INJ56" s="53"/>
      <c r="INK56" s="53"/>
      <c r="INL56" s="53"/>
      <c r="INM56" s="53"/>
      <c r="INN56" s="53"/>
      <c r="INO56" s="53"/>
      <c r="INP56" s="53"/>
      <c r="INQ56" s="53"/>
      <c r="INR56" s="53"/>
      <c r="INS56" s="53"/>
      <c r="INT56" s="53"/>
      <c r="INU56" s="53"/>
      <c r="INV56" s="53"/>
      <c r="INW56" s="53"/>
      <c r="INX56" s="53"/>
      <c r="INY56" s="53"/>
      <c r="INZ56" s="53"/>
      <c r="IOA56" s="53"/>
      <c r="IOB56" s="53"/>
      <c r="IOC56" s="53"/>
      <c r="IOD56" s="53"/>
      <c r="IOE56" s="53"/>
      <c r="IOF56" s="53"/>
      <c r="IOG56" s="53"/>
      <c r="IOH56" s="53"/>
      <c r="IOI56" s="53"/>
      <c r="IOJ56" s="53"/>
      <c r="IOK56" s="53"/>
      <c r="IOL56" s="53"/>
      <c r="IOM56" s="53"/>
      <c r="ION56" s="53"/>
      <c r="IOO56" s="53"/>
      <c r="IOP56" s="53"/>
      <c r="IOQ56" s="53"/>
      <c r="IOR56" s="53"/>
      <c r="IOS56" s="53"/>
      <c r="IOT56" s="53"/>
      <c r="IOU56" s="53"/>
      <c r="IOV56" s="53"/>
      <c r="IOW56" s="53"/>
      <c r="IOX56" s="53"/>
      <c r="IOY56" s="53"/>
      <c r="IOZ56" s="53"/>
      <c r="IPA56" s="53"/>
      <c r="IPB56" s="53"/>
      <c r="IPC56" s="53"/>
      <c r="IPD56" s="53"/>
      <c r="IPE56" s="53"/>
      <c r="IPF56" s="53"/>
      <c r="IPG56" s="53"/>
      <c r="IPH56" s="53"/>
      <c r="IPI56" s="53"/>
      <c r="IPJ56" s="53"/>
      <c r="IPK56" s="53"/>
      <c r="IPL56" s="53"/>
      <c r="IPM56" s="53"/>
      <c r="IPN56" s="53"/>
      <c r="IPO56" s="53"/>
      <c r="IPP56" s="53"/>
      <c r="IPQ56" s="53"/>
      <c r="IPR56" s="53"/>
      <c r="IPS56" s="53"/>
      <c r="IPT56" s="53"/>
      <c r="IPU56" s="53"/>
      <c r="IPV56" s="53"/>
      <c r="IPW56" s="53"/>
      <c r="IPX56" s="53"/>
      <c r="IPY56" s="53"/>
      <c r="IPZ56" s="53"/>
      <c r="IQA56" s="53"/>
      <c r="IQB56" s="53"/>
      <c r="IQC56" s="53"/>
      <c r="IQD56" s="53"/>
      <c r="IQE56" s="53"/>
      <c r="IQF56" s="53"/>
      <c r="IQG56" s="53"/>
      <c r="IQH56" s="53"/>
      <c r="IQI56" s="53"/>
      <c r="IQJ56" s="53"/>
      <c r="IQK56" s="53"/>
      <c r="IQL56" s="53"/>
      <c r="IQM56" s="53"/>
      <c r="IQN56" s="53"/>
      <c r="IQO56" s="53"/>
      <c r="IQP56" s="53"/>
      <c r="IQQ56" s="53"/>
      <c r="IQR56" s="53"/>
      <c r="IQS56" s="53"/>
      <c r="IQT56" s="53"/>
      <c r="IQU56" s="53"/>
      <c r="IQV56" s="53"/>
      <c r="IQW56" s="53"/>
      <c r="IQX56" s="53"/>
      <c r="IQY56" s="53"/>
      <c r="IQZ56" s="53"/>
      <c r="IRA56" s="53"/>
      <c r="IRB56" s="53"/>
      <c r="IRC56" s="53"/>
      <c r="IRD56" s="53"/>
      <c r="IRE56" s="53"/>
      <c r="IRF56" s="53"/>
      <c r="IRG56" s="53"/>
      <c r="IRH56" s="53"/>
      <c r="IRI56" s="53"/>
      <c r="IRJ56" s="53"/>
      <c r="IRK56" s="53"/>
      <c r="IRL56" s="53"/>
      <c r="IRM56" s="53"/>
      <c r="IRN56" s="53"/>
      <c r="IRO56" s="53"/>
      <c r="IRP56" s="53"/>
      <c r="IRQ56" s="53"/>
      <c r="IRR56" s="53"/>
      <c r="IRS56" s="53"/>
      <c r="IRT56" s="53"/>
      <c r="IRU56" s="53"/>
      <c r="IRV56" s="53"/>
      <c r="IRW56" s="53"/>
      <c r="IRX56" s="53"/>
      <c r="IRY56" s="53"/>
      <c r="IRZ56" s="53"/>
      <c r="ISA56" s="53"/>
      <c r="ISB56" s="53"/>
      <c r="ISC56" s="53"/>
      <c r="ISD56" s="53"/>
      <c r="ISE56" s="53"/>
      <c r="ISF56" s="53"/>
      <c r="ISG56" s="53"/>
      <c r="ISH56" s="53"/>
      <c r="ISI56" s="53"/>
      <c r="ISJ56" s="53"/>
      <c r="ISK56" s="53"/>
      <c r="ISL56" s="53"/>
      <c r="ISM56" s="53"/>
      <c r="ISN56" s="53"/>
      <c r="ISO56" s="53"/>
      <c r="ISP56" s="53"/>
      <c r="ISQ56" s="53"/>
      <c r="ISR56" s="53"/>
      <c r="ISS56" s="53"/>
      <c r="IST56" s="53"/>
      <c r="ISU56" s="53"/>
      <c r="ISV56" s="53"/>
      <c r="ISW56" s="53"/>
      <c r="ISX56" s="53"/>
      <c r="ISY56" s="53"/>
      <c r="ISZ56" s="53"/>
      <c r="ITA56" s="53"/>
      <c r="ITB56" s="53"/>
      <c r="ITC56" s="53"/>
      <c r="ITD56" s="53"/>
      <c r="ITE56" s="53"/>
      <c r="ITF56" s="53"/>
      <c r="ITG56" s="53"/>
      <c r="ITH56" s="53"/>
      <c r="ITI56" s="53"/>
      <c r="ITJ56" s="53"/>
      <c r="ITK56" s="53"/>
      <c r="ITL56" s="53"/>
      <c r="ITM56" s="53"/>
      <c r="ITN56" s="53"/>
      <c r="ITO56" s="53"/>
      <c r="ITP56" s="53"/>
      <c r="ITQ56" s="53"/>
      <c r="ITR56" s="53"/>
      <c r="ITS56" s="53"/>
      <c r="ITT56" s="53"/>
      <c r="ITU56" s="53"/>
      <c r="ITV56" s="53"/>
      <c r="ITW56" s="53"/>
      <c r="ITX56" s="53"/>
      <c r="ITY56" s="53"/>
      <c r="ITZ56" s="53"/>
      <c r="IUA56" s="53"/>
      <c r="IUB56" s="53"/>
      <c r="IUC56" s="53"/>
      <c r="IUD56" s="53"/>
      <c r="IUE56" s="53"/>
      <c r="IUF56" s="53"/>
      <c r="IUG56" s="53"/>
      <c r="IUH56" s="53"/>
      <c r="IUI56" s="53"/>
      <c r="IUJ56" s="53"/>
      <c r="IUK56" s="53"/>
      <c r="IUL56" s="53"/>
      <c r="IUM56" s="53"/>
      <c r="IUN56" s="53"/>
      <c r="IUO56" s="53"/>
      <c r="IUP56" s="53"/>
      <c r="IUQ56" s="53"/>
      <c r="IUR56" s="53"/>
      <c r="IUS56" s="53"/>
      <c r="IUT56" s="53"/>
      <c r="IUU56" s="53"/>
      <c r="IUV56" s="53"/>
      <c r="IUW56" s="53"/>
      <c r="IUX56" s="53"/>
      <c r="IUY56" s="53"/>
      <c r="IUZ56" s="53"/>
      <c r="IVA56" s="53"/>
      <c r="IVB56" s="53"/>
      <c r="IVC56" s="53"/>
      <c r="IVD56" s="53"/>
      <c r="IVE56" s="53"/>
      <c r="IVF56" s="53"/>
      <c r="IVG56" s="53"/>
      <c r="IVH56" s="53"/>
      <c r="IVI56" s="53"/>
      <c r="IVJ56" s="53"/>
      <c r="IVK56" s="53"/>
      <c r="IVL56" s="53"/>
      <c r="IVM56" s="53"/>
      <c r="IVN56" s="53"/>
      <c r="IVO56" s="53"/>
      <c r="IVP56" s="53"/>
      <c r="IVQ56" s="53"/>
      <c r="IVR56" s="53"/>
      <c r="IVS56" s="53"/>
      <c r="IVT56" s="53"/>
      <c r="IVU56" s="53"/>
      <c r="IVV56" s="53"/>
      <c r="IVW56" s="53"/>
      <c r="IVX56" s="53"/>
      <c r="IVY56" s="53"/>
      <c r="IVZ56" s="53"/>
      <c r="IWA56" s="53"/>
      <c r="IWB56" s="53"/>
      <c r="IWC56" s="53"/>
      <c r="IWD56" s="53"/>
      <c r="IWE56" s="53"/>
      <c r="IWF56" s="53"/>
      <c r="IWG56" s="53"/>
      <c r="IWH56" s="53"/>
      <c r="IWI56" s="53"/>
      <c r="IWJ56" s="53"/>
      <c r="IWK56" s="53"/>
      <c r="IWL56" s="53"/>
      <c r="IWM56" s="53"/>
      <c r="IWN56" s="53"/>
      <c r="IWO56" s="53"/>
      <c r="IWP56" s="53"/>
      <c r="IWQ56" s="53"/>
      <c r="IWR56" s="53"/>
      <c r="IWS56" s="53"/>
      <c r="IWT56" s="53"/>
      <c r="IWU56" s="53"/>
      <c r="IWV56" s="53"/>
      <c r="IWW56" s="53"/>
      <c r="IWX56" s="53"/>
      <c r="IWY56" s="53"/>
      <c r="IWZ56" s="53"/>
      <c r="IXA56" s="53"/>
      <c r="IXB56" s="53"/>
      <c r="IXC56" s="53"/>
      <c r="IXD56" s="53"/>
      <c r="IXE56" s="53"/>
      <c r="IXF56" s="53"/>
      <c r="IXG56" s="53"/>
      <c r="IXH56" s="53"/>
      <c r="IXI56" s="53"/>
      <c r="IXJ56" s="53"/>
      <c r="IXK56" s="53"/>
      <c r="IXL56" s="53"/>
      <c r="IXM56" s="53"/>
      <c r="IXN56" s="53"/>
      <c r="IXO56" s="53"/>
      <c r="IXP56" s="53"/>
      <c r="IXQ56" s="53"/>
      <c r="IXR56" s="53"/>
      <c r="IXS56" s="53"/>
      <c r="IXT56" s="53"/>
      <c r="IXU56" s="53"/>
      <c r="IXV56" s="53"/>
      <c r="IXW56" s="53"/>
      <c r="IXX56" s="53"/>
      <c r="IXY56" s="53"/>
      <c r="IXZ56" s="53"/>
      <c r="IYA56" s="53"/>
      <c r="IYB56" s="53"/>
      <c r="IYC56" s="53"/>
      <c r="IYD56" s="53"/>
      <c r="IYE56" s="53"/>
      <c r="IYF56" s="53"/>
      <c r="IYG56" s="53"/>
      <c r="IYH56" s="53"/>
      <c r="IYI56" s="53"/>
      <c r="IYJ56" s="53"/>
      <c r="IYK56" s="53"/>
      <c r="IYL56" s="53"/>
      <c r="IYM56" s="53"/>
      <c r="IYN56" s="53"/>
      <c r="IYO56" s="53"/>
      <c r="IYP56" s="53"/>
      <c r="IYQ56" s="53"/>
      <c r="IYR56" s="53"/>
      <c r="IYS56" s="53"/>
      <c r="IYT56" s="53"/>
      <c r="IYU56" s="53"/>
      <c r="IYV56" s="53"/>
      <c r="IYW56" s="53"/>
      <c r="IYX56" s="53"/>
      <c r="IYY56" s="53"/>
      <c r="IYZ56" s="53"/>
      <c r="IZA56" s="53"/>
      <c r="IZB56" s="53"/>
      <c r="IZC56" s="53"/>
      <c r="IZD56" s="53"/>
      <c r="IZE56" s="53"/>
      <c r="IZF56" s="53"/>
      <c r="IZG56" s="53"/>
      <c r="IZH56" s="53"/>
      <c r="IZI56" s="53"/>
      <c r="IZJ56" s="53"/>
      <c r="IZK56" s="53"/>
      <c r="IZL56" s="53"/>
      <c r="IZM56" s="53"/>
      <c r="IZN56" s="53"/>
      <c r="IZO56" s="53"/>
      <c r="IZP56" s="53"/>
      <c r="IZQ56" s="53"/>
      <c r="IZR56" s="53"/>
      <c r="IZS56" s="53"/>
      <c r="IZT56" s="53"/>
      <c r="IZU56" s="53"/>
      <c r="IZV56" s="53"/>
      <c r="IZW56" s="53"/>
      <c r="IZX56" s="53"/>
      <c r="IZY56" s="53"/>
      <c r="IZZ56" s="53"/>
      <c r="JAA56" s="53"/>
      <c r="JAB56" s="53"/>
      <c r="JAC56" s="53"/>
      <c r="JAD56" s="53"/>
      <c r="JAE56" s="53"/>
      <c r="JAF56" s="53"/>
      <c r="JAG56" s="53"/>
      <c r="JAH56" s="53"/>
      <c r="JAI56" s="53"/>
      <c r="JAJ56" s="53"/>
      <c r="JAK56" s="53"/>
      <c r="JAL56" s="53"/>
      <c r="JAM56" s="53"/>
      <c r="JAN56" s="53"/>
      <c r="JAO56" s="53"/>
      <c r="JAP56" s="53"/>
      <c r="JAQ56" s="53"/>
      <c r="JAR56" s="53"/>
      <c r="JAS56" s="53"/>
      <c r="JAT56" s="53"/>
      <c r="JAU56" s="53"/>
      <c r="JAV56" s="53"/>
      <c r="JAW56" s="53"/>
      <c r="JAX56" s="53"/>
      <c r="JAY56" s="53"/>
      <c r="JAZ56" s="53"/>
      <c r="JBA56" s="53"/>
      <c r="JBB56" s="53"/>
      <c r="JBC56" s="53"/>
      <c r="JBD56" s="53"/>
      <c r="JBE56" s="53"/>
      <c r="JBF56" s="53"/>
      <c r="JBG56" s="53"/>
      <c r="JBH56" s="53"/>
      <c r="JBI56" s="53"/>
      <c r="JBJ56" s="53"/>
      <c r="JBK56" s="53"/>
      <c r="JBL56" s="53"/>
      <c r="JBM56" s="53"/>
      <c r="JBN56" s="53"/>
      <c r="JBO56" s="53"/>
      <c r="JBP56" s="53"/>
      <c r="JBQ56" s="53"/>
      <c r="JBR56" s="53"/>
      <c r="JBS56" s="53"/>
      <c r="JBT56" s="53"/>
      <c r="JBU56" s="53"/>
      <c r="JBV56" s="53"/>
      <c r="JBW56" s="53"/>
      <c r="JBX56" s="53"/>
      <c r="JBY56" s="53"/>
      <c r="JBZ56" s="53"/>
      <c r="JCA56" s="53"/>
      <c r="JCB56" s="53"/>
      <c r="JCC56" s="53"/>
      <c r="JCD56" s="53"/>
      <c r="JCE56" s="53"/>
      <c r="JCF56" s="53"/>
      <c r="JCG56" s="53"/>
      <c r="JCH56" s="53"/>
      <c r="JCI56" s="53"/>
      <c r="JCJ56" s="53"/>
      <c r="JCK56" s="53"/>
      <c r="JCL56" s="53"/>
      <c r="JCM56" s="53"/>
      <c r="JCN56" s="53"/>
      <c r="JCO56" s="53"/>
      <c r="JCP56" s="53"/>
      <c r="JCQ56" s="53"/>
      <c r="JCR56" s="53"/>
      <c r="JCS56" s="53"/>
      <c r="JCT56" s="53"/>
      <c r="JCU56" s="53"/>
      <c r="JCV56" s="53"/>
      <c r="JCW56" s="53"/>
      <c r="JCX56" s="53"/>
      <c r="JCY56" s="53"/>
      <c r="JCZ56" s="53"/>
      <c r="JDA56" s="53"/>
      <c r="JDB56" s="53"/>
      <c r="JDC56" s="53"/>
      <c r="JDD56" s="53"/>
      <c r="JDE56" s="53"/>
      <c r="JDF56" s="53"/>
      <c r="JDG56" s="53"/>
      <c r="JDH56" s="53"/>
      <c r="JDI56" s="53"/>
      <c r="JDJ56" s="53"/>
      <c r="JDK56" s="53"/>
      <c r="JDL56" s="53"/>
      <c r="JDM56" s="53"/>
      <c r="JDN56" s="53"/>
      <c r="JDO56" s="53"/>
      <c r="JDP56" s="53"/>
      <c r="JDQ56" s="53"/>
      <c r="JDR56" s="53"/>
      <c r="JDS56" s="53"/>
      <c r="JDT56" s="53"/>
      <c r="JDU56" s="53"/>
      <c r="JDV56" s="53"/>
      <c r="JDW56" s="53"/>
      <c r="JDX56" s="53"/>
      <c r="JDY56" s="53"/>
      <c r="JDZ56" s="53"/>
      <c r="JEA56" s="53"/>
      <c r="JEB56" s="53"/>
      <c r="JEC56" s="53"/>
      <c r="JED56" s="53"/>
      <c r="JEE56" s="53"/>
      <c r="JEF56" s="53"/>
      <c r="JEG56" s="53"/>
      <c r="JEH56" s="53"/>
      <c r="JEI56" s="53"/>
      <c r="JEJ56" s="53"/>
      <c r="JEK56" s="53"/>
      <c r="JEL56" s="53"/>
      <c r="JEM56" s="53"/>
      <c r="JEN56" s="53"/>
      <c r="JEO56" s="53"/>
      <c r="JEP56" s="53"/>
      <c r="JEQ56" s="53"/>
      <c r="JER56" s="53"/>
      <c r="JES56" s="53"/>
      <c r="JET56" s="53"/>
      <c r="JEU56" s="53"/>
      <c r="JEV56" s="53"/>
      <c r="JEW56" s="53"/>
      <c r="JEX56" s="53"/>
      <c r="JEY56" s="53"/>
      <c r="JEZ56" s="53"/>
      <c r="JFA56" s="53"/>
      <c r="JFB56" s="53"/>
      <c r="JFC56" s="53"/>
      <c r="JFD56" s="53"/>
      <c r="JFE56" s="53"/>
      <c r="JFF56" s="53"/>
      <c r="JFG56" s="53"/>
      <c r="JFH56" s="53"/>
      <c r="JFI56" s="53"/>
      <c r="JFJ56" s="53"/>
      <c r="JFK56" s="53"/>
      <c r="JFL56" s="53"/>
      <c r="JFM56" s="53"/>
      <c r="JFN56" s="53"/>
      <c r="JFO56" s="53"/>
      <c r="JFP56" s="53"/>
      <c r="JFQ56" s="53"/>
      <c r="JFR56" s="53"/>
      <c r="JFS56" s="53"/>
      <c r="JFT56" s="53"/>
      <c r="JFU56" s="53"/>
      <c r="JFV56" s="53"/>
      <c r="JFW56" s="53"/>
      <c r="JFX56" s="53"/>
      <c r="JFY56" s="53"/>
      <c r="JFZ56" s="53"/>
      <c r="JGA56" s="53"/>
      <c r="JGB56" s="53"/>
      <c r="JGC56" s="53"/>
      <c r="JGD56" s="53"/>
      <c r="JGE56" s="53"/>
      <c r="JGF56" s="53"/>
      <c r="JGG56" s="53"/>
      <c r="JGH56" s="53"/>
      <c r="JGI56" s="53"/>
      <c r="JGJ56" s="53"/>
      <c r="JGK56" s="53"/>
      <c r="JGL56" s="53"/>
      <c r="JGM56" s="53"/>
      <c r="JGN56" s="53"/>
      <c r="JGO56" s="53"/>
      <c r="JGP56" s="53"/>
      <c r="JGQ56" s="53"/>
      <c r="JGR56" s="53"/>
      <c r="JGS56" s="53"/>
      <c r="JGT56" s="53"/>
      <c r="JGU56" s="53"/>
      <c r="JGV56" s="53"/>
      <c r="JGW56" s="53"/>
      <c r="JGX56" s="53"/>
      <c r="JGY56" s="53"/>
      <c r="JGZ56" s="53"/>
      <c r="JHA56" s="53"/>
      <c r="JHB56" s="53"/>
      <c r="JHC56" s="53"/>
      <c r="JHD56" s="53"/>
      <c r="JHE56" s="53"/>
      <c r="JHF56" s="53"/>
      <c r="JHG56" s="53"/>
      <c r="JHH56" s="53"/>
      <c r="JHI56" s="53"/>
      <c r="JHJ56" s="53"/>
      <c r="JHK56" s="53"/>
      <c r="JHL56" s="53"/>
      <c r="JHM56" s="53"/>
      <c r="JHN56" s="53"/>
      <c r="JHO56" s="53"/>
      <c r="JHP56" s="53"/>
      <c r="JHQ56" s="53"/>
      <c r="JHR56" s="53"/>
      <c r="JHS56" s="53"/>
      <c r="JHT56" s="53"/>
      <c r="JHU56" s="53"/>
      <c r="JHV56" s="53"/>
      <c r="JHW56" s="53"/>
      <c r="JHX56" s="53"/>
      <c r="JHY56" s="53"/>
      <c r="JHZ56" s="53"/>
      <c r="JIA56" s="53"/>
      <c r="JIB56" s="53"/>
      <c r="JIC56" s="53"/>
      <c r="JID56" s="53"/>
      <c r="JIE56" s="53"/>
      <c r="JIF56" s="53"/>
      <c r="JIG56" s="53"/>
      <c r="JIH56" s="53"/>
      <c r="JII56" s="53"/>
      <c r="JIJ56" s="53"/>
      <c r="JIK56" s="53"/>
      <c r="JIL56" s="53"/>
      <c r="JIM56" s="53"/>
      <c r="JIN56" s="53"/>
      <c r="JIO56" s="53"/>
      <c r="JIP56" s="53"/>
      <c r="JIQ56" s="53"/>
      <c r="JIR56" s="53"/>
      <c r="JIS56" s="53"/>
      <c r="JIT56" s="53"/>
      <c r="JIU56" s="53"/>
      <c r="JIV56" s="53"/>
      <c r="JIW56" s="53"/>
      <c r="JIX56" s="53"/>
      <c r="JIY56" s="53"/>
      <c r="JIZ56" s="53"/>
      <c r="JJA56" s="53"/>
      <c r="JJB56" s="53"/>
      <c r="JJC56" s="53"/>
      <c r="JJD56" s="53"/>
      <c r="JJE56" s="53"/>
      <c r="JJF56" s="53"/>
      <c r="JJG56" s="53"/>
      <c r="JJH56" s="53"/>
      <c r="JJI56" s="53"/>
      <c r="JJJ56" s="53"/>
      <c r="JJK56" s="53"/>
      <c r="JJL56" s="53"/>
      <c r="JJM56" s="53"/>
      <c r="JJN56" s="53"/>
      <c r="JJO56" s="53"/>
      <c r="JJP56" s="53"/>
      <c r="JJQ56" s="53"/>
      <c r="JJR56" s="53"/>
      <c r="JJS56" s="53"/>
      <c r="JJT56" s="53"/>
      <c r="JJU56" s="53"/>
      <c r="JJV56" s="53"/>
      <c r="JJW56" s="53"/>
      <c r="JJX56" s="53"/>
      <c r="JJY56" s="53"/>
      <c r="JJZ56" s="53"/>
      <c r="JKA56" s="53"/>
      <c r="JKB56" s="53"/>
      <c r="JKC56" s="53"/>
      <c r="JKD56" s="53"/>
      <c r="JKE56" s="53"/>
      <c r="JKF56" s="53"/>
      <c r="JKG56" s="53"/>
      <c r="JKH56" s="53"/>
      <c r="JKI56" s="53"/>
      <c r="JKJ56" s="53"/>
      <c r="JKK56" s="53"/>
      <c r="JKL56" s="53"/>
      <c r="JKM56" s="53"/>
      <c r="JKN56" s="53"/>
      <c r="JKO56" s="53"/>
      <c r="JKP56" s="53"/>
      <c r="JKQ56" s="53"/>
      <c r="JKR56" s="53"/>
      <c r="JKS56" s="53"/>
      <c r="JKT56" s="53"/>
      <c r="JKU56" s="53"/>
      <c r="JKV56" s="53"/>
      <c r="JKW56" s="53"/>
      <c r="JKX56" s="53"/>
      <c r="JKY56" s="53"/>
      <c r="JKZ56" s="53"/>
      <c r="JLA56" s="53"/>
      <c r="JLB56" s="53"/>
      <c r="JLC56" s="53"/>
      <c r="JLD56" s="53"/>
      <c r="JLE56" s="53"/>
      <c r="JLF56" s="53"/>
      <c r="JLG56" s="53"/>
      <c r="JLH56" s="53"/>
      <c r="JLI56" s="53"/>
      <c r="JLJ56" s="53"/>
      <c r="JLK56" s="53"/>
      <c r="JLL56" s="53"/>
      <c r="JLM56" s="53"/>
      <c r="JLN56" s="53"/>
      <c r="JLO56" s="53"/>
      <c r="JLP56" s="53"/>
      <c r="JLQ56" s="53"/>
      <c r="JLR56" s="53"/>
      <c r="JLS56" s="53"/>
      <c r="JLT56" s="53"/>
      <c r="JLU56" s="53"/>
      <c r="JLV56" s="53"/>
      <c r="JLW56" s="53"/>
      <c r="JLX56" s="53"/>
      <c r="JLY56" s="53"/>
      <c r="JLZ56" s="53"/>
      <c r="JMA56" s="53"/>
      <c r="JMB56" s="53"/>
      <c r="JMC56" s="53"/>
      <c r="JMD56" s="53"/>
      <c r="JME56" s="53"/>
      <c r="JMF56" s="53"/>
      <c r="JMG56" s="53"/>
      <c r="JMH56" s="53"/>
      <c r="JMI56" s="53"/>
      <c r="JMJ56" s="53"/>
      <c r="JMK56" s="53"/>
      <c r="JML56" s="53"/>
      <c r="JMM56" s="53"/>
      <c r="JMN56" s="53"/>
      <c r="JMO56" s="53"/>
      <c r="JMP56" s="53"/>
      <c r="JMQ56" s="53"/>
      <c r="JMR56" s="53"/>
      <c r="JMS56" s="53"/>
      <c r="JMT56" s="53"/>
      <c r="JMU56" s="53"/>
      <c r="JMV56" s="53"/>
      <c r="JMW56" s="53"/>
      <c r="JMX56" s="53"/>
      <c r="JMY56" s="53"/>
      <c r="JMZ56" s="53"/>
      <c r="JNA56" s="53"/>
      <c r="JNB56" s="53"/>
      <c r="JNC56" s="53"/>
      <c r="JND56" s="53"/>
      <c r="JNE56" s="53"/>
      <c r="JNF56" s="53"/>
      <c r="JNG56" s="53"/>
      <c r="JNH56" s="53"/>
      <c r="JNI56" s="53"/>
      <c r="JNJ56" s="53"/>
      <c r="JNK56" s="53"/>
      <c r="JNL56" s="53"/>
      <c r="JNM56" s="53"/>
      <c r="JNN56" s="53"/>
      <c r="JNO56" s="53"/>
      <c r="JNP56" s="53"/>
      <c r="JNQ56" s="53"/>
      <c r="JNR56" s="53"/>
      <c r="JNS56" s="53"/>
      <c r="JNT56" s="53"/>
      <c r="JNU56" s="53"/>
      <c r="JNV56" s="53"/>
      <c r="JNW56" s="53"/>
      <c r="JNX56" s="53"/>
      <c r="JNY56" s="53"/>
      <c r="JNZ56" s="53"/>
      <c r="JOA56" s="53"/>
      <c r="JOB56" s="53"/>
      <c r="JOC56" s="53"/>
      <c r="JOD56" s="53"/>
      <c r="JOE56" s="53"/>
      <c r="JOF56" s="53"/>
      <c r="JOG56" s="53"/>
      <c r="JOH56" s="53"/>
      <c r="JOI56" s="53"/>
      <c r="JOJ56" s="53"/>
      <c r="JOK56" s="53"/>
      <c r="JOL56" s="53"/>
      <c r="JOM56" s="53"/>
      <c r="JON56" s="53"/>
      <c r="JOO56" s="53"/>
      <c r="JOP56" s="53"/>
      <c r="JOQ56" s="53"/>
      <c r="JOR56" s="53"/>
      <c r="JOS56" s="53"/>
      <c r="JOT56" s="53"/>
      <c r="JOU56" s="53"/>
      <c r="JOV56" s="53"/>
      <c r="JOW56" s="53"/>
      <c r="JOX56" s="53"/>
      <c r="JOY56" s="53"/>
      <c r="JOZ56" s="53"/>
      <c r="JPA56" s="53"/>
      <c r="JPB56" s="53"/>
      <c r="JPC56" s="53"/>
      <c r="JPD56" s="53"/>
      <c r="JPE56" s="53"/>
      <c r="JPF56" s="53"/>
      <c r="JPG56" s="53"/>
      <c r="JPH56" s="53"/>
      <c r="JPI56" s="53"/>
      <c r="JPJ56" s="53"/>
      <c r="JPK56" s="53"/>
      <c r="JPL56" s="53"/>
      <c r="JPM56" s="53"/>
      <c r="JPN56" s="53"/>
      <c r="JPO56" s="53"/>
      <c r="JPP56" s="53"/>
      <c r="JPQ56" s="53"/>
      <c r="JPR56" s="53"/>
      <c r="JPS56" s="53"/>
      <c r="JPT56" s="53"/>
      <c r="JPU56" s="53"/>
      <c r="JPV56" s="53"/>
      <c r="JPW56" s="53"/>
      <c r="JPX56" s="53"/>
      <c r="JPY56" s="53"/>
      <c r="JPZ56" s="53"/>
      <c r="JQA56" s="53"/>
      <c r="JQB56" s="53"/>
      <c r="JQC56" s="53"/>
      <c r="JQD56" s="53"/>
      <c r="JQE56" s="53"/>
      <c r="JQF56" s="53"/>
      <c r="JQG56" s="53"/>
      <c r="JQH56" s="53"/>
      <c r="JQI56" s="53"/>
      <c r="JQJ56" s="53"/>
      <c r="JQK56" s="53"/>
      <c r="JQL56" s="53"/>
      <c r="JQM56" s="53"/>
      <c r="JQN56" s="53"/>
      <c r="JQO56" s="53"/>
      <c r="JQP56" s="53"/>
      <c r="JQQ56" s="53"/>
      <c r="JQR56" s="53"/>
      <c r="JQS56" s="53"/>
      <c r="JQT56" s="53"/>
      <c r="JQU56" s="53"/>
      <c r="JQV56" s="53"/>
      <c r="JQW56" s="53"/>
      <c r="JQX56" s="53"/>
      <c r="JQY56" s="53"/>
      <c r="JQZ56" s="53"/>
      <c r="JRA56" s="53"/>
      <c r="JRB56" s="53"/>
      <c r="JRC56" s="53"/>
      <c r="JRD56" s="53"/>
      <c r="JRE56" s="53"/>
      <c r="JRF56" s="53"/>
      <c r="JRG56" s="53"/>
      <c r="JRH56" s="53"/>
      <c r="JRI56" s="53"/>
      <c r="JRJ56" s="53"/>
      <c r="JRK56" s="53"/>
      <c r="JRL56" s="53"/>
      <c r="JRM56" s="53"/>
      <c r="JRN56" s="53"/>
      <c r="JRO56" s="53"/>
      <c r="JRP56" s="53"/>
      <c r="JRQ56" s="53"/>
      <c r="JRR56" s="53"/>
      <c r="JRS56" s="53"/>
      <c r="JRT56" s="53"/>
      <c r="JRU56" s="53"/>
      <c r="JRV56" s="53"/>
      <c r="JRW56" s="53"/>
      <c r="JRX56" s="53"/>
      <c r="JRY56" s="53"/>
      <c r="JRZ56" s="53"/>
      <c r="JSA56" s="53"/>
      <c r="JSB56" s="53"/>
      <c r="JSC56" s="53"/>
      <c r="JSD56" s="53"/>
      <c r="JSE56" s="53"/>
      <c r="JSF56" s="53"/>
      <c r="JSG56" s="53"/>
      <c r="JSH56" s="53"/>
      <c r="JSI56" s="53"/>
      <c r="JSJ56" s="53"/>
      <c r="JSK56" s="53"/>
      <c r="JSL56" s="53"/>
      <c r="JSM56" s="53"/>
      <c r="JSN56" s="53"/>
      <c r="JSO56" s="53"/>
      <c r="JSP56" s="53"/>
      <c r="JSQ56" s="53"/>
      <c r="JSR56" s="53"/>
      <c r="JSS56" s="53"/>
      <c r="JST56" s="53"/>
      <c r="JSU56" s="53"/>
      <c r="JSV56" s="53"/>
      <c r="JSW56" s="53"/>
      <c r="JSX56" s="53"/>
      <c r="JSY56" s="53"/>
      <c r="JSZ56" s="53"/>
      <c r="JTA56" s="53"/>
      <c r="JTB56" s="53"/>
      <c r="JTC56" s="53"/>
      <c r="JTD56" s="53"/>
      <c r="JTE56" s="53"/>
      <c r="JTF56" s="53"/>
      <c r="JTG56" s="53"/>
      <c r="JTH56" s="53"/>
      <c r="JTI56" s="53"/>
      <c r="JTJ56" s="53"/>
      <c r="JTK56" s="53"/>
      <c r="JTL56" s="53"/>
      <c r="JTM56" s="53"/>
      <c r="JTN56" s="53"/>
      <c r="JTO56" s="53"/>
      <c r="JTP56" s="53"/>
      <c r="JTQ56" s="53"/>
      <c r="JTR56" s="53"/>
      <c r="JTS56" s="53"/>
      <c r="JTT56" s="53"/>
      <c r="JTU56" s="53"/>
      <c r="JTV56" s="53"/>
      <c r="JTW56" s="53"/>
      <c r="JTX56" s="53"/>
      <c r="JTY56" s="53"/>
      <c r="JTZ56" s="53"/>
      <c r="JUA56" s="53"/>
      <c r="JUB56" s="53"/>
      <c r="JUC56" s="53"/>
      <c r="JUD56" s="53"/>
      <c r="JUE56" s="53"/>
      <c r="JUF56" s="53"/>
      <c r="JUG56" s="53"/>
      <c r="JUH56" s="53"/>
      <c r="JUI56" s="53"/>
      <c r="JUJ56" s="53"/>
      <c r="JUK56" s="53"/>
      <c r="JUL56" s="53"/>
      <c r="JUM56" s="53"/>
      <c r="JUN56" s="53"/>
      <c r="JUO56" s="53"/>
      <c r="JUP56" s="53"/>
      <c r="JUQ56" s="53"/>
      <c r="JUR56" s="53"/>
      <c r="JUS56" s="53"/>
      <c r="JUT56" s="53"/>
      <c r="JUU56" s="53"/>
      <c r="JUV56" s="53"/>
      <c r="JUW56" s="53"/>
      <c r="JUX56" s="53"/>
      <c r="JUY56" s="53"/>
      <c r="JUZ56" s="53"/>
      <c r="JVA56" s="53"/>
      <c r="JVB56" s="53"/>
      <c r="JVC56" s="53"/>
      <c r="JVD56" s="53"/>
      <c r="JVE56" s="53"/>
      <c r="JVF56" s="53"/>
      <c r="JVG56" s="53"/>
      <c r="JVH56" s="53"/>
      <c r="JVI56" s="53"/>
      <c r="JVJ56" s="53"/>
      <c r="JVK56" s="53"/>
      <c r="JVL56" s="53"/>
      <c r="JVM56" s="53"/>
      <c r="JVN56" s="53"/>
      <c r="JVO56" s="53"/>
      <c r="JVP56" s="53"/>
      <c r="JVQ56" s="53"/>
      <c r="JVR56" s="53"/>
      <c r="JVS56" s="53"/>
      <c r="JVT56" s="53"/>
      <c r="JVU56" s="53"/>
      <c r="JVV56" s="53"/>
      <c r="JVW56" s="53"/>
      <c r="JVX56" s="53"/>
      <c r="JVY56" s="53"/>
      <c r="JVZ56" s="53"/>
      <c r="JWA56" s="53"/>
      <c r="JWB56" s="53"/>
      <c r="JWC56" s="53"/>
      <c r="JWD56" s="53"/>
      <c r="JWE56" s="53"/>
      <c r="JWF56" s="53"/>
      <c r="JWG56" s="53"/>
      <c r="JWH56" s="53"/>
      <c r="JWI56" s="53"/>
      <c r="JWJ56" s="53"/>
      <c r="JWK56" s="53"/>
      <c r="JWL56" s="53"/>
      <c r="JWM56" s="53"/>
      <c r="JWN56" s="53"/>
      <c r="JWO56" s="53"/>
      <c r="JWP56" s="53"/>
      <c r="JWQ56" s="53"/>
      <c r="JWR56" s="53"/>
      <c r="JWS56" s="53"/>
      <c r="JWT56" s="53"/>
      <c r="JWU56" s="53"/>
      <c r="JWV56" s="53"/>
      <c r="JWW56" s="53"/>
      <c r="JWX56" s="53"/>
      <c r="JWY56" s="53"/>
      <c r="JWZ56" s="53"/>
      <c r="JXA56" s="53"/>
      <c r="JXB56" s="53"/>
      <c r="JXC56" s="53"/>
      <c r="JXD56" s="53"/>
      <c r="JXE56" s="53"/>
      <c r="JXF56" s="53"/>
      <c r="JXG56" s="53"/>
      <c r="JXH56" s="53"/>
      <c r="JXI56" s="53"/>
      <c r="JXJ56" s="53"/>
      <c r="JXK56" s="53"/>
      <c r="JXL56" s="53"/>
      <c r="JXM56" s="53"/>
      <c r="JXN56" s="53"/>
      <c r="JXO56" s="53"/>
      <c r="JXP56" s="53"/>
      <c r="JXQ56" s="53"/>
      <c r="JXR56" s="53"/>
      <c r="JXS56" s="53"/>
      <c r="JXT56" s="53"/>
      <c r="JXU56" s="53"/>
      <c r="JXV56" s="53"/>
      <c r="JXW56" s="53"/>
      <c r="JXX56" s="53"/>
      <c r="JXY56" s="53"/>
      <c r="JXZ56" s="53"/>
      <c r="JYA56" s="53"/>
      <c r="JYB56" s="53"/>
      <c r="JYC56" s="53"/>
      <c r="JYD56" s="53"/>
      <c r="JYE56" s="53"/>
      <c r="JYF56" s="53"/>
      <c r="JYG56" s="53"/>
      <c r="JYH56" s="53"/>
      <c r="JYI56" s="53"/>
      <c r="JYJ56" s="53"/>
      <c r="JYK56" s="53"/>
      <c r="JYL56" s="53"/>
      <c r="JYM56" s="53"/>
      <c r="JYN56" s="53"/>
      <c r="JYO56" s="53"/>
      <c r="JYP56" s="53"/>
      <c r="JYQ56" s="53"/>
      <c r="JYR56" s="53"/>
      <c r="JYS56" s="53"/>
      <c r="JYT56" s="53"/>
      <c r="JYU56" s="53"/>
      <c r="JYV56" s="53"/>
      <c r="JYW56" s="53"/>
      <c r="JYX56" s="53"/>
      <c r="JYY56" s="53"/>
      <c r="JYZ56" s="53"/>
      <c r="JZA56" s="53"/>
      <c r="JZB56" s="53"/>
      <c r="JZC56" s="53"/>
      <c r="JZD56" s="53"/>
      <c r="JZE56" s="53"/>
      <c r="JZF56" s="53"/>
      <c r="JZG56" s="53"/>
      <c r="JZH56" s="53"/>
      <c r="JZI56" s="53"/>
      <c r="JZJ56" s="53"/>
      <c r="JZK56" s="53"/>
      <c r="JZL56" s="53"/>
      <c r="JZM56" s="53"/>
      <c r="JZN56" s="53"/>
      <c r="JZO56" s="53"/>
      <c r="JZP56" s="53"/>
      <c r="JZQ56" s="53"/>
      <c r="JZR56" s="53"/>
      <c r="JZS56" s="53"/>
      <c r="JZT56" s="53"/>
      <c r="JZU56" s="53"/>
      <c r="JZV56" s="53"/>
      <c r="JZW56" s="53"/>
      <c r="JZX56" s="53"/>
      <c r="JZY56" s="53"/>
      <c r="JZZ56" s="53"/>
      <c r="KAA56" s="53"/>
      <c r="KAB56" s="53"/>
      <c r="KAC56" s="53"/>
      <c r="KAD56" s="53"/>
      <c r="KAE56" s="53"/>
      <c r="KAF56" s="53"/>
      <c r="KAG56" s="53"/>
      <c r="KAH56" s="53"/>
      <c r="KAI56" s="53"/>
      <c r="KAJ56" s="53"/>
      <c r="KAK56" s="53"/>
      <c r="KAL56" s="53"/>
      <c r="KAM56" s="53"/>
      <c r="KAN56" s="53"/>
      <c r="KAO56" s="53"/>
      <c r="KAP56" s="53"/>
      <c r="KAQ56" s="53"/>
      <c r="KAR56" s="53"/>
      <c r="KAS56" s="53"/>
      <c r="KAT56" s="53"/>
      <c r="KAU56" s="53"/>
      <c r="KAV56" s="53"/>
      <c r="KAW56" s="53"/>
      <c r="KAX56" s="53"/>
      <c r="KAY56" s="53"/>
      <c r="KAZ56" s="53"/>
      <c r="KBA56" s="53"/>
      <c r="KBB56" s="53"/>
      <c r="KBC56" s="53"/>
      <c r="KBD56" s="53"/>
      <c r="KBE56" s="53"/>
      <c r="KBF56" s="53"/>
      <c r="KBG56" s="53"/>
      <c r="KBH56" s="53"/>
      <c r="KBI56" s="53"/>
      <c r="KBJ56" s="53"/>
      <c r="KBK56" s="53"/>
      <c r="KBL56" s="53"/>
      <c r="KBM56" s="53"/>
      <c r="KBN56" s="53"/>
      <c r="KBO56" s="53"/>
      <c r="KBP56" s="53"/>
      <c r="KBQ56" s="53"/>
      <c r="KBR56" s="53"/>
      <c r="KBS56" s="53"/>
      <c r="KBT56" s="53"/>
      <c r="KBU56" s="53"/>
      <c r="KBV56" s="53"/>
      <c r="KBW56" s="53"/>
      <c r="KBX56" s="53"/>
      <c r="KBY56" s="53"/>
      <c r="KBZ56" s="53"/>
      <c r="KCA56" s="53"/>
      <c r="KCB56" s="53"/>
      <c r="KCC56" s="53"/>
      <c r="KCD56" s="53"/>
      <c r="KCE56" s="53"/>
      <c r="KCF56" s="53"/>
      <c r="KCG56" s="53"/>
      <c r="KCH56" s="53"/>
      <c r="KCI56" s="53"/>
      <c r="KCJ56" s="53"/>
      <c r="KCK56" s="53"/>
      <c r="KCL56" s="53"/>
      <c r="KCM56" s="53"/>
      <c r="KCN56" s="53"/>
      <c r="KCO56" s="53"/>
      <c r="KCP56" s="53"/>
      <c r="KCQ56" s="53"/>
      <c r="KCR56" s="53"/>
      <c r="KCS56" s="53"/>
      <c r="KCT56" s="53"/>
      <c r="KCU56" s="53"/>
      <c r="KCV56" s="53"/>
      <c r="KCW56" s="53"/>
      <c r="KCX56" s="53"/>
      <c r="KCY56" s="53"/>
      <c r="KCZ56" s="53"/>
      <c r="KDA56" s="53"/>
      <c r="KDB56" s="53"/>
      <c r="KDC56" s="53"/>
      <c r="KDD56" s="53"/>
      <c r="KDE56" s="53"/>
      <c r="KDF56" s="53"/>
      <c r="KDG56" s="53"/>
      <c r="KDH56" s="53"/>
      <c r="KDI56" s="53"/>
      <c r="KDJ56" s="53"/>
      <c r="KDK56" s="53"/>
      <c r="KDL56" s="53"/>
      <c r="KDM56" s="53"/>
      <c r="KDN56" s="53"/>
      <c r="KDO56" s="53"/>
      <c r="KDP56" s="53"/>
      <c r="KDQ56" s="53"/>
      <c r="KDR56" s="53"/>
      <c r="KDS56" s="53"/>
      <c r="KDT56" s="53"/>
      <c r="KDU56" s="53"/>
      <c r="KDV56" s="53"/>
      <c r="KDW56" s="53"/>
      <c r="KDX56" s="53"/>
      <c r="KDY56" s="53"/>
      <c r="KDZ56" s="53"/>
      <c r="KEA56" s="53"/>
      <c r="KEB56" s="53"/>
      <c r="KEC56" s="53"/>
      <c r="KED56" s="53"/>
      <c r="KEE56" s="53"/>
      <c r="KEF56" s="53"/>
      <c r="KEG56" s="53"/>
      <c r="KEH56" s="53"/>
      <c r="KEI56" s="53"/>
      <c r="KEJ56" s="53"/>
      <c r="KEK56" s="53"/>
      <c r="KEL56" s="53"/>
      <c r="KEM56" s="53"/>
      <c r="KEN56" s="53"/>
      <c r="KEO56" s="53"/>
      <c r="KEP56" s="53"/>
      <c r="KEQ56" s="53"/>
      <c r="KER56" s="53"/>
      <c r="KES56" s="53"/>
      <c r="KET56" s="53"/>
      <c r="KEU56" s="53"/>
      <c r="KEV56" s="53"/>
      <c r="KEW56" s="53"/>
      <c r="KEX56" s="53"/>
      <c r="KEY56" s="53"/>
      <c r="KEZ56" s="53"/>
      <c r="KFA56" s="53"/>
      <c r="KFB56" s="53"/>
      <c r="KFC56" s="53"/>
      <c r="KFD56" s="53"/>
      <c r="KFE56" s="53"/>
      <c r="KFF56" s="53"/>
      <c r="KFG56" s="53"/>
      <c r="KFH56" s="53"/>
      <c r="KFI56" s="53"/>
      <c r="KFJ56" s="53"/>
      <c r="KFK56" s="53"/>
      <c r="KFL56" s="53"/>
      <c r="KFM56" s="53"/>
      <c r="KFN56" s="53"/>
      <c r="KFO56" s="53"/>
      <c r="KFP56" s="53"/>
      <c r="KFQ56" s="53"/>
      <c r="KFR56" s="53"/>
      <c r="KFS56" s="53"/>
      <c r="KFT56" s="53"/>
      <c r="KFU56" s="53"/>
      <c r="KFV56" s="53"/>
      <c r="KFW56" s="53"/>
      <c r="KFX56" s="53"/>
      <c r="KFY56" s="53"/>
      <c r="KFZ56" s="53"/>
      <c r="KGA56" s="53"/>
      <c r="KGB56" s="53"/>
      <c r="KGC56" s="53"/>
      <c r="KGD56" s="53"/>
      <c r="KGE56" s="53"/>
      <c r="KGF56" s="53"/>
      <c r="KGG56" s="53"/>
      <c r="KGH56" s="53"/>
      <c r="KGI56" s="53"/>
      <c r="KGJ56" s="53"/>
      <c r="KGK56" s="53"/>
      <c r="KGL56" s="53"/>
      <c r="KGM56" s="53"/>
      <c r="KGN56" s="53"/>
      <c r="KGO56" s="53"/>
      <c r="KGP56" s="53"/>
      <c r="KGQ56" s="53"/>
      <c r="KGR56" s="53"/>
      <c r="KGS56" s="53"/>
      <c r="KGT56" s="53"/>
      <c r="KGU56" s="53"/>
      <c r="KGV56" s="53"/>
      <c r="KGW56" s="53"/>
      <c r="KGX56" s="53"/>
      <c r="KGY56" s="53"/>
      <c r="KGZ56" s="53"/>
      <c r="KHA56" s="53"/>
      <c r="KHB56" s="53"/>
      <c r="KHC56" s="53"/>
      <c r="KHD56" s="53"/>
      <c r="KHE56" s="53"/>
      <c r="KHF56" s="53"/>
      <c r="KHG56" s="53"/>
      <c r="KHH56" s="53"/>
      <c r="KHI56" s="53"/>
      <c r="KHJ56" s="53"/>
      <c r="KHK56" s="53"/>
      <c r="KHL56" s="53"/>
      <c r="KHM56" s="53"/>
      <c r="KHN56" s="53"/>
      <c r="KHO56" s="53"/>
      <c r="KHP56" s="53"/>
      <c r="KHQ56" s="53"/>
      <c r="KHR56" s="53"/>
      <c r="KHS56" s="53"/>
      <c r="KHT56" s="53"/>
      <c r="KHU56" s="53"/>
      <c r="KHV56" s="53"/>
      <c r="KHW56" s="53"/>
      <c r="KHX56" s="53"/>
      <c r="KHY56" s="53"/>
      <c r="KHZ56" s="53"/>
      <c r="KIA56" s="53"/>
      <c r="KIB56" s="53"/>
      <c r="KIC56" s="53"/>
      <c r="KID56" s="53"/>
      <c r="KIE56" s="53"/>
      <c r="KIF56" s="53"/>
      <c r="KIG56" s="53"/>
      <c r="KIH56" s="53"/>
      <c r="KII56" s="53"/>
      <c r="KIJ56" s="53"/>
      <c r="KIK56" s="53"/>
      <c r="KIL56" s="53"/>
      <c r="KIM56" s="53"/>
      <c r="KIN56" s="53"/>
      <c r="KIO56" s="53"/>
      <c r="KIP56" s="53"/>
      <c r="KIQ56" s="53"/>
      <c r="KIR56" s="53"/>
      <c r="KIS56" s="53"/>
      <c r="KIT56" s="53"/>
      <c r="KIU56" s="53"/>
      <c r="KIV56" s="53"/>
      <c r="KIW56" s="53"/>
      <c r="KIX56" s="53"/>
      <c r="KIY56" s="53"/>
      <c r="KIZ56" s="53"/>
      <c r="KJA56" s="53"/>
      <c r="KJB56" s="53"/>
      <c r="KJC56" s="53"/>
      <c r="KJD56" s="53"/>
      <c r="KJE56" s="53"/>
      <c r="KJF56" s="53"/>
      <c r="KJG56" s="53"/>
      <c r="KJH56" s="53"/>
      <c r="KJI56" s="53"/>
      <c r="KJJ56" s="53"/>
      <c r="KJK56" s="53"/>
      <c r="KJL56" s="53"/>
      <c r="KJM56" s="53"/>
      <c r="KJN56" s="53"/>
      <c r="KJO56" s="53"/>
      <c r="KJP56" s="53"/>
      <c r="KJQ56" s="53"/>
      <c r="KJR56" s="53"/>
      <c r="KJS56" s="53"/>
      <c r="KJT56" s="53"/>
      <c r="KJU56" s="53"/>
      <c r="KJV56" s="53"/>
      <c r="KJW56" s="53"/>
      <c r="KJX56" s="53"/>
      <c r="KJY56" s="53"/>
      <c r="KJZ56" s="53"/>
      <c r="KKA56" s="53"/>
      <c r="KKB56" s="53"/>
      <c r="KKC56" s="53"/>
      <c r="KKD56" s="53"/>
      <c r="KKE56" s="53"/>
      <c r="KKF56" s="53"/>
      <c r="KKG56" s="53"/>
      <c r="KKH56" s="53"/>
      <c r="KKI56" s="53"/>
      <c r="KKJ56" s="53"/>
      <c r="KKK56" s="53"/>
      <c r="KKL56" s="53"/>
      <c r="KKM56" s="53"/>
      <c r="KKN56" s="53"/>
      <c r="KKO56" s="53"/>
      <c r="KKP56" s="53"/>
      <c r="KKQ56" s="53"/>
      <c r="KKR56" s="53"/>
      <c r="KKS56" s="53"/>
      <c r="KKT56" s="53"/>
      <c r="KKU56" s="53"/>
      <c r="KKV56" s="53"/>
      <c r="KKW56" s="53"/>
      <c r="KKX56" s="53"/>
      <c r="KKY56" s="53"/>
      <c r="KKZ56" s="53"/>
      <c r="KLA56" s="53"/>
      <c r="KLB56" s="53"/>
      <c r="KLC56" s="53"/>
      <c r="KLD56" s="53"/>
      <c r="KLE56" s="53"/>
      <c r="KLF56" s="53"/>
      <c r="KLG56" s="53"/>
      <c r="KLH56" s="53"/>
      <c r="KLI56" s="53"/>
      <c r="KLJ56" s="53"/>
      <c r="KLK56" s="53"/>
      <c r="KLL56" s="53"/>
      <c r="KLM56" s="53"/>
      <c r="KLN56" s="53"/>
      <c r="KLO56" s="53"/>
      <c r="KLP56" s="53"/>
      <c r="KLQ56" s="53"/>
      <c r="KLR56" s="53"/>
      <c r="KLS56" s="53"/>
      <c r="KLT56" s="53"/>
      <c r="KLU56" s="53"/>
      <c r="KLV56" s="53"/>
      <c r="KLW56" s="53"/>
      <c r="KLX56" s="53"/>
      <c r="KLY56" s="53"/>
      <c r="KLZ56" s="53"/>
      <c r="KMA56" s="53"/>
      <c r="KMB56" s="53"/>
      <c r="KMC56" s="53"/>
      <c r="KMD56" s="53"/>
      <c r="KME56" s="53"/>
      <c r="KMF56" s="53"/>
      <c r="KMG56" s="53"/>
      <c r="KMH56" s="53"/>
      <c r="KMI56" s="53"/>
      <c r="KMJ56" s="53"/>
      <c r="KMK56" s="53"/>
      <c r="KML56" s="53"/>
      <c r="KMM56" s="53"/>
      <c r="KMN56" s="53"/>
      <c r="KMO56" s="53"/>
      <c r="KMP56" s="53"/>
      <c r="KMQ56" s="53"/>
      <c r="KMR56" s="53"/>
      <c r="KMS56" s="53"/>
      <c r="KMT56" s="53"/>
      <c r="KMU56" s="53"/>
      <c r="KMV56" s="53"/>
      <c r="KMW56" s="53"/>
      <c r="KMX56" s="53"/>
      <c r="KMY56" s="53"/>
      <c r="KMZ56" s="53"/>
      <c r="KNA56" s="53"/>
      <c r="KNB56" s="53"/>
      <c r="KNC56" s="53"/>
      <c r="KND56" s="53"/>
      <c r="KNE56" s="53"/>
      <c r="KNF56" s="53"/>
      <c r="KNG56" s="53"/>
      <c r="KNH56" s="53"/>
      <c r="KNI56" s="53"/>
      <c r="KNJ56" s="53"/>
      <c r="KNK56" s="53"/>
      <c r="KNL56" s="53"/>
      <c r="KNM56" s="53"/>
      <c r="KNN56" s="53"/>
      <c r="KNO56" s="53"/>
      <c r="KNP56" s="53"/>
      <c r="KNQ56" s="53"/>
      <c r="KNR56" s="53"/>
      <c r="KNS56" s="53"/>
      <c r="KNT56" s="53"/>
      <c r="KNU56" s="53"/>
      <c r="KNV56" s="53"/>
      <c r="KNW56" s="53"/>
      <c r="KNX56" s="53"/>
      <c r="KNY56" s="53"/>
      <c r="KNZ56" s="53"/>
      <c r="KOA56" s="53"/>
      <c r="KOB56" s="53"/>
      <c r="KOC56" s="53"/>
      <c r="KOD56" s="53"/>
      <c r="KOE56" s="53"/>
      <c r="KOF56" s="53"/>
      <c r="KOG56" s="53"/>
      <c r="KOH56" s="53"/>
      <c r="KOI56" s="53"/>
      <c r="KOJ56" s="53"/>
      <c r="KOK56" s="53"/>
      <c r="KOL56" s="53"/>
      <c r="KOM56" s="53"/>
      <c r="KON56" s="53"/>
      <c r="KOO56" s="53"/>
      <c r="KOP56" s="53"/>
      <c r="KOQ56" s="53"/>
      <c r="KOR56" s="53"/>
      <c r="KOS56" s="53"/>
      <c r="KOT56" s="53"/>
      <c r="KOU56" s="53"/>
      <c r="KOV56" s="53"/>
      <c r="KOW56" s="53"/>
      <c r="KOX56" s="53"/>
      <c r="KOY56" s="53"/>
      <c r="KOZ56" s="53"/>
      <c r="KPA56" s="53"/>
      <c r="KPB56" s="53"/>
      <c r="KPC56" s="53"/>
      <c r="KPD56" s="53"/>
      <c r="KPE56" s="53"/>
      <c r="KPF56" s="53"/>
      <c r="KPG56" s="53"/>
      <c r="KPH56" s="53"/>
      <c r="KPI56" s="53"/>
      <c r="KPJ56" s="53"/>
      <c r="KPK56" s="53"/>
      <c r="KPL56" s="53"/>
      <c r="KPM56" s="53"/>
      <c r="KPN56" s="53"/>
      <c r="KPO56" s="53"/>
      <c r="KPP56" s="53"/>
      <c r="KPQ56" s="53"/>
      <c r="KPR56" s="53"/>
      <c r="KPS56" s="53"/>
      <c r="KPT56" s="53"/>
      <c r="KPU56" s="53"/>
      <c r="KPV56" s="53"/>
      <c r="KPW56" s="53"/>
      <c r="KPX56" s="53"/>
      <c r="KPY56" s="53"/>
      <c r="KPZ56" s="53"/>
      <c r="KQA56" s="53"/>
      <c r="KQB56" s="53"/>
      <c r="KQC56" s="53"/>
      <c r="KQD56" s="53"/>
      <c r="KQE56" s="53"/>
      <c r="KQF56" s="53"/>
      <c r="KQG56" s="53"/>
      <c r="KQH56" s="53"/>
      <c r="KQI56" s="53"/>
      <c r="KQJ56" s="53"/>
      <c r="KQK56" s="53"/>
      <c r="KQL56" s="53"/>
      <c r="KQM56" s="53"/>
      <c r="KQN56" s="53"/>
      <c r="KQO56" s="53"/>
      <c r="KQP56" s="53"/>
      <c r="KQQ56" s="53"/>
      <c r="KQR56" s="53"/>
      <c r="KQS56" s="53"/>
      <c r="KQT56" s="53"/>
      <c r="KQU56" s="53"/>
      <c r="KQV56" s="53"/>
      <c r="KQW56" s="53"/>
      <c r="KQX56" s="53"/>
      <c r="KQY56" s="53"/>
      <c r="KQZ56" s="53"/>
      <c r="KRA56" s="53"/>
      <c r="KRB56" s="53"/>
      <c r="KRC56" s="53"/>
      <c r="KRD56" s="53"/>
      <c r="KRE56" s="53"/>
      <c r="KRF56" s="53"/>
      <c r="KRG56" s="53"/>
      <c r="KRH56" s="53"/>
      <c r="KRI56" s="53"/>
      <c r="KRJ56" s="53"/>
      <c r="KRK56" s="53"/>
      <c r="KRL56" s="53"/>
      <c r="KRM56" s="53"/>
      <c r="KRN56" s="53"/>
      <c r="KRO56" s="53"/>
      <c r="KRP56" s="53"/>
      <c r="KRQ56" s="53"/>
      <c r="KRR56" s="53"/>
      <c r="KRS56" s="53"/>
      <c r="KRT56" s="53"/>
      <c r="KRU56" s="53"/>
      <c r="KRV56" s="53"/>
      <c r="KRW56" s="53"/>
      <c r="KRX56" s="53"/>
      <c r="KRY56" s="53"/>
      <c r="KRZ56" s="53"/>
      <c r="KSA56" s="53"/>
      <c r="KSB56" s="53"/>
      <c r="KSC56" s="53"/>
      <c r="KSD56" s="53"/>
      <c r="KSE56" s="53"/>
      <c r="KSF56" s="53"/>
      <c r="KSG56" s="53"/>
      <c r="KSH56" s="53"/>
      <c r="KSI56" s="53"/>
      <c r="KSJ56" s="53"/>
      <c r="KSK56" s="53"/>
      <c r="KSL56" s="53"/>
      <c r="KSM56" s="53"/>
      <c r="KSN56" s="53"/>
      <c r="KSO56" s="53"/>
      <c r="KSP56" s="53"/>
      <c r="KSQ56" s="53"/>
      <c r="KSR56" s="53"/>
      <c r="KSS56" s="53"/>
      <c r="KST56" s="53"/>
      <c r="KSU56" s="53"/>
      <c r="KSV56" s="53"/>
      <c r="KSW56" s="53"/>
      <c r="KSX56" s="53"/>
      <c r="KSY56" s="53"/>
      <c r="KSZ56" s="53"/>
      <c r="KTA56" s="53"/>
      <c r="KTB56" s="53"/>
      <c r="KTC56" s="53"/>
      <c r="KTD56" s="53"/>
      <c r="KTE56" s="53"/>
      <c r="KTF56" s="53"/>
      <c r="KTG56" s="53"/>
      <c r="KTH56" s="53"/>
      <c r="KTI56" s="53"/>
      <c r="KTJ56" s="53"/>
      <c r="KTK56" s="53"/>
      <c r="KTL56" s="53"/>
      <c r="KTM56" s="53"/>
      <c r="KTN56" s="53"/>
      <c r="KTO56" s="53"/>
      <c r="KTP56" s="53"/>
      <c r="KTQ56" s="53"/>
      <c r="KTR56" s="53"/>
      <c r="KTS56" s="53"/>
      <c r="KTT56" s="53"/>
      <c r="KTU56" s="53"/>
      <c r="KTV56" s="53"/>
      <c r="KTW56" s="53"/>
      <c r="KTX56" s="53"/>
      <c r="KTY56" s="53"/>
      <c r="KTZ56" s="53"/>
      <c r="KUA56" s="53"/>
      <c r="KUB56" s="53"/>
      <c r="KUC56" s="53"/>
      <c r="KUD56" s="53"/>
      <c r="KUE56" s="53"/>
      <c r="KUF56" s="53"/>
      <c r="KUG56" s="53"/>
      <c r="KUH56" s="53"/>
      <c r="KUI56" s="53"/>
      <c r="KUJ56" s="53"/>
      <c r="KUK56" s="53"/>
      <c r="KUL56" s="53"/>
      <c r="KUM56" s="53"/>
      <c r="KUN56" s="53"/>
      <c r="KUO56" s="53"/>
      <c r="KUP56" s="53"/>
      <c r="KUQ56" s="53"/>
      <c r="KUR56" s="53"/>
      <c r="KUS56" s="53"/>
      <c r="KUT56" s="53"/>
      <c r="KUU56" s="53"/>
      <c r="KUV56" s="53"/>
      <c r="KUW56" s="53"/>
      <c r="KUX56" s="53"/>
      <c r="KUY56" s="53"/>
      <c r="KUZ56" s="53"/>
      <c r="KVA56" s="53"/>
      <c r="KVB56" s="53"/>
      <c r="KVC56" s="53"/>
      <c r="KVD56" s="53"/>
      <c r="KVE56" s="53"/>
      <c r="KVF56" s="53"/>
      <c r="KVG56" s="53"/>
      <c r="KVH56" s="53"/>
      <c r="KVI56" s="53"/>
      <c r="KVJ56" s="53"/>
      <c r="KVK56" s="53"/>
      <c r="KVL56" s="53"/>
      <c r="KVM56" s="53"/>
      <c r="KVN56" s="53"/>
      <c r="KVO56" s="53"/>
      <c r="KVP56" s="53"/>
      <c r="KVQ56" s="53"/>
      <c r="KVR56" s="53"/>
      <c r="KVS56" s="53"/>
      <c r="KVT56" s="53"/>
      <c r="KVU56" s="53"/>
      <c r="KVV56" s="53"/>
      <c r="KVW56" s="53"/>
      <c r="KVX56" s="53"/>
      <c r="KVY56" s="53"/>
      <c r="KVZ56" s="53"/>
      <c r="KWA56" s="53"/>
      <c r="KWB56" s="53"/>
      <c r="KWC56" s="53"/>
      <c r="KWD56" s="53"/>
      <c r="KWE56" s="53"/>
      <c r="KWF56" s="53"/>
      <c r="KWG56" s="53"/>
      <c r="KWH56" s="53"/>
      <c r="KWI56" s="53"/>
      <c r="KWJ56" s="53"/>
      <c r="KWK56" s="53"/>
      <c r="KWL56" s="53"/>
      <c r="KWM56" s="53"/>
      <c r="KWN56" s="53"/>
      <c r="KWO56" s="53"/>
      <c r="KWP56" s="53"/>
      <c r="KWQ56" s="53"/>
      <c r="KWR56" s="53"/>
      <c r="KWS56" s="53"/>
      <c r="KWT56" s="53"/>
      <c r="KWU56" s="53"/>
      <c r="KWV56" s="53"/>
      <c r="KWW56" s="53"/>
      <c r="KWX56" s="53"/>
      <c r="KWY56" s="53"/>
      <c r="KWZ56" s="53"/>
      <c r="KXA56" s="53"/>
      <c r="KXB56" s="53"/>
      <c r="KXC56" s="53"/>
      <c r="KXD56" s="53"/>
      <c r="KXE56" s="53"/>
      <c r="KXF56" s="53"/>
      <c r="KXG56" s="53"/>
      <c r="KXH56" s="53"/>
      <c r="KXI56" s="53"/>
      <c r="KXJ56" s="53"/>
      <c r="KXK56" s="53"/>
      <c r="KXL56" s="53"/>
      <c r="KXM56" s="53"/>
      <c r="KXN56" s="53"/>
      <c r="KXO56" s="53"/>
      <c r="KXP56" s="53"/>
      <c r="KXQ56" s="53"/>
      <c r="KXR56" s="53"/>
      <c r="KXS56" s="53"/>
      <c r="KXT56" s="53"/>
      <c r="KXU56" s="53"/>
      <c r="KXV56" s="53"/>
      <c r="KXW56" s="53"/>
      <c r="KXX56" s="53"/>
      <c r="KXY56" s="53"/>
      <c r="KXZ56" s="53"/>
      <c r="KYA56" s="53"/>
      <c r="KYB56" s="53"/>
      <c r="KYC56" s="53"/>
      <c r="KYD56" s="53"/>
      <c r="KYE56" s="53"/>
      <c r="KYF56" s="53"/>
      <c r="KYG56" s="53"/>
      <c r="KYH56" s="53"/>
      <c r="KYI56" s="53"/>
      <c r="KYJ56" s="53"/>
      <c r="KYK56" s="53"/>
      <c r="KYL56" s="53"/>
      <c r="KYM56" s="53"/>
      <c r="KYN56" s="53"/>
      <c r="KYO56" s="53"/>
      <c r="KYP56" s="53"/>
      <c r="KYQ56" s="53"/>
      <c r="KYR56" s="53"/>
      <c r="KYS56" s="53"/>
      <c r="KYT56" s="53"/>
      <c r="KYU56" s="53"/>
      <c r="KYV56" s="53"/>
      <c r="KYW56" s="53"/>
      <c r="KYX56" s="53"/>
      <c r="KYY56" s="53"/>
      <c r="KYZ56" s="53"/>
      <c r="KZA56" s="53"/>
      <c r="KZB56" s="53"/>
      <c r="KZC56" s="53"/>
      <c r="KZD56" s="53"/>
      <c r="KZE56" s="53"/>
      <c r="KZF56" s="53"/>
      <c r="KZG56" s="53"/>
      <c r="KZH56" s="53"/>
      <c r="KZI56" s="53"/>
      <c r="KZJ56" s="53"/>
      <c r="KZK56" s="53"/>
      <c r="KZL56" s="53"/>
      <c r="KZM56" s="53"/>
      <c r="KZN56" s="53"/>
      <c r="KZO56" s="53"/>
      <c r="KZP56" s="53"/>
      <c r="KZQ56" s="53"/>
      <c r="KZR56" s="53"/>
      <c r="KZS56" s="53"/>
      <c r="KZT56" s="53"/>
      <c r="KZU56" s="53"/>
      <c r="KZV56" s="53"/>
      <c r="KZW56" s="53"/>
      <c r="KZX56" s="53"/>
      <c r="KZY56" s="53"/>
      <c r="KZZ56" s="53"/>
      <c r="LAA56" s="53"/>
      <c r="LAB56" s="53"/>
      <c r="LAC56" s="53"/>
      <c r="LAD56" s="53"/>
      <c r="LAE56" s="53"/>
      <c r="LAF56" s="53"/>
      <c r="LAG56" s="53"/>
      <c r="LAH56" s="53"/>
      <c r="LAI56" s="53"/>
      <c r="LAJ56" s="53"/>
      <c r="LAK56" s="53"/>
      <c r="LAL56" s="53"/>
      <c r="LAM56" s="53"/>
      <c r="LAN56" s="53"/>
      <c r="LAO56" s="53"/>
      <c r="LAP56" s="53"/>
      <c r="LAQ56" s="53"/>
      <c r="LAR56" s="53"/>
      <c r="LAS56" s="53"/>
      <c r="LAT56" s="53"/>
      <c r="LAU56" s="53"/>
      <c r="LAV56" s="53"/>
      <c r="LAW56" s="53"/>
      <c r="LAX56" s="53"/>
      <c r="LAY56" s="53"/>
      <c r="LAZ56" s="53"/>
      <c r="LBA56" s="53"/>
      <c r="LBB56" s="53"/>
      <c r="LBC56" s="53"/>
      <c r="LBD56" s="53"/>
      <c r="LBE56" s="53"/>
      <c r="LBF56" s="53"/>
      <c r="LBG56" s="53"/>
      <c r="LBH56" s="53"/>
      <c r="LBI56" s="53"/>
      <c r="LBJ56" s="53"/>
      <c r="LBK56" s="53"/>
      <c r="LBL56" s="53"/>
      <c r="LBM56" s="53"/>
      <c r="LBN56" s="53"/>
      <c r="LBO56" s="53"/>
      <c r="LBP56" s="53"/>
      <c r="LBQ56" s="53"/>
      <c r="LBR56" s="53"/>
      <c r="LBS56" s="53"/>
      <c r="LBT56" s="53"/>
      <c r="LBU56" s="53"/>
      <c r="LBV56" s="53"/>
      <c r="LBW56" s="53"/>
      <c r="LBX56" s="53"/>
      <c r="LBY56" s="53"/>
      <c r="LBZ56" s="53"/>
      <c r="LCA56" s="53"/>
      <c r="LCB56" s="53"/>
      <c r="LCC56" s="53"/>
      <c r="LCD56" s="53"/>
      <c r="LCE56" s="53"/>
      <c r="LCF56" s="53"/>
      <c r="LCG56" s="53"/>
      <c r="LCH56" s="53"/>
      <c r="LCI56" s="53"/>
      <c r="LCJ56" s="53"/>
      <c r="LCK56" s="53"/>
      <c r="LCL56" s="53"/>
      <c r="LCM56" s="53"/>
      <c r="LCN56" s="53"/>
      <c r="LCO56" s="53"/>
      <c r="LCP56" s="53"/>
      <c r="LCQ56" s="53"/>
      <c r="LCR56" s="53"/>
      <c r="LCS56" s="53"/>
      <c r="LCT56" s="53"/>
      <c r="LCU56" s="53"/>
      <c r="LCV56" s="53"/>
      <c r="LCW56" s="53"/>
      <c r="LCX56" s="53"/>
      <c r="LCY56" s="53"/>
      <c r="LCZ56" s="53"/>
      <c r="LDA56" s="53"/>
      <c r="LDB56" s="53"/>
      <c r="LDC56" s="53"/>
      <c r="LDD56" s="53"/>
      <c r="LDE56" s="53"/>
      <c r="LDF56" s="53"/>
      <c r="LDG56" s="53"/>
      <c r="LDH56" s="53"/>
      <c r="LDI56" s="53"/>
      <c r="LDJ56" s="53"/>
      <c r="LDK56" s="53"/>
      <c r="LDL56" s="53"/>
      <c r="LDM56" s="53"/>
      <c r="LDN56" s="53"/>
      <c r="LDO56" s="53"/>
      <c r="LDP56" s="53"/>
      <c r="LDQ56" s="53"/>
      <c r="LDR56" s="53"/>
      <c r="LDS56" s="53"/>
      <c r="LDT56" s="53"/>
      <c r="LDU56" s="53"/>
      <c r="LDV56" s="53"/>
      <c r="LDW56" s="53"/>
      <c r="LDX56" s="53"/>
      <c r="LDY56" s="53"/>
      <c r="LDZ56" s="53"/>
      <c r="LEA56" s="53"/>
      <c r="LEB56" s="53"/>
      <c r="LEC56" s="53"/>
      <c r="LED56" s="53"/>
      <c r="LEE56" s="53"/>
      <c r="LEF56" s="53"/>
      <c r="LEG56" s="53"/>
      <c r="LEH56" s="53"/>
      <c r="LEI56" s="53"/>
      <c r="LEJ56" s="53"/>
      <c r="LEK56" s="53"/>
      <c r="LEL56" s="53"/>
      <c r="LEM56" s="53"/>
      <c r="LEN56" s="53"/>
      <c r="LEO56" s="53"/>
      <c r="LEP56" s="53"/>
      <c r="LEQ56" s="53"/>
      <c r="LER56" s="53"/>
      <c r="LES56" s="53"/>
      <c r="LET56" s="53"/>
      <c r="LEU56" s="53"/>
      <c r="LEV56" s="53"/>
      <c r="LEW56" s="53"/>
      <c r="LEX56" s="53"/>
      <c r="LEY56" s="53"/>
      <c r="LEZ56" s="53"/>
      <c r="LFA56" s="53"/>
      <c r="LFB56" s="53"/>
      <c r="LFC56" s="53"/>
      <c r="LFD56" s="53"/>
      <c r="LFE56" s="53"/>
      <c r="LFF56" s="53"/>
      <c r="LFG56" s="53"/>
      <c r="LFH56" s="53"/>
      <c r="LFI56" s="53"/>
      <c r="LFJ56" s="53"/>
      <c r="LFK56" s="53"/>
      <c r="LFL56" s="53"/>
      <c r="LFM56" s="53"/>
      <c r="LFN56" s="53"/>
      <c r="LFO56" s="53"/>
      <c r="LFP56" s="53"/>
      <c r="LFQ56" s="53"/>
      <c r="LFR56" s="53"/>
      <c r="LFS56" s="53"/>
      <c r="LFT56" s="53"/>
      <c r="LFU56" s="53"/>
      <c r="LFV56" s="53"/>
      <c r="LFW56" s="53"/>
      <c r="LFX56" s="53"/>
      <c r="LFY56" s="53"/>
      <c r="LFZ56" s="53"/>
      <c r="LGA56" s="53"/>
      <c r="LGB56" s="53"/>
      <c r="LGC56" s="53"/>
      <c r="LGD56" s="53"/>
      <c r="LGE56" s="53"/>
      <c r="LGF56" s="53"/>
      <c r="LGG56" s="53"/>
      <c r="LGH56" s="53"/>
      <c r="LGI56" s="53"/>
      <c r="LGJ56" s="53"/>
      <c r="LGK56" s="53"/>
      <c r="LGL56" s="53"/>
      <c r="LGM56" s="53"/>
      <c r="LGN56" s="53"/>
      <c r="LGO56" s="53"/>
      <c r="LGP56" s="53"/>
      <c r="LGQ56" s="53"/>
      <c r="LGR56" s="53"/>
      <c r="LGS56" s="53"/>
      <c r="LGT56" s="53"/>
      <c r="LGU56" s="53"/>
      <c r="LGV56" s="53"/>
      <c r="LGW56" s="53"/>
      <c r="LGX56" s="53"/>
      <c r="LGY56" s="53"/>
      <c r="LGZ56" s="53"/>
      <c r="LHA56" s="53"/>
      <c r="LHB56" s="53"/>
      <c r="LHC56" s="53"/>
      <c r="LHD56" s="53"/>
      <c r="LHE56" s="53"/>
      <c r="LHF56" s="53"/>
      <c r="LHG56" s="53"/>
      <c r="LHH56" s="53"/>
      <c r="LHI56" s="53"/>
      <c r="LHJ56" s="53"/>
      <c r="LHK56" s="53"/>
      <c r="LHL56" s="53"/>
      <c r="LHM56" s="53"/>
      <c r="LHN56" s="53"/>
      <c r="LHO56" s="53"/>
      <c r="LHP56" s="53"/>
      <c r="LHQ56" s="53"/>
      <c r="LHR56" s="53"/>
      <c r="LHS56" s="53"/>
      <c r="LHT56" s="53"/>
      <c r="LHU56" s="53"/>
      <c r="LHV56" s="53"/>
      <c r="LHW56" s="53"/>
      <c r="LHX56" s="53"/>
      <c r="LHY56" s="53"/>
      <c r="LHZ56" s="53"/>
      <c r="LIA56" s="53"/>
      <c r="LIB56" s="53"/>
      <c r="LIC56" s="53"/>
      <c r="LID56" s="53"/>
      <c r="LIE56" s="53"/>
      <c r="LIF56" s="53"/>
      <c r="LIG56" s="53"/>
      <c r="LIH56" s="53"/>
      <c r="LII56" s="53"/>
      <c r="LIJ56" s="53"/>
      <c r="LIK56" s="53"/>
      <c r="LIL56" s="53"/>
      <c r="LIM56" s="53"/>
      <c r="LIN56" s="53"/>
      <c r="LIO56" s="53"/>
      <c r="LIP56" s="53"/>
      <c r="LIQ56" s="53"/>
      <c r="LIR56" s="53"/>
      <c r="LIS56" s="53"/>
      <c r="LIT56" s="53"/>
      <c r="LIU56" s="53"/>
      <c r="LIV56" s="53"/>
      <c r="LIW56" s="53"/>
      <c r="LIX56" s="53"/>
      <c r="LIY56" s="53"/>
      <c r="LIZ56" s="53"/>
      <c r="LJA56" s="53"/>
      <c r="LJB56" s="53"/>
      <c r="LJC56" s="53"/>
      <c r="LJD56" s="53"/>
      <c r="LJE56" s="53"/>
      <c r="LJF56" s="53"/>
      <c r="LJG56" s="53"/>
      <c r="LJH56" s="53"/>
      <c r="LJI56" s="53"/>
      <c r="LJJ56" s="53"/>
      <c r="LJK56" s="53"/>
      <c r="LJL56" s="53"/>
      <c r="LJM56" s="53"/>
      <c r="LJN56" s="53"/>
      <c r="LJO56" s="53"/>
      <c r="LJP56" s="53"/>
      <c r="LJQ56" s="53"/>
      <c r="LJR56" s="53"/>
      <c r="LJS56" s="53"/>
      <c r="LJT56" s="53"/>
      <c r="LJU56" s="53"/>
      <c r="LJV56" s="53"/>
      <c r="LJW56" s="53"/>
      <c r="LJX56" s="53"/>
      <c r="LJY56" s="53"/>
      <c r="LJZ56" s="53"/>
      <c r="LKA56" s="53"/>
      <c r="LKB56" s="53"/>
      <c r="LKC56" s="53"/>
      <c r="LKD56" s="53"/>
      <c r="LKE56" s="53"/>
      <c r="LKF56" s="53"/>
      <c r="LKG56" s="53"/>
      <c r="LKH56" s="53"/>
      <c r="LKI56" s="53"/>
      <c r="LKJ56" s="53"/>
      <c r="LKK56" s="53"/>
      <c r="LKL56" s="53"/>
      <c r="LKM56" s="53"/>
      <c r="LKN56" s="53"/>
      <c r="LKO56" s="53"/>
      <c r="LKP56" s="53"/>
      <c r="LKQ56" s="53"/>
      <c r="LKR56" s="53"/>
      <c r="LKS56" s="53"/>
      <c r="LKT56" s="53"/>
      <c r="LKU56" s="53"/>
      <c r="LKV56" s="53"/>
      <c r="LKW56" s="53"/>
      <c r="LKX56" s="53"/>
      <c r="LKY56" s="53"/>
      <c r="LKZ56" s="53"/>
      <c r="LLA56" s="53"/>
      <c r="LLB56" s="53"/>
      <c r="LLC56" s="53"/>
      <c r="LLD56" s="53"/>
      <c r="LLE56" s="53"/>
      <c r="LLF56" s="53"/>
      <c r="LLG56" s="53"/>
      <c r="LLH56" s="53"/>
      <c r="LLI56" s="53"/>
      <c r="LLJ56" s="53"/>
      <c r="LLK56" s="53"/>
      <c r="LLL56" s="53"/>
      <c r="LLM56" s="53"/>
      <c r="LLN56" s="53"/>
      <c r="LLO56" s="53"/>
      <c r="LLP56" s="53"/>
      <c r="LLQ56" s="53"/>
      <c r="LLR56" s="53"/>
      <c r="LLS56" s="53"/>
      <c r="LLT56" s="53"/>
      <c r="LLU56" s="53"/>
      <c r="LLV56" s="53"/>
      <c r="LLW56" s="53"/>
      <c r="LLX56" s="53"/>
      <c r="LLY56" s="53"/>
      <c r="LLZ56" s="53"/>
      <c r="LMA56" s="53"/>
      <c r="LMB56" s="53"/>
      <c r="LMC56" s="53"/>
      <c r="LMD56" s="53"/>
      <c r="LME56" s="53"/>
      <c r="LMF56" s="53"/>
      <c r="LMG56" s="53"/>
      <c r="LMH56" s="53"/>
      <c r="LMI56" s="53"/>
      <c r="LMJ56" s="53"/>
      <c r="LMK56" s="53"/>
      <c r="LML56" s="53"/>
      <c r="LMM56" s="53"/>
      <c r="LMN56" s="53"/>
      <c r="LMO56" s="53"/>
      <c r="LMP56" s="53"/>
      <c r="LMQ56" s="53"/>
      <c r="LMR56" s="53"/>
      <c r="LMS56" s="53"/>
      <c r="LMT56" s="53"/>
      <c r="LMU56" s="53"/>
      <c r="LMV56" s="53"/>
      <c r="LMW56" s="53"/>
      <c r="LMX56" s="53"/>
      <c r="LMY56" s="53"/>
      <c r="LMZ56" s="53"/>
      <c r="LNA56" s="53"/>
      <c r="LNB56" s="53"/>
      <c r="LNC56" s="53"/>
      <c r="LND56" s="53"/>
      <c r="LNE56" s="53"/>
      <c r="LNF56" s="53"/>
      <c r="LNG56" s="53"/>
      <c r="LNH56" s="53"/>
      <c r="LNI56" s="53"/>
      <c r="LNJ56" s="53"/>
      <c r="LNK56" s="53"/>
      <c r="LNL56" s="53"/>
      <c r="LNM56" s="53"/>
      <c r="LNN56" s="53"/>
      <c r="LNO56" s="53"/>
      <c r="LNP56" s="53"/>
      <c r="LNQ56" s="53"/>
      <c r="LNR56" s="53"/>
      <c r="LNS56" s="53"/>
      <c r="LNT56" s="53"/>
      <c r="LNU56" s="53"/>
      <c r="LNV56" s="53"/>
      <c r="LNW56" s="53"/>
      <c r="LNX56" s="53"/>
      <c r="LNY56" s="53"/>
      <c r="LNZ56" s="53"/>
      <c r="LOA56" s="53"/>
      <c r="LOB56" s="53"/>
      <c r="LOC56" s="53"/>
      <c r="LOD56" s="53"/>
      <c r="LOE56" s="53"/>
      <c r="LOF56" s="53"/>
      <c r="LOG56" s="53"/>
      <c r="LOH56" s="53"/>
      <c r="LOI56" s="53"/>
      <c r="LOJ56" s="53"/>
      <c r="LOK56" s="53"/>
      <c r="LOL56" s="53"/>
      <c r="LOM56" s="53"/>
      <c r="LON56" s="53"/>
      <c r="LOO56" s="53"/>
      <c r="LOP56" s="53"/>
      <c r="LOQ56" s="53"/>
      <c r="LOR56" s="53"/>
      <c r="LOS56" s="53"/>
      <c r="LOT56" s="53"/>
      <c r="LOU56" s="53"/>
      <c r="LOV56" s="53"/>
      <c r="LOW56" s="53"/>
      <c r="LOX56" s="53"/>
      <c r="LOY56" s="53"/>
      <c r="LOZ56" s="53"/>
      <c r="LPA56" s="53"/>
      <c r="LPB56" s="53"/>
      <c r="LPC56" s="53"/>
      <c r="LPD56" s="53"/>
      <c r="LPE56" s="53"/>
      <c r="LPF56" s="53"/>
      <c r="LPG56" s="53"/>
      <c r="LPH56" s="53"/>
      <c r="LPI56" s="53"/>
      <c r="LPJ56" s="53"/>
      <c r="LPK56" s="53"/>
      <c r="LPL56" s="53"/>
      <c r="LPM56" s="53"/>
      <c r="LPN56" s="53"/>
      <c r="LPO56" s="53"/>
      <c r="LPP56" s="53"/>
      <c r="LPQ56" s="53"/>
      <c r="LPR56" s="53"/>
      <c r="LPS56" s="53"/>
      <c r="LPT56" s="53"/>
      <c r="LPU56" s="53"/>
      <c r="LPV56" s="53"/>
      <c r="LPW56" s="53"/>
      <c r="LPX56" s="53"/>
      <c r="LPY56" s="53"/>
      <c r="LPZ56" s="53"/>
      <c r="LQA56" s="53"/>
      <c r="LQB56" s="53"/>
      <c r="LQC56" s="53"/>
      <c r="LQD56" s="53"/>
      <c r="LQE56" s="53"/>
      <c r="LQF56" s="53"/>
      <c r="LQG56" s="53"/>
      <c r="LQH56" s="53"/>
      <c r="LQI56" s="53"/>
      <c r="LQJ56" s="53"/>
      <c r="LQK56" s="53"/>
      <c r="LQL56" s="53"/>
      <c r="LQM56" s="53"/>
      <c r="LQN56" s="53"/>
      <c r="LQO56" s="53"/>
      <c r="LQP56" s="53"/>
      <c r="LQQ56" s="53"/>
      <c r="LQR56" s="53"/>
      <c r="LQS56" s="53"/>
      <c r="LQT56" s="53"/>
      <c r="LQU56" s="53"/>
      <c r="LQV56" s="53"/>
      <c r="LQW56" s="53"/>
      <c r="LQX56" s="53"/>
      <c r="LQY56" s="53"/>
      <c r="LQZ56" s="53"/>
      <c r="LRA56" s="53"/>
      <c r="LRB56" s="53"/>
      <c r="LRC56" s="53"/>
      <c r="LRD56" s="53"/>
      <c r="LRE56" s="53"/>
      <c r="LRF56" s="53"/>
      <c r="LRG56" s="53"/>
      <c r="LRH56" s="53"/>
      <c r="LRI56" s="53"/>
      <c r="LRJ56" s="53"/>
      <c r="LRK56" s="53"/>
      <c r="LRL56" s="53"/>
      <c r="LRM56" s="53"/>
      <c r="LRN56" s="53"/>
      <c r="LRO56" s="53"/>
      <c r="LRP56" s="53"/>
      <c r="LRQ56" s="53"/>
      <c r="LRR56" s="53"/>
      <c r="LRS56" s="53"/>
      <c r="LRT56" s="53"/>
      <c r="LRU56" s="53"/>
      <c r="LRV56" s="53"/>
      <c r="LRW56" s="53"/>
      <c r="LRX56" s="53"/>
      <c r="LRY56" s="53"/>
      <c r="LRZ56" s="53"/>
      <c r="LSA56" s="53"/>
      <c r="LSB56" s="53"/>
      <c r="LSC56" s="53"/>
      <c r="LSD56" s="53"/>
      <c r="LSE56" s="53"/>
      <c r="LSF56" s="53"/>
      <c r="LSG56" s="53"/>
      <c r="LSH56" s="53"/>
      <c r="LSI56" s="53"/>
      <c r="LSJ56" s="53"/>
      <c r="LSK56" s="53"/>
      <c r="LSL56" s="53"/>
      <c r="LSM56" s="53"/>
      <c r="LSN56" s="53"/>
      <c r="LSO56" s="53"/>
      <c r="LSP56" s="53"/>
      <c r="LSQ56" s="53"/>
      <c r="LSR56" s="53"/>
      <c r="LSS56" s="53"/>
      <c r="LST56" s="53"/>
      <c r="LSU56" s="53"/>
      <c r="LSV56" s="53"/>
      <c r="LSW56" s="53"/>
      <c r="LSX56" s="53"/>
      <c r="LSY56" s="53"/>
      <c r="LSZ56" s="53"/>
      <c r="LTA56" s="53"/>
      <c r="LTB56" s="53"/>
      <c r="LTC56" s="53"/>
      <c r="LTD56" s="53"/>
      <c r="LTE56" s="53"/>
      <c r="LTF56" s="53"/>
      <c r="LTG56" s="53"/>
      <c r="LTH56" s="53"/>
      <c r="LTI56" s="53"/>
      <c r="LTJ56" s="53"/>
      <c r="LTK56" s="53"/>
      <c r="LTL56" s="53"/>
      <c r="LTM56" s="53"/>
      <c r="LTN56" s="53"/>
      <c r="LTO56" s="53"/>
      <c r="LTP56" s="53"/>
      <c r="LTQ56" s="53"/>
      <c r="LTR56" s="53"/>
      <c r="LTS56" s="53"/>
      <c r="LTT56" s="53"/>
      <c r="LTU56" s="53"/>
      <c r="LTV56" s="53"/>
      <c r="LTW56" s="53"/>
      <c r="LTX56" s="53"/>
      <c r="LTY56" s="53"/>
      <c r="LTZ56" s="53"/>
      <c r="LUA56" s="53"/>
      <c r="LUB56" s="53"/>
      <c r="LUC56" s="53"/>
      <c r="LUD56" s="53"/>
      <c r="LUE56" s="53"/>
      <c r="LUF56" s="53"/>
      <c r="LUG56" s="53"/>
      <c r="LUH56" s="53"/>
      <c r="LUI56" s="53"/>
      <c r="LUJ56" s="53"/>
      <c r="LUK56" s="53"/>
      <c r="LUL56" s="53"/>
      <c r="LUM56" s="53"/>
      <c r="LUN56" s="53"/>
      <c r="LUO56" s="53"/>
      <c r="LUP56" s="53"/>
      <c r="LUQ56" s="53"/>
      <c r="LUR56" s="53"/>
      <c r="LUS56" s="53"/>
      <c r="LUT56" s="53"/>
      <c r="LUU56" s="53"/>
      <c r="LUV56" s="53"/>
      <c r="LUW56" s="53"/>
      <c r="LUX56" s="53"/>
      <c r="LUY56" s="53"/>
      <c r="LUZ56" s="53"/>
      <c r="LVA56" s="53"/>
      <c r="LVB56" s="53"/>
      <c r="LVC56" s="53"/>
      <c r="LVD56" s="53"/>
      <c r="LVE56" s="53"/>
      <c r="LVF56" s="53"/>
      <c r="LVG56" s="53"/>
      <c r="LVH56" s="53"/>
      <c r="LVI56" s="53"/>
      <c r="LVJ56" s="53"/>
      <c r="LVK56" s="53"/>
      <c r="LVL56" s="53"/>
      <c r="LVM56" s="53"/>
      <c r="LVN56" s="53"/>
      <c r="LVO56" s="53"/>
      <c r="LVP56" s="53"/>
      <c r="LVQ56" s="53"/>
      <c r="LVR56" s="53"/>
      <c r="LVS56" s="53"/>
      <c r="LVT56" s="53"/>
      <c r="LVU56" s="53"/>
      <c r="LVV56" s="53"/>
      <c r="LVW56" s="53"/>
      <c r="LVX56" s="53"/>
      <c r="LVY56" s="53"/>
      <c r="LVZ56" s="53"/>
      <c r="LWA56" s="53"/>
      <c r="LWB56" s="53"/>
      <c r="LWC56" s="53"/>
      <c r="LWD56" s="53"/>
      <c r="LWE56" s="53"/>
      <c r="LWF56" s="53"/>
      <c r="LWG56" s="53"/>
      <c r="LWH56" s="53"/>
      <c r="LWI56" s="53"/>
      <c r="LWJ56" s="53"/>
      <c r="LWK56" s="53"/>
      <c r="LWL56" s="53"/>
      <c r="LWM56" s="53"/>
      <c r="LWN56" s="53"/>
      <c r="LWO56" s="53"/>
      <c r="LWP56" s="53"/>
      <c r="LWQ56" s="53"/>
      <c r="LWR56" s="53"/>
      <c r="LWS56" s="53"/>
      <c r="LWT56" s="53"/>
      <c r="LWU56" s="53"/>
      <c r="LWV56" s="53"/>
      <c r="LWW56" s="53"/>
      <c r="LWX56" s="53"/>
      <c r="LWY56" s="53"/>
      <c r="LWZ56" s="53"/>
      <c r="LXA56" s="53"/>
      <c r="LXB56" s="53"/>
      <c r="LXC56" s="53"/>
      <c r="LXD56" s="53"/>
      <c r="LXE56" s="53"/>
      <c r="LXF56" s="53"/>
      <c r="LXG56" s="53"/>
      <c r="LXH56" s="53"/>
      <c r="LXI56" s="53"/>
      <c r="LXJ56" s="53"/>
      <c r="LXK56" s="53"/>
      <c r="LXL56" s="53"/>
      <c r="LXM56" s="53"/>
      <c r="LXN56" s="53"/>
      <c r="LXO56" s="53"/>
      <c r="LXP56" s="53"/>
      <c r="LXQ56" s="53"/>
      <c r="LXR56" s="53"/>
      <c r="LXS56" s="53"/>
      <c r="LXT56" s="53"/>
      <c r="LXU56" s="53"/>
      <c r="LXV56" s="53"/>
      <c r="LXW56" s="53"/>
      <c r="LXX56" s="53"/>
      <c r="LXY56" s="53"/>
      <c r="LXZ56" s="53"/>
      <c r="LYA56" s="53"/>
      <c r="LYB56" s="53"/>
      <c r="LYC56" s="53"/>
      <c r="LYD56" s="53"/>
      <c r="LYE56" s="53"/>
      <c r="LYF56" s="53"/>
      <c r="LYG56" s="53"/>
      <c r="LYH56" s="53"/>
      <c r="LYI56" s="53"/>
      <c r="LYJ56" s="53"/>
      <c r="LYK56" s="53"/>
      <c r="LYL56" s="53"/>
      <c r="LYM56" s="53"/>
      <c r="LYN56" s="53"/>
      <c r="LYO56" s="53"/>
      <c r="LYP56" s="53"/>
      <c r="LYQ56" s="53"/>
      <c r="LYR56" s="53"/>
      <c r="LYS56" s="53"/>
      <c r="LYT56" s="53"/>
      <c r="LYU56" s="53"/>
      <c r="LYV56" s="53"/>
      <c r="LYW56" s="53"/>
      <c r="LYX56" s="53"/>
      <c r="LYY56" s="53"/>
      <c r="LYZ56" s="53"/>
      <c r="LZA56" s="53"/>
      <c r="LZB56" s="53"/>
      <c r="LZC56" s="53"/>
      <c r="LZD56" s="53"/>
      <c r="LZE56" s="53"/>
      <c r="LZF56" s="53"/>
      <c r="LZG56" s="53"/>
      <c r="LZH56" s="53"/>
      <c r="LZI56" s="53"/>
      <c r="LZJ56" s="53"/>
      <c r="LZK56" s="53"/>
      <c r="LZL56" s="53"/>
      <c r="LZM56" s="53"/>
      <c r="LZN56" s="53"/>
      <c r="LZO56" s="53"/>
      <c r="LZP56" s="53"/>
      <c r="LZQ56" s="53"/>
      <c r="LZR56" s="53"/>
      <c r="LZS56" s="53"/>
      <c r="LZT56" s="53"/>
      <c r="LZU56" s="53"/>
      <c r="LZV56" s="53"/>
      <c r="LZW56" s="53"/>
      <c r="LZX56" s="53"/>
      <c r="LZY56" s="53"/>
      <c r="LZZ56" s="53"/>
      <c r="MAA56" s="53"/>
      <c r="MAB56" s="53"/>
      <c r="MAC56" s="53"/>
      <c r="MAD56" s="53"/>
      <c r="MAE56" s="53"/>
      <c r="MAF56" s="53"/>
      <c r="MAG56" s="53"/>
      <c r="MAH56" s="53"/>
      <c r="MAI56" s="53"/>
      <c r="MAJ56" s="53"/>
      <c r="MAK56" s="53"/>
      <c r="MAL56" s="53"/>
      <c r="MAM56" s="53"/>
      <c r="MAN56" s="53"/>
      <c r="MAO56" s="53"/>
      <c r="MAP56" s="53"/>
      <c r="MAQ56" s="53"/>
      <c r="MAR56" s="53"/>
      <c r="MAS56" s="53"/>
      <c r="MAT56" s="53"/>
      <c r="MAU56" s="53"/>
      <c r="MAV56" s="53"/>
      <c r="MAW56" s="53"/>
      <c r="MAX56" s="53"/>
      <c r="MAY56" s="53"/>
      <c r="MAZ56" s="53"/>
      <c r="MBA56" s="53"/>
      <c r="MBB56" s="53"/>
      <c r="MBC56" s="53"/>
      <c r="MBD56" s="53"/>
      <c r="MBE56" s="53"/>
      <c r="MBF56" s="53"/>
      <c r="MBG56" s="53"/>
      <c r="MBH56" s="53"/>
      <c r="MBI56" s="53"/>
      <c r="MBJ56" s="53"/>
      <c r="MBK56" s="53"/>
      <c r="MBL56" s="53"/>
      <c r="MBM56" s="53"/>
      <c r="MBN56" s="53"/>
      <c r="MBO56" s="53"/>
      <c r="MBP56" s="53"/>
      <c r="MBQ56" s="53"/>
      <c r="MBR56" s="53"/>
      <c r="MBS56" s="53"/>
      <c r="MBT56" s="53"/>
      <c r="MBU56" s="53"/>
      <c r="MBV56" s="53"/>
      <c r="MBW56" s="53"/>
      <c r="MBX56" s="53"/>
      <c r="MBY56" s="53"/>
      <c r="MBZ56" s="53"/>
      <c r="MCA56" s="53"/>
      <c r="MCB56" s="53"/>
      <c r="MCC56" s="53"/>
      <c r="MCD56" s="53"/>
      <c r="MCE56" s="53"/>
      <c r="MCF56" s="53"/>
      <c r="MCG56" s="53"/>
      <c r="MCH56" s="53"/>
      <c r="MCI56" s="53"/>
      <c r="MCJ56" s="53"/>
      <c r="MCK56" s="53"/>
      <c r="MCL56" s="53"/>
      <c r="MCM56" s="53"/>
      <c r="MCN56" s="53"/>
      <c r="MCO56" s="53"/>
      <c r="MCP56" s="53"/>
      <c r="MCQ56" s="53"/>
      <c r="MCR56" s="53"/>
      <c r="MCS56" s="53"/>
      <c r="MCT56" s="53"/>
      <c r="MCU56" s="53"/>
      <c r="MCV56" s="53"/>
      <c r="MCW56" s="53"/>
      <c r="MCX56" s="53"/>
      <c r="MCY56" s="53"/>
      <c r="MCZ56" s="53"/>
      <c r="MDA56" s="53"/>
      <c r="MDB56" s="53"/>
      <c r="MDC56" s="53"/>
      <c r="MDD56" s="53"/>
      <c r="MDE56" s="53"/>
      <c r="MDF56" s="53"/>
      <c r="MDG56" s="53"/>
      <c r="MDH56" s="53"/>
      <c r="MDI56" s="53"/>
      <c r="MDJ56" s="53"/>
      <c r="MDK56" s="53"/>
      <c r="MDL56" s="53"/>
      <c r="MDM56" s="53"/>
      <c r="MDN56" s="53"/>
      <c r="MDO56" s="53"/>
      <c r="MDP56" s="53"/>
      <c r="MDQ56" s="53"/>
      <c r="MDR56" s="53"/>
      <c r="MDS56" s="53"/>
      <c r="MDT56" s="53"/>
      <c r="MDU56" s="53"/>
      <c r="MDV56" s="53"/>
      <c r="MDW56" s="53"/>
      <c r="MDX56" s="53"/>
      <c r="MDY56" s="53"/>
      <c r="MDZ56" s="53"/>
      <c r="MEA56" s="53"/>
      <c r="MEB56" s="53"/>
      <c r="MEC56" s="53"/>
      <c r="MED56" s="53"/>
      <c r="MEE56" s="53"/>
      <c r="MEF56" s="53"/>
      <c r="MEG56" s="53"/>
      <c r="MEH56" s="53"/>
      <c r="MEI56" s="53"/>
      <c r="MEJ56" s="53"/>
      <c r="MEK56" s="53"/>
      <c r="MEL56" s="53"/>
      <c r="MEM56" s="53"/>
      <c r="MEN56" s="53"/>
      <c r="MEO56" s="53"/>
      <c r="MEP56" s="53"/>
      <c r="MEQ56" s="53"/>
      <c r="MER56" s="53"/>
      <c r="MES56" s="53"/>
      <c r="MET56" s="53"/>
      <c r="MEU56" s="53"/>
      <c r="MEV56" s="53"/>
      <c r="MEW56" s="53"/>
      <c r="MEX56" s="53"/>
      <c r="MEY56" s="53"/>
      <c r="MEZ56" s="53"/>
      <c r="MFA56" s="53"/>
      <c r="MFB56" s="53"/>
      <c r="MFC56" s="53"/>
      <c r="MFD56" s="53"/>
      <c r="MFE56" s="53"/>
      <c r="MFF56" s="53"/>
      <c r="MFG56" s="53"/>
      <c r="MFH56" s="53"/>
      <c r="MFI56" s="53"/>
      <c r="MFJ56" s="53"/>
      <c r="MFK56" s="53"/>
      <c r="MFL56" s="53"/>
      <c r="MFM56" s="53"/>
      <c r="MFN56" s="53"/>
      <c r="MFO56" s="53"/>
      <c r="MFP56" s="53"/>
      <c r="MFQ56" s="53"/>
      <c r="MFR56" s="53"/>
      <c r="MFS56" s="53"/>
      <c r="MFT56" s="53"/>
      <c r="MFU56" s="53"/>
      <c r="MFV56" s="53"/>
      <c r="MFW56" s="53"/>
      <c r="MFX56" s="53"/>
      <c r="MFY56" s="53"/>
      <c r="MFZ56" s="53"/>
      <c r="MGA56" s="53"/>
      <c r="MGB56" s="53"/>
      <c r="MGC56" s="53"/>
      <c r="MGD56" s="53"/>
      <c r="MGE56" s="53"/>
      <c r="MGF56" s="53"/>
      <c r="MGG56" s="53"/>
      <c r="MGH56" s="53"/>
      <c r="MGI56" s="53"/>
      <c r="MGJ56" s="53"/>
      <c r="MGK56" s="53"/>
      <c r="MGL56" s="53"/>
      <c r="MGM56" s="53"/>
      <c r="MGN56" s="53"/>
      <c r="MGO56" s="53"/>
      <c r="MGP56" s="53"/>
      <c r="MGQ56" s="53"/>
      <c r="MGR56" s="53"/>
      <c r="MGS56" s="53"/>
      <c r="MGT56" s="53"/>
      <c r="MGU56" s="53"/>
      <c r="MGV56" s="53"/>
      <c r="MGW56" s="53"/>
      <c r="MGX56" s="53"/>
      <c r="MGY56" s="53"/>
      <c r="MGZ56" s="53"/>
      <c r="MHA56" s="53"/>
      <c r="MHB56" s="53"/>
      <c r="MHC56" s="53"/>
      <c r="MHD56" s="53"/>
      <c r="MHE56" s="53"/>
      <c r="MHF56" s="53"/>
      <c r="MHG56" s="53"/>
      <c r="MHH56" s="53"/>
      <c r="MHI56" s="53"/>
      <c r="MHJ56" s="53"/>
      <c r="MHK56" s="53"/>
      <c r="MHL56" s="53"/>
      <c r="MHM56" s="53"/>
      <c r="MHN56" s="53"/>
      <c r="MHO56" s="53"/>
      <c r="MHP56" s="53"/>
      <c r="MHQ56" s="53"/>
      <c r="MHR56" s="53"/>
      <c r="MHS56" s="53"/>
      <c r="MHT56" s="53"/>
      <c r="MHU56" s="53"/>
      <c r="MHV56" s="53"/>
      <c r="MHW56" s="53"/>
      <c r="MHX56" s="53"/>
      <c r="MHY56" s="53"/>
      <c r="MHZ56" s="53"/>
      <c r="MIA56" s="53"/>
      <c r="MIB56" s="53"/>
      <c r="MIC56" s="53"/>
      <c r="MID56" s="53"/>
      <c r="MIE56" s="53"/>
      <c r="MIF56" s="53"/>
      <c r="MIG56" s="53"/>
      <c r="MIH56" s="53"/>
      <c r="MII56" s="53"/>
      <c r="MIJ56" s="53"/>
      <c r="MIK56" s="53"/>
      <c r="MIL56" s="53"/>
      <c r="MIM56" s="53"/>
      <c r="MIN56" s="53"/>
      <c r="MIO56" s="53"/>
      <c r="MIP56" s="53"/>
      <c r="MIQ56" s="53"/>
      <c r="MIR56" s="53"/>
      <c r="MIS56" s="53"/>
      <c r="MIT56" s="53"/>
      <c r="MIU56" s="53"/>
      <c r="MIV56" s="53"/>
      <c r="MIW56" s="53"/>
      <c r="MIX56" s="53"/>
      <c r="MIY56" s="53"/>
      <c r="MIZ56" s="53"/>
      <c r="MJA56" s="53"/>
      <c r="MJB56" s="53"/>
      <c r="MJC56" s="53"/>
      <c r="MJD56" s="53"/>
      <c r="MJE56" s="53"/>
      <c r="MJF56" s="53"/>
      <c r="MJG56" s="53"/>
      <c r="MJH56" s="53"/>
      <c r="MJI56" s="53"/>
      <c r="MJJ56" s="53"/>
      <c r="MJK56" s="53"/>
      <c r="MJL56" s="53"/>
      <c r="MJM56" s="53"/>
      <c r="MJN56" s="53"/>
      <c r="MJO56" s="53"/>
      <c r="MJP56" s="53"/>
      <c r="MJQ56" s="53"/>
      <c r="MJR56" s="53"/>
      <c r="MJS56" s="53"/>
      <c r="MJT56" s="53"/>
      <c r="MJU56" s="53"/>
      <c r="MJV56" s="53"/>
      <c r="MJW56" s="53"/>
      <c r="MJX56" s="53"/>
      <c r="MJY56" s="53"/>
      <c r="MJZ56" s="53"/>
      <c r="MKA56" s="53"/>
      <c r="MKB56" s="53"/>
      <c r="MKC56" s="53"/>
      <c r="MKD56" s="53"/>
      <c r="MKE56" s="53"/>
      <c r="MKF56" s="53"/>
      <c r="MKG56" s="53"/>
      <c r="MKH56" s="53"/>
      <c r="MKI56" s="53"/>
      <c r="MKJ56" s="53"/>
      <c r="MKK56" s="53"/>
      <c r="MKL56" s="53"/>
      <c r="MKM56" s="53"/>
      <c r="MKN56" s="53"/>
      <c r="MKO56" s="53"/>
      <c r="MKP56" s="53"/>
      <c r="MKQ56" s="53"/>
      <c r="MKR56" s="53"/>
      <c r="MKS56" s="53"/>
      <c r="MKT56" s="53"/>
      <c r="MKU56" s="53"/>
      <c r="MKV56" s="53"/>
      <c r="MKW56" s="53"/>
      <c r="MKX56" s="53"/>
      <c r="MKY56" s="53"/>
      <c r="MKZ56" s="53"/>
      <c r="MLA56" s="53"/>
      <c r="MLB56" s="53"/>
      <c r="MLC56" s="53"/>
      <c r="MLD56" s="53"/>
      <c r="MLE56" s="53"/>
      <c r="MLF56" s="53"/>
      <c r="MLG56" s="53"/>
      <c r="MLH56" s="53"/>
      <c r="MLI56" s="53"/>
      <c r="MLJ56" s="53"/>
      <c r="MLK56" s="53"/>
      <c r="MLL56" s="53"/>
      <c r="MLM56" s="53"/>
      <c r="MLN56" s="53"/>
      <c r="MLO56" s="53"/>
      <c r="MLP56" s="53"/>
      <c r="MLQ56" s="53"/>
      <c r="MLR56" s="53"/>
      <c r="MLS56" s="53"/>
      <c r="MLT56" s="53"/>
      <c r="MLU56" s="53"/>
      <c r="MLV56" s="53"/>
      <c r="MLW56" s="53"/>
      <c r="MLX56" s="53"/>
      <c r="MLY56" s="53"/>
      <c r="MLZ56" s="53"/>
      <c r="MMA56" s="53"/>
      <c r="MMB56" s="53"/>
      <c r="MMC56" s="53"/>
      <c r="MMD56" s="53"/>
      <c r="MME56" s="53"/>
      <c r="MMF56" s="53"/>
      <c r="MMG56" s="53"/>
      <c r="MMH56" s="53"/>
      <c r="MMI56" s="53"/>
      <c r="MMJ56" s="53"/>
      <c r="MMK56" s="53"/>
      <c r="MML56" s="53"/>
      <c r="MMM56" s="53"/>
      <c r="MMN56" s="53"/>
      <c r="MMO56" s="53"/>
      <c r="MMP56" s="53"/>
      <c r="MMQ56" s="53"/>
      <c r="MMR56" s="53"/>
      <c r="MMS56" s="53"/>
      <c r="MMT56" s="53"/>
      <c r="MMU56" s="53"/>
      <c r="MMV56" s="53"/>
      <c r="MMW56" s="53"/>
      <c r="MMX56" s="53"/>
      <c r="MMY56" s="53"/>
      <c r="MMZ56" s="53"/>
      <c r="MNA56" s="53"/>
      <c r="MNB56" s="53"/>
      <c r="MNC56" s="53"/>
      <c r="MND56" s="53"/>
      <c r="MNE56" s="53"/>
      <c r="MNF56" s="53"/>
      <c r="MNG56" s="53"/>
      <c r="MNH56" s="53"/>
      <c r="MNI56" s="53"/>
      <c r="MNJ56" s="53"/>
      <c r="MNK56" s="53"/>
      <c r="MNL56" s="53"/>
      <c r="MNM56" s="53"/>
      <c r="MNN56" s="53"/>
      <c r="MNO56" s="53"/>
      <c r="MNP56" s="53"/>
      <c r="MNQ56" s="53"/>
      <c r="MNR56" s="53"/>
      <c r="MNS56" s="53"/>
      <c r="MNT56" s="53"/>
      <c r="MNU56" s="53"/>
      <c r="MNV56" s="53"/>
      <c r="MNW56" s="53"/>
      <c r="MNX56" s="53"/>
      <c r="MNY56" s="53"/>
      <c r="MNZ56" s="53"/>
      <c r="MOA56" s="53"/>
      <c r="MOB56" s="53"/>
      <c r="MOC56" s="53"/>
      <c r="MOD56" s="53"/>
      <c r="MOE56" s="53"/>
      <c r="MOF56" s="53"/>
      <c r="MOG56" s="53"/>
      <c r="MOH56" s="53"/>
      <c r="MOI56" s="53"/>
      <c r="MOJ56" s="53"/>
      <c r="MOK56" s="53"/>
      <c r="MOL56" s="53"/>
      <c r="MOM56" s="53"/>
      <c r="MON56" s="53"/>
      <c r="MOO56" s="53"/>
      <c r="MOP56" s="53"/>
      <c r="MOQ56" s="53"/>
      <c r="MOR56" s="53"/>
      <c r="MOS56" s="53"/>
      <c r="MOT56" s="53"/>
      <c r="MOU56" s="53"/>
      <c r="MOV56" s="53"/>
      <c r="MOW56" s="53"/>
      <c r="MOX56" s="53"/>
      <c r="MOY56" s="53"/>
      <c r="MOZ56" s="53"/>
      <c r="MPA56" s="53"/>
      <c r="MPB56" s="53"/>
      <c r="MPC56" s="53"/>
      <c r="MPD56" s="53"/>
      <c r="MPE56" s="53"/>
      <c r="MPF56" s="53"/>
      <c r="MPG56" s="53"/>
      <c r="MPH56" s="53"/>
      <c r="MPI56" s="53"/>
      <c r="MPJ56" s="53"/>
      <c r="MPK56" s="53"/>
      <c r="MPL56" s="53"/>
      <c r="MPM56" s="53"/>
      <c r="MPN56" s="53"/>
      <c r="MPO56" s="53"/>
      <c r="MPP56" s="53"/>
      <c r="MPQ56" s="53"/>
      <c r="MPR56" s="53"/>
      <c r="MPS56" s="53"/>
      <c r="MPT56" s="53"/>
      <c r="MPU56" s="53"/>
      <c r="MPV56" s="53"/>
      <c r="MPW56" s="53"/>
      <c r="MPX56" s="53"/>
      <c r="MPY56" s="53"/>
      <c r="MPZ56" s="53"/>
      <c r="MQA56" s="53"/>
      <c r="MQB56" s="53"/>
      <c r="MQC56" s="53"/>
      <c r="MQD56" s="53"/>
      <c r="MQE56" s="53"/>
      <c r="MQF56" s="53"/>
      <c r="MQG56" s="53"/>
      <c r="MQH56" s="53"/>
      <c r="MQI56" s="53"/>
      <c r="MQJ56" s="53"/>
      <c r="MQK56" s="53"/>
      <c r="MQL56" s="53"/>
      <c r="MQM56" s="53"/>
      <c r="MQN56" s="53"/>
      <c r="MQO56" s="53"/>
      <c r="MQP56" s="53"/>
      <c r="MQQ56" s="53"/>
      <c r="MQR56" s="53"/>
      <c r="MQS56" s="53"/>
      <c r="MQT56" s="53"/>
      <c r="MQU56" s="53"/>
      <c r="MQV56" s="53"/>
      <c r="MQW56" s="53"/>
      <c r="MQX56" s="53"/>
      <c r="MQY56" s="53"/>
      <c r="MQZ56" s="53"/>
      <c r="MRA56" s="53"/>
      <c r="MRB56" s="53"/>
      <c r="MRC56" s="53"/>
      <c r="MRD56" s="53"/>
      <c r="MRE56" s="53"/>
      <c r="MRF56" s="53"/>
      <c r="MRG56" s="53"/>
      <c r="MRH56" s="53"/>
      <c r="MRI56" s="53"/>
      <c r="MRJ56" s="53"/>
      <c r="MRK56" s="53"/>
      <c r="MRL56" s="53"/>
      <c r="MRM56" s="53"/>
      <c r="MRN56" s="53"/>
      <c r="MRO56" s="53"/>
      <c r="MRP56" s="53"/>
      <c r="MRQ56" s="53"/>
      <c r="MRR56" s="53"/>
      <c r="MRS56" s="53"/>
      <c r="MRT56" s="53"/>
      <c r="MRU56" s="53"/>
      <c r="MRV56" s="53"/>
      <c r="MRW56" s="53"/>
      <c r="MRX56" s="53"/>
      <c r="MRY56" s="53"/>
      <c r="MRZ56" s="53"/>
      <c r="MSA56" s="53"/>
      <c r="MSB56" s="53"/>
      <c r="MSC56" s="53"/>
      <c r="MSD56" s="53"/>
      <c r="MSE56" s="53"/>
      <c r="MSF56" s="53"/>
      <c r="MSG56" s="53"/>
      <c r="MSH56" s="53"/>
      <c r="MSI56" s="53"/>
      <c r="MSJ56" s="53"/>
      <c r="MSK56" s="53"/>
      <c r="MSL56" s="53"/>
      <c r="MSM56" s="53"/>
      <c r="MSN56" s="53"/>
      <c r="MSO56" s="53"/>
      <c r="MSP56" s="53"/>
      <c r="MSQ56" s="53"/>
      <c r="MSR56" s="53"/>
      <c r="MSS56" s="53"/>
      <c r="MST56" s="53"/>
      <c r="MSU56" s="53"/>
      <c r="MSV56" s="53"/>
      <c r="MSW56" s="53"/>
      <c r="MSX56" s="53"/>
      <c r="MSY56" s="53"/>
      <c r="MSZ56" s="53"/>
      <c r="MTA56" s="53"/>
      <c r="MTB56" s="53"/>
      <c r="MTC56" s="53"/>
      <c r="MTD56" s="53"/>
      <c r="MTE56" s="53"/>
      <c r="MTF56" s="53"/>
      <c r="MTG56" s="53"/>
      <c r="MTH56" s="53"/>
      <c r="MTI56" s="53"/>
      <c r="MTJ56" s="53"/>
      <c r="MTK56" s="53"/>
      <c r="MTL56" s="53"/>
      <c r="MTM56" s="53"/>
      <c r="MTN56" s="53"/>
      <c r="MTO56" s="53"/>
      <c r="MTP56" s="53"/>
      <c r="MTQ56" s="53"/>
      <c r="MTR56" s="53"/>
      <c r="MTS56" s="53"/>
      <c r="MTT56" s="53"/>
      <c r="MTU56" s="53"/>
      <c r="MTV56" s="53"/>
      <c r="MTW56" s="53"/>
      <c r="MTX56" s="53"/>
      <c r="MTY56" s="53"/>
      <c r="MTZ56" s="53"/>
      <c r="MUA56" s="53"/>
      <c r="MUB56" s="53"/>
      <c r="MUC56" s="53"/>
      <c r="MUD56" s="53"/>
      <c r="MUE56" s="53"/>
      <c r="MUF56" s="53"/>
      <c r="MUG56" s="53"/>
      <c r="MUH56" s="53"/>
      <c r="MUI56" s="53"/>
      <c r="MUJ56" s="53"/>
      <c r="MUK56" s="53"/>
      <c r="MUL56" s="53"/>
      <c r="MUM56" s="53"/>
      <c r="MUN56" s="53"/>
      <c r="MUO56" s="53"/>
      <c r="MUP56" s="53"/>
      <c r="MUQ56" s="53"/>
      <c r="MUR56" s="53"/>
      <c r="MUS56" s="53"/>
      <c r="MUT56" s="53"/>
      <c r="MUU56" s="53"/>
      <c r="MUV56" s="53"/>
      <c r="MUW56" s="53"/>
      <c r="MUX56" s="53"/>
      <c r="MUY56" s="53"/>
      <c r="MUZ56" s="53"/>
      <c r="MVA56" s="53"/>
      <c r="MVB56" s="53"/>
      <c r="MVC56" s="53"/>
      <c r="MVD56" s="53"/>
      <c r="MVE56" s="53"/>
      <c r="MVF56" s="53"/>
      <c r="MVG56" s="53"/>
      <c r="MVH56" s="53"/>
      <c r="MVI56" s="53"/>
      <c r="MVJ56" s="53"/>
      <c r="MVK56" s="53"/>
      <c r="MVL56" s="53"/>
      <c r="MVM56" s="53"/>
      <c r="MVN56" s="53"/>
      <c r="MVO56" s="53"/>
      <c r="MVP56" s="53"/>
      <c r="MVQ56" s="53"/>
      <c r="MVR56" s="53"/>
      <c r="MVS56" s="53"/>
      <c r="MVT56" s="53"/>
      <c r="MVU56" s="53"/>
      <c r="MVV56" s="53"/>
      <c r="MVW56" s="53"/>
      <c r="MVX56" s="53"/>
      <c r="MVY56" s="53"/>
      <c r="MVZ56" s="53"/>
      <c r="MWA56" s="53"/>
      <c r="MWB56" s="53"/>
      <c r="MWC56" s="53"/>
      <c r="MWD56" s="53"/>
      <c r="MWE56" s="53"/>
      <c r="MWF56" s="53"/>
      <c r="MWG56" s="53"/>
      <c r="MWH56" s="53"/>
      <c r="MWI56" s="53"/>
      <c r="MWJ56" s="53"/>
      <c r="MWK56" s="53"/>
      <c r="MWL56" s="53"/>
      <c r="MWM56" s="53"/>
      <c r="MWN56" s="53"/>
      <c r="MWO56" s="53"/>
      <c r="MWP56" s="53"/>
      <c r="MWQ56" s="53"/>
      <c r="MWR56" s="53"/>
      <c r="MWS56" s="53"/>
      <c r="MWT56" s="53"/>
      <c r="MWU56" s="53"/>
      <c r="MWV56" s="53"/>
      <c r="MWW56" s="53"/>
      <c r="MWX56" s="53"/>
      <c r="MWY56" s="53"/>
      <c r="MWZ56" s="53"/>
      <c r="MXA56" s="53"/>
      <c r="MXB56" s="53"/>
      <c r="MXC56" s="53"/>
      <c r="MXD56" s="53"/>
      <c r="MXE56" s="53"/>
      <c r="MXF56" s="53"/>
      <c r="MXG56" s="53"/>
      <c r="MXH56" s="53"/>
      <c r="MXI56" s="53"/>
      <c r="MXJ56" s="53"/>
      <c r="MXK56" s="53"/>
      <c r="MXL56" s="53"/>
      <c r="MXM56" s="53"/>
      <c r="MXN56" s="53"/>
      <c r="MXO56" s="53"/>
      <c r="MXP56" s="53"/>
      <c r="MXQ56" s="53"/>
      <c r="MXR56" s="53"/>
      <c r="MXS56" s="53"/>
      <c r="MXT56" s="53"/>
      <c r="MXU56" s="53"/>
      <c r="MXV56" s="53"/>
      <c r="MXW56" s="53"/>
      <c r="MXX56" s="53"/>
      <c r="MXY56" s="53"/>
      <c r="MXZ56" s="53"/>
      <c r="MYA56" s="53"/>
      <c r="MYB56" s="53"/>
      <c r="MYC56" s="53"/>
      <c r="MYD56" s="53"/>
      <c r="MYE56" s="53"/>
      <c r="MYF56" s="53"/>
      <c r="MYG56" s="53"/>
      <c r="MYH56" s="53"/>
      <c r="MYI56" s="53"/>
      <c r="MYJ56" s="53"/>
      <c r="MYK56" s="53"/>
      <c r="MYL56" s="53"/>
      <c r="MYM56" s="53"/>
      <c r="MYN56" s="53"/>
      <c r="MYO56" s="53"/>
      <c r="MYP56" s="53"/>
      <c r="MYQ56" s="53"/>
      <c r="MYR56" s="53"/>
      <c r="MYS56" s="53"/>
      <c r="MYT56" s="53"/>
      <c r="MYU56" s="53"/>
      <c r="MYV56" s="53"/>
      <c r="MYW56" s="53"/>
      <c r="MYX56" s="53"/>
      <c r="MYY56" s="53"/>
      <c r="MYZ56" s="53"/>
      <c r="MZA56" s="53"/>
      <c r="MZB56" s="53"/>
      <c r="MZC56" s="53"/>
      <c r="MZD56" s="53"/>
      <c r="MZE56" s="53"/>
      <c r="MZF56" s="53"/>
      <c r="MZG56" s="53"/>
      <c r="MZH56" s="53"/>
      <c r="MZI56" s="53"/>
      <c r="MZJ56" s="53"/>
      <c r="MZK56" s="53"/>
      <c r="MZL56" s="53"/>
      <c r="MZM56" s="53"/>
      <c r="MZN56" s="53"/>
      <c r="MZO56" s="53"/>
      <c r="MZP56" s="53"/>
      <c r="MZQ56" s="53"/>
      <c r="MZR56" s="53"/>
      <c r="MZS56" s="53"/>
      <c r="MZT56" s="53"/>
      <c r="MZU56" s="53"/>
      <c r="MZV56" s="53"/>
      <c r="MZW56" s="53"/>
      <c r="MZX56" s="53"/>
      <c r="MZY56" s="53"/>
      <c r="MZZ56" s="53"/>
      <c r="NAA56" s="53"/>
      <c r="NAB56" s="53"/>
      <c r="NAC56" s="53"/>
      <c r="NAD56" s="53"/>
      <c r="NAE56" s="53"/>
      <c r="NAF56" s="53"/>
      <c r="NAG56" s="53"/>
      <c r="NAH56" s="53"/>
      <c r="NAI56" s="53"/>
      <c r="NAJ56" s="53"/>
      <c r="NAK56" s="53"/>
      <c r="NAL56" s="53"/>
      <c r="NAM56" s="53"/>
      <c r="NAN56" s="53"/>
      <c r="NAO56" s="53"/>
      <c r="NAP56" s="53"/>
      <c r="NAQ56" s="53"/>
      <c r="NAR56" s="53"/>
      <c r="NAS56" s="53"/>
      <c r="NAT56" s="53"/>
      <c r="NAU56" s="53"/>
      <c r="NAV56" s="53"/>
      <c r="NAW56" s="53"/>
      <c r="NAX56" s="53"/>
      <c r="NAY56" s="53"/>
      <c r="NAZ56" s="53"/>
      <c r="NBA56" s="53"/>
      <c r="NBB56" s="53"/>
      <c r="NBC56" s="53"/>
      <c r="NBD56" s="53"/>
      <c r="NBE56" s="53"/>
      <c r="NBF56" s="53"/>
      <c r="NBG56" s="53"/>
      <c r="NBH56" s="53"/>
      <c r="NBI56" s="53"/>
      <c r="NBJ56" s="53"/>
      <c r="NBK56" s="53"/>
      <c r="NBL56" s="53"/>
      <c r="NBM56" s="53"/>
      <c r="NBN56" s="53"/>
      <c r="NBO56" s="53"/>
      <c r="NBP56" s="53"/>
      <c r="NBQ56" s="53"/>
      <c r="NBR56" s="53"/>
      <c r="NBS56" s="53"/>
      <c r="NBT56" s="53"/>
      <c r="NBU56" s="53"/>
      <c r="NBV56" s="53"/>
      <c r="NBW56" s="53"/>
      <c r="NBX56" s="53"/>
      <c r="NBY56" s="53"/>
      <c r="NBZ56" s="53"/>
      <c r="NCA56" s="53"/>
      <c r="NCB56" s="53"/>
      <c r="NCC56" s="53"/>
      <c r="NCD56" s="53"/>
      <c r="NCE56" s="53"/>
      <c r="NCF56" s="53"/>
      <c r="NCG56" s="53"/>
      <c r="NCH56" s="53"/>
      <c r="NCI56" s="53"/>
      <c r="NCJ56" s="53"/>
      <c r="NCK56" s="53"/>
      <c r="NCL56" s="53"/>
      <c r="NCM56" s="53"/>
      <c r="NCN56" s="53"/>
      <c r="NCO56" s="53"/>
      <c r="NCP56" s="53"/>
      <c r="NCQ56" s="53"/>
      <c r="NCR56" s="53"/>
      <c r="NCS56" s="53"/>
      <c r="NCT56" s="53"/>
      <c r="NCU56" s="53"/>
      <c r="NCV56" s="53"/>
      <c r="NCW56" s="53"/>
      <c r="NCX56" s="53"/>
      <c r="NCY56" s="53"/>
      <c r="NCZ56" s="53"/>
      <c r="NDA56" s="53"/>
      <c r="NDB56" s="53"/>
      <c r="NDC56" s="53"/>
      <c r="NDD56" s="53"/>
      <c r="NDE56" s="53"/>
      <c r="NDF56" s="53"/>
      <c r="NDG56" s="53"/>
      <c r="NDH56" s="53"/>
      <c r="NDI56" s="53"/>
      <c r="NDJ56" s="53"/>
      <c r="NDK56" s="53"/>
      <c r="NDL56" s="53"/>
      <c r="NDM56" s="53"/>
      <c r="NDN56" s="53"/>
      <c r="NDO56" s="53"/>
      <c r="NDP56" s="53"/>
      <c r="NDQ56" s="53"/>
      <c r="NDR56" s="53"/>
      <c r="NDS56" s="53"/>
      <c r="NDT56" s="53"/>
      <c r="NDU56" s="53"/>
      <c r="NDV56" s="53"/>
      <c r="NDW56" s="53"/>
      <c r="NDX56" s="53"/>
      <c r="NDY56" s="53"/>
      <c r="NDZ56" s="53"/>
      <c r="NEA56" s="53"/>
      <c r="NEB56" s="53"/>
      <c r="NEC56" s="53"/>
      <c r="NED56" s="53"/>
      <c r="NEE56" s="53"/>
      <c r="NEF56" s="53"/>
      <c r="NEG56" s="53"/>
      <c r="NEH56" s="53"/>
      <c r="NEI56" s="53"/>
      <c r="NEJ56" s="53"/>
      <c r="NEK56" s="53"/>
      <c r="NEL56" s="53"/>
      <c r="NEM56" s="53"/>
      <c r="NEN56" s="53"/>
      <c r="NEO56" s="53"/>
      <c r="NEP56" s="53"/>
      <c r="NEQ56" s="53"/>
      <c r="NER56" s="53"/>
      <c r="NES56" s="53"/>
      <c r="NET56" s="53"/>
      <c r="NEU56" s="53"/>
      <c r="NEV56" s="53"/>
      <c r="NEW56" s="53"/>
      <c r="NEX56" s="53"/>
      <c r="NEY56" s="53"/>
      <c r="NEZ56" s="53"/>
      <c r="NFA56" s="53"/>
      <c r="NFB56" s="53"/>
      <c r="NFC56" s="53"/>
      <c r="NFD56" s="53"/>
      <c r="NFE56" s="53"/>
      <c r="NFF56" s="53"/>
      <c r="NFG56" s="53"/>
      <c r="NFH56" s="53"/>
      <c r="NFI56" s="53"/>
      <c r="NFJ56" s="53"/>
      <c r="NFK56" s="53"/>
      <c r="NFL56" s="53"/>
      <c r="NFM56" s="53"/>
      <c r="NFN56" s="53"/>
      <c r="NFO56" s="53"/>
      <c r="NFP56" s="53"/>
      <c r="NFQ56" s="53"/>
      <c r="NFR56" s="53"/>
      <c r="NFS56" s="53"/>
      <c r="NFT56" s="53"/>
      <c r="NFU56" s="53"/>
      <c r="NFV56" s="53"/>
      <c r="NFW56" s="53"/>
      <c r="NFX56" s="53"/>
      <c r="NFY56" s="53"/>
      <c r="NFZ56" s="53"/>
      <c r="NGA56" s="53"/>
      <c r="NGB56" s="53"/>
      <c r="NGC56" s="53"/>
      <c r="NGD56" s="53"/>
      <c r="NGE56" s="53"/>
      <c r="NGF56" s="53"/>
      <c r="NGG56" s="53"/>
      <c r="NGH56" s="53"/>
      <c r="NGI56" s="53"/>
      <c r="NGJ56" s="53"/>
      <c r="NGK56" s="53"/>
      <c r="NGL56" s="53"/>
      <c r="NGM56" s="53"/>
      <c r="NGN56" s="53"/>
      <c r="NGO56" s="53"/>
      <c r="NGP56" s="53"/>
      <c r="NGQ56" s="53"/>
      <c r="NGR56" s="53"/>
      <c r="NGS56" s="53"/>
      <c r="NGT56" s="53"/>
      <c r="NGU56" s="53"/>
      <c r="NGV56" s="53"/>
      <c r="NGW56" s="53"/>
      <c r="NGX56" s="53"/>
      <c r="NGY56" s="53"/>
      <c r="NGZ56" s="53"/>
      <c r="NHA56" s="53"/>
      <c r="NHB56" s="53"/>
      <c r="NHC56" s="53"/>
      <c r="NHD56" s="53"/>
      <c r="NHE56" s="53"/>
      <c r="NHF56" s="53"/>
      <c r="NHG56" s="53"/>
      <c r="NHH56" s="53"/>
      <c r="NHI56" s="53"/>
      <c r="NHJ56" s="53"/>
      <c r="NHK56" s="53"/>
      <c r="NHL56" s="53"/>
      <c r="NHM56" s="53"/>
      <c r="NHN56" s="53"/>
      <c r="NHO56" s="53"/>
      <c r="NHP56" s="53"/>
      <c r="NHQ56" s="53"/>
      <c r="NHR56" s="53"/>
      <c r="NHS56" s="53"/>
      <c r="NHT56" s="53"/>
      <c r="NHU56" s="53"/>
      <c r="NHV56" s="53"/>
      <c r="NHW56" s="53"/>
      <c r="NHX56" s="53"/>
      <c r="NHY56" s="53"/>
      <c r="NHZ56" s="53"/>
      <c r="NIA56" s="53"/>
      <c r="NIB56" s="53"/>
      <c r="NIC56" s="53"/>
      <c r="NID56" s="53"/>
      <c r="NIE56" s="53"/>
      <c r="NIF56" s="53"/>
      <c r="NIG56" s="53"/>
      <c r="NIH56" s="53"/>
      <c r="NII56" s="53"/>
      <c r="NIJ56" s="53"/>
      <c r="NIK56" s="53"/>
      <c r="NIL56" s="53"/>
      <c r="NIM56" s="53"/>
      <c r="NIN56" s="53"/>
      <c r="NIO56" s="53"/>
      <c r="NIP56" s="53"/>
      <c r="NIQ56" s="53"/>
      <c r="NIR56" s="53"/>
      <c r="NIS56" s="53"/>
      <c r="NIT56" s="53"/>
      <c r="NIU56" s="53"/>
      <c r="NIV56" s="53"/>
      <c r="NIW56" s="53"/>
      <c r="NIX56" s="53"/>
      <c r="NIY56" s="53"/>
      <c r="NIZ56" s="53"/>
      <c r="NJA56" s="53"/>
      <c r="NJB56" s="53"/>
      <c r="NJC56" s="53"/>
      <c r="NJD56" s="53"/>
      <c r="NJE56" s="53"/>
      <c r="NJF56" s="53"/>
      <c r="NJG56" s="53"/>
      <c r="NJH56" s="53"/>
      <c r="NJI56" s="53"/>
      <c r="NJJ56" s="53"/>
      <c r="NJK56" s="53"/>
      <c r="NJL56" s="53"/>
      <c r="NJM56" s="53"/>
      <c r="NJN56" s="53"/>
      <c r="NJO56" s="53"/>
      <c r="NJP56" s="53"/>
      <c r="NJQ56" s="53"/>
      <c r="NJR56" s="53"/>
      <c r="NJS56" s="53"/>
      <c r="NJT56" s="53"/>
      <c r="NJU56" s="53"/>
      <c r="NJV56" s="53"/>
      <c r="NJW56" s="53"/>
      <c r="NJX56" s="53"/>
      <c r="NJY56" s="53"/>
      <c r="NJZ56" s="53"/>
      <c r="NKA56" s="53"/>
      <c r="NKB56" s="53"/>
      <c r="NKC56" s="53"/>
      <c r="NKD56" s="53"/>
      <c r="NKE56" s="53"/>
      <c r="NKF56" s="53"/>
      <c r="NKG56" s="53"/>
      <c r="NKH56" s="53"/>
      <c r="NKI56" s="53"/>
      <c r="NKJ56" s="53"/>
      <c r="NKK56" s="53"/>
      <c r="NKL56" s="53"/>
      <c r="NKM56" s="53"/>
      <c r="NKN56" s="53"/>
      <c r="NKO56" s="53"/>
      <c r="NKP56" s="53"/>
      <c r="NKQ56" s="53"/>
      <c r="NKR56" s="53"/>
      <c r="NKS56" s="53"/>
      <c r="NKT56" s="53"/>
      <c r="NKU56" s="53"/>
      <c r="NKV56" s="53"/>
      <c r="NKW56" s="53"/>
      <c r="NKX56" s="53"/>
      <c r="NKY56" s="53"/>
      <c r="NKZ56" s="53"/>
      <c r="NLA56" s="53"/>
      <c r="NLB56" s="53"/>
      <c r="NLC56" s="53"/>
      <c r="NLD56" s="53"/>
      <c r="NLE56" s="53"/>
      <c r="NLF56" s="53"/>
      <c r="NLG56" s="53"/>
      <c r="NLH56" s="53"/>
      <c r="NLI56" s="53"/>
      <c r="NLJ56" s="53"/>
      <c r="NLK56" s="53"/>
      <c r="NLL56" s="53"/>
      <c r="NLM56" s="53"/>
      <c r="NLN56" s="53"/>
      <c r="NLO56" s="53"/>
      <c r="NLP56" s="53"/>
      <c r="NLQ56" s="53"/>
      <c r="NLR56" s="53"/>
      <c r="NLS56" s="53"/>
      <c r="NLT56" s="53"/>
      <c r="NLU56" s="53"/>
      <c r="NLV56" s="53"/>
      <c r="NLW56" s="53"/>
      <c r="NLX56" s="53"/>
      <c r="NLY56" s="53"/>
      <c r="NLZ56" s="53"/>
      <c r="NMA56" s="53"/>
      <c r="NMB56" s="53"/>
      <c r="NMC56" s="53"/>
      <c r="NMD56" s="53"/>
      <c r="NME56" s="53"/>
      <c r="NMF56" s="53"/>
      <c r="NMG56" s="53"/>
      <c r="NMH56" s="53"/>
      <c r="NMI56" s="53"/>
      <c r="NMJ56" s="53"/>
      <c r="NMK56" s="53"/>
      <c r="NML56" s="53"/>
      <c r="NMM56" s="53"/>
      <c r="NMN56" s="53"/>
      <c r="NMO56" s="53"/>
      <c r="NMP56" s="53"/>
      <c r="NMQ56" s="53"/>
      <c r="NMR56" s="53"/>
      <c r="NMS56" s="53"/>
      <c r="NMT56" s="53"/>
      <c r="NMU56" s="53"/>
      <c r="NMV56" s="53"/>
      <c r="NMW56" s="53"/>
      <c r="NMX56" s="53"/>
      <c r="NMY56" s="53"/>
      <c r="NMZ56" s="53"/>
      <c r="NNA56" s="53"/>
      <c r="NNB56" s="53"/>
      <c r="NNC56" s="53"/>
      <c r="NND56" s="53"/>
      <c r="NNE56" s="53"/>
      <c r="NNF56" s="53"/>
      <c r="NNG56" s="53"/>
      <c r="NNH56" s="53"/>
      <c r="NNI56" s="53"/>
      <c r="NNJ56" s="53"/>
      <c r="NNK56" s="53"/>
      <c r="NNL56" s="53"/>
      <c r="NNM56" s="53"/>
      <c r="NNN56" s="53"/>
      <c r="NNO56" s="53"/>
      <c r="NNP56" s="53"/>
      <c r="NNQ56" s="53"/>
      <c r="NNR56" s="53"/>
      <c r="NNS56" s="53"/>
      <c r="NNT56" s="53"/>
      <c r="NNU56" s="53"/>
      <c r="NNV56" s="53"/>
      <c r="NNW56" s="53"/>
      <c r="NNX56" s="53"/>
      <c r="NNY56" s="53"/>
      <c r="NNZ56" s="53"/>
      <c r="NOA56" s="53"/>
      <c r="NOB56" s="53"/>
      <c r="NOC56" s="53"/>
      <c r="NOD56" s="53"/>
      <c r="NOE56" s="53"/>
      <c r="NOF56" s="53"/>
      <c r="NOG56" s="53"/>
      <c r="NOH56" s="53"/>
      <c r="NOI56" s="53"/>
      <c r="NOJ56" s="53"/>
      <c r="NOK56" s="53"/>
      <c r="NOL56" s="53"/>
      <c r="NOM56" s="53"/>
      <c r="NON56" s="53"/>
      <c r="NOO56" s="53"/>
      <c r="NOP56" s="53"/>
      <c r="NOQ56" s="53"/>
      <c r="NOR56" s="53"/>
      <c r="NOS56" s="53"/>
      <c r="NOT56" s="53"/>
      <c r="NOU56" s="53"/>
      <c r="NOV56" s="53"/>
      <c r="NOW56" s="53"/>
      <c r="NOX56" s="53"/>
      <c r="NOY56" s="53"/>
      <c r="NOZ56" s="53"/>
      <c r="NPA56" s="53"/>
      <c r="NPB56" s="53"/>
      <c r="NPC56" s="53"/>
      <c r="NPD56" s="53"/>
      <c r="NPE56" s="53"/>
      <c r="NPF56" s="53"/>
      <c r="NPG56" s="53"/>
      <c r="NPH56" s="53"/>
      <c r="NPI56" s="53"/>
      <c r="NPJ56" s="53"/>
      <c r="NPK56" s="53"/>
      <c r="NPL56" s="53"/>
      <c r="NPM56" s="53"/>
      <c r="NPN56" s="53"/>
      <c r="NPO56" s="53"/>
      <c r="NPP56" s="53"/>
      <c r="NPQ56" s="53"/>
      <c r="NPR56" s="53"/>
      <c r="NPS56" s="53"/>
      <c r="NPT56" s="53"/>
      <c r="NPU56" s="53"/>
      <c r="NPV56" s="53"/>
      <c r="NPW56" s="53"/>
      <c r="NPX56" s="53"/>
      <c r="NPY56" s="53"/>
      <c r="NPZ56" s="53"/>
      <c r="NQA56" s="53"/>
      <c r="NQB56" s="53"/>
      <c r="NQC56" s="53"/>
      <c r="NQD56" s="53"/>
      <c r="NQE56" s="53"/>
      <c r="NQF56" s="53"/>
      <c r="NQG56" s="53"/>
      <c r="NQH56" s="53"/>
      <c r="NQI56" s="53"/>
      <c r="NQJ56" s="53"/>
      <c r="NQK56" s="53"/>
      <c r="NQL56" s="53"/>
      <c r="NQM56" s="53"/>
      <c r="NQN56" s="53"/>
      <c r="NQO56" s="53"/>
      <c r="NQP56" s="53"/>
      <c r="NQQ56" s="53"/>
      <c r="NQR56" s="53"/>
      <c r="NQS56" s="53"/>
      <c r="NQT56" s="53"/>
      <c r="NQU56" s="53"/>
      <c r="NQV56" s="53"/>
      <c r="NQW56" s="53"/>
      <c r="NQX56" s="53"/>
      <c r="NQY56" s="53"/>
      <c r="NQZ56" s="53"/>
      <c r="NRA56" s="53"/>
      <c r="NRB56" s="53"/>
      <c r="NRC56" s="53"/>
      <c r="NRD56" s="53"/>
      <c r="NRE56" s="53"/>
      <c r="NRF56" s="53"/>
      <c r="NRG56" s="53"/>
      <c r="NRH56" s="53"/>
      <c r="NRI56" s="53"/>
      <c r="NRJ56" s="53"/>
      <c r="NRK56" s="53"/>
      <c r="NRL56" s="53"/>
      <c r="NRM56" s="53"/>
      <c r="NRN56" s="53"/>
      <c r="NRO56" s="53"/>
      <c r="NRP56" s="53"/>
      <c r="NRQ56" s="53"/>
      <c r="NRR56" s="53"/>
      <c r="NRS56" s="53"/>
      <c r="NRT56" s="53"/>
      <c r="NRU56" s="53"/>
      <c r="NRV56" s="53"/>
      <c r="NRW56" s="53"/>
      <c r="NRX56" s="53"/>
      <c r="NRY56" s="53"/>
      <c r="NRZ56" s="53"/>
      <c r="NSA56" s="53"/>
      <c r="NSB56" s="53"/>
      <c r="NSC56" s="53"/>
      <c r="NSD56" s="53"/>
      <c r="NSE56" s="53"/>
      <c r="NSF56" s="53"/>
      <c r="NSG56" s="53"/>
      <c r="NSH56" s="53"/>
      <c r="NSI56" s="53"/>
      <c r="NSJ56" s="53"/>
      <c r="NSK56" s="53"/>
      <c r="NSL56" s="53"/>
      <c r="NSM56" s="53"/>
      <c r="NSN56" s="53"/>
      <c r="NSO56" s="53"/>
      <c r="NSP56" s="53"/>
      <c r="NSQ56" s="53"/>
      <c r="NSR56" s="53"/>
      <c r="NSS56" s="53"/>
      <c r="NST56" s="53"/>
      <c r="NSU56" s="53"/>
      <c r="NSV56" s="53"/>
      <c r="NSW56" s="53"/>
      <c r="NSX56" s="53"/>
      <c r="NSY56" s="53"/>
      <c r="NSZ56" s="53"/>
      <c r="NTA56" s="53"/>
      <c r="NTB56" s="53"/>
      <c r="NTC56" s="53"/>
      <c r="NTD56" s="53"/>
      <c r="NTE56" s="53"/>
      <c r="NTF56" s="53"/>
      <c r="NTG56" s="53"/>
      <c r="NTH56" s="53"/>
      <c r="NTI56" s="53"/>
      <c r="NTJ56" s="53"/>
      <c r="NTK56" s="53"/>
      <c r="NTL56" s="53"/>
      <c r="NTM56" s="53"/>
      <c r="NTN56" s="53"/>
      <c r="NTO56" s="53"/>
      <c r="NTP56" s="53"/>
      <c r="NTQ56" s="53"/>
      <c r="NTR56" s="53"/>
      <c r="NTS56" s="53"/>
      <c r="NTT56" s="53"/>
      <c r="NTU56" s="53"/>
      <c r="NTV56" s="53"/>
      <c r="NTW56" s="53"/>
      <c r="NTX56" s="53"/>
      <c r="NTY56" s="53"/>
      <c r="NTZ56" s="53"/>
      <c r="NUA56" s="53"/>
      <c r="NUB56" s="53"/>
      <c r="NUC56" s="53"/>
      <c r="NUD56" s="53"/>
      <c r="NUE56" s="53"/>
      <c r="NUF56" s="53"/>
      <c r="NUG56" s="53"/>
      <c r="NUH56" s="53"/>
      <c r="NUI56" s="53"/>
      <c r="NUJ56" s="53"/>
      <c r="NUK56" s="53"/>
      <c r="NUL56" s="53"/>
      <c r="NUM56" s="53"/>
      <c r="NUN56" s="53"/>
      <c r="NUO56" s="53"/>
      <c r="NUP56" s="53"/>
      <c r="NUQ56" s="53"/>
      <c r="NUR56" s="53"/>
      <c r="NUS56" s="53"/>
      <c r="NUT56" s="53"/>
      <c r="NUU56" s="53"/>
      <c r="NUV56" s="53"/>
      <c r="NUW56" s="53"/>
      <c r="NUX56" s="53"/>
      <c r="NUY56" s="53"/>
      <c r="NUZ56" s="53"/>
      <c r="NVA56" s="53"/>
      <c r="NVB56" s="53"/>
      <c r="NVC56" s="53"/>
      <c r="NVD56" s="53"/>
      <c r="NVE56" s="53"/>
      <c r="NVF56" s="53"/>
      <c r="NVG56" s="53"/>
      <c r="NVH56" s="53"/>
      <c r="NVI56" s="53"/>
      <c r="NVJ56" s="53"/>
      <c r="NVK56" s="53"/>
      <c r="NVL56" s="53"/>
      <c r="NVM56" s="53"/>
      <c r="NVN56" s="53"/>
      <c r="NVO56" s="53"/>
      <c r="NVP56" s="53"/>
      <c r="NVQ56" s="53"/>
      <c r="NVR56" s="53"/>
      <c r="NVS56" s="53"/>
      <c r="NVT56" s="53"/>
      <c r="NVU56" s="53"/>
      <c r="NVV56" s="53"/>
      <c r="NVW56" s="53"/>
      <c r="NVX56" s="53"/>
      <c r="NVY56" s="53"/>
      <c r="NVZ56" s="53"/>
      <c r="NWA56" s="53"/>
      <c r="NWB56" s="53"/>
      <c r="NWC56" s="53"/>
      <c r="NWD56" s="53"/>
      <c r="NWE56" s="53"/>
      <c r="NWF56" s="53"/>
      <c r="NWG56" s="53"/>
      <c r="NWH56" s="53"/>
      <c r="NWI56" s="53"/>
      <c r="NWJ56" s="53"/>
      <c r="NWK56" s="53"/>
      <c r="NWL56" s="53"/>
      <c r="NWM56" s="53"/>
      <c r="NWN56" s="53"/>
      <c r="NWO56" s="53"/>
      <c r="NWP56" s="53"/>
      <c r="NWQ56" s="53"/>
      <c r="NWR56" s="53"/>
      <c r="NWS56" s="53"/>
      <c r="NWT56" s="53"/>
      <c r="NWU56" s="53"/>
      <c r="NWV56" s="53"/>
      <c r="NWW56" s="53"/>
      <c r="NWX56" s="53"/>
      <c r="NWY56" s="53"/>
      <c r="NWZ56" s="53"/>
      <c r="NXA56" s="53"/>
      <c r="NXB56" s="53"/>
      <c r="NXC56" s="53"/>
      <c r="NXD56" s="53"/>
      <c r="NXE56" s="53"/>
      <c r="NXF56" s="53"/>
      <c r="NXG56" s="53"/>
      <c r="NXH56" s="53"/>
      <c r="NXI56" s="53"/>
      <c r="NXJ56" s="53"/>
      <c r="NXK56" s="53"/>
      <c r="NXL56" s="53"/>
      <c r="NXM56" s="53"/>
      <c r="NXN56" s="53"/>
      <c r="NXO56" s="53"/>
      <c r="NXP56" s="53"/>
      <c r="NXQ56" s="53"/>
      <c r="NXR56" s="53"/>
      <c r="NXS56" s="53"/>
      <c r="NXT56" s="53"/>
      <c r="NXU56" s="53"/>
      <c r="NXV56" s="53"/>
      <c r="NXW56" s="53"/>
      <c r="NXX56" s="53"/>
      <c r="NXY56" s="53"/>
      <c r="NXZ56" s="53"/>
      <c r="NYA56" s="53"/>
      <c r="NYB56" s="53"/>
      <c r="NYC56" s="53"/>
      <c r="NYD56" s="53"/>
      <c r="NYE56" s="53"/>
      <c r="NYF56" s="53"/>
      <c r="NYG56" s="53"/>
      <c r="NYH56" s="53"/>
      <c r="NYI56" s="53"/>
      <c r="NYJ56" s="53"/>
      <c r="NYK56" s="53"/>
      <c r="NYL56" s="53"/>
      <c r="NYM56" s="53"/>
      <c r="NYN56" s="53"/>
      <c r="NYO56" s="53"/>
      <c r="NYP56" s="53"/>
      <c r="NYQ56" s="53"/>
      <c r="NYR56" s="53"/>
      <c r="NYS56" s="53"/>
      <c r="NYT56" s="53"/>
      <c r="NYU56" s="53"/>
      <c r="NYV56" s="53"/>
      <c r="NYW56" s="53"/>
      <c r="NYX56" s="53"/>
      <c r="NYY56" s="53"/>
      <c r="NYZ56" s="53"/>
      <c r="NZA56" s="53"/>
      <c r="NZB56" s="53"/>
      <c r="NZC56" s="53"/>
      <c r="NZD56" s="53"/>
      <c r="NZE56" s="53"/>
      <c r="NZF56" s="53"/>
      <c r="NZG56" s="53"/>
      <c r="NZH56" s="53"/>
      <c r="NZI56" s="53"/>
      <c r="NZJ56" s="53"/>
      <c r="NZK56" s="53"/>
      <c r="NZL56" s="53"/>
      <c r="NZM56" s="53"/>
      <c r="NZN56" s="53"/>
      <c r="NZO56" s="53"/>
      <c r="NZP56" s="53"/>
      <c r="NZQ56" s="53"/>
      <c r="NZR56" s="53"/>
      <c r="NZS56" s="53"/>
      <c r="NZT56" s="53"/>
      <c r="NZU56" s="53"/>
      <c r="NZV56" s="53"/>
      <c r="NZW56" s="53"/>
      <c r="NZX56" s="53"/>
      <c r="NZY56" s="53"/>
      <c r="NZZ56" s="53"/>
      <c r="OAA56" s="53"/>
      <c r="OAB56" s="53"/>
      <c r="OAC56" s="53"/>
      <c r="OAD56" s="53"/>
      <c r="OAE56" s="53"/>
      <c r="OAF56" s="53"/>
      <c r="OAG56" s="53"/>
      <c r="OAH56" s="53"/>
      <c r="OAI56" s="53"/>
      <c r="OAJ56" s="53"/>
      <c r="OAK56" s="53"/>
      <c r="OAL56" s="53"/>
      <c r="OAM56" s="53"/>
      <c r="OAN56" s="53"/>
      <c r="OAO56" s="53"/>
      <c r="OAP56" s="53"/>
      <c r="OAQ56" s="53"/>
      <c r="OAR56" s="53"/>
      <c r="OAS56" s="53"/>
      <c r="OAT56" s="53"/>
      <c r="OAU56" s="53"/>
      <c r="OAV56" s="53"/>
      <c r="OAW56" s="53"/>
      <c r="OAX56" s="53"/>
      <c r="OAY56" s="53"/>
      <c r="OAZ56" s="53"/>
      <c r="OBA56" s="53"/>
      <c r="OBB56" s="53"/>
      <c r="OBC56" s="53"/>
      <c r="OBD56" s="53"/>
      <c r="OBE56" s="53"/>
      <c r="OBF56" s="53"/>
      <c r="OBG56" s="53"/>
      <c r="OBH56" s="53"/>
      <c r="OBI56" s="53"/>
      <c r="OBJ56" s="53"/>
      <c r="OBK56" s="53"/>
      <c r="OBL56" s="53"/>
      <c r="OBM56" s="53"/>
      <c r="OBN56" s="53"/>
      <c r="OBO56" s="53"/>
      <c r="OBP56" s="53"/>
      <c r="OBQ56" s="53"/>
      <c r="OBR56" s="53"/>
      <c r="OBS56" s="53"/>
      <c r="OBT56" s="53"/>
      <c r="OBU56" s="53"/>
      <c r="OBV56" s="53"/>
      <c r="OBW56" s="53"/>
      <c r="OBX56" s="53"/>
      <c r="OBY56" s="53"/>
      <c r="OBZ56" s="53"/>
      <c r="OCA56" s="53"/>
      <c r="OCB56" s="53"/>
      <c r="OCC56" s="53"/>
      <c r="OCD56" s="53"/>
      <c r="OCE56" s="53"/>
      <c r="OCF56" s="53"/>
      <c r="OCG56" s="53"/>
      <c r="OCH56" s="53"/>
      <c r="OCI56" s="53"/>
      <c r="OCJ56" s="53"/>
      <c r="OCK56" s="53"/>
      <c r="OCL56" s="53"/>
      <c r="OCM56" s="53"/>
      <c r="OCN56" s="53"/>
      <c r="OCO56" s="53"/>
      <c r="OCP56" s="53"/>
      <c r="OCQ56" s="53"/>
      <c r="OCR56" s="53"/>
      <c r="OCS56" s="53"/>
      <c r="OCT56" s="53"/>
      <c r="OCU56" s="53"/>
      <c r="OCV56" s="53"/>
      <c r="OCW56" s="53"/>
      <c r="OCX56" s="53"/>
      <c r="OCY56" s="53"/>
      <c r="OCZ56" s="53"/>
      <c r="ODA56" s="53"/>
      <c r="ODB56" s="53"/>
      <c r="ODC56" s="53"/>
      <c r="ODD56" s="53"/>
      <c r="ODE56" s="53"/>
      <c r="ODF56" s="53"/>
      <c r="ODG56" s="53"/>
      <c r="ODH56" s="53"/>
      <c r="ODI56" s="53"/>
      <c r="ODJ56" s="53"/>
      <c r="ODK56" s="53"/>
      <c r="ODL56" s="53"/>
      <c r="ODM56" s="53"/>
      <c r="ODN56" s="53"/>
      <c r="ODO56" s="53"/>
      <c r="ODP56" s="53"/>
      <c r="ODQ56" s="53"/>
      <c r="ODR56" s="53"/>
      <c r="ODS56" s="53"/>
      <c r="ODT56" s="53"/>
      <c r="ODU56" s="53"/>
      <c r="ODV56" s="53"/>
      <c r="ODW56" s="53"/>
      <c r="ODX56" s="53"/>
      <c r="ODY56" s="53"/>
      <c r="ODZ56" s="53"/>
      <c r="OEA56" s="53"/>
      <c r="OEB56" s="53"/>
      <c r="OEC56" s="53"/>
      <c r="OED56" s="53"/>
      <c r="OEE56" s="53"/>
      <c r="OEF56" s="53"/>
      <c r="OEG56" s="53"/>
      <c r="OEH56" s="53"/>
      <c r="OEI56" s="53"/>
      <c r="OEJ56" s="53"/>
      <c r="OEK56" s="53"/>
      <c r="OEL56" s="53"/>
      <c r="OEM56" s="53"/>
      <c r="OEN56" s="53"/>
      <c r="OEO56" s="53"/>
      <c r="OEP56" s="53"/>
      <c r="OEQ56" s="53"/>
      <c r="OER56" s="53"/>
      <c r="OES56" s="53"/>
      <c r="OET56" s="53"/>
      <c r="OEU56" s="53"/>
      <c r="OEV56" s="53"/>
      <c r="OEW56" s="53"/>
      <c r="OEX56" s="53"/>
      <c r="OEY56" s="53"/>
      <c r="OEZ56" s="53"/>
      <c r="OFA56" s="53"/>
      <c r="OFB56" s="53"/>
      <c r="OFC56" s="53"/>
      <c r="OFD56" s="53"/>
      <c r="OFE56" s="53"/>
      <c r="OFF56" s="53"/>
      <c r="OFG56" s="53"/>
      <c r="OFH56" s="53"/>
      <c r="OFI56" s="53"/>
      <c r="OFJ56" s="53"/>
      <c r="OFK56" s="53"/>
      <c r="OFL56" s="53"/>
      <c r="OFM56" s="53"/>
      <c r="OFN56" s="53"/>
      <c r="OFO56" s="53"/>
      <c r="OFP56" s="53"/>
      <c r="OFQ56" s="53"/>
      <c r="OFR56" s="53"/>
      <c r="OFS56" s="53"/>
      <c r="OFT56" s="53"/>
      <c r="OFU56" s="53"/>
      <c r="OFV56" s="53"/>
      <c r="OFW56" s="53"/>
      <c r="OFX56" s="53"/>
      <c r="OFY56" s="53"/>
      <c r="OFZ56" s="53"/>
      <c r="OGA56" s="53"/>
      <c r="OGB56" s="53"/>
      <c r="OGC56" s="53"/>
      <c r="OGD56" s="53"/>
      <c r="OGE56" s="53"/>
      <c r="OGF56" s="53"/>
      <c r="OGG56" s="53"/>
      <c r="OGH56" s="53"/>
      <c r="OGI56" s="53"/>
      <c r="OGJ56" s="53"/>
      <c r="OGK56" s="53"/>
      <c r="OGL56" s="53"/>
      <c r="OGM56" s="53"/>
      <c r="OGN56" s="53"/>
      <c r="OGO56" s="53"/>
      <c r="OGP56" s="53"/>
      <c r="OGQ56" s="53"/>
      <c r="OGR56" s="53"/>
      <c r="OGS56" s="53"/>
      <c r="OGT56" s="53"/>
      <c r="OGU56" s="53"/>
      <c r="OGV56" s="53"/>
      <c r="OGW56" s="53"/>
      <c r="OGX56" s="53"/>
      <c r="OGY56" s="53"/>
      <c r="OGZ56" s="53"/>
      <c r="OHA56" s="53"/>
      <c r="OHB56" s="53"/>
      <c r="OHC56" s="53"/>
      <c r="OHD56" s="53"/>
      <c r="OHE56" s="53"/>
      <c r="OHF56" s="53"/>
      <c r="OHG56" s="53"/>
      <c r="OHH56" s="53"/>
      <c r="OHI56" s="53"/>
      <c r="OHJ56" s="53"/>
      <c r="OHK56" s="53"/>
      <c r="OHL56" s="53"/>
      <c r="OHM56" s="53"/>
      <c r="OHN56" s="53"/>
      <c r="OHO56" s="53"/>
      <c r="OHP56" s="53"/>
      <c r="OHQ56" s="53"/>
      <c r="OHR56" s="53"/>
      <c r="OHS56" s="53"/>
      <c r="OHT56" s="53"/>
      <c r="OHU56" s="53"/>
      <c r="OHV56" s="53"/>
      <c r="OHW56" s="53"/>
      <c r="OHX56" s="53"/>
      <c r="OHY56" s="53"/>
      <c r="OHZ56" s="53"/>
      <c r="OIA56" s="53"/>
      <c r="OIB56" s="53"/>
      <c r="OIC56" s="53"/>
      <c r="OID56" s="53"/>
      <c r="OIE56" s="53"/>
      <c r="OIF56" s="53"/>
      <c r="OIG56" s="53"/>
      <c r="OIH56" s="53"/>
      <c r="OII56" s="53"/>
      <c r="OIJ56" s="53"/>
      <c r="OIK56" s="53"/>
      <c r="OIL56" s="53"/>
      <c r="OIM56" s="53"/>
      <c r="OIN56" s="53"/>
      <c r="OIO56" s="53"/>
      <c r="OIP56" s="53"/>
      <c r="OIQ56" s="53"/>
      <c r="OIR56" s="53"/>
      <c r="OIS56" s="53"/>
      <c r="OIT56" s="53"/>
      <c r="OIU56" s="53"/>
      <c r="OIV56" s="53"/>
      <c r="OIW56" s="53"/>
      <c r="OIX56" s="53"/>
      <c r="OIY56" s="53"/>
      <c r="OIZ56" s="53"/>
      <c r="OJA56" s="53"/>
      <c r="OJB56" s="53"/>
      <c r="OJC56" s="53"/>
      <c r="OJD56" s="53"/>
      <c r="OJE56" s="53"/>
      <c r="OJF56" s="53"/>
      <c r="OJG56" s="53"/>
      <c r="OJH56" s="53"/>
      <c r="OJI56" s="53"/>
      <c r="OJJ56" s="53"/>
      <c r="OJK56" s="53"/>
      <c r="OJL56" s="53"/>
      <c r="OJM56" s="53"/>
      <c r="OJN56" s="53"/>
      <c r="OJO56" s="53"/>
      <c r="OJP56" s="53"/>
      <c r="OJQ56" s="53"/>
      <c r="OJR56" s="53"/>
      <c r="OJS56" s="53"/>
      <c r="OJT56" s="53"/>
      <c r="OJU56" s="53"/>
      <c r="OJV56" s="53"/>
      <c r="OJW56" s="53"/>
      <c r="OJX56" s="53"/>
      <c r="OJY56" s="53"/>
      <c r="OJZ56" s="53"/>
      <c r="OKA56" s="53"/>
      <c r="OKB56" s="53"/>
      <c r="OKC56" s="53"/>
      <c r="OKD56" s="53"/>
      <c r="OKE56" s="53"/>
      <c r="OKF56" s="53"/>
      <c r="OKG56" s="53"/>
      <c r="OKH56" s="53"/>
      <c r="OKI56" s="53"/>
      <c r="OKJ56" s="53"/>
      <c r="OKK56" s="53"/>
      <c r="OKL56" s="53"/>
      <c r="OKM56" s="53"/>
      <c r="OKN56" s="53"/>
      <c r="OKO56" s="53"/>
      <c r="OKP56" s="53"/>
      <c r="OKQ56" s="53"/>
      <c r="OKR56" s="53"/>
      <c r="OKS56" s="53"/>
      <c r="OKT56" s="53"/>
      <c r="OKU56" s="53"/>
      <c r="OKV56" s="53"/>
      <c r="OKW56" s="53"/>
      <c r="OKX56" s="53"/>
      <c r="OKY56" s="53"/>
      <c r="OKZ56" s="53"/>
      <c r="OLA56" s="53"/>
      <c r="OLB56" s="53"/>
      <c r="OLC56" s="53"/>
      <c r="OLD56" s="53"/>
      <c r="OLE56" s="53"/>
      <c r="OLF56" s="53"/>
      <c r="OLG56" s="53"/>
      <c r="OLH56" s="53"/>
      <c r="OLI56" s="53"/>
      <c r="OLJ56" s="53"/>
      <c r="OLK56" s="53"/>
      <c r="OLL56" s="53"/>
      <c r="OLM56" s="53"/>
      <c r="OLN56" s="53"/>
      <c r="OLO56" s="53"/>
      <c r="OLP56" s="53"/>
      <c r="OLQ56" s="53"/>
      <c r="OLR56" s="53"/>
      <c r="OLS56" s="53"/>
      <c r="OLT56" s="53"/>
      <c r="OLU56" s="53"/>
      <c r="OLV56" s="53"/>
      <c r="OLW56" s="53"/>
      <c r="OLX56" s="53"/>
      <c r="OLY56" s="53"/>
      <c r="OLZ56" s="53"/>
      <c r="OMA56" s="53"/>
      <c r="OMB56" s="53"/>
      <c r="OMC56" s="53"/>
      <c r="OMD56" s="53"/>
      <c r="OME56" s="53"/>
      <c r="OMF56" s="53"/>
      <c r="OMG56" s="53"/>
      <c r="OMH56" s="53"/>
      <c r="OMI56" s="53"/>
      <c r="OMJ56" s="53"/>
      <c r="OMK56" s="53"/>
      <c r="OML56" s="53"/>
      <c r="OMM56" s="53"/>
      <c r="OMN56" s="53"/>
      <c r="OMO56" s="53"/>
      <c r="OMP56" s="53"/>
      <c r="OMQ56" s="53"/>
      <c r="OMR56" s="53"/>
      <c r="OMS56" s="53"/>
      <c r="OMT56" s="53"/>
      <c r="OMU56" s="53"/>
      <c r="OMV56" s="53"/>
      <c r="OMW56" s="53"/>
      <c r="OMX56" s="53"/>
      <c r="OMY56" s="53"/>
      <c r="OMZ56" s="53"/>
      <c r="ONA56" s="53"/>
      <c r="ONB56" s="53"/>
      <c r="ONC56" s="53"/>
      <c r="OND56" s="53"/>
      <c r="ONE56" s="53"/>
      <c r="ONF56" s="53"/>
      <c r="ONG56" s="53"/>
      <c r="ONH56" s="53"/>
      <c r="ONI56" s="53"/>
      <c r="ONJ56" s="53"/>
      <c r="ONK56" s="53"/>
      <c r="ONL56" s="53"/>
      <c r="ONM56" s="53"/>
      <c r="ONN56" s="53"/>
      <c r="ONO56" s="53"/>
      <c r="ONP56" s="53"/>
      <c r="ONQ56" s="53"/>
      <c r="ONR56" s="53"/>
      <c r="ONS56" s="53"/>
      <c r="ONT56" s="53"/>
      <c r="ONU56" s="53"/>
      <c r="ONV56" s="53"/>
      <c r="ONW56" s="53"/>
      <c r="ONX56" s="53"/>
      <c r="ONY56" s="53"/>
      <c r="ONZ56" s="53"/>
      <c r="OOA56" s="53"/>
      <c r="OOB56" s="53"/>
      <c r="OOC56" s="53"/>
      <c r="OOD56" s="53"/>
      <c r="OOE56" s="53"/>
      <c r="OOF56" s="53"/>
      <c r="OOG56" s="53"/>
      <c r="OOH56" s="53"/>
      <c r="OOI56" s="53"/>
      <c r="OOJ56" s="53"/>
      <c r="OOK56" s="53"/>
      <c r="OOL56" s="53"/>
      <c r="OOM56" s="53"/>
      <c r="OON56" s="53"/>
      <c r="OOO56" s="53"/>
      <c r="OOP56" s="53"/>
      <c r="OOQ56" s="53"/>
      <c r="OOR56" s="53"/>
      <c r="OOS56" s="53"/>
      <c r="OOT56" s="53"/>
      <c r="OOU56" s="53"/>
      <c r="OOV56" s="53"/>
      <c r="OOW56" s="53"/>
      <c r="OOX56" s="53"/>
      <c r="OOY56" s="53"/>
      <c r="OOZ56" s="53"/>
      <c r="OPA56" s="53"/>
      <c r="OPB56" s="53"/>
      <c r="OPC56" s="53"/>
      <c r="OPD56" s="53"/>
      <c r="OPE56" s="53"/>
      <c r="OPF56" s="53"/>
      <c r="OPG56" s="53"/>
      <c r="OPH56" s="53"/>
      <c r="OPI56" s="53"/>
      <c r="OPJ56" s="53"/>
      <c r="OPK56" s="53"/>
      <c r="OPL56" s="53"/>
      <c r="OPM56" s="53"/>
      <c r="OPN56" s="53"/>
      <c r="OPO56" s="53"/>
      <c r="OPP56" s="53"/>
      <c r="OPQ56" s="53"/>
      <c r="OPR56" s="53"/>
      <c r="OPS56" s="53"/>
      <c r="OPT56" s="53"/>
      <c r="OPU56" s="53"/>
      <c r="OPV56" s="53"/>
      <c r="OPW56" s="53"/>
      <c r="OPX56" s="53"/>
      <c r="OPY56" s="53"/>
      <c r="OPZ56" s="53"/>
      <c r="OQA56" s="53"/>
      <c r="OQB56" s="53"/>
      <c r="OQC56" s="53"/>
      <c r="OQD56" s="53"/>
      <c r="OQE56" s="53"/>
      <c r="OQF56" s="53"/>
      <c r="OQG56" s="53"/>
      <c r="OQH56" s="53"/>
      <c r="OQI56" s="53"/>
      <c r="OQJ56" s="53"/>
      <c r="OQK56" s="53"/>
      <c r="OQL56" s="53"/>
      <c r="OQM56" s="53"/>
      <c r="OQN56" s="53"/>
      <c r="OQO56" s="53"/>
      <c r="OQP56" s="53"/>
      <c r="OQQ56" s="53"/>
      <c r="OQR56" s="53"/>
      <c r="OQS56" s="53"/>
      <c r="OQT56" s="53"/>
      <c r="OQU56" s="53"/>
      <c r="OQV56" s="53"/>
      <c r="OQW56" s="53"/>
      <c r="OQX56" s="53"/>
      <c r="OQY56" s="53"/>
      <c r="OQZ56" s="53"/>
      <c r="ORA56" s="53"/>
      <c r="ORB56" s="53"/>
      <c r="ORC56" s="53"/>
      <c r="ORD56" s="53"/>
      <c r="ORE56" s="53"/>
      <c r="ORF56" s="53"/>
      <c r="ORG56" s="53"/>
      <c r="ORH56" s="53"/>
      <c r="ORI56" s="53"/>
      <c r="ORJ56" s="53"/>
      <c r="ORK56" s="53"/>
      <c r="ORL56" s="53"/>
      <c r="ORM56" s="53"/>
      <c r="ORN56" s="53"/>
      <c r="ORO56" s="53"/>
      <c r="ORP56" s="53"/>
      <c r="ORQ56" s="53"/>
      <c r="ORR56" s="53"/>
      <c r="ORS56" s="53"/>
      <c r="ORT56" s="53"/>
      <c r="ORU56" s="53"/>
      <c r="ORV56" s="53"/>
      <c r="ORW56" s="53"/>
      <c r="ORX56" s="53"/>
      <c r="ORY56" s="53"/>
      <c r="ORZ56" s="53"/>
      <c r="OSA56" s="53"/>
      <c r="OSB56" s="53"/>
      <c r="OSC56" s="53"/>
      <c r="OSD56" s="53"/>
      <c r="OSE56" s="53"/>
      <c r="OSF56" s="53"/>
      <c r="OSG56" s="53"/>
      <c r="OSH56" s="53"/>
      <c r="OSI56" s="53"/>
      <c r="OSJ56" s="53"/>
      <c r="OSK56" s="53"/>
      <c r="OSL56" s="53"/>
      <c r="OSM56" s="53"/>
      <c r="OSN56" s="53"/>
      <c r="OSO56" s="53"/>
      <c r="OSP56" s="53"/>
      <c r="OSQ56" s="53"/>
      <c r="OSR56" s="53"/>
      <c r="OSS56" s="53"/>
      <c r="OST56" s="53"/>
      <c r="OSU56" s="53"/>
      <c r="OSV56" s="53"/>
      <c r="OSW56" s="53"/>
      <c r="OSX56" s="53"/>
      <c r="OSY56" s="53"/>
      <c r="OSZ56" s="53"/>
      <c r="OTA56" s="53"/>
      <c r="OTB56" s="53"/>
      <c r="OTC56" s="53"/>
      <c r="OTD56" s="53"/>
      <c r="OTE56" s="53"/>
      <c r="OTF56" s="53"/>
      <c r="OTG56" s="53"/>
      <c r="OTH56" s="53"/>
      <c r="OTI56" s="53"/>
      <c r="OTJ56" s="53"/>
      <c r="OTK56" s="53"/>
      <c r="OTL56" s="53"/>
      <c r="OTM56" s="53"/>
      <c r="OTN56" s="53"/>
      <c r="OTO56" s="53"/>
      <c r="OTP56" s="53"/>
      <c r="OTQ56" s="53"/>
      <c r="OTR56" s="53"/>
      <c r="OTS56" s="53"/>
      <c r="OTT56" s="53"/>
      <c r="OTU56" s="53"/>
      <c r="OTV56" s="53"/>
      <c r="OTW56" s="53"/>
      <c r="OTX56" s="53"/>
      <c r="OTY56" s="53"/>
      <c r="OTZ56" s="53"/>
      <c r="OUA56" s="53"/>
      <c r="OUB56" s="53"/>
      <c r="OUC56" s="53"/>
      <c r="OUD56" s="53"/>
      <c r="OUE56" s="53"/>
      <c r="OUF56" s="53"/>
      <c r="OUG56" s="53"/>
      <c r="OUH56" s="53"/>
      <c r="OUI56" s="53"/>
      <c r="OUJ56" s="53"/>
      <c r="OUK56" s="53"/>
      <c r="OUL56" s="53"/>
      <c r="OUM56" s="53"/>
      <c r="OUN56" s="53"/>
      <c r="OUO56" s="53"/>
      <c r="OUP56" s="53"/>
      <c r="OUQ56" s="53"/>
      <c r="OUR56" s="53"/>
      <c r="OUS56" s="53"/>
      <c r="OUT56" s="53"/>
      <c r="OUU56" s="53"/>
      <c r="OUV56" s="53"/>
      <c r="OUW56" s="53"/>
      <c r="OUX56" s="53"/>
      <c r="OUY56" s="53"/>
      <c r="OUZ56" s="53"/>
      <c r="OVA56" s="53"/>
      <c r="OVB56" s="53"/>
      <c r="OVC56" s="53"/>
      <c r="OVD56" s="53"/>
      <c r="OVE56" s="53"/>
      <c r="OVF56" s="53"/>
      <c r="OVG56" s="53"/>
      <c r="OVH56" s="53"/>
      <c r="OVI56" s="53"/>
      <c r="OVJ56" s="53"/>
      <c r="OVK56" s="53"/>
      <c r="OVL56" s="53"/>
      <c r="OVM56" s="53"/>
      <c r="OVN56" s="53"/>
      <c r="OVO56" s="53"/>
      <c r="OVP56" s="53"/>
      <c r="OVQ56" s="53"/>
      <c r="OVR56" s="53"/>
      <c r="OVS56" s="53"/>
      <c r="OVT56" s="53"/>
      <c r="OVU56" s="53"/>
      <c r="OVV56" s="53"/>
      <c r="OVW56" s="53"/>
      <c r="OVX56" s="53"/>
      <c r="OVY56" s="53"/>
      <c r="OVZ56" s="53"/>
      <c r="OWA56" s="53"/>
      <c r="OWB56" s="53"/>
      <c r="OWC56" s="53"/>
      <c r="OWD56" s="53"/>
      <c r="OWE56" s="53"/>
      <c r="OWF56" s="53"/>
      <c r="OWG56" s="53"/>
      <c r="OWH56" s="53"/>
      <c r="OWI56" s="53"/>
      <c r="OWJ56" s="53"/>
      <c r="OWK56" s="53"/>
      <c r="OWL56" s="53"/>
      <c r="OWM56" s="53"/>
      <c r="OWN56" s="53"/>
      <c r="OWO56" s="53"/>
      <c r="OWP56" s="53"/>
      <c r="OWQ56" s="53"/>
      <c r="OWR56" s="53"/>
      <c r="OWS56" s="53"/>
      <c r="OWT56" s="53"/>
      <c r="OWU56" s="53"/>
      <c r="OWV56" s="53"/>
      <c r="OWW56" s="53"/>
      <c r="OWX56" s="53"/>
      <c r="OWY56" s="53"/>
      <c r="OWZ56" s="53"/>
      <c r="OXA56" s="53"/>
      <c r="OXB56" s="53"/>
      <c r="OXC56" s="53"/>
      <c r="OXD56" s="53"/>
      <c r="OXE56" s="53"/>
      <c r="OXF56" s="53"/>
      <c r="OXG56" s="53"/>
      <c r="OXH56" s="53"/>
      <c r="OXI56" s="53"/>
      <c r="OXJ56" s="53"/>
      <c r="OXK56" s="53"/>
      <c r="OXL56" s="53"/>
      <c r="OXM56" s="53"/>
      <c r="OXN56" s="53"/>
      <c r="OXO56" s="53"/>
      <c r="OXP56" s="53"/>
      <c r="OXQ56" s="53"/>
      <c r="OXR56" s="53"/>
      <c r="OXS56" s="53"/>
      <c r="OXT56" s="53"/>
      <c r="OXU56" s="53"/>
      <c r="OXV56" s="53"/>
      <c r="OXW56" s="53"/>
      <c r="OXX56" s="53"/>
      <c r="OXY56" s="53"/>
      <c r="OXZ56" s="53"/>
      <c r="OYA56" s="53"/>
      <c r="OYB56" s="53"/>
      <c r="OYC56" s="53"/>
      <c r="OYD56" s="53"/>
      <c r="OYE56" s="53"/>
      <c r="OYF56" s="53"/>
      <c r="OYG56" s="53"/>
      <c r="OYH56" s="53"/>
      <c r="OYI56" s="53"/>
      <c r="OYJ56" s="53"/>
      <c r="OYK56" s="53"/>
      <c r="OYL56" s="53"/>
      <c r="OYM56" s="53"/>
      <c r="OYN56" s="53"/>
      <c r="OYO56" s="53"/>
      <c r="OYP56" s="53"/>
      <c r="OYQ56" s="53"/>
      <c r="OYR56" s="53"/>
      <c r="OYS56" s="53"/>
      <c r="OYT56" s="53"/>
      <c r="OYU56" s="53"/>
      <c r="OYV56" s="53"/>
      <c r="OYW56" s="53"/>
      <c r="OYX56" s="53"/>
      <c r="OYY56" s="53"/>
      <c r="OYZ56" s="53"/>
      <c r="OZA56" s="53"/>
      <c r="OZB56" s="53"/>
      <c r="OZC56" s="53"/>
      <c r="OZD56" s="53"/>
      <c r="OZE56" s="53"/>
      <c r="OZF56" s="53"/>
      <c r="OZG56" s="53"/>
      <c r="OZH56" s="53"/>
      <c r="OZI56" s="53"/>
      <c r="OZJ56" s="53"/>
      <c r="OZK56" s="53"/>
      <c r="OZL56" s="53"/>
      <c r="OZM56" s="53"/>
      <c r="OZN56" s="53"/>
      <c r="OZO56" s="53"/>
      <c r="OZP56" s="53"/>
      <c r="OZQ56" s="53"/>
      <c r="OZR56" s="53"/>
      <c r="OZS56" s="53"/>
      <c r="OZT56" s="53"/>
      <c r="OZU56" s="53"/>
      <c r="OZV56" s="53"/>
      <c r="OZW56" s="53"/>
      <c r="OZX56" s="53"/>
      <c r="OZY56" s="53"/>
      <c r="OZZ56" s="53"/>
      <c r="PAA56" s="53"/>
      <c r="PAB56" s="53"/>
      <c r="PAC56" s="53"/>
      <c r="PAD56" s="53"/>
      <c r="PAE56" s="53"/>
      <c r="PAF56" s="53"/>
      <c r="PAG56" s="53"/>
      <c r="PAH56" s="53"/>
      <c r="PAI56" s="53"/>
      <c r="PAJ56" s="53"/>
      <c r="PAK56" s="53"/>
      <c r="PAL56" s="53"/>
      <c r="PAM56" s="53"/>
      <c r="PAN56" s="53"/>
      <c r="PAO56" s="53"/>
      <c r="PAP56" s="53"/>
      <c r="PAQ56" s="53"/>
      <c r="PAR56" s="53"/>
      <c r="PAS56" s="53"/>
      <c r="PAT56" s="53"/>
      <c r="PAU56" s="53"/>
      <c r="PAV56" s="53"/>
      <c r="PAW56" s="53"/>
      <c r="PAX56" s="53"/>
      <c r="PAY56" s="53"/>
      <c r="PAZ56" s="53"/>
      <c r="PBA56" s="53"/>
      <c r="PBB56" s="53"/>
      <c r="PBC56" s="53"/>
      <c r="PBD56" s="53"/>
      <c r="PBE56" s="53"/>
      <c r="PBF56" s="53"/>
      <c r="PBG56" s="53"/>
      <c r="PBH56" s="53"/>
      <c r="PBI56" s="53"/>
      <c r="PBJ56" s="53"/>
      <c r="PBK56" s="53"/>
      <c r="PBL56" s="53"/>
      <c r="PBM56" s="53"/>
      <c r="PBN56" s="53"/>
      <c r="PBO56" s="53"/>
      <c r="PBP56" s="53"/>
      <c r="PBQ56" s="53"/>
      <c r="PBR56" s="53"/>
      <c r="PBS56" s="53"/>
      <c r="PBT56" s="53"/>
      <c r="PBU56" s="53"/>
      <c r="PBV56" s="53"/>
      <c r="PBW56" s="53"/>
      <c r="PBX56" s="53"/>
      <c r="PBY56" s="53"/>
      <c r="PBZ56" s="53"/>
      <c r="PCA56" s="53"/>
      <c r="PCB56" s="53"/>
      <c r="PCC56" s="53"/>
      <c r="PCD56" s="53"/>
      <c r="PCE56" s="53"/>
      <c r="PCF56" s="53"/>
      <c r="PCG56" s="53"/>
      <c r="PCH56" s="53"/>
      <c r="PCI56" s="53"/>
      <c r="PCJ56" s="53"/>
      <c r="PCK56" s="53"/>
      <c r="PCL56" s="53"/>
      <c r="PCM56" s="53"/>
      <c r="PCN56" s="53"/>
      <c r="PCO56" s="53"/>
      <c r="PCP56" s="53"/>
      <c r="PCQ56" s="53"/>
      <c r="PCR56" s="53"/>
      <c r="PCS56" s="53"/>
      <c r="PCT56" s="53"/>
      <c r="PCU56" s="53"/>
      <c r="PCV56" s="53"/>
      <c r="PCW56" s="53"/>
      <c r="PCX56" s="53"/>
      <c r="PCY56" s="53"/>
      <c r="PCZ56" s="53"/>
      <c r="PDA56" s="53"/>
      <c r="PDB56" s="53"/>
      <c r="PDC56" s="53"/>
      <c r="PDD56" s="53"/>
      <c r="PDE56" s="53"/>
      <c r="PDF56" s="53"/>
      <c r="PDG56" s="53"/>
      <c r="PDH56" s="53"/>
      <c r="PDI56" s="53"/>
      <c r="PDJ56" s="53"/>
      <c r="PDK56" s="53"/>
      <c r="PDL56" s="53"/>
      <c r="PDM56" s="53"/>
      <c r="PDN56" s="53"/>
      <c r="PDO56" s="53"/>
      <c r="PDP56" s="53"/>
      <c r="PDQ56" s="53"/>
      <c r="PDR56" s="53"/>
      <c r="PDS56" s="53"/>
      <c r="PDT56" s="53"/>
      <c r="PDU56" s="53"/>
      <c r="PDV56" s="53"/>
      <c r="PDW56" s="53"/>
      <c r="PDX56" s="53"/>
      <c r="PDY56" s="53"/>
      <c r="PDZ56" s="53"/>
      <c r="PEA56" s="53"/>
      <c r="PEB56" s="53"/>
      <c r="PEC56" s="53"/>
      <c r="PED56" s="53"/>
      <c r="PEE56" s="53"/>
      <c r="PEF56" s="53"/>
      <c r="PEG56" s="53"/>
      <c r="PEH56" s="53"/>
      <c r="PEI56" s="53"/>
      <c r="PEJ56" s="53"/>
      <c r="PEK56" s="53"/>
      <c r="PEL56" s="53"/>
      <c r="PEM56" s="53"/>
      <c r="PEN56" s="53"/>
      <c r="PEO56" s="53"/>
      <c r="PEP56" s="53"/>
      <c r="PEQ56" s="53"/>
      <c r="PER56" s="53"/>
      <c r="PES56" s="53"/>
      <c r="PET56" s="53"/>
      <c r="PEU56" s="53"/>
      <c r="PEV56" s="53"/>
      <c r="PEW56" s="53"/>
      <c r="PEX56" s="53"/>
      <c r="PEY56" s="53"/>
      <c r="PEZ56" s="53"/>
      <c r="PFA56" s="53"/>
      <c r="PFB56" s="53"/>
      <c r="PFC56" s="53"/>
      <c r="PFD56" s="53"/>
      <c r="PFE56" s="53"/>
      <c r="PFF56" s="53"/>
      <c r="PFG56" s="53"/>
      <c r="PFH56" s="53"/>
      <c r="PFI56" s="53"/>
      <c r="PFJ56" s="53"/>
      <c r="PFK56" s="53"/>
      <c r="PFL56" s="53"/>
      <c r="PFM56" s="53"/>
      <c r="PFN56" s="53"/>
      <c r="PFO56" s="53"/>
      <c r="PFP56" s="53"/>
      <c r="PFQ56" s="53"/>
      <c r="PFR56" s="53"/>
      <c r="PFS56" s="53"/>
      <c r="PFT56" s="53"/>
      <c r="PFU56" s="53"/>
      <c r="PFV56" s="53"/>
      <c r="PFW56" s="53"/>
      <c r="PFX56" s="53"/>
      <c r="PFY56" s="53"/>
      <c r="PFZ56" s="53"/>
      <c r="PGA56" s="53"/>
      <c r="PGB56" s="53"/>
      <c r="PGC56" s="53"/>
      <c r="PGD56" s="53"/>
      <c r="PGE56" s="53"/>
      <c r="PGF56" s="53"/>
      <c r="PGG56" s="53"/>
      <c r="PGH56" s="53"/>
      <c r="PGI56" s="53"/>
      <c r="PGJ56" s="53"/>
      <c r="PGK56" s="53"/>
      <c r="PGL56" s="53"/>
      <c r="PGM56" s="53"/>
      <c r="PGN56" s="53"/>
      <c r="PGO56" s="53"/>
      <c r="PGP56" s="53"/>
      <c r="PGQ56" s="53"/>
      <c r="PGR56" s="53"/>
      <c r="PGS56" s="53"/>
      <c r="PGT56" s="53"/>
      <c r="PGU56" s="53"/>
      <c r="PGV56" s="53"/>
      <c r="PGW56" s="53"/>
      <c r="PGX56" s="53"/>
      <c r="PGY56" s="53"/>
      <c r="PGZ56" s="53"/>
      <c r="PHA56" s="53"/>
      <c r="PHB56" s="53"/>
      <c r="PHC56" s="53"/>
      <c r="PHD56" s="53"/>
      <c r="PHE56" s="53"/>
      <c r="PHF56" s="53"/>
      <c r="PHG56" s="53"/>
      <c r="PHH56" s="53"/>
      <c r="PHI56" s="53"/>
      <c r="PHJ56" s="53"/>
      <c r="PHK56" s="53"/>
      <c r="PHL56" s="53"/>
      <c r="PHM56" s="53"/>
      <c r="PHN56" s="53"/>
      <c r="PHO56" s="53"/>
      <c r="PHP56" s="53"/>
      <c r="PHQ56" s="53"/>
      <c r="PHR56" s="53"/>
      <c r="PHS56" s="53"/>
      <c r="PHT56" s="53"/>
      <c r="PHU56" s="53"/>
      <c r="PHV56" s="53"/>
      <c r="PHW56" s="53"/>
      <c r="PHX56" s="53"/>
      <c r="PHY56" s="53"/>
      <c r="PHZ56" s="53"/>
      <c r="PIA56" s="53"/>
      <c r="PIB56" s="53"/>
      <c r="PIC56" s="53"/>
      <c r="PID56" s="53"/>
      <c r="PIE56" s="53"/>
      <c r="PIF56" s="53"/>
      <c r="PIG56" s="53"/>
      <c r="PIH56" s="53"/>
      <c r="PII56" s="53"/>
      <c r="PIJ56" s="53"/>
      <c r="PIK56" s="53"/>
      <c r="PIL56" s="53"/>
      <c r="PIM56" s="53"/>
      <c r="PIN56" s="53"/>
      <c r="PIO56" s="53"/>
      <c r="PIP56" s="53"/>
      <c r="PIQ56" s="53"/>
      <c r="PIR56" s="53"/>
      <c r="PIS56" s="53"/>
      <c r="PIT56" s="53"/>
      <c r="PIU56" s="53"/>
      <c r="PIV56" s="53"/>
      <c r="PIW56" s="53"/>
      <c r="PIX56" s="53"/>
      <c r="PIY56" s="53"/>
      <c r="PIZ56" s="53"/>
      <c r="PJA56" s="53"/>
      <c r="PJB56" s="53"/>
      <c r="PJC56" s="53"/>
      <c r="PJD56" s="53"/>
      <c r="PJE56" s="53"/>
      <c r="PJF56" s="53"/>
      <c r="PJG56" s="53"/>
      <c r="PJH56" s="53"/>
      <c r="PJI56" s="53"/>
      <c r="PJJ56" s="53"/>
      <c r="PJK56" s="53"/>
      <c r="PJL56" s="53"/>
      <c r="PJM56" s="53"/>
      <c r="PJN56" s="53"/>
      <c r="PJO56" s="53"/>
      <c r="PJP56" s="53"/>
      <c r="PJQ56" s="53"/>
      <c r="PJR56" s="53"/>
      <c r="PJS56" s="53"/>
      <c r="PJT56" s="53"/>
      <c r="PJU56" s="53"/>
      <c r="PJV56" s="53"/>
      <c r="PJW56" s="53"/>
      <c r="PJX56" s="53"/>
      <c r="PJY56" s="53"/>
      <c r="PJZ56" s="53"/>
      <c r="PKA56" s="53"/>
      <c r="PKB56" s="53"/>
      <c r="PKC56" s="53"/>
      <c r="PKD56" s="53"/>
      <c r="PKE56" s="53"/>
      <c r="PKF56" s="53"/>
      <c r="PKG56" s="53"/>
      <c r="PKH56" s="53"/>
      <c r="PKI56" s="53"/>
      <c r="PKJ56" s="53"/>
      <c r="PKK56" s="53"/>
      <c r="PKL56" s="53"/>
      <c r="PKM56" s="53"/>
      <c r="PKN56" s="53"/>
      <c r="PKO56" s="53"/>
      <c r="PKP56" s="53"/>
      <c r="PKQ56" s="53"/>
      <c r="PKR56" s="53"/>
      <c r="PKS56" s="53"/>
      <c r="PKT56" s="53"/>
      <c r="PKU56" s="53"/>
      <c r="PKV56" s="53"/>
      <c r="PKW56" s="53"/>
      <c r="PKX56" s="53"/>
      <c r="PKY56" s="53"/>
      <c r="PKZ56" s="53"/>
      <c r="PLA56" s="53"/>
      <c r="PLB56" s="53"/>
      <c r="PLC56" s="53"/>
      <c r="PLD56" s="53"/>
      <c r="PLE56" s="53"/>
      <c r="PLF56" s="53"/>
      <c r="PLG56" s="53"/>
      <c r="PLH56" s="53"/>
      <c r="PLI56" s="53"/>
      <c r="PLJ56" s="53"/>
      <c r="PLK56" s="53"/>
      <c r="PLL56" s="53"/>
      <c r="PLM56" s="53"/>
      <c r="PLN56" s="53"/>
      <c r="PLO56" s="53"/>
      <c r="PLP56" s="53"/>
      <c r="PLQ56" s="53"/>
      <c r="PLR56" s="53"/>
      <c r="PLS56" s="53"/>
      <c r="PLT56" s="53"/>
      <c r="PLU56" s="53"/>
      <c r="PLV56" s="53"/>
      <c r="PLW56" s="53"/>
      <c r="PLX56" s="53"/>
      <c r="PLY56" s="53"/>
      <c r="PLZ56" s="53"/>
      <c r="PMA56" s="53"/>
      <c r="PMB56" s="53"/>
      <c r="PMC56" s="53"/>
      <c r="PMD56" s="53"/>
      <c r="PME56" s="53"/>
      <c r="PMF56" s="53"/>
      <c r="PMG56" s="53"/>
      <c r="PMH56" s="53"/>
      <c r="PMI56" s="53"/>
      <c r="PMJ56" s="53"/>
      <c r="PMK56" s="53"/>
      <c r="PML56" s="53"/>
      <c r="PMM56" s="53"/>
      <c r="PMN56" s="53"/>
      <c r="PMO56" s="53"/>
      <c r="PMP56" s="53"/>
      <c r="PMQ56" s="53"/>
      <c r="PMR56" s="53"/>
      <c r="PMS56" s="53"/>
      <c r="PMT56" s="53"/>
      <c r="PMU56" s="53"/>
      <c r="PMV56" s="53"/>
      <c r="PMW56" s="53"/>
      <c r="PMX56" s="53"/>
      <c r="PMY56" s="53"/>
      <c r="PMZ56" s="53"/>
      <c r="PNA56" s="53"/>
      <c r="PNB56" s="53"/>
      <c r="PNC56" s="53"/>
      <c r="PND56" s="53"/>
      <c r="PNE56" s="53"/>
      <c r="PNF56" s="53"/>
      <c r="PNG56" s="53"/>
      <c r="PNH56" s="53"/>
      <c r="PNI56" s="53"/>
      <c r="PNJ56" s="53"/>
      <c r="PNK56" s="53"/>
      <c r="PNL56" s="53"/>
      <c r="PNM56" s="53"/>
      <c r="PNN56" s="53"/>
      <c r="PNO56" s="53"/>
      <c r="PNP56" s="53"/>
      <c r="PNQ56" s="53"/>
      <c r="PNR56" s="53"/>
      <c r="PNS56" s="53"/>
      <c r="PNT56" s="53"/>
      <c r="PNU56" s="53"/>
      <c r="PNV56" s="53"/>
      <c r="PNW56" s="53"/>
      <c r="PNX56" s="53"/>
      <c r="PNY56" s="53"/>
      <c r="PNZ56" s="53"/>
      <c r="POA56" s="53"/>
      <c r="POB56" s="53"/>
      <c r="POC56" s="53"/>
      <c r="POD56" s="53"/>
      <c r="POE56" s="53"/>
      <c r="POF56" s="53"/>
      <c r="POG56" s="53"/>
      <c r="POH56" s="53"/>
      <c r="POI56" s="53"/>
      <c r="POJ56" s="53"/>
      <c r="POK56" s="53"/>
      <c r="POL56" s="53"/>
      <c r="POM56" s="53"/>
      <c r="PON56" s="53"/>
      <c r="POO56" s="53"/>
      <c r="POP56" s="53"/>
      <c r="POQ56" s="53"/>
      <c r="POR56" s="53"/>
      <c r="POS56" s="53"/>
      <c r="POT56" s="53"/>
      <c r="POU56" s="53"/>
      <c r="POV56" s="53"/>
      <c r="POW56" s="53"/>
      <c r="POX56" s="53"/>
      <c r="POY56" s="53"/>
      <c r="POZ56" s="53"/>
      <c r="PPA56" s="53"/>
      <c r="PPB56" s="53"/>
      <c r="PPC56" s="53"/>
      <c r="PPD56" s="53"/>
      <c r="PPE56" s="53"/>
      <c r="PPF56" s="53"/>
      <c r="PPG56" s="53"/>
      <c r="PPH56" s="53"/>
      <c r="PPI56" s="53"/>
      <c r="PPJ56" s="53"/>
      <c r="PPK56" s="53"/>
      <c r="PPL56" s="53"/>
      <c r="PPM56" s="53"/>
      <c r="PPN56" s="53"/>
      <c r="PPO56" s="53"/>
      <c r="PPP56" s="53"/>
      <c r="PPQ56" s="53"/>
      <c r="PPR56" s="53"/>
      <c r="PPS56" s="53"/>
      <c r="PPT56" s="53"/>
      <c r="PPU56" s="53"/>
      <c r="PPV56" s="53"/>
      <c r="PPW56" s="53"/>
      <c r="PPX56" s="53"/>
      <c r="PPY56" s="53"/>
      <c r="PPZ56" s="53"/>
      <c r="PQA56" s="53"/>
      <c r="PQB56" s="53"/>
      <c r="PQC56" s="53"/>
      <c r="PQD56" s="53"/>
      <c r="PQE56" s="53"/>
      <c r="PQF56" s="53"/>
      <c r="PQG56" s="53"/>
      <c r="PQH56" s="53"/>
      <c r="PQI56" s="53"/>
      <c r="PQJ56" s="53"/>
      <c r="PQK56" s="53"/>
      <c r="PQL56" s="53"/>
      <c r="PQM56" s="53"/>
      <c r="PQN56" s="53"/>
      <c r="PQO56" s="53"/>
      <c r="PQP56" s="53"/>
      <c r="PQQ56" s="53"/>
      <c r="PQR56" s="53"/>
      <c r="PQS56" s="53"/>
      <c r="PQT56" s="53"/>
      <c r="PQU56" s="53"/>
      <c r="PQV56" s="53"/>
      <c r="PQW56" s="53"/>
      <c r="PQX56" s="53"/>
      <c r="PQY56" s="53"/>
      <c r="PQZ56" s="53"/>
      <c r="PRA56" s="53"/>
      <c r="PRB56" s="53"/>
      <c r="PRC56" s="53"/>
      <c r="PRD56" s="53"/>
      <c r="PRE56" s="53"/>
      <c r="PRF56" s="53"/>
      <c r="PRG56" s="53"/>
      <c r="PRH56" s="53"/>
      <c r="PRI56" s="53"/>
      <c r="PRJ56" s="53"/>
      <c r="PRK56" s="53"/>
      <c r="PRL56" s="53"/>
      <c r="PRM56" s="53"/>
      <c r="PRN56" s="53"/>
      <c r="PRO56" s="53"/>
      <c r="PRP56" s="53"/>
      <c r="PRQ56" s="53"/>
      <c r="PRR56" s="53"/>
      <c r="PRS56" s="53"/>
      <c r="PRT56" s="53"/>
      <c r="PRU56" s="53"/>
      <c r="PRV56" s="53"/>
      <c r="PRW56" s="53"/>
      <c r="PRX56" s="53"/>
      <c r="PRY56" s="53"/>
      <c r="PRZ56" s="53"/>
      <c r="PSA56" s="53"/>
      <c r="PSB56" s="53"/>
      <c r="PSC56" s="53"/>
      <c r="PSD56" s="53"/>
      <c r="PSE56" s="53"/>
      <c r="PSF56" s="53"/>
      <c r="PSG56" s="53"/>
      <c r="PSH56" s="53"/>
      <c r="PSI56" s="53"/>
      <c r="PSJ56" s="53"/>
      <c r="PSK56" s="53"/>
      <c r="PSL56" s="53"/>
      <c r="PSM56" s="53"/>
      <c r="PSN56" s="53"/>
      <c r="PSO56" s="53"/>
      <c r="PSP56" s="53"/>
      <c r="PSQ56" s="53"/>
      <c r="PSR56" s="53"/>
      <c r="PSS56" s="53"/>
      <c r="PST56" s="53"/>
      <c r="PSU56" s="53"/>
      <c r="PSV56" s="53"/>
      <c r="PSW56" s="53"/>
      <c r="PSX56" s="53"/>
      <c r="PSY56" s="53"/>
      <c r="PSZ56" s="53"/>
      <c r="PTA56" s="53"/>
      <c r="PTB56" s="53"/>
      <c r="PTC56" s="53"/>
      <c r="PTD56" s="53"/>
      <c r="PTE56" s="53"/>
      <c r="PTF56" s="53"/>
      <c r="PTG56" s="53"/>
      <c r="PTH56" s="53"/>
      <c r="PTI56" s="53"/>
      <c r="PTJ56" s="53"/>
      <c r="PTK56" s="53"/>
      <c r="PTL56" s="53"/>
      <c r="PTM56" s="53"/>
      <c r="PTN56" s="53"/>
      <c r="PTO56" s="53"/>
      <c r="PTP56" s="53"/>
      <c r="PTQ56" s="53"/>
      <c r="PTR56" s="53"/>
      <c r="PTS56" s="53"/>
      <c r="PTT56" s="53"/>
      <c r="PTU56" s="53"/>
      <c r="PTV56" s="53"/>
      <c r="PTW56" s="53"/>
      <c r="PTX56" s="53"/>
      <c r="PTY56" s="53"/>
      <c r="PTZ56" s="53"/>
      <c r="PUA56" s="53"/>
      <c r="PUB56" s="53"/>
      <c r="PUC56" s="53"/>
      <c r="PUD56" s="53"/>
      <c r="PUE56" s="53"/>
      <c r="PUF56" s="53"/>
      <c r="PUG56" s="53"/>
      <c r="PUH56" s="53"/>
      <c r="PUI56" s="53"/>
      <c r="PUJ56" s="53"/>
      <c r="PUK56" s="53"/>
      <c r="PUL56" s="53"/>
      <c r="PUM56" s="53"/>
      <c r="PUN56" s="53"/>
      <c r="PUO56" s="53"/>
      <c r="PUP56" s="53"/>
      <c r="PUQ56" s="53"/>
      <c r="PUR56" s="53"/>
      <c r="PUS56" s="53"/>
      <c r="PUT56" s="53"/>
      <c r="PUU56" s="53"/>
      <c r="PUV56" s="53"/>
      <c r="PUW56" s="53"/>
      <c r="PUX56" s="53"/>
      <c r="PUY56" s="53"/>
      <c r="PUZ56" s="53"/>
      <c r="PVA56" s="53"/>
      <c r="PVB56" s="53"/>
      <c r="PVC56" s="53"/>
      <c r="PVD56" s="53"/>
      <c r="PVE56" s="53"/>
      <c r="PVF56" s="53"/>
      <c r="PVG56" s="53"/>
      <c r="PVH56" s="53"/>
      <c r="PVI56" s="53"/>
      <c r="PVJ56" s="53"/>
      <c r="PVK56" s="53"/>
      <c r="PVL56" s="53"/>
      <c r="PVM56" s="53"/>
      <c r="PVN56" s="53"/>
      <c r="PVO56" s="53"/>
      <c r="PVP56" s="53"/>
      <c r="PVQ56" s="53"/>
      <c r="PVR56" s="53"/>
      <c r="PVS56" s="53"/>
      <c r="PVT56" s="53"/>
      <c r="PVU56" s="53"/>
      <c r="PVV56" s="53"/>
      <c r="PVW56" s="53"/>
      <c r="PVX56" s="53"/>
      <c r="PVY56" s="53"/>
      <c r="PVZ56" s="53"/>
      <c r="PWA56" s="53"/>
      <c r="PWB56" s="53"/>
      <c r="PWC56" s="53"/>
      <c r="PWD56" s="53"/>
      <c r="PWE56" s="53"/>
      <c r="PWF56" s="53"/>
      <c r="PWG56" s="53"/>
      <c r="PWH56" s="53"/>
      <c r="PWI56" s="53"/>
      <c r="PWJ56" s="53"/>
      <c r="PWK56" s="53"/>
      <c r="PWL56" s="53"/>
      <c r="PWM56" s="53"/>
      <c r="PWN56" s="53"/>
      <c r="PWO56" s="53"/>
      <c r="PWP56" s="53"/>
      <c r="PWQ56" s="53"/>
      <c r="PWR56" s="53"/>
      <c r="PWS56" s="53"/>
      <c r="PWT56" s="53"/>
      <c r="PWU56" s="53"/>
      <c r="PWV56" s="53"/>
      <c r="PWW56" s="53"/>
      <c r="PWX56" s="53"/>
      <c r="PWY56" s="53"/>
      <c r="PWZ56" s="53"/>
      <c r="PXA56" s="53"/>
      <c r="PXB56" s="53"/>
      <c r="PXC56" s="53"/>
      <c r="PXD56" s="53"/>
      <c r="PXE56" s="53"/>
      <c r="PXF56" s="53"/>
      <c r="PXG56" s="53"/>
      <c r="PXH56" s="53"/>
      <c r="PXI56" s="53"/>
      <c r="PXJ56" s="53"/>
      <c r="PXK56" s="53"/>
      <c r="PXL56" s="53"/>
      <c r="PXM56" s="53"/>
      <c r="PXN56" s="53"/>
      <c r="PXO56" s="53"/>
      <c r="PXP56" s="53"/>
      <c r="PXQ56" s="53"/>
      <c r="PXR56" s="53"/>
      <c r="PXS56" s="53"/>
      <c r="PXT56" s="53"/>
      <c r="PXU56" s="53"/>
      <c r="PXV56" s="53"/>
      <c r="PXW56" s="53"/>
      <c r="PXX56" s="53"/>
      <c r="PXY56" s="53"/>
      <c r="PXZ56" s="53"/>
      <c r="PYA56" s="53"/>
      <c r="PYB56" s="53"/>
      <c r="PYC56" s="53"/>
      <c r="PYD56" s="53"/>
      <c r="PYE56" s="53"/>
      <c r="PYF56" s="53"/>
      <c r="PYG56" s="53"/>
      <c r="PYH56" s="53"/>
      <c r="PYI56" s="53"/>
      <c r="PYJ56" s="53"/>
      <c r="PYK56" s="53"/>
      <c r="PYL56" s="53"/>
      <c r="PYM56" s="53"/>
      <c r="PYN56" s="53"/>
      <c r="PYO56" s="53"/>
      <c r="PYP56" s="53"/>
      <c r="PYQ56" s="53"/>
      <c r="PYR56" s="53"/>
      <c r="PYS56" s="53"/>
      <c r="PYT56" s="53"/>
      <c r="PYU56" s="53"/>
      <c r="PYV56" s="53"/>
      <c r="PYW56" s="53"/>
      <c r="PYX56" s="53"/>
      <c r="PYY56" s="53"/>
      <c r="PYZ56" s="53"/>
      <c r="PZA56" s="53"/>
      <c r="PZB56" s="53"/>
      <c r="PZC56" s="53"/>
      <c r="PZD56" s="53"/>
      <c r="PZE56" s="53"/>
      <c r="PZF56" s="53"/>
      <c r="PZG56" s="53"/>
      <c r="PZH56" s="53"/>
      <c r="PZI56" s="53"/>
      <c r="PZJ56" s="53"/>
      <c r="PZK56" s="53"/>
      <c r="PZL56" s="53"/>
      <c r="PZM56" s="53"/>
      <c r="PZN56" s="53"/>
      <c r="PZO56" s="53"/>
      <c r="PZP56" s="53"/>
      <c r="PZQ56" s="53"/>
      <c r="PZR56" s="53"/>
      <c r="PZS56" s="53"/>
      <c r="PZT56" s="53"/>
      <c r="PZU56" s="53"/>
      <c r="PZV56" s="53"/>
      <c r="PZW56" s="53"/>
      <c r="PZX56" s="53"/>
      <c r="PZY56" s="53"/>
      <c r="PZZ56" s="53"/>
      <c r="QAA56" s="53"/>
      <c r="QAB56" s="53"/>
      <c r="QAC56" s="53"/>
      <c r="QAD56" s="53"/>
      <c r="QAE56" s="53"/>
      <c r="QAF56" s="53"/>
      <c r="QAG56" s="53"/>
      <c r="QAH56" s="53"/>
      <c r="QAI56" s="53"/>
      <c r="QAJ56" s="53"/>
      <c r="QAK56" s="53"/>
      <c r="QAL56" s="53"/>
      <c r="QAM56" s="53"/>
      <c r="QAN56" s="53"/>
      <c r="QAO56" s="53"/>
      <c r="QAP56" s="53"/>
      <c r="QAQ56" s="53"/>
      <c r="QAR56" s="53"/>
      <c r="QAS56" s="53"/>
      <c r="QAT56" s="53"/>
      <c r="QAU56" s="53"/>
      <c r="QAV56" s="53"/>
      <c r="QAW56" s="53"/>
      <c r="QAX56" s="53"/>
      <c r="QAY56" s="53"/>
      <c r="QAZ56" s="53"/>
      <c r="QBA56" s="53"/>
      <c r="QBB56" s="53"/>
      <c r="QBC56" s="53"/>
      <c r="QBD56" s="53"/>
      <c r="QBE56" s="53"/>
      <c r="QBF56" s="53"/>
      <c r="QBG56" s="53"/>
      <c r="QBH56" s="53"/>
      <c r="QBI56" s="53"/>
      <c r="QBJ56" s="53"/>
      <c r="QBK56" s="53"/>
      <c r="QBL56" s="53"/>
      <c r="QBM56" s="53"/>
      <c r="QBN56" s="53"/>
      <c r="QBO56" s="53"/>
      <c r="QBP56" s="53"/>
      <c r="QBQ56" s="53"/>
      <c r="QBR56" s="53"/>
      <c r="QBS56" s="53"/>
      <c r="QBT56" s="53"/>
      <c r="QBU56" s="53"/>
      <c r="QBV56" s="53"/>
      <c r="QBW56" s="53"/>
      <c r="QBX56" s="53"/>
      <c r="QBY56" s="53"/>
      <c r="QBZ56" s="53"/>
      <c r="QCA56" s="53"/>
      <c r="QCB56" s="53"/>
      <c r="QCC56" s="53"/>
      <c r="QCD56" s="53"/>
      <c r="QCE56" s="53"/>
      <c r="QCF56" s="53"/>
      <c r="QCG56" s="53"/>
      <c r="QCH56" s="53"/>
      <c r="QCI56" s="53"/>
      <c r="QCJ56" s="53"/>
      <c r="QCK56" s="53"/>
      <c r="QCL56" s="53"/>
      <c r="QCM56" s="53"/>
      <c r="QCN56" s="53"/>
      <c r="QCO56" s="53"/>
      <c r="QCP56" s="53"/>
      <c r="QCQ56" s="53"/>
      <c r="QCR56" s="53"/>
      <c r="QCS56" s="53"/>
      <c r="QCT56" s="53"/>
      <c r="QCU56" s="53"/>
      <c r="QCV56" s="53"/>
      <c r="QCW56" s="53"/>
      <c r="QCX56" s="53"/>
      <c r="QCY56" s="53"/>
      <c r="QCZ56" s="53"/>
      <c r="QDA56" s="53"/>
      <c r="QDB56" s="53"/>
      <c r="QDC56" s="53"/>
      <c r="QDD56" s="53"/>
      <c r="QDE56" s="53"/>
      <c r="QDF56" s="53"/>
      <c r="QDG56" s="53"/>
      <c r="QDH56" s="53"/>
      <c r="QDI56" s="53"/>
      <c r="QDJ56" s="53"/>
      <c r="QDK56" s="53"/>
      <c r="QDL56" s="53"/>
      <c r="QDM56" s="53"/>
      <c r="QDN56" s="53"/>
      <c r="QDO56" s="53"/>
      <c r="QDP56" s="53"/>
      <c r="QDQ56" s="53"/>
      <c r="QDR56" s="53"/>
      <c r="QDS56" s="53"/>
      <c r="QDT56" s="53"/>
      <c r="QDU56" s="53"/>
      <c r="QDV56" s="53"/>
      <c r="QDW56" s="53"/>
      <c r="QDX56" s="53"/>
      <c r="QDY56" s="53"/>
      <c r="QDZ56" s="53"/>
      <c r="QEA56" s="53"/>
      <c r="QEB56" s="53"/>
      <c r="QEC56" s="53"/>
      <c r="QED56" s="53"/>
      <c r="QEE56" s="53"/>
      <c r="QEF56" s="53"/>
      <c r="QEG56" s="53"/>
      <c r="QEH56" s="53"/>
      <c r="QEI56" s="53"/>
      <c r="QEJ56" s="53"/>
      <c r="QEK56" s="53"/>
      <c r="QEL56" s="53"/>
      <c r="QEM56" s="53"/>
      <c r="QEN56" s="53"/>
      <c r="QEO56" s="53"/>
      <c r="QEP56" s="53"/>
      <c r="QEQ56" s="53"/>
      <c r="QER56" s="53"/>
      <c r="QES56" s="53"/>
      <c r="QET56" s="53"/>
      <c r="QEU56" s="53"/>
      <c r="QEV56" s="53"/>
      <c r="QEW56" s="53"/>
      <c r="QEX56" s="53"/>
      <c r="QEY56" s="53"/>
      <c r="QEZ56" s="53"/>
      <c r="QFA56" s="53"/>
      <c r="QFB56" s="53"/>
      <c r="QFC56" s="53"/>
      <c r="QFD56" s="53"/>
      <c r="QFE56" s="53"/>
      <c r="QFF56" s="53"/>
      <c r="QFG56" s="53"/>
      <c r="QFH56" s="53"/>
      <c r="QFI56" s="53"/>
      <c r="QFJ56" s="53"/>
      <c r="QFK56" s="53"/>
      <c r="QFL56" s="53"/>
      <c r="QFM56" s="53"/>
      <c r="QFN56" s="53"/>
      <c r="QFO56" s="53"/>
      <c r="QFP56" s="53"/>
      <c r="QFQ56" s="53"/>
      <c r="QFR56" s="53"/>
      <c r="QFS56" s="53"/>
      <c r="QFT56" s="53"/>
      <c r="QFU56" s="53"/>
      <c r="QFV56" s="53"/>
      <c r="QFW56" s="53"/>
      <c r="QFX56" s="53"/>
      <c r="QFY56" s="53"/>
      <c r="QFZ56" s="53"/>
      <c r="QGA56" s="53"/>
      <c r="QGB56" s="53"/>
      <c r="QGC56" s="53"/>
      <c r="QGD56" s="53"/>
      <c r="QGE56" s="53"/>
      <c r="QGF56" s="53"/>
      <c r="QGG56" s="53"/>
      <c r="QGH56" s="53"/>
      <c r="QGI56" s="53"/>
      <c r="QGJ56" s="53"/>
      <c r="QGK56" s="53"/>
      <c r="QGL56" s="53"/>
      <c r="QGM56" s="53"/>
      <c r="QGN56" s="53"/>
      <c r="QGO56" s="53"/>
      <c r="QGP56" s="53"/>
      <c r="QGQ56" s="53"/>
      <c r="QGR56" s="53"/>
      <c r="QGS56" s="53"/>
      <c r="QGT56" s="53"/>
      <c r="QGU56" s="53"/>
      <c r="QGV56" s="53"/>
      <c r="QGW56" s="53"/>
      <c r="QGX56" s="53"/>
      <c r="QGY56" s="53"/>
      <c r="QGZ56" s="53"/>
      <c r="QHA56" s="53"/>
      <c r="QHB56" s="53"/>
      <c r="QHC56" s="53"/>
      <c r="QHD56" s="53"/>
      <c r="QHE56" s="53"/>
      <c r="QHF56" s="53"/>
      <c r="QHG56" s="53"/>
      <c r="QHH56" s="53"/>
      <c r="QHI56" s="53"/>
      <c r="QHJ56" s="53"/>
      <c r="QHK56" s="53"/>
      <c r="QHL56" s="53"/>
      <c r="QHM56" s="53"/>
      <c r="QHN56" s="53"/>
      <c r="QHO56" s="53"/>
      <c r="QHP56" s="53"/>
      <c r="QHQ56" s="53"/>
      <c r="QHR56" s="53"/>
      <c r="QHS56" s="53"/>
      <c r="QHT56" s="53"/>
      <c r="QHU56" s="53"/>
      <c r="QHV56" s="53"/>
      <c r="QHW56" s="53"/>
      <c r="QHX56" s="53"/>
      <c r="QHY56" s="53"/>
      <c r="QHZ56" s="53"/>
      <c r="QIA56" s="53"/>
      <c r="QIB56" s="53"/>
      <c r="QIC56" s="53"/>
      <c r="QID56" s="53"/>
      <c r="QIE56" s="53"/>
      <c r="QIF56" s="53"/>
      <c r="QIG56" s="53"/>
      <c r="QIH56" s="53"/>
      <c r="QII56" s="53"/>
      <c r="QIJ56" s="53"/>
      <c r="QIK56" s="53"/>
      <c r="QIL56" s="53"/>
      <c r="QIM56" s="53"/>
      <c r="QIN56" s="53"/>
      <c r="QIO56" s="53"/>
      <c r="QIP56" s="53"/>
      <c r="QIQ56" s="53"/>
      <c r="QIR56" s="53"/>
      <c r="QIS56" s="53"/>
      <c r="QIT56" s="53"/>
      <c r="QIU56" s="53"/>
      <c r="QIV56" s="53"/>
      <c r="QIW56" s="53"/>
      <c r="QIX56" s="53"/>
      <c r="QIY56" s="53"/>
      <c r="QIZ56" s="53"/>
      <c r="QJA56" s="53"/>
      <c r="QJB56" s="53"/>
      <c r="QJC56" s="53"/>
      <c r="QJD56" s="53"/>
      <c r="QJE56" s="53"/>
      <c r="QJF56" s="53"/>
      <c r="QJG56" s="53"/>
      <c r="QJH56" s="53"/>
      <c r="QJI56" s="53"/>
      <c r="QJJ56" s="53"/>
      <c r="QJK56" s="53"/>
      <c r="QJL56" s="53"/>
      <c r="QJM56" s="53"/>
      <c r="QJN56" s="53"/>
      <c r="QJO56" s="53"/>
      <c r="QJP56" s="53"/>
      <c r="QJQ56" s="53"/>
      <c r="QJR56" s="53"/>
      <c r="QJS56" s="53"/>
      <c r="QJT56" s="53"/>
      <c r="QJU56" s="53"/>
      <c r="QJV56" s="53"/>
      <c r="QJW56" s="53"/>
      <c r="QJX56" s="53"/>
      <c r="QJY56" s="53"/>
      <c r="QJZ56" s="53"/>
      <c r="QKA56" s="53"/>
      <c r="QKB56" s="53"/>
      <c r="QKC56" s="53"/>
      <c r="QKD56" s="53"/>
      <c r="QKE56" s="53"/>
      <c r="QKF56" s="53"/>
      <c r="QKG56" s="53"/>
      <c r="QKH56" s="53"/>
      <c r="QKI56" s="53"/>
      <c r="QKJ56" s="53"/>
      <c r="QKK56" s="53"/>
      <c r="QKL56" s="53"/>
      <c r="QKM56" s="53"/>
      <c r="QKN56" s="53"/>
      <c r="QKO56" s="53"/>
      <c r="QKP56" s="53"/>
      <c r="QKQ56" s="53"/>
      <c r="QKR56" s="53"/>
      <c r="QKS56" s="53"/>
      <c r="QKT56" s="53"/>
      <c r="QKU56" s="53"/>
      <c r="QKV56" s="53"/>
      <c r="QKW56" s="53"/>
      <c r="QKX56" s="53"/>
      <c r="QKY56" s="53"/>
      <c r="QKZ56" s="53"/>
      <c r="QLA56" s="53"/>
      <c r="QLB56" s="53"/>
      <c r="QLC56" s="53"/>
      <c r="QLD56" s="53"/>
      <c r="QLE56" s="53"/>
      <c r="QLF56" s="53"/>
      <c r="QLG56" s="53"/>
      <c r="QLH56" s="53"/>
      <c r="QLI56" s="53"/>
      <c r="QLJ56" s="53"/>
      <c r="QLK56" s="53"/>
      <c r="QLL56" s="53"/>
      <c r="QLM56" s="53"/>
      <c r="QLN56" s="53"/>
      <c r="QLO56" s="53"/>
      <c r="QLP56" s="53"/>
      <c r="QLQ56" s="53"/>
      <c r="QLR56" s="53"/>
      <c r="QLS56" s="53"/>
      <c r="QLT56" s="53"/>
      <c r="QLU56" s="53"/>
      <c r="QLV56" s="53"/>
      <c r="QLW56" s="53"/>
      <c r="QLX56" s="53"/>
      <c r="QLY56" s="53"/>
      <c r="QLZ56" s="53"/>
      <c r="QMA56" s="53"/>
      <c r="QMB56" s="53"/>
      <c r="QMC56" s="53"/>
      <c r="QMD56" s="53"/>
      <c r="QME56" s="53"/>
      <c r="QMF56" s="53"/>
      <c r="QMG56" s="53"/>
      <c r="QMH56" s="53"/>
      <c r="QMI56" s="53"/>
      <c r="QMJ56" s="53"/>
      <c r="QMK56" s="53"/>
      <c r="QML56" s="53"/>
      <c r="QMM56" s="53"/>
      <c r="QMN56" s="53"/>
      <c r="QMO56" s="53"/>
      <c r="QMP56" s="53"/>
      <c r="QMQ56" s="53"/>
      <c r="QMR56" s="53"/>
      <c r="QMS56" s="53"/>
      <c r="QMT56" s="53"/>
      <c r="QMU56" s="53"/>
      <c r="QMV56" s="53"/>
      <c r="QMW56" s="53"/>
      <c r="QMX56" s="53"/>
      <c r="QMY56" s="53"/>
      <c r="QMZ56" s="53"/>
      <c r="QNA56" s="53"/>
      <c r="QNB56" s="53"/>
      <c r="QNC56" s="53"/>
      <c r="QND56" s="53"/>
      <c r="QNE56" s="53"/>
      <c r="QNF56" s="53"/>
      <c r="QNG56" s="53"/>
      <c r="QNH56" s="53"/>
      <c r="QNI56" s="53"/>
      <c r="QNJ56" s="53"/>
      <c r="QNK56" s="53"/>
      <c r="QNL56" s="53"/>
      <c r="QNM56" s="53"/>
      <c r="QNN56" s="53"/>
      <c r="QNO56" s="53"/>
      <c r="QNP56" s="53"/>
      <c r="QNQ56" s="53"/>
      <c r="QNR56" s="53"/>
      <c r="QNS56" s="53"/>
      <c r="QNT56" s="53"/>
      <c r="QNU56" s="53"/>
      <c r="QNV56" s="53"/>
      <c r="QNW56" s="53"/>
      <c r="QNX56" s="53"/>
      <c r="QNY56" s="53"/>
      <c r="QNZ56" s="53"/>
      <c r="QOA56" s="53"/>
      <c r="QOB56" s="53"/>
      <c r="QOC56" s="53"/>
      <c r="QOD56" s="53"/>
      <c r="QOE56" s="53"/>
      <c r="QOF56" s="53"/>
      <c r="QOG56" s="53"/>
      <c r="QOH56" s="53"/>
      <c r="QOI56" s="53"/>
      <c r="QOJ56" s="53"/>
      <c r="QOK56" s="53"/>
      <c r="QOL56" s="53"/>
      <c r="QOM56" s="53"/>
      <c r="QON56" s="53"/>
      <c r="QOO56" s="53"/>
      <c r="QOP56" s="53"/>
      <c r="QOQ56" s="53"/>
      <c r="QOR56" s="53"/>
      <c r="QOS56" s="53"/>
      <c r="QOT56" s="53"/>
      <c r="QOU56" s="53"/>
      <c r="QOV56" s="53"/>
      <c r="QOW56" s="53"/>
      <c r="QOX56" s="53"/>
      <c r="QOY56" s="53"/>
      <c r="QOZ56" s="53"/>
      <c r="QPA56" s="53"/>
      <c r="QPB56" s="53"/>
      <c r="QPC56" s="53"/>
      <c r="QPD56" s="53"/>
      <c r="QPE56" s="53"/>
      <c r="QPF56" s="53"/>
      <c r="QPG56" s="53"/>
      <c r="QPH56" s="53"/>
      <c r="QPI56" s="53"/>
      <c r="QPJ56" s="53"/>
      <c r="QPK56" s="53"/>
      <c r="QPL56" s="53"/>
      <c r="QPM56" s="53"/>
      <c r="QPN56" s="53"/>
      <c r="QPO56" s="53"/>
      <c r="QPP56" s="53"/>
      <c r="QPQ56" s="53"/>
      <c r="QPR56" s="53"/>
      <c r="QPS56" s="53"/>
      <c r="QPT56" s="53"/>
      <c r="QPU56" s="53"/>
      <c r="QPV56" s="53"/>
      <c r="QPW56" s="53"/>
      <c r="QPX56" s="53"/>
      <c r="QPY56" s="53"/>
      <c r="QPZ56" s="53"/>
      <c r="QQA56" s="53"/>
      <c r="QQB56" s="53"/>
      <c r="QQC56" s="53"/>
      <c r="QQD56" s="53"/>
      <c r="QQE56" s="53"/>
      <c r="QQF56" s="53"/>
      <c r="QQG56" s="53"/>
      <c r="QQH56" s="53"/>
      <c r="QQI56" s="53"/>
      <c r="QQJ56" s="53"/>
      <c r="QQK56" s="53"/>
      <c r="QQL56" s="53"/>
      <c r="QQM56" s="53"/>
      <c r="QQN56" s="53"/>
      <c r="QQO56" s="53"/>
      <c r="QQP56" s="53"/>
      <c r="QQQ56" s="53"/>
      <c r="QQR56" s="53"/>
      <c r="QQS56" s="53"/>
      <c r="QQT56" s="53"/>
      <c r="QQU56" s="53"/>
      <c r="QQV56" s="53"/>
      <c r="QQW56" s="53"/>
      <c r="QQX56" s="53"/>
      <c r="QQY56" s="53"/>
      <c r="QQZ56" s="53"/>
      <c r="QRA56" s="53"/>
      <c r="QRB56" s="53"/>
      <c r="QRC56" s="53"/>
      <c r="QRD56" s="53"/>
      <c r="QRE56" s="53"/>
      <c r="QRF56" s="53"/>
      <c r="QRG56" s="53"/>
      <c r="QRH56" s="53"/>
      <c r="QRI56" s="53"/>
      <c r="QRJ56" s="53"/>
      <c r="QRK56" s="53"/>
      <c r="QRL56" s="53"/>
      <c r="QRM56" s="53"/>
      <c r="QRN56" s="53"/>
      <c r="QRO56" s="53"/>
      <c r="QRP56" s="53"/>
      <c r="QRQ56" s="53"/>
      <c r="QRR56" s="53"/>
      <c r="QRS56" s="53"/>
      <c r="QRT56" s="53"/>
      <c r="QRU56" s="53"/>
      <c r="QRV56" s="53"/>
      <c r="QRW56" s="53"/>
      <c r="QRX56" s="53"/>
      <c r="QRY56" s="53"/>
      <c r="QRZ56" s="53"/>
      <c r="QSA56" s="53"/>
      <c r="QSB56" s="53"/>
      <c r="QSC56" s="53"/>
      <c r="QSD56" s="53"/>
      <c r="QSE56" s="53"/>
      <c r="QSF56" s="53"/>
      <c r="QSG56" s="53"/>
      <c r="QSH56" s="53"/>
      <c r="QSI56" s="53"/>
      <c r="QSJ56" s="53"/>
      <c r="QSK56" s="53"/>
      <c r="QSL56" s="53"/>
      <c r="QSM56" s="53"/>
      <c r="QSN56" s="53"/>
      <c r="QSO56" s="53"/>
      <c r="QSP56" s="53"/>
      <c r="QSQ56" s="53"/>
      <c r="QSR56" s="53"/>
      <c r="QSS56" s="53"/>
      <c r="QST56" s="53"/>
      <c r="QSU56" s="53"/>
      <c r="QSV56" s="53"/>
      <c r="QSW56" s="53"/>
      <c r="QSX56" s="53"/>
      <c r="QSY56" s="53"/>
      <c r="QSZ56" s="53"/>
      <c r="QTA56" s="53"/>
      <c r="QTB56" s="53"/>
      <c r="QTC56" s="53"/>
      <c r="QTD56" s="53"/>
      <c r="QTE56" s="53"/>
      <c r="QTF56" s="53"/>
      <c r="QTG56" s="53"/>
      <c r="QTH56" s="53"/>
      <c r="QTI56" s="53"/>
      <c r="QTJ56" s="53"/>
      <c r="QTK56" s="53"/>
      <c r="QTL56" s="53"/>
      <c r="QTM56" s="53"/>
      <c r="QTN56" s="53"/>
      <c r="QTO56" s="53"/>
      <c r="QTP56" s="53"/>
      <c r="QTQ56" s="53"/>
      <c r="QTR56" s="53"/>
      <c r="QTS56" s="53"/>
      <c r="QTT56" s="53"/>
      <c r="QTU56" s="53"/>
      <c r="QTV56" s="53"/>
      <c r="QTW56" s="53"/>
      <c r="QTX56" s="53"/>
      <c r="QTY56" s="53"/>
      <c r="QTZ56" s="53"/>
      <c r="QUA56" s="53"/>
      <c r="QUB56" s="53"/>
      <c r="QUC56" s="53"/>
      <c r="QUD56" s="53"/>
      <c r="QUE56" s="53"/>
      <c r="QUF56" s="53"/>
      <c r="QUG56" s="53"/>
      <c r="QUH56" s="53"/>
      <c r="QUI56" s="53"/>
      <c r="QUJ56" s="53"/>
      <c r="QUK56" s="53"/>
      <c r="QUL56" s="53"/>
      <c r="QUM56" s="53"/>
      <c r="QUN56" s="53"/>
      <c r="QUO56" s="53"/>
      <c r="QUP56" s="53"/>
      <c r="QUQ56" s="53"/>
      <c r="QUR56" s="53"/>
      <c r="QUS56" s="53"/>
      <c r="QUT56" s="53"/>
      <c r="QUU56" s="53"/>
      <c r="QUV56" s="53"/>
      <c r="QUW56" s="53"/>
      <c r="QUX56" s="53"/>
      <c r="QUY56" s="53"/>
      <c r="QUZ56" s="53"/>
      <c r="QVA56" s="53"/>
      <c r="QVB56" s="53"/>
      <c r="QVC56" s="53"/>
      <c r="QVD56" s="53"/>
      <c r="QVE56" s="53"/>
      <c r="QVF56" s="53"/>
      <c r="QVG56" s="53"/>
      <c r="QVH56" s="53"/>
      <c r="QVI56" s="53"/>
      <c r="QVJ56" s="53"/>
      <c r="QVK56" s="53"/>
      <c r="QVL56" s="53"/>
      <c r="QVM56" s="53"/>
      <c r="QVN56" s="53"/>
      <c r="QVO56" s="53"/>
      <c r="QVP56" s="53"/>
      <c r="QVQ56" s="53"/>
      <c r="QVR56" s="53"/>
      <c r="QVS56" s="53"/>
      <c r="QVT56" s="53"/>
      <c r="QVU56" s="53"/>
      <c r="QVV56" s="53"/>
      <c r="QVW56" s="53"/>
      <c r="QVX56" s="53"/>
      <c r="QVY56" s="53"/>
      <c r="QVZ56" s="53"/>
      <c r="QWA56" s="53"/>
      <c r="QWB56" s="53"/>
      <c r="QWC56" s="53"/>
      <c r="QWD56" s="53"/>
      <c r="QWE56" s="53"/>
      <c r="QWF56" s="53"/>
      <c r="QWG56" s="53"/>
      <c r="QWH56" s="53"/>
      <c r="QWI56" s="53"/>
      <c r="QWJ56" s="53"/>
      <c r="QWK56" s="53"/>
      <c r="QWL56" s="53"/>
      <c r="QWM56" s="53"/>
      <c r="QWN56" s="53"/>
      <c r="QWO56" s="53"/>
      <c r="QWP56" s="53"/>
      <c r="QWQ56" s="53"/>
      <c r="QWR56" s="53"/>
      <c r="QWS56" s="53"/>
      <c r="QWT56" s="53"/>
      <c r="QWU56" s="53"/>
      <c r="QWV56" s="53"/>
      <c r="QWW56" s="53"/>
      <c r="QWX56" s="53"/>
      <c r="QWY56" s="53"/>
      <c r="QWZ56" s="53"/>
      <c r="QXA56" s="53"/>
      <c r="QXB56" s="53"/>
      <c r="QXC56" s="53"/>
      <c r="QXD56" s="53"/>
      <c r="QXE56" s="53"/>
      <c r="QXF56" s="53"/>
      <c r="QXG56" s="53"/>
      <c r="QXH56" s="53"/>
      <c r="QXI56" s="53"/>
      <c r="QXJ56" s="53"/>
      <c r="QXK56" s="53"/>
      <c r="QXL56" s="53"/>
      <c r="QXM56" s="53"/>
      <c r="QXN56" s="53"/>
      <c r="QXO56" s="53"/>
      <c r="QXP56" s="53"/>
      <c r="QXQ56" s="53"/>
      <c r="QXR56" s="53"/>
      <c r="QXS56" s="53"/>
      <c r="QXT56" s="53"/>
      <c r="QXU56" s="53"/>
      <c r="QXV56" s="53"/>
      <c r="QXW56" s="53"/>
      <c r="QXX56" s="53"/>
      <c r="QXY56" s="53"/>
      <c r="QXZ56" s="53"/>
      <c r="QYA56" s="53"/>
      <c r="QYB56" s="53"/>
      <c r="QYC56" s="53"/>
      <c r="QYD56" s="53"/>
      <c r="QYE56" s="53"/>
      <c r="QYF56" s="53"/>
      <c r="QYG56" s="53"/>
      <c r="QYH56" s="53"/>
      <c r="QYI56" s="53"/>
      <c r="QYJ56" s="53"/>
      <c r="QYK56" s="53"/>
      <c r="QYL56" s="53"/>
      <c r="QYM56" s="53"/>
      <c r="QYN56" s="53"/>
      <c r="QYO56" s="53"/>
      <c r="QYP56" s="53"/>
      <c r="QYQ56" s="53"/>
      <c r="QYR56" s="53"/>
      <c r="QYS56" s="53"/>
      <c r="QYT56" s="53"/>
      <c r="QYU56" s="53"/>
      <c r="QYV56" s="53"/>
      <c r="QYW56" s="53"/>
      <c r="QYX56" s="53"/>
      <c r="QYY56" s="53"/>
      <c r="QYZ56" s="53"/>
      <c r="QZA56" s="53"/>
      <c r="QZB56" s="53"/>
      <c r="QZC56" s="53"/>
      <c r="QZD56" s="53"/>
      <c r="QZE56" s="53"/>
      <c r="QZF56" s="53"/>
      <c r="QZG56" s="53"/>
      <c r="QZH56" s="53"/>
      <c r="QZI56" s="53"/>
      <c r="QZJ56" s="53"/>
      <c r="QZK56" s="53"/>
      <c r="QZL56" s="53"/>
      <c r="QZM56" s="53"/>
      <c r="QZN56" s="53"/>
      <c r="QZO56" s="53"/>
      <c r="QZP56" s="53"/>
      <c r="QZQ56" s="53"/>
      <c r="QZR56" s="53"/>
      <c r="QZS56" s="53"/>
      <c r="QZT56" s="53"/>
      <c r="QZU56" s="53"/>
      <c r="QZV56" s="53"/>
      <c r="QZW56" s="53"/>
      <c r="QZX56" s="53"/>
      <c r="QZY56" s="53"/>
      <c r="QZZ56" s="53"/>
      <c r="RAA56" s="53"/>
      <c r="RAB56" s="53"/>
      <c r="RAC56" s="53"/>
      <c r="RAD56" s="53"/>
      <c r="RAE56" s="53"/>
      <c r="RAF56" s="53"/>
      <c r="RAG56" s="53"/>
      <c r="RAH56" s="53"/>
      <c r="RAI56" s="53"/>
      <c r="RAJ56" s="53"/>
      <c r="RAK56" s="53"/>
      <c r="RAL56" s="53"/>
      <c r="RAM56" s="53"/>
      <c r="RAN56" s="53"/>
      <c r="RAO56" s="53"/>
      <c r="RAP56" s="53"/>
      <c r="RAQ56" s="53"/>
      <c r="RAR56" s="53"/>
      <c r="RAS56" s="53"/>
      <c r="RAT56" s="53"/>
      <c r="RAU56" s="53"/>
      <c r="RAV56" s="53"/>
      <c r="RAW56" s="53"/>
      <c r="RAX56" s="53"/>
      <c r="RAY56" s="53"/>
      <c r="RAZ56" s="53"/>
      <c r="RBA56" s="53"/>
      <c r="RBB56" s="53"/>
      <c r="RBC56" s="53"/>
      <c r="RBD56" s="53"/>
      <c r="RBE56" s="53"/>
      <c r="RBF56" s="53"/>
      <c r="RBG56" s="53"/>
      <c r="RBH56" s="53"/>
      <c r="RBI56" s="53"/>
      <c r="RBJ56" s="53"/>
      <c r="RBK56" s="53"/>
      <c r="RBL56" s="53"/>
      <c r="RBM56" s="53"/>
      <c r="RBN56" s="53"/>
      <c r="RBO56" s="53"/>
      <c r="RBP56" s="53"/>
      <c r="RBQ56" s="53"/>
      <c r="RBR56" s="53"/>
      <c r="RBS56" s="53"/>
      <c r="RBT56" s="53"/>
      <c r="RBU56" s="53"/>
      <c r="RBV56" s="53"/>
      <c r="RBW56" s="53"/>
      <c r="RBX56" s="53"/>
      <c r="RBY56" s="53"/>
      <c r="RBZ56" s="53"/>
      <c r="RCA56" s="53"/>
      <c r="RCB56" s="53"/>
      <c r="RCC56" s="53"/>
      <c r="RCD56" s="53"/>
      <c r="RCE56" s="53"/>
      <c r="RCF56" s="53"/>
      <c r="RCG56" s="53"/>
      <c r="RCH56" s="53"/>
      <c r="RCI56" s="53"/>
      <c r="RCJ56" s="53"/>
      <c r="RCK56" s="53"/>
      <c r="RCL56" s="53"/>
      <c r="RCM56" s="53"/>
      <c r="RCN56" s="53"/>
      <c r="RCO56" s="53"/>
      <c r="RCP56" s="53"/>
      <c r="RCQ56" s="53"/>
      <c r="RCR56" s="53"/>
      <c r="RCS56" s="53"/>
      <c r="RCT56" s="53"/>
      <c r="RCU56" s="53"/>
      <c r="RCV56" s="53"/>
      <c r="RCW56" s="53"/>
      <c r="RCX56" s="53"/>
      <c r="RCY56" s="53"/>
      <c r="RCZ56" s="53"/>
      <c r="RDA56" s="53"/>
      <c r="RDB56" s="53"/>
      <c r="RDC56" s="53"/>
      <c r="RDD56" s="53"/>
      <c r="RDE56" s="53"/>
      <c r="RDF56" s="53"/>
      <c r="RDG56" s="53"/>
      <c r="RDH56" s="53"/>
      <c r="RDI56" s="53"/>
      <c r="RDJ56" s="53"/>
      <c r="RDK56" s="53"/>
      <c r="RDL56" s="53"/>
      <c r="RDM56" s="53"/>
      <c r="RDN56" s="53"/>
      <c r="RDO56" s="53"/>
      <c r="RDP56" s="53"/>
      <c r="RDQ56" s="53"/>
      <c r="RDR56" s="53"/>
      <c r="RDS56" s="53"/>
      <c r="RDT56" s="53"/>
      <c r="RDU56" s="53"/>
      <c r="RDV56" s="53"/>
      <c r="RDW56" s="53"/>
      <c r="RDX56" s="53"/>
      <c r="RDY56" s="53"/>
      <c r="RDZ56" s="53"/>
      <c r="REA56" s="53"/>
      <c r="REB56" s="53"/>
      <c r="REC56" s="53"/>
      <c r="RED56" s="53"/>
      <c r="REE56" s="53"/>
      <c r="REF56" s="53"/>
      <c r="REG56" s="53"/>
      <c r="REH56" s="53"/>
      <c r="REI56" s="53"/>
      <c r="REJ56" s="53"/>
      <c r="REK56" s="53"/>
      <c r="REL56" s="53"/>
      <c r="REM56" s="53"/>
      <c r="REN56" s="53"/>
      <c r="REO56" s="53"/>
      <c r="REP56" s="53"/>
      <c r="REQ56" s="53"/>
      <c r="RER56" s="53"/>
      <c r="RES56" s="53"/>
      <c r="RET56" s="53"/>
      <c r="REU56" s="53"/>
      <c r="REV56" s="53"/>
      <c r="REW56" s="53"/>
      <c r="REX56" s="53"/>
      <c r="REY56" s="53"/>
      <c r="REZ56" s="53"/>
      <c r="RFA56" s="53"/>
      <c r="RFB56" s="53"/>
      <c r="RFC56" s="53"/>
      <c r="RFD56" s="53"/>
      <c r="RFE56" s="53"/>
      <c r="RFF56" s="53"/>
      <c r="RFG56" s="53"/>
      <c r="RFH56" s="53"/>
      <c r="RFI56" s="53"/>
      <c r="RFJ56" s="53"/>
      <c r="RFK56" s="53"/>
      <c r="RFL56" s="53"/>
      <c r="RFM56" s="53"/>
      <c r="RFN56" s="53"/>
      <c r="RFO56" s="53"/>
      <c r="RFP56" s="53"/>
      <c r="RFQ56" s="53"/>
      <c r="RFR56" s="53"/>
      <c r="RFS56" s="53"/>
      <c r="RFT56" s="53"/>
      <c r="RFU56" s="53"/>
      <c r="RFV56" s="53"/>
      <c r="RFW56" s="53"/>
      <c r="RFX56" s="53"/>
      <c r="RFY56" s="53"/>
      <c r="RFZ56" s="53"/>
      <c r="RGA56" s="53"/>
      <c r="RGB56" s="53"/>
      <c r="RGC56" s="53"/>
      <c r="RGD56" s="53"/>
      <c r="RGE56" s="53"/>
      <c r="RGF56" s="53"/>
      <c r="RGG56" s="53"/>
      <c r="RGH56" s="53"/>
      <c r="RGI56" s="53"/>
      <c r="RGJ56" s="53"/>
      <c r="RGK56" s="53"/>
      <c r="RGL56" s="53"/>
      <c r="RGM56" s="53"/>
      <c r="RGN56" s="53"/>
      <c r="RGO56" s="53"/>
      <c r="RGP56" s="53"/>
      <c r="RGQ56" s="53"/>
      <c r="RGR56" s="53"/>
      <c r="RGS56" s="53"/>
      <c r="RGT56" s="53"/>
      <c r="RGU56" s="53"/>
      <c r="RGV56" s="53"/>
      <c r="RGW56" s="53"/>
      <c r="RGX56" s="53"/>
      <c r="RGY56" s="53"/>
      <c r="RGZ56" s="53"/>
      <c r="RHA56" s="53"/>
      <c r="RHB56" s="53"/>
      <c r="RHC56" s="53"/>
      <c r="RHD56" s="53"/>
      <c r="RHE56" s="53"/>
      <c r="RHF56" s="53"/>
      <c r="RHG56" s="53"/>
      <c r="RHH56" s="53"/>
      <c r="RHI56" s="53"/>
      <c r="RHJ56" s="53"/>
      <c r="RHK56" s="53"/>
      <c r="RHL56" s="53"/>
      <c r="RHM56" s="53"/>
      <c r="RHN56" s="53"/>
      <c r="RHO56" s="53"/>
      <c r="RHP56" s="53"/>
      <c r="RHQ56" s="53"/>
      <c r="RHR56" s="53"/>
      <c r="RHS56" s="53"/>
      <c r="RHT56" s="53"/>
      <c r="RHU56" s="53"/>
      <c r="RHV56" s="53"/>
      <c r="RHW56" s="53"/>
      <c r="RHX56" s="53"/>
      <c r="RHY56" s="53"/>
      <c r="RHZ56" s="53"/>
      <c r="RIA56" s="53"/>
      <c r="RIB56" s="53"/>
      <c r="RIC56" s="53"/>
      <c r="RID56" s="53"/>
      <c r="RIE56" s="53"/>
      <c r="RIF56" s="53"/>
      <c r="RIG56" s="53"/>
      <c r="RIH56" s="53"/>
      <c r="RII56" s="53"/>
      <c r="RIJ56" s="53"/>
      <c r="RIK56" s="53"/>
      <c r="RIL56" s="53"/>
      <c r="RIM56" s="53"/>
      <c r="RIN56" s="53"/>
      <c r="RIO56" s="53"/>
      <c r="RIP56" s="53"/>
      <c r="RIQ56" s="53"/>
      <c r="RIR56" s="53"/>
      <c r="RIS56" s="53"/>
      <c r="RIT56" s="53"/>
      <c r="RIU56" s="53"/>
      <c r="RIV56" s="53"/>
      <c r="RIW56" s="53"/>
      <c r="RIX56" s="53"/>
      <c r="RIY56" s="53"/>
      <c r="RIZ56" s="53"/>
      <c r="RJA56" s="53"/>
      <c r="RJB56" s="53"/>
      <c r="RJC56" s="53"/>
      <c r="RJD56" s="53"/>
      <c r="RJE56" s="53"/>
      <c r="RJF56" s="53"/>
      <c r="RJG56" s="53"/>
      <c r="RJH56" s="53"/>
      <c r="RJI56" s="53"/>
      <c r="RJJ56" s="53"/>
      <c r="RJK56" s="53"/>
      <c r="RJL56" s="53"/>
      <c r="RJM56" s="53"/>
      <c r="RJN56" s="53"/>
      <c r="RJO56" s="53"/>
      <c r="RJP56" s="53"/>
      <c r="RJQ56" s="53"/>
      <c r="RJR56" s="53"/>
      <c r="RJS56" s="53"/>
      <c r="RJT56" s="53"/>
      <c r="RJU56" s="53"/>
      <c r="RJV56" s="53"/>
      <c r="RJW56" s="53"/>
      <c r="RJX56" s="53"/>
      <c r="RJY56" s="53"/>
      <c r="RJZ56" s="53"/>
      <c r="RKA56" s="53"/>
      <c r="RKB56" s="53"/>
      <c r="RKC56" s="53"/>
      <c r="RKD56" s="53"/>
      <c r="RKE56" s="53"/>
      <c r="RKF56" s="53"/>
      <c r="RKG56" s="53"/>
      <c r="RKH56" s="53"/>
      <c r="RKI56" s="53"/>
      <c r="RKJ56" s="53"/>
      <c r="RKK56" s="53"/>
      <c r="RKL56" s="53"/>
      <c r="RKM56" s="53"/>
      <c r="RKN56" s="53"/>
      <c r="RKO56" s="53"/>
      <c r="RKP56" s="53"/>
      <c r="RKQ56" s="53"/>
      <c r="RKR56" s="53"/>
      <c r="RKS56" s="53"/>
      <c r="RKT56" s="53"/>
      <c r="RKU56" s="53"/>
      <c r="RKV56" s="53"/>
      <c r="RKW56" s="53"/>
      <c r="RKX56" s="53"/>
      <c r="RKY56" s="53"/>
      <c r="RKZ56" s="53"/>
      <c r="RLA56" s="53"/>
      <c r="RLB56" s="53"/>
      <c r="RLC56" s="53"/>
      <c r="RLD56" s="53"/>
      <c r="RLE56" s="53"/>
      <c r="RLF56" s="53"/>
      <c r="RLG56" s="53"/>
      <c r="RLH56" s="53"/>
      <c r="RLI56" s="53"/>
      <c r="RLJ56" s="53"/>
      <c r="RLK56" s="53"/>
      <c r="RLL56" s="53"/>
      <c r="RLM56" s="53"/>
      <c r="RLN56" s="53"/>
      <c r="RLO56" s="53"/>
      <c r="RLP56" s="53"/>
      <c r="RLQ56" s="53"/>
      <c r="RLR56" s="53"/>
      <c r="RLS56" s="53"/>
      <c r="RLT56" s="53"/>
      <c r="RLU56" s="53"/>
      <c r="RLV56" s="53"/>
      <c r="RLW56" s="53"/>
      <c r="RLX56" s="53"/>
      <c r="RLY56" s="53"/>
      <c r="RLZ56" s="53"/>
      <c r="RMA56" s="53"/>
      <c r="RMB56" s="53"/>
      <c r="RMC56" s="53"/>
      <c r="RMD56" s="53"/>
      <c r="RME56" s="53"/>
      <c r="RMF56" s="53"/>
      <c r="RMG56" s="53"/>
      <c r="RMH56" s="53"/>
      <c r="RMI56" s="53"/>
      <c r="RMJ56" s="53"/>
      <c r="RMK56" s="53"/>
      <c r="RML56" s="53"/>
      <c r="RMM56" s="53"/>
      <c r="RMN56" s="53"/>
      <c r="RMO56" s="53"/>
      <c r="RMP56" s="53"/>
      <c r="RMQ56" s="53"/>
      <c r="RMR56" s="53"/>
      <c r="RMS56" s="53"/>
      <c r="RMT56" s="53"/>
      <c r="RMU56" s="53"/>
      <c r="RMV56" s="53"/>
      <c r="RMW56" s="53"/>
      <c r="RMX56" s="53"/>
      <c r="RMY56" s="53"/>
      <c r="RMZ56" s="53"/>
      <c r="RNA56" s="53"/>
      <c r="RNB56" s="53"/>
      <c r="RNC56" s="53"/>
      <c r="RND56" s="53"/>
      <c r="RNE56" s="53"/>
      <c r="RNF56" s="53"/>
      <c r="RNG56" s="53"/>
      <c r="RNH56" s="53"/>
      <c r="RNI56" s="53"/>
      <c r="RNJ56" s="53"/>
      <c r="RNK56" s="53"/>
      <c r="RNL56" s="53"/>
      <c r="RNM56" s="53"/>
      <c r="RNN56" s="53"/>
      <c r="RNO56" s="53"/>
      <c r="RNP56" s="53"/>
      <c r="RNQ56" s="53"/>
      <c r="RNR56" s="53"/>
      <c r="RNS56" s="53"/>
      <c r="RNT56" s="53"/>
      <c r="RNU56" s="53"/>
      <c r="RNV56" s="53"/>
      <c r="RNW56" s="53"/>
      <c r="RNX56" s="53"/>
      <c r="RNY56" s="53"/>
      <c r="RNZ56" s="53"/>
      <c r="ROA56" s="53"/>
      <c r="ROB56" s="53"/>
      <c r="ROC56" s="53"/>
      <c r="ROD56" s="53"/>
      <c r="ROE56" s="53"/>
      <c r="ROF56" s="53"/>
      <c r="ROG56" s="53"/>
      <c r="ROH56" s="53"/>
      <c r="ROI56" s="53"/>
      <c r="ROJ56" s="53"/>
      <c r="ROK56" s="53"/>
      <c r="ROL56" s="53"/>
      <c r="ROM56" s="53"/>
      <c r="RON56" s="53"/>
      <c r="ROO56" s="53"/>
      <c r="ROP56" s="53"/>
      <c r="ROQ56" s="53"/>
      <c r="ROR56" s="53"/>
      <c r="ROS56" s="53"/>
      <c r="ROT56" s="53"/>
      <c r="ROU56" s="53"/>
      <c r="ROV56" s="53"/>
      <c r="ROW56" s="53"/>
      <c r="ROX56" s="53"/>
      <c r="ROY56" s="53"/>
      <c r="ROZ56" s="53"/>
      <c r="RPA56" s="53"/>
      <c r="RPB56" s="53"/>
      <c r="RPC56" s="53"/>
      <c r="RPD56" s="53"/>
      <c r="RPE56" s="53"/>
      <c r="RPF56" s="53"/>
      <c r="RPG56" s="53"/>
      <c r="RPH56" s="53"/>
      <c r="RPI56" s="53"/>
      <c r="RPJ56" s="53"/>
      <c r="RPK56" s="53"/>
      <c r="RPL56" s="53"/>
      <c r="RPM56" s="53"/>
      <c r="RPN56" s="53"/>
      <c r="RPO56" s="53"/>
      <c r="RPP56" s="53"/>
      <c r="RPQ56" s="53"/>
      <c r="RPR56" s="53"/>
      <c r="RPS56" s="53"/>
      <c r="RPT56" s="53"/>
      <c r="RPU56" s="53"/>
      <c r="RPV56" s="53"/>
      <c r="RPW56" s="53"/>
      <c r="RPX56" s="53"/>
      <c r="RPY56" s="53"/>
      <c r="RPZ56" s="53"/>
      <c r="RQA56" s="53"/>
      <c r="RQB56" s="53"/>
      <c r="RQC56" s="53"/>
      <c r="RQD56" s="53"/>
      <c r="RQE56" s="53"/>
      <c r="RQF56" s="53"/>
      <c r="RQG56" s="53"/>
      <c r="RQH56" s="53"/>
      <c r="RQI56" s="53"/>
      <c r="RQJ56" s="53"/>
      <c r="RQK56" s="53"/>
      <c r="RQL56" s="53"/>
      <c r="RQM56" s="53"/>
      <c r="RQN56" s="53"/>
      <c r="RQO56" s="53"/>
      <c r="RQP56" s="53"/>
      <c r="RQQ56" s="53"/>
      <c r="RQR56" s="53"/>
      <c r="RQS56" s="53"/>
      <c r="RQT56" s="53"/>
      <c r="RQU56" s="53"/>
      <c r="RQV56" s="53"/>
      <c r="RQW56" s="53"/>
      <c r="RQX56" s="53"/>
      <c r="RQY56" s="53"/>
      <c r="RQZ56" s="53"/>
      <c r="RRA56" s="53"/>
      <c r="RRB56" s="53"/>
      <c r="RRC56" s="53"/>
      <c r="RRD56" s="53"/>
      <c r="RRE56" s="53"/>
      <c r="RRF56" s="53"/>
      <c r="RRG56" s="53"/>
      <c r="RRH56" s="53"/>
      <c r="RRI56" s="53"/>
      <c r="RRJ56" s="53"/>
      <c r="RRK56" s="53"/>
      <c r="RRL56" s="53"/>
      <c r="RRM56" s="53"/>
      <c r="RRN56" s="53"/>
      <c r="RRO56" s="53"/>
      <c r="RRP56" s="53"/>
      <c r="RRQ56" s="53"/>
      <c r="RRR56" s="53"/>
      <c r="RRS56" s="53"/>
      <c r="RRT56" s="53"/>
      <c r="RRU56" s="53"/>
      <c r="RRV56" s="53"/>
      <c r="RRW56" s="53"/>
      <c r="RRX56" s="53"/>
      <c r="RRY56" s="53"/>
      <c r="RRZ56" s="53"/>
      <c r="RSA56" s="53"/>
      <c r="RSB56" s="53"/>
      <c r="RSC56" s="53"/>
      <c r="RSD56" s="53"/>
      <c r="RSE56" s="53"/>
      <c r="RSF56" s="53"/>
      <c r="RSG56" s="53"/>
      <c r="RSH56" s="53"/>
      <c r="RSI56" s="53"/>
      <c r="RSJ56" s="53"/>
      <c r="RSK56" s="53"/>
      <c r="RSL56" s="53"/>
      <c r="RSM56" s="53"/>
      <c r="RSN56" s="53"/>
      <c r="RSO56" s="53"/>
      <c r="RSP56" s="53"/>
      <c r="RSQ56" s="53"/>
      <c r="RSR56" s="53"/>
      <c r="RSS56" s="53"/>
      <c r="RST56" s="53"/>
      <c r="RSU56" s="53"/>
      <c r="RSV56" s="53"/>
      <c r="RSW56" s="53"/>
      <c r="RSX56" s="53"/>
      <c r="RSY56" s="53"/>
      <c r="RSZ56" s="53"/>
      <c r="RTA56" s="53"/>
      <c r="RTB56" s="53"/>
      <c r="RTC56" s="53"/>
      <c r="RTD56" s="53"/>
      <c r="RTE56" s="53"/>
      <c r="RTF56" s="53"/>
      <c r="RTG56" s="53"/>
      <c r="RTH56" s="53"/>
      <c r="RTI56" s="53"/>
      <c r="RTJ56" s="53"/>
      <c r="RTK56" s="53"/>
      <c r="RTL56" s="53"/>
      <c r="RTM56" s="53"/>
      <c r="RTN56" s="53"/>
      <c r="RTO56" s="53"/>
      <c r="RTP56" s="53"/>
      <c r="RTQ56" s="53"/>
      <c r="RTR56" s="53"/>
      <c r="RTS56" s="53"/>
      <c r="RTT56" s="53"/>
      <c r="RTU56" s="53"/>
      <c r="RTV56" s="53"/>
      <c r="RTW56" s="53"/>
      <c r="RTX56" s="53"/>
      <c r="RTY56" s="53"/>
      <c r="RTZ56" s="53"/>
      <c r="RUA56" s="53"/>
      <c r="RUB56" s="53"/>
      <c r="RUC56" s="53"/>
      <c r="RUD56" s="53"/>
      <c r="RUE56" s="53"/>
      <c r="RUF56" s="53"/>
      <c r="RUG56" s="53"/>
      <c r="RUH56" s="53"/>
      <c r="RUI56" s="53"/>
      <c r="RUJ56" s="53"/>
      <c r="RUK56" s="53"/>
      <c r="RUL56" s="53"/>
      <c r="RUM56" s="53"/>
      <c r="RUN56" s="53"/>
      <c r="RUO56" s="53"/>
      <c r="RUP56" s="53"/>
      <c r="RUQ56" s="53"/>
      <c r="RUR56" s="53"/>
      <c r="RUS56" s="53"/>
      <c r="RUT56" s="53"/>
      <c r="RUU56" s="53"/>
      <c r="RUV56" s="53"/>
      <c r="RUW56" s="53"/>
      <c r="RUX56" s="53"/>
      <c r="RUY56" s="53"/>
      <c r="RUZ56" s="53"/>
      <c r="RVA56" s="53"/>
      <c r="RVB56" s="53"/>
      <c r="RVC56" s="53"/>
      <c r="RVD56" s="53"/>
      <c r="RVE56" s="53"/>
      <c r="RVF56" s="53"/>
      <c r="RVG56" s="53"/>
      <c r="RVH56" s="53"/>
      <c r="RVI56" s="53"/>
      <c r="RVJ56" s="53"/>
      <c r="RVK56" s="53"/>
      <c r="RVL56" s="53"/>
      <c r="RVM56" s="53"/>
      <c r="RVN56" s="53"/>
      <c r="RVO56" s="53"/>
      <c r="RVP56" s="53"/>
      <c r="RVQ56" s="53"/>
      <c r="RVR56" s="53"/>
      <c r="RVS56" s="53"/>
      <c r="RVT56" s="53"/>
      <c r="RVU56" s="53"/>
      <c r="RVV56" s="53"/>
      <c r="RVW56" s="53"/>
      <c r="RVX56" s="53"/>
      <c r="RVY56" s="53"/>
      <c r="RVZ56" s="53"/>
      <c r="RWA56" s="53"/>
      <c r="RWB56" s="53"/>
      <c r="RWC56" s="53"/>
      <c r="RWD56" s="53"/>
      <c r="RWE56" s="53"/>
      <c r="RWF56" s="53"/>
      <c r="RWG56" s="53"/>
      <c r="RWH56" s="53"/>
      <c r="RWI56" s="53"/>
      <c r="RWJ56" s="53"/>
      <c r="RWK56" s="53"/>
      <c r="RWL56" s="53"/>
      <c r="RWM56" s="53"/>
      <c r="RWN56" s="53"/>
      <c r="RWO56" s="53"/>
      <c r="RWP56" s="53"/>
      <c r="RWQ56" s="53"/>
      <c r="RWR56" s="53"/>
      <c r="RWS56" s="53"/>
      <c r="RWT56" s="53"/>
      <c r="RWU56" s="53"/>
      <c r="RWV56" s="53"/>
      <c r="RWW56" s="53"/>
      <c r="RWX56" s="53"/>
      <c r="RWY56" s="53"/>
      <c r="RWZ56" s="53"/>
      <c r="RXA56" s="53"/>
      <c r="RXB56" s="53"/>
      <c r="RXC56" s="53"/>
      <c r="RXD56" s="53"/>
      <c r="RXE56" s="53"/>
      <c r="RXF56" s="53"/>
      <c r="RXG56" s="53"/>
      <c r="RXH56" s="53"/>
      <c r="RXI56" s="53"/>
      <c r="RXJ56" s="53"/>
      <c r="RXK56" s="53"/>
      <c r="RXL56" s="53"/>
      <c r="RXM56" s="53"/>
      <c r="RXN56" s="53"/>
      <c r="RXO56" s="53"/>
      <c r="RXP56" s="53"/>
      <c r="RXQ56" s="53"/>
      <c r="RXR56" s="53"/>
      <c r="RXS56" s="53"/>
      <c r="RXT56" s="53"/>
      <c r="RXU56" s="53"/>
      <c r="RXV56" s="53"/>
      <c r="RXW56" s="53"/>
      <c r="RXX56" s="53"/>
      <c r="RXY56" s="53"/>
      <c r="RXZ56" s="53"/>
      <c r="RYA56" s="53"/>
      <c r="RYB56" s="53"/>
      <c r="RYC56" s="53"/>
      <c r="RYD56" s="53"/>
      <c r="RYE56" s="53"/>
      <c r="RYF56" s="53"/>
      <c r="RYG56" s="53"/>
      <c r="RYH56" s="53"/>
      <c r="RYI56" s="53"/>
      <c r="RYJ56" s="53"/>
      <c r="RYK56" s="53"/>
      <c r="RYL56" s="53"/>
      <c r="RYM56" s="53"/>
      <c r="RYN56" s="53"/>
      <c r="RYO56" s="53"/>
      <c r="RYP56" s="53"/>
      <c r="RYQ56" s="53"/>
      <c r="RYR56" s="53"/>
      <c r="RYS56" s="53"/>
      <c r="RYT56" s="53"/>
      <c r="RYU56" s="53"/>
      <c r="RYV56" s="53"/>
      <c r="RYW56" s="53"/>
      <c r="RYX56" s="53"/>
      <c r="RYY56" s="53"/>
      <c r="RYZ56" s="53"/>
      <c r="RZA56" s="53"/>
      <c r="RZB56" s="53"/>
      <c r="RZC56" s="53"/>
      <c r="RZD56" s="53"/>
      <c r="RZE56" s="53"/>
      <c r="RZF56" s="53"/>
      <c r="RZG56" s="53"/>
      <c r="RZH56" s="53"/>
      <c r="RZI56" s="53"/>
      <c r="RZJ56" s="53"/>
      <c r="RZK56" s="53"/>
      <c r="RZL56" s="53"/>
      <c r="RZM56" s="53"/>
      <c r="RZN56" s="53"/>
      <c r="RZO56" s="53"/>
      <c r="RZP56" s="53"/>
      <c r="RZQ56" s="53"/>
      <c r="RZR56" s="53"/>
      <c r="RZS56" s="53"/>
      <c r="RZT56" s="53"/>
      <c r="RZU56" s="53"/>
      <c r="RZV56" s="53"/>
      <c r="RZW56" s="53"/>
      <c r="RZX56" s="53"/>
      <c r="RZY56" s="53"/>
      <c r="RZZ56" s="53"/>
      <c r="SAA56" s="53"/>
      <c r="SAB56" s="53"/>
      <c r="SAC56" s="53"/>
      <c r="SAD56" s="53"/>
      <c r="SAE56" s="53"/>
      <c r="SAF56" s="53"/>
      <c r="SAG56" s="53"/>
      <c r="SAH56" s="53"/>
      <c r="SAI56" s="53"/>
      <c r="SAJ56" s="53"/>
      <c r="SAK56" s="53"/>
      <c r="SAL56" s="53"/>
      <c r="SAM56" s="53"/>
      <c r="SAN56" s="53"/>
      <c r="SAO56" s="53"/>
      <c r="SAP56" s="53"/>
      <c r="SAQ56" s="53"/>
      <c r="SAR56" s="53"/>
      <c r="SAS56" s="53"/>
      <c r="SAT56" s="53"/>
      <c r="SAU56" s="53"/>
      <c r="SAV56" s="53"/>
      <c r="SAW56" s="53"/>
      <c r="SAX56" s="53"/>
      <c r="SAY56" s="53"/>
      <c r="SAZ56" s="53"/>
      <c r="SBA56" s="53"/>
      <c r="SBB56" s="53"/>
      <c r="SBC56" s="53"/>
      <c r="SBD56" s="53"/>
      <c r="SBE56" s="53"/>
      <c r="SBF56" s="53"/>
      <c r="SBG56" s="53"/>
      <c r="SBH56" s="53"/>
      <c r="SBI56" s="53"/>
      <c r="SBJ56" s="53"/>
      <c r="SBK56" s="53"/>
      <c r="SBL56" s="53"/>
      <c r="SBM56" s="53"/>
      <c r="SBN56" s="53"/>
      <c r="SBO56" s="53"/>
      <c r="SBP56" s="53"/>
      <c r="SBQ56" s="53"/>
      <c r="SBR56" s="53"/>
      <c r="SBS56" s="53"/>
      <c r="SBT56" s="53"/>
      <c r="SBU56" s="53"/>
      <c r="SBV56" s="53"/>
      <c r="SBW56" s="53"/>
      <c r="SBX56" s="53"/>
      <c r="SBY56" s="53"/>
      <c r="SBZ56" s="53"/>
      <c r="SCA56" s="53"/>
      <c r="SCB56" s="53"/>
      <c r="SCC56" s="53"/>
      <c r="SCD56" s="53"/>
      <c r="SCE56" s="53"/>
      <c r="SCF56" s="53"/>
      <c r="SCG56" s="53"/>
      <c r="SCH56" s="53"/>
      <c r="SCI56" s="53"/>
      <c r="SCJ56" s="53"/>
      <c r="SCK56" s="53"/>
      <c r="SCL56" s="53"/>
      <c r="SCM56" s="53"/>
      <c r="SCN56" s="53"/>
      <c r="SCO56" s="53"/>
      <c r="SCP56" s="53"/>
      <c r="SCQ56" s="53"/>
      <c r="SCR56" s="53"/>
      <c r="SCS56" s="53"/>
      <c r="SCT56" s="53"/>
      <c r="SCU56" s="53"/>
      <c r="SCV56" s="53"/>
      <c r="SCW56" s="53"/>
      <c r="SCX56" s="53"/>
      <c r="SCY56" s="53"/>
      <c r="SCZ56" s="53"/>
      <c r="SDA56" s="53"/>
      <c r="SDB56" s="53"/>
      <c r="SDC56" s="53"/>
      <c r="SDD56" s="53"/>
      <c r="SDE56" s="53"/>
      <c r="SDF56" s="53"/>
      <c r="SDG56" s="53"/>
      <c r="SDH56" s="53"/>
      <c r="SDI56" s="53"/>
      <c r="SDJ56" s="53"/>
      <c r="SDK56" s="53"/>
      <c r="SDL56" s="53"/>
      <c r="SDM56" s="53"/>
      <c r="SDN56" s="53"/>
      <c r="SDO56" s="53"/>
      <c r="SDP56" s="53"/>
      <c r="SDQ56" s="53"/>
      <c r="SDR56" s="53"/>
      <c r="SDS56" s="53"/>
      <c r="SDT56" s="53"/>
      <c r="SDU56" s="53"/>
      <c r="SDV56" s="53"/>
      <c r="SDW56" s="53"/>
      <c r="SDX56" s="53"/>
      <c r="SDY56" s="53"/>
      <c r="SDZ56" s="53"/>
      <c r="SEA56" s="53"/>
      <c r="SEB56" s="53"/>
      <c r="SEC56" s="53"/>
      <c r="SED56" s="53"/>
      <c r="SEE56" s="53"/>
      <c r="SEF56" s="53"/>
      <c r="SEG56" s="53"/>
      <c r="SEH56" s="53"/>
      <c r="SEI56" s="53"/>
      <c r="SEJ56" s="53"/>
      <c r="SEK56" s="53"/>
      <c r="SEL56" s="53"/>
      <c r="SEM56" s="53"/>
      <c r="SEN56" s="53"/>
      <c r="SEO56" s="53"/>
      <c r="SEP56" s="53"/>
      <c r="SEQ56" s="53"/>
      <c r="SER56" s="53"/>
      <c r="SES56" s="53"/>
      <c r="SET56" s="53"/>
      <c r="SEU56" s="53"/>
      <c r="SEV56" s="53"/>
      <c r="SEW56" s="53"/>
      <c r="SEX56" s="53"/>
      <c r="SEY56" s="53"/>
      <c r="SEZ56" s="53"/>
      <c r="SFA56" s="53"/>
      <c r="SFB56" s="53"/>
      <c r="SFC56" s="53"/>
      <c r="SFD56" s="53"/>
      <c r="SFE56" s="53"/>
      <c r="SFF56" s="53"/>
      <c r="SFG56" s="53"/>
      <c r="SFH56" s="53"/>
      <c r="SFI56" s="53"/>
      <c r="SFJ56" s="53"/>
      <c r="SFK56" s="53"/>
      <c r="SFL56" s="53"/>
      <c r="SFM56" s="53"/>
      <c r="SFN56" s="53"/>
      <c r="SFO56" s="53"/>
      <c r="SFP56" s="53"/>
      <c r="SFQ56" s="53"/>
      <c r="SFR56" s="53"/>
      <c r="SFS56" s="53"/>
      <c r="SFT56" s="53"/>
      <c r="SFU56" s="53"/>
      <c r="SFV56" s="53"/>
      <c r="SFW56" s="53"/>
      <c r="SFX56" s="53"/>
      <c r="SFY56" s="53"/>
      <c r="SFZ56" s="53"/>
      <c r="SGA56" s="53"/>
      <c r="SGB56" s="53"/>
      <c r="SGC56" s="53"/>
      <c r="SGD56" s="53"/>
      <c r="SGE56" s="53"/>
      <c r="SGF56" s="53"/>
      <c r="SGG56" s="53"/>
      <c r="SGH56" s="53"/>
      <c r="SGI56" s="53"/>
      <c r="SGJ56" s="53"/>
      <c r="SGK56" s="53"/>
      <c r="SGL56" s="53"/>
      <c r="SGM56" s="53"/>
      <c r="SGN56" s="53"/>
      <c r="SGO56" s="53"/>
      <c r="SGP56" s="53"/>
      <c r="SGQ56" s="53"/>
      <c r="SGR56" s="53"/>
      <c r="SGS56" s="53"/>
      <c r="SGT56" s="53"/>
      <c r="SGU56" s="53"/>
      <c r="SGV56" s="53"/>
      <c r="SGW56" s="53"/>
      <c r="SGX56" s="53"/>
      <c r="SGY56" s="53"/>
      <c r="SGZ56" s="53"/>
      <c r="SHA56" s="53"/>
      <c r="SHB56" s="53"/>
      <c r="SHC56" s="53"/>
      <c r="SHD56" s="53"/>
      <c r="SHE56" s="53"/>
      <c r="SHF56" s="53"/>
      <c r="SHG56" s="53"/>
      <c r="SHH56" s="53"/>
      <c r="SHI56" s="53"/>
      <c r="SHJ56" s="53"/>
      <c r="SHK56" s="53"/>
      <c r="SHL56" s="53"/>
      <c r="SHM56" s="53"/>
      <c r="SHN56" s="53"/>
      <c r="SHO56" s="53"/>
      <c r="SHP56" s="53"/>
      <c r="SHQ56" s="53"/>
      <c r="SHR56" s="53"/>
      <c r="SHS56" s="53"/>
      <c r="SHT56" s="53"/>
      <c r="SHU56" s="53"/>
      <c r="SHV56" s="53"/>
      <c r="SHW56" s="53"/>
      <c r="SHX56" s="53"/>
      <c r="SHY56" s="53"/>
      <c r="SHZ56" s="53"/>
      <c r="SIA56" s="53"/>
      <c r="SIB56" s="53"/>
      <c r="SIC56" s="53"/>
      <c r="SID56" s="53"/>
      <c r="SIE56" s="53"/>
      <c r="SIF56" s="53"/>
      <c r="SIG56" s="53"/>
      <c r="SIH56" s="53"/>
      <c r="SII56" s="53"/>
      <c r="SIJ56" s="53"/>
      <c r="SIK56" s="53"/>
      <c r="SIL56" s="53"/>
      <c r="SIM56" s="53"/>
      <c r="SIN56" s="53"/>
      <c r="SIO56" s="53"/>
      <c r="SIP56" s="53"/>
      <c r="SIQ56" s="53"/>
      <c r="SIR56" s="53"/>
      <c r="SIS56" s="53"/>
      <c r="SIT56" s="53"/>
      <c r="SIU56" s="53"/>
      <c r="SIV56" s="53"/>
      <c r="SIW56" s="53"/>
      <c r="SIX56" s="53"/>
      <c r="SIY56" s="53"/>
      <c r="SIZ56" s="53"/>
      <c r="SJA56" s="53"/>
      <c r="SJB56" s="53"/>
      <c r="SJC56" s="53"/>
      <c r="SJD56" s="53"/>
      <c r="SJE56" s="53"/>
      <c r="SJF56" s="53"/>
      <c r="SJG56" s="53"/>
      <c r="SJH56" s="53"/>
      <c r="SJI56" s="53"/>
      <c r="SJJ56" s="53"/>
      <c r="SJK56" s="53"/>
      <c r="SJL56" s="53"/>
      <c r="SJM56" s="53"/>
      <c r="SJN56" s="53"/>
      <c r="SJO56" s="53"/>
      <c r="SJP56" s="53"/>
      <c r="SJQ56" s="53"/>
      <c r="SJR56" s="53"/>
      <c r="SJS56" s="53"/>
      <c r="SJT56" s="53"/>
      <c r="SJU56" s="53"/>
      <c r="SJV56" s="53"/>
      <c r="SJW56" s="53"/>
      <c r="SJX56" s="53"/>
      <c r="SJY56" s="53"/>
      <c r="SJZ56" s="53"/>
      <c r="SKA56" s="53"/>
      <c r="SKB56" s="53"/>
      <c r="SKC56" s="53"/>
      <c r="SKD56" s="53"/>
      <c r="SKE56" s="53"/>
      <c r="SKF56" s="53"/>
      <c r="SKG56" s="53"/>
      <c r="SKH56" s="53"/>
      <c r="SKI56" s="53"/>
      <c r="SKJ56" s="53"/>
      <c r="SKK56" s="53"/>
      <c r="SKL56" s="53"/>
      <c r="SKM56" s="53"/>
      <c r="SKN56" s="53"/>
      <c r="SKO56" s="53"/>
      <c r="SKP56" s="53"/>
      <c r="SKQ56" s="53"/>
      <c r="SKR56" s="53"/>
      <c r="SKS56" s="53"/>
      <c r="SKT56" s="53"/>
      <c r="SKU56" s="53"/>
      <c r="SKV56" s="53"/>
      <c r="SKW56" s="53"/>
      <c r="SKX56" s="53"/>
      <c r="SKY56" s="53"/>
      <c r="SKZ56" s="53"/>
      <c r="SLA56" s="53"/>
      <c r="SLB56" s="53"/>
      <c r="SLC56" s="53"/>
      <c r="SLD56" s="53"/>
      <c r="SLE56" s="53"/>
      <c r="SLF56" s="53"/>
      <c r="SLG56" s="53"/>
      <c r="SLH56" s="53"/>
      <c r="SLI56" s="53"/>
      <c r="SLJ56" s="53"/>
      <c r="SLK56" s="53"/>
      <c r="SLL56" s="53"/>
      <c r="SLM56" s="53"/>
      <c r="SLN56" s="53"/>
      <c r="SLO56" s="53"/>
      <c r="SLP56" s="53"/>
      <c r="SLQ56" s="53"/>
      <c r="SLR56" s="53"/>
      <c r="SLS56" s="53"/>
      <c r="SLT56" s="53"/>
      <c r="SLU56" s="53"/>
      <c r="SLV56" s="53"/>
      <c r="SLW56" s="53"/>
      <c r="SLX56" s="53"/>
      <c r="SLY56" s="53"/>
      <c r="SLZ56" s="53"/>
      <c r="SMA56" s="53"/>
      <c r="SMB56" s="53"/>
      <c r="SMC56" s="53"/>
      <c r="SMD56" s="53"/>
      <c r="SME56" s="53"/>
      <c r="SMF56" s="53"/>
      <c r="SMG56" s="53"/>
      <c r="SMH56" s="53"/>
      <c r="SMI56" s="53"/>
      <c r="SMJ56" s="53"/>
      <c r="SMK56" s="53"/>
      <c r="SML56" s="53"/>
      <c r="SMM56" s="53"/>
      <c r="SMN56" s="53"/>
      <c r="SMO56" s="53"/>
      <c r="SMP56" s="53"/>
      <c r="SMQ56" s="53"/>
      <c r="SMR56" s="53"/>
      <c r="SMS56" s="53"/>
      <c r="SMT56" s="53"/>
      <c r="SMU56" s="53"/>
      <c r="SMV56" s="53"/>
      <c r="SMW56" s="53"/>
      <c r="SMX56" s="53"/>
      <c r="SMY56" s="53"/>
      <c r="SMZ56" s="53"/>
      <c r="SNA56" s="53"/>
      <c r="SNB56" s="53"/>
      <c r="SNC56" s="53"/>
      <c r="SND56" s="53"/>
      <c r="SNE56" s="53"/>
      <c r="SNF56" s="53"/>
      <c r="SNG56" s="53"/>
      <c r="SNH56" s="53"/>
      <c r="SNI56" s="53"/>
      <c r="SNJ56" s="53"/>
      <c r="SNK56" s="53"/>
      <c r="SNL56" s="53"/>
      <c r="SNM56" s="53"/>
      <c r="SNN56" s="53"/>
      <c r="SNO56" s="53"/>
      <c r="SNP56" s="53"/>
      <c r="SNQ56" s="53"/>
      <c r="SNR56" s="53"/>
      <c r="SNS56" s="53"/>
      <c r="SNT56" s="53"/>
      <c r="SNU56" s="53"/>
      <c r="SNV56" s="53"/>
      <c r="SNW56" s="53"/>
      <c r="SNX56" s="53"/>
      <c r="SNY56" s="53"/>
      <c r="SNZ56" s="53"/>
      <c r="SOA56" s="53"/>
      <c r="SOB56" s="53"/>
      <c r="SOC56" s="53"/>
      <c r="SOD56" s="53"/>
      <c r="SOE56" s="53"/>
      <c r="SOF56" s="53"/>
      <c r="SOG56" s="53"/>
      <c r="SOH56" s="53"/>
      <c r="SOI56" s="53"/>
      <c r="SOJ56" s="53"/>
      <c r="SOK56" s="53"/>
      <c r="SOL56" s="53"/>
      <c r="SOM56" s="53"/>
      <c r="SON56" s="53"/>
      <c r="SOO56" s="53"/>
      <c r="SOP56" s="53"/>
      <c r="SOQ56" s="53"/>
      <c r="SOR56" s="53"/>
      <c r="SOS56" s="53"/>
      <c r="SOT56" s="53"/>
      <c r="SOU56" s="53"/>
      <c r="SOV56" s="53"/>
      <c r="SOW56" s="53"/>
      <c r="SOX56" s="53"/>
      <c r="SOY56" s="53"/>
      <c r="SOZ56" s="53"/>
      <c r="SPA56" s="53"/>
      <c r="SPB56" s="53"/>
      <c r="SPC56" s="53"/>
      <c r="SPD56" s="53"/>
      <c r="SPE56" s="53"/>
      <c r="SPF56" s="53"/>
      <c r="SPG56" s="53"/>
      <c r="SPH56" s="53"/>
      <c r="SPI56" s="53"/>
      <c r="SPJ56" s="53"/>
      <c r="SPK56" s="53"/>
      <c r="SPL56" s="53"/>
      <c r="SPM56" s="53"/>
      <c r="SPN56" s="53"/>
      <c r="SPO56" s="53"/>
      <c r="SPP56" s="53"/>
      <c r="SPQ56" s="53"/>
      <c r="SPR56" s="53"/>
      <c r="SPS56" s="53"/>
      <c r="SPT56" s="53"/>
      <c r="SPU56" s="53"/>
      <c r="SPV56" s="53"/>
      <c r="SPW56" s="53"/>
      <c r="SPX56" s="53"/>
      <c r="SPY56" s="53"/>
      <c r="SPZ56" s="53"/>
      <c r="SQA56" s="53"/>
      <c r="SQB56" s="53"/>
      <c r="SQC56" s="53"/>
      <c r="SQD56" s="53"/>
      <c r="SQE56" s="53"/>
      <c r="SQF56" s="53"/>
      <c r="SQG56" s="53"/>
      <c r="SQH56" s="53"/>
      <c r="SQI56" s="53"/>
      <c r="SQJ56" s="53"/>
      <c r="SQK56" s="53"/>
      <c r="SQL56" s="53"/>
      <c r="SQM56" s="53"/>
      <c r="SQN56" s="53"/>
      <c r="SQO56" s="53"/>
      <c r="SQP56" s="53"/>
      <c r="SQQ56" s="53"/>
      <c r="SQR56" s="53"/>
      <c r="SQS56" s="53"/>
      <c r="SQT56" s="53"/>
      <c r="SQU56" s="53"/>
      <c r="SQV56" s="53"/>
      <c r="SQW56" s="53"/>
      <c r="SQX56" s="53"/>
      <c r="SQY56" s="53"/>
      <c r="SQZ56" s="53"/>
      <c r="SRA56" s="53"/>
      <c r="SRB56" s="53"/>
      <c r="SRC56" s="53"/>
      <c r="SRD56" s="53"/>
      <c r="SRE56" s="53"/>
      <c r="SRF56" s="53"/>
      <c r="SRG56" s="53"/>
      <c r="SRH56" s="53"/>
      <c r="SRI56" s="53"/>
      <c r="SRJ56" s="53"/>
      <c r="SRK56" s="53"/>
      <c r="SRL56" s="53"/>
      <c r="SRM56" s="53"/>
      <c r="SRN56" s="53"/>
      <c r="SRO56" s="53"/>
      <c r="SRP56" s="53"/>
      <c r="SRQ56" s="53"/>
      <c r="SRR56" s="53"/>
      <c r="SRS56" s="53"/>
      <c r="SRT56" s="53"/>
      <c r="SRU56" s="53"/>
      <c r="SRV56" s="53"/>
      <c r="SRW56" s="53"/>
      <c r="SRX56" s="53"/>
      <c r="SRY56" s="53"/>
      <c r="SRZ56" s="53"/>
      <c r="SSA56" s="53"/>
      <c r="SSB56" s="53"/>
      <c r="SSC56" s="53"/>
      <c r="SSD56" s="53"/>
      <c r="SSE56" s="53"/>
      <c r="SSF56" s="53"/>
      <c r="SSG56" s="53"/>
      <c r="SSH56" s="53"/>
      <c r="SSI56" s="53"/>
      <c r="SSJ56" s="53"/>
      <c r="SSK56" s="53"/>
      <c r="SSL56" s="53"/>
      <c r="SSM56" s="53"/>
      <c r="SSN56" s="53"/>
      <c r="SSO56" s="53"/>
      <c r="SSP56" s="53"/>
      <c r="SSQ56" s="53"/>
      <c r="SSR56" s="53"/>
      <c r="SSS56" s="53"/>
      <c r="SST56" s="53"/>
      <c r="SSU56" s="53"/>
      <c r="SSV56" s="53"/>
      <c r="SSW56" s="53"/>
      <c r="SSX56" s="53"/>
      <c r="SSY56" s="53"/>
      <c r="SSZ56" s="53"/>
      <c r="STA56" s="53"/>
      <c r="STB56" s="53"/>
      <c r="STC56" s="53"/>
      <c r="STD56" s="53"/>
      <c r="STE56" s="53"/>
      <c r="STF56" s="53"/>
      <c r="STG56" s="53"/>
      <c r="STH56" s="53"/>
      <c r="STI56" s="53"/>
      <c r="STJ56" s="53"/>
      <c r="STK56" s="53"/>
      <c r="STL56" s="53"/>
      <c r="STM56" s="53"/>
      <c r="STN56" s="53"/>
      <c r="STO56" s="53"/>
      <c r="STP56" s="53"/>
      <c r="STQ56" s="53"/>
      <c r="STR56" s="53"/>
      <c r="STS56" s="53"/>
      <c r="STT56" s="53"/>
      <c r="STU56" s="53"/>
      <c r="STV56" s="53"/>
      <c r="STW56" s="53"/>
      <c r="STX56" s="53"/>
      <c r="STY56" s="53"/>
      <c r="STZ56" s="53"/>
      <c r="SUA56" s="53"/>
      <c r="SUB56" s="53"/>
      <c r="SUC56" s="53"/>
      <c r="SUD56" s="53"/>
      <c r="SUE56" s="53"/>
      <c r="SUF56" s="53"/>
      <c r="SUG56" s="53"/>
      <c r="SUH56" s="53"/>
      <c r="SUI56" s="53"/>
      <c r="SUJ56" s="53"/>
      <c r="SUK56" s="53"/>
      <c r="SUL56" s="53"/>
      <c r="SUM56" s="53"/>
      <c r="SUN56" s="53"/>
      <c r="SUO56" s="53"/>
      <c r="SUP56" s="53"/>
      <c r="SUQ56" s="53"/>
      <c r="SUR56" s="53"/>
      <c r="SUS56" s="53"/>
      <c r="SUT56" s="53"/>
      <c r="SUU56" s="53"/>
      <c r="SUV56" s="53"/>
      <c r="SUW56" s="53"/>
      <c r="SUX56" s="53"/>
      <c r="SUY56" s="53"/>
      <c r="SUZ56" s="53"/>
      <c r="SVA56" s="53"/>
      <c r="SVB56" s="53"/>
      <c r="SVC56" s="53"/>
      <c r="SVD56" s="53"/>
      <c r="SVE56" s="53"/>
      <c r="SVF56" s="53"/>
      <c r="SVG56" s="53"/>
      <c r="SVH56" s="53"/>
      <c r="SVI56" s="53"/>
      <c r="SVJ56" s="53"/>
      <c r="SVK56" s="53"/>
      <c r="SVL56" s="53"/>
      <c r="SVM56" s="53"/>
      <c r="SVN56" s="53"/>
      <c r="SVO56" s="53"/>
      <c r="SVP56" s="53"/>
      <c r="SVQ56" s="53"/>
      <c r="SVR56" s="53"/>
      <c r="SVS56" s="53"/>
      <c r="SVT56" s="53"/>
      <c r="SVU56" s="53"/>
      <c r="SVV56" s="53"/>
      <c r="SVW56" s="53"/>
      <c r="SVX56" s="53"/>
      <c r="SVY56" s="53"/>
      <c r="SVZ56" s="53"/>
      <c r="SWA56" s="53"/>
      <c r="SWB56" s="53"/>
      <c r="SWC56" s="53"/>
      <c r="SWD56" s="53"/>
      <c r="SWE56" s="53"/>
      <c r="SWF56" s="53"/>
      <c r="SWG56" s="53"/>
      <c r="SWH56" s="53"/>
      <c r="SWI56" s="53"/>
      <c r="SWJ56" s="53"/>
      <c r="SWK56" s="53"/>
      <c r="SWL56" s="53"/>
      <c r="SWM56" s="53"/>
      <c r="SWN56" s="53"/>
      <c r="SWO56" s="53"/>
      <c r="SWP56" s="53"/>
      <c r="SWQ56" s="53"/>
      <c r="SWR56" s="53"/>
      <c r="SWS56" s="53"/>
      <c r="SWT56" s="53"/>
      <c r="SWU56" s="53"/>
      <c r="SWV56" s="53"/>
      <c r="SWW56" s="53"/>
      <c r="SWX56" s="53"/>
      <c r="SWY56" s="53"/>
      <c r="SWZ56" s="53"/>
      <c r="SXA56" s="53"/>
      <c r="SXB56" s="53"/>
      <c r="SXC56" s="53"/>
      <c r="SXD56" s="53"/>
      <c r="SXE56" s="53"/>
      <c r="SXF56" s="53"/>
      <c r="SXG56" s="53"/>
      <c r="SXH56" s="53"/>
      <c r="SXI56" s="53"/>
      <c r="SXJ56" s="53"/>
      <c r="SXK56" s="53"/>
      <c r="SXL56" s="53"/>
      <c r="SXM56" s="53"/>
      <c r="SXN56" s="53"/>
      <c r="SXO56" s="53"/>
      <c r="SXP56" s="53"/>
      <c r="SXQ56" s="53"/>
      <c r="SXR56" s="53"/>
      <c r="SXS56" s="53"/>
      <c r="SXT56" s="53"/>
      <c r="SXU56" s="53"/>
      <c r="SXV56" s="53"/>
      <c r="SXW56" s="53"/>
      <c r="SXX56" s="53"/>
      <c r="SXY56" s="53"/>
      <c r="SXZ56" s="53"/>
      <c r="SYA56" s="53"/>
      <c r="SYB56" s="53"/>
      <c r="SYC56" s="53"/>
      <c r="SYD56" s="53"/>
      <c r="SYE56" s="53"/>
      <c r="SYF56" s="53"/>
      <c r="SYG56" s="53"/>
      <c r="SYH56" s="53"/>
      <c r="SYI56" s="53"/>
      <c r="SYJ56" s="53"/>
      <c r="SYK56" s="53"/>
      <c r="SYL56" s="53"/>
      <c r="SYM56" s="53"/>
      <c r="SYN56" s="53"/>
      <c r="SYO56" s="53"/>
      <c r="SYP56" s="53"/>
      <c r="SYQ56" s="53"/>
      <c r="SYR56" s="53"/>
      <c r="SYS56" s="53"/>
      <c r="SYT56" s="53"/>
      <c r="SYU56" s="53"/>
      <c r="SYV56" s="53"/>
      <c r="SYW56" s="53"/>
      <c r="SYX56" s="53"/>
      <c r="SYY56" s="53"/>
      <c r="SYZ56" s="53"/>
      <c r="SZA56" s="53"/>
      <c r="SZB56" s="53"/>
      <c r="SZC56" s="53"/>
      <c r="SZD56" s="53"/>
      <c r="SZE56" s="53"/>
      <c r="SZF56" s="53"/>
      <c r="SZG56" s="53"/>
      <c r="SZH56" s="53"/>
      <c r="SZI56" s="53"/>
      <c r="SZJ56" s="53"/>
      <c r="SZK56" s="53"/>
      <c r="SZL56" s="53"/>
      <c r="SZM56" s="53"/>
      <c r="SZN56" s="53"/>
      <c r="SZO56" s="53"/>
      <c r="SZP56" s="53"/>
      <c r="SZQ56" s="53"/>
      <c r="SZR56" s="53"/>
      <c r="SZS56" s="53"/>
      <c r="SZT56" s="53"/>
      <c r="SZU56" s="53"/>
      <c r="SZV56" s="53"/>
      <c r="SZW56" s="53"/>
      <c r="SZX56" s="53"/>
      <c r="SZY56" s="53"/>
      <c r="SZZ56" s="53"/>
      <c r="TAA56" s="53"/>
      <c r="TAB56" s="53"/>
      <c r="TAC56" s="53"/>
      <c r="TAD56" s="53"/>
      <c r="TAE56" s="53"/>
      <c r="TAF56" s="53"/>
      <c r="TAG56" s="53"/>
      <c r="TAH56" s="53"/>
      <c r="TAI56" s="53"/>
      <c r="TAJ56" s="53"/>
      <c r="TAK56" s="53"/>
      <c r="TAL56" s="53"/>
      <c r="TAM56" s="53"/>
      <c r="TAN56" s="53"/>
      <c r="TAO56" s="53"/>
      <c r="TAP56" s="53"/>
      <c r="TAQ56" s="53"/>
      <c r="TAR56" s="53"/>
      <c r="TAS56" s="53"/>
      <c r="TAT56" s="53"/>
      <c r="TAU56" s="53"/>
      <c r="TAV56" s="53"/>
      <c r="TAW56" s="53"/>
      <c r="TAX56" s="53"/>
      <c r="TAY56" s="53"/>
      <c r="TAZ56" s="53"/>
      <c r="TBA56" s="53"/>
      <c r="TBB56" s="53"/>
      <c r="TBC56" s="53"/>
      <c r="TBD56" s="53"/>
      <c r="TBE56" s="53"/>
      <c r="TBF56" s="53"/>
      <c r="TBG56" s="53"/>
      <c r="TBH56" s="53"/>
      <c r="TBI56" s="53"/>
      <c r="TBJ56" s="53"/>
      <c r="TBK56" s="53"/>
      <c r="TBL56" s="53"/>
      <c r="TBM56" s="53"/>
      <c r="TBN56" s="53"/>
      <c r="TBO56" s="53"/>
      <c r="TBP56" s="53"/>
      <c r="TBQ56" s="53"/>
      <c r="TBR56" s="53"/>
      <c r="TBS56" s="53"/>
      <c r="TBT56" s="53"/>
      <c r="TBU56" s="53"/>
      <c r="TBV56" s="53"/>
      <c r="TBW56" s="53"/>
      <c r="TBX56" s="53"/>
      <c r="TBY56" s="53"/>
      <c r="TBZ56" s="53"/>
      <c r="TCA56" s="53"/>
      <c r="TCB56" s="53"/>
      <c r="TCC56" s="53"/>
      <c r="TCD56" s="53"/>
      <c r="TCE56" s="53"/>
      <c r="TCF56" s="53"/>
      <c r="TCG56" s="53"/>
      <c r="TCH56" s="53"/>
      <c r="TCI56" s="53"/>
      <c r="TCJ56" s="53"/>
      <c r="TCK56" s="53"/>
      <c r="TCL56" s="53"/>
      <c r="TCM56" s="53"/>
      <c r="TCN56" s="53"/>
      <c r="TCO56" s="53"/>
      <c r="TCP56" s="53"/>
      <c r="TCQ56" s="53"/>
      <c r="TCR56" s="53"/>
      <c r="TCS56" s="53"/>
      <c r="TCT56" s="53"/>
      <c r="TCU56" s="53"/>
      <c r="TCV56" s="53"/>
      <c r="TCW56" s="53"/>
      <c r="TCX56" s="53"/>
      <c r="TCY56" s="53"/>
      <c r="TCZ56" s="53"/>
      <c r="TDA56" s="53"/>
      <c r="TDB56" s="53"/>
      <c r="TDC56" s="53"/>
      <c r="TDD56" s="53"/>
      <c r="TDE56" s="53"/>
      <c r="TDF56" s="53"/>
      <c r="TDG56" s="53"/>
      <c r="TDH56" s="53"/>
      <c r="TDI56" s="53"/>
      <c r="TDJ56" s="53"/>
      <c r="TDK56" s="53"/>
      <c r="TDL56" s="53"/>
      <c r="TDM56" s="53"/>
      <c r="TDN56" s="53"/>
      <c r="TDO56" s="53"/>
      <c r="TDP56" s="53"/>
      <c r="TDQ56" s="53"/>
      <c r="TDR56" s="53"/>
      <c r="TDS56" s="53"/>
      <c r="TDT56" s="53"/>
      <c r="TDU56" s="53"/>
      <c r="TDV56" s="53"/>
      <c r="TDW56" s="53"/>
      <c r="TDX56" s="53"/>
      <c r="TDY56" s="53"/>
      <c r="TDZ56" s="53"/>
      <c r="TEA56" s="53"/>
      <c r="TEB56" s="53"/>
      <c r="TEC56" s="53"/>
      <c r="TED56" s="53"/>
      <c r="TEE56" s="53"/>
      <c r="TEF56" s="53"/>
      <c r="TEG56" s="53"/>
      <c r="TEH56" s="53"/>
      <c r="TEI56" s="53"/>
      <c r="TEJ56" s="53"/>
      <c r="TEK56" s="53"/>
      <c r="TEL56" s="53"/>
      <c r="TEM56" s="53"/>
      <c r="TEN56" s="53"/>
      <c r="TEO56" s="53"/>
      <c r="TEP56" s="53"/>
      <c r="TEQ56" s="53"/>
      <c r="TER56" s="53"/>
      <c r="TES56" s="53"/>
      <c r="TET56" s="53"/>
      <c r="TEU56" s="53"/>
      <c r="TEV56" s="53"/>
      <c r="TEW56" s="53"/>
      <c r="TEX56" s="53"/>
      <c r="TEY56" s="53"/>
      <c r="TEZ56" s="53"/>
      <c r="TFA56" s="53"/>
      <c r="TFB56" s="53"/>
      <c r="TFC56" s="53"/>
      <c r="TFD56" s="53"/>
      <c r="TFE56" s="53"/>
      <c r="TFF56" s="53"/>
      <c r="TFG56" s="53"/>
      <c r="TFH56" s="53"/>
      <c r="TFI56" s="53"/>
      <c r="TFJ56" s="53"/>
      <c r="TFK56" s="53"/>
      <c r="TFL56" s="53"/>
      <c r="TFM56" s="53"/>
      <c r="TFN56" s="53"/>
      <c r="TFO56" s="53"/>
      <c r="TFP56" s="53"/>
      <c r="TFQ56" s="53"/>
      <c r="TFR56" s="53"/>
      <c r="TFS56" s="53"/>
      <c r="TFT56" s="53"/>
      <c r="TFU56" s="53"/>
      <c r="TFV56" s="53"/>
      <c r="TFW56" s="53"/>
      <c r="TFX56" s="53"/>
      <c r="TFY56" s="53"/>
      <c r="TFZ56" s="53"/>
      <c r="TGA56" s="53"/>
      <c r="TGB56" s="53"/>
      <c r="TGC56" s="53"/>
      <c r="TGD56" s="53"/>
      <c r="TGE56" s="53"/>
      <c r="TGF56" s="53"/>
      <c r="TGG56" s="53"/>
      <c r="TGH56" s="53"/>
      <c r="TGI56" s="53"/>
      <c r="TGJ56" s="53"/>
      <c r="TGK56" s="53"/>
      <c r="TGL56" s="53"/>
      <c r="TGM56" s="53"/>
      <c r="TGN56" s="53"/>
      <c r="TGO56" s="53"/>
      <c r="TGP56" s="53"/>
      <c r="TGQ56" s="53"/>
      <c r="TGR56" s="53"/>
      <c r="TGS56" s="53"/>
      <c r="TGT56" s="53"/>
      <c r="TGU56" s="53"/>
      <c r="TGV56" s="53"/>
      <c r="TGW56" s="53"/>
      <c r="TGX56" s="53"/>
      <c r="TGY56" s="53"/>
      <c r="TGZ56" s="53"/>
      <c r="THA56" s="53"/>
      <c r="THB56" s="53"/>
      <c r="THC56" s="53"/>
      <c r="THD56" s="53"/>
      <c r="THE56" s="53"/>
      <c r="THF56" s="53"/>
      <c r="THG56" s="53"/>
      <c r="THH56" s="53"/>
      <c r="THI56" s="53"/>
      <c r="THJ56" s="53"/>
      <c r="THK56" s="53"/>
      <c r="THL56" s="53"/>
      <c r="THM56" s="53"/>
      <c r="THN56" s="53"/>
      <c r="THO56" s="53"/>
      <c r="THP56" s="53"/>
      <c r="THQ56" s="53"/>
      <c r="THR56" s="53"/>
      <c r="THS56" s="53"/>
      <c r="THT56" s="53"/>
      <c r="THU56" s="53"/>
      <c r="THV56" s="53"/>
      <c r="THW56" s="53"/>
      <c r="THX56" s="53"/>
      <c r="THY56" s="53"/>
      <c r="THZ56" s="53"/>
      <c r="TIA56" s="53"/>
      <c r="TIB56" s="53"/>
      <c r="TIC56" s="53"/>
      <c r="TID56" s="53"/>
      <c r="TIE56" s="53"/>
      <c r="TIF56" s="53"/>
      <c r="TIG56" s="53"/>
      <c r="TIH56" s="53"/>
      <c r="TII56" s="53"/>
      <c r="TIJ56" s="53"/>
      <c r="TIK56" s="53"/>
      <c r="TIL56" s="53"/>
      <c r="TIM56" s="53"/>
      <c r="TIN56" s="53"/>
      <c r="TIO56" s="53"/>
      <c r="TIP56" s="53"/>
      <c r="TIQ56" s="53"/>
      <c r="TIR56" s="53"/>
      <c r="TIS56" s="53"/>
      <c r="TIT56" s="53"/>
      <c r="TIU56" s="53"/>
      <c r="TIV56" s="53"/>
      <c r="TIW56" s="53"/>
      <c r="TIX56" s="53"/>
      <c r="TIY56" s="53"/>
      <c r="TIZ56" s="53"/>
      <c r="TJA56" s="53"/>
      <c r="TJB56" s="53"/>
      <c r="TJC56" s="53"/>
      <c r="TJD56" s="53"/>
      <c r="TJE56" s="53"/>
      <c r="TJF56" s="53"/>
      <c r="TJG56" s="53"/>
      <c r="TJH56" s="53"/>
      <c r="TJI56" s="53"/>
      <c r="TJJ56" s="53"/>
      <c r="TJK56" s="53"/>
      <c r="TJL56" s="53"/>
      <c r="TJM56" s="53"/>
      <c r="TJN56" s="53"/>
      <c r="TJO56" s="53"/>
      <c r="TJP56" s="53"/>
      <c r="TJQ56" s="53"/>
      <c r="TJR56" s="53"/>
      <c r="TJS56" s="53"/>
      <c r="TJT56" s="53"/>
      <c r="TJU56" s="53"/>
      <c r="TJV56" s="53"/>
      <c r="TJW56" s="53"/>
      <c r="TJX56" s="53"/>
      <c r="TJY56" s="53"/>
      <c r="TJZ56" s="53"/>
      <c r="TKA56" s="53"/>
      <c r="TKB56" s="53"/>
      <c r="TKC56" s="53"/>
      <c r="TKD56" s="53"/>
      <c r="TKE56" s="53"/>
      <c r="TKF56" s="53"/>
      <c r="TKG56" s="53"/>
      <c r="TKH56" s="53"/>
      <c r="TKI56" s="53"/>
      <c r="TKJ56" s="53"/>
      <c r="TKK56" s="53"/>
      <c r="TKL56" s="53"/>
      <c r="TKM56" s="53"/>
      <c r="TKN56" s="53"/>
      <c r="TKO56" s="53"/>
      <c r="TKP56" s="53"/>
      <c r="TKQ56" s="53"/>
      <c r="TKR56" s="53"/>
      <c r="TKS56" s="53"/>
      <c r="TKT56" s="53"/>
      <c r="TKU56" s="53"/>
      <c r="TKV56" s="53"/>
      <c r="TKW56" s="53"/>
      <c r="TKX56" s="53"/>
      <c r="TKY56" s="53"/>
      <c r="TKZ56" s="53"/>
      <c r="TLA56" s="53"/>
      <c r="TLB56" s="53"/>
      <c r="TLC56" s="53"/>
      <c r="TLD56" s="53"/>
      <c r="TLE56" s="53"/>
      <c r="TLF56" s="53"/>
      <c r="TLG56" s="53"/>
      <c r="TLH56" s="53"/>
      <c r="TLI56" s="53"/>
      <c r="TLJ56" s="53"/>
      <c r="TLK56" s="53"/>
      <c r="TLL56" s="53"/>
      <c r="TLM56" s="53"/>
      <c r="TLN56" s="53"/>
      <c r="TLO56" s="53"/>
      <c r="TLP56" s="53"/>
      <c r="TLQ56" s="53"/>
      <c r="TLR56" s="53"/>
      <c r="TLS56" s="53"/>
      <c r="TLT56" s="53"/>
      <c r="TLU56" s="53"/>
      <c r="TLV56" s="53"/>
      <c r="TLW56" s="53"/>
      <c r="TLX56" s="53"/>
      <c r="TLY56" s="53"/>
      <c r="TLZ56" s="53"/>
      <c r="TMA56" s="53"/>
      <c r="TMB56" s="53"/>
      <c r="TMC56" s="53"/>
      <c r="TMD56" s="53"/>
      <c r="TME56" s="53"/>
      <c r="TMF56" s="53"/>
      <c r="TMG56" s="53"/>
      <c r="TMH56" s="53"/>
      <c r="TMI56" s="53"/>
      <c r="TMJ56" s="53"/>
      <c r="TMK56" s="53"/>
      <c r="TML56" s="53"/>
      <c r="TMM56" s="53"/>
      <c r="TMN56" s="53"/>
      <c r="TMO56" s="53"/>
      <c r="TMP56" s="53"/>
      <c r="TMQ56" s="53"/>
      <c r="TMR56" s="53"/>
      <c r="TMS56" s="53"/>
      <c r="TMT56" s="53"/>
      <c r="TMU56" s="53"/>
      <c r="TMV56" s="53"/>
      <c r="TMW56" s="53"/>
      <c r="TMX56" s="53"/>
      <c r="TMY56" s="53"/>
      <c r="TMZ56" s="53"/>
      <c r="TNA56" s="53"/>
      <c r="TNB56" s="53"/>
      <c r="TNC56" s="53"/>
      <c r="TND56" s="53"/>
      <c r="TNE56" s="53"/>
      <c r="TNF56" s="53"/>
      <c r="TNG56" s="53"/>
      <c r="TNH56" s="53"/>
      <c r="TNI56" s="53"/>
      <c r="TNJ56" s="53"/>
      <c r="TNK56" s="53"/>
      <c r="TNL56" s="53"/>
      <c r="TNM56" s="53"/>
      <c r="TNN56" s="53"/>
      <c r="TNO56" s="53"/>
      <c r="TNP56" s="53"/>
      <c r="TNQ56" s="53"/>
      <c r="TNR56" s="53"/>
      <c r="TNS56" s="53"/>
      <c r="TNT56" s="53"/>
      <c r="TNU56" s="53"/>
      <c r="TNV56" s="53"/>
      <c r="TNW56" s="53"/>
      <c r="TNX56" s="53"/>
      <c r="TNY56" s="53"/>
      <c r="TNZ56" s="53"/>
      <c r="TOA56" s="53"/>
      <c r="TOB56" s="53"/>
      <c r="TOC56" s="53"/>
      <c r="TOD56" s="53"/>
      <c r="TOE56" s="53"/>
      <c r="TOF56" s="53"/>
      <c r="TOG56" s="53"/>
      <c r="TOH56" s="53"/>
      <c r="TOI56" s="53"/>
      <c r="TOJ56" s="53"/>
      <c r="TOK56" s="53"/>
      <c r="TOL56" s="53"/>
      <c r="TOM56" s="53"/>
      <c r="TON56" s="53"/>
      <c r="TOO56" s="53"/>
      <c r="TOP56" s="53"/>
      <c r="TOQ56" s="53"/>
      <c r="TOR56" s="53"/>
      <c r="TOS56" s="53"/>
      <c r="TOT56" s="53"/>
      <c r="TOU56" s="53"/>
      <c r="TOV56" s="53"/>
      <c r="TOW56" s="53"/>
      <c r="TOX56" s="53"/>
      <c r="TOY56" s="53"/>
      <c r="TOZ56" s="53"/>
      <c r="TPA56" s="53"/>
      <c r="TPB56" s="53"/>
      <c r="TPC56" s="53"/>
      <c r="TPD56" s="53"/>
      <c r="TPE56" s="53"/>
      <c r="TPF56" s="53"/>
      <c r="TPG56" s="53"/>
      <c r="TPH56" s="53"/>
      <c r="TPI56" s="53"/>
      <c r="TPJ56" s="53"/>
      <c r="TPK56" s="53"/>
      <c r="TPL56" s="53"/>
      <c r="TPM56" s="53"/>
      <c r="TPN56" s="53"/>
      <c r="TPO56" s="53"/>
      <c r="TPP56" s="53"/>
      <c r="TPQ56" s="53"/>
      <c r="TPR56" s="53"/>
      <c r="TPS56" s="53"/>
      <c r="TPT56" s="53"/>
      <c r="TPU56" s="53"/>
      <c r="TPV56" s="53"/>
      <c r="TPW56" s="53"/>
      <c r="TPX56" s="53"/>
      <c r="TPY56" s="53"/>
      <c r="TPZ56" s="53"/>
      <c r="TQA56" s="53"/>
      <c r="TQB56" s="53"/>
      <c r="TQC56" s="53"/>
      <c r="TQD56" s="53"/>
      <c r="TQE56" s="53"/>
      <c r="TQF56" s="53"/>
      <c r="TQG56" s="53"/>
      <c r="TQH56" s="53"/>
      <c r="TQI56" s="53"/>
      <c r="TQJ56" s="53"/>
      <c r="TQK56" s="53"/>
      <c r="TQL56" s="53"/>
      <c r="TQM56" s="53"/>
      <c r="TQN56" s="53"/>
      <c r="TQO56" s="53"/>
      <c r="TQP56" s="53"/>
      <c r="TQQ56" s="53"/>
      <c r="TQR56" s="53"/>
      <c r="TQS56" s="53"/>
      <c r="TQT56" s="53"/>
      <c r="TQU56" s="53"/>
      <c r="TQV56" s="53"/>
      <c r="TQW56" s="53"/>
      <c r="TQX56" s="53"/>
      <c r="TQY56" s="53"/>
      <c r="TQZ56" s="53"/>
      <c r="TRA56" s="53"/>
      <c r="TRB56" s="53"/>
      <c r="TRC56" s="53"/>
      <c r="TRD56" s="53"/>
      <c r="TRE56" s="53"/>
      <c r="TRF56" s="53"/>
      <c r="TRG56" s="53"/>
      <c r="TRH56" s="53"/>
      <c r="TRI56" s="53"/>
      <c r="TRJ56" s="53"/>
      <c r="TRK56" s="53"/>
      <c r="TRL56" s="53"/>
      <c r="TRM56" s="53"/>
      <c r="TRN56" s="53"/>
      <c r="TRO56" s="53"/>
      <c r="TRP56" s="53"/>
      <c r="TRQ56" s="53"/>
      <c r="TRR56" s="53"/>
      <c r="TRS56" s="53"/>
      <c r="TRT56" s="53"/>
      <c r="TRU56" s="53"/>
      <c r="TRV56" s="53"/>
      <c r="TRW56" s="53"/>
      <c r="TRX56" s="53"/>
      <c r="TRY56" s="53"/>
      <c r="TRZ56" s="53"/>
      <c r="TSA56" s="53"/>
      <c r="TSB56" s="53"/>
      <c r="TSC56" s="53"/>
      <c r="TSD56" s="53"/>
      <c r="TSE56" s="53"/>
      <c r="TSF56" s="53"/>
      <c r="TSG56" s="53"/>
      <c r="TSH56" s="53"/>
      <c r="TSI56" s="53"/>
      <c r="TSJ56" s="53"/>
      <c r="TSK56" s="53"/>
      <c r="TSL56" s="53"/>
      <c r="TSM56" s="53"/>
      <c r="TSN56" s="53"/>
      <c r="TSO56" s="53"/>
      <c r="TSP56" s="53"/>
      <c r="TSQ56" s="53"/>
      <c r="TSR56" s="53"/>
      <c r="TSS56" s="53"/>
      <c r="TST56" s="53"/>
      <c r="TSU56" s="53"/>
      <c r="TSV56" s="53"/>
      <c r="TSW56" s="53"/>
      <c r="TSX56" s="53"/>
      <c r="TSY56" s="53"/>
      <c r="TSZ56" s="53"/>
      <c r="TTA56" s="53"/>
      <c r="TTB56" s="53"/>
      <c r="TTC56" s="53"/>
      <c r="TTD56" s="53"/>
      <c r="TTE56" s="53"/>
      <c r="TTF56" s="53"/>
      <c r="TTG56" s="53"/>
      <c r="TTH56" s="53"/>
      <c r="TTI56" s="53"/>
      <c r="TTJ56" s="53"/>
      <c r="TTK56" s="53"/>
      <c r="TTL56" s="53"/>
      <c r="TTM56" s="53"/>
      <c r="TTN56" s="53"/>
      <c r="TTO56" s="53"/>
      <c r="TTP56" s="53"/>
      <c r="TTQ56" s="53"/>
      <c r="TTR56" s="53"/>
      <c r="TTS56" s="53"/>
      <c r="TTT56" s="53"/>
      <c r="TTU56" s="53"/>
      <c r="TTV56" s="53"/>
      <c r="TTW56" s="53"/>
      <c r="TTX56" s="53"/>
      <c r="TTY56" s="53"/>
      <c r="TTZ56" s="53"/>
      <c r="TUA56" s="53"/>
      <c r="TUB56" s="53"/>
      <c r="TUC56" s="53"/>
      <c r="TUD56" s="53"/>
      <c r="TUE56" s="53"/>
      <c r="TUF56" s="53"/>
      <c r="TUG56" s="53"/>
      <c r="TUH56" s="53"/>
      <c r="TUI56" s="53"/>
      <c r="TUJ56" s="53"/>
      <c r="TUK56" s="53"/>
      <c r="TUL56" s="53"/>
      <c r="TUM56" s="53"/>
      <c r="TUN56" s="53"/>
      <c r="TUO56" s="53"/>
      <c r="TUP56" s="53"/>
      <c r="TUQ56" s="53"/>
      <c r="TUR56" s="53"/>
      <c r="TUS56" s="53"/>
      <c r="TUT56" s="53"/>
      <c r="TUU56" s="53"/>
      <c r="TUV56" s="53"/>
      <c r="TUW56" s="53"/>
      <c r="TUX56" s="53"/>
      <c r="TUY56" s="53"/>
      <c r="TUZ56" s="53"/>
      <c r="TVA56" s="53"/>
      <c r="TVB56" s="53"/>
      <c r="TVC56" s="53"/>
      <c r="TVD56" s="53"/>
      <c r="TVE56" s="53"/>
      <c r="TVF56" s="53"/>
      <c r="TVG56" s="53"/>
      <c r="TVH56" s="53"/>
      <c r="TVI56" s="53"/>
      <c r="TVJ56" s="53"/>
      <c r="TVK56" s="53"/>
      <c r="TVL56" s="53"/>
      <c r="TVM56" s="53"/>
      <c r="TVN56" s="53"/>
      <c r="TVO56" s="53"/>
      <c r="TVP56" s="53"/>
      <c r="TVQ56" s="53"/>
      <c r="TVR56" s="53"/>
      <c r="TVS56" s="53"/>
      <c r="TVT56" s="53"/>
      <c r="TVU56" s="53"/>
      <c r="TVV56" s="53"/>
      <c r="TVW56" s="53"/>
      <c r="TVX56" s="53"/>
      <c r="TVY56" s="53"/>
      <c r="TVZ56" s="53"/>
      <c r="TWA56" s="53"/>
      <c r="TWB56" s="53"/>
      <c r="TWC56" s="53"/>
      <c r="TWD56" s="53"/>
      <c r="TWE56" s="53"/>
      <c r="TWF56" s="53"/>
      <c r="TWG56" s="53"/>
      <c r="TWH56" s="53"/>
      <c r="TWI56" s="53"/>
      <c r="TWJ56" s="53"/>
      <c r="TWK56" s="53"/>
      <c r="TWL56" s="53"/>
      <c r="TWM56" s="53"/>
      <c r="TWN56" s="53"/>
      <c r="TWO56" s="53"/>
      <c r="TWP56" s="53"/>
      <c r="TWQ56" s="53"/>
      <c r="TWR56" s="53"/>
      <c r="TWS56" s="53"/>
      <c r="TWT56" s="53"/>
      <c r="TWU56" s="53"/>
      <c r="TWV56" s="53"/>
      <c r="TWW56" s="53"/>
      <c r="TWX56" s="53"/>
      <c r="TWY56" s="53"/>
      <c r="TWZ56" s="53"/>
      <c r="TXA56" s="53"/>
      <c r="TXB56" s="53"/>
      <c r="TXC56" s="53"/>
      <c r="TXD56" s="53"/>
      <c r="TXE56" s="53"/>
      <c r="TXF56" s="53"/>
      <c r="TXG56" s="53"/>
      <c r="TXH56" s="53"/>
      <c r="TXI56" s="53"/>
      <c r="TXJ56" s="53"/>
      <c r="TXK56" s="53"/>
      <c r="TXL56" s="53"/>
      <c r="TXM56" s="53"/>
      <c r="TXN56" s="53"/>
      <c r="TXO56" s="53"/>
      <c r="TXP56" s="53"/>
      <c r="TXQ56" s="53"/>
      <c r="TXR56" s="53"/>
      <c r="TXS56" s="53"/>
      <c r="TXT56" s="53"/>
      <c r="TXU56" s="53"/>
      <c r="TXV56" s="53"/>
      <c r="TXW56" s="53"/>
      <c r="TXX56" s="53"/>
      <c r="TXY56" s="53"/>
      <c r="TXZ56" s="53"/>
      <c r="TYA56" s="53"/>
      <c r="TYB56" s="53"/>
      <c r="TYC56" s="53"/>
      <c r="TYD56" s="53"/>
      <c r="TYE56" s="53"/>
      <c r="TYF56" s="53"/>
      <c r="TYG56" s="53"/>
      <c r="TYH56" s="53"/>
      <c r="TYI56" s="53"/>
      <c r="TYJ56" s="53"/>
      <c r="TYK56" s="53"/>
      <c r="TYL56" s="53"/>
      <c r="TYM56" s="53"/>
      <c r="TYN56" s="53"/>
      <c r="TYO56" s="53"/>
      <c r="TYP56" s="53"/>
      <c r="TYQ56" s="53"/>
      <c r="TYR56" s="53"/>
      <c r="TYS56" s="53"/>
      <c r="TYT56" s="53"/>
      <c r="TYU56" s="53"/>
      <c r="TYV56" s="53"/>
      <c r="TYW56" s="53"/>
      <c r="TYX56" s="53"/>
      <c r="TYY56" s="53"/>
      <c r="TYZ56" s="53"/>
      <c r="TZA56" s="53"/>
      <c r="TZB56" s="53"/>
      <c r="TZC56" s="53"/>
      <c r="TZD56" s="53"/>
      <c r="TZE56" s="53"/>
      <c r="TZF56" s="53"/>
      <c r="TZG56" s="53"/>
      <c r="TZH56" s="53"/>
      <c r="TZI56" s="53"/>
      <c r="TZJ56" s="53"/>
      <c r="TZK56" s="53"/>
      <c r="TZL56" s="53"/>
      <c r="TZM56" s="53"/>
      <c r="TZN56" s="53"/>
      <c r="TZO56" s="53"/>
      <c r="TZP56" s="53"/>
      <c r="TZQ56" s="53"/>
      <c r="TZR56" s="53"/>
      <c r="TZS56" s="53"/>
      <c r="TZT56" s="53"/>
      <c r="TZU56" s="53"/>
      <c r="TZV56" s="53"/>
      <c r="TZW56" s="53"/>
      <c r="TZX56" s="53"/>
      <c r="TZY56" s="53"/>
      <c r="TZZ56" s="53"/>
      <c r="UAA56" s="53"/>
      <c r="UAB56" s="53"/>
      <c r="UAC56" s="53"/>
      <c r="UAD56" s="53"/>
      <c r="UAE56" s="53"/>
      <c r="UAF56" s="53"/>
      <c r="UAG56" s="53"/>
      <c r="UAH56" s="53"/>
      <c r="UAI56" s="53"/>
      <c r="UAJ56" s="53"/>
      <c r="UAK56" s="53"/>
      <c r="UAL56" s="53"/>
      <c r="UAM56" s="53"/>
      <c r="UAN56" s="53"/>
      <c r="UAO56" s="53"/>
      <c r="UAP56" s="53"/>
      <c r="UAQ56" s="53"/>
      <c r="UAR56" s="53"/>
      <c r="UAS56" s="53"/>
      <c r="UAT56" s="53"/>
      <c r="UAU56" s="53"/>
      <c r="UAV56" s="53"/>
      <c r="UAW56" s="53"/>
      <c r="UAX56" s="53"/>
      <c r="UAY56" s="53"/>
      <c r="UAZ56" s="53"/>
      <c r="UBA56" s="53"/>
      <c r="UBB56" s="53"/>
      <c r="UBC56" s="53"/>
      <c r="UBD56" s="53"/>
      <c r="UBE56" s="53"/>
      <c r="UBF56" s="53"/>
      <c r="UBG56" s="53"/>
      <c r="UBH56" s="53"/>
      <c r="UBI56" s="53"/>
      <c r="UBJ56" s="53"/>
      <c r="UBK56" s="53"/>
      <c r="UBL56" s="53"/>
      <c r="UBM56" s="53"/>
      <c r="UBN56" s="53"/>
      <c r="UBO56" s="53"/>
      <c r="UBP56" s="53"/>
      <c r="UBQ56" s="53"/>
      <c r="UBR56" s="53"/>
      <c r="UBS56" s="53"/>
      <c r="UBT56" s="53"/>
      <c r="UBU56" s="53"/>
      <c r="UBV56" s="53"/>
      <c r="UBW56" s="53"/>
      <c r="UBX56" s="53"/>
      <c r="UBY56" s="53"/>
      <c r="UBZ56" s="53"/>
      <c r="UCA56" s="53"/>
      <c r="UCB56" s="53"/>
      <c r="UCC56" s="53"/>
      <c r="UCD56" s="53"/>
      <c r="UCE56" s="53"/>
      <c r="UCF56" s="53"/>
      <c r="UCG56" s="53"/>
      <c r="UCH56" s="53"/>
      <c r="UCI56" s="53"/>
      <c r="UCJ56" s="53"/>
      <c r="UCK56" s="53"/>
      <c r="UCL56" s="53"/>
      <c r="UCM56" s="53"/>
      <c r="UCN56" s="53"/>
      <c r="UCO56" s="53"/>
      <c r="UCP56" s="53"/>
      <c r="UCQ56" s="53"/>
      <c r="UCR56" s="53"/>
      <c r="UCS56" s="53"/>
      <c r="UCT56" s="53"/>
      <c r="UCU56" s="53"/>
      <c r="UCV56" s="53"/>
      <c r="UCW56" s="53"/>
      <c r="UCX56" s="53"/>
      <c r="UCY56" s="53"/>
      <c r="UCZ56" s="53"/>
      <c r="UDA56" s="53"/>
      <c r="UDB56" s="53"/>
      <c r="UDC56" s="53"/>
      <c r="UDD56" s="53"/>
      <c r="UDE56" s="53"/>
      <c r="UDF56" s="53"/>
      <c r="UDG56" s="53"/>
      <c r="UDH56" s="53"/>
      <c r="UDI56" s="53"/>
      <c r="UDJ56" s="53"/>
      <c r="UDK56" s="53"/>
      <c r="UDL56" s="53"/>
      <c r="UDM56" s="53"/>
      <c r="UDN56" s="53"/>
      <c r="UDO56" s="53"/>
      <c r="UDP56" s="53"/>
      <c r="UDQ56" s="53"/>
      <c r="UDR56" s="53"/>
      <c r="UDS56" s="53"/>
      <c r="UDT56" s="53"/>
      <c r="UDU56" s="53"/>
      <c r="UDV56" s="53"/>
      <c r="UDW56" s="53"/>
      <c r="UDX56" s="53"/>
      <c r="UDY56" s="53"/>
      <c r="UDZ56" s="53"/>
      <c r="UEA56" s="53"/>
      <c r="UEB56" s="53"/>
      <c r="UEC56" s="53"/>
      <c r="UED56" s="53"/>
      <c r="UEE56" s="53"/>
      <c r="UEF56" s="53"/>
      <c r="UEG56" s="53"/>
      <c r="UEH56" s="53"/>
      <c r="UEI56" s="53"/>
      <c r="UEJ56" s="53"/>
      <c r="UEK56" s="53"/>
      <c r="UEL56" s="53"/>
      <c r="UEM56" s="53"/>
      <c r="UEN56" s="53"/>
      <c r="UEO56" s="53"/>
      <c r="UEP56" s="53"/>
      <c r="UEQ56" s="53"/>
      <c r="UER56" s="53"/>
      <c r="UES56" s="53"/>
      <c r="UET56" s="53"/>
      <c r="UEU56" s="53"/>
      <c r="UEV56" s="53"/>
      <c r="UEW56" s="53"/>
      <c r="UEX56" s="53"/>
      <c r="UEY56" s="53"/>
      <c r="UEZ56" s="53"/>
      <c r="UFA56" s="53"/>
      <c r="UFB56" s="53"/>
      <c r="UFC56" s="53"/>
      <c r="UFD56" s="53"/>
      <c r="UFE56" s="53"/>
      <c r="UFF56" s="53"/>
      <c r="UFG56" s="53"/>
      <c r="UFH56" s="53"/>
      <c r="UFI56" s="53"/>
      <c r="UFJ56" s="53"/>
      <c r="UFK56" s="53"/>
      <c r="UFL56" s="53"/>
      <c r="UFM56" s="53"/>
      <c r="UFN56" s="53"/>
      <c r="UFO56" s="53"/>
      <c r="UFP56" s="53"/>
      <c r="UFQ56" s="53"/>
      <c r="UFR56" s="53"/>
      <c r="UFS56" s="53"/>
      <c r="UFT56" s="53"/>
      <c r="UFU56" s="53"/>
      <c r="UFV56" s="53"/>
      <c r="UFW56" s="53"/>
      <c r="UFX56" s="53"/>
      <c r="UFY56" s="53"/>
      <c r="UFZ56" s="53"/>
      <c r="UGA56" s="53"/>
      <c r="UGB56" s="53"/>
      <c r="UGC56" s="53"/>
      <c r="UGD56" s="53"/>
      <c r="UGE56" s="53"/>
      <c r="UGF56" s="53"/>
      <c r="UGG56" s="53"/>
      <c r="UGH56" s="53"/>
      <c r="UGI56" s="53"/>
      <c r="UGJ56" s="53"/>
      <c r="UGK56" s="53"/>
      <c r="UGL56" s="53"/>
      <c r="UGM56" s="53"/>
      <c r="UGN56" s="53"/>
      <c r="UGO56" s="53"/>
      <c r="UGP56" s="53"/>
      <c r="UGQ56" s="53"/>
      <c r="UGR56" s="53"/>
      <c r="UGS56" s="53"/>
      <c r="UGT56" s="53"/>
      <c r="UGU56" s="53"/>
      <c r="UGV56" s="53"/>
      <c r="UGW56" s="53"/>
      <c r="UGX56" s="53"/>
      <c r="UGY56" s="53"/>
      <c r="UGZ56" s="53"/>
      <c r="UHA56" s="53"/>
      <c r="UHB56" s="53"/>
      <c r="UHC56" s="53"/>
      <c r="UHD56" s="53"/>
      <c r="UHE56" s="53"/>
      <c r="UHF56" s="53"/>
      <c r="UHG56" s="53"/>
      <c r="UHH56" s="53"/>
      <c r="UHI56" s="53"/>
      <c r="UHJ56" s="53"/>
      <c r="UHK56" s="53"/>
      <c r="UHL56" s="53"/>
      <c r="UHM56" s="53"/>
      <c r="UHN56" s="53"/>
      <c r="UHO56" s="53"/>
      <c r="UHP56" s="53"/>
      <c r="UHQ56" s="53"/>
      <c r="UHR56" s="53"/>
      <c r="UHS56" s="53"/>
      <c r="UHT56" s="53"/>
      <c r="UHU56" s="53"/>
      <c r="UHV56" s="53"/>
      <c r="UHW56" s="53"/>
      <c r="UHX56" s="53"/>
      <c r="UHY56" s="53"/>
      <c r="UHZ56" s="53"/>
      <c r="UIA56" s="53"/>
      <c r="UIB56" s="53"/>
      <c r="UIC56" s="53"/>
      <c r="UID56" s="53"/>
      <c r="UIE56" s="53"/>
      <c r="UIF56" s="53"/>
      <c r="UIG56" s="53"/>
      <c r="UIH56" s="53"/>
      <c r="UII56" s="53"/>
      <c r="UIJ56" s="53"/>
      <c r="UIK56" s="53"/>
      <c r="UIL56" s="53"/>
      <c r="UIM56" s="53"/>
      <c r="UIN56" s="53"/>
      <c r="UIO56" s="53"/>
      <c r="UIP56" s="53"/>
      <c r="UIQ56" s="53"/>
      <c r="UIR56" s="53"/>
      <c r="UIS56" s="53"/>
      <c r="UIT56" s="53"/>
      <c r="UIU56" s="53"/>
      <c r="UIV56" s="53"/>
      <c r="UIW56" s="53"/>
      <c r="UIX56" s="53"/>
      <c r="UIY56" s="53"/>
      <c r="UIZ56" s="53"/>
      <c r="UJA56" s="53"/>
      <c r="UJB56" s="53"/>
      <c r="UJC56" s="53"/>
      <c r="UJD56" s="53"/>
      <c r="UJE56" s="53"/>
      <c r="UJF56" s="53"/>
      <c r="UJG56" s="53"/>
      <c r="UJH56" s="53"/>
      <c r="UJI56" s="53"/>
      <c r="UJJ56" s="53"/>
      <c r="UJK56" s="53"/>
      <c r="UJL56" s="53"/>
      <c r="UJM56" s="53"/>
      <c r="UJN56" s="53"/>
      <c r="UJO56" s="53"/>
      <c r="UJP56" s="53"/>
      <c r="UJQ56" s="53"/>
      <c r="UJR56" s="53"/>
      <c r="UJS56" s="53"/>
      <c r="UJT56" s="53"/>
      <c r="UJU56" s="53"/>
      <c r="UJV56" s="53"/>
      <c r="UJW56" s="53"/>
      <c r="UJX56" s="53"/>
      <c r="UJY56" s="53"/>
      <c r="UJZ56" s="53"/>
      <c r="UKA56" s="53"/>
      <c r="UKB56" s="53"/>
      <c r="UKC56" s="53"/>
      <c r="UKD56" s="53"/>
      <c r="UKE56" s="53"/>
      <c r="UKF56" s="53"/>
      <c r="UKG56" s="53"/>
      <c r="UKH56" s="53"/>
      <c r="UKI56" s="53"/>
      <c r="UKJ56" s="53"/>
      <c r="UKK56" s="53"/>
      <c r="UKL56" s="53"/>
      <c r="UKM56" s="53"/>
      <c r="UKN56" s="53"/>
      <c r="UKO56" s="53"/>
      <c r="UKP56" s="53"/>
      <c r="UKQ56" s="53"/>
      <c r="UKR56" s="53"/>
      <c r="UKS56" s="53"/>
      <c r="UKT56" s="53"/>
      <c r="UKU56" s="53"/>
      <c r="UKV56" s="53"/>
      <c r="UKW56" s="53"/>
      <c r="UKX56" s="53"/>
      <c r="UKY56" s="53"/>
      <c r="UKZ56" s="53"/>
      <c r="ULA56" s="53"/>
      <c r="ULB56" s="53"/>
      <c r="ULC56" s="53"/>
      <c r="ULD56" s="53"/>
      <c r="ULE56" s="53"/>
      <c r="ULF56" s="53"/>
      <c r="ULG56" s="53"/>
      <c r="ULH56" s="53"/>
      <c r="ULI56" s="53"/>
      <c r="ULJ56" s="53"/>
      <c r="ULK56" s="53"/>
      <c r="ULL56" s="53"/>
      <c r="ULM56" s="53"/>
      <c r="ULN56" s="53"/>
      <c r="ULO56" s="53"/>
      <c r="ULP56" s="53"/>
      <c r="ULQ56" s="53"/>
      <c r="ULR56" s="53"/>
      <c r="ULS56" s="53"/>
      <c r="ULT56" s="53"/>
      <c r="ULU56" s="53"/>
      <c r="ULV56" s="53"/>
      <c r="ULW56" s="53"/>
      <c r="ULX56" s="53"/>
      <c r="ULY56" s="53"/>
      <c r="ULZ56" s="53"/>
      <c r="UMA56" s="53"/>
      <c r="UMB56" s="53"/>
      <c r="UMC56" s="53"/>
      <c r="UMD56" s="53"/>
      <c r="UME56" s="53"/>
      <c r="UMF56" s="53"/>
      <c r="UMG56" s="53"/>
      <c r="UMH56" s="53"/>
      <c r="UMI56" s="53"/>
      <c r="UMJ56" s="53"/>
      <c r="UMK56" s="53"/>
      <c r="UML56" s="53"/>
      <c r="UMM56" s="53"/>
      <c r="UMN56" s="53"/>
      <c r="UMO56" s="53"/>
      <c r="UMP56" s="53"/>
      <c r="UMQ56" s="53"/>
      <c r="UMR56" s="53"/>
      <c r="UMS56" s="53"/>
      <c r="UMT56" s="53"/>
      <c r="UMU56" s="53"/>
      <c r="UMV56" s="53"/>
      <c r="UMW56" s="53"/>
      <c r="UMX56" s="53"/>
      <c r="UMY56" s="53"/>
      <c r="UMZ56" s="53"/>
      <c r="UNA56" s="53"/>
      <c r="UNB56" s="53"/>
      <c r="UNC56" s="53"/>
      <c r="UND56" s="53"/>
      <c r="UNE56" s="53"/>
      <c r="UNF56" s="53"/>
      <c r="UNG56" s="53"/>
      <c r="UNH56" s="53"/>
      <c r="UNI56" s="53"/>
      <c r="UNJ56" s="53"/>
      <c r="UNK56" s="53"/>
      <c r="UNL56" s="53"/>
      <c r="UNM56" s="53"/>
      <c r="UNN56" s="53"/>
      <c r="UNO56" s="53"/>
      <c r="UNP56" s="53"/>
      <c r="UNQ56" s="53"/>
      <c r="UNR56" s="53"/>
      <c r="UNS56" s="53"/>
      <c r="UNT56" s="53"/>
      <c r="UNU56" s="53"/>
      <c r="UNV56" s="53"/>
      <c r="UNW56" s="53"/>
      <c r="UNX56" s="53"/>
      <c r="UNY56" s="53"/>
      <c r="UNZ56" s="53"/>
      <c r="UOA56" s="53"/>
      <c r="UOB56" s="53"/>
      <c r="UOC56" s="53"/>
      <c r="UOD56" s="53"/>
      <c r="UOE56" s="53"/>
      <c r="UOF56" s="53"/>
      <c r="UOG56" s="53"/>
      <c r="UOH56" s="53"/>
      <c r="UOI56" s="53"/>
      <c r="UOJ56" s="53"/>
      <c r="UOK56" s="53"/>
      <c r="UOL56" s="53"/>
      <c r="UOM56" s="53"/>
      <c r="UON56" s="53"/>
      <c r="UOO56" s="53"/>
      <c r="UOP56" s="53"/>
      <c r="UOQ56" s="53"/>
      <c r="UOR56" s="53"/>
      <c r="UOS56" s="53"/>
      <c r="UOT56" s="53"/>
      <c r="UOU56" s="53"/>
      <c r="UOV56" s="53"/>
      <c r="UOW56" s="53"/>
      <c r="UOX56" s="53"/>
      <c r="UOY56" s="53"/>
      <c r="UOZ56" s="53"/>
      <c r="UPA56" s="53"/>
      <c r="UPB56" s="53"/>
      <c r="UPC56" s="53"/>
      <c r="UPD56" s="53"/>
      <c r="UPE56" s="53"/>
      <c r="UPF56" s="53"/>
      <c r="UPG56" s="53"/>
      <c r="UPH56" s="53"/>
      <c r="UPI56" s="53"/>
      <c r="UPJ56" s="53"/>
      <c r="UPK56" s="53"/>
      <c r="UPL56" s="53"/>
      <c r="UPM56" s="53"/>
      <c r="UPN56" s="53"/>
      <c r="UPO56" s="53"/>
      <c r="UPP56" s="53"/>
      <c r="UPQ56" s="53"/>
      <c r="UPR56" s="53"/>
      <c r="UPS56" s="53"/>
      <c r="UPT56" s="53"/>
      <c r="UPU56" s="53"/>
      <c r="UPV56" s="53"/>
      <c r="UPW56" s="53"/>
      <c r="UPX56" s="53"/>
      <c r="UPY56" s="53"/>
      <c r="UPZ56" s="53"/>
      <c r="UQA56" s="53"/>
      <c r="UQB56" s="53"/>
      <c r="UQC56" s="53"/>
      <c r="UQD56" s="53"/>
      <c r="UQE56" s="53"/>
      <c r="UQF56" s="53"/>
      <c r="UQG56" s="53"/>
      <c r="UQH56" s="53"/>
      <c r="UQI56" s="53"/>
      <c r="UQJ56" s="53"/>
      <c r="UQK56" s="53"/>
      <c r="UQL56" s="53"/>
      <c r="UQM56" s="53"/>
      <c r="UQN56" s="53"/>
      <c r="UQO56" s="53"/>
      <c r="UQP56" s="53"/>
      <c r="UQQ56" s="53"/>
      <c r="UQR56" s="53"/>
      <c r="UQS56" s="53"/>
      <c r="UQT56" s="53"/>
      <c r="UQU56" s="53"/>
      <c r="UQV56" s="53"/>
      <c r="UQW56" s="53"/>
      <c r="UQX56" s="53"/>
      <c r="UQY56" s="53"/>
      <c r="UQZ56" s="53"/>
      <c r="URA56" s="53"/>
      <c r="URB56" s="53"/>
      <c r="URC56" s="53"/>
      <c r="URD56" s="53"/>
      <c r="URE56" s="53"/>
      <c r="URF56" s="53"/>
      <c r="URG56" s="53"/>
      <c r="URH56" s="53"/>
      <c r="URI56" s="53"/>
      <c r="URJ56" s="53"/>
      <c r="URK56" s="53"/>
      <c r="URL56" s="53"/>
      <c r="URM56" s="53"/>
      <c r="URN56" s="53"/>
      <c r="URO56" s="53"/>
      <c r="URP56" s="53"/>
      <c r="URQ56" s="53"/>
      <c r="URR56" s="53"/>
      <c r="URS56" s="53"/>
      <c r="URT56" s="53"/>
      <c r="URU56" s="53"/>
      <c r="URV56" s="53"/>
      <c r="URW56" s="53"/>
      <c r="URX56" s="53"/>
      <c r="URY56" s="53"/>
      <c r="URZ56" s="53"/>
      <c r="USA56" s="53"/>
      <c r="USB56" s="53"/>
      <c r="USC56" s="53"/>
      <c r="USD56" s="53"/>
      <c r="USE56" s="53"/>
      <c r="USF56" s="53"/>
      <c r="USG56" s="53"/>
      <c r="USH56" s="53"/>
      <c r="USI56" s="53"/>
      <c r="USJ56" s="53"/>
      <c r="USK56" s="53"/>
      <c r="USL56" s="53"/>
      <c r="USM56" s="53"/>
      <c r="USN56" s="53"/>
      <c r="USO56" s="53"/>
      <c r="USP56" s="53"/>
      <c r="USQ56" s="53"/>
      <c r="USR56" s="53"/>
      <c r="USS56" s="53"/>
      <c r="UST56" s="53"/>
      <c r="USU56" s="53"/>
      <c r="USV56" s="53"/>
      <c r="USW56" s="53"/>
      <c r="USX56" s="53"/>
      <c r="USY56" s="53"/>
      <c r="USZ56" s="53"/>
      <c r="UTA56" s="53"/>
      <c r="UTB56" s="53"/>
      <c r="UTC56" s="53"/>
      <c r="UTD56" s="53"/>
      <c r="UTE56" s="53"/>
      <c r="UTF56" s="53"/>
      <c r="UTG56" s="53"/>
      <c r="UTH56" s="53"/>
      <c r="UTI56" s="53"/>
      <c r="UTJ56" s="53"/>
      <c r="UTK56" s="53"/>
      <c r="UTL56" s="53"/>
      <c r="UTM56" s="53"/>
      <c r="UTN56" s="53"/>
      <c r="UTO56" s="53"/>
      <c r="UTP56" s="53"/>
      <c r="UTQ56" s="53"/>
      <c r="UTR56" s="53"/>
      <c r="UTS56" s="53"/>
      <c r="UTT56" s="53"/>
      <c r="UTU56" s="53"/>
      <c r="UTV56" s="53"/>
      <c r="UTW56" s="53"/>
      <c r="UTX56" s="53"/>
      <c r="UTY56" s="53"/>
      <c r="UTZ56" s="53"/>
      <c r="UUA56" s="53"/>
      <c r="UUB56" s="53"/>
      <c r="UUC56" s="53"/>
      <c r="UUD56" s="53"/>
      <c r="UUE56" s="53"/>
      <c r="UUF56" s="53"/>
      <c r="UUG56" s="53"/>
      <c r="UUH56" s="53"/>
      <c r="UUI56" s="53"/>
      <c r="UUJ56" s="53"/>
      <c r="UUK56" s="53"/>
      <c r="UUL56" s="53"/>
      <c r="UUM56" s="53"/>
      <c r="UUN56" s="53"/>
      <c r="UUO56" s="53"/>
      <c r="UUP56" s="53"/>
      <c r="UUQ56" s="53"/>
      <c r="UUR56" s="53"/>
      <c r="UUS56" s="53"/>
      <c r="UUT56" s="53"/>
      <c r="UUU56" s="53"/>
      <c r="UUV56" s="53"/>
      <c r="UUW56" s="53"/>
      <c r="UUX56" s="53"/>
      <c r="UUY56" s="53"/>
      <c r="UUZ56" s="53"/>
      <c r="UVA56" s="53"/>
      <c r="UVB56" s="53"/>
      <c r="UVC56" s="53"/>
      <c r="UVD56" s="53"/>
      <c r="UVE56" s="53"/>
      <c r="UVF56" s="53"/>
      <c r="UVG56" s="53"/>
      <c r="UVH56" s="53"/>
      <c r="UVI56" s="53"/>
      <c r="UVJ56" s="53"/>
      <c r="UVK56" s="53"/>
      <c r="UVL56" s="53"/>
      <c r="UVM56" s="53"/>
      <c r="UVN56" s="53"/>
      <c r="UVO56" s="53"/>
      <c r="UVP56" s="53"/>
      <c r="UVQ56" s="53"/>
      <c r="UVR56" s="53"/>
      <c r="UVS56" s="53"/>
      <c r="UVT56" s="53"/>
      <c r="UVU56" s="53"/>
      <c r="UVV56" s="53"/>
      <c r="UVW56" s="53"/>
      <c r="UVX56" s="53"/>
      <c r="UVY56" s="53"/>
      <c r="UVZ56" s="53"/>
      <c r="UWA56" s="53"/>
      <c r="UWB56" s="53"/>
      <c r="UWC56" s="53"/>
      <c r="UWD56" s="53"/>
      <c r="UWE56" s="53"/>
      <c r="UWF56" s="53"/>
      <c r="UWG56" s="53"/>
      <c r="UWH56" s="53"/>
      <c r="UWI56" s="53"/>
      <c r="UWJ56" s="53"/>
      <c r="UWK56" s="53"/>
      <c r="UWL56" s="53"/>
      <c r="UWM56" s="53"/>
      <c r="UWN56" s="53"/>
      <c r="UWO56" s="53"/>
      <c r="UWP56" s="53"/>
      <c r="UWQ56" s="53"/>
      <c r="UWR56" s="53"/>
      <c r="UWS56" s="53"/>
      <c r="UWT56" s="53"/>
      <c r="UWU56" s="53"/>
      <c r="UWV56" s="53"/>
      <c r="UWW56" s="53"/>
      <c r="UWX56" s="53"/>
      <c r="UWY56" s="53"/>
      <c r="UWZ56" s="53"/>
      <c r="UXA56" s="53"/>
      <c r="UXB56" s="53"/>
      <c r="UXC56" s="53"/>
      <c r="UXD56" s="53"/>
      <c r="UXE56" s="53"/>
      <c r="UXF56" s="53"/>
      <c r="UXG56" s="53"/>
      <c r="UXH56" s="53"/>
      <c r="UXI56" s="53"/>
      <c r="UXJ56" s="53"/>
      <c r="UXK56" s="53"/>
      <c r="UXL56" s="53"/>
      <c r="UXM56" s="53"/>
      <c r="UXN56" s="53"/>
      <c r="UXO56" s="53"/>
      <c r="UXP56" s="53"/>
      <c r="UXQ56" s="53"/>
      <c r="UXR56" s="53"/>
      <c r="UXS56" s="53"/>
      <c r="UXT56" s="53"/>
      <c r="UXU56" s="53"/>
      <c r="UXV56" s="53"/>
      <c r="UXW56" s="53"/>
      <c r="UXX56" s="53"/>
      <c r="UXY56" s="53"/>
      <c r="UXZ56" s="53"/>
      <c r="UYA56" s="53"/>
      <c r="UYB56" s="53"/>
      <c r="UYC56" s="53"/>
      <c r="UYD56" s="53"/>
      <c r="UYE56" s="53"/>
      <c r="UYF56" s="53"/>
      <c r="UYG56" s="53"/>
      <c r="UYH56" s="53"/>
      <c r="UYI56" s="53"/>
      <c r="UYJ56" s="53"/>
      <c r="UYK56" s="53"/>
      <c r="UYL56" s="53"/>
      <c r="UYM56" s="53"/>
      <c r="UYN56" s="53"/>
      <c r="UYO56" s="53"/>
      <c r="UYP56" s="53"/>
      <c r="UYQ56" s="53"/>
      <c r="UYR56" s="53"/>
      <c r="UYS56" s="53"/>
      <c r="UYT56" s="53"/>
      <c r="UYU56" s="53"/>
      <c r="UYV56" s="53"/>
      <c r="UYW56" s="53"/>
      <c r="UYX56" s="53"/>
      <c r="UYY56" s="53"/>
      <c r="UYZ56" s="53"/>
      <c r="UZA56" s="53"/>
      <c r="UZB56" s="53"/>
      <c r="UZC56" s="53"/>
      <c r="UZD56" s="53"/>
      <c r="UZE56" s="53"/>
      <c r="UZF56" s="53"/>
      <c r="UZG56" s="53"/>
      <c r="UZH56" s="53"/>
      <c r="UZI56" s="53"/>
      <c r="UZJ56" s="53"/>
      <c r="UZK56" s="53"/>
      <c r="UZL56" s="53"/>
      <c r="UZM56" s="53"/>
      <c r="UZN56" s="53"/>
      <c r="UZO56" s="53"/>
      <c r="UZP56" s="53"/>
      <c r="UZQ56" s="53"/>
      <c r="UZR56" s="53"/>
      <c r="UZS56" s="53"/>
      <c r="UZT56" s="53"/>
      <c r="UZU56" s="53"/>
      <c r="UZV56" s="53"/>
      <c r="UZW56" s="53"/>
      <c r="UZX56" s="53"/>
      <c r="UZY56" s="53"/>
      <c r="UZZ56" s="53"/>
      <c r="VAA56" s="53"/>
      <c r="VAB56" s="53"/>
      <c r="VAC56" s="53"/>
      <c r="VAD56" s="53"/>
      <c r="VAE56" s="53"/>
      <c r="VAF56" s="53"/>
      <c r="VAG56" s="53"/>
      <c r="VAH56" s="53"/>
      <c r="VAI56" s="53"/>
      <c r="VAJ56" s="53"/>
      <c r="VAK56" s="53"/>
      <c r="VAL56" s="53"/>
      <c r="VAM56" s="53"/>
      <c r="VAN56" s="53"/>
      <c r="VAO56" s="53"/>
      <c r="VAP56" s="53"/>
      <c r="VAQ56" s="53"/>
      <c r="VAR56" s="53"/>
      <c r="VAS56" s="53"/>
      <c r="VAT56" s="53"/>
      <c r="VAU56" s="53"/>
      <c r="VAV56" s="53"/>
      <c r="VAW56" s="53"/>
      <c r="VAX56" s="53"/>
      <c r="VAY56" s="53"/>
      <c r="VAZ56" s="53"/>
      <c r="VBA56" s="53"/>
      <c r="VBB56" s="53"/>
      <c r="VBC56" s="53"/>
      <c r="VBD56" s="53"/>
      <c r="VBE56" s="53"/>
      <c r="VBF56" s="53"/>
      <c r="VBG56" s="53"/>
      <c r="VBH56" s="53"/>
      <c r="VBI56" s="53"/>
      <c r="VBJ56" s="53"/>
      <c r="VBK56" s="53"/>
      <c r="VBL56" s="53"/>
      <c r="VBM56" s="53"/>
      <c r="VBN56" s="53"/>
      <c r="VBO56" s="53"/>
      <c r="VBP56" s="53"/>
      <c r="VBQ56" s="53"/>
      <c r="VBR56" s="53"/>
      <c r="VBS56" s="53"/>
      <c r="VBT56" s="53"/>
      <c r="VBU56" s="53"/>
      <c r="VBV56" s="53"/>
      <c r="VBW56" s="53"/>
      <c r="VBX56" s="53"/>
      <c r="VBY56" s="53"/>
      <c r="VBZ56" s="53"/>
      <c r="VCA56" s="53"/>
      <c r="VCB56" s="53"/>
      <c r="VCC56" s="53"/>
      <c r="VCD56" s="53"/>
      <c r="VCE56" s="53"/>
      <c r="VCF56" s="53"/>
      <c r="VCG56" s="53"/>
      <c r="VCH56" s="53"/>
      <c r="VCI56" s="53"/>
      <c r="VCJ56" s="53"/>
      <c r="VCK56" s="53"/>
      <c r="VCL56" s="53"/>
      <c r="VCM56" s="53"/>
      <c r="VCN56" s="53"/>
      <c r="VCO56" s="53"/>
      <c r="VCP56" s="53"/>
      <c r="VCQ56" s="53"/>
      <c r="VCR56" s="53"/>
      <c r="VCS56" s="53"/>
      <c r="VCT56" s="53"/>
      <c r="VCU56" s="53"/>
      <c r="VCV56" s="53"/>
      <c r="VCW56" s="53"/>
      <c r="VCX56" s="53"/>
      <c r="VCY56" s="53"/>
      <c r="VCZ56" s="53"/>
      <c r="VDA56" s="53"/>
      <c r="VDB56" s="53"/>
      <c r="VDC56" s="53"/>
      <c r="VDD56" s="53"/>
      <c r="VDE56" s="53"/>
      <c r="VDF56" s="53"/>
      <c r="VDG56" s="53"/>
      <c r="VDH56" s="53"/>
      <c r="VDI56" s="53"/>
      <c r="VDJ56" s="53"/>
      <c r="VDK56" s="53"/>
      <c r="VDL56" s="53"/>
      <c r="VDM56" s="53"/>
      <c r="VDN56" s="53"/>
      <c r="VDO56" s="53"/>
      <c r="VDP56" s="53"/>
      <c r="VDQ56" s="53"/>
      <c r="VDR56" s="53"/>
      <c r="VDS56" s="53"/>
      <c r="VDT56" s="53"/>
      <c r="VDU56" s="53"/>
      <c r="VDV56" s="53"/>
      <c r="VDW56" s="53"/>
      <c r="VDX56" s="53"/>
      <c r="VDY56" s="53"/>
      <c r="VDZ56" s="53"/>
      <c r="VEA56" s="53"/>
      <c r="VEB56" s="53"/>
      <c r="VEC56" s="53"/>
      <c r="VED56" s="53"/>
      <c r="VEE56" s="53"/>
      <c r="VEF56" s="53"/>
      <c r="VEG56" s="53"/>
      <c r="VEH56" s="53"/>
      <c r="VEI56" s="53"/>
      <c r="VEJ56" s="53"/>
      <c r="VEK56" s="53"/>
      <c r="VEL56" s="53"/>
      <c r="VEM56" s="53"/>
      <c r="VEN56" s="53"/>
      <c r="VEO56" s="53"/>
      <c r="VEP56" s="53"/>
      <c r="VEQ56" s="53"/>
      <c r="VER56" s="53"/>
      <c r="VES56" s="53"/>
      <c r="VET56" s="53"/>
      <c r="VEU56" s="53"/>
      <c r="VEV56" s="53"/>
      <c r="VEW56" s="53"/>
      <c r="VEX56" s="53"/>
      <c r="VEY56" s="53"/>
      <c r="VEZ56" s="53"/>
      <c r="VFA56" s="53"/>
      <c r="VFB56" s="53"/>
      <c r="VFC56" s="53"/>
      <c r="VFD56" s="53"/>
      <c r="VFE56" s="53"/>
      <c r="VFF56" s="53"/>
      <c r="VFG56" s="53"/>
      <c r="VFH56" s="53"/>
      <c r="VFI56" s="53"/>
      <c r="VFJ56" s="53"/>
      <c r="VFK56" s="53"/>
      <c r="VFL56" s="53"/>
      <c r="VFM56" s="53"/>
      <c r="VFN56" s="53"/>
      <c r="VFO56" s="53"/>
      <c r="VFP56" s="53"/>
      <c r="VFQ56" s="53"/>
      <c r="VFR56" s="53"/>
      <c r="VFS56" s="53"/>
      <c r="VFT56" s="53"/>
      <c r="VFU56" s="53"/>
      <c r="VFV56" s="53"/>
      <c r="VFW56" s="53"/>
      <c r="VFX56" s="53"/>
      <c r="VFY56" s="53"/>
      <c r="VFZ56" s="53"/>
      <c r="VGA56" s="53"/>
      <c r="VGB56" s="53"/>
      <c r="VGC56" s="53"/>
      <c r="VGD56" s="53"/>
      <c r="VGE56" s="53"/>
      <c r="VGF56" s="53"/>
      <c r="VGG56" s="53"/>
      <c r="VGH56" s="53"/>
      <c r="VGI56" s="53"/>
      <c r="VGJ56" s="53"/>
      <c r="VGK56" s="53"/>
      <c r="VGL56" s="53"/>
      <c r="VGM56" s="53"/>
      <c r="VGN56" s="53"/>
      <c r="VGO56" s="53"/>
      <c r="VGP56" s="53"/>
      <c r="VGQ56" s="53"/>
      <c r="VGR56" s="53"/>
      <c r="VGS56" s="53"/>
      <c r="VGT56" s="53"/>
      <c r="VGU56" s="53"/>
      <c r="VGV56" s="53"/>
      <c r="VGW56" s="53"/>
      <c r="VGX56" s="53"/>
      <c r="VGY56" s="53"/>
      <c r="VGZ56" s="53"/>
      <c r="VHA56" s="53"/>
      <c r="VHB56" s="53"/>
      <c r="VHC56" s="53"/>
      <c r="VHD56" s="53"/>
      <c r="VHE56" s="53"/>
      <c r="VHF56" s="53"/>
      <c r="VHG56" s="53"/>
      <c r="VHH56" s="53"/>
      <c r="VHI56" s="53"/>
      <c r="VHJ56" s="53"/>
      <c r="VHK56" s="53"/>
      <c r="VHL56" s="53"/>
      <c r="VHM56" s="53"/>
      <c r="VHN56" s="53"/>
      <c r="VHO56" s="53"/>
      <c r="VHP56" s="53"/>
      <c r="VHQ56" s="53"/>
      <c r="VHR56" s="53"/>
      <c r="VHS56" s="53"/>
      <c r="VHT56" s="53"/>
      <c r="VHU56" s="53"/>
      <c r="VHV56" s="53"/>
      <c r="VHW56" s="53"/>
      <c r="VHX56" s="53"/>
      <c r="VHY56" s="53"/>
      <c r="VHZ56" s="53"/>
      <c r="VIA56" s="53"/>
      <c r="VIB56" s="53"/>
      <c r="VIC56" s="53"/>
      <c r="VID56" s="53"/>
      <c r="VIE56" s="53"/>
      <c r="VIF56" s="53"/>
      <c r="VIG56" s="53"/>
      <c r="VIH56" s="53"/>
      <c r="VII56" s="53"/>
      <c r="VIJ56" s="53"/>
      <c r="VIK56" s="53"/>
      <c r="VIL56" s="53"/>
      <c r="VIM56" s="53"/>
      <c r="VIN56" s="53"/>
      <c r="VIO56" s="53"/>
      <c r="VIP56" s="53"/>
      <c r="VIQ56" s="53"/>
      <c r="VIR56" s="53"/>
      <c r="VIS56" s="53"/>
      <c r="VIT56" s="53"/>
      <c r="VIU56" s="53"/>
      <c r="VIV56" s="53"/>
      <c r="VIW56" s="53"/>
      <c r="VIX56" s="53"/>
      <c r="VIY56" s="53"/>
      <c r="VIZ56" s="53"/>
      <c r="VJA56" s="53"/>
      <c r="VJB56" s="53"/>
      <c r="VJC56" s="53"/>
      <c r="VJD56" s="53"/>
      <c r="VJE56" s="53"/>
      <c r="VJF56" s="53"/>
      <c r="VJG56" s="53"/>
      <c r="VJH56" s="53"/>
      <c r="VJI56" s="53"/>
      <c r="VJJ56" s="53"/>
      <c r="VJK56" s="53"/>
      <c r="VJL56" s="53"/>
      <c r="VJM56" s="53"/>
      <c r="VJN56" s="53"/>
      <c r="VJO56" s="53"/>
      <c r="VJP56" s="53"/>
      <c r="VJQ56" s="53"/>
      <c r="VJR56" s="53"/>
      <c r="VJS56" s="53"/>
      <c r="VJT56" s="53"/>
      <c r="VJU56" s="53"/>
      <c r="VJV56" s="53"/>
      <c r="VJW56" s="53"/>
      <c r="VJX56" s="53"/>
      <c r="VJY56" s="53"/>
      <c r="VJZ56" s="53"/>
      <c r="VKA56" s="53"/>
      <c r="VKB56" s="53"/>
      <c r="VKC56" s="53"/>
      <c r="VKD56" s="53"/>
      <c r="VKE56" s="53"/>
      <c r="VKF56" s="53"/>
      <c r="VKG56" s="53"/>
      <c r="VKH56" s="53"/>
      <c r="VKI56" s="53"/>
      <c r="VKJ56" s="53"/>
      <c r="VKK56" s="53"/>
      <c r="VKL56" s="53"/>
      <c r="VKM56" s="53"/>
      <c r="VKN56" s="53"/>
      <c r="VKO56" s="53"/>
      <c r="VKP56" s="53"/>
      <c r="VKQ56" s="53"/>
      <c r="VKR56" s="53"/>
      <c r="VKS56" s="53"/>
      <c r="VKT56" s="53"/>
      <c r="VKU56" s="53"/>
      <c r="VKV56" s="53"/>
      <c r="VKW56" s="53"/>
      <c r="VKX56" s="53"/>
      <c r="VKY56" s="53"/>
      <c r="VKZ56" s="53"/>
      <c r="VLA56" s="53"/>
      <c r="VLB56" s="53"/>
      <c r="VLC56" s="53"/>
      <c r="VLD56" s="53"/>
      <c r="VLE56" s="53"/>
      <c r="VLF56" s="53"/>
      <c r="VLG56" s="53"/>
      <c r="VLH56" s="53"/>
      <c r="VLI56" s="53"/>
      <c r="VLJ56" s="53"/>
      <c r="VLK56" s="53"/>
      <c r="VLL56" s="53"/>
      <c r="VLM56" s="53"/>
      <c r="VLN56" s="53"/>
      <c r="VLO56" s="53"/>
      <c r="VLP56" s="53"/>
      <c r="VLQ56" s="53"/>
      <c r="VLR56" s="53"/>
      <c r="VLS56" s="53"/>
      <c r="VLT56" s="53"/>
      <c r="VLU56" s="53"/>
      <c r="VLV56" s="53"/>
      <c r="VLW56" s="53"/>
      <c r="VLX56" s="53"/>
      <c r="VLY56" s="53"/>
      <c r="VLZ56" s="53"/>
      <c r="VMA56" s="53"/>
      <c r="VMB56" s="53"/>
      <c r="VMC56" s="53"/>
      <c r="VMD56" s="53"/>
      <c r="VME56" s="53"/>
      <c r="VMF56" s="53"/>
      <c r="VMG56" s="53"/>
      <c r="VMH56" s="53"/>
      <c r="VMI56" s="53"/>
      <c r="VMJ56" s="53"/>
      <c r="VMK56" s="53"/>
      <c r="VML56" s="53"/>
      <c r="VMM56" s="53"/>
      <c r="VMN56" s="53"/>
      <c r="VMO56" s="53"/>
      <c r="VMP56" s="53"/>
      <c r="VMQ56" s="53"/>
      <c r="VMR56" s="53"/>
      <c r="VMS56" s="53"/>
      <c r="VMT56" s="53"/>
      <c r="VMU56" s="53"/>
      <c r="VMV56" s="53"/>
      <c r="VMW56" s="53"/>
      <c r="VMX56" s="53"/>
      <c r="VMY56" s="53"/>
      <c r="VMZ56" s="53"/>
      <c r="VNA56" s="53"/>
      <c r="VNB56" s="53"/>
      <c r="VNC56" s="53"/>
      <c r="VND56" s="53"/>
      <c r="VNE56" s="53"/>
      <c r="VNF56" s="53"/>
      <c r="VNG56" s="53"/>
      <c r="VNH56" s="53"/>
      <c r="VNI56" s="53"/>
      <c r="VNJ56" s="53"/>
      <c r="VNK56" s="53"/>
      <c r="VNL56" s="53"/>
      <c r="VNM56" s="53"/>
      <c r="VNN56" s="53"/>
      <c r="VNO56" s="53"/>
      <c r="VNP56" s="53"/>
      <c r="VNQ56" s="53"/>
      <c r="VNR56" s="53"/>
      <c r="VNS56" s="53"/>
      <c r="VNT56" s="53"/>
      <c r="VNU56" s="53"/>
      <c r="VNV56" s="53"/>
      <c r="VNW56" s="53"/>
      <c r="VNX56" s="53"/>
      <c r="VNY56" s="53"/>
      <c r="VNZ56" s="53"/>
      <c r="VOA56" s="53"/>
      <c r="VOB56" s="53"/>
      <c r="VOC56" s="53"/>
      <c r="VOD56" s="53"/>
      <c r="VOE56" s="53"/>
      <c r="VOF56" s="53"/>
      <c r="VOG56" s="53"/>
      <c r="VOH56" s="53"/>
      <c r="VOI56" s="53"/>
      <c r="VOJ56" s="53"/>
      <c r="VOK56" s="53"/>
      <c r="VOL56" s="53"/>
      <c r="VOM56" s="53"/>
      <c r="VON56" s="53"/>
      <c r="VOO56" s="53"/>
      <c r="VOP56" s="53"/>
      <c r="VOQ56" s="53"/>
      <c r="VOR56" s="53"/>
      <c r="VOS56" s="53"/>
      <c r="VOT56" s="53"/>
      <c r="VOU56" s="53"/>
      <c r="VOV56" s="53"/>
      <c r="VOW56" s="53"/>
      <c r="VOX56" s="53"/>
      <c r="VOY56" s="53"/>
      <c r="VOZ56" s="53"/>
      <c r="VPA56" s="53"/>
      <c r="VPB56" s="53"/>
      <c r="VPC56" s="53"/>
      <c r="VPD56" s="53"/>
      <c r="VPE56" s="53"/>
      <c r="VPF56" s="53"/>
      <c r="VPG56" s="53"/>
      <c r="VPH56" s="53"/>
      <c r="VPI56" s="53"/>
      <c r="VPJ56" s="53"/>
      <c r="VPK56" s="53"/>
      <c r="VPL56" s="53"/>
      <c r="VPM56" s="53"/>
      <c r="VPN56" s="53"/>
      <c r="VPO56" s="53"/>
      <c r="VPP56" s="53"/>
      <c r="VPQ56" s="53"/>
      <c r="VPR56" s="53"/>
      <c r="VPS56" s="53"/>
      <c r="VPT56" s="53"/>
      <c r="VPU56" s="53"/>
      <c r="VPV56" s="53"/>
      <c r="VPW56" s="53"/>
      <c r="VPX56" s="53"/>
      <c r="VPY56" s="53"/>
      <c r="VPZ56" s="53"/>
      <c r="VQA56" s="53"/>
      <c r="VQB56" s="53"/>
      <c r="VQC56" s="53"/>
      <c r="VQD56" s="53"/>
      <c r="VQE56" s="53"/>
      <c r="VQF56" s="53"/>
      <c r="VQG56" s="53"/>
      <c r="VQH56" s="53"/>
      <c r="VQI56" s="53"/>
      <c r="VQJ56" s="53"/>
      <c r="VQK56" s="53"/>
      <c r="VQL56" s="53"/>
      <c r="VQM56" s="53"/>
      <c r="VQN56" s="53"/>
      <c r="VQO56" s="53"/>
      <c r="VQP56" s="53"/>
      <c r="VQQ56" s="53"/>
      <c r="VQR56" s="53"/>
      <c r="VQS56" s="53"/>
      <c r="VQT56" s="53"/>
      <c r="VQU56" s="53"/>
      <c r="VQV56" s="53"/>
      <c r="VQW56" s="53"/>
      <c r="VQX56" s="53"/>
      <c r="VQY56" s="53"/>
      <c r="VQZ56" s="53"/>
      <c r="VRA56" s="53"/>
      <c r="VRB56" s="53"/>
      <c r="VRC56" s="53"/>
      <c r="VRD56" s="53"/>
      <c r="VRE56" s="53"/>
      <c r="VRF56" s="53"/>
      <c r="VRG56" s="53"/>
      <c r="VRH56" s="53"/>
      <c r="VRI56" s="53"/>
      <c r="VRJ56" s="53"/>
      <c r="VRK56" s="53"/>
      <c r="VRL56" s="53"/>
      <c r="VRM56" s="53"/>
      <c r="VRN56" s="53"/>
      <c r="VRO56" s="53"/>
      <c r="VRP56" s="53"/>
      <c r="VRQ56" s="53"/>
      <c r="VRR56" s="53"/>
      <c r="VRS56" s="53"/>
      <c r="VRT56" s="53"/>
      <c r="VRU56" s="53"/>
      <c r="VRV56" s="53"/>
      <c r="VRW56" s="53"/>
      <c r="VRX56" s="53"/>
      <c r="VRY56" s="53"/>
      <c r="VRZ56" s="53"/>
      <c r="VSA56" s="53"/>
      <c r="VSB56" s="53"/>
      <c r="VSC56" s="53"/>
      <c r="VSD56" s="53"/>
      <c r="VSE56" s="53"/>
      <c r="VSF56" s="53"/>
      <c r="VSG56" s="53"/>
      <c r="VSH56" s="53"/>
      <c r="VSI56" s="53"/>
      <c r="VSJ56" s="53"/>
      <c r="VSK56" s="53"/>
      <c r="VSL56" s="53"/>
      <c r="VSM56" s="53"/>
      <c r="VSN56" s="53"/>
      <c r="VSO56" s="53"/>
      <c r="VSP56" s="53"/>
      <c r="VSQ56" s="53"/>
      <c r="VSR56" s="53"/>
      <c r="VSS56" s="53"/>
      <c r="VST56" s="53"/>
      <c r="VSU56" s="53"/>
      <c r="VSV56" s="53"/>
      <c r="VSW56" s="53"/>
      <c r="VSX56" s="53"/>
      <c r="VSY56" s="53"/>
      <c r="VSZ56" s="53"/>
      <c r="VTA56" s="53"/>
      <c r="VTB56" s="53"/>
      <c r="VTC56" s="53"/>
      <c r="VTD56" s="53"/>
      <c r="VTE56" s="53"/>
      <c r="VTF56" s="53"/>
      <c r="VTG56" s="53"/>
      <c r="VTH56" s="53"/>
      <c r="VTI56" s="53"/>
      <c r="VTJ56" s="53"/>
      <c r="VTK56" s="53"/>
      <c r="VTL56" s="53"/>
      <c r="VTM56" s="53"/>
      <c r="VTN56" s="53"/>
      <c r="VTO56" s="53"/>
      <c r="VTP56" s="53"/>
      <c r="VTQ56" s="53"/>
      <c r="VTR56" s="53"/>
      <c r="VTS56" s="53"/>
      <c r="VTT56" s="53"/>
      <c r="VTU56" s="53"/>
      <c r="VTV56" s="53"/>
      <c r="VTW56" s="53"/>
      <c r="VTX56" s="53"/>
      <c r="VTY56" s="53"/>
      <c r="VTZ56" s="53"/>
      <c r="VUA56" s="53"/>
      <c r="VUB56" s="53"/>
      <c r="VUC56" s="53"/>
      <c r="VUD56" s="53"/>
      <c r="VUE56" s="53"/>
      <c r="VUF56" s="53"/>
      <c r="VUG56" s="53"/>
      <c r="VUH56" s="53"/>
      <c r="VUI56" s="53"/>
      <c r="VUJ56" s="53"/>
      <c r="VUK56" s="53"/>
      <c r="VUL56" s="53"/>
      <c r="VUM56" s="53"/>
      <c r="VUN56" s="53"/>
      <c r="VUO56" s="53"/>
      <c r="VUP56" s="53"/>
      <c r="VUQ56" s="53"/>
      <c r="VUR56" s="53"/>
      <c r="VUS56" s="53"/>
      <c r="VUT56" s="53"/>
      <c r="VUU56" s="53"/>
      <c r="VUV56" s="53"/>
      <c r="VUW56" s="53"/>
      <c r="VUX56" s="53"/>
      <c r="VUY56" s="53"/>
      <c r="VUZ56" s="53"/>
      <c r="VVA56" s="53"/>
      <c r="VVB56" s="53"/>
      <c r="VVC56" s="53"/>
      <c r="VVD56" s="53"/>
      <c r="VVE56" s="53"/>
      <c r="VVF56" s="53"/>
      <c r="VVG56" s="53"/>
      <c r="VVH56" s="53"/>
      <c r="VVI56" s="53"/>
      <c r="VVJ56" s="53"/>
      <c r="VVK56" s="53"/>
      <c r="VVL56" s="53"/>
      <c r="VVM56" s="53"/>
      <c r="VVN56" s="53"/>
      <c r="VVO56" s="53"/>
      <c r="VVP56" s="53"/>
      <c r="VVQ56" s="53"/>
      <c r="VVR56" s="53"/>
      <c r="VVS56" s="53"/>
      <c r="VVT56" s="53"/>
      <c r="VVU56" s="53"/>
      <c r="VVV56" s="53"/>
      <c r="VVW56" s="53"/>
      <c r="VVX56" s="53"/>
      <c r="VVY56" s="53"/>
      <c r="VVZ56" s="53"/>
      <c r="VWA56" s="53"/>
      <c r="VWB56" s="53"/>
      <c r="VWC56" s="53"/>
      <c r="VWD56" s="53"/>
      <c r="VWE56" s="53"/>
      <c r="VWF56" s="53"/>
      <c r="VWG56" s="53"/>
      <c r="VWH56" s="53"/>
      <c r="VWI56" s="53"/>
      <c r="VWJ56" s="53"/>
      <c r="VWK56" s="53"/>
      <c r="VWL56" s="53"/>
      <c r="VWM56" s="53"/>
      <c r="VWN56" s="53"/>
      <c r="VWO56" s="53"/>
      <c r="VWP56" s="53"/>
      <c r="VWQ56" s="53"/>
      <c r="VWR56" s="53"/>
      <c r="VWS56" s="53"/>
      <c r="VWT56" s="53"/>
      <c r="VWU56" s="53"/>
      <c r="VWV56" s="53"/>
      <c r="VWW56" s="53"/>
      <c r="VWX56" s="53"/>
      <c r="VWY56" s="53"/>
      <c r="VWZ56" s="53"/>
      <c r="VXA56" s="53"/>
      <c r="VXB56" s="53"/>
      <c r="VXC56" s="53"/>
      <c r="VXD56" s="53"/>
      <c r="VXE56" s="53"/>
      <c r="VXF56" s="53"/>
      <c r="VXG56" s="53"/>
      <c r="VXH56" s="53"/>
      <c r="VXI56" s="53"/>
      <c r="VXJ56" s="53"/>
      <c r="VXK56" s="53"/>
      <c r="VXL56" s="53"/>
      <c r="VXM56" s="53"/>
      <c r="VXN56" s="53"/>
      <c r="VXO56" s="53"/>
      <c r="VXP56" s="53"/>
      <c r="VXQ56" s="53"/>
      <c r="VXR56" s="53"/>
      <c r="VXS56" s="53"/>
      <c r="VXT56" s="53"/>
      <c r="VXU56" s="53"/>
      <c r="VXV56" s="53"/>
      <c r="VXW56" s="53"/>
      <c r="VXX56" s="53"/>
      <c r="VXY56" s="53"/>
      <c r="VXZ56" s="53"/>
      <c r="VYA56" s="53"/>
      <c r="VYB56" s="53"/>
      <c r="VYC56" s="53"/>
      <c r="VYD56" s="53"/>
      <c r="VYE56" s="53"/>
      <c r="VYF56" s="53"/>
      <c r="VYG56" s="53"/>
      <c r="VYH56" s="53"/>
      <c r="VYI56" s="53"/>
      <c r="VYJ56" s="53"/>
      <c r="VYK56" s="53"/>
      <c r="VYL56" s="53"/>
      <c r="VYM56" s="53"/>
      <c r="VYN56" s="53"/>
      <c r="VYO56" s="53"/>
      <c r="VYP56" s="53"/>
      <c r="VYQ56" s="53"/>
      <c r="VYR56" s="53"/>
      <c r="VYS56" s="53"/>
      <c r="VYT56" s="53"/>
      <c r="VYU56" s="53"/>
      <c r="VYV56" s="53"/>
      <c r="VYW56" s="53"/>
      <c r="VYX56" s="53"/>
      <c r="VYY56" s="53"/>
      <c r="VYZ56" s="53"/>
      <c r="VZA56" s="53"/>
      <c r="VZB56" s="53"/>
      <c r="VZC56" s="53"/>
      <c r="VZD56" s="53"/>
      <c r="VZE56" s="53"/>
      <c r="VZF56" s="53"/>
      <c r="VZG56" s="53"/>
      <c r="VZH56" s="53"/>
      <c r="VZI56" s="53"/>
      <c r="VZJ56" s="53"/>
      <c r="VZK56" s="53"/>
      <c r="VZL56" s="53"/>
      <c r="VZM56" s="53"/>
      <c r="VZN56" s="53"/>
      <c r="VZO56" s="53"/>
      <c r="VZP56" s="53"/>
      <c r="VZQ56" s="53"/>
      <c r="VZR56" s="53"/>
      <c r="VZS56" s="53"/>
      <c r="VZT56" s="53"/>
      <c r="VZU56" s="53"/>
      <c r="VZV56" s="53"/>
      <c r="VZW56" s="53"/>
      <c r="VZX56" s="53"/>
      <c r="VZY56" s="53"/>
      <c r="VZZ56" s="53"/>
      <c r="WAA56" s="53"/>
      <c r="WAB56" s="53"/>
      <c r="WAC56" s="53"/>
      <c r="WAD56" s="53"/>
      <c r="WAE56" s="53"/>
      <c r="WAF56" s="53"/>
      <c r="WAG56" s="53"/>
      <c r="WAH56" s="53"/>
      <c r="WAI56" s="53"/>
      <c r="WAJ56" s="53"/>
      <c r="WAK56" s="53"/>
      <c r="WAL56" s="53"/>
      <c r="WAM56" s="53"/>
      <c r="WAN56" s="53"/>
      <c r="WAO56" s="53"/>
      <c r="WAP56" s="53"/>
      <c r="WAQ56" s="53"/>
      <c r="WAR56" s="53"/>
      <c r="WAS56" s="53"/>
      <c r="WAT56" s="53"/>
      <c r="WAU56" s="53"/>
      <c r="WAV56" s="53"/>
      <c r="WAW56" s="53"/>
      <c r="WAX56" s="53"/>
      <c r="WAY56" s="53"/>
      <c r="WAZ56" s="53"/>
      <c r="WBA56" s="53"/>
      <c r="WBB56" s="53"/>
      <c r="WBC56" s="53"/>
      <c r="WBD56" s="53"/>
      <c r="WBE56" s="53"/>
      <c r="WBF56" s="53"/>
      <c r="WBG56" s="53"/>
      <c r="WBH56" s="53"/>
      <c r="WBI56" s="53"/>
      <c r="WBJ56" s="53"/>
      <c r="WBK56" s="53"/>
      <c r="WBL56" s="53"/>
      <c r="WBM56" s="53"/>
      <c r="WBN56" s="53"/>
      <c r="WBO56" s="53"/>
      <c r="WBP56" s="53"/>
      <c r="WBQ56" s="53"/>
      <c r="WBR56" s="53"/>
      <c r="WBS56" s="53"/>
      <c r="WBT56" s="53"/>
      <c r="WBU56" s="53"/>
      <c r="WBV56" s="53"/>
      <c r="WBW56" s="53"/>
      <c r="WBX56" s="53"/>
      <c r="WBY56" s="53"/>
      <c r="WBZ56" s="53"/>
      <c r="WCA56" s="53"/>
      <c r="WCB56" s="53"/>
      <c r="WCC56" s="53"/>
      <c r="WCD56" s="53"/>
      <c r="WCE56" s="53"/>
      <c r="WCF56" s="53"/>
      <c r="WCG56" s="53"/>
      <c r="WCH56" s="53"/>
      <c r="WCI56" s="53"/>
      <c r="WCJ56" s="53"/>
      <c r="WCK56" s="53"/>
      <c r="WCL56" s="53"/>
      <c r="WCM56" s="53"/>
      <c r="WCN56" s="53"/>
      <c r="WCO56" s="53"/>
      <c r="WCP56" s="53"/>
      <c r="WCQ56" s="53"/>
      <c r="WCR56" s="53"/>
      <c r="WCS56" s="53"/>
      <c r="WCT56" s="53"/>
      <c r="WCU56" s="53"/>
      <c r="WCV56" s="53"/>
      <c r="WCW56" s="53"/>
      <c r="WCX56" s="53"/>
      <c r="WCY56" s="53"/>
      <c r="WCZ56" s="53"/>
      <c r="WDA56" s="53"/>
      <c r="WDB56" s="53"/>
      <c r="WDC56" s="53"/>
      <c r="WDD56" s="53"/>
      <c r="WDE56" s="53"/>
      <c r="WDF56" s="53"/>
      <c r="WDG56" s="53"/>
      <c r="WDH56" s="53"/>
      <c r="WDI56" s="53"/>
      <c r="WDJ56" s="53"/>
      <c r="WDK56" s="53"/>
      <c r="WDL56" s="53"/>
      <c r="WDM56" s="53"/>
      <c r="WDN56" s="53"/>
      <c r="WDO56" s="53"/>
      <c r="WDP56" s="53"/>
      <c r="WDQ56" s="53"/>
      <c r="WDR56" s="53"/>
      <c r="WDS56" s="53"/>
      <c r="WDT56" s="53"/>
      <c r="WDU56" s="53"/>
      <c r="WDV56" s="53"/>
      <c r="WDW56" s="53"/>
      <c r="WDX56" s="53"/>
      <c r="WDY56" s="53"/>
      <c r="WDZ56" s="53"/>
      <c r="WEA56" s="53"/>
      <c r="WEB56" s="53"/>
      <c r="WEC56" s="53"/>
      <c r="WED56" s="53"/>
      <c r="WEE56" s="53"/>
      <c r="WEF56" s="53"/>
      <c r="WEG56" s="53"/>
      <c r="WEH56" s="53"/>
      <c r="WEI56" s="53"/>
      <c r="WEJ56" s="53"/>
      <c r="WEK56" s="53"/>
      <c r="WEL56" s="53"/>
      <c r="WEM56" s="53"/>
      <c r="WEN56" s="53"/>
      <c r="WEO56" s="53"/>
      <c r="WEP56" s="53"/>
      <c r="WEQ56" s="53"/>
      <c r="WER56" s="53"/>
      <c r="WES56" s="53"/>
      <c r="WET56" s="53"/>
      <c r="WEU56" s="53"/>
      <c r="WEV56" s="53"/>
      <c r="WEW56" s="53"/>
      <c r="WEX56" s="53"/>
      <c r="WEY56" s="53"/>
      <c r="WEZ56" s="53"/>
      <c r="WFA56" s="53"/>
      <c r="WFB56" s="53"/>
      <c r="WFC56" s="53"/>
      <c r="WFD56" s="53"/>
      <c r="WFE56" s="53"/>
      <c r="WFF56" s="53"/>
      <c r="WFG56" s="53"/>
      <c r="WFH56" s="53"/>
      <c r="WFI56" s="53"/>
      <c r="WFJ56" s="53"/>
      <c r="WFK56" s="53"/>
      <c r="WFL56" s="53"/>
      <c r="WFM56" s="53"/>
      <c r="WFN56" s="53"/>
      <c r="WFO56" s="53"/>
      <c r="WFP56" s="53"/>
      <c r="WFQ56" s="53"/>
      <c r="WFR56" s="53"/>
      <c r="WFS56" s="53"/>
      <c r="WFT56" s="53"/>
      <c r="WFU56" s="53"/>
      <c r="WFV56" s="53"/>
      <c r="WFW56" s="53"/>
      <c r="WFX56" s="53"/>
      <c r="WFY56" s="53"/>
      <c r="WFZ56" s="53"/>
      <c r="WGA56" s="53"/>
      <c r="WGB56" s="53"/>
      <c r="WGC56" s="53"/>
      <c r="WGD56" s="53"/>
      <c r="WGE56" s="53"/>
      <c r="WGF56" s="53"/>
      <c r="WGG56" s="53"/>
      <c r="WGH56" s="53"/>
      <c r="WGI56" s="53"/>
      <c r="WGJ56" s="53"/>
      <c r="WGK56" s="53"/>
      <c r="WGL56" s="53"/>
      <c r="WGM56" s="53"/>
      <c r="WGN56" s="53"/>
      <c r="WGO56" s="53"/>
      <c r="WGP56" s="53"/>
      <c r="WGQ56" s="53"/>
      <c r="WGR56" s="53"/>
      <c r="WGS56" s="53"/>
      <c r="WGT56" s="53"/>
      <c r="WGU56" s="53"/>
      <c r="WGV56" s="53"/>
      <c r="WGW56" s="53"/>
      <c r="WGX56" s="53"/>
      <c r="WGY56" s="53"/>
      <c r="WGZ56" s="53"/>
      <c r="WHA56" s="53"/>
      <c r="WHB56" s="53"/>
      <c r="WHC56" s="53"/>
      <c r="WHD56" s="53"/>
      <c r="WHE56" s="53"/>
      <c r="WHF56" s="53"/>
      <c r="WHG56" s="53"/>
      <c r="WHH56" s="53"/>
      <c r="WHI56" s="53"/>
      <c r="WHJ56" s="53"/>
      <c r="WHK56" s="53"/>
      <c r="WHL56" s="53"/>
      <c r="WHM56" s="53"/>
      <c r="WHN56" s="53"/>
      <c r="WHO56" s="53"/>
      <c r="WHP56" s="53"/>
      <c r="WHQ56" s="53"/>
      <c r="WHR56" s="53"/>
      <c r="WHS56" s="53"/>
      <c r="WHT56" s="53"/>
      <c r="WHU56" s="53"/>
      <c r="WHV56" s="53"/>
      <c r="WHW56" s="53"/>
      <c r="WHX56" s="53"/>
      <c r="WHY56" s="53"/>
      <c r="WHZ56" s="53"/>
      <c r="WIA56" s="53"/>
      <c r="WIB56" s="53"/>
      <c r="WIC56" s="53"/>
      <c r="WID56" s="53"/>
      <c r="WIE56" s="53"/>
      <c r="WIF56" s="53"/>
      <c r="WIG56" s="53"/>
      <c r="WIH56" s="53"/>
      <c r="WII56" s="53"/>
      <c r="WIJ56" s="53"/>
      <c r="WIK56" s="53"/>
      <c r="WIL56" s="53"/>
      <c r="WIM56" s="53"/>
      <c r="WIN56" s="53"/>
      <c r="WIO56" s="53"/>
      <c r="WIP56" s="53"/>
      <c r="WIQ56" s="53"/>
      <c r="WIR56" s="53"/>
      <c r="WIS56" s="53"/>
      <c r="WIT56" s="53"/>
      <c r="WIU56" s="53"/>
      <c r="WIV56" s="53"/>
      <c r="WIW56" s="53"/>
      <c r="WIX56" s="53"/>
      <c r="WIY56" s="53"/>
      <c r="WIZ56" s="53"/>
      <c r="WJA56" s="53"/>
      <c r="WJB56" s="53"/>
      <c r="WJC56" s="53"/>
      <c r="WJD56" s="53"/>
      <c r="WJE56" s="53"/>
      <c r="WJF56" s="53"/>
      <c r="WJG56" s="53"/>
      <c r="WJH56" s="53"/>
      <c r="WJI56" s="53"/>
      <c r="WJJ56" s="53"/>
      <c r="WJK56" s="53"/>
      <c r="WJL56" s="53"/>
      <c r="WJM56" s="53"/>
      <c r="WJN56" s="53"/>
      <c r="WJO56" s="53"/>
      <c r="WJP56" s="53"/>
      <c r="WJQ56" s="53"/>
      <c r="WJR56" s="53"/>
      <c r="WJS56" s="53"/>
      <c r="WJT56" s="53"/>
      <c r="WJU56" s="53"/>
      <c r="WJV56" s="53"/>
      <c r="WJW56" s="53"/>
      <c r="WJX56" s="53"/>
      <c r="WJY56" s="53"/>
      <c r="WJZ56" s="53"/>
      <c r="WKA56" s="53"/>
      <c r="WKB56" s="53"/>
      <c r="WKC56" s="53"/>
      <c r="WKD56" s="53"/>
      <c r="WKE56" s="53"/>
      <c r="WKF56" s="53"/>
      <c r="WKG56" s="53"/>
      <c r="WKH56" s="53"/>
      <c r="WKI56" s="53"/>
      <c r="WKJ56" s="53"/>
      <c r="WKK56" s="53"/>
      <c r="WKL56" s="53"/>
      <c r="WKM56" s="53"/>
      <c r="WKN56" s="53"/>
      <c r="WKO56" s="53"/>
      <c r="WKP56" s="53"/>
      <c r="WKQ56" s="53"/>
      <c r="WKR56" s="53"/>
      <c r="WKS56" s="53"/>
      <c r="WKT56" s="53"/>
      <c r="WKU56" s="53"/>
      <c r="WKV56" s="53"/>
      <c r="WKW56" s="53"/>
      <c r="WKX56" s="53"/>
      <c r="WKY56" s="53"/>
      <c r="WKZ56" s="53"/>
      <c r="WLA56" s="53"/>
      <c r="WLB56" s="53"/>
      <c r="WLC56" s="53"/>
      <c r="WLD56" s="53"/>
      <c r="WLE56" s="53"/>
      <c r="WLF56" s="53"/>
      <c r="WLG56" s="53"/>
      <c r="WLH56" s="53"/>
      <c r="WLI56" s="53"/>
      <c r="WLJ56" s="53"/>
      <c r="WLK56" s="53"/>
      <c r="WLL56" s="53"/>
      <c r="WLM56" s="53"/>
      <c r="WLN56" s="53"/>
      <c r="WLO56" s="53"/>
      <c r="WLP56" s="53"/>
      <c r="WLQ56" s="53"/>
      <c r="WLR56" s="53"/>
      <c r="WLS56" s="53"/>
      <c r="WLT56" s="53"/>
      <c r="WLU56" s="53"/>
      <c r="WLV56" s="53"/>
      <c r="WLW56" s="53"/>
      <c r="WLX56" s="53"/>
      <c r="WLY56" s="53"/>
      <c r="WLZ56" s="53"/>
      <c r="WMA56" s="53"/>
      <c r="WMB56" s="53"/>
      <c r="WMC56" s="53"/>
      <c r="WMD56" s="53"/>
      <c r="WME56" s="53"/>
      <c r="WMF56" s="53"/>
      <c r="WMG56" s="53"/>
      <c r="WMH56" s="53"/>
      <c r="WMI56" s="53"/>
      <c r="WMJ56" s="53"/>
      <c r="WMK56" s="53"/>
      <c r="WML56" s="53"/>
      <c r="WMM56" s="53"/>
      <c r="WMN56" s="53"/>
      <c r="WMO56" s="53"/>
      <c r="WMP56" s="53"/>
      <c r="WMQ56" s="53"/>
      <c r="WMR56" s="53"/>
      <c r="WMS56" s="53"/>
      <c r="WMT56" s="53"/>
      <c r="WMU56" s="53"/>
      <c r="WMV56" s="53"/>
      <c r="WMW56" s="53"/>
      <c r="WMX56" s="53"/>
      <c r="WMY56" s="53"/>
      <c r="WMZ56" s="53"/>
      <c r="WNA56" s="53"/>
      <c r="WNB56" s="53"/>
      <c r="WNC56" s="53"/>
      <c r="WND56" s="53"/>
      <c r="WNE56" s="53"/>
      <c r="WNF56" s="53"/>
      <c r="WNG56" s="53"/>
      <c r="WNH56" s="53"/>
      <c r="WNI56" s="53"/>
      <c r="WNJ56" s="53"/>
      <c r="WNK56" s="53"/>
      <c r="WNL56" s="53"/>
      <c r="WNM56" s="53"/>
      <c r="WNN56" s="53"/>
      <c r="WNO56" s="53"/>
      <c r="WNP56" s="53"/>
      <c r="WNQ56" s="53"/>
      <c r="WNR56" s="53"/>
      <c r="WNS56" s="53"/>
      <c r="WNT56" s="53"/>
      <c r="WNU56" s="53"/>
      <c r="WNV56" s="53"/>
      <c r="WNW56" s="53"/>
      <c r="WNX56" s="53"/>
      <c r="WNY56" s="53"/>
      <c r="WNZ56" s="53"/>
      <c r="WOA56" s="53"/>
      <c r="WOB56" s="53"/>
      <c r="WOC56" s="53"/>
      <c r="WOD56" s="53"/>
      <c r="WOE56" s="53"/>
      <c r="WOF56" s="53"/>
      <c r="WOG56" s="53"/>
      <c r="WOH56" s="53"/>
      <c r="WOI56" s="53"/>
      <c r="WOJ56" s="53"/>
      <c r="WOK56" s="53"/>
      <c r="WOL56" s="53"/>
      <c r="WOM56" s="53"/>
      <c r="WON56" s="53"/>
      <c r="WOO56" s="53"/>
      <c r="WOP56" s="53"/>
      <c r="WOQ56" s="53"/>
      <c r="WOR56" s="53"/>
      <c r="WOS56" s="53"/>
      <c r="WOT56" s="53"/>
      <c r="WOU56" s="53"/>
      <c r="WOV56" s="53"/>
      <c r="WOW56" s="53"/>
      <c r="WOX56" s="53"/>
      <c r="WOY56" s="53"/>
      <c r="WOZ56" s="53"/>
      <c r="WPA56" s="53"/>
      <c r="WPB56" s="53"/>
      <c r="WPC56" s="53"/>
      <c r="WPD56" s="53"/>
      <c r="WPE56" s="53"/>
      <c r="WPF56" s="53"/>
      <c r="WPG56" s="53"/>
      <c r="WPH56" s="53"/>
      <c r="WPI56" s="53"/>
      <c r="WPJ56" s="53"/>
      <c r="WPK56" s="53"/>
      <c r="WPL56" s="53"/>
      <c r="WPM56" s="53"/>
      <c r="WPN56" s="53"/>
      <c r="WPO56" s="53"/>
      <c r="WPP56" s="53"/>
      <c r="WPQ56" s="53"/>
      <c r="WPR56" s="53"/>
      <c r="WPS56" s="53"/>
      <c r="WPT56" s="53"/>
      <c r="WPU56" s="53"/>
      <c r="WPV56" s="53"/>
      <c r="WPW56" s="53"/>
      <c r="WPX56" s="53"/>
      <c r="WPY56" s="53"/>
      <c r="WPZ56" s="53"/>
      <c r="WQA56" s="53"/>
      <c r="WQB56" s="53"/>
      <c r="WQC56" s="53"/>
      <c r="WQD56" s="53"/>
      <c r="WQE56" s="53"/>
      <c r="WQF56" s="53"/>
      <c r="WQG56" s="53"/>
      <c r="WQH56" s="53"/>
      <c r="WQI56" s="53"/>
      <c r="WQJ56" s="53"/>
      <c r="WQK56" s="53"/>
      <c r="WQL56" s="53"/>
      <c r="WQM56" s="53"/>
      <c r="WQN56" s="53"/>
      <c r="WQO56" s="53"/>
      <c r="WQP56" s="53"/>
      <c r="WQQ56" s="53"/>
      <c r="WQR56" s="53"/>
      <c r="WQS56" s="53"/>
      <c r="WQT56" s="53"/>
      <c r="WQU56" s="53"/>
      <c r="WQV56" s="53"/>
      <c r="WQW56" s="53"/>
      <c r="WQX56" s="53"/>
      <c r="WQY56" s="53"/>
      <c r="WQZ56" s="53"/>
      <c r="WRA56" s="53"/>
      <c r="WRB56" s="53"/>
      <c r="WRC56" s="53"/>
      <c r="WRD56" s="53"/>
      <c r="WRE56" s="53"/>
      <c r="WRF56" s="53"/>
      <c r="WRG56" s="53"/>
      <c r="WRH56" s="53"/>
      <c r="WRI56" s="53"/>
      <c r="WRJ56" s="53"/>
      <c r="WRK56" s="53"/>
      <c r="WRL56" s="53"/>
      <c r="WRM56" s="53"/>
      <c r="WRN56" s="53"/>
      <c r="WRO56" s="53"/>
      <c r="WRP56" s="53"/>
      <c r="WRQ56" s="53"/>
      <c r="WRR56" s="53"/>
      <c r="WRS56" s="53"/>
      <c r="WRT56" s="53"/>
      <c r="WRU56" s="53"/>
      <c r="WRV56" s="53"/>
      <c r="WRW56" s="53"/>
      <c r="WRX56" s="53"/>
      <c r="WRY56" s="53"/>
      <c r="WRZ56" s="53"/>
      <c r="WSA56" s="53"/>
      <c r="WSB56" s="53"/>
      <c r="WSC56" s="53"/>
      <c r="WSD56" s="53"/>
      <c r="WSE56" s="53"/>
      <c r="WSF56" s="53"/>
      <c r="WSG56" s="53"/>
      <c r="WSH56" s="53"/>
      <c r="WSI56" s="53"/>
      <c r="WSJ56" s="53"/>
      <c r="WSK56" s="53"/>
      <c r="WSL56" s="53"/>
      <c r="WSM56" s="53"/>
      <c r="WSN56" s="53"/>
      <c r="WSO56" s="53"/>
      <c r="WSP56" s="53"/>
      <c r="WSQ56" s="53"/>
      <c r="WSR56" s="53"/>
      <c r="WSS56" s="53"/>
      <c r="WST56" s="53"/>
      <c r="WSU56" s="53"/>
      <c r="WSV56" s="53"/>
      <c r="WSW56" s="53"/>
      <c r="WSX56" s="53"/>
      <c r="WSY56" s="53"/>
      <c r="WSZ56" s="53"/>
      <c r="WTA56" s="53"/>
      <c r="WTB56" s="53"/>
      <c r="WTC56" s="53"/>
      <c r="WTD56" s="53"/>
      <c r="WTE56" s="53"/>
      <c r="WTF56" s="53"/>
      <c r="WTG56" s="53"/>
      <c r="WTH56" s="53"/>
      <c r="WTI56" s="53"/>
      <c r="WTJ56" s="53"/>
      <c r="WTK56" s="53"/>
      <c r="WTL56" s="53"/>
      <c r="WTM56" s="53"/>
      <c r="WTN56" s="53"/>
      <c r="WTO56" s="53"/>
      <c r="WTP56" s="53"/>
      <c r="WTQ56" s="53"/>
      <c r="WTR56" s="53"/>
      <c r="WTS56" s="53"/>
      <c r="WTT56" s="53"/>
      <c r="WTU56" s="53"/>
      <c r="WTV56" s="53"/>
      <c r="WTW56" s="53"/>
      <c r="WTX56" s="53"/>
      <c r="WTY56" s="53"/>
      <c r="WTZ56" s="53"/>
      <c r="WUA56" s="53"/>
      <c r="WUB56" s="53"/>
      <c r="WUC56" s="53"/>
      <c r="WUD56" s="53"/>
      <c r="WUE56" s="53"/>
      <c r="WUF56" s="53"/>
      <c r="WUG56" s="53"/>
      <c r="WUH56" s="53"/>
      <c r="WUI56" s="53"/>
      <c r="WUJ56" s="53"/>
      <c r="WUK56" s="53"/>
      <c r="WUL56" s="53"/>
      <c r="WUM56" s="53"/>
      <c r="WUN56" s="53"/>
      <c r="WUO56" s="53"/>
      <c r="WUP56" s="53"/>
      <c r="WUQ56" s="53"/>
      <c r="WUR56" s="53"/>
      <c r="WUS56" s="53"/>
      <c r="WUT56" s="53"/>
      <c r="WUU56" s="53"/>
      <c r="WUV56" s="53"/>
      <c r="WUW56" s="53"/>
      <c r="WUX56" s="53"/>
      <c r="WUY56" s="53"/>
      <c r="WUZ56" s="53"/>
      <c r="WVA56" s="53"/>
      <c r="WVB56" s="53"/>
      <c r="WVC56" s="53"/>
      <c r="WVD56" s="53"/>
      <c r="WVE56" s="53"/>
      <c r="WVF56" s="53"/>
      <c r="WVG56" s="53"/>
      <c r="WVH56" s="53"/>
      <c r="WVI56" s="53"/>
      <c r="WVJ56" s="53"/>
      <c r="WVK56" s="53"/>
      <c r="WVL56" s="53"/>
      <c r="WVM56" s="53"/>
      <c r="WVN56" s="53"/>
      <c r="WVO56" s="53"/>
      <c r="WVP56" s="53"/>
      <c r="WVQ56" s="53"/>
      <c r="WVR56" s="53"/>
      <c r="WVS56" s="53"/>
      <c r="WVT56" s="53"/>
      <c r="WVU56" s="53"/>
      <c r="WVV56" s="53"/>
      <c r="WVW56" s="53"/>
      <c r="WVX56" s="53"/>
      <c r="WVY56" s="53"/>
      <c r="WVZ56" s="53"/>
      <c r="WWA56" s="53"/>
      <c r="WWB56" s="53"/>
      <c r="WWC56" s="53"/>
      <c r="WWD56" s="53"/>
      <c r="WWE56" s="53"/>
      <c r="WWF56" s="53"/>
      <c r="WWG56" s="53"/>
      <c r="WWH56" s="53"/>
      <c r="WWI56" s="53"/>
      <c r="WWJ56" s="53"/>
      <c r="WWK56" s="53"/>
      <c r="WWL56" s="53"/>
      <c r="WWM56" s="53"/>
      <c r="WWN56" s="53"/>
      <c r="WWO56" s="53"/>
      <c r="WWP56" s="53"/>
      <c r="WWQ56" s="53"/>
      <c r="WWR56" s="53"/>
      <c r="WWS56" s="53"/>
      <c r="WWT56" s="53"/>
      <c r="WWU56" s="53"/>
      <c r="WWV56" s="53"/>
      <c r="WWW56" s="53"/>
      <c r="WWX56" s="53"/>
      <c r="WWY56" s="53"/>
      <c r="WWZ56" s="53"/>
      <c r="WXA56" s="53"/>
      <c r="WXB56" s="53"/>
      <c r="WXC56" s="53"/>
      <c r="WXD56" s="53"/>
      <c r="WXE56" s="53"/>
      <c r="WXF56" s="53"/>
      <c r="WXG56" s="53"/>
      <c r="WXH56" s="53"/>
      <c r="WXI56" s="53"/>
      <c r="WXJ56" s="53"/>
      <c r="WXK56" s="53"/>
      <c r="WXL56" s="53"/>
      <c r="WXM56" s="53"/>
      <c r="WXN56" s="53"/>
      <c r="WXO56" s="53"/>
      <c r="WXP56" s="53"/>
      <c r="WXQ56" s="53"/>
      <c r="WXR56" s="53"/>
      <c r="WXS56" s="53"/>
      <c r="WXT56" s="53"/>
      <c r="WXU56" s="53"/>
      <c r="WXV56" s="53"/>
      <c r="WXW56" s="53"/>
      <c r="WXX56" s="53"/>
      <c r="WXY56" s="53"/>
      <c r="WXZ56" s="53"/>
      <c r="WYA56" s="53"/>
      <c r="WYB56" s="53"/>
      <c r="WYC56" s="53"/>
      <c r="WYD56" s="53"/>
      <c r="WYE56" s="53"/>
      <c r="WYF56" s="53"/>
      <c r="WYG56" s="53"/>
      <c r="WYH56" s="53"/>
      <c r="WYI56" s="53"/>
      <c r="WYJ56" s="53"/>
      <c r="WYK56" s="53"/>
      <c r="WYL56" s="53"/>
      <c r="WYM56" s="53"/>
      <c r="WYN56" s="53"/>
      <c r="WYO56" s="53"/>
      <c r="WYP56" s="53"/>
      <c r="WYQ56" s="53"/>
      <c r="WYR56" s="53"/>
      <c r="WYS56" s="53"/>
      <c r="WYT56" s="53"/>
      <c r="WYU56" s="53"/>
      <c r="WYV56" s="53"/>
      <c r="WYW56" s="53"/>
      <c r="WYX56" s="53"/>
      <c r="WYY56" s="53"/>
      <c r="WYZ56" s="53"/>
      <c r="WZA56" s="53"/>
      <c r="WZB56" s="53"/>
      <c r="WZC56" s="53"/>
      <c r="WZD56" s="53"/>
      <c r="WZE56" s="53"/>
      <c r="WZF56" s="53"/>
      <c r="WZG56" s="53"/>
      <c r="WZH56" s="53"/>
      <c r="WZI56" s="53"/>
      <c r="WZJ56" s="53"/>
      <c r="WZK56" s="53"/>
      <c r="WZL56" s="53"/>
      <c r="WZM56" s="53"/>
      <c r="WZN56" s="53"/>
      <c r="WZO56" s="53"/>
      <c r="WZP56" s="53"/>
      <c r="WZQ56" s="53"/>
      <c r="WZR56" s="53"/>
      <c r="WZS56" s="53"/>
      <c r="WZT56" s="53"/>
      <c r="WZU56" s="53"/>
      <c r="WZV56" s="53"/>
      <c r="WZW56" s="53"/>
      <c r="WZX56" s="53"/>
      <c r="WZY56" s="53"/>
      <c r="WZZ56" s="53"/>
      <c r="XAA56" s="53"/>
      <c r="XAB56" s="53"/>
      <c r="XAC56" s="53"/>
      <c r="XAD56" s="53"/>
      <c r="XAE56" s="53"/>
      <c r="XAF56" s="53"/>
      <c r="XAG56" s="53"/>
      <c r="XAH56" s="53"/>
      <c r="XAI56" s="53"/>
      <c r="XAJ56" s="53"/>
      <c r="XAK56" s="53"/>
      <c r="XAL56" s="53"/>
      <c r="XAM56" s="53"/>
      <c r="XAN56" s="53"/>
      <c r="XAO56" s="53"/>
      <c r="XAP56" s="53"/>
      <c r="XAQ56" s="53"/>
      <c r="XAR56" s="53"/>
      <c r="XAS56" s="53"/>
      <c r="XAT56" s="53"/>
      <c r="XAU56" s="53"/>
      <c r="XAV56" s="53"/>
      <c r="XAW56" s="53"/>
      <c r="XAX56" s="53"/>
      <c r="XAY56" s="53"/>
      <c r="XAZ56" s="53"/>
      <c r="XBA56" s="53"/>
      <c r="XBB56" s="53"/>
      <c r="XBC56" s="53"/>
      <c r="XBD56" s="53"/>
      <c r="XBE56" s="53"/>
      <c r="XBF56" s="53"/>
      <c r="XBG56" s="53"/>
      <c r="XBH56" s="53"/>
      <c r="XBI56" s="53"/>
      <c r="XBJ56" s="53"/>
      <c r="XBK56" s="53"/>
      <c r="XBL56" s="53"/>
      <c r="XBM56" s="53"/>
      <c r="XBN56" s="53"/>
      <c r="XBO56" s="53"/>
      <c r="XBP56" s="53"/>
      <c r="XBQ56" s="53"/>
      <c r="XBR56" s="53"/>
      <c r="XBS56" s="53"/>
      <c r="XBT56" s="53"/>
      <c r="XBU56" s="53"/>
      <c r="XBV56" s="53"/>
      <c r="XBW56" s="53"/>
      <c r="XBX56" s="53"/>
      <c r="XBY56" s="53"/>
      <c r="XBZ56" s="53"/>
      <c r="XCA56" s="53"/>
      <c r="XCB56" s="53"/>
      <c r="XCC56" s="53"/>
      <c r="XCD56" s="53"/>
      <c r="XCE56" s="53"/>
      <c r="XCF56" s="53"/>
      <c r="XCG56" s="53"/>
      <c r="XCH56" s="53"/>
      <c r="XCI56" s="53"/>
      <c r="XCJ56" s="53"/>
      <c r="XCK56" s="53"/>
      <c r="XCL56" s="53"/>
      <c r="XCM56" s="53"/>
      <c r="XCN56" s="53"/>
      <c r="XCO56" s="53"/>
      <c r="XCP56" s="53"/>
      <c r="XCQ56" s="53"/>
      <c r="XCR56" s="53"/>
      <c r="XCS56" s="53"/>
      <c r="XCT56" s="53"/>
      <c r="XCU56" s="53"/>
      <c r="XCV56" s="53"/>
      <c r="XCW56" s="53"/>
      <c r="XCX56" s="53"/>
      <c r="XCY56" s="53"/>
      <c r="XCZ56" s="53"/>
      <c r="XDA56" s="53"/>
      <c r="XDB56" s="53"/>
      <c r="XDC56" s="53"/>
      <c r="XDD56" s="53"/>
      <c r="XDE56" s="53"/>
      <c r="XDF56" s="53"/>
      <c r="XDG56" s="53"/>
      <c r="XDH56" s="53"/>
      <c r="XDI56" s="53"/>
      <c r="XDJ56" s="53"/>
      <c r="XDK56" s="53"/>
      <c r="XDL56" s="53"/>
      <c r="XDM56" s="53"/>
      <c r="XDN56" s="53"/>
      <c r="XDO56" s="53"/>
      <c r="XDP56" s="53"/>
      <c r="XDQ56" s="53"/>
      <c r="XDR56" s="53"/>
      <c r="XDS56" s="53"/>
      <c r="XDT56" s="53"/>
      <c r="XDU56" s="53"/>
      <c r="XDV56" s="53"/>
      <c r="XDW56" s="53"/>
      <c r="XDX56" s="53"/>
      <c r="XDY56" s="53"/>
      <c r="XDZ56" s="53"/>
      <c r="XEA56" s="53"/>
      <c r="XEB56" s="53"/>
      <c r="XEC56" s="53"/>
      <c r="XED56" s="53"/>
      <c r="XEE56" s="53"/>
      <c r="XEF56" s="53"/>
      <c r="XEG56" s="53"/>
      <c r="XEH56" s="53"/>
      <c r="XEI56" s="53"/>
      <c r="XEJ56" s="53"/>
      <c r="XEK56" s="53"/>
      <c r="XEL56" s="53"/>
      <c r="XEM56" s="53"/>
      <c r="XEN56" s="53"/>
      <c r="XEO56" s="53"/>
      <c r="XEP56" s="53"/>
      <c r="XEQ56" s="53"/>
      <c r="XER56" s="53"/>
      <c r="XES56" s="53"/>
      <c r="XET56" s="53"/>
      <c r="XEU56" s="53"/>
      <c r="XEV56" s="53"/>
      <c r="XEW56" s="53"/>
      <c r="XEX56" s="53"/>
      <c r="XEY56" s="53"/>
      <c r="XEZ56" s="53"/>
      <c r="XFA56" s="53"/>
      <c r="XFB56" s="53"/>
      <c r="XFC56" s="53"/>
      <c r="XFD56" s="53"/>
    </row>
    <row r="58" spans="1:16384" ht="26.25" x14ac:dyDescent="0.4">
      <c r="S58" s="78"/>
      <c r="W58">
        <v>940000</v>
      </c>
      <c r="X58">
        <v>12521899</v>
      </c>
    </row>
    <row r="59" spans="1:16384" x14ac:dyDescent="0.25">
      <c r="N59" s="54" t="s">
        <v>150</v>
      </c>
      <c r="P59" s="32">
        <f>B56</f>
        <v>18021000</v>
      </c>
      <c r="W59">
        <v>1200000</v>
      </c>
      <c r="X59">
        <v>85000</v>
      </c>
    </row>
    <row r="60" spans="1:16384" x14ac:dyDescent="0.25">
      <c r="N60" s="54" t="s">
        <v>55</v>
      </c>
      <c r="P60" s="32">
        <f>C56</f>
        <v>6174113.8883337844</v>
      </c>
      <c r="W60">
        <v>5000</v>
      </c>
      <c r="X60">
        <v>145000</v>
      </c>
    </row>
    <row r="61" spans="1:16384" x14ac:dyDescent="0.25">
      <c r="N61" s="54" t="s">
        <v>151</v>
      </c>
      <c r="P61" s="32">
        <f>D56</f>
        <v>3860500</v>
      </c>
      <c r="Q61" s="32">
        <v>1513900</v>
      </c>
      <c r="W61">
        <v>963</v>
      </c>
      <c r="X61">
        <v>125000</v>
      </c>
    </row>
    <row r="62" spans="1:16384" x14ac:dyDescent="0.25">
      <c r="N62" s="54" t="s">
        <v>140</v>
      </c>
      <c r="W62">
        <v>70000</v>
      </c>
    </row>
    <row r="63" spans="1:16384" ht="15.75" x14ac:dyDescent="0.25">
      <c r="P63" s="79">
        <f>SUM(P59:P62)</f>
        <v>28055613.888333783</v>
      </c>
      <c r="W63">
        <f t="shared" ref="W63:X63" si="17">SUM(W58:W62)</f>
        <v>2215963</v>
      </c>
      <c r="X63">
        <f t="shared" si="17"/>
        <v>12876899</v>
      </c>
    </row>
    <row r="64" spans="1:16384" x14ac:dyDescent="0.25">
      <c r="N64" s="54" t="s">
        <v>152</v>
      </c>
      <c r="P64" s="80">
        <f>S56</f>
        <v>10310500</v>
      </c>
    </row>
    <row r="65" spans="24:24" x14ac:dyDescent="0.25">
      <c r="X65" s="32">
        <f>X63-W63</f>
        <v>10660936</v>
      </c>
    </row>
  </sheetData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B66"/>
  <sheetViews>
    <sheetView workbookViewId="0">
      <pane xSplit="1" ySplit="3" topLeftCell="E22" activePane="bottomRight" state="frozen"/>
      <selection pane="topRight" activeCell="B1" sqref="B1"/>
      <selection pane="bottomLeft" activeCell="A4" sqref="A4"/>
      <selection pane="bottomRight" activeCell="A13" sqref="A13:XFD13"/>
    </sheetView>
  </sheetViews>
  <sheetFormatPr baseColWidth="10" defaultColWidth="13.7109375" defaultRowHeight="15" x14ac:dyDescent="0.25"/>
  <cols>
    <col min="1" max="1" width="31.85546875" bestFit="1" customWidth="1"/>
    <col min="2" max="2" width="17" customWidth="1"/>
    <col min="3" max="3" width="15" bestFit="1" customWidth="1"/>
    <col min="4" max="4" width="15" style="32" bestFit="1" customWidth="1"/>
    <col min="5" max="5" width="17.42578125" style="32" customWidth="1"/>
    <col min="6" max="6" width="16.7109375" style="32" customWidth="1"/>
    <col min="7" max="8" width="13.7109375" style="48" hidden="1" customWidth="1"/>
    <col min="9" max="10" width="15" style="48" customWidth="1"/>
    <col min="11" max="11" width="18.5703125" style="54" bestFit="1" customWidth="1"/>
    <col min="12" max="14" width="18.5703125" style="54" customWidth="1"/>
    <col min="15" max="15" width="16.85546875" style="48" bestFit="1" customWidth="1"/>
    <col min="16" max="16" width="18.5703125" style="74" hidden="1" customWidth="1"/>
    <col min="17" max="17" width="0.140625" style="54" hidden="1" customWidth="1"/>
    <col min="18" max="18" width="16.85546875" customWidth="1"/>
    <col min="19" max="19" width="13.28515625" hidden="1" customWidth="1"/>
    <col min="20" max="21" width="16.85546875" hidden="1" customWidth="1"/>
    <col min="22" max="22" width="18.5703125" bestFit="1" customWidth="1"/>
    <col min="24" max="24" width="17.85546875" customWidth="1"/>
    <col min="27" max="27" width="18.5703125" style="54" bestFit="1" customWidth="1"/>
    <col min="28" max="28" width="15" style="32" bestFit="1" customWidth="1"/>
    <col min="29" max="29" width="15" bestFit="1" customWidth="1"/>
  </cols>
  <sheetData>
    <row r="1" spans="1:29" ht="23.25" x14ac:dyDescent="0.35">
      <c r="B1" s="52" t="s">
        <v>131</v>
      </c>
    </row>
    <row r="2" spans="1:29" ht="15.75" thickBot="1" x14ac:dyDescent="0.3"/>
    <row r="3" spans="1:29" ht="87" thickTop="1" x14ac:dyDescent="0.25">
      <c r="A3" s="60" t="s">
        <v>74</v>
      </c>
      <c r="B3" s="61" t="s">
        <v>142</v>
      </c>
      <c r="C3" s="61" t="s">
        <v>75</v>
      </c>
      <c r="D3" s="61" t="s">
        <v>1</v>
      </c>
      <c r="E3" s="61" t="s">
        <v>76</v>
      </c>
      <c r="F3" s="61" t="s">
        <v>77</v>
      </c>
      <c r="G3" s="62" t="s">
        <v>54</v>
      </c>
      <c r="H3" s="62" t="s">
        <v>140</v>
      </c>
      <c r="I3" s="62" t="s">
        <v>146</v>
      </c>
      <c r="J3" s="62" t="s">
        <v>144</v>
      </c>
      <c r="K3" s="110" t="s">
        <v>141</v>
      </c>
      <c r="L3" s="110" t="s">
        <v>161</v>
      </c>
      <c r="M3" s="110" t="s">
        <v>162</v>
      </c>
      <c r="N3" s="110" t="s">
        <v>140</v>
      </c>
      <c r="O3" s="62" t="s">
        <v>78</v>
      </c>
      <c r="P3" s="111" t="s">
        <v>79</v>
      </c>
      <c r="Q3" s="110" t="s">
        <v>140</v>
      </c>
      <c r="R3" s="61" t="s">
        <v>137</v>
      </c>
      <c r="S3" s="61" t="s">
        <v>41</v>
      </c>
      <c r="T3" s="61" t="s">
        <v>132</v>
      </c>
      <c r="U3" s="61" t="s">
        <v>133</v>
      </c>
      <c r="V3" s="61" t="s">
        <v>147</v>
      </c>
      <c r="W3" s="61" t="s">
        <v>158</v>
      </c>
      <c r="X3" s="61" t="s">
        <v>160</v>
      </c>
      <c r="Y3" s="63" t="s">
        <v>153</v>
      </c>
      <c r="AA3" s="110" t="s">
        <v>141</v>
      </c>
      <c r="AB3" s="110" t="s">
        <v>75</v>
      </c>
      <c r="AC3" s="110" t="s">
        <v>163</v>
      </c>
    </row>
    <row r="4" spans="1:29" x14ac:dyDescent="0.25">
      <c r="A4" s="14" t="s">
        <v>73</v>
      </c>
      <c r="B4" s="64"/>
      <c r="C4" s="64">
        <f>+INVENT2016_2017!I4</f>
        <v>0</v>
      </c>
      <c r="D4" s="64">
        <f>[11]MVTAOUT!$H5+[11]MVTSEPT!$I5+[11]MVTOCT!$G5+[11]MVTNOV!$G5+[11]MVTDEC!$G5+[11]MVTJANV!$G5+[11]MVTFEV!$G5+[11]MVTMARS!$G5+[11]MVTAVRIL!$G5+[11]MVTMAI!$G5+[11]MVTJUIN!$G5+[11]MVTJUIL!$G5+[11]MVTAOUT2018!$G5</f>
        <v>0</v>
      </c>
      <c r="E4" s="64">
        <f>+[11]MVTAOUT!$D5+[11]MVTSEPT!$E5+[11]MVTOCT!$C5+[11]MVTNOV!$C5+[11]MVTDEC!$C5+[11]MVTJANV!$C5+[11]MVTFEV!$C5+[11]MVTMARS!$C5+[11]MVTAVRIL!$C5+[11]MVTMAI!$C5+[11]MVTJUIN!$C5+[11]MVTJUIL!$C5</f>
        <v>15580.723283297679</v>
      </c>
      <c r="F4" s="64">
        <f t="shared" ref="F4:F56" si="0">+C4+D4+E4</f>
        <v>15580.723283297679</v>
      </c>
      <c r="G4" s="65"/>
      <c r="H4" s="66"/>
      <c r="I4" s="65"/>
      <c r="J4" s="65"/>
      <c r="K4" s="81">
        <f t="shared" ref="K4" si="1">F4-G4-H4-I4-J4</f>
        <v>15580.723283297679</v>
      </c>
      <c r="L4" s="81"/>
      <c r="M4" s="81"/>
      <c r="N4" s="81"/>
      <c r="O4" s="64"/>
      <c r="P4" s="82">
        <f>K4+O4</f>
        <v>15580.723283297679</v>
      </c>
      <c r="Q4" s="66"/>
      <c r="R4" s="65">
        <f>[11]MVTAOUT!O5+[11]MVTSEPT!P5+[11]MVTOCT!N5+[11]MVTNOV!N5+[11]MVTDEC!N5+[11]MVTJANV!N5+[11]MVTFEV!N5+[11]MVTMARS!N5+[11]MVTAVRIL!N5+[11]MVTMAI!N5+[11]MVTJUIN!N5+[11]MVTJUIL!N5</f>
        <v>0</v>
      </c>
      <c r="S4" s="65">
        <f>[11]MVTAOUT!P5+[11]MVTSEPT!Q5+[11]MVTOCT!O5+[11]MVTNOV!O5+[11]MVTDEC!O5+[11]MVTJANV!O5+[11]MVTFEV!O5+[11]MVTMARS!O5+[11]MVTAVRIL!O5+[11]MVTMAI!O5+[11]MVTJUIN!O5+[11]MVTJUIL!O5</f>
        <v>0</v>
      </c>
      <c r="T4" s="65">
        <f>+INVENT2016_2017!N4</f>
        <v>0</v>
      </c>
      <c r="U4" s="65">
        <f>[11]MVTAOUT!$Q5+[11]MVTSEPT!$R5+[11]MVTOCT!$P5+[11]MVTNOV!$P5+[11]MVTDEC!$P5+[11]MVTJANV!$P5+[11]MVTFEV!$P5+[11]MVTMARS!$P5+[11]MVTAVRIL!$P5+[11]MVTMAI!$P5+[11]MVTJUIN!$P5+[11]MVTJUIL!$P5+[11]MVTAOUT2018!$P$5</f>
        <v>0</v>
      </c>
      <c r="V4" s="65"/>
      <c r="W4" s="15"/>
      <c r="X4" s="15"/>
      <c r="Y4" s="112"/>
      <c r="AA4" s="81">
        <v>394080.92738316645</v>
      </c>
      <c r="AB4" s="32">
        <v>394081</v>
      </c>
      <c r="AC4" s="32">
        <f>AA4-AB4</f>
        <v>-7.2616833553183824E-2</v>
      </c>
    </row>
    <row r="5" spans="1:29" x14ac:dyDescent="0.25">
      <c r="A5" s="14" t="s">
        <v>80</v>
      </c>
      <c r="B5" s="64">
        <f>+INVENT2016_2017!J5</f>
        <v>450000</v>
      </c>
      <c r="C5" s="64">
        <f>+INVENT2016_2017!I5</f>
        <v>0</v>
      </c>
      <c r="D5" s="64">
        <f>[11]MVTAOUT!$H6+[11]MVTSEPT!$I6+[11]MVTOCT!$G6+[11]MVTNOV!$G6+[11]MVTDEC!$G6+[11]MVTJANV!$G6+[11]MVTFEV!$G6+[11]MVTMARS!$G6+[11]MVTAVRIL!$G6+[11]MVTMAI!$G6+[11]MVTJUIN!$G6+[11]MVTJUIL!$G6+[11]MVTAOUT2018!$G6</f>
        <v>68000</v>
      </c>
      <c r="E5" s="64">
        <f>+[11]MVTAOUT!$D6+[11]MVTSEPT!$E6+[11]MVTOCT!$C6+[11]MVTNOV!$C6+[11]MVTDEC!$C6+[11]MVTJANV!$C6+[11]MVTFEV!$C6+[11]MVTMARS!$C6+[11]MVTAVRIL!$C6+[11]MVTMAI!$C6+[11]MVTJUIN!$C6+[11]MVTJUIL!$C6</f>
        <v>19643.082164907726</v>
      </c>
      <c r="F5" s="64">
        <f t="shared" si="0"/>
        <v>87643.082164907726</v>
      </c>
      <c r="G5" s="65"/>
      <c r="H5" s="66"/>
      <c r="I5" s="65">
        <v>25000</v>
      </c>
      <c r="J5" s="65">
        <v>30000</v>
      </c>
      <c r="K5" s="81">
        <f>F5-G5-H5-I5-J5-92493</f>
        <v>-59849.917835092274</v>
      </c>
      <c r="L5" s="81"/>
      <c r="M5" s="81"/>
      <c r="N5" s="81"/>
      <c r="O5" s="64">
        <f>B5+J5</f>
        <v>480000</v>
      </c>
      <c r="P5" s="82">
        <f t="shared" ref="P5:P35" si="2">K5+O5</f>
        <v>420150.08216490771</v>
      </c>
      <c r="Q5" s="66"/>
      <c r="R5" s="65">
        <f>[11]MVTAOUT!O6+[11]MVTSEPT!P6+[11]MVTOCT!N6+[11]MVTNOV!N6+[11]MVTDEC!N6+[11]MVTJANV!N6+[11]MVTFEV!N6+[11]MVTMARS!N6+[11]MVTAVRIL!N6+[11]MVTMAI!N6+[11]MVTJUIN!N6+[11]MVTJUIL!N6</f>
        <v>0</v>
      </c>
      <c r="S5" s="65">
        <f>[11]MVTAOUT!P6+[11]MVTSEPT!Q6+[11]MVTOCT!O6+[11]MVTNOV!O6+[11]MVTDEC!O6+[11]MVTJANV!O6+[11]MVTFEV!O6+[11]MVTMARS!O6+[11]MVTAVRIL!O6+[11]MVTMAI!O6+[11]MVTJUIN!O6+[11]MVTJUIL!O6</f>
        <v>0</v>
      </c>
      <c r="T5" s="65">
        <f>+INVENT2016_2017!N5</f>
        <v>588000</v>
      </c>
      <c r="U5" s="65">
        <f>[11]MVTAOUT!$Q6+[11]MVTSEPT!$R6+[11]MVTOCT!$P6+[11]MVTNOV!$P6+[11]MVTDEC!$P6+[11]MVTJANV!$P6+[11]MVTFEV!$P6+[11]MVTMARS!$P6+[11]MVTAVRIL!$P6+[11]MVTMAI!$P6+[11]MVTJUIN!$P6+[11]MVTJUIL!$P6+[11]MVTAOUT2018!$P$6</f>
        <v>0</v>
      </c>
      <c r="V5" s="65">
        <v>588000</v>
      </c>
      <c r="W5" s="65">
        <v>88000</v>
      </c>
      <c r="X5" s="65">
        <f>+V5</f>
        <v>588000</v>
      </c>
      <c r="Y5" s="113">
        <v>42904</v>
      </c>
      <c r="AA5" s="81">
        <v>0.49369671277236193</v>
      </c>
      <c r="AB5" s="32">
        <f>+[12]MVTSEPT!$D7</f>
        <v>648642.04691810464</v>
      </c>
      <c r="AC5" s="32">
        <f t="shared" ref="AC5:AC56" si="3">AA5-AB5</f>
        <v>-648641.55322139186</v>
      </c>
    </row>
    <row r="6" spans="1:29" x14ac:dyDescent="0.25">
      <c r="A6" s="14" t="s">
        <v>81</v>
      </c>
      <c r="B6" s="64">
        <f>+INVENT2016_2017!J6</f>
        <v>450000</v>
      </c>
      <c r="C6" s="64">
        <f>+INVENT2016_2017!I6</f>
        <v>47526.870595715751</v>
      </c>
      <c r="D6" s="64">
        <f>[11]MVTAOUT!$H7+[11]MVTSEPT!$I7+[11]MVTOCT!$G7+[11]MVTNOV!$G7+[11]MVTDEC!$G7+[11]MVTJANV!$G7+[11]MVTFEV!$G7+[11]MVTMARS!$G7+[11]MVTAVRIL!$G7+[11]MVTMAI!$G7+[11]MVTJUIN!$G7+[11]MVTJUIL!$G7+[11]MVTAOUT2018!$G7</f>
        <v>39000</v>
      </c>
      <c r="E6" s="64">
        <f>+[11]MVTAOUT!$D7+[11]MVTSEPT!$E7+[11]MVTOCT!$C7+[11]MVTNOV!$C7+[11]MVTDEC!$C7+[11]MVTJANV!$C7+[11]MVTFEV!$C7+[11]MVTMARS!$C7+[11]MVTAVRIL!$C7+[11]MVTMAI!$C7+[11]MVTJUIN!$C7+[11]MVTJUIL!$C7</f>
        <v>19804.409122959751</v>
      </c>
      <c r="F6" s="64">
        <f t="shared" si="0"/>
        <v>106331.27971867551</v>
      </c>
      <c r="G6" s="65"/>
      <c r="H6" s="66"/>
      <c r="I6" s="65">
        <v>25000</v>
      </c>
      <c r="J6" s="65">
        <v>30000</v>
      </c>
      <c r="K6" s="81">
        <f>F6-G6-H6-I6-J6-15000</f>
        <v>36331.279718675505</v>
      </c>
      <c r="L6" s="81">
        <v>15000</v>
      </c>
      <c r="M6" s="81"/>
      <c r="N6" s="81">
        <v>35000</v>
      </c>
      <c r="O6" s="64">
        <f>B6+J6</f>
        <v>480000</v>
      </c>
      <c r="P6" s="82">
        <f t="shared" si="2"/>
        <v>516331.27971867553</v>
      </c>
      <c r="Q6" s="66"/>
      <c r="R6" s="65">
        <f>[11]MVTAOUT!O7+[11]MVTSEPT!P7+[11]MVTOCT!N7+[11]MVTNOV!N7+[11]MVTDEC!N7+[11]MVTJANV!N7+[11]MVTFEV!N7+[11]MVTMARS!N7+[11]MVTAVRIL!N7+[11]MVTMAI!N7+[11]MVTJUIN!N7+[11]MVTJUIL!N7</f>
        <v>0</v>
      </c>
      <c r="S6" s="65">
        <f>[11]MVTAOUT!P7+[11]MVTSEPT!Q7+[11]MVTOCT!O7+[11]MVTNOV!O7+[11]MVTDEC!O7+[11]MVTJANV!O7+[11]MVTFEV!O7+[11]MVTMARS!O7+[11]MVTAVRIL!O7+[11]MVTMAI!O7+[11]MVTJUIN!O7+[11]MVTJUIL!O7</f>
        <v>0</v>
      </c>
      <c r="T6" s="65">
        <f>+INVENT2016_2017!N6</f>
        <v>784000</v>
      </c>
      <c r="U6" s="65">
        <f>[11]MVTAOUT!$Q7+[11]MVTSEPT!$R7+[11]MVTOCT!$P7+[11]MVTNOV!$P7+[11]MVTDEC!$P7+[11]MVTJANV!$P7+[11]MVTFEV!$P7+[11]MVTMARS!$P7+[11]MVTAVRIL!$P7+[11]MVTMAI!$P7+[11]MVTJUIN!$P7+[11]MVTJUIL!$P7+[11]MVTAOUT2018!$P$7</f>
        <v>823200</v>
      </c>
      <c r="V6" s="65">
        <v>0</v>
      </c>
      <c r="W6" s="65"/>
      <c r="X6" s="65"/>
      <c r="Y6" s="112"/>
      <c r="AA6" s="81">
        <v>36331.279718675505</v>
      </c>
      <c r="AB6" s="32">
        <f>+[12]MVTSEPT!$D8</f>
        <v>671889.76687987673</v>
      </c>
      <c r="AC6" s="32">
        <f t="shared" si="3"/>
        <v>-635558.48716120119</v>
      </c>
    </row>
    <row r="7" spans="1:29" x14ac:dyDescent="0.25">
      <c r="A7" s="14" t="s">
        <v>82</v>
      </c>
      <c r="B7" s="64">
        <f>+INVENT2016_2017!J7</f>
        <v>450000</v>
      </c>
      <c r="C7" s="64">
        <f>+INVENT2016_2017!I7</f>
        <v>39888.739729307388</v>
      </c>
      <c r="D7" s="64">
        <f>[11]MVTAOUT!$H8+[11]MVTSEPT!$I8+[11]MVTOCT!$G8+[11]MVTNOV!$G8+[11]MVTDEC!$G8+[11]MVTJANV!$G8+[11]MVTFEV!$G8+[11]MVTMARS!$G8+[11]MVTAVRIL!$G8+[11]MVTMAI!$G8+[11]MVTJUIN!$G8+[11]MVTJUIL!$G8+[11]MVTAOUT2018!$G8</f>
        <v>39000</v>
      </c>
      <c r="E7" s="64">
        <f>+[11]MVTAOUT!$D8+[11]MVTSEPT!$E8+[11]MVTOCT!$C8+[11]MVTNOV!$C8+[11]MVTDEC!$C8+[11]MVTJANV!$C8+[11]MVTFEV!$C8+[11]MVTMARS!$C8+[11]MVTAVRIL!$C8+[11]MVTMAI!$C8+[11]MVTJUIN!$C8+[11]MVTJUIL!$C8</f>
        <v>19815.211897162193</v>
      </c>
      <c r="F7" s="64">
        <f t="shared" si="0"/>
        <v>98703.951626469585</v>
      </c>
      <c r="G7" s="65"/>
      <c r="H7" s="66"/>
      <c r="I7" s="65">
        <v>25000</v>
      </c>
      <c r="J7" s="65">
        <v>30000</v>
      </c>
      <c r="K7" s="81">
        <f>F7-G7-H7-I7-J7-15000</f>
        <v>28703.951626469585</v>
      </c>
      <c r="L7" s="81">
        <v>15000</v>
      </c>
      <c r="M7" s="81"/>
      <c r="N7" s="81">
        <v>25000</v>
      </c>
      <c r="O7" s="64">
        <f>B7+J7</f>
        <v>480000</v>
      </c>
      <c r="P7" s="82">
        <f t="shared" si="2"/>
        <v>508703.95162646961</v>
      </c>
      <c r="Q7" s="66"/>
      <c r="R7" s="65">
        <f>[11]MVTAOUT!O8+[11]MVTSEPT!P8+[11]MVTOCT!N8+[11]MVTNOV!N8+[11]MVTDEC!N8+[11]MVTJANV!N8+[11]MVTFEV!N8+[11]MVTMARS!N8+[11]MVTAVRIL!N8+[11]MVTMAI!N8+[11]MVTJUIN!N8+[11]MVTJUIL!N8</f>
        <v>0</v>
      </c>
      <c r="S7" s="65">
        <f>[11]MVTAOUT!P8+[11]MVTSEPT!Q8+[11]MVTOCT!O8+[11]MVTNOV!O8+[11]MVTDEC!O8+[11]MVTJANV!O8+[11]MVTFEV!O8+[11]MVTMARS!O8+[11]MVTAVRIL!O8+[11]MVTMAI!O8+[11]MVTJUIN!O8+[11]MVTJUIL!O8</f>
        <v>0</v>
      </c>
      <c r="T7" s="65">
        <f>+INVENT2016_2017!N7</f>
        <v>1293600</v>
      </c>
      <c r="U7" s="65">
        <f>[11]MVTAOUT!$Q8+[11]MVTSEPT!$R8+[11]MVTOCT!$P8+[11]MVTNOV!$P8+[11]MVTDEC!$P8+[11]MVTJANV!$P8+[11]MVTFEV!$P8+[11]MVTMARS!$P8+[11]MVTAVRIL!$P8+[11]MVTMAI!$P8+[11]MVTJUIN!$P8+[11]MVTJUIL!$P8+[11]MVTAOUT2018!$P$8</f>
        <v>1293500</v>
      </c>
      <c r="V7" s="65"/>
      <c r="W7" s="65"/>
      <c r="X7" s="65"/>
      <c r="Y7" s="112"/>
      <c r="AA7" s="81">
        <v>28703.951626469585</v>
      </c>
      <c r="AB7" s="32">
        <f>+[12]MVTSEPT!$D9</f>
        <v>312839.88914258289</v>
      </c>
      <c r="AC7" s="32">
        <f t="shared" si="3"/>
        <v>-284135.93751611328</v>
      </c>
    </row>
    <row r="8" spans="1:29" x14ac:dyDescent="0.25">
      <c r="A8" s="114" t="s">
        <v>128</v>
      </c>
      <c r="B8" s="64"/>
      <c r="C8" s="64"/>
      <c r="D8" s="64"/>
      <c r="E8" s="64"/>
      <c r="F8" s="64"/>
      <c r="G8" s="65"/>
      <c r="H8" s="66"/>
      <c r="I8" s="65"/>
      <c r="J8" s="65"/>
      <c r="K8" s="81"/>
      <c r="L8" s="81"/>
      <c r="M8" s="81"/>
      <c r="N8" s="81"/>
      <c r="O8" s="64"/>
      <c r="P8" s="82"/>
      <c r="Q8" s="66"/>
      <c r="R8" s="65"/>
      <c r="S8" s="65"/>
      <c r="T8" s="65"/>
      <c r="U8" s="65"/>
      <c r="V8" s="65"/>
      <c r="W8" s="65"/>
      <c r="X8" s="65"/>
      <c r="Y8" s="112"/>
      <c r="AA8" s="81">
        <v>2994.5270055831024</v>
      </c>
      <c r="AB8" s="32">
        <f>+[12]MVTSEPT!$D10</f>
        <v>1119730.2223502491</v>
      </c>
      <c r="AC8" s="32">
        <f t="shared" si="3"/>
        <v>-1116735.695344666</v>
      </c>
    </row>
    <row r="9" spans="1:29" x14ac:dyDescent="0.25">
      <c r="A9" s="14" t="s">
        <v>83</v>
      </c>
      <c r="B9" s="64">
        <f>+INVENT2016_2017!J8</f>
        <v>450000</v>
      </c>
      <c r="C9" s="64">
        <f>+INVENT2016_2017!I8</f>
        <v>23224.097929742595</v>
      </c>
      <c r="D9" s="64">
        <f>[11]MVTAOUT!$H9+[11]MVTSEPT!$I9+[11]MVTOCT!$G9+[11]MVTNOV!$G9+[11]MVTDEC!$G9+[11]MVTJANV!$G9+[11]MVTFEV!$G9+[11]MVTMARS!$G9+[11]MVTAVRIL!$G9+[11]MVTMAI!$G9+[11]MVTJUIN!$G9+[11]MVTJUIL!$G9+[11]MVTAOUT2018!$G9</f>
        <v>39000</v>
      </c>
      <c r="E9" s="64">
        <f>+[11]MVTAOUT!$D9+[11]MVTSEPT!$E9+[11]MVTOCT!$C9+[11]MVTNOV!$C9+[11]MVTDEC!$C9+[11]MVTJANV!$C9+[11]MVTFEV!$C9+[11]MVTMARS!$C9+[11]MVTAVRIL!$C9+[11]MVTMAI!$C9+[11]MVTJUIN!$C9+[11]MVTJUIL!$C9</f>
        <v>19830.391889387389</v>
      </c>
      <c r="F9" s="64">
        <f t="shared" si="0"/>
        <v>82054.489819129987</v>
      </c>
      <c r="G9" s="65"/>
      <c r="H9" s="66"/>
      <c r="I9" s="65">
        <v>25000</v>
      </c>
      <c r="J9" s="65">
        <v>30000</v>
      </c>
      <c r="K9" s="81">
        <f>F9-G9-H9-I9-J9+33000-34650-15000</f>
        <v>10404.489819129987</v>
      </c>
      <c r="L9" s="81">
        <v>15000</v>
      </c>
      <c r="M9" s="81">
        <v>34650</v>
      </c>
      <c r="N9" s="81">
        <v>10000</v>
      </c>
      <c r="O9" s="64">
        <f>B9+J9</f>
        <v>480000</v>
      </c>
      <c r="P9" s="82">
        <f t="shared" si="2"/>
        <v>490404.48981912999</v>
      </c>
      <c r="Q9" s="66"/>
      <c r="R9" s="65">
        <f>[11]MVTAOUT!O9+[11]MVTSEPT!P9+[11]MVTOCT!N9+[11]MVTNOV!N9+[11]MVTDEC!N9+[11]MVTJANV!N9+[11]MVTFEV!N9+[11]MVTMARS!N9+[11]MVTAVRIL!N9+[11]MVTMAI!N9+[11]MVTJUIN!N9+[11]MVTJUIL!N9</f>
        <v>693000</v>
      </c>
      <c r="S9" s="65">
        <f>[11]MVTAOUT!P9+[11]MVTSEPT!Q9+[11]MVTOCT!O9+[11]MVTNOV!O9+[11]MVTDEC!O9+[11]MVTJANV!O9+[11]MVTFEV!O9+[11]MVTMARS!O9+[11]MVTAVRIL!O9+[11]MVTMAI!O9+[11]MVTJUIN!O9+[11]MVTJUIL!O9</f>
        <v>49000</v>
      </c>
      <c r="T9" s="65">
        <f>+INVENT2016_2017!N8</f>
        <v>1017000</v>
      </c>
      <c r="U9" s="65">
        <f>[11]MVTAOUT!$Q9+[11]MVTSEPT!$R9+[11]MVTOCT!$P9+[11]MVTNOV!$P9+[11]MVTDEC!$P9+[11]MVTJANV!$P9+[11]MVTFEV!$P9+[11]MVTMARS!$P9+[11]MVTAVRIL!$P9+[11]MVTMAI!$P9+[11]MVTJUIN!$P9+[11]MVTJUIL!$P9+[11]MVTAOUT2018!$P$9</f>
        <v>1040000</v>
      </c>
      <c r="V9" s="65">
        <v>693000</v>
      </c>
      <c r="W9" s="65">
        <v>0</v>
      </c>
      <c r="X9" s="65">
        <f>+V9+W9</f>
        <v>693000</v>
      </c>
      <c r="Y9" s="113">
        <v>43121</v>
      </c>
      <c r="AA9" s="81">
        <v>10404.489819129987</v>
      </c>
      <c r="AB9" s="32">
        <f>+[12]MVTSEPT!$D11</f>
        <v>653645.29287423182</v>
      </c>
      <c r="AC9" s="32">
        <f t="shared" si="3"/>
        <v>-643240.80305510177</v>
      </c>
    </row>
    <row r="10" spans="1:29" x14ac:dyDescent="0.25">
      <c r="A10" s="14" t="s">
        <v>84</v>
      </c>
      <c r="B10" s="64">
        <f>+INVENT2016_2017!J9</f>
        <v>450000</v>
      </c>
      <c r="C10" s="64">
        <f>+INVENT2016_2017!I9</f>
        <v>69006.039725126408</v>
      </c>
      <c r="D10" s="64">
        <f>[11]MVTAOUT!$H10+[11]MVTSEPT!$I10+[11]MVTOCT!$G10+[11]MVTNOV!$G10+[11]MVTDEC!$G10+[11]MVTJANV!$G10+[11]MVTFEV!$G10+[11]MVTMARS!$G10+[11]MVTAVRIL!$G10+[11]MVTMAI!$G10+[11]MVTJUIN!$G10+[11]MVTJUIL!$G10+[11]MVTAOUT2018!$G10</f>
        <v>51000</v>
      </c>
      <c r="E10" s="64">
        <f>+[11]MVTAOUT!$D10+[11]MVTSEPT!$E10+[11]MVTOCT!$C10+[11]MVTNOV!$C10+[11]MVTDEC!$C10+[11]MVTJANV!$C10+[11]MVTFEV!$C10+[11]MVTMARS!$C10+[11]MVTAVRIL!$C10+[11]MVTMAI!$C10+[11]MVTJUIN!$C10+[11]MVTJUIL!$C10</f>
        <v>20026.542089482133</v>
      </c>
      <c r="F10" s="64">
        <f t="shared" si="0"/>
        <v>140032.58181460854</v>
      </c>
      <c r="G10" s="65"/>
      <c r="H10" s="66"/>
      <c r="I10" s="65">
        <v>25000</v>
      </c>
      <c r="J10" s="65">
        <v>30000</v>
      </c>
      <c r="K10" s="81">
        <f>F10-G10-H10-I10-J10-15000</f>
        <v>70032.581814608537</v>
      </c>
      <c r="L10" s="81">
        <v>15000</v>
      </c>
      <c r="M10" s="81"/>
      <c r="N10" s="81">
        <v>70000</v>
      </c>
      <c r="O10" s="64">
        <f>B10+J10</f>
        <v>480000</v>
      </c>
      <c r="P10" s="82">
        <f t="shared" si="2"/>
        <v>550032.58181460854</v>
      </c>
      <c r="Q10" s="66"/>
      <c r="R10" s="65">
        <f>[11]MVTAOUT!O10+[11]MVTSEPT!P10+[11]MVTOCT!N10+[11]MVTNOV!N10+[11]MVTDEC!N10+[11]MVTJANV!N10+[11]MVTFEV!N10+[11]MVTMARS!N10+[11]MVTAVRIL!N10+[11]MVTMAI!N10+[11]MVTJUIN!N10+[11]MVTJUIL!N10</f>
        <v>0</v>
      </c>
      <c r="S10" s="65">
        <f>[11]MVTAOUT!P10+[11]MVTSEPT!Q10+[11]MVTOCT!O10+[11]MVTNOV!O10+[11]MVTDEC!O10+[11]MVTJANV!O10+[11]MVTFEV!O10+[11]MVTMARS!O10+[11]MVTAVRIL!O10+[11]MVTMAI!O10+[11]MVTJUIN!O10+[11]MVTJUIL!O10</f>
        <v>0</v>
      </c>
      <c r="T10" s="65">
        <f>+INVENT2016_2017!N9</f>
        <v>140000</v>
      </c>
      <c r="U10" s="65">
        <f>[11]MVTAOUT!$Q10+[11]MVTSEPT!$R10+[11]MVTOCT!$P10+[11]MVTNOV!$P10+[11]MVTDEC!$P10+[11]MVTJANV!$P10+[11]MVTFEV!$P10+[11]MVTMARS!$P10+[11]MVTAVRIL!$P10+[11]MVTMAI!$P10+[11]MVTJUIN!$P10+[11]MVTJUIL!$P10+[11]MVTAOUT2018!$P$10</f>
        <v>210000</v>
      </c>
      <c r="V10" s="65"/>
      <c r="W10" s="65"/>
      <c r="X10" s="65"/>
      <c r="Y10" s="112"/>
      <c r="AA10" s="81">
        <v>70032.581814608537</v>
      </c>
      <c r="AB10" s="32">
        <f>+[12]MVTSEPT!$D12</f>
        <v>644946.58962549234</v>
      </c>
      <c r="AC10" s="32">
        <f t="shared" si="3"/>
        <v>-574914.00781088381</v>
      </c>
    </row>
    <row r="11" spans="1:29" x14ac:dyDescent="0.25">
      <c r="A11" s="14"/>
      <c r="B11" s="64"/>
      <c r="C11" s="64"/>
      <c r="D11" s="64"/>
      <c r="E11" s="64"/>
      <c r="F11" s="64"/>
      <c r="G11" s="65"/>
      <c r="H11" s="66"/>
      <c r="I11" s="65"/>
      <c r="J11" s="65"/>
      <c r="K11" s="81"/>
      <c r="L11" s="81"/>
      <c r="M11" s="81"/>
      <c r="N11" s="81"/>
      <c r="O11" s="64"/>
      <c r="P11" s="82"/>
      <c r="Q11" s="66"/>
      <c r="R11" s="65"/>
      <c r="S11" s="65"/>
      <c r="T11" s="65"/>
      <c r="U11" s="65"/>
      <c r="V11" s="65"/>
      <c r="W11" s="65"/>
      <c r="X11" s="65"/>
      <c r="Y11" s="112"/>
      <c r="AA11" s="81"/>
      <c r="AC11" s="32">
        <f t="shared" si="3"/>
        <v>0</v>
      </c>
    </row>
    <row r="12" spans="1:29" ht="15" customHeight="1" x14ac:dyDescent="0.25">
      <c r="A12" s="14" t="s">
        <v>86</v>
      </c>
      <c r="B12" s="64">
        <f>+INVENT2016_2017!J11</f>
        <v>450000</v>
      </c>
      <c r="C12" s="64">
        <f>+INVENT2016_2017!I11</f>
        <v>730153.82846491481</v>
      </c>
      <c r="D12" s="64">
        <f>[11]MVTAOUT!$H11+[11]MVTSEPT!$I11+[11]MVTOCT!$G11+[11]MVTNOV!$G11+[11]MVTDEC!$G11+[11]MVTJANV!$G11+[11]MVTFEV!$G11+[11]MVTMARS!$G11+[11]MVTAVRIL!$G11+[11]MVTMAI!$G11+[11]MVTJUIN!$G11+[11]MVTJUIL!$G11+[11]MVTAOUT2018!$G11</f>
        <v>233000</v>
      </c>
      <c r="E12" s="64">
        <f>+[11]MVTAOUT!$D11+[11]MVTSEPT!$E11+[11]MVTOCT!$C11+[11]MVTNOV!$C11+[11]MVTDEC!$C11+[11]MVTJANV!$C11+[11]MVTFEV!$C11+[11]MVTMARS!$C11+[11]MVTAVRIL!$C11+[11]MVTMAI!$C11+[11]MVTJUIN!$C11+[11]MVTJUIL!$C11</f>
        <v>22119.979952866226</v>
      </c>
      <c r="F12" s="64">
        <f t="shared" si="0"/>
        <v>985273.80841778102</v>
      </c>
      <c r="G12" s="65"/>
      <c r="H12" s="66"/>
      <c r="I12" s="65"/>
      <c r="J12" s="65"/>
      <c r="K12" s="81">
        <f>F12-G12-H12-I12-J12-35000</f>
        <v>950273.80841778102</v>
      </c>
      <c r="L12" s="81"/>
      <c r="M12" s="81"/>
      <c r="N12" s="81"/>
      <c r="O12" s="64">
        <f>B12+J12</f>
        <v>450000</v>
      </c>
      <c r="P12" s="82">
        <f t="shared" si="2"/>
        <v>1400273.808417781</v>
      </c>
      <c r="Q12" s="84"/>
      <c r="R12" s="65">
        <f>[11]MVTAOUT!O11+[11]MVTSEPT!P11+[11]MVTOCT!N11+[11]MVTNOV!N11+[11]MVTDEC!N11+[11]MVTJANV!N11+[11]MVTFEV!N11+[11]MVTMARS!N11+[11]MVTAVRIL!N11+[11]MVTMAI!N11+[11]MVTJUIN!N11+[11]MVTJUIL!N11</f>
        <v>0</v>
      </c>
      <c r="S12" s="65">
        <f>[11]MVTAOUT!P11+[11]MVTSEPT!Q11+[11]MVTOCT!O11+[11]MVTNOV!O11+[11]MVTDEC!O11+[11]MVTJANV!O11+[11]MVTFEV!O11+[11]MVTMARS!O11+[11]MVTAVRIL!O11+[11]MVTMAI!O11+[11]MVTJUIN!O11+[11]MVTJUIL!O11</f>
        <v>0</v>
      </c>
      <c r="T12" s="65">
        <f>+INVENT2016_2017!N11</f>
        <v>1120000</v>
      </c>
      <c r="U12" s="65">
        <f>[11]MVTAOUT!$Q11+[11]MVTSEPT!$R11+[11]MVTOCT!$P11+[11]MVTNOV!$P11+[11]MVTDEC!$P11+[11]MVTJANV!$P11+[11]MVTFEV!$P11+[11]MVTMARS!$P11+[11]MVTAVRIL!$P11+[11]MVTMAI!$P11+[11]MVTJUIN!$P11+[11]MVTJUIL!$P11+[11]MVTAOUT2018!$P$11</f>
        <v>1100000</v>
      </c>
      <c r="V12" s="65">
        <v>0</v>
      </c>
      <c r="W12" s="65"/>
      <c r="X12" s="65"/>
      <c r="Y12" s="112"/>
      <c r="AA12" s="81">
        <v>950273.80841778102</v>
      </c>
      <c r="AB12" s="32">
        <v>0</v>
      </c>
      <c r="AC12" s="32">
        <f t="shared" si="3"/>
        <v>950273.80841778102</v>
      </c>
    </row>
    <row r="13" spans="1:29" ht="15" customHeight="1" x14ac:dyDescent="0.25">
      <c r="A13" s="14" t="s">
        <v>87</v>
      </c>
      <c r="B13" s="64">
        <f>+INVENT2016_2017!J12</f>
        <v>450000</v>
      </c>
      <c r="C13" s="64">
        <f>+INVENT2016_2017!I12</f>
        <v>47654.584164984422</v>
      </c>
      <c r="D13" s="64">
        <f>[11]MVTAOUT!$H12+[11]MVTSEPT!$I12+[11]MVTOCT!$G12+[11]MVTNOV!$G12+[11]MVTDEC!$G12+[11]MVTJANV!$G12+[11]MVTFEV!$G12+[11]MVTMARS!$G12+[11]MVTAVRIL!$G12+[11]MVTMAI!$G12+[11]MVTJUIN!$G12+[11]MVTJUIL!$G12+[11]MVTAOUT2018!$G12</f>
        <v>39000</v>
      </c>
      <c r="E13" s="64">
        <f>+[11]MVTAOUT!$D12+[11]MVTSEPT!$E12+[11]MVTOCT!$C12+[11]MVTNOV!$C12+[11]MVTDEC!$C12+[11]MVTJANV!$C12+[11]MVTFEV!$C12+[11]MVTMARS!$C12+[11]MVTAVRIL!$C12+[11]MVTMAI!$C12+[11]MVTJUIN!$C12+[11]MVTJUIL!$C12</f>
        <v>19804.49817563231</v>
      </c>
      <c r="F13" s="64">
        <f t="shared" si="0"/>
        <v>106459.08234061673</v>
      </c>
      <c r="G13" s="65"/>
      <c r="H13" s="66"/>
      <c r="I13" s="65">
        <v>25000</v>
      </c>
      <c r="J13" s="65">
        <v>30000</v>
      </c>
      <c r="K13" s="81">
        <f>F13-G13-H13-I13-J13-51459</f>
        <v>8.234061673283577E-2</v>
      </c>
      <c r="L13" s="81">
        <v>25000</v>
      </c>
      <c r="M13" s="81">
        <v>26459</v>
      </c>
      <c r="N13" s="81"/>
      <c r="O13" s="64">
        <f>B13+J13</f>
        <v>480000</v>
      </c>
      <c r="P13" s="82">
        <f t="shared" si="2"/>
        <v>480000.08234061673</v>
      </c>
      <c r="Q13" s="84"/>
      <c r="R13" s="65">
        <f>[11]MVTAOUT!O12+[11]MVTSEPT!P12+[11]MVTOCT!N12+[11]MVTNOV!N12+[11]MVTDEC!N12+[11]MVTJANV!N12+[11]MVTFEV!N12+[11]MVTMARS!N12+[11]MVTAVRIL!N12+[11]MVTMAI!N12+[11]MVTJUIN!N12+[11]MVTJUIL!N12</f>
        <v>1000000</v>
      </c>
      <c r="S13" s="65">
        <f>[11]MVTAOUT!P12+[11]MVTSEPT!Q12+[11]MVTOCT!O12+[11]MVTNOV!O12+[11]MVTDEC!O12+[11]MVTJANV!O12+[11]MVTFEV!O12+[11]MVTMARS!O12+[11]MVTAVRIL!O12+[11]MVTMAI!O12+[11]MVTJUIN!O12+[11]MVTJUIL!O12</f>
        <v>40000</v>
      </c>
      <c r="T13" s="65">
        <f>+INVENT2016_2017!N12</f>
        <v>784000</v>
      </c>
      <c r="U13" s="65">
        <f>[11]MVTAOUT!$Q12+[11]MVTSEPT!$R12+[11]MVTOCT!$P12+[11]MVTNOV!$P12+[11]MVTDEC!$P12+[11]MVTJANV!$P12+[11]MVTFEV!$P12+[11]MVTMARS!$P12+[11]MVTAVRIL!$P12+[11]MVTMAI!$P12+[11]MVTJUIN!$P12+[11]MVTJUIL!$P12+[11]MVTAOUT2018!$P$12</f>
        <v>770000</v>
      </c>
      <c r="V13" s="65">
        <v>1000000</v>
      </c>
      <c r="W13" s="65">
        <f>V13*5/100</f>
        <v>50000</v>
      </c>
      <c r="X13" s="65">
        <f>+V13+W128</f>
        <v>1000000</v>
      </c>
      <c r="Y13" s="113">
        <v>43205</v>
      </c>
      <c r="AA13" s="81">
        <v>8.234061673283577E-2</v>
      </c>
      <c r="AB13" s="32">
        <f>+[12]MVTSEPT!$D13</f>
        <v>912642.46594586375</v>
      </c>
      <c r="AC13" s="32">
        <f t="shared" si="3"/>
        <v>-912642.38360524701</v>
      </c>
    </row>
    <row r="14" spans="1:29" ht="15" customHeight="1" x14ac:dyDescent="0.25">
      <c r="A14" s="114" t="s">
        <v>129</v>
      </c>
      <c r="B14" s="64"/>
      <c r="C14" s="64"/>
      <c r="D14" s="64"/>
      <c r="E14" s="64"/>
      <c r="F14" s="64"/>
      <c r="G14" s="65"/>
      <c r="H14" s="66"/>
      <c r="I14" s="65"/>
      <c r="J14" s="65"/>
      <c r="K14" s="81"/>
      <c r="L14" s="81"/>
      <c r="M14" s="81"/>
      <c r="N14" s="81"/>
      <c r="O14" s="64"/>
      <c r="P14" s="82"/>
      <c r="Q14" s="84"/>
      <c r="R14" s="65"/>
      <c r="S14" s="65"/>
      <c r="T14" s="65"/>
      <c r="U14" s="65"/>
      <c r="V14" s="65"/>
      <c r="W14" s="65"/>
      <c r="X14" s="65"/>
      <c r="Y14" s="113"/>
      <c r="AA14" s="81"/>
      <c r="AB14" s="32">
        <f>+[12]MVTSEPT!$D14</f>
        <v>634013.91120654321</v>
      </c>
      <c r="AC14" s="32">
        <f t="shared" si="3"/>
        <v>-634013.91120654321</v>
      </c>
    </row>
    <row r="15" spans="1:29" ht="15" customHeight="1" x14ac:dyDescent="0.25">
      <c r="A15" s="14" t="s">
        <v>88</v>
      </c>
      <c r="B15" s="64">
        <f>+INVENT2016_2017!J13</f>
        <v>450000</v>
      </c>
      <c r="C15" s="64">
        <f>+INVENT2016_2017!I13</f>
        <v>110017.94800500985</v>
      </c>
      <c r="D15" s="64">
        <f>[11]MVTAOUT!$H13+[11]MVTSEPT!$I13+[11]MVTOCT!$G13+[11]MVTNOV!$G13+[11]MVTDEC!$G13+[11]MVTJANV!$G13+[11]MVTFEV!$G13+[11]MVTMARS!$G13+[11]MVTAVRIL!$G13+[11]MVTMAI!$G13+[11]MVTJUIN!$G13+[11]MVTJUIL!$G13+[11]MVTAOUT2018!$G13</f>
        <v>39000</v>
      </c>
      <c r="E15" s="64">
        <f>+[11]MVTAOUT!$D13+[11]MVTSEPT!$E13+[11]MVTOCT!$C13+[11]MVTNOV!$C13+[11]MVTDEC!$C13+[11]MVTJANV!$C13+[11]MVTFEV!$C13+[11]MVTMARS!$C13+[11]MVTAVRIL!$C13+[11]MVTMAI!$C13+[11]MVTJUIN!$C13+[11]MVTJUIL!$C13</f>
        <v>19979.185268172896</v>
      </c>
      <c r="F15" s="64">
        <f t="shared" si="0"/>
        <v>168997.13327318276</v>
      </c>
      <c r="G15" s="65"/>
      <c r="H15" s="66"/>
      <c r="I15" s="65">
        <v>25000</v>
      </c>
      <c r="J15" s="65">
        <v>30000</v>
      </c>
      <c r="K15" s="81">
        <f t="shared" ref="K15:K18" si="4">F15-G15-H15-I15-J15</f>
        <v>113997.13327318276</v>
      </c>
      <c r="L15" s="81"/>
      <c r="M15" s="81"/>
      <c r="N15" s="81"/>
      <c r="O15" s="64">
        <f>B15+J15</f>
        <v>480000</v>
      </c>
      <c r="P15" s="82">
        <f t="shared" si="2"/>
        <v>593997.13327318279</v>
      </c>
      <c r="Q15" s="84"/>
      <c r="R15" s="65">
        <f>[11]MVTAOUT!O13+[11]MVTSEPT!P13+[11]MVTOCT!N13+[11]MVTNOV!N13+[11]MVTDEC!N13+[11]MVTJANV!N13+[11]MVTFEV!N13+[11]MVTMARS!N13+[11]MVTAVRIL!N13+[11]MVTMAI!N13+[11]MVTJUIN!N13+[11]MVTJUIL!N13</f>
        <v>700000</v>
      </c>
      <c r="S15" s="65">
        <f>[11]MVTAOUT!P13+[11]MVTSEPT!Q13+[11]MVTOCT!O13+[11]MVTNOV!O13+[11]MVTDEC!O13+[11]MVTJANV!O13+[11]MVTFEV!O13+[11]MVTMARS!O13+[11]MVTAVRIL!O13+[11]MVTMAI!O13+[11]MVTJUIN!O13+[11]MVTJUIL!O13</f>
        <v>42000</v>
      </c>
      <c r="T15" s="65">
        <f>+INVENT2016_2017!N13</f>
        <v>0</v>
      </c>
      <c r="U15" s="65">
        <f>[11]MVTAOUT!$Q13+[11]MVTSEPT!$R13+[11]MVTOCT!$P13+[11]MVTNOV!$P13+[11]MVTDEC!$P13+[11]MVTJANV!$P13+[11]MVTFEV!$P13+[11]MVTMARS!$P13+[11]MVTAVRIL!$P13+[11]MVTMAI!$P13+[11]MVTJUIN!$P13+[11]MVTJUIL!$P13+[11]MVTAOUT2018!$P$13</f>
        <v>0</v>
      </c>
      <c r="V15" s="65">
        <v>700000</v>
      </c>
      <c r="W15" s="65">
        <v>0</v>
      </c>
      <c r="X15" s="65">
        <f t="shared" ref="X15" si="5">+V15+W15</f>
        <v>700000</v>
      </c>
      <c r="Y15" s="113">
        <v>43148</v>
      </c>
      <c r="AA15" s="81">
        <v>113997.13327318276</v>
      </c>
      <c r="AB15" s="32">
        <f>+[12]MVTSEPT!$D15</f>
        <v>761566.84181084961</v>
      </c>
      <c r="AC15" s="32">
        <f t="shared" si="3"/>
        <v>-647569.70853766683</v>
      </c>
    </row>
    <row r="16" spans="1:29" ht="15" customHeight="1" x14ac:dyDescent="0.25">
      <c r="A16" s="14" t="s">
        <v>89</v>
      </c>
      <c r="B16" s="64">
        <f>+INVENT2016_2017!J14</f>
        <v>450000</v>
      </c>
      <c r="C16" s="64">
        <f>+INVENT2016_2017!I14</f>
        <v>47415.82110666974</v>
      </c>
      <c r="D16" s="64">
        <f>[11]MVTAOUT!$H14+[11]MVTSEPT!$I14+[11]MVTOCT!$G14+[11]MVTNOV!$G14+[11]MVTDEC!$G14+[11]MVTJANV!$G14+[11]MVTFEV!$G14+[11]MVTMARS!$G14+[11]MVTAVRIL!$G14+[11]MVTMAI!$G14+[11]MVTJUIN!$G14+[11]MVTJUIL!$G14+[11]MVTAOUT2018!$G14</f>
        <v>40000</v>
      </c>
      <c r="E16" s="64">
        <f>+[11]MVTAOUT!$D14+[11]MVTSEPT!$E14+[11]MVTOCT!$C14+[11]MVTNOV!$C14+[11]MVTDEC!$C14+[11]MVTJANV!$C14+[11]MVTFEV!$C14+[11]MVTMARS!$C14+[11]MVTAVRIL!$C14+[11]MVTMAI!$C14+[11]MVTJUIN!$C14+[11]MVTJUIL!$C14</f>
        <v>19803.730952607159</v>
      </c>
      <c r="F16" s="64">
        <f t="shared" si="0"/>
        <v>107219.5520592769</v>
      </c>
      <c r="G16" s="65"/>
      <c r="H16" s="66"/>
      <c r="I16" s="65">
        <v>25000</v>
      </c>
      <c r="J16" s="65">
        <v>30000</v>
      </c>
      <c r="K16" s="81">
        <f>F16-G16-H16-I16-J16-25000</f>
        <v>27219.552059276903</v>
      </c>
      <c r="L16" s="81">
        <v>25000</v>
      </c>
      <c r="M16" s="81"/>
      <c r="N16" s="81">
        <v>25000</v>
      </c>
      <c r="O16" s="64">
        <f>B16+J16</f>
        <v>480000</v>
      </c>
      <c r="P16" s="82">
        <f t="shared" si="2"/>
        <v>507219.5520592769</v>
      </c>
      <c r="Q16" s="84"/>
      <c r="R16" s="65">
        <f>[11]MVTAOUT!O14+[11]MVTSEPT!P14+[11]MVTOCT!N14+[11]MVTNOV!N14+[11]MVTDEC!N14+[11]MVTJANV!N14+[11]MVTFEV!N14+[11]MVTMARS!N14+[11]MVTAVRIL!N14+[11]MVTMAI!N14+[11]MVTJUIN!N14+[11]MVTJUIL!N14</f>
        <v>600000</v>
      </c>
      <c r="S16" s="65">
        <f>[11]MVTAOUT!P14+[11]MVTSEPT!Q14+[11]MVTOCT!O14+[11]MVTNOV!O14+[11]MVTDEC!O14+[11]MVTJANV!O14+[11]MVTFEV!O14+[11]MVTMARS!O14+[11]MVTAVRIL!O14+[11]MVTMAI!O14+[11]MVTJUIN!O14+[11]MVTJUIL!O14</f>
        <v>66000</v>
      </c>
      <c r="T16" s="65">
        <f>+INVENT2016_2017!N14</f>
        <v>1293600</v>
      </c>
      <c r="U16" s="65">
        <f>[11]MVTAOUT!$Q14+[11]MVTSEPT!$R14+[11]MVTOCT!$P14+[11]MVTNOV!$P14+[11]MVTDEC!$P14+[11]MVTJANV!$P14+[11]MVTFEV!$P14+[11]MVTMARS!$P14+[11]MVTAVRIL!$P14+[11]MVTMAI!$P14+[11]MVTJUIN!$P14+[11]MVTJUIL!$P14+[11]MVTAOUT2018!$P$14</f>
        <v>1959000</v>
      </c>
      <c r="V16" s="65">
        <f>666000-666000</f>
        <v>0</v>
      </c>
      <c r="W16" s="65"/>
      <c r="X16" s="65"/>
      <c r="Y16" s="113">
        <v>42993</v>
      </c>
      <c r="AA16" s="81">
        <v>27219.552059276903</v>
      </c>
      <c r="AB16" s="32">
        <f>+[12]MVTSEPT!$D16</f>
        <v>861035.46410902217</v>
      </c>
      <c r="AC16" s="32">
        <f t="shared" si="3"/>
        <v>-833815.91204974521</v>
      </c>
    </row>
    <row r="17" spans="1:29" ht="15" customHeight="1" x14ac:dyDescent="0.25">
      <c r="A17" s="14" t="s">
        <v>90</v>
      </c>
      <c r="B17" s="64">
        <f>+INVENT2016_2017!J15</f>
        <v>450000</v>
      </c>
      <c r="C17" s="64">
        <f>+INVENT2016_2017!I15</f>
        <v>0</v>
      </c>
      <c r="D17" s="64">
        <f>[11]MVTAOUT!$H15+[11]MVTSEPT!$I15+[11]MVTOCT!$G15+[11]MVTNOV!$G15+[11]MVTDEC!$G15+[11]MVTJANV!$G15+[11]MVTFEV!$G15+[11]MVTMARS!$G15+[11]MVTAVRIL!$G15+[11]MVTMAI!$G15+[11]MVTJUIN!$G15+[11]MVTJUIL!$G15+[11]MVTAOUT2018!$G15</f>
        <v>39000</v>
      </c>
      <c r="E17" s="64">
        <f>+[11]MVTAOUT!$D15+[11]MVTSEPT!$E15+[11]MVTOCT!$C15+[11]MVTNOV!$C15+[11]MVTDEC!$C15+[11]MVTJANV!$C15+[11]MVTFEV!$C15+[11]MVTMARS!$C15+[11]MVTAVRIL!$C15+[11]MVTMAI!$C15+[11]MVTJUIN!$C15+[11]MVTJUIL!$C15</f>
        <v>20021.149627566785</v>
      </c>
      <c r="F17" s="64">
        <f t="shared" si="0"/>
        <v>59021.149627566789</v>
      </c>
      <c r="G17" s="65"/>
      <c r="H17" s="66"/>
      <c r="I17" s="65">
        <v>25000</v>
      </c>
      <c r="J17" s="65">
        <v>30000</v>
      </c>
      <c r="K17" s="81">
        <f>F17-G17-H17-I17-J17-25000-90000</f>
        <v>-110978.85037243321</v>
      </c>
      <c r="L17" s="81">
        <v>25000</v>
      </c>
      <c r="M17" s="81"/>
      <c r="N17" s="81"/>
      <c r="O17" s="64">
        <f>B17+J17</f>
        <v>480000</v>
      </c>
      <c r="P17" s="82">
        <f t="shared" si="2"/>
        <v>369021.1496275668</v>
      </c>
      <c r="Q17" s="84"/>
      <c r="R17" s="65">
        <f>[11]MVTAOUT!O15+[11]MVTSEPT!P15+[11]MVTOCT!N15+[11]MVTNOV!N15+[11]MVTDEC!N15+[11]MVTJANV!N15+[11]MVTFEV!N15+[11]MVTMARS!N15+[11]MVTAVRIL!N15+[11]MVTMAI!N15+[11]MVTJUIN!N15+[11]MVTJUIL!N15</f>
        <v>0</v>
      </c>
      <c r="S17" s="65">
        <f>[11]MVTAOUT!P15+[11]MVTSEPT!Q15+[11]MVTOCT!O15+[11]MVTNOV!O15+[11]MVTDEC!O15+[11]MVTJANV!O15+[11]MVTFEV!O15+[11]MVTMARS!O15+[11]MVTAVRIL!O15+[11]MVTMAI!O15+[11]MVTJUIN!O15+[11]MVTJUIL!O15</f>
        <v>0</v>
      </c>
      <c r="T17" s="65">
        <f>+INVENT2016_2017!N15</f>
        <v>0</v>
      </c>
      <c r="U17" s="65">
        <f>[11]MVTAOUT!$Q15+[11]MVTSEPT!$R15+[11]MVTOCT!$P15+[11]MVTNOV!$P15+[11]MVTDEC!$P15+[11]MVTJANV!$P15+[11]MVTFEV!$P15+[11]MVTMARS!$P15+[11]MVTAVRIL!$P15+[11]MVTMAI!$P15+[11]MVTJUIN!$P15+[11]MVTJUIL!$P15+[11]MVTAOUT2018!$P$15</f>
        <v>0</v>
      </c>
      <c r="V17" s="65"/>
      <c r="W17" s="65"/>
      <c r="X17" s="65"/>
      <c r="Y17" s="112"/>
      <c r="AA17" s="81">
        <v>3998.5841971817717</v>
      </c>
      <c r="AB17" s="32">
        <f>+[12]MVTSEPT!$D17</f>
        <v>6032356.5526907975</v>
      </c>
      <c r="AC17" s="32">
        <f t="shared" si="3"/>
        <v>-6028357.9684936153</v>
      </c>
    </row>
    <row r="18" spans="1:29" s="2" customFormat="1" ht="15" customHeight="1" x14ac:dyDescent="0.25">
      <c r="A18" s="114" t="s">
        <v>91</v>
      </c>
      <c r="B18" s="66">
        <v>80000</v>
      </c>
      <c r="C18" s="66">
        <f>+INVENT2016_2017!I16</f>
        <v>0</v>
      </c>
      <c r="D18" s="66">
        <f>[11]MVTAOUT!$H16+[11]MVTSEPT!$I16+[11]MVTOCT!$G16+[11]MVTNOV!$G16+[11]MVTDEC!$G16+[11]MVTJANV!$G16+[11]MVTFEV!$G16+[11]MVTMARS!$G16+[11]MVTAVRIL!$G16+[11]MVTMAI!$G16+[11]MVTJUIN!$G16+[11]MVTJUIL!$G16+[11]MVTAOUT2018!$G16</f>
        <v>0</v>
      </c>
      <c r="E18" s="66">
        <f>+[11]MVTAOUT!$D16+[11]MVTSEPT!$E16+[11]MVTOCT!$C16+[11]MVTNOV!$C16+[11]MVTDEC!$C16+[11]MVTJANV!$C16+[11]MVTFEV!$C16+[11]MVTMARS!$C16+[11]MVTAVRIL!$C16+[11]MVTMAI!$C16+[11]MVTJUIN!$C16+[11]MVTJUIL!$C16</f>
        <v>3334.7558071553813</v>
      </c>
      <c r="F18" s="66">
        <f t="shared" si="0"/>
        <v>3334.7558071553813</v>
      </c>
      <c r="G18" s="66"/>
      <c r="H18" s="66"/>
      <c r="I18" s="66">
        <v>6848</v>
      </c>
      <c r="J18" s="66">
        <v>0</v>
      </c>
      <c r="K18" s="81">
        <f t="shared" si="4"/>
        <v>-3513.2441928446187</v>
      </c>
      <c r="L18" s="81"/>
      <c r="M18" s="81"/>
      <c r="N18" s="81"/>
      <c r="O18" s="64">
        <v>80000</v>
      </c>
      <c r="P18" s="82">
        <f t="shared" si="2"/>
        <v>76486.755807155379</v>
      </c>
      <c r="Q18" s="84"/>
      <c r="R18" s="65">
        <f>[11]MVTAOUT!O16+[11]MVTSEPT!P16+[11]MVTOCT!N16+[11]MVTNOV!N16+[11]MVTDEC!N16+[11]MVTJANV!N16+[11]MVTFEV!N16+[11]MVTMARS!N16+[11]MVTAVRIL!N16+[11]MVTMAI!N16+[11]MVTJUIN!N16+[11]MVTJUIL!N16</f>
        <v>0</v>
      </c>
      <c r="S18" s="65">
        <f>[11]MVTAOUT!P16+[11]MVTSEPT!Q16+[11]MVTOCT!O16+[11]MVTNOV!O16+[11]MVTDEC!O16+[11]MVTJANV!O16+[11]MVTFEV!O16+[11]MVTMARS!O16+[11]MVTAVRIL!O16+[11]MVTMAI!O16+[11]MVTJUIN!O16+[11]MVTJUIL!O16</f>
        <v>0</v>
      </c>
      <c r="T18" s="65">
        <f>+INVENT2016_2017!N16</f>
        <v>0</v>
      </c>
      <c r="U18" s="65">
        <f>[11]MVTAOUT!$Q16+[11]MVTSEPT!$R16+[11]MVTOCT!$P16+[11]MVTNOV!$P16+[11]MVTDEC!$P16+[11]MVTJANV!$P16+[11]MVTFEV!$P16+[11]MVTMARS!$P16+[11]MVTAVRIL!$P16+[11]MVTMAI!$P16+[11]MVTJUIN!$P16+[11]MVTJUIL!$P16+[11]MVTAOUT2018!$P$16</f>
        <v>0</v>
      </c>
      <c r="V18" s="65"/>
      <c r="W18" s="65"/>
      <c r="X18" s="65"/>
      <c r="Y18" s="115"/>
      <c r="AA18" s="81">
        <v>59.217016513402996</v>
      </c>
      <c r="AB18" s="32">
        <f>+[12]MVTSEPT!$D18</f>
        <v>660968.36417477601</v>
      </c>
      <c r="AC18" s="32">
        <f t="shared" si="3"/>
        <v>-660909.14715826255</v>
      </c>
    </row>
    <row r="19" spans="1:29" ht="15" customHeight="1" x14ac:dyDescent="0.25">
      <c r="A19" s="14" t="s">
        <v>92</v>
      </c>
      <c r="B19" s="64">
        <f>+INVENT2016_2017!J17</f>
        <v>450000</v>
      </c>
      <c r="C19" s="64">
        <f>+INVENT2016_2017!I17</f>
        <v>82839.280004531</v>
      </c>
      <c r="D19" s="64">
        <f>[11]MVTAOUT!$H17+[11]MVTSEPT!$I17+[11]MVTOCT!$G17+[11]MVTNOV!$G17+[11]MVTDEC!$G17+[11]MVTJANV!$G17+[11]MVTFEV!$G17+[11]MVTMARS!$G17+[11]MVTAVRIL!$G17+[11]MVTMAI!$G17+[11]MVTJUIN!$G17+[11]MVTJUIL!$G17+[11]MVTAOUT2018!$G17</f>
        <v>54000</v>
      </c>
      <c r="E19" s="64">
        <f>+[11]MVTAOUT!$D17+[11]MVTSEPT!$E17+[11]MVTOCT!$C17+[11]MVTNOV!$C17+[11]MVTDEC!$C17+[11]MVTJANV!$C17+[11]MVTFEV!$C17+[11]MVTMARS!$C17+[11]MVTAVRIL!$C17+[11]MVTMAI!$C17+[11]MVTJUIN!$C17+[11]MVTJUIL!$C17</f>
        <v>20317.162507742913</v>
      </c>
      <c r="F19" s="64">
        <f t="shared" si="0"/>
        <v>157156.4425122739</v>
      </c>
      <c r="G19" s="65"/>
      <c r="H19" s="66"/>
      <c r="I19" s="65">
        <v>25000</v>
      </c>
      <c r="J19" s="65">
        <v>30000</v>
      </c>
      <c r="K19" s="81">
        <f>F19-G19-H19-I19-J19-102156</f>
        <v>0.44251227390486747</v>
      </c>
      <c r="L19" s="81">
        <v>25000</v>
      </c>
      <c r="M19" s="81">
        <v>77156</v>
      </c>
      <c r="N19" s="81"/>
      <c r="O19" s="64">
        <f>B19+J19</f>
        <v>480000</v>
      </c>
      <c r="P19" s="82">
        <f t="shared" si="2"/>
        <v>480000.4425122739</v>
      </c>
      <c r="Q19" s="66"/>
      <c r="R19" s="65">
        <f>[11]MVTAOUT!O17+[11]MVTSEPT!P17+[11]MVTOCT!N17+[11]MVTNOV!N17+[11]MVTDEC!N17+[11]MVTJANV!N17+[11]MVTFEV!N17+[11]MVTMARS!N17+[11]MVTAVRIL!N17+[11]MVTMAI!N17+[11]MVTJUIN!N17+[11]MVTJUIL!N17</f>
        <v>0</v>
      </c>
      <c r="S19" s="65">
        <f>[11]MVTAOUT!P17+[11]MVTSEPT!Q17+[11]MVTOCT!O17+[11]MVTNOV!O17+[11]MVTDEC!O17+[11]MVTJANV!O17+[11]MVTFEV!O17+[11]MVTMARS!O17+[11]MVTAVRIL!O17+[11]MVTMAI!O17+[11]MVTJUIN!O17+[11]MVTJUIL!O17</f>
        <v>0</v>
      </c>
      <c r="T19" s="65">
        <f>+INVENT2016_2017!N17</f>
        <v>784000</v>
      </c>
      <c r="U19" s="65">
        <f>[11]MVTAOUT!$Q17+[11]MVTSEPT!$R17+[11]MVTOCT!$P17+[11]MVTNOV!$P17+[11]MVTDEC!$P17+[11]MVTJANV!$P17+[11]MVTFEV!$P17+[11]MVTMARS!$P17+[11]MVTAVRIL!$P17+[11]MVTMAI!$P17+[11]MVTJUIN!$P17+[11]MVTJUIL!$P17+[11]MVTAOUT2018!$P$17</f>
        <v>565000</v>
      </c>
      <c r="V19" s="65">
        <v>219000</v>
      </c>
      <c r="W19" s="65">
        <f>V19*5/100</f>
        <v>10950</v>
      </c>
      <c r="X19" s="65">
        <f>+V19+W19</f>
        <v>229950</v>
      </c>
      <c r="Y19" s="113">
        <v>42904</v>
      </c>
      <c r="AA19" s="81">
        <v>0.44251227390486747</v>
      </c>
      <c r="AB19" s="32">
        <f>+[12]MVTSEPT!$D18</f>
        <v>660968.36417477601</v>
      </c>
      <c r="AC19" s="32">
        <f t="shared" si="3"/>
        <v>-660967.92166250211</v>
      </c>
    </row>
    <row r="20" spans="1:29" ht="15" customHeight="1" x14ac:dyDescent="0.25">
      <c r="A20" s="17" t="s">
        <v>93</v>
      </c>
      <c r="B20" s="66">
        <v>387000</v>
      </c>
      <c r="C20" s="64">
        <f>+INVENT2016_2017!I18</f>
        <v>48664.160188931972</v>
      </c>
      <c r="D20" s="64">
        <f>[11]MVTAOUT!$H18+[11]MVTSEPT!$I18+[11]MVTOCT!$G18+[11]MVTNOV!$G18+[11]MVTDEC!$G18+[11]MVTJANV!$G18+[11]MVTFEV!$G18+[11]MVTMARS!$G18+[11]MVTAVRIL!$G18+[11]MVTMAI!$G18+[11]MVTJUIN!$G18+[11]MVTJUIL!$G18+[11]MVTAOUT2018!$G18</f>
        <v>0</v>
      </c>
      <c r="E20" s="64">
        <f>+[11]MVTAOUT!$D18+[11]MVTSEPT!$E18+[11]MVTOCT!$C18+[11]MVTNOV!$C18+[11]MVTDEC!$C18+[11]MVTJANV!$C18+[11]MVTFEV!$C18+[11]MVTMARS!$C18+[11]MVTAVRIL!$C18+[11]MVTMAI!$C18+[11]MVTJUIN!$C18+[11]MVTJUIL!$C18</f>
        <v>16583.140217657292</v>
      </c>
      <c r="F20" s="64">
        <f t="shared" si="0"/>
        <v>65247.30040658926</v>
      </c>
      <c r="G20" s="65"/>
      <c r="H20" s="66"/>
      <c r="I20" s="65">
        <v>25000</v>
      </c>
      <c r="J20" s="65">
        <v>30000</v>
      </c>
      <c r="K20" s="81">
        <f>F20-G20-H20-I20-J20-3000-7247</f>
        <v>0.30040658926009201</v>
      </c>
      <c r="L20" s="81"/>
      <c r="M20" s="81"/>
      <c r="N20" s="81"/>
      <c r="O20" s="64">
        <f>447000+30000+3000</f>
        <v>480000</v>
      </c>
      <c r="P20" s="82">
        <f t="shared" si="2"/>
        <v>480000.30040658929</v>
      </c>
      <c r="Q20" s="66"/>
      <c r="R20" s="65">
        <f>[11]MVTAOUT!O18+[11]MVTSEPT!P18+[11]MVTOCT!N18+[11]MVTNOV!N18+[11]MVTDEC!N18+[11]MVTJANV!N18+[11]MVTFEV!N18+[11]MVTMARS!N18+[11]MVTAVRIL!N18+[11]MVTMAI!N18+[11]MVTJUIN!N18+[11]MVTJUIL!N18</f>
        <v>0</v>
      </c>
      <c r="S20" s="65">
        <f>[11]MVTAOUT!P18+[11]MVTSEPT!Q18+[11]MVTOCT!O18+[11]MVTNOV!O18+[11]MVTDEC!O18+[11]MVTJANV!O18+[11]MVTFEV!O18+[11]MVTMARS!O18+[11]MVTAVRIL!O18+[11]MVTMAI!O18+[11]MVTJUIN!O18+[11]MVTJUIL!O18</f>
        <v>0</v>
      </c>
      <c r="T20" s="65">
        <f>+INVENT2016_2017!N18</f>
        <v>0</v>
      </c>
      <c r="U20" s="65">
        <f>[11]MVTAOUT!$Q18+[11]MVTSEPT!$R18+[11]MVTOCT!$P18+[11]MVTNOV!$P18+[11]MVTDEC!$P18+[11]MVTJANV!$P18+[11]MVTFEV!$P18+[11]MVTMARS!$P18+[11]MVTAVRIL!$P18+[11]MVTMAI!$P18+[11]MVTJUIN!$P18+[11]MVTJUIL!$P18+[11]MVTAOUT2018!$P$18</f>
        <v>0</v>
      </c>
      <c r="V20" s="65"/>
      <c r="W20" s="65"/>
      <c r="X20" s="65"/>
      <c r="Y20" s="112"/>
      <c r="AA20" s="81">
        <v>0.30040658926009201</v>
      </c>
      <c r="AB20" s="32">
        <v>0</v>
      </c>
      <c r="AC20" s="32">
        <f t="shared" si="3"/>
        <v>0.30040658926009201</v>
      </c>
    </row>
    <row r="21" spans="1:29" ht="15" customHeight="1" x14ac:dyDescent="0.25">
      <c r="A21" s="14" t="s">
        <v>94</v>
      </c>
      <c r="B21" s="64">
        <f>+INVENT2016_2017!J19</f>
        <v>450000</v>
      </c>
      <c r="C21" s="64">
        <f>+INVENT2016_2017!I19</f>
        <v>1911428.9050543844</v>
      </c>
      <c r="D21" s="64">
        <f>[11]MVTAOUT!$H19+[11]MVTSEPT!$I19+[11]MVTOCT!$G19+[11]MVTNOV!$G19+[11]MVTDEC!$G19+[11]MVTJANV!$G19+[11]MVTFEV!$G19+[11]MVTMARS!$G19+[11]MVTAVRIL!$G19+[11]MVTMAI!$G19+[11]MVTJUIN!$G19+[11]MVTJUIL!$G19+[11]MVTAOUT2018!$G19</f>
        <v>1078000</v>
      </c>
      <c r="E21" s="64">
        <f>+[11]MVTAOUT!$D19+[11]MVTSEPT!$E19+[11]MVTOCT!$C19+[11]MVTNOV!$C19+[11]MVTDEC!$C19+[11]MVTJANV!$C19+[11]MVTFEV!$C19+[11]MVTMARS!$C19+[11]MVTAVRIL!$C19+[11]MVTMAI!$C19+[11]MVTJUIN!$C19+[11]MVTJUIL!$C19</f>
        <v>29469.823241101709</v>
      </c>
      <c r="F21" s="64">
        <f t="shared" si="0"/>
        <v>3018898.728295486</v>
      </c>
      <c r="G21" s="65"/>
      <c r="H21" s="66"/>
      <c r="I21" s="65">
        <v>25000</v>
      </c>
      <c r="J21" s="65">
        <v>30000</v>
      </c>
      <c r="K21" s="81">
        <f>F21-G21-H21-I21-J21-15000</f>
        <v>2948898.728295486</v>
      </c>
      <c r="L21" s="81">
        <v>15000</v>
      </c>
      <c r="M21" s="81"/>
      <c r="N21" s="81">
        <v>45000</v>
      </c>
      <c r="O21" s="64">
        <f t="shared" ref="O21:O30" si="6">B21+J21</f>
        <v>480000</v>
      </c>
      <c r="P21" s="82">
        <f t="shared" si="2"/>
        <v>3428898.728295486</v>
      </c>
      <c r="Q21" s="66"/>
      <c r="R21" s="65">
        <f>[11]MVTAOUT!O19+[11]MVTSEPT!P19+[11]MVTOCT!N19+[11]MVTNOV!N19+[11]MVTDEC!N19+[11]MVTJANV!N19+[11]MVTFEV!N19+[11]MVTMARS!N19+[11]MVTAVRIL!N19+[11]MVTMAI!N19+[11]MVTJUIN!N19+[11]MVTJUIL!N19</f>
        <v>0</v>
      </c>
      <c r="S21" s="65">
        <f>[11]MVTAOUT!P19+[11]MVTSEPT!Q19+[11]MVTOCT!O19+[11]MVTNOV!O19+[11]MVTDEC!O19+[11]MVTJANV!O19+[11]MVTFEV!O19+[11]MVTMARS!O19+[11]MVTAVRIL!O19+[11]MVTMAI!O19+[11]MVTJUIN!O19+[11]MVTJUIL!O19</f>
        <v>0</v>
      </c>
      <c r="T21" s="65">
        <f>+INVENT2016_2017!N19</f>
        <v>0</v>
      </c>
      <c r="U21" s="65">
        <f>[11]MVTAOUT!$Q19+[11]MVTSEPT!$R19+[11]MVTOCT!$P19+[11]MVTNOV!$P19+[11]MVTDEC!$P19+[11]MVTJANV!$P19+[11]MVTFEV!$P19+[11]MVTMARS!$P19+[11]MVTAVRIL!$P19+[11]MVTMAI!$P19+[11]MVTJUIN!$P19+[11]MVTJUIL!$P19+[11]MVTAOUT2018!$P$19</f>
        <v>0</v>
      </c>
      <c r="V21" s="65"/>
      <c r="W21" s="65"/>
      <c r="X21" s="65"/>
      <c r="Y21" s="112"/>
      <c r="AA21" s="81">
        <v>2948898.728295486</v>
      </c>
      <c r="AB21" s="32">
        <f>+[12]MVTSEPT!$D19</f>
        <v>649452.04544350482</v>
      </c>
      <c r="AC21" s="32">
        <f t="shared" si="3"/>
        <v>2299446.6828519814</v>
      </c>
    </row>
    <row r="22" spans="1:29" x14ac:dyDescent="0.25">
      <c r="A22" s="14" t="s">
        <v>95</v>
      </c>
      <c r="B22" s="64">
        <f>+INVENT2016_2017!J20</f>
        <v>450000</v>
      </c>
      <c r="C22" s="64">
        <f>+INVENT2016_2017!I20</f>
        <v>47239.946532464717</v>
      </c>
      <c r="D22" s="64">
        <f>[11]MVTAOUT!$H20+[11]MVTSEPT!$I20+[11]MVTOCT!$G20+[11]MVTNOV!$G20+[11]MVTDEC!$G20+[11]MVTJANV!$G20+[11]MVTFEV!$G20+[11]MVTMARS!$G20+[11]MVTAVRIL!$G20+[11]MVTMAI!$G20+[11]MVTJUIN!$G20+[11]MVTJUIL!$G20+[11]MVTAOUT2018!$G20</f>
        <v>39000</v>
      </c>
      <c r="E22" s="64">
        <f>+[11]MVTAOUT!$D20+[11]MVTSEPT!$E20+[11]MVTOCT!$C20+[11]MVTNOV!$C20+[11]MVTDEC!$C20+[11]MVTJANV!$C20+[11]MVTFEV!$C20+[11]MVTMARS!$C20+[11]MVTAVRIL!$C20+[11]MVTMAI!$C20+[11]MVTJUIN!$C20+[11]MVTJUIL!$C20</f>
        <v>19803.16581064666</v>
      </c>
      <c r="F22" s="64">
        <f t="shared" si="0"/>
        <v>106043.11234311138</v>
      </c>
      <c r="G22" s="65"/>
      <c r="H22" s="66"/>
      <c r="I22" s="65">
        <v>25000</v>
      </c>
      <c r="J22" s="65">
        <v>30000</v>
      </c>
      <c r="K22" s="81">
        <f>F22-G22-H22-I22-J22-32400</f>
        <v>18643.112343111381</v>
      </c>
      <c r="L22" s="81"/>
      <c r="M22" s="81">
        <v>32400</v>
      </c>
      <c r="N22" s="81">
        <v>18000</v>
      </c>
      <c r="O22" s="64">
        <f t="shared" si="6"/>
        <v>480000</v>
      </c>
      <c r="P22" s="82">
        <f t="shared" si="2"/>
        <v>498643.11234311137</v>
      </c>
      <c r="Q22" s="66"/>
      <c r="R22" s="65">
        <f>[11]MVTAOUT!O20+[11]MVTSEPT!P20+[11]MVTOCT!N20+[11]MVTNOV!N20+[11]MVTDEC!N20+[11]MVTJANV!N20+[11]MVTFEV!N20+[11]MVTMARS!N20+[11]MVTAVRIL!N20+[11]MVTMAI!N20+[11]MVTJUIN!N20+[11]MVTJUIL!N20</f>
        <v>600000</v>
      </c>
      <c r="S22" s="65">
        <f>[11]MVTAOUT!P20+[11]MVTSEPT!Q20+[11]MVTOCT!O20+[11]MVTNOV!O20+[11]MVTDEC!O20+[11]MVTJANV!O20+[11]MVTFEV!O20+[11]MVTMARS!O20+[11]MVTAVRIL!O20+[11]MVTMAI!O20+[11]MVTJUIN!O20+[11]MVTJUIL!O20</f>
        <v>48000</v>
      </c>
      <c r="T22" s="65">
        <f>+INVENT2016_2017!N20</f>
        <v>1100000</v>
      </c>
      <c r="U22" s="65">
        <f>[11]MVTAOUT!$Q20+[11]MVTSEPT!$R20+[11]MVTOCT!$P20+[11]MVTNOV!$P20+[11]MVTDEC!$P20+[11]MVTJANV!$P20+[11]MVTFEV!$P20+[11]MVTMARS!$P20+[11]MVTAVRIL!$P20+[11]MVTMAI!$P20+[11]MVTJUIN!$P20+[11]MVTJUIL!$P20+[11]MVTAOUT2018!$P$20</f>
        <v>1150000</v>
      </c>
      <c r="V22" s="65">
        <v>648000</v>
      </c>
      <c r="W22" s="65">
        <v>0</v>
      </c>
      <c r="X22" s="65">
        <f t="shared" ref="X22:X23" si="7">+V22+W22</f>
        <v>648000</v>
      </c>
      <c r="Y22" s="113">
        <v>43086</v>
      </c>
      <c r="AA22" s="81">
        <v>18643.112343111381</v>
      </c>
      <c r="AB22" s="32">
        <f>+[12]MVTSEPT!$D20</f>
        <v>664981.57481833594</v>
      </c>
      <c r="AC22" s="32">
        <f t="shared" si="3"/>
        <v>-646338.46247522451</v>
      </c>
    </row>
    <row r="23" spans="1:29" x14ac:dyDescent="0.25">
      <c r="A23" s="14" t="s">
        <v>96</v>
      </c>
      <c r="B23" s="64">
        <f>+INVENT2016_2017!J21</f>
        <v>450000</v>
      </c>
      <c r="C23" s="64">
        <f>+INVENT2016_2017!I21</f>
        <v>53808.893492286523</v>
      </c>
      <c r="D23" s="64">
        <f>[11]MVTAOUT!$H21+[11]MVTSEPT!$I21+[11]MVTOCT!$G21+[11]MVTNOV!$G21+[11]MVTDEC!$G21+[11]MVTJANV!$G21+[11]MVTFEV!$G21+[11]MVTMARS!$G21+[11]MVTAVRIL!$G21+[11]MVTMAI!$G21+[11]MVTJUIN!$G21+[11]MVTJUIL!$G21+[11]MVTAOUT2018!$G21</f>
        <v>39000</v>
      </c>
      <c r="E23" s="64">
        <f>+[11]MVTAOUT!$D21+[11]MVTSEPT!$E21+[11]MVTOCT!$C21+[11]MVTNOV!$C21+[11]MVTDEC!$C21+[11]MVTJANV!$C21+[11]MVTFEV!$C21+[11]MVTMARS!$C21+[11]MVTAVRIL!$C21+[11]MVTMAI!$C21+[11]MVTJUIN!$C21+[11]MVTJUIL!$C21</f>
        <v>19802.808393163788</v>
      </c>
      <c r="F23" s="64">
        <f t="shared" si="0"/>
        <v>112611.70188545031</v>
      </c>
      <c r="G23" s="65"/>
      <c r="H23" s="66"/>
      <c r="I23" s="65">
        <v>25000</v>
      </c>
      <c r="J23" s="65">
        <v>30000</v>
      </c>
      <c r="K23" s="81">
        <f>F23-G23-H23-I23-J23-25000</f>
        <v>32611.701885450311</v>
      </c>
      <c r="L23" s="81">
        <v>25000</v>
      </c>
      <c r="M23" s="81"/>
      <c r="N23" s="81">
        <v>30000</v>
      </c>
      <c r="O23" s="64">
        <f t="shared" si="6"/>
        <v>480000</v>
      </c>
      <c r="P23" s="82">
        <f t="shared" si="2"/>
        <v>512611.70188545028</v>
      </c>
      <c r="Q23" s="66"/>
      <c r="R23" s="65">
        <f>[11]MVTAOUT!O21+[11]MVTSEPT!P21+[11]MVTOCT!N21+[11]MVTNOV!N21+[11]MVTDEC!N21+[11]MVTJANV!N21+[11]MVTFEV!N21+[11]MVTMARS!N21+[11]MVTAVRIL!N21+[11]MVTMAI!N21+[11]MVTJUIN!N21+[11]MVTJUIL!N21</f>
        <v>110000</v>
      </c>
      <c r="S23" s="65">
        <f>[11]MVTAOUT!P21+[11]MVTSEPT!Q21+[11]MVTOCT!O21+[11]MVTNOV!O21+[11]MVTDEC!O21+[11]MVTJANV!O21+[11]MVTFEV!O21+[11]MVTMARS!O21+[11]MVTAVRIL!O21+[11]MVTMAI!O21+[11]MVTJUIN!O21+[11]MVTJUIL!O21</f>
        <v>3300</v>
      </c>
      <c r="T23" s="65">
        <f>+INVENT2016_2017!N21</f>
        <v>592000</v>
      </c>
      <c r="U23" s="65">
        <f>[11]MVTAOUT!$Q21+[11]MVTSEPT!$R21+[11]MVTOCT!$P21+[11]MVTNOV!$P21+[11]MVTDEC!$P21+[11]MVTJANV!$P21+[11]MVTFEV!$P21+[11]MVTMARS!$P21+[11]MVTAVRIL!$P21+[11]MVTMAI!$P21+[11]MVTJUIN!$P21+[11]MVTJUIL!$P21+[11]MVTAOUT2018!$P$21</f>
        <v>493000</v>
      </c>
      <c r="V23" s="65"/>
      <c r="W23" s="65"/>
      <c r="X23" s="65">
        <f t="shared" si="7"/>
        <v>0</v>
      </c>
      <c r="Y23" s="113">
        <v>43241</v>
      </c>
      <c r="AA23" s="81">
        <v>32611.701885450311</v>
      </c>
      <c r="AB23" s="32">
        <f>+[12]MVTSEPT!$D22</f>
        <v>647639.79241332458</v>
      </c>
      <c r="AC23" s="32">
        <f t="shared" si="3"/>
        <v>-615028.0905278743</v>
      </c>
    </row>
    <row r="24" spans="1:29" x14ac:dyDescent="0.25">
      <c r="A24" s="14" t="s">
        <v>97</v>
      </c>
      <c r="B24" s="64">
        <f>+INVENT2016_2017!J22</f>
        <v>450000</v>
      </c>
      <c r="C24" s="64">
        <f>+INVENT2016_2017!I22</f>
        <v>39090.629774364417</v>
      </c>
      <c r="D24" s="64">
        <f>[11]MVTAOUT!$H22+[11]MVTSEPT!$I22+[11]MVTOCT!$G22+[11]MVTNOV!$G22+[11]MVTDEC!$G22+[11]MVTJANV!$G22+[11]MVTFEV!$G22+[11]MVTMARS!$G22+[11]MVTAVRIL!$G22+[11]MVTMAI!$G22+[11]MVTJUIN!$G22+[11]MVTJUIL!$G22+[11]MVTAOUT2018!$G22</f>
        <v>38000</v>
      </c>
      <c r="E24" s="64">
        <f>+[11]MVTAOUT!$D22+[11]MVTSEPT!$E22+[11]MVTOCT!$C22+[11]MVTNOV!$C22+[11]MVTDEC!$C22+[11]MVTJANV!$C22+[11]MVTFEV!$C22+[11]MVTMARS!$C22+[11]MVTAVRIL!$C22+[11]MVTMAI!$C22+[11]MVTJUIN!$C22+[11]MVTJUIL!$C22</f>
        <v>19797.109500169328</v>
      </c>
      <c r="F24" s="64">
        <f t="shared" si="0"/>
        <v>96887.739274533742</v>
      </c>
      <c r="G24" s="65"/>
      <c r="H24" s="66"/>
      <c r="I24" s="65">
        <v>25000</v>
      </c>
      <c r="J24" s="65">
        <v>30000</v>
      </c>
      <c r="K24" s="81">
        <f>F24-G24-H24-I24-J24-35000-6888</f>
        <v>-0.26072546625800896</v>
      </c>
      <c r="L24" s="81">
        <v>35000</v>
      </c>
      <c r="M24" s="81">
        <v>6888</v>
      </c>
      <c r="N24" s="81"/>
      <c r="O24" s="64">
        <f t="shared" si="6"/>
        <v>480000</v>
      </c>
      <c r="P24" s="82">
        <f t="shared" si="2"/>
        <v>479999.73927453376</v>
      </c>
      <c r="Q24" s="66"/>
      <c r="R24" s="65">
        <f>[11]MVTAOUT!O22+[11]MVTSEPT!P22+[11]MVTOCT!N22+[11]MVTNOV!N22+[11]MVTDEC!N22+[11]MVTJANV!N22+[11]MVTFEV!N22+[11]MVTMARS!N22+[11]MVTAVRIL!N22+[11]MVTMAI!N22+[11]MVTJUIN!N22+[11]MVTJUIL!N22</f>
        <v>700000</v>
      </c>
      <c r="S24" s="65">
        <f>[11]MVTAOUT!P22+[11]MVTSEPT!Q22+[11]MVTOCT!O22+[11]MVTNOV!O22+[11]MVTDEC!O22+[11]MVTJANV!O22+[11]MVTFEV!O22+[11]MVTMARS!O22+[11]MVTAVRIL!O22+[11]MVTMAI!O22+[11]MVTJUIN!O22+[11]MVTJUIL!O22</f>
        <v>70000</v>
      </c>
      <c r="T24" s="65">
        <f>+INVENT2016_2017!N22</f>
        <v>896000</v>
      </c>
      <c r="U24" s="65">
        <f>[11]MVTAOUT!$Q22+[11]MVTSEPT!$R22+[11]MVTOCT!$P22+[11]MVTNOV!$P22+[11]MVTDEC!$P22+[11]MVTJANV!$P22+[11]MVTFEV!$P22+[11]MVTMARS!$P22+[11]MVTAVRIL!$P22+[11]MVTMAI!$P22+[11]MVTJUIN!$P22+[11]MVTJUIL!$P22+[11]MVTAOUT2018!$P$22</f>
        <v>896000</v>
      </c>
      <c r="V24" s="65">
        <v>700000</v>
      </c>
      <c r="W24" s="65">
        <f t="shared" ref="W24" si="8">V24*5/100</f>
        <v>35000</v>
      </c>
      <c r="X24" s="65">
        <f>+V24+W24-35000</f>
        <v>700000</v>
      </c>
      <c r="Y24" s="113">
        <v>43121</v>
      </c>
      <c r="AA24" s="81">
        <v>-0.26072546625800896</v>
      </c>
      <c r="AB24" s="32">
        <f>+[12]MVTSEPT!$D20</f>
        <v>664981.57481833594</v>
      </c>
      <c r="AC24" s="32">
        <f t="shared" si="3"/>
        <v>-664981.83554380224</v>
      </c>
    </row>
    <row r="25" spans="1:29" ht="16.5" customHeight="1" x14ac:dyDescent="0.25">
      <c r="A25" s="14" t="s">
        <v>98</v>
      </c>
      <c r="B25" s="64">
        <f>+INVENT2016_2017!J23</f>
        <v>450000</v>
      </c>
      <c r="C25" s="64">
        <f>+INVENT2016_2017!I23</f>
        <v>36797.235944061853</v>
      </c>
      <c r="D25" s="64">
        <f>[11]MVTAOUT!$H23+[11]MVTSEPT!$I23+[11]MVTOCT!$G23+[11]MVTNOV!$G23+[11]MVTDEC!$G23+[11]MVTJANV!$G23+[11]MVTFEV!$G23+[11]MVTMARS!$G23+[11]MVTAVRIL!$G23+[11]MVTMAI!$G23+[11]MVTJUIN!$G23+[11]MVTJUIL!$G23+[11]MVTAOUT2018!$G23</f>
        <v>39000</v>
      </c>
      <c r="E25" s="64">
        <f>+[11]MVTAOUT!$D23+[11]MVTSEPT!$E23+[11]MVTOCT!$C23+[11]MVTNOV!$C23+[11]MVTDEC!$C23+[11]MVTJANV!$C23+[11]MVTFEV!$C23+[11]MVTMARS!$C23+[11]MVTAVRIL!$C23+[11]MVTMAI!$C23+[11]MVTJUIN!$C23+[11]MVTJUIL!$C23</f>
        <v>19808.169885824143</v>
      </c>
      <c r="F25" s="64">
        <f t="shared" si="0"/>
        <v>95605.405829886004</v>
      </c>
      <c r="G25" s="65"/>
      <c r="H25" s="66"/>
      <c r="I25" s="65">
        <v>25000</v>
      </c>
      <c r="J25" s="65">
        <v>30000</v>
      </c>
      <c r="K25" s="81">
        <f>F25-G25-H25-I25-J25-25000</f>
        <v>15605.405829886004</v>
      </c>
      <c r="L25" s="81">
        <v>25000</v>
      </c>
      <c r="M25" s="81"/>
      <c r="N25" s="81">
        <v>15000</v>
      </c>
      <c r="O25" s="64">
        <f t="shared" si="6"/>
        <v>480000</v>
      </c>
      <c r="P25" s="82">
        <f t="shared" si="2"/>
        <v>495605.40582988597</v>
      </c>
      <c r="Q25" s="66"/>
      <c r="R25" s="65">
        <f>[11]MVTAOUT!O23+[11]MVTSEPT!P23+[11]MVTOCT!N23+[11]MVTNOV!N23+[11]MVTDEC!N23+[11]MVTJANV!N23+[11]MVTFEV!N23+[11]MVTMARS!N23+[11]MVTAVRIL!N23+[11]MVTMAI!N23+[11]MVTJUIN!N23+[11]MVTJUIL!N23</f>
        <v>850000</v>
      </c>
      <c r="S25" s="65">
        <f>[11]MVTAOUT!P23+[11]MVTSEPT!Q23+[11]MVTOCT!O23+[11]MVTNOV!O23+[11]MVTDEC!O23+[11]MVTJANV!O23+[11]MVTFEV!O23+[11]MVTMARS!O23+[11]MVTAVRIL!O23+[11]MVTMAI!O23+[11]MVTJUIN!O23+[11]MVTJUIL!O23</f>
        <v>51000</v>
      </c>
      <c r="T25" s="65">
        <f>+INVENT2016_2017!N23</f>
        <v>1120000</v>
      </c>
      <c r="U25" s="65">
        <f>[11]MVTAOUT!$Q23+[11]MVTSEPT!$R23+[11]MVTOCT!$P23+[11]MVTNOV!$P23+[11]MVTDEC!$P23+[11]MVTJANV!$P23+[11]MVTFEV!$P23+[11]MVTMARS!$P23+[11]MVTAVRIL!$P23+[11]MVTMAI!$P23+[11]MVTJUIN!$P23+[11]MVTJUIL!$P23+[11]MVTAOUT2018!$P$23</f>
        <v>1950000</v>
      </c>
      <c r="V25" s="65">
        <f>850000-850000</f>
        <v>0</v>
      </c>
      <c r="W25" s="65"/>
      <c r="X25" s="65"/>
      <c r="Y25" s="113">
        <v>43241</v>
      </c>
      <c r="AA25" s="81">
        <v>15605.405829886004</v>
      </c>
      <c r="AB25" s="32">
        <f>+[12]MVTSEPT!$D23</f>
        <v>698777.96460327017</v>
      </c>
      <c r="AC25" s="32">
        <f t="shared" si="3"/>
        <v>-683172.5587733842</v>
      </c>
    </row>
    <row r="26" spans="1:29" x14ac:dyDescent="0.25">
      <c r="A26" s="14" t="s">
        <v>99</v>
      </c>
      <c r="B26" s="64">
        <f>+INVENT2016_2017!J24</f>
        <v>450000</v>
      </c>
      <c r="C26" s="64">
        <f>+INVENT2016_2017!I24</f>
        <v>47506.896495311616</v>
      </c>
      <c r="D26" s="64">
        <f>[11]MVTAOUT!$H24+[11]MVTSEPT!$I24+[11]MVTOCT!$G24+[11]MVTNOV!$G24+[11]MVTDEC!$G24+[11]MVTJANV!$G24+[11]MVTFEV!$G24+[11]MVTMARS!$G24+[11]MVTAVRIL!$G24+[11]MVTMAI!$G24+[11]MVTJUIN!$G24+[11]MVTJUIL!$G24+[11]MVTAOUT2018!$G24</f>
        <v>39000</v>
      </c>
      <c r="E26" s="64">
        <f>+[11]MVTAOUT!$D24+[11]MVTSEPT!$E24+[11]MVTOCT!$C24+[11]MVTNOV!$C24+[11]MVTDEC!$C24+[11]MVTJANV!$C24+[11]MVTFEV!$C24+[11]MVTMARS!$C24+[11]MVTAVRIL!$C24+[11]MVTMAI!$C24+[11]MVTJUIN!$C24+[11]MVTJUIL!$C24</f>
        <v>19799.955297849745</v>
      </c>
      <c r="F26" s="64">
        <f t="shared" si="0"/>
        <v>106306.85179316136</v>
      </c>
      <c r="G26" s="65"/>
      <c r="H26" s="66"/>
      <c r="I26" s="65">
        <v>25000</v>
      </c>
      <c r="J26" s="65">
        <v>30000</v>
      </c>
      <c r="K26" s="81">
        <f>F26-G26-H26-I26-J26-51307</f>
        <v>-0.14820683863945305</v>
      </c>
      <c r="L26" s="81">
        <v>25000</v>
      </c>
      <c r="M26" s="81">
        <v>26307</v>
      </c>
      <c r="N26" s="81"/>
      <c r="O26" s="64">
        <f t="shared" si="6"/>
        <v>480000</v>
      </c>
      <c r="P26" s="82">
        <f t="shared" si="2"/>
        <v>479999.85179316136</v>
      </c>
      <c r="Q26" s="66"/>
      <c r="R26" s="65">
        <f>[11]MVTAOUT!O24+[11]MVTSEPT!P24+[11]MVTOCT!N24+[11]MVTNOV!N24+[11]MVTDEC!N24+[11]MVTJANV!N24+[11]MVTFEV!N24+[11]MVTMARS!N24+[11]MVTAVRIL!N24+[11]MVTMAI!N24+[11]MVTJUIN!N24+[11]MVTJUIL!N24</f>
        <v>150000</v>
      </c>
      <c r="S26" s="65">
        <f>[11]MVTAOUT!P24+[11]MVTSEPT!Q24+[11]MVTOCT!O24+[11]MVTNOV!O24+[11]MVTDEC!O24+[11]MVTJANV!O24+[11]MVTFEV!O24+[11]MVTMARS!O24+[11]MVTAVRIL!O24+[11]MVTMAI!O24+[11]MVTJUIN!O24+[11]MVTJUIL!O24</f>
        <v>18000</v>
      </c>
      <c r="T26" s="65">
        <f>+INVENT2016_2017!N24</f>
        <v>154500</v>
      </c>
      <c r="U26" s="65">
        <f>[11]MVTAOUT!$Q24+[11]MVTSEPT!$R24+[11]MVTOCT!$P24+[11]MVTNOV!$P24+[11]MVTDEC!$P24+[11]MVTJANV!$P24+[11]MVTFEV!$P24+[11]MVTMARS!$P24+[11]MVTAVRIL!$P24+[11]MVTMAI!$P24+[11]MVTJUIN!$P24+[11]MVTJUIL!$P24+[11]MVTAOUT2018!$P$24</f>
        <v>157500</v>
      </c>
      <c r="V26" s="65">
        <v>168000</v>
      </c>
      <c r="W26" s="65">
        <f>V26*5/100</f>
        <v>8400</v>
      </c>
      <c r="X26" s="65">
        <f>+V26+W26</f>
        <v>176400</v>
      </c>
      <c r="Y26" s="113">
        <v>42967</v>
      </c>
      <c r="AA26" s="81">
        <v>-0.14820683863945305</v>
      </c>
      <c r="AB26" s="32">
        <f>+[12]MVTSEPT!$D24</f>
        <v>650993.538418688</v>
      </c>
      <c r="AC26" s="32">
        <f t="shared" si="3"/>
        <v>-650993.68662552664</v>
      </c>
    </row>
    <row r="27" spans="1:29" x14ac:dyDescent="0.25">
      <c r="A27" s="14" t="s">
        <v>100</v>
      </c>
      <c r="B27" s="64">
        <f>+INVENT2016_2017!J25</f>
        <v>450000</v>
      </c>
      <c r="C27" s="64">
        <f>+INVENT2016_2017!I25</f>
        <v>47549.254632432756</v>
      </c>
      <c r="D27" s="64">
        <f>[11]MVTAOUT!$H25+[11]MVTSEPT!$I25+[11]MVTOCT!$G25+[11]MVTNOV!$G25+[11]MVTDEC!$G25+[11]MVTJANV!$G25+[11]MVTFEV!$G25+[11]MVTMARS!$G25+[11]MVTAVRIL!$G25+[11]MVTMAI!$G25+[11]MVTJUIN!$G25+[11]MVTJUIL!$G25+[11]MVTAOUT2018!$G25</f>
        <v>39000</v>
      </c>
      <c r="E27" s="64">
        <f>+[11]MVTAOUT!$D25+[11]MVTSEPT!$E25+[11]MVTOCT!$C25+[11]MVTNOV!$C25+[11]MVTDEC!$C25+[11]MVTJANV!$C25+[11]MVTFEV!$C25+[11]MVTMARS!$C25+[11]MVTAVRIL!$C25+[11]MVTMAI!$C25+[11]MVTJUIN!$C25+[11]MVTJUIL!$C25</f>
        <v>19804.481050118364</v>
      </c>
      <c r="F27" s="64">
        <f t="shared" si="0"/>
        <v>106353.73568255112</v>
      </c>
      <c r="G27" s="65"/>
      <c r="H27" s="66"/>
      <c r="I27" s="65">
        <v>25000</v>
      </c>
      <c r="J27" s="65">
        <v>30000</v>
      </c>
      <c r="K27" s="81">
        <f>F27-G27-H27-I27-J27-25000</f>
        <v>26353.735682551123</v>
      </c>
      <c r="L27" s="81">
        <v>25000</v>
      </c>
      <c r="M27" s="81"/>
      <c r="N27" s="81">
        <v>25000</v>
      </c>
      <c r="O27" s="64">
        <f t="shared" si="6"/>
        <v>480000</v>
      </c>
      <c r="P27" s="82">
        <f t="shared" si="2"/>
        <v>506353.73568255111</v>
      </c>
      <c r="Q27" s="66"/>
      <c r="R27" s="65">
        <f>[11]MVTAOUT!O25+[11]MVTSEPT!P25+[11]MVTOCT!N25+[11]MVTNOV!N25+[11]MVTDEC!N25+[11]MVTJANV!N25+[11]MVTFEV!N25+[11]MVTMARS!N25+[11]MVTAVRIL!N25+[11]MVTMAI!N25+[11]MVTJUIN!N25+[11]MVTJUIL!N25</f>
        <v>0</v>
      </c>
      <c r="S27" s="65">
        <f>[11]MVTAOUT!P25+[11]MVTSEPT!Q25+[11]MVTOCT!O25+[11]MVTNOV!O25+[11]MVTDEC!O25+[11]MVTJANV!O25+[11]MVTFEV!O25+[11]MVTMARS!O25+[11]MVTAVRIL!O25+[11]MVTMAI!O25+[11]MVTJUIN!O25+[11]MVTJUIL!O25</f>
        <v>0</v>
      </c>
      <c r="T27" s="65">
        <f>+INVENT2016_2017!N25</f>
        <v>0</v>
      </c>
      <c r="U27" s="65">
        <f>[11]MVTAOUT!$Q25+[11]MVTSEPT!$R25+[11]MVTOCT!$P25+[11]MVTNOV!$P25+[11]MVTDEC!$P25+[11]MVTJANV!$P25+[11]MVTFEV!$P25+[11]MVTMARS!$P25+[11]MVTAVRIL!$P25+[11]MVTMAI!$P25+[11]MVTJUIN!$P25+[11]MVTJUIL!$P25+[11]MVTAOUT2018!$P$25</f>
        <v>21000</v>
      </c>
      <c r="V27" s="65"/>
      <c r="W27" s="65"/>
      <c r="X27" s="65"/>
      <c r="Y27" s="112"/>
      <c r="AA27" s="81">
        <v>26353.735682551123</v>
      </c>
      <c r="AB27" s="32">
        <f>+[12]MVTSEPT!$D27</f>
        <v>662211.18967186077</v>
      </c>
      <c r="AC27" s="32">
        <f t="shared" si="3"/>
        <v>-635857.45398930961</v>
      </c>
    </row>
    <row r="28" spans="1:29" x14ac:dyDescent="0.25">
      <c r="A28" s="14" t="s">
        <v>101</v>
      </c>
      <c r="B28" s="64">
        <f>+INVENT2016_2017!J26</f>
        <v>450000</v>
      </c>
      <c r="C28" s="64">
        <f>+INVENT2016_2017!I26</f>
        <v>47476.113679677859</v>
      </c>
      <c r="D28" s="64">
        <f>[11]MVTAOUT!$H26+[11]MVTSEPT!$I26+[11]MVTOCT!$G26+[11]MVTNOV!$G26+[11]MVTDEC!$G26+[11]MVTJANV!$G26+[11]MVTFEV!$G26+[11]MVTMARS!$G26+[11]MVTAVRIL!$G26+[11]MVTMAI!$G26+[11]MVTJUIN!$G26+[11]MVTJUIL!$G26+[11]MVTAOUT2018!$G26</f>
        <v>104000</v>
      </c>
      <c r="E28" s="64">
        <f>+[11]MVTAOUT!$D26+[11]MVTSEPT!$E26+[11]MVTOCT!$C26+[11]MVTNOV!$C26+[11]MVTDEC!$C26+[11]MVTJANV!$C26+[11]MVTFEV!$C26+[11]MVTMARS!$C26+[11]MVTAVRIL!$C26+[11]MVTMAI!$C26+[11]MVTJUIN!$C26+[11]MVTJUIL!$C26</f>
        <v>20749.50043166359</v>
      </c>
      <c r="F28" s="64">
        <f t="shared" si="0"/>
        <v>172225.61411134145</v>
      </c>
      <c r="G28" s="65"/>
      <c r="H28" s="66"/>
      <c r="I28" s="65">
        <v>25000</v>
      </c>
      <c r="J28" s="65">
        <v>30000</v>
      </c>
      <c r="K28" s="81">
        <f t="shared" ref="K28:K35" si="9">F28-G28-H28-I28-J28</f>
        <v>117225.61411134145</v>
      </c>
      <c r="L28" s="81"/>
      <c r="M28" s="81"/>
      <c r="N28" s="81">
        <v>60000</v>
      </c>
      <c r="O28" s="64">
        <f t="shared" si="6"/>
        <v>480000</v>
      </c>
      <c r="P28" s="82">
        <f t="shared" si="2"/>
        <v>597225.61411134142</v>
      </c>
      <c r="Q28" s="66"/>
      <c r="R28" s="65">
        <f>[11]MVTAOUT!O26+[11]MVTSEPT!P26+[11]MVTOCT!N26+[11]MVTNOV!N26+[11]MVTDEC!N26+[11]MVTJANV!N26+[11]MVTFEV!N26+[11]MVTMARS!N26+[11]MVTAVRIL!N26+[11]MVTMAI!N26+[11]MVTJUIN!N26+[11]MVTJUIL!N26</f>
        <v>700000</v>
      </c>
      <c r="S28" s="65">
        <f>[11]MVTAOUT!P26+[11]MVTSEPT!Q26+[11]MVTOCT!O26+[11]MVTNOV!O26+[11]MVTDEC!O26+[11]MVTJANV!O26+[11]MVTFEV!O26+[11]MVTMARS!O26+[11]MVTAVRIL!O26+[11]MVTMAI!O26+[11]MVTJUIN!O26+[11]MVTJUIL!O26</f>
        <v>35000</v>
      </c>
      <c r="T28" s="65">
        <f>+INVENT2016_2017!N26</f>
        <v>672000</v>
      </c>
      <c r="U28" s="65">
        <f>[11]MVTAOUT!$Q26+[11]MVTSEPT!$R26+[11]MVTOCT!$P26+[11]MVTNOV!$P26+[11]MVTDEC!$P26+[11]MVTJANV!$P26+[11]MVTFEV!$P26+[11]MVTMARS!$P26+[11]MVTAVRIL!$P26+[11]MVTMAI!$P26+[11]MVTJUIN!$P26+[11]MVTJUIL!$P26+[11]MVTAOUT2018!$P$26</f>
        <v>1372000</v>
      </c>
      <c r="V28" s="65">
        <v>0</v>
      </c>
      <c r="W28" s="65"/>
      <c r="X28" s="65"/>
      <c r="Y28" s="113">
        <v>43169</v>
      </c>
      <c r="AA28" s="81">
        <v>117225.61411134145</v>
      </c>
      <c r="AB28" s="32">
        <f>+[12]MVTSEPT!$D28</f>
        <v>732079.68619970349</v>
      </c>
      <c r="AC28" s="32">
        <f t="shared" si="3"/>
        <v>-614854.07208836207</v>
      </c>
    </row>
    <row r="29" spans="1:29" x14ac:dyDescent="0.25">
      <c r="A29" s="14" t="s">
        <v>102</v>
      </c>
      <c r="B29" s="64">
        <f>+INVENT2016_2017!J27</f>
        <v>450000</v>
      </c>
      <c r="C29" s="64">
        <f>+INVENT2016_2017!I27</f>
        <v>27680.73434003918</v>
      </c>
      <c r="D29" s="64">
        <f>[11]MVTAOUT!$H27+[11]MVTSEPT!$I27+[11]MVTOCT!$G27+[11]MVTNOV!$G27+[11]MVTDEC!$G27+[11]MVTJANV!$G27+[11]MVTFEV!$G27+[11]MVTMARS!$G27+[11]MVTAVRIL!$G27+[11]MVTMAI!$G27+[11]MVTJUIN!$G27+[11]MVTJUIL!$G27+[11]MVTAOUT2018!$G27</f>
        <v>39000</v>
      </c>
      <c r="E29" s="64">
        <f>+[11]MVTAOUT!$D27+[11]MVTSEPT!$E27+[11]MVTOCT!$C27+[11]MVTNOV!$C27+[11]MVTDEC!$C27+[11]MVTJANV!$C27+[11]MVTFEV!$C27+[11]MVTMARS!$C27+[11]MVTAVRIL!$C27+[11]MVTMAI!$C27+[11]MVTJUIN!$C27+[11]MVTJUIL!$C27</f>
        <v>19734.447121784498</v>
      </c>
      <c r="F29" s="64">
        <f t="shared" si="0"/>
        <v>86415.181461823682</v>
      </c>
      <c r="G29" s="65"/>
      <c r="H29" s="66"/>
      <c r="I29" s="65">
        <v>25000</v>
      </c>
      <c r="J29" s="65">
        <v>30000</v>
      </c>
      <c r="K29" s="81">
        <f>F29-G29-H29-I29-J29-31415</f>
        <v>0.18146182368218433</v>
      </c>
      <c r="L29" s="81">
        <v>25000</v>
      </c>
      <c r="M29" s="81">
        <v>6415</v>
      </c>
      <c r="N29" s="81"/>
      <c r="O29" s="64">
        <f t="shared" si="6"/>
        <v>480000</v>
      </c>
      <c r="P29" s="82">
        <f t="shared" si="2"/>
        <v>480000.1814618237</v>
      </c>
      <c r="Q29" s="66"/>
      <c r="R29" s="65">
        <f>[11]MVTAOUT!O27+[11]MVTSEPT!P27+[11]MVTOCT!N27+[11]MVTNOV!N27+[11]MVTDEC!N27+[11]MVTJANV!N27+[11]MVTFEV!N27+[11]MVTMARS!N27+[11]MVTAVRIL!N27+[11]MVTMAI!N27+[11]MVTJUIN!N27+[11]MVTJUIL!N27</f>
        <v>0</v>
      </c>
      <c r="S29" s="65">
        <f>[11]MVTAOUT!P27+[11]MVTSEPT!Q27+[11]MVTOCT!O27+[11]MVTNOV!O27+[11]MVTDEC!O27+[11]MVTJANV!O27+[11]MVTFEV!O27+[11]MVTMARS!O27+[11]MVTAVRIL!O27+[11]MVTMAI!O27+[11]MVTJUIN!O27+[11]MVTJUIL!O27</f>
        <v>0</v>
      </c>
      <c r="T29" s="65">
        <f>+INVENT2016_2017!N27</f>
        <v>0</v>
      </c>
      <c r="U29" s="65">
        <f>[11]MVTAOUT!$Q27+[11]MVTSEPT!$R27+[11]MVTOCT!$P27+[11]MVTNOV!$P27+[11]MVTDEC!$P27+[11]MVTJANV!$P27+[11]MVTFEV!$P27+[11]MVTMARS!$P27+[11]MVTAVRIL!$P27+[11]MVTMAI!$P27+[11]MVTJUIN!$P27+[11]MVTJUIL!$P27+[11]MVTAOUT2018!$P$27</f>
        <v>0</v>
      </c>
      <c r="V29" s="65"/>
      <c r="W29" s="65"/>
      <c r="X29" s="65"/>
      <c r="Y29" s="112"/>
      <c r="AA29" s="81">
        <v>0.18146182368218433</v>
      </c>
      <c r="AC29" s="32">
        <f t="shared" si="3"/>
        <v>0.18146182368218433</v>
      </c>
    </row>
    <row r="30" spans="1:29" x14ac:dyDescent="0.25">
      <c r="A30" s="14" t="s">
        <v>103</v>
      </c>
      <c r="B30" s="64">
        <f>+INVENT2016_2017!J28</f>
        <v>450000</v>
      </c>
      <c r="C30" s="64">
        <f>+INVENT2016_2017!I28</f>
        <v>47679.518159791274</v>
      </c>
      <c r="D30" s="64">
        <f>[11]MVTAOUT!$H28+[11]MVTSEPT!$I28+[11]MVTOCT!$G28+[11]MVTNOV!$G28+[11]MVTDEC!$G28+[11]MVTJANV!$G28+[11]MVTFEV!$G28+[11]MVTMARS!$G28+[11]MVTAVRIL!$G28+[11]MVTMAI!$G28+[11]MVTJUIN!$G28+[11]MVTJUIL!$G28+[11]MVTAOUT2018!$G28</f>
        <v>105500</v>
      </c>
      <c r="E30" s="64">
        <f>+[11]MVTAOUT!$D28+[11]MVTSEPT!$E28+[11]MVTOCT!$C28+[11]MVTNOV!$C28+[11]MVTDEC!$C28+[11]MVTJANV!$C28+[11]MVTFEV!$C28+[11]MVTMARS!$C28+[11]MVTAVRIL!$C28+[11]MVTMAI!$C28+[11]MVTJUIN!$C28+[11]MVTJUIL!$C28</f>
        <v>22120.769243732229</v>
      </c>
      <c r="F30" s="64">
        <f t="shared" si="0"/>
        <v>175300.28740352351</v>
      </c>
      <c r="G30" s="65"/>
      <c r="H30" s="66">
        <v>100000</v>
      </c>
      <c r="I30" s="65">
        <v>25000</v>
      </c>
      <c r="J30" s="65">
        <v>30000</v>
      </c>
      <c r="K30" s="81">
        <f>F30-G30-H30-I30-J30-20300</f>
        <v>0.28740352351451293</v>
      </c>
      <c r="L30" s="81">
        <v>20300</v>
      </c>
      <c r="M30" s="81"/>
      <c r="N30" s="81"/>
      <c r="O30" s="64">
        <f t="shared" si="6"/>
        <v>480000</v>
      </c>
      <c r="P30" s="82">
        <f t="shared" si="2"/>
        <v>480000.28740352351</v>
      </c>
      <c r="Q30" s="66"/>
      <c r="R30" s="65">
        <f>[11]MVTAOUT!O28+[11]MVTSEPT!P28+[11]MVTOCT!N28+[11]MVTNOV!N28+[11]MVTDEC!N28+[11]MVTJANV!N28+[11]MVTFEV!N28+[11]MVTMARS!N28+[11]MVTAVRIL!N28+[11]MVTMAI!N28+[11]MVTJUIN!N28+[11]MVTJUIL!N28</f>
        <v>0</v>
      </c>
      <c r="S30" s="65">
        <f>[11]MVTAOUT!P28+[11]MVTSEPT!Q28+[11]MVTOCT!O28+[11]MVTNOV!O28+[11]MVTDEC!O28+[11]MVTJANV!O28+[11]MVTFEV!O28+[11]MVTMARS!O28+[11]MVTAVRIL!O28+[11]MVTMAI!O28+[11]MVTJUIN!O28+[11]MVTJUIL!O28</f>
        <v>0</v>
      </c>
      <c r="T30" s="65">
        <f>+INVENT2016_2017!N28</f>
        <v>1120000</v>
      </c>
      <c r="U30" s="65">
        <f>[11]MVTAOUT!$Q28+[11]MVTSEPT!$R28+[11]MVTOCT!$P28+[11]MVTNOV!$P28+[11]MVTDEC!$P28+[11]MVTJANV!$P28+[11]MVTFEV!$P28+[11]MVTMARS!$P28+[11]MVTAVRIL!$P28+[11]MVTMAI!$P28+[11]MVTJUIN!$P28+[11]MVTJUIL!$P28+[11]MVTAOUT2018!$P$28</f>
        <v>0</v>
      </c>
      <c r="V30" s="65">
        <v>1120000</v>
      </c>
      <c r="W30" s="65">
        <f>V30*5/100</f>
        <v>56000</v>
      </c>
      <c r="X30" s="65">
        <f>+V30+W30</f>
        <v>1176000</v>
      </c>
      <c r="Y30" s="113">
        <v>42904</v>
      </c>
      <c r="AA30" s="81">
        <v>0.28740352351451293</v>
      </c>
      <c r="AB30" s="32">
        <f>+[12]MVTSEPT!$D30</f>
        <v>657300.9813535969</v>
      </c>
      <c r="AC30" s="32">
        <f t="shared" si="3"/>
        <v>-657300.69395007333</v>
      </c>
    </row>
    <row r="31" spans="1:29" s="2" customFormat="1" x14ac:dyDescent="0.25">
      <c r="A31" s="114" t="s">
        <v>104</v>
      </c>
      <c r="B31" s="66">
        <v>30000</v>
      </c>
      <c r="C31" s="66">
        <f>+INVENT2016_2017!I29</f>
        <v>-4174.3496285728761</v>
      </c>
      <c r="D31" s="66">
        <f>[11]MVTAOUT!$H29+[11]MVTSEPT!$I29+[11]MVTOCT!$G29+[11]MVTNOV!$G29+[11]MVTDEC!$G29+[11]MVTJANV!$G29+[11]MVTFEV!$G29+[11]MVTMARS!$G29+[11]MVTAVRIL!$G29+[11]MVTMAI!$G29+[11]MVTJUIN!$G29+[11]MVTJUIL!$G29+[11]MVTAOUT2018!$G29</f>
        <v>0</v>
      </c>
      <c r="E31" s="66">
        <f>+[11]MVTAOUT!$D29+[11]MVTSEPT!$E29+[11]MVTOCT!$C29+[11]MVTNOV!$C29+[11]MVTDEC!$C29+[11]MVTJANV!$C29+[11]MVTFEV!$C29+[11]MVTMARS!$C29+[11]MVTAVRIL!$C29+[11]MVTMAI!$C29+[11]MVTJUIN!$C29+[11]MVTJUIL!$C29</f>
        <v>1237.5906251636579</v>
      </c>
      <c r="F31" s="66">
        <f t="shared" si="0"/>
        <v>-2936.7590034092182</v>
      </c>
      <c r="G31" s="66"/>
      <c r="H31" s="66"/>
      <c r="I31" s="66">
        <v>13234</v>
      </c>
      <c r="J31" s="66">
        <v>0</v>
      </c>
      <c r="K31" s="81">
        <f t="shared" si="9"/>
        <v>-16170.759003409217</v>
      </c>
      <c r="L31" s="81"/>
      <c r="M31" s="81"/>
      <c r="N31" s="81"/>
      <c r="O31" s="64">
        <v>30000</v>
      </c>
      <c r="P31" s="82">
        <f t="shared" si="2"/>
        <v>13829.240996590783</v>
      </c>
      <c r="Q31" s="66"/>
      <c r="R31" s="65">
        <f>[11]MVTAOUT!O29+[11]MVTSEPT!P29+[11]MVTOCT!N29+[11]MVTNOV!N29+[11]MVTDEC!N29+[11]MVTJANV!N29+[11]MVTFEV!N29+[11]MVTMARS!N29+[11]MVTAVRIL!N29+[11]MVTMAI!N29+[11]MVTJUIN!N29+[11]MVTJUIL!N29</f>
        <v>0</v>
      </c>
      <c r="S31" s="65">
        <f>[11]MVTAOUT!P29+[11]MVTSEPT!Q29+[11]MVTOCT!O29+[11]MVTNOV!O29+[11]MVTDEC!O29+[11]MVTJANV!O29+[11]MVTFEV!O29+[11]MVTMARS!O29+[11]MVTAVRIL!O29+[11]MVTMAI!O29+[11]MVTJUIN!O29+[11]MVTJUIL!O29</f>
        <v>0</v>
      </c>
      <c r="T31" s="65">
        <f>+INVENT2016_2017!N29</f>
        <v>0</v>
      </c>
      <c r="U31" s="65">
        <f>[11]MVTAOUT!$Q29+[11]MVTSEPT!$R29+[11]MVTOCT!$P29+[11]MVTNOV!$P29+[11]MVTDEC!$P29+[11]MVTJANV!$P29+[11]MVTFEV!$P29+[11]MVTMARS!$P29+[11]MVTAVRIL!$P29+[11]MVTMAI!$P29+[11]MVTJUIN!$P29+[11]MVTJUIL!$P29+[11]MVTAOUT2018!$P$29</f>
        <v>50000</v>
      </c>
      <c r="V31" s="65"/>
      <c r="W31" s="65"/>
      <c r="X31" s="65"/>
      <c r="Y31" s="115"/>
      <c r="AA31" s="81">
        <v>22.240996590782743</v>
      </c>
      <c r="AB31" s="32">
        <f>+[12]MVTSEPT!$D31</f>
        <v>812754.93599793687</v>
      </c>
      <c r="AC31" s="32">
        <f t="shared" si="3"/>
        <v>-812732.69500134606</v>
      </c>
    </row>
    <row r="32" spans="1:29" x14ac:dyDescent="0.25">
      <c r="A32" s="14" t="s">
        <v>105</v>
      </c>
      <c r="B32" s="64">
        <f>+INVENT2016_2017!J30</f>
        <v>450000</v>
      </c>
      <c r="C32" s="64">
        <f>+INVENT2016_2017!I30</f>
        <v>93205.63086682024</v>
      </c>
      <c r="D32" s="64">
        <f>[11]MVTAOUT!$H30+[11]MVTSEPT!$I30+[11]MVTOCT!$G30+[11]MVTNOV!$G30+[11]MVTDEC!$G30+[11]MVTJANV!$G30+[11]MVTFEV!$G30+[11]MVTMARS!$G30+[11]MVTAVRIL!$G30+[11]MVTMAI!$G30+[11]MVTJUIN!$G30+[11]MVTJUIL!$G30+[11]MVTAOUT2018!$G30</f>
        <v>39000</v>
      </c>
      <c r="E32" s="64">
        <f>+[11]MVTAOUT!$D30+[11]MVTSEPT!$E30+[11]MVTOCT!$C30+[11]MVTNOV!$C30+[11]MVTDEC!$C30+[11]MVTJANV!$C30+[11]MVTFEV!$C30+[11]MVTMARS!$C30+[11]MVTAVRIL!$C30+[11]MVTMAI!$C30+[11]MVTJUIN!$C30+[11]MVTJUIL!$C30</f>
        <v>19932.623691365428</v>
      </c>
      <c r="F32" s="64">
        <f t="shared" si="0"/>
        <v>152138.25455818564</v>
      </c>
      <c r="G32" s="65"/>
      <c r="H32" s="66"/>
      <c r="I32" s="65">
        <v>25000</v>
      </c>
      <c r="J32" s="65">
        <v>30000</v>
      </c>
      <c r="K32" s="81">
        <f>F32-G32-H32-I32-J32-25000</f>
        <v>72138.254558185639</v>
      </c>
      <c r="L32" s="81">
        <v>25000</v>
      </c>
      <c r="M32" s="81"/>
      <c r="N32" s="81"/>
      <c r="O32" s="64">
        <f>B32+J32</f>
        <v>480000</v>
      </c>
      <c r="P32" s="82">
        <f t="shared" si="2"/>
        <v>552138.25455818558</v>
      </c>
      <c r="Q32" s="66"/>
      <c r="R32" s="65">
        <f>[11]MVTAOUT!O30+[11]MVTSEPT!P30+[11]MVTOCT!N30+[11]MVTNOV!N30+[11]MVTDEC!N30+[11]MVTJANV!N30+[11]MVTFEV!N30+[11]MVTMARS!N30+[11]MVTAVRIL!N30+[11]MVTMAI!N30+[11]MVTJUIN!N30+[11]MVTJUIL!N30</f>
        <v>0</v>
      </c>
      <c r="S32" s="65">
        <f>[11]MVTAOUT!P30+[11]MVTSEPT!Q30+[11]MVTOCT!O30+[11]MVTNOV!O30+[11]MVTDEC!O30+[11]MVTJANV!O30+[11]MVTFEV!O30+[11]MVTMARS!O30+[11]MVTAVRIL!O30+[11]MVTMAI!O30+[11]MVTJUIN!O30+[11]MVTJUIL!O30</f>
        <v>0</v>
      </c>
      <c r="T32" s="65">
        <f>+INVENT2016_2017!N30</f>
        <v>0</v>
      </c>
      <c r="U32" s="65">
        <f>[11]MVTAOUT!$Q30+[11]MVTSEPT!$R30+[11]MVTOCT!$P30+[11]MVTNOV!$P30+[11]MVTDEC!$P30+[11]MVTJANV!$P30+[11]MVTFEV!$P30+[11]MVTMARS!$P30+[11]MVTAVRIL!$P30+[11]MVTMAI!$P30+[11]MVTJUIN!$P30+[11]MVTJUIL!$P30+[11]MVTAOUT2018!$P$30</f>
        <v>0</v>
      </c>
      <c r="V32" s="65"/>
      <c r="W32" s="65"/>
      <c r="X32" s="65"/>
      <c r="Y32" s="112"/>
      <c r="AA32" s="81">
        <v>72138.254558185639</v>
      </c>
      <c r="AB32" s="32">
        <f>+[12]MVTSEPT!$D32</f>
        <v>488413.94808294007</v>
      </c>
      <c r="AC32" s="32">
        <f t="shared" si="3"/>
        <v>-416275.69352475443</v>
      </c>
    </row>
    <row r="33" spans="1:29" x14ac:dyDescent="0.25">
      <c r="A33" s="14" t="s">
        <v>106</v>
      </c>
      <c r="B33" s="64">
        <f>+INVENT2016_2017!J31</f>
        <v>450000</v>
      </c>
      <c r="C33" s="64">
        <f>+INVENT2016_2017!I31</f>
        <v>46909.873148318322</v>
      </c>
      <c r="D33" s="64">
        <f>[11]MVTAOUT!$H31+[11]MVTSEPT!$I31+[11]MVTOCT!$G31+[11]MVTNOV!$G31+[11]MVTDEC!$G31+[11]MVTJANV!$G31+[11]MVTFEV!$G31+[11]MVTMARS!$G31+[11]MVTAVRIL!$G31+[11]MVTMAI!$G31+[11]MVTJUIN!$G31+[11]MVTJUIL!$G31+[11]MVTAOUT2018!$G31</f>
        <v>39000</v>
      </c>
      <c r="E33" s="64">
        <f>+[11]MVTAOUT!$D31+[11]MVTSEPT!$E31+[11]MVTOCT!$C31+[11]MVTNOV!$C31+[11]MVTDEC!$C31+[11]MVTJANV!$C31+[11]MVTFEV!$C31+[11]MVTMARS!$C31+[11]MVTAVRIL!$C31+[11]MVTMAI!$C31+[11]MVTJUIN!$C31+[11]MVTJUIL!$C31</f>
        <v>19779.44545784255</v>
      </c>
      <c r="F33" s="64">
        <f t="shared" si="0"/>
        <v>105689.31860616087</v>
      </c>
      <c r="G33" s="65"/>
      <c r="H33" s="66"/>
      <c r="I33" s="65">
        <v>25000</v>
      </c>
      <c r="J33" s="65">
        <v>30000</v>
      </c>
      <c r="K33" s="81">
        <f>F33-G33-H33-I33-J33-25000</f>
        <v>25689.318606160872</v>
      </c>
      <c r="L33" s="81">
        <v>25000</v>
      </c>
      <c r="M33" s="81"/>
      <c r="N33" s="81">
        <v>25000</v>
      </c>
      <c r="O33" s="64">
        <f>B33+J33</f>
        <v>480000</v>
      </c>
      <c r="P33" s="82">
        <f t="shared" si="2"/>
        <v>505689.31860616087</v>
      </c>
      <c r="Q33" s="66"/>
      <c r="R33" s="65">
        <f>[11]MVTAOUT!O31+[11]MVTSEPT!P31+[11]MVTOCT!N31+[11]MVTNOV!N31+[11]MVTDEC!N31+[11]MVTJANV!N31+[11]MVTFEV!N31+[11]MVTMARS!N31+[11]MVTAVRIL!N31+[11]MVTMAI!N31+[11]MVTJUIN!N31+[11]MVTJUIL!N31</f>
        <v>500000</v>
      </c>
      <c r="S33" s="65">
        <f>[11]MVTAOUT!P31+[11]MVTSEPT!Q31+[11]MVTOCT!O31+[11]MVTNOV!O31+[11]MVTDEC!O31+[11]MVTJANV!O31+[11]MVTFEV!O31+[11]MVTMARS!O31+[11]MVTAVRIL!O31+[11]MVTMAI!O31+[11]MVTJUIN!O31+[11]MVTJUIL!O31</f>
        <v>10000</v>
      </c>
      <c r="T33" s="65">
        <f>+INVENT2016_2017!N31</f>
        <v>896000</v>
      </c>
      <c r="U33" s="65">
        <f>[11]MVTAOUT!$Q31+[11]MVTSEPT!$R31+[11]MVTOCT!$P31+[11]MVTNOV!$P31+[11]MVTDEC!$P31+[11]MVTJANV!$P31+[11]MVTFEV!$P31+[11]MVTMARS!$P31+[11]MVTAVRIL!$P31+[11]MVTMAI!$P31+[11]MVTJUIN!$P31+[11]MVTJUIL!$P31+[11]MVTAOUT2018!$P$31</f>
        <v>1440800</v>
      </c>
      <c r="V33" s="65">
        <f>500000-500000</f>
        <v>0</v>
      </c>
      <c r="W33" s="65"/>
      <c r="X33" s="65"/>
      <c r="Y33" s="113">
        <v>43268</v>
      </c>
      <c r="AA33" s="81">
        <v>25689.318606160872</v>
      </c>
      <c r="AB33" s="32">
        <f>+[12]MVTSEPT!$D33</f>
        <v>643162.62499808788</v>
      </c>
      <c r="AC33" s="32">
        <f t="shared" si="3"/>
        <v>-617473.30639192695</v>
      </c>
    </row>
    <row r="34" spans="1:29" x14ac:dyDescent="0.25">
      <c r="A34" s="14" t="s">
        <v>107</v>
      </c>
      <c r="B34" s="64">
        <f>+INVENT2016_2017!J32</f>
        <v>450000</v>
      </c>
      <c r="C34" s="64">
        <f>+INVENT2016_2017!I32</f>
        <v>54313.880911556305</v>
      </c>
      <c r="D34" s="64">
        <f>[11]MVTAOUT!$H32+[11]MVTSEPT!$I32+[11]MVTOCT!$G32+[11]MVTNOV!$G32+[11]MVTDEC!$G32+[11]MVTJANV!$G32+[11]MVTFEV!$G32+[11]MVTMARS!$G32+[11]MVTAVRIL!$G32+[11]MVTMAI!$G32+[11]MVTJUIN!$G32+[11]MVTJUIL!$G32+[11]MVTAOUT2018!$G32</f>
        <v>378000</v>
      </c>
      <c r="E34" s="64">
        <f>+[11]MVTAOUT!$D32+[11]MVTSEPT!$E32+[11]MVTOCT!$C32+[11]MVTNOV!$C32+[11]MVTDEC!$C32+[11]MVTJANV!$C32+[11]MVTFEV!$C32+[11]MVTMARS!$C32+[11]MVTAVRIL!$C32+[11]MVTMAI!$C32+[11]MVTJUIN!$C32+[11]MVTJUIL!$C32</f>
        <v>27722.469576251013</v>
      </c>
      <c r="F34" s="64">
        <f t="shared" si="0"/>
        <v>460036.3504878073</v>
      </c>
      <c r="G34" s="65"/>
      <c r="H34" s="66"/>
      <c r="I34" s="65">
        <v>25000</v>
      </c>
      <c r="J34" s="65">
        <v>30000</v>
      </c>
      <c r="K34" s="81">
        <f>F34-G34-H34-I34-J34-25000</f>
        <v>380036.3504878073</v>
      </c>
      <c r="L34" s="81">
        <v>25000</v>
      </c>
      <c r="M34" s="81"/>
      <c r="N34" s="81">
        <v>380000</v>
      </c>
      <c r="O34" s="64">
        <f>B34+J34</f>
        <v>480000</v>
      </c>
      <c r="P34" s="82">
        <f t="shared" si="2"/>
        <v>860036.3504878073</v>
      </c>
      <c r="Q34" s="66"/>
      <c r="R34" s="65">
        <f>[11]MVTAOUT!O32+[11]MVTSEPT!P32+[11]MVTOCT!N32+[11]MVTNOV!N32+[11]MVTDEC!N32+[11]MVTJANV!N32+[11]MVTFEV!N32+[11]MVTMARS!N32+[11]MVTAVRIL!N32+[11]MVTMAI!N32+[11]MVTJUIN!N32+[11]MVTJUIL!N32</f>
        <v>1000000</v>
      </c>
      <c r="S34" s="65">
        <f>[11]MVTAOUT!P32+[11]MVTSEPT!Q32+[11]MVTOCT!O32+[11]MVTNOV!O32+[11]MVTDEC!O32+[11]MVTJANV!O32+[11]MVTFEV!O32+[11]MVTMARS!O32+[11]MVTAVRIL!O32+[11]MVTMAI!O32+[11]MVTJUIN!O32+[11]MVTJUIL!O32</f>
        <v>90000</v>
      </c>
      <c r="T34" s="65">
        <f>+INVENT2016_2017!N32</f>
        <v>1120000</v>
      </c>
      <c r="U34" s="65">
        <f>[11]MVTAOUT!$Q32+[11]MVTSEPT!$R32+[11]MVTOCT!$P32+[11]MVTNOV!$P32+[11]MVTDEC!$P32+[11]MVTJANV!$P32+[11]MVTFEV!$P32+[11]MVTMARS!$P32+[11]MVTAVRIL!$P32+[11]MVTMAI!$P32+[11]MVTJUIN!$P32+[11]MVTJUIL!$P32+[11]MVTAOUT2018!$P$32</f>
        <v>2210000</v>
      </c>
      <c r="V34" s="65">
        <f>1090000-1090000</f>
        <v>0</v>
      </c>
      <c r="W34" s="65"/>
      <c r="X34" s="65"/>
      <c r="Y34" s="113">
        <v>43057</v>
      </c>
      <c r="AA34" s="81">
        <v>380036.3504878073</v>
      </c>
      <c r="AB34" s="32">
        <f>+[12]MVTSEPT!$D34</f>
        <v>795838.38063859928</v>
      </c>
      <c r="AC34" s="32">
        <f t="shared" si="3"/>
        <v>-415802.03015079198</v>
      </c>
    </row>
    <row r="35" spans="1:29" x14ac:dyDescent="0.25">
      <c r="A35" s="14" t="s">
        <v>108</v>
      </c>
      <c r="B35" s="64">
        <f>+INVENT2016_2017!J33</f>
        <v>450000</v>
      </c>
      <c r="C35" s="64">
        <f>+INVENT2016_2017!I33</f>
        <v>50017.733013545163</v>
      </c>
      <c r="D35" s="64">
        <f>[11]MVTAOUT!$H33+[11]MVTSEPT!$I33+[11]MVTOCT!$G33+[11]MVTNOV!$G33+[11]MVTDEC!$G33+[11]MVTJANV!$G33+[11]MVTFEV!$G33+[11]MVTMARS!$G33+[11]MVTAVRIL!$G33+[11]MVTMAI!$G33+[11]MVTJUIN!$G33+[11]MVTJUIL!$G33+[11]MVTAOUT2018!$G33</f>
        <v>104000</v>
      </c>
      <c r="E35" s="64">
        <f>+[11]MVTAOUT!$D33+[11]MVTSEPT!$E33+[11]MVTOCT!$C33+[11]MVTNOV!$C33+[11]MVTDEC!$C33+[11]MVTJANV!$C33+[11]MVTFEV!$C33+[11]MVTMARS!$C33+[11]MVTAVRIL!$C33+[11]MVTMAI!$C33+[11]MVTJUIN!$C33+[11]MVTJUIL!$C33</f>
        <v>21092.066749094622</v>
      </c>
      <c r="F35" s="64">
        <f t="shared" si="0"/>
        <v>175109.7997626398</v>
      </c>
      <c r="G35" s="65"/>
      <c r="H35" s="66">
        <v>100000</v>
      </c>
      <c r="I35" s="65">
        <v>25000</v>
      </c>
      <c r="J35" s="65">
        <v>30000</v>
      </c>
      <c r="K35" s="81">
        <f t="shared" si="9"/>
        <v>20109.799762639799</v>
      </c>
      <c r="L35" s="81"/>
      <c r="M35" s="81"/>
      <c r="N35" s="81">
        <v>20000</v>
      </c>
      <c r="O35" s="64">
        <f>B35+J35</f>
        <v>480000</v>
      </c>
      <c r="P35" s="82">
        <f t="shared" si="2"/>
        <v>500109.7997626398</v>
      </c>
      <c r="Q35" s="66"/>
      <c r="R35" s="65">
        <f>[11]MVTAOUT!O33+[11]MVTSEPT!P33+[11]MVTOCT!N33+[11]MVTNOV!N33+[11]MVTDEC!N33+[11]MVTJANV!N33+[11]MVTFEV!N33+[11]MVTMARS!N33+[11]MVTAVRIL!N33+[11]MVTMAI!N33+[11]MVTJUIN!N33+[11]MVTJUIL!N33</f>
        <v>500000</v>
      </c>
      <c r="S35" s="65">
        <f>[11]MVTAOUT!P33+[11]MVTSEPT!Q33+[11]MVTOCT!O33+[11]MVTNOV!O33+[11]MVTDEC!O33+[11]MVTJANV!O33+[11]MVTFEV!O33+[11]MVTMARS!O33+[11]MVTAVRIL!O33+[11]MVTMAI!O33+[11]MVTJUIN!O33+[11]MVTJUIL!O33</f>
        <v>50000</v>
      </c>
      <c r="T35" s="65">
        <f>+INVENT2016_2017!N33</f>
        <v>472000</v>
      </c>
      <c r="U35" s="65">
        <f>[11]MVTAOUT!$Q33+[11]MVTSEPT!$R33+[11]MVTOCT!$P33+[11]MVTNOV!$P33+[11]MVTDEC!$P33+[11]MVTJANV!$P33+[11]MVTFEV!$P33+[11]MVTMARS!$P33+[11]MVTAVRIL!$P33+[11]MVTMAI!$P33+[11]MVTJUIN!$P33+[11]MVTJUIL!$P33+[11]MVTAOUT2018!$P$33</f>
        <v>1594000</v>
      </c>
      <c r="V35" s="65">
        <f>420000-320000-100000</f>
        <v>0</v>
      </c>
      <c r="W35" s="65"/>
      <c r="X35" s="65"/>
      <c r="Y35" s="113">
        <v>43374</v>
      </c>
      <c r="AA35" s="81">
        <v>20109.799762639799</v>
      </c>
      <c r="AB35" s="32">
        <f>+[12]MVTSEPT!$D36</f>
        <v>814964.21948103607</v>
      </c>
      <c r="AC35" s="32">
        <f t="shared" si="3"/>
        <v>-794854.41971839627</v>
      </c>
    </row>
    <row r="36" spans="1:29" x14ac:dyDescent="0.25">
      <c r="A36" s="14"/>
      <c r="B36" s="64"/>
      <c r="C36" s="64"/>
      <c r="D36" s="64"/>
      <c r="E36" s="64"/>
      <c r="F36" s="64"/>
      <c r="G36" s="65"/>
      <c r="H36" s="66"/>
      <c r="I36" s="65"/>
      <c r="J36" s="65"/>
      <c r="K36" s="81"/>
      <c r="L36" s="81"/>
      <c r="M36" s="81"/>
      <c r="N36" s="81"/>
      <c r="O36" s="64"/>
      <c r="P36" s="82"/>
      <c r="Q36" s="66"/>
      <c r="R36" s="65"/>
      <c r="S36" s="65"/>
      <c r="T36" s="65"/>
      <c r="U36" s="65"/>
      <c r="V36" s="65"/>
      <c r="W36" s="65"/>
      <c r="X36" s="65"/>
      <c r="Y36" s="112"/>
      <c r="AA36" s="81"/>
      <c r="AC36" s="32">
        <f t="shared" si="3"/>
        <v>0</v>
      </c>
    </row>
    <row r="37" spans="1:29" x14ac:dyDescent="0.25">
      <c r="A37" s="14"/>
      <c r="B37" s="64"/>
      <c r="C37" s="64"/>
      <c r="D37" s="64"/>
      <c r="E37" s="64"/>
      <c r="F37" s="64"/>
      <c r="G37" s="65"/>
      <c r="H37" s="66"/>
      <c r="I37" s="65"/>
      <c r="J37" s="65"/>
      <c r="K37" s="81"/>
      <c r="L37" s="81"/>
      <c r="M37" s="81"/>
      <c r="N37" s="81"/>
      <c r="O37" s="64"/>
      <c r="P37" s="82"/>
      <c r="Q37" s="66"/>
      <c r="R37" s="65"/>
      <c r="S37" s="65"/>
      <c r="T37" s="65"/>
      <c r="U37" s="65"/>
      <c r="V37" s="65"/>
      <c r="W37" s="65"/>
      <c r="X37" s="65"/>
      <c r="Y37" s="112"/>
      <c r="AA37" s="81"/>
      <c r="AC37" s="32">
        <f t="shared" si="3"/>
        <v>0</v>
      </c>
    </row>
    <row r="38" spans="1:29" x14ac:dyDescent="0.25">
      <c r="A38" s="14"/>
      <c r="B38" s="64"/>
      <c r="C38" s="64"/>
      <c r="D38" s="64"/>
      <c r="E38" s="64"/>
      <c r="F38" s="64"/>
      <c r="G38" s="65"/>
      <c r="H38" s="66"/>
      <c r="I38" s="65"/>
      <c r="J38" s="65"/>
      <c r="K38" s="81"/>
      <c r="L38" s="81"/>
      <c r="M38" s="81"/>
      <c r="N38" s="81"/>
      <c r="O38" s="64"/>
      <c r="P38" s="82"/>
      <c r="Q38" s="66"/>
      <c r="R38" s="65"/>
      <c r="S38" s="65"/>
      <c r="T38" s="65"/>
      <c r="U38" s="65"/>
      <c r="V38" s="65"/>
      <c r="W38" s="65"/>
      <c r="X38" s="65"/>
      <c r="Y38" s="112"/>
      <c r="AA38" s="81"/>
      <c r="AC38" s="32">
        <f t="shared" si="3"/>
        <v>0</v>
      </c>
    </row>
    <row r="39" spans="1:29" x14ac:dyDescent="0.25">
      <c r="A39" s="14" t="s">
        <v>112</v>
      </c>
      <c r="B39" s="64">
        <f>+INVENT2016_2017!J37</f>
        <v>450000</v>
      </c>
      <c r="C39" s="64">
        <f>+INVENT2016_2017!I37</f>
        <v>47164.657594173732</v>
      </c>
      <c r="D39" s="64">
        <f>[11]MVTAOUT!$H35+[11]MVTSEPT!$I35+[11]MVTOCT!$G35+[11]MVTNOV!$G35+[11]MVTDEC!$G35+[11]MVTJANV!$G35+[11]MVTFEV!$G35+[11]MVTMARS!$G35+[11]MVTAVRIL!$G35+[11]MVTMAI!$G35+[11]MVTJUIN!$G35+[11]MVTJUIL!$G35+[11]MVTAOUT2018!$G35</f>
        <v>39000</v>
      </c>
      <c r="E39" s="64">
        <f>+[11]MVTAOUT!$D35+[11]MVTSEPT!$E35+[11]MVTOCT!$C35+[11]MVTNOV!$C35+[11]MVTDEC!$C35+[11]MVTJANV!$C35+[11]MVTFEV!$C35+[11]MVTMARS!$C35+[11]MVTAVRIL!$C35+[11]MVTMAI!$C35+[11]MVTJUIN!$C35+[11]MVTJUIL!$C35</f>
        <v>19803.637745363583</v>
      </c>
      <c r="F39" s="64">
        <f t="shared" si="0"/>
        <v>105968.29533953732</v>
      </c>
      <c r="G39" s="65"/>
      <c r="H39" s="66"/>
      <c r="I39" s="65">
        <v>25000</v>
      </c>
      <c r="J39" s="65">
        <v>30000</v>
      </c>
      <c r="K39" s="81">
        <f>F39-G39-H39-I39-J39-35000</f>
        <v>15968.295339537319</v>
      </c>
      <c r="L39" s="81">
        <v>35000</v>
      </c>
      <c r="M39" s="81"/>
      <c r="N39" s="81"/>
      <c r="O39" s="64">
        <f>B39+J39</f>
        <v>480000</v>
      </c>
      <c r="P39" s="82">
        <f t="shared" ref="P39:P40" si="10">K39+O39</f>
        <v>495968.29533953732</v>
      </c>
      <c r="Q39" s="84"/>
      <c r="R39" s="65">
        <f>[11]MVTAOUT!O35+[11]MVTSEPT!P35+[11]MVTOCT!N35+[11]MVTNOV!N35+[11]MVTDEC!N35+[11]MVTJANV!N35+[11]MVTFEV!N35+[11]MVTMARS!N35+[11]MVTAVRIL!N35+[11]MVTMAI!N35+[11]MVTJUIN!N35+[11]MVTJUIL!N35</f>
        <v>0</v>
      </c>
      <c r="S39" s="65">
        <f>[11]MVTAOUT!P35+[11]MVTSEPT!Q35+[11]MVTOCT!O35+[11]MVTNOV!O35+[11]MVTDEC!O35+[11]MVTJANV!O35+[11]MVTFEV!O35+[11]MVTMARS!O35+[11]MVTAVRIL!O35+[11]MVTMAI!O35+[11]MVTJUIN!O35+[11]MVTJUIL!O35</f>
        <v>0</v>
      </c>
      <c r="T39" s="65">
        <f>+INVENT2016_2017!N37</f>
        <v>0</v>
      </c>
      <c r="U39" s="65">
        <f>[11]MVTAOUT!$Q35+[11]MVTSEPT!$R35+[11]MVTOCT!$P35+[11]MVTNOV!$P35+[11]MVTDEC!$P35+[11]MVTJANV!$P35+[11]MVTFEV!$P35+[11]MVTMARS!$P35+[11]MVTAVRIL!$P35+[11]MVTMAI!$P35+[11]MVTJUIN!$P35+[11]MVTJUIL!$P35+[11]MVTAOUT2018!$P$35</f>
        <v>0</v>
      </c>
      <c r="V39" s="65"/>
      <c r="W39" s="65"/>
      <c r="X39" s="65"/>
      <c r="Y39" s="112"/>
      <c r="AA39" s="81">
        <v>15968.295339537319</v>
      </c>
      <c r="AB39" s="32">
        <f>+[12]MVTSEPT!$D37</f>
        <v>651185.68382878136</v>
      </c>
      <c r="AC39" s="32">
        <f t="shared" si="3"/>
        <v>-635217.38848924404</v>
      </c>
    </row>
    <row r="40" spans="1:29" x14ac:dyDescent="0.25">
      <c r="A40" s="14" t="s">
        <v>113</v>
      </c>
      <c r="B40" s="64">
        <f>+INVENT2016_2017!J38</f>
        <v>450000</v>
      </c>
      <c r="C40" s="64">
        <f>+INVENT2016_2017!I38</f>
        <v>39428.86927142147</v>
      </c>
      <c r="D40" s="64">
        <f>[11]MVTAOUT!$H36+[11]MVTSEPT!$I36+[11]MVTOCT!$G36+[11]MVTNOV!$G36+[11]MVTDEC!$G36+[11]MVTJANV!$G36+[11]MVTFEV!$G36+[11]MVTMARS!$G36+[11]MVTAVRIL!$G36+[11]MVTMAI!$G36+[11]MVTJUIN!$G36+[11]MVTJUIL!$G36+[11]MVTAOUT2018!$G36</f>
        <v>39000</v>
      </c>
      <c r="E40" s="64">
        <f>+[11]MVTAOUT!$D36+[11]MVTSEPT!$E36+[11]MVTOCT!$C36+[11]MVTNOV!$C36+[11]MVTDEC!$C36+[11]MVTJANV!$C36+[11]MVTFEV!$C36+[11]MVTMARS!$C36+[11]MVTAVRIL!$C36+[11]MVTMAI!$C36+[11]MVTJUIN!$C36+[11]MVTJUIL!$C36</f>
        <v>19818.304035514146</v>
      </c>
      <c r="F40" s="64">
        <f t="shared" si="0"/>
        <v>98247.173306935612</v>
      </c>
      <c r="G40" s="65"/>
      <c r="H40" s="66"/>
      <c r="I40" s="65">
        <v>25000</v>
      </c>
      <c r="J40" s="65">
        <v>30000</v>
      </c>
      <c r="K40" s="81">
        <f>F40-G40-H40-I40-J40-43247</f>
        <v>0.17330693561234511</v>
      </c>
      <c r="L40" s="81">
        <v>25000</v>
      </c>
      <c r="M40" s="81">
        <v>18247</v>
      </c>
      <c r="N40" s="81"/>
      <c r="O40" s="64">
        <f>B40+J40</f>
        <v>480000</v>
      </c>
      <c r="P40" s="82">
        <f t="shared" si="10"/>
        <v>480000.17330693558</v>
      </c>
      <c r="Q40" s="84"/>
      <c r="R40" s="65">
        <f>[11]MVTAOUT!O36+[11]MVTSEPT!P36+[11]MVTOCT!N36+[11]MVTNOV!N36+[11]MVTDEC!N36+[11]MVTJANV!N36+[11]MVTFEV!N36+[11]MVTMARS!N36+[11]MVTAVRIL!N36+[11]MVTMAI!N36+[11]MVTJUIN!N36+[11]MVTJUIL!N36</f>
        <v>2000000</v>
      </c>
      <c r="S40" s="65">
        <f>[11]MVTAOUT!P36+[11]MVTSEPT!Q36+[11]MVTOCT!O36+[11]MVTNOV!O36+[11]MVTDEC!O36+[11]MVTJANV!O36+[11]MVTFEV!O36+[11]MVTMARS!O36+[11]MVTAVRIL!O36+[11]MVTMAI!O36+[11]MVTJUIN!O36+[11]MVTJUIL!O36</f>
        <v>140000</v>
      </c>
      <c r="T40" s="65">
        <f>+INVENT2016_2017!N38</f>
        <v>1120000</v>
      </c>
      <c r="U40" s="65">
        <f>[11]MVTAOUT!$Q36+[11]MVTSEPT!$R36+[11]MVTOCT!$P36+[11]MVTNOV!$P36+[11]MVTDEC!$P36+[11]MVTJANV!$P36+[11]MVTFEV!$P36+[11]MVTMARS!$P36+[11]MVTAVRIL!$P36+[11]MVTMAI!$P36+[11]MVTJUIN!$P36+[11]MVTJUIL!$P36+[11]MVTAOUT2018!$P$36</f>
        <v>2200000</v>
      </c>
      <c r="V40" s="65">
        <v>1040000</v>
      </c>
      <c r="W40" s="65">
        <f t="shared" ref="W40:W44" si="11">V40*5/100</f>
        <v>52000</v>
      </c>
      <c r="X40" s="65">
        <f t="shared" ref="X40:X44" si="12">+V40+W40</f>
        <v>1092000</v>
      </c>
      <c r="Y40" s="113">
        <v>43009</v>
      </c>
      <c r="AA40" s="81">
        <v>0.17330693561234511</v>
      </c>
      <c r="AB40" s="32">
        <f>+[12]MVTSEPT!$D38</f>
        <v>1371674.2565483693</v>
      </c>
      <c r="AC40" s="32">
        <f t="shared" si="3"/>
        <v>-1371674.0832414336</v>
      </c>
    </row>
    <row r="41" spans="1:29" s="2" customFormat="1" x14ac:dyDescent="0.25">
      <c r="A41" s="114" t="s">
        <v>114</v>
      </c>
      <c r="B41" s="66">
        <v>344000</v>
      </c>
      <c r="C41" s="66">
        <f>+INVENT2016_2017!I39</f>
        <v>42886.780925128507</v>
      </c>
      <c r="D41" s="66">
        <f>[11]MVTAOUT!$H37+[11]MVTSEPT!$I37+[11]MVTOCT!$G37+[11]MVTNOV!$G37+[11]MVTDEC!$G37+[11]MVTJANV!$G37+[11]MVTFEV!$G37+[11]MVTMARS!$G37+[11]MVTAVRIL!$G37+[11]MVTMAI!$G37+[11]MVTJUIN!$G37+[11]MVTJUIL!$G37+[11]MVTAOUT2018!$G37</f>
        <v>21000</v>
      </c>
      <c r="E41" s="66">
        <f>+[11]MVTAOUT!$D37+[11]MVTSEPT!$E37+[11]MVTOCT!$C37+[11]MVTNOV!$C37+[11]MVTDEC!$C37+[11]MVTJANV!$C37+[11]MVTFEV!$C37+[11]MVTMARS!$C37+[11]MVTAVRIL!$C37+[11]MVTMAI!$C37+[11]MVTJUIN!$C37+[11]MVTJUIL!$C37</f>
        <v>18455.378671453702</v>
      </c>
      <c r="F41" s="66">
        <f t="shared" si="0"/>
        <v>82342.159596582205</v>
      </c>
      <c r="G41" s="66"/>
      <c r="H41" s="66"/>
      <c r="I41" s="66">
        <v>25000</v>
      </c>
      <c r="J41" s="66">
        <v>30000</v>
      </c>
      <c r="K41" s="84">
        <f t="shared" ref="K41:K55" si="13">F41-G41-H41-I41-J41</f>
        <v>27342.159596582205</v>
      </c>
      <c r="L41" s="84"/>
      <c r="M41" s="84"/>
      <c r="N41" s="84"/>
      <c r="O41" s="66">
        <v>344000</v>
      </c>
      <c r="P41" s="82">
        <f t="shared" ref="P41:P55" si="14">O41+K41</f>
        <v>371342.15959658218</v>
      </c>
      <c r="Q41" s="84"/>
      <c r="R41" s="65">
        <f>[11]MVTAOUT!O37+[11]MVTSEPT!P37+[11]MVTOCT!N37+[11]MVTNOV!N37+[11]MVTDEC!N37+[11]MVTJANV!N37+[11]MVTFEV!N37+[11]MVTMARS!N37+[11]MVTAVRIL!N37+[11]MVTMAI!N37+[11]MVTJUIN!N37+[11]MVTJUIL!N37</f>
        <v>0</v>
      </c>
      <c r="S41" s="65">
        <f>[11]MVTAOUT!P37+[11]MVTSEPT!Q37+[11]MVTOCT!O37+[11]MVTNOV!O37+[11]MVTDEC!O37+[11]MVTJANV!O37+[11]MVTFEV!O37+[11]MVTMARS!O37+[11]MVTAVRIL!O37+[11]MVTMAI!O37+[11]MVTJUIN!O37+[11]MVTJUIL!O37</f>
        <v>0</v>
      </c>
      <c r="T41" s="65">
        <f>+INVENT2016_2017!N39</f>
        <v>784000</v>
      </c>
      <c r="U41" s="65">
        <f>[11]MVTAOUT!$Q37+[11]MVTSEPT!$R37+[11]MVTOCT!$P37+[11]MVTNOV!$P37+[11]MVTDEC!$P37+[11]MVTJANV!$P37+[11]MVTFEV!$P37+[11]MVTMARS!$P37+[11]MVTAVRIL!$P37+[11]MVTMAI!$P37+[11]MVTJUIN!$P37+[11]MVTJUIL!$P37+[11]MVTAOUT2018!$P$37</f>
        <v>0</v>
      </c>
      <c r="V41" s="65">
        <v>84000</v>
      </c>
      <c r="W41" s="65">
        <f t="shared" si="11"/>
        <v>4200</v>
      </c>
      <c r="X41" s="65">
        <f t="shared" si="12"/>
        <v>88200</v>
      </c>
      <c r="Y41" s="116">
        <v>42873</v>
      </c>
      <c r="AA41" s="84">
        <v>27342.159596582205</v>
      </c>
      <c r="AB41" s="32"/>
      <c r="AC41" s="32">
        <f t="shared" si="3"/>
        <v>27342.159596582205</v>
      </c>
    </row>
    <row r="42" spans="1:29" x14ac:dyDescent="0.25">
      <c r="A42" s="14" t="s">
        <v>115</v>
      </c>
      <c r="B42" s="64">
        <f>+INVENT2016_2017!J40</f>
        <v>450000</v>
      </c>
      <c r="C42" s="64">
        <f>+INVENT2016_2017!I40</f>
        <v>53965.469479387291</v>
      </c>
      <c r="D42" s="64">
        <f>[11]MVTAOUT!$H38+[11]MVTSEPT!$I38+[11]MVTOCT!$G38+[11]MVTNOV!$G38+[11]MVTDEC!$G38+[11]MVTJANV!$G38+[11]MVTFEV!$G38+[11]MVTMARS!$G38+[11]MVTAVRIL!$G38+[11]MVTMAI!$G38+[11]MVTJUIN!$G38+[11]MVTJUIL!$G38+[11]MVTAOUT2018!$G38</f>
        <v>39000</v>
      </c>
      <c r="E42" s="64">
        <f>+[11]MVTAOUT!$D38+[11]MVTSEPT!$E38+[11]MVTOCT!$C38+[11]MVTNOV!$C38+[11]MVTDEC!$C38+[11]MVTJANV!$C38+[11]MVTFEV!$C38+[11]MVTMARS!$C38+[11]MVTAVRIL!$C38+[11]MVTMAI!$C38+[11]MVTJUIN!$C38+[11]MVTJUIL!$C38</f>
        <v>19811.994996173344</v>
      </c>
      <c r="F42" s="64">
        <f t="shared" si="0"/>
        <v>112777.46447556064</v>
      </c>
      <c r="G42" s="65"/>
      <c r="H42" s="66"/>
      <c r="I42" s="65">
        <v>25000</v>
      </c>
      <c r="J42" s="65">
        <v>30000</v>
      </c>
      <c r="K42" s="81">
        <f>F42-G42-H42-I42-J42-25000</f>
        <v>32777.464475560642</v>
      </c>
      <c r="L42" s="81">
        <v>25000</v>
      </c>
      <c r="M42" s="81"/>
      <c r="N42" s="81">
        <v>30000</v>
      </c>
      <c r="O42" s="64">
        <f>B42+J42</f>
        <v>480000</v>
      </c>
      <c r="P42" s="82">
        <f t="shared" ref="P42:P56" si="15">K42+O42</f>
        <v>512777.46447556064</v>
      </c>
      <c r="Q42" s="84"/>
      <c r="R42" s="65">
        <f>[11]MVTAOUT!O38+[11]MVTSEPT!P38+[11]MVTOCT!N38+[11]MVTNOV!N38+[11]MVTDEC!N38+[11]MVTJANV!N38+[11]MVTFEV!N38+[11]MVTMARS!N38+[11]MVTAVRIL!N38+[11]MVTMAI!N38+[11]MVTJUIN!N38+[11]MVTJUIL!N38</f>
        <v>0</v>
      </c>
      <c r="S42" s="65">
        <f>[11]MVTAOUT!P38+[11]MVTSEPT!Q38+[11]MVTOCT!O38+[11]MVTNOV!O38+[11]MVTDEC!O38+[11]MVTJANV!O38+[11]MVTFEV!O38+[11]MVTMARS!O38+[11]MVTAVRIL!O38+[11]MVTMAI!O38+[11]MVTJUIN!O38+[11]MVTJUIL!O38</f>
        <v>0</v>
      </c>
      <c r="T42" s="65">
        <f>+INVENT2016_2017!N40</f>
        <v>1120000</v>
      </c>
      <c r="U42" s="65">
        <f>[11]MVTAOUT!$Q38+[11]MVTSEPT!$R38+[11]MVTOCT!$P38+[11]MVTNOV!$P38+[11]MVTDEC!$P38+[11]MVTJANV!$P38+[11]MVTFEV!$P38+[11]MVTMARS!$P38+[11]MVTAVRIL!$P38+[11]MVTMAI!$P38+[11]MVTJUIN!$P38+[11]MVTJUIL!$P38+[11]MVTAOUT2018!$P$38</f>
        <v>0</v>
      </c>
      <c r="V42" s="65">
        <f>1120000-U42</f>
        <v>1120000</v>
      </c>
      <c r="W42" s="65">
        <f t="shared" si="11"/>
        <v>56000</v>
      </c>
      <c r="X42" s="65">
        <f>+V42+W42-32778-234000</f>
        <v>909222</v>
      </c>
      <c r="Y42" s="113">
        <v>42804</v>
      </c>
      <c r="AA42" s="81">
        <v>32777.464475560642</v>
      </c>
      <c r="AB42" s="32">
        <f>+[12]MVTSEPT!$D40</f>
        <v>0</v>
      </c>
      <c r="AC42" s="32">
        <f t="shared" si="3"/>
        <v>32777.464475560642</v>
      </c>
    </row>
    <row r="43" spans="1:29" x14ac:dyDescent="0.25">
      <c r="A43" s="14" t="s">
        <v>116</v>
      </c>
      <c r="B43" s="64">
        <f>+INVENT2016_2017!J41</f>
        <v>450000</v>
      </c>
      <c r="C43" s="64">
        <f>+INVENT2016_2017!I41</f>
        <v>49454.029566398589</v>
      </c>
      <c r="D43" s="64">
        <f>[11]MVTAOUT!$H39+[11]MVTSEPT!$I39+[11]MVTOCT!$G39+[11]MVTNOV!$G39+[11]MVTDEC!$G39+[11]MVTJANV!$G39+[11]MVTFEV!$G39+[11]MVTMARS!$G39+[11]MVTAVRIL!$G39+[11]MVTMAI!$G39+[11]MVTJUIN!$G39+[11]MVTJUIL!$G39+[11]MVTAOUT2018!$G39</f>
        <v>39000</v>
      </c>
      <c r="E43" s="64">
        <f>+[11]MVTAOUT!$D39+[11]MVTSEPT!$E39+[11]MVTOCT!$C39+[11]MVTNOV!$C39+[11]MVTDEC!$C39+[11]MVTJANV!$C39+[11]MVTFEV!$C39+[11]MVTMARS!$C39+[11]MVTAVRIL!$C39+[11]MVTMAI!$C39+[11]MVTJUIN!$C39+[11]MVTJUIL!$C39</f>
        <v>19810.67290649606</v>
      </c>
      <c r="F43" s="64">
        <f t="shared" si="0"/>
        <v>108264.70247289466</v>
      </c>
      <c r="G43" s="65"/>
      <c r="H43" s="66"/>
      <c r="I43" s="65">
        <v>25000</v>
      </c>
      <c r="J43" s="65">
        <v>30000</v>
      </c>
      <c r="K43" s="81">
        <f>F43-G43-H43-I43-J43-25000-9650-18615</f>
        <v>-0.29752710534376092</v>
      </c>
      <c r="L43" s="81">
        <v>25000</v>
      </c>
      <c r="M43" s="81">
        <v>9650</v>
      </c>
      <c r="N43" s="81"/>
      <c r="O43" s="64">
        <f>B43+J43</f>
        <v>480000</v>
      </c>
      <c r="P43" s="82">
        <f t="shared" si="15"/>
        <v>479999.70247289469</v>
      </c>
      <c r="Q43" s="84"/>
      <c r="R43" s="65">
        <f>[11]MVTAOUT!O39+[11]MVTSEPT!P39+[11]MVTOCT!N39+[11]MVTNOV!N39+[11]MVTDEC!N39+[11]MVTJANV!N39+[11]MVTFEV!N39+[11]MVTMARS!N39+[11]MVTAVRIL!N39+[11]MVTMAI!N39+[11]MVTJUIN!N39+[11]MVTJUIL!N39</f>
        <v>0</v>
      </c>
      <c r="S43" s="65">
        <f>[11]MVTAOUT!P39+[11]MVTSEPT!Q39+[11]MVTOCT!O39+[11]MVTNOV!O39+[11]MVTDEC!O39+[11]MVTJANV!O39+[11]MVTFEV!O39+[11]MVTMARS!O39+[11]MVTAVRIL!O39+[11]MVTMAI!O39+[11]MVTJUIN!O39+[11]MVTJUIL!O39</f>
        <v>0</v>
      </c>
      <c r="T43" s="65">
        <f>+INVENT2016_2017!N41</f>
        <v>963000</v>
      </c>
      <c r="U43" s="65">
        <f>[11]MVTAOUT!$Q39+[11]MVTSEPT!$R39+[11]MVTOCT!$P39+[11]MVTNOV!$P39+[11]MVTDEC!$P39+[11]MVTJANV!$P39+[11]MVTFEV!$P39+[11]MVTMARS!$P39+[11]MVTAVRIL!$P39+[11]MVTMAI!$P39+[11]MVTJUIN!$P39+[11]MVTJUIL!$P39+[11]MVTAOUT2018!$P$39</f>
        <v>770000</v>
      </c>
      <c r="V43" s="65">
        <f>T43-U43</f>
        <v>193000</v>
      </c>
      <c r="W43" s="65">
        <f t="shared" si="11"/>
        <v>9650</v>
      </c>
      <c r="X43" s="65">
        <f>+V43+W43-18615</f>
        <v>184035</v>
      </c>
      <c r="Y43" s="112"/>
      <c r="AA43" s="81">
        <v>-0.29752710534376092</v>
      </c>
      <c r="AB43" s="32">
        <f>+[12]MVTSEPT!$D41</f>
        <v>0</v>
      </c>
      <c r="AC43" s="32">
        <f t="shared" si="3"/>
        <v>-0.29752710534376092</v>
      </c>
    </row>
    <row r="44" spans="1:29" x14ac:dyDescent="0.25">
      <c r="A44" s="14" t="s">
        <v>117</v>
      </c>
      <c r="B44" s="64">
        <f>+INVENT2016_2017!J42</f>
        <v>450000</v>
      </c>
      <c r="C44" s="64">
        <f>+INVENT2016_2017!I42</f>
        <v>152184.30617585612</v>
      </c>
      <c r="D44" s="64">
        <f>[11]MVTAOUT!$H40+[11]MVTSEPT!$I40+[11]MVTOCT!$G40+[11]MVTNOV!$G40+[11]MVTDEC!$G40+[11]MVTJANV!$G40+[11]MVTFEV!$G40+[11]MVTMARS!$G40+[11]MVTAVRIL!$G40+[11]MVTMAI!$G40+[11]MVTJUIN!$G40+[11]MVTJUIL!$G40+[11]MVTAOUT2018!$G40</f>
        <v>119000</v>
      </c>
      <c r="E44" s="64">
        <f>+[11]MVTAOUT!$D40+[11]MVTSEPT!$E40+[11]MVTOCT!$C40+[11]MVTNOV!$C40+[11]MVTDEC!$C40+[11]MVTJANV!$C40+[11]MVTFEV!$C40+[11]MVTMARS!$C40+[11]MVTAVRIL!$C40+[11]MVTMAI!$C40+[11]MVTJUIN!$C40+[11]MVTJUIL!$C40</f>
        <v>20955.294945149803</v>
      </c>
      <c r="F44" s="64">
        <f t="shared" si="0"/>
        <v>292139.60112100595</v>
      </c>
      <c r="G44" s="65"/>
      <c r="H44" s="66">
        <v>200000</v>
      </c>
      <c r="I44" s="65">
        <v>25000</v>
      </c>
      <c r="J44" s="65">
        <v>30000</v>
      </c>
      <c r="K44" s="81">
        <f>F44-G44-H44-I44-J44-37140</f>
        <v>-0.39887899404857308</v>
      </c>
      <c r="L44" s="81">
        <v>25000</v>
      </c>
      <c r="M44" s="81">
        <v>12140</v>
      </c>
      <c r="N44" s="81"/>
      <c r="O44" s="64">
        <f>B44+J44</f>
        <v>480000</v>
      </c>
      <c r="P44" s="82">
        <f t="shared" si="15"/>
        <v>479999.60112100595</v>
      </c>
      <c r="Q44" s="66"/>
      <c r="R44" s="65">
        <f>[11]MVTAOUT!O40+[11]MVTSEPT!P40+[11]MVTOCT!N40+[11]MVTNOV!N40+[11]MVTDEC!N40+[11]MVTJANV!N40+[11]MVTFEV!N40+[11]MVTMARS!N40+[11]MVTAVRIL!N40+[11]MVTMAI!N40+[11]MVTJUIN!N40+[11]MVTJUIL!N40</f>
        <v>290000</v>
      </c>
      <c r="S44" s="65">
        <f>[11]MVTAOUT!P40+[11]MVTSEPT!Q40+[11]MVTOCT!O40+[11]MVTNOV!O40+[11]MVTDEC!O40+[11]MVTJANV!O40+[11]MVTFEV!O40+[11]MVTMARS!O40+[11]MVTAVRIL!O40+[11]MVTMAI!O40+[11]MVTJUIN!O40+[11]MVTJUIL!O40</f>
        <v>20300</v>
      </c>
      <c r="T44" s="65">
        <f>+INVENT2016_2017!N42</f>
        <v>87200</v>
      </c>
      <c r="U44" s="65">
        <f>[11]MVTAOUT!$Q40+[11]MVTSEPT!$R40+[11]MVTOCT!$P40+[11]MVTNOV!$P40+[11]MVTDEC!$P40+[11]MVTJANV!$P40+[11]MVTFEV!$P40+[11]MVTMARS!$P40+[11]MVTAVRIL!$P40+[11]MVTMAI!$P40+[11]MVTJUIN!$P40+[11]MVTJUIL!$P40+[11]MVTAOUT2018!$P$40</f>
        <v>87200</v>
      </c>
      <c r="V44" s="65">
        <v>290000</v>
      </c>
      <c r="W44" s="65">
        <f t="shared" si="11"/>
        <v>14500</v>
      </c>
      <c r="X44" s="65">
        <f t="shared" si="12"/>
        <v>304500</v>
      </c>
      <c r="Y44" s="113">
        <v>43121</v>
      </c>
      <c r="AA44" s="81">
        <v>-0.39887899404857308</v>
      </c>
      <c r="AB44" s="32">
        <f>+[12]MVTSEPT!$D42</f>
        <v>0</v>
      </c>
      <c r="AC44" s="32">
        <f t="shared" si="3"/>
        <v>-0.39887899404857308</v>
      </c>
    </row>
    <row r="45" spans="1:29" x14ac:dyDescent="0.25">
      <c r="A45" s="14" t="s">
        <v>118</v>
      </c>
      <c r="B45" s="64">
        <f>+INVENT2016_2017!J43</f>
        <v>450000</v>
      </c>
      <c r="C45" s="64">
        <f>+INVENT2016_2017!I43</f>
        <v>50378.24403085652</v>
      </c>
      <c r="D45" s="64">
        <f>[11]MVTAOUT!$H41+[11]MVTSEPT!$I41+[11]MVTOCT!$G41+[11]MVTNOV!$G41+[11]MVTDEC!$G41+[11]MVTJANV!$G41+[11]MVTFEV!$G41+[11]MVTMARS!$G41+[11]MVTAVRIL!$G41+[11]MVTMAI!$G41+[11]MVTJUIN!$G41+[11]MVTJUIL!$G41+[11]MVTAOUT2018!$G41</f>
        <v>39000</v>
      </c>
      <c r="E45" s="64">
        <f>+[11]MVTAOUT!$D41+[11]MVTSEPT!$E41+[11]MVTOCT!$C41+[11]MVTNOV!$C41+[11]MVTDEC!$C41+[11]MVTJANV!$C41+[11]MVTFEV!$C41+[11]MVTMARS!$C41+[11]MVTAVRIL!$C41+[11]MVTMAI!$C41+[11]MVTJUIN!$C41+[11]MVTJUIL!$C41</f>
        <v>18511.984246124382</v>
      </c>
      <c r="F45" s="64">
        <f t="shared" si="0"/>
        <v>107890.22827698091</v>
      </c>
      <c r="G45" s="65"/>
      <c r="H45" s="66"/>
      <c r="I45" s="65">
        <v>25000</v>
      </c>
      <c r="J45" s="65">
        <v>30000</v>
      </c>
      <c r="K45" s="81">
        <f t="shared" si="13"/>
        <v>52890.22827698091</v>
      </c>
      <c r="L45" s="81"/>
      <c r="M45" s="81"/>
      <c r="N45" s="81">
        <v>40000</v>
      </c>
      <c r="O45" s="64">
        <f>B45+J45</f>
        <v>480000</v>
      </c>
      <c r="P45" s="82">
        <f t="shared" si="15"/>
        <v>532890.22827698092</v>
      </c>
      <c r="Q45" s="66"/>
      <c r="R45" s="65">
        <f>[11]MVTAOUT!O41+[11]MVTSEPT!P41+[11]MVTOCT!N41+[11]MVTNOV!N41+[11]MVTDEC!N41+[11]MVTJANV!N41+[11]MVTFEV!N41+[11]MVTMARS!N41+[11]MVTAVRIL!N41+[11]MVTMAI!N41+[11]MVTJUIN!N41+[11]MVTJUIL!N41</f>
        <v>0</v>
      </c>
      <c r="S45" s="65">
        <f>[11]MVTAOUT!P41+[11]MVTSEPT!Q41+[11]MVTOCT!O41+[11]MVTNOV!O41+[11]MVTDEC!O41+[11]MVTJANV!O41+[11]MVTFEV!O41+[11]MVTMARS!O41+[11]MVTAVRIL!O41+[11]MVTMAI!O41+[11]MVTJUIN!O41+[11]MVTJUIL!O41</f>
        <v>0</v>
      </c>
      <c r="T45" s="65">
        <f>+INVENT2016_2017!N43</f>
        <v>0</v>
      </c>
      <c r="U45" s="65">
        <f>[11]MVTAOUT!$Q41+[11]MVTSEPT!$R41+[11]MVTOCT!$P41+[11]MVTNOV!$P41+[11]MVTDEC!$P41+[11]MVTJANV!$P41+[11]MVTFEV!$P41+[11]MVTMARS!$P41+[11]MVTAVRIL!$P41+[11]MVTMAI!$P41+[11]MVTJUIN!$P41+[11]MVTJUIL!$P41+[11]MVTAOUT2018!$P$41</f>
        <v>0</v>
      </c>
      <c r="V45" s="65"/>
      <c r="W45" s="65"/>
      <c r="X45" s="65"/>
      <c r="Y45" s="112"/>
      <c r="AA45" s="81">
        <v>52890.22827698091</v>
      </c>
      <c r="AB45" s="32">
        <f>+[12]MVTSEPT!$D26</f>
        <v>751990.68038595188</v>
      </c>
      <c r="AC45" s="32">
        <f t="shared" si="3"/>
        <v>-699100.45210897096</v>
      </c>
    </row>
    <row r="46" spans="1:29" s="2" customFormat="1" x14ac:dyDescent="0.25">
      <c r="A46" s="114" t="s">
        <v>119</v>
      </c>
      <c r="B46" s="66">
        <v>50000</v>
      </c>
      <c r="C46" s="66">
        <f>+INVENT2016_2017!I44</f>
        <v>0</v>
      </c>
      <c r="D46" s="66">
        <f>[11]MVTAOUT!$H42+[11]MVTSEPT!$I42+[11]MVTOCT!$G42+[11]MVTNOV!$G42+[11]MVTDEC!$G42+[11]MVTJANV!$G42+[11]MVTFEV!$G42+[11]MVTMARS!$G42+[11]MVTAVRIL!$G42+[11]MVTMAI!$G42+[11]MVTJUIN!$G42+[11]MVTJUIL!$G42+[11]MVTAOUT2018!$G42</f>
        <v>0</v>
      </c>
      <c r="E46" s="66">
        <f>+[11]MVTAOUT!$D42+[11]MVTSEPT!$E42+[11]MVTOCT!$C42+[11]MVTNOV!$C42+[11]MVTDEC!$C42+[11]MVTJANV!$C42+[11]MVTFEV!$C42+[11]MVTMARS!$C42+[11]MVTAVRIL!$C42+[11]MVTMAI!$C42+[11]MVTJUIN!$C42+[11]MVTJUIL!$C42</f>
        <v>2156.6179161802906</v>
      </c>
      <c r="F46" s="66">
        <f t="shared" si="0"/>
        <v>2156.6179161802906</v>
      </c>
      <c r="G46" s="66"/>
      <c r="H46" s="66"/>
      <c r="I46" s="66">
        <v>9055</v>
      </c>
      <c r="J46" s="66">
        <v>30000</v>
      </c>
      <c r="K46" s="81">
        <f t="shared" si="13"/>
        <v>-36898.382083819713</v>
      </c>
      <c r="L46" s="81"/>
      <c r="M46" s="81"/>
      <c r="N46" s="81"/>
      <c r="O46" s="64">
        <v>50000</v>
      </c>
      <c r="P46" s="82">
        <f t="shared" si="15"/>
        <v>13101.617916180287</v>
      </c>
      <c r="Q46" s="66"/>
      <c r="R46" s="65">
        <f>[11]MVTAOUT!O42+[11]MVTSEPT!P42+[11]MVTOCT!N42+[11]MVTNOV!N42+[11]MVTDEC!N42+[11]MVTJANV!N42+[11]MVTFEV!N42+[11]MVTMARS!N42+[11]MVTAVRIL!N42+[11]MVTMAI!N42+[11]MVTJUIN!N42+[11]MVTJUIL!N42</f>
        <v>0</v>
      </c>
      <c r="S46" s="65">
        <f>[11]MVTAOUT!P42+[11]MVTSEPT!Q42+[11]MVTOCT!O42+[11]MVTNOV!O42+[11]MVTDEC!O42+[11]MVTJANV!O42+[11]MVTFEV!O42+[11]MVTMARS!O42+[11]MVTAVRIL!O42+[11]MVTMAI!O42+[11]MVTJUIN!O42+[11]MVTJUIL!O42</f>
        <v>0</v>
      </c>
      <c r="T46" s="65">
        <f>+INVENT2016_2017!N44</f>
        <v>0</v>
      </c>
      <c r="U46" s="65">
        <f>[11]MVTAOUT!$Q42+[11]MVTSEPT!$R42+[11]MVTOCT!$P42+[11]MVTNOV!$P42+[11]MVTDEC!$P42+[11]MVTJANV!$P42+[11]MVTFEV!$P42+[11]MVTMARS!$P42+[11]MVTAVRIL!$P42+[11]MVTMAI!$P42+[11]MVTJUIN!$P42+[11]MVTJUIL!$P42+[11]MVTAOUT2018!$P$42</f>
        <v>0</v>
      </c>
      <c r="V46" s="65"/>
      <c r="W46" s="65"/>
      <c r="X46" s="65"/>
      <c r="Y46" s="115"/>
      <c r="AA46" s="81">
        <v>37.869003297535528</v>
      </c>
      <c r="AB46" s="32">
        <v>38</v>
      </c>
      <c r="AC46" s="32">
        <f t="shared" si="3"/>
        <v>-0.13099670246447204</v>
      </c>
    </row>
    <row r="47" spans="1:29" x14ac:dyDescent="0.25">
      <c r="A47" s="14" t="s">
        <v>120</v>
      </c>
      <c r="B47" s="64">
        <f>+INVENT2016_2017!J45</f>
        <v>450000</v>
      </c>
      <c r="C47" s="64">
        <f>+INVENT2016_2017!I45</f>
        <v>47556.520766033747</v>
      </c>
      <c r="D47" s="64">
        <f>[11]MVTAOUT!$H43+[11]MVTSEPT!$I43+[11]MVTOCT!$G43+[11]MVTNOV!$G43+[11]MVTDEC!$G43+[11]MVTJANV!$G43+[11]MVTFEV!$G43+[11]MVTMARS!$G43+[11]MVTAVRIL!$G43+[11]MVTMAI!$G43+[11]MVTJUIN!$G43+[11]MVTJUIL!$G43+[11]MVTAOUT2018!$G43</f>
        <v>39000</v>
      </c>
      <c r="E47" s="64">
        <f>+[11]MVTAOUT!$D43+[11]MVTSEPT!$E43+[11]MVTOCT!$C43+[11]MVTNOV!$C43+[11]MVTDEC!$C43+[11]MVTJANV!$C43+[11]MVTFEV!$C43+[11]MVTMARS!$C43+[11]MVTAVRIL!$C43+[11]MVTMAI!$C43+[11]MVTJUIN!$C43+[11]MVTJUIL!$C43</f>
        <v>19804.254263865943</v>
      </c>
      <c r="F47" s="64">
        <f t="shared" si="0"/>
        <v>106360.7750298997</v>
      </c>
      <c r="G47" s="65"/>
      <c r="H47" s="66"/>
      <c r="I47" s="65">
        <v>25000</v>
      </c>
      <c r="J47" s="65">
        <v>30000</v>
      </c>
      <c r="K47" s="81">
        <f t="shared" si="13"/>
        <v>51360.775029899698</v>
      </c>
      <c r="L47" s="81"/>
      <c r="M47" s="81"/>
      <c r="N47" s="81">
        <v>50000</v>
      </c>
      <c r="O47" s="64">
        <f>B47+J47</f>
        <v>480000</v>
      </c>
      <c r="P47" s="82">
        <f t="shared" si="15"/>
        <v>531360.77502989967</v>
      </c>
      <c r="Q47" s="66"/>
      <c r="R47" s="65">
        <f>[11]MVTAOUT!O43+[11]MVTSEPT!P43+[11]MVTOCT!N43+[11]MVTNOV!N43+[11]MVTDEC!N43+[11]MVTJANV!N43+[11]MVTFEV!N43+[11]MVTMARS!N43+[11]MVTAVRIL!N43+[11]MVTMAI!N43+[11]MVTJUIN!N43+[11]MVTJUIL!N43</f>
        <v>0</v>
      </c>
      <c r="S47" s="65">
        <f>[11]MVTAOUT!P43+[11]MVTSEPT!Q43+[11]MVTOCT!O43+[11]MVTNOV!O43+[11]MVTDEC!O43+[11]MVTJANV!O43+[11]MVTFEV!O43+[11]MVTMARS!O43+[11]MVTAVRIL!O43+[11]MVTMAI!O43+[11]MVTJUIN!O43+[11]MVTJUIL!O43</f>
        <v>0</v>
      </c>
      <c r="T47" s="65">
        <f>+INVENT2016_2017!N45</f>
        <v>0</v>
      </c>
      <c r="U47" s="65">
        <f>[11]MVTAOUT!$Q43+[11]MVTSEPT!$R43+[11]MVTOCT!$P43+[11]MVTNOV!$P43+[11]MVTDEC!$P43+[11]MVTJANV!$P43+[11]MVTFEV!$P43+[11]MVTMARS!$P43+[11]MVTAVRIL!$P43+[11]MVTMAI!$P43+[11]MVTJUIN!$P43+[11]MVTJUIL!$P43+[11]MVTAOUT2018!$P$43</f>
        <v>0</v>
      </c>
      <c r="V47" s="65"/>
      <c r="W47" s="65"/>
      <c r="X47" s="65"/>
      <c r="Y47" s="112"/>
      <c r="AA47" s="81">
        <v>51360.775029899698</v>
      </c>
      <c r="AB47" s="32">
        <f>+[12]MVTSEPT!$D43</f>
        <v>0</v>
      </c>
      <c r="AC47" s="32">
        <f t="shared" si="3"/>
        <v>51360.775029899698</v>
      </c>
    </row>
    <row r="48" spans="1:29" x14ac:dyDescent="0.25">
      <c r="A48" s="14" t="s">
        <v>121</v>
      </c>
      <c r="B48" s="64">
        <f>+INVENT2016_2017!J46</f>
        <v>450000</v>
      </c>
      <c r="C48" s="64">
        <f>+INVENT2016_2017!I46</f>
        <v>115459.90375955624</v>
      </c>
      <c r="D48" s="64">
        <f>[11]MVTAOUT!$H44+[11]MVTSEPT!$I44+[11]MVTOCT!$G44+[11]MVTNOV!$G44+[11]MVTDEC!$G44+[11]MVTJANV!$G44+[11]MVTFEV!$G44+[11]MVTMARS!$G44+[11]MVTAVRIL!$G44+[11]MVTMAI!$G44+[11]MVTJUIN!$G44+[11]MVTJUIL!$G44+[11]MVTAOUT2018!$G44</f>
        <v>24000</v>
      </c>
      <c r="E48" s="64">
        <f>+[11]MVTAOUT!$D44+[11]MVTSEPT!$E44+[11]MVTOCT!$C44+[11]MVTNOV!$C44+[11]MVTDEC!$C44+[11]MVTJANV!$C44+[11]MVTFEV!$C44+[11]MVTMARS!$C44+[11]MVTAVRIL!$C44+[11]MVTMAI!$C44+[11]MVTJUIN!$C44+[11]MVTJUIL!$C44</f>
        <v>19340.450643409094</v>
      </c>
      <c r="F48" s="64">
        <f t="shared" si="0"/>
        <v>158800.35440296534</v>
      </c>
      <c r="G48" s="65"/>
      <c r="H48" s="66"/>
      <c r="I48" s="65">
        <v>25000</v>
      </c>
      <c r="J48" s="65">
        <v>30000</v>
      </c>
      <c r="K48" s="81">
        <f>F48-G48-H48-I48-J48-42575-25000</f>
        <v>36225.354402965342</v>
      </c>
      <c r="L48" s="81">
        <v>25000</v>
      </c>
      <c r="M48" s="81">
        <v>42575</v>
      </c>
      <c r="N48" s="81">
        <v>35000</v>
      </c>
      <c r="O48" s="64">
        <f>B48+J48</f>
        <v>480000</v>
      </c>
      <c r="P48" s="82">
        <f t="shared" si="15"/>
        <v>516225.35440296534</v>
      </c>
      <c r="Q48" s="66"/>
      <c r="R48" s="65">
        <f>[11]MVTAOUT!O44+[11]MVTSEPT!P44+[11]MVTOCT!N44+[11]MVTNOV!N44+[11]MVTDEC!N44+[11]MVTJANV!N44+[11]MVTFEV!N44+[11]MVTMARS!N44+[11]MVTAVRIL!N44+[11]MVTMAI!N44+[11]MVTJUIN!N44+[11]MVTJUIL!N44</f>
        <v>0</v>
      </c>
      <c r="S48" s="65">
        <f>[11]MVTAOUT!P44+[11]MVTSEPT!Q44+[11]MVTOCT!O44+[11]MVTNOV!O44+[11]MVTDEC!O44+[11]MVTJANV!O44+[11]MVTFEV!O44+[11]MVTMARS!O44+[11]MVTAVRIL!O44+[11]MVTMAI!O44+[11]MVTJUIN!O44+[11]MVTJUIL!O44</f>
        <v>0</v>
      </c>
      <c r="T48" s="65">
        <f>+INVENT2016_2017!N46</f>
        <v>851500</v>
      </c>
      <c r="U48" s="65">
        <f>[11]MVTAOUT!$Q44+[11]MVTSEPT!$R44+[11]MVTOCT!$P44+[11]MVTNOV!$P44+[11]MVTDEC!$P44+[11]MVTJANV!$P44+[11]MVTFEV!$P44+[11]MVTMARS!$P44+[11]MVTAVRIL!$P44+[11]MVTMAI!$P44+[11]MVTJUIN!$P44+[11]MVTJUIL!$P44+[11]MVTAOUT2018!$P$44</f>
        <v>0</v>
      </c>
      <c r="V48" s="65">
        <v>851500</v>
      </c>
      <c r="W48" s="65">
        <v>0</v>
      </c>
      <c r="X48" s="65">
        <f t="shared" ref="X48" si="16">+V48+W48</f>
        <v>851500</v>
      </c>
      <c r="Y48" s="113">
        <v>42876</v>
      </c>
      <c r="AA48" s="81">
        <v>36225.354402965342</v>
      </c>
      <c r="AB48" s="32">
        <f>+[12]MVTSEPT!$D44</f>
        <v>32545683.200606219</v>
      </c>
      <c r="AC48" s="32">
        <f t="shared" si="3"/>
        <v>-32509457.846203253</v>
      </c>
    </row>
    <row r="49" spans="1:16382" s="2" customFormat="1" x14ac:dyDescent="0.25">
      <c r="A49" s="114" t="s">
        <v>122</v>
      </c>
      <c r="B49" s="66">
        <v>30000</v>
      </c>
      <c r="C49" s="66">
        <f>+INVENT2016_2017!I47</f>
        <v>0</v>
      </c>
      <c r="D49" s="66">
        <f>[11]MVTAOUT!$H45+[11]MVTSEPT!$I45+[11]MVTOCT!$G45+[11]MVTNOV!$G45+[11]MVTDEC!$G45+[11]MVTJANV!$G45+[11]MVTFEV!$G45+[11]MVTMARS!$G45+[11]MVTAVRIL!$G45+[11]MVTMAI!$G45+[11]MVTJUIN!$G45+[11]MVTJUIL!$G45+[11]MVTAOUT2018!$G45</f>
        <v>0</v>
      </c>
      <c r="E49" s="66">
        <f>+[11]MVTAOUT!$D45+[11]MVTSEPT!$E45+[11]MVTOCT!$C45+[11]MVTNOV!$C45+[11]MVTDEC!$C45+[11]MVTJANV!$C45+[11]MVTFEV!$C45+[11]MVTMARS!$C45+[11]MVTAVRIL!$C45+[11]MVTMAI!$C45+[11]MVTJUIN!$C45+[11]MVTJUIL!$C45</f>
        <v>1204.9540346265594</v>
      </c>
      <c r="F49" s="66">
        <f t="shared" si="0"/>
        <v>1204.9540346265594</v>
      </c>
      <c r="G49" s="66"/>
      <c r="H49" s="66"/>
      <c r="I49" s="66">
        <v>7540</v>
      </c>
      <c r="J49" s="66">
        <v>0</v>
      </c>
      <c r="K49" s="81">
        <f t="shared" si="13"/>
        <v>-6335.0459653734406</v>
      </c>
      <c r="L49" s="81"/>
      <c r="M49" s="81"/>
      <c r="N49" s="81"/>
      <c r="O49" s="64">
        <v>30000</v>
      </c>
      <c r="P49" s="82">
        <f t="shared" si="15"/>
        <v>23664.95403462656</v>
      </c>
      <c r="Q49" s="84"/>
      <c r="R49" s="65">
        <f>[11]MVTAOUT!O45+[11]MVTSEPT!P45+[11]MVTOCT!N45+[11]MVTNOV!N45+[11]MVTDEC!N45+[11]MVTJANV!N45+[11]MVTFEV!N45+[11]MVTMARS!N45+[11]MVTAVRIL!N45+[11]MVTMAI!N45+[11]MVTJUIN!N45+[11]MVTJUIL!N45</f>
        <v>0</v>
      </c>
      <c r="S49" s="65">
        <f>[11]MVTAOUT!P45+[11]MVTSEPT!Q45+[11]MVTOCT!O45+[11]MVTNOV!O45+[11]MVTDEC!O45+[11]MVTJANV!O45+[11]MVTFEV!O45+[11]MVTMARS!O45+[11]MVTAVRIL!O45+[11]MVTMAI!O45+[11]MVTJUIN!O45+[11]MVTJUIL!O45</f>
        <v>0</v>
      </c>
      <c r="T49" s="65">
        <f>+INVENT2016_2017!N47</f>
        <v>0</v>
      </c>
      <c r="U49" s="65">
        <f>[11]MVTAOUT!$Q45+[11]MVTSEPT!$R45+[11]MVTOCT!$P45+[11]MVTNOV!$P45+[11]MVTDEC!$P45+[11]MVTJANV!$P45+[11]MVTFEV!$P45+[11]MVTMARS!$P45+[11]MVTAVRIL!$P45+[11]MVTMAI!$P45+[11]MVTJUIN!$P45+[11]MVTJUIL!$P45+[11]MVTAOUT2018!$P$45</f>
        <v>0</v>
      </c>
      <c r="V49" s="65"/>
      <c r="W49" s="65"/>
      <c r="X49" s="65"/>
      <c r="Y49" s="115"/>
      <c r="AA49" s="81">
        <v>21.303203075842248</v>
      </c>
      <c r="AB49" s="32">
        <f>+[12]MVTSEPT!$D45</f>
        <v>0</v>
      </c>
      <c r="AC49" s="32">
        <f t="shared" si="3"/>
        <v>21.303203075842248</v>
      </c>
    </row>
    <row r="50" spans="1:16382" x14ac:dyDescent="0.25">
      <c r="A50" s="14" t="s">
        <v>123</v>
      </c>
      <c r="B50" s="64">
        <f>+INVENT2016_2017!J48</f>
        <v>450000</v>
      </c>
      <c r="C50" s="64">
        <f>+INVENT2016_2017!I48</f>
        <v>64088.864806082551</v>
      </c>
      <c r="D50" s="64">
        <f>[11]MVTAOUT!$H46+[11]MVTSEPT!$I46+[11]MVTOCT!$G46+[11]MVTNOV!$G46+[11]MVTDEC!$G46+[11]MVTJANV!$G46+[11]MVTFEV!$G46+[11]MVTMARS!$G46+[11]MVTAVRIL!$G46+[11]MVTMAI!$G46+[11]MVTJUIN!$G46+[11]MVTJUIL!$G46+[11]MVTAOUT2018!$G46</f>
        <v>36000</v>
      </c>
      <c r="E50" s="64">
        <f>+[11]MVTAOUT!$D46+[11]MVTSEPT!$E46+[11]MVTOCT!$C46+[11]MVTNOV!$C46+[11]MVTDEC!$C46+[11]MVTJANV!$C46+[11]MVTFEV!$C46+[11]MVTMARS!$C46+[11]MVTAVRIL!$C46+[11]MVTMAI!$C46+[11]MVTJUIN!$C46+[11]MVTJUIL!$C46</f>
        <v>19893.285598644401</v>
      </c>
      <c r="F50" s="64">
        <f t="shared" si="0"/>
        <v>119982.15040472696</v>
      </c>
      <c r="G50" s="65"/>
      <c r="H50" s="66"/>
      <c r="I50" s="65">
        <v>25000</v>
      </c>
      <c r="J50" s="65">
        <v>30000</v>
      </c>
      <c r="K50" s="81">
        <f>F50-G50-H50-I50-J50-64982</f>
        <v>0.15040472695545759</v>
      </c>
      <c r="L50" s="81">
        <v>25000</v>
      </c>
      <c r="M50" s="81">
        <v>32982</v>
      </c>
      <c r="N50" s="81"/>
      <c r="O50" s="64">
        <f>B50+J50</f>
        <v>480000</v>
      </c>
      <c r="P50" s="82">
        <f t="shared" si="15"/>
        <v>480000.15040472697</v>
      </c>
      <c r="Q50" s="84"/>
      <c r="R50" s="65">
        <f>[11]MVTAOUT!O46+[11]MVTSEPT!P46+[11]MVTOCT!N46+[11]MVTNOV!N46+[11]MVTDEC!N46+[11]MVTJANV!N46+[11]MVTFEV!N46+[11]MVTMARS!N46+[11]MVTAVRIL!N46+[11]MVTMAI!N46+[11]MVTJUIN!N46+[11]MVTJUIL!N46</f>
        <v>1000000</v>
      </c>
      <c r="S50" s="65">
        <f>[11]MVTAOUT!P46+[11]MVTSEPT!Q46+[11]MVTOCT!O46+[11]MVTNOV!O46+[11]MVTDEC!O46+[11]MVTJANV!O46+[11]MVTFEV!O46+[11]MVTMARS!O46+[11]MVTAVRIL!O46+[11]MVTMAI!O46+[11]MVTJUIN!O46+[11]MVTJUIL!O46</f>
        <v>30000</v>
      </c>
      <c r="T50" s="65">
        <f>+INVENT2016_2017!N48</f>
        <v>1064000</v>
      </c>
      <c r="U50" s="65">
        <f>[11]MVTAOUT!$Q46+[11]MVTSEPT!$R46+[11]MVTOCT!$P46+[11]MVTNOV!$P46+[11]MVTDEC!$P46+[11]MVTJANV!$P46+[11]MVTFEV!$P46+[11]MVTMARS!$P46+[11]MVTAVRIL!$P46+[11]MVTMAI!$P46+[11]MVTJUIN!$P46+[11]MVTJUIL!$P46+[11]MVTAOUT2018!$P$46</f>
        <v>1293600</v>
      </c>
      <c r="V50" s="65">
        <f>1885600-885600-100000</f>
        <v>900000</v>
      </c>
      <c r="W50" s="65">
        <f>V50*5/100</f>
        <v>45000</v>
      </c>
      <c r="X50" s="65">
        <f>+V50+W50-39983</f>
        <v>905017</v>
      </c>
      <c r="Y50" s="113">
        <v>43241</v>
      </c>
      <c r="AA50" s="81">
        <v>0.15040472695545759</v>
      </c>
      <c r="AB50" s="32">
        <f>+[12]MVTSEPT!$D46</f>
        <v>0</v>
      </c>
      <c r="AC50" s="32">
        <f t="shared" si="3"/>
        <v>0.15040472695545759</v>
      </c>
    </row>
    <row r="51" spans="1:16382" x14ac:dyDescent="0.25">
      <c r="A51" s="17" t="s">
        <v>124</v>
      </c>
      <c r="B51" s="64">
        <f>+INVENT2016_2017!J49</f>
        <v>450000</v>
      </c>
      <c r="C51" s="64">
        <f>+INVENT2016_2017!I49</f>
        <v>52395.568882973399</v>
      </c>
      <c r="D51" s="64">
        <f>[11]MVTAOUT!$H47+[11]MVTSEPT!$I47+[11]MVTOCT!$G47+[11]MVTNOV!$G47+[11]MVTDEC!$G47+[11]MVTJANV!$G47+[11]MVTFEV!$G47+[11]MVTMARS!$G47+[11]MVTAVRIL!$G47+[11]MVTMAI!$G47+[11]MVTJUIN!$G47+[11]MVTJUIL!$G47+[11]MVTAOUT2018!$G47</f>
        <v>0</v>
      </c>
      <c r="E51" s="64">
        <f>+[11]MVTAOUT!$D47+[11]MVTSEPT!$E47+[11]MVTOCT!$C47+[11]MVTNOV!$C47+[11]MVTDEC!$C47+[11]MVTJANV!$C47+[11]MVTFEV!$C47+[11]MVTMARS!$C47+[11]MVTAVRIL!$C47+[11]MVTMAI!$C47+[11]MVTJUIN!$C47+[11]MVTJUIL!$C47</f>
        <v>19295.137072066729</v>
      </c>
      <c r="F51" s="64">
        <f t="shared" si="0"/>
        <v>71690.705955040132</v>
      </c>
      <c r="G51" s="65"/>
      <c r="H51" s="66"/>
      <c r="I51" s="65">
        <v>25000</v>
      </c>
      <c r="J51" s="65">
        <v>30000</v>
      </c>
      <c r="K51" s="81">
        <f t="shared" si="13"/>
        <v>16690.705955040132</v>
      </c>
      <c r="L51" s="81"/>
      <c r="M51" s="81"/>
      <c r="N51" s="81">
        <v>15000</v>
      </c>
      <c r="O51" s="64">
        <f>B51+J51</f>
        <v>480000</v>
      </c>
      <c r="P51" s="82">
        <f t="shared" si="15"/>
        <v>496690.70595504012</v>
      </c>
      <c r="Q51" s="84"/>
      <c r="R51" s="65">
        <f>[11]MVTAOUT!O47+[11]MVTSEPT!P47+[11]MVTOCT!N47+[11]MVTNOV!N47+[11]MVTDEC!N47+[11]MVTJANV!N47+[11]MVTFEV!N47+[11]MVTMARS!N47+[11]MVTAVRIL!N47+[11]MVTMAI!N47+[11]MVTJUIN!N47+[11]MVTJUIL!N47</f>
        <v>0</v>
      </c>
      <c r="S51" s="65">
        <f>[11]MVTAOUT!P47+[11]MVTSEPT!Q47+[11]MVTOCT!O47+[11]MVTNOV!O47+[11]MVTDEC!O47+[11]MVTJANV!O47+[11]MVTFEV!O47+[11]MVTMARS!O47+[11]MVTAVRIL!O47+[11]MVTMAI!O47+[11]MVTJUIN!O47+[11]MVTJUIL!O47</f>
        <v>0</v>
      </c>
      <c r="T51" s="65">
        <f>+INVENT2016_2017!N49</f>
        <v>1120000</v>
      </c>
      <c r="U51" s="65">
        <f>[11]MVTAOUT!$Q47+[11]MVTSEPT!$R47+[11]MVTOCT!$P47+[11]MVTNOV!$P47+[11]MVTDEC!$P47+[11]MVTJANV!$P47+[11]MVTFEV!$P47+[11]MVTMARS!$P47+[11]MVTAVRIL!$P47+[11]MVTMAI!$P47+[11]MVTJUIN!$P47+[11]MVTJUIL!$P47+[11]MVTAOUT2018!$P$47</f>
        <v>0</v>
      </c>
      <c r="V51" s="65">
        <v>0</v>
      </c>
      <c r="W51" s="65"/>
      <c r="X51" s="65"/>
      <c r="Y51" s="112"/>
      <c r="AA51" s="81">
        <v>16690.705955040132</v>
      </c>
      <c r="AB51" s="32">
        <v>0</v>
      </c>
      <c r="AC51" s="32">
        <f t="shared" si="3"/>
        <v>16690.705955040132</v>
      </c>
    </row>
    <row r="52" spans="1:16382" x14ac:dyDescent="0.25">
      <c r="A52" s="14" t="s">
        <v>125</v>
      </c>
      <c r="B52" s="64">
        <f>+INVENT2016_2017!J50</f>
        <v>450000</v>
      </c>
      <c r="C52" s="64">
        <f>+INVENT2016_2017!I50</f>
        <v>460575.58364179294</v>
      </c>
      <c r="D52" s="64">
        <f>[11]MVTAOUT!$H48+[11]MVTSEPT!$I48+[11]MVTOCT!$G48+[11]MVTNOV!$G48+[11]MVTDEC!$G48+[11]MVTJANV!$G48+[11]MVTFEV!$G48+[11]MVTMARS!$G48+[11]MVTAVRIL!$G48+[11]MVTMAI!$G48+[11]MVTJUIN!$G48+[11]MVTJUIL!$G48+[11]MVTAOUT2018!$G48</f>
        <v>39000</v>
      </c>
      <c r="E52" s="64">
        <f>+[11]MVTAOUT!$D48+[11]MVTSEPT!$E48+[11]MVTOCT!$C48+[11]MVTNOV!$C48+[11]MVTDEC!$C48+[11]MVTJANV!$C48+[11]MVTFEV!$C48+[11]MVTMARS!$C48+[11]MVTAVRIL!$C48+[11]MVTMAI!$C48+[11]MVTJUIN!$C48+[11]MVTJUIL!$C48</f>
        <v>21144.59288881634</v>
      </c>
      <c r="F52" s="64">
        <f t="shared" si="0"/>
        <v>520720.17653060926</v>
      </c>
      <c r="G52" s="65"/>
      <c r="H52" s="66"/>
      <c r="I52" s="65">
        <v>25000</v>
      </c>
      <c r="J52" s="65">
        <v>30000</v>
      </c>
      <c r="K52" s="81">
        <f>F52-G52-H52-I52-J52-25000</f>
        <v>440720.17653060926</v>
      </c>
      <c r="L52" s="81">
        <v>25000</v>
      </c>
      <c r="M52" s="81"/>
      <c r="N52" s="81"/>
      <c r="O52" s="64">
        <f>B52+J52</f>
        <v>480000</v>
      </c>
      <c r="P52" s="82">
        <f t="shared" si="15"/>
        <v>920720.17653060926</v>
      </c>
      <c r="Q52" s="84"/>
      <c r="R52" s="65">
        <f>[11]MVTAOUT!O48+[11]MVTSEPT!P48+[11]MVTOCT!N48+[11]MVTNOV!N48+[11]MVTDEC!N48+[11]MVTJANV!N48+[11]MVTFEV!N48+[11]MVTMARS!N48+[11]MVTAVRIL!N48+[11]MVTMAI!N48+[11]MVTJUIN!N48+[11]MVTJUIL!N48</f>
        <v>0</v>
      </c>
      <c r="S52" s="65">
        <f>[11]MVTAOUT!P48+[11]MVTSEPT!Q48+[11]MVTOCT!O48+[11]MVTNOV!O48+[11]MVTDEC!O48+[11]MVTJANV!O48+[11]MVTFEV!O48+[11]MVTMARS!O48+[11]MVTAVRIL!O48+[11]MVTMAI!O48+[11]MVTJUIN!O48+[11]MVTJUIL!O48</f>
        <v>0</v>
      </c>
      <c r="T52" s="65">
        <f>+INVENT2016_2017!N50</f>
        <v>0</v>
      </c>
      <c r="U52" s="65">
        <f>[11]MVTAOUT!$Q48+[11]MVTSEPT!$R48+[11]MVTOCT!$P48+[11]MVTNOV!$P48+[11]MVTDEC!$P48+[11]MVTJANV!$P48+[11]MVTFEV!$P48+[11]MVTMARS!$P48+[11]MVTAVRIL!$P48+[11]MVTMAI!$P48+[11]MVTJUIN!$P48+[11]MVTJUIL!$P48+[11]MVTAOUT2018!$P$48</f>
        <v>0</v>
      </c>
      <c r="V52" s="65"/>
      <c r="W52" s="65"/>
      <c r="X52" s="65"/>
      <c r="Y52" s="112"/>
      <c r="AA52" s="81">
        <v>440720.17653060926</v>
      </c>
      <c r="AB52" s="32" t="str">
        <f>+[12]MVTSEPT!$D47</f>
        <v>TONTINE</v>
      </c>
      <c r="AC52" s="32" t="e">
        <f t="shared" si="3"/>
        <v>#VALUE!</v>
      </c>
    </row>
    <row r="53" spans="1:16382" x14ac:dyDescent="0.25">
      <c r="A53" s="14" t="s">
        <v>126</v>
      </c>
      <c r="B53" s="64">
        <f>+INVENT2016_2017!J51</f>
        <v>450000</v>
      </c>
      <c r="C53" s="64">
        <f>+INVENT2016_2017!I51</f>
        <v>1205652.8231027098</v>
      </c>
      <c r="D53" s="64">
        <f>[11]MVTAOUT!$H49+[11]MVTSEPT!$I49+[11]MVTOCT!$G49+[11]MVTNOV!$G49+[11]MVTDEC!$G49+[11]MVTJANV!$G49+[11]MVTFEV!$G49+[11]MVTMARS!$G49+[11]MVTAVRIL!$G49+[11]MVTMAI!$G49+[11]MVTJUIN!$G49+[11]MVTJUIL!$G49+[11]MVTAOUT2018!$G49</f>
        <v>39000</v>
      </c>
      <c r="E53" s="64">
        <f>+[11]MVTAOUT!$D49+[11]MVTSEPT!$E49+[11]MVTOCT!$C49+[11]MVTNOV!$C49+[11]MVTDEC!$C49+[11]MVTJANV!$C49+[11]MVTFEV!$C49+[11]MVTMARS!$C49+[11]MVTAVRIL!$C49+[11]MVTMAI!$C49+[11]MVTJUIN!$C49+[11]MVTJUIL!$C49</f>
        <v>23501.827988491023</v>
      </c>
      <c r="F53" s="64">
        <f t="shared" si="0"/>
        <v>1268154.6510912008</v>
      </c>
      <c r="G53" s="65"/>
      <c r="H53" s="66"/>
      <c r="I53" s="65">
        <v>25000</v>
      </c>
      <c r="J53" s="65">
        <v>30000</v>
      </c>
      <c r="K53" s="81">
        <f>F53-G53-H53-I53-J53-15000</f>
        <v>1198154.6510912008</v>
      </c>
      <c r="L53" s="81">
        <v>15000</v>
      </c>
      <c r="M53" s="81"/>
      <c r="N53" s="81"/>
      <c r="O53" s="64">
        <f>B53+J53</f>
        <v>480000</v>
      </c>
      <c r="P53" s="82">
        <f t="shared" si="15"/>
        <v>1678154.6510912008</v>
      </c>
      <c r="Q53" s="84"/>
      <c r="R53" s="65">
        <f>[11]MVTAOUT!O49+[11]MVTSEPT!P49+[11]MVTOCT!N49+[11]MVTNOV!N49+[11]MVTDEC!N49+[11]MVTJANV!N49+[11]MVTFEV!N49+[11]MVTMARS!N49+[11]MVTAVRIL!N49+[11]MVTMAI!N49+[11]MVTJUIN!N49+[11]MVTJUIL!N49</f>
        <v>0</v>
      </c>
      <c r="S53" s="65">
        <f>[11]MVTAOUT!P49+[11]MVTSEPT!Q49+[11]MVTOCT!O49+[11]MVTNOV!O49+[11]MVTDEC!O49+[11]MVTJANV!O49+[11]MVTFEV!O49+[11]MVTMARS!O49+[11]MVTAVRIL!O49+[11]MVTMAI!O49+[11]MVTJUIN!O49+[11]MVTJUIL!O49</f>
        <v>0</v>
      </c>
      <c r="T53" s="65">
        <f>+INVENT2016_2017!N51</f>
        <v>0</v>
      </c>
      <c r="U53" s="65">
        <f>[11]MVTAOUT!$Q49+[11]MVTSEPT!$R49+[11]MVTOCT!$P49+[11]MVTNOV!$P49+[11]MVTDEC!$P49+[11]MVTJANV!$P49+[11]MVTFEV!$P49+[11]MVTMARS!$P49+[11]MVTAVRIL!$P49+[11]MVTMAI!$P49+[11]MVTJUIN!$P49+[11]MVTJUIL!$P49+[11]MVTAOUT2018!$P$49</f>
        <v>0</v>
      </c>
      <c r="V53" s="65"/>
      <c r="W53" s="65"/>
      <c r="X53" s="65"/>
      <c r="Y53" s="112"/>
      <c r="AA53" s="81">
        <v>1198154.6510912008</v>
      </c>
      <c r="AB53" s="32" t="str">
        <f>+[12]MVTSEPT!$D48</f>
        <v>PENALITE VERST ESPECES</v>
      </c>
      <c r="AC53" s="32" t="e">
        <f t="shared" si="3"/>
        <v>#VALUE!</v>
      </c>
    </row>
    <row r="54" spans="1:16382" s="49" customFormat="1" x14ac:dyDescent="0.25">
      <c r="A54" s="17" t="s">
        <v>127</v>
      </c>
      <c r="B54" s="65">
        <f>+INVENT2016_2017!J52</f>
        <v>450000</v>
      </c>
      <c r="C54" s="65">
        <f>+INVENT2016_2017!I52</f>
        <v>0</v>
      </c>
      <c r="D54" s="65">
        <f>[11]MVTAOUT!$H50+[11]MVTSEPT!$I50+[11]MVTOCT!$G50+[11]MVTNOV!$G50+[11]MVTDEC!$G50+[11]MVTJANV!$G50+[11]MVTFEV!$G50+[11]MVTMARS!$G50+[11]MVTAVRIL!$G50+[11]MVTMAI!$G50+[11]MVTJUIN!$G50+[11]MVTJUIL!$G50+[11]MVTAOUT2018!$G50</f>
        <v>57000</v>
      </c>
      <c r="E54" s="65">
        <f>+[11]MVTAOUT!$D50+[11]MVTSEPT!$E50+[11]MVTOCT!$C50+[11]MVTNOV!$C50+[11]MVTDEC!$C50+[11]MVTJANV!$C50+[11]MVTFEV!$C50+[11]MVTMARS!$C50+[11]MVTAVRIL!$C50+[11]MVTMAI!$C50+[11]MVTJUIN!$C50+[11]MVTJUIL!$C50</f>
        <v>88.5270055831013</v>
      </c>
      <c r="F54" s="65">
        <f t="shared" si="0"/>
        <v>57088.527005583099</v>
      </c>
      <c r="G54" s="65"/>
      <c r="H54" s="66"/>
      <c r="I54" s="65">
        <v>24094</v>
      </c>
      <c r="J54" s="65">
        <v>30000</v>
      </c>
      <c r="K54" s="81">
        <f t="shared" si="13"/>
        <v>2994.5270055830988</v>
      </c>
      <c r="L54" s="81"/>
      <c r="M54" s="81"/>
      <c r="N54" s="81"/>
      <c r="O54" s="64">
        <f>B54+J54</f>
        <v>480000</v>
      </c>
      <c r="P54" s="82">
        <f t="shared" si="15"/>
        <v>482994.52700558311</v>
      </c>
      <c r="Q54" s="84"/>
      <c r="R54" s="65">
        <f>[11]MVTAOUT!O50+[11]MVTSEPT!P50+[11]MVTOCT!N50+[11]MVTNOV!N50+[11]MVTDEC!N50+[11]MVTJANV!N50+[11]MVTFEV!N50+[11]MVTMARS!N50+[11]MVTAVRIL!N50+[11]MVTMAI!N50+[11]MVTJUIN!N50+[11]MVTJUIL!N50</f>
        <v>1000000</v>
      </c>
      <c r="S54" s="65">
        <f>[11]MVTAOUT!P50+[11]MVTSEPT!Q50+[11]MVTOCT!O50+[11]MVTNOV!O50+[11]MVTDEC!O50+[11]MVTJANV!O50+[11]MVTFEV!O50+[11]MVTMARS!O50+[11]MVTAVRIL!O50+[11]MVTMAI!O50+[11]MVTJUIN!O50+[11]MVTJUIL!O50</f>
        <v>60000</v>
      </c>
      <c r="T54" s="65">
        <f>+INVENT2016_2017!N52</f>
        <v>0</v>
      </c>
      <c r="U54" s="65">
        <f>[11]MVTAOUT!$Q50+[11]MVTSEPT!$R50+[11]MVTOCT!$P50+[11]MVTNOV!$P50+[11]MVTDEC!$P50+[11]MVTJANV!$P50+[11]MVTFEV!$P50+[11]MVTMARS!$P50+[11]MVTAVRIL!$P50+[11]MVTMAI!$P50+[11]MVTJUIN!$P50+[11]MVTJUIL!$P50+[11]MVTAOUT2018!$P$50</f>
        <v>1060000</v>
      </c>
      <c r="V54" s="65">
        <f>1060000-1060000</f>
        <v>0</v>
      </c>
      <c r="W54" s="65"/>
      <c r="X54" s="65"/>
      <c r="Y54" s="116">
        <v>43148</v>
      </c>
      <c r="AA54" s="81">
        <v>2994.5270055830988</v>
      </c>
      <c r="AB54" s="32" t="str">
        <f>+[12]MVTSEPT!$D50</f>
        <v>EPARGNE</v>
      </c>
      <c r="AC54" s="32"/>
    </row>
    <row r="55" spans="1:16382" s="2" customFormat="1" x14ac:dyDescent="0.25">
      <c r="A55" s="114" t="s">
        <v>128</v>
      </c>
      <c r="B55" s="66">
        <v>0</v>
      </c>
      <c r="C55" s="66">
        <f>+INVENT2016_2017!I53</f>
        <v>0</v>
      </c>
      <c r="D55" s="66">
        <f>[11]MVTAOUT!$H51+[11]MVTSEPT!$I51+[11]MVTOCT!$G51+[11]MVTNOV!$G51+[11]MVTDEC!$G51+[11]MVTJANV!$G51+[11]MVTFEV!$G51+[11]MVTMARS!$G51+[11]MVTAVRIL!$G51+[11]MVTMAI!$G51+[11]MVTJUIN!$G51+[11]MVTJUIL!$G51+[11]MVTAOUT2018!$G51</f>
        <v>27000</v>
      </c>
      <c r="E55" s="66">
        <f>+[11]MVTAOUT!$D51+[11]MVTSEPT!$E51+[11]MVTOCT!$C51+[11]MVTNOV!$C51+[11]MVTDEC!$C51+[11]MVTJANV!$C51+[11]MVTFEV!$C51+[11]MVTMARS!$C51+[11]MVTAVRIL!$C51+[11]MVTMAI!$C51+[11]MVTJUIN!$C51+[11]MVTJUIL!$C51</f>
        <v>88.5270055831013</v>
      </c>
      <c r="F55" s="66">
        <f t="shared" si="0"/>
        <v>27088.527005583102</v>
      </c>
      <c r="G55" s="66"/>
      <c r="H55" s="66"/>
      <c r="I55" s="66">
        <v>24094</v>
      </c>
      <c r="J55" s="66"/>
      <c r="K55" s="84">
        <f t="shared" si="13"/>
        <v>2994.5270055831024</v>
      </c>
      <c r="L55" s="84"/>
      <c r="M55" s="84"/>
      <c r="N55" s="84"/>
      <c r="O55" s="66">
        <v>0</v>
      </c>
      <c r="P55" s="82">
        <f t="shared" si="14"/>
        <v>2994.5270055831024</v>
      </c>
      <c r="Q55" s="84"/>
      <c r="R55" s="65">
        <f>[11]MVTAOUT!O51+[11]MVTSEPT!P51+[11]MVTOCT!N51+[11]MVTNOV!N51+[11]MVTDEC!N51+[11]MVTJANV!N51+[11]MVTFEV!N51+[11]MVTMARS!N51+[11]MVTAVRIL!N51+[11]MVTMAI!N51+[11]MVTJUIN!N51+[11]MVTJUIL!N51</f>
        <v>0</v>
      </c>
      <c r="S55" s="65">
        <f>[11]MVTAOUT!P51+[11]MVTSEPT!Q51+[11]MVTOCT!O51+[11]MVTNOV!O51+[11]MVTDEC!O51+[11]MVTJANV!O51+[11]MVTFEV!O51+[11]MVTMARS!O51+[11]MVTAVRIL!O51+[11]MVTMAI!O51+[11]MVTJUIN!O51+[11]MVTJUIL!O51</f>
        <v>0</v>
      </c>
      <c r="T55" s="65">
        <f>+INVENT2016_2017!N53</f>
        <v>0</v>
      </c>
      <c r="U55" s="65">
        <f>[11]MVTAOUT!$Q51+[11]MVTSEPT!$R51+[11]MVTOCT!$P51+[11]MVTNOV!$P51+[11]MVTDEC!$P51+[11]MVTJANV!$P51+[11]MVTFEV!$P51+[11]MVTMARS!$P51+[11]MVTAVRIL!$P51+[11]MVTMAI!$P51+[11]MVTJUIN!$P51+[11]MVTJUIL!$P51+[11]MVTAOUT2018!$P$51</f>
        <v>0</v>
      </c>
      <c r="V55" s="65"/>
      <c r="W55" s="65"/>
      <c r="X55" s="65"/>
      <c r="Y55" s="115"/>
      <c r="AA55" s="84">
        <v>2994.5270055831024</v>
      </c>
      <c r="AB55" s="47"/>
      <c r="AC55" s="32"/>
    </row>
    <row r="56" spans="1:16382" s="2" customFormat="1" x14ac:dyDescent="0.25">
      <c r="A56" s="114" t="s">
        <v>129</v>
      </c>
      <c r="B56" s="66">
        <v>0</v>
      </c>
      <c r="C56" s="66">
        <f>+INVENT2016_2017!I54</f>
        <v>0</v>
      </c>
      <c r="D56" s="66">
        <f>[11]MVTAOUT!$H52+[11]MVTSEPT!$I52+[11]MVTOCT!$G52+[11]MVTNOV!$G52+[11]MVTDEC!$G52+[11]MVTJANV!$G52+[11]MVTFEV!$G52+[11]MVTMARS!$G52+[11]MVTAVRIL!$G52+[11]MVTMAI!$G52+[11]MVTJUIN!$G52+[11]MVTJUIL!$G52+[11]MVTAOUT2018!$G52</f>
        <v>465000</v>
      </c>
      <c r="E56" s="66">
        <f>+[11]MVTAOUT!$D52+[11]MVTSEPT!$E52+[11]MVTOCT!$C52+[11]MVTNOV!$C52+[11]MVTDEC!$C52+[11]MVTJANV!$C52+[11]MVTFEV!$C52+[11]MVTMARS!$C52+[11]MVTAVRIL!$C52+[11]MVTMAI!$C52+[11]MVTJUIN!$C52+[11]MVTJUIL!$C52</f>
        <v>1596.1690040891908</v>
      </c>
      <c r="F56" s="66">
        <f t="shared" si="0"/>
        <v>466596.1690040892</v>
      </c>
      <c r="G56" s="66"/>
      <c r="H56" s="85"/>
      <c r="I56" s="66">
        <v>25000</v>
      </c>
      <c r="J56" s="66">
        <v>30000</v>
      </c>
      <c r="K56" s="84">
        <f>F56-G56-H56-I56-J56-411596</f>
        <v>0.16900408919900656</v>
      </c>
      <c r="L56" s="84"/>
      <c r="M56" s="84"/>
      <c r="N56" s="84"/>
      <c r="O56" s="64">
        <f>B56+J56+411596</f>
        <v>441596</v>
      </c>
      <c r="P56" s="84">
        <f t="shared" si="15"/>
        <v>441596.1690040892</v>
      </c>
      <c r="Q56" s="84"/>
      <c r="R56" s="66">
        <f>[11]MVTAOUT!O52+[11]MVTSEPT!P52+[11]MVTOCT!N52+[11]MVTNOV!N52+[11]MVTDEC!N52+[11]MVTJANV!N52+[11]MVTFEV!N52+[11]MVTMARS!N52+[11]MVTAVRIL!N52+[11]MVTMAI!N52+[11]MVTJUIN!N52+[11]MVTJUIL!N52</f>
        <v>0</v>
      </c>
      <c r="S56" s="66">
        <f>[11]MVTAOUT!P52+[11]MVTSEPT!Q52+[11]MVTOCT!O52+[11]MVTNOV!O52+[11]MVTDEC!O52+[11]MVTJANV!O52+[11]MVTFEV!O52+[11]MVTMARS!O52+[11]MVTAVRIL!O52+[11]MVTMAI!O52+[11]MVTJUIN!O52+[11]MVTJUIL!O52</f>
        <v>0</v>
      </c>
      <c r="T56" s="66">
        <f>+INVENT2016_2017!N54</f>
        <v>0</v>
      </c>
      <c r="U56" s="66">
        <f>[11]MVTAOUT!$Q52+[11]MVTSEPT!$R52+[11]MVTOCT!$P52+[11]MVTNOV!$P52+[11]MVTDEC!$P52+[11]MVTJANV!$P52+[11]MVTFEV!$P52+[11]MVTMARS!$P52+[11]MVTAVRIL!$P52+[11]MVTMAI!$P52+[11]MVTJUIN!$P52+[11]MVTJUIL!$P52+[11]MVTAOUT2018!$P$52</f>
        <v>0</v>
      </c>
      <c r="V56" s="66"/>
      <c r="W56" s="117"/>
      <c r="X56" s="117"/>
      <c r="Y56" s="118"/>
      <c r="AA56" s="84">
        <v>0.16900408919900656</v>
      </c>
      <c r="AB56" s="47"/>
      <c r="AC56" s="32">
        <f t="shared" si="3"/>
        <v>0.16900408919900656</v>
      </c>
    </row>
    <row r="57" spans="1:16382" x14ac:dyDescent="0.25">
      <c r="A57" s="14"/>
      <c r="B57" s="68"/>
      <c r="C57" s="68"/>
      <c r="D57" s="33"/>
      <c r="E57" s="33"/>
      <c r="F57" s="33"/>
      <c r="G57" s="67"/>
      <c r="H57" s="67"/>
      <c r="I57" s="67"/>
      <c r="J57" s="67"/>
      <c r="K57" s="86"/>
      <c r="L57" s="86"/>
      <c r="M57" s="86"/>
      <c r="N57" s="86"/>
      <c r="O57" s="67"/>
      <c r="P57" s="87"/>
      <c r="Q57" s="88"/>
      <c r="R57" s="15"/>
      <c r="S57" s="15"/>
      <c r="T57" s="15"/>
      <c r="U57" s="15"/>
      <c r="V57" s="15"/>
      <c r="W57" s="15"/>
      <c r="X57" s="15"/>
      <c r="Y57" s="16"/>
      <c r="AA57" s="86"/>
    </row>
    <row r="58" spans="1:16382" ht="18.75" thickBot="1" x14ac:dyDescent="0.3">
      <c r="A58" s="69"/>
      <c r="B58" s="70">
        <f t="shared" ref="B58:X58" si="17">SUM(B4:B56)</f>
        <v>18021000</v>
      </c>
      <c r="C58" s="70">
        <f t="shared" si="17"/>
        <v>6174113.8883337844</v>
      </c>
      <c r="D58" s="70">
        <f t="shared" si="17"/>
        <v>3860500</v>
      </c>
      <c r="E58" s="70">
        <f t="shared" si="17"/>
        <v>822600</v>
      </c>
      <c r="F58" s="70">
        <f t="shared" si="17"/>
        <v>10857213.888333786</v>
      </c>
      <c r="G58" s="70">
        <f t="shared" si="17"/>
        <v>0</v>
      </c>
      <c r="H58" s="70">
        <f t="shared" si="17"/>
        <v>400000</v>
      </c>
      <c r="I58" s="70">
        <f t="shared" si="17"/>
        <v>1059865</v>
      </c>
      <c r="J58" s="70">
        <f t="shared" si="17"/>
        <v>1230000</v>
      </c>
      <c r="K58" s="89">
        <f t="shared" si="17"/>
        <v>6554228.8883337853</v>
      </c>
      <c r="L58" s="89">
        <f t="shared" si="17"/>
        <v>655300</v>
      </c>
      <c r="M58" s="89">
        <f t="shared" si="17"/>
        <v>325869</v>
      </c>
      <c r="N58" s="89">
        <f t="shared" si="17"/>
        <v>953000</v>
      </c>
      <c r="O58" s="70">
        <f t="shared" si="17"/>
        <v>19665596</v>
      </c>
      <c r="P58" s="90">
        <f t="shared" si="17"/>
        <v>26219824.888333783</v>
      </c>
      <c r="Q58" s="91">
        <f t="shared" si="17"/>
        <v>0</v>
      </c>
      <c r="R58" s="70">
        <f t="shared" si="17"/>
        <v>12393000</v>
      </c>
      <c r="S58" s="70">
        <f t="shared" si="17"/>
        <v>822600</v>
      </c>
      <c r="T58" s="70">
        <f t="shared" si="17"/>
        <v>23056400</v>
      </c>
      <c r="U58" s="70">
        <f t="shared" si="17"/>
        <v>24505800</v>
      </c>
      <c r="V58" s="70">
        <f t="shared" si="17"/>
        <v>10314500</v>
      </c>
      <c r="W58" s="70">
        <f t="shared" si="17"/>
        <v>429700</v>
      </c>
      <c r="X58" s="70">
        <f t="shared" si="17"/>
        <v>10245824</v>
      </c>
      <c r="Y58" s="92"/>
      <c r="Z58" s="53"/>
      <c r="AA58" s="89">
        <v>7170615.0000000009</v>
      </c>
      <c r="AB58" s="70">
        <f t="shared" ref="AB58:AC58" si="18">SUM(AB4:AB56)</f>
        <v>59873451.050211713</v>
      </c>
      <c r="AC58" s="70" t="e">
        <f t="shared" si="18"/>
        <v>#VALUE!</v>
      </c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  <c r="GD58" s="53"/>
      <c r="GE58" s="53"/>
      <c r="GF58" s="53"/>
      <c r="GG58" s="53"/>
      <c r="GH58" s="53"/>
      <c r="GI58" s="53"/>
      <c r="GJ58" s="53"/>
      <c r="GK58" s="53"/>
      <c r="GL58" s="53"/>
      <c r="GM58" s="53"/>
      <c r="GN58" s="53"/>
      <c r="GO58" s="53"/>
      <c r="GP58" s="53"/>
      <c r="GQ58" s="53"/>
      <c r="GR58" s="53"/>
      <c r="GS58" s="53"/>
      <c r="GT58" s="53"/>
      <c r="GU58" s="53"/>
      <c r="GV58" s="53"/>
      <c r="GW58" s="53"/>
      <c r="GX58" s="53"/>
      <c r="GY58" s="53"/>
      <c r="GZ58" s="53"/>
      <c r="HA58" s="53"/>
      <c r="HB58" s="53"/>
      <c r="HC58" s="53"/>
      <c r="HD58" s="53"/>
      <c r="HE58" s="53"/>
      <c r="HF58" s="53"/>
      <c r="HG58" s="53"/>
      <c r="HH58" s="53"/>
      <c r="HI58" s="53"/>
      <c r="HJ58" s="53"/>
      <c r="HK58" s="53"/>
      <c r="HL58" s="53"/>
      <c r="HM58" s="53"/>
      <c r="HN58" s="53"/>
      <c r="HO58" s="53"/>
      <c r="HP58" s="53"/>
      <c r="HQ58" s="53"/>
      <c r="HR58" s="53"/>
      <c r="HS58" s="53"/>
      <c r="HT58" s="53"/>
      <c r="HU58" s="53"/>
      <c r="HV58" s="53"/>
      <c r="HW58" s="53"/>
      <c r="HX58" s="53"/>
      <c r="HY58" s="53"/>
      <c r="HZ58" s="53"/>
      <c r="IA58" s="53"/>
      <c r="IB58" s="53"/>
      <c r="IC58" s="53"/>
      <c r="ID58" s="53"/>
      <c r="IE58" s="53"/>
      <c r="IF58" s="53"/>
      <c r="IG58" s="53"/>
      <c r="IH58" s="53"/>
      <c r="II58" s="53"/>
      <c r="IJ58" s="53"/>
      <c r="IK58" s="53"/>
      <c r="IL58" s="53"/>
      <c r="IM58" s="53"/>
      <c r="IN58" s="53"/>
      <c r="IO58" s="53"/>
      <c r="IP58" s="53"/>
      <c r="IQ58" s="53"/>
      <c r="IR58" s="53"/>
      <c r="IS58" s="53"/>
      <c r="IT58" s="53"/>
      <c r="IU58" s="53"/>
      <c r="IV58" s="53"/>
      <c r="IW58" s="53"/>
      <c r="IX58" s="53"/>
      <c r="IY58" s="53"/>
      <c r="IZ58" s="53"/>
      <c r="JA58" s="53"/>
      <c r="JB58" s="53"/>
      <c r="JC58" s="53"/>
      <c r="JD58" s="53"/>
      <c r="JE58" s="53"/>
      <c r="JF58" s="53"/>
      <c r="JG58" s="53"/>
      <c r="JH58" s="53"/>
      <c r="JI58" s="53"/>
      <c r="JJ58" s="53"/>
      <c r="JK58" s="53"/>
      <c r="JL58" s="53"/>
      <c r="JM58" s="53"/>
      <c r="JN58" s="53"/>
      <c r="JO58" s="53"/>
      <c r="JP58" s="53"/>
      <c r="JQ58" s="53"/>
      <c r="JR58" s="53"/>
      <c r="JS58" s="53"/>
      <c r="JT58" s="53"/>
      <c r="JU58" s="53"/>
      <c r="JV58" s="53"/>
      <c r="JW58" s="53"/>
      <c r="JX58" s="53"/>
      <c r="JY58" s="53"/>
      <c r="JZ58" s="53"/>
      <c r="KA58" s="53"/>
      <c r="KB58" s="53"/>
      <c r="KC58" s="53"/>
      <c r="KD58" s="53"/>
      <c r="KE58" s="53"/>
      <c r="KF58" s="53"/>
      <c r="KG58" s="53"/>
      <c r="KH58" s="53"/>
      <c r="KI58" s="53"/>
      <c r="KJ58" s="53"/>
      <c r="KK58" s="53"/>
      <c r="KL58" s="53"/>
      <c r="KM58" s="53"/>
      <c r="KN58" s="53"/>
      <c r="KO58" s="53"/>
      <c r="KP58" s="53"/>
      <c r="KQ58" s="53"/>
      <c r="KR58" s="53"/>
      <c r="KS58" s="53"/>
      <c r="KT58" s="53"/>
      <c r="KU58" s="53"/>
      <c r="KV58" s="53"/>
      <c r="KW58" s="53"/>
      <c r="KX58" s="53"/>
      <c r="KY58" s="53"/>
      <c r="KZ58" s="53"/>
      <c r="LA58" s="53"/>
      <c r="LB58" s="53"/>
      <c r="LC58" s="53"/>
      <c r="LD58" s="53"/>
      <c r="LE58" s="53"/>
      <c r="LF58" s="53"/>
      <c r="LG58" s="53"/>
      <c r="LH58" s="53"/>
      <c r="LI58" s="53"/>
      <c r="LJ58" s="53"/>
      <c r="LK58" s="53"/>
      <c r="LL58" s="53"/>
      <c r="LM58" s="53"/>
      <c r="LN58" s="53"/>
      <c r="LO58" s="53"/>
      <c r="LP58" s="53"/>
      <c r="LQ58" s="53"/>
      <c r="LR58" s="53"/>
      <c r="LS58" s="53"/>
      <c r="LT58" s="53"/>
      <c r="LU58" s="53"/>
      <c r="LV58" s="53"/>
      <c r="LW58" s="53"/>
      <c r="LX58" s="53"/>
      <c r="LY58" s="53"/>
      <c r="LZ58" s="53"/>
      <c r="MA58" s="53"/>
      <c r="MB58" s="53"/>
      <c r="MC58" s="53"/>
      <c r="MD58" s="53"/>
      <c r="ME58" s="53"/>
      <c r="MF58" s="53"/>
      <c r="MG58" s="53"/>
      <c r="MH58" s="53"/>
      <c r="MI58" s="53"/>
      <c r="MJ58" s="53"/>
      <c r="MK58" s="53"/>
      <c r="ML58" s="53"/>
      <c r="MM58" s="53"/>
      <c r="MN58" s="53"/>
      <c r="MO58" s="53"/>
      <c r="MP58" s="53"/>
      <c r="MQ58" s="53"/>
      <c r="MR58" s="53"/>
      <c r="MS58" s="53"/>
      <c r="MT58" s="53"/>
      <c r="MU58" s="53"/>
      <c r="MV58" s="53"/>
      <c r="MW58" s="53"/>
      <c r="MX58" s="53"/>
      <c r="MY58" s="53"/>
      <c r="MZ58" s="53"/>
      <c r="NA58" s="53"/>
      <c r="NB58" s="53"/>
      <c r="NC58" s="53"/>
      <c r="ND58" s="53"/>
      <c r="NE58" s="53"/>
      <c r="NF58" s="53"/>
      <c r="NG58" s="53"/>
      <c r="NH58" s="53"/>
      <c r="NI58" s="53"/>
      <c r="NJ58" s="53"/>
      <c r="NK58" s="53"/>
      <c r="NL58" s="53"/>
      <c r="NM58" s="53"/>
      <c r="NN58" s="53"/>
      <c r="NO58" s="53"/>
      <c r="NP58" s="53"/>
      <c r="NQ58" s="53"/>
      <c r="NR58" s="53"/>
      <c r="NS58" s="53"/>
      <c r="NT58" s="53"/>
      <c r="NU58" s="53"/>
      <c r="NV58" s="53"/>
      <c r="NW58" s="53"/>
      <c r="NX58" s="53"/>
      <c r="NY58" s="53"/>
      <c r="NZ58" s="53"/>
      <c r="OA58" s="53"/>
      <c r="OB58" s="53"/>
      <c r="OC58" s="53"/>
      <c r="OD58" s="53"/>
      <c r="OE58" s="53"/>
      <c r="OF58" s="53"/>
      <c r="OG58" s="53"/>
      <c r="OH58" s="53"/>
      <c r="OI58" s="53"/>
      <c r="OJ58" s="53"/>
      <c r="OK58" s="53"/>
      <c r="OL58" s="53"/>
      <c r="OM58" s="53"/>
      <c r="ON58" s="53"/>
      <c r="OO58" s="53"/>
      <c r="OP58" s="53"/>
      <c r="OQ58" s="53"/>
      <c r="OR58" s="53"/>
      <c r="OS58" s="53"/>
      <c r="OT58" s="53"/>
      <c r="OU58" s="53"/>
      <c r="OV58" s="53"/>
      <c r="OW58" s="53"/>
      <c r="OX58" s="53"/>
      <c r="OY58" s="53"/>
      <c r="OZ58" s="53"/>
      <c r="PA58" s="53"/>
      <c r="PB58" s="53"/>
      <c r="PC58" s="53"/>
      <c r="PD58" s="53"/>
      <c r="PE58" s="53"/>
      <c r="PF58" s="53"/>
      <c r="PG58" s="53"/>
      <c r="PH58" s="53"/>
      <c r="PI58" s="53"/>
      <c r="PJ58" s="53"/>
      <c r="PK58" s="53"/>
      <c r="PL58" s="53"/>
      <c r="PM58" s="53"/>
      <c r="PN58" s="53"/>
      <c r="PO58" s="53"/>
      <c r="PP58" s="53"/>
      <c r="PQ58" s="53"/>
      <c r="PR58" s="53"/>
      <c r="PS58" s="53"/>
      <c r="PT58" s="53"/>
      <c r="PU58" s="53"/>
      <c r="PV58" s="53"/>
      <c r="PW58" s="53"/>
      <c r="PX58" s="53"/>
      <c r="PY58" s="53"/>
      <c r="PZ58" s="53"/>
      <c r="QA58" s="53"/>
      <c r="QB58" s="53"/>
      <c r="QC58" s="53"/>
      <c r="QD58" s="53"/>
      <c r="QE58" s="53"/>
      <c r="QF58" s="53"/>
      <c r="QG58" s="53"/>
      <c r="QH58" s="53"/>
      <c r="QI58" s="53"/>
      <c r="QJ58" s="53"/>
      <c r="QK58" s="53"/>
      <c r="QL58" s="53"/>
      <c r="QM58" s="53"/>
      <c r="QN58" s="53"/>
      <c r="QO58" s="53"/>
      <c r="QP58" s="53"/>
      <c r="QQ58" s="53"/>
      <c r="QR58" s="53"/>
      <c r="QS58" s="53"/>
      <c r="QT58" s="53"/>
      <c r="QU58" s="53"/>
      <c r="QV58" s="53"/>
      <c r="QW58" s="53"/>
      <c r="QX58" s="53"/>
      <c r="QY58" s="53"/>
      <c r="QZ58" s="53"/>
      <c r="RA58" s="53"/>
      <c r="RB58" s="53"/>
      <c r="RC58" s="53"/>
      <c r="RD58" s="53"/>
      <c r="RE58" s="53"/>
      <c r="RF58" s="53"/>
      <c r="RG58" s="53"/>
      <c r="RH58" s="53"/>
      <c r="RI58" s="53"/>
      <c r="RJ58" s="53"/>
      <c r="RK58" s="53"/>
      <c r="RL58" s="53"/>
      <c r="RM58" s="53"/>
      <c r="RN58" s="53"/>
      <c r="RO58" s="53"/>
      <c r="RP58" s="53"/>
      <c r="RQ58" s="53"/>
      <c r="RR58" s="53"/>
      <c r="RS58" s="53"/>
      <c r="RT58" s="53"/>
      <c r="RU58" s="53"/>
      <c r="RV58" s="53"/>
      <c r="RW58" s="53"/>
      <c r="RX58" s="53"/>
      <c r="RY58" s="53"/>
      <c r="RZ58" s="53"/>
      <c r="SA58" s="53"/>
      <c r="SB58" s="53"/>
      <c r="SC58" s="53"/>
      <c r="SD58" s="53"/>
      <c r="SE58" s="53"/>
      <c r="SF58" s="53"/>
      <c r="SG58" s="53"/>
      <c r="SH58" s="53"/>
      <c r="SI58" s="53"/>
      <c r="SJ58" s="53"/>
      <c r="SK58" s="53"/>
      <c r="SL58" s="53"/>
      <c r="SM58" s="53"/>
      <c r="SN58" s="53"/>
      <c r="SO58" s="53"/>
      <c r="SP58" s="53"/>
      <c r="SQ58" s="53"/>
      <c r="SR58" s="53"/>
      <c r="SS58" s="53"/>
      <c r="ST58" s="53"/>
      <c r="SU58" s="53"/>
      <c r="SV58" s="53"/>
      <c r="SW58" s="53"/>
      <c r="SX58" s="53"/>
      <c r="SY58" s="53"/>
      <c r="SZ58" s="53"/>
      <c r="TA58" s="53"/>
      <c r="TB58" s="53"/>
      <c r="TC58" s="53"/>
      <c r="TD58" s="53"/>
      <c r="TE58" s="53"/>
      <c r="TF58" s="53"/>
      <c r="TG58" s="53"/>
      <c r="TH58" s="53"/>
      <c r="TI58" s="53"/>
      <c r="TJ58" s="53"/>
      <c r="TK58" s="53"/>
      <c r="TL58" s="53"/>
      <c r="TM58" s="53"/>
      <c r="TN58" s="53"/>
      <c r="TO58" s="53"/>
      <c r="TP58" s="53"/>
      <c r="TQ58" s="53"/>
      <c r="TR58" s="53"/>
      <c r="TS58" s="53"/>
      <c r="TT58" s="53"/>
      <c r="TU58" s="53"/>
      <c r="TV58" s="53"/>
      <c r="TW58" s="53"/>
      <c r="TX58" s="53"/>
      <c r="TY58" s="53"/>
      <c r="TZ58" s="53"/>
      <c r="UA58" s="53"/>
      <c r="UB58" s="53"/>
      <c r="UC58" s="53"/>
      <c r="UD58" s="53"/>
      <c r="UE58" s="53"/>
      <c r="UF58" s="53"/>
      <c r="UG58" s="53"/>
      <c r="UH58" s="53"/>
      <c r="UI58" s="53"/>
      <c r="UJ58" s="53"/>
      <c r="UK58" s="53"/>
      <c r="UL58" s="53"/>
      <c r="UM58" s="53"/>
      <c r="UN58" s="53"/>
      <c r="UO58" s="53"/>
      <c r="UP58" s="53"/>
      <c r="UQ58" s="53"/>
      <c r="UR58" s="53"/>
      <c r="US58" s="53"/>
      <c r="UT58" s="53"/>
      <c r="UU58" s="53"/>
      <c r="UV58" s="53"/>
      <c r="UW58" s="53"/>
      <c r="UX58" s="53"/>
      <c r="UY58" s="53"/>
      <c r="UZ58" s="53"/>
      <c r="VA58" s="53"/>
      <c r="VB58" s="53"/>
      <c r="VC58" s="53"/>
      <c r="VD58" s="53"/>
      <c r="VE58" s="53"/>
      <c r="VF58" s="53"/>
      <c r="VG58" s="53"/>
      <c r="VH58" s="53"/>
      <c r="VI58" s="53"/>
      <c r="VJ58" s="53"/>
      <c r="VK58" s="53"/>
      <c r="VL58" s="53"/>
      <c r="VM58" s="53"/>
      <c r="VN58" s="53"/>
      <c r="VO58" s="53"/>
      <c r="VP58" s="53"/>
      <c r="VQ58" s="53"/>
      <c r="VR58" s="53"/>
      <c r="VS58" s="53"/>
      <c r="VT58" s="53"/>
      <c r="VU58" s="53"/>
      <c r="VV58" s="53"/>
      <c r="VW58" s="53"/>
      <c r="VX58" s="53"/>
      <c r="VY58" s="53"/>
      <c r="VZ58" s="53"/>
      <c r="WA58" s="53"/>
      <c r="WB58" s="53"/>
      <c r="WC58" s="53"/>
      <c r="WD58" s="53"/>
      <c r="WE58" s="53"/>
      <c r="WF58" s="53"/>
      <c r="WG58" s="53"/>
      <c r="WH58" s="53"/>
      <c r="WI58" s="53"/>
      <c r="WJ58" s="53"/>
      <c r="WK58" s="53"/>
      <c r="WL58" s="53"/>
      <c r="WM58" s="53"/>
      <c r="WN58" s="53"/>
      <c r="WO58" s="53"/>
      <c r="WP58" s="53"/>
      <c r="WQ58" s="53"/>
      <c r="WR58" s="53"/>
      <c r="WS58" s="53"/>
      <c r="WT58" s="53"/>
      <c r="WU58" s="53"/>
      <c r="WV58" s="53"/>
      <c r="WW58" s="53"/>
      <c r="WX58" s="53"/>
      <c r="WY58" s="53"/>
      <c r="WZ58" s="53"/>
      <c r="XA58" s="53"/>
      <c r="XB58" s="53"/>
      <c r="XC58" s="53"/>
      <c r="XD58" s="53"/>
      <c r="XE58" s="53"/>
      <c r="XF58" s="53"/>
      <c r="XG58" s="53"/>
      <c r="XH58" s="53"/>
      <c r="XI58" s="53"/>
      <c r="XJ58" s="53"/>
      <c r="XK58" s="53"/>
      <c r="XL58" s="53"/>
      <c r="XM58" s="53"/>
      <c r="XN58" s="53"/>
      <c r="XO58" s="53"/>
      <c r="XP58" s="53"/>
      <c r="XQ58" s="53"/>
      <c r="XR58" s="53"/>
      <c r="XS58" s="53"/>
      <c r="XT58" s="53"/>
      <c r="XU58" s="53"/>
      <c r="XV58" s="53"/>
      <c r="XW58" s="53"/>
      <c r="XX58" s="53"/>
      <c r="XY58" s="53"/>
      <c r="XZ58" s="53"/>
      <c r="YA58" s="53"/>
      <c r="YB58" s="53"/>
      <c r="YC58" s="53"/>
      <c r="YD58" s="53"/>
      <c r="YE58" s="53"/>
      <c r="YF58" s="53"/>
      <c r="YG58" s="53"/>
      <c r="YH58" s="53"/>
      <c r="YI58" s="53"/>
      <c r="YJ58" s="53"/>
      <c r="YK58" s="53"/>
      <c r="YL58" s="53"/>
      <c r="YM58" s="53"/>
      <c r="YN58" s="53"/>
      <c r="YO58" s="53"/>
      <c r="YP58" s="53"/>
      <c r="YQ58" s="53"/>
      <c r="YR58" s="53"/>
      <c r="YS58" s="53"/>
      <c r="YT58" s="53"/>
      <c r="YU58" s="53"/>
      <c r="YV58" s="53"/>
      <c r="YW58" s="53"/>
      <c r="YX58" s="53"/>
      <c r="YY58" s="53"/>
      <c r="YZ58" s="53"/>
      <c r="ZA58" s="53"/>
      <c r="ZB58" s="53"/>
      <c r="ZC58" s="53"/>
      <c r="ZD58" s="53"/>
      <c r="ZE58" s="53"/>
      <c r="ZF58" s="53"/>
      <c r="ZG58" s="53"/>
      <c r="ZH58" s="53"/>
      <c r="ZI58" s="53"/>
      <c r="ZJ58" s="53"/>
      <c r="ZK58" s="53"/>
      <c r="ZL58" s="53"/>
      <c r="ZM58" s="53"/>
      <c r="ZN58" s="53"/>
      <c r="ZO58" s="53"/>
      <c r="ZP58" s="53"/>
      <c r="ZQ58" s="53"/>
      <c r="ZR58" s="53"/>
      <c r="ZS58" s="53"/>
      <c r="ZT58" s="53"/>
      <c r="ZU58" s="53"/>
      <c r="ZV58" s="53"/>
      <c r="ZW58" s="53"/>
      <c r="ZX58" s="53"/>
      <c r="ZY58" s="53"/>
      <c r="ZZ58" s="53"/>
      <c r="AAA58" s="53"/>
      <c r="AAB58" s="53"/>
      <c r="AAC58" s="53"/>
      <c r="AAD58" s="53"/>
      <c r="AAE58" s="53"/>
      <c r="AAF58" s="53"/>
      <c r="AAG58" s="53"/>
      <c r="AAH58" s="53"/>
      <c r="AAI58" s="53"/>
      <c r="AAJ58" s="53"/>
      <c r="AAK58" s="53"/>
      <c r="AAL58" s="53"/>
      <c r="AAM58" s="53"/>
      <c r="AAN58" s="53"/>
      <c r="AAO58" s="53"/>
      <c r="AAP58" s="53"/>
      <c r="AAQ58" s="53"/>
      <c r="AAR58" s="53"/>
      <c r="AAS58" s="53"/>
      <c r="AAT58" s="53"/>
      <c r="AAU58" s="53"/>
      <c r="AAV58" s="53"/>
      <c r="AAW58" s="53"/>
      <c r="AAX58" s="53"/>
      <c r="AAY58" s="53"/>
      <c r="AAZ58" s="53"/>
      <c r="ABA58" s="53"/>
      <c r="ABB58" s="53"/>
      <c r="ABC58" s="53"/>
      <c r="ABD58" s="53"/>
      <c r="ABE58" s="53"/>
      <c r="ABF58" s="53"/>
      <c r="ABG58" s="53"/>
      <c r="ABH58" s="53"/>
      <c r="ABI58" s="53"/>
      <c r="ABJ58" s="53"/>
      <c r="ABK58" s="53"/>
      <c r="ABL58" s="53"/>
      <c r="ABM58" s="53"/>
      <c r="ABN58" s="53"/>
      <c r="ABO58" s="53"/>
      <c r="ABP58" s="53"/>
      <c r="ABQ58" s="53"/>
      <c r="ABR58" s="53"/>
      <c r="ABS58" s="53"/>
      <c r="ABT58" s="53"/>
      <c r="ABU58" s="53"/>
      <c r="ABV58" s="53"/>
      <c r="ABW58" s="53"/>
      <c r="ABX58" s="53"/>
      <c r="ABY58" s="53"/>
      <c r="ABZ58" s="53"/>
      <c r="ACA58" s="53"/>
      <c r="ACB58" s="53"/>
      <c r="ACC58" s="53"/>
      <c r="ACD58" s="53"/>
      <c r="ACE58" s="53"/>
      <c r="ACF58" s="53"/>
      <c r="ACG58" s="53"/>
      <c r="ACH58" s="53"/>
      <c r="ACI58" s="53"/>
      <c r="ACJ58" s="53"/>
      <c r="ACK58" s="53"/>
      <c r="ACL58" s="53"/>
      <c r="ACM58" s="53"/>
      <c r="ACN58" s="53"/>
      <c r="ACO58" s="53"/>
      <c r="ACP58" s="53"/>
      <c r="ACQ58" s="53"/>
      <c r="ACR58" s="53"/>
      <c r="ACS58" s="53"/>
      <c r="ACT58" s="53"/>
      <c r="ACU58" s="53"/>
      <c r="ACV58" s="53"/>
      <c r="ACW58" s="53"/>
      <c r="ACX58" s="53"/>
      <c r="ACY58" s="53"/>
      <c r="ACZ58" s="53"/>
      <c r="ADA58" s="53"/>
      <c r="ADB58" s="53"/>
      <c r="ADC58" s="53"/>
      <c r="ADD58" s="53"/>
      <c r="ADE58" s="53"/>
      <c r="ADF58" s="53"/>
      <c r="ADG58" s="53"/>
      <c r="ADH58" s="53"/>
      <c r="ADI58" s="53"/>
      <c r="ADJ58" s="53"/>
      <c r="ADK58" s="53"/>
      <c r="ADL58" s="53"/>
      <c r="ADM58" s="53"/>
      <c r="ADN58" s="53"/>
      <c r="ADO58" s="53"/>
      <c r="ADP58" s="53"/>
      <c r="ADQ58" s="53"/>
      <c r="ADR58" s="53"/>
      <c r="ADS58" s="53"/>
      <c r="ADT58" s="53"/>
      <c r="ADU58" s="53"/>
      <c r="ADV58" s="53"/>
      <c r="ADW58" s="53"/>
      <c r="ADX58" s="53"/>
      <c r="ADY58" s="53"/>
      <c r="ADZ58" s="53"/>
      <c r="AEA58" s="53"/>
      <c r="AEB58" s="53"/>
      <c r="AEC58" s="53"/>
      <c r="AED58" s="53"/>
      <c r="AEE58" s="53"/>
      <c r="AEF58" s="53"/>
      <c r="AEG58" s="53"/>
      <c r="AEH58" s="53"/>
      <c r="AEI58" s="53"/>
      <c r="AEJ58" s="53"/>
      <c r="AEK58" s="53"/>
      <c r="AEL58" s="53"/>
      <c r="AEM58" s="53"/>
      <c r="AEN58" s="53"/>
      <c r="AEO58" s="53"/>
      <c r="AEP58" s="53"/>
      <c r="AEQ58" s="53"/>
      <c r="AER58" s="53"/>
      <c r="AES58" s="53"/>
      <c r="AET58" s="53"/>
      <c r="AEU58" s="53"/>
      <c r="AEV58" s="53"/>
      <c r="AEW58" s="53"/>
      <c r="AEX58" s="53"/>
      <c r="AEY58" s="53"/>
      <c r="AEZ58" s="53"/>
      <c r="AFA58" s="53"/>
      <c r="AFB58" s="53"/>
      <c r="AFC58" s="53"/>
      <c r="AFD58" s="53"/>
      <c r="AFE58" s="53"/>
      <c r="AFF58" s="53"/>
      <c r="AFG58" s="53"/>
      <c r="AFH58" s="53"/>
      <c r="AFI58" s="53"/>
      <c r="AFJ58" s="53"/>
      <c r="AFK58" s="53"/>
      <c r="AFL58" s="53"/>
      <c r="AFM58" s="53"/>
      <c r="AFN58" s="53"/>
      <c r="AFO58" s="53"/>
      <c r="AFP58" s="53"/>
      <c r="AFQ58" s="53"/>
      <c r="AFR58" s="53"/>
      <c r="AFS58" s="53"/>
      <c r="AFT58" s="53"/>
      <c r="AFU58" s="53"/>
      <c r="AFV58" s="53"/>
      <c r="AFW58" s="53"/>
      <c r="AFX58" s="53"/>
      <c r="AFY58" s="53"/>
      <c r="AFZ58" s="53"/>
      <c r="AGA58" s="53"/>
      <c r="AGB58" s="53"/>
      <c r="AGC58" s="53"/>
      <c r="AGD58" s="53"/>
      <c r="AGE58" s="53"/>
      <c r="AGF58" s="53"/>
      <c r="AGG58" s="53"/>
      <c r="AGH58" s="53"/>
      <c r="AGI58" s="53"/>
      <c r="AGJ58" s="53"/>
      <c r="AGK58" s="53"/>
      <c r="AGL58" s="53"/>
      <c r="AGM58" s="53"/>
      <c r="AGN58" s="53"/>
      <c r="AGO58" s="53"/>
      <c r="AGP58" s="53"/>
      <c r="AGQ58" s="53"/>
      <c r="AGR58" s="53"/>
      <c r="AGS58" s="53"/>
      <c r="AGT58" s="53"/>
      <c r="AGU58" s="53"/>
      <c r="AGV58" s="53"/>
      <c r="AGW58" s="53"/>
      <c r="AGX58" s="53"/>
      <c r="AGY58" s="53"/>
      <c r="AGZ58" s="53"/>
      <c r="AHA58" s="53"/>
      <c r="AHB58" s="53"/>
      <c r="AHC58" s="53"/>
      <c r="AHD58" s="53"/>
      <c r="AHE58" s="53"/>
      <c r="AHF58" s="53"/>
      <c r="AHG58" s="53"/>
      <c r="AHH58" s="53"/>
      <c r="AHI58" s="53"/>
      <c r="AHJ58" s="53"/>
      <c r="AHK58" s="53"/>
      <c r="AHL58" s="53"/>
      <c r="AHM58" s="53"/>
      <c r="AHN58" s="53"/>
      <c r="AHO58" s="53"/>
      <c r="AHP58" s="53"/>
      <c r="AHQ58" s="53"/>
      <c r="AHR58" s="53"/>
      <c r="AHS58" s="53"/>
      <c r="AHT58" s="53"/>
      <c r="AHU58" s="53"/>
      <c r="AHV58" s="53"/>
      <c r="AHW58" s="53"/>
      <c r="AHX58" s="53"/>
      <c r="AHY58" s="53"/>
      <c r="AHZ58" s="53"/>
      <c r="AIA58" s="53"/>
      <c r="AIB58" s="53"/>
      <c r="AIC58" s="53"/>
      <c r="AID58" s="53"/>
      <c r="AIE58" s="53"/>
      <c r="AIF58" s="53"/>
      <c r="AIG58" s="53"/>
      <c r="AIH58" s="53"/>
      <c r="AII58" s="53"/>
      <c r="AIJ58" s="53"/>
      <c r="AIK58" s="53"/>
      <c r="AIL58" s="53"/>
      <c r="AIM58" s="53"/>
      <c r="AIN58" s="53"/>
      <c r="AIO58" s="53"/>
      <c r="AIP58" s="53"/>
      <c r="AIQ58" s="53"/>
      <c r="AIR58" s="53"/>
      <c r="AIS58" s="53"/>
      <c r="AIT58" s="53"/>
      <c r="AIU58" s="53"/>
      <c r="AIV58" s="53"/>
      <c r="AIW58" s="53"/>
      <c r="AIX58" s="53"/>
      <c r="AIY58" s="53"/>
      <c r="AIZ58" s="53"/>
      <c r="AJA58" s="53"/>
      <c r="AJB58" s="53"/>
      <c r="AJC58" s="53"/>
      <c r="AJD58" s="53"/>
      <c r="AJE58" s="53"/>
      <c r="AJF58" s="53"/>
      <c r="AJG58" s="53"/>
      <c r="AJH58" s="53"/>
      <c r="AJI58" s="53"/>
      <c r="AJJ58" s="53"/>
      <c r="AJK58" s="53"/>
      <c r="AJL58" s="53"/>
      <c r="AJM58" s="53"/>
      <c r="AJN58" s="53"/>
      <c r="AJO58" s="53"/>
      <c r="AJP58" s="53"/>
      <c r="AJQ58" s="53"/>
      <c r="AJR58" s="53"/>
      <c r="AJS58" s="53"/>
      <c r="AJT58" s="53"/>
      <c r="AJU58" s="53"/>
      <c r="AJV58" s="53"/>
      <c r="AJW58" s="53"/>
      <c r="AJX58" s="53"/>
      <c r="AJY58" s="53"/>
      <c r="AJZ58" s="53"/>
      <c r="AKA58" s="53"/>
      <c r="AKB58" s="53"/>
      <c r="AKC58" s="53"/>
      <c r="AKD58" s="53"/>
      <c r="AKE58" s="53"/>
      <c r="AKF58" s="53"/>
      <c r="AKG58" s="53"/>
      <c r="AKH58" s="53"/>
      <c r="AKI58" s="53"/>
      <c r="AKJ58" s="53"/>
      <c r="AKK58" s="53"/>
      <c r="AKL58" s="53"/>
      <c r="AKM58" s="53"/>
      <c r="AKN58" s="53"/>
      <c r="AKO58" s="53"/>
      <c r="AKP58" s="53"/>
      <c r="AKQ58" s="53"/>
      <c r="AKR58" s="53"/>
      <c r="AKS58" s="53"/>
      <c r="AKT58" s="53"/>
      <c r="AKU58" s="53"/>
      <c r="AKV58" s="53"/>
      <c r="AKW58" s="53"/>
      <c r="AKX58" s="53"/>
      <c r="AKY58" s="53"/>
      <c r="AKZ58" s="53"/>
      <c r="ALA58" s="53"/>
      <c r="ALB58" s="53"/>
      <c r="ALC58" s="53"/>
      <c r="ALD58" s="53"/>
      <c r="ALE58" s="53"/>
      <c r="ALF58" s="53"/>
      <c r="ALG58" s="53"/>
      <c r="ALH58" s="53"/>
      <c r="ALI58" s="53"/>
      <c r="ALJ58" s="53"/>
      <c r="ALK58" s="53"/>
      <c r="ALL58" s="53"/>
      <c r="ALM58" s="53"/>
      <c r="ALN58" s="53"/>
      <c r="ALO58" s="53"/>
      <c r="ALP58" s="53"/>
      <c r="ALQ58" s="53"/>
      <c r="ALR58" s="53"/>
      <c r="ALS58" s="53"/>
      <c r="ALT58" s="53"/>
      <c r="ALU58" s="53"/>
      <c r="ALV58" s="53"/>
      <c r="ALW58" s="53"/>
      <c r="ALX58" s="53"/>
      <c r="ALY58" s="53"/>
      <c r="ALZ58" s="53"/>
      <c r="AMA58" s="53"/>
      <c r="AMB58" s="53"/>
      <c r="AMC58" s="53"/>
      <c r="AMD58" s="53"/>
      <c r="AME58" s="53"/>
      <c r="AMF58" s="53"/>
      <c r="AMG58" s="53"/>
      <c r="AMH58" s="53"/>
      <c r="AMI58" s="53"/>
      <c r="AMJ58" s="53"/>
      <c r="AMK58" s="53"/>
      <c r="AML58" s="53"/>
      <c r="AMM58" s="53"/>
      <c r="AMN58" s="53"/>
      <c r="AMO58" s="53"/>
      <c r="AMP58" s="53"/>
      <c r="AMQ58" s="53"/>
      <c r="AMR58" s="53"/>
      <c r="AMS58" s="53"/>
      <c r="AMT58" s="53"/>
      <c r="AMU58" s="53"/>
      <c r="AMV58" s="53"/>
      <c r="AMW58" s="53"/>
      <c r="AMX58" s="53"/>
      <c r="AMY58" s="53"/>
      <c r="AMZ58" s="53"/>
      <c r="ANA58" s="53"/>
      <c r="ANB58" s="53"/>
      <c r="ANC58" s="53"/>
      <c r="AND58" s="53"/>
      <c r="ANE58" s="53"/>
      <c r="ANF58" s="53"/>
      <c r="ANG58" s="53"/>
      <c r="ANH58" s="53"/>
      <c r="ANI58" s="53"/>
      <c r="ANJ58" s="53"/>
      <c r="ANK58" s="53"/>
      <c r="ANL58" s="53"/>
      <c r="ANM58" s="53"/>
      <c r="ANN58" s="53"/>
      <c r="ANO58" s="53"/>
      <c r="ANP58" s="53"/>
      <c r="ANQ58" s="53"/>
      <c r="ANR58" s="53"/>
      <c r="ANS58" s="53"/>
      <c r="ANT58" s="53"/>
      <c r="ANU58" s="53"/>
      <c r="ANV58" s="53"/>
      <c r="ANW58" s="53"/>
      <c r="ANX58" s="53"/>
      <c r="ANY58" s="53"/>
      <c r="ANZ58" s="53"/>
      <c r="AOA58" s="53"/>
      <c r="AOB58" s="53"/>
      <c r="AOC58" s="53"/>
      <c r="AOD58" s="53"/>
      <c r="AOE58" s="53"/>
      <c r="AOF58" s="53"/>
      <c r="AOG58" s="53"/>
      <c r="AOH58" s="53"/>
      <c r="AOI58" s="53"/>
      <c r="AOJ58" s="53"/>
      <c r="AOK58" s="53"/>
      <c r="AOL58" s="53"/>
      <c r="AOM58" s="53"/>
      <c r="AON58" s="53"/>
      <c r="AOO58" s="53"/>
      <c r="AOP58" s="53"/>
      <c r="AOQ58" s="53"/>
      <c r="AOR58" s="53"/>
      <c r="AOS58" s="53"/>
      <c r="AOT58" s="53"/>
      <c r="AOU58" s="53"/>
      <c r="AOV58" s="53"/>
      <c r="AOW58" s="53"/>
      <c r="AOX58" s="53"/>
      <c r="AOY58" s="53"/>
      <c r="AOZ58" s="53"/>
      <c r="APA58" s="53"/>
      <c r="APB58" s="53"/>
      <c r="APC58" s="53"/>
      <c r="APD58" s="53"/>
      <c r="APE58" s="53"/>
      <c r="APF58" s="53"/>
      <c r="APG58" s="53"/>
      <c r="APH58" s="53"/>
      <c r="API58" s="53"/>
      <c r="APJ58" s="53"/>
      <c r="APK58" s="53"/>
      <c r="APL58" s="53"/>
      <c r="APM58" s="53"/>
      <c r="APN58" s="53"/>
      <c r="APO58" s="53"/>
      <c r="APP58" s="53"/>
      <c r="APQ58" s="53"/>
      <c r="APR58" s="53"/>
      <c r="APS58" s="53"/>
      <c r="APT58" s="53"/>
      <c r="APU58" s="53"/>
      <c r="APV58" s="53"/>
      <c r="APW58" s="53"/>
      <c r="APX58" s="53"/>
      <c r="APY58" s="53"/>
      <c r="APZ58" s="53"/>
      <c r="AQA58" s="53"/>
      <c r="AQB58" s="53"/>
      <c r="AQC58" s="53"/>
      <c r="AQD58" s="53"/>
      <c r="AQE58" s="53"/>
      <c r="AQF58" s="53"/>
      <c r="AQG58" s="53"/>
      <c r="AQH58" s="53"/>
      <c r="AQI58" s="53"/>
      <c r="AQJ58" s="53"/>
      <c r="AQK58" s="53"/>
      <c r="AQL58" s="53"/>
      <c r="AQM58" s="53"/>
      <c r="AQN58" s="53"/>
      <c r="AQO58" s="53"/>
      <c r="AQP58" s="53"/>
      <c r="AQQ58" s="53"/>
      <c r="AQR58" s="53"/>
      <c r="AQS58" s="53"/>
      <c r="AQT58" s="53"/>
      <c r="AQU58" s="53"/>
      <c r="AQV58" s="53"/>
      <c r="AQW58" s="53"/>
      <c r="AQX58" s="53"/>
      <c r="AQY58" s="53"/>
      <c r="AQZ58" s="53"/>
      <c r="ARA58" s="53"/>
      <c r="ARB58" s="53"/>
      <c r="ARC58" s="53"/>
      <c r="ARD58" s="53"/>
      <c r="ARE58" s="53"/>
      <c r="ARF58" s="53"/>
      <c r="ARG58" s="53"/>
      <c r="ARH58" s="53"/>
      <c r="ARI58" s="53"/>
      <c r="ARJ58" s="53"/>
      <c r="ARK58" s="53"/>
      <c r="ARL58" s="53"/>
      <c r="ARM58" s="53"/>
      <c r="ARN58" s="53"/>
      <c r="ARO58" s="53"/>
      <c r="ARP58" s="53"/>
      <c r="ARQ58" s="53"/>
      <c r="ARR58" s="53"/>
      <c r="ARS58" s="53"/>
      <c r="ART58" s="53"/>
      <c r="ARU58" s="53"/>
      <c r="ARV58" s="53"/>
      <c r="ARW58" s="53"/>
      <c r="ARX58" s="53"/>
      <c r="ARY58" s="53"/>
      <c r="ARZ58" s="53"/>
      <c r="ASA58" s="53"/>
      <c r="ASB58" s="53"/>
      <c r="ASC58" s="53"/>
      <c r="ASD58" s="53"/>
      <c r="ASE58" s="53"/>
      <c r="ASF58" s="53"/>
      <c r="ASG58" s="53"/>
      <c r="ASH58" s="53"/>
      <c r="ASI58" s="53"/>
      <c r="ASJ58" s="53"/>
      <c r="ASK58" s="53"/>
      <c r="ASL58" s="53"/>
      <c r="ASM58" s="53"/>
      <c r="ASN58" s="53"/>
      <c r="ASO58" s="53"/>
      <c r="ASP58" s="53"/>
      <c r="ASQ58" s="53"/>
      <c r="ASR58" s="53"/>
      <c r="ASS58" s="53"/>
      <c r="AST58" s="53"/>
      <c r="ASU58" s="53"/>
      <c r="ASV58" s="53"/>
      <c r="ASW58" s="53"/>
      <c r="ASX58" s="53"/>
      <c r="ASY58" s="53"/>
      <c r="ASZ58" s="53"/>
      <c r="ATA58" s="53"/>
      <c r="ATB58" s="53"/>
      <c r="ATC58" s="53"/>
      <c r="ATD58" s="53"/>
      <c r="ATE58" s="53"/>
      <c r="ATF58" s="53"/>
      <c r="ATG58" s="53"/>
      <c r="ATH58" s="53"/>
      <c r="ATI58" s="53"/>
      <c r="ATJ58" s="53"/>
      <c r="ATK58" s="53"/>
      <c r="ATL58" s="53"/>
      <c r="ATM58" s="53"/>
      <c r="ATN58" s="53"/>
      <c r="ATO58" s="53"/>
      <c r="ATP58" s="53"/>
      <c r="ATQ58" s="53"/>
      <c r="ATR58" s="53"/>
      <c r="ATS58" s="53"/>
      <c r="ATT58" s="53"/>
      <c r="ATU58" s="53"/>
      <c r="ATV58" s="53"/>
      <c r="ATW58" s="53"/>
      <c r="ATX58" s="53"/>
      <c r="ATY58" s="53"/>
      <c r="ATZ58" s="53"/>
      <c r="AUA58" s="53"/>
      <c r="AUB58" s="53"/>
      <c r="AUC58" s="53"/>
      <c r="AUD58" s="53"/>
      <c r="AUE58" s="53"/>
      <c r="AUF58" s="53"/>
      <c r="AUG58" s="53"/>
      <c r="AUH58" s="53"/>
      <c r="AUI58" s="53"/>
      <c r="AUJ58" s="53"/>
      <c r="AUK58" s="53"/>
      <c r="AUL58" s="53"/>
      <c r="AUM58" s="53"/>
      <c r="AUN58" s="53"/>
      <c r="AUO58" s="53"/>
      <c r="AUP58" s="53"/>
      <c r="AUQ58" s="53"/>
      <c r="AUR58" s="53"/>
      <c r="AUS58" s="53"/>
      <c r="AUT58" s="53"/>
      <c r="AUU58" s="53"/>
      <c r="AUV58" s="53"/>
      <c r="AUW58" s="53"/>
      <c r="AUX58" s="53"/>
      <c r="AUY58" s="53"/>
      <c r="AUZ58" s="53"/>
      <c r="AVA58" s="53"/>
      <c r="AVB58" s="53"/>
      <c r="AVC58" s="53"/>
      <c r="AVD58" s="53"/>
      <c r="AVE58" s="53"/>
      <c r="AVF58" s="53"/>
      <c r="AVG58" s="53"/>
      <c r="AVH58" s="53"/>
      <c r="AVI58" s="53"/>
      <c r="AVJ58" s="53"/>
      <c r="AVK58" s="53"/>
      <c r="AVL58" s="53"/>
      <c r="AVM58" s="53"/>
      <c r="AVN58" s="53"/>
      <c r="AVO58" s="53"/>
      <c r="AVP58" s="53"/>
      <c r="AVQ58" s="53"/>
      <c r="AVR58" s="53"/>
      <c r="AVS58" s="53"/>
      <c r="AVT58" s="53"/>
      <c r="AVU58" s="53"/>
      <c r="AVV58" s="53"/>
      <c r="AVW58" s="53"/>
      <c r="AVX58" s="53"/>
      <c r="AVY58" s="53"/>
      <c r="AVZ58" s="53"/>
      <c r="AWA58" s="53"/>
      <c r="AWB58" s="53"/>
      <c r="AWC58" s="53"/>
      <c r="AWD58" s="53"/>
      <c r="AWE58" s="53"/>
      <c r="AWF58" s="53"/>
      <c r="AWG58" s="53"/>
      <c r="AWH58" s="53"/>
      <c r="AWI58" s="53"/>
      <c r="AWJ58" s="53"/>
      <c r="AWK58" s="53"/>
      <c r="AWL58" s="53"/>
      <c r="AWM58" s="53"/>
      <c r="AWN58" s="53"/>
      <c r="AWO58" s="53"/>
      <c r="AWP58" s="53"/>
      <c r="AWQ58" s="53"/>
      <c r="AWR58" s="53"/>
      <c r="AWS58" s="53"/>
      <c r="AWT58" s="53"/>
      <c r="AWU58" s="53"/>
      <c r="AWV58" s="53"/>
      <c r="AWW58" s="53"/>
      <c r="AWX58" s="53"/>
      <c r="AWY58" s="53"/>
      <c r="AWZ58" s="53"/>
      <c r="AXA58" s="53"/>
      <c r="AXB58" s="53"/>
      <c r="AXC58" s="53"/>
      <c r="AXD58" s="53"/>
      <c r="AXE58" s="53"/>
      <c r="AXF58" s="53"/>
      <c r="AXG58" s="53"/>
      <c r="AXH58" s="53"/>
      <c r="AXI58" s="53"/>
      <c r="AXJ58" s="53"/>
      <c r="AXK58" s="53"/>
      <c r="AXL58" s="53"/>
      <c r="AXM58" s="53"/>
      <c r="AXN58" s="53"/>
      <c r="AXO58" s="53"/>
      <c r="AXP58" s="53"/>
      <c r="AXQ58" s="53"/>
      <c r="AXR58" s="53"/>
      <c r="AXS58" s="53"/>
      <c r="AXT58" s="53"/>
      <c r="AXU58" s="53"/>
      <c r="AXV58" s="53"/>
      <c r="AXW58" s="53"/>
      <c r="AXX58" s="53"/>
      <c r="AXY58" s="53"/>
      <c r="AXZ58" s="53"/>
      <c r="AYA58" s="53"/>
      <c r="AYB58" s="53"/>
      <c r="AYC58" s="53"/>
      <c r="AYD58" s="53"/>
      <c r="AYE58" s="53"/>
      <c r="AYF58" s="53"/>
      <c r="AYG58" s="53"/>
      <c r="AYH58" s="53"/>
      <c r="AYI58" s="53"/>
      <c r="AYJ58" s="53"/>
      <c r="AYK58" s="53"/>
      <c r="AYL58" s="53"/>
      <c r="AYM58" s="53"/>
      <c r="AYN58" s="53"/>
      <c r="AYO58" s="53"/>
      <c r="AYP58" s="53"/>
      <c r="AYQ58" s="53"/>
      <c r="AYR58" s="53"/>
      <c r="AYS58" s="53"/>
      <c r="AYT58" s="53"/>
      <c r="AYU58" s="53"/>
      <c r="AYV58" s="53"/>
      <c r="AYW58" s="53"/>
      <c r="AYX58" s="53"/>
      <c r="AYY58" s="53"/>
      <c r="AYZ58" s="53"/>
      <c r="AZA58" s="53"/>
      <c r="AZB58" s="53"/>
      <c r="AZC58" s="53"/>
      <c r="AZD58" s="53"/>
      <c r="AZE58" s="53"/>
      <c r="AZF58" s="53"/>
      <c r="AZG58" s="53"/>
      <c r="AZH58" s="53"/>
      <c r="AZI58" s="53"/>
      <c r="AZJ58" s="53"/>
      <c r="AZK58" s="53"/>
      <c r="AZL58" s="53"/>
      <c r="AZM58" s="53"/>
      <c r="AZN58" s="53"/>
      <c r="AZO58" s="53"/>
      <c r="AZP58" s="53"/>
      <c r="AZQ58" s="53"/>
      <c r="AZR58" s="53"/>
      <c r="AZS58" s="53"/>
      <c r="AZT58" s="53"/>
      <c r="AZU58" s="53"/>
      <c r="AZV58" s="53"/>
      <c r="AZW58" s="53"/>
      <c r="AZX58" s="53"/>
      <c r="AZY58" s="53"/>
      <c r="AZZ58" s="53"/>
      <c r="BAA58" s="53"/>
      <c r="BAB58" s="53"/>
      <c r="BAC58" s="53"/>
      <c r="BAD58" s="53"/>
      <c r="BAE58" s="53"/>
      <c r="BAF58" s="53"/>
      <c r="BAG58" s="53"/>
      <c r="BAH58" s="53"/>
      <c r="BAI58" s="53"/>
      <c r="BAJ58" s="53"/>
      <c r="BAK58" s="53"/>
      <c r="BAL58" s="53"/>
      <c r="BAM58" s="53"/>
      <c r="BAN58" s="53"/>
      <c r="BAO58" s="53"/>
      <c r="BAP58" s="53"/>
      <c r="BAQ58" s="53"/>
      <c r="BAR58" s="53"/>
      <c r="BAS58" s="53"/>
      <c r="BAT58" s="53"/>
      <c r="BAU58" s="53"/>
      <c r="BAV58" s="53"/>
      <c r="BAW58" s="53"/>
      <c r="BAX58" s="53"/>
      <c r="BAY58" s="53"/>
      <c r="BAZ58" s="53"/>
      <c r="BBA58" s="53"/>
      <c r="BBB58" s="53"/>
      <c r="BBC58" s="53"/>
      <c r="BBD58" s="53"/>
      <c r="BBE58" s="53"/>
      <c r="BBF58" s="53"/>
      <c r="BBG58" s="53"/>
      <c r="BBH58" s="53"/>
      <c r="BBI58" s="53"/>
      <c r="BBJ58" s="53"/>
      <c r="BBK58" s="53"/>
      <c r="BBL58" s="53"/>
      <c r="BBM58" s="53"/>
      <c r="BBN58" s="53"/>
      <c r="BBO58" s="53"/>
      <c r="BBP58" s="53"/>
      <c r="BBQ58" s="53"/>
      <c r="BBR58" s="53"/>
      <c r="BBS58" s="53"/>
      <c r="BBT58" s="53"/>
      <c r="BBU58" s="53"/>
      <c r="BBV58" s="53"/>
      <c r="BBW58" s="53"/>
      <c r="BBX58" s="53"/>
      <c r="BBY58" s="53"/>
      <c r="BBZ58" s="53"/>
      <c r="BCA58" s="53"/>
      <c r="BCB58" s="53"/>
      <c r="BCC58" s="53"/>
      <c r="BCD58" s="53"/>
      <c r="BCE58" s="53"/>
      <c r="BCF58" s="53"/>
      <c r="BCG58" s="53"/>
      <c r="BCH58" s="53"/>
      <c r="BCI58" s="53"/>
      <c r="BCJ58" s="53"/>
      <c r="BCK58" s="53"/>
      <c r="BCL58" s="53"/>
      <c r="BCM58" s="53"/>
      <c r="BCN58" s="53"/>
      <c r="BCO58" s="53"/>
      <c r="BCP58" s="53"/>
      <c r="BCQ58" s="53"/>
      <c r="BCR58" s="53"/>
      <c r="BCS58" s="53"/>
      <c r="BCT58" s="53"/>
      <c r="BCU58" s="53"/>
      <c r="BCV58" s="53"/>
      <c r="BCW58" s="53"/>
      <c r="BCX58" s="53"/>
      <c r="BCY58" s="53"/>
      <c r="BCZ58" s="53"/>
      <c r="BDA58" s="53"/>
      <c r="BDB58" s="53"/>
      <c r="BDC58" s="53"/>
      <c r="BDD58" s="53"/>
      <c r="BDE58" s="53"/>
      <c r="BDF58" s="53"/>
      <c r="BDG58" s="53"/>
      <c r="BDH58" s="53"/>
      <c r="BDI58" s="53"/>
      <c r="BDJ58" s="53"/>
      <c r="BDK58" s="53"/>
      <c r="BDL58" s="53"/>
      <c r="BDM58" s="53"/>
      <c r="BDN58" s="53"/>
      <c r="BDO58" s="53"/>
      <c r="BDP58" s="53"/>
      <c r="BDQ58" s="53"/>
      <c r="BDR58" s="53"/>
      <c r="BDS58" s="53"/>
      <c r="BDT58" s="53"/>
      <c r="BDU58" s="53"/>
      <c r="BDV58" s="53"/>
      <c r="BDW58" s="53"/>
      <c r="BDX58" s="53"/>
      <c r="BDY58" s="53"/>
      <c r="BDZ58" s="53"/>
      <c r="BEA58" s="53"/>
      <c r="BEB58" s="53"/>
      <c r="BEC58" s="53"/>
      <c r="BED58" s="53"/>
      <c r="BEE58" s="53"/>
      <c r="BEF58" s="53"/>
      <c r="BEG58" s="53"/>
      <c r="BEH58" s="53"/>
      <c r="BEI58" s="53"/>
      <c r="BEJ58" s="53"/>
      <c r="BEK58" s="53"/>
      <c r="BEL58" s="53"/>
      <c r="BEM58" s="53"/>
      <c r="BEN58" s="53"/>
      <c r="BEO58" s="53"/>
      <c r="BEP58" s="53"/>
      <c r="BEQ58" s="53"/>
      <c r="BER58" s="53"/>
      <c r="BES58" s="53"/>
      <c r="BET58" s="53"/>
      <c r="BEU58" s="53"/>
      <c r="BEV58" s="53"/>
      <c r="BEW58" s="53"/>
      <c r="BEX58" s="53"/>
      <c r="BEY58" s="53"/>
      <c r="BEZ58" s="53"/>
      <c r="BFA58" s="53"/>
      <c r="BFB58" s="53"/>
      <c r="BFC58" s="53"/>
      <c r="BFD58" s="53"/>
      <c r="BFE58" s="53"/>
      <c r="BFF58" s="53"/>
      <c r="BFG58" s="53"/>
      <c r="BFH58" s="53"/>
      <c r="BFI58" s="53"/>
      <c r="BFJ58" s="53"/>
      <c r="BFK58" s="53"/>
      <c r="BFL58" s="53"/>
      <c r="BFM58" s="53"/>
      <c r="BFN58" s="53"/>
      <c r="BFO58" s="53"/>
      <c r="BFP58" s="53"/>
      <c r="BFQ58" s="53"/>
      <c r="BFR58" s="53"/>
      <c r="BFS58" s="53"/>
      <c r="BFT58" s="53"/>
      <c r="BFU58" s="53"/>
      <c r="BFV58" s="53"/>
      <c r="BFW58" s="53"/>
      <c r="BFX58" s="53"/>
      <c r="BFY58" s="53"/>
      <c r="BFZ58" s="53"/>
      <c r="BGA58" s="53"/>
      <c r="BGB58" s="53"/>
      <c r="BGC58" s="53"/>
      <c r="BGD58" s="53"/>
      <c r="BGE58" s="53"/>
      <c r="BGF58" s="53"/>
      <c r="BGG58" s="53"/>
      <c r="BGH58" s="53"/>
      <c r="BGI58" s="53"/>
      <c r="BGJ58" s="53"/>
      <c r="BGK58" s="53"/>
      <c r="BGL58" s="53"/>
      <c r="BGM58" s="53"/>
      <c r="BGN58" s="53"/>
      <c r="BGO58" s="53"/>
      <c r="BGP58" s="53"/>
      <c r="BGQ58" s="53"/>
      <c r="BGR58" s="53"/>
      <c r="BGS58" s="53"/>
      <c r="BGT58" s="53"/>
      <c r="BGU58" s="53"/>
      <c r="BGV58" s="53"/>
      <c r="BGW58" s="53"/>
      <c r="BGX58" s="53"/>
      <c r="BGY58" s="53"/>
      <c r="BGZ58" s="53"/>
      <c r="BHA58" s="53"/>
      <c r="BHB58" s="53"/>
      <c r="BHC58" s="53"/>
      <c r="BHD58" s="53"/>
      <c r="BHE58" s="53"/>
      <c r="BHF58" s="53"/>
      <c r="BHG58" s="53"/>
      <c r="BHH58" s="53"/>
      <c r="BHI58" s="53"/>
      <c r="BHJ58" s="53"/>
      <c r="BHK58" s="53"/>
      <c r="BHL58" s="53"/>
      <c r="BHM58" s="53"/>
      <c r="BHN58" s="53"/>
      <c r="BHO58" s="53"/>
      <c r="BHP58" s="53"/>
      <c r="BHQ58" s="53"/>
      <c r="BHR58" s="53"/>
      <c r="BHS58" s="53"/>
      <c r="BHT58" s="53"/>
      <c r="BHU58" s="53"/>
      <c r="BHV58" s="53"/>
      <c r="BHW58" s="53"/>
      <c r="BHX58" s="53"/>
      <c r="BHY58" s="53"/>
      <c r="BHZ58" s="53"/>
      <c r="BIA58" s="53"/>
      <c r="BIB58" s="53"/>
      <c r="BIC58" s="53"/>
      <c r="BID58" s="53"/>
      <c r="BIE58" s="53"/>
      <c r="BIF58" s="53"/>
      <c r="BIG58" s="53"/>
      <c r="BIH58" s="53"/>
      <c r="BII58" s="53"/>
      <c r="BIJ58" s="53"/>
      <c r="BIK58" s="53"/>
      <c r="BIL58" s="53"/>
      <c r="BIM58" s="53"/>
      <c r="BIN58" s="53"/>
      <c r="BIO58" s="53"/>
      <c r="BIP58" s="53"/>
      <c r="BIQ58" s="53"/>
      <c r="BIR58" s="53"/>
      <c r="BIS58" s="53"/>
      <c r="BIT58" s="53"/>
      <c r="BIU58" s="53"/>
      <c r="BIV58" s="53"/>
      <c r="BIW58" s="53"/>
      <c r="BIX58" s="53"/>
      <c r="BIY58" s="53"/>
      <c r="BIZ58" s="53"/>
      <c r="BJA58" s="53"/>
      <c r="BJB58" s="53"/>
      <c r="BJC58" s="53"/>
      <c r="BJD58" s="53"/>
      <c r="BJE58" s="53"/>
      <c r="BJF58" s="53"/>
      <c r="BJG58" s="53"/>
      <c r="BJH58" s="53"/>
      <c r="BJI58" s="53"/>
      <c r="BJJ58" s="53"/>
      <c r="BJK58" s="53"/>
      <c r="BJL58" s="53"/>
      <c r="BJM58" s="53"/>
      <c r="BJN58" s="53"/>
      <c r="BJO58" s="53"/>
      <c r="BJP58" s="53"/>
      <c r="BJQ58" s="53"/>
      <c r="BJR58" s="53"/>
      <c r="BJS58" s="53"/>
      <c r="BJT58" s="53"/>
      <c r="BJU58" s="53"/>
      <c r="BJV58" s="53"/>
      <c r="BJW58" s="53"/>
      <c r="BJX58" s="53"/>
      <c r="BJY58" s="53"/>
      <c r="BJZ58" s="53"/>
      <c r="BKA58" s="53"/>
      <c r="BKB58" s="53"/>
      <c r="BKC58" s="53"/>
      <c r="BKD58" s="53"/>
      <c r="BKE58" s="53"/>
      <c r="BKF58" s="53"/>
      <c r="BKG58" s="53"/>
      <c r="BKH58" s="53"/>
      <c r="BKI58" s="53"/>
      <c r="BKJ58" s="53"/>
      <c r="BKK58" s="53"/>
      <c r="BKL58" s="53"/>
      <c r="BKM58" s="53"/>
      <c r="BKN58" s="53"/>
      <c r="BKO58" s="53"/>
      <c r="BKP58" s="53"/>
      <c r="BKQ58" s="53"/>
      <c r="BKR58" s="53"/>
      <c r="BKS58" s="53"/>
      <c r="BKT58" s="53"/>
      <c r="BKU58" s="53"/>
      <c r="BKV58" s="53"/>
      <c r="BKW58" s="53"/>
      <c r="BKX58" s="53"/>
      <c r="BKY58" s="53"/>
      <c r="BKZ58" s="53"/>
      <c r="BLA58" s="53"/>
      <c r="BLB58" s="53"/>
      <c r="BLC58" s="53"/>
      <c r="BLD58" s="53"/>
      <c r="BLE58" s="53"/>
      <c r="BLF58" s="53"/>
      <c r="BLG58" s="53"/>
      <c r="BLH58" s="53"/>
      <c r="BLI58" s="53"/>
      <c r="BLJ58" s="53"/>
      <c r="BLK58" s="53"/>
      <c r="BLL58" s="53"/>
      <c r="BLM58" s="53"/>
      <c r="BLN58" s="53"/>
      <c r="BLO58" s="53"/>
      <c r="BLP58" s="53"/>
      <c r="BLQ58" s="53"/>
      <c r="BLR58" s="53"/>
      <c r="BLS58" s="53"/>
      <c r="BLT58" s="53"/>
      <c r="BLU58" s="53"/>
      <c r="BLV58" s="53"/>
      <c r="BLW58" s="53"/>
      <c r="BLX58" s="53"/>
      <c r="BLY58" s="53"/>
      <c r="BLZ58" s="53"/>
      <c r="BMA58" s="53"/>
      <c r="BMB58" s="53"/>
      <c r="BMC58" s="53"/>
      <c r="BMD58" s="53"/>
      <c r="BME58" s="53"/>
      <c r="BMF58" s="53"/>
      <c r="BMG58" s="53"/>
      <c r="BMH58" s="53"/>
      <c r="BMI58" s="53"/>
      <c r="BMJ58" s="53"/>
      <c r="BMK58" s="53"/>
      <c r="BML58" s="53"/>
      <c r="BMM58" s="53"/>
      <c r="BMN58" s="53"/>
      <c r="BMO58" s="53"/>
      <c r="BMP58" s="53"/>
      <c r="BMQ58" s="53"/>
      <c r="BMR58" s="53"/>
      <c r="BMS58" s="53"/>
      <c r="BMT58" s="53"/>
      <c r="BMU58" s="53"/>
      <c r="BMV58" s="53"/>
      <c r="BMW58" s="53"/>
      <c r="BMX58" s="53"/>
      <c r="BMY58" s="53"/>
      <c r="BMZ58" s="53"/>
      <c r="BNA58" s="53"/>
      <c r="BNB58" s="53"/>
      <c r="BNC58" s="53"/>
      <c r="BND58" s="53"/>
      <c r="BNE58" s="53"/>
      <c r="BNF58" s="53"/>
      <c r="BNG58" s="53"/>
      <c r="BNH58" s="53"/>
      <c r="BNI58" s="53"/>
      <c r="BNJ58" s="53"/>
      <c r="BNK58" s="53"/>
      <c r="BNL58" s="53"/>
      <c r="BNM58" s="53"/>
      <c r="BNN58" s="53"/>
      <c r="BNO58" s="53"/>
      <c r="BNP58" s="53"/>
      <c r="BNQ58" s="53"/>
      <c r="BNR58" s="53"/>
      <c r="BNS58" s="53"/>
      <c r="BNT58" s="53"/>
      <c r="BNU58" s="53"/>
      <c r="BNV58" s="53"/>
      <c r="BNW58" s="53"/>
      <c r="BNX58" s="53"/>
      <c r="BNY58" s="53"/>
      <c r="BNZ58" s="53"/>
      <c r="BOA58" s="53"/>
      <c r="BOB58" s="53"/>
      <c r="BOC58" s="53"/>
      <c r="BOD58" s="53"/>
      <c r="BOE58" s="53"/>
      <c r="BOF58" s="53"/>
      <c r="BOG58" s="53"/>
      <c r="BOH58" s="53"/>
      <c r="BOI58" s="53"/>
      <c r="BOJ58" s="53"/>
      <c r="BOK58" s="53"/>
      <c r="BOL58" s="53"/>
      <c r="BOM58" s="53"/>
      <c r="BON58" s="53"/>
      <c r="BOO58" s="53"/>
      <c r="BOP58" s="53"/>
      <c r="BOQ58" s="53"/>
      <c r="BOR58" s="53"/>
      <c r="BOS58" s="53"/>
      <c r="BOT58" s="53"/>
      <c r="BOU58" s="53"/>
      <c r="BOV58" s="53"/>
      <c r="BOW58" s="53"/>
      <c r="BOX58" s="53"/>
      <c r="BOY58" s="53"/>
      <c r="BOZ58" s="53"/>
      <c r="BPA58" s="53"/>
      <c r="BPB58" s="53"/>
      <c r="BPC58" s="53"/>
      <c r="BPD58" s="53"/>
      <c r="BPE58" s="53"/>
      <c r="BPF58" s="53"/>
      <c r="BPG58" s="53"/>
      <c r="BPH58" s="53"/>
      <c r="BPI58" s="53"/>
      <c r="BPJ58" s="53"/>
      <c r="BPK58" s="53"/>
      <c r="BPL58" s="53"/>
      <c r="BPM58" s="53"/>
      <c r="BPN58" s="53"/>
      <c r="BPO58" s="53"/>
      <c r="BPP58" s="53"/>
      <c r="BPQ58" s="53"/>
      <c r="BPR58" s="53"/>
      <c r="BPS58" s="53"/>
      <c r="BPT58" s="53"/>
      <c r="BPU58" s="53"/>
      <c r="BPV58" s="53"/>
      <c r="BPW58" s="53"/>
      <c r="BPX58" s="53"/>
      <c r="BPY58" s="53"/>
      <c r="BPZ58" s="53"/>
      <c r="BQA58" s="53"/>
      <c r="BQB58" s="53"/>
      <c r="BQC58" s="53"/>
      <c r="BQD58" s="53"/>
      <c r="BQE58" s="53"/>
      <c r="BQF58" s="53"/>
      <c r="BQG58" s="53"/>
      <c r="BQH58" s="53"/>
      <c r="BQI58" s="53"/>
      <c r="BQJ58" s="53"/>
      <c r="BQK58" s="53"/>
      <c r="BQL58" s="53"/>
      <c r="BQM58" s="53"/>
      <c r="BQN58" s="53"/>
      <c r="BQO58" s="53"/>
      <c r="BQP58" s="53"/>
      <c r="BQQ58" s="53"/>
      <c r="BQR58" s="53"/>
      <c r="BQS58" s="53"/>
      <c r="BQT58" s="53"/>
      <c r="BQU58" s="53"/>
      <c r="BQV58" s="53"/>
      <c r="BQW58" s="53"/>
      <c r="BQX58" s="53"/>
      <c r="BQY58" s="53"/>
      <c r="BQZ58" s="53"/>
      <c r="BRA58" s="53"/>
      <c r="BRB58" s="53"/>
      <c r="BRC58" s="53"/>
      <c r="BRD58" s="53"/>
      <c r="BRE58" s="53"/>
      <c r="BRF58" s="53"/>
      <c r="BRG58" s="53"/>
      <c r="BRH58" s="53"/>
      <c r="BRI58" s="53"/>
      <c r="BRJ58" s="53"/>
      <c r="BRK58" s="53"/>
      <c r="BRL58" s="53"/>
      <c r="BRM58" s="53"/>
      <c r="BRN58" s="53"/>
      <c r="BRO58" s="53"/>
      <c r="BRP58" s="53"/>
      <c r="BRQ58" s="53"/>
      <c r="BRR58" s="53"/>
      <c r="BRS58" s="53"/>
      <c r="BRT58" s="53"/>
      <c r="BRU58" s="53"/>
      <c r="BRV58" s="53"/>
      <c r="BRW58" s="53"/>
      <c r="BRX58" s="53"/>
      <c r="BRY58" s="53"/>
      <c r="BRZ58" s="53"/>
      <c r="BSA58" s="53"/>
      <c r="BSB58" s="53"/>
      <c r="BSC58" s="53"/>
      <c r="BSD58" s="53"/>
      <c r="BSE58" s="53"/>
      <c r="BSF58" s="53"/>
      <c r="BSG58" s="53"/>
      <c r="BSH58" s="53"/>
      <c r="BSI58" s="53"/>
      <c r="BSJ58" s="53"/>
      <c r="BSK58" s="53"/>
      <c r="BSL58" s="53"/>
      <c r="BSM58" s="53"/>
      <c r="BSN58" s="53"/>
      <c r="BSO58" s="53"/>
      <c r="BSP58" s="53"/>
      <c r="BSQ58" s="53"/>
      <c r="BSR58" s="53"/>
      <c r="BSS58" s="53"/>
      <c r="BST58" s="53"/>
      <c r="BSU58" s="53"/>
      <c r="BSV58" s="53"/>
      <c r="BSW58" s="53"/>
      <c r="BSX58" s="53"/>
      <c r="BSY58" s="53"/>
      <c r="BSZ58" s="53"/>
      <c r="BTA58" s="53"/>
      <c r="BTB58" s="53"/>
      <c r="BTC58" s="53"/>
      <c r="BTD58" s="53"/>
      <c r="BTE58" s="53"/>
      <c r="BTF58" s="53"/>
      <c r="BTG58" s="53"/>
      <c r="BTH58" s="53"/>
      <c r="BTI58" s="53"/>
      <c r="BTJ58" s="53"/>
      <c r="BTK58" s="53"/>
      <c r="BTL58" s="53"/>
      <c r="BTM58" s="53"/>
      <c r="BTN58" s="53"/>
      <c r="BTO58" s="53"/>
      <c r="BTP58" s="53"/>
      <c r="BTQ58" s="53"/>
      <c r="BTR58" s="53"/>
      <c r="BTS58" s="53"/>
      <c r="BTT58" s="53"/>
      <c r="BTU58" s="53"/>
      <c r="BTV58" s="53"/>
      <c r="BTW58" s="53"/>
      <c r="BTX58" s="53"/>
      <c r="BTY58" s="53"/>
      <c r="BTZ58" s="53"/>
      <c r="BUA58" s="53"/>
      <c r="BUB58" s="53"/>
      <c r="BUC58" s="53"/>
      <c r="BUD58" s="53"/>
      <c r="BUE58" s="53"/>
      <c r="BUF58" s="53"/>
      <c r="BUG58" s="53"/>
      <c r="BUH58" s="53"/>
      <c r="BUI58" s="53"/>
      <c r="BUJ58" s="53"/>
      <c r="BUK58" s="53"/>
      <c r="BUL58" s="53"/>
      <c r="BUM58" s="53"/>
      <c r="BUN58" s="53"/>
      <c r="BUO58" s="53"/>
      <c r="BUP58" s="53"/>
      <c r="BUQ58" s="53"/>
      <c r="BUR58" s="53"/>
      <c r="BUS58" s="53"/>
      <c r="BUT58" s="53"/>
      <c r="BUU58" s="53"/>
      <c r="BUV58" s="53"/>
      <c r="BUW58" s="53"/>
      <c r="BUX58" s="53"/>
      <c r="BUY58" s="53"/>
      <c r="BUZ58" s="53"/>
      <c r="BVA58" s="53"/>
      <c r="BVB58" s="53"/>
      <c r="BVC58" s="53"/>
      <c r="BVD58" s="53"/>
      <c r="BVE58" s="53"/>
      <c r="BVF58" s="53"/>
      <c r="BVG58" s="53"/>
      <c r="BVH58" s="53"/>
      <c r="BVI58" s="53"/>
      <c r="BVJ58" s="53"/>
      <c r="BVK58" s="53"/>
      <c r="BVL58" s="53"/>
      <c r="BVM58" s="53"/>
      <c r="BVN58" s="53"/>
      <c r="BVO58" s="53"/>
      <c r="BVP58" s="53"/>
      <c r="BVQ58" s="53"/>
      <c r="BVR58" s="53"/>
      <c r="BVS58" s="53"/>
      <c r="BVT58" s="53"/>
      <c r="BVU58" s="53"/>
      <c r="BVV58" s="53"/>
      <c r="BVW58" s="53"/>
      <c r="BVX58" s="53"/>
      <c r="BVY58" s="53"/>
      <c r="BVZ58" s="53"/>
      <c r="BWA58" s="53"/>
      <c r="BWB58" s="53"/>
      <c r="BWC58" s="53"/>
      <c r="BWD58" s="53"/>
      <c r="BWE58" s="53"/>
      <c r="BWF58" s="53"/>
      <c r="BWG58" s="53"/>
      <c r="BWH58" s="53"/>
      <c r="BWI58" s="53"/>
      <c r="BWJ58" s="53"/>
      <c r="BWK58" s="53"/>
      <c r="BWL58" s="53"/>
      <c r="BWM58" s="53"/>
      <c r="BWN58" s="53"/>
      <c r="BWO58" s="53"/>
      <c r="BWP58" s="53"/>
      <c r="BWQ58" s="53"/>
      <c r="BWR58" s="53"/>
      <c r="BWS58" s="53"/>
      <c r="BWT58" s="53"/>
      <c r="BWU58" s="53"/>
      <c r="BWV58" s="53"/>
      <c r="BWW58" s="53"/>
      <c r="BWX58" s="53"/>
      <c r="BWY58" s="53"/>
      <c r="BWZ58" s="53"/>
      <c r="BXA58" s="53"/>
      <c r="BXB58" s="53"/>
      <c r="BXC58" s="53"/>
      <c r="BXD58" s="53"/>
      <c r="BXE58" s="53"/>
      <c r="BXF58" s="53"/>
      <c r="BXG58" s="53"/>
      <c r="BXH58" s="53"/>
      <c r="BXI58" s="53"/>
      <c r="BXJ58" s="53"/>
      <c r="BXK58" s="53"/>
      <c r="BXL58" s="53"/>
      <c r="BXM58" s="53"/>
      <c r="BXN58" s="53"/>
      <c r="BXO58" s="53"/>
      <c r="BXP58" s="53"/>
      <c r="BXQ58" s="53"/>
      <c r="BXR58" s="53"/>
      <c r="BXS58" s="53"/>
      <c r="BXT58" s="53"/>
      <c r="BXU58" s="53"/>
      <c r="BXV58" s="53"/>
      <c r="BXW58" s="53"/>
      <c r="BXX58" s="53"/>
      <c r="BXY58" s="53"/>
      <c r="BXZ58" s="53"/>
      <c r="BYA58" s="53"/>
      <c r="BYB58" s="53"/>
      <c r="BYC58" s="53"/>
      <c r="BYD58" s="53"/>
      <c r="BYE58" s="53"/>
      <c r="BYF58" s="53"/>
      <c r="BYG58" s="53"/>
      <c r="BYH58" s="53"/>
      <c r="BYI58" s="53"/>
      <c r="BYJ58" s="53"/>
      <c r="BYK58" s="53"/>
      <c r="BYL58" s="53"/>
      <c r="BYM58" s="53"/>
      <c r="BYN58" s="53"/>
      <c r="BYO58" s="53"/>
      <c r="BYP58" s="53"/>
      <c r="BYQ58" s="53"/>
      <c r="BYR58" s="53"/>
      <c r="BYS58" s="53"/>
      <c r="BYT58" s="53"/>
      <c r="BYU58" s="53"/>
      <c r="BYV58" s="53"/>
      <c r="BYW58" s="53"/>
      <c r="BYX58" s="53"/>
      <c r="BYY58" s="53"/>
      <c r="BYZ58" s="53"/>
      <c r="BZA58" s="53"/>
      <c r="BZB58" s="53"/>
      <c r="BZC58" s="53"/>
      <c r="BZD58" s="53"/>
      <c r="BZE58" s="53"/>
      <c r="BZF58" s="53"/>
      <c r="BZG58" s="53"/>
      <c r="BZH58" s="53"/>
      <c r="BZI58" s="53"/>
      <c r="BZJ58" s="53"/>
      <c r="BZK58" s="53"/>
      <c r="BZL58" s="53"/>
      <c r="BZM58" s="53"/>
      <c r="BZN58" s="53"/>
      <c r="BZO58" s="53"/>
      <c r="BZP58" s="53"/>
      <c r="BZQ58" s="53"/>
      <c r="BZR58" s="53"/>
      <c r="BZS58" s="53"/>
      <c r="BZT58" s="53"/>
      <c r="BZU58" s="53"/>
      <c r="BZV58" s="53"/>
      <c r="BZW58" s="53"/>
      <c r="BZX58" s="53"/>
      <c r="BZY58" s="53"/>
      <c r="BZZ58" s="53"/>
      <c r="CAA58" s="53"/>
      <c r="CAB58" s="53"/>
      <c r="CAC58" s="53"/>
      <c r="CAD58" s="53"/>
      <c r="CAE58" s="53"/>
      <c r="CAF58" s="53"/>
      <c r="CAG58" s="53"/>
      <c r="CAH58" s="53"/>
      <c r="CAI58" s="53"/>
      <c r="CAJ58" s="53"/>
      <c r="CAK58" s="53"/>
      <c r="CAL58" s="53"/>
      <c r="CAM58" s="53"/>
      <c r="CAN58" s="53"/>
      <c r="CAO58" s="53"/>
      <c r="CAP58" s="53"/>
      <c r="CAQ58" s="53"/>
      <c r="CAR58" s="53"/>
      <c r="CAS58" s="53"/>
      <c r="CAT58" s="53"/>
      <c r="CAU58" s="53"/>
      <c r="CAV58" s="53"/>
      <c r="CAW58" s="53"/>
      <c r="CAX58" s="53"/>
      <c r="CAY58" s="53"/>
      <c r="CAZ58" s="53"/>
      <c r="CBA58" s="53"/>
      <c r="CBB58" s="53"/>
      <c r="CBC58" s="53"/>
      <c r="CBD58" s="53"/>
      <c r="CBE58" s="53"/>
      <c r="CBF58" s="53"/>
      <c r="CBG58" s="53"/>
      <c r="CBH58" s="53"/>
      <c r="CBI58" s="53"/>
      <c r="CBJ58" s="53"/>
      <c r="CBK58" s="53"/>
      <c r="CBL58" s="53"/>
      <c r="CBM58" s="53"/>
      <c r="CBN58" s="53"/>
      <c r="CBO58" s="53"/>
      <c r="CBP58" s="53"/>
      <c r="CBQ58" s="53"/>
      <c r="CBR58" s="53"/>
      <c r="CBS58" s="53"/>
      <c r="CBT58" s="53"/>
      <c r="CBU58" s="53"/>
      <c r="CBV58" s="53"/>
      <c r="CBW58" s="53"/>
      <c r="CBX58" s="53"/>
      <c r="CBY58" s="53"/>
      <c r="CBZ58" s="53"/>
      <c r="CCA58" s="53"/>
      <c r="CCB58" s="53"/>
      <c r="CCC58" s="53"/>
      <c r="CCD58" s="53"/>
      <c r="CCE58" s="53"/>
      <c r="CCF58" s="53"/>
      <c r="CCG58" s="53"/>
      <c r="CCH58" s="53"/>
      <c r="CCI58" s="53"/>
      <c r="CCJ58" s="53"/>
      <c r="CCK58" s="53"/>
      <c r="CCL58" s="53"/>
      <c r="CCM58" s="53"/>
      <c r="CCN58" s="53"/>
      <c r="CCO58" s="53"/>
      <c r="CCP58" s="53"/>
      <c r="CCQ58" s="53"/>
      <c r="CCR58" s="53"/>
      <c r="CCS58" s="53"/>
      <c r="CCT58" s="53"/>
      <c r="CCU58" s="53"/>
      <c r="CCV58" s="53"/>
      <c r="CCW58" s="53"/>
      <c r="CCX58" s="53"/>
      <c r="CCY58" s="53"/>
      <c r="CCZ58" s="53"/>
      <c r="CDA58" s="53"/>
      <c r="CDB58" s="53"/>
      <c r="CDC58" s="53"/>
      <c r="CDD58" s="53"/>
      <c r="CDE58" s="53"/>
      <c r="CDF58" s="53"/>
      <c r="CDG58" s="53"/>
      <c r="CDH58" s="53"/>
      <c r="CDI58" s="53"/>
      <c r="CDJ58" s="53"/>
      <c r="CDK58" s="53"/>
      <c r="CDL58" s="53"/>
      <c r="CDM58" s="53"/>
      <c r="CDN58" s="53"/>
      <c r="CDO58" s="53"/>
      <c r="CDP58" s="53"/>
      <c r="CDQ58" s="53"/>
      <c r="CDR58" s="53"/>
      <c r="CDS58" s="53"/>
      <c r="CDT58" s="53"/>
      <c r="CDU58" s="53"/>
      <c r="CDV58" s="53"/>
      <c r="CDW58" s="53"/>
      <c r="CDX58" s="53"/>
      <c r="CDY58" s="53"/>
      <c r="CDZ58" s="53"/>
      <c r="CEA58" s="53"/>
      <c r="CEB58" s="53"/>
      <c r="CEC58" s="53"/>
      <c r="CED58" s="53"/>
      <c r="CEE58" s="53"/>
      <c r="CEF58" s="53"/>
      <c r="CEG58" s="53"/>
      <c r="CEH58" s="53"/>
      <c r="CEI58" s="53"/>
      <c r="CEJ58" s="53"/>
      <c r="CEK58" s="53"/>
      <c r="CEL58" s="53"/>
      <c r="CEM58" s="53"/>
      <c r="CEN58" s="53"/>
      <c r="CEO58" s="53"/>
      <c r="CEP58" s="53"/>
      <c r="CEQ58" s="53"/>
      <c r="CER58" s="53"/>
      <c r="CES58" s="53"/>
      <c r="CET58" s="53"/>
      <c r="CEU58" s="53"/>
      <c r="CEV58" s="53"/>
      <c r="CEW58" s="53"/>
      <c r="CEX58" s="53"/>
      <c r="CEY58" s="53"/>
      <c r="CEZ58" s="53"/>
      <c r="CFA58" s="53"/>
      <c r="CFB58" s="53"/>
      <c r="CFC58" s="53"/>
      <c r="CFD58" s="53"/>
      <c r="CFE58" s="53"/>
      <c r="CFF58" s="53"/>
      <c r="CFG58" s="53"/>
      <c r="CFH58" s="53"/>
      <c r="CFI58" s="53"/>
      <c r="CFJ58" s="53"/>
      <c r="CFK58" s="53"/>
      <c r="CFL58" s="53"/>
      <c r="CFM58" s="53"/>
      <c r="CFN58" s="53"/>
      <c r="CFO58" s="53"/>
      <c r="CFP58" s="53"/>
      <c r="CFQ58" s="53"/>
      <c r="CFR58" s="53"/>
      <c r="CFS58" s="53"/>
      <c r="CFT58" s="53"/>
      <c r="CFU58" s="53"/>
      <c r="CFV58" s="53"/>
      <c r="CFW58" s="53"/>
      <c r="CFX58" s="53"/>
      <c r="CFY58" s="53"/>
      <c r="CFZ58" s="53"/>
      <c r="CGA58" s="53"/>
      <c r="CGB58" s="53"/>
      <c r="CGC58" s="53"/>
      <c r="CGD58" s="53"/>
      <c r="CGE58" s="53"/>
      <c r="CGF58" s="53"/>
      <c r="CGG58" s="53"/>
      <c r="CGH58" s="53"/>
      <c r="CGI58" s="53"/>
      <c r="CGJ58" s="53"/>
      <c r="CGK58" s="53"/>
      <c r="CGL58" s="53"/>
      <c r="CGM58" s="53"/>
      <c r="CGN58" s="53"/>
      <c r="CGO58" s="53"/>
      <c r="CGP58" s="53"/>
      <c r="CGQ58" s="53"/>
      <c r="CGR58" s="53"/>
      <c r="CGS58" s="53"/>
      <c r="CGT58" s="53"/>
      <c r="CGU58" s="53"/>
      <c r="CGV58" s="53"/>
      <c r="CGW58" s="53"/>
      <c r="CGX58" s="53"/>
      <c r="CGY58" s="53"/>
      <c r="CGZ58" s="53"/>
      <c r="CHA58" s="53"/>
      <c r="CHB58" s="53"/>
      <c r="CHC58" s="53"/>
      <c r="CHD58" s="53"/>
      <c r="CHE58" s="53"/>
      <c r="CHF58" s="53"/>
      <c r="CHG58" s="53"/>
      <c r="CHH58" s="53"/>
      <c r="CHI58" s="53"/>
      <c r="CHJ58" s="53"/>
      <c r="CHK58" s="53"/>
      <c r="CHL58" s="53"/>
      <c r="CHM58" s="53"/>
      <c r="CHN58" s="53"/>
      <c r="CHO58" s="53"/>
      <c r="CHP58" s="53"/>
      <c r="CHQ58" s="53"/>
      <c r="CHR58" s="53"/>
      <c r="CHS58" s="53"/>
      <c r="CHT58" s="53"/>
      <c r="CHU58" s="53"/>
      <c r="CHV58" s="53"/>
      <c r="CHW58" s="53"/>
      <c r="CHX58" s="53"/>
      <c r="CHY58" s="53"/>
      <c r="CHZ58" s="53"/>
      <c r="CIA58" s="53"/>
      <c r="CIB58" s="53"/>
      <c r="CIC58" s="53"/>
      <c r="CID58" s="53"/>
      <c r="CIE58" s="53"/>
      <c r="CIF58" s="53"/>
      <c r="CIG58" s="53"/>
      <c r="CIH58" s="53"/>
      <c r="CII58" s="53"/>
      <c r="CIJ58" s="53"/>
      <c r="CIK58" s="53"/>
      <c r="CIL58" s="53"/>
      <c r="CIM58" s="53"/>
      <c r="CIN58" s="53"/>
      <c r="CIO58" s="53"/>
      <c r="CIP58" s="53"/>
      <c r="CIQ58" s="53"/>
      <c r="CIR58" s="53"/>
      <c r="CIS58" s="53"/>
      <c r="CIT58" s="53"/>
      <c r="CIU58" s="53"/>
      <c r="CIV58" s="53"/>
      <c r="CIW58" s="53"/>
      <c r="CIX58" s="53"/>
      <c r="CIY58" s="53"/>
      <c r="CIZ58" s="53"/>
      <c r="CJA58" s="53"/>
      <c r="CJB58" s="53"/>
      <c r="CJC58" s="53"/>
      <c r="CJD58" s="53"/>
      <c r="CJE58" s="53"/>
      <c r="CJF58" s="53"/>
      <c r="CJG58" s="53"/>
      <c r="CJH58" s="53"/>
      <c r="CJI58" s="53"/>
      <c r="CJJ58" s="53"/>
      <c r="CJK58" s="53"/>
      <c r="CJL58" s="53"/>
      <c r="CJM58" s="53"/>
      <c r="CJN58" s="53"/>
      <c r="CJO58" s="53"/>
      <c r="CJP58" s="53"/>
      <c r="CJQ58" s="53"/>
      <c r="CJR58" s="53"/>
      <c r="CJS58" s="53"/>
      <c r="CJT58" s="53"/>
      <c r="CJU58" s="53"/>
      <c r="CJV58" s="53"/>
      <c r="CJW58" s="53"/>
      <c r="CJX58" s="53"/>
      <c r="CJY58" s="53"/>
      <c r="CJZ58" s="53"/>
      <c r="CKA58" s="53"/>
      <c r="CKB58" s="53"/>
      <c r="CKC58" s="53"/>
      <c r="CKD58" s="53"/>
      <c r="CKE58" s="53"/>
      <c r="CKF58" s="53"/>
      <c r="CKG58" s="53"/>
      <c r="CKH58" s="53"/>
      <c r="CKI58" s="53"/>
      <c r="CKJ58" s="53"/>
      <c r="CKK58" s="53"/>
      <c r="CKL58" s="53"/>
      <c r="CKM58" s="53"/>
      <c r="CKN58" s="53"/>
      <c r="CKO58" s="53"/>
      <c r="CKP58" s="53"/>
      <c r="CKQ58" s="53"/>
      <c r="CKR58" s="53"/>
      <c r="CKS58" s="53"/>
      <c r="CKT58" s="53"/>
      <c r="CKU58" s="53"/>
      <c r="CKV58" s="53"/>
      <c r="CKW58" s="53"/>
      <c r="CKX58" s="53"/>
      <c r="CKY58" s="53"/>
      <c r="CKZ58" s="53"/>
      <c r="CLA58" s="53"/>
      <c r="CLB58" s="53"/>
      <c r="CLC58" s="53"/>
      <c r="CLD58" s="53"/>
      <c r="CLE58" s="53"/>
      <c r="CLF58" s="53"/>
      <c r="CLG58" s="53"/>
      <c r="CLH58" s="53"/>
      <c r="CLI58" s="53"/>
      <c r="CLJ58" s="53"/>
      <c r="CLK58" s="53"/>
      <c r="CLL58" s="53"/>
      <c r="CLM58" s="53"/>
      <c r="CLN58" s="53"/>
      <c r="CLO58" s="53"/>
      <c r="CLP58" s="53"/>
      <c r="CLQ58" s="53"/>
      <c r="CLR58" s="53"/>
      <c r="CLS58" s="53"/>
      <c r="CLT58" s="53"/>
      <c r="CLU58" s="53"/>
      <c r="CLV58" s="53"/>
      <c r="CLW58" s="53"/>
      <c r="CLX58" s="53"/>
      <c r="CLY58" s="53"/>
      <c r="CLZ58" s="53"/>
      <c r="CMA58" s="53"/>
      <c r="CMB58" s="53"/>
      <c r="CMC58" s="53"/>
      <c r="CMD58" s="53"/>
      <c r="CME58" s="53"/>
      <c r="CMF58" s="53"/>
      <c r="CMG58" s="53"/>
      <c r="CMH58" s="53"/>
      <c r="CMI58" s="53"/>
      <c r="CMJ58" s="53"/>
      <c r="CMK58" s="53"/>
      <c r="CML58" s="53"/>
      <c r="CMM58" s="53"/>
      <c r="CMN58" s="53"/>
      <c r="CMO58" s="53"/>
      <c r="CMP58" s="53"/>
      <c r="CMQ58" s="53"/>
      <c r="CMR58" s="53"/>
      <c r="CMS58" s="53"/>
      <c r="CMT58" s="53"/>
      <c r="CMU58" s="53"/>
      <c r="CMV58" s="53"/>
      <c r="CMW58" s="53"/>
      <c r="CMX58" s="53"/>
      <c r="CMY58" s="53"/>
      <c r="CMZ58" s="53"/>
      <c r="CNA58" s="53"/>
      <c r="CNB58" s="53"/>
      <c r="CNC58" s="53"/>
      <c r="CND58" s="53"/>
      <c r="CNE58" s="53"/>
      <c r="CNF58" s="53"/>
      <c r="CNG58" s="53"/>
      <c r="CNH58" s="53"/>
      <c r="CNI58" s="53"/>
      <c r="CNJ58" s="53"/>
      <c r="CNK58" s="53"/>
      <c r="CNL58" s="53"/>
      <c r="CNM58" s="53"/>
      <c r="CNN58" s="53"/>
      <c r="CNO58" s="53"/>
      <c r="CNP58" s="53"/>
      <c r="CNQ58" s="53"/>
      <c r="CNR58" s="53"/>
      <c r="CNS58" s="53"/>
      <c r="CNT58" s="53"/>
      <c r="CNU58" s="53"/>
      <c r="CNV58" s="53"/>
      <c r="CNW58" s="53"/>
      <c r="CNX58" s="53"/>
      <c r="CNY58" s="53"/>
      <c r="CNZ58" s="53"/>
      <c r="COA58" s="53"/>
      <c r="COB58" s="53"/>
      <c r="COC58" s="53"/>
      <c r="COD58" s="53"/>
      <c r="COE58" s="53"/>
      <c r="COF58" s="53"/>
      <c r="COG58" s="53"/>
      <c r="COH58" s="53"/>
      <c r="COI58" s="53"/>
      <c r="COJ58" s="53"/>
      <c r="COK58" s="53"/>
      <c r="COL58" s="53"/>
      <c r="COM58" s="53"/>
      <c r="CON58" s="53"/>
      <c r="COO58" s="53"/>
      <c r="COP58" s="53"/>
      <c r="COQ58" s="53"/>
      <c r="COR58" s="53"/>
      <c r="COS58" s="53"/>
      <c r="COT58" s="53"/>
      <c r="COU58" s="53"/>
      <c r="COV58" s="53"/>
      <c r="COW58" s="53"/>
      <c r="COX58" s="53"/>
      <c r="COY58" s="53"/>
      <c r="COZ58" s="53"/>
      <c r="CPA58" s="53"/>
      <c r="CPB58" s="53"/>
      <c r="CPC58" s="53"/>
      <c r="CPD58" s="53"/>
      <c r="CPE58" s="53"/>
      <c r="CPF58" s="53"/>
      <c r="CPG58" s="53"/>
      <c r="CPH58" s="53"/>
      <c r="CPI58" s="53"/>
      <c r="CPJ58" s="53"/>
      <c r="CPK58" s="53"/>
      <c r="CPL58" s="53"/>
      <c r="CPM58" s="53"/>
      <c r="CPN58" s="53"/>
      <c r="CPO58" s="53"/>
      <c r="CPP58" s="53"/>
      <c r="CPQ58" s="53"/>
      <c r="CPR58" s="53"/>
      <c r="CPS58" s="53"/>
      <c r="CPT58" s="53"/>
      <c r="CPU58" s="53"/>
      <c r="CPV58" s="53"/>
      <c r="CPW58" s="53"/>
      <c r="CPX58" s="53"/>
      <c r="CPY58" s="53"/>
      <c r="CPZ58" s="53"/>
      <c r="CQA58" s="53"/>
      <c r="CQB58" s="53"/>
      <c r="CQC58" s="53"/>
      <c r="CQD58" s="53"/>
      <c r="CQE58" s="53"/>
      <c r="CQF58" s="53"/>
      <c r="CQG58" s="53"/>
      <c r="CQH58" s="53"/>
      <c r="CQI58" s="53"/>
      <c r="CQJ58" s="53"/>
      <c r="CQK58" s="53"/>
      <c r="CQL58" s="53"/>
      <c r="CQM58" s="53"/>
      <c r="CQN58" s="53"/>
      <c r="CQO58" s="53"/>
      <c r="CQP58" s="53"/>
      <c r="CQQ58" s="53"/>
      <c r="CQR58" s="53"/>
      <c r="CQS58" s="53"/>
      <c r="CQT58" s="53"/>
      <c r="CQU58" s="53"/>
      <c r="CQV58" s="53"/>
      <c r="CQW58" s="53"/>
      <c r="CQX58" s="53"/>
      <c r="CQY58" s="53"/>
      <c r="CQZ58" s="53"/>
      <c r="CRA58" s="53"/>
      <c r="CRB58" s="53"/>
      <c r="CRC58" s="53"/>
      <c r="CRD58" s="53"/>
      <c r="CRE58" s="53"/>
      <c r="CRF58" s="53"/>
      <c r="CRG58" s="53"/>
      <c r="CRH58" s="53"/>
      <c r="CRI58" s="53"/>
      <c r="CRJ58" s="53"/>
      <c r="CRK58" s="53"/>
      <c r="CRL58" s="53"/>
      <c r="CRM58" s="53"/>
      <c r="CRN58" s="53"/>
      <c r="CRO58" s="53"/>
      <c r="CRP58" s="53"/>
      <c r="CRQ58" s="53"/>
      <c r="CRR58" s="53"/>
      <c r="CRS58" s="53"/>
      <c r="CRT58" s="53"/>
      <c r="CRU58" s="53"/>
      <c r="CRV58" s="53"/>
      <c r="CRW58" s="53"/>
      <c r="CRX58" s="53"/>
      <c r="CRY58" s="53"/>
      <c r="CRZ58" s="53"/>
      <c r="CSA58" s="53"/>
      <c r="CSB58" s="53"/>
      <c r="CSC58" s="53"/>
      <c r="CSD58" s="53"/>
      <c r="CSE58" s="53"/>
      <c r="CSF58" s="53"/>
      <c r="CSG58" s="53"/>
      <c r="CSH58" s="53"/>
      <c r="CSI58" s="53"/>
      <c r="CSJ58" s="53"/>
      <c r="CSK58" s="53"/>
      <c r="CSL58" s="53"/>
      <c r="CSM58" s="53"/>
      <c r="CSN58" s="53"/>
      <c r="CSO58" s="53"/>
      <c r="CSP58" s="53"/>
      <c r="CSQ58" s="53"/>
      <c r="CSR58" s="53"/>
      <c r="CSS58" s="53"/>
      <c r="CST58" s="53"/>
      <c r="CSU58" s="53"/>
      <c r="CSV58" s="53"/>
      <c r="CSW58" s="53"/>
      <c r="CSX58" s="53"/>
      <c r="CSY58" s="53"/>
      <c r="CSZ58" s="53"/>
      <c r="CTA58" s="53"/>
      <c r="CTB58" s="53"/>
      <c r="CTC58" s="53"/>
      <c r="CTD58" s="53"/>
      <c r="CTE58" s="53"/>
      <c r="CTF58" s="53"/>
      <c r="CTG58" s="53"/>
      <c r="CTH58" s="53"/>
      <c r="CTI58" s="53"/>
      <c r="CTJ58" s="53"/>
      <c r="CTK58" s="53"/>
      <c r="CTL58" s="53"/>
      <c r="CTM58" s="53"/>
      <c r="CTN58" s="53"/>
      <c r="CTO58" s="53"/>
      <c r="CTP58" s="53"/>
      <c r="CTQ58" s="53"/>
      <c r="CTR58" s="53"/>
      <c r="CTS58" s="53"/>
      <c r="CTT58" s="53"/>
      <c r="CTU58" s="53"/>
      <c r="CTV58" s="53"/>
      <c r="CTW58" s="53"/>
      <c r="CTX58" s="53"/>
      <c r="CTY58" s="53"/>
      <c r="CTZ58" s="53"/>
      <c r="CUA58" s="53"/>
      <c r="CUB58" s="53"/>
      <c r="CUC58" s="53"/>
      <c r="CUD58" s="53"/>
      <c r="CUE58" s="53"/>
      <c r="CUF58" s="53"/>
      <c r="CUG58" s="53"/>
      <c r="CUH58" s="53"/>
      <c r="CUI58" s="53"/>
      <c r="CUJ58" s="53"/>
      <c r="CUK58" s="53"/>
      <c r="CUL58" s="53"/>
      <c r="CUM58" s="53"/>
      <c r="CUN58" s="53"/>
      <c r="CUO58" s="53"/>
      <c r="CUP58" s="53"/>
      <c r="CUQ58" s="53"/>
      <c r="CUR58" s="53"/>
      <c r="CUS58" s="53"/>
      <c r="CUT58" s="53"/>
      <c r="CUU58" s="53"/>
      <c r="CUV58" s="53"/>
      <c r="CUW58" s="53"/>
      <c r="CUX58" s="53"/>
      <c r="CUY58" s="53"/>
      <c r="CUZ58" s="53"/>
      <c r="CVA58" s="53"/>
      <c r="CVB58" s="53"/>
      <c r="CVC58" s="53"/>
      <c r="CVD58" s="53"/>
      <c r="CVE58" s="53"/>
      <c r="CVF58" s="53"/>
      <c r="CVG58" s="53"/>
      <c r="CVH58" s="53"/>
      <c r="CVI58" s="53"/>
      <c r="CVJ58" s="53"/>
      <c r="CVK58" s="53"/>
      <c r="CVL58" s="53"/>
      <c r="CVM58" s="53"/>
      <c r="CVN58" s="53"/>
      <c r="CVO58" s="53"/>
      <c r="CVP58" s="53"/>
      <c r="CVQ58" s="53"/>
      <c r="CVR58" s="53"/>
      <c r="CVS58" s="53"/>
      <c r="CVT58" s="53"/>
      <c r="CVU58" s="53"/>
      <c r="CVV58" s="53"/>
      <c r="CVW58" s="53"/>
      <c r="CVX58" s="53"/>
      <c r="CVY58" s="53"/>
      <c r="CVZ58" s="53"/>
      <c r="CWA58" s="53"/>
      <c r="CWB58" s="53"/>
      <c r="CWC58" s="53"/>
      <c r="CWD58" s="53"/>
      <c r="CWE58" s="53"/>
      <c r="CWF58" s="53"/>
      <c r="CWG58" s="53"/>
      <c r="CWH58" s="53"/>
      <c r="CWI58" s="53"/>
      <c r="CWJ58" s="53"/>
      <c r="CWK58" s="53"/>
      <c r="CWL58" s="53"/>
      <c r="CWM58" s="53"/>
      <c r="CWN58" s="53"/>
      <c r="CWO58" s="53"/>
      <c r="CWP58" s="53"/>
      <c r="CWQ58" s="53"/>
      <c r="CWR58" s="53"/>
      <c r="CWS58" s="53"/>
      <c r="CWT58" s="53"/>
      <c r="CWU58" s="53"/>
      <c r="CWV58" s="53"/>
      <c r="CWW58" s="53"/>
      <c r="CWX58" s="53"/>
      <c r="CWY58" s="53"/>
      <c r="CWZ58" s="53"/>
      <c r="CXA58" s="53"/>
      <c r="CXB58" s="53"/>
      <c r="CXC58" s="53"/>
      <c r="CXD58" s="53"/>
      <c r="CXE58" s="53"/>
      <c r="CXF58" s="53"/>
      <c r="CXG58" s="53"/>
      <c r="CXH58" s="53"/>
      <c r="CXI58" s="53"/>
      <c r="CXJ58" s="53"/>
      <c r="CXK58" s="53"/>
      <c r="CXL58" s="53"/>
      <c r="CXM58" s="53"/>
      <c r="CXN58" s="53"/>
      <c r="CXO58" s="53"/>
      <c r="CXP58" s="53"/>
      <c r="CXQ58" s="53"/>
      <c r="CXR58" s="53"/>
      <c r="CXS58" s="53"/>
      <c r="CXT58" s="53"/>
      <c r="CXU58" s="53"/>
      <c r="CXV58" s="53"/>
      <c r="CXW58" s="53"/>
      <c r="CXX58" s="53"/>
      <c r="CXY58" s="53"/>
      <c r="CXZ58" s="53"/>
      <c r="CYA58" s="53"/>
      <c r="CYB58" s="53"/>
      <c r="CYC58" s="53"/>
      <c r="CYD58" s="53"/>
      <c r="CYE58" s="53"/>
      <c r="CYF58" s="53"/>
      <c r="CYG58" s="53"/>
      <c r="CYH58" s="53"/>
      <c r="CYI58" s="53"/>
      <c r="CYJ58" s="53"/>
      <c r="CYK58" s="53"/>
      <c r="CYL58" s="53"/>
      <c r="CYM58" s="53"/>
      <c r="CYN58" s="53"/>
      <c r="CYO58" s="53"/>
      <c r="CYP58" s="53"/>
      <c r="CYQ58" s="53"/>
      <c r="CYR58" s="53"/>
      <c r="CYS58" s="53"/>
      <c r="CYT58" s="53"/>
      <c r="CYU58" s="53"/>
      <c r="CYV58" s="53"/>
      <c r="CYW58" s="53"/>
      <c r="CYX58" s="53"/>
      <c r="CYY58" s="53"/>
      <c r="CYZ58" s="53"/>
      <c r="CZA58" s="53"/>
      <c r="CZB58" s="53"/>
      <c r="CZC58" s="53"/>
      <c r="CZD58" s="53"/>
      <c r="CZE58" s="53"/>
      <c r="CZF58" s="53"/>
      <c r="CZG58" s="53"/>
      <c r="CZH58" s="53"/>
      <c r="CZI58" s="53"/>
      <c r="CZJ58" s="53"/>
      <c r="CZK58" s="53"/>
      <c r="CZL58" s="53"/>
      <c r="CZM58" s="53"/>
      <c r="CZN58" s="53"/>
      <c r="CZO58" s="53"/>
      <c r="CZP58" s="53"/>
      <c r="CZQ58" s="53"/>
      <c r="CZR58" s="53"/>
      <c r="CZS58" s="53"/>
      <c r="CZT58" s="53"/>
      <c r="CZU58" s="53"/>
      <c r="CZV58" s="53"/>
      <c r="CZW58" s="53"/>
      <c r="CZX58" s="53"/>
      <c r="CZY58" s="53"/>
      <c r="CZZ58" s="53"/>
      <c r="DAA58" s="53"/>
      <c r="DAB58" s="53"/>
      <c r="DAC58" s="53"/>
      <c r="DAD58" s="53"/>
      <c r="DAE58" s="53"/>
      <c r="DAF58" s="53"/>
      <c r="DAG58" s="53"/>
      <c r="DAH58" s="53"/>
      <c r="DAI58" s="53"/>
      <c r="DAJ58" s="53"/>
      <c r="DAK58" s="53"/>
      <c r="DAL58" s="53"/>
      <c r="DAM58" s="53"/>
      <c r="DAN58" s="53"/>
      <c r="DAO58" s="53"/>
      <c r="DAP58" s="53"/>
      <c r="DAQ58" s="53"/>
      <c r="DAR58" s="53"/>
      <c r="DAS58" s="53"/>
      <c r="DAT58" s="53"/>
      <c r="DAU58" s="53"/>
      <c r="DAV58" s="53"/>
      <c r="DAW58" s="53"/>
      <c r="DAX58" s="53"/>
      <c r="DAY58" s="53"/>
      <c r="DAZ58" s="53"/>
      <c r="DBA58" s="53"/>
      <c r="DBB58" s="53"/>
      <c r="DBC58" s="53"/>
      <c r="DBD58" s="53"/>
      <c r="DBE58" s="53"/>
      <c r="DBF58" s="53"/>
      <c r="DBG58" s="53"/>
      <c r="DBH58" s="53"/>
      <c r="DBI58" s="53"/>
      <c r="DBJ58" s="53"/>
      <c r="DBK58" s="53"/>
      <c r="DBL58" s="53"/>
      <c r="DBM58" s="53"/>
      <c r="DBN58" s="53"/>
      <c r="DBO58" s="53"/>
      <c r="DBP58" s="53"/>
      <c r="DBQ58" s="53"/>
      <c r="DBR58" s="53"/>
      <c r="DBS58" s="53"/>
      <c r="DBT58" s="53"/>
      <c r="DBU58" s="53"/>
      <c r="DBV58" s="53"/>
      <c r="DBW58" s="53"/>
      <c r="DBX58" s="53"/>
      <c r="DBY58" s="53"/>
      <c r="DBZ58" s="53"/>
      <c r="DCA58" s="53"/>
      <c r="DCB58" s="53"/>
      <c r="DCC58" s="53"/>
      <c r="DCD58" s="53"/>
      <c r="DCE58" s="53"/>
      <c r="DCF58" s="53"/>
      <c r="DCG58" s="53"/>
      <c r="DCH58" s="53"/>
      <c r="DCI58" s="53"/>
      <c r="DCJ58" s="53"/>
      <c r="DCK58" s="53"/>
      <c r="DCL58" s="53"/>
      <c r="DCM58" s="53"/>
      <c r="DCN58" s="53"/>
      <c r="DCO58" s="53"/>
      <c r="DCP58" s="53"/>
      <c r="DCQ58" s="53"/>
      <c r="DCR58" s="53"/>
      <c r="DCS58" s="53"/>
      <c r="DCT58" s="53"/>
      <c r="DCU58" s="53"/>
      <c r="DCV58" s="53"/>
      <c r="DCW58" s="53"/>
      <c r="DCX58" s="53"/>
      <c r="DCY58" s="53"/>
      <c r="DCZ58" s="53"/>
      <c r="DDA58" s="53"/>
      <c r="DDB58" s="53"/>
      <c r="DDC58" s="53"/>
      <c r="DDD58" s="53"/>
      <c r="DDE58" s="53"/>
      <c r="DDF58" s="53"/>
      <c r="DDG58" s="53"/>
      <c r="DDH58" s="53"/>
      <c r="DDI58" s="53"/>
      <c r="DDJ58" s="53"/>
      <c r="DDK58" s="53"/>
      <c r="DDL58" s="53"/>
      <c r="DDM58" s="53"/>
      <c r="DDN58" s="53"/>
      <c r="DDO58" s="53"/>
      <c r="DDP58" s="53"/>
      <c r="DDQ58" s="53"/>
      <c r="DDR58" s="53"/>
      <c r="DDS58" s="53"/>
      <c r="DDT58" s="53"/>
      <c r="DDU58" s="53"/>
      <c r="DDV58" s="53"/>
      <c r="DDW58" s="53"/>
      <c r="DDX58" s="53"/>
      <c r="DDY58" s="53"/>
      <c r="DDZ58" s="53"/>
      <c r="DEA58" s="53"/>
      <c r="DEB58" s="53"/>
      <c r="DEC58" s="53"/>
      <c r="DED58" s="53"/>
      <c r="DEE58" s="53"/>
      <c r="DEF58" s="53"/>
      <c r="DEG58" s="53"/>
      <c r="DEH58" s="53"/>
      <c r="DEI58" s="53"/>
      <c r="DEJ58" s="53"/>
      <c r="DEK58" s="53"/>
      <c r="DEL58" s="53"/>
      <c r="DEM58" s="53"/>
      <c r="DEN58" s="53"/>
      <c r="DEO58" s="53"/>
      <c r="DEP58" s="53"/>
      <c r="DEQ58" s="53"/>
      <c r="DER58" s="53"/>
      <c r="DES58" s="53"/>
      <c r="DET58" s="53"/>
      <c r="DEU58" s="53"/>
      <c r="DEV58" s="53"/>
      <c r="DEW58" s="53"/>
      <c r="DEX58" s="53"/>
      <c r="DEY58" s="53"/>
      <c r="DEZ58" s="53"/>
      <c r="DFA58" s="53"/>
      <c r="DFB58" s="53"/>
      <c r="DFC58" s="53"/>
      <c r="DFD58" s="53"/>
      <c r="DFE58" s="53"/>
      <c r="DFF58" s="53"/>
      <c r="DFG58" s="53"/>
      <c r="DFH58" s="53"/>
      <c r="DFI58" s="53"/>
      <c r="DFJ58" s="53"/>
      <c r="DFK58" s="53"/>
      <c r="DFL58" s="53"/>
      <c r="DFM58" s="53"/>
      <c r="DFN58" s="53"/>
      <c r="DFO58" s="53"/>
      <c r="DFP58" s="53"/>
      <c r="DFQ58" s="53"/>
      <c r="DFR58" s="53"/>
      <c r="DFS58" s="53"/>
      <c r="DFT58" s="53"/>
      <c r="DFU58" s="53"/>
      <c r="DFV58" s="53"/>
      <c r="DFW58" s="53"/>
      <c r="DFX58" s="53"/>
      <c r="DFY58" s="53"/>
      <c r="DFZ58" s="53"/>
      <c r="DGA58" s="53"/>
      <c r="DGB58" s="53"/>
      <c r="DGC58" s="53"/>
      <c r="DGD58" s="53"/>
      <c r="DGE58" s="53"/>
      <c r="DGF58" s="53"/>
      <c r="DGG58" s="53"/>
      <c r="DGH58" s="53"/>
      <c r="DGI58" s="53"/>
      <c r="DGJ58" s="53"/>
      <c r="DGK58" s="53"/>
      <c r="DGL58" s="53"/>
      <c r="DGM58" s="53"/>
      <c r="DGN58" s="53"/>
      <c r="DGO58" s="53"/>
      <c r="DGP58" s="53"/>
      <c r="DGQ58" s="53"/>
      <c r="DGR58" s="53"/>
      <c r="DGS58" s="53"/>
      <c r="DGT58" s="53"/>
      <c r="DGU58" s="53"/>
      <c r="DGV58" s="53"/>
      <c r="DGW58" s="53"/>
      <c r="DGX58" s="53"/>
      <c r="DGY58" s="53"/>
      <c r="DGZ58" s="53"/>
      <c r="DHA58" s="53"/>
      <c r="DHB58" s="53"/>
      <c r="DHC58" s="53"/>
      <c r="DHD58" s="53"/>
      <c r="DHE58" s="53"/>
      <c r="DHF58" s="53"/>
      <c r="DHG58" s="53"/>
      <c r="DHH58" s="53"/>
      <c r="DHI58" s="53"/>
      <c r="DHJ58" s="53"/>
      <c r="DHK58" s="53"/>
      <c r="DHL58" s="53"/>
      <c r="DHM58" s="53"/>
      <c r="DHN58" s="53"/>
      <c r="DHO58" s="53"/>
      <c r="DHP58" s="53"/>
      <c r="DHQ58" s="53"/>
      <c r="DHR58" s="53"/>
      <c r="DHS58" s="53"/>
      <c r="DHT58" s="53"/>
      <c r="DHU58" s="53"/>
      <c r="DHV58" s="53"/>
      <c r="DHW58" s="53"/>
      <c r="DHX58" s="53"/>
      <c r="DHY58" s="53"/>
      <c r="DHZ58" s="53"/>
      <c r="DIA58" s="53"/>
      <c r="DIB58" s="53"/>
      <c r="DIC58" s="53"/>
      <c r="DID58" s="53"/>
      <c r="DIE58" s="53"/>
      <c r="DIF58" s="53"/>
      <c r="DIG58" s="53"/>
      <c r="DIH58" s="53"/>
      <c r="DII58" s="53"/>
      <c r="DIJ58" s="53"/>
      <c r="DIK58" s="53"/>
      <c r="DIL58" s="53"/>
      <c r="DIM58" s="53"/>
      <c r="DIN58" s="53"/>
      <c r="DIO58" s="53"/>
      <c r="DIP58" s="53"/>
      <c r="DIQ58" s="53"/>
      <c r="DIR58" s="53"/>
      <c r="DIS58" s="53"/>
      <c r="DIT58" s="53"/>
      <c r="DIU58" s="53"/>
      <c r="DIV58" s="53"/>
      <c r="DIW58" s="53"/>
      <c r="DIX58" s="53"/>
      <c r="DIY58" s="53"/>
      <c r="DIZ58" s="53"/>
      <c r="DJA58" s="53"/>
      <c r="DJB58" s="53"/>
      <c r="DJC58" s="53"/>
      <c r="DJD58" s="53"/>
      <c r="DJE58" s="53"/>
      <c r="DJF58" s="53"/>
      <c r="DJG58" s="53"/>
      <c r="DJH58" s="53"/>
      <c r="DJI58" s="53"/>
      <c r="DJJ58" s="53"/>
      <c r="DJK58" s="53"/>
      <c r="DJL58" s="53"/>
      <c r="DJM58" s="53"/>
      <c r="DJN58" s="53"/>
      <c r="DJO58" s="53"/>
      <c r="DJP58" s="53"/>
      <c r="DJQ58" s="53"/>
      <c r="DJR58" s="53"/>
      <c r="DJS58" s="53"/>
      <c r="DJT58" s="53"/>
      <c r="DJU58" s="53"/>
      <c r="DJV58" s="53"/>
      <c r="DJW58" s="53"/>
      <c r="DJX58" s="53"/>
      <c r="DJY58" s="53"/>
      <c r="DJZ58" s="53"/>
      <c r="DKA58" s="53"/>
      <c r="DKB58" s="53"/>
      <c r="DKC58" s="53"/>
      <c r="DKD58" s="53"/>
      <c r="DKE58" s="53"/>
      <c r="DKF58" s="53"/>
      <c r="DKG58" s="53"/>
      <c r="DKH58" s="53"/>
      <c r="DKI58" s="53"/>
      <c r="DKJ58" s="53"/>
      <c r="DKK58" s="53"/>
      <c r="DKL58" s="53"/>
      <c r="DKM58" s="53"/>
      <c r="DKN58" s="53"/>
      <c r="DKO58" s="53"/>
      <c r="DKP58" s="53"/>
      <c r="DKQ58" s="53"/>
      <c r="DKR58" s="53"/>
      <c r="DKS58" s="53"/>
      <c r="DKT58" s="53"/>
      <c r="DKU58" s="53"/>
      <c r="DKV58" s="53"/>
      <c r="DKW58" s="53"/>
      <c r="DKX58" s="53"/>
      <c r="DKY58" s="53"/>
      <c r="DKZ58" s="53"/>
      <c r="DLA58" s="53"/>
      <c r="DLB58" s="53"/>
      <c r="DLC58" s="53"/>
      <c r="DLD58" s="53"/>
      <c r="DLE58" s="53"/>
      <c r="DLF58" s="53"/>
      <c r="DLG58" s="53"/>
      <c r="DLH58" s="53"/>
      <c r="DLI58" s="53"/>
      <c r="DLJ58" s="53"/>
      <c r="DLK58" s="53"/>
      <c r="DLL58" s="53"/>
      <c r="DLM58" s="53"/>
      <c r="DLN58" s="53"/>
      <c r="DLO58" s="53"/>
      <c r="DLP58" s="53"/>
      <c r="DLQ58" s="53"/>
      <c r="DLR58" s="53"/>
      <c r="DLS58" s="53"/>
      <c r="DLT58" s="53"/>
      <c r="DLU58" s="53"/>
      <c r="DLV58" s="53"/>
      <c r="DLW58" s="53"/>
      <c r="DLX58" s="53"/>
      <c r="DLY58" s="53"/>
      <c r="DLZ58" s="53"/>
      <c r="DMA58" s="53"/>
      <c r="DMB58" s="53"/>
      <c r="DMC58" s="53"/>
      <c r="DMD58" s="53"/>
      <c r="DME58" s="53"/>
      <c r="DMF58" s="53"/>
      <c r="DMG58" s="53"/>
      <c r="DMH58" s="53"/>
      <c r="DMI58" s="53"/>
      <c r="DMJ58" s="53"/>
      <c r="DMK58" s="53"/>
      <c r="DML58" s="53"/>
      <c r="DMM58" s="53"/>
      <c r="DMN58" s="53"/>
      <c r="DMO58" s="53"/>
      <c r="DMP58" s="53"/>
      <c r="DMQ58" s="53"/>
      <c r="DMR58" s="53"/>
      <c r="DMS58" s="53"/>
      <c r="DMT58" s="53"/>
      <c r="DMU58" s="53"/>
      <c r="DMV58" s="53"/>
      <c r="DMW58" s="53"/>
      <c r="DMX58" s="53"/>
      <c r="DMY58" s="53"/>
      <c r="DMZ58" s="53"/>
      <c r="DNA58" s="53"/>
      <c r="DNB58" s="53"/>
      <c r="DNC58" s="53"/>
      <c r="DND58" s="53"/>
      <c r="DNE58" s="53"/>
      <c r="DNF58" s="53"/>
      <c r="DNG58" s="53"/>
      <c r="DNH58" s="53"/>
      <c r="DNI58" s="53"/>
      <c r="DNJ58" s="53"/>
      <c r="DNK58" s="53"/>
      <c r="DNL58" s="53"/>
      <c r="DNM58" s="53"/>
      <c r="DNN58" s="53"/>
      <c r="DNO58" s="53"/>
      <c r="DNP58" s="53"/>
      <c r="DNQ58" s="53"/>
      <c r="DNR58" s="53"/>
      <c r="DNS58" s="53"/>
      <c r="DNT58" s="53"/>
      <c r="DNU58" s="53"/>
      <c r="DNV58" s="53"/>
      <c r="DNW58" s="53"/>
      <c r="DNX58" s="53"/>
      <c r="DNY58" s="53"/>
      <c r="DNZ58" s="53"/>
      <c r="DOA58" s="53"/>
      <c r="DOB58" s="53"/>
      <c r="DOC58" s="53"/>
      <c r="DOD58" s="53"/>
      <c r="DOE58" s="53"/>
      <c r="DOF58" s="53"/>
      <c r="DOG58" s="53"/>
      <c r="DOH58" s="53"/>
      <c r="DOI58" s="53"/>
      <c r="DOJ58" s="53"/>
      <c r="DOK58" s="53"/>
      <c r="DOL58" s="53"/>
      <c r="DOM58" s="53"/>
      <c r="DON58" s="53"/>
      <c r="DOO58" s="53"/>
      <c r="DOP58" s="53"/>
      <c r="DOQ58" s="53"/>
      <c r="DOR58" s="53"/>
      <c r="DOS58" s="53"/>
      <c r="DOT58" s="53"/>
      <c r="DOU58" s="53"/>
      <c r="DOV58" s="53"/>
      <c r="DOW58" s="53"/>
      <c r="DOX58" s="53"/>
      <c r="DOY58" s="53"/>
      <c r="DOZ58" s="53"/>
      <c r="DPA58" s="53"/>
      <c r="DPB58" s="53"/>
      <c r="DPC58" s="53"/>
      <c r="DPD58" s="53"/>
      <c r="DPE58" s="53"/>
      <c r="DPF58" s="53"/>
      <c r="DPG58" s="53"/>
      <c r="DPH58" s="53"/>
      <c r="DPI58" s="53"/>
      <c r="DPJ58" s="53"/>
      <c r="DPK58" s="53"/>
      <c r="DPL58" s="53"/>
      <c r="DPM58" s="53"/>
      <c r="DPN58" s="53"/>
      <c r="DPO58" s="53"/>
      <c r="DPP58" s="53"/>
      <c r="DPQ58" s="53"/>
      <c r="DPR58" s="53"/>
      <c r="DPS58" s="53"/>
      <c r="DPT58" s="53"/>
      <c r="DPU58" s="53"/>
      <c r="DPV58" s="53"/>
      <c r="DPW58" s="53"/>
      <c r="DPX58" s="53"/>
      <c r="DPY58" s="53"/>
      <c r="DPZ58" s="53"/>
      <c r="DQA58" s="53"/>
      <c r="DQB58" s="53"/>
      <c r="DQC58" s="53"/>
      <c r="DQD58" s="53"/>
      <c r="DQE58" s="53"/>
      <c r="DQF58" s="53"/>
      <c r="DQG58" s="53"/>
      <c r="DQH58" s="53"/>
      <c r="DQI58" s="53"/>
      <c r="DQJ58" s="53"/>
      <c r="DQK58" s="53"/>
      <c r="DQL58" s="53"/>
      <c r="DQM58" s="53"/>
      <c r="DQN58" s="53"/>
      <c r="DQO58" s="53"/>
      <c r="DQP58" s="53"/>
      <c r="DQQ58" s="53"/>
      <c r="DQR58" s="53"/>
      <c r="DQS58" s="53"/>
      <c r="DQT58" s="53"/>
      <c r="DQU58" s="53"/>
      <c r="DQV58" s="53"/>
      <c r="DQW58" s="53"/>
      <c r="DQX58" s="53"/>
      <c r="DQY58" s="53"/>
      <c r="DQZ58" s="53"/>
      <c r="DRA58" s="53"/>
      <c r="DRB58" s="53"/>
      <c r="DRC58" s="53"/>
      <c r="DRD58" s="53"/>
      <c r="DRE58" s="53"/>
      <c r="DRF58" s="53"/>
      <c r="DRG58" s="53"/>
      <c r="DRH58" s="53"/>
      <c r="DRI58" s="53"/>
      <c r="DRJ58" s="53"/>
      <c r="DRK58" s="53"/>
      <c r="DRL58" s="53"/>
      <c r="DRM58" s="53"/>
      <c r="DRN58" s="53"/>
      <c r="DRO58" s="53"/>
      <c r="DRP58" s="53"/>
      <c r="DRQ58" s="53"/>
      <c r="DRR58" s="53"/>
      <c r="DRS58" s="53"/>
      <c r="DRT58" s="53"/>
      <c r="DRU58" s="53"/>
      <c r="DRV58" s="53"/>
      <c r="DRW58" s="53"/>
      <c r="DRX58" s="53"/>
      <c r="DRY58" s="53"/>
      <c r="DRZ58" s="53"/>
      <c r="DSA58" s="53"/>
      <c r="DSB58" s="53"/>
      <c r="DSC58" s="53"/>
      <c r="DSD58" s="53"/>
      <c r="DSE58" s="53"/>
      <c r="DSF58" s="53"/>
      <c r="DSG58" s="53"/>
      <c r="DSH58" s="53"/>
      <c r="DSI58" s="53"/>
      <c r="DSJ58" s="53"/>
      <c r="DSK58" s="53"/>
      <c r="DSL58" s="53"/>
      <c r="DSM58" s="53"/>
      <c r="DSN58" s="53"/>
      <c r="DSO58" s="53"/>
      <c r="DSP58" s="53"/>
      <c r="DSQ58" s="53"/>
      <c r="DSR58" s="53"/>
      <c r="DSS58" s="53"/>
      <c r="DST58" s="53"/>
      <c r="DSU58" s="53"/>
      <c r="DSV58" s="53"/>
      <c r="DSW58" s="53"/>
      <c r="DSX58" s="53"/>
      <c r="DSY58" s="53"/>
      <c r="DSZ58" s="53"/>
      <c r="DTA58" s="53"/>
      <c r="DTB58" s="53"/>
      <c r="DTC58" s="53"/>
      <c r="DTD58" s="53"/>
      <c r="DTE58" s="53"/>
      <c r="DTF58" s="53"/>
      <c r="DTG58" s="53"/>
      <c r="DTH58" s="53"/>
      <c r="DTI58" s="53"/>
      <c r="DTJ58" s="53"/>
      <c r="DTK58" s="53"/>
      <c r="DTL58" s="53"/>
      <c r="DTM58" s="53"/>
      <c r="DTN58" s="53"/>
      <c r="DTO58" s="53"/>
      <c r="DTP58" s="53"/>
      <c r="DTQ58" s="53"/>
      <c r="DTR58" s="53"/>
      <c r="DTS58" s="53"/>
      <c r="DTT58" s="53"/>
      <c r="DTU58" s="53"/>
      <c r="DTV58" s="53"/>
      <c r="DTW58" s="53"/>
      <c r="DTX58" s="53"/>
      <c r="DTY58" s="53"/>
      <c r="DTZ58" s="53"/>
      <c r="DUA58" s="53"/>
      <c r="DUB58" s="53"/>
      <c r="DUC58" s="53"/>
      <c r="DUD58" s="53"/>
      <c r="DUE58" s="53"/>
      <c r="DUF58" s="53"/>
      <c r="DUG58" s="53"/>
      <c r="DUH58" s="53"/>
      <c r="DUI58" s="53"/>
      <c r="DUJ58" s="53"/>
      <c r="DUK58" s="53"/>
      <c r="DUL58" s="53"/>
      <c r="DUM58" s="53"/>
      <c r="DUN58" s="53"/>
      <c r="DUO58" s="53"/>
      <c r="DUP58" s="53"/>
      <c r="DUQ58" s="53"/>
      <c r="DUR58" s="53"/>
      <c r="DUS58" s="53"/>
      <c r="DUT58" s="53"/>
      <c r="DUU58" s="53"/>
      <c r="DUV58" s="53"/>
      <c r="DUW58" s="53"/>
      <c r="DUX58" s="53"/>
      <c r="DUY58" s="53"/>
      <c r="DUZ58" s="53"/>
      <c r="DVA58" s="53"/>
      <c r="DVB58" s="53"/>
      <c r="DVC58" s="53"/>
      <c r="DVD58" s="53"/>
      <c r="DVE58" s="53"/>
      <c r="DVF58" s="53"/>
      <c r="DVG58" s="53"/>
      <c r="DVH58" s="53"/>
      <c r="DVI58" s="53"/>
      <c r="DVJ58" s="53"/>
      <c r="DVK58" s="53"/>
      <c r="DVL58" s="53"/>
      <c r="DVM58" s="53"/>
      <c r="DVN58" s="53"/>
      <c r="DVO58" s="53"/>
      <c r="DVP58" s="53"/>
      <c r="DVQ58" s="53"/>
      <c r="DVR58" s="53"/>
      <c r="DVS58" s="53"/>
      <c r="DVT58" s="53"/>
      <c r="DVU58" s="53"/>
      <c r="DVV58" s="53"/>
      <c r="DVW58" s="53"/>
      <c r="DVX58" s="53"/>
      <c r="DVY58" s="53"/>
      <c r="DVZ58" s="53"/>
      <c r="DWA58" s="53"/>
      <c r="DWB58" s="53"/>
      <c r="DWC58" s="53"/>
      <c r="DWD58" s="53"/>
      <c r="DWE58" s="53"/>
      <c r="DWF58" s="53"/>
      <c r="DWG58" s="53"/>
      <c r="DWH58" s="53"/>
      <c r="DWI58" s="53"/>
      <c r="DWJ58" s="53"/>
      <c r="DWK58" s="53"/>
      <c r="DWL58" s="53"/>
      <c r="DWM58" s="53"/>
      <c r="DWN58" s="53"/>
      <c r="DWO58" s="53"/>
      <c r="DWP58" s="53"/>
      <c r="DWQ58" s="53"/>
      <c r="DWR58" s="53"/>
      <c r="DWS58" s="53"/>
      <c r="DWT58" s="53"/>
      <c r="DWU58" s="53"/>
      <c r="DWV58" s="53"/>
      <c r="DWW58" s="53"/>
      <c r="DWX58" s="53"/>
      <c r="DWY58" s="53"/>
      <c r="DWZ58" s="53"/>
      <c r="DXA58" s="53"/>
      <c r="DXB58" s="53"/>
      <c r="DXC58" s="53"/>
      <c r="DXD58" s="53"/>
      <c r="DXE58" s="53"/>
      <c r="DXF58" s="53"/>
      <c r="DXG58" s="53"/>
      <c r="DXH58" s="53"/>
      <c r="DXI58" s="53"/>
      <c r="DXJ58" s="53"/>
      <c r="DXK58" s="53"/>
      <c r="DXL58" s="53"/>
      <c r="DXM58" s="53"/>
      <c r="DXN58" s="53"/>
      <c r="DXO58" s="53"/>
      <c r="DXP58" s="53"/>
      <c r="DXQ58" s="53"/>
      <c r="DXR58" s="53"/>
      <c r="DXS58" s="53"/>
      <c r="DXT58" s="53"/>
      <c r="DXU58" s="53"/>
      <c r="DXV58" s="53"/>
      <c r="DXW58" s="53"/>
      <c r="DXX58" s="53"/>
      <c r="DXY58" s="53"/>
      <c r="DXZ58" s="53"/>
      <c r="DYA58" s="53"/>
      <c r="DYB58" s="53"/>
      <c r="DYC58" s="53"/>
      <c r="DYD58" s="53"/>
      <c r="DYE58" s="53"/>
      <c r="DYF58" s="53"/>
      <c r="DYG58" s="53"/>
      <c r="DYH58" s="53"/>
      <c r="DYI58" s="53"/>
      <c r="DYJ58" s="53"/>
      <c r="DYK58" s="53"/>
      <c r="DYL58" s="53"/>
      <c r="DYM58" s="53"/>
      <c r="DYN58" s="53"/>
      <c r="DYO58" s="53"/>
      <c r="DYP58" s="53"/>
      <c r="DYQ58" s="53"/>
      <c r="DYR58" s="53"/>
      <c r="DYS58" s="53"/>
      <c r="DYT58" s="53"/>
      <c r="DYU58" s="53"/>
      <c r="DYV58" s="53"/>
      <c r="DYW58" s="53"/>
      <c r="DYX58" s="53"/>
      <c r="DYY58" s="53"/>
      <c r="DYZ58" s="53"/>
      <c r="DZA58" s="53"/>
      <c r="DZB58" s="53"/>
      <c r="DZC58" s="53"/>
      <c r="DZD58" s="53"/>
      <c r="DZE58" s="53"/>
      <c r="DZF58" s="53"/>
      <c r="DZG58" s="53"/>
      <c r="DZH58" s="53"/>
      <c r="DZI58" s="53"/>
      <c r="DZJ58" s="53"/>
      <c r="DZK58" s="53"/>
      <c r="DZL58" s="53"/>
      <c r="DZM58" s="53"/>
      <c r="DZN58" s="53"/>
      <c r="DZO58" s="53"/>
      <c r="DZP58" s="53"/>
      <c r="DZQ58" s="53"/>
      <c r="DZR58" s="53"/>
      <c r="DZS58" s="53"/>
      <c r="DZT58" s="53"/>
      <c r="DZU58" s="53"/>
      <c r="DZV58" s="53"/>
      <c r="DZW58" s="53"/>
      <c r="DZX58" s="53"/>
      <c r="DZY58" s="53"/>
      <c r="DZZ58" s="53"/>
      <c r="EAA58" s="53"/>
      <c r="EAB58" s="53"/>
      <c r="EAC58" s="53"/>
      <c r="EAD58" s="53"/>
      <c r="EAE58" s="53"/>
      <c r="EAF58" s="53"/>
      <c r="EAG58" s="53"/>
      <c r="EAH58" s="53"/>
      <c r="EAI58" s="53"/>
      <c r="EAJ58" s="53"/>
      <c r="EAK58" s="53"/>
      <c r="EAL58" s="53"/>
      <c r="EAM58" s="53"/>
      <c r="EAN58" s="53"/>
      <c r="EAO58" s="53"/>
      <c r="EAP58" s="53"/>
      <c r="EAQ58" s="53"/>
      <c r="EAR58" s="53"/>
      <c r="EAS58" s="53"/>
      <c r="EAT58" s="53"/>
      <c r="EAU58" s="53"/>
      <c r="EAV58" s="53"/>
      <c r="EAW58" s="53"/>
      <c r="EAX58" s="53"/>
      <c r="EAY58" s="53"/>
      <c r="EAZ58" s="53"/>
      <c r="EBA58" s="53"/>
      <c r="EBB58" s="53"/>
      <c r="EBC58" s="53"/>
      <c r="EBD58" s="53"/>
      <c r="EBE58" s="53"/>
      <c r="EBF58" s="53"/>
      <c r="EBG58" s="53"/>
      <c r="EBH58" s="53"/>
      <c r="EBI58" s="53"/>
      <c r="EBJ58" s="53"/>
      <c r="EBK58" s="53"/>
      <c r="EBL58" s="53"/>
      <c r="EBM58" s="53"/>
      <c r="EBN58" s="53"/>
      <c r="EBO58" s="53"/>
      <c r="EBP58" s="53"/>
      <c r="EBQ58" s="53"/>
      <c r="EBR58" s="53"/>
      <c r="EBS58" s="53"/>
      <c r="EBT58" s="53"/>
      <c r="EBU58" s="53"/>
      <c r="EBV58" s="53"/>
      <c r="EBW58" s="53"/>
      <c r="EBX58" s="53"/>
      <c r="EBY58" s="53"/>
      <c r="EBZ58" s="53"/>
      <c r="ECA58" s="53"/>
      <c r="ECB58" s="53"/>
      <c r="ECC58" s="53"/>
      <c r="ECD58" s="53"/>
      <c r="ECE58" s="53"/>
      <c r="ECF58" s="53"/>
      <c r="ECG58" s="53"/>
      <c r="ECH58" s="53"/>
      <c r="ECI58" s="53"/>
      <c r="ECJ58" s="53"/>
      <c r="ECK58" s="53"/>
      <c r="ECL58" s="53"/>
      <c r="ECM58" s="53"/>
      <c r="ECN58" s="53"/>
      <c r="ECO58" s="53"/>
      <c r="ECP58" s="53"/>
      <c r="ECQ58" s="53"/>
      <c r="ECR58" s="53"/>
      <c r="ECS58" s="53"/>
      <c r="ECT58" s="53"/>
      <c r="ECU58" s="53"/>
      <c r="ECV58" s="53"/>
      <c r="ECW58" s="53"/>
      <c r="ECX58" s="53"/>
      <c r="ECY58" s="53"/>
      <c r="ECZ58" s="53"/>
      <c r="EDA58" s="53"/>
      <c r="EDB58" s="53"/>
      <c r="EDC58" s="53"/>
      <c r="EDD58" s="53"/>
      <c r="EDE58" s="53"/>
      <c r="EDF58" s="53"/>
      <c r="EDG58" s="53"/>
      <c r="EDH58" s="53"/>
      <c r="EDI58" s="53"/>
      <c r="EDJ58" s="53"/>
      <c r="EDK58" s="53"/>
      <c r="EDL58" s="53"/>
      <c r="EDM58" s="53"/>
      <c r="EDN58" s="53"/>
      <c r="EDO58" s="53"/>
      <c r="EDP58" s="53"/>
      <c r="EDQ58" s="53"/>
      <c r="EDR58" s="53"/>
      <c r="EDS58" s="53"/>
      <c r="EDT58" s="53"/>
      <c r="EDU58" s="53"/>
      <c r="EDV58" s="53"/>
      <c r="EDW58" s="53"/>
      <c r="EDX58" s="53"/>
      <c r="EDY58" s="53"/>
      <c r="EDZ58" s="53"/>
      <c r="EEA58" s="53"/>
      <c r="EEB58" s="53"/>
      <c r="EEC58" s="53"/>
      <c r="EED58" s="53"/>
      <c r="EEE58" s="53"/>
      <c r="EEF58" s="53"/>
      <c r="EEG58" s="53"/>
      <c r="EEH58" s="53"/>
      <c r="EEI58" s="53"/>
      <c r="EEJ58" s="53"/>
      <c r="EEK58" s="53"/>
      <c r="EEL58" s="53"/>
      <c r="EEM58" s="53"/>
      <c r="EEN58" s="53"/>
      <c r="EEO58" s="53"/>
      <c r="EEP58" s="53"/>
      <c r="EEQ58" s="53"/>
      <c r="EER58" s="53"/>
      <c r="EES58" s="53"/>
      <c r="EET58" s="53"/>
      <c r="EEU58" s="53"/>
      <c r="EEV58" s="53"/>
      <c r="EEW58" s="53"/>
      <c r="EEX58" s="53"/>
      <c r="EEY58" s="53"/>
      <c r="EEZ58" s="53"/>
      <c r="EFA58" s="53"/>
      <c r="EFB58" s="53"/>
      <c r="EFC58" s="53"/>
      <c r="EFD58" s="53"/>
      <c r="EFE58" s="53"/>
      <c r="EFF58" s="53"/>
      <c r="EFG58" s="53"/>
      <c r="EFH58" s="53"/>
      <c r="EFI58" s="53"/>
      <c r="EFJ58" s="53"/>
      <c r="EFK58" s="53"/>
      <c r="EFL58" s="53"/>
      <c r="EFM58" s="53"/>
      <c r="EFN58" s="53"/>
      <c r="EFO58" s="53"/>
      <c r="EFP58" s="53"/>
      <c r="EFQ58" s="53"/>
      <c r="EFR58" s="53"/>
      <c r="EFS58" s="53"/>
      <c r="EFT58" s="53"/>
      <c r="EFU58" s="53"/>
      <c r="EFV58" s="53"/>
      <c r="EFW58" s="53"/>
      <c r="EFX58" s="53"/>
      <c r="EFY58" s="53"/>
      <c r="EFZ58" s="53"/>
      <c r="EGA58" s="53"/>
      <c r="EGB58" s="53"/>
      <c r="EGC58" s="53"/>
      <c r="EGD58" s="53"/>
      <c r="EGE58" s="53"/>
      <c r="EGF58" s="53"/>
      <c r="EGG58" s="53"/>
      <c r="EGH58" s="53"/>
      <c r="EGI58" s="53"/>
      <c r="EGJ58" s="53"/>
      <c r="EGK58" s="53"/>
      <c r="EGL58" s="53"/>
      <c r="EGM58" s="53"/>
      <c r="EGN58" s="53"/>
      <c r="EGO58" s="53"/>
      <c r="EGP58" s="53"/>
      <c r="EGQ58" s="53"/>
      <c r="EGR58" s="53"/>
      <c r="EGS58" s="53"/>
      <c r="EGT58" s="53"/>
      <c r="EGU58" s="53"/>
      <c r="EGV58" s="53"/>
      <c r="EGW58" s="53"/>
      <c r="EGX58" s="53"/>
      <c r="EGY58" s="53"/>
      <c r="EGZ58" s="53"/>
      <c r="EHA58" s="53"/>
      <c r="EHB58" s="53"/>
      <c r="EHC58" s="53"/>
      <c r="EHD58" s="53"/>
      <c r="EHE58" s="53"/>
      <c r="EHF58" s="53"/>
      <c r="EHG58" s="53"/>
      <c r="EHH58" s="53"/>
      <c r="EHI58" s="53"/>
      <c r="EHJ58" s="53"/>
      <c r="EHK58" s="53"/>
      <c r="EHL58" s="53"/>
      <c r="EHM58" s="53"/>
      <c r="EHN58" s="53"/>
      <c r="EHO58" s="53"/>
      <c r="EHP58" s="53"/>
      <c r="EHQ58" s="53"/>
      <c r="EHR58" s="53"/>
      <c r="EHS58" s="53"/>
      <c r="EHT58" s="53"/>
      <c r="EHU58" s="53"/>
      <c r="EHV58" s="53"/>
      <c r="EHW58" s="53"/>
      <c r="EHX58" s="53"/>
      <c r="EHY58" s="53"/>
      <c r="EHZ58" s="53"/>
      <c r="EIA58" s="53"/>
      <c r="EIB58" s="53"/>
      <c r="EIC58" s="53"/>
      <c r="EID58" s="53"/>
      <c r="EIE58" s="53"/>
      <c r="EIF58" s="53"/>
      <c r="EIG58" s="53"/>
      <c r="EIH58" s="53"/>
      <c r="EII58" s="53"/>
      <c r="EIJ58" s="53"/>
      <c r="EIK58" s="53"/>
      <c r="EIL58" s="53"/>
      <c r="EIM58" s="53"/>
      <c r="EIN58" s="53"/>
      <c r="EIO58" s="53"/>
      <c r="EIP58" s="53"/>
      <c r="EIQ58" s="53"/>
      <c r="EIR58" s="53"/>
      <c r="EIS58" s="53"/>
      <c r="EIT58" s="53"/>
      <c r="EIU58" s="53"/>
      <c r="EIV58" s="53"/>
      <c r="EIW58" s="53"/>
      <c r="EIX58" s="53"/>
      <c r="EIY58" s="53"/>
      <c r="EIZ58" s="53"/>
      <c r="EJA58" s="53"/>
      <c r="EJB58" s="53"/>
      <c r="EJC58" s="53"/>
      <c r="EJD58" s="53"/>
      <c r="EJE58" s="53"/>
      <c r="EJF58" s="53"/>
      <c r="EJG58" s="53"/>
      <c r="EJH58" s="53"/>
      <c r="EJI58" s="53"/>
      <c r="EJJ58" s="53"/>
      <c r="EJK58" s="53"/>
      <c r="EJL58" s="53"/>
      <c r="EJM58" s="53"/>
      <c r="EJN58" s="53"/>
      <c r="EJO58" s="53"/>
      <c r="EJP58" s="53"/>
      <c r="EJQ58" s="53"/>
      <c r="EJR58" s="53"/>
      <c r="EJS58" s="53"/>
      <c r="EJT58" s="53"/>
      <c r="EJU58" s="53"/>
      <c r="EJV58" s="53"/>
      <c r="EJW58" s="53"/>
      <c r="EJX58" s="53"/>
      <c r="EJY58" s="53"/>
      <c r="EJZ58" s="53"/>
      <c r="EKA58" s="53"/>
      <c r="EKB58" s="53"/>
      <c r="EKC58" s="53"/>
      <c r="EKD58" s="53"/>
      <c r="EKE58" s="53"/>
      <c r="EKF58" s="53"/>
      <c r="EKG58" s="53"/>
      <c r="EKH58" s="53"/>
      <c r="EKI58" s="53"/>
      <c r="EKJ58" s="53"/>
      <c r="EKK58" s="53"/>
      <c r="EKL58" s="53"/>
      <c r="EKM58" s="53"/>
      <c r="EKN58" s="53"/>
      <c r="EKO58" s="53"/>
      <c r="EKP58" s="53"/>
      <c r="EKQ58" s="53"/>
      <c r="EKR58" s="53"/>
      <c r="EKS58" s="53"/>
      <c r="EKT58" s="53"/>
      <c r="EKU58" s="53"/>
      <c r="EKV58" s="53"/>
      <c r="EKW58" s="53"/>
      <c r="EKX58" s="53"/>
      <c r="EKY58" s="53"/>
      <c r="EKZ58" s="53"/>
      <c r="ELA58" s="53"/>
      <c r="ELB58" s="53"/>
      <c r="ELC58" s="53"/>
      <c r="ELD58" s="53"/>
      <c r="ELE58" s="53"/>
      <c r="ELF58" s="53"/>
      <c r="ELG58" s="53"/>
      <c r="ELH58" s="53"/>
      <c r="ELI58" s="53"/>
      <c r="ELJ58" s="53"/>
      <c r="ELK58" s="53"/>
      <c r="ELL58" s="53"/>
      <c r="ELM58" s="53"/>
      <c r="ELN58" s="53"/>
      <c r="ELO58" s="53"/>
      <c r="ELP58" s="53"/>
      <c r="ELQ58" s="53"/>
      <c r="ELR58" s="53"/>
      <c r="ELS58" s="53"/>
      <c r="ELT58" s="53"/>
      <c r="ELU58" s="53"/>
      <c r="ELV58" s="53"/>
      <c r="ELW58" s="53"/>
      <c r="ELX58" s="53"/>
      <c r="ELY58" s="53"/>
      <c r="ELZ58" s="53"/>
      <c r="EMA58" s="53"/>
      <c r="EMB58" s="53"/>
      <c r="EMC58" s="53"/>
      <c r="EMD58" s="53"/>
      <c r="EME58" s="53"/>
      <c r="EMF58" s="53"/>
      <c r="EMG58" s="53"/>
      <c r="EMH58" s="53"/>
      <c r="EMI58" s="53"/>
      <c r="EMJ58" s="53"/>
      <c r="EMK58" s="53"/>
      <c r="EML58" s="53"/>
      <c r="EMM58" s="53"/>
      <c r="EMN58" s="53"/>
      <c r="EMO58" s="53"/>
      <c r="EMP58" s="53"/>
      <c r="EMQ58" s="53"/>
      <c r="EMR58" s="53"/>
      <c r="EMS58" s="53"/>
      <c r="EMT58" s="53"/>
      <c r="EMU58" s="53"/>
      <c r="EMV58" s="53"/>
      <c r="EMW58" s="53"/>
      <c r="EMX58" s="53"/>
      <c r="EMY58" s="53"/>
      <c r="EMZ58" s="53"/>
      <c r="ENA58" s="53"/>
      <c r="ENB58" s="53"/>
      <c r="ENC58" s="53"/>
      <c r="END58" s="53"/>
      <c r="ENE58" s="53"/>
      <c r="ENF58" s="53"/>
      <c r="ENG58" s="53"/>
      <c r="ENH58" s="53"/>
      <c r="ENI58" s="53"/>
      <c r="ENJ58" s="53"/>
      <c r="ENK58" s="53"/>
      <c r="ENL58" s="53"/>
      <c r="ENM58" s="53"/>
      <c r="ENN58" s="53"/>
      <c r="ENO58" s="53"/>
      <c r="ENP58" s="53"/>
      <c r="ENQ58" s="53"/>
      <c r="ENR58" s="53"/>
      <c r="ENS58" s="53"/>
      <c r="ENT58" s="53"/>
      <c r="ENU58" s="53"/>
      <c r="ENV58" s="53"/>
      <c r="ENW58" s="53"/>
      <c r="ENX58" s="53"/>
      <c r="ENY58" s="53"/>
      <c r="ENZ58" s="53"/>
      <c r="EOA58" s="53"/>
      <c r="EOB58" s="53"/>
      <c r="EOC58" s="53"/>
      <c r="EOD58" s="53"/>
      <c r="EOE58" s="53"/>
      <c r="EOF58" s="53"/>
      <c r="EOG58" s="53"/>
      <c r="EOH58" s="53"/>
      <c r="EOI58" s="53"/>
      <c r="EOJ58" s="53"/>
      <c r="EOK58" s="53"/>
      <c r="EOL58" s="53"/>
      <c r="EOM58" s="53"/>
      <c r="EON58" s="53"/>
      <c r="EOO58" s="53"/>
      <c r="EOP58" s="53"/>
      <c r="EOQ58" s="53"/>
      <c r="EOR58" s="53"/>
      <c r="EOS58" s="53"/>
      <c r="EOT58" s="53"/>
      <c r="EOU58" s="53"/>
      <c r="EOV58" s="53"/>
      <c r="EOW58" s="53"/>
      <c r="EOX58" s="53"/>
      <c r="EOY58" s="53"/>
      <c r="EOZ58" s="53"/>
      <c r="EPA58" s="53"/>
      <c r="EPB58" s="53"/>
      <c r="EPC58" s="53"/>
      <c r="EPD58" s="53"/>
      <c r="EPE58" s="53"/>
      <c r="EPF58" s="53"/>
      <c r="EPG58" s="53"/>
      <c r="EPH58" s="53"/>
      <c r="EPI58" s="53"/>
      <c r="EPJ58" s="53"/>
      <c r="EPK58" s="53"/>
      <c r="EPL58" s="53"/>
      <c r="EPM58" s="53"/>
      <c r="EPN58" s="53"/>
      <c r="EPO58" s="53"/>
      <c r="EPP58" s="53"/>
      <c r="EPQ58" s="53"/>
      <c r="EPR58" s="53"/>
      <c r="EPS58" s="53"/>
      <c r="EPT58" s="53"/>
      <c r="EPU58" s="53"/>
      <c r="EPV58" s="53"/>
      <c r="EPW58" s="53"/>
      <c r="EPX58" s="53"/>
      <c r="EPY58" s="53"/>
      <c r="EPZ58" s="53"/>
      <c r="EQA58" s="53"/>
      <c r="EQB58" s="53"/>
      <c r="EQC58" s="53"/>
      <c r="EQD58" s="53"/>
      <c r="EQE58" s="53"/>
      <c r="EQF58" s="53"/>
      <c r="EQG58" s="53"/>
      <c r="EQH58" s="53"/>
      <c r="EQI58" s="53"/>
      <c r="EQJ58" s="53"/>
      <c r="EQK58" s="53"/>
      <c r="EQL58" s="53"/>
      <c r="EQM58" s="53"/>
      <c r="EQN58" s="53"/>
      <c r="EQO58" s="53"/>
      <c r="EQP58" s="53"/>
      <c r="EQQ58" s="53"/>
      <c r="EQR58" s="53"/>
      <c r="EQS58" s="53"/>
      <c r="EQT58" s="53"/>
      <c r="EQU58" s="53"/>
      <c r="EQV58" s="53"/>
      <c r="EQW58" s="53"/>
      <c r="EQX58" s="53"/>
      <c r="EQY58" s="53"/>
      <c r="EQZ58" s="53"/>
      <c r="ERA58" s="53"/>
      <c r="ERB58" s="53"/>
      <c r="ERC58" s="53"/>
      <c r="ERD58" s="53"/>
      <c r="ERE58" s="53"/>
      <c r="ERF58" s="53"/>
      <c r="ERG58" s="53"/>
      <c r="ERH58" s="53"/>
      <c r="ERI58" s="53"/>
      <c r="ERJ58" s="53"/>
      <c r="ERK58" s="53"/>
      <c r="ERL58" s="53"/>
      <c r="ERM58" s="53"/>
      <c r="ERN58" s="53"/>
      <c r="ERO58" s="53"/>
      <c r="ERP58" s="53"/>
      <c r="ERQ58" s="53"/>
      <c r="ERR58" s="53"/>
      <c r="ERS58" s="53"/>
      <c r="ERT58" s="53"/>
      <c r="ERU58" s="53"/>
      <c r="ERV58" s="53"/>
      <c r="ERW58" s="53"/>
      <c r="ERX58" s="53"/>
      <c r="ERY58" s="53"/>
      <c r="ERZ58" s="53"/>
      <c r="ESA58" s="53"/>
      <c r="ESB58" s="53"/>
      <c r="ESC58" s="53"/>
      <c r="ESD58" s="53"/>
      <c r="ESE58" s="53"/>
      <c r="ESF58" s="53"/>
      <c r="ESG58" s="53"/>
      <c r="ESH58" s="53"/>
      <c r="ESI58" s="53"/>
      <c r="ESJ58" s="53"/>
      <c r="ESK58" s="53"/>
      <c r="ESL58" s="53"/>
      <c r="ESM58" s="53"/>
      <c r="ESN58" s="53"/>
      <c r="ESO58" s="53"/>
      <c r="ESP58" s="53"/>
      <c r="ESQ58" s="53"/>
      <c r="ESR58" s="53"/>
      <c r="ESS58" s="53"/>
      <c r="EST58" s="53"/>
      <c r="ESU58" s="53"/>
      <c r="ESV58" s="53"/>
      <c r="ESW58" s="53"/>
      <c r="ESX58" s="53"/>
      <c r="ESY58" s="53"/>
      <c r="ESZ58" s="53"/>
      <c r="ETA58" s="53"/>
      <c r="ETB58" s="53"/>
      <c r="ETC58" s="53"/>
      <c r="ETD58" s="53"/>
      <c r="ETE58" s="53"/>
      <c r="ETF58" s="53"/>
      <c r="ETG58" s="53"/>
      <c r="ETH58" s="53"/>
      <c r="ETI58" s="53"/>
      <c r="ETJ58" s="53"/>
      <c r="ETK58" s="53"/>
      <c r="ETL58" s="53"/>
      <c r="ETM58" s="53"/>
      <c r="ETN58" s="53"/>
      <c r="ETO58" s="53"/>
      <c r="ETP58" s="53"/>
      <c r="ETQ58" s="53"/>
      <c r="ETR58" s="53"/>
      <c r="ETS58" s="53"/>
      <c r="ETT58" s="53"/>
      <c r="ETU58" s="53"/>
      <c r="ETV58" s="53"/>
      <c r="ETW58" s="53"/>
      <c r="ETX58" s="53"/>
      <c r="ETY58" s="53"/>
      <c r="ETZ58" s="53"/>
      <c r="EUA58" s="53"/>
      <c r="EUB58" s="53"/>
      <c r="EUC58" s="53"/>
      <c r="EUD58" s="53"/>
      <c r="EUE58" s="53"/>
      <c r="EUF58" s="53"/>
      <c r="EUG58" s="53"/>
      <c r="EUH58" s="53"/>
      <c r="EUI58" s="53"/>
      <c r="EUJ58" s="53"/>
      <c r="EUK58" s="53"/>
      <c r="EUL58" s="53"/>
      <c r="EUM58" s="53"/>
      <c r="EUN58" s="53"/>
      <c r="EUO58" s="53"/>
      <c r="EUP58" s="53"/>
      <c r="EUQ58" s="53"/>
      <c r="EUR58" s="53"/>
      <c r="EUS58" s="53"/>
      <c r="EUT58" s="53"/>
      <c r="EUU58" s="53"/>
      <c r="EUV58" s="53"/>
      <c r="EUW58" s="53"/>
      <c r="EUX58" s="53"/>
      <c r="EUY58" s="53"/>
      <c r="EUZ58" s="53"/>
      <c r="EVA58" s="53"/>
      <c r="EVB58" s="53"/>
      <c r="EVC58" s="53"/>
      <c r="EVD58" s="53"/>
      <c r="EVE58" s="53"/>
      <c r="EVF58" s="53"/>
      <c r="EVG58" s="53"/>
      <c r="EVH58" s="53"/>
      <c r="EVI58" s="53"/>
      <c r="EVJ58" s="53"/>
      <c r="EVK58" s="53"/>
      <c r="EVL58" s="53"/>
      <c r="EVM58" s="53"/>
      <c r="EVN58" s="53"/>
      <c r="EVO58" s="53"/>
      <c r="EVP58" s="53"/>
      <c r="EVQ58" s="53"/>
      <c r="EVR58" s="53"/>
      <c r="EVS58" s="53"/>
      <c r="EVT58" s="53"/>
      <c r="EVU58" s="53"/>
      <c r="EVV58" s="53"/>
      <c r="EVW58" s="53"/>
      <c r="EVX58" s="53"/>
      <c r="EVY58" s="53"/>
      <c r="EVZ58" s="53"/>
      <c r="EWA58" s="53"/>
      <c r="EWB58" s="53"/>
      <c r="EWC58" s="53"/>
      <c r="EWD58" s="53"/>
      <c r="EWE58" s="53"/>
      <c r="EWF58" s="53"/>
      <c r="EWG58" s="53"/>
      <c r="EWH58" s="53"/>
      <c r="EWI58" s="53"/>
      <c r="EWJ58" s="53"/>
      <c r="EWK58" s="53"/>
      <c r="EWL58" s="53"/>
      <c r="EWM58" s="53"/>
      <c r="EWN58" s="53"/>
      <c r="EWO58" s="53"/>
      <c r="EWP58" s="53"/>
      <c r="EWQ58" s="53"/>
      <c r="EWR58" s="53"/>
      <c r="EWS58" s="53"/>
      <c r="EWT58" s="53"/>
      <c r="EWU58" s="53"/>
      <c r="EWV58" s="53"/>
      <c r="EWW58" s="53"/>
      <c r="EWX58" s="53"/>
      <c r="EWY58" s="53"/>
      <c r="EWZ58" s="53"/>
      <c r="EXA58" s="53"/>
      <c r="EXB58" s="53"/>
      <c r="EXC58" s="53"/>
      <c r="EXD58" s="53"/>
      <c r="EXE58" s="53"/>
      <c r="EXF58" s="53"/>
      <c r="EXG58" s="53"/>
      <c r="EXH58" s="53"/>
      <c r="EXI58" s="53"/>
      <c r="EXJ58" s="53"/>
      <c r="EXK58" s="53"/>
      <c r="EXL58" s="53"/>
      <c r="EXM58" s="53"/>
      <c r="EXN58" s="53"/>
      <c r="EXO58" s="53"/>
      <c r="EXP58" s="53"/>
      <c r="EXQ58" s="53"/>
      <c r="EXR58" s="53"/>
      <c r="EXS58" s="53"/>
      <c r="EXT58" s="53"/>
      <c r="EXU58" s="53"/>
      <c r="EXV58" s="53"/>
      <c r="EXW58" s="53"/>
      <c r="EXX58" s="53"/>
      <c r="EXY58" s="53"/>
      <c r="EXZ58" s="53"/>
      <c r="EYA58" s="53"/>
      <c r="EYB58" s="53"/>
      <c r="EYC58" s="53"/>
      <c r="EYD58" s="53"/>
      <c r="EYE58" s="53"/>
      <c r="EYF58" s="53"/>
      <c r="EYG58" s="53"/>
      <c r="EYH58" s="53"/>
      <c r="EYI58" s="53"/>
      <c r="EYJ58" s="53"/>
      <c r="EYK58" s="53"/>
      <c r="EYL58" s="53"/>
      <c r="EYM58" s="53"/>
      <c r="EYN58" s="53"/>
      <c r="EYO58" s="53"/>
      <c r="EYP58" s="53"/>
      <c r="EYQ58" s="53"/>
      <c r="EYR58" s="53"/>
      <c r="EYS58" s="53"/>
      <c r="EYT58" s="53"/>
      <c r="EYU58" s="53"/>
      <c r="EYV58" s="53"/>
      <c r="EYW58" s="53"/>
      <c r="EYX58" s="53"/>
      <c r="EYY58" s="53"/>
      <c r="EYZ58" s="53"/>
      <c r="EZA58" s="53"/>
      <c r="EZB58" s="53"/>
      <c r="EZC58" s="53"/>
      <c r="EZD58" s="53"/>
      <c r="EZE58" s="53"/>
      <c r="EZF58" s="53"/>
      <c r="EZG58" s="53"/>
      <c r="EZH58" s="53"/>
      <c r="EZI58" s="53"/>
      <c r="EZJ58" s="53"/>
      <c r="EZK58" s="53"/>
      <c r="EZL58" s="53"/>
      <c r="EZM58" s="53"/>
      <c r="EZN58" s="53"/>
      <c r="EZO58" s="53"/>
      <c r="EZP58" s="53"/>
      <c r="EZQ58" s="53"/>
      <c r="EZR58" s="53"/>
      <c r="EZS58" s="53"/>
      <c r="EZT58" s="53"/>
      <c r="EZU58" s="53"/>
      <c r="EZV58" s="53"/>
      <c r="EZW58" s="53"/>
      <c r="EZX58" s="53"/>
      <c r="EZY58" s="53"/>
      <c r="EZZ58" s="53"/>
      <c r="FAA58" s="53"/>
      <c r="FAB58" s="53"/>
      <c r="FAC58" s="53"/>
      <c r="FAD58" s="53"/>
      <c r="FAE58" s="53"/>
      <c r="FAF58" s="53"/>
      <c r="FAG58" s="53"/>
      <c r="FAH58" s="53"/>
      <c r="FAI58" s="53"/>
      <c r="FAJ58" s="53"/>
      <c r="FAK58" s="53"/>
      <c r="FAL58" s="53"/>
      <c r="FAM58" s="53"/>
      <c r="FAN58" s="53"/>
      <c r="FAO58" s="53"/>
      <c r="FAP58" s="53"/>
      <c r="FAQ58" s="53"/>
      <c r="FAR58" s="53"/>
      <c r="FAS58" s="53"/>
      <c r="FAT58" s="53"/>
      <c r="FAU58" s="53"/>
      <c r="FAV58" s="53"/>
      <c r="FAW58" s="53"/>
      <c r="FAX58" s="53"/>
      <c r="FAY58" s="53"/>
      <c r="FAZ58" s="53"/>
      <c r="FBA58" s="53"/>
      <c r="FBB58" s="53"/>
      <c r="FBC58" s="53"/>
      <c r="FBD58" s="53"/>
      <c r="FBE58" s="53"/>
      <c r="FBF58" s="53"/>
      <c r="FBG58" s="53"/>
      <c r="FBH58" s="53"/>
      <c r="FBI58" s="53"/>
      <c r="FBJ58" s="53"/>
      <c r="FBK58" s="53"/>
      <c r="FBL58" s="53"/>
      <c r="FBM58" s="53"/>
      <c r="FBN58" s="53"/>
      <c r="FBO58" s="53"/>
      <c r="FBP58" s="53"/>
      <c r="FBQ58" s="53"/>
      <c r="FBR58" s="53"/>
      <c r="FBS58" s="53"/>
      <c r="FBT58" s="53"/>
      <c r="FBU58" s="53"/>
      <c r="FBV58" s="53"/>
      <c r="FBW58" s="53"/>
      <c r="FBX58" s="53"/>
      <c r="FBY58" s="53"/>
      <c r="FBZ58" s="53"/>
      <c r="FCA58" s="53"/>
      <c r="FCB58" s="53"/>
      <c r="FCC58" s="53"/>
      <c r="FCD58" s="53"/>
      <c r="FCE58" s="53"/>
      <c r="FCF58" s="53"/>
      <c r="FCG58" s="53"/>
      <c r="FCH58" s="53"/>
      <c r="FCI58" s="53"/>
      <c r="FCJ58" s="53"/>
      <c r="FCK58" s="53"/>
      <c r="FCL58" s="53"/>
      <c r="FCM58" s="53"/>
      <c r="FCN58" s="53"/>
      <c r="FCO58" s="53"/>
      <c r="FCP58" s="53"/>
      <c r="FCQ58" s="53"/>
      <c r="FCR58" s="53"/>
      <c r="FCS58" s="53"/>
      <c r="FCT58" s="53"/>
      <c r="FCU58" s="53"/>
      <c r="FCV58" s="53"/>
      <c r="FCW58" s="53"/>
      <c r="FCX58" s="53"/>
      <c r="FCY58" s="53"/>
      <c r="FCZ58" s="53"/>
      <c r="FDA58" s="53"/>
      <c r="FDB58" s="53"/>
      <c r="FDC58" s="53"/>
      <c r="FDD58" s="53"/>
      <c r="FDE58" s="53"/>
      <c r="FDF58" s="53"/>
      <c r="FDG58" s="53"/>
      <c r="FDH58" s="53"/>
      <c r="FDI58" s="53"/>
      <c r="FDJ58" s="53"/>
      <c r="FDK58" s="53"/>
      <c r="FDL58" s="53"/>
      <c r="FDM58" s="53"/>
      <c r="FDN58" s="53"/>
      <c r="FDO58" s="53"/>
      <c r="FDP58" s="53"/>
      <c r="FDQ58" s="53"/>
      <c r="FDR58" s="53"/>
      <c r="FDS58" s="53"/>
      <c r="FDT58" s="53"/>
      <c r="FDU58" s="53"/>
      <c r="FDV58" s="53"/>
      <c r="FDW58" s="53"/>
      <c r="FDX58" s="53"/>
      <c r="FDY58" s="53"/>
      <c r="FDZ58" s="53"/>
      <c r="FEA58" s="53"/>
      <c r="FEB58" s="53"/>
      <c r="FEC58" s="53"/>
      <c r="FED58" s="53"/>
      <c r="FEE58" s="53"/>
      <c r="FEF58" s="53"/>
      <c r="FEG58" s="53"/>
      <c r="FEH58" s="53"/>
      <c r="FEI58" s="53"/>
      <c r="FEJ58" s="53"/>
      <c r="FEK58" s="53"/>
      <c r="FEL58" s="53"/>
      <c r="FEM58" s="53"/>
      <c r="FEN58" s="53"/>
      <c r="FEO58" s="53"/>
      <c r="FEP58" s="53"/>
      <c r="FEQ58" s="53"/>
      <c r="FER58" s="53"/>
      <c r="FES58" s="53"/>
      <c r="FET58" s="53"/>
      <c r="FEU58" s="53"/>
      <c r="FEV58" s="53"/>
      <c r="FEW58" s="53"/>
      <c r="FEX58" s="53"/>
      <c r="FEY58" s="53"/>
      <c r="FEZ58" s="53"/>
      <c r="FFA58" s="53"/>
      <c r="FFB58" s="53"/>
      <c r="FFC58" s="53"/>
      <c r="FFD58" s="53"/>
      <c r="FFE58" s="53"/>
      <c r="FFF58" s="53"/>
      <c r="FFG58" s="53"/>
      <c r="FFH58" s="53"/>
      <c r="FFI58" s="53"/>
      <c r="FFJ58" s="53"/>
      <c r="FFK58" s="53"/>
      <c r="FFL58" s="53"/>
      <c r="FFM58" s="53"/>
      <c r="FFN58" s="53"/>
      <c r="FFO58" s="53"/>
      <c r="FFP58" s="53"/>
      <c r="FFQ58" s="53"/>
      <c r="FFR58" s="53"/>
      <c r="FFS58" s="53"/>
      <c r="FFT58" s="53"/>
      <c r="FFU58" s="53"/>
      <c r="FFV58" s="53"/>
      <c r="FFW58" s="53"/>
      <c r="FFX58" s="53"/>
      <c r="FFY58" s="53"/>
      <c r="FFZ58" s="53"/>
      <c r="FGA58" s="53"/>
      <c r="FGB58" s="53"/>
      <c r="FGC58" s="53"/>
      <c r="FGD58" s="53"/>
      <c r="FGE58" s="53"/>
      <c r="FGF58" s="53"/>
      <c r="FGG58" s="53"/>
      <c r="FGH58" s="53"/>
      <c r="FGI58" s="53"/>
      <c r="FGJ58" s="53"/>
      <c r="FGK58" s="53"/>
      <c r="FGL58" s="53"/>
      <c r="FGM58" s="53"/>
      <c r="FGN58" s="53"/>
      <c r="FGO58" s="53"/>
      <c r="FGP58" s="53"/>
      <c r="FGQ58" s="53"/>
      <c r="FGR58" s="53"/>
      <c r="FGS58" s="53"/>
      <c r="FGT58" s="53"/>
      <c r="FGU58" s="53"/>
      <c r="FGV58" s="53"/>
      <c r="FGW58" s="53"/>
      <c r="FGX58" s="53"/>
      <c r="FGY58" s="53"/>
      <c r="FGZ58" s="53"/>
      <c r="FHA58" s="53"/>
      <c r="FHB58" s="53"/>
      <c r="FHC58" s="53"/>
      <c r="FHD58" s="53"/>
      <c r="FHE58" s="53"/>
      <c r="FHF58" s="53"/>
      <c r="FHG58" s="53"/>
      <c r="FHH58" s="53"/>
      <c r="FHI58" s="53"/>
      <c r="FHJ58" s="53"/>
      <c r="FHK58" s="53"/>
      <c r="FHL58" s="53"/>
      <c r="FHM58" s="53"/>
      <c r="FHN58" s="53"/>
      <c r="FHO58" s="53"/>
      <c r="FHP58" s="53"/>
      <c r="FHQ58" s="53"/>
      <c r="FHR58" s="53"/>
      <c r="FHS58" s="53"/>
      <c r="FHT58" s="53"/>
      <c r="FHU58" s="53"/>
      <c r="FHV58" s="53"/>
      <c r="FHW58" s="53"/>
      <c r="FHX58" s="53"/>
      <c r="FHY58" s="53"/>
      <c r="FHZ58" s="53"/>
      <c r="FIA58" s="53"/>
      <c r="FIB58" s="53"/>
      <c r="FIC58" s="53"/>
      <c r="FID58" s="53"/>
      <c r="FIE58" s="53"/>
      <c r="FIF58" s="53"/>
      <c r="FIG58" s="53"/>
      <c r="FIH58" s="53"/>
      <c r="FII58" s="53"/>
      <c r="FIJ58" s="53"/>
      <c r="FIK58" s="53"/>
      <c r="FIL58" s="53"/>
      <c r="FIM58" s="53"/>
      <c r="FIN58" s="53"/>
      <c r="FIO58" s="53"/>
      <c r="FIP58" s="53"/>
      <c r="FIQ58" s="53"/>
      <c r="FIR58" s="53"/>
      <c r="FIS58" s="53"/>
      <c r="FIT58" s="53"/>
      <c r="FIU58" s="53"/>
      <c r="FIV58" s="53"/>
      <c r="FIW58" s="53"/>
      <c r="FIX58" s="53"/>
      <c r="FIY58" s="53"/>
      <c r="FIZ58" s="53"/>
      <c r="FJA58" s="53"/>
      <c r="FJB58" s="53"/>
      <c r="FJC58" s="53"/>
      <c r="FJD58" s="53"/>
      <c r="FJE58" s="53"/>
      <c r="FJF58" s="53"/>
      <c r="FJG58" s="53"/>
      <c r="FJH58" s="53"/>
      <c r="FJI58" s="53"/>
      <c r="FJJ58" s="53"/>
      <c r="FJK58" s="53"/>
      <c r="FJL58" s="53"/>
      <c r="FJM58" s="53"/>
      <c r="FJN58" s="53"/>
      <c r="FJO58" s="53"/>
      <c r="FJP58" s="53"/>
      <c r="FJQ58" s="53"/>
      <c r="FJR58" s="53"/>
      <c r="FJS58" s="53"/>
      <c r="FJT58" s="53"/>
      <c r="FJU58" s="53"/>
      <c r="FJV58" s="53"/>
      <c r="FJW58" s="53"/>
      <c r="FJX58" s="53"/>
      <c r="FJY58" s="53"/>
      <c r="FJZ58" s="53"/>
      <c r="FKA58" s="53"/>
      <c r="FKB58" s="53"/>
      <c r="FKC58" s="53"/>
      <c r="FKD58" s="53"/>
      <c r="FKE58" s="53"/>
      <c r="FKF58" s="53"/>
      <c r="FKG58" s="53"/>
      <c r="FKH58" s="53"/>
      <c r="FKI58" s="53"/>
      <c r="FKJ58" s="53"/>
      <c r="FKK58" s="53"/>
      <c r="FKL58" s="53"/>
      <c r="FKM58" s="53"/>
      <c r="FKN58" s="53"/>
      <c r="FKO58" s="53"/>
      <c r="FKP58" s="53"/>
      <c r="FKQ58" s="53"/>
      <c r="FKR58" s="53"/>
      <c r="FKS58" s="53"/>
      <c r="FKT58" s="53"/>
      <c r="FKU58" s="53"/>
      <c r="FKV58" s="53"/>
      <c r="FKW58" s="53"/>
      <c r="FKX58" s="53"/>
      <c r="FKY58" s="53"/>
      <c r="FKZ58" s="53"/>
      <c r="FLA58" s="53"/>
      <c r="FLB58" s="53"/>
      <c r="FLC58" s="53"/>
      <c r="FLD58" s="53"/>
      <c r="FLE58" s="53"/>
      <c r="FLF58" s="53"/>
      <c r="FLG58" s="53"/>
      <c r="FLH58" s="53"/>
      <c r="FLI58" s="53"/>
      <c r="FLJ58" s="53"/>
      <c r="FLK58" s="53"/>
      <c r="FLL58" s="53"/>
      <c r="FLM58" s="53"/>
      <c r="FLN58" s="53"/>
      <c r="FLO58" s="53"/>
      <c r="FLP58" s="53"/>
      <c r="FLQ58" s="53"/>
      <c r="FLR58" s="53"/>
      <c r="FLS58" s="53"/>
      <c r="FLT58" s="53"/>
      <c r="FLU58" s="53"/>
      <c r="FLV58" s="53"/>
      <c r="FLW58" s="53"/>
      <c r="FLX58" s="53"/>
      <c r="FLY58" s="53"/>
      <c r="FLZ58" s="53"/>
      <c r="FMA58" s="53"/>
      <c r="FMB58" s="53"/>
      <c r="FMC58" s="53"/>
      <c r="FMD58" s="53"/>
      <c r="FME58" s="53"/>
      <c r="FMF58" s="53"/>
      <c r="FMG58" s="53"/>
      <c r="FMH58" s="53"/>
      <c r="FMI58" s="53"/>
      <c r="FMJ58" s="53"/>
      <c r="FMK58" s="53"/>
      <c r="FML58" s="53"/>
      <c r="FMM58" s="53"/>
      <c r="FMN58" s="53"/>
      <c r="FMO58" s="53"/>
      <c r="FMP58" s="53"/>
      <c r="FMQ58" s="53"/>
      <c r="FMR58" s="53"/>
      <c r="FMS58" s="53"/>
      <c r="FMT58" s="53"/>
      <c r="FMU58" s="53"/>
      <c r="FMV58" s="53"/>
      <c r="FMW58" s="53"/>
      <c r="FMX58" s="53"/>
      <c r="FMY58" s="53"/>
      <c r="FMZ58" s="53"/>
      <c r="FNA58" s="53"/>
      <c r="FNB58" s="53"/>
      <c r="FNC58" s="53"/>
      <c r="FND58" s="53"/>
      <c r="FNE58" s="53"/>
      <c r="FNF58" s="53"/>
      <c r="FNG58" s="53"/>
      <c r="FNH58" s="53"/>
      <c r="FNI58" s="53"/>
      <c r="FNJ58" s="53"/>
      <c r="FNK58" s="53"/>
      <c r="FNL58" s="53"/>
      <c r="FNM58" s="53"/>
      <c r="FNN58" s="53"/>
      <c r="FNO58" s="53"/>
      <c r="FNP58" s="53"/>
      <c r="FNQ58" s="53"/>
      <c r="FNR58" s="53"/>
      <c r="FNS58" s="53"/>
      <c r="FNT58" s="53"/>
      <c r="FNU58" s="53"/>
      <c r="FNV58" s="53"/>
      <c r="FNW58" s="53"/>
      <c r="FNX58" s="53"/>
      <c r="FNY58" s="53"/>
      <c r="FNZ58" s="53"/>
      <c r="FOA58" s="53"/>
      <c r="FOB58" s="53"/>
      <c r="FOC58" s="53"/>
      <c r="FOD58" s="53"/>
      <c r="FOE58" s="53"/>
      <c r="FOF58" s="53"/>
      <c r="FOG58" s="53"/>
      <c r="FOH58" s="53"/>
      <c r="FOI58" s="53"/>
      <c r="FOJ58" s="53"/>
      <c r="FOK58" s="53"/>
      <c r="FOL58" s="53"/>
      <c r="FOM58" s="53"/>
      <c r="FON58" s="53"/>
      <c r="FOO58" s="53"/>
      <c r="FOP58" s="53"/>
      <c r="FOQ58" s="53"/>
      <c r="FOR58" s="53"/>
      <c r="FOS58" s="53"/>
      <c r="FOT58" s="53"/>
      <c r="FOU58" s="53"/>
      <c r="FOV58" s="53"/>
      <c r="FOW58" s="53"/>
      <c r="FOX58" s="53"/>
      <c r="FOY58" s="53"/>
      <c r="FOZ58" s="53"/>
      <c r="FPA58" s="53"/>
      <c r="FPB58" s="53"/>
      <c r="FPC58" s="53"/>
      <c r="FPD58" s="53"/>
      <c r="FPE58" s="53"/>
      <c r="FPF58" s="53"/>
      <c r="FPG58" s="53"/>
      <c r="FPH58" s="53"/>
      <c r="FPI58" s="53"/>
      <c r="FPJ58" s="53"/>
      <c r="FPK58" s="53"/>
      <c r="FPL58" s="53"/>
      <c r="FPM58" s="53"/>
      <c r="FPN58" s="53"/>
      <c r="FPO58" s="53"/>
      <c r="FPP58" s="53"/>
      <c r="FPQ58" s="53"/>
      <c r="FPR58" s="53"/>
      <c r="FPS58" s="53"/>
      <c r="FPT58" s="53"/>
      <c r="FPU58" s="53"/>
      <c r="FPV58" s="53"/>
      <c r="FPW58" s="53"/>
      <c r="FPX58" s="53"/>
      <c r="FPY58" s="53"/>
      <c r="FPZ58" s="53"/>
      <c r="FQA58" s="53"/>
      <c r="FQB58" s="53"/>
      <c r="FQC58" s="53"/>
      <c r="FQD58" s="53"/>
      <c r="FQE58" s="53"/>
      <c r="FQF58" s="53"/>
      <c r="FQG58" s="53"/>
      <c r="FQH58" s="53"/>
      <c r="FQI58" s="53"/>
      <c r="FQJ58" s="53"/>
      <c r="FQK58" s="53"/>
      <c r="FQL58" s="53"/>
      <c r="FQM58" s="53"/>
      <c r="FQN58" s="53"/>
      <c r="FQO58" s="53"/>
      <c r="FQP58" s="53"/>
      <c r="FQQ58" s="53"/>
      <c r="FQR58" s="53"/>
      <c r="FQS58" s="53"/>
      <c r="FQT58" s="53"/>
      <c r="FQU58" s="53"/>
      <c r="FQV58" s="53"/>
      <c r="FQW58" s="53"/>
      <c r="FQX58" s="53"/>
      <c r="FQY58" s="53"/>
      <c r="FQZ58" s="53"/>
      <c r="FRA58" s="53"/>
      <c r="FRB58" s="53"/>
      <c r="FRC58" s="53"/>
      <c r="FRD58" s="53"/>
      <c r="FRE58" s="53"/>
      <c r="FRF58" s="53"/>
      <c r="FRG58" s="53"/>
      <c r="FRH58" s="53"/>
      <c r="FRI58" s="53"/>
      <c r="FRJ58" s="53"/>
      <c r="FRK58" s="53"/>
      <c r="FRL58" s="53"/>
      <c r="FRM58" s="53"/>
      <c r="FRN58" s="53"/>
      <c r="FRO58" s="53"/>
      <c r="FRP58" s="53"/>
      <c r="FRQ58" s="53"/>
      <c r="FRR58" s="53"/>
      <c r="FRS58" s="53"/>
      <c r="FRT58" s="53"/>
      <c r="FRU58" s="53"/>
      <c r="FRV58" s="53"/>
      <c r="FRW58" s="53"/>
      <c r="FRX58" s="53"/>
      <c r="FRY58" s="53"/>
      <c r="FRZ58" s="53"/>
      <c r="FSA58" s="53"/>
      <c r="FSB58" s="53"/>
      <c r="FSC58" s="53"/>
      <c r="FSD58" s="53"/>
      <c r="FSE58" s="53"/>
      <c r="FSF58" s="53"/>
      <c r="FSG58" s="53"/>
      <c r="FSH58" s="53"/>
      <c r="FSI58" s="53"/>
      <c r="FSJ58" s="53"/>
      <c r="FSK58" s="53"/>
      <c r="FSL58" s="53"/>
      <c r="FSM58" s="53"/>
      <c r="FSN58" s="53"/>
      <c r="FSO58" s="53"/>
      <c r="FSP58" s="53"/>
      <c r="FSQ58" s="53"/>
      <c r="FSR58" s="53"/>
      <c r="FSS58" s="53"/>
      <c r="FST58" s="53"/>
      <c r="FSU58" s="53"/>
      <c r="FSV58" s="53"/>
      <c r="FSW58" s="53"/>
      <c r="FSX58" s="53"/>
      <c r="FSY58" s="53"/>
      <c r="FSZ58" s="53"/>
      <c r="FTA58" s="53"/>
      <c r="FTB58" s="53"/>
      <c r="FTC58" s="53"/>
      <c r="FTD58" s="53"/>
      <c r="FTE58" s="53"/>
      <c r="FTF58" s="53"/>
      <c r="FTG58" s="53"/>
      <c r="FTH58" s="53"/>
      <c r="FTI58" s="53"/>
      <c r="FTJ58" s="53"/>
      <c r="FTK58" s="53"/>
      <c r="FTL58" s="53"/>
      <c r="FTM58" s="53"/>
      <c r="FTN58" s="53"/>
      <c r="FTO58" s="53"/>
      <c r="FTP58" s="53"/>
      <c r="FTQ58" s="53"/>
      <c r="FTR58" s="53"/>
      <c r="FTS58" s="53"/>
      <c r="FTT58" s="53"/>
      <c r="FTU58" s="53"/>
      <c r="FTV58" s="53"/>
      <c r="FTW58" s="53"/>
      <c r="FTX58" s="53"/>
      <c r="FTY58" s="53"/>
      <c r="FTZ58" s="53"/>
      <c r="FUA58" s="53"/>
      <c r="FUB58" s="53"/>
      <c r="FUC58" s="53"/>
      <c r="FUD58" s="53"/>
      <c r="FUE58" s="53"/>
      <c r="FUF58" s="53"/>
      <c r="FUG58" s="53"/>
      <c r="FUH58" s="53"/>
      <c r="FUI58" s="53"/>
      <c r="FUJ58" s="53"/>
      <c r="FUK58" s="53"/>
      <c r="FUL58" s="53"/>
      <c r="FUM58" s="53"/>
      <c r="FUN58" s="53"/>
      <c r="FUO58" s="53"/>
      <c r="FUP58" s="53"/>
      <c r="FUQ58" s="53"/>
      <c r="FUR58" s="53"/>
      <c r="FUS58" s="53"/>
      <c r="FUT58" s="53"/>
      <c r="FUU58" s="53"/>
      <c r="FUV58" s="53"/>
      <c r="FUW58" s="53"/>
      <c r="FUX58" s="53"/>
      <c r="FUY58" s="53"/>
      <c r="FUZ58" s="53"/>
      <c r="FVA58" s="53"/>
      <c r="FVB58" s="53"/>
      <c r="FVC58" s="53"/>
      <c r="FVD58" s="53"/>
      <c r="FVE58" s="53"/>
      <c r="FVF58" s="53"/>
      <c r="FVG58" s="53"/>
      <c r="FVH58" s="53"/>
      <c r="FVI58" s="53"/>
      <c r="FVJ58" s="53"/>
      <c r="FVK58" s="53"/>
      <c r="FVL58" s="53"/>
      <c r="FVM58" s="53"/>
      <c r="FVN58" s="53"/>
      <c r="FVO58" s="53"/>
      <c r="FVP58" s="53"/>
      <c r="FVQ58" s="53"/>
      <c r="FVR58" s="53"/>
      <c r="FVS58" s="53"/>
      <c r="FVT58" s="53"/>
      <c r="FVU58" s="53"/>
      <c r="FVV58" s="53"/>
      <c r="FVW58" s="53"/>
      <c r="FVX58" s="53"/>
      <c r="FVY58" s="53"/>
      <c r="FVZ58" s="53"/>
      <c r="FWA58" s="53"/>
      <c r="FWB58" s="53"/>
      <c r="FWC58" s="53"/>
      <c r="FWD58" s="53"/>
      <c r="FWE58" s="53"/>
      <c r="FWF58" s="53"/>
      <c r="FWG58" s="53"/>
      <c r="FWH58" s="53"/>
      <c r="FWI58" s="53"/>
      <c r="FWJ58" s="53"/>
      <c r="FWK58" s="53"/>
      <c r="FWL58" s="53"/>
      <c r="FWM58" s="53"/>
      <c r="FWN58" s="53"/>
      <c r="FWO58" s="53"/>
      <c r="FWP58" s="53"/>
      <c r="FWQ58" s="53"/>
      <c r="FWR58" s="53"/>
      <c r="FWS58" s="53"/>
      <c r="FWT58" s="53"/>
      <c r="FWU58" s="53"/>
      <c r="FWV58" s="53"/>
      <c r="FWW58" s="53"/>
      <c r="FWX58" s="53"/>
      <c r="FWY58" s="53"/>
      <c r="FWZ58" s="53"/>
      <c r="FXA58" s="53"/>
      <c r="FXB58" s="53"/>
      <c r="FXC58" s="53"/>
      <c r="FXD58" s="53"/>
      <c r="FXE58" s="53"/>
      <c r="FXF58" s="53"/>
      <c r="FXG58" s="53"/>
      <c r="FXH58" s="53"/>
      <c r="FXI58" s="53"/>
      <c r="FXJ58" s="53"/>
      <c r="FXK58" s="53"/>
      <c r="FXL58" s="53"/>
      <c r="FXM58" s="53"/>
      <c r="FXN58" s="53"/>
      <c r="FXO58" s="53"/>
      <c r="FXP58" s="53"/>
      <c r="FXQ58" s="53"/>
      <c r="FXR58" s="53"/>
      <c r="FXS58" s="53"/>
      <c r="FXT58" s="53"/>
      <c r="FXU58" s="53"/>
      <c r="FXV58" s="53"/>
      <c r="FXW58" s="53"/>
      <c r="FXX58" s="53"/>
      <c r="FXY58" s="53"/>
      <c r="FXZ58" s="53"/>
      <c r="FYA58" s="53"/>
      <c r="FYB58" s="53"/>
      <c r="FYC58" s="53"/>
      <c r="FYD58" s="53"/>
      <c r="FYE58" s="53"/>
      <c r="FYF58" s="53"/>
      <c r="FYG58" s="53"/>
      <c r="FYH58" s="53"/>
      <c r="FYI58" s="53"/>
      <c r="FYJ58" s="53"/>
      <c r="FYK58" s="53"/>
      <c r="FYL58" s="53"/>
      <c r="FYM58" s="53"/>
      <c r="FYN58" s="53"/>
      <c r="FYO58" s="53"/>
      <c r="FYP58" s="53"/>
      <c r="FYQ58" s="53"/>
      <c r="FYR58" s="53"/>
      <c r="FYS58" s="53"/>
      <c r="FYT58" s="53"/>
      <c r="FYU58" s="53"/>
      <c r="FYV58" s="53"/>
      <c r="FYW58" s="53"/>
      <c r="FYX58" s="53"/>
      <c r="FYY58" s="53"/>
      <c r="FYZ58" s="53"/>
      <c r="FZA58" s="53"/>
      <c r="FZB58" s="53"/>
      <c r="FZC58" s="53"/>
      <c r="FZD58" s="53"/>
      <c r="FZE58" s="53"/>
      <c r="FZF58" s="53"/>
      <c r="FZG58" s="53"/>
      <c r="FZH58" s="53"/>
      <c r="FZI58" s="53"/>
      <c r="FZJ58" s="53"/>
      <c r="FZK58" s="53"/>
      <c r="FZL58" s="53"/>
      <c r="FZM58" s="53"/>
      <c r="FZN58" s="53"/>
      <c r="FZO58" s="53"/>
      <c r="FZP58" s="53"/>
      <c r="FZQ58" s="53"/>
      <c r="FZR58" s="53"/>
      <c r="FZS58" s="53"/>
      <c r="FZT58" s="53"/>
      <c r="FZU58" s="53"/>
      <c r="FZV58" s="53"/>
      <c r="FZW58" s="53"/>
      <c r="FZX58" s="53"/>
      <c r="FZY58" s="53"/>
      <c r="FZZ58" s="53"/>
      <c r="GAA58" s="53"/>
      <c r="GAB58" s="53"/>
      <c r="GAC58" s="53"/>
      <c r="GAD58" s="53"/>
      <c r="GAE58" s="53"/>
      <c r="GAF58" s="53"/>
      <c r="GAG58" s="53"/>
      <c r="GAH58" s="53"/>
      <c r="GAI58" s="53"/>
      <c r="GAJ58" s="53"/>
      <c r="GAK58" s="53"/>
      <c r="GAL58" s="53"/>
      <c r="GAM58" s="53"/>
      <c r="GAN58" s="53"/>
      <c r="GAO58" s="53"/>
      <c r="GAP58" s="53"/>
      <c r="GAQ58" s="53"/>
      <c r="GAR58" s="53"/>
      <c r="GAS58" s="53"/>
      <c r="GAT58" s="53"/>
      <c r="GAU58" s="53"/>
      <c r="GAV58" s="53"/>
      <c r="GAW58" s="53"/>
      <c r="GAX58" s="53"/>
      <c r="GAY58" s="53"/>
      <c r="GAZ58" s="53"/>
      <c r="GBA58" s="53"/>
      <c r="GBB58" s="53"/>
      <c r="GBC58" s="53"/>
      <c r="GBD58" s="53"/>
      <c r="GBE58" s="53"/>
      <c r="GBF58" s="53"/>
      <c r="GBG58" s="53"/>
      <c r="GBH58" s="53"/>
      <c r="GBI58" s="53"/>
      <c r="GBJ58" s="53"/>
      <c r="GBK58" s="53"/>
      <c r="GBL58" s="53"/>
      <c r="GBM58" s="53"/>
      <c r="GBN58" s="53"/>
      <c r="GBO58" s="53"/>
      <c r="GBP58" s="53"/>
      <c r="GBQ58" s="53"/>
      <c r="GBR58" s="53"/>
      <c r="GBS58" s="53"/>
      <c r="GBT58" s="53"/>
      <c r="GBU58" s="53"/>
      <c r="GBV58" s="53"/>
      <c r="GBW58" s="53"/>
      <c r="GBX58" s="53"/>
      <c r="GBY58" s="53"/>
      <c r="GBZ58" s="53"/>
      <c r="GCA58" s="53"/>
      <c r="GCB58" s="53"/>
      <c r="GCC58" s="53"/>
      <c r="GCD58" s="53"/>
      <c r="GCE58" s="53"/>
      <c r="GCF58" s="53"/>
      <c r="GCG58" s="53"/>
      <c r="GCH58" s="53"/>
      <c r="GCI58" s="53"/>
      <c r="GCJ58" s="53"/>
      <c r="GCK58" s="53"/>
      <c r="GCL58" s="53"/>
      <c r="GCM58" s="53"/>
      <c r="GCN58" s="53"/>
      <c r="GCO58" s="53"/>
      <c r="GCP58" s="53"/>
      <c r="GCQ58" s="53"/>
      <c r="GCR58" s="53"/>
      <c r="GCS58" s="53"/>
      <c r="GCT58" s="53"/>
      <c r="GCU58" s="53"/>
      <c r="GCV58" s="53"/>
      <c r="GCW58" s="53"/>
      <c r="GCX58" s="53"/>
      <c r="GCY58" s="53"/>
      <c r="GCZ58" s="53"/>
      <c r="GDA58" s="53"/>
      <c r="GDB58" s="53"/>
      <c r="GDC58" s="53"/>
      <c r="GDD58" s="53"/>
      <c r="GDE58" s="53"/>
      <c r="GDF58" s="53"/>
      <c r="GDG58" s="53"/>
      <c r="GDH58" s="53"/>
      <c r="GDI58" s="53"/>
      <c r="GDJ58" s="53"/>
      <c r="GDK58" s="53"/>
      <c r="GDL58" s="53"/>
      <c r="GDM58" s="53"/>
      <c r="GDN58" s="53"/>
      <c r="GDO58" s="53"/>
      <c r="GDP58" s="53"/>
      <c r="GDQ58" s="53"/>
      <c r="GDR58" s="53"/>
      <c r="GDS58" s="53"/>
      <c r="GDT58" s="53"/>
      <c r="GDU58" s="53"/>
      <c r="GDV58" s="53"/>
      <c r="GDW58" s="53"/>
      <c r="GDX58" s="53"/>
      <c r="GDY58" s="53"/>
      <c r="GDZ58" s="53"/>
      <c r="GEA58" s="53"/>
      <c r="GEB58" s="53"/>
      <c r="GEC58" s="53"/>
      <c r="GED58" s="53"/>
      <c r="GEE58" s="53"/>
      <c r="GEF58" s="53"/>
      <c r="GEG58" s="53"/>
      <c r="GEH58" s="53"/>
      <c r="GEI58" s="53"/>
      <c r="GEJ58" s="53"/>
      <c r="GEK58" s="53"/>
      <c r="GEL58" s="53"/>
      <c r="GEM58" s="53"/>
      <c r="GEN58" s="53"/>
      <c r="GEO58" s="53"/>
      <c r="GEP58" s="53"/>
      <c r="GEQ58" s="53"/>
      <c r="GER58" s="53"/>
      <c r="GES58" s="53"/>
      <c r="GET58" s="53"/>
      <c r="GEU58" s="53"/>
      <c r="GEV58" s="53"/>
      <c r="GEW58" s="53"/>
      <c r="GEX58" s="53"/>
      <c r="GEY58" s="53"/>
      <c r="GEZ58" s="53"/>
      <c r="GFA58" s="53"/>
      <c r="GFB58" s="53"/>
      <c r="GFC58" s="53"/>
      <c r="GFD58" s="53"/>
      <c r="GFE58" s="53"/>
      <c r="GFF58" s="53"/>
      <c r="GFG58" s="53"/>
      <c r="GFH58" s="53"/>
      <c r="GFI58" s="53"/>
      <c r="GFJ58" s="53"/>
      <c r="GFK58" s="53"/>
      <c r="GFL58" s="53"/>
      <c r="GFM58" s="53"/>
      <c r="GFN58" s="53"/>
      <c r="GFO58" s="53"/>
      <c r="GFP58" s="53"/>
      <c r="GFQ58" s="53"/>
      <c r="GFR58" s="53"/>
      <c r="GFS58" s="53"/>
      <c r="GFT58" s="53"/>
      <c r="GFU58" s="53"/>
      <c r="GFV58" s="53"/>
      <c r="GFW58" s="53"/>
      <c r="GFX58" s="53"/>
      <c r="GFY58" s="53"/>
      <c r="GFZ58" s="53"/>
      <c r="GGA58" s="53"/>
      <c r="GGB58" s="53"/>
      <c r="GGC58" s="53"/>
      <c r="GGD58" s="53"/>
      <c r="GGE58" s="53"/>
      <c r="GGF58" s="53"/>
      <c r="GGG58" s="53"/>
      <c r="GGH58" s="53"/>
      <c r="GGI58" s="53"/>
      <c r="GGJ58" s="53"/>
      <c r="GGK58" s="53"/>
      <c r="GGL58" s="53"/>
      <c r="GGM58" s="53"/>
      <c r="GGN58" s="53"/>
      <c r="GGO58" s="53"/>
      <c r="GGP58" s="53"/>
      <c r="GGQ58" s="53"/>
      <c r="GGR58" s="53"/>
      <c r="GGS58" s="53"/>
      <c r="GGT58" s="53"/>
      <c r="GGU58" s="53"/>
      <c r="GGV58" s="53"/>
      <c r="GGW58" s="53"/>
      <c r="GGX58" s="53"/>
      <c r="GGY58" s="53"/>
      <c r="GGZ58" s="53"/>
      <c r="GHA58" s="53"/>
      <c r="GHB58" s="53"/>
      <c r="GHC58" s="53"/>
      <c r="GHD58" s="53"/>
      <c r="GHE58" s="53"/>
      <c r="GHF58" s="53"/>
      <c r="GHG58" s="53"/>
      <c r="GHH58" s="53"/>
      <c r="GHI58" s="53"/>
      <c r="GHJ58" s="53"/>
      <c r="GHK58" s="53"/>
      <c r="GHL58" s="53"/>
      <c r="GHM58" s="53"/>
      <c r="GHN58" s="53"/>
      <c r="GHO58" s="53"/>
      <c r="GHP58" s="53"/>
      <c r="GHQ58" s="53"/>
      <c r="GHR58" s="53"/>
      <c r="GHS58" s="53"/>
      <c r="GHT58" s="53"/>
      <c r="GHU58" s="53"/>
      <c r="GHV58" s="53"/>
      <c r="GHW58" s="53"/>
      <c r="GHX58" s="53"/>
      <c r="GHY58" s="53"/>
      <c r="GHZ58" s="53"/>
      <c r="GIA58" s="53"/>
      <c r="GIB58" s="53"/>
      <c r="GIC58" s="53"/>
      <c r="GID58" s="53"/>
      <c r="GIE58" s="53"/>
      <c r="GIF58" s="53"/>
      <c r="GIG58" s="53"/>
      <c r="GIH58" s="53"/>
      <c r="GII58" s="53"/>
      <c r="GIJ58" s="53"/>
      <c r="GIK58" s="53"/>
      <c r="GIL58" s="53"/>
      <c r="GIM58" s="53"/>
      <c r="GIN58" s="53"/>
      <c r="GIO58" s="53"/>
      <c r="GIP58" s="53"/>
      <c r="GIQ58" s="53"/>
      <c r="GIR58" s="53"/>
      <c r="GIS58" s="53"/>
      <c r="GIT58" s="53"/>
      <c r="GIU58" s="53"/>
      <c r="GIV58" s="53"/>
      <c r="GIW58" s="53"/>
      <c r="GIX58" s="53"/>
      <c r="GIY58" s="53"/>
      <c r="GIZ58" s="53"/>
      <c r="GJA58" s="53"/>
      <c r="GJB58" s="53"/>
      <c r="GJC58" s="53"/>
      <c r="GJD58" s="53"/>
      <c r="GJE58" s="53"/>
      <c r="GJF58" s="53"/>
      <c r="GJG58" s="53"/>
      <c r="GJH58" s="53"/>
      <c r="GJI58" s="53"/>
      <c r="GJJ58" s="53"/>
      <c r="GJK58" s="53"/>
      <c r="GJL58" s="53"/>
      <c r="GJM58" s="53"/>
      <c r="GJN58" s="53"/>
      <c r="GJO58" s="53"/>
      <c r="GJP58" s="53"/>
      <c r="GJQ58" s="53"/>
      <c r="GJR58" s="53"/>
      <c r="GJS58" s="53"/>
      <c r="GJT58" s="53"/>
      <c r="GJU58" s="53"/>
      <c r="GJV58" s="53"/>
      <c r="GJW58" s="53"/>
      <c r="GJX58" s="53"/>
      <c r="GJY58" s="53"/>
      <c r="GJZ58" s="53"/>
      <c r="GKA58" s="53"/>
      <c r="GKB58" s="53"/>
      <c r="GKC58" s="53"/>
      <c r="GKD58" s="53"/>
      <c r="GKE58" s="53"/>
      <c r="GKF58" s="53"/>
      <c r="GKG58" s="53"/>
      <c r="GKH58" s="53"/>
      <c r="GKI58" s="53"/>
      <c r="GKJ58" s="53"/>
      <c r="GKK58" s="53"/>
      <c r="GKL58" s="53"/>
      <c r="GKM58" s="53"/>
      <c r="GKN58" s="53"/>
      <c r="GKO58" s="53"/>
      <c r="GKP58" s="53"/>
      <c r="GKQ58" s="53"/>
      <c r="GKR58" s="53"/>
      <c r="GKS58" s="53"/>
      <c r="GKT58" s="53"/>
      <c r="GKU58" s="53"/>
      <c r="GKV58" s="53"/>
      <c r="GKW58" s="53"/>
      <c r="GKX58" s="53"/>
      <c r="GKY58" s="53"/>
      <c r="GKZ58" s="53"/>
      <c r="GLA58" s="53"/>
      <c r="GLB58" s="53"/>
      <c r="GLC58" s="53"/>
      <c r="GLD58" s="53"/>
      <c r="GLE58" s="53"/>
      <c r="GLF58" s="53"/>
      <c r="GLG58" s="53"/>
      <c r="GLH58" s="53"/>
      <c r="GLI58" s="53"/>
      <c r="GLJ58" s="53"/>
      <c r="GLK58" s="53"/>
      <c r="GLL58" s="53"/>
      <c r="GLM58" s="53"/>
      <c r="GLN58" s="53"/>
      <c r="GLO58" s="53"/>
      <c r="GLP58" s="53"/>
      <c r="GLQ58" s="53"/>
      <c r="GLR58" s="53"/>
      <c r="GLS58" s="53"/>
      <c r="GLT58" s="53"/>
      <c r="GLU58" s="53"/>
      <c r="GLV58" s="53"/>
      <c r="GLW58" s="53"/>
      <c r="GLX58" s="53"/>
      <c r="GLY58" s="53"/>
      <c r="GLZ58" s="53"/>
      <c r="GMA58" s="53"/>
      <c r="GMB58" s="53"/>
      <c r="GMC58" s="53"/>
      <c r="GMD58" s="53"/>
      <c r="GME58" s="53"/>
      <c r="GMF58" s="53"/>
      <c r="GMG58" s="53"/>
      <c r="GMH58" s="53"/>
      <c r="GMI58" s="53"/>
      <c r="GMJ58" s="53"/>
      <c r="GMK58" s="53"/>
      <c r="GML58" s="53"/>
      <c r="GMM58" s="53"/>
      <c r="GMN58" s="53"/>
      <c r="GMO58" s="53"/>
      <c r="GMP58" s="53"/>
      <c r="GMQ58" s="53"/>
      <c r="GMR58" s="53"/>
      <c r="GMS58" s="53"/>
      <c r="GMT58" s="53"/>
      <c r="GMU58" s="53"/>
      <c r="GMV58" s="53"/>
      <c r="GMW58" s="53"/>
      <c r="GMX58" s="53"/>
      <c r="GMY58" s="53"/>
      <c r="GMZ58" s="53"/>
      <c r="GNA58" s="53"/>
      <c r="GNB58" s="53"/>
      <c r="GNC58" s="53"/>
      <c r="GND58" s="53"/>
      <c r="GNE58" s="53"/>
      <c r="GNF58" s="53"/>
      <c r="GNG58" s="53"/>
      <c r="GNH58" s="53"/>
      <c r="GNI58" s="53"/>
      <c r="GNJ58" s="53"/>
      <c r="GNK58" s="53"/>
      <c r="GNL58" s="53"/>
      <c r="GNM58" s="53"/>
      <c r="GNN58" s="53"/>
      <c r="GNO58" s="53"/>
      <c r="GNP58" s="53"/>
      <c r="GNQ58" s="53"/>
      <c r="GNR58" s="53"/>
      <c r="GNS58" s="53"/>
      <c r="GNT58" s="53"/>
      <c r="GNU58" s="53"/>
      <c r="GNV58" s="53"/>
      <c r="GNW58" s="53"/>
      <c r="GNX58" s="53"/>
      <c r="GNY58" s="53"/>
      <c r="GNZ58" s="53"/>
      <c r="GOA58" s="53"/>
      <c r="GOB58" s="53"/>
      <c r="GOC58" s="53"/>
      <c r="GOD58" s="53"/>
      <c r="GOE58" s="53"/>
      <c r="GOF58" s="53"/>
      <c r="GOG58" s="53"/>
      <c r="GOH58" s="53"/>
      <c r="GOI58" s="53"/>
      <c r="GOJ58" s="53"/>
      <c r="GOK58" s="53"/>
      <c r="GOL58" s="53"/>
      <c r="GOM58" s="53"/>
      <c r="GON58" s="53"/>
      <c r="GOO58" s="53"/>
      <c r="GOP58" s="53"/>
      <c r="GOQ58" s="53"/>
      <c r="GOR58" s="53"/>
      <c r="GOS58" s="53"/>
      <c r="GOT58" s="53"/>
      <c r="GOU58" s="53"/>
      <c r="GOV58" s="53"/>
      <c r="GOW58" s="53"/>
      <c r="GOX58" s="53"/>
      <c r="GOY58" s="53"/>
      <c r="GOZ58" s="53"/>
      <c r="GPA58" s="53"/>
      <c r="GPB58" s="53"/>
      <c r="GPC58" s="53"/>
      <c r="GPD58" s="53"/>
      <c r="GPE58" s="53"/>
      <c r="GPF58" s="53"/>
      <c r="GPG58" s="53"/>
      <c r="GPH58" s="53"/>
      <c r="GPI58" s="53"/>
      <c r="GPJ58" s="53"/>
      <c r="GPK58" s="53"/>
      <c r="GPL58" s="53"/>
      <c r="GPM58" s="53"/>
      <c r="GPN58" s="53"/>
      <c r="GPO58" s="53"/>
      <c r="GPP58" s="53"/>
      <c r="GPQ58" s="53"/>
      <c r="GPR58" s="53"/>
      <c r="GPS58" s="53"/>
      <c r="GPT58" s="53"/>
      <c r="GPU58" s="53"/>
      <c r="GPV58" s="53"/>
      <c r="GPW58" s="53"/>
      <c r="GPX58" s="53"/>
      <c r="GPY58" s="53"/>
      <c r="GPZ58" s="53"/>
      <c r="GQA58" s="53"/>
      <c r="GQB58" s="53"/>
      <c r="GQC58" s="53"/>
      <c r="GQD58" s="53"/>
      <c r="GQE58" s="53"/>
      <c r="GQF58" s="53"/>
      <c r="GQG58" s="53"/>
      <c r="GQH58" s="53"/>
      <c r="GQI58" s="53"/>
      <c r="GQJ58" s="53"/>
      <c r="GQK58" s="53"/>
      <c r="GQL58" s="53"/>
      <c r="GQM58" s="53"/>
      <c r="GQN58" s="53"/>
      <c r="GQO58" s="53"/>
      <c r="GQP58" s="53"/>
      <c r="GQQ58" s="53"/>
      <c r="GQR58" s="53"/>
      <c r="GQS58" s="53"/>
      <c r="GQT58" s="53"/>
      <c r="GQU58" s="53"/>
      <c r="GQV58" s="53"/>
      <c r="GQW58" s="53"/>
      <c r="GQX58" s="53"/>
      <c r="GQY58" s="53"/>
      <c r="GQZ58" s="53"/>
      <c r="GRA58" s="53"/>
      <c r="GRB58" s="53"/>
      <c r="GRC58" s="53"/>
      <c r="GRD58" s="53"/>
      <c r="GRE58" s="53"/>
      <c r="GRF58" s="53"/>
      <c r="GRG58" s="53"/>
      <c r="GRH58" s="53"/>
      <c r="GRI58" s="53"/>
      <c r="GRJ58" s="53"/>
      <c r="GRK58" s="53"/>
      <c r="GRL58" s="53"/>
      <c r="GRM58" s="53"/>
      <c r="GRN58" s="53"/>
      <c r="GRO58" s="53"/>
      <c r="GRP58" s="53"/>
      <c r="GRQ58" s="53"/>
      <c r="GRR58" s="53"/>
      <c r="GRS58" s="53"/>
      <c r="GRT58" s="53"/>
      <c r="GRU58" s="53"/>
      <c r="GRV58" s="53"/>
      <c r="GRW58" s="53"/>
      <c r="GRX58" s="53"/>
      <c r="GRY58" s="53"/>
      <c r="GRZ58" s="53"/>
      <c r="GSA58" s="53"/>
      <c r="GSB58" s="53"/>
      <c r="GSC58" s="53"/>
      <c r="GSD58" s="53"/>
      <c r="GSE58" s="53"/>
      <c r="GSF58" s="53"/>
      <c r="GSG58" s="53"/>
      <c r="GSH58" s="53"/>
      <c r="GSI58" s="53"/>
      <c r="GSJ58" s="53"/>
      <c r="GSK58" s="53"/>
      <c r="GSL58" s="53"/>
      <c r="GSM58" s="53"/>
      <c r="GSN58" s="53"/>
      <c r="GSO58" s="53"/>
      <c r="GSP58" s="53"/>
      <c r="GSQ58" s="53"/>
      <c r="GSR58" s="53"/>
      <c r="GSS58" s="53"/>
      <c r="GST58" s="53"/>
      <c r="GSU58" s="53"/>
      <c r="GSV58" s="53"/>
      <c r="GSW58" s="53"/>
      <c r="GSX58" s="53"/>
      <c r="GSY58" s="53"/>
      <c r="GSZ58" s="53"/>
      <c r="GTA58" s="53"/>
      <c r="GTB58" s="53"/>
      <c r="GTC58" s="53"/>
      <c r="GTD58" s="53"/>
      <c r="GTE58" s="53"/>
      <c r="GTF58" s="53"/>
      <c r="GTG58" s="53"/>
      <c r="GTH58" s="53"/>
      <c r="GTI58" s="53"/>
      <c r="GTJ58" s="53"/>
      <c r="GTK58" s="53"/>
      <c r="GTL58" s="53"/>
      <c r="GTM58" s="53"/>
      <c r="GTN58" s="53"/>
      <c r="GTO58" s="53"/>
      <c r="GTP58" s="53"/>
      <c r="GTQ58" s="53"/>
      <c r="GTR58" s="53"/>
      <c r="GTS58" s="53"/>
      <c r="GTT58" s="53"/>
      <c r="GTU58" s="53"/>
      <c r="GTV58" s="53"/>
      <c r="GTW58" s="53"/>
      <c r="GTX58" s="53"/>
      <c r="GTY58" s="53"/>
      <c r="GTZ58" s="53"/>
      <c r="GUA58" s="53"/>
      <c r="GUB58" s="53"/>
      <c r="GUC58" s="53"/>
      <c r="GUD58" s="53"/>
      <c r="GUE58" s="53"/>
      <c r="GUF58" s="53"/>
      <c r="GUG58" s="53"/>
      <c r="GUH58" s="53"/>
      <c r="GUI58" s="53"/>
      <c r="GUJ58" s="53"/>
      <c r="GUK58" s="53"/>
      <c r="GUL58" s="53"/>
      <c r="GUM58" s="53"/>
      <c r="GUN58" s="53"/>
      <c r="GUO58" s="53"/>
      <c r="GUP58" s="53"/>
      <c r="GUQ58" s="53"/>
      <c r="GUR58" s="53"/>
      <c r="GUS58" s="53"/>
      <c r="GUT58" s="53"/>
      <c r="GUU58" s="53"/>
      <c r="GUV58" s="53"/>
      <c r="GUW58" s="53"/>
      <c r="GUX58" s="53"/>
      <c r="GUY58" s="53"/>
      <c r="GUZ58" s="53"/>
      <c r="GVA58" s="53"/>
      <c r="GVB58" s="53"/>
      <c r="GVC58" s="53"/>
      <c r="GVD58" s="53"/>
      <c r="GVE58" s="53"/>
      <c r="GVF58" s="53"/>
      <c r="GVG58" s="53"/>
      <c r="GVH58" s="53"/>
      <c r="GVI58" s="53"/>
      <c r="GVJ58" s="53"/>
      <c r="GVK58" s="53"/>
      <c r="GVL58" s="53"/>
      <c r="GVM58" s="53"/>
      <c r="GVN58" s="53"/>
      <c r="GVO58" s="53"/>
      <c r="GVP58" s="53"/>
      <c r="GVQ58" s="53"/>
      <c r="GVR58" s="53"/>
      <c r="GVS58" s="53"/>
      <c r="GVT58" s="53"/>
      <c r="GVU58" s="53"/>
      <c r="GVV58" s="53"/>
      <c r="GVW58" s="53"/>
      <c r="GVX58" s="53"/>
      <c r="GVY58" s="53"/>
      <c r="GVZ58" s="53"/>
      <c r="GWA58" s="53"/>
      <c r="GWB58" s="53"/>
      <c r="GWC58" s="53"/>
      <c r="GWD58" s="53"/>
      <c r="GWE58" s="53"/>
      <c r="GWF58" s="53"/>
      <c r="GWG58" s="53"/>
      <c r="GWH58" s="53"/>
      <c r="GWI58" s="53"/>
      <c r="GWJ58" s="53"/>
      <c r="GWK58" s="53"/>
      <c r="GWL58" s="53"/>
      <c r="GWM58" s="53"/>
      <c r="GWN58" s="53"/>
      <c r="GWO58" s="53"/>
      <c r="GWP58" s="53"/>
      <c r="GWQ58" s="53"/>
      <c r="GWR58" s="53"/>
      <c r="GWS58" s="53"/>
      <c r="GWT58" s="53"/>
      <c r="GWU58" s="53"/>
      <c r="GWV58" s="53"/>
      <c r="GWW58" s="53"/>
      <c r="GWX58" s="53"/>
      <c r="GWY58" s="53"/>
      <c r="GWZ58" s="53"/>
      <c r="GXA58" s="53"/>
      <c r="GXB58" s="53"/>
      <c r="GXC58" s="53"/>
      <c r="GXD58" s="53"/>
      <c r="GXE58" s="53"/>
      <c r="GXF58" s="53"/>
      <c r="GXG58" s="53"/>
      <c r="GXH58" s="53"/>
      <c r="GXI58" s="53"/>
      <c r="GXJ58" s="53"/>
      <c r="GXK58" s="53"/>
      <c r="GXL58" s="53"/>
      <c r="GXM58" s="53"/>
      <c r="GXN58" s="53"/>
      <c r="GXO58" s="53"/>
      <c r="GXP58" s="53"/>
      <c r="GXQ58" s="53"/>
      <c r="GXR58" s="53"/>
      <c r="GXS58" s="53"/>
      <c r="GXT58" s="53"/>
      <c r="GXU58" s="53"/>
      <c r="GXV58" s="53"/>
      <c r="GXW58" s="53"/>
      <c r="GXX58" s="53"/>
      <c r="GXY58" s="53"/>
      <c r="GXZ58" s="53"/>
      <c r="GYA58" s="53"/>
      <c r="GYB58" s="53"/>
      <c r="GYC58" s="53"/>
      <c r="GYD58" s="53"/>
      <c r="GYE58" s="53"/>
      <c r="GYF58" s="53"/>
      <c r="GYG58" s="53"/>
      <c r="GYH58" s="53"/>
      <c r="GYI58" s="53"/>
      <c r="GYJ58" s="53"/>
      <c r="GYK58" s="53"/>
      <c r="GYL58" s="53"/>
      <c r="GYM58" s="53"/>
      <c r="GYN58" s="53"/>
      <c r="GYO58" s="53"/>
      <c r="GYP58" s="53"/>
      <c r="GYQ58" s="53"/>
      <c r="GYR58" s="53"/>
      <c r="GYS58" s="53"/>
      <c r="GYT58" s="53"/>
      <c r="GYU58" s="53"/>
      <c r="GYV58" s="53"/>
      <c r="GYW58" s="53"/>
      <c r="GYX58" s="53"/>
      <c r="GYY58" s="53"/>
      <c r="GYZ58" s="53"/>
      <c r="GZA58" s="53"/>
      <c r="GZB58" s="53"/>
      <c r="GZC58" s="53"/>
      <c r="GZD58" s="53"/>
      <c r="GZE58" s="53"/>
      <c r="GZF58" s="53"/>
      <c r="GZG58" s="53"/>
      <c r="GZH58" s="53"/>
      <c r="GZI58" s="53"/>
      <c r="GZJ58" s="53"/>
      <c r="GZK58" s="53"/>
      <c r="GZL58" s="53"/>
      <c r="GZM58" s="53"/>
      <c r="GZN58" s="53"/>
      <c r="GZO58" s="53"/>
      <c r="GZP58" s="53"/>
      <c r="GZQ58" s="53"/>
      <c r="GZR58" s="53"/>
      <c r="GZS58" s="53"/>
      <c r="GZT58" s="53"/>
      <c r="GZU58" s="53"/>
      <c r="GZV58" s="53"/>
      <c r="GZW58" s="53"/>
      <c r="GZX58" s="53"/>
      <c r="GZY58" s="53"/>
      <c r="GZZ58" s="53"/>
      <c r="HAA58" s="53"/>
      <c r="HAB58" s="53"/>
      <c r="HAC58" s="53"/>
      <c r="HAD58" s="53"/>
      <c r="HAE58" s="53"/>
      <c r="HAF58" s="53"/>
      <c r="HAG58" s="53"/>
      <c r="HAH58" s="53"/>
      <c r="HAI58" s="53"/>
      <c r="HAJ58" s="53"/>
      <c r="HAK58" s="53"/>
      <c r="HAL58" s="53"/>
      <c r="HAM58" s="53"/>
      <c r="HAN58" s="53"/>
      <c r="HAO58" s="53"/>
      <c r="HAP58" s="53"/>
      <c r="HAQ58" s="53"/>
      <c r="HAR58" s="53"/>
      <c r="HAS58" s="53"/>
      <c r="HAT58" s="53"/>
      <c r="HAU58" s="53"/>
      <c r="HAV58" s="53"/>
      <c r="HAW58" s="53"/>
      <c r="HAX58" s="53"/>
      <c r="HAY58" s="53"/>
      <c r="HAZ58" s="53"/>
      <c r="HBA58" s="53"/>
      <c r="HBB58" s="53"/>
      <c r="HBC58" s="53"/>
      <c r="HBD58" s="53"/>
      <c r="HBE58" s="53"/>
      <c r="HBF58" s="53"/>
      <c r="HBG58" s="53"/>
      <c r="HBH58" s="53"/>
      <c r="HBI58" s="53"/>
      <c r="HBJ58" s="53"/>
      <c r="HBK58" s="53"/>
      <c r="HBL58" s="53"/>
      <c r="HBM58" s="53"/>
      <c r="HBN58" s="53"/>
      <c r="HBO58" s="53"/>
      <c r="HBP58" s="53"/>
      <c r="HBQ58" s="53"/>
      <c r="HBR58" s="53"/>
      <c r="HBS58" s="53"/>
      <c r="HBT58" s="53"/>
      <c r="HBU58" s="53"/>
      <c r="HBV58" s="53"/>
      <c r="HBW58" s="53"/>
      <c r="HBX58" s="53"/>
      <c r="HBY58" s="53"/>
      <c r="HBZ58" s="53"/>
      <c r="HCA58" s="53"/>
      <c r="HCB58" s="53"/>
      <c r="HCC58" s="53"/>
      <c r="HCD58" s="53"/>
      <c r="HCE58" s="53"/>
      <c r="HCF58" s="53"/>
      <c r="HCG58" s="53"/>
      <c r="HCH58" s="53"/>
      <c r="HCI58" s="53"/>
      <c r="HCJ58" s="53"/>
      <c r="HCK58" s="53"/>
      <c r="HCL58" s="53"/>
      <c r="HCM58" s="53"/>
      <c r="HCN58" s="53"/>
      <c r="HCO58" s="53"/>
      <c r="HCP58" s="53"/>
      <c r="HCQ58" s="53"/>
      <c r="HCR58" s="53"/>
      <c r="HCS58" s="53"/>
      <c r="HCT58" s="53"/>
      <c r="HCU58" s="53"/>
      <c r="HCV58" s="53"/>
      <c r="HCW58" s="53"/>
      <c r="HCX58" s="53"/>
      <c r="HCY58" s="53"/>
      <c r="HCZ58" s="53"/>
      <c r="HDA58" s="53"/>
      <c r="HDB58" s="53"/>
      <c r="HDC58" s="53"/>
      <c r="HDD58" s="53"/>
      <c r="HDE58" s="53"/>
      <c r="HDF58" s="53"/>
      <c r="HDG58" s="53"/>
      <c r="HDH58" s="53"/>
      <c r="HDI58" s="53"/>
      <c r="HDJ58" s="53"/>
      <c r="HDK58" s="53"/>
      <c r="HDL58" s="53"/>
      <c r="HDM58" s="53"/>
      <c r="HDN58" s="53"/>
      <c r="HDO58" s="53"/>
      <c r="HDP58" s="53"/>
      <c r="HDQ58" s="53"/>
      <c r="HDR58" s="53"/>
      <c r="HDS58" s="53"/>
      <c r="HDT58" s="53"/>
      <c r="HDU58" s="53"/>
      <c r="HDV58" s="53"/>
      <c r="HDW58" s="53"/>
      <c r="HDX58" s="53"/>
      <c r="HDY58" s="53"/>
      <c r="HDZ58" s="53"/>
      <c r="HEA58" s="53"/>
      <c r="HEB58" s="53"/>
      <c r="HEC58" s="53"/>
      <c r="HED58" s="53"/>
      <c r="HEE58" s="53"/>
      <c r="HEF58" s="53"/>
      <c r="HEG58" s="53"/>
      <c r="HEH58" s="53"/>
      <c r="HEI58" s="53"/>
      <c r="HEJ58" s="53"/>
      <c r="HEK58" s="53"/>
      <c r="HEL58" s="53"/>
      <c r="HEM58" s="53"/>
      <c r="HEN58" s="53"/>
      <c r="HEO58" s="53"/>
      <c r="HEP58" s="53"/>
      <c r="HEQ58" s="53"/>
      <c r="HER58" s="53"/>
      <c r="HES58" s="53"/>
      <c r="HET58" s="53"/>
      <c r="HEU58" s="53"/>
      <c r="HEV58" s="53"/>
      <c r="HEW58" s="53"/>
      <c r="HEX58" s="53"/>
      <c r="HEY58" s="53"/>
      <c r="HEZ58" s="53"/>
      <c r="HFA58" s="53"/>
      <c r="HFB58" s="53"/>
      <c r="HFC58" s="53"/>
      <c r="HFD58" s="53"/>
      <c r="HFE58" s="53"/>
      <c r="HFF58" s="53"/>
      <c r="HFG58" s="53"/>
      <c r="HFH58" s="53"/>
      <c r="HFI58" s="53"/>
      <c r="HFJ58" s="53"/>
      <c r="HFK58" s="53"/>
      <c r="HFL58" s="53"/>
      <c r="HFM58" s="53"/>
      <c r="HFN58" s="53"/>
      <c r="HFO58" s="53"/>
      <c r="HFP58" s="53"/>
      <c r="HFQ58" s="53"/>
      <c r="HFR58" s="53"/>
      <c r="HFS58" s="53"/>
      <c r="HFT58" s="53"/>
      <c r="HFU58" s="53"/>
      <c r="HFV58" s="53"/>
      <c r="HFW58" s="53"/>
      <c r="HFX58" s="53"/>
      <c r="HFY58" s="53"/>
      <c r="HFZ58" s="53"/>
      <c r="HGA58" s="53"/>
      <c r="HGB58" s="53"/>
      <c r="HGC58" s="53"/>
      <c r="HGD58" s="53"/>
      <c r="HGE58" s="53"/>
      <c r="HGF58" s="53"/>
      <c r="HGG58" s="53"/>
      <c r="HGH58" s="53"/>
      <c r="HGI58" s="53"/>
      <c r="HGJ58" s="53"/>
      <c r="HGK58" s="53"/>
      <c r="HGL58" s="53"/>
      <c r="HGM58" s="53"/>
      <c r="HGN58" s="53"/>
      <c r="HGO58" s="53"/>
      <c r="HGP58" s="53"/>
      <c r="HGQ58" s="53"/>
      <c r="HGR58" s="53"/>
      <c r="HGS58" s="53"/>
      <c r="HGT58" s="53"/>
      <c r="HGU58" s="53"/>
      <c r="HGV58" s="53"/>
      <c r="HGW58" s="53"/>
      <c r="HGX58" s="53"/>
      <c r="HGY58" s="53"/>
      <c r="HGZ58" s="53"/>
      <c r="HHA58" s="53"/>
      <c r="HHB58" s="53"/>
      <c r="HHC58" s="53"/>
      <c r="HHD58" s="53"/>
      <c r="HHE58" s="53"/>
      <c r="HHF58" s="53"/>
      <c r="HHG58" s="53"/>
      <c r="HHH58" s="53"/>
      <c r="HHI58" s="53"/>
      <c r="HHJ58" s="53"/>
      <c r="HHK58" s="53"/>
      <c r="HHL58" s="53"/>
      <c r="HHM58" s="53"/>
      <c r="HHN58" s="53"/>
      <c r="HHO58" s="53"/>
      <c r="HHP58" s="53"/>
      <c r="HHQ58" s="53"/>
      <c r="HHR58" s="53"/>
      <c r="HHS58" s="53"/>
      <c r="HHT58" s="53"/>
      <c r="HHU58" s="53"/>
      <c r="HHV58" s="53"/>
      <c r="HHW58" s="53"/>
      <c r="HHX58" s="53"/>
      <c r="HHY58" s="53"/>
      <c r="HHZ58" s="53"/>
      <c r="HIA58" s="53"/>
      <c r="HIB58" s="53"/>
      <c r="HIC58" s="53"/>
      <c r="HID58" s="53"/>
      <c r="HIE58" s="53"/>
      <c r="HIF58" s="53"/>
      <c r="HIG58" s="53"/>
      <c r="HIH58" s="53"/>
      <c r="HII58" s="53"/>
      <c r="HIJ58" s="53"/>
      <c r="HIK58" s="53"/>
      <c r="HIL58" s="53"/>
      <c r="HIM58" s="53"/>
      <c r="HIN58" s="53"/>
      <c r="HIO58" s="53"/>
      <c r="HIP58" s="53"/>
      <c r="HIQ58" s="53"/>
      <c r="HIR58" s="53"/>
      <c r="HIS58" s="53"/>
      <c r="HIT58" s="53"/>
      <c r="HIU58" s="53"/>
      <c r="HIV58" s="53"/>
      <c r="HIW58" s="53"/>
      <c r="HIX58" s="53"/>
      <c r="HIY58" s="53"/>
      <c r="HIZ58" s="53"/>
      <c r="HJA58" s="53"/>
      <c r="HJB58" s="53"/>
      <c r="HJC58" s="53"/>
      <c r="HJD58" s="53"/>
      <c r="HJE58" s="53"/>
      <c r="HJF58" s="53"/>
      <c r="HJG58" s="53"/>
      <c r="HJH58" s="53"/>
      <c r="HJI58" s="53"/>
      <c r="HJJ58" s="53"/>
      <c r="HJK58" s="53"/>
      <c r="HJL58" s="53"/>
      <c r="HJM58" s="53"/>
      <c r="HJN58" s="53"/>
      <c r="HJO58" s="53"/>
      <c r="HJP58" s="53"/>
      <c r="HJQ58" s="53"/>
      <c r="HJR58" s="53"/>
      <c r="HJS58" s="53"/>
      <c r="HJT58" s="53"/>
      <c r="HJU58" s="53"/>
      <c r="HJV58" s="53"/>
      <c r="HJW58" s="53"/>
      <c r="HJX58" s="53"/>
      <c r="HJY58" s="53"/>
      <c r="HJZ58" s="53"/>
      <c r="HKA58" s="53"/>
      <c r="HKB58" s="53"/>
      <c r="HKC58" s="53"/>
      <c r="HKD58" s="53"/>
      <c r="HKE58" s="53"/>
      <c r="HKF58" s="53"/>
      <c r="HKG58" s="53"/>
      <c r="HKH58" s="53"/>
      <c r="HKI58" s="53"/>
      <c r="HKJ58" s="53"/>
      <c r="HKK58" s="53"/>
      <c r="HKL58" s="53"/>
      <c r="HKM58" s="53"/>
      <c r="HKN58" s="53"/>
      <c r="HKO58" s="53"/>
      <c r="HKP58" s="53"/>
      <c r="HKQ58" s="53"/>
      <c r="HKR58" s="53"/>
      <c r="HKS58" s="53"/>
      <c r="HKT58" s="53"/>
      <c r="HKU58" s="53"/>
      <c r="HKV58" s="53"/>
      <c r="HKW58" s="53"/>
      <c r="HKX58" s="53"/>
      <c r="HKY58" s="53"/>
      <c r="HKZ58" s="53"/>
      <c r="HLA58" s="53"/>
      <c r="HLB58" s="53"/>
      <c r="HLC58" s="53"/>
      <c r="HLD58" s="53"/>
      <c r="HLE58" s="53"/>
      <c r="HLF58" s="53"/>
      <c r="HLG58" s="53"/>
      <c r="HLH58" s="53"/>
      <c r="HLI58" s="53"/>
      <c r="HLJ58" s="53"/>
      <c r="HLK58" s="53"/>
      <c r="HLL58" s="53"/>
      <c r="HLM58" s="53"/>
      <c r="HLN58" s="53"/>
      <c r="HLO58" s="53"/>
      <c r="HLP58" s="53"/>
      <c r="HLQ58" s="53"/>
      <c r="HLR58" s="53"/>
      <c r="HLS58" s="53"/>
      <c r="HLT58" s="53"/>
      <c r="HLU58" s="53"/>
      <c r="HLV58" s="53"/>
      <c r="HLW58" s="53"/>
      <c r="HLX58" s="53"/>
      <c r="HLY58" s="53"/>
      <c r="HLZ58" s="53"/>
      <c r="HMA58" s="53"/>
      <c r="HMB58" s="53"/>
      <c r="HMC58" s="53"/>
      <c r="HMD58" s="53"/>
      <c r="HME58" s="53"/>
      <c r="HMF58" s="53"/>
      <c r="HMG58" s="53"/>
      <c r="HMH58" s="53"/>
      <c r="HMI58" s="53"/>
      <c r="HMJ58" s="53"/>
      <c r="HMK58" s="53"/>
      <c r="HML58" s="53"/>
      <c r="HMM58" s="53"/>
      <c r="HMN58" s="53"/>
      <c r="HMO58" s="53"/>
      <c r="HMP58" s="53"/>
      <c r="HMQ58" s="53"/>
      <c r="HMR58" s="53"/>
      <c r="HMS58" s="53"/>
      <c r="HMT58" s="53"/>
      <c r="HMU58" s="53"/>
      <c r="HMV58" s="53"/>
      <c r="HMW58" s="53"/>
      <c r="HMX58" s="53"/>
      <c r="HMY58" s="53"/>
      <c r="HMZ58" s="53"/>
      <c r="HNA58" s="53"/>
      <c r="HNB58" s="53"/>
      <c r="HNC58" s="53"/>
      <c r="HND58" s="53"/>
      <c r="HNE58" s="53"/>
      <c r="HNF58" s="53"/>
      <c r="HNG58" s="53"/>
      <c r="HNH58" s="53"/>
      <c r="HNI58" s="53"/>
      <c r="HNJ58" s="53"/>
      <c r="HNK58" s="53"/>
      <c r="HNL58" s="53"/>
      <c r="HNM58" s="53"/>
      <c r="HNN58" s="53"/>
      <c r="HNO58" s="53"/>
      <c r="HNP58" s="53"/>
      <c r="HNQ58" s="53"/>
      <c r="HNR58" s="53"/>
      <c r="HNS58" s="53"/>
      <c r="HNT58" s="53"/>
      <c r="HNU58" s="53"/>
      <c r="HNV58" s="53"/>
      <c r="HNW58" s="53"/>
      <c r="HNX58" s="53"/>
      <c r="HNY58" s="53"/>
      <c r="HNZ58" s="53"/>
      <c r="HOA58" s="53"/>
      <c r="HOB58" s="53"/>
      <c r="HOC58" s="53"/>
      <c r="HOD58" s="53"/>
      <c r="HOE58" s="53"/>
      <c r="HOF58" s="53"/>
      <c r="HOG58" s="53"/>
      <c r="HOH58" s="53"/>
      <c r="HOI58" s="53"/>
      <c r="HOJ58" s="53"/>
      <c r="HOK58" s="53"/>
      <c r="HOL58" s="53"/>
      <c r="HOM58" s="53"/>
      <c r="HON58" s="53"/>
      <c r="HOO58" s="53"/>
      <c r="HOP58" s="53"/>
      <c r="HOQ58" s="53"/>
      <c r="HOR58" s="53"/>
      <c r="HOS58" s="53"/>
      <c r="HOT58" s="53"/>
      <c r="HOU58" s="53"/>
      <c r="HOV58" s="53"/>
      <c r="HOW58" s="53"/>
      <c r="HOX58" s="53"/>
      <c r="HOY58" s="53"/>
      <c r="HOZ58" s="53"/>
      <c r="HPA58" s="53"/>
      <c r="HPB58" s="53"/>
      <c r="HPC58" s="53"/>
      <c r="HPD58" s="53"/>
      <c r="HPE58" s="53"/>
      <c r="HPF58" s="53"/>
      <c r="HPG58" s="53"/>
      <c r="HPH58" s="53"/>
      <c r="HPI58" s="53"/>
      <c r="HPJ58" s="53"/>
      <c r="HPK58" s="53"/>
      <c r="HPL58" s="53"/>
      <c r="HPM58" s="53"/>
      <c r="HPN58" s="53"/>
      <c r="HPO58" s="53"/>
      <c r="HPP58" s="53"/>
      <c r="HPQ58" s="53"/>
      <c r="HPR58" s="53"/>
      <c r="HPS58" s="53"/>
      <c r="HPT58" s="53"/>
      <c r="HPU58" s="53"/>
      <c r="HPV58" s="53"/>
      <c r="HPW58" s="53"/>
      <c r="HPX58" s="53"/>
      <c r="HPY58" s="53"/>
      <c r="HPZ58" s="53"/>
      <c r="HQA58" s="53"/>
      <c r="HQB58" s="53"/>
      <c r="HQC58" s="53"/>
      <c r="HQD58" s="53"/>
      <c r="HQE58" s="53"/>
      <c r="HQF58" s="53"/>
      <c r="HQG58" s="53"/>
      <c r="HQH58" s="53"/>
      <c r="HQI58" s="53"/>
      <c r="HQJ58" s="53"/>
      <c r="HQK58" s="53"/>
      <c r="HQL58" s="53"/>
      <c r="HQM58" s="53"/>
      <c r="HQN58" s="53"/>
      <c r="HQO58" s="53"/>
      <c r="HQP58" s="53"/>
      <c r="HQQ58" s="53"/>
      <c r="HQR58" s="53"/>
      <c r="HQS58" s="53"/>
      <c r="HQT58" s="53"/>
      <c r="HQU58" s="53"/>
      <c r="HQV58" s="53"/>
      <c r="HQW58" s="53"/>
      <c r="HQX58" s="53"/>
      <c r="HQY58" s="53"/>
      <c r="HQZ58" s="53"/>
      <c r="HRA58" s="53"/>
      <c r="HRB58" s="53"/>
      <c r="HRC58" s="53"/>
      <c r="HRD58" s="53"/>
      <c r="HRE58" s="53"/>
      <c r="HRF58" s="53"/>
      <c r="HRG58" s="53"/>
      <c r="HRH58" s="53"/>
      <c r="HRI58" s="53"/>
      <c r="HRJ58" s="53"/>
      <c r="HRK58" s="53"/>
      <c r="HRL58" s="53"/>
      <c r="HRM58" s="53"/>
      <c r="HRN58" s="53"/>
      <c r="HRO58" s="53"/>
      <c r="HRP58" s="53"/>
      <c r="HRQ58" s="53"/>
      <c r="HRR58" s="53"/>
      <c r="HRS58" s="53"/>
      <c r="HRT58" s="53"/>
      <c r="HRU58" s="53"/>
      <c r="HRV58" s="53"/>
      <c r="HRW58" s="53"/>
      <c r="HRX58" s="53"/>
      <c r="HRY58" s="53"/>
      <c r="HRZ58" s="53"/>
      <c r="HSA58" s="53"/>
      <c r="HSB58" s="53"/>
      <c r="HSC58" s="53"/>
      <c r="HSD58" s="53"/>
      <c r="HSE58" s="53"/>
      <c r="HSF58" s="53"/>
      <c r="HSG58" s="53"/>
      <c r="HSH58" s="53"/>
      <c r="HSI58" s="53"/>
      <c r="HSJ58" s="53"/>
      <c r="HSK58" s="53"/>
      <c r="HSL58" s="53"/>
      <c r="HSM58" s="53"/>
      <c r="HSN58" s="53"/>
      <c r="HSO58" s="53"/>
      <c r="HSP58" s="53"/>
      <c r="HSQ58" s="53"/>
      <c r="HSR58" s="53"/>
      <c r="HSS58" s="53"/>
      <c r="HST58" s="53"/>
      <c r="HSU58" s="53"/>
      <c r="HSV58" s="53"/>
      <c r="HSW58" s="53"/>
      <c r="HSX58" s="53"/>
      <c r="HSY58" s="53"/>
      <c r="HSZ58" s="53"/>
      <c r="HTA58" s="53"/>
      <c r="HTB58" s="53"/>
      <c r="HTC58" s="53"/>
      <c r="HTD58" s="53"/>
      <c r="HTE58" s="53"/>
      <c r="HTF58" s="53"/>
      <c r="HTG58" s="53"/>
      <c r="HTH58" s="53"/>
      <c r="HTI58" s="53"/>
      <c r="HTJ58" s="53"/>
      <c r="HTK58" s="53"/>
      <c r="HTL58" s="53"/>
      <c r="HTM58" s="53"/>
      <c r="HTN58" s="53"/>
      <c r="HTO58" s="53"/>
      <c r="HTP58" s="53"/>
      <c r="HTQ58" s="53"/>
      <c r="HTR58" s="53"/>
      <c r="HTS58" s="53"/>
      <c r="HTT58" s="53"/>
      <c r="HTU58" s="53"/>
      <c r="HTV58" s="53"/>
      <c r="HTW58" s="53"/>
      <c r="HTX58" s="53"/>
      <c r="HTY58" s="53"/>
      <c r="HTZ58" s="53"/>
      <c r="HUA58" s="53"/>
      <c r="HUB58" s="53"/>
      <c r="HUC58" s="53"/>
      <c r="HUD58" s="53"/>
      <c r="HUE58" s="53"/>
      <c r="HUF58" s="53"/>
      <c r="HUG58" s="53"/>
      <c r="HUH58" s="53"/>
      <c r="HUI58" s="53"/>
      <c r="HUJ58" s="53"/>
      <c r="HUK58" s="53"/>
      <c r="HUL58" s="53"/>
      <c r="HUM58" s="53"/>
      <c r="HUN58" s="53"/>
      <c r="HUO58" s="53"/>
      <c r="HUP58" s="53"/>
      <c r="HUQ58" s="53"/>
      <c r="HUR58" s="53"/>
      <c r="HUS58" s="53"/>
      <c r="HUT58" s="53"/>
      <c r="HUU58" s="53"/>
      <c r="HUV58" s="53"/>
      <c r="HUW58" s="53"/>
      <c r="HUX58" s="53"/>
      <c r="HUY58" s="53"/>
      <c r="HUZ58" s="53"/>
      <c r="HVA58" s="53"/>
      <c r="HVB58" s="53"/>
      <c r="HVC58" s="53"/>
      <c r="HVD58" s="53"/>
      <c r="HVE58" s="53"/>
      <c r="HVF58" s="53"/>
      <c r="HVG58" s="53"/>
      <c r="HVH58" s="53"/>
      <c r="HVI58" s="53"/>
      <c r="HVJ58" s="53"/>
      <c r="HVK58" s="53"/>
      <c r="HVL58" s="53"/>
      <c r="HVM58" s="53"/>
      <c r="HVN58" s="53"/>
      <c r="HVO58" s="53"/>
      <c r="HVP58" s="53"/>
      <c r="HVQ58" s="53"/>
      <c r="HVR58" s="53"/>
      <c r="HVS58" s="53"/>
      <c r="HVT58" s="53"/>
      <c r="HVU58" s="53"/>
      <c r="HVV58" s="53"/>
      <c r="HVW58" s="53"/>
      <c r="HVX58" s="53"/>
      <c r="HVY58" s="53"/>
      <c r="HVZ58" s="53"/>
      <c r="HWA58" s="53"/>
      <c r="HWB58" s="53"/>
      <c r="HWC58" s="53"/>
      <c r="HWD58" s="53"/>
      <c r="HWE58" s="53"/>
      <c r="HWF58" s="53"/>
      <c r="HWG58" s="53"/>
      <c r="HWH58" s="53"/>
      <c r="HWI58" s="53"/>
      <c r="HWJ58" s="53"/>
      <c r="HWK58" s="53"/>
      <c r="HWL58" s="53"/>
      <c r="HWM58" s="53"/>
      <c r="HWN58" s="53"/>
      <c r="HWO58" s="53"/>
      <c r="HWP58" s="53"/>
      <c r="HWQ58" s="53"/>
      <c r="HWR58" s="53"/>
      <c r="HWS58" s="53"/>
      <c r="HWT58" s="53"/>
      <c r="HWU58" s="53"/>
      <c r="HWV58" s="53"/>
      <c r="HWW58" s="53"/>
      <c r="HWX58" s="53"/>
      <c r="HWY58" s="53"/>
      <c r="HWZ58" s="53"/>
      <c r="HXA58" s="53"/>
      <c r="HXB58" s="53"/>
      <c r="HXC58" s="53"/>
      <c r="HXD58" s="53"/>
      <c r="HXE58" s="53"/>
      <c r="HXF58" s="53"/>
      <c r="HXG58" s="53"/>
      <c r="HXH58" s="53"/>
      <c r="HXI58" s="53"/>
      <c r="HXJ58" s="53"/>
      <c r="HXK58" s="53"/>
      <c r="HXL58" s="53"/>
      <c r="HXM58" s="53"/>
      <c r="HXN58" s="53"/>
      <c r="HXO58" s="53"/>
      <c r="HXP58" s="53"/>
      <c r="HXQ58" s="53"/>
      <c r="HXR58" s="53"/>
      <c r="HXS58" s="53"/>
      <c r="HXT58" s="53"/>
      <c r="HXU58" s="53"/>
      <c r="HXV58" s="53"/>
      <c r="HXW58" s="53"/>
      <c r="HXX58" s="53"/>
      <c r="HXY58" s="53"/>
      <c r="HXZ58" s="53"/>
      <c r="HYA58" s="53"/>
      <c r="HYB58" s="53"/>
      <c r="HYC58" s="53"/>
      <c r="HYD58" s="53"/>
      <c r="HYE58" s="53"/>
      <c r="HYF58" s="53"/>
      <c r="HYG58" s="53"/>
      <c r="HYH58" s="53"/>
      <c r="HYI58" s="53"/>
      <c r="HYJ58" s="53"/>
      <c r="HYK58" s="53"/>
      <c r="HYL58" s="53"/>
      <c r="HYM58" s="53"/>
      <c r="HYN58" s="53"/>
      <c r="HYO58" s="53"/>
      <c r="HYP58" s="53"/>
      <c r="HYQ58" s="53"/>
      <c r="HYR58" s="53"/>
      <c r="HYS58" s="53"/>
      <c r="HYT58" s="53"/>
      <c r="HYU58" s="53"/>
      <c r="HYV58" s="53"/>
      <c r="HYW58" s="53"/>
      <c r="HYX58" s="53"/>
      <c r="HYY58" s="53"/>
      <c r="HYZ58" s="53"/>
      <c r="HZA58" s="53"/>
      <c r="HZB58" s="53"/>
      <c r="HZC58" s="53"/>
      <c r="HZD58" s="53"/>
      <c r="HZE58" s="53"/>
      <c r="HZF58" s="53"/>
      <c r="HZG58" s="53"/>
      <c r="HZH58" s="53"/>
      <c r="HZI58" s="53"/>
      <c r="HZJ58" s="53"/>
      <c r="HZK58" s="53"/>
      <c r="HZL58" s="53"/>
      <c r="HZM58" s="53"/>
      <c r="HZN58" s="53"/>
      <c r="HZO58" s="53"/>
      <c r="HZP58" s="53"/>
      <c r="HZQ58" s="53"/>
      <c r="HZR58" s="53"/>
      <c r="HZS58" s="53"/>
      <c r="HZT58" s="53"/>
      <c r="HZU58" s="53"/>
      <c r="HZV58" s="53"/>
      <c r="HZW58" s="53"/>
      <c r="HZX58" s="53"/>
      <c r="HZY58" s="53"/>
      <c r="HZZ58" s="53"/>
      <c r="IAA58" s="53"/>
      <c r="IAB58" s="53"/>
      <c r="IAC58" s="53"/>
      <c r="IAD58" s="53"/>
      <c r="IAE58" s="53"/>
      <c r="IAF58" s="53"/>
      <c r="IAG58" s="53"/>
      <c r="IAH58" s="53"/>
      <c r="IAI58" s="53"/>
      <c r="IAJ58" s="53"/>
      <c r="IAK58" s="53"/>
      <c r="IAL58" s="53"/>
      <c r="IAM58" s="53"/>
      <c r="IAN58" s="53"/>
      <c r="IAO58" s="53"/>
      <c r="IAP58" s="53"/>
      <c r="IAQ58" s="53"/>
      <c r="IAR58" s="53"/>
      <c r="IAS58" s="53"/>
      <c r="IAT58" s="53"/>
      <c r="IAU58" s="53"/>
      <c r="IAV58" s="53"/>
      <c r="IAW58" s="53"/>
      <c r="IAX58" s="53"/>
      <c r="IAY58" s="53"/>
      <c r="IAZ58" s="53"/>
      <c r="IBA58" s="53"/>
      <c r="IBB58" s="53"/>
      <c r="IBC58" s="53"/>
      <c r="IBD58" s="53"/>
      <c r="IBE58" s="53"/>
      <c r="IBF58" s="53"/>
      <c r="IBG58" s="53"/>
      <c r="IBH58" s="53"/>
      <c r="IBI58" s="53"/>
      <c r="IBJ58" s="53"/>
      <c r="IBK58" s="53"/>
      <c r="IBL58" s="53"/>
      <c r="IBM58" s="53"/>
      <c r="IBN58" s="53"/>
      <c r="IBO58" s="53"/>
      <c r="IBP58" s="53"/>
      <c r="IBQ58" s="53"/>
      <c r="IBR58" s="53"/>
      <c r="IBS58" s="53"/>
      <c r="IBT58" s="53"/>
      <c r="IBU58" s="53"/>
      <c r="IBV58" s="53"/>
      <c r="IBW58" s="53"/>
      <c r="IBX58" s="53"/>
      <c r="IBY58" s="53"/>
      <c r="IBZ58" s="53"/>
      <c r="ICA58" s="53"/>
      <c r="ICB58" s="53"/>
      <c r="ICC58" s="53"/>
      <c r="ICD58" s="53"/>
      <c r="ICE58" s="53"/>
      <c r="ICF58" s="53"/>
      <c r="ICG58" s="53"/>
      <c r="ICH58" s="53"/>
      <c r="ICI58" s="53"/>
      <c r="ICJ58" s="53"/>
      <c r="ICK58" s="53"/>
      <c r="ICL58" s="53"/>
      <c r="ICM58" s="53"/>
      <c r="ICN58" s="53"/>
      <c r="ICO58" s="53"/>
      <c r="ICP58" s="53"/>
      <c r="ICQ58" s="53"/>
      <c r="ICR58" s="53"/>
      <c r="ICS58" s="53"/>
      <c r="ICT58" s="53"/>
      <c r="ICU58" s="53"/>
      <c r="ICV58" s="53"/>
      <c r="ICW58" s="53"/>
      <c r="ICX58" s="53"/>
      <c r="ICY58" s="53"/>
      <c r="ICZ58" s="53"/>
      <c r="IDA58" s="53"/>
      <c r="IDB58" s="53"/>
      <c r="IDC58" s="53"/>
      <c r="IDD58" s="53"/>
      <c r="IDE58" s="53"/>
      <c r="IDF58" s="53"/>
      <c r="IDG58" s="53"/>
      <c r="IDH58" s="53"/>
      <c r="IDI58" s="53"/>
      <c r="IDJ58" s="53"/>
      <c r="IDK58" s="53"/>
      <c r="IDL58" s="53"/>
      <c r="IDM58" s="53"/>
      <c r="IDN58" s="53"/>
      <c r="IDO58" s="53"/>
      <c r="IDP58" s="53"/>
      <c r="IDQ58" s="53"/>
      <c r="IDR58" s="53"/>
      <c r="IDS58" s="53"/>
      <c r="IDT58" s="53"/>
      <c r="IDU58" s="53"/>
      <c r="IDV58" s="53"/>
      <c r="IDW58" s="53"/>
      <c r="IDX58" s="53"/>
      <c r="IDY58" s="53"/>
      <c r="IDZ58" s="53"/>
      <c r="IEA58" s="53"/>
      <c r="IEB58" s="53"/>
      <c r="IEC58" s="53"/>
      <c r="IED58" s="53"/>
      <c r="IEE58" s="53"/>
      <c r="IEF58" s="53"/>
      <c r="IEG58" s="53"/>
      <c r="IEH58" s="53"/>
      <c r="IEI58" s="53"/>
      <c r="IEJ58" s="53"/>
      <c r="IEK58" s="53"/>
      <c r="IEL58" s="53"/>
      <c r="IEM58" s="53"/>
      <c r="IEN58" s="53"/>
      <c r="IEO58" s="53"/>
      <c r="IEP58" s="53"/>
      <c r="IEQ58" s="53"/>
      <c r="IER58" s="53"/>
      <c r="IES58" s="53"/>
      <c r="IET58" s="53"/>
      <c r="IEU58" s="53"/>
      <c r="IEV58" s="53"/>
      <c r="IEW58" s="53"/>
      <c r="IEX58" s="53"/>
      <c r="IEY58" s="53"/>
      <c r="IEZ58" s="53"/>
      <c r="IFA58" s="53"/>
      <c r="IFB58" s="53"/>
      <c r="IFC58" s="53"/>
      <c r="IFD58" s="53"/>
      <c r="IFE58" s="53"/>
      <c r="IFF58" s="53"/>
      <c r="IFG58" s="53"/>
      <c r="IFH58" s="53"/>
      <c r="IFI58" s="53"/>
      <c r="IFJ58" s="53"/>
      <c r="IFK58" s="53"/>
      <c r="IFL58" s="53"/>
      <c r="IFM58" s="53"/>
      <c r="IFN58" s="53"/>
      <c r="IFO58" s="53"/>
      <c r="IFP58" s="53"/>
      <c r="IFQ58" s="53"/>
      <c r="IFR58" s="53"/>
      <c r="IFS58" s="53"/>
      <c r="IFT58" s="53"/>
      <c r="IFU58" s="53"/>
      <c r="IFV58" s="53"/>
      <c r="IFW58" s="53"/>
      <c r="IFX58" s="53"/>
      <c r="IFY58" s="53"/>
      <c r="IFZ58" s="53"/>
      <c r="IGA58" s="53"/>
      <c r="IGB58" s="53"/>
      <c r="IGC58" s="53"/>
      <c r="IGD58" s="53"/>
      <c r="IGE58" s="53"/>
      <c r="IGF58" s="53"/>
      <c r="IGG58" s="53"/>
      <c r="IGH58" s="53"/>
      <c r="IGI58" s="53"/>
      <c r="IGJ58" s="53"/>
      <c r="IGK58" s="53"/>
      <c r="IGL58" s="53"/>
      <c r="IGM58" s="53"/>
      <c r="IGN58" s="53"/>
      <c r="IGO58" s="53"/>
      <c r="IGP58" s="53"/>
      <c r="IGQ58" s="53"/>
      <c r="IGR58" s="53"/>
      <c r="IGS58" s="53"/>
      <c r="IGT58" s="53"/>
      <c r="IGU58" s="53"/>
      <c r="IGV58" s="53"/>
      <c r="IGW58" s="53"/>
      <c r="IGX58" s="53"/>
      <c r="IGY58" s="53"/>
      <c r="IGZ58" s="53"/>
      <c r="IHA58" s="53"/>
      <c r="IHB58" s="53"/>
      <c r="IHC58" s="53"/>
      <c r="IHD58" s="53"/>
      <c r="IHE58" s="53"/>
      <c r="IHF58" s="53"/>
      <c r="IHG58" s="53"/>
      <c r="IHH58" s="53"/>
      <c r="IHI58" s="53"/>
      <c r="IHJ58" s="53"/>
      <c r="IHK58" s="53"/>
      <c r="IHL58" s="53"/>
      <c r="IHM58" s="53"/>
      <c r="IHN58" s="53"/>
      <c r="IHO58" s="53"/>
      <c r="IHP58" s="53"/>
      <c r="IHQ58" s="53"/>
      <c r="IHR58" s="53"/>
      <c r="IHS58" s="53"/>
      <c r="IHT58" s="53"/>
      <c r="IHU58" s="53"/>
      <c r="IHV58" s="53"/>
      <c r="IHW58" s="53"/>
      <c r="IHX58" s="53"/>
      <c r="IHY58" s="53"/>
      <c r="IHZ58" s="53"/>
      <c r="IIA58" s="53"/>
      <c r="IIB58" s="53"/>
      <c r="IIC58" s="53"/>
      <c r="IID58" s="53"/>
      <c r="IIE58" s="53"/>
      <c r="IIF58" s="53"/>
      <c r="IIG58" s="53"/>
      <c r="IIH58" s="53"/>
      <c r="III58" s="53"/>
      <c r="IIJ58" s="53"/>
      <c r="IIK58" s="53"/>
      <c r="IIL58" s="53"/>
      <c r="IIM58" s="53"/>
      <c r="IIN58" s="53"/>
      <c r="IIO58" s="53"/>
      <c r="IIP58" s="53"/>
      <c r="IIQ58" s="53"/>
      <c r="IIR58" s="53"/>
      <c r="IIS58" s="53"/>
      <c r="IIT58" s="53"/>
      <c r="IIU58" s="53"/>
      <c r="IIV58" s="53"/>
      <c r="IIW58" s="53"/>
      <c r="IIX58" s="53"/>
      <c r="IIY58" s="53"/>
      <c r="IIZ58" s="53"/>
      <c r="IJA58" s="53"/>
      <c r="IJB58" s="53"/>
      <c r="IJC58" s="53"/>
      <c r="IJD58" s="53"/>
      <c r="IJE58" s="53"/>
      <c r="IJF58" s="53"/>
      <c r="IJG58" s="53"/>
      <c r="IJH58" s="53"/>
      <c r="IJI58" s="53"/>
      <c r="IJJ58" s="53"/>
      <c r="IJK58" s="53"/>
      <c r="IJL58" s="53"/>
      <c r="IJM58" s="53"/>
      <c r="IJN58" s="53"/>
      <c r="IJO58" s="53"/>
      <c r="IJP58" s="53"/>
      <c r="IJQ58" s="53"/>
      <c r="IJR58" s="53"/>
      <c r="IJS58" s="53"/>
      <c r="IJT58" s="53"/>
      <c r="IJU58" s="53"/>
      <c r="IJV58" s="53"/>
      <c r="IJW58" s="53"/>
      <c r="IJX58" s="53"/>
      <c r="IJY58" s="53"/>
      <c r="IJZ58" s="53"/>
      <c r="IKA58" s="53"/>
      <c r="IKB58" s="53"/>
      <c r="IKC58" s="53"/>
      <c r="IKD58" s="53"/>
      <c r="IKE58" s="53"/>
      <c r="IKF58" s="53"/>
      <c r="IKG58" s="53"/>
      <c r="IKH58" s="53"/>
      <c r="IKI58" s="53"/>
      <c r="IKJ58" s="53"/>
      <c r="IKK58" s="53"/>
      <c r="IKL58" s="53"/>
      <c r="IKM58" s="53"/>
      <c r="IKN58" s="53"/>
      <c r="IKO58" s="53"/>
      <c r="IKP58" s="53"/>
      <c r="IKQ58" s="53"/>
      <c r="IKR58" s="53"/>
      <c r="IKS58" s="53"/>
      <c r="IKT58" s="53"/>
      <c r="IKU58" s="53"/>
      <c r="IKV58" s="53"/>
      <c r="IKW58" s="53"/>
      <c r="IKX58" s="53"/>
      <c r="IKY58" s="53"/>
      <c r="IKZ58" s="53"/>
      <c r="ILA58" s="53"/>
      <c r="ILB58" s="53"/>
      <c r="ILC58" s="53"/>
      <c r="ILD58" s="53"/>
      <c r="ILE58" s="53"/>
      <c r="ILF58" s="53"/>
      <c r="ILG58" s="53"/>
      <c r="ILH58" s="53"/>
      <c r="ILI58" s="53"/>
      <c r="ILJ58" s="53"/>
      <c r="ILK58" s="53"/>
      <c r="ILL58" s="53"/>
      <c r="ILM58" s="53"/>
      <c r="ILN58" s="53"/>
      <c r="ILO58" s="53"/>
      <c r="ILP58" s="53"/>
      <c r="ILQ58" s="53"/>
      <c r="ILR58" s="53"/>
      <c r="ILS58" s="53"/>
      <c r="ILT58" s="53"/>
      <c r="ILU58" s="53"/>
      <c r="ILV58" s="53"/>
      <c r="ILW58" s="53"/>
      <c r="ILX58" s="53"/>
      <c r="ILY58" s="53"/>
      <c r="ILZ58" s="53"/>
      <c r="IMA58" s="53"/>
      <c r="IMB58" s="53"/>
      <c r="IMC58" s="53"/>
      <c r="IMD58" s="53"/>
      <c r="IME58" s="53"/>
      <c r="IMF58" s="53"/>
      <c r="IMG58" s="53"/>
      <c r="IMH58" s="53"/>
      <c r="IMI58" s="53"/>
      <c r="IMJ58" s="53"/>
      <c r="IMK58" s="53"/>
      <c r="IML58" s="53"/>
      <c r="IMM58" s="53"/>
      <c r="IMN58" s="53"/>
      <c r="IMO58" s="53"/>
      <c r="IMP58" s="53"/>
      <c r="IMQ58" s="53"/>
      <c r="IMR58" s="53"/>
      <c r="IMS58" s="53"/>
      <c r="IMT58" s="53"/>
      <c r="IMU58" s="53"/>
      <c r="IMV58" s="53"/>
      <c r="IMW58" s="53"/>
      <c r="IMX58" s="53"/>
      <c r="IMY58" s="53"/>
      <c r="IMZ58" s="53"/>
      <c r="INA58" s="53"/>
      <c r="INB58" s="53"/>
      <c r="INC58" s="53"/>
      <c r="IND58" s="53"/>
      <c r="INE58" s="53"/>
      <c r="INF58" s="53"/>
      <c r="ING58" s="53"/>
      <c r="INH58" s="53"/>
      <c r="INI58" s="53"/>
      <c r="INJ58" s="53"/>
      <c r="INK58" s="53"/>
      <c r="INL58" s="53"/>
      <c r="INM58" s="53"/>
      <c r="INN58" s="53"/>
      <c r="INO58" s="53"/>
      <c r="INP58" s="53"/>
      <c r="INQ58" s="53"/>
      <c r="INR58" s="53"/>
      <c r="INS58" s="53"/>
      <c r="INT58" s="53"/>
      <c r="INU58" s="53"/>
      <c r="INV58" s="53"/>
      <c r="INW58" s="53"/>
      <c r="INX58" s="53"/>
      <c r="INY58" s="53"/>
      <c r="INZ58" s="53"/>
      <c r="IOA58" s="53"/>
      <c r="IOB58" s="53"/>
      <c r="IOC58" s="53"/>
      <c r="IOD58" s="53"/>
      <c r="IOE58" s="53"/>
      <c r="IOF58" s="53"/>
      <c r="IOG58" s="53"/>
      <c r="IOH58" s="53"/>
      <c r="IOI58" s="53"/>
      <c r="IOJ58" s="53"/>
      <c r="IOK58" s="53"/>
      <c r="IOL58" s="53"/>
      <c r="IOM58" s="53"/>
      <c r="ION58" s="53"/>
      <c r="IOO58" s="53"/>
      <c r="IOP58" s="53"/>
      <c r="IOQ58" s="53"/>
      <c r="IOR58" s="53"/>
      <c r="IOS58" s="53"/>
      <c r="IOT58" s="53"/>
      <c r="IOU58" s="53"/>
      <c r="IOV58" s="53"/>
      <c r="IOW58" s="53"/>
      <c r="IOX58" s="53"/>
      <c r="IOY58" s="53"/>
      <c r="IOZ58" s="53"/>
      <c r="IPA58" s="53"/>
      <c r="IPB58" s="53"/>
      <c r="IPC58" s="53"/>
      <c r="IPD58" s="53"/>
      <c r="IPE58" s="53"/>
      <c r="IPF58" s="53"/>
      <c r="IPG58" s="53"/>
      <c r="IPH58" s="53"/>
      <c r="IPI58" s="53"/>
      <c r="IPJ58" s="53"/>
      <c r="IPK58" s="53"/>
      <c r="IPL58" s="53"/>
      <c r="IPM58" s="53"/>
      <c r="IPN58" s="53"/>
      <c r="IPO58" s="53"/>
      <c r="IPP58" s="53"/>
      <c r="IPQ58" s="53"/>
      <c r="IPR58" s="53"/>
      <c r="IPS58" s="53"/>
      <c r="IPT58" s="53"/>
      <c r="IPU58" s="53"/>
      <c r="IPV58" s="53"/>
      <c r="IPW58" s="53"/>
      <c r="IPX58" s="53"/>
      <c r="IPY58" s="53"/>
      <c r="IPZ58" s="53"/>
      <c r="IQA58" s="53"/>
      <c r="IQB58" s="53"/>
      <c r="IQC58" s="53"/>
      <c r="IQD58" s="53"/>
      <c r="IQE58" s="53"/>
      <c r="IQF58" s="53"/>
      <c r="IQG58" s="53"/>
      <c r="IQH58" s="53"/>
      <c r="IQI58" s="53"/>
      <c r="IQJ58" s="53"/>
      <c r="IQK58" s="53"/>
      <c r="IQL58" s="53"/>
      <c r="IQM58" s="53"/>
      <c r="IQN58" s="53"/>
      <c r="IQO58" s="53"/>
      <c r="IQP58" s="53"/>
      <c r="IQQ58" s="53"/>
      <c r="IQR58" s="53"/>
      <c r="IQS58" s="53"/>
      <c r="IQT58" s="53"/>
      <c r="IQU58" s="53"/>
      <c r="IQV58" s="53"/>
      <c r="IQW58" s="53"/>
      <c r="IQX58" s="53"/>
      <c r="IQY58" s="53"/>
      <c r="IQZ58" s="53"/>
      <c r="IRA58" s="53"/>
      <c r="IRB58" s="53"/>
      <c r="IRC58" s="53"/>
      <c r="IRD58" s="53"/>
      <c r="IRE58" s="53"/>
      <c r="IRF58" s="53"/>
      <c r="IRG58" s="53"/>
      <c r="IRH58" s="53"/>
      <c r="IRI58" s="53"/>
      <c r="IRJ58" s="53"/>
      <c r="IRK58" s="53"/>
      <c r="IRL58" s="53"/>
      <c r="IRM58" s="53"/>
      <c r="IRN58" s="53"/>
      <c r="IRO58" s="53"/>
      <c r="IRP58" s="53"/>
      <c r="IRQ58" s="53"/>
      <c r="IRR58" s="53"/>
      <c r="IRS58" s="53"/>
      <c r="IRT58" s="53"/>
      <c r="IRU58" s="53"/>
      <c r="IRV58" s="53"/>
      <c r="IRW58" s="53"/>
      <c r="IRX58" s="53"/>
      <c r="IRY58" s="53"/>
      <c r="IRZ58" s="53"/>
      <c r="ISA58" s="53"/>
      <c r="ISB58" s="53"/>
      <c r="ISC58" s="53"/>
      <c r="ISD58" s="53"/>
      <c r="ISE58" s="53"/>
      <c r="ISF58" s="53"/>
      <c r="ISG58" s="53"/>
      <c r="ISH58" s="53"/>
      <c r="ISI58" s="53"/>
      <c r="ISJ58" s="53"/>
      <c r="ISK58" s="53"/>
      <c r="ISL58" s="53"/>
      <c r="ISM58" s="53"/>
      <c r="ISN58" s="53"/>
      <c r="ISO58" s="53"/>
      <c r="ISP58" s="53"/>
      <c r="ISQ58" s="53"/>
      <c r="ISR58" s="53"/>
      <c r="ISS58" s="53"/>
      <c r="IST58" s="53"/>
      <c r="ISU58" s="53"/>
      <c r="ISV58" s="53"/>
      <c r="ISW58" s="53"/>
      <c r="ISX58" s="53"/>
      <c r="ISY58" s="53"/>
      <c r="ISZ58" s="53"/>
      <c r="ITA58" s="53"/>
      <c r="ITB58" s="53"/>
      <c r="ITC58" s="53"/>
      <c r="ITD58" s="53"/>
      <c r="ITE58" s="53"/>
      <c r="ITF58" s="53"/>
      <c r="ITG58" s="53"/>
      <c r="ITH58" s="53"/>
      <c r="ITI58" s="53"/>
      <c r="ITJ58" s="53"/>
      <c r="ITK58" s="53"/>
      <c r="ITL58" s="53"/>
      <c r="ITM58" s="53"/>
      <c r="ITN58" s="53"/>
      <c r="ITO58" s="53"/>
      <c r="ITP58" s="53"/>
      <c r="ITQ58" s="53"/>
      <c r="ITR58" s="53"/>
      <c r="ITS58" s="53"/>
      <c r="ITT58" s="53"/>
      <c r="ITU58" s="53"/>
      <c r="ITV58" s="53"/>
      <c r="ITW58" s="53"/>
      <c r="ITX58" s="53"/>
      <c r="ITY58" s="53"/>
      <c r="ITZ58" s="53"/>
      <c r="IUA58" s="53"/>
      <c r="IUB58" s="53"/>
      <c r="IUC58" s="53"/>
      <c r="IUD58" s="53"/>
      <c r="IUE58" s="53"/>
      <c r="IUF58" s="53"/>
      <c r="IUG58" s="53"/>
      <c r="IUH58" s="53"/>
      <c r="IUI58" s="53"/>
      <c r="IUJ58" s="53"/>
      <c r="IUK58" s="53"/>
      <c r="IUL58" s="53"/>
      <c r="IUM58" s="53"/>
      <c r="IUN58" s="53"/>
      <c r="IUO58" s="53"/>
      <c r="IUP58" s="53"/>
      <c r="IUQ58" s="53"/>
      <c r="IUR58" s="53"/>
      <c r="IUS58" s="53"/>
      <c r="IUT58" s="53"/>
      <c r="IUU58" s="53"/>
      <c r="IUV58" s="53"/>
      <c r="IUW58" s="53"/>
      <c r="IUX58" s="53"/>
      <c r="IUY58" s="53"/>
      <c r="IUZ58" s="53"/>
      <c r="IVA58" s="53"/>
      <c r="IVB58" s="53"/>
      <c r="IVC58" s="53"/>
      <c r="IVD58" s="53"/>
      <c r="IVE58" s="53"/>
      <c r="IVF58" s="53"/>
      <c r="IVG58" s="53"/>
      <c r="IVH58" s="53"/>
      <c r="IVI58" s="53"/>
      <c r="IVJ58" s="53"/>
      <c r="IVK58" s="53"/>
      <c r="IVL58" s="53"/>
      <c r="IVM58" s="53"/>
      <c r="IVN58" s="53"/>
      <c r="IVO58" s="53"/>
      <c r="IVP58" s="53"/>
      <c r="IVQ58" s="53"/>
      <c r="IVR58" s="53"/>
      <c r="IVS58" s="53"/>
      <c r="IVT58" s="53"/>
      <c r="IVU58" s="53"/>
      <c r="IVV58" s="53"/>
      <c r="IVW58" s="53"/>
      <c r="IVX58" s="53"/>
      <c r="IVY58" s="53"/>
      <c r="IVZ58" s="53"/>
      <c r="IWA58" s="53"/>
      <c r="IWB58" s="53"/>
      <c r="IWC58" s="53"/>
      <c r="IWD58" s="53"/>
      <c r="IWE58" s="53"/>
      <c r="IWF58" s="53"/>
      <c r="IWG58" s="53"/>
      <c r="IWH58" s="53"/>
      <c r="IWI58" s="53"/>
      <c r="IWJ58" s="53"/>
      <c r="IWK58" s="53"/>
      <c r="IWL58" s="53"/>
      <c r="IWM58" s="53"/>
      <c r="IWN58" s="53"/>
      <c r="IWO58" s="53"/>
      <c r="IWP58" s="53"/>
      <c r="IWQ58" s="53"/>
      <c r="IWR58" s="53"/>
      <c r="IWS58" s="53"/>
      <c r="IWT58" s="53"/>
      <c r="IWU58" s="53"/>
      <c r="IWV58" s="53"/>
      <c r="IWW58" s="53"/>
      <c r="IWX58" s="53"/>
      <c r="IWY58" s="53"/>
      <c r="IWZ58" s="53"/>
      <c r="IXA58" s="53"/>
      <c r="IXB58" s="53"/>
      <c r="IXC58" s="53"/>
      <c r="IXD58" s="53"/>
      <c r="IXE58" s="53"/>
      <c r="IXF58" s="53"/>
      <c r="IXG58" s="53"/>
      <c r="IXH58" s="53"/>
      <c r="IXI58" s="53"/>
      <c r="IXJ58" s="53"/>
      <c r="IXK58" s="53"/>
      <c r="IXL58" s="53"/>
      <c r="IXM58" s="53"/>
      <c r="IXN58" s="53"/>
      <c r="IXO58" s="53"/>
      <c r="IXP58" s="53"/>
      <c r="IXQ58" s="53"/>
      <c r="IXR58" s="53"/>
      <c r="IXS58" s="53"/>
      <c r="IXT58" s="53"/>
      <c r="IXU58" s="53"/>
      <c r="IXV58" s="53"/>
      <c r="IXW58" s="53"/>
      <c r="IXX58" s="53"/>
      <c r="IXY58" s="53"/>
      <c r="IXZ58" s="53"/>
      <c r="IYA58" s="53"/>
      <c r="IYB58" s="53"/>
      <c r="IYC58" s="53"/>
      <c r="IYD58" s="53"/>
      <c r="IYE58" s="53"/>
      <c r="IYF58" s="53"/>
      <c r="IYG58" s="53"/>
      <c r="IYH58" s="53"/>
      <c r="IYI58" s="53"/>
      <c r="IYJ58" s="53"/>
      <c r="IYK58" s="53"/>
      <c r="IYL58" s="53"/>
      <c r="IYM58" s="53"/>
      <c r="IYN58" s="53"/>
      <c r="IYO58" s="53"/>
      <c r="IYP58" s="53"/>
      <c r="IYQ58" s="53"/>
      <c r="IYR58" s="53"/>
      <c r="IYS58" s="53"/>
      <c r="IYT58" s="53"/>
      <c r="IYU58" s="53"/>
      <c r="IYV58" s="53"/>
      <c r="IYW58" s="53"/>
      <c r="IYX58" s="53"/>
      <c r="IYY58" s="53"/>
      <c r="IYZ58" s="53"/>
      <c r="IZA58" s="53"/>
      <c r="IZB58" s="53"/>
      <c r="IZC58" s="53"/>
      <c r="IZD58" s="53"/>
      <c r="IZE58" s="53"/>
      <c r="IZF58" s="53"/>
      <c r="IZG58" s="53"/>
      <c r="IZH58" s="53"/>
      <c r="IZI58" s="53"/>
      <c r="IZJ58" s="53"/>
      <c r="IZK58" s="53"/>
      <c r="IZL58" s="53"/>
      <c r="IZM58" s="53"/>
      <c r="IZN58" s="53"/>
      <c r="IZO58" s="53"/>
      <c r="IZP58" s="53"/>
      <c r="IZQ58" s="53"/>
      <c r="IZR58" s="53"/>
      <c r="IZS58" s="53"/>
      <c r="IZT58" s="53"/>
      <c r="IZU58" s="53"/>
      <c r="IZV58" s="53"/>
      <c r="IZW58" s="53"/>
      <c r="IZX58" s="53"/>
      <c r="IZY58" s="53"/>
      <c r="IZZ58" s="53"/>
      <c r="JAA58" s="53"/>
      <c r="JAB58" s="53"/>
      <c r="JAC58" s="53"/>
      <c r="JAD58" s="53"/>
      <c r="JAE58" s="53"/>
      <c r="JAF58" s="53"/>
      <c r="JAG58" s="53"/>
      <c r="JAH58" s="53"/>
      <c r="JAI58" s="53"/>
      <c r="JAJ58" s="53"/>
      <c r="JAK58" s="53"/>
      <c r="JAL58" s="53"/>
      <c r="JAM58" s="53"/>
      <c r="JAN58" s="53"/>
      <c r="JAO58" s="53"/>
      <c r="JAP58" s="53"/>
      <c r="JAQ58" s="53"/>
      <c r="JAR58" s="53"/>
      <c r="JAS58" s="53"/>
      <c r="JAT58" s="53"/>
      <c r="JAU58" s="53"/>
      <c r="JAV58" s="53"/>
      <c r="JAW58" s="53"/>
      <c r="JAX58" s="53"/>
      <c r="JAY58" s="53"/>
      <c r="JAZ58" s="53"/>
      <c r="JBA58" s="53"/>
      <c r="JBB58" s="53"/>
      <c r="JBC58" s="53"/>
      <c r="JBD58" s="53"/>
      <c r="JBE58" s="53"/>
      <c r="JBF58" s="53"/>
      <c r="JBG58" s="53"/>
      <c r="JBH58" s="53"/>
      <c r="JBI58" s="53"/>
      <c r="JBJ58" s="53"/>
      <c r="JBK58" s="53"/>
      <c r="JBL58" s="53"/>
      <c r="JBM58" s="53"/>
      <c r="JBN58" s="53"/>
      <c r="JBO58" s="53"/>
      <c r="JBP58" s="53"/>
      <c r="JBQ58" s="53"/>
      <c r="JBR58" s="53"/>
      <c r="JBS58" s="53"/>
      <c r="JBT58" s="53"/>
      <c r="JBU58" s="53"/>
      <c r="JBV58" s="53"/>
      <c r="JBW58" s="53"/>
      <c r="JBX58" s="53"/>
      <c r="JBY58" s="53"/>
      <c r="JBZ58" s="53"/>
      <c r="JCA58" s="53"/>
      <c r="JCB58" s="53"/>
      <c r="JCC58" s="53"/>
      <c r="JCD58" s="53"/>
      <c r="JCE58" s="53"/>
      <c r="JCF58" s="53"/>
      <c r="JCG58" s="53"/>
      <c r="JCH58" s="53"/>
      <c r="JCI58" s="53"/>
      <c r="JCJ58" s="53"/>
      <c r="JCK58" s="53"/>
      <c r="JCL58" s="53"/>
      <c r="JCM58" s="53"/>
      <c r="JCN58" s="53"/>
      <c r="JCO58" s="53"/>
      <c r="JCP58" s="53"/>
      <c r="JCQ58" s="53"/>
      <c r="JCR58" s="53"/>
      <c r="JCS58" s="53"/>
      <c r="JCT58" s="53"/>
      <c r="JCU58" s="53"/>
      <c r="JCV58" s="53"/>
      <c r="JCW58" s="53"/>
      <c r="JCX58" s="53"/>
      <c r="JCY58" s="53"/>
      <c r="JCZ58" s="53"/>
      <c r="JDA58" s="53"/>
      <c r="JDB58" s="53"/>
      <c r="JDC58" s="53"/>
      <c r="JDD58" s="53"/>
      <c r="JDE58" s="53"/>
      <c r="JDF58" s="53"/>
      <c r="JDG58" s="53"/>
      <c r="JDH58" s="53"/>
      <c r="JDI58" s="53"/>
      <c r="JDJ58" s="53"/>
      <c r="JDK58" s="53"/>
      <c r="JDL58" s="53"/>
      <c r="JDM58" s="53"/>
      <c r="JDN58" s="53"/>
      <c r="JDO58" s="53"/>
      <c r="JDP58" s="53"/>
      <c r="JDQ58" s="53"/>
      <c r="JDR58" s="53"/>
      <c r="JDS58" s="53"/>
      <c r="JDT58" s="53"/>
      <c r="JDU58" s="53"/>
      <c r="JDV58" s="53"/>
      <c r="JDW58" s="53"/>
      <c r="JDX58" s="53"/>
      <c r="JDY58" s="53"/>
      <c r="JDZ58" s="53"/>
      <c r="JEA58" s="53"/>
      <c r="JEB58" s="53"/>
      <c r="JEC58" s="53"/>
      <c r="JED58" s="53"/>
      <c r="JEE58" s="53"/>
      <c r="JEF58" s="53"/>
      <c r="JEG58" s="53"/>
      <c r="JEH58" s="53"/>
      <c r="JEI58" s="53"/>
      <c r="JEJ58" s="53"/>
      <c r="JEK58" s="53"/>
      <c r="JEL58" s="53"/>
      <c r="JEM58" s="53"/>
      <c r="JEN58" s="53"/>
      <c r="JEO58" s="53"/>
      <c r="JEP58" s="53"/>
      <c r="JEQ58" s="53"/>
      <c r="JER58" s="53"/>
      <c r="JES58" s="53"/>
      <c r="JET58" s="53"/>
      <c r="JEU58" s="53"/>
      <c r="JEV58" s="53"/>
      <c r="JEW58" s="53"/>
      <c r="JEX58" s="53"/>
      <c r="JEY58" s="53"/>
      <c r="JEZ58" s="53"/>
      <c r="JFA58" s="53"/>
      <c r="JFB58" s="53"/>
      <c r="JFC58" s="53"/>
      <c r="JFD58" s="53"/>
      <c r="JFE58" s="53"/>
      <c r="JFF58" s="53"/>
      <c r="JFG58" s="53"/>
      <c r="JFH58" s="53"/>
      <c r="JFI58" s="53"/>
      <c r="JFJ58" s="53"/>
      <c r="JFK58" s="53"/>
      <c r="JFL58" s="53"/>
      <c r="JFM58" s="53"/>
      <c r="JFN58" s="53"/>
      <c r="JFO58" s="53"/>
      <c r="JFP58" s="53"/>
      <c r="JFQ58" s="53"/>
      <c r="JFR58" s="53"/>
      <c r="JFS58" s="53"/>
      <c r="JFT58" s="53"/>
      <c r="JFU58" s="53"/>
      <c r="JFV58" s="53"/>
      <c r="JFW58" s="53"/>
      <c r="JFX58" s="53"/>
      <c r="JFY58" s="53"/>
      <c r="JFZ58" s="53"/>
      <c r="JGA58" s="53"/>
      <c r="JGB58" s="53"/>
      <c r="JGC58" s="53"/>
      <c r="JGD58" s="53"/>
      <c r="JGE58" s="53"/>
      <c r="JGF58" s="53"/>
      <c r="JGG58" s="53"/>
      <c r="JGH58" s="53"/>
      <c r="JGI58" s="53"/>
      <c r="JGJ58" s="53"/>
      <c r="JGK58" s="53"/>
      <c r="JGL58" s="53"/>
      <c r="JGM58" s="53"/>
      <c r="JGN58" s="53"/>
      <c r="JGO58" s="53"/>
      <c r="JGP58" s="53"/>
      <c r="JGQ58" s="53"/>
      <c r="JGR58" s="53"/>
      <c r="JGS58" s="53"/>
      <c r="JGT58" s="53"/>
      <c r="JGU58" s="53"/>
      <c r="JGV58" s="53"/>
      <c r="JGW58" s="53"/>
      <c r="JGX58" s="53"/>
      <c r="JGY58" s="53"/>
      <c r="JGZ58" s="53"/>
      <c r="JHA58" s="53"/>
      <c r="JHB58" s="53"/>
      <c r="JHC58" s="53"/>
      <c r="JHD58" s="53"/>
      <c r="JHE58" s="53"/>
      <c r="JHF58" s="53"/>
      <c r="JHG58" s="53"/>
      <c r="JHH58" s="53"/>
      <c r="JHI58" s="53"/>
      <c r="JHJ58" s="53"/>
      <c r="JHK58" s="53"/>
      <c r="JHL58" s="53"/>
      <c r="JHM58" s="53"/>
      <c r="JHN58" s="53"/>
      <c r="JHO58" s="53"/>
      <c r="JHP58" s="53"/>
      <c r="JHQ58" s="53"/>
      <c r="JHR58" s="53"/>
      <c r="JHS58" s="53"/>
      <c r="JHT58" s="53"/>
      <c r="JHU58" s="53"/>
      <c r="JHV58" s="53"/>
      <c r="JHW58" s="53"/>
      <c r="JHX58" s="53"/>
      <c r="JHY58" s="53"/>
      <c r="JHZ58" s="53"/>
      <c r="JIA58" s="53"/>
      <c r="JIB58" s="53"/>
      <c r="JIC58" s="53"/>
      <c r="JID58" s="53"/>
      <c r="JIE58" s="53"/>
      <c r="JIF58" s="53"/>
      <c r="JIG58" s="53"/>
      <c r="JIH58" s="53"/>
      <c r="JII58" s="53"/>
      <c r="JIJ58" s="53"/>
      <c r="JIK58" s="53"/>
      <c r="JIL58" s="53"/>
      <c r="JIM58" s="53"/>
      <c r="JIN58" s="53"/>
      <c r="JIO58" s="53"/>
      <c r="JIP58" s="53"/>
      <c r="JIQ58" s="53"/>
      <c r="JIR58" s="53"/>
      <c r="JIS58" s="53"/>
      <c r="JIT58" s="53"/>
      <c r="JIU58" s="53"/>
      <c r="JIV58" s="53"/>
      <c r="JIW58" s="53"/>
      <c r="JIX58" s="53"/>
      <c r="JIY58" s="53"/>
      <c r="JIZ58" s="53"/>
      <c r="JJA58" s="53"/>
      <c r="JJB58" s="53"/>
      <c r="JJC58" s="53"/>
      <c r="JJD58" s="53"/>
      <c r="JJE58" s="53"/>
      <c r="JJF58" s="53"/>
      <c r="JJG58" s="53"/>
      <c r="JJH58" s="53"/>
      <c r="JJI58" s="53"/>
      <c r="JJJ58" s="53"/>
      <c r="JJK58" s="53"/>
      <c r="JJL58" s="53"/>
      <c r="JJM58" s="53"/>
      <c r="JJN58" s="53"/>
      <c r="JJO58" s="53"/>
      <c r="JJP58" s="53"/>
      <c r="JJQ58" s="53"/>
      <c r="JJR58" s="53"/>
      <c r="JJS58" s="53"/>
      <c r="JJT58" s="53"/>
      <c r="JJU58" s="53"/>
      <c r="JJV58" s="53"/>
      <c r="JJW58" s="53"/>
      <c r="JJX58" s="53"/>
      <c r="JJY58" s="53"/>
      <c r="JJZ58" s="53"/>
      <c r="JKA58" s="53"/>
      <c r="JKB58" s="53"/>
      <c r="JKC58" s="53"/>
      <c r="JKD58" s="53"/>
      <c r="JKE58" s="53"/>
      <c r="JKF58" s="53"/>
      <c r="JKG58" s="53"/>
      <c r="JKH58" s="53"/>
      <c r="JKI58" s="53"/>
      <c r="JKJ58" s="53"/>
      <c r="JKK58" s="53"/>
      <c r="JKL58" s="53"/>
      <c r="JKM58" s="53"/>
      <c r="JKN58" s="53"/>
      <c r="JKO58" s="53"/>
      <c r="JKP58" s="53"/>
      <c r="JKQ58" s="53"/>
      <c r="JKR58" s="53"/>
      <c r="JKS58" s="53"/>
      <c r="JKT58" s="53"/>
      <c r="JKU58" s="53"/>
      <c r="JKV58" s="53"/>
      <c r="JKW58" s="53"/>
      <c r="JKX58" s="53"/>
      <c r="JKY58" s="53"/>
      <c r="JKZ58" s="53"/>
      <c r="JLA58" s="53"/>
      <c r="JLB58" s="53"/>
      <c r="JLC58" s="53"/>
      <c r="JLD58" s="53"/>
      <c r="JLE58" s="53"/>
      <c r="JLF58" s="53"/>
      <c r="JLG58" s="53"/>
      <c r="JLH58" s="53"/>
      <c r="JLI58" s="53"/>
      <c r="JLJ58" s="53"/>
      <c r="JLK58" s="53"/>
      <c r="JLL58" s="53"/>
      <c r="JLM58" s="53"/>
      <c r="JLN58" s="53"/>
      <c r="JLO58" s="53"/>
      <c r="JLP58" s="53"/>
      <c r="JLQ58" s="53"/>
      <c r="JLR58" s="53"/>
      <c r="JLS58" s="53"/>
      <c r="JLT58" s="53"/>
      <c r="JLU58" s="53"/>
      <c r="JLV58" s="53"/>
      <c r="JLW58" s="53"/>
      <c r="JLX58" s="53"/>
      <c r="JLY58" s="53"/>
      <c r="JLZ58" s="53"/>
      <c r="JMA58" s="53"/>
      <c r="JMB58" s="53"/>
      <c r="JMC58" s="53"/>
      <c r="JMD58" s="53"/>
      <c r="JME58" s="53"/>
      <c r="JMF58" s="53"/>
      <c r="JMG58" s="53"/>
      <c r="JMH58" s="53"/>
      <c r="JMI58" s="53"/>
      <c r="JMJ58" s="53"/>
      <c r="JMK58" s="53"/>
      <c r="JML58" s="53"/>
      <c r="JMM58" s="53"/>
      <c r="JMN58" s="53"/>
      <c r="JMO58" s="53"/>
      <c r="JMP58" s="53"/>
      <c r="JMQ58" s="53"/>
      <c r="JMR58" s="53"/>
      <c r="JMS58" s="53"/>
      <c r="JMT58" s="53"/>
      <c r="JMU58" s="53"/>
      <c r="JMV58" s="53"/>
      <c r="JMW58" s="53"/>
      <c r="JMX58" s="53"/>
      <c r="JMY58" s="53"/>
      <c r="JMZ58" s="53"/>
      <c r="JNA58" s="53"/>
      <c r="JNB58" s="53"/>
      <c r="JNC58" s="53"/>
      <c r="JND58" s="53"/>
      <c r="JNE58" s="53"/>
      <c r="JNF58" s="53"/>
      <c r="JNG58" s="53"/>
      <c r="JNH58" s="53"/>
      <c r="JNI58" s="53"/>
      <c r="JNJ58" s="53"/>
      <c r="JNK58" s="53"/>
      <c r="JNL58" s="53"/>
      <c r="JNM58" s="53"/>
      <c r="JNN58" s="53"/>
      <c r="JNO58" s="53"/>
      <c r="JNP58" s="53"/>
      <c r="JNQ58" s="53"/>
      <c r="JNR58" s="53"/>
      <c r="JNS58" s="53"/>
      <c r="JNT58" s="53"/>
      <c r="JNU58" s="53"/>
      <c r="JNV58" s="53"/>
      <c r="JNW58" s="53"/>
      <c r="JNX58" s="53"/>
      <c r="JNY58" s="53"/>
      <c r="JNZ58" s="53"/>
      <c r="JOA58" s="53"/>
      <c r="JOB58" s="53"/>
      <c r="JOC58" s="53"/>
      <c r="JOD58" s="53"/>
      <c r="JOE58" s="53"/>
      <c r="JOF58" s="53"/>
      <c r="JOG58" s="53"/>
      <c r="JOH58" s="53"/>
      <c r="JOI58" s="53"/>
      <c r="JOJ58" s="53"/>
      <c r="JOK58" s="53"/>
      <c r="JOL58" s="53"/>
      <c r="JOM58" s="53"/>
      <c r="JON58" s="53"/>
      <c r="JOO58" s="53"/>
      <c r="JOP58" s="53"/>
      <c r="JOQ58" s="53"/>
      <c r="JOR58" s="53"/>
      <c r="JOS58" s="53"/>
      <c r="JOT58" s="53"/>
      <c r="JOU58" s="53"/>
      <c r="JOV58" s="53"/>
      <c r="JOW58" s="53"/>
      <c r="JOX58" s="53"/>
      <c r="JOY58" s="53"/>
      <c r="JOZ58" s="53"/>
      <c r="JPA58" s="53"/>
      <c r="JPB58" s="53"/>
      <c r="JPC58" s="53"/>
      <c r="JPD58" s="53"/>
      <c r="JPE58" s="53"/>
      <c r="JPF58" s="53"/>
      <c r="JPG58" s="53"/>
      <c r="JPH58" s="53"/>
      <c r="JPI58" s="53"/>
      <c r="JPJ58" s="53"/>
      <c r="JPK58" s="53"/>
      <c r="JPL58" s="53"/>
      <c r="JPM58" s="53"/>
      <c r="JPN58" s="53"/>
      <c r="JPO58" s="53"/>
      <c r="JPP58" s="53"/>
      <c r="JPQ58" s="53"/>
      <c r="JPR58" s="53"/>
      <c r="JPS58" s="53"/>
      <c r="JPT58" s="53"/>
      <c r="JPU58" s="53"/>
      <c r="JPV58" s="53"/>
      <c r="JPW58" s="53"/>
      <c r="JPX58" s="53"/>
      <c r="JPY58" s="53"/>
      <c r="JPZ58" s="53"/>
      <c r="JQA58" s="53"/>
      <c r="JQB58" s="53"/>
      <c r="JQC58" s="53"/>
      <c r="JQD58" s="53"/>
      <c r="JQE58" s="53"/>
      <c r="JQF58" s="53"/>
      <c r="JQG58" s="53"/>
      <c r="JQH58" s="53"/>
      <c r="JQI58" s="53"/>
      <c r="JQJ58" s="53"/>
      <c r="JQK58" s="53"/>
      <c r="JQL58" s="53"/>
      <c r="JQM58" s="53"/>
      <c r="JQN58" s="53"/>
      <c r="JQO58" s="53"/>
      <c r="JQP58" s="53"/>
      <c r="JQQ58" s="53"/>
      <c r="JQR58" s="53"/>
      <c r="JQS58" s="53"/>
      <c r="JQT58" s="53"/>
      <c r="JQU58" s="53"/>
      <c r="JQV58" s="53"/>
      <c r="JQW58" s="53"/>
      <c r="JQX58" s="53"/>
      <c r="JQY58" s="53"/>
      <c r="JQZ58" s="53"/>
      <c r="JRA58" s="53"/>
      <c r="JRB58" s="53"/>
      <c r="JRC58" s="53"/>
      <c r="JRD58" s="53"/>
      <c r="JRE58" s="53"/>
      <c r="JRF58" s="53"/>
      <c r="JRG58" s="53"/>
      <c r="JRH58" s="53"/>
      <c r="JRI58" s="53"/>
      <c r="JRJ58" s="53"/>
      <c r="JRK58" s="53"/>
      <c r="JRL58" s="53"/>
      <c r="JRM58" s="53"/>
      <c r="JRN58" s="53"/>
      <c r="JRO58" s="53"/>
      <c r="JRP58" s="53"/>
      <c r="JRQ58" s="53"/>
      <c r="JRR58" s="53"/>
      <c r="JRS58" s="53"/>
      <c r="JRT58" s="53"/>
      <c r="JRU58" s="53"/>
      <c r="JRV58" s="53"/>
      <c r="JRW58" s="53"/>
      <c r="JRX58" s="53"/>
      <c r="JRY58" s="53"/>
      <c r="JRZ58" s="53"/>
      <c r="JSA58" s="53"/>
      <c r="JSB58" s="53"/>
      <c r="JSC58" s="53"/>
      <c r="JSD58" s="53"/>
      <c r="JSE58" s="53"/>
      <c r="JSF58" s="53"/>
      <c r="JSG58" s="53"/>
      <c r="JSH58" s="53"/>
      <c r="JSI58" s="53"/>
      <c r="JSJ58" s="53"/>
      <c r="JSK58" s="53"/>
      <c r="JSL58" s="53"/>
      <c r="JSM58" s="53"/>
      <c r="JSN58" s="53"/>
      <c r="JSO58" s="53"/>
      <c r="JSP58" s="53"/>
      <c r="JSQ58" s="53"/>
      <c r="JSR58" s="53"/>
      <c r="JSS58" s="53"/>
      <c r="JST58" s="53"/>
      <c r="JSU58" s="53"/>
      <c r="JSV58" s="53"/>
      <c r="JSW58" s="53"/>
      <c r="JSX58" s="53"/>
      <c r="JSY58" s="53"/>
      <c r="JSZ58" s="53"/>
      <c r="JTA58" s="53"/>
      <c r="JTB58" s="53"/>
      <c r="JTC58" s="53"/>
      <c r="JTD58" s="53"/>
      <c r="JTE58" s="53"/>
      <c r="JTF58" s="53"/>
      <c r="JTG58" s="53"/>
      <c r="JTH58" s="53"/>
      <c r="JTI58" s="53"/>
      <c r="JTJ58" s="53"/>
      <c r="JTK58" s="53"/>
      <c r="JTL58" s="53"/>
      <c r="JTM58" s="53"/>
      <c r="JTN58" s="53"/>
      <c r="JTO58" s="53"/>
      <c r="JTP58" s="53"/>
      <c r="JTQ58" s="53"/>
      <c r="JTR58" s="53"/>
      <c r="JTS58" s="53"/>
      <c r="JTT58" s="53"/>
      <c r="JTU58" s="53"/>
      <c r="JTV58" s="53"/>
      <c r="JTW58" s="53"/>
      <c r="JTX58" s="53"/>
      <c r="JTY58" s="53"/>
      <c r="JTZ58" s="53"/>
      <c r="JUA58" s="53"/>
      <c r="JUB58" s="53"/>
      <c r="JUC58" s="53"/>
      <c r="JUD58" s="53"/>
      <c r="JUE58" s="53"/>
      <c r="JUF58" s="53"/>
      <c r="JUG58" s="53"/>
      <c r="JUH58" s="53"/>
      <c r="JUI58" s="53"/>
      <c r="JUJ58" s="53"/>
      <c r="JUK58" s="53"/>
      <c r="JUL58" s="53"/>
      <c r="JUM58" s="53"/>
      <c r="JUN58" s="53"/>
      <c r="JUO58" s="53"/>
      <c r="JUP58" s="53"/>
      <c r="JUQ58" s="53"/>
      <c r="JUR58" s="53"/>
      <c r="JUS58" s="53"/>
      <c r="JUT58" s="53"/>
      <c r="JUU58" s="53"/>
      <c r="JUV58" s="53"/>
      <c r="JUW58" s="53"/>
      <c r="JUX58" s="53"/>
      <c r="JUY58" s="53"/>
      <c r="JUZ58" s="53"/>
      <c r="JVA58" s="53"/>
      <c r="JVB58" s="53"/>
      <c r="JVC58" s="53"/>
      <c r="JVD58" s="53"/>
      <c r="JVE58" s="53"/>
      <c r="JVF58" s="53"/>
      <c r="JVG58" s="53"/>
      <c r="JVH58" s="53"/>
      <c r="JVI58" s="53"/>
      <c r="JVJ58" s="53"/>
      <c r="JVK58" s="53"/>
      <c r="JVL58" s="53"/>
      <c r="JVM58" s="53"/>
      <c r="JVN58" s="53"/>
      <c r="JVO58" s="53"/>
      <c r="JVP58" s="53"/>
      <c r="JVQ58" s="53"/>
      <c r="JVR58" s="53"/>
      <c r="JVS58" s="53"/>
      <c r="JVT58" s="53"/>
      <c r="JVU58" s="53"/>
      <c r="JVV58" s="53"/>
      <c r="JVW58" s="53"/>
      <c r="JVX58" s="53"/>
      <c r="JVY58" s="53"/>
      <c r="JVZ58" s="53"/>
      <c r="JWA58" s="53"/>
      <c r="JWB58" s="53"/>
      <c r="JWC58" s="53"/>
      <c r="JWD58" s="53"/>
      <c r="JWE58" s="53"/>
      <c r="JWF58" s="53"/>
      <c r="JWG58" s="53"/>
      <c r="JWH58" s="53"/>
      <c r="JWI58" s="53"/>
      <c r="JWJ58" s="53"/>
      <c r="JWK58" s="53"/>
      <c r="JWL58" s="53"/>
      <c r="JWM58" s="53"/>
      <c r="JWN58" s="53"/>
      <c r="JWO58" s="53"/>
      <c r="JWP58" s="53"/>
      <c r="JWQ58" s="53"/>
      <c r="JWR58" s="53"/>
      <c r="JWS58" s="53"/>
      <c r="JWT58" s="53"/>
      <c r="JWU58" s="53"/>
      <c r="JWV58" s="53"/>
      <c r="JWW58" s="53"/>
      <c r="JWX58" s="53"/>
      <c r="JWY58" s="53"/>
      <c r="JWZ58" s="53"/>
      <c r="JXA58" s="53"/>
      <c r="JXB58" s="53"/>
      <c r="JXC58" s="53"/>
      <c r="JXD58" s="53"/>
      <c r="JXE58" s="53"/>
      <c r="JXF58" s="53"/>
      <c r="JXG58" s="53"/>
      <c r="JXH58" s="53"/>
      <c r="JXI58" s="53"/>
      <c r="JXJ58" s="53"/>
      <c r="JXK58" s="53"/>
      <c r="JXL58" s="53"/>
      <c r="JXM58" s="53"/>
      <c r="JXN58" s="53"/>
      <c r="JXO58" s="53"/>
      <c r="JXP58" s="53"/>
      <c r="JXQ58" s="53"/>
      <c r="JXR58" s="53"/>
      <c r="JXS58" s="53"/>
      <c r="JXT58" s="53"/>
      <c r="JXU58" s="53"/>
      <c r="JXV58" s="53"/>
      <c r="JXW58" s="53"/>
      <c r="JXX58" s="53"/>
      <c r="JXY58" s="53"/>
      <c r="JXZ58" s="53"/>
      <c r="JYA58" s="53"/>
      <c r="JYB58" s="53"/>
      <c r="JYC58" s="53"/>
      <c r="JYD58" s="53"/>
      <c r="JYE58" s="53"/>
      <c r="JYF58" s="53"/>
      <c r="JYG58" s="53"/>
      <c r="JYH58" s="53"/>
      <c r="JYI58" s="53"/>
      <c r="JYJ58" s="53"/>
      <c r="JYK58" s="53"/>
      <c r="JYL58" s="53"/>
      <c r="JYM58" s="53"/>
      <c r="JYN58" s="53"/>
      <c r="JYO58" s="53"/>
      <c r="JYP58" s="53"/>
      <c r="JYQ58" s="53"/>
      <c r="JYR58" s="53"/>
      <c r="JYS58" s="53"/>
      <c r="JYT58" s="53"/>
      <c r="JYU58" s="53"/>
      <c r="JYV58" s="53"/>
      <c r="JYW58" s="53"/>
      <c r="JYX58" s="53"/>
      <c r="JYY58" s="53"/>
      <c r="JYZ58" s="53"/>
      <c r="JZA58" s="53"/>
      <c r="JZB58" s="53"/>
      <c r="JZC58" s="53"/>
      <c r="JZD58" s="53"/>
      <c r="JZE58" s="53"/>
      <c r="JZF58" s="53"/>
      <c r="JZG58" s="53"/>
      <c r="JZH58" s="53"/>
      <c r="JZI58" s="53"/>
      <c r="JZJ58" s="53"/>
      <c r="JZK58" s="53"/>
      <c r="JZL58" s="53"/>
      <c r="JZM58" s="53"/>
      <c r="JZN58" s="53"/>
      <c r="JZO58" s="53"/>
      <c r="JZP58" s="53"/>
      <c r="JZQ58" s="53"/>
      <c r="JZR58" s="53"/>
      <c r="JZS58" s="53"/>
      <c r="JZT58" s="53"/>
      <c r="JZU58" s="53"/>
      <c r="JZV58" s="53"/>
      <c r="JZW58" s="53"/>
      <c r="JZX58" s="53"/>
      <c r="JZY58" s="53"/>
      <c r="JZZ58" s="53"/>
      <c r="KAA58" s="53"/>
      <c r="KAB58" s="53"/>
      <c r="KAC58" s="53"/>
      <c r="KAD58" s="53"/>
      <c r="KAE58" s="53"/>
      <c r="KAF58" s="53"/>
      <c r="KAG58" s="53"/>
      <c r="KAH58" s="53"/>
      <c r="KAI58" s="53"/>
      <c r="KAJ58" s="53"/>
      <c r="KAK58" s="53"/>
      <c r="KAL58" s="53"/>
      <c r="KAM58" s="53"/>
      <c r="KAN58" s="53"/>
      <c r="KAO58" s="53"/>
      <c r="KAP58" s="53"/>
      <c r="KAQ58" s="53"/>
      <c r="KAR58" s="53"/>
      <c r="KAS58" s="53"/>
      <c r="KAT58" s="53"/>
      <c r="KAU58" s="53"/>
      <c r="KAV58" s="53"/>
      <c r="KAW58" s="53"/>
      <c r="KAX58" s="53"/>
      <c r="KAY58" s="53"/>
      <c r="KAZ58" s="53"/>
      <c r="KBA58" s="53"/>
      <c r="KBB58" s="53"/>
      <c r="KBC58" s="53"/>
      <c r="KBD58" s="53"/>
      <c r="KBE58" s="53"/>
      <c r="KBF58" s="53"/>
      <c r="KBG58" s="53"/>
      <c r="KBH58" s="53"/>
      <c r="KBI58" s="53"/>
      <c r="KBJ58" s="53"/>
      <c r="KBK58" s="53"/>
      <c r="KBL58" s="53"/>
      <c r="KBM58" s="53"/>
      <c r="KBN58" s="53"/>
      <c r="KBO58" s="53"/>
      <c r="KBP58" s="53"/>
      <c r="KBQ58" s="53"/>
      <c r="KBR58" s="53"/>
      <c r="KBS58" s="53"/>
      <c r="KBT58" s="53"/>
      <c r="KBU58" s="53"/>
      <c r="KBV58" s="53"/>
      <c r="KBW58" s="53"/>
      <c r="KBX58" s="53"/>
      <c r="KBY58" s="53"/>
      <c r="KBZ58" s="53"/>
      <c r="KCA58" s="53"/>
      <c r="KCB58" s="53"/>
      <c r="KCC58" s="53"/>
      <c r="KCD58" s="53"/>
      <c r="KCE58" s="53"/>
      <c r="KCF58" s="53"/>
      <c r="KCG58" s="53"/>
      <c r="KCH58" s="53"/>
      <c r="KCI58" s="53"/>
      <c r="KCJ58" s="53"/>
      <c r="KCK58" s="53"/>
      <c r="KCL58" s="53"/>
      <c r="KCM58" s="53"/>
      <c r="KCN58" s="53"/>
      <c r="KCO58" s="53"/>
      <c r="KCP58" s="53"/>
      <c r="KCQ58" s="53"/>
      <c r="KCR58" s="53"/>
      <c r="KCS58" s="53"/>
      <c r="KCT58" s="53"/>
      <c r="KCU58" s="53"/>
      <c r="KCV58" s="53"/>
      <c r="KCW58" s="53"/>
      <c r="KCX58" s="53"/>
      <c r="KCY58" s="53"/>
      <c r="KCZ58" s="53"/>
      <c r="KDA58" s="53"/>
      <c r="KDB58" s="53"/>
      <c r="KDC58" s="53"/>
      <c r="KDD58" s="53"/>
      <c r="KDE58" s="53"/>
      <c r="KDF58" s="53"/>
      <c r="KDG58" s="53"/>
      <c r="KDH58" s="53"/>
      <c r="KDI58" s="53"/>
      <c r="KDJ58" s="53"/>
      <c r="KDK58" s="53"/>
      <c r="KDL58" s="53"/>
      <c r="KDM58" s="53"/>
      <c r="KDN58" s="53"/>
      <c r="KDO58" s="53"/>
      <c r="KDP58" s="53"/>
      <c r="KDQ58" s="53"/>
      <c r="KDR58" s="53"/>
      <c r="KDS58" s="53"/>
      <c r="KDT58" s="53"/>
      <c r="KDU58" s="53"/>
      <c r="KDV58" s="53"/>
      <c r="KDW58" s="53"/>
      <c r="KDX58" s="53"/>
      <c r="KDY58" s="53"/>
      <c r="KDZ58" s="53"/>
      <c r="KEA58" s="53"/>
      <c r="KEB58" s="53"/>
      <c r="KEC58" s="53"/>
      <c r="KED58" s="53"/>
      <c r="KEE58" s="53"/>
      <c r="KEF58" s="53"/>
      <c r="KEG58" s="53"/>
      <c r="KEH58" s="53"/>
      <c r="KEI58" s="53"/>
      <c r="KEJ58" s="53"/>
      <c r="KEK58" s="53"/>
      <c r="KEL58" s="53"/>
      <c r="KEM58" s="53"/>
      <c r="KEN58" s="53"/>
      <c r="KEO58" s="53"/>
      <c r="KEP58" s="53"/>
      <c r="KEQ58" s="53"/>
      <c r="KER58" s="53"/>
      <c r="KES58" s="53"/>
      <c r="KET58" s="53"/>
      <c r="KEU58" s="53"/>
      <c r="KEV58" s="53"/>
      <c r="KEW58" s="53"/>
      <c r="KEX58" s="53"/>
      <c r="KEY58" s="53"/>
      <c r="KEZ58" s="53"/>
      <c r="KFA58" s="53"/>
      <c r="KFB58" s="53"/>
      <c r="KFC58" s="53"/>
      <c r="KFD58" s="53"/>
      <c r="KFE58" s="53"/>
      <c r="KFF58" s="53"/>
      <c r="KFG58" s="53"/>
      <c r="KFH58" s="53"/>
      <c r="KFI58" s="53"/>
      <c r="KFJ58" s="53"/>
      <c r="KFK58" s="53"/>
      <c r="KFL58" s="53"/>
      <c r="KFM58" s="53"/>
      <c r="KFN58" s="53"/>
      <c r="KFO58" s="53"/>
      <c r="KFP58" s="53"/>
      <c r="KFQ58" s="53"/>
      <c r="KFR58" s="53"/>
      <c r="KFS58" s="53"/>
      <c r="KFT58" s="53"/>
      <c r="KFU58" s="53"/>
      <c r="KFV58" s="53"/>
      <c r="KFW58" s="53"/>
      <c r="KFX58" s="53"/>
      <c r="KFY58" s="53"/>
      <c r="KFZ58" s="53"/>
      <c r="KGA58" s="53"/>
      <c r="KGB58" s="53"/>
      <c r="KGC58" s="53"/>
      <c r="KGD58" s="53"/>
      <c r="KGE58" s="53"/>
      <c r="KGF58" s="53"/>
      <c r="KGG58" s="53"/>
      <c r="KGH58" s="53"/>
      <c r="KGI58" s="53"/>
      <c r="KGJ58" s="53"/>
      <c r="KGK58" s="53"/>
      <c r="KGL58" s="53"/>
      <c r="KGM58" s="53"/>
      <c r="KGN58" s="53"/>
      <c r="KGO58" s="53"/>
      <c r="KGP58" s="53"/>
      <c r="KGQ58" s="53"/>
      <c r="KGR58" s="53"/>
      <c r="KGS58" s="53"/>
      <c r="KGT58" s="53"/>
      <c r="KGU58" s="53"/>
      <c r="KGV58" s="53"/>
      <c r="KGW58" s="53"/>
      <c r="KGX58" s="53"/>
      <c r="KGY58" s="53"/>
      <c r="KGZ58" s="53"/>
      <c r="KHA58" s="53"/>
      <c r="KHB58" s="53"/>
      <c r="KHC58" s="53"/>
      <c r="KHD58" s="53"/>
      <c r="KHE58" s="53"/>
      <c r="KHF58" s="53"/>
      <c r="KHG58" s="53"/>
      <c r="KHH58" s="53"/>
      <c r="KHI58" s="53"/>
      <c r="KHJ58" s="53"/>
      <c r="KHK58" s="53"/>
      <c r="KHL58" s="53"/>
      <c r="KHM58" s="53"/>
      <c r="KHN58" s="53"/>
      <c r="KHO58" s="53"/>
      <c r="KHP58" s="53"/>
      <c r="KHQ58" s="53"/>
      <c r="KHR58" s="53"/>
      <c r="KHS58" s="53"/>
      <c r="KHT58" s="53"/>
      <c r="KHU58" s="53"/>
      <c r="KHV58" s="53"/>
      <c r="KHW58" s="53"/>
      <c r="KHX58" s="53"/>
      <c r="KHY58" s="53"/>
      <c r="KHZ58" s="53"/>
      <c r="KIA58" s="53"/>
      <c r="KIB58" s="53"/>
      <c r="KIC58" s="53"/>
      <c r="KID58" s="53"/>
      <c r="KIE58" s="53"/>
      <c r="KIF58" s="53"/>
      <c r="KIG58" s="53"/>
      <c r="KIH58" s="53"/>
      <c r="KII58" s="53"/>
      <c r="KIJ58" s="53"/>
      <c r="KIK58" s="53"/>
      <c r="KIL58" s="53"/>
      <c r="KIM58" s="53"/>
      <c r="KIN58" s="53"/>
      <c r="KIO58" s="53"/>
      <c r="KIP58" s="53"/>
      <c r="KIQ58" s="53"/>
      <c r="KIR58" s="53"/>
      <c r="KIS58" s="53"/>
      <c r="KIT58" s="53"/>
      <c r="KIU58" s="53"/>
      <c r="KIV58" s="53"/>
      <c r="KIW58" s="53"/>
      <c r="KIX58" s="53"/>
      <c r="KIY58" s="53"/>
      <c r="KIZ58" s="53"/>
      <c r="KJA58" s="53"/>
      <c r="KJB58" s="53"/>
      <c r="KJC58" s="53"/>
      <c r="KJD58" s="53"/>
      <c r="KJE58" s="53"/>
      <c r="KJF58" s="53"/>
      <c r="KJG58" s="53"/>
      <c r="KJH58" s="53"/>
      <c r="KJI58" s="53"/>
      <c r="KJJ58" s="53"/>
      <c r="KJK58" s="53"/>
      <c r="KJL58" s="53"/>
      <c r="KJM58" s="53"/>
      <c r="KJN58" s="53"/>
      <c r="KJO58" s="53"/>
      <c r="KJP58" s="53"/>
      <c r="KJQ58" s="53"/>
      <c r="KJR58" s="53"/>
      <c r="KJS58" s="53"/>
      <c r="KJT58" s="53"/>
      <c r="KJU58" s="53"/>
      <c r="KJV58" s="53"/>
      <c r="KJW58" s="53"/>
      <c r="KJX58" s="53"/>
      <c r="KJY58" s="53"/>
      <c r="KJZ58" s="53"/>
      <c r="KKA58" s="53"/>
      <c r="KKB58" s="53"/>
      <c r="KKC58" s="53"/>
      <c r="KKD58" s="53"/>
      <c r="KKE58" s="53"/>
      <c r="KKF58" s="53"/>
      <c r="KKG58" s="53"/>
      <c r="KKH58" s="53"/>
      <c r="KKI58" s="53"/>
      <c r="KKJ58" s="53"/>
      <c r="KKK58" s="53"/>
      <c r="KKL58" s="53"/>
      <c r="KKM58" s="53"/>
      <c r="KKN58" s="53"/>
      <c r="KKO58" s="53"/>
      <c r="KKP58" s="53"/>
      <c r="KKQ58" s="53"/>
      <c r="KKR58" s="53"/>
      <c r="KKS58" s="53"/>
      <c r="KKT58" s="53"/>
      <c r="KKU58" s="53"/>
      <c r="KKV58" s="53"/>
      <c r="KKW58" s="53"/>
      <c r="KKX58" s="53"/>
      <c r="KKY58" s="53"/>
      <c r="KKZ58" s="53"/>
      <c r="KLA58" s="53"/>
      <c r="KLB58" s="53"/>
      <c r="KLC58" s="53"/>
      <c r="KLD58" s="53"/>
      <c r="KLE58" s="53"/>
      <c r="KLF58" s="53"/>
      <c r="KLG58" s="53"/>
      <c r="KLH58" s="53"/>
      <c r="KLI58" s="53"/>
      <c r="KLJ58" s="53"/>
      <c r="KLK58" s="53"/>
      <c r="KLL58" s="53"/>
      <c r="KLM58" s="53"/>
      <c r="KLN58" s="53"/>
      <c r="KLO58" s="53"/>
      <c r="KLP58" s="53"/>
      <c r="KLQ58" s="53"/>
      <c r="KLR58" s="53"/>
      <c r="KLS58" s="53"/>
      <c r="KLT58" s="53"/>
      <c r="KLU58" s="53"/>
      <c r="KLV58" s="53"/>
      <c r="KLW58" s="53"/>
      <c r="KLX58" s="53"/>
      <c r="KLY58" s="53"/>
      <c r="KLZ58" s="53"/>
      <c r="KMA58" s="53"/>
      <c r="KMB58" s="53"/>
      <c r="KMC58" s="53"/>
      <c r="KMD58" s="53"/>
      <c r="KME58" s="53"/>
      <c r="KMF58" s="53"/>
      <c r="KMG58" s="53"/>
      <c r="KMH58" s="53"/>
      <c r="KMI58" s="53"/>
      <c r="KMJ58" s="53"/>
      <c r="KMK58" s="53"/>
      <c r="KML58" s="53"/>
      <c r="KMM58" s="53"/>
      <c r="KMN58" s="53"/>
      <c r="KMO58" s="53"/>
      <c r="KMP58" s="53"/>
      <c r="KMQ58" s="53"/>
      <c r="KMR58" s="53"/>
      <c r="KMS58" s="53"/>
      <c r="KMT58" s="53"/>
      <c r="KMU58" s="53"/>
      <c r="KMV58" s="53"/>
      <c r="KMW58" s="53"/>
      <c r="KMX58" s="53"/>
      <c r="KMY58" s="53"/>
      <c r="KMZ58" s="53"/>
      <c r="KNA58" s="53"/>
      <c r="KNB58" s="53"/>
      <c r="KNC58" s="53"/>
      <c r="KND58" s="53"/>
      <c r="KNE58" s="53"/>
      <c r="KNF58" s="53"/>
      <c r="KNG58" s="53"/>
      <c r="KNH58" s="53"/>
      <c r="KNI58" s="53"/>
      <c r="KNJ58" s="53"/>
      <c r="KNK58" s="53"/>
      <c r="KNL58" s="53"/>
      <c r="KNM58" s="53"/>
      <c r="KNN58" s="53"/>
      <c r="KNO58" s="53"/>
      <c r="KNP58" s="53"/>
      <c r="KNQ58" s="53"/>
      <c r="KNR58" s="53"/>
      <c r="KNS58" s="53"/>
      <c r="KNT58" s="53"/>
      <c r="KNU58" s="53"/>
      <c r="KNV58" s="53"/>
      <c r="KNW58" s="53"/>
      <c r="KNX58" s="53"/>
      <c r="KNY58" s="53"/>
      <c r="KNZ58" s="53"/>
      <c r="KOA58" s="53"/>
      <c r="KOB58" s="53"/>
      <c r="KOC58" s="53"/>
      <c r="KOD58" s="53"/>
      <c r="KOE58" s="53"/>
      <c r="KOF58" s="53"/>
      <c r="KOG58" s="53"/>
      <c r="KOH58" s="53"/>
      <c r="KOI58" s="53"/>
      <c r="KOJ58" s="53"/>
      <c r="KOK58" s="53"/>
      <c r="KOL58" s="53"/>
      <c r="KOM58" s="53"/>
      <c r="KON58" s="53"/>
      <c r="KOO58" s="53"/>
      <c r="KOP58" s="53"/>
      <c r="KOQ58" s="53"/>
      <c r="KOR58" s="53"/>
      <c r="KOS58" s="53"/>
      <c r="KOT58" s="53"/>
      <c r="KOU58" s="53"/>
      <c r="KOV58" s="53"/>
      <c r="KOW58" s="53"/>
      <c r="KOX58" s="53"/>
      <c r="KOY58" s="53"/>
      <c r="KOZ58" s="53"/>
      <c r="KPA58" s="53"/>
      <c r="KPB58" s="53"/>
      <c r="KPC58" s="53"/>
      <c r="KPD58" s="53"/>
      <c r="KPE58" s="53"/>
      <c r="KPF58" s="53"/>
      <c r="KPG58" s="53"/>
      <c r="KPH58" s="53"/>
      <c r="KPI58" s="53"/>
      <c r="KPJ58" s="53"/>
      <c r="KPK58" s="53"/>
      <c r="KPL58" s="53"/>
      <c r="KPM58" s="53"/>
      <c r="KPN58" s="53"/>
      <c r="KPO58" s="53"/>
      <c r="KPP58" s="53"/>
      <c r="KPQ58" s="53"/>
      <c r="KPR58" s="53"/>
      <c r="KPS58" s="53"/>
      <c r="KPT58" s="53"/>
      <c r="KPU58" s="53"/>
      <c r="KPV58" s="53"/>
      <c r="KPW58" s="53"/>
      <c r="KPX58" s="53"/>
      <c r="KPY58" s="53"/>
      <c r="KPZ58" s="53"/>
      <c r="KQA58" s="53"/>
      <c r="KQB58" s="53"/>
      <c r="KQC58" s="53"/>
      <c r="KQD58" s="53"/>
      <c r="KQE58" s="53"/>
      <c r="KQF58" s="53"/>
      <c r="KQG58" s="53"/>
      <c r="KQH58" s="53"/>
      <c r="KQI58" s="53"/>
      <c r="KQJ58" s="53"/>
      <c r="KQK58" s="53"/>
      <c r="KQL58" s="53"/>
      <c r="KQM58" s="53"/>
      <c r="KQN58" s="53"/>
      <c r="KQO58" s="53"/>
      <c r="KQP58" s="53"/>
      <c r="KQQ58" s="53"/>
      <c r="KQR58" s="53"/>
      <c r="KQS58" s="53"/>
      <c r="KQT58" s="53"/>
      <c r="KQU58" s="53"/>
      <c r="KQV58" s="53"/>
      <c r="KQW58" s="53"/>
      <c r="KQX58" s="53"/>
      <c r="KQY58" s="53"/>
      <c r="KQZ58" s="53"/>
      <c r="KRA58" s="53"/>
      <c r="KRB58" s="53"/>
      <c r="KRC58" s="53"/>
      <c r="KRD58" s="53"/>
      <c r="KRE58" s="53"/>
      <c r="KRF58" s="53"/>
      <c r="KRG58" s="53"/>
      <c r="KRH58" s="53"/>
      <c r="KRI58" s="53"/>
      <c r="KRJ58" s="53"/>
      <c r="KRK58" s="53"/>
      <c r="KRL58" s="53"/>
      <c r="KRM58" s="53"/>
      <c r="KRN58" s="53"/>
      <c r="KRO58" s="53"/>
      <c r="KRP58" s="53"/>
      <c r="KRQ58" s="53"/>
      <c r="KRR58" s="53"/>
      <c r="KRS58" s="53"/>
      <c r="KRT58" s="53"/>
      <c r="KRU58" s="53"/>
      <c r="KRV58" s="53"/>
      <c r="KRW58" s="53"/>
      <c r="KRX58" s="53"/>
      <c r="KRY58" s="53"/>
      <c r="KRZ58" s="53"/>
      <c r="KSA58" s="53"/>
      <c r="KSB58" s="53"/>
      <c r="KSC58" s="53"/>
      <c r="KSD58" s="53"/>
      <c r="KSE58" s="53"/>
      <c r="KSF58" s="53"/>
      <c r="KSG58" s="53"/>
      <c r="KSH58" s="53"/>
      <c r="KSI58" s="53"/>
      <c r="KSJ58" s="53"/>
      <c r="KSK58" s="53"/>
      <c r="KSL58" s="53"/>
      <c r="KSM58" s="53"/>
      <c r="KSN58" s="53"/>
      <c r="KSO58" s="53"/>
      <c r="KSP58" s="53"/>
      <c r="KSQ58" s="53"/>
      <c r="KSR58" s="53"/>
      <c r="KSS58" s="53"/>
      <c r="KST58" s="53"/>
      <c r="KSU58" s="53"/>
      <c r="KSV58" s="53"/>
      <c r="KSW58" s="53"/>
      <c r="KSX58" s="53"/>
      <c r="KSY58" s="53"/>
      <c r="KSZ58" s="53"/>
      <c r="KTA58" s="53"/>
      <c r="KTB58" s="53"/>
      <c r="KTC58" s="53"/>
      <c r="KTD58" s="53"/>
      <c r="KTE58" s="53"/>
      <c r="KTF58" s="53"/>
      <c r="KTG58" s="53"/>
      <c r="KTH58" s="53"/>
      <c r="KTI58" s="53"/>
      <c r="KTJ58" s="53"/>
      <c r="KTK58" s="53"/>
      <c r="KTL58" s="53"/>
      <c r="KTM58" s="53"/>
      <c r="KTN58" s="53"/>
      <c r="KTO58" s="53"/>
      <c r="KTP58" s="53"/>
      <c r="KTQ58" s="53"/>
      <c r="KTR58" s="53"/>
      <c r="KTS58" s="53"/>
      <c r="KTT58" s="53"/>
      <c r="KTU58" s="53"/>
      <c r="KTV58" s="53"/>
      <c r="KTW58" s="53"/>
      <c r="KTX58" s="53"/>
      <c r="KTY58" s="53"/>
      <c r="KTZ58" s="53"/>
      <c r="KUA58" s="53"/>
      <c r="KUB58" s="53"/>
      <c r="KUC58" s="53"/>
      <c r="KUD58" s="53"/>
      <c r="KUE58" s="53"/>
      <c r="KUF58" s="53"/>
      <c r="KUG58" s="53"/>
      <c r="KUH58" s="53"/>
      <c r="KUI58" s="53"/>
      <c r="KUJ58" s="53"/>
      <c r="KUK58" s="53"/>
      <c r="KUL58" s="53"/>
      <c r="KUM58" s="53"/>
      <c r="KUN58" s="53"/>
      <c r="KUO58" s="53"/>
      <c r="KUP58" s="53"/>
      <c r="KUQ58" s="53"/>
      <c r="KUR58" s="53"/>
      <c r="KUS58" s="53"/>
      <c r="KUT58" s="53"/>
      <c r="KUU58" s="53"/>
      <c r="KUV58" s="53"/>
      <c r="KUW58" s="53"/>
      <c r="KUX58" s="53"/>
      <c r="KUY58" s="53"/>
      <c r="KUZ58" s="53"/>
      <c r="KVA58" s="53"/>
      <c r="KVB58" s="53"/>
      <c r="KVC58" s="53"/>
      <c r="KVD58" s="53"/>
      <c r="KVE58" s="53"/>
      <c r="KVF58" s="53"/>
      <c r="KVG58" s="53"/>
      <c r="KVH58" s="53"/>
      <c r="KVI58" s="53"/>
      <c r="KVJ58" s="53"/>
      <c r="KVK58" s="53"/>
      <c r="KVL58" s="53"/>
      <c r="KVM58" s="53"/>
      <c r="KVN58" s="53"/>
      <c r="KVO58" s="53"/>
      <c r="KVP58" s="53"/>
      <c r="KVQ58" s="53"/>
      <c r="KVR58" s="53"/>
      <c r="KVS58" s="53"/>
      <c r="KVT58" s="53"/>
      <c r="KVU58" s="53"/>
      <c r="KVV58" s="53"/>
      <c r="KVW58" s="53"/>
      <c r="KVX58" s="53"/>
      <c r="KVY58" s="53"/>
      <c r="KVZ58" s="53"/>
      <c r="KWA58" s="53"/>
      <c r="KWB58" s="53"/>
      <c r="KWC58" s="53"/>
      <c r="KWD58" s="53"/>
      <c r="KWE58" s="53"/>
      <c r="KWF58" s="53"/>
      <c r="KWG58" s="53"/>
      <c r="KWH58" s="53"/>
      <c r="KWI58" s="53"/>
      <c r="KWJ58" s="53"/>
      <c r="KWK58" s="53"/>
      <c r="KWL58" s="53"/>
      <c r="KWM58" s="53"/>
      <c r="KWN58" s="53"/>
      <c r="KWO58" s="53"/>
      <c r="KWP58" s="53"/>
      <c r="KWQ58" s="53"/>
      <c r="KWR58" s="53"/>
      <c r="KWS58" s="53"/>
      <c r="KWT58" s="53"/>
      <c r="KWU58" s="53"/>
      <c r="KWV58" s="53"/>
      <c r="KWW58" s="53"/>
      <c r="KWX58" s="53"/>
      <c r="KWY58" s="53"/>
      <c r="KWZ58" s="53"/>
      <c r="KXA58" s="53"/>
      <c r="KXB58" s="53"/>
      <c r="KXC58" s="53"/>
      <c r="KXD58" s="53"/>
      <c r="KXE58" s="53"/>
      <c r="KXF58" s="53"/>
      <c r="KXG58" s="53"/>
      <c r="KXH58" s="53"/>
      <c r="KXI58" s="53"/>
      <c r="KXJ58" s="53"/>
      <c r="KXK58" s="53"/>
      <c r="KXL58" s="53"/>
      <c r="KXM58" s="53"/>
      <c r="KXN58" s="53"/>
      <c r="KXO58" s="53"/>
      <c r="KXP58" s="53"/>
      <c r="KXQ58" s="53"/>
      <c r="KXR58" s="53"/>
      <c r="KXS58" s="53"/>
      <c r="KXT58" s="53"/>
      <c r="KXU58" s="53"/>
      <c r="KXV58" s="53"/>
      <c r="KXW58" s="53"/>
      <c r="KXX58" s="53"/>
      <c r="KXY58" s="53"/>
      <c r="KXZ58" s="53"/>
      <c r="KYA58" s="53"/>
      <c r="KYB58" s="53"/>
      <c r="KYC58" s="53"/>
      <c r="KYD58" s="53"/>
      <c r="KYE58" s="53"/>
      <c r="KYF58" s="53"/>
      <c r="KYG58" s="53"/>
      <c r="KYH58" s="53"/>
      <c r="KYI58" s="53"/>
      <c r="KYJ58" s="53"/>
      <c r="KYK58" s="53"/>
      <c r="KYL58" s="53"/>
      <c r="KYM58" s="53"/>
      <c r="KYN58" s="53"/>
      <c r="KYO58" s="53"/>
      <c r="KYP58" s="53"/>
      <c r="KYQ58" s="53"/>
      <c r="KYR58" s="53"/>
      <c r="KYS58" s="53"/>
      <c r="KYT58" s="53"/>
      <c r="KYU58" s="53"/>
      <c r="KYV58" s="53"/>
      <c r="KYW58" s="53"/>
      <c r="KYX58" s="53"/>
      <c r="KYY58" s="53"/>
      <c r="KYZ58" s="53"/>
      <c r="KZA58" s="53"/>
      <c r="KZB58" s="53"/>
      <c r="KZC58" s="53"/>
      <c r="KZD58" s="53"/>
      <c r="KZE58" s="53"/>
      <c r="KZF58" s="53"/>
      <c r="KZG58" s="53"/>
      <c r="KZH58" s="53"/>
      <c r="KZI58" s="53"/>
      <c r="KZJ58" s="53"/>
      <c r="KZK58" s="53"/>
      <c r="KZL58" s="53"/>
      <c r="KZM58" s="53"/>
      <c r="KZN58" s="53"/>
      <c r="KZO58" s="53"/>
      <c r="KZP58" s="53"/>
      <c r="KZQ58" s="53"/>
      <c r="KZR58" s="53"/>
      <c r="KZS58" s="53"/>
      <c r="KZT58" s="53"/>
      <c r="KZU58" s="53"/>
      <c r="KZV58" s="53"/>
      <c r="KZW58" s="53"/>
      <c r="KZX58" s="53"/>
      <c r="KZY58" s="53"/>
      <c r="KZZ58" s="53"/>
      <c r="LAA58" s="53"/>
      <c r="LAB58" s="53"/>
      <c r="LAC58" s="53"/>
      <c r="LAD58" s="53"/>
      <c r="LAE58" s="53"/>
      <c r="LAF58" s="53"/>
      <c r="LAG58" s="53"/>
      <c r="LAH58" s="53"/>
      <c r="LAI58" s="53"/>
      <c r="LAJ58" s="53"/>
      <c r="LAK58" s="53"/>
      <c r="LAL58" s="53"/>
      <c r="LAM58" s="53"/>
      <c r="LAN58" s="53"/>
      <c r="LAO58" s="53"/>
      <c r="LAP58" s="53"/>
      <c r="LAQ58" s="53"/>
      <c r="LAR58" s="53"/>
      <c r="LAS58" s="53"/>
      <c r="LAT58" s="53"/>
      <c r="LAU58" s="53"/>
      <c r="LAV58" s="53"/>
      <c r="LAW58" s="53"/>
      <c r="LAX58" s="53"/>
      <c r="LAY58" s="53"/>
      <c r="LAZ58" s="53"/>
      <c r="LBA58" s="53"/>
      <c r="LBB58" s="53"/>
      <c r="LBC58" s="53"/>
      <c r="LBD58" s="53"/>
      <c r="LBE58" s="53"/>
      <c r="LBF58" s="53"/>
      <c r="LBG58" s="53"/>
      <c r="LBH58" s="53"/>
      <c r="LBI58" s="53"/>
      <c r="LBJ58" s="53"/>
      <c r="LBK58" s="53"/>
      <c r="LBL58" s="53"/>
      <c r="LBM58" s="53"/>
      <c r="LBN58" s="53"/>
      <c r="LBO58" s="53"/>
      <c r="LBP58" s="53"/>
      <c r="LBQ58" s="53"/>
      <c r="LBR58" s="53"/>
      <c r="LBS58" s="53"/>
      <c r="LBT58" s="53"/>
      <c r="LBU58" s="53"/>
      <c r="LBV58" s="53"/>
      <c r="LBW58" s="53"/>
      <c r="LBX58" s="53"/>
      <c r="LBY58" s="53"/>
      <c r="LBZ58" s="53"/>
      <c r="LCA58" s="53"/>
      <c r="LCB58" s="53"/>
      <c r="LCC58" s="53"/>
      <c r="LCD58" s="53"/>
      <c r="LCE58" s="53"/>
      <c r="LCF58" s="53"/>
      <c r="LCG58" s="53"/>
      <c r="LCH58" s="53"/>
      <c r="LCI58" s="53"/>
      <c r="LCJ58" s="53"/>
      <c r="LCK58" s="53"/>
      <c r="LCL58" s="53"/>
      <c r="LCM58" s="53"/>
      <c r="LCN58" s="53"/>
      <c r="LCO58" s="53"/>
      <c r="LCP58" s="53"/>
      <c r="LCQ58" s="53"/>
      <c r="LCR58" s="53"/>
      <c r="LCS58" s="53"/>
      <c r="LCT58" s="53"/>
      <c r="LCU58" s="53"/>
      <c r="LCV58" s="53"/>
      <c r="LCW58" s="53"/>
      <c r="LCX58" s="53"/>
      <c r="LCY58" s="53"/>
      <c r="LCZ58" s="53"/>
      <c r="LDA58" s="53"/>
      <c r="LDB58" s="53"/>
      <c r="LDC58" s="53"/>
      <c r="LDD58" s="53"/>
      <c r="LDE58" s="53"/>
      <c r="LDF58" s="53"/>
      <c r="LDG58" s="53"/>
      <c r="LDH58" s="53"/>
      <c r="LDI58" s="53"/>
      <c r="LDJ58" s="53"/>
      <c r="LDK58" s="53"/>
      <c r="LDL58" s="53"/>
      <c r="LDM58" s="53"/>
      <c r="LDN58" s="53"/>
      <c r="LDO58" s="53"/>
      <c r="LDP58" s="53"/>
      <c r="LDQ58" s="53"/>
      <c r="LDR58" s="53"/>
      <c r="LDS58" s="53"/>
      <c r="LDT58" s="53"/>
      <c r="LDU58" s="53"/>
      <c r="LDV58" s="53"/>
      <c r="LDW58" s="53"/>
      <c r="LDX58" s="53"/>
      <c r="LDY58" s="53"/>
      <c r="LDZ58" s="53"/>
      <c r="LEA58" s="53"/>
      <c r="LEB58" s="53"/>
      <c r="LEC58" s="53"/>
      <c r="LED58" s="53"/>
      <c r="LEE58" s="53"/>
      <c r="LEF58" s="53"/>
      <c r="LEG58" s="53"/>
      <c r="LEH58" s="53"/>
      <c r="LEI58" s="53"/>
      <c r="LEJ58" s="53"/>
      <c r="LEK58" s="53"/>
      <c r="LEL58" s="53"/>
      <c r="LEM58" s="53"/>
      <c r="LEN58" s="53"/>
      <c r="LEO58" s="53"/>
      <c r="LEP58" s="53"/>
      <c r="LEQ58" s="53"/>
      <c r="LER58" s="53"/>
      <c r="LES58" s="53"/>
      <c r="LET58" s="53"/>
      <c r="LEU58" s="53"/>
      <c r="LEV58" s="53"/>
      <c r="LEW58" s="53"/>
      <c r="LEX58" s="53"/>
      <c r="LEY58" s="53"/>
      <c r="LEZ58" s="53"/>
      <c r="LFA58" s="53"/>
      <c r="LFB58" s="53"/>
      <c r="LFC58" s="53"/>
      <c r="LFD58" s="53"/>
      <c r="LFE58" s="53"/>
      <c r="LFF58" s="53"/>
      <c r="LFG58" s="53"/>
      <c r="LFH58" s="53"/>
      <c r="LFI58" s="53"/>
      <c r="LFJ58" s="53"/>
      <c r="LFK58" s="53"/>
      <c r="LFL58" s="53"/>
      <c r="LFM58" s="53"/>
      <c r="LFN58" s="53"/>
      <c r="LFO58" s="53"/>
      <c r="LFP58" s="53"/>
      <c r="LFQ58" s="53"/>
      <c r="LFR58" s="53"/>
      <c r="LFS58" s="53"/>
      <c r="LFT58" s="53"/>
      <c r="LFU58" s="53"/>
      <c r="LFV58" s="53"/>
      <c r="LFW58" s="53"/>
      <c r="LFX58" s="53"/>
      <c r="LFY58" s="53"/>
      <c r="LFZ58" s="53"/>
      <c r="LGA58" s="53"/>
      <c r="LGB58" s="53"/>
      <c r="LGC58" s="53"/>
      <c r="LGD58" s="53"/>
      <c r="LGE58" s="53"/>
      <c r="LGF58" s="53"/>
      <c r="LGG58" s="53"/>
      <c r="LGH58" s="53"/>
      <c r="LGI58" s="53"/>
      <c r="LGJ58" s="53"/>
      <c r="LGK58" s="53"/>
      <c r="LGL58" s="53"/>
      <c r="LGM58" s="53"/>
      <c r="LGN58" s="53"/>
      <c r="LGO58" s="53"/>
      <c r="LGP58" s="53"/>
      <c r="LGQ58" s="53"/>
      <c r="LGR58" s="53"/>
      <c r="LGS58" s="53"/>
      <c r="LGT58" s="53"/>
      <c r="LGU58" s="53"/>
      <c r="LGV58" s="53"/>
      <c r="LGW58" s="53"/>
      <c r="LGX58" s="53"/>
      <c r="LGY58" s="53"/>
      <c r="LGZ58" s="53"/>
      <c r="LHA58" s="53"/>
      <c r="LHB58" s="53"/>
      <c r="LHC58" s="53"/>
      <c r="LHD58" s="53"/>
      <c r="LHE58" s="53"/>
      <c r="LHF58" s="53"/>
      <c r="LHG58" s="53"/>
      <c r="LHH58" s="53"/>
      <c r="LHI58" s="53"/>
      <c r="LHJ58" s="53"/>
      <c r="LHK58" s="53"/>
      <c r="LHL58" s="53"/>
      <c r="LHM58" s="53"/>
      <c r="LHN58" s="53"/>
      <c r="LHO58" s="53"/>
      <c r="LHP58" s="53"/>
      <c r="LHQ58" s="53"/>
      <c r="LHR58" s="53"/>
      <c r="LHS58" s="53"/>
      <c r="LHT58" s="53"/>
      <c r="LHU58" s="53"/>
      <c r="LHV58" s="53"/>
      <c r="LHW58" s="53"/>
      <c r="LHX58" s="53"/>
      <c r="LHY58" s="53"/>
      <c r="LHZ58" s="53"/>
      <c r="LIA58" s="53"/>
      <c r="LIB58" s="53"/>
      <c r="LIC58" s="53"/>
      <c r="LID58" s="53"/>
      <c r="LIE58" s="53"/>
      <c r="LIF58" s="53"/>
      <c r="LIG58" s="53"/>
      <c r="LIH58" s="53"/>
      <c r="LII58" s="53"/>
      <c r="LIJ58" s="53"/>
      <c r="LIK58" s="53"/>
      <c r="LIL58" s="53"/>
      <c r="LIM58" s="53"/>
      <c r="LIN58" s="53"/>
      <c r="LIO58" s="53"/>
      <c r="LIP58" s="53"/>
      <c r="LIQ58" s="53"/>
      <c r="LIR58" s="53"/>
      <c r="LIS58" s="53"/>
      <c r="LIT58" s="53"/>
      <c r="LIU58" s="53"/>
      <c r="LIV58" s="53"/>
      <c r="LIW58" s="53"/>
      <c r="LIX58" s="53"/>
      <c r="LIY58" s="53"/>
      <c r="LIZ58" s="53"/>
      <c r="LJA58" s="53"/>
      <c r="LJB58" s="53"/>
      <c r="LJC58" s="53"/>
      <c r="LJD58" s="53"/>
      <c r="LJE58" s="53"/>
      <c r="LJF58" s="53"/>
      <c r="LJG58" s="53"/>
      <c r="LJH58" s="53"/>
      <c r="LJI58" s="53"/>
      <c r="LJJ58" s="53"/>
      <c r="LJK58" s="53"/>
      <c r="LJL58" s="53"/>
      <c r="LJM58" s="53"/>
      <c r="LJN58" s="53"/>
      <c r="LJO58" s="53"/>
      <c r="LJP58" s="53"/>
      <c r="LJQ58" s="53"/>
      <c r="LJR58" s="53"/>
      <c r="LJS58" s="53"/>
      <c r="LJT58" s="53"/>
      <c r="LJU58" s="53"/>
      <c r="LJV58" s="53"/>
      <c r="LJW58" s="53"/>
      <c r="LJX58" s="53"/>
      <c r="LJY58" s="53"/>
      <c r="LJZ58" s="53"/>
      <c r="LKA58" s="53"/>
      <c r="LKB58" s="53"/>
      <c r="LKC58" s="53"/>
      <c r="LKD58" s="53"/>
      <c r="LKE58" s="53"/>
      <c r="LKF58" s="53"/>
      <c r="LKG58" s="53"/>
      <c r="LKH58" s="53"/>
      <c r="LKI58" s="53"/>
      <c r="LKJ58" s="53"/>
      <c r="LKK58" s="53"/>
      <c r="LKL58" s="53"/>
      <c r="LKM58" s="53"/>
      <c r="LKN58" s="53"/>
      <c r="LKO58" s="53"/>
      <c r="LKP58" s="53"/>
      <c r="LKQ58" s="53"/>
      <c r="LKR58" s="53"/>
      <c r="LKS58" s="53"/>
      <c r="LKT58" s="53"/>
      <c r="LKU58" s="53"/>
      <c r="LKV58" s="53"/>
      <c r="LKW58" s="53"/>
      <c r="LKX58" s="53"/>
      <c r="LKY58" s="53"/>
      <c r="LKZ58" s="53"/>
      <c r="LLA58" s="53"/>
      <c r="LLB58" s="53"/>
      <c r="LLC58" s="53"/>
      <c r="LLD58" s="53"/>
      <c r="LLE58" s="53"/>
      <c r="LLF58" s="53"/>
      <c r="LLG58" s="53"/>
      <c r="LLH58" s="53"/>
      <c r="LLI58" s="53"/>
      <c r="LLJ58" s="53"/>
      <c r="LLK58" s="53"/>
      <c r="LLL58" s="53"/>
      <c r="LLM58" s="53"/>
      <c r="LLN58" s="53"/>
      <c r="LLO58" s="53"/>
      <c r="LLP58" s="53"/>
      <c r="LLQ58" s="53"/>
      <c r="LLR58" s="53"/>
      <c r="LLS58" s="53"/>
      <c r="LLT58" s="53"/>
      <c r="LLU58" s="53"/>
      <c r="LLV58" s="53"/>
      <c r="LLW58" s="53"/>
      <c r="LLX58" s="53"/>
      <c r="LLY58" s="53"/>
      <c r="LLZ58" s="53"/>
      <c r="LMA58" s="53"/>
      <c r="LMB58" s="53"/>
      <c r="LMC58" s="53"/>
      <c r="LMD58" s="53"/>
      <c r="LME58" s="53"/>
      <c r="LMF58" s="53"/>
      <c r="LMG58" s="53"/>
      <c r="LMH58" s="53"/>
      <c r="LMI58" s="53"/>
      <c r="LMJ58" s="53"/>
      <c r="LMK58" s="53"/>
      <c r="LML58" s="53"/>
      <c r="LMM58" s="53"/>
      <c r="LMN58" s="53"/>
      <c r="LMO58" s="53"/>
      <c r="LMP58" s="53"/>
      <c r="LMQ58" s="53"/>
      <c r="LMR58" s="53"/>
      <c r="LMS58" s="53"/>
      <c r="LMT58" s="53"/>
      <c r="LMU58" s="53"/>
      <c r="LMV58" s="53"/>
      <c r="LMW58" s="53"/>
      <c r="LMX58" s="53"/>
      <c r="LMY58" s="53"/>
      <c r="LMZ58" s="53"/>
      <c r="LNA58" s="53"/>
      <c r="LNB58" s="53"/>
      <c r="LNC58" s="53"/>
      <c r="LND58" s="53"/>
      <c r="LNE58" s="53"/>
      <c r="LNF58" s="53"/>
      <c r="LNG58" s="53"/>
      <c r="LNH58" s="53"/>
      <c r="LNI58" s="53"/>
      <c r="LNJ58" s="53"/>
      <c r="LNK58" s="53"/>
      <c r="LNL58" s="53"/>
      <c r="LNM58" s="53"/>
      <c r="LNN58" s="53"/>
      <c r="LNO58" s="53"/>
      <c r="LNP58" s="53"/>
      <c r="LNQ58" s="53"/>
      <c r="LNR58" s="53"/>
      <c r="LNS58" s="53"/>
      <c r="LNT58" s="53"/>
      <c r="LNU58" s="53"/>
      <c r="LNV58" s="53"/>
      <c r="LNW58" s="53"/>
      <c r="LNX58" s="53"/>
      <c r="LNY58" s="53"/>
      <c r="LNZ58" s="53"/>
      <c r="LOA58" s="53"/>
      <c r="LOB58" s="53"/>
      <c r="LOC58" s="53"/>
      <c r="LOD58" s="53"/>
      <c r="LOE58" s="53"/>
      <c r="LOF58" s="53"/>
      <c r="LOG58" s="53"/>
      <c r="LOH58" s="53"/>
      <c r="LOI58" s="53"/>
      <c r="LOJ58" s="53"/>
      <c r="LOK58" s="53"/>
      <c r="LOL58" s="53"/>
      <c r="LOM58" s="53"/>
      <c r="LON58" s="53"/>
      <c r="LOO58" s="53"/>
      <c r="LOP58" s="53"/>
      <c r="LOQ58" s="53"/>
      <c r="LOR58" s="53"/>
      <c r="LOS58" s="53"/>
      <c r="LOT58" s="53"/>
      <c r="LOU58" s="53"/>
      <c r="LOV58" s="53"/>
      <c r="LOW58" s="53"/>
      <c r="LOX58" s="53"/>
      <c r="LOY58" s="53"/>
      <c r="LOZ58" s="53"/>
      <c r="LPA58" s="53"/>
      <c r="LPB58" s="53"/>
      <c r="LPC58" s="53"/>
      <c r="LPD58" s="53"/>
      <c r="LPE58" s="53"/>
      <c r="LPF58" s="53"/>
      <c r="LPG58" s="53"/>
      <c r="LPH58" s="53"/>
      <c r="LPI58" s="53"/>
      <c r="LPJ58" s="53"/>
      <c r="LPK58" s="53"/>
      <c r="LPL58" s="53"/>
      <c r="LPM58" s="53"/>
      <c r="LPN58" s="53"/>
      <c r="LPO58" s="53"/>
      <c r="LPP58" s="53"/>
      <c r="LPQ58" s="53"/>
      <c r="LPR58" s="53"/>
      <c r="LPS58" s="53"/>
      <c r="LPT58" s="53"/>
      <c r="LPU58" s="53"/>
      <c r="LPV58" s="53"/>
      <c r="LPW58" s="53"/>
      <c r="LPX58" s="53"/>
      <c r="LPY58" s="53"/>
      <c r="LPZ58" s="53"/>
      <c r="LQA58" s="53"/>
      <c r="LQB58" s="53"/>
      <c r="LQC58" s="53"/>
      <c r="LQD58" s="53"/>
      <c r="LQE58" s="53"/>
      <c r="LQF58" s="53"/>
      <c r="LQG58" s="53"/>
      <c r="LQH58" s="53"/>
      <c r="LQI58" s="53"/>
      <c r="LQJ58" s="53"/>
      <c r="LQK58" s="53"/>
      <c r="LQL58" s="53"/>
      <c r="LQM58" s="53"/>
      <c r="LQN58" s="53"/>
      <c r="LQO58" s="53"/>
      <c r="LQP58" s="53"/>
      <c r="LQQ58" s="53"/>
      <c r="LQR58" s="53"/>
      <c r="LQS58" s="53"/>
      <c r="LQT58" s="53"/>
      <c r="LQU58" s="53"/>
      <c r="LQV58" s="53"/>
      <c r="LQW58" s="53"/>
      <c r="LQX58" s="53"/>
      <c r="LQY58" s="53"/>
      <c r="LQZ58" s="53"/>
      <c r="LRA58" s="53"/>
      <c r="LRB58" s="53"/>
      <c r="LRC58" s="53"/>
      <c r="LRD58" s="53"/>
      <c r="LRE58" s="53"/>
      <c r="LRF58" s="53"/>
      <c r="LRG58" s="53"/>
      <c r="LRH58" s="53"/>
      <c r="LRI58" s="53"/>
      <c r="LRJ58" s="53"/>
      <c r="LRK58" s="53"/>
      <c r="LRL58" s="53"/>
      <c r="LRM58" s="53"/>
      <c r="LRN58" s="53"/>
      <c r="LRO58" s="53"/>
      <c r="LRP58" s="53"/>
      <c r="LRQ58" s="53"/>
      <c r="LRR58" s="53"/>
      <c r="LRS58" s="53"/>
      <c r="LRT58" s="53"/>
      <c r="LRU58" s="53"/>
      <c r="LRV58" s="53"/>
      <c r="LRW58" s="53"/>
      <c r="LRX58" s="53"/>
      <c r="LRY58" s="53"/>
      <c r="LRZ58" s="53"/>
      <c r="LSA58" s="53"/>
      <c r="LSB58" s="53"/>
      <c r="LSC58" s="53"/>
      <c r="LSD58" s="53"/>
      <c r="LSE58" s="53"/>
      <c r="LSF58" s="53"/>
      <c r="LSG58" s="53"/>
      <c r="LSH58" s="53"/>
      <c r="LSI58" s="53"/>
      <c r="LSJ58" s="53"/>
      <c r="LSK58" s="53"/>
      <c r="LSL58" s="53"/>
      <c r="LSM58" s="53"/>
      <c r="LSN58" s="53"/>
      <c r="LSO58" s="53"/>
      <c r="LSP58" s="53"/>
      <c r="LSQ58" s="53"/>
      <c r="LSR58" s="53"/>
      <c r="LSS58" s="53"/>
      <c r="LST58" s="53"/>
      <c r="LSU58" s="53"/>
      <c r="LSV58" s="53"/>
      <c r="LSW58" s="53"/>
      <c r="LSX58" s="53"/>
      <c r="LSY58" s="53"/>
      <c r="LSZ58" s="53"/>
      <c r="LTA58" s="53"/>
      <c r="LTB58" s="53"/>
      <c r="LTC58" s="53"/>
      <c r="LTD58" s="53"/>
      <c r="LTE58" s="53"/>
      <c r="LTF58" s="53"/>
      <c r="LTG58" s="53"/>
      <c r="LTH58" s="53"/>
      <c r="LTI58" s="53"/>
      <c r="LTJ58" s="53"/>
      <c r="LTK58" s="53"/>
      <c r="LTL58" s="53"/>
      <c r="LTM58" s="53"/>
      <c r="LTN58" s="53"/>
      <c r="LTO58" s="53"/>
      <c r="LTP58" s="53"/>
      <c r="LTQ58" s="53"/>
      <c r="LTR58" s="53"/>
      <c r="LTS58" s="53"/>
      <c r="LTT58" s="53"/>
      <c r="LTU58" s="53"/>
      <c r="LTV58" s="53"/>
      <c r="LTW58" s="53"/>
      <c r="LTX58" s="53"/>
      <c r="LTY58" s="53"/>
      <c r="LTZ58" s="53"/>
      <c r="LUA58" s="53"/>
      <c r="LUB58" s="53"/>
      <c r="LUC58" s="53"/>
      <c r="LUD58" s="53"/>
      <c r="LUE58" s="53"/>
      <c r="LUF58" s="53"/>
      <c r="LUG58" s="53"/>
      <c r="LUH58" s="53"/>
      <c r="LUI58" s="53"/>
      <c r="LUJ58" s="53"/>
      <c r="LUK58" s="53"/>
      <c r="LUL58" s="53"/>
      <c r="LUM58" s="53"/>
      <c r="LUN58" s="53"/>
      <c r="LUO58" s="53"/>
      <c r="LUP58" s="53"/>
      <c r="LUQ58" s="53"/>
      <c r="LUR58" s="53"/>
      <c r="LUS58" s="53"/>
      <c r="LUT58" s="53"/>
      <c r="LUU58" s="53"/>
      <c r="LUV58" s="53"/>
      <c r="LUW58" s="53"/>
      <c r="LUX58" s="53"/>
      <c r="LUY58" s="53"/>
      <c r="LUZ58" s="53"/>
      <c r="LVA58" s="53"/>
      <c r="LVB58" s="53"/>
      <c r="LVC58" s="53"/>
      <c r="LVD58" s="53"/>
      <c r="LVE58" s="53"/>
      <c r="LVF58" s="53"/>
      <c r="LVG58" s="53"/>
      <c r="LVH58" s="53"/>
      <c r="LVI58" s="53"/>
      <c r="LVJ58" s="53"/>
      <c r="LVK58" s="53"/>
      <c r="LVL58" s="53"/>
      <c r="LVM58" s="53"/>
      <c r="LVN58" s="53"/>
      <c r="LVO58" s="53"/>
      <c r="LVP58" s="53"/>
      <c r="LVQ58" s="53"/>
      <c r="LVR58" s="53"/>
      <c r="LVS58" s="53"/>
      <c r="LVT58" s="53"/>
      <c r="LVU58" s="53"/>
      <c r="LVV58" s="53"/>
      <c r="LVW58" s="53"/>
      <c r="LVX58" s="53"/>
      <c r="LVY58" s="53"/>
      <c r="LVZ58" s="53"/>
      <c r="LWA58" s="53"/>
      <c r="LWB58" s="53"/>
      <c r="LWC58" s="53"/>
      <c r="LWD58" s="53"/>
      <c r="LWE58" s="53"/>
      <c r="LWF58" s="53"/>
      <c r="LWG58" s="53"/>
      <c r="LWH58" s="53"/>
      <c r="LWI58" s="53"/>
      <c r="LWJ58" s="53"/>
      <c r="LWK58" s="53"/>
      <c r="LWL58" s="53"/>
      <c r="LWM58" s="53"/>
      <c r="LWN58" s="53"/>
      <c r="LWO58" s="53"/>
      <c r="LWP58" s="53"/>
      <c r="LWQ58" s="53"/>
      <c r="LWR58" s="53"/>
      <c r="LWS58" s="53"/>
      <c r="LWT58" s="53"/>
      <c r="LWU58" s="53"/>
      <c r="LWV58" s="53"/>
      <c r="LWW58" s="53"/>
      <c r="LWX58" s="53"/>
      <c r="LWY58" s="53"/>
      <c r="LWZ58" s="53"/>
      <c r="LXA58" s="53"/>
      <c r="LXB58" s="53"/>
      <c r="LXC58" s="53"/>
      <c r="LXD58" s="53"/>
      <c r="LXE58" s="53"/>
      <c r="LXF58" s="53"/>
      <c r="LXG58" s="53"/>
      <c r="LXH58" s="53"/>
      <c r="LXI58" s="53"/>
      <c r="LXJ58" s="53"/>
      <c r="LXK58" s="53"/>
      <c r="LXL58" s="53"/>
      <c r="LXM58" s="53"/>
      <c r="LXN58" s="53"/>
      <c r="LXO58" s="53"/>
      <c r="LXP58" s="53"/>
      <c r="LXQ58" s="53"/>
      <c r="LXR58" s="53"/>
      <c r="LXS58" s="53"/>
      <c r="LXT58" s="53"/>
      <c r="LXU58" s="53"/>
      <c r="LXV58" s="53"/>
      <c r="LXW58" s="53"/>
      <c r="LXX58" s="53"/>
      <c r="LXY58" s="53"/>
      <c r="LXZ58" s="53"/>
      <c r="LYA58" s="53"/>
      <c r="LYB58" s="53"/>
      <c r="LYC58" s="53"/>
      <c r="LYD58" s="53"/>
      <c r="LYE58" s="53"/>
      <c r="LYF58" s="53"/>
      <c r="LYG58" s="53"/>
      <c r="LYH58" s="53"/>
      <c r="LYI58" s="53"/>
      <c r="LYJ58" s="53"/>
      <c r="LYK58" s="53"/>
      <c r="LYL58" s="53"/>
      <c r="LYM58" s="53"/>
      <c r="LYN58" s="53"/>
      <c r="LYO58" s="53"/>
      <c r="LYP58" s="53"/>
      <c r="LYQ58" s="53"/>
      <c r="LYR58" s="53"/>
      <c r="LYS58" s="53"/>
      <c r="LYT58" s="53"/>
      <c r="LYU58" s="53"/>
      <c r="LYV58" s="53"/>
      <c r="LYW58" s="53"/>
      <c r="LYX58" s="53"/>
      <c r="LYY58" s="53"/>
      <c r="LYZ58" s="53"/>
      <c r="LZA58" s="53"/>
      <c r="LZB58" s="53"/>
      <c r="LZC58" s="53"/>
      <c r="LZD58" s="53"/>
      <c r="LZE58" s="53"/>
      <c r="LZF58" s="53"/>
      <c r="LZG58" s="53"/>
      <c r="LZH58" s="53"/>
      <c r="LZI58" s="53"/>
      <c r="LZJ58" s="53"/>
      <c r="LZK58" s="53"/>
      <c r="LZL58" s="53"/>
      <c r="LZM58" s="53"/>
      <c r="LZN58" s="53"/>
      <c r="LZO58" s="53"/>
      <c r="LZP58" s="53"/>
      <c r="LZQ58" s="53"/>
      <c r="LZR58" s="53"/>
      <c r="LZS58" s="53"/>
      <c r="LZT58" s="53"/>
      <c r="LZU58" s="53"/>
      <c r="LZV58" s="53"/>
      <c r="LZW58" s="53"/>
      <c r="LZX58" s="53"/>
      <c r="LZY58" s="53"/>
      <c r="LZZ58" s="53"/>
      <c r="MAA58" s="53"/>
      <c r="MAB58" s="53"/>
      <c r="MAC58" s="53"/>
      <c r="MAD58" s="53"/>
      <c r="MAE58" s="53"/>
      <c r="MAF58" s="53"/>
      <c r="MAG58" s="53"/>
      <c r="MAH58" s="53"/>
      <c r="MAI58" s="53"/>
      <c r="MAJ58" s="53"/>
      <c r="MAK58" s="53"/>
      <c r="MAL58" s="53"/>
      <c r="MAM58" s="53"/>
      <c r="MAN58" s="53"/>
      <c r="MAO58" s="53"/>
      <c r="MAP58" s="53"/>
      <c r="MAQ58" s="53"/>
      <c r="MAR58" s="53"/>
      <c r="MAS58" s="53"/>
      <c r="MAT58" s="53"/>
      <c r="MAU58" s="53"/>
      <c r="MAV58" s="53"/>
      <c r="MAW58" s="53"/>
      <c r="MAX58" s="53"/>
      <c r="MAY58" s="53"/>
      <c r="MAZ58" s="53"/>
      <c r="MBA58" s="53"/>
      <c r="MBB58" s="53"/>
      <c r="MBC58" s="53"/>
      <c r="MBD58" s="53"/>
      <c r="MBE58" s="53"/>
      <c r="MBF58" s="53"/>
      <c r="MBG58" s="53"/>
      <c r="MBH58" s="53"/>
      <c r="MBI58" s="53"/>
      <c r="MBJ58" s="53"/>
      <c r="MBK58" s="53"/>
      <c r="MBL58" s="53"/>
      <c r="MBM58" s="53"/>
      <c r="MBN58" s="53"/>
      <c r="MBO58" s="53"/>
      <c r="MBP58" s="53"/>
      <c r="MBQ58" s="53"/>
      <c r="MBR58" s="53"/>
      <c r="MBS58" s="53"/>
      <c r="MBT58" s="53"/>
      <c r="MBU58" s="53"/>
      <c r="MBV58" s="53"/>
      <c r="MBW58" s="53"/>
      <c r="MBX58" s="53"/>
      <c r="MBY58" s="53"/>
      <c r="MBZ58" s="53"/>
      <c r="MCA58" s="53"/>
      <c r="MCB58" s="53"/>
      <c r="MCC58" s="53"/>
      <c r="MCD58" s="53"/>
      <c r="MCE58" s="53"/>
      <c r="MCF58" s="53"/>
      <c r="MCG58" s="53"/>
      <c r="MCH58" s="53"/>
      <c r="MCI58" s="53"/>
      <c r="MCJ58" s="53"/>
      <c r="MCK58" s="53"/>
      <c r="MCL58" s="53"/>
      <c r="MCM58" s="53"/>
      <c r="MCN58" s="53"/>
      <c r="MCO58" s="53"/>
      <c r="MCP58" s="53"/>
      <c r="MCQ58" s="53"/>
      <c r="MCR58" s="53"/>
      <c r="MCS58" s="53"/>
      <c r="MCT58" s="53"/>
      <c r="MCU58" s="53"/>
      <c r="MCV58" s="53"/>
      <c r="MCW58" s="53"/>
      <c r="MCX58" s="53"/>
      <c r="MCY58" s="53"/>
      <c r="MCZ58" s="53"/>
      <c r="MDA58" s="53"/>
      <c r="MDB58" s="53"/>
      <c r="MDC58" s="53"/>
      <c r="MDD58" s="53"/>
      <c r="MDE58" s="53"/>
      <c r="MDF58" s="53"/>
      <c r="MDG58" s="53"/>
      <c r="MDH58" s="53"/>
      <c r="MDI58" s="53"/>
      <c r="MDJ58" s="53"/>
      <c r="MDK58" s="53"/>
      <c r="MDL58" s="53"/>
      <c r="MDM58" s="53"/>
      <c r="MDN58" s="53"/>
      <c r="MDO58" s="53"/>
      <c r="MDP58" s="53"/>
      <c r="MDQ58" s="53"/>
      <c r="MDR58" s="53"/>
      <c r="MDS58" s="53"/>
      <c r="MDT58" s="53"/>
      <c r="MDU58" s="53"/>
      <c r="MDV58" s="53"/>
      <c r="MDW58" s="53"/>
      <c r="MDX58" s="53"/>
      <c r="MDY58" s="53"/>
      <c r="MDZ58" s="53"/>
      <c r="MEA58" s="53"/>
      <c r="MEB58" s="53"/>
      <c r="MEC58" s="53"/>
      <c r="MED58" s="53"/>
      <c r="MEE58" s="53"/>
      <c r="MEF58" s="53"/>
      <c r="MEG58" s="53"/>
      <c r="MEH58" s="53"/>
      <c r="MEI58" s="53"/>
      <c r="MEJ58" s="53"/>
      <c r="MEK58" s="53"/>
      <c r="MEL58" s="53"/>
      <c r="MEM58" s="53"/>
      <c r="MEN58" s="53"/>
      <c r="MEO58" s="53"/>
      <c r="MEP58" s="53"/>
      <c r="MEQ58" s="53"/>
      <c r="MER58" s="53"/>
      <c r="MES58" s="53"/>
      <c r="MET58" s="53"/>
      <c r="MEU58" s="53"/>
      <c r="MEV58" s="53"/>
      <c r="MEW58" s="53"/>
      <c r="MEX58" s="53"/>
      <c r="MEY58" s="53"/>
      <c r="MEZ58" s="53"/>
      <c r="MFA58" s="53"/>
      <c r="MFB58" s="53"/>
      <c r="MFC58" s="53"/>
      <c r="MFD58" s="53"/>
      <c r="MFE58" s="53"/>
      <c r="MFF58" s="53"/>
      <c r="MFG58" s="53"/>
      <c r="MFH58" s="53"/>
      <c r="MFI58" s="53"/>
      <c r="MFJ58" s="53"/>
      <c r="MFK58" s="53"/>
      <c r="MFL58" s="53"/>
      <c r="MFM58" s="53"/>
      <c r="MFN58" s="53"/>
      <c r="MFO58" s="53"/>
      <c r="MFP58" s="53"/>
      <c r="MFQ58" s="53"/>
      <c r="MFR58" s="53"/>
      <c r="MFS58" s="53"/>
      <c r="MFT58" s="53"/>
      <c r="MFU58" s="53"/>
      <c r="MFV58" s="53"/>
      <c r="MFW58" s="53"/>
      <c r="MFX58" s="53"/>
      <c r="MFY58" s="53"/>
      <c r="MFZ58" s="53"/>
      <c r="MGA58" s="53"/>
      <c r="MGB58" s="53"/>
      <c r="MGC58" s="53"/>
      <c r="MGD58" s="53"/>
      <c r="MGE58" s="53"/>
      <c r="MGF58" s="53"/>
      <c r="MGG58" s="53"/>
      <c r="MGH58" s="53"/>
      <c r="MGI58" s="53"/>
      <c r="MGJ58" s="53"/>
      <c r="MGK58" s="53"/>
      <c r="MGL58" s="53"/>
      <c r="MGM58" s="53"/>
      <c r="MGN58" s="53"/>
      <c r="MGO58" s="53"/>
      <c r="MGP58" s="53"/>
      <c r="MGQ58" s="53"/>
      <c r="MGR58" s="53"/>
      <c r="MGS58" s="53"/>
      <c r="MGT58" s="53"/>
      <c r="MGU58" s="53"/>
      <c r="MGV58" s="53"/>
      <c r="MGW58" s="53"/>
      <c r="MGX58" s="53"/>
      <c r="MGY58" s="53"/>
      <c r="MGZ58" s="53"/>
      <c r="MHA58" s="53"/>
      <c r="MHB58" s="53"/>
      <c r="MHC58" s="53"/>
      <c r="MHD58" s="53"/>
      <c r="MHE58" s="53"/>
      <c r="MHF58" s="53"/>
      <c r="MHG58" s="53"/>
      <c r="MHH58" s="53"/>
      <c r="MHI58" s="53"/>
      <c r="MHJ58" s="53"/>
      <c r="MHK58" s="53"/>
      <c r="MHL58" s="53"/>
      <c r="MHM58" s="53"/>
      <c r="MHN58" s="53"/>
      <c r="MHO58" s="53"/>
      <c r="MHP58" s="53"/>
      <c r="MHQ58" s="53"/>
      <c r="MHR58" s="53"/>
      <c r="MHS58" s="53"/>
      <c r="MHT58" s="53"/>
      <c r="MHU58" s="53"/>
      <c r="MHV58" s="53"/>
      <c r="MHW58" s="53"/>
      <c r="MHX58" s="53"/>
      <c r="MHY58" s="53"/>
      <c r="MHZ58" s="53"/>
      <c r="MIA58" s="53"/>
      <c r="MIB58" s="53"/>
      <c r="MIC58" s="53"/>
      <c r="MID58" s="53"/>
      <c r="MIE58" s="53"/>
      <c r="MIF58" s="53"/>
      <c r="MIG58" s="53"/>
      <c r="MIH58" s="53"/>
      <c r="MII58" s="53"/>
      <c r="MIJ58" s="53"/>
      <c r="MIK58" s="53"/>
      <c r="MIL58" s="53"/>
      <c r="MIM58" s="53"/>
      <c r="MIN58" s="53"/>
      <c r="MIO58" s="53"/>
      <c r="MIP58" s="53"/>
      <c r="MIQ58" s="53"/>
      <c r="MIR58" s="53"/>
      <c r="MIS58" s="53"/>
      <c r="MIT58" s="53"/>
      <c r="MIU58" s="53"/>
      <c r="MIV58" s="53"/>
      <c r="MIW58" s="53"/>
      <c r="MIX58" s="53"/>
      <c r="MIY58" s="53"/>
      <c r="MIZ58" s="53"/>
      <c r="MJA58" s="53"/>
      <c r="MJB58" s="53"/>
      <c r="MJC58" s="53"/>
      <c r="MJD58" s="53"/>
      <c r="MJE58" s="53"/>
      <c r="MJF58" s="53"/>
      <c r="MJG58" s="53"/>
      <c r="MJH58" s="53"/>
      <c r="MJI58" s="53"/>
      <c r="MJJ58" s="53"/>
      <c r="MJK58" s="53"/>
      <c r="MJL58" s="53"/>
      <c r="MJM58" s="53"/>
      <c r="MJN58" s="53"/>
      <c r="MJO58" s="53"/>
      <c r="MJP58" s="53"/>
      <c r="MJQ58" s="53"/>
      <c r="MJR58" s="53"/>
      <c r="MJS58" s="53"/>
      <c r="MJT58" s="53"/>
      <c r="MJU58" s="53"/>
      <c r="MJV58" s="53"/>
      <c r="MJW58" s="53"/>
      <c r="MJX58" s="53"/>
      <c r="MJY58" s="53"/>
      <c r="MJZ58" s="53"/>
      <c r="MKA58" s="53"/>
      <c r="MKB58" s="53"/>
      <c r="MKC58" s="53"/>
      <c r="MKD58" s="53"/>
      <c r="MKE58" s="53"/>
      <c r="MKF58" s="53"/>
      <c r="MKG58" s="53"/>
      <c r="MKH58" s="53"/>
      <c r="MKI58" s="53"/>
      <c r="MKJ58" s="53"/>
      <c r="MKK58" s="53"/>
      <c r="MKL58" s="53"/>
      <c r="MKM58" s="53"/>
      <c r="MKN58" s="53"/>
      <c r="MKO58" s="53"/>
      <c r="MKP58" s="53"/>
      <c r="MKQ58" s="53"/>
      <c r="MKR58" s="53"/>
      <c r="MKS58" s="53"/>
      <c r="MKT58" s="53"/>
      <c r="MKU58" s="53"/>
      <c r="MKV58" s="53"/>
      <c r="MKW58" s="53"/>
      <c r="MKX58" s="53"/>
      <c r="MKY58" s="53"/>
      <c r="MKZ58" s="53"/>
      <c r="MLA58" s="53"/>
      <c r="MLB58" s="53"/>
      <c r="MLC58" s="53"/>
      <c r="MLD58" s="53"/>
      <c r="MLE58" s="53"/>
      <c r="MLF58" s="53"/>
      <c r="MLG58" s="53"/>
      <c r="MLH58" s="53"/>
      <c r="MLI58" s="53"/>
      <c r="MLJ58" s="53"/>
      <c r="MLK58" s="53"/>
      <c r="MLL58" s="53"/>
      <c r="MLM58" s="53"/>
      <c r="MLN58" s="53"/>
      <c r="MLO58" s="53"/>
      <c r="MLP58" s="53"/>
      <c r="MLQ58" s="53"/>
      <c r="MLR58" s="53"/>
      <c r="MLS58" s="53"/>
      <c r="MLT58" s="53"/>
      <c r="MLU58" s="53"/>
      <c r="MLV58" s="53"/>
      <c r="MLW58" s="53"/>
      <c r="MLX58" s="53"/>
      <c r="MLY58" s="53"/>
      <c r="MLZ58" s="53"/>
      <c r="MMA58" s="53"/>
      <c r="MMB58" s="53"/>
      <c r="MMC58" s="53"/>
      <c r="MMD58" s="53"/>
      <c r="MME58" s="53"/>
      <c r="MMF58" s="53"/>
      <c r="MMG58" s="53"/>
      <c r="MMH58" s="53"/>
      <c r="MMI58" s="53"/>
      <c r="MMJ58" s="53"/>
      <c r="MMK58" s="53"/>
      <c r="MML58" s="53"/>
      <c r="MMM58" s="53"/>
      <c r="MMN58" s="53"/>
      <c r="MMO58" s="53"/>
      <c r="MMP58" s="53"/>
      <c r="MMQ58" s="53"/>
      <c r="MMR58" s="53"/>
      <c r="MMS58" s="53"/>
      <c r="MMT58" s="53"/>
      <c r="MMU58" s="53"/>
      <c r="MMV58" s="53"/>
      <c r="MMW58" s="53"/>
      <c r="MMX58" s="53"/>
      <c r="MMY58" s="53"/>
      <c r="MMZ58" s="53"/>
      <c r="MNA58" s="53"/>
      <c r="MNB58" s="53"/>
      <c r="MNC58" s="53"/>
      <c r="MND58" s="53"/>
      <c r="MNE58" s="53"/>
      <c r="MNF58" s="53"/>
      <c r="MNG58" s="53"/>
      <c r="MNH58" s="53"/>
      <c r="MNI58" s="53"/>
      <c r="MNJ58" s="53"/>
      <c r="MNK58" s="53"/>
      <c r="MNL58" s="53"/>
      <c r="MNM58" s="53"/>
      <c r="MNN58" s="53"/>
      <c r="MNO58" s="53"/>
      <c r="MNP58" s="53"/>
      <c r="MNQ58" s="53"/>
      <c r="MNR58" s="53"/>
      <c r="MNS58" s="53"/>
      <c r="MNT58" s="53"/>
      <c r="MNU58" s="53"/>
      <c r="MNV58" s="53"/>
      <c r="MNW58" s="53"/>
      <c r="MNX58" s="53"/>
      <c r="MNY58" s="53"/>
      <c r="MNZ58" s="53"/>
      <c r="MOA58" s="53"/>
      <c r="MOB58" s="53"/>
      <c r="MOC58" s="53"/>
      <c r="MOD58" s="53"/>
      <c r="MOE58" s="53"/>
      <c r="MOF58" s="53"/>
      <c r="MOG58" s="53"/>
      <c r="MOH58" s="53"/>
      <c r="MOI58" s="53"/>
      <c r="MOJ58" s="53"/>
      <c r="MOK58" s="53"/>
      <c r="MOL58" s="53"/>
      <c r="MOM58" s="53"/>
      <c r="MON58" s="53"/>
      <c r="MOO58" s="53"/>
      <c r="MOP58" s="53"/>
      <c r="MOQ58" s="53"/>
      <c r="MOR58" s="53"/>
      <c r="MOS58" s="53"/>
      <c r="MOT58" s="53"/>
      <c r="MOU58" s="53"/>
      <c r="MOV58" s="53"/>
      <c r="MOW58" s="53"/>
      <c r="MOX58" s="53"/>
      <c r="MOY58" s="53"/>
      <c r="MOZ58" s="53"/>
      <c r="MPA58" s="53"/>
      <c r="MPB58" s="53"/>
      <c r="MPC58" s="53"/>
      <c r="MPD58" s="53"/>
      <c r="MPE58" s="53"/>
      <c r="MPF58" s="53"/>
      <c r="MPG58" s="53"/>
      <c r="MPH58" s="53"/>
      <c r="MPI58" s="53"/>
      <c r="MPJ58" s="53"/>
      <c r="MPK58" s="53"/>
      <c r="MPL58" s="53"/>
      <c r="MPM58" s="53"/>
      <c r="MPN58" s="53"/>
      <c r="MPO58" s="53"/>
      <c r="MPP58" s="53"/>
      <c r="MPQ58" s="53"/>
      <c r="MPR58" s="53"/>
      <c r="MPS58" s="53"/>
      <c r="MPT58" s="53"/>
      <c r="MPU58" s="53"/>
      <c r="MPV58" s="53"/>
      <c r="MPW58" s="53"/>
      <c r="MPX58" s="53"/>
      <c r="MPY58" s="53"/>
      <c r="MPZ58" s="53"/>
      <c r="MQA58" s="53"/>
      <c r="MQB58" s="53"/>
      <c r="MQC58" s="53"/>
      <c r="MQD58" s="53"/>
      <c r="MQE58" s="53"/>
      <c r="MQF58" s="53"/>
      <c r="MQG58" s="53"/>
      <c r="MQH58" s="53"/>
      <c r="MQI58" s="53"/>
      <c r="MQJ58" s="53"/>
      <c r="MQK58" s="53"/>
      <c r="MQL58" s="53"/>
      <c r="MQM58" s="53"/>
      <c r="MQN58" s="53"/>
      <c r="MQO58" s="53"/>
      <c r="MQP58" s="53"/>
      <c r="MQQ58" s="53"/>
      <c r="MQR58" s="53"/>
      <c r="MQS58" s="53"/>
      <c r="MQT58" s="53"/>
      <c r="MQU58" s="53"/>
      <c r="MQV58" s="53"/>
      <c r="MQW58" s="53"/>
      <c r="MQX58" s="53"/>
      <c r="MQY58" s="53"/>
      <c r="MQZ58" s="53"/>
      <c r="MRA58" s="53"/>
      <c r="MRB58" s="53"/>
      <c r="MRC58" s="53"/>
      <c r="MRD58" s="53"/>
      <c r="MRE58" s="53"/>
      <c r="MRF58" s="53"/>
      <c r="MRG58" s="53"/>
      <c r="MRH58" s="53"/>
      <c r="MRI58" s="53"/>
      <c r="MRJ58" s="53"/>
      <c r="MRK58" s="53"/>
      <c r="MRL58" s="53"/>
      <c r="MRM58" s="53"/>
      <c r="MRN58" s="53"/>
      <c r="MRO58" s="53"/>
      <c r="MRP58" s="53"/>
      <c r="MRQ58" s="53"/>
      <c r="MRR58" s="53"/>
      <c r="MRS58" s="53"/>
      <c r="MRT58" s="53"/>
      <c r="MRU58" s="53"/>
      <c r="MRV58" s="53"/>
      <c r="MRW58" s="53"/>
      <c r="MRX58" s="53"/>
      <c r="MRY58" s="53"/>
      <c r="MRZ58" s="53"/>
      <c r="MSA58" s="53"/>
      <c r="MSB58" s="53"/>
      <c r="MSC58" s="53"/>
      <c r="MSD58" s="53"/>
      <c r="MSE58" s="53"/>
      <c r="MSF58" s="53"/>
      <c r="MSG58" s="53"/>
      <c r="MSH58" s="53"/>
      <c r="MSI58" s="53"/>
      <c r="MSJ58" s="53"/>
      <c r="MSK58" s="53"/>
      <c r="MSL58" s="53"/>
      <c r="MSM58" s="53"/>
      <c r="MSN58" s="53"/>
      <c r="MSO58" s="53"/>
      <c r="MSP58" s="53"/>
      <c r="MSQ58" s="53"/>
      <c r="MSR58" s="53"/>
      <c r="MSS58" s="53"/>
      <c r="MST58" s="53"/>
      <c r="MSU58" s="53"/>
      <c r="MSV58" s="53"/>
      <c r="MSW58" s="53"/>
      <c r="MSX58" s="53"/>
      <c r="MSY58" s="53"/>
      <c r="MSZ58" s="53"/>
      <c r="MTA58" s="53"/>
      <c r="MTB58" s="53"/>
      <c r="MTC58" s="53"/>
      <c r="MTD58" s="53"/>
      <c r="MTE58" s="53"/>
      <c r="MTF58" s="53"/>
      <c r="MTG58" s="53"/>
      <c r="MTH58" s="53"/>
      <c r="MTI58" s="53"/>
      <c r="MTJ58" s="53"/>
      <c r="MTK58" s="53"/>
      <c r="MTL58" s="53"/>
      <c r="MTM58" s="53"/>
      <c r="MTN58" s="53"/>
      <c r="MTO58" s="53"/>
      <c r="MTP58" s="53"/>
      <c r="MTQ58" s="53"/>
      <c r="MTR58" s="53"/>
      <c r="MTS58" s="53"/>
      <c r="MTT58" s="53"/>
      <c r="MTU58" s="53"/>
      <c r="MTV58" s="53"/>
      <c r="MTW58" s="53"/>
      <c r="MTX58" s="53"/>
      <c r="MTY58" s="53"/>
      <c r="MTZ58" s="53"/>
      <c r="MUA58" s="53"/>
      <c r="MUB58" s="53"/>
      <c r="MUC58" s="53"/>
      <c r="MUD58" s="53"/>
      <c r="MUE58" s="53"/>
      <c r="MUF58" s="53"/>
      <c r="MUG58" s="53"/>
      <c r="MUH58" s="53"/>
      <c r="MUI58" s="53"/>
      <c r="MUJ58" s="53"/>
      <c r="MUK58" s="53"/>
      <c r="MUL58" s="53"/>
      <c r="MUM58" s="53"/>
      <c r="MUN58" s="53"/>
      <c r="MUO58" s="53"/>
      <c r="MUP58" s="53"/>
      <c r="MUQ58" s="53"/>
      <c r="MUR58" s="53"/>
      <c r="MUS58" s="53"/>
      <c r="MUT58" s="53"/>
      <c r="MUU58" s="53"/>
      <c r="MUV58" s="53"/>
      <c r="MUW58" s="53"/>
      <c r="MUX58" s="53"/>
      <c r="MUY58" s="53"/>
      <c r="MUZ58" s="53"/>
      <c r="MVA58" s="53"/>
      <c r="MVB58" s="53"/>
      <c r="MVC58" s="53"/>
      <c r="MVD58" s="53"/>
      <c r="MVE58" s="53"/>
      <c r="MVF58" s="53"/>
      <c r="MVG58" s="53"/>
      <c r="MVH58" s="53"/>
      <c r="MVI58" s="53"/>
      <c r="MVJ58" s="53"/>
      <c r="MVK58" s="53"/>
      <c r="MVL58" s="53"/>
      <c r="MVM58" s="53"/>
      <c r="MVN58" s="53"/>
      <c r="MVO58" s="53"/>
      <c r="MVP58" s="53"/>
      <c r="MVQ58" s="53"/>
      <c r="MVR58" s="53"/>
      <c r="MVS58" s="53"/>
      <c r="MVT58" s="53"/>
      <c r="MVU58" s="53"/>
      <c r="MVV58" s="53"/>
      <c r="MVW58" s="53"/>
      <c r="MVX58" s="53"/>
      <c r="MVY58" s="53"/>
      <c r="MVZ58" s="53"/>
      <c r="MWA58" s="53"/>
      <c r="MWB58" s="53"/>
      <c r="MWC58" s="53"/>
      <c r="MWD58" s="53"/>
      <c r="MWE58" s="53"/>
      <c r="MWF58" s="53"/>
      <c r="MWG58" s="53"/>
      <c r="MWH58" s="53"/>
      <c r="MWI58" s="53"/>
      <c r="MWJ58" s="53"/>
      <c r="MWK58" s="53"/>
      <c r="MWL58" s="53"/>
      <c r="MWM58" s="53"/>
      <c r="MWN58" s="53"/>
      <c r="MWO58" s="53"/>
      <c r="MWP58" s="53"/>
      <c r="MWQ58" s="53"/>
      <c r="MWR58" s="53"/>
      <c r="MWS58" s="53"/>
      <c r="MWT58" s="53"/>
      <c r="MWU58" s="53"/>
      <c r="MWV58" s="53"/>
      <c r="MWW58" s="53"/>
      <c r="MWX58" s="53"/>
      <c r="MWY58" s="53"/>
      <c r="MWZ58" s="53"/>
      <c r="MXA58" s="53"/>
      <c r="MXB58" s="53"/>
      <c r="MXC58" s="53"/>
      <c r="MXD58" s="53"/>
      <c r="MXE58" s="53"/>
      <c r="MXF58" s="53"/>
      <c r="MXG58" s="53"/>
      <c r="MXH58" s="53"/>
      <c r="MXI58" s="53"/>
      <c r="MXJ58" s="53"/>
      <c r="MXK58" s="53"/>
      <c r="MXL58" s="53"/>
      <c r="MXM58" s="53"/>
      <c r="MXN58" s="53"/>
      <c r="MXO58" s="53"/>
      <c r="MXP58" s="53"/>
      <c r="MXQ58" s="53"/>
      <c r="MXR58" s="53"/>
      <c r="MXS58" s="53"/>
      <c r="MXT58" s="53"/>
      <c r="MXU58" s="53"/>
      <c r="MXV58" s="53"/>
      <c r="MXW58" s="53"/>
      <c r="MXX58" s="53"/>
      <c r="MXY58" s="53"/>
      <c r="MXZ58" s="53"/>
      <c r="MYA58" s="53"/>
      <c r="MYB58" s="53"/>
      <c r="MYC58" s="53"/>
      <c r="MYD58" s="53"/>
      <c r="MYE58" s="53"/>
      <c r="MYF58" s="53"/>
      <c r="MYG58" s="53"/>
      <c r="MYH58" s="53"/>
      <c r="MYI58" s="53"/>
      <c r="MYJ58" s="53"/>
      <c r="MYK58" s="53"/>
      <c r="MYL58" s="53"/>
      <c r="MYM58" s="53"/>
      <c r="MYN58" s="53"/>
      <c r="MYO58" s="53"/>
      <c r="MYP58" s="53"/>
      <c r="MYQ58" s="53"/>
      <c r="MYR58" s="53"/>
      <c r="MYS58" s="53"/>
      <c r="MYT58" s="53"/>
      <c r="MYU58" s="53"/>
      <c r="MYV58" s="53"/>
      <c r="MYW58" s="53"/>
      <c r="MYX58" s="53"/>
      <c r="MYY58" s="53"/>
      <c r="MYZ58" s="53"/>
      <c r="MZA58" s="53"/>
      <c r="MZB58" s="53"/>
      <c r="MZC58" s="53"/>
      <c r="MZD58" s="53"/>
      <c r="MZE58" s="53"/>
      <c r="MZF58" s="53"/>
      <c r="MZG58" s="53"/>
      <c r="MZH58" s="53"/>
      <c r="MZI58" s="53"/>
      <c r="MZJ58" s="53"/>
      <c r="MZK58" s="53"/>
      <c r="MZL58" s="53"/>
      <c r="MZM58" s="53"/>
      <c r="MZN58" s="53"/>
      <c r="MZO58" s="53"/>
      <c r="MZP58" s="53"/>
      <c r="MZQ58" s="53"/>
      <c r="MZR58" s="53"/>
      <c r="MZS58" s="53"/>
      <c r="MZT58" s="53"/>
      <c r="MZU58" s="53"/>
      <c r="MZV58" s="53"/>
      <c r="MZW58" s="53"/>
      <c r="MZX58" s="53"/>
      <c r="MZY58" s="53"/>
      <c r="MZZ58" s="53"/>
      <c r="NAA58" s="53"/>
      <c r="NAB58" s="53"/>
      <c r="NAC58" s="53"/>
      <c r="NAD58" s="53"/>
      <c r="NAE58" s="53"/>
      <c r="NAF58" s="53"/>
      <c r="NAG58" s="53"/>
      <c r="NAH58" s="53"/>
      <c r="NAI58" s="53"/>
      <c r="NAJ58" s="53"/>
      <c r="NAK58" s="53"/>
      <c r="NAL58" s="53"/>
      <c r="NAM58" s="53"/>
      <c r="NAN58" s="53"/>
      <c r="NAO58" s="53"/>
      <c r="NAP58" s="53"/>
      <c r="NAQ58" s="53"/>
      <c r="NAR58" s="53"/>
      <c r="NAS58" s="53"/>
      <c r="NAT58" s="53"/>
      <c r="NAU58" s="53"/>
      <c r="NAV58" s="53"/>
      <c r="NAW58" s="53"/>
      <c r="NAX58" s="53"/>
      <c r="NAY58" s="53"/>
      <c r="NAZ58" s="53"/>
      <c r="NBA58" s="53"/>
      <c r="NBB58" s="53"/>
      <c r="NBC58" s="53"/>
      <c r="NBD58" s="53"/>
      <c r="NBE58" s="53"/>
      <c r="NBF58" s="53"/>
      <c r="NBG58" s="53"/>
      <c r="NBH58" s="53"/>
      <c r="NBI58" s="53"/>
      <c r="NBJ58" s="53"/>
      <c r="NBK58" s="53"/>
      <c r="NBL58" s="53"/>
      <c r="NBM58" s="53"/>
      <c r="NBN58" s="53"/>
      <c r="NBO58" s="53"/>
      <c r="NBP58" s="53"/>
      <c r="NBQ58" s="53"/>
      <c r="NBR58" s="53"/>
      <c r="NBS58" s="53"/>
      <c r="NBT58" s="53"/>
      <c r="NBU58" s="53"/>
      <c r="NBV58" s="53"/>
      <c r="NBW58" s="53"/>
      <c r="NBX58" s="53"/>
      <c r="NBY58" s="53"/>
      <c r="NBZ58" s="53"/>
      <c r="NCA58" s="53"/>
      <c r="NCB58" s="53"/>
      <c r="NCC58" s="53"/>
      <c r="NCD58" s="53"/>
      <c r="NCE58" s="53"/>
      <c r="NCF58" s="53"/>
      <c r="NCG58" s="53"/>
      <c r="NCH58" s="53"/>
      <c r="NCI58" s="53"/>
      <c r="NCJ58" s="53"/>
      <c r="NCK58" s="53"/>
      <c r="NCL58" s="53"/>
      <c r="NCM58" s="53"/>
      <c r="NCN58" s="53"/>
      <c r="NCO58" s="53"/>
      <c r="NCP58" s="53"/>
      <c r="NCQ58" s="53"/>
      <c r="NCR58" s="53"/>
      <c r="NCS58" s="53"/>
      <c r="NCT58" s="53"/>
      <c r="NCU58" s="53"/>
      <c r="NCV58" s="53"/>
      <c r="NCW58" s="53"/>
      <c r="NCX58" s="53"/>
      <c r="NCY58" s="53"/>
      <c r="NCZ58" s="53"/>
      <c r="NDA58" s="53"/>
      <c r="NDB58" s="53"/>
      <c r="NDC58" s="53"/>
      <c r="NDD58" s="53"/>
      <c r="NDE58" s="53"/>
      <c r="NDF58" s="53"/>
      <c r="NDG58" s="53"/>
      <c r="NDH58" s="53"/>
      <c r="NDI58" s="53"/>
      <c r="NDJ58" s="53"/>
      <c r="NDK58" s="53"/>
      <c r="NDL58" s="53"/>
      <c r="NDM58" s="53"/>
      <c r="NDN58" s="53"/>
      <c r="NDO58" s="53"/>
      <c r="NDP58" s="53"/>
      <c r="NDQ58" s="53"/>
      <c r="NDR58" s="53"/>
      <c r="NDS58" s="53"/>
      <c r="NDT58" s="53"/>
      <c r="NDU58" s="53"/>
      <c r="NDV58" s="53"/>
      <c r="NDW58" s="53"/>
      <c r="NDX58" s="53"/>
      <c r="NDY58" s="53"/>
      <c r="NDZ58" s="53"/>
      <c r="NEA58" s="53"/>
      <c r="NEB58" s="53"/>
      <c r="NEC58" s="53"/>
      <c r="NED58" s="53"/>
      <c r="NEE58" s="53"/>
      <c r="NEF58" s="53"/>
      <c r="NEG58" s="53"/>
      <c r="NEH58" s="53"/>
      <c r="NEI58" s="53"/>
      <c r="NEJ58" s="53"/>
      <c r="NEK58" s="53"/>
      <c r="NEL58" s="53"/>
      <c r="NEM58" s="53"/>
      <c r="NEN58" s="53"/>
      <c r="NEO58" s="53"/>
      <c r="NEP58" s="53"/>
      <c r="NEQ58" s="53"/>
      <c r="NER58" s="53"/>
      <c r="NES58" s="53"/>
      <c r="NET58" s="53"/>
      <c r="NEU58" s="53"/>
      <c r="NEV58" s="53"/>
      <c r="NEW58" s="53"/>
      <c r="NEX58" s="53"/>
      <c r="NEY58" s="53"/>
      <c r="NEZ58" s="53"/>
      <c r="NFA58" s="53"/>
      <c r="NFB58" s="53"/>
      <c r="NFC58" s="53"/>
      <c r="NFD58" s="53"/>
      <c r="NFE58" s="53"/>
      <c r="NFF58" s="53"/>
      <c r="NFG58" s="53"/>
      <c r="NFH58" s="53"/>
      <c r="NFI58" s="53"/>
      <c r="NFJ58" s="53"/>
      <c r="NFK58" s="53"/>
      <c r="NFL58" s="53"/>
      <c r="NFM58" s="53"/>
      <c r="NFN58" s="53"/>
      <c r="NFO58" s="53"/>
      <c r="NFP58" s="53"/>
      <c r="NFQ58" s="53"/>
      <c r="NFR58" s="53"/>
      <c r="NFS58" s="53"/>
      <c r="NFT58" s="53"/>
      <c r="NFU58" s="53"/>
      <c r="NFV58" s="53"/>
      <c r="NFW58" s="53"/>
      <c r="NFX58" s="53"/>
      <c r="NFY58" s="53"/>
      <c r="NFZ58" s="53"/>
      <c r="NGA58" s="53"/>
      <c r="NGB58" s="53"/>
      <c r="NGC58" s="53"/>
      <c r="NGD58" s="53"/>
      <c r="NGE58" s="53"/>
      <c r="NGF58" s="53"/>
      <c r="NGG58" s="53"/>
      <c r="NGH58" s="53"/>
      <c r="NGI58" s="53"/>
      <c r="NGJ58" s="53"/>
      <c r="NGK58" s="53"/>
      <c r="NGL58" s="53"/>
      <c r="NGM58" s="53"/>
      <c r="NGN58" s="53"/>
      <c r="NGO58" s="53"/>
      <c r="NGP58" s="53"/>
      <c r="NGQ58" s="53"/>
      <c r="NGR58" s="53"/>
      <c r="NGS58" s="53"/>
      <c r="NGT58" s="53"/>
      <c r="NGU58" s="53"/>
      <c r="NGV58" s="53"/>
      <c r="NGW58" s="53"/>
      <c r="NGX58" s="53"/>
      <c r="NGY58" s="53"/>
      <c r="NGZ58" s="53"/>
      <c r="NHA58" s="53"/>
      <c r="NHB58" s="53"/>
      <c r="NHC58" s="53"/>
      <c r="NHD58" s="53"/>
      <c r="NHE58" s="53"/>
      <c r="NHF58" s="53"/>
      <c r="NHG58" s="53"/>
      <c r="NHH58" s="53"/>
      <c r="NHI58" s="53"/>
      <c r="NHJ58" s="53"/>
      <c r="NHK58" s="53"/>
      <c r="NHL58" s="53"/>
      <c r="NHM58" s="53"/>
      <c r="NHN58" s="53"/>
      <c r="NHO58" s="53"/>
      <c r="NHP58" s="53"/>
      <c r="NHQ58" s="53"/>
      <c r="NHR58" s="53"/>
      <c r="NHS58" s="53"/>
      <c r="NHT58" s="53"/>
      <c r="NHU58" s="53"/>
      <c r="NHV58" s="53"/>
      <c r="NHW58" s="53"/>
      <c r="NHX58" s="53"/>
      <c r="NHY58" s="53"/>
      <c r="NHZ58" s="53"/>
      <c r="NIA58" s="53"/>
      <c r="NIB58" s="53"/>
      <c r="NIC58" s="53"/>
      <c r="NID58" s="53"/>
      <c r="NIE58" s="53"/>
      <c r="NIF58" s="53"/>
      <c r="NIG58" s="53"/>
      <c r="NIH58" s="53"/>
      <c r="NII58" s="53"/>
      <c r="NIJ58" s="53"/>
      <c r="NIK58" s="53"/>
      <c r="NIL58" s="53"/>
      <c r="NIM58" s="53"/>
      <c r="NIN58" s="53"/>
      <c r="NIO58" s="53"/>
      <c r="NIP58" s="53"/>
      <c r="NIQ58" s="53"/>
      <c r="NIR58" s="53"/>
      <c r="NIS58" s="53"/>
      <c r="NIT58" s="53"/>
      <c r="NIU58" s="53"/>
      <c r="NIV58" s="53"/>
      <c r="NIW58" s="53"/>
      <c r="NIX58" s="53"/>
      <c r="NIY58" s="53"/>
      <c r="NIZ58" s="53"/>
      <c r="NJA58" s="53"/>
      <c r="NJB58" s="53"/>
      <c r="NJC58" s="53"/>
      <c r="NJD58" s="53"/>
      <c r="NJE58" s="53"/>
      <c r="NJF58" s="53"/>
      <c r="NJG58" s="53"/>
      <c r="NJH58" s="53"/>
      <c r="NJI58" s="53"/>
      <c r="NJJ58" s="53"/>
      <c r="NJK58" s="53"/>
      <c r="NJL58" s="53"/>
      <c r="NJM58" s="53"/>
      <c r="NJN58" s="53"/>
      <c r="NJO58" s="53"/>
      <c r="NJP58" s="53"/>
      <c r="NJQ58" s="53"/>
      <c r="NJR58" s="53"/>
      <c r="NJS58" s="53"/>
      <c r="NJT58" s="53"/>
      <c r="NJU58" s="53"/>
      <c r="NJV58" s="53"/>
      <c r="NJW58" s="53"/>
      <c r="NJX58" s="53"/>
      <c r="NJY58" s="53"/>
      <c r="NJZ58" s="53"/>
      <c r="NKA58" s="53"/>
      <c r="NKB58" s="53"/>
      <c r="NKC58" s="53"/>
      <c r="NKD58" s="53"/>
      <c r="NKE58" s="53"/>
      <c r="NKF58" s="53"/>
      <c r="NKG58" s="53"/>
      <c r="NKH58" s="53"/>
      <c r="NKI58" s="53"/>
      <c r="NKJ58" s="53"/>
      <c r="NKK58" s="53"/>
      <c r="NKL58" s="53"/>
      <c r="NKM58" s="53"/>
      <c r="NKN58" s="53"/>
      <c r="NKO58" s="53"/>
      <c r="NKP58" s="53"/>
      <c r="NKQ58" s="53"/>
      <c r="NKR58" s="53"/>
      <c r="NKS58" s="53"/>
      <c r="NKT58" s="53"/>
      <c r="NKU58" s="53"/>
      <c r="NKV58" s="53"/>
      <c r="NKW58" s="53"/>
      <c r="NKX58" s="53"/>
      <c r="NKY58" s="53"/>
      <c r="NKZ58" s="53"/>
      <c r="NLA58" s="53"/>
      <c r="NLB58" s="53"/>
      <c r="NLC58" s="53"/>
      <c r="NLD58" s="53"/>
      <c r="NLE58" s="53"/>
      <c r="NLF58" s="53"/>
      <c r="NLG58" s="53"/>
      <c r="NLH58" s="53"/>
      <c r="NLI58" s="53"/>
      <c r="NLJ58" s="53"/>
      <c r="NLK58" s="53"/>
      <c r="NLL58" s="53"/>
      <c r="NLM58" s="53"/>
      <c r="NLN58" s="53"/>
      <c r="NLO58" s="53"/>
      <c r="NLP58" s="53"/>
      <c r="NLQ58" s="53"/>
      <c r="NLR58" s="53"/>
      <c r="NLS58" s="53"/>
      <c r="NLT58" s="53"/>
      <c r="NLU58" s="53"/>
      <c r="NLV58" s="53"/>
      <c r="NLW58" s="53"/>
      <c r="NLX58" s="53"/>
      <c r="NLY58" s="53"/>
      <c r="NLZ58" s="53"/>
      <c r="NMA58" s="53"/>
      <c r="NMB58" s="53"/>
      <c r="NMC58" s="53"/>
      <c r="NMD58" s="53"/>
      <c r="NME58" s="53"/>
      <c r="NMF58" s="53"/>
      <c r="NMG58" s="53"/>
      <c r="NMH58" s="53"/>
      <c r="NMI58" s="53"/>
      <c r="NMJ58" s="53"/>
      <c r="NMK58" s="53"/>
      <c r="NML58" s="53"/>
      <c r="NMM58" s="53"/>
      <c r="NMN58" s="53"/>
      <c r="NMO58" s="53"/>
      <c r="NMP58" s="53"/>
      <c r="NMQ58" s="53"/>
      <c r="NMR58" s="53"/>
      <c r="NMS58" s="53"/>
      <c r="NMT58" s="53"/>
      <c r="NMU58" s="53"/>
      <c r="NMV58" s="53"/>
      <c r="NMW58" s="53"/>
      <c r="NMX58" s="53"/>
      <c r="NMY58" s="53"/>
      <c r="NMZ58" s="53"/>
      <c r="NNA58" s="53"/>
      <c r="NNB58" s="53"/>
      <c r="NNC58" s="53"/>
      <c r="NND58" s="53"/>
      <c r="NNE58" s="53"/>
      <c r="NNF58" s="53"/>
      <c r="NNG58" s="53"/>
      <c r="NNH58" s="53"/>
      <c r="NNI58" s="53"/>
      <c r="NNJ58" s="53"/>
      <c r="NNK58" s="53"/>
      <c r="NNL58" s="53"/>
      <c r="NNM58" s="53"/>
      <c r="NNN58" s="53"/>
      <c r="NNO58" s="53"/>
      <c r="NNP58" s="53"/>
      <c r="NNQ58" s="53"/>
      <c r="NNR58" s="53"/>
      <c r="NNS58" s="53"/>
      <c r="NNT58" s="53"/>
      <c r="NNU58" s="53"/>
      <c r="NNV58" s="53"/>
      <c r="NNW58" s="53"/>
      <c r="NNX58" s="53"/>
      <c r="NNY58" s="53"/>
      <c r="NNZ58" s="53"/>
      <c r="NOA58" s="53"/>
      <c r="NOB58" s="53"/>
      <c r="NOC58" s="53"/>
      <c r="NOD58" s="53"/>
      <c r="NOE58" s="53"/>
      <c r="NOF58" s="53"/>
      <c r="NOG58" s="53"/>
      <c r="NOH58" s="53"/>
      <c r="NOI58" s="53"/>
      <c r="NOJ58" s="53"/>
      <c r="NOK58" s="53"/>
      <c r="NOL58" s="53"/>
      <c r="NOM58" s="53"/>
      <c r="NON58" s="53"/>
      <c r="NOO58" s="53"/>
      <c r="NOP58" s="53"/>
      <c r="NOQ58" s="53"/>
      <c r="NOR58" s="53"/>
      <c r="NOS58" s="53"/>
      <c r="NOT58" s="53"/>
      <c r="NOU58" s="53"/>
      <c r="NOV58" s="53"/>
      <c r="NOW58" s="53"/>
      <c r="NOX58" s="53"/>
      <c r="NOY58" s="53"/>
      <c r="NOZ58" s="53"/>
      <c r="NPA58" s="53"/>
      <c r="NPB58" s="53"/>
      <c r="NPC58" s="53"/>
      <c r="NPD58" s="53"/>
      <c r="NPE58" s="53"/>
      <c r="NPF58" s="53"/>
      <c r="NPG58" s="53"/>
      <c r="NPH58" s="53"/>
      <c r="NPI58" s="53"/>
      <c r="NPJ58" s="53"/>
      <c r="NPK58" s="53"/>
      <c r="NPL58" s="53"/>
      <c r="NPM58" s="53"/>
      <c r="NPN58" s="53"/>
      <c r="NPO58" s="53"/>
      <c r="NPP58" s="53"/>
      <c r="NPQ58" s="53"/>
      <c r="NPR58" s="53"/>
      <c r="NPS58" s="53"/>
      <c r="NPT58" s="53"/>
      <c r="NPU58" s="53"/>
      <c r="NPV58" s="53"/>
      <c r="NPW58" s="53"/>
      <c r="NPX58" s="53"/>
      <c r="NPY58" s="53"/>
      <c r="NPZ58" s="53"/>
      <c r="NQA58" s="53"/>
      <c r="NQB58" s="53"/>
      <c r="NQC58" s="53"/>
      <c r="NQD58" s="53"/>
      <c r="NQE58" s="53"/>
      <c r="NQF58" s="53"/>
      <c r="NQG58" s="53"/>
      <c r="NQH58" s="53"/>
      <c r="NQI58" s="53"/>
      <c r="NQJ58" s="53"/>
      <c r="NQK58" s="53"/>
      <c r="NQL58" s="53"/>
      <c r="NQM58" s="53"/>
      <c r="NQN58" s="53"/>
      <c r="NQO58" s="53"/>
      <c r="NQP58" s="53"/>
      <c r="NQQ58" s="53"/>
      <c r="NQR58" s="53"/>
      <c r="NQS58" s="53"/>
      <c r="NQT58" s="53"/>
      <c r="NQU58" s="53"/>
      <c r="NQV58" s="53"/>
      <c r="NQW58" s="53"/>
      <c r="NQX58" s="53"/>
      <c r="NQY58" s="53"/>
      <c r="NQZ58" s="53"/>
      <c r="NRA58" s="53"/>
      <c r="NRB58" s="53"/>
      <c r="NRC58" s="53"/>
      <c r="NRD58" s="53"/>
      <c r="NRE58" s="53"/>
      <c r="NRF58" s="53"/>
      <c r="NRG58" s="53"/>
      <c r="NRH58" s="53"/>
      <c r="NRI58" s="53"/>
      <c r="NRJ58" s="53"/>
      <c r="NRK58" s="53"/>
      <c r="NRL58" s="53"/>
      <c r="NRM58" s="53"/>
      <c r="NRN58" s="53"/>
      <c r="NRO58" s="53"/>
      <c r="NRP58" s="53"/>
      <c r="NRQ58" s="53"/>
      <c r="NRR58" s="53"/>
      <c r="NRS58" s="53"/>
      <c r="NRT58" s="53"/>
      <c r="NRU58" s="53"/>
      <c r="NRV58" s="53"/>
      <c r="NRW58" s="53"/>
      <c r="NRX58" s="53"/>
      <c r="NRY58" s="53"/>
      <c r="NRZ58" s="53"/>
      <c r="NSA58" s="53"/>
      <c r="NSB58" s="53"/>
      <c r="NSC58" s="53"/>
      <c r="NSD58" s="53"/>
      <c r="NSE58" s="53"/>
      <c r="NSF58" s="53"/>
      <c r="NSG58" s="53"/>
      <c r="NSH58" s="53"/>
      <c r="NSI58" s="53"/>
      <c r="NSJ58" s="53"/>
      <c r="NSK58" s="53"/>
      <c r="NSL58" s="53"/>
      <c r="NSM58" s="53"/>
      <c r="NSN58" s="53"/>
      <c r="NSO58" s="53"/>
      <c r="NSP58" s="53"/>
      <c r="NSQ58" s="53"/>
      <c r="NSR58" s="53"/>
      <c r="NSS58" s="53"/>
      <c r="NST58" s="53"/>
      <c r="NSU58" s="53"/>
      <c r="NSV58" s="53"/>
      <c r="NSW58" s="53"/>
      <c r="NSX58" s="53"/>
      <c r="NSY58" s="53"/>
      <c r="NSZ58" s="53"/>
      <c r="NTA58" s="53"/>
      <c r="NTB58" s="53"/>
      <c r="NTC58" s="53"/>
      <c r="NTD58" s="53"/>
      <c r="NTE58" s="53"/>
      <c r="NTF58" s="53"/>
      <c r="NTG58" s="53"/>
      <c r="NTH58" s="53"/>
      <c r="NTI58" s="53"/>
      <c r="NTJ58" s="53"/>
      <c r="NTK58" s="53"/>
      <c r="NTL58" s="53"/>
      <c r="NTM58" s="53"/>
      <c r="NTN58" s="53"/>
      <c r="NTO58" s="53"/>
      <c r="NTP58" s="53"/>
      <c r="NTQ58" s="53"/>
      <c r="NTR58" s="53"/>
      <c r="NTS58" s="53"/>
      <c r="NTT58" s="53"/>
      <c r="NTU58" s="53"/>
      <c r="NTV58" s="53"/>
      <c r="NTW58" s="53"/>
      <c r="NTX58" s="53"/>
      <c r="NTY58" s="53"/>
      <c r="NTZ58" s="53"/>
      <c r="NUA58" s="53"/>
      <c r="NUB58" s="53"/>
      <c r="NUC58" s="53"/>
      <c r="NUD58" s="53"/>
      <c r="NUE58" s="53"/>
      <c r="NUF58" s="53"/>
      <c r="NUG58" s="53"/>
      <c r="NUH58" s="53"/>
      <c r="NUI58" s="53"/>
      <c r="NUJ58" s="53"/>
      <c r="NUK58" s="53"/>
      <c r="NUL58" s="53"/>
      <c r="NUM58" s="53"/>
      <c r="NUN58" s="53"/>
      <c r="NUO58" s="53"/>
      <c r="NUP58" s="53"/>
      <c r="NUQ58" s="53"/>
      <c r="NUR58" s="53"/>
      <c r="NUS58" s="53"/>
      <c r="NUT58" s="53"/>
      <c r="NUU58" s="53"/>
      <c r="NUV58" s="53"/>
      <c r="NUW58" s="53"/>
      <c r="NUX58" s="53"/>
      <c r="NUY58" s="53"/>
      <c r="NUZ58" s="53"/>
      <c r="NVA58" s="53"/>
      <c r="NVB58" s="53"/>
      <c r="NVC58" s="53"/>
      <c r="NVD58" s="53"/>
      <c r="NVE58" s="53"/>
      <c r="NVF58" s="53"/>
      <c r="NVG58" s="53"/>
      <c r="NVH58" s="53"/>
      <c r="NVI58" s="53"/>
      <c r="NVJ58" s="53"/>
      <c r="NVK58" s="53"/>
      <c r="NVL58" s="53"/>
      <c r="NVM58" s="53"/>
      <c r="NVN58" s="53"/>
      <c r="NVO58" s="53"/>
      <c r="NVP58" s="53"/>
      <c r="NVQ58" s="53"/>
      <c r="NVR58" s="53"/>
      <c r="NVS58" s="53"/>
      <c r="NVT58" s="53"/>
      <c r="NVU58" s="53"/>
      <c r="NVV58" s="53"/>
      <c r="NVW58" s="53"/>
      <c r="NVX58" s="53"/>
      <c r="NVY58" s="53"/>
      <c r="NVZ58" s="53"/>
      <c r="NWA58" s="53"/>
      <c r="NWB58" s="53"/>
      <c r="NWC58" s="53"/>
      <c r="NWD58" s="53"/>
      <c r="NWE58" s="53"/>
      <c r="NWF58" s="53"/>
      <c r="NWG58" s="53"/>
      <c r="NWH58" s="53"/>
      <c r="NWI58" s="53"/>
      <c r="NWJ58" s="53"/>
      <c r="NWK58" s="53"/>
      <c r="NWL58" s="53"/>
      <c r="NWM58" s="53"/>
      <c r="NWN58" s="53"/>
      <c r="NWO58" s="53"/>
      <c r="NWP58" s="53"/>
      <c r="NWQ58" s="53"/>
      <c r="NWR58" s="53"/>
      <c r="NWS58" s="53"/>
      <c r="NWT58" s="53"/>
      <c r="NWU58" s="53"/>
      <c r="NWV58" s="53"/>
      <c r="NWW58" s="53"/>
      <c r="NWX58" s="53"/>
      <c r="NWY58" s="53"/>
      <c r="NWZ58" s="53"/>
      <c r="NXA58" s="53"/>
      <c r="NXB58" s="53"/>
      <c r="NXC58" s="53"/>
      <c r="NXD58" s="53"/>
      <c r="NXE58" s="53"/>
      <c r="NXF58" s="53"/>
      <c r="NXG58" s="53"/>
      <c r="NXH58" s="53"/>
      <c r="NXI58" s="53"/>
      <c r="NXJ58" s="53"/>
      <c r="NXK58" s="53"/>
      <c r="NXL58" s="53"/>
      <c r="NXM58" s="53"/>
      <c r="NXN58" s="53"/>
      <c r="NXO58" s="53"/>
      <c r="NXP58" s="53"/>
      <c r="NXQ58" s="53"/>
      <c r="NXR58" s="53"/>
      <c r="NXS58" s="53"/>
      <c r="NXT58" s="53"/>
      <c r="NXU58" s="53"/>
      <c r="NXV58" s="53"/>
      <c r="NXW58" s="53"/>
      <c r="NXX58" s="53"/>
      <c r="NXY58" s="53"/>
      <c r="NXZ58" s="53"/>
      <c r="NYA58" s="53"/>
      <c r="NYB58" s="53"/>
      <c r="NYC58" s="53"/>
      <c r="NYD58" s="53"/>
      <c r="NYE58" s="53"/>
      <c r="NYF58" s="53"/>
      <c r="NYG58" s="53"/>
      <c r="NYH58" s="53"/>
      <c r="NYI58" s="53"/>
      <c r="NYJ58" s="53"/>
      <c r="NYK58" s="53"/>
      <c r="NYL58" s="53"/>
      <c r="NYM58" s="53"/>
      <c r="NYN58" s="53"/>
      <c r="NYO58" s="53"/>
      <c r="NYP58" s="53"/>
      <c r="NYQ58" s="53"/>
      <c r="NYR58" s="53"/>
      <c r="NYS58" s="53"/>
      <c r="NYT58" s="53"/>
      <c r="NYU58" s="53"/>
      <c r="NYV58" s="53"/>
      <c r="NYW58" s="53"/>
      <c r="NYX58" s="53"/>
      <c r="NYY58" s="53"/>
      <c r="NYZ58" s="53"/>
      <c r="NZA58" s="53"/>
      <c r="NZB58" s="53"/>
      <c r="NZC58" s="53"/>
      <c r="NZD58" s="53"/>
      <c r="NZE58" s="53"/>
      <c r="NZF58" s="53"/>
      <c r="NZG58" s="53"/>
      <c r="NZH58" s="53"/>
      <c r="NZI58" s="53"/>
      <c r="NZJ58" s="53"/>
      <c r="NZK58" s="53"/>
      <c r="NZL58" s="53"/>
      <c r="NZM58" s="53"/>
      <c r="NZN58" s="53"/>
      <c r="NZO58" s="53"/>
      <c r="NZP58" s="53"/>
      <c r="NZQ58" s="53"/>
      <c r="NZR58" s="53"/>
      <c r="NZS58" s="53"/>
      <c r="NZT58" s="53"/>
      <c r="NZU58" s="53"/>
      <c r="NZV58" s="53"/>
      <c r="NZW58" s="53"/>
      <c r="NZX58" s="53"/>
      <c r="NZY58" s="53"/>
      <c r="NZZ58" s="53"/>
      <c r="OAA58" s="53"/>
      <c r="OAB58" s="53"/>
      <c r="OAC58" s="53"/>
      <c r="OAD58" s="53"/>
      <c r="OAE58" s="53"/>
      <c r="OAF58" s="53"/>
      <c r="OAG58" s="53"/>
      <c r="OAH58" s="53"/>
      <c r="OAI58" s="53"/>
      <c r="OAJ58" s="53"/>
      <c r="OAK58" s="53"/>
      <c r="OAL58" s="53"/>
      <c r="OAM58" s="53"/>
      <c r="OAN58" s="53"/>
      <c r="OAO58" s="53"/>
      <c r="OAP58" s="53"/>
      <c r="OAQ58" s="53"/>
      <c r="OAR58" s="53"/>
      <c r="OAS58" s="53"/>
      <c r="OAT58" s="53"/>
      <c r="OAU58" s="53"/>
      <c r="OAV58" s="53"/>
      <c r="OAW58" s="53"/>
      <c r="OAX58" s="53"/>
      <c r="OAY58" s="53"/>
      <c r="OAZ58" s="53"/>
      <c r="OBA58" s="53"/>
      <c r="OBB58" s="53"/>
      <c r="OBC58" s="53"/>
      <c r="OBD58" s="53"/>
      <c r="OBE58" s="53"/>
      <c r="OBF58" s="53"/>
      <c r="OBG58" s="53"/>
      <c r="OBH58" s="53"/>
      <c r="OBI58" s="53"/>
      <c r="OBJ58" s="53"/>
      <c r="OBK58" s="53"/>
      <c r="OBL58" s="53"/>
      <c r="OBM58" s="53"/>
      <c r="OBN58" s="53"/>
      <c r="OBO58" s="53"/>
      <c r="OBP58" s="53"/>
      <c r="OBQ58" s="53"/>
      <c r="OBR58" s="53"/>
      <c r="OBS58" s="53"/>
      <c r="OBT58" s="53"/>
      <c r="OBU58" s="53"/>
      <c r="OBV58" s="53"/>
      <c r="OBW58" s="53"/>
      <c r="OBX58" s="53"/>
      <c r="OBY58" s="53"/>
      <c r="OBZ58" s="53"/>
      <c r="OCA58" s="53"/>
      <c r="OCB58" s="53"/>
      <c r="OCC58" s="53"/>
      <c r="OCD58" s="53"/>
      <c r="OCE58" s="53"/>
      <c r="OCF58" s="53"/>
      <c r="OCG58" s="53"/>
      <c r="OCH58" s="53"/>
      <c r="OCI58" s="53"/>
      <c r="OCJ58" s="53"/>
      <c r="OCK58" s="53"/>
      <c r="OCL58" s="53"/>
      <c r="OCM58" s="53"/>
      <c r="OCN58" s="53"/>
      <c r="OCO58" s="53"/>
      <c r="OCP58" s="53"/>
      <c r="OCQ58" s="53"/>
      <c r="OCR58" s="53"/>
      <c r="OCS58" s="53"/>
      <c r="OCT58" s="53"/>
      <c r="OCU58" s="53"/>
      <c r="OCV58" s="53"/>
      <c r="OCW58" s="53"/>
      <c r="OCX58" s="53"/>
      <c r="OCY58" s="53"/>
      <c r="OCZ58" s="53"/>
      <c r="ODA58" s="53"/>
      <c r="ODB58" s="53"/>
      <c r="ODC58" s="53"/>
      <c r="ODD58" s="53"/>
      <c r="ODE58" s="53"/>
      <c r="ODF58" s="53"/>
      <c r="ODG58" s="53"/>
      <c r="ODH58" s="53"/>
      <c r="ODI58" s="53"/>
      <c r="ODJ58" s="53"/>
      <c r="ODK58" s="53"/>
      <c r="ODL58" s="53"/>
      <c r="ODM58" s="53"/>
      <c r="ODN58" s="53"/>
      <c r="ODO58" s="53"/>
      <c r="ODP58" s="53"/>
      <c r="ODQ58" s="53"/>
      <c r="ODR58" s="53"/>
      <c r="ODS58" s="53"/>
      <c r="ODT58" s="53"/>
      <c r="ODU58" s="53"/>
      <c r="ODV58" s="53"/>
      <c r="ODW58" s="53"/>
      <c r="ODX58" s="53"/>
      <c r="ODY58" s="53"/>
      <c r="ODZ58" s="53"/>
      <c r="OEA58" s="53"/>
      <c r="OEB58" s="53"/>
      <c r="OEC58" s="53"/>
      <c r="OED58" s="53"/>
      <c r="OEE58" s="53"/>
      <c r="OEF58" s="53"/>
      <c r="OEG58" s="53"/>
      <c r="OEH58" s="53"/>
      <c r="OEI58" s="53"/>
      <c r="OEJ58" s="53"/>
      <c r="OEK58" s="53"/>
      <c r="OEL58" s="53"/>
      <c r="OEM58" s="53"/>
      <c r="OEN58" s="53"/>
      <c r="OEO58" s="53"/>
      <c r="OEP58" s="53"/>
      <c r="OEQ58" s="53"/>
      <c r="OER58" s="53"/>
      <c r="OES58" s="53"/>
      <c r="OET58" s="53"/>
      <c r="OEU58" s="53"/>
      <c r="OEV58" s="53"/>
      <c r="OEW58" s="53"/>
      <c r="OEX58" s="53"/>
      <c r="OEY58" s="53"/>
      <c r="OEZ58" s="53"/>
      <c r="OFA58" s="53"/>
      <c r="OFB58" s="53"/>
      <c r="OFC58" s="53"/>
      <c r="OFD58" s="53"/>
      <c r="OFE58" s="53"/>
      <c r="OFF58" s="53"/>
      <c r="OFG58" s="53"/>
      <c r="OFH58" s="53"/>
      <c r="OFI58" s="53"/>
      <c r="OFJ58" s="53"/>
      <c r="OFK58" s="53"/>
      <c r="OFL58" s="53"/>
      <c r="OFM58" s="53"/>
      <c r="OFN58" s="53"/>
      <c r="OFO58" s="53"/>
      <c r="OFP58" s="53"/>
      <c r="OFQ58" s="53"/>
      <c r="OFR58" s="53"/>
      <c r="OFS58" s="53"/>
      <c r="OFT58" s="53"/>
      <c r="OFU58" s="53"/>
      <c r="OFV58" s="53"/>
      <c r="OFW58" s="53"/>
      <c r="OFX58" s="53"/>
      <c r="OFY58" s="53"/>
      <c r="OFZ58" s="53"/>
      <c r="OGA58" s="53"/>
      <c r="OGB58" s="53"/>
      <c r="OGC58" s="53"/>
      <c r="OGD58" s="53"/>
      <c r="OGE58" s="53"/>
      <c r="OGF58" s="53"/>
      <c r="OGG58" s="53"/>
      <c r="OGH58" s="53"/>
      <c r="OGI58" s="53"/>
      <c r="OGJ58" s="53"/>
      <c r="OGK58" s="53"/>
      <c r="OGL58" s="53"/>
      <c r="OGM58" s="53"/>
      <c r="OGN58" s="53"/>
      <c r="OGO58" s="53"/>
      <c r="OGP58" s="53"/>
      <c r="OGQ58" s="53"/>
      <c r="OGR58" s="53"/>
      <c r="OGS58" s="53"/>
      <c r="OGT58" s="53"/>
      <c r="OGU58" s="53"/>
      <c r="OGV58" s="53"/>
      <c r="OGW58" s="53"/>
      <c r="OGX58" s="53"/>
      <c r="OGY58" s="53"/>
      <c r="OGZ58" s="53"/>
      <c r="OHA58" s="53"/>
      <c r="OHB58" s="53"/>
      <c r="OHC58" s="53"/>
      <c r="OHD58" s="53"/>
      <c r="OHE58" s="53"/>
      <c r="OHF58" s="53"/>
      <c r="OHG58" s="53"/>
      <c r="OHH58" s="53"/>
      <c r="OHI58" s="53"/>
      <c r="OHJ58" s="53"/>
      <c r="OHK58" s="53"/>
      <c r="OHL58" s="53"/>
      <c r="OHM58" s="53"/>
      <c r="OHN58" s="53"/>
      <c r="OHO58" s="53"/>
      <c r="OHP58" s="53"/>
      <c r="OHQ58" s="53"/>
      <c r="OHR58" s="53"/>
      <c r="OHS58" s="53"/>
      <c r="OHT58" s="53"/>
      <c r="OHU58" s="53"/>
      <c r="OHV58" s="53"/>
      <c r="OHW58" s="53"/>
      <c r="OHX58" s="53"/>
      <c r="OHY58" s="53"/>
      <c r="OHZ58" s="53"/>
      <c r="OIA58" s="53"/>
      <c r="OIB58" s="53"/>
      <c r="OIC58" s="53"/>
      <c r="OID58" s="53"/>
      <c r="OIE58" s="53"/>
      <c r="OIF58" s="53"/>
      <c r="OIG58" s="53"/>
      <c r="OIH58" s="53"/>
      <c r="OII58" s="53"/>
      <c r="OIJ58" s="53"/>
      <c r="OIK58" s="53"/>
      <c r="OIL58" s="53"/>
      <c r="OIM58" s="53"/>
      <c r="OIN58" s="53"/>
      <c r="OIO58" s="53"/>
      <c r="OIP58" s="53"/>
      <c r="OIQ58" s="53"/>
      <c r="OIR58" s="53"/>
      <c r="OIS58" s="53"/>
      <c r="OIT58" s="53"/>
      <c r="OIU58" s="53"/>
      <c r="OIV58" s="53"/>
      <c r="OIW58" s="53"/>
      <c r="OIX58" s="53"/>
      <c r="OIY58" s="53"/>
      <c r="OIZ58" s="53"/>
      <c r="OJA58" s="53"/>
      <c r="OJB58" s="53"/>
      <c r="OJC58" s="53"/>
      <c r="OJD58" s="53"/>
      <c r="OJE58" s="53"/>
      <c r="OJF58" s="53"/>
      <c r="OJG58" s="53"/>
      <c r="OJH58" s="53"/>
      <c r="OJI58" s="53"/>
      <c r="OJJ58" s="53"/>
      <c r="OJK58" s="53"/>
      <c r="OJL58" s="53"/>
      <c r="OJM58" s="53"/>
      <c r="OJN58" s="53"/>
      <c r="OJO58" s="53"/>
      <c r="OJP58" s="53"/>
      <c r="OJQ58" s="53"/>
      <c r="OJR58" s="53"/>
      <c r="OJS58" s="53"/>
      <c r="OJT58" s="53"/>
      <c r="OJU58" s="53"/>
      <c r="OJV58" s="53"/>
      <c r="OJW58" s="53"/>
      <c r="OJX58" s="53"/>
      <c r="OJY58" s="53"/>
      <c r="OJZ58" s="53"/>
      <c r="OKA58" s="53"/>
      <c r="OKB58" s="53"/>
      <c r="OKC58" s="53"/>
      <c r="OKD58" s="53"/>
      <c r="OKE58" s="53"/>
      <c r="OKF58" s="53"/>
      <c r="OKG58" s="53"/>
      <c r="OKH58" s="53"/>
      <c r="OKI58" s="53"/>
      <c r="OKJ58" s="53"/>
      <c r="OKK58" s="53"/>
      <c r="OKL58" s="53"/>
      <c r="OKM58" s="53"/>
      <c r="OKN58" s="53"/>
      <c r="OKO58" s="53"/>
      <c r="OKP58" s="53"/>
      <c r="OKQ58" s="53"/>
      <c r="OKR58" s="53"/>
      <c r="OKS58" s="53"/>
      <c r="OKT58" s="53"/>
      <c r="OKU58" s="53"/>
      <c r="OKV58" s="53"/>
      <c r="OKW58" s="53"/>
      <c r="OKX58" s="53"/>
      <c r="OKY58" s="53"/>
      <c r="OKZ58" s="53"/>
      <c r="OLA58" s="53"/>
      <c r="OLB58" s="53"/>
      <c r="OLC58" s="53"/>
      <c r="OLD58" s="53"/>
      <c r="OLE58" s="53"/>
      <c r="OLF58" s="53"/>
      <c r="OLG58" s="53"/>
      <c r="OLH58" s="53"/>
      <c r="OLI58" s="53"/>
      <c r="OLJ58" s="53"/>
      <c r="OLK58" s="53"/>
      <c r="OLL58" s="53"/>
      <c r="OLM58" s="53"/>
      <c r="OLN58" s="53"/>
      <c r="OLO58" s="53"/>
      <c r="OLP58" s="53"/>
      <c r="OLQ58" s="53"/>
      <c r="OLR58" s="53"/>
      <c r="OLS58" s="53"/>
      <c r="OLT58" s="53"/>
      <c r="OLU58" s="53"/>
      <c r="OLV58" s="53"/>
      <c r="OLW58" s="53"/>
      <c r="OLX58" s="53"/>
      <c r="OLY58" s="53"/>
      <c r="OLZ58" s="53"/>
      <c r="OMA58" s="53"/>
      <c r="OMB58" s="53"/>
      <c r="OMC58" s="53"/>
      <c r="OMD58" s="53"/>
      <c r="OME58" s="53"/>
      <c r="OMF58" s="53"/>
      <c r="OMG58" s="53"/>
      <c r="OMH58" s="53"/>
      <c r="OMI58" s="53"/>
      <c r="OMJ58" s="53"/>
      <c r="OMK58" s="53"/>
      <c r="OML58" s="53"/>
      <c r="OMM58" s="53"/>
      <c r="OMN58" s="53"/>
      <c r="OMO58" s="53"/>
      <c r="OMP58" s="53"/>
      <c r="OMQ58" s="53"/>
      <c r="OMR58" s="53"/>
      <c r="OMS58" s="53"/>
      <c r="OMT58" s="53"/>
      <c r="OMU58" s="53"/>
      <c r="OMV58" s="53"/>
      <c r="OMW58" s="53"/>
      <c r="OMX58" s="53"/>
      <c r="OMY58" s="53"/>
      <c r="OMZ58" s="53"/>
      <c r="ONA58" s="53"/>
      <c r="ONB58" s="53"/>
      <c r="ONC58" s="53"/>
      <c r="OND58" s="53"/>
      <c r="ONE58" s="53"/>
      <c r="ONF58" s="53"/>
      <c r="ONG58" s="53"/>
      <c r="ONH58" s="53"/>
      <c r="ONI58" s="53"/>
      <c r="ONJ58" s="53"/>
      <c r="ONK58" s="53"/>
      <c r="ONL58" s="53"/>
      <c r="ONM58" s="53"/>
      <c r="ONN58" s="53"/>
      <c r="ONO58" s="53"/>
      <c r="ONP58" s="53"/>
      <c r="ONQ58" s="53"/>
      <c r="ONR58" s="53"/>
      <c r="ONS58" s="53"/>
      <c r="ONT58" s="53"/>
      <c r="ONU58" s="53"/>
      <c r="ONV58" s="53"/>
      <c r="ONW58" s="53"/>
      <c r="ONX58" s="53"/>
      <c r="ONY58" s="53"/>
      <c r="ONZ58" s="53"/>
      <c r="OOA58" s="53"/>
      <c r="OOB58" s="53"/>
      <c r="OOC58" s="53"/>
      <c r="OOD58" s="53"/>
      <c r="OOE58" s="53"/>
      <c r="OOF58" s="53"/>
      <c r="OOG58" s="53"/>
      <c r="OOH58" s="53"/>
      <c r="OOI58" s="53"/>
      <c r="OOJ58" s="53"/>
      <c r="OOK58" s="53"/>
      <c r="OOL58" s="53"/>
      <c r="OOM58" s="53"/>
      <c r="OON58" s="53"/>
      <c r="OOO58" s="53"/>
      <c r="OOP58" s="53"/>
      <c r="OOQ58" s="53"/>
      <c r="OOR58" s="53"/>
      <c r="OOS58" s="53"/>
      <c r="OOT58" s="53"/>
      <c r="OOU58" s="53"/>
      <c r="OOV58" s="53"/>
      <c r="OOW58" s="53"/>
      <c r="OOX58" s="53"/>
      <c r="OOY58" s="53"/>
      <c r="OOZ58" s="53"/>
      <c r="OPA58" s="53"/>
      <c r="OPB58" s="53"/>
      <c r="OPC58" s="53"/>
      <c r="OPD58" s="53"/>
      <c r="OPE58" s="53"/>
      <c r="OPF58" s="53"/>
      <c r="OPG58" s="53"/>
      <c r="OPH58" s="53"/>
      <c r="OPI58" s="53"/>
      <c r="OPJ58" s="53"/>
      <c r="OPK58" s="53"/>
      <c r="OPL58" s="53"/>
      <c r="OPM58" s="53"/>
      <c r="OPN58" s="53"/>
      <c r="OPO58" s="53"/>
      <c r="OPP58" s="53"/>
      <c r="OPQ58" s="53"/>
      <c r="OPR58" s="53"/>
      <c r="OPS58" s="53"/>
      <c r="OPT58" s="53"/>
      <c r="OPU58" s="53"/>
      <c r="OPV58" s="53"/>
      <c r="OPW58" s="53"/>
      <c r="OPX58" s="53"/>
      <c r="OPY58" s="53"/>
      <c r="OPZ58" s="53"/>
      <c r="OQA58" s="53"/>
      <c r="OQB58" s="53"/>
      <c r="OQC58" s="53"/>
      <c r="OQD58" s="53"/>
      <c r="OQE58" s="53"/>
      <c r="OQF58" s="53"/>
      <c r="OQG58" s="53"/>
      <c r="OQH58" s="53"/>
      <c r="OQI58" s="53"/>
      <c r="OQJ58" s="53"/>
      <c r="OQK58" s="53"/>
      <c r="OQL58" s="53"/>
      <c r="OQM58" s="53"/>
      <c r="OQN58" s="53"/>
      <c r="OQO58" s="53"/>
      <c r="OQP58" s="53"/>
      <c r="OQQ58" s="53"/>
      <c r="OQR58" s="53"/>
      <c r="OQS58" s="53"/>
      <c r="OQT58" s="53"/>
      <c r="OQU58" s="53"/>
      <c r="OQV58" s="53"/>
      <c r="OQW58" s="53"/>
      <c r="OQX58" s="53"/>
      <c r="OQY58" s="53"/>
      <c r="OQZ58" s="53"/>
      <c r="ORA58" s="53"/>
      <c r="ORB58" s="53"/>
      <c r="ORC58" s="53"/>
      <c r="ORD58" s="53"/>
      <c r="ORE58" s="53"/>
      <c r="ORF58" s="53"/>
      <c r="ORG58" s="53"/>
      <c r="ORH58" s="53"/>
      <c r="ORI58" s="53"/>
      <c r="ORJ58" s="53"/>
      <c r="ORK58" s="53"/>
      <c r="ORL58" s="53"/>
      <c r="ORM58" s="53"/>
      <c r="ORN58" s="53"/>
      <c r="ORO58" s="53"/>
      <c r="ORP58" s="53"/>
      <c r="ORQ58" s="53"/>
      <c r="ORR58" s="53"/>
      <c r="ORS58" s="53"/>
      <c r="ORT58" s="53"/>
      <c r="ORU58" s="53"/>
      <c r="ORV58" s="53"/>
      <c r="ORW58" s="53"/>
      <c r="ORX58" s="53"/>
      <c r="ORY58" s="53"/>
      <c r="ORZ58" s="53"/>
      <c r="OSA58" s="53"/>
      <c r="OSB58" s="53"/>
      <c r="OSC58" s="53"/>
      <c r="OSD58" s="53"/>
      <c r="OSE58" s="53"/>
      <c r="OSF58" s="53"/>
      <c r="OSG58" s="53"/>
      <c r="OSH58" s="53"/>
      <c r="OSI58" s="53"/>
      <c r="OSJ58" s="53"/>
      <c r="OSK58" s="53"/>
      <c r="OSL58" s="53"/>
      <c r="OSM58" s="53"/>
      <c r="OSN58" s="53"/>
      <c r="OSO58" s="53"/>
      <c r="OSP58" s="53"/>
      <c r="OSQ58" s="53"/>
      <c r="OSR58" s="53"/>
      <c r="OSS58" s="53"/>
      <c r="OST58" s="53"/>
      <c r="OSU58" s="53"/>
      <c r="OSV58" s="53"/>
      <c r="OSW58" s="53"/>
      <c r="OSX58" s="53"/>
      <c r="OSY58" s="53"/>
      <c r="OSZ58" s="53"/>
      <c r="OTA58" s="53"/>
      <c r="OTB58" s="53"/>
      <c r="OTC58" s="53"/>
      <c r="OTD58" s="53"/>
      <c r="OTE58" s="53"/>
      <c r="OTF58" s="53"/>
      <c r="OTG58" s="53"/>
      <c r="OTH58" s="53"/>
      <c r="OTI58" s="53"/>
      <c r="OTJ58" s="53"/>
      <c r="OTK58" s="53"/>
      <c r="OTL58" s="53"/>
      <c r="OTM58" s="53"/>
      <c r="OTN58" s="53"/>
      <c r="OTO58" s="53"/>
      <c r="OTP58" s="53"/>
      <c r="OTQ58" s="53"/>
      <c r="OTR58" s="53"/>
      <c r="OTS58" s="53"/>
      <c r="OTT58" s="53"/>
      <c r="OTU58" s="53"/>
      <c r="OTV58" s="53"/>
      <c r="OTW58" s="53"/>
      <c r="OTX58" s="53"/>
      <c r="OTY58" s="53"/>
      <c r="OTZ58" s="53"/>
      <c r="OUA58" s="53"/>
      <c r="OUB58" s="53"/>
      <c r="OUC58" s="53"/>
      <c r="OUD58" s="53"/>
      <c r="OUE58" s="53"/>
      <c r="OUF58" s="53"/>
      <c r="OUG58" s="53"/>
      <c r="OUH58" s="53"/>
      <c r="OUI58" s="53"/>
      <c r="OUJ58" s="53"/>
      <c r="OUK58" s="53"/>
      <c r="OUL58" s="53"/>
      <c r="OUM58" s="53"/>
      <c r="OUN58" s="53"/>
      <c r="OUO58" s="53"/>
      <c r="OUP58" s="53"/>
      <c r="OUQ58" s="53"/>
      <c r="OUR58" s="53"/>
      <c r="OUS58" s="53"/>
      <c r="OUT58" s="53"/>
      <c r="OUU58" s="53"/>
      <c r="OUV58" s="53"/>
      <c r="OUW58" s="53"/>
      <c r="OUX58" s="53"/>
      <c r="OUY58" s="53"/>
      <c r="OUZ58" s="53"/>
      <c r="OVA58" s="53"/>
      <c r="OVB58" s="53"/>
      <c r="OVC58" s="53"/>
      <c r="OVD58" s="53"/>
      <c r="OVE58" s="53"/>
      <c r="OVF58" s="53"/>
      <c r="OVG58" s="53"/>
      <c r="OVH58" s="53"/>
      <c r="OVI58" s="53"/>
      <c r="OVJ58" s="53"/>
      <c r="OVK58" s="53"/>
      <c r="OVL58" s="53"/>
      <c r="OVM58" s="53"/>
      <c r="OVN58" s="53"/>
      <c r="OVO58" s="53"/>
      <c r="OVP58" s="53"/>
      <c r="OVQ58" s="53"/>
      <c r="OVR58" s="53"/>
      <c r="OVS58" s="53"/>
      <c r="OVT58" s="53"/>
      <c r="OVU58" s="53"/>
      <c r="OVV58" s="53"/>
      <c r="OVW58" s="53"/>
      <c r="OVX58" s="53"/>
      <c r="OVY58" s="53"/>
      <c r="OVZ58" s="53"/>
      <c r="OWA58" s="53"/>
      <c r="OWB58" s="53"/>
      <c r="OWC58" s="53"/>
      <c r="OWD58" s="53"/>
      <c r="OWE58" s="53"/>
      <c r="OWF58" s="53"/>
      <c r="OWG58" s="53"/>
      <c r="OWH58" s="53"/>
      <c r="OWI58" s="53"/>
      <c r="OWJ58" s="53"/>
      <c r="OWK58" s="53"/>
      <c r="OWL58" s="53"/>
      <c r="OWM58" s="53"/>
      <c r="OWN58" s="53"/>
      <c r="OWO58" s="53"/>
      <c r="OWP58" s="53"/>
      <c r="OWQ58" s="53"/>
      <c r="OWR58" s="53"/>
      <c r="OWS58" s="53"/>
      <c r="OWT58" s="53"/>
      <c r="OWU58" s="53"/>
      <c r="OWV58" s="53"/>
      <c r="OWW58" s="53"/>
      <c r="OWX58" s="53"/>
      <c r="OWY58" s="53"/>
      <c r="OWZ58" s="53"/>
      <c r="OXA58" s="53"/>
      <c r="OXB58" s="53"/>
      <c r="OXC58" s="53"/>
      <c r="OXD58" s="53"/>
      <c r="OXE58" s="53"/>
      <c r="OXF58" s="53"/>
      <c r="OXG58" s="53"/>
      <c r="OXH58" s="53"/>
      <c r="OXI58" s="53"/>
      <c r="OXJ58" s="53"/>
      <c r="OXK58" s="53"/>
      <c r="OXL58" s="53"/>
      <c r="OXM58" s="53"/>
      <c r="OXN58" s="53"/>
      <c r="OXO58" s="53"/>
      <c r="OXP58" s="53"/>
      <c r="OXQ58" s="53"/>
      <c r="OXR58" s="53"/>
      <c r="OXS58" s="53"/>
      <c r="OXT58" s="53"/>
      <c r="OXU58" s="53"/>
      <c r="OXV58" s="53"/>
      <c r="OXW58" s="53"/>
      <c r="OXX58" s="53"/>
      <c r="OXY58" s="53"/>
      <c r="OXZ58" s="53"/>
      <c r="OYA58" s="53"/>
      <c r="OYB58" s="53"/>
      <c r="OYC58" s="53"/>
      <c r="OYD58" s="53"/>
      <c r="OYE58" s="53"/>
      <c r="OYF58" s="53"/>
      <c r="OYG58" s="53"/>
      <c r="OYH58" s="53"/>
      <c r="OYI58" s="53"/>
      <c r="OYJ58" s="53"/>
      <c r="OYK58" s="53"/>
      <c r="OYL58" s="53"/>
      <c r="OYM58" s="53"/>
      <c r="OYN58" s="53"/>
      <c r="OYO58" s="53"/>
      <c r="OYP58" s="53"/>
      <c r="OYQ58" s="53"/>
      <c r="OYR58" s="53"/>
      <c r="OYS58" s="53"/>
      <c r="OYT58" s="53"/>
      <c r="OYU58" s="53"/>
      <c r="OYV58" s="53"/>
      <c r="OYW58" s="53"/>
      <c r="OYX58" s="53"/>
      <c r="OYY58" s="53"/>
      <c r="OYZ58" s="53"/>
      <c r="OZA58" s="53"/>
      <c r="OZB58" s="53"/>
      <c r="OZC58" s="53"/>
      <c r="OZD58" s="53"/>
      <c r="OZE58" s="53"/>
      <c r="OZF58" s="53"/>
      <c r="OZG58" s="53"/>
      <c r="OZH58" s="53"/>
      <c r="OZI58" s="53"/>
      <c r="OZJ58" s="53"/>
      <c r="OZK58" s="53"/>
      <c r="OZL58" s="53"/>
      <c r="OZM58" s="53"/>
      <c r="OZN58" s="53"/>
      <c r="OZO58" s="53"/>
      <c r="OZP58" s="53"/>
      <c r="OZQ58" s="53"/>
      <c r="OZR58" s="53"/>
      <c r="OZS58" s="53"/>
      <c r="OZT58" s="53"/>
      <c r="OZU58" s="53"/>
      <c r="OZV58" s="53"/>
      <c r="OZW58" s="53"/>
      <c r="OZX58" s="53"/>
      <c r="OZY58" s="53"/>
      <c r="OZZ58" s="53"/>
      <c r="PAA58" s="53"/>
      <c r="PAB58" s="53"/>
      <c r="PAC58" s="53"/>
      <c r="PAD58" s="53"/>
      <c r="PAE58" s="53"/>
      <c r="PAF58" s="53"/>
      <c r="PAG58" s="53"/>
      <c r="PAH58" s="53"/>
      <c r="PAI58" s="53"/>
      <c r="PAJ58" s="53"/>
      <c r="PAK58" s="53"/>
      <c r="PAL58" s="53"/>
      <c r="PAM58" s="53"/>
      <c r="PAN58" s="53"/>
      <c r="PAO58" s="53"/>
      <c r="PAP58" s="53"/>
      <c r="PAQ58" s="53"/>
      <c r="PAR58" s="53"/>
      <c r="PAS58" s="53"/>
      <c r="PAT58" s="53"/>
      <c r="PAU58" s="53"/>
      <c r="PAV58" s="53"/>
      <c r="PAW58" s="53"/>
      <c r="PAX58" s="53"/>
      <c r="PAY58" s="53"/>
      <c r="PAZ58" s="53"/>
      <c r="PBA58" s="53"/>
      <c r="PBB58" s="53"/>
      <c r="PBC58" s="53"/>
      <c r="PBD58" s="53"/>
      <c r="PBE58" s="53"/>
      <c r="PBF58" s="53"/>
      <c r="PBG58" s="53"/>
      <c r="PBH58" s="53"/>
      <c r="PBI58" s="53"/>
      <c r="PBJ58" s="53"/>
      <c r="PBK58" s="53"/>
      <c r="PBL58" s="53"/>
      <c r="PBM58" s="53"/>
      <c r="PBN58" s="53"/>
      <c r="PBO58" s="53"/>
      <c r="PBP58" s="53"/>
      <c r="PBQ58" s="53"/>
      <c r="PBR58" s="53"/>
      <c r="PBS58" s="53"/>
      <c r="PBT58" s="53"/>
      <c r="PBU58" s="53"/>
      <c r="PBV58" s="53"/>
      <c r="PBW58" s="53"/>
      <c r="PBX58" s="53"/>
      <c r="PBY58" s="53"/>
      <c r="PBZ58" s="53"/>
      <c r="PCA58" s="53"/>
      <c r="PCB58" s="53"/>
      <c r="PCC58" s="53"/>
      <c r="PCD58" s="53"/>
      <c r="PCE58" s="53"/>
      <c r="PCF58" s="53"/>
      <c r="PCG58" s="53"/>
      <c r="PCH58" s="53"/>
      <c r="PCI58" s="53"/>
      <c r="PCJ58" s="53"/>
      <c r="PCK58" s="53"/>
      <c r="PCL58" s="53"/>
      <c r="PCM58" s="53"/>
      <c r="PCN58" s="53"/>
      <c r="PCO58" s="53"/>
      <c r="PCP58" s="53"/>
      <c r="PCQ58" s="53"/>
      <c r="PCR58" s="53"/>
      <c r="PCS58" s="53"/>
      <c r="PCT58" s="53"/>
      <c r="PCU58" s="53"/>
      <c r="PCV58" s="53"/>
      <c r="PCW58" s="53"/>
      <c r="PCX58" s="53"/>
      <c r="PCY58" s="53"/>
      <c r="PCZ58" s="53"/>
      <c r="PDA58" s="53"/>
      <c r="PDB58" s="53"/>
      <c r="PDC58" s="53"/>
      <c r="PDD58" s="53"/>
      <c r="PDE58" s="53"/>
      <c r="PDF58" s="53"/>
      <c r="PDG58" s="53"/>
      <c r="PDH58" s="53"/>
      <c r="PDI58" s="53"/>
      <c r="PDJ58" s="53"/>
      <c r="PDK58" s="53"/>
      <c r="PDL58" s="53"/>
      <c r="PDM58" s="53"/>
      <c r="PDN58" s="53"/>
      <c r="PDO58" s="53"/>
      <c r="PDP58" s="53"/>
      <c r="PDQ58" s="53"/>
      <c r="PDR58" s="53"/>
      <c r="PDS58" s="53"/>
      <c r="PDT58" s="53"/>
      <c r="PDU58" s="53"/>
      <c r="PDV58" s="53"/>
      <c r="PDW58" s="53"/>
      <c r="PDX58" s="53"/>
      <c r="PDY58" s="53"/>
      <c r="PDZ58" s="53"/>
      <c r="PEA58" s="53"/>
      <c r="PEB58" s="53"/>
      <c r="PEC58" s="53"/>
      <c r="PED58" s="53"/>
      <c r="PEE58" s="53"/>
      <c r="PEF58" s="53"/>
      <c r="PEG58" s="53"/>
      <c r="PEH58" s="53"/>
      <c r="PEI58" s="53"/>
      <c r="PEJ58" s="53"/>
      <c r="PEK58" s="53"/>
      <c r="PEL58" s="53"/>
      <c r="PEM58" s="53"/>
      <c r="PEN58" s="53"/>
      <c r="PEO58" s="53"/>
      <c r="PEP58" s="53"/>
      <c r="PEQ58" s="53"/>
      <c r="PER58" s="53"/>
      <c r="PES58" s="53"/>
      <c r="PET58" s="53"/>
      <c r="PEU58" s="53"/>
      <c r="PEV58" s="53"/>
      <c r="PEW58" s="53"/>
      <c r="PEX58" s="53"/>
      <c r="PEY58" s="53"/>
      <c r="PEZ58" s="53"/>
      <c r="PFA58" s="53"/>
      <c r="PFB58" s="53"/>
      <c r="PFC58" s="53"/>
      <c r="PFD58" s="53"/>
      <c r="PFE58" s="53"/>
      <c r="PFF58" s="53"/>
      <c r="PFG58" s="53"/>
      <c r="PFH58" s="53"/>
      <c r="PFI58" s="53"/>
      <c r="PFJ58" s="53"/>
      <c r="PFK58" s="53"/>
      <c r="PFL58" s="53"/>
      <c r="PFM58" s="53"/>
      <c r="PFN58" s="53"/>
      <c r="PFO58" s="53"/>
      <c r="PFP58" s="53"/>
      <c r="PFQ58" s="53"/>
      <c r="PFR58" s="53"/>
      <c r="PFS58" s="53"/>
      <c r="PFT58" s="53"/>
      <c r="PFU58" s="53"/>
      <c r="PFV58" s="53"/>
      <c r="PFW58" s="53"/>
      <c r="PFX58" s="53"/>
      <c r="PFY58" s="53"/>
      <c r="PFZ58" s="53"/>
      <c r="PGA58" s="53"/>
      <c r="PGB58" s="53"/>
      <c r="PGC58" s="53"/>
      <c r="PGD58" s="53"/>
      <c r="PGE58" s="53"/>
      <c r="PGF58" s="53"/>
      <c r="PGG58" s="53"/>
      <c r="PGH58" s="53"/>
      <c r="PGI58" s="53"/>
      <c r="PGJ58" s="53"/>
      <c r="PGK58" s="53"/>
      <c r="PGL58" s="53"/>
      <c r="PGM58" s="53"/>
      <c r="PGN58" s="53"/>
      <c r="PGO58" s="53"/>
      <c r="PGP58" s="53"/>
      <c r="PGQ58" s="53"/>
      <c r="PGR58" s="53"/>
      <c r="PGS58" s="53"/>
      <c r="PGT58" s="53"/>
      <c r="PGU58" s="53"/>
      <c r="PGV58" s="53"/>
      <c r="PGW58" s="53"/>
      <c r="PGX58" s="53"/>
      <c r="PGY58" s="53"/>
      <c r="PGZ58" s="53"/>
      <c r="PHA58" s="53"/>
      <c r="PHB58" s="53"/>
      <c r="PHC58" s="53"/>
      <c r="PHD58" s="53"/>
      <c r="PHE58" s="53"/>
      <c r="PHF58" s="53"/>
      <c r="PHG58" s="53"/>
      <c r="PHH58" s="53"/>
      <c r="PHI58" s="53"/>
      <c r="PHJ58" s="53"/>
      <c r="PHK58" s="53"/>
      <c r="PHL58" s="53"/>
      <c r="PHM58" s="53"/>
      <c r="PHN58" s="53"/>
      <c r="PHO58" s="53"/>
      <c r="PHP58" s="53"/>
      <c r="PHQ58" s="53"/>
      <c r="PHR58" s="53"/>
      <c r="PHS58" s="53"/>
      <c r="PHT58" s="53"/>
      <c r="PHU58" s="53"/>
      <c r="PHV58" s="53"/>
      <c r="PHW58" s="53"/>
      <c r="PHX58" s="53"/>
      <c r="PHY58" s="53"/>
      <c r="PHZ58" s="53"/>
      <c r="PIA58" s="53"/>
      <c r="PIB58" s="53"/>
      <c r="PIC58" s="53"/>
      <c r="PID58" s="53"/>
      <c r="PIE58" s="53"/>
      <c r="PIF58" s="53"/>
      <c r="PIG58" s="53"/>
      <c r="PIH58" s="53"/>
      <c r="PII58" s="53"/>
      <c r="PIJ58" s="53"/>
      <c r="PIK58" s="53"/>
      <c r="PIL58" s="53"/>
      <c r="PIM58" s="53"/>
      <c r="PIN58" s="53"/>
      <c r="PIO58" s="53"/>
      <c r="PIP58" s="53"/>
      <c r="PIQ58" s="53"/>
      <c r="PIR58" s="53"/>
      <c r="PIS58" s="53"/>
      <c r="PIT58" s="53"/>
      <c r="PIU58" s="53"/>
      <c r="PIV58" s="53"/>
      <c r="PIW58" s="53"/>
      <c r="PIX58" s="53"/>
      <c r="PIY58" s="53"/>
      <c r="PIZ58" s="53"/>
      <c r="PJA58" s="53"/>
      <c r="PJB58" s="53"/>
      <c r="PJC58" s="53"/>
      <c r="PJD58" s="53"/>
      <c r="PJE58" s="53"/>
      <c r="PJF58" s="53"/>
      <c r="PJG58" s="53"/>
      <c r="PJH58" s="53"/>
      <c r="PJI58" s="53"/>
      <c r="PJJ58" s="53"/>
      <c r="PJK58" s="53"/>
      <c r="PJL58" s="53"/>
      <c r="PJM58" s="53"/>
      <c r="PJN58" s="53"/>
      <c r="PJO58" s="53"/>
      <c r="PJP58" s="53"/>
      <c r="PJQ58" s="53"/>
      <c r="PJR58" s="53"/>
      <c r="PJS58" s="53"/>
      <c r="PJT58" s="53"/>
      <c r="PJU58" s="53"/>
      <c r="PJV58" s="53"/>
      <c r="PJW58" s="53"/>
      <c r="PJX58" s="53"/>
      <c r="PJY58" s="53"/>
      <c r="PJZ58" s="53"/>
      <c r="PKA58" s="53"/>
      <c r="PKB58" s="53"/>
      <c r="PKC58" s="53"/>
      <c r="PKD58" s="53"/>
      <c r="PKE58" s="53"/>
      <c r="PKF58" s="53"/>
      <c r="PKG58" s="53"/>
      <c r="PKH58" s="53"/>
      <c r="PKI58" s="53"/>
      <c r="PKJ58" s="53"/>
      <c r="PKK58" s="53"/>
      <c r="PKL58" s="53"/>
      <c r="PKM58" s="53"/>
      <c r="PKN58" s="53"/>
      <c r="PKO58" s="53"/>
      <c r="PKP58" s="53"/>
      <c r="PKQ58" s="53"/>
      <c r="PKR58" s="53"/>
      <c r="PKS58" s="53"/>
      <c r="PKT58" s="53"/>
      <c r="PKU58" s="53"/>
      <c r="PKV58" s="53"/>
      <c r="PKW58" s="53"/>
      <c r="PKX58" s="53"/>
      <c r="PKY58" s="53"/>
      <c r="PKZ58" s="53"/>
      <c r="PLA58" s="53"/>
      <c r="PLB58" s="53"/>
      <c r="PLC58" s="53"/>
      <c r="PLD58" s="53"/>
      <c r="PLE58" s="53"/>
      <c r="PLF58" s="53"/>
      <c r="PLG58" s="53"/>
      <c r="PLH58" s="53"/>
      <c r="PLI58" s="53"/>
      <c r="PLJ58" s="53"/>
      <c r="PLK58" s="53"/>
      <c r="PLL58" s="53"/>
      <c r="PLM58" s="53"/>
      <c r="PLN58" s="53"/>
      <c r="PLO58" s="53"/>
      <c r="PLP58" s="53"/>
      <c r="PLQ58" s="53"/>
      <c r="PLR58" s="53"/>
      <c r="PLS58" s="53"/>
      <c r="PLT58" s="53"/>
      <c r="PLU58" s="53"/>
      <c r="PLV58" s="53"/>
      <c r="PLW58" s="53"/>
      <c r="PLX58" s="53"/>
      <c r="PLY58" s="53"/>
      <c r="PLZ58" s="53"/>
      <c r="PMA58" s="53"/>
      <c r="PMB58" s="53"/>
      <c r="PMC58" s="53"/>
      <c r="PMD58" s="53"/>
      <c r="PME58" s="53"/>
      <c r="PMF58" s="53"/>
      <c r="PMG58" s="53"/>
      <c r="PMH58" s="53"/>
      <c r="PMI58" s="53"/>
      <c r="PMJ58" s="53"/>
      <c r="PMK58" s="53"/>
      <c r="PML58" s="53"/>
      <c r="PMM58" s="53"/>
      <c r="PMN58" s="53"/>
      <c r="PMO58" s="53"/>
      <c r="PMP58" s="53"/>
      <c r="PMQ58" s="53"/>
      <c r="PMR58" s="53"/>
      <c r="PMS58" s="53"/>
      <c r="PMT58" s="53"/>
      <c r="PMU58" s="53"/>
      <c r="PMV58" s="53"/>
      <c r="PMW58" s="53"/>
      <c r="PMX58" s="53"/>
      <c r="PMY58" s="53"/>
      <c r="PMZ58" s="53"/>
      <c r="PNA58" s="53"/>
      <c r="PNB58" s="53"/>
      <c r="PNC58" s="53"/>
      <c r="PND58" s="53"/>
      <c r="PNE58" s="53"/>
      <c r="PNF58" s="53"/>
      <c r="PNG58" s="53"/>
      <c r="PNH58" s="53"/>
      <c r="PNI58" s="53"/>
      <c r="PNJ58" s="53"/>
      <c r="PNK58" s="53"/>
      <c r="PNL58" s="53"/>
      <c r="PNM58" s="53"/>
      <c r="PNN58" s="53"/>
      <c r="PNO58" s="53"/>
      <c r="PNP58" s="53"/>
      <c r="PNQ58" s="53"/>
      <c r="PNR58" s="53"/>
      <c r="PNS58" s="53"/>
      <c r="PNT58" s="53"/>
      <c r="PNU58" s="53"/>
      <c r="PNV58" s="53"/>
      <c r="PNW58" s="53"/>
      <c r="PNX58" s="53"/>
      <c r="PNY58" s="53"/>
      <c r="PNZ58" s="53"/>
      <c r="POA58" s="53"/>
      <c r="POB58" s="53"/>
      <c r="POC58" s="53"/>
      <c r="POD58" s="53"/>
      <c r="POE58" s="53"/>
      <c r="POF58" s="53"/>
      <c r="POG58" s="53"/>
      <c r="POH58" s="53"/>
      <c r="POI58" s="53"/>
      <c r="POJ58" s="53"/>
      <c r="POK58" s="53"/>
      <c r="POL58" s="53"/>
      <c r="POM58" s="53"/>
      <c r="PON58" s="53"/>
      <c r="POO58" s="53"/>
      <c r="POP58" s="53"/>
      <c r="POQ58" s="53"/>
      <c r="POR58" s="53"/>
      <c r="POS58" s="53"/>
      <c r="POT58" s="53"/>
      <c r="POU58" s="53"/>
      <c r="POV58" s="53"/>
      <c r="POW58" s="53"/>
      <c r="POX58" s="53"/>
      <c r="POY58" s="53"/>
      <c r="POZ58" s="53"/>
      <c r="PPA58" s="53"/>
      <c r="PPB58" s="53"/>
      <c r="PPC58" s="53"/>
      <c r="PPD58" s="53"/>
      <c r="PPE58" s="53"/>
      <c r="PPF58" s="53"/>
      <c r="PPG58" s="53"/>
      <c r="PPH58" s="53"/>
      <c r="PPI58" s="53"/>
      <c r="PPJ58" s="53"/>
      <c r="PPK58" s="53"/>
      <c r="PPL58" s="53"/>
      <c r="PPM58" s="53"/>
      <c r="PPN58" s="53"/>
      <c r="PPO58" s="53"/>
      <c r="PPP58" s="53"/>
      <c r="PPQ58" s="53"/>
      <c r="PPR58" s="53"/>
      <c r="PPS58" s="53"/>
      <c r="PPT58" s="53"/>
      <c r="PPU58" s="53"/>
      <c r="PPV58" s="53"/>
      <c r="PPW58" s="53"/>
      <c r="PPX58" s="53"/>
      <c r="PPY58" s="53"/>
      <c r="PPZ58" s="53"/>
      <c r="PQA58" s="53"/>
      <c r="PQB58" s="53"/>
      <c r="PQC58" s="53"/>
      <c r="PQD58" s="53"/>
      <c r="PQE58" s="53"/>
      <c r="PQF58" s="53"/>
      <c r="PQG58" s="53"/>
      <c r="PQH58" s="53"/>
      <c r="PQI58" s="53"/>
      <c r="PQJ58" s="53"/>
      <c r="PQK58" s="53"/>
      <c r="PQL58" s="53"/>
      <c r="PQM58" s="53"/>
      <c r="PQN58" s="53"/>
      <c r="PQO58" s="53"/>
      <c r="PQP58" s="53"/>
      <c r="PQQ58" s="53"/>
      <c r="PQR58" s="53"/>
      <c r="PQS58" s="53"/>
      <c r="PQT58" s="53"/>
      <c r="PQU58" s="53"/>
      <c r="PQV58" s="53"/>
      <c r="PQW58" s="53"/>
      <c r="PQX58" s="53"/>
      <c r="PQY58" s="53"/>
      <c r="PQZ58" s="53"/>
      <c r="PRA58" s="53"/>
      <c r="PRB58" s="53"/>
      <c r="PRC58" s="53"/>
      <c r="PRD58" s="53"/>
      <c r="PRE58" s="53"/>
      <c r="PRF58" s="53"/>
      <c r="PRG58" s="53"/>
      <c r="PRH58" s="53"/>
      <c r="PRI58" s="53"/>
      <c r="PRJ58" s="53"/>
      <c r="PRK58" s="53"/>
      <c r="PRL58" s="53"/>
      <c r="PRM58" s="53"/>
      <c r="PRN58" s="53"/>
      <c r="PRO58" s="53"/>
      <c r="PRP58" s="53"/>
      <c r="PRQ58" s="53"/>
      <c r="PRR58" s="53"/>
      <c r="PRS58" s="53"/>
      <c r="PRT58" s="53"/>
      <c r="PRU58" s="53"/>
      <c r="PRV58" s="53"/>
      <c r="PRW58" s="53"/>
      <c r="PRX58" s="53"/>
      <c r="PRY58" s="53"/>
      <c r="PRZ58" s="53"/>
      <c r="PSA58" s="53"/>
      <c r="PSB58" s="53"/>
      <c r="PSC58" s="53"/>
      <c r="PSD58" s="53"/>
      <c r="PSE58" s="53"/>
      <c r="PSF58" s="53"/>
      <c r="PSG58" s="53"/>
      <c r="PSH58" s="53"/>
      <c r="PSI58" s="53"/>
      <c r="PSJ58" s="53"/>
      <c r="PSK58" s="53"/>
      <c r="PSL58" s="53"/>
      <c r="PSM58" s="53"/>
      <c r="PSN58" s="53"/>
      <c r="PSO58" s="53"/>
      <c r="PSP58" s="53"/>
      <c r="PSQ58" s="53"/>
      <c r="PSR58" s="53"/>
      <c r="PSS58" s="53"/>
      <c r="PST58" s="53"/>
      <c r="PSU58" s="53"/>
      <c r="PSV58" s="53"/>
      <c r="PSW58" s="53"/>
      <c r="PSX58" s="53"/>
      <c r="PSY58" s="53"/>
      <c r="PSZ58" s="53"/>
      <c r="PTA58" s="53"/>
      <c r="PTB58" s="53"/>
      <c r="PTC58" s="53"/>
      <c r="PTD58" s="53"/>
      <c r="PTE58" s="53"/>
      <c r="PTF58" s="53"/>
      <c r="PTG58" s="53"/>
      <c r="PTH58" s="53"/>
      <c r="PTI58" s="53"/>
      <c r="PTJ58" s="53"/>
      <c r="PTK58" s="53"/>
      <c r="PTL58" s="53"/>
      <c r="PTM58" s="53"/>
      <c r="PTN58" s="53"/>
      <c r="PTO58" s="53"/>
      <c r="PTP58" s="53"/>
      <c r="PTQ58" s="53"/>
      <c r="PTR58" s="53"/>
      <c r="PTS58" s="53"/>
      <c r="PTT58" s="53"/>
      <c r="PTU58" s="53"/>
      <c r="PTV58" s="53"/>
      <c r="PTW58" s="53"/>
      <c r="PTX58" s="53"/>
      <c r="PTY58" s="53"/>
      <c r="PTZ58" s="53"/>
      <c r="PUA58" s="53"/>
      <c r="PUB58" s="53"/>
      <c r="PUC58" s="53"/>
      <c r="PUD58" s="53"/>
      <c r="PUE58" s="53"/>
      <c r="PUF58" s="53"/>
      <c r="PUG58" s="53"/>
      <c r="PUH58" s="53"/>
      <c r="PUI58" s="53"/>
      <c r="PUJ58" s="53"/>
      <c r="PUK58" s="53"/>
      <c r="PUL58" s="53"/>
      <c r="PUM58" s="53"/>
      <c r="PUN58" s="53"/>
      <c r="PUO58" s="53"/>
      <c r="PUP58" s="53"/>
      <c r="PUQ58" s="53"/>
      <c r="PUR58" s="53"/>
      <c r="PUS58" s="53"/>
      <c r="PUT58" s="53"/>
      <c r="PUU58" s="53"/>
      <c r="PUV58" s="53"/>
      <c r="PUW58" s="53"/>
      <c r="PUX58" s="53"/>
      <c r="PUY58" s="53"/>
      <c r="PUZ58" s="53"/>
      <c r="PVA58" s="53"/>
      <c r="PVB58" s="53"/>
      <c r="PVC58" s="53"/>
      <c r="PVD58" s="53"/>
      <c r="PVE58" s="53"/>
      <c r="PVF58" s="53"/>
      <c r="PVG58" s="53"/>
      <c r="PVH58" s="53"/>
      <c r="PVI58" s="53"/>
      <c r="PVJ58" s="53"/>
      <c r="PVK58" s="53"/>
      <c r="PVL58" s="53"/>
      <c r="PVM58" s="53"/>
      <c r="PVN58" s="53"/>
      <c r="PVO58" s="53"/>
      <c r="PVP58" s="53"/>
      <c r="PVQ58" s="53"/>
      <c r="PVR58" s="53"/>
      <c r="PVS58" s="53"/>
      <c r="PVT58" s="53"/>
      <c r="PVU58" s="53"/>
      <c r="PVV58" s="53"/>
      <c r="PVW58" s="53"/>
      <c r="PVX58" s="53"/>
      <c r="PVY58" s="53"/>
      <c r="PVZ58" s="53"/>
      <c r="PWA58" s="53"/>
      <c r="PWB58" s="53"/>
      <c r="PWC58" s="53"/>
      <c r="PWD58" s="53"/>
      <c r="PWE58" s="53"/>
      <c r="PWF58" s="53"/>
      <c r="PWG58" s="53"/>
      <c r="PWH58" s="53"/>
      <c r="PWI58" s="53"/>
      <c r="PWJ58" s="53"/>
      <c r="PWK58" s="53"/>
      <c r="PWL58" s="53"/>
      <c r="PWM58" s="53"/>
      <c r="PWN58" s="53"/>
      <c r="PWO58" s="53"/>
      <c r="PWP58" s="53"/>
      <c r="PWQ58" s="53"/>
      <c r="PWR58" s="53"/>
      <c r="PWS58" s="53"/>
      <c r="PWT58" s="53"/>
      <c r="PWU58" s="53"/>
      <c r="PWV58" s="53"/>
      <c r="PWW58" s="53"/>
      <c r="PWX58" s="53"/>
      <c r="PWY58" s="53"/>
      <c r="PWZ58" s="53"/>
      <c r="PXA58" s="53"/>
      <c r="PXB58" s="53"/>
      <c r="PXC58" s="53"/>
      <c r="PXD58" s="53"/>
      <c r="PXE58" s="53"/>
      <c r="PXF58" s="53"/>
      <c r="PXG58" s="53"/>
      <c r="PXH58" s="53"/>
      <c r="PXI58" s="53"/>
      <c r="PXJ58" s="53"/>
      <c r="PXK58" s="53"/>
      <c r="PXL58" s="53"/>
      <c r="PXM58" s="53"/>
      <c r="PXN58" s="53"/>
      <c r="PXO58" s="53"/>
      <c r="PXP58" s="53"/>
      <c r="PXQ58" s="53"/>
      <c r="PXR58" s="53"/>
      <c r="PXS58" s="53"/>
      <c r="PXT58" s="53"/>
      <c r="PXU58" s="53"/>
      <c r="PXV58" s="53"/>
      <c r="PXW58" s="53"/>
      <c r="PXX58" s="53"/>
      <c r="PXY58" s="53"/>
      <c r="PXZ58" s="53"/>
      <c r="PYA58" s="53"/>
      <c r="PYB58" s="53"/>
      <c r="PYC58" s="53"/>
      <c r="PYD58" s="53"/>
      <c r="PYE58" s="53"/>
      <c r="PYF58" s="53"/>
      <c r="PYG58" s="53"/>
      <c r="PYH58" s="53"/>
      <c r="PYI58" s="53"/>
      <c r="PYJ58" s="53"/>
      <c r="PYK58" s="53"/>
      <c r="PYL58" s="53"/>
      <c r="PYM58" s="53"/>
      <c r="PYN58" s="53"/>
      <c r="PYO58" s="53"/>
      <c r="PYP58" s="53"/>
      <c r="PYQ58" s="53"/>
      <c r="PYR58" s="53"/>
      <c r="PYS58" s="53"/>
      <c r="PYT58" s="53"/>
      <c r="PYU58" s="53"/>
      <c r="PYV58" s="53"/>
      <c r="PYW58" s="53"/>
      <c r="PYX58" s="53"/>
      <c r="PYY58" s="53"/>
      <c r="PYZ58" s="53"/>
      <c r="PZA58" s="53"/>
      <c r="PZB58" s="53"/>
      <c r="PZC58" s="53"/>
      <c r="PZD58" s="53"/>
      <c r="PZE58" s="53"/>
      <c r="PZF58" s="53"/>
      <c r="PZG58" s="53"/>
      <c r="PZH58" s="53"/>
      <c r="PZI58" s="53"/>
      <c r="PZJ58" s="53"/>
      <c r="PZK58" s="53"/>
      <c r="PZL58" s="53"/>
      <c r="PZM58" s="53"/>
      <c r="PZN58" s="53"/>
      <c r="PZO58" s="53"/>
      <c r="PZP58" s="53"/>
      <c r="PZQ58" s="53"/>
      <c r="PZR58" s="53"/>
      <c r="PZS58" s="53"/>
      <c r="PZT58" s="53"/>
      <c r="PZU58" s="53"/>
      <c r="PZV58" s="53"/>
      <c r="PZW58" s="53"/>
      <c r="PZX58" s="53"/>
      <c r="PZY58" s="53"/>
      <c r="PZZ58" s="53"/>
      <c r="QAA58" s="53"/>
      <c r="QAB58" s="53"/>
      <c r="QAC58" s="53"/>
      <c r="QAD58" s="53"/>
      <c r="QAE58" s="53"/>
      <c r="QAF58" s="53"/>
      <c r="QAG58" s="53"/>
      <c r="QAH58" s="53"/>
      <c r="QAI58" s="53"/>
      <c r="QAJ58" s="53"/>
      <c r="QAK58" s="53"/>
      <c r="QAL58" s="53"/>
      <c r="QAM58" s="53"/>
      <c r="QAN58" s="53"/>
      <c r="QAO58" s="53"/>
      <c r="QAP58" s="53"/>
      <c r="QAQ58" s="53"/>
      <c r="QAR58" s="53"/>
      <c r="QAS58" s="53"/>
      <c r="QAT58" s="53"/>
      <c r="QAU58" s="53"/>
      <c r="QAV58" s="53"/>
      <c r="QAW58" s="53"/>
      <c r="QAX58" s="53"/>
      <c r="QAY58" s="53"/>
      <c r="QAZ58" s="53"/>
      <c r="QBA58" s="53"/>
      <c r="QBB58" s="53"/>
      <c r="QBC58" s="53"/>
      <c r="QBD58" s="53"/>
      <c r="QBE58" s="53"/>
      <c r="QBF58" s="53"/>
      <c r="QBG58" s="53"/>
      <c r="QBH58" s="53"/>
      <c r="QBI58" s="53"/>
      <c r="QBJ58" s="53"/>
      <c r="QBK58" s="53"/>
      <c r="QBL58" s="53"/>
      <c r="QBM58" s="53"/>
      <c r="QBN58" s="53"/>
      <c r="QBO58" s="53"/>
      <c r="QBP58" s="53"/>
      <c r="QBQ58" s="53"/>
      <c r="QBR58" s="53"/>
      <c r="QBS58" s="53"/>
      <c r="QBT58" s="53"/>
      <c r="QBU58" s="53"/>
      <c r="QBV58" s="53"/>
      <c r="QBW58" s="53"/>
      <c r="QBX58" s="53"/>
      <c r="QBY58" s="53"/>
      <c r="QBZ58" s="53"/>
      <c r="QCA58" s="53"/>
      <c r="QCB58" s="53"/>
      <c r="QCC58" s="53"/>
      <c r="QCD58" s="53"/>
      <c r="QCE58" s="53"/>
      <c r="QCF58" s="53"/>
      <c r="QCG58" s="53"/>
      <c r="QCH58" s="53"/>
      <c r="QCI58" s="53"/>
      <c r="QCJ58" s="53"/>
      <c r="QCK58" s="53"/>
      <c r="QCL58" s="53"/>
      <c r="QCM58" s="53"/>
      <c r="QCN58" s="53"/>
      <c r="QCO58" s="53"/>
      <c r="QCP58" s="53"/>
      <c r="QCQ58" s="53"/>
      <c r="QCR58" s="53"/>
      <c r="QCS58" s="53"/>
      <c r="QCT58" s="53"/>
      <c r="QCU58" s="53"/>
      <c r="QCV58" s="53"/>
      <c r="QCW58" s="53"/>
      <c r="QCX58" s="53"/>
      <c r="QCY58" s="53"/>
      <c r="QCZ58" s="53"/>
      <c r="QDA58" s="53"/>
      <c r="QDB58" s="53"/>
      <c r="QDC58" s="53"/>
      <c r="QDD58" s="53"/>
      <c r="QDE58" s="53"/>
      <c r="QDF58" s="53"/>
      <c r="QDG58" s="53"/>
      <c r="QDH58" s="53"/>
      <c r="QDI58" s="53"/>
      <c r="QDJ58" s="53"/>
      <c r="QDK58" s="53"/>
      <c r="QDL58" s="53"/>
      <c r="QDM58" s="53"/>
      <c r="QDN58" s="53"/>
      <c r="QDO58" s="53"/>
      <c r="QDP58" s="53"/>
      <c r="QDQ58" s="53"/>
      <c r="QDR58" s="53"/>
      <c r="QDS58" s="53"/>
      <c r="QDT58" s="53"/>
      <c r="QDU58" s="53"/>
      <c r="QDV58" s="53"/>
      <c r="QDW58" s="53"/>
      <c r="QDX58" s="53"/>
      <c r="QDY58" s="53"/>
      <c r="QDZ58" s="53"/>
      <c r="QEA58" s="53"/>
      <c r="QEB58" s="53"/>
      <c r="QEC58" s="53"/>
      <c r="QED58" s="53"/>
      <c r="QEE58" s="53"/>
      <c r="QEF58" s="53"/>
      <c r="QEG58" s="53"/>
      <c r="QEH58" s="53"/>
      <c r="QEI58" s="53"/>
      <c r="QEJ58" s="53"/>
      <c r="QEK58" s="53"/>
      <c r="QEL58" s="53"/>
      <c r="QEM58" s="53"/>
      <c r="QEN58" s="53"/>
      <c r="QEO58" s="53"/>
      <c r="QEP58" s="53"/>
      <c r="QEQ58" s="53"/>
      <c r="QER58" s="53"/>
      <c r="QES58" s="53"/>
      <c r="QET58" s="53"/>
      <c r="QEU58" s="53"/>
      <c r="QEV58" s="53"/>
      <c r="QEW58" s="53"/>
      <c r="QEX58" s="53"/>
      <c r="QEY58" s="53"/>
      <c r="QEZ58" s="53"/>
      <c r="QFA58" s="53"/>
      <c r="QFB58" s="53"/>
      <c r="QFC58" s="53"/>
      <c r="QFD58" s="53"/>
      <c r="QFE58" s="53"/>
      <c r="QFF58" s="53"/>
      <c r="QFG58" s="53"/>
      <c r="QFH58" s="53"/>
      <c r="QFI58" s="53"/>
      <c r="QFJ58" s="53"/>
      <c r="QFK58" s="53"/>
      <c r="QFL58" s="53"/>
      <c r="QFM58" s="53"/>
      <c r="QFN58" s="53"/>
      <c r="QFO58" s="53"/>
      <c r="QFP58" s="53"/>
      <c r="QFQ58" s="53"/>
      <c r="QFR58" s="53"/>
      <c r="QFS58" s="53"/>
      <c r="QFT58" s="53"/>
      <c r="QFU58" s="53"/>
      <c r="QFV58" s="53"/>
      <c r="QFW58" s="53"/>
      <c r="QFX58" s="53"/>
      <c r="QFY58" s="53"/>
      <c r="QFZ58" s="53"/>
      <c r="QGA58" s="53"/>
      <c r="QGB58" s="53"/>
      <c r="QGC58" s="53"/>
      <c r="QGD58" s="53"/>
      <c r="QGE58" s="53"/>
      <c r="QGF58" s="53"/>
      <c r="QGG58" s="53"/>
      <c r="QGH58" s="53"/>
      <c r="QGI58" s="53"/>
      <c r="QGJ58" s="53"/>
      <c r="QGK58" s="53"/>
      <c r="QGL58" s="53"/>
      <c r="QGM58" s="53"/>
      <c r="QGN58" s="53"/>
      <c r="QGO58" s="53"/>
      <c r="QGP58" s="53"/>
      <c r="QGQ58" s="53"/>
      <c r="QGR58" s="53"/>
      <c r="QGS58" s="53"/>
      <c r="QGT58" s="53"/>
      <c r="QGU58" s="53"/>
      <c r="QGV58" s="53"/>
      <c r="QGW58" s="53"/>
      <c r="QGX58" s="53"/>
      <c r="QGY58" s="53"/>
      <c r="QGZ58" s="53"/>
      <c r="QHA58" s="53"/>
      <c r="QHB58" s="53"/>
      <c r="QHC58" s="53"/>
      <c r="QHD58" s="53"/>
      <c r="QHE58" s="53"/>
      <c r="QHF58" s="53"/>
      <c r="QHG58" s="53"/>
      <c r="QHH58" s="53"/>
      <c r="QHI58" s="53"/>
      <c r="QHJ58" s="53"/>
      <c r="QHK58" s="53"/>
      <c r="QHL58" s="53"/>
      <c r="QHM58" s="53"/>
      <c r="QHN58" s="53"/>
      <c r="QHO58" s="53"/>
      <c r="QHP58" s="53"/>
      <c r="QHQ58" s="53"/>
      <c r="QHR58" s="53"/>
      <c r="QHS58" s="53"/>
      <c r="QHT58" s="53"/>
      <c r="QHU58" s="53"/>
      <c r="QHV58" s="53"/>
      <c r="QHW58" s="53"/>
      <c r="QHX58" s="53"/>
      <c r="QHY58" s="53"/>
      <c r="QHZ58" s="53"/>
      <c r="QIA58" s="53"/>
      <c r="QIB58" s="53"/>
      <c r="QIC58" s="53"/>
      <c r="QID58" s="53"/>
      <c r="QIE58" s="53"/>
      <c r="QIF58" s="53"/>
      <c r="QIG58" s="53"/>
      <c r="QIH58" s="53"/>
      <c r="QII58" s="53"/>
      <c r="QIJ58" s="53"/>
      <c r="QIK58" s="53"/>
      <c r="QIL58" s="53"/>
      <c r="QIM58" s="53"/>
      <c r="QIN58" s="53"/>
      <c r="QIO58" s="53"/>
      <c r="QIP58" s="53"/>
      <c r="QIQ58" s="53"/>
      <c r="QIR58" s="53"/>
      <c r="QIS58" s="53"/>
      <c r="QIT58" s="53"/>
      <c r="QIU58" s="53"/>
      <c r="QIV58" s="53"/>
      <c r="QIW58" s="53"/>
      <c r="QIX58" s="53"/>
      <c r="QIY58" s="53"/>
      <c r="QIZ58" s="53"/>
      <c r="QJA58" s="53"/>
      <c r="QJB58" s="53"/>
      <c r="QJC58" s="53"/>
      <c r="QJD58" s="53"/>
      <c r="QJE58" s="53"/>
      <c r="QJF58" s="53"/>
      <c r="QJG58" s="53"/>
      <c r="QJH58" s="53"/>
      <c r="QJI58" s="53"/>
      <c r="QJJ58" s="53"/>
      <c r="QJK58" s="53"/>
      <c r="QJL58" s="53"/>
      <c r="QJM58" s="53"/>
      <c r="QJN58" s="53"/>
      <c r="QJO58" s="53"/>
      <c r="QJP58" s="53"/>
      <c r="QJQ58" s="53"/>
      <c r="QJR58" s="53"/>
      <c r="QJS58" s="53"/>
      <c r="QJT58" s="53"/>
      <c r="QJU58" s="53"/>
      <c r="QJV58" s="53"/>
      <c r="QJW58" s="53"/>
      <c r="QJX58" s="53"/>
      <c r="QJY58" s="53"/>
      <c r="QJZ58" s="53"/>
      <c r="QKA58" s="53"/>
      <c r="QKB58" s="53"/>
      <c r="QKC58" s="53"/>
      <c r="QKD58" s="53"/>
      <c r="QKE58" s="53"/>
      <c r="QKF58" s="53"/>
      <c r="QKG58" s="53"/>
      <c r="QKH58" s="53"/>
      <c r="QKI58" s="53"/>
      <c r="QKJ58" s="53"/>
      <c r="QKK58" s="53"/>
      <c r="QKL58" s="53"/>
      <c r="QKM58" s="53"/>
      <c r="QKN58" s="53"/>
      <c r="QKO58" s="53"/>
      <c r="QKP58" s="53"/>
      <c r="QKQ58" s="53"/>
      <c r="QKR58" s="53"/>
      <c r="QKS58" s="53"/>
      <c r="QKT58" s="53"/>
      <c r="QKU58" s="53"/>
      <c r="QKV58" s="53"/>
      <c r="QKW58" s="53"/>
      <c r="QKX58" s="53"/>
      <c r="QKY58" s="53"/>
      <c r="QKZ58" s="53"/>
      <c r="QLA58" s="53"/>
      <c r="QLB58" s="53"/>
      <c r="QLC58" s="53"/>
      <c r="QLD58" s="53"/>
      <c r="QLE58" s="53"/>
      <c r="QLF58" s="53"/>
      <c r="QLG58" s="53"/>
      <c r="QLH58" s="53"/>
      <c r="QLI58" s="53"/>
      <c r="QLJ58" s="53"/>
      <c r="QLK58" s="53"/>
      <c r="QLL58" s="53"/>
      <c r="QLM58" s="53"/>
      <c r="QLN58" s="53"/>
      <c r="QLO58" s="53"/>
      <c r="QLP58" s="53"/>
      <c r="QLQ58" s="53"/>
      <c r="QLR58" s="53"/>
      <c r="QLS58" s="53"/>
      <c r="QLT58" s="53"/>
      <c r="QLU58" s="53"/>
      <c r="QLV58" s="53"/>
      <c r="QLW58" s="53"/>
      <c r="QLX58" s="53"/>
      <c r="QLY58" s="53"/>
      <c r="QLZ58" s="53"/>
      <c r="QMA58" s="53"/>
      <c r="QMB58" s="53"/>
      <c r="QMC58" s="53"/>
      <c r="QMD58" s="53"/>
      <c r="QME58" s="53"/>
      <c r="QMF58" s="53"/>
      <c r="QMG58" s="53"/>
      <c r="QMH58" s="53"/>
      <c r="QMI58" s="53"/>
      <c r="QMJ58" s="53"/>
      <c r="QMK58" s="53"/>
      <c r="QML58" s="53"/>
      <c r="QMM58" s="53"/>
      <c r="QMN58" s="53"/>
      <c r="QMO58" s="53"/>
      <c r="QMP58" s="53"/>
      <c r="QMQ58" s="53"/>
      <c r="QMR58" s="53"/>
      <c r="QMS58" s="53"/>
      <c r="QMT58" s="53"/>
      <c r="QMU58" s="53"/>
      <c r="QMV58" s="53"/>
      <c r="QMW58" s="53"/>
      <c r="QMX58" s="53"/>
      <c r="QMY58" s="53"/>
      <c r="QMZ58" s="53"/>
      <c r="QNA58" s="53"/>
      <c r="QNB58" s="53"/>
      <c r="QNC58" s="53"/>
      <c r="QND58" s="53"/>
      <c r="QNE58" s="53"/>
      <c r="QNF58" s="53"/>
      <c r="QNG58" s="53"/>
      <c r="QNH58" s="53"/>
      <c r="QNI58" s="53"/>
      <c r="QNJ58" s="53"/>
      <c r="QNK58" s="53"/>
      <c r="QNL58" s="53"/>
      <c r="QNM58" s="53"/>
      <c r="QNN58" s="53"/>
      <c r="QNO58" s="53"/>
      <c r="QNP58" s="53"/>
      <c r="QNQ58" s="53"/>
      <c r="QNR58" s="53"/>
      <c r="QNS58" s="53"/>
      <c r="QNT58" s="53"/>
      <c r="QNU58" s="53"/>
      <c r="QNV58" s="53"/>
      <c r="QNW58" s="53"/>
      <c r="QNX58" s="53"/>
      <c r="QNY58" s="53"/>
      <c r="QNZ58" s="53"/>
      <c r="QOA58" s="53"/>
      <c r="QOB58" s="53"/>
      <c r="QOC58" s="53"/>
      <c r="QOD58" s="53"/>
      <c r="QOE58" s="53"/>
      <c r="QOF58" s="53"/>
      <c r="QOG58" s="53"/>
      <c r="QOH58" s="53"/>
      <c r="QOI58" s="53"/>
      <c r="QOJ58" s="53"/>
      <c r="QOK58" s="53"/>
      <c r="QOL58" s="53"/>
      <c r="QOM58" s="53"/>
      <c r="QON58" s="53"/>
      <c r="QOO58" s="53"/>
      <c r="QOP58" s="53"/>
      <c r="QOQ58" s="53"/>
      <c r="QOR58" s="53"/>
      <c r="QOS58" s="53"/>
      <c r="QOT58" s="53"/>
      <c r="QOU58" s="53"/>
      <c r="QOV58" s="53"/>
      <c r="QOW58" s="53"/>
      <c r="QOX58" s="53"/>
      <c r="QOY58" s="53"/>
      <c r="QOZ58" s="53"/>
      <c r="QPA58" s="53"/>
      <c r="QPB58" s="53"/>
      <c r="QPC58" s="53"/>
      <c r="QPD58" s="53"/>
      <c r="QPE58" s="53"/>
      <c r="QPF58" s="53"/>
      <c r="QPG58" s="53"/>
      <c r="QPH58" s="53"/>
      <c r="QPI58" s="53"/>
      <c r="QPJ58" s="53"/>
      <c r="QPK58" s="53"/>
      <c r="QPL58" s="53"/>
      <c r="QPM58" s="53"/>
      <c r="QPN58" s="53"/>
      <c r="QPO58" s="53"/>
      <c r="QPP58" s="53"/>
      <c r="QPQ58" s="53"/>
      <c r="QPR58" s="53"/>
      <c r="QPS58" s="53"/>
      <c r="QPT58" s="53"/>
      <c r="QPU58" s="53"/>
      <c r="QPV58" s="53"/>
      <c r="QPW58" s="53"/>
      <c r="QPX58" s="53"/>
      <c r="QPY58" s="53"/>
      <c r="QPZ58" s="53"/>
      <c r="QQA58" s="53"/>
      <c r="QQB58" s="53"/>
      <c r="QQC58" s="53"/>
      <c r="QQD58" s="53"/>
      <c r="QQE58" s="53"/>
      <c r="QQF58" s="53"/>
      <c r="QQG58" s="53"/>
      <c r="QQH58" s="53"/>
      <c r="QQI58" s="53"/>
      <c r="QQJ58" s="53"/>
      <c r="QQK58" s="53"/>
      <c r="QQL58" s="53"/>
      <c r="QQM58" s="53"/>
      <c r="QQN58" s="53"/>
      <c r="QQO58" s="53"/>
      <c r="QQP58" s="53"/>
      <c r="QQQ58" s="53"/>
      <c r="QQR58" s="53"/>
      <c r="QQS58" s="53"/>
      <c r="QQT58" s="53"/>
      <c r="QQU58" s="53"/>
      <c r="QQV58" s="53"/>
      <c r="QQW58" s="53"/>
      <c r="QQX58" s="53"/>
      <c r="QQY58" s="53"/>
      <c r="QQZ58" s="53"/>
      <c r="QRA58" s="53"/>
      <c r="QRB58" s="53"/>
      <c r="QRC58" s="53"/>
      <c r="QRD58" s="53"/>
      <c r="QRE58" s="53"/>
      <c r="QRF58" s="53"/>
      <c r="QRG58" s="53"/>
      <c r="QRH58" s="53"/>
      <c r="QRI58" s="53"/>
      <c r="QRJ58" s="53"/>
      <c r="QRK58" s="53"/>
      <c r="QRL58" s="53"/>
      <c r="QRM58" s="53"/>
      <c r="QRN58" s="53"/>
      <c r="QRO58" s="53"/>
      <c r="QRP58" s="53"/>
      <c r="QRQ58" s="53"/>
      <c r="QRR58" s="53"/>
      <c r="QRS58" s="53"/>
      <c r="QRT58" s="53"/>
      <c r="QRU58" s="53"/>
      <c r="QRV58" s="53"/>
      <c r="QRW58" s="53"/>
      <c r="QRX58" s="53"/>
      <c r="QRY58" s="53"/>
      <c r="QRZ58" s="53"/>
      <c r="QSA58" s="53"/>
      <c r="QSB58" s="53"/>
      <c r="QSC58" s="53"/>
      <c r="QSD58" s="53"/>
      <c r="QSE58" s="53"/>
      <c r="QSF58" s="53"/>
      <c r="QSG58" s="53"/>
      <c r="QSH58" s="53"/>
      <c r="QSI58" s="53"/>
      <c r="QSJ58" s="53"/>
      <c r="QSK58" s="53"/>
      <c r="QSL58" s="53"/>
      <c r="QSM58" s="53"/>
      <c r="QSN58" s="53"/>
      <c r="QSO58" s="53"/>
      <c r="QSP58" s="53"/>
      <c r="QSQ58" s="53"/>
      <c r="QSR58" s="53"/>
      <c r="QSS58" s="53"/>
      <c r="QST58" s="53"/>
      <c r="QSU58" s="53"/>
      <c r="QSV58" s="53"/>
      <c r="QSW58" s="53"/>
      <c r="QSX58" s="53"/>
      <c r="QSY58" s="53"/>
      <c r="QSZ58" s="53"/>
      <c r="QTA58" s="53"/>
      <c r="QTB58" s="53"/>
      <c r="QTC58" s="53"/>
      <c r="QTD58" s="53"/>
      <c r="QTE58" s="53"/>
      <c r="QTF58" s="53"/>
      <c r="QTG58" s="53"/>
      <c r="QTH58" s="53"/>
      <c r="QTI58" s="53"/>
      <c r="QTJ58" s="53"/>
      <c r="QTK58" s="53"/>
      <c r="QTL58" s="53"/>
      <c r="QTM58" s="53"/>
      <c r="QTN58" s="53"/>
      <c r="QTO58" s="53"/>
      <c r="QTP58" s="53"/>
      <c r="QTQ58" s="53"/>
      <c r="QTR58" s="53"/>
      <c r="QTS58" s="53"/>
      <c r="QTT58" s="53"/>
      <c r="QTU58" s="53"/>
      <c r="QTV58" s="53"/>
      <c r="QTW58" s="53"/>
      <c r="QTX58" s="53"/>
      <c r="QTY58" s="53"/>
      <c r="QTZ58" s="53"/>
      <c r="QUA58" s="53"/>
      <c r="QUB58" s="53"/>
      <c r="QUC58" s="53"/>
      <c r="QUD58" s="53"/>
      <c r="QUE58" s="53"/>
      <c r="QUF58" s="53"/>
      <c r="QUG58" s="53"/>
      <c r="QUH58" s="53"/>
      <c r="QUI58" s="53"/>
      <c r="QUJ58" s="53"/>
      <c r="QUK58" s="53"/>
      <c r="QUL58" s="53"/>
      <c r="QUM58" s="53"/>
      <c r="QUN58" s="53"/>
      <c r="QUO58" s="53"/>
      <c r="QUP58" s="53"/>
      <c r="QUQ58" s="53"/>
      <c r="QUR58" s="53"/>
      <c r="QUS58" s="53"/>
      <c r="QUT58" s="53"/>
      <c r="QUU58" s="53"/>
      <c r="QUV58" s="53"/>
      <c r="QUW58" s="53"/>
      <c r="QUX58" s="53"/>
      <c r="QUY58" s="53"/>
      <c r="QUZ58" s="53"/>
      <c r="QVA58" s="53"/>
      <c r="QVB58" s="53"/>
      <c r="QVC58" s="53"/>
      <c r="QVD58" s="53"/>
      <c r="QVE58" s="53"/>
      <c r="QVF58" s="53"/>
      <c r="QVG58" s="53"/>
      <c r="QVH58" s="53"/>
      <c r="QVI58" s="53"/>
      <c r="QVJ58" s="53"/>
      <c r="QVK58" s="53"/>
      <c r="QVL58" s="53"/>
      <c r="QVM58" s="53"/>
      <c r="QVN58" s="53"/>
      <c r="QVO58" s="53"/>
      <c r="QVP58" s="53"/>
      <c r="QVQ58" s="53"/>
      <c r="QVR58" s="53"/>
      <c r="QVS58" s="53"/>
      <c r="QVT58" s="53"/>
      <c r="QVU58" s="53"/>
      <c r="QVV58" s="53"/>
      <c r="QVW58" s="53"/>
      <c r="QVX58" s="53"/>
      <c r="QVY58" s="53"/>
      <c r="QVZ58" s="53"/>
      <c r="QWA58" s="53"/>
      <c r="QWB58" s="53"/>
      <c r="QWC58" s="53"/>
      <c r="QWD58" s="53"/>
      <c r="QWE58" s="53"/>
      <c r="QWF58" s="53"/>
      <c r="QWG58" s="53"/>
      <c r="QWH58" s="53"/>
      <c r="QWI58" s="53"/>
      <c r="QWJ58" s="53"/>
      <c r="QWK58" s="53"/>
      <c r="QWL58" s="53"/>
      <c r="QWM58" s="53"/>
      <c r="QWN58" s="53"/>
      <c r="QWO58" s="53"/>
      <c r="QWP58" s="53"/>
      <c r="QWQ58" s="53"/>
      <c r="QWR58" s="53"/>
      <c r="QWS58" s="53"/>
      <c r="QWT58" s="53"/>
      <c r="QWU58" s="53"/>
      <c r="QWV58" s="53"/>
      <c r="QWW58" s="53"/>
      <c r="QWX58" s="53"/>
      <c r="QWY58" s="53"/>
      <c r="QWZ58" s="53"/>
      <c r="QXA58" s="53"/>
      <c r="QXB58" s="53"/>
      <c r="QXC58" s="53"/>
      <c r="QXD58" s="53"/>
      <c r="QXE58" s="53"/>
      <c r="QXF58" s="53"/>
      <c r="QXG58" s="53"/>
      <c r="QXH58" s="53"/>
      <c r="QXI58" s="53"/>
      <c r="QXJ58" s="53"/>
      <c r="QXK58" s="53"/>
      <c r="QXL58" s="53"/>
      <c r="QXM58" s="53"/>
      <c r="QXN58" s="53"/>
      <c r="QXO58" s="53"/>
      <c r="QXP58" s="53"/>
      <c r="QXQ58" s="53"/>
      <c r="QXR58" s="53"/>
      <c r="QXS58" s="53"/>
      <c r="QXT58" s="53"/>
      <c r="QXU58" s="53"/>
      <c r="QXV58" s="53"/>
      <c r="QXW58" s="53"/>
      <c r="QXX58" s="53"/>
      <c r="QXY58" s="53"/>
      <c r="QXZ58" s="53"/>
      <c r="QYA58" s="53"/>
      <c r="QYB58" s="53"/>
      <c r="QYC58" s="53"/>
      <c r="QYD58" s="53"/>
      <c r="QYE58" s="53"/>
      <c r="QYF58" s="53"/>
      <c r="QYG58" s="53"/>
      <c r="QYH58" s="53"/>
      <c r="QYI58" s="53"/>
      <c r="QYJ58" s="53"/>
      <c r="QYK58" s="53"/>
      <c r="QYL58" s="53"/>
      <c r="QYM58" s="53"/>
      <c r="QYN58" s="53"/>
      <c r="QYO58" s="53"/>
      <c r="QYP58" s="53"/>
      <c r="QYQ58" s="53"/>
      <c r="QYR58" s="53"/>
      <c r="QYS58" s="53"/>
      <c r="QYT58" s="53"/>
      <c r="QYU58" s="53"/>
      <c r="QYV58" s="53"/>
      <c r="QYW58" s="53"/>
      <c r="QYX58" s="53"/>
      <c r="QYY58" s="53"/>
      <c r="QYZ58" s="53"/>
      <c r="QZA58" s="53"/>
      <c r="QZB58" s="53"/>
      <c r="QZC58" s="53"/>
      <c r="QZD58" s="53"/>
      <c r="QZE58" s="53"/>
      <c r="QZF58" s="53"/>
      <c r="QZG58" s="53"/>
      <c r="QZH58" s="53"/>
      <c r="QZI58" s="53"/>
      <c r="QZJ58" s="53"/>
      <c r="QZK58" s="53"/>
      <c r="QZL58" s="53"/>
      <c r="QZM58" s="53"/>
      <c r="QZN58" s="53"/>
      <c r="QZO58" s="53"/>
      <c r="QZP58" s="53"/>
      <c r="QZQ58" s="53"/>
      <c r="QZR58" s="53"/>
      <c r="QZS58" s="53"/>
      <c r="QZT58" s="53"/>
      <c r="QZU58" s="53"/>
      <c r="QZV58" s="53"/>
      <c r="QZW58" s="53"/>
      <c r="QZX58" s="53"/>
      <c r="QZY58" s="53"/>
      <c r="QZZ58" s="53"/>
      <c r="RAA58" s="53"/>
      <c r="RAB58" s="53"/>
      <c r="RAC58" s="53"/>
      <c r="RAD58" s="53"/>
      <c r="RAE58" s="53"/>
      <c r="RAF58" s="53"/>
      <c r="RAG58" s="53"/>
      <c r="RAH58" s="53"/>
      <c r="RAI58" s="53"/>
      <c r="RAJ58" s="53"/>
      <c r="RAK58" s="53"/>
      <c r="RAL58" s="53"/>
      <c r="RAM58" s="53"/>
      <c r="RAN58" s="53"/>
      <c r="RAO58" s="53"/>
      <c r="RAP58" s="53"/>
      <c r="RAQ58" s="53"/>
      <c r="RAR58" s="53"/>
      <c r="RAS58" s="53"/>
      <c r="RAT58" s="53"/>
      <c r="RAU58" s="53"/>
      <c r="RAV58" s="53"/>
      <c r="RAW58" s="53"/>
      <c r="RAX58" s="53"/>
      <c r="RAY58" s="53"/>
      <c r="RAZ58" s="53"/>
      <c r="RBA58" s="53"/>
      <c r="RBB58" s="53"/>
      <c r="RBC58" s="53"/>
      <c r="RBD58" s="53"/>
      <c r="RBE58" s="53"/>
      <c r="RBF58" s="53"/>
      <c r="RBG58" s="53"/>
      <c r="RBH58" s="53"/>
      <c r="RBI58" s="53"/>
      <c r="RBJ58" s="53"/>
      <c r="RBK58" s="53"/>
      <c r="RBL58" s="53"/>
      <c r="RBM58" s="53"/>
      <c r="RBN58" s="53"/>
      <c r="RBO58" s="53"/>
      <c r="RBP58" s="53"/>
      <c r="RBQ58" s="53"/>
      <c r="RBR58" s="53"/>
      <c r="RBS58" s="53"/>
      <c r="RBT58" s="53"/>
      <c r="RBU58" s="53"/>
      <c r="RBV58" s="53"/>
      <c r="RBW58" s="53"/>
      <c r="RBX58" s="53"/>
      <c r="RBY58" s="53"/>
      <c r="RBZ58" s="53"/>
      <c r="RCA58" s="53"/>
      <c r="RCB58" s="53"/>
      <c r="RCC58" s="53"/>
      <c r="RCD58" s="53"/>
      <c r="RCE58" s="53"/>
      <c r="RCF58" s="53"/>
      <c r="RCG58" s="53"/>
      <c r="RCH58" s="53"/>
      <c r="RCI58" s="53"/>
      <c r="RCJ58" s="53"/>
      <c r="RCK58" s="53"/>
      <c r="RCL58" s="53"/>
      <c r="RCM58" s="53"/>
      <c r="RCN58" s="53"/>
      <c r="RCO58" s="53"/>
      <c r="RCP58" s="53"/>
      <c r="RCQ58" s="53"/>
      <c r="RCR58" s="53"/>
      <c r="RCS58" s="53"/>
      <c r="RCT58" s="53"/>
      <c r="RCU58" s="53"/>
      <c r="RCV58" s="53"/>
      <c r="RCW58" s="53"/>
      <c r="RCX58" s="53"/>
      <c r="RCY58" s="53"/>
      <c r="RCZ58" s="53"/>
      <c r="RDA58" s="53"/>
      <c r="RDB58" s="53"/>
      <c r="RDC58" s="53"/>
      <c r="RDD58" s="53"/>
      <c r="RDE58" s="53"/>
      <c r="RDF58" s="53"/>
      <c r="RDG58" s="53"/>
      <c r="RDH58" s="53"/>
      <c r="RDI58" s="53"/>
      <c r="RDJ58" s="53"/>
      <c r="RDK58" s="53"/>
      <c r="RDL58" s="53"/>
      <c r="RDM58" s="53"/>
      <c r="RDN58" s="53"/>
      <c r="RDO58" s="53"/>
      <c r="RDP58" s="53"/>
      <c r="RDQ58" s="53"/>
      <c r="RDR58" s="53"/>
      <c r="RDS58" s="53"/>
      <c r="RDT58" s="53"/>
      <c r="RDU58" s="53"/>
      <c r="RDV58" s="53"/>
      <c r="RDW58" s="53"/>
      <c r="RDX58" s="53"/>
      <c r="RDY58" s="53"/>
      <c r="RDZ58" s="53"/>
      <c r="REA58" s="53"/>
      <c r="REB58" s="53"/>
      <c r="REC58" s="53"/>
      <c r="RED58" s="53"/>
      <c r="REE58" s="53"/>
      <c r="REF58" s="53"/>
      <c r="REG58" s="53"/>
      <c r="REH58" s="53"/>
      <c r="REI58" s="53"/>
      <c r="REJ58" s="53"/>
      <c r="REK58" s="53"/>
      <c r="REL58" s="53"/>
      <c r="REM58" s="53"/>
      <c r="REN58" s="53"/>
      <c r="REO58" s="53"/>
      <c r="REP58" s="53"/>
      <c r="REQ58" s="53"/>
      <c r="RER58" s="53"/>
      <c r="RES58" s="53"/>
      <c r="RET58" s="53"/>
      <c r="REU58" s="53"/>
      <c r="REV58" s="53"/>
      <c r="REW58" s="53"/>
      <c r="REX58" s="53"/>
      <c r="REY58" s="53"/>
      <c r="REZ58" s="53"/>
      <c r="RFA58" s="53"/>
      <c r="RFB58" s="53"/>
      <c r="RFC58" s="53"/>
      <c r="RFD58" s="53"/>
      <c r="RFE58" s="53"/>
      <c r="RFF58" s="53"/>
      <c r="RFG58" s="53"/>
      <c r="RFH58" s="53"/>
      <c r="RFI58" s="53"/>
      <c r="RFJ58" s="53"/>
      <c r="RFK58" s="53"/>
      <c r="RFL58" s="53"/>
      <c r="RFM58" s="53"/>
      <c r="RFN58" s="53"/>
      <c r="RFO58" s="53"/>
      <c r="RFP58" s="53"/>
      <c r="RFQ58" s="53"/>
      <c r="RFR58" s="53"/>
      <c r="RFS58" s="53"/>
      <c r="RFT58" s="53"/>
      <c r="RFU58" s="53"/>
      <c r="RFV58" s="53"/>
      <c r="RFW58" s="53"/>
      <c r="RFX58" s="53"/>
      <c r="RFY58" s="53"/>
      <c r="RFZ58" s="53"/>
      <c r="RGA58" s="53"/>
      <c r="RGB58" s="53"/>
      <c r="RGC58" s="53"/>
      <c r="RGD58" s="53"/>
      <c r="RGE58" s="53"/>
      <c r="RGF58" s="53"/>
      <c r="RGG58" s="53"/>
      <c r="RGH58" s="53"/>
      <c r="RGI58" s="53"/>
      <c r="RGJ58" s="53"/>
      <c r="RGK58" s="53"/>
      <c r="RGL58" s="53"/>
      <c r="RGM58" s="53"/>
      <c r="RGN58" s="53"/>
      <c r="RGO58" s="53"/>
      <c r="RGP58" s="53"/>
      <c r="RGQ58" s="53"/>
      <c r="RGR58" s="53"/>
      <c r="RGS58" s="53"/>
      <c r="RGT58" s="53"/>
      <c r="RGU58" s="53"/>
      <c r="RGV58" s="53"/>
      <c r="RGW58" s="53"/>
      <c r="RGX58" s="53"/>
      <c r="RGY58" s="53"/>
      <c r="RGZ58" s="53"/>
      <c r="RHA58" s="53"/>
      <c r="RHB58" s="53"/>
      <c r="RHC58" s="53"/>
      <c r="RHD58" s="53"/>
      <c r="RHE58" s="53"/>
      <c r="RHF58" s="53"/>
      <c r="RHG58" s="53"/>
      <c r="RHH58" s="53"/>
      <c r="RHI58" s="53"/>
      <c r="RHJ58" s="53"/>
      <c r="RHK58" s="53"/>
      <c r="RHL58" s="53"/>
      <c r="RHM58" s="53"/>
      <c r="RHN58" s="53"/>
      <c r="RHO58" s="53"/>
      <c r="RHP58" s="53"/>
      <c r="RHQ58" s="53"/>
      <c r="RHR58" s="53"/>
      <c r="RHS58" s="53"/>
      <c r="RHT58" s="53"/>
      <c r="RHU58" s="53"/>
      <c r="RHV58" s="53"/>
      <c r="RHW58" s="53"/>
      <c r="RHX58" s="53"/>
      <c r="RHY58" s="53"/>
      <c r="RHZ58" s="53"/>
      <c r="RIA58" s="53"/>
      <c r="RIB58" s="53"/>
      <c r="RIC58" s="53"/>
      <c r="RID58" s="53"/>
      <c r="RIE58" s="53"/>
      <c r="RIF58" s="53"/>
      <c r="RIG58" s="53"/>
      <c r="RIH58" s="53"/>
      <c r="RII58" s="53"/>
      <c r="RIJ58" s="53"/>
      <c r="RIK58" s="53"/>
      <c r="RIL58" s="53"/>
      <c r="RIM58" s="53"/>
      <c r="RIN58" s="53"/>
      <c r="RIO58" s="53"/>
      <c r="RIP58" s="53"/>
      <c r="RIQ58" s="53"/>
      <c r="RIR58" s="53"/>
      <c r="RIS58" s="53"/>
      <c r="RIT58" s="53"/>
      <c r="RIU58" s="53"/>
      <c r="RIV58" s="53"/>
      <c r="RIW58" s="53"/>
      <c r="RIX58" s="53"/>
      <c r="RIY58" s="53"/>
      <c r="RIZ58" s="53"/>
      <c r="RJA58" s="53"/>
      <c r="RJB58" s="53"/>
      <c r="RJC58" s="53"/>
      <c r="RJD58" s="53"/>
      <c r="RJE58" s="53"/>
      <c r="RJF58" s="53"/>
      <c r="RJG58" s="53"/>
      <c r="RJH58" s="53"/>
      <c r="RJI58" s="53"/>
      <c r="RJJ58" s="53"/>
      <c r="RJK58" s="53"/>
      <c r="RJL58" s="53"/>
      <c r="RJM58" s="53"/>
      <c r="RJN58" s="53"/>
      <c r="RJO58" s="53"/>
      <c r="RJP58" s="53"/>
      <c r="RJQ58" s="53"/>
      <c r="RJR58" s="53"/>
      <c r="RJS58" s="53"/>
      <c r="RJT58" s="53"/>
      <c r="RJU58" s="53"/>
      <c r="RJV58" s="53"/>
      <c r="RJW58" s="53"/>
      <c r="RJX58" s="53"/>
      <c r="RJY58" s="53"/>
      <c r="RJZ58" s="53"/>
      <c r="RKA58" s="53"/>
      <c r="RKB58" s="53"/>
      <c r="RKC58" s="53"/>
      <c r="RKD58" s="53"/>
      <c r="RKE58" s="53"/>
      <c r="RKF58" s="53"/>
      <c r="RKG58" s="53"/>
      <c r="RKH58" s="53"/>
      <c r="RKI58" s="53"/>
      <c r="RKJ58" s="53"/>
      <c r="RKK58" s="53"/>
      <c r="RKL58" s="53"/>
      <c r="RKM58" s="53"/>
      <c r="RKN58" s="53"/>
      <c r="RKO58" s="53"/>
      <c r="RKP58" s="53"/>
      <c r="RKQ58" s="53"/>
      <c r="RKR58" s="53"/>
      <c r="RKS58" s="53"/>
      <c r="RKT58" s="53"/>
      <c r="RKU58" s="53"/>
      <c r="RKV58" s="53"/>
      <c r="RKW58" s="53"/>
      <c r="RKX58" s="53"/>
      <c r="RKY58" s="53"/>
      <c r="RKZ58" s="53"/>
      <c r="RLA58" s="53"/>
      <c r="RLB58" s="53"/>
      <c r="RLC58" s="53"/>
      <c r="RLD58" s="53"/>
      <c r="RLE58" s="53"/>
      <c r="RLF58" s="53"/>
      <c r="RLG58" s="53"/>
      <c r="RLH58" s="53"/>
      <c r="RLI58" s="53"/>
      <c r="RLJ58" s="53"/>
      <c r="RLK58" s="53"/>
      <c r="RLL58" s="53"/>
      <c r="RLM58" s="53"/>
      <c r="RLN58" s="53"/>
      <c r="RLO58" s="53"/>
      <c r="RLP58" s="53"/>
      <c r="RLQ58" s="53"/>
      <c r="RLR58" s="53"/>
      <c r="RLS58" s="53"/>
      <c r="RLT58" s="53"/>
      <c r="RLU58" s="53"/>
      <c r="RLV58" s="53"/>
      <c r="RLW58" s="53"/>
      <c r="RLX58" s="53"/>
      <c r="RLY58" s="53"/>
      <c r="RLZ58" s="53"/>
      <c r="RMA58" s="53"/>
      <c r="RMB58" s="53"/>
      <c r="RMC58" s="53"/>
      <c r="RMD58" s="53"/>
      <c r="RME58" s="53"/>
      <c r="RMF58" s="53"/>
      <c r="RMG58" s="53"/>
      <c r="RMH58" s="53"/>
      <c r="RMI58" s="53"/>
      <c r="RMJ58" s="53"/>
      <c r="RMK58" s="53"/>
      <c r="RML58" s="53"/>
      <c r="RMM58" s="53"/>
      <c r="RMN58" s="53"/>
      <c r="RMO58" s="53"/>
      <c r="RMP58" s="53"/>
      <c r="RMQ58" s="53"/>
      <c r="RMR58" s="53"/>
      <c r="RMS58" s="53"/>
      <c r="RMT58" s="53"/>
      <c r="RMU58" s="53"/>
      <c r="RMV58" s="53"/>
      <c r="RMW58" s="53"/>
      <c r="RMX58" s="53"/>
      <c r="RMY58" s="53"/>
      <c r="RMZ58" s="53"/>
      <c r="RNA58" s="53"/>
      <c r="RNB58" s="53"/>
      <c r="RNC58" s="53"/>
      <c r="RND58" s="53"/>
      <c r="RNE58" s="53"/>
      <c r="RNF58" s="53"/>
      <c r="RNG58" s="53"/>
      <c r="RNH58" s="53"/>
      <c r="RNI58" s="53"/>
      <c r="RNJ58" s="53"/>
      <c r="RNK58" s="53"/>
      <c r="RNL58" s="53"/>
      <c r="RNM58" s="53"/>
      <c r="RNN58" s="53"/>
      <c r="RNO58" s="53"/>
      <c r="RNP58" s="53"/>
      <c r="RNQ58" s="53"/>
      <c r="RNR58" s="53"/>
      <c r="RNS58" s="53"/>
      <c r="RNT58" s="53"/>
      <c r="RNU58" s="53"/>
      <c r="RNV58" s="53"/>
      <c r="RNW58" s="53"/>
      <c r="RNX58" s="53"/>
      <c r="RNY58" s="53"/>
      <c r="RNZ58" s="53"/>
      <c r="ROA58" s="53"/>
      <c r="ROB58" s="53"/>
      <c r="ROC58" s="53"/>
      <c r="ROD58" s="53"/>
      <c r="ROE58" s="53"/>
      <c r="ROF58" s="53"/>
      <c r="ROG58" s="53"/>
      <c r="ROH58" s="53"/>
      <c r="ROI58" s="53"/>
      <c r="ROJ58" s="53"/>
      <c r="ROK58" s="53"/>
      <c r="ROL58" s="53"/>
      <c r="ROM58" s="53"/>
      <c r="RON58" s="53"/>
      <c r="ROO58" s="53"/>
      <c r="ROP58" s="53"/>
      <c r="ROQ58" s="53"/>
      <c r="ROR58" s="53"/>
      <c r="ROS58" s="53"/>
      <c r="ROT58" s="53"/>
      <c r="ROU58" s="53"/>
      <c r="ROV58" s="53"/>
      <c r="ROW58" s="53"/>
      <c r="ROX58" s="53"/>
      <c r="ROY58" s="53"/>
      <c r="ROZ58" s="53"/>
      <c r="RPA58" s="53"/>
      <c r="RPB58" s="53"/>
      <c r="RPC58" s="53"/>
      <c r="RPD58" s="53"/>
      <c r="RPE58" s="53"/>
      <c r="RPF58" s="53"/>
      <c r="RPG58" s="53"/>
      <c r="RPH58" s="53"/>
      <c r="RPI58" s="53"/>
      <c r="RPJ58" s="53"/>
      <c r="RPK58" s="53"/>
      <c r="RPL58" s="53"/>
      <c r="RPM58" s="53"/>
      <c r="RPN58" s="53"/>
      <c r="RPO58" s="53"/>
      <c r="RPP58" s="53"/>
      <c r="RPQ58" s="53"/>
      <c r="RPR58" s="53"/>
      <c r="RPS58" s="53"/>
      <c r="RPT58" s="53"/>
      <c r="RPU58" s="53"/>
      <c r="RPV58" s="53"/>
      <c r="RPW58" s="53"/>
      <c r="RPX58" s="53"/>
      <c r="RPY58" s="53"/>
      <c r="RPZ58" s="53"/>
      <c r="RQA58" s="53"/>
      <c r="RQB58" s="53"/>
      <c r="RQC58" s="53"/>
      <c r="RQD58" s="53"/>
      <c r="RQE58" s="53"/>
      <c r="RQF58" s="53"/>
      <c r="RQG58" s="53"/>
      <c r="RQH58" s="53"/>
      <c r="RQI58" s="53"/>
      <c r="RQJ58" s="53"/>
      <c r="RQK58" s="53"/>
      <c r="RQL58" s="53"/>
      <c r="RQM58" s="53"/>
      <c r="RQN58" s="53"/>
      <c r="RQO58" s="53"/>
      <c r="RQP58" s="53"/>
      <c r="RQQ58" s="53"/>
      <c r="RQR58" s="53"/>
      <c r="RQS58" s="53"/>
      <c r="RQT58" s="53"/>
      <c r="RQU58" s="53"/>
      <c r="RQV58" s="53"/>
      <c r="RQW58" s="53"/>
      <c r="RQX58" s="53"/>
      <c r="RQY58" s="53"/>
      <c r="RQZ58" s="53"/>
      <c r="RRA58" s="53"/>
      <c r="RRB58" s="53"/>
      <c r="RRC58" s="53"/>
      <c r="RRD58" s="53"/>
      <c r="RRE58" s="53"/>
      <c r="RRF58" s="53"/>
      <c r="RRG58" s="53"/>
      <c r="RRH58" s="53"/>
      <c r="RRI58" s="53"/>
      <c r="RRJ58" s="53"/>
      <c r="RRK58" s="53"/>
      <c r="RRL58" s="53"/>
      <c r="RRM58" s="53"/>
      <c r="RRN58" s="53"/>
      <c r="RRO58" s="53"/>
      <c r="RRP58" s="53"/>
      <c r="RRQ58" s="53"/>
      <c r="RRR58" s="53"/>
      <c r="RRS58" s="53"/>
      <c r="RRT58" s="53"/>
      <c r="RRU58" s="53"/>
      <c r="RRV58" s="53"/>
      <c r="RRW58" s="53"/>
      <c r="RRX58" s="53"/>
      <c r="RRY58" s="53"/>
      <c r="RRZ58" s="53"/>
      <c r="RSA58" s="53"/>
      <c r="RSB58" s="53"/>
      <c r="RSC58" s="53"/>
      <c r="RSD58" s="53"/>
      <c r="RSE58" s="53"/>
      <c r="RSF58" s="53"/>
      <c r="RSG58" s="53"/>
      <c r="RSH58" s="53"/>
      <c r="RSI58" s="53"/>
      <c r="RSJ58" s="53"/>
      <c r="RSK58" s="53"/>
      <c r="RSL58" s="53"/>
      <c r="RSM58" s="53"/>
      <c r="RSN58" s="53"/>
      <c r="RSO58" s="53"/>
      <c r="RSP58" s="53"/>
      <c r="RSQ58" s="53"/>
      <c r="RSR58" s="53"/>
      <c r="RSS58" s="53"/>
      <c r="RST58" s="53"/>
      <c r="RSU58" s="53"/>
      <c r="RSV58" s="53"/>
      <c r="RSW58" s="53"/>
      <c r="RSX58" s="53"/>
      <c r="RSY58" s="53"/>
      <c r="RSZ58" s="53"/>
      <c r="RTA58" s="53"/>
      <c r="RTB58" s="53"/>
      <c r="RTC58" s="53"/>
      <c r="RTD58" s="53"/>
      <c r="RTE58" s="53"/>
      <c r="RTF58" s="53"/>
      <c r="RTG58" s="53"/>
      <c r="RTH58" s="53"/>
      <c r="RTI58" s="53"/>
      <c r="RTJ58" s="53"/>
      <c r="RTK58" s="53"/>
      <c r="RTL58" s="53"/>
      <c r="RTM58" s="53"/>
      <c r="RTN58" s="53"/>
      <c r="RTO58" s="53"/>
      <c r="RTP58" s="53"/>
      <c r="RTQ58" s="53"/>
      <c r="RTR58" s="53"/>
      <c r="RTS58" s="53"/>
      <c r="RTT58" s="53"/>
      <c r="RTU58" s="53"/>
      <c r="RTV58" s="53"/>
      <c r="RTW58" s="53"/>
      <c r="RTX58" s="53"/>
      <c r="RTY58" s="53"/>
      <c r="RTZ58" s="53"/>
      <c r="RUA58" s="53"/>
      <c r="RUB58" s="53"/>
      <c r="RUC58" s="53"/>
      <c r="RUD58" s="53"/>
      <c r="RUE58" s="53"/>
      <c r="RUF58" s="53"/>
      <c r="RUG58" s="53"/>
      <c r="RUH58" s="53"/>
      <c r="RUI58" s="53"/>
      <c r="RUJ58" s="53"/>
      <c r="RUK58" s="53"/>
      <c r="RUL58" s="53"/>
      <c r="RUM58" s="53"/>
      <c r="RUN58" s="53"/>
      <c r="RUO58" s="53"/>
      <c r="RUP58" s="53"/>
      <c r="RUQ58" s="53"/>
      <c r="RUR58" s="53"/>
      <c r="RUS58" s="53"/>
      <c r="RUT58" s="53"/>
      <c r="RUU58" s="53"/>
      <c r="RUV58" s="53"/>
      <c r="RUW58" s="53"/>
      <c r="RUX58" s="53"/>
      <c r="RUY58" s="53"/>
      <c r="RUZ58" s="53"/>
      <c r="RVA58" s="53"/>
      <c r="RVB58" s="53"/>
      <c r="RVC58" s="53"/>
      <c r="RVD58" s="53"/>
      <c r="RVE58" s="53"/>
      <c r="RVF58" s="53"/>
      <c r="RVG58" s="53"/>
      <c r="RVH58" s="53"/>
      <c r="RVI58" s="53"/>
      <c r="RVJ58" s="53"/>
      <c r="RVK58" s="53"/>
      <c r="RVL58" s="53"/>
      <c r="RVM58" s="53"/>
      <c r="RVN58" s="53"/>
      <c r="RVO58" s="53"/>
      <c r="RVP58" s="53"/>
      <c r="RVQ58" s="53"/>
      <c r="RVR58" s="53"/>
      <c r="RVS58" s="53"/>
      <c r="RVT58" s="53"/>
      <c r="RVU58" s="53"/>
      <c r="RVV58" s="53"/>
      <c r="RVW58" s="53"/>
      <c r="RVX58" s="53"/>
      <c r="RVY58" s="53"/>
      <c r="RVZ58" s="53"/>
      <c r="RWA58" s="53"/>
      <c r="RWB58" s="53"/>
      <c r="RWC58" s="53"/>
      <c r="RWD58" s="53"/>
      <c r="RWE58" s="53"/>
      <c r="RWF58" s="53"/>
      <c r="RWG58" s="53"/>
      <c r="RWH58" s="53"/>
      <c r="RWI58" s="53"/>
      <c r="RWJ58" s="53"/>
      <c r="RWK58" s="53"/>
      <c r="RWL58" s="53"/>
      <c r="RWM58" s="53"/>
      <c r="RWN58" s="53"/>
      <c r="RWO58" s="53"/>
      <c r="RWP58" s="53"/>
      <c r="RWQ58" s="53"/>
      <c r="RWR58" s="53"/>
      <c r="RWS58" s="53"/>
      <c r="RWT58" s="53"/>
      <c r="RWU58" s="53"/>
      <c r="RWV58" s="53"/>
      <c r="RWW58" s="53"/>
      <c r="RWX58" s="53"/>
      <c r="RWY58" s="53"/>
      <c r="RWZ58" s="53"/>
      <c r="RXA58" s="53"/>
      <c r="RXB58" s="53"/>
      <c r="RXC58" s="53"/>
      <c r="RXD58" s="53"/>
      <c r="RXE58" s="53"/>
      <c r="RXF58" s="53"/>
      <c r="RXG58" s="53"/>
      <c r="RXH58" s="53"/>
      <c r="RXI58" s="53"/>
      <c r="RXJ58" s="53"/>
      <c r="RXK58" s="53"/>
      <c r="RXL58" s="53"/>
      <c r="RXM58" s="53"/>
      <c r="RXN58" s="53"/>
      <c r="RXO58" s="53"/>
      <c r="RXP58" s="53"/>
      <c r="RXQ58" s="53"/>
      <c r="RXR58" s="53"/>
      <c r="RXS58" s="53"/>
      <c r="RXT58" s="53"/>
      <c r="RXU58" s="53"/>
      <c r="RXV58" s="53"/>
      <c r="RXW58" s="53"/>
      <c r="RXX58" s="53"/>
      <c r="RXY58" s="53"/>
      <c r="RXZ58" s="53"/>
      <c r="RYA58" s="53"/>
      <c r="RYB58" s="53"/>
      <c r="RYC58" s="53"/>
      <c r="RYD58" s="53"/>
      <c r="RYE58" s="53"/>
      <c r="RYF58" s="53"/>
      <c r="RYG58" s="53"/>
      <c r="RYH58" s="53"/>
      <c r="RYI58" s="53"/>
      <c r="RYJ58" s="53"/>
      <c r="RYK58" s="53"/>
      <c r="RYL58" s="53"/>
      <c r="RYM58" s="53"/>
      <c r="RYN58" s="53"/>
      <c r="RYO58" s="53"/>
      <c r="RYP58" s="53"/>
      <c r="RYQ58" s="53"/>
      <c r="RYR58" s="53"/>
      <c r="RYS58" s="53"/>
      <c r="RYT58" s="53"/>
      <c r="RYU58" s="53"/>
      <c r="RYV58" s="53"/>
      <c r="RYW58" s="53"/>
      <c r="RYX58" s="53"/>
      <c r="RYY58" s="53"/>
      <c r="RYZ58" s="53"/>
      <c r="RZA58" s="53"/>
      <c r="RZB58" s="53"/>
      <c r="RZC58" s="53"/>
      <c r="RZD58" s="53"/>
      <c r="RZE58" s="53"/>
      <c r="RZF58" s="53"/>
      <c r="RZG58" s="53"/>
      <c r="RZH58" s="53"/>
      <c r="RZI58" s="53"/>
      <c r="RZJ58" s="53"/>
      <c r="RZK58" s="53"/>
      <c r="RZL58" s="53"/>
      <c r="RZM58" s="53"/>
      <c r="RZN58" s="53"/>
      <c r="RZO58" s="53"/>
      <c r="RZP58" s="53"/>
      <c r="RZQ58" s="53"/>
      <c r="RZR58" s="53"/>
      <c r="RZS58" s="53"/>
      <c r="RZT58" s="53"/>
      <c r="RZU58" s="53"/>
      <c r="RZV58" s="53"/>
      <c r="RZW58" s="53"/>
      <c r="RZX58" s="53"/>
      <c r="RZY58" s="53"/>
      <c r="RZZ58" s="53"/>
      <c r="SAA58" s="53"/>
      <c r="SAB58" s="53"/>
      <c r="SAC58" s="53"/>
      <c r="SAD58" s="53"/>
      <c r="SAE58" s="53"/>
      <c r="SAF58" s="53"/>
      <c r="SAG58" s="53"/>
      <c r="SAH58" s="53"/>
      <c r="SAI58" s="53"/>
      <c r="SAJ58" s="53"/>
      <c r="SAK58" s="53"/>
      <c r="SAL58" s="53"/>
      <c r="SAM58" s="53"/>
      <c r="SAN58" s="53"/>
      <c r="SAO58" s="53"/>
      <c r="SAP58" s="53"/>
      <c r="SAQ58" s="53"/>
      <c r="SAR58" s="53"/>
      <c r="SAS58" s="53"/>
      <c r="SAT58" s="53"/>
      <c r="SAU58" s="53"/>
      <c r="SAV58" s="53"/>
      <c r="SAW58" s="53"/>
      <c r="SAX58" s="53"/>
      <c r="SAY58" s="53"/>
      <c r="SAZ58" s="53"/>
      <c r="SBA58" s="53"/>
      <c r="SBB58" s="53"/>
      <c r="SBC58" s="53"/>
      <c r="SBD58" s="53"/>
      <c r="SBE58" s="53"/>
      <c r="SBF58" s="53"/>
      <c r="SBG58" s="53"/>
      <c r="SBH58" s="53"/>
      <c r="SBI58" s="53"/>
      <c r="SBJ58" s="53"/>
      <c r="SBK58" s="53"/>
      <c r="SBL58" s="53"/>
      <c r="SBM58" s="53"/>
      <c r="SBN58" s="53"/>
      <c r="SBO58" s="53"/>
      <c r="SBP58" s="53"/>
      <c r="SBQ58" s="53"/>
      <c r="SBR58" s="53"/>
      <c r="SBS58" s="53"/>
      <c r="SBT58" s="53"/>
      <c r="SBU58" s="53"/>
      <c r="SBV58" s="53"/>
      <c r="SBW58" s="53"/>
      <c r="SBX58" s="53"/>
      <c r="SBY58" s="53"/>
      <c r="SBZ58" s="53"/>
      <c r="SCA58" s="53"/>
      <c r="SCB58" s="53"/>
      <c r="SCC58" s="53"/>
      <c r="SCD58" s="53"/>
      <c r="SCE58" s="53"/>
      <c r="SCF58" s="53"/>
      <c r="SCG58" s="53"/>
      <c r="SCH58" s="53"/>
      <c r="SCI58" s="53"/>
      <c r="SCJ58" s="53"/>
      <c r="SCK58" s="53"/>
      <c r="SCL58" s="53"/>
      <c r="SCM58" s="53"/>
      <c r="SCN58" s="53"/>
      <c r="SCO58" s="53"/>
      <c r="SCP58" s="53"/>
      <c r="SCQ58" s="53"/>
      <c r="SCR58" s="53"/>
      <c r="SCS58" s="53"/>
      <c r="SCT58" s="53"/>
      <c r="SCU58" s="53"/>
      <c r="SCV58" s="53"/>
      <c r="SCW58" s="53"/>
      <c r="SCX58" s="53"/>
      <c r="SCY58" s="53"/>
      <c r="SCZ58" s="53"/>
      <c r="SDA58" s="53"/>
      <c r="SDB58" s="53"/>
      <c r="SDC58" s="53"/>
      <c r="SDD58" s="53"/>
      <c r="SDE58" s="53"/>
      <c r="SDF58" s="53"/>
      <c r="SDG58" s="53"/>
      <c r="SDH58" s="53"/>
      <c r="SDI58" s="53"/>
      <c r="SDJ58" s="53"/>
      <c r="SDK58" s="53"/>
      <c r="SDL58" s="53"/>
      <c r="SDM58" s="53"/>
      <c r="SDN58" s="53"/>
      <c r="SDO58" s="53"/>
      <c r="SDP58" s="53"/>
      <c r="SDQ58" s="53"/>
      <c r="SDR58" s="53"/>
      <c r="SDS58" s="53"/>
      <c r="SDT58" s="53"/>
      <c r="SDU58" s="53"/>
      <c r="SDV58" s="53"/>
      <c r="SDW58" s="53"/>
      <c r="SDX58" s="53"/>
      <c r="SDY58" s="53"/>
      <c r="SDZ58" s="53"/>
      <c r="SEA58" s="53"/>
      <c r="SEB58" s="53"/>
      <c r="SEC58" s="53"/>
      <c r="SED58" s="53"/>
      <c r="SEE58" s="53"/>
      <c r="SEF58" s="53"/>
      <c r="SEG58" s="53"/>
      <c r="SEH58" s="53"/>
      <c r="SEI58" s="53"/>
      <c r="SEJ58" s="53"/>
      <c r="SEK58" s="53"/>
      <c r="SEL58" s="53"/>
      <c r="SEM58" s="53"/>
      <c r="SEN58" s="53"/>
      <c r="SEO58" s="53"/>
      <c r="SEP58" s="53"/>
      <c r="SEQ58" s="53"/>
      <c r="SER58" s="53"/>
      <c r="SES58" s="53"/>
      <c r="SET58" s="53"/>
      <c r="SEU58" s="53"/>
      <c r="SEV58" s="53"/>
      <c r="SEW58" s="53"/>
      <c r="SEX58" s="53"/>
      <c r="SEY58" s="53"/>
      <c r="SEZ58" s="53"/>
      <c r="SFA58" s="53"/>
      <c r="SFB58" s="53"/>
      <c r="SFC58" s="53"/>
      <c r="SFD58" s="53"/>
      <c r="SFE58" s="53"/>
      <c r="SFF58" s="53"/>
      <c r="SFG58" s="53"/>
      <c r="SFH58" s="53"/>
      <c r="SFI58" s="53"/>
      <c r="SFJ58" s="53"/>
      <c r="SFK58" s="53"/>
      <c r="SFL58" s="53"/>
      <c r="SFM58" s="53"/>
      <c r="SFN58" s="53"/>
      <c r="SFO58" s="53"/>
      <c r="SFP58" s="53"/>
      <c r="SFQ58" s="53"/>
      <c r="SFR58" s="53"/>
      <c r="SFS58" s="53"/>
      <c r="SFT58" s="53"/>
      <c r="SFU58" s="53"/>
      <c r="SFV58" s="53"/>
      <c r="SFW58" s="53"/>
      <c r="SFX58" s="53"/>
      <c r="SFY58" s="53"/>
      <c r="SFZ58" s="53"/>
      <c r="SGA58" s="53"/>
      <c r="SGB58" s="53"/>
      <c r="SGC58" s="53"/>
      <c r="SGD58" s="53"/>
      <c r="SGE58" s="53"/>
      <c r="SGF58" s="53"/>
      <c r="SGG58" s="53"/>
      <c r="SGH58" s="53"/>
      <c r="SGI58" s="53"/>
      <c r="SGJ58" s="53"/>
      <c r="SGK58" s="53"/>
      <c r="SGL58" s="53"/>
      <c r="SGM58" s="53"/>
      <c r="SGN58" s="53"/>
      <c r="SGO58" s="53"/>
      <c r="SGP58" s="53"/>
      <c r="SGQ58" s="53"/>
      <c r="SGR58" s="53"/>
      <c r="SGS58" s="53"/>
      <c r="SGT58" s="53"/>
      <c r="SGU58" s="53"/>
      <c r="SGV58" s="53"/>
      <c r="SGW58" s="53"/>
      <c r="SGX58" s="53"/>
      <c r="SGY58" s="53"/>
      <c r="SGZ58" s="53"/>
      <c r="SHA58" s="53"/>
      <c r="SHB58" s="53"/>
      <c r="SHC58" s="53"/>
      <c r="SHD58" s="53"/>
      <c r="SHE58" s="53"/>
      <c r="SHF58" s="53"/>
      <c r="SHG58" s="53"/>
      <c r="SHH58" s="53"/>
      <c r="SHI58" s="53"/>
      <c r="SHJ58" s="53"/>
      <c r="SHK58" s="53"/>
      <c r="SHL58" s="53"/>
      <c r="SHM58" s="53"/>
      <c r="SHN58" s="53"/>
      <c r="SHO58" s="53"/>
      <c r="SHP58" s="53"/>
      <c r="SHQ58" s="53"/>
      <c r="SHR58" s="53"/>
      <c r="SHS58" s="53"/>
      <c r="SHT58" s="53"/>
      <c r="SHU58" s="53"/>
      <c r="SHV58" s="53"/>
      <c r="SHW58" s="53"/>
      <c r="SHX58" s="53"/>
      <c r="SHY58" s="53"/>
      <c r="SHZ58" s="53"/>
      <c r="SIA58" s="53"/>
      <c r="SIB58" s="53"/>
      <c r="SIC58" s="53"/>
      <c r="SID58" s="53"/>
      <c r="SIE58" s="53"/>
      <c r="SIF58" s="53"/>
      <c r="SIG58" s="53"/>
      <c r="SIH58" s="53"/>
      <c r="SII58" s="53"/>
      <c r="SIJ58" s="53"/>
      <c r="SIK58" s="53"/>
      <c r="SIL58" s="53"/>
      <c r="SIM58" s="53"/>
      <c r="SIN58" s="53"/>
      <c r="SIO58" s="53"/>
      <c r="SIP58" s="53"/>
      <c r="SIQ58" s="53"/>
      <c r="SIR58" s="53"/>
      <c r="SIS58" s="53"/>
      <c r="SIT58" s="53"/>
      <c r="SIU58" s="53"/>
      <c r="SIV58" s="53"/>
      <c r="SIW58" s="53"/>
      <c r="SIX58" s="53"/>
      <c r="SIY58" s="53"/>
      <c r="SIZ58" s="53"/>
      <c r="SJA58" s="53"/>
      <c r="SJB58" s="53"/>
      <c r="SJC58" s="53"/>
      <c r="SJD58" s="53"/>
      <c r="SJE58" s="53"/>
      <c r="SJF58" s="53"/>
      <c r="SJG58" s="53"/>
      <c r="SJH58" s="53"/>
      <c r="SJI58" s="53"/>
      <c r="SJJ58" s="53"/>
      <c r="SJK58" s="53"/>
      <c r="SJL58" s="53"/>
      <c r="SJM58" s="53"/>
      <c r="SJN58" s="53"/>
      <c r="SJO58" s="53"/>
      <c r="SJP58" s="53"/>
      <c r="SJQ58" s="53"/>
      <c r="SJR58" s="53"/>
      <c r="SJS58" s="53"/>
      <c r="SJT58" s="53"/>
      <c r="SJU58" s="53"/>
      <c r="SJV58" s="53"/>
      <c r="SJW58" s="53"/>
      <c r="SJX58" s="53"/>
      <c r="SJY58" s="53"/>
      <c r="SJZ58" s="53"/>
      <c r="SKA58" s="53"/>
      <c r="SKB58" s="53"/>
      <c r="SKC58" s="53"/>
      <c r="SKD58" s="53"/>
      <c r="SKE58" s="53"/>
      <c r="SKF58" s="53"/>
      <c r="SKG58" s="53"/>
      <c r="SKH58" s="53"/>
      <c r="SKI58" s="53"/>
      <c r="SKJ58" s="53"/>
      <c r="SKK58" s="53"/>
      <c r="SKL58" s="53"/>
      <c r="SKM58" s="53"/>
      <c r="SKN58" s="53"/>
      <c r="SKO58" s="53"/>
      <c r="SKP58" s="53"/>
      <c r="SKQ58" s="53"/>
      <c r="SKR58" s="53"/>
      <c r="SKS58" s="53"/>
      <c r="SKT58" s="53"/>
      <c r="SKU58" s="53"/>
      <c r="SKV58" s="53"/>
      <c r="SKW58" s="53"/>
      <c r="SKX58" s="53"/>
      <c r="SKY58" s="53"/>
      <c r="SKZ58" s="53"/>
      <c r="SLA58" s="53"/>
      <c r="SLB58" s="53"/>
      <c r="SLC58" s="53"/>
      <c r="SLD58" s="53"/>
      <c r="SLE58" s="53"/>
      <c r="SLF58" s="53"/>
      <c r="SLG58" s="53"/>
      <c r="SLH58" s="53"/>
      <c r="SLI58" s="53"/>
      <c r="SLJ58" s="53"/>
      <c r="SLK58" s="53"/>
      <c r="SLL58" s="53"/>
      <c r="SLM58" s="53"/>
      <c r="SLN58" s="53"/>
      <c r="SLO58" s="53"/>
      <c r="SLP58" s="53"/>
      <c r="SLQ58" s="53"/>
      <c r="SLR58" s="53"/>
      <c r="SLS58" s="53"/>
      <c r="SLT58" s="53"/>
      <c r="SLU58" s="53"/>
      <c r="SLV58" s="53"/>
      <c r="SLW58" s="53"/>
      <c r="SLX58" s="53"/>
      <c r="SLY58" s="53"/>
      <c r="SLZ58" s="53"/>
      <c r="SMA58" s="53"/>
      <c r="SMB58" s="53"/>
      <c r="SMC58" s="53"/>
      <c r="SMD58" s="53"/>
      <c r="SME58" s="53"/>
      <c r="SMF58" s="53"/>
      <c r="SMG58" s="53"/>
      <c r="SMH58" s="53"/>
      <c r="SMI58" s="53"/>
      <c r="SMJ58" s="53"/>
      <c r="SMK58" s="53"/>
      <c r="SML58" s="53"/>
      <c r="SMM58" s="53"/>
      <c r="SMN58" s="53"/>
      <c r="SMO58" s="53"/>
      <c r="SMP58" s="53"/>
      <c r="SMQ58" s="53"/>
      <c r="SMR58" s="53"/>
      <c r="SMS58" s="53"/>
      <c r="SMT58" s="53"/>
      <c r="SMU58" s="53"/>
      <c r="SMV58" s="53"/>
      <c r="SMW58" s="53"/>
      <c r="SMX58" s="53"/>
      <c r="SMY58" s="53"/>
      <c r="SMZ58" s="53"/>
      <c r="SNA58" s="53"/>
      <c r="SNB58" s="53"/>
      <c r="SNC58" s="53"/>
      <c r="SND58" s="53"/>
      <c r="SNE58" s="53"/>
      <c r="SNF58" s="53"/>
      <c r="SNG58" s="53"/>
      <c r="SNH58" s="53"/>
      <c r="SNI58" s="53"/>
      <c r="SNJ58" s="53"/>
      <c r="SNK58" s="53"/>
      <c r="SNL58" s="53"/>
      <c r="SNM58" s="53"/>
      <c r="SNN58" s="53"/>
      <c r="SNO58" s="53"/>
      <c r="SNP58" s="53"/>
      <c r="SNQ58" s="53"/>
      <c r="SNR58" s="53"/>
      <c r="SNS58" s="53"/>
      <c r="SNT58" s="53"/>
      <c r="SNU58" s="53"/>
      <c r="SNV58" s="53"/>
      <c r="SNW58" s="53"/>
      <c r="SNX58" s="53"/>
      <c r="SNY58" s="53"/>
      <c r="SNZ58" s="53"/>
      <c r="SOA58" s="53"/>
      <c r="SOB58" s="53"/>
      <c r="SOC58" s="53"/>
      <c r="SOD58" s="53"/>
      <c r="SOE58" s="53"/>
      <c r="SOF58" s="53"/>
      <c r="SOG58" s="53"/>
      <c r="SOH58" s="53"/>
      <c r="SOI58" s="53"/>
      <c r="SOJ58" s="53"/>
      <c r="SOK58" s="53"/>
      <c r="SOL58" s="53"/>
      <c r="SOM58" s="53"/>
      <c r="SON58" s="53"/>
      <c r="SOO58" s="53"/>
      <c r="SOP58" s="53"/>
      <c r="SOQ58" s="53"/>
      <c r="SOR58" s="53"/>
      <c r="SOS58" s="53"/>
      <c r="SOT58" s="53"/>
      <c r="SOU58" s="53"/>
      <c r="SOV58" s="53"/>
      <c r="SOW58" s="53"/>
      <c r="SOX58" s="53"/>
      <c r="SOY58" s="53"/>
      <c r="SOZ58" s="53"/>
      <c r="SPA58" s="53"/>
      <c r="SPB58" s="53"/>
      <c r="SPC58" s="53"/>
      <c r="SPD58" s="53"/>
      <c r="SPE58" s="53"/>
      <c r="SPF58" s="53"/>
      <c r="SPG58" s="53"/>
      <c r="SPH58" s="53"/>
      <c r="SPI58" s="53"/>
      <c r="SPJ58" s="53"/>
      <c r="SPK58" s="53"/>
      <c r="SPL58" s="53"/>
      <c r="SPM58" s="53"/>
      <c r="SPN58" s="53"/>
      <c r="SPO58" s="53"/>
      <c r="SPP58" s="53"/>
      <c r="SPQ58" s="53"/>
      <c r="SPR58" s="53"/>
      <c r="SPS58" s="53"/>
      <c r="SPT58" s="53"/>
      <c r="SPU58" s="53"/>
      <c r="SPV58" s="53"/>
      <c r="SPW58" s="53"/>
      <c r="SPX58" s="53"/>
      <c r="SPY58" s="53"/>
      <c r="SPZ58" s="53"/>
      <c r="SQA58" s="53"/>
      <c r="SQB58" s="53"/>
      <c r="SQC58" s="53"/>
      <c r="SQD58" s="53"/>
      <c r="SQE58" s="53"/>
      <c r="SQF58" s="53"/>
      <c r="SQG58" s="53"/>
      <c r="SQH58" s="53"/>
      <c r="SQI58" s="53"/>
      <c r="SQJ58" s="53"/>
      <c r="SQK58" s="53"/>
      <c r="SQL58" s="53"/>
      <c r="SQM58" s="53"/>
      <c r="SQN58" s="53"/>
      <c r="SQO58" s="53"/>
      <c r="SQP58" s="53"/>
      <c r="SQQ58" s="53"/>
      <c r="SQR58" s="53"/>
      <c r="SQS58" s="53"/>
      <c r="SQT58" s="53"/>
      <c r="SQU58" s="53"/>
      <c r="SQV58" s="53"/>
      <c r="SQW58" s="53"/>
      <c r="SQX58" s="53"/>
      <c r="SQY58" s="53"/>
      <c r="SQZ58" s="53"/>
      <c r="SRA58" s="53"/>
      <c r="SRB58" s="53"/>
      <c r="SRC58" s="53"/>
      <c r="SRD58" s="53"/>
      <c r="SRE58" s="53"/>
      <c r="SRF58" s="53"/>
      <c r="SRG58" s="53"/>
      <c r="SRH58" s="53"/>
      <c r="SRI58" s="53"/>
      <c r="SRJ58" s="53"/>
      <c r="SRK58" s="53"/>
      <c r="SRL58" s="53"/>
      <c r="SRM58" s="53"/>
      <c r="SRN58" s="53"/>
      <c r="SRO58" s="53"/>
      <c r="SRP58" s="53"/>
      <c r="SRQ58" s="53"/>
      <c r="SRR58" s="53"/>
      <c r="SRS58" s="53"/>
      <c r="SRT58" s="53"/>
      <c r="SRU58" s="53"/>
      <c r="SRV58" s="53"/>
      <c r="SRW58" s="53"/>
      <c r="SRX58" s="53"/>
      <c r="SRY58" s="53"/>
      <c r="SRZ58" s="53"/>
      <c r="SSA58" s="53"/>
      <c r="SSB58" s="53"/>
      <c r="SSC58" s="53"/>
      <c r="SSD58" s="53"/>
      <c r="SSE58" s="53"/>
      <c r="SSF58" s="53"/>
      <c r="SSG58" s="53"/>
      <c r="SSH58" s="53"/>
      <c r="SSI58" s="53"/>
      <c r="SSJ58" s="53"/>
      <c r="SSK58" s="53"/>
      <c r="SSL58" s="53"/>
      <c r="SSM58" s="53"/>
      <c r="SSN58" s="53"/>
      <c r="SSO58" s="53"/>
      <c r="SSP58" s="53"/>
      <c r="SSQ58" s="53"/>
      <c r="SSR58" s="53"/>
      <c r="SSS58" s="53"/>
      <c r="SST58" s="53"/>
      <c r="SSU58" s="53"/>
      <c r="SSV58" s="53"/>
      <c r="SSW58" s="53"/>
      <c r="SSX58" s="53"/>
      <c r="SSY58" s="53"/>
      <c r="SSZ58" s="53"/>
      <c r="STA58" s="53"/>
      <c r="STB58" s="53"/>
      <c r="STC58" s="53"/>
      <c r="STD58" s="53"/>
      <c r="STE58" s="53"/>
      <c r="STF58" s="53"/>
      <c r="STG58" s="53"/>
      <c r="STH58" s="53"/>
      <c r="STI58" s="53"/>
      <c r="STJ58" s="53"/>
      <c r="STK58" s="53"/>
      <c r="STL58" s="53"/>
      <c r="STM58" s="53"/>
      <c r="STN58" s="53"/>
      <c r="STO58" s="53"/>
      <c r="STP58" s="53"/>
      <c r="STQ58" s="53"/>
      <c r="STR58" s="53"/>
      <c r="STS58" s="53"/>
      <c r="STT58" s="53"/>
      <c r="STU58" s="53"/>
      <c r="STV58" s="53"/>
      <c r="STW58" s="53"/>
      <c r="STX58" s="53"/>
      <c r="STY58" s="53"/>
      <c r="STZ58" s="53"/>
      <c r="SUA58" s="53"/>
      <c r="SUB58" s="53"/>
      <c r="SUC58" s="53"/>
      <c r="SUD58" s="53"/>
      <c r="SUE58" s="53"/>
      <c r="SUF58" s="53"/>
      <c r="SUG58" s="53"/>
      <c r="SUH58" s="53"/>
      <c r="SUI58" s="53"/>
      <c r="SUJ58" s="53"/>
      <c r="SUK58" s="53"/>
      <c r="SUL58" s="53"/>
      <c r="SUM58" s="53"/>
      <c r="SUN58" s="53"/>
      <c r="SUO58" s="53"/>
      <c r="SUP58" s="53"/>
      <c r="SUQ58" s="53"/>
      <c r="SUR58" s="53"/>
      <c r="SUS58" s="53"/>
      <c r="SUT58" s="53"/>
      <c r="SUU58" s="53"/>
      <c r="SUV58" s="53"/>
      <c r="SUW58" s="53"/>
      <c r="SUX58" s="53"/>
      <c r="SUY58" s="53"/>
      <c r="SUZ58" s="53"/>
      <c r="SVA58" s="53"/>
      <c r="SVB58" s="53"/>
      <c r="SVC58" s="53"/>
      <c r="SVD58" s="53"/>
      <c r="SVE58" s="53"/>
      <c r="SVF58" s="53"/>
      <c r="SVG58" s="53"/>
      <c r="SVH58" s="53"/>
      <c r="SVI58" s="53"/>
      <c r="SVJ58" s="53"/>
      <c r="SVK58" s="53"/>
      <c r="SVL58" s="53"/>
      <c r="SVM58" s="53"/>
      <c r="SVN58" s="53"/>
      <c r="SVO58" s="53"/>
      <c r="SVP58" s="53"/>
      <c r="SVQ58" s="53"/>
      <c r="SVR58" s="53"/>
      <c r="SVS58" s="53"/>
      <c r="SVT58" s="53"/>
      <c r="SVU58" s="53"/>
      <c r="SVV58" s="53"/>
      <c r="SVW58" s="53"/>
      <c r="SVX58" s="53"/>
      <c r="SVY58" s="53"/>
      <c r="SVZ58" s="53"/>
      <c r="SWA58" s="53"/>
      <c r="SWB58" s="53"/>
      <c r="SWC58" s="53"/>
      <c r="SWD58" s="53"/>
      <c r="SWE58" s="53"/>
      <c r="SWF58" s="53"/>
      <c r="SWG58" s="53"/>
      <c r="SWH58" s="53"/>
      <c r="SWI58" s="53"/>
      <c r="SWJ58" s="53"/>
      <c r="SWK58" s="53"/>
      <c r="SWL58" s="53"/>
      <c r="SWM58" s="53"/>
      <c r="SWN58" s="53"/>
      <c r="SWO58" s="53"/>
      <c r="SWP58" s="53"/>
      <c r="SWQ58" s="53"/>
      <c r="SWR58" s="53"/>
      <c r="SWS58" s="53"/>
      <c r="SWT58" s="53"/>
      <c r="SWU58" s="53"/>
      <c r="SWV58" s="53"/>
      <c r="SWW58" s="53"/>
      <c r="SWX58" s="53"/>
      <c r="SWY58" s="53"/>
      <c r="SWZ58" s="53"/>
      <c r="SXA58" s="53"/>
      <c r="SXB58" s="53"/>
      <c r="SXC58" s="53"/>
      <c r="SXD58" s="53"/>
      <c r="SXE58" s="53"/>
      <c r="SXF58" s="53"/>
      <c r="SXG58" s="53"/>
      <c r="SXH58" s="53"/>
      <c r="SXI58" s="53"/>
      <c r="SXJ58" s="53"/>
      <c r="SXK58" s="53"/>
      <c r="SXL58" s="53"/>
      <c r="SXM58" s="53"/>
      <c r="SXN58" s="53"/>
      <c r="SXO58" s="53"/>
      <c r="SXP58" s="53"/>
      <c r="SXQ58" s="53"/>
      <c r="SXR58" s="53"/>
      <c r="SXS58" s="53"/>
      <c r="SXT58" s="53"/>
      <c r="SXU58" s="53"/>
      <c r="SXV58" s="53"/>
      <c r="SXW58" s="53"/>
      <c r="SXX58" s="53"/>
      <c r="SXY58" s="53"/>
      <c r="SXZ58" s="53"/>
      <c r="SYA58" s="53"/>
      <c r="SYB58" s="53"/>
      <c r="SYC58" s="53"/>
      <c r="SYD58" s="53"/>
      <c r="SYE58" s="53"/>
      <c r="SYF58" s="53"/>
      <c r="SYG58" s="53"/>
      <c r="SYH58" s="53"/>
      <c r="SYI58" s="53"/>
      <c r="SYJ58" s="53"/>
      <c r="SYK58" s="53"/>
      <c r="SYL58" s="53"/>
      <c r="SYM58" s="53"/>
      <c r="SYN58" s="53"/>
      <c r="SYO58" s="53"/>
      <c r="SYP58" s="53"/>
      <c r="SYQ58" s="53"/>
      <c r="SYR58" s="53"/>
      <c r="SYS58" s="53"/>
      <c r="SYT58" s="53"/>
      <c r="SYU58" s="53"/>
      <c r="SYV58" s="53"/>
      <c r="SYW58" s="53"/>
      <c r="SYX58" s="53"/>
      <c r="SYY58" s="53"/>
      <c r="SYZ58" s="53"/>
      <c r="SZA58" s="53"/>
      <c r="SZB58" s="53"/>
      <c r="SZC58" s="53"/>
      <c r="SZD58" s="53"/>
      <c r="SZE58" s="53"/>
      <c r="SZF58" s="53"/>
      <c r="SZG58" s="53"/>
      <c r="SZH58" s="53"/>
      <c r="SZI58" s="53"/>
      <c r="SZJ58" s="53"/>
      <c r="SZK58" s="53"/>
      <c r="SZL58" s="53"/>
      <c r="SZM58" s="53"/>
      <c r="SZN58" s="53"/>
      <c r="SZO58" s="53"/>
      <c r="SZP58" s="53"/>
      <c r="SZQ58" s="53"/>
      <c r="SZR58" s="53"/>
      <c r="SZS58" s="53"/>
      <c r="SZT58" s="53"/>
      <c r="SZU58" s="53"/>
      <c r="SZV58" s="53"/>
      <c r="SZW58" s="53"/>
      <c r="SZX58" s="53"/>
      <c r="SZY58" s="53"/>
      <c r="SZZ58" s="53"/>
      <c r="TAA58" s="53"/>
      <c r="TAB58" s="53"/>
      <c r="TAC58" s="53"/>
      <c r="TAD58" s="53"/>
      <c r="TAE58" s="53"/>
      <c r="TAF58" s="53"/>
      <c r="TAG58" s="53"/>
      <c r="TAH58" s="53"/>
      <c r="TAI58" s="53"/>
      <c r="TAJ58" s="53"/>
      <c r="TAK58" s="53"/>
      <c r="TAL58" s="53"/>
      <c r="TAM58" s="53"/>
      <c r="TAN58" s="53"/>
      <c r="TAO58" s="53"/>
      <c r="TAP58" s="53"/>
      <c r="TAQ58" s="53"/>
      <c r="TAR58" s="53"/>
      <c r="TAS58" s="53"/>
      <c r="TAT58" s="53"/>
      <c r="TAU58" s="53"/>
      <c r="TAV58" s="53"/>
      <c r="TAW58" s="53"/>
      <c r="TAX58" s="53"/>
      <c r="TAY58" s="53"/>
      <c r="TAZ58" s="53"/>
      <c r="TBA58" s="53"/>
      <c r="TBB58" s="53"/>
      <c r="TBC58" s="53"/>
      <c r="TBD58" s="53"/>
      <c r="TBE58" s="53"/>
      <c r="TBF58" s="53"/>
      <c r="TBG58" s="53"/>
      <c r="TBH58" s="53"/>
      <c r="TBI58" s="53"/>
      <c r="TBJ58" s="53"/>
      <c r="TBK58" s="53"/>
      <c r="TBL58" s="53"/>
      <c r="TBM58" s="53"/>
      <c r="TBN58" s="53"/>
      <c r="TBO58" s="53"/>
      <c r="TBP58" s="53"/>
      <c r="TBQ58" s="53"/>
      <c r="TBR58" s="53"/>
      <c r="TBS58" s="53"/>
      <c r="TBT58" s="53"/>
      <c r="TBU58" s="53"/>
      <c r="TBV58" s="53"/>
      <c r="TBW58" s="53"/>
      <c r="TBX58" s="53"/>
      <c r="TBY58" s="53"/>
      <c r="TBZ58" s="53"/>
      <c r="TCA58" s="53"/>
      <c r="TCB58" s="53"/>
      <c r="TCC58" s="53"/>
      <c r="TCD58" s="53"/>
      <c r="TCE58" s="53"/>
      <c r="TCF58" s="53"/>
      <c r="TCG58" s="53"/>
      <c r="TCH58" s="53"/>
      <c r="TCI58" s="53"/>
      <c r="TCJ58" s="53"/>
      <c r="TCK58" s="53"/>
      <c r="TCL58" s="53"/>
      <c r="TCM58" s="53"/>
      <c r="TCN58" s="53"/>
      <c r="TCO58" s="53"/>
      <c r="TCP58" s="53"/>
      <c r="TCQ58" s="53"/>
      <c r="TCR58" s="53"/>
      <c r="TCS58" s="53"/>
      <c r="TCT58" s="53"/>
      <c r="TCU58" s="53"/>
      <c r="TCV58" s="53"/>
      <c r="TCW58" s="53"/>
      <c r="TCX58" s="53"/>
      <c r="TCY58" s="53"/>
      <c r="TCZ58" s="53"/>
      <c r="TDA58" s="53"/>
      <c r="TDB58" s="53"/>
      <c r="TDC58" s="53"/>
      <c r="TDD58" s="53"/>
      <c r="TDE58" s="53"/>
      <c r="TDF58" s="53"/>
      <c r="TDG58" s="53"/>
      <c r="TDH58" s="53"/>
      <c r="TDI58" s="53"/>
      <c r="TDJ58" s="53"/>
      <c r="TDK58" s="53"/>
      <c r="TDL58" s="53"/>
      <c r="TDM58" s="53"/>
      <c r="TDN58" s="53"/>
      <c r="TDO58" s="53"/>
      <c r="TDP58" s="53"/>
      <c r="TDQ58" s="53"/>
      <c r="TDR58" s="53"/>
      <c r="TDS58" s="53"/>
      <c r="TDT58" s="53"/>
      <c r="TDU58" s="53"/>
      <c r="TDV58" s="53"/>
      <c r="TDW58" s="53"/>
      <c r="TDX58" s="53"/>
      <c r="TDY58" s="53"/>
      <c r="TDZ58" s="53"/>
      <c r="TEA58" s="53"/>
      <c r="TEB58" s="53"/>
      <c r="TEC58" s="53"/>
      <c r="TED58" s="53"/>
      <c r="TEE58" s="53"/>
      <c r="TEF58" s="53"/>
      <c r="TEG58" s="53"/>
      <c r="TEH58" s="53"/>
      <c r="TEI58" s="53"/>
      <c r="TEJ58" s="53"/>
      <c r="TEK58" s="53"/>
      <c r="TEL58" s="53"/>
      <c r="TEM58" s="53"/>
      <c r="TEN58" s="53"/>
      <c r="TEO58" s="53"/>
      <c r="TEP58" s="53"/>
      <c r="TEQ58" s="53"/>
      <c r="TER58" s="53"/>
      <c r="TES58" s="53"/>
      <c r="TET58" s="53"/>
      <c r="TEU58" s="53"/>
      <c r="TEV58" s="53"/>
      <c r="TEW58" s="53"/>
      <c r="TEX58" s="53"/>
      <c r="TEY58" s="53"/>
      <c r="TEZ58" s="53"/>
      <c r="TFA58" s="53"/>
      <c r="TFB58" s="53"/>
      <c r="TFC58" s="53"/>
      <c r="TFD58" s="53"/>
      <c r="TFE58" s="53"/>
      <c r="TFF58" s="53"/>
      <c r="TFG58" s="53"/>
      <c r="TFH58" s="53"/>
      <c r="TFI58" s="53"/>
      <c r="TFJ58" s="53"/>
      <c r="TFK58" s="53"/>
      <c r="TFL58" s="53"/>
      <c r="TFM58" s="53"/>
      <c r="TFN58" s="53"/>
      <c r="TFO58" s="53"/>
      <c r="TFP58" s="53"/>
      <c r="TFQ58" s="53"/>
      <c r="TFR58" s="53"/>
      <c r="TFS58" s="53"/>
      <c r="TFT58" s="53"/>
      <c r="TFU58" s="53"/>
      <c r="TFV58" s="53"/>
      <c r="TFW58" s="53"/>
      <c r="TFX58" s="53"/>
      <c r="TFY58" s="53"/>
      <c r="TFZ58" s="53"/>
      <c r="TGA58" s="53"/>
      <c r="TGB58" s="53"/>
      <c r="TGC58" s="53"/>
      <c r="TGD58" s="53"/>
      <c r="TGE58" s="53"/>
      <c r="TGF58" s="53"/>
      <c r="TGG58" s="53"/>
      <c r="TGH58" s="53"/>
      <c r="TGI58" s="53"/>
      <c r="TGJ58" s="53"/>
      <c r="TGK58" s="53"/>
      <c r="TGL58" s="53"/>
      <c r="TGM58" s="53"/>
      <c r="TGN58" s="53"/>
      <c r="TGO58" s="53"/>
      <c r="TGP58" s="53"/>
      <c r="TGQ58" s="53"/>
      <c r="TGR58" s="53"/>
      <c r="TGS58" s="53"/>
      <c r="TGT58" s="53"/>
      <c r="TGU58" s="53"/>
      <c r="TGV58" s="53"/>
      <c r="TGW58" s="53"/>
      <c r="TGX58" s="53"/>
      <c r="TGY58" s="53"/>
      <c r="TGZ58" s="53"/>
      <c r="THA58" s="53"/>
      <c r="THB58" s="53"/>
      <c r="THC58" s="53"/>
      <c r="THD58" s="53"/>
      <c r="THE58" s="53"/>
      <c r="THF58" s="53"/>
      <c r="THG58" s="53"/>
      <c r="THH58" s="53"/>
      <c r="THI58" s="53"/>
      <c r="THJ58" s="53"/>
      <c r="THK58" s="53"/>
      <c r="THL58" s="53"/>
      <c r="THM58" s="53"/>
      <c r="THN58" s="53"/>
      <c r="THO58" s="53"/>
      <c r="THP58" s="53"/>
      <c r="THQ58" s="53"/>
      <c r="THR58" s="53"/>
      <c r="THS58" s="53"/>
      <c r="THT58" s="53"/>
      <c r="THU58" s="53"/>
      <c r="THV58" s="53"/>
      <c r="THW58" s="53"/>
      <c r="THX58" s="53"/>
      <c r="THY58" s="53"/>
      <c r="THZ58" s="53"/>
      <c r="TIA58" s="53"/>
      <c r="TIB58" s="53"/>
      <c r="TIC58" s="53"/>
      <c r="TID58" s="53"/>
      <c r="TIE58" s="53"/>
      <c r="TIF58" s="53"/>
      <c r="TIG58" s="53"/>
      <c r="TIH58" s="53"/>
      <c r="TII58" s="53"/>
      <c r="TIJ58" s="53"/>
      <c r="TIK58" s="53"/>
      <c r="TIL58" s="53"/>
      <c r="TIM58" s="53"/>
      <c r="TIN58" s="53"/>
      <c r="TIO58" s="53"/>
      <c r="TIP58" s="53"/>
      <c r="TIQ58" s="53"/>
      <c r="TIR58" s="53"/>
      <c r="TIS58" s="53"/>
      <c r="TIT58" s="53"/>
      <c r="TIU58" s="53"/>
      <c r="TIV58" s="53"/>
      <c r="TIW58" s="53"/>
      <c r="TIX58" s="53"/>
      <c r="TIY58" s="53"/>
      <c r="TIZ58" s="53"/>
      <c r="TJA58" s="53"/>
      <c r="TJB58" s="53"/>
      <c r="TJC58" s="53"/>
      <c r="TJD58" s="53"/>
      <c r="TJE58" s="53"/>
      <c r="TJF58" s="53"/>
      <c r="TJG58" s="53"/>
      <c r="TJH58" s="53"/>
      <c r="TJI58" s="53"/>
      <c r="TJJ58" s="53"/>
      <c r="TJK58" s="53"/>
      <c r="TJL58" s="53"/>
      <c r="TJM58" s="53"/>
      <c r="TJN58" s="53"/>
      <c r="TJO58" s="53"/>
      <c r="TJP58" s="53"/>
      <c r="TJQ58" s="53"/>
      <c r="TJR58" s="53"/>
      <c r="TJS58" s="53"/>
      <c r="TJT58" s="53"/>
      <c r="TJU58" s="53"/>
      <c r="TJV58" s="53"/>
      <c r="TJW58" s="53"/>
      <c r="TJX58" s="53"/>
      <c r="TJY58" s="53"/>
      <c r="TJZ58" s="53"/>
      <c r="TKA58" s="53"/>
      <c r="TKB58" s="53"/>
      <c r="TKC58" s="53"/>
      <c r="TKD58" s="53"/>
      <c r="TKE58" s="53"/>
      <c r="TKF58" s="53"/>
      <c r="TKG58" s="53"/>
      <c r="TKH58" s="53"/>
      <c r="TKI58" s="53"/>
      <c r="TKJ58" s="53"/>
      <c r="TKK58" s="53"/>
      <c r="TKL58" s="53"/>
      <c r="TKM58" s="53"/>
      <c r="TKN58" s="53"/>
      <c r="TKO58" s="53"/>
      <c r="TKP58" s="53"/>
      <c r="TKQ58" s="53"/>
      <c r="TKR58" s="53"/>
      <c r="TKS58" s="53"/>
      <c r="TKT58" s="53"/>
      <c r="TKU58" s="53"/>
      <c r="TKV58" s="53"/>
      <c r="TKW58" s="53"/>
      <c r="TKX58" s="53"/>
      <c r="TKY58" s="53"/>
      <c r="TKZ58" s="53"/>
      <c r="TLA58" s="53"/>
      <c r="TLB58" s="53"/>
      <c r="TLC58" s="53"/>
      <c r="TLD58" s="53"/>
      <c r="TLE58" s="53"/>
      <c r="TLF58" s="53"/>
      <c r="TLG58" s="53"/>
      <c r="TLH58" s="53"/>
      <c r="TLI58" s="53"/>
      <c r="TLJ58" s="53"/>
      <c r="TLK58" s="53"/>
      <c r="TLL58" s="53"/>
      <c r="TLM58" s="53"/>
      <c r="TLN58" s="53"/>
      <c r="TLO58" s="53"/>
      <c r="TLP58" s="53"/>
      <c r="TLQ58" s="53"/>
      <c r="TLR58" s="53"/>
      <c r="TLS58" s="53"/>
      <c r="TLT58" s="53"/>
      <c r="TLU58" s="53"/>
      <c r="TLV58" s="53"/>
      <c r="TLW58" s="53"/>
      <c r="TLX58" s="53"/>
      <c r="TLY58" s="53"/>
      <c r="TLZ58" s="53"/>
      <c r="TMA58" s="53"/>
      <c r="TMB58" s="53"/>
      <c r="TMC58" s="53"/>
      <c r="TMD58" s="53"/>
      <c r="TME58" s="53"/>
      <c r="TMF58" s="53"/>
      <c r="TMG58" s="53"/>
      <c r="TMH58" s="53"/>
      <c r="TMI58" s="53"/>
      <c r="TMJ58" s="53"/>
      <c r="TMK58" s="53"/>
      <c r="TML58" s="53"/>
      <c r="TMM58" s="53"/>
      <c r="TMN58" s="53"/>
      <c r="TMO58" s="53"/>
      <c r="TMP58" s="53"/>
      <c r="TMQ58" s="53"/>
      <c r="TMR58" s="53"/>
      <c r="TMS58" s="53"/>
      <c r="TMT58" s="53"/>
      <c r="TMU58" s="53"/>
      <c r="TMV58" s="53"/>
      <c r="TMW58" s="53"/>
      <c r="TMX58" s="53"/>
      <c r="TMY58" s="53"/>
      <c r="TMZ58" s="53"/>
      <c r="TNA58" s="53"/>
      <c r="TNB58" s="53"/>
      <c r="TNC58" s="53"/>
      <c r="TND58" s="53"/>
      <c r="TNE58" s="53"/>
      <c r="TNF58" s="53"/>
      <c r="TNG58" s="53"/>
      <c r="TNH58" s="53"/>
      <c r="TNI58" s="53"/>
      <c r="TNJ58" s="53"/>
      <c r="TNK58" s="53"/>
      <c r="TNL58" s="53"/>
      <c r="TNM58" s="53"/>
      <c r="TNN58" s="53"/>
      <c r="TNO58" s="53"/>
      <c r="TNP58" s="53"/>
      <c r="TNQ58" s="53"/>
      <c r="TNR58" s="53"/>
      <c r="TNS58" s="53"/>
      <c r="TNT58" s="53"/>
      <c r="TNU58" s="53"/>
      <c r="TNV58" s="53"/>
      <c r="TNW58" s="53"/>
      <c r="TNX58" s="53"/>
      <c r="TNY58" s="53"/>
      <c r="TNZ58" s="53"/>
      <c r="TOA58" s="53"/>
      <c r="TOB58" s="53"/>
      <c r="TOC58" s="53"/>
      <c r="TOD58" s="53"/>
      <c r="TOE58" s="53"/>
      <c r="TOF58" s="53"/>
      <c r="TOG58" s="53"/>
      <c r="TOH58" s="53"/>
      <c r="TOI58" s="53"/>
      <c r="TOJ58" s="53"/>
      <c r="TOK58" s="53"/>
      <c r="TOL58" s="53"/>
      <c r="TOM58" s="53"/>
      <c r="TON58" s="53"/>
      <c r="TOO58" s="53"/>
      <c r="TOP58" s="53"/>
      <c r="TOQ58" s="53"/>
      <c r="TOR58" s="53"/>
      <c r="TOS58" s="53"/>
      <c r="TOT58" s="53"/>
      <c r="TOU58" s="53"/>
      <c r="TOV58" s="53"/>
      <c r="TOW58" s="53"/>
      <c r="TOX58" s="53"/>
      <c r="TOY58" s="53"/>
      <c r="TOZ58" s="53"/>
      <c r="TPA58" s="53"/>
      <c r="TPB58" s="53"/>
      <c r="TPC58" s="53"/>
      <c r="TPD58" s="53"/>
      <c r="TPE58" s="53"/>
      <c r="TPF58" s="53"/>
      <c r="TPG58" s="53"/>
      <c r="TPH58" s="53"/>
      <c r="TPI58" s="53"/>
      <c r="TPJ58" s="53"/>
      <c r="TPK58" s="53"/>
      <c r="TPL58" s="53"/>
      <c r="TPM58" s="53"/>
      <c r="TPN58" s="53"/>
      <c r="TPO58" s="53"/>
      <c r="TPP58" s="53"/>
      <c r="TPQ58" s="53"/>
      <c r="TPR58" s="53"/>
      <c r="TPS58" s="53"/>
      <c r="TPT58" s="53"/>
      <c r="TPU58" s="53"/>
      <c r="TPV58" s="53"/>
      <c r="TPW58" s="53"/>
      <c r="TPX58" s="53"/>
      <c r="TPY58" s="53"/>
      <c r="TPZ58" s="53"/>
      <c r="TQA58" s="53"/>
      <c r="TQB58" s="53"/>
      <c r="TQC58" s="53"/>
      <c r="TQD58" s="53"/>
      <c r="TQE58" s="53"/>
      <c r="TQF58" s="53"/>
      <c r="TQG58" s="53"/>
      <c r="TQH58" s="53"/>
      <c r="TQI58" s="53"/>
      <c r="TQJ58" s="53"/>
      <c r="TQK58" s="53"/>
      <c r="TQL58" s="53"/>
      <c r="TQM58" s="53"/>
      <c r="TQN58" s="53"/>
      <c r="TQO58" s="53"/>
      <c r="TQP58" s="53"/>
      <c r="TQQ58" s="53"/>
      <c r="TQR58" s="53"/>
      <c r="TQS58" s="53"/>
      <c r="TQT58" s="53"/>
      <c r="TQU58" s="53"/>
      <c r="TQV58" s="53"/>
      <c r="TQW58" s="53"/>
      <c r="TQX58" s="53"/>
      <c r="TQY58" s="53"/>
      <c r="TQZ58" s="53"/>
      <c r="TRA58" s="53"/>
      <c r="TRB58" s="53"/>
      <c r="TRC58" s="53"/>
      <c r="TRD58" s="53"/>
      <c r="TRE58" s="53"/>
      <c r="TRF58" s="53"/>
      <c r="TRG58" s="53"/>
      <c r="TRH58" s="53"/>
      <c r="TRI58" s="53"/>
      <c r="TRJ58" s="53"/>
      <c r="TRK58" s="53"/>
      <c r="TRL58" s="53"/>
      <c r="TRM58" s="53"/>
      <c r="TRN58" s="53"/>
      <c r="TRO58" s="53"/>
      <c r="TRP58" s="53"/>
      <c r="TRQ58" s="53"/>
      <c r="TRR58" s="53"/>
      <c r="TRS58" s="53"/>
      <c r="TRT58" s="53"/>
      <c r="TRU58" s="53"/>
      <c r="TRV58" s="53"/>
      <c r="TRW58" s="53"/>
      <c r="TRX58" s="53"/>
      <c r="TRY58" s="53"/>
      <c r="TRZ58" s="53"/>
      <c r="TSA58" s="53"/>
      <c r="TSB58" s="53"/>
      <c r="TSC58" s="53"/>
      <c r="TSD58" s="53"/>
      <c r="TSE58" s="53"/>
      <c r="TSF58" s="53"/>
      <c r="TSG58" s="53"/>
      <c r="TSH58" s="53"/>
      <c r="TSI58" s="53"/>
      <c r="TSJ58" s="53"/>
      <c r="TSK58" s="53"/>
      <c r="TSL58" s="53"/>
      <c r="TSM58" s="53"/>
      <c r="TSN58" s="53"/>
      <c r="TSO58" s="53"/>
      <c r="TSP58" s="53"/>
      <c r="TSQ58" s="53"/>
      <c r="TSR58" s="53"/>
      <c r="TSS58" s="53"/>
      <c r="TST58" s="53"/>
      <c r="TSU58" s="53"/>
      <c r="TSV58" s="53"/>
      <c r="TSW58" s="53"/>
      <c r="TSX58" s="53"/>
      <c r="TSY58" s="53"/>
      <c r="TSZ58" s="53"/>
      <c r="TTA58" s="53"/>
      <c r="TTB58" s="53"/>
      <c r="TTC58" s="53"/>
      <c r="TTD58" s="53"/>
      <c r="TTE58" s="53"/>
      <c r="TTF58" s="53"/>
      <c r="TTG58" s="53"/>
      <c r="TTH58" s="53"/>
      <c r="TTI58" s="53"/>
      <c r="TTJ58" s="53"/>
      <c r="TTK58" s="53"/>
      <c r="TTL58" s="53"/>
      <c r="TTM58" s="53"/>
      <c r="TTN58" s="53"/>
      <c r="TTO58" s="53"/>
      <c r="TTP58" s="53"/>
      <c r="TTQ58" s="53"/>
      <c r="TTR58" s="53"/>
      <c r="TTS58" s="53"/>
      <c r="TTT58" s="53"/>
      <c r="TTU58" s="53"/>
      <c r="TTV58" s="53"/>
      <c r="TTW58" s="53"/>
      <c r="TTX58" s="53"/>
      <c r="TTY58" s="53"/>
      <c r="TTZ58" s="53"/>
      <c r="TUA58" s="53"/>
      <c r="TUB58" s="53"/>
      <c r="TUC58" s="53"/>
      <c r="TUD58" s="53"/>
      <c r="TUE58" s="53"/>
      <c r="TUF58" s="53"/>
      <c r="TUG58" s="53"/>
      <c r="TUH58" s="53"/>
      <c r="TUI58" s="53"/>
      <c r="TUJ58" s="53"/>
      <c r="TUK58" s="53"/>
      <c r="TUL58" s="53"/>
      <c r="TUM58" s="53"/>
      <c r="TUN58" s="53"/>
      <c r="TUO58" s="53"/>
      <c r="TUP58" s="53"/>
      <c r="TUQ58" s="53"/>
      <c r="TUR58" s="53"/>
      <c r="TUS58" s="53"/>
      <c r="TUT58" s="53"/>
      <c r="TUU58" s="53"/>
      <c r="TUV58" s="53"/>
      <c r="TUW58" s="53"/>
      <c r="TUX58" s="53"/>
      <c r="TUY58" s="53"/>
      <c r="TUZ58" s="53"/>
      <c r="TVA58" s="53"/>
      <c r="TVB58" s="53"/>
      <c r="TVC58" s="53"/>
      <c r="TVD58" s="53"/>
      <c r="TVE58" s="53"/>
      <c r="TVF58" s="53"/>
      <c r="TVG58" s="53"/>
      <c r="TVH58" s="53"/>
      <c r="TVI58" s="53"/>
      <c r="TVJ58" s="53"/>
      <c r="TVK58" s="53"/>
      <c r="TVL58" s="53"/>
      <c r="TVM58" s="53"/>
      <c r="TVN58" s="53"/>
      <c r="TVO58" s="53"/>
      <c r="TVP58" s="53"/>
      <c r="TVQ58" s="53"/>
      <c r="TVR58" s="53"/>
      <c r="TVS58" s="53"/>
      <c r="TVT58" s="53"/>
      <c r="TVU58" s="53"/>
      <c r="TVV58" s="53"/>
      <c r="TVW58" s="53"/>
      <c r="TVX58" s="53"/>
      <c r="TVY58" s="53"/>
      <c r="TVZ58" s="53"/>
      <c r="TWA58" s="53"/>
      <c r="TWB58" s="53"/>
      <c r="TWC58" s="53"/>
      <c r="TWD58" s="53"/>
      <c r="TWE58" s="53"/>
      <c r="TWF58" s="53"/>
      <c r="TWG58" s="53"/>
      <c r="TWH58" s="53"/>
      <c r="TWI58" s="53"/>
      <c r="TWJ58" s="53"/>
      <c r="TWK58" s="53"/>
      <c r="TWL58" s="53"/>
      <c r="TWM58" s="53"/>
      <c r="TWN58" s="53"/>
      <c r="TWO58" s="53"/>
      <c r="TWP58" s="53"/>
      <c r="TWQ58" s="53"/>
      <c r="TWR58" s="53"/>
      <c r="TWS58" s="53"/>
      <c r="TWT58" s="53"/>
      <c r="TWU58" s="53"/>
      <c r="TWV58" s="53"/>
      <c r="TWW58" s="53"/>
      <c r="TWX58" s="53"/>
      <c r="TWY58" s="53"/>
      <c r="TWZ58" s="53"/>
      <c r="TXA58" s="53"/>
      <c r="TXB58" s="53"/>
      <c r="TXC58" s="53"/>
      <c r="TXD58" s="53"/>
      <c r="TXE58" s="53"/>
      <c r="TXF58" s="53"/>
      <c r="TXG58" s="53"/>
      <c r="TXH58" s="53"/>
      <c r="TXI58" s="53"/>
      <c r="TXJ58" s="53"/>
      <c r="TXK58" s="53"/>
      <c r="TXL58" s="53"/>
      <c r="TXM58" s="53"/>
      <c r="TXN58" s="53"/>
      <c r="TXO58" s="53"/>
      <c r="TXP58" s="53"/>
      <c r="TXQ58" s="53"/>
      <c r="TXR58" s="53"/>
      <c r="TXS58" s="53"/>
      <c r="TXT58" s="53"/>
      <c r="TXU58" s="53"/>
      <c r="TXV58" s="53"/>
      <c r="TXW58" s="53"/>
      <c r="TXX58" s="53"/>
      <c r="TXY58" s="53"/>
      <c r="TXZ58" s="53"/>
      <c r="TYA58" s="53"/>
      <c r="TYB58" s="53"/>
      <c r="TYC58" s="53"/>
      <c r="TYD58" s="53"/>
      <c r="TYE58" s="53"/>
      <c r="TYF58" s="53"/>
      <c r="TYG58" s="53"/>
      <c r="TYH58" s="53"/>
      <c r="TYI58" s="53"/>
      <c r="TYJ58" s="53"/>
      <c r="TYK58" s="53"/>
      <c r="TYL58" s="53"/>
      <c r="TYM58" s="53"/>
      <c r="TYN58" s="53"/>
      <c r="TYO58" s="53"/>
      <c r="TYP58" s="53"/>
      <c r="TYQ58" s="53"/>
      <c r="TYR58" s="53"/>
      <c r="TYS58" s="53"/>
      <c r="TYT58" s="53"/>
      <c r="TYU58" s="53"/>
      <c r="TYV58" s="53"/>
      <c r="TYW58" s="53"/>
      <c r="TYX58" s="53"/>
      <c r="TYY58" s="53"/>
      <c r="TYZ58" s="53"/>
      <c r="TZA58" s="53"/>
      <c r="TZB58" s="53"/>
      <c r="TZC58" s="53"/>
      <c r="TZD58" s="53"/>
      <c r="TZE58" s="53"/>
      <c r="TZF58" s="53"/>
      <c r="TZG58" s="53"/>
      <c r="TZH58" s="53"/>
      <c r="TZI58" s="53"/>
      <c r="TZJ58" s="53"/>
      <c r="TZK58" s="53"/>
      <c r="TZL58" s="53"/>
      <c r="TZM58" s="53"/>
      <c r="TZN58" s="53"/>
      <c r="TZO58" s="53"/>
      <c r="TZP58" s="53"/>
      <c r="TZQ58" s="53"/>
      <c r="TZR58" s="53"/>
      <c r="TZS58" s="53"/>
      <c r="TZT58" s="53"/>
      <c r="TZU58" s="53"/>
      <c r="TZV58" s="53"/>
      <c r="TZW58" s="53"/>
      <c r="TZX58" s="53"/>
      <c r="TZY58" s="53"/>
      <c r="TZZ58" s="53"/>
      <c r="UAA58" s="53"/>
      <c r="UAB58" s="53"/>
      <c r="UAC58" s="53"/>
      <c r="UAD58" s="53"/>
      <c r="UAE58" s="53"/>
      <c r="UAF58" s="53"/>
      <c r="UAG58" s="53"/>
      <c r="UAH58" s="53"/>
      <c r="UAI58" s="53"/>
      <c r="UAJ58" s="53"/>
      <c r="UAK58" s="53"/>
      <c r="UAL58" s="53"/>
      <c r="UAM58" s="53"/>
      <c r="UAN58" s="53"/>
      <c r="UAO58" s="53"/>
      <c r="UAP58" s="53"/>
      <c r="UAQ58" s="53"/>
      <c r="UAR58" s="53"/>
      <c r="UAS58" s="53"/>
      <c r="UAT58" s="53"/>
      <c r="UAU58" s="53"/>
      <c r="UAV58" s="53"/>
      <c r="UAW58" s="53"/>
      <c r="UAX58" s="53"/>
      <c r="UAY58" s="53"/>
      <c r="UAZ58" s="53"/>
      <c r="UBA58" s="53"/>
      <c r="UBB58" s="53"/>
      <c r="UBC58" s="53"/>
      <c r="UBD58" s="53"/>
      <c r="UBE58" s="53"/>
      <c r="UBF58" s="53"/>
      <c r="UBG58" s="53"/>
      <c r="UBH58" s="53"/>
      <c r="UBI58" s="53"/>
      <c r="UBJ58" s="53"/>
      <c r="UBK58" s="53"/>
      <c r="UBL58" s="53"/>
      <c r="UBM58" s="53"/>
      <c r="UBN58" s="53"/>
      <c r="UBO58" s="53"/>
      <c r="UBP58" s="53"/>
      <c r="UBQ58" s="53"/>
      <c r="UBR58" s="53"/>
      <c r="UBS58" s="53"/>
      <c r="UBT58" s="53"/>
      <c r="UBU58" s="53"/>
      <c r="UBV58" s="53"/>
      <c r="UBW58" s="53"/>
      <c r="UBX58" s="53"/>
      <c r="UBY58" s="53"/>
      <c r="UBZ58" s="53"/>
      <c r="UCA58" s="53"/>
      <c r="UCB58" s="53"/>
      <c r="UCC58" s="53"/>
      <c r="UCD58" s="53"/>
      <c r="UCE58" s="53"/>
      <c r="UCF58" s="53"/>
      <c r="UCG58" s="53"/>
      <c r="UCH58" s="53"/>
      <c r="UCI58" s="53"/>
      <c r="UCJ58" s="53"/>
      <c r="UCK58" s="53"/>
      <c r="UCL58" s="53"/>
      <c r="UCM58" s="53"/>
      <c r="UCN58" s="53"/>
      <c r="UCO58" s="53"/>
      <c r="UCP58" s="53"/>
      <c r="UCQ58" s="53"/>
      <c r="UCR58" s="53"/>
      <c r="UCS58" s="53"/>
      <c r="UCT58" s="53"/>
      <c r="UCU58" s="53"/>
      <c r="UCV58" s="53"/>
      <c r="UCW58" s="53"/>
      <c r="UCX58" s="53"/>
      <c r="UCY58" s="53"/>
      <c r="UCZ58" s="53"/>
      <c r="UDA58" s="53"/>
      <c r="UDB58" s="53"/>
      <c r="UDC58" s="53"/>
      <c r="UDD58" s="53"/>
      <c r="UDE58" s="53"/>
      <c r="UDF58" s="53"/>
      <c r="UDG58" s="53"/>
      <c r="UDH58" s="53"/>
      <c r="UDI58" s="53"/>
      <c r="UDJ58" s="53"/>
      <c r="UDK58" s="53"/>
      <c r="UDL58" s="53"/>
      <c r="UDM58" s="53"/>
      <c r="UDN58" s="53"/>
      <c r="UDO58" s="53"/>
      <c r="UDP58" s="53"/>
      <c r="UDQ58" s="53"/>
      <c r="UDR58" s="53"/>
      <c r="UDS58" s="53"/>
      <c r="UDT58" s="53"/>
      <c r="UDU58" s="53"/>
      <c r="UDV58" s="53"/>
      <c r="UDW58" s="53"/>
      <c r="UDX58" s="53"/>
      <c r="UDY58" s="53"/>
      <c r="UDZ58" s="53"/>
      <c r="UEA58" s="53"/>
      <c r="UEB58" s="53"/>
      <c r="UEC58" s="53"/>
      <c r="UED58" s="53"/>
      <c r="UEE58" s="53"/>
      <c r="UEF58" s="53"/>
      <c r="UEG58" s="53"/>
      <c r="UEH58" s="53"/>
      <c r="UEI58" s="53"/>
      <c r="UEJ58" s="53"/>
      <c r="UEK58" s="53"/>
      <c r="UEL58" s="53"/>
      <c r="UEM58" s="53"/>
      <c r="UEN58" s="53"/>
      <c r="UEO58" s="53"/>
      <c r="UEP58" s="53"/>
      <c r="UEQ58" s="53"/>
      <c r="UER58" s="53"/>
      <c r="UES58" s="53"/>
      <c r="UET58" s="53"/>
      <c r="UEU58" s="53"/>
      <c r="UEV58" s="53"/>
      <c r="UEW58" s="53"/>
      <c r="UEX58" s="53"/>
      <c r="UEY58" s="53"/>
      <c r="UEZ58" s="53"/>
      <c r="UFA58" s="53"/>
      <c r="UFB58" s="53"/>
      <c r="UFC58" s="53"/>
      <c r="UFD58" s="53"/>
      <c r="UFE58" s="53"/>
      <c r="UFF58" s="53"/>
      <c r="UFG58" s="53"/>
      <c r="UFH58" s="53"/>
      <c r="UFI58" s="53"/>
      <c r="UFJ58" s="53"/>
      <c r="UFK58" s="53"/>
      <c r="UFL58" s="53"/>
      <c r="UFM58" s="53"/>
      <c r="UFN58" s="53"/>
      <c r="UFO58" s="53"/>
      <c r="UFP58" s="53"/>
      <c r="UFQ58" s="53"/>
      <c r="UFR58" s="53"/>
      <c r="UFS58" s="53"/>
      <c r="UFT58" s="53"/>
      <c r="UFU58" s="53"/>
      <c r="UFV58" s="53"/>
      <c r="UFW58" s="53"/>
      <c r="UFX58" s="53"/>
      <c r="UFY58" s="53"/>
      <c r="UFZ58" s="53"/>
      <c r="UGA58" s="53"/>
      <c r="UGB58" s="53"/>
      <c r="UGC58" s="53"/>
      <c r="UGD58" s="53"/>
      <c r="UGE58" s="53"/>
      <c r="UGF58" s="53"/>
      <c r="UGG58" s="53"/>
      <c r="UGH58" s="53"/>
      <c r="UGI58" s="53"/>
      <c r="UGJ58" s="53"/>
      <c r="UGK58" s="53"/>
      <c r="UGL58" s="53"/>
      <c r="UGM58" s="53"/>
      <c r="UGN58" s="53"/>
      <c r="UGO58" s="53"/>
      <c r="UGP58" s="53"/>
      <c r="UGQ58" s="53"/>
      <c r="UGR58" s="53"/>
      <c r="UGS58" s="53"/>
      <c r="UGT58" s="53"/>
      <c r="UGU58" s="53"/>
      <c r="UGV58" s="53"/>
      <c r="UGW58" s="53"/>
      <c r="UGX58" s="53"/>
      <c r="UGY58" s="53"/>
      <c r="UGZ58" s="53"/>
      <c r="UHA58" s="53"/>
      <c r="UHB58" s="53"/>
      <c r="UHC58" s="53"/>
      <c r="UHD58" s="53"/>
      <c r="UHE58" s="53"/>
      <c r="UHF58" s="53"/>
      <c r="UHG58" s="53"/>
      <c r="UHH58" s="53"/>
      <c r="UHI58" s="53"/>
      <c r="UHJ58" s="53"/>
      <c r="UHK58" s="53"/>
      <c r="UHL58" s="53"/>
      <c r="UHM58" s="53"/>
      <c r="UHN58" s="53"/>
      <c r="UHO58" s="53"/>
      <c r="UHP58" s="53"/>
      <c r="UHQ58" s="53"/>
      <c r="UHR58" s="53"/>
      <c r="UHS58" s="53"/>
      <c r="UHT58" s="53"/>
      <c r="UHU58" s="53"/>
      <c r="UHV58" s="53"/>
      <c r="UHW58" s="53"/>
      <c r="UHX58" s="53"/>
      <c r="UHY58" s="53"/>
      <c r="UHZ58" s="53"/>
      <c r="UIA58" s="53"/>
      <c r="UIB58" s="53"/>
      <c r="UIC58" s="53"/>
      <c r="UID58" s="53"/>
      <c r="UIE58" s="53"/>
      <c r="UIF58" s="53"/>
      <c r="UIG58" s="53"/>
      <c r="UIH58" s="53"/>
      <c r="UII58" s="53"/>
      <c r="UIJ58" s="53"/>
      <c r="UIK58" s="53"/>
      <c r="UIL58" s="53"/>
      <c r="UIM58" s="53"/>
      <c r="UIN58" s="53"/>
      <c r="UIO58" s="53"/>
      <c r="UIP58" s="53"/>
      <c r="UIQ58" s="53"/>
      <c r="UIR58" s="53"/>
      <c r="UIS58" s="53"/>
      <c r="UIT58" s="53"/>
      <c r="UIU58" s="53"/>
      <c r="UIV58" s="53"/>
      <c r="UIW58" s="53"/>
      <c r="UIX58" s="53"/>
      <c r="UIY58" s="53"/>
      <c r="UIZ58" s="53"/>
      <c r="UJA58" s="53"/>
      <c r="UJB58" s="53"/>
      <c r="UJC58" s="53"/>
      <c r="UJD58" s="53"/>
      <c r="UJE58" s="53"/>
      <c r="UJF58" s="53"/>
      <c r="UJG58" s="53"/>
      <c r="UJH58" s="53"/>
      <c r="UJI58" s="53"/>
      <c r="UJJ58" s="53"/>
      <c r="UJK58" s="53"/>
      <c r="UJL58" s="53"/>
      <c r="UJM58" s="53"/>
      <c r="UJN58" s="53"/>
      <c r="UJO58" s="53"/>
      <c r="UJP58" s="53"/>
      <c r="UJQ58" s="53"/>
      <c r="UJR58" s="53"/>
      <c r="UJS58" s="53"/>
      <c r="UJT58" s="53"/>
      <c r="UJU58" s="53"/>
      <c r="UJV58" s="53"/>
      <c r="UJW58" s="53"/>
      <c r="UJX58" s="53"/>
      <c r="UJY58" s="53"/>
      <c r="UJZ58" s="53"/>
      <c r="UKA58" s="53"/>
      <c r="UKB58" s="53"/>
      <c r="UKC58" s="53"/>
      <c r="UKD58" s="53"/>
      <c r="UKE58" s="53"/>
      <c r="UKF58" s="53"/>
      <c r="UKG58" s="53"/>
      <c r="UKH58" s="53"/>
      <c r="UKI58" s="53"/>
      <c r="UKJ58" s="53"/>
      <c r="UKK58" s="53"/>
      <c r="UKL58" s="53"/>
      <c r="UKM58" s="53"/>
      <c r="UKN58" s="53"/>
      <c r="UKO58" s="53"/>
      <c r="UKP58" s="53"/>
      <c r="UKQ58" s="53"/>
      <c r="UKR58" s="53"/>
      <c r="UKS58" s="53"/>
      <c r="UKT58" s="53"/>
      <c r="UKU58" s="53"/>
      <c r="UKV58" s="53"/>
      <c r="UKW58" s="53"/>
      <c r="UKX58" s="53"/>
      <c r="UKY58" s="53"/>
      <c r="UKZ58" s="53"/>
      <c r="ULA58" s="53"/>
      <c r="ULB58" s="53"/>
      <c r="ULC58" s="53"/>
      <c r="ULD58" s="53"/>
      <c r="ULE58" s="53"/>
      <c r="ULF58" s="53"/>
      <c r="ULG58" s="53"/>
      <c r="ULH58" s="53"/>
      <c r="ULI58" s="53"/>
      <c r="ULJ58" s="53"/>
      <c r="ULK58" s="53"/>
      <c r="ULL58" s="53"/>
      <c r="ULM58" s="53"/>
      <c r="ULN58" s="53"/>
      <c r="ULO58" s="53"/>
      <c r="ULP58" s="53"/>
      <c r="ULQ58" s="53"/>
      <c r="ULR58" s="53"/>
      <c r="ULS58" s="53"/>
      <c r="ULT58" s="53"/>
      <c r="ULU58" s="53"/>
      <c r="ULV58" s="53"/>
      <c r="ULW58" s="53"/>
      <c r="ULX58" s="53"/>
      <c r="ULY58" s="53"/>
      <c r="ULZ58" s="53"/>
      <c r="UMA58" s="53"/>
      <c r="UMB58" s="53"/>
      <c r="UMC58" s="53"/>
      <c r="UMD58" s="53"/>
      <c r="UME58" s="53"/>
      <c r="UMF58" s="53"/>
      <c r="UMG58" s="53"/>
      <c r="UMH58" s="53"/>
      <c r="UMI58" s="53"/>
      <c r="UMJ58" s="53"/>
      <c r="UMK58" s="53"/>
      <c r="UML58" s="53"/>
      <c r="UMM58" s="53"/>
      <c r="UMN58" s="53"/>
      <c r="UMO58" s="53"/>
      <c r="UMP58" s="53"/>
      <c r="UMQ58" s="53"/>
      <c r="UMR58" s="53"/>
      <c r="UMS58" s="53"/>
      <c r="UMT58" s="53"/>
      <c r="UMU58" s="53"/>
      <c r="UMV58" s="53"/>
      <c r="UMW58" s="53"/>
      <c r="UMX58" s="53"/>
      <c r="UMY58" s="53"/>
      <c r="UMZ58" s="53"/>
      <c r="UNA58" s="53"/>
      <c r="UNB58" s="53"/>
      <c r="UNC58" s="53"/>
      <c r="UND58" s="53"/>
      <c r="UNE58" s="53"/>
      <c r="UNF58" s="53"/>
      <c r="UNG58" s="53"/>
      <c r="UNH58" s="53"/>
      <c r="UNI58" s="53"/>
      <c r="UNJ58" s="53"/>
      <c r="UNK58" s="53"/>
      <c r="UNL58" s="53"/>
      <c r="UNM58" s="53"/>
      <c r="UNN58" s="53"/>
      <c r="UNO58" s="53"/>
      <c r="UNP58" s="53"/>
      <c r="UNQ58" s="53"/>
      <c r="UNR58" s="53"/>
      <c r="UNS58" s="53"/>
      <c r="UNT58" s="53"/>
      <c r="UNU58" s="53"/>
      <c r="UNV58" s="53"/>
      <c r="UNW58" s="53"/>
      <c r="UNX58" s="53"/>
      <c r="UNY58" s="53"/>
      <c r="UNZ58" s="53"/>
      <c r="UOA58" s="53"/>
      <c r="UOB58" s="53"/>
      <c r="UOC58" s="53"/>
      <c r="UOD58" s="53"/>
      <c r="UOE58" s="53"/>
      <c r="UOF58" s="53"/>
      <c r="UOG58" s="53"/>
      <c r="UOH58" s="53"/>
      <c r="UOI58" s="53"/>
      <c r="UOJ58" s="53"/>
      <c r="UOK58" s="53"/>
      <c r="UOL58" s="53"/>
      <c r="UOM58" s="53"/>
      <c r="UON58" s="53"/>
      <c r="UOO58" s="53"/>
      <c r="UOP58" s="53"/>
      <c r="UOQ58" s="53"/>
      <c r="UOR58" s="53"/>
      <c r="UOS58" s="53"/>
      <c r="UOT58" s="53"/>
      <c r="UOU58" s="53"/>
      <c r="UOV58" s="53"/>
      <c r="UOW58" s="53"/>
      <c r="UOX58" s="53"/>
      <c r="UOY58" s="53"/>
      <c r="UOZ58" s="53"/>
      <c r="UPA58" s="53"/>
      <c r="UPB58" s="53"/>
      <c r="UPC58" s="53"/>
      <c r="UPD58" s="53"/>
      <c r="UPE58" s="53"/>
      <c r="UPF58" s="53"/>
      <c r="UPG58" s="53"/>
      <c r="UPH58" s="53"/>
      <c r="UPI58" s="53"/>
      <c r="UPJ58" s="53"/>
      <c r="UPK58" s="53"/>
      <c r="UPL58" s="53"/>
      <c r="UPM58" s="53"/>
      <c r="UPN58" s="53"/>
      <c r="UPO58" s="53"/>
      <c r="UPP58" s="53"/>
      <c r="UPQ58" s="53"/>
      <c r="UPR58" s="53"/>
      <c r="UPS58" s="53"/>
      <c r="UPT58" s="53"/>
      <c r="UPU58" s="53"/>
      <c r="UPV58" s="53"/>
      <c r="UPW58" s="53"/>
      <c r="UPX58" s="53"/>
      <c r="UPY58" s="53"/>
      <c r="UPZ58" s="53"/>
      <c r="UQA58" s="53"/>
      <c r="UQB58" s="53"/>
      <c r="UQC58" s="53"/>
      <c r="UQD58" s="53"/>
      <c r="UQE58" s="53"/>
      <c r="UQF58" s="53"/>
      <c r="UQG58" s="53"/>
      <c r="UQH58" s="53"/>
      <c r="UQI58" s="53"/>
      <c r="UQJ58" s="53"/>
      <c r="UQK58" s="53"/>
      <c r="UQL58" s="53"/>
      <c r="UQM58" s="53"/>
      <c r="UQN58" s="53"/>
      <c r="UQO58" s="53"/>
      <c r="UQP58" s="53"/>
      <c r="UQQ58" s="53"/>
      <c r="UQR58" s="53"/>
      <c r="UQS58" s="53"/>
      <c r="UQT58" s="53"/>
      <c r="UQU58" s="53"/>
      <c r="UQV58" s="53"/>
      <c r="UQW58" s="53"/>
      <c r="UQX58" s="53"/>
      <c r="UQY58" s="53"/>
      <c r="UQZ58" s="53"/>
      <c r="URA58" s="53"/>
      <c r="URB58" s="53"/>
      <c r="URC58" s="53"/>
      <c r="URD58" s="53"/>
      <c r="URE58" s="53"/>
      <c r="URF58" s="53"/>
      <c r="URG58" s="53"/>
      <c r="URH58" s="53"/>
      <c r="URI58" s="53"/>
      <c r="URJ58" s="53"/>
      <c r="URK58" s="53"/>
      <c r="URL58" s="53"/>
      <c r="URM58" s="53"/>
      <c r="URN58" s="53"/>
      <c r="URO58" s="53"/>
      <c r="URP58" s="53"/>
      <c r="URQ58" s="53"/>
      <c r="URR58" s="53"/>
      <c r="URS58" s="53"/>
      <c r="URT58" s="53"/>
      <c r="URU58" s="53"/>
      <c r="URV58" s="53"/>
      <c r="URW58" s="53"/>
      <c r="URX58" s="53"/>
      <c r="URY58" s="53"/>
      <c r="URZ58" s="53"/>
      <c r="USA58" s="53"/>
      <c r="USB58" s="53"/>
      <c r="USC58" s="53"/>
      <c r="USD58" s="53"/>
      <c r="USE58" s="53"/>
      <c r="USF58" s="53"/>
      <c r="USG58" s="53"/>
      <c r="USH58" s="53"/>
      <c r="USI58" s="53"/>
      <c r="USJ58" s="53"/>
      <c r="USK58" s="53"/>
      <c r="USL58" s="53"/>
      <c r="USM58" s="53"/>
      <c r="USN58" s="53"/>
      <c r="USO58" s="53"/>
      <c r="USP58" s="53"/>
      <c r="USQ58" s="53"/>
      <c r="USR58" s="53"/>
      <c r="USS58" s="53"/>
      <c r="UST58" s="53"/>
      <c r="USU58" s="53"/>
      <c r="USV58" s="53"/>
      <c r="USW58" s="53"/>
      <c r="USX58" s="53"/>
      <c r="USY58" s="53"/>
      <c r="USZ58" s="53"/>
      <c r="UTA58" s="53"/>
      <c r="UTB58" s="53"/>
      <c r="UTC58" s="53"/>
      <c r="UTD58" s="53"/>
      <c r="UTE58" s="53"/>
      <c r="UTF58" s="53"/>
      <c r="UTG58" s="53"/>
      <c r="UTH58" s="53"/>
      <c r="UTI58" s="53"/>
      <c r="UTJ58" s="53"/>
      <c r="UTK58" s="53"/>
      <c r="UTL58" s="53"/>
      <c r="UTM58" s="53"/>
      <c r="UTN58" s="53"/>
      <c r="UTO58" s="53"/>
      <c r="UTP58" s="53"/>
      <c r="UTQ58" s="53"/>
      <c r="UTR58" s="53"/>
      <c r="UTS58" s="53"/>
      <c r="UTT58" s="53"/>
      <c r="UTU58" s="53"/>
      <c r="UTV58" s="53"/>
      <c r="UTW58" s="53"/>
      <c r="UTX58" s="53"/>
      <c r="UTY58" s="53"/>
      <c r="UTZ58" s="53"/>
      <c r="UUA58" s="53"/>
      <c r="UUB58" s="53"/>
      <c r="UUC58" s="53"/>
      <c r="UUD58" s="53"/>
      <c r="UUE58" s="53"/>
      <c r="UUF58" s="53"/>
      <c r="UUG58" s="53"/>
      <c r="UUH58" s="53"/>
      <c r="UUI58" s="53"/>
      <c r="UUJ58" s="53"/>
      <c r="UUK58" s="53"/>
      <c r="UUL58" s="53"/>
      <c r="UUM58" s="53"/>
      <c r="UUN58" s="53"/>
      <c r="UUO58" s="53"/>
      <c r="UUP58" s="53"/>
      <c r="UUQ58" s="53"/>
      <c r="UUR58" s="53"/>
      <c r="UUS58" s="53"/>
      <c r="UUT58" s="53"/>
      <c r="UUU58" s="53"/>
      <c r="UUV58" s="53"/>
      <c r="UUW58" s="53"/>
      <c r="UUX58" s="53"/>
      <c r="UUY58" s="53"/>
      <c r="UUZ58" s="53"/>
      <c r="UVA58" s="53"/>
      <c r="UVB58" s="53"/>
      <c r="UVC58" s="53"/>
      <c r="UVD58" s="53"/>
      <c r="UVE58" s="53"/>
      <c r="UVF58" s="53"/>
      <c r="UVG58" s="53"/>
      <c r="UVH58" s="53"/>
      <c r="UVI58" s="53"/>
      <c r="UVJ58" s="53"/>
      <c r="UVK58" s="53"/>
      <c r="UVL58" s="53"/>
      <c r="UVM58" s="53"/>
      <c r="UVN58" s="53"/>
      <c r="UVO58" s="53"/>
      <c r="UVP58" s="53"/>
      <c r="UVQ58" s="53"/>
      <c r="UVR58" s="53"/>
      <c r="UVS58" s="53"/>
      <c r="UVT58" s="53"/>
      <c r="UVU58" s="53"/>
      <c r="UVV58" s="53"/>
      <c r="UVW58" s="53"/>
      <c r="UVX58" s="53"/>
      <c r="UVY58" s="53"/>
      <c r="UVZ58" s="53"/>
      <c r="UWA58" s="53"/>
      <c r="UWB58" s="53"/>
      <c r="UWC58" s="53"/>
      <c r="UWD58" s="53"/>
      <c r="UWE58" s="53"/>
      <c r="UWF58" s="53"/>
      <c r="UWG58" s="53"/>
      <c r="UWH58" s="53"/>
      <c r="UWI58" s="53"/>
      <c r="UWJ58" s="53"/>
      <c r="UWK58" s="53"/>
      <c r="UWL58" s="53"/>
      <c r="UWM58" s="53"/>
      <c r="UWN58" s="53"/>
      <c r="UWO58" s="53"/>
      <c r="UWP58" s="53"/>
      <c r="UWQ58" s="53"/>
      <c r="UWR58" s="53"/>
      <c r="UWS58" s="53"/>
      <c r="UWT58" s="53"/>
      <c r="UWU58" s="53"/>
      <c r="UWV58" s="53"/>
      <c r="UWW58" s="53"/>
      <c r="UWX58" s="53"/>
      <c r="UWY58" s="53"/>
      <c r="UWZ58" s="53"/>
      <c r="UXA58" s="53"/>
      <c r="UXB58" s="53"/>
      <c r="UXC58" s="53"/>
      <c r="UXD58" s="53"/>
      <c r="UXE58" s="53"/>
      <c r="UXF58" s="53"/>
      <c r="UXG58" s="53"/>
      <c r="UXH58" s="53"/>
      <c r="UXI58" s="53"/>
      <c r="UXJ58" s="53"/>
      <c r="UXK58" s="53"/>
      <c r="UXL58" s="53"/>
      <c r="UXM58" s="53"/>
      <c r="UXN58" s="53"/>
      <c r="UXO58" s="53"/>
      <c r="UXP58" s="53"/>
      <c r="UXQ58" s="53"/>
      <c r="UXR58" s="53"/>
      <c r="UXS58" s="53"/>
      <c r="UXT58" s="53"/>
      <c r="UXU58" s="53"/>
      <c r="UXV58" s="53"/>
      <c r="UXW58" s="53"/>
      <c r="UXX58" s="53"/>
      <c r="UXY58" s="53"/>
      <c r="UXZ58" s="53"/>
      <c r="UYA58" s="53"/>
      <c r="UYB58" s="53"/>
      <c r="UYC58" s="53"/>
      <c r="UYD58" s="53"/>
      <c r="UYE58" s="53"/>
      <c r="UYF58" s="53"/>
      <c r="UYG58" s="53"/>
      <c r="UYH58" s="53"/>
      <c r="UYI58" s="53"/>
      <c r="UYJ58" s="53"/>
      <c r="UYK58" s="53"/>
      <c r="UYL58" s="53"/>
      <c r="UYM58" s="53"/>
      <c r="UYN58" s="53"/>
      <c r="UYO58" s="53"/>
      <c r="UYP58" s="53"/>
      <c r="UYQ58" s="53"/>
      <c r="UYR58" s="53"/>
      <c r="UYS58" s="53"/>
      <c r="UYT58" s="53"/>
      <c r="UYU58" s="53"/>
      <c r="UYV58" s="53"/>
      <c r="UYW58" s="53"/>
      <c r="UYX58" s="53"/>
      <c r="UYY58" s="53"/>
      <c r="UYZ58" s="53"/>
      <c r="UZA58" s="53"/>
      <c r="UZB58" s="53"/>
      <c r="UZC58" s="53"/>
      <c r="UZD58" s="53"/>
      <c r="UZE58" s="53"/>
      <c r="UZF58" s="53"/>
      <c r="UZG58" s="53"/>
      <c r="UZH58" s="53"/>
      <c r="UZI58" s="53"/>
      <c r="UZJ58" s="53"/>
      <c r="UZK58" s="53"/>
      <c r="UZL58" s="53"/>
      <c r="UZM58" s="53"/>
      <c r="UZN58" s="53"/>
      <c r="UZO58" s="53"/>
      <c r="UZP58" s="53"/>
      <c r="UZQ58" s="53"/>
      <c r="UZR58" s="53"/>
      <c r="UZS58" s="53"/>
      <c r="UZT58" s="53"/>
      <c r="UZU58" s="53"/>
      <c r="UZV58" s="53"/>
      <c r="UZW58" s="53"/>
      <c r="UZX58" s="53"/>
      <c r="UZY58" s="53"/>
      <c r="UZZ58" s="53"/>
      <c r="VAA58" s="53"/>
      <c r="VAB58" s="53"/>
      <c r="VAC58" s="53"/>
      <c r="VAD58" s="53"/>
      <c r="VAE58" s="53"/>
      <c r="VAF58" s="53"/>
      <c r="VAG58" s="53"/>
      <c r="VAH58" s="53"/>
      <c r="VAI58" s="53"/>
      <c r="VAJ58" s="53"/>
      <c r="VAK58" s="53"/>
      <c r="VAL58" s="53"/>
      <c r="VAM58" s="53"/>
      <c r="VAN58" s="53"/>
      <c r="VAO58" s="53"/>
      <c r="VAP58" s="53"/>
      <c r="VAQ58" s="53"/>
      <c r="VAR58" s="53"/>
      <c r="VAS58" s="53"/>
      <c r="VAT58" s="53"/>
      <c r="VAU58" s="53"/>
      <c r="VAV58" s="53"/>
      <c r="VAW58" s="53"/>
      <c r="VAX58" s="53"/>
      <c r="VAY58" s="53"/>
      <c r="VAZ58" s="53"/>
      <c r="VBA58" s="53"/>
      <c r="VBB58" s="53"/>
      <c r="VBC58" s="53"/>
      <c r="VBD58" s="53"/>
      <c r="VBE58" s="53"/>
      <c r="VBF58" s="53"/>
      <c r="VBG58" s="53"/>
      <c r="VBH58" s="53"/>
      <c r="VBI58" s="53"/>
      <c r="VBJ58" s="53"/>
      <c r="VBK58" s="53"/>
      <c r="VBL58" s="53"/>
      <c r="VBM58" s="53"/>
      <c r="VBN58" s="53"/>
      <c r="VBO58" s="53"/>
      <c r="VBP58" s="53"/>
      <c r="VBQ58" s="53"/>
      <c r="VBR58" s="53"/>
      <c r="VBS58" s="53"/>
      <c r="VBT58" s="53"/>
      <c r="VBU58" s="53"/>
      <c r="VBV58" s="53"/>
      <c r="VBW58" s="53"/>
      <c r="VBX58" s="53"/>
      <c r="VBY58" s="53"/>
      <c r="VBZ58" s="53"/>
      <c r="VCA58" s="53"/>
      <c r="VCB58" s="53"/>
      <c r="VCC58" s="53"/>
      <c r="VCD58" s="53"/>
      <c r="VCE58" s="53"/>
      <c r="VCF58" s="53"/>
      <c r="VCG58" s="53"/>
      <c r="VCH58" s="53"/>
      <c r="VCI58" s="53"/>
      <c r="VCJ58" s="53"/>
      <c r="VCK58" s="53"/>
      <c r="VCL58" s="53"/>
      <c r="VCM58" s="53"/>
      <c r="VCN58" s="53"/>
      <c r="VCO58" s="53"/>
      <c r="VCP58" s="53"/>
      <c r="VCQ58" s="53"/>
      <c r="VCR58" s="53"/>
      <c r="VCS58" s="53"/>
      <c r="VCT58" s="53"/>
      <c r="VCU58" s="53"/>
      <c r="VCV58" s="53"/>
      <c r="VCW58" s="53"/>
      <c r="VCX58" s="53"/>
      <c r="VCY58" s="53"/>
      <c r="VCZ58" s="53"/>
      <c r="VDA58" s="53"/>
      <c r="VDB58" s="53"/>
      <c r="VDC58" s="53"/>
      <c r="VDD58" s="53"/>
      <c r="VDE58" s="53"/>
      <c r="VDF58" s="53"/>
      <c r="VDG58" s="53"/>
      <c r="VDH58" s="53"/>
      <c r="VDI58" s="53"/>
      <c r="VDJ58" s="53"/>
      <c r="VDK58" s="53"/>
      <c r="VDL58" s="53"/>
      <c r="VDM58" s="53"/>
      <c r="VDN58" s="53"/>
      <c r="VDO58" s="53"/>
      <c r="VDP58" s="53"/>
      <c r="VDQ58" s="53"/>
      <c r="VDR58" s="53"/>
      <c r="VDS58" s="53"/>
      <c r="VDT58" s="53"/>
      <c r="VDU58" s="53"/>
      <c r="VDV58" s="53"/>
      <c r="VDW58" s="53"/>
      <c r="VDX58" s="53"/>
      <c r="VDY58" s="53"/>
      <c r="VDZ58" s="53"/>
      <c r="VEA58" s="53"/>
      <c r="VEB58" s="53"/>
      <c r="VEC58" s="53"/>
      <c r="VED58" s="53"/>
      <c r="VEE58" s="53"/>
      <c r="VEF58" s="53"/>
      <c r="VEG58" s="53"/>
      <c r="VEH58" s="53"/>
      <c r="VEI58" s="53"/>
      <c r="VEJ58" s="53"/>
      <c r="VEK58" s="53"/>
      <c r="VEL58" s="53"/>
      <c r="VEM58" s="53"/>
      <c r="VEN58" s="53"/>
      <c r="VEO58" s="53"/>
      <c r="VEP58" s="53"/>
      <c r="VEQ58" s="53"/>
      <c r="VER58" s="53"/>
      <c r="VES58" s="53"/>
      <c r="VET58" s="53"/>
      <c r="VEU58" s="53"/>
      <c r="VEV58" s="53"/>
      <c r="VEW58" s="53"/>
      <c r="VEX58" s="53"/>
      <c r="VEY58" s="53"/>
      <c r="VEZ58" s="53"/>
      <c r="VFA58" s="53"/>
      <c r="VFB58" s="53"/>
      <c r="VFC58" s="53"/>
      <c r="VFD58" s="53"/>
      <c r="VFE58" s="53"/>
      <c r="VFF58" s="53"/>
      <c r="VFG58" s="53"/>
      <c r="VFH58" s="53"/>
      <c r="VFI58" s="53"/>
      <c r="VFJ58" s="53"/>
      <c r="VFK58" s="53"/>
      <c r="VFL58" s="53"/>
      <c r="VFM58" s="53"/>
      <c r="VFN58" s="53"/>
      <c r="VFO58" s="53"/>
      <c r="VFP58" s="53"/>
      <c r="VFQ58" s="53"/>
      <c r="VFR58" s="53"/>
      <c r="VFS58" s="53"/>
      <c r="VFT58" s="53"/>
      <c r="VFU58" s="53"/>
      <c r="VFV58" s="53"/>
      <c r="VFW58" s="53"/>
      <c r="VFX58" s="53"/>
      <c r="VFY58" s="53"/>
      <c r="VFZ58" s="53"/>
      <c r="VGA58" s="53"/>
      <c r="VGB58" s="53"/>
      <c r="VGC58" s="53"/>
      <c r="VGD58" s="53"/>
      <c r="VGE58" s="53"/>
      <c r="VGF58" s="53"/>
      <c r="VGG58" s="53"/>
      <c r="VGH58" s="53"/>
      <c r="VGI58" s="53"/>
      <c r="VGJ58" s="53"/>
      <c r="VGK58" s="53"/>
      <c r="VGL58" s="53"/>
      <c r="VGM58" s="53"/>
      <c r="VGN58" s="53"/>
      <c r="VGO58" s="53"/>
      <c r="VGP58" s="53"/>
      <c r="VGQ58" s="53"/>
      <c r="VGR58" s="53"/>
      <c r="VGS58" s="53"/>
      <c r="VGT58" s="53"/>
      <c r="VGU58" s="53"/>
      <c r="VGV58" s="53"/>
      <c r="VGW58" s="53"/>
      <c r="VGX58" s="53"/>
      <c r="VGY58" s="53"/>
      <c r="VGZ58" s="53"/>
      <c r="VHA58" s="53"/>
      <c r="VHB58" s="53"/>
      <c r="VHC58" s="53"/>
      <c r="VHD58" s="53"/>
      <c r="VHE58" s="53"/>
      <c r="VHF58" s="53"/>
      <c r="VHG58" s="53"/>
      <c r="VHH58" s="53"/>
      <c r="VHI58" s="53"/>
      <c r="VHJ58" s="53"/>
      <c r="VHK58" s="53"/>
      <c r="VHL58" s="53"/>
      <c r="VHM58" s="53"/>
      <c r="VHN58" s="53"/>
      <c r="VHO58" s="53"/>
      <c r="VHP58" s="53"/>
      <c r="VHQ58" s="53"/>
      <c r="VHR58" s="53"/>
      <c r="VHS58" s="53"/>
      <c r="VHT58" s="53"/>
      <c r="VHU58" s="53"/>
      <c r="VHV58" s="53"/>
      <c r="VHW58" s="53"/>
      <c r="VHX58" s="53"/>
      <c r="VHY58" s="53"/>
      <c r="VHZ58" s="53"/>
      <c r="VIA58" s="53"/>
      <c r="VIB58" s="53"/>
      <c r="VIC58" s="53"/>
      <c r="VID58" s="53"/>
      <c r="VIE58" s="53"/>
      <c r="VIF58" s="53"/>
      <c r="VIG58" s="53"/>
      <c r="VIH58" s="53"/>
      <c r="VII58" s="53"/>
      <c r="VIJ58" s="53"/>
      <c r="VIK58" s="53"/>
      <c r="VIL58" s="53"/>
      <c r="VIM58" s="53"/>
      <c r="VIN58" s="53"/>
      <c r="VIO58" s="53"/>
      <c r="VIP58" s="53"/>
      <c r="VIQ58" s="53"/>
      <c r="VIR58" s="53"/>
      <c r="VIS58" s="53"/>
      <c r="VIT58" s="53"/>
      <c r="VIU58" s="53"/>
      <c r="VIV58" s="53"/>
      <c r="VIW58" s="53"/>
      <c r="VIX58" s="53"/>
      <c r="VIY58" s="53"/>
      <c r="VIZ58" s="53"/>
      <c r="VJA58" s="53"/>
      <c r="VJB58" s="53"/>
      <c r="VJC58" s="53"/>
      <c r="VJD58" s="53"/>
      <c r="VJE58" s="53"/>
      <c r="VJF58" s="53"/>
      <c r="VJG58" s="53"/>
      <c r="VJH58" s="53"/>
      <c r="VJI58" s="53"/>
      <c r="VJJ58" s="53"/>
      <c r="VJK58" s="53"/>
      <c r="VJL58" s="53"/>
      <c r="VJM58" s="53"/>
      <c r="VJN58" s="53"/>
      <c r="VJO58" s="53"/>
      <c r="VJP58" s="53"/>
      <c r="VJQ58" s="53"/>
      <c r="VJR58" s="53"/>
      <c r="VJS58" s="53"/>
      <c r="VJT58" s="53"/>
      <c r="VJU58" s="53"/>
      <c r="VJV58" s="53"/>
      <c r="VJW58" s="53"/>
      <c r="VJX58" s="53"/>
      <c r="VJY58" s="53"/>
      <c r="VJZ58" s="53"/>
      <c r="VKA58" s="53"/>
      <c r="VKB58" s="53"/>
      <c r="VKC58" s="53"/>
      <c r="VKD58" s="53"/>
      <c r="VKE58" s="53"/>
      <c r="VKF58" s="53"/>
      <c r="VKG58" s="53"/>
      <c r="VKH58" s="53"/>
      <c r="VKI58" s="53"/>
      <c r="VKJ58" s="53"/>
      <c r="VKK58" s="53"/>
      <c r="VKL58" s="53"/>
      <c r="VKM58" s="53"/>
      <c r="VKN58" s="53"/>
      <c r="VKO58" s="53"/>
      <c r="VKP58" s="53"/>
      <c r="VKQ58" s="53"/>
      <c r="VKR58" s="53"/>
      <c r="VKS58" s="53"/>
      <c r="VKT58" s="53"/>
      <c r="VKU58" s="53"/>
      <c r="VKV58" s="53"/>
      <c r="VKW58" s="53"/>
      <c r="VKX58" s="53"/>
      <c r="VKY58" s="53"/>
      <c r="VKZ58" s="53"/>
      <c r="VLA58" s="53"/>
      <c r="VLB58" s="53"/>
      <c r="VLC58" s="53"/>
      <c r="VLD58" s="53"/>
      <c r="VLE58" s="53"/>
      <c r="VLF58" s="53"/>
      <c r="VLG58" s="53"/>
      <c r="VLH58" s="53"/>
      <c r="VLI58" s="53"/>
      <c r="VLJ58" s="53"/>
      <c r="VLK58" s="53"/>
      <c r="VLL58" s="53"/>
      <c r="VLM58" s="53"/>
      <c r="VLN58" s="53"/>
      <c r="VLO58" s="53"/>
      <c r="VLP58" s="53"/>
      <c r="VLQ58" s="53"/>
      <c r="VLR58" s="53"/>
      <c r="VLS58" s="53"/>
      <c r="VLT58" s="53"/>
      <c r="VLU58" s="53"/>
      <c r="VLV58" s="53"/>
      <c r="VLW58" s="53"/>
      <c r="VLX58" s="53"/>
      <c r="VLY58" s="53"/>
      <c r="VLZ58" s="53"/>
      <c r="VMA58" s="53"/>
      <c r="VMB58" s="53"/>
      <c r="VMC58" s="53"/>
      <c r="VMD58" s="53"/>
      <c r="VME58" s="53"/>
      <c r="VMF58" s="53"/>
      <c r="VMG58" s="53"/>
      <c r="VMH58" s="53"/>
      <c r="VMI58" s="53"/>
      <c r="VMJ58" s="53"/>
      <c r="VMK58" s="53"/>
      <c r="VML58" s="53"/>
      <c r="VMM58" s="53"/>
      <c r="VMN58" s="53"/>
      <c r="VMO58" s="53"/>
      <c r="VMP58" s="53"/>
      <c r="VMQ58" s="53"/>
      <c r="VMR58" s="53"/>
      <c r="VMS58" s="53"/>
      <c r="VMT58" s="53"/>
      <c r="VMU58" s="53"/>
      <c r="VMV58" s="53"/>
      <c r="VMW58" s="53"/>
      <c r="VMX58" s="53"/>
      <c r="VMY58" s="53"/>
      <c r="VMZ58" s="53"/>
      <c r="VNA58" s="53"/>
      <c r="VNB58" s="53"/>
      <c r="VNC58" s="53"/>
      <c r="VND58" s="53"/>
      <c r="VNE58" s="53"/>
      <c r="VNF58" s="53"/>
      <c r="VNG58" s="53"/>
      <c r="VNH58" s="53"/>
      <c r="VNI58" s="53"/>
      <c r="VNJ58" s="53"/>
      <c r="VNK58" s="53"/>
      <c r="VNL58" s="53"/>
      <c r="VNM58" s="53"/>
      <c r="VNN58" s="53"/>
      <c r="VNO58" s="53"/>
      <c r="VNP58" s="53"/>
      <c r="VNQ58" s="53"/>
      <c r="VNR58" s="53"/>
      <c r="VNS58" s="53"/>
      <c r="VNT58" s="53"/>
      <c r="VNU58" s="53"/>
      <c r="VNV58" s="53"/>
      <c r="VNW58" s="53"/>
      <c r="VNX58" s="53"/>
      <c r="VNY58" s="53"/>
      <c r="VNZ58" s="53"/>
      <c r="VOA58" s="53"/>
      <c r="VOB58" s="53"/>
      <c r="VOC58" s="53"/>
      <c r="VOD58" s="53"/>
      <c r="VOE58" s="53"/>
      <c r="VOF58" s="53"/>
      <c r="VOG58" s="53"/>
      <c r="VOH58" s="53"/>
      <c r="VOI58" s="53"/>
      <c r="VOJ58" s="53"/>
      <c r="VOK58" s="53"/>
      <c r="VOL58" s="53"/>
      <c r="VOM58" s="53"/>
      <c r="VON58" s="53"/>
      <c r="VOO58" s="53"/>
      <c r="VOP58" s="53"/>
      <c r="VOQ58" s="53"/>
      <c r="VOR58" s="53"/>
      <c r="VOS58" s="53"/>
      <c r="VOT58" s="53"/>
      <c r="VOU58" s="53"/>
      <c r="VOV58" s="53"/>
      <c r="VOW58" s="53"/>
      <c r="VOX58" s="53"/>
      <c r="VOY58" s="53"/>
      <c r="VOZ58" s="53"/>
      <c r="VPA58" s="53"/>
      <c r="VPB58" s="53"/>
      <c r="VPC58" s="53"/>
      <c r="VPD58" s="53"/>
      <c r="VPE58" s="53"/>
      <c r="VPF58" s="53"/>
      <c r="VPG58" s="53"/>
      <c r="VPH58" s="53"/>
      <c r="VPI58" s="53"/>
      <c r="VPJ58" s="53"/>
      <c r="VPK58" s="53"/>
      <c r="VPL58" s="53"/>
      <c r="VPM58" s="53"/>
      <c r="VPN58" s="53"/>
      <c r="VPO58" s="53"/>
      <c r="VPP58" s="53"/>
      <c r="VPQ58" s="53"/>
      <c r="VPR58" s="53"/>
      <c r="VPS58" s="53"/>
      <c r="VPT58" s="53"/>
      <c r="VPU58" s="53"/>
      <c r="VPV58" s="53"/>
      <c r="VPW58" s="53"/>
      <c r="VPX58" s="53"/>
      <c r="VPY58" s="53"/>
      <c r="VPZ58" s="53"/>
      <c r="VQA58" s="53"/>
      <c r="VQB58" s="53"/>
      <c r="VQC58" s="53"/>
      <c r="VQD58" s="53"/>
      <c r="VQE58" s="53"/>
      <c r="VQF58" s="53"/>
      <c r="VQG58" s="53"/>
      <c r="VQH58" s="53"/>
      <c r="VQI58" s="53"/>
      <c r="VQJ58" s="53"/>
      <c r="VQK58" s="53"/>
      <c r="VQL58" s="53"/>
      <c r="VQM58" s="53"/>
      <c r="VQN58" s="53"/>
      <c r="VQO58" s="53"/>
      <c r="VQP58" s="53"/>
      <c r="VQQ58" s="53"/>
      <c r="VQR58" s="53"/>
      <c r="VQS58" s="53"/>
      <c r="VQT58" s="53"/>
      <c r="VQU58" s="53"/>
      <c r="VQV58" s="53"/>
      <c r="VQW58" s="53"/>
      <c r="VQX58" s="53"/>
      <c r="VQY58" s="53"/>
      <c r="VQZ58" s="53"/>
      <c r="VRA58" s="53"/>
      <c r="VRB58" s="53"/>
      <c r="VRC58" s="53"/>
      <c r="VRD58" s="53"/>
      <c r="VRE58" s="53"/>
      <c r="VRF58" s="53"/>
      <c r="VRG58" s="53"/>
      <c r="VRH58" s="53"/>
      <c r="VRI58" s="53"/>
      <c r="VRJ58" s="53"/>
      <c r="VRK58" s="53"/>
      <c r="VRL58" s="53"/>
      <c r="VRM58" s="53"/>
      <c r="VRN58" s="53"/>
      <c r="VRO58" s="53"/>
      <c r="VRP58" s="53"/>
      <c r="VRQ58" s="53"/>
      <c r="VRR58" s="53"/>
      <c r="VRS58" s="53"/>
      <c r="VRT58" s="53"/>
      <c r="VRU58" s="53"/>
      <c r="VRV58" s="53"/>
      <c r="VRW58" s="53"/>
      <c r="VRX58" s="53"/>
      <c r="VRY58" s="53"/>
      <c r="VRZ58" s="53"/>
      <c r="VSA58" s="53"/>
      <c r="VSB58" s="53"/>
      <c r="VSC58" s="53"/>
      <c r="VSD58" s="53"/>
      <c r="VSE58" s="53"/>
      <c r="VSF58" s="53"/>
      <c r="VSG58" s="53"/>
      <c r="VSH58" s="53"/>
      <c r="VSI58" s="53"/>
      <c r="VSJ58" s="53"/>
      <c r="VSK58" s="53"/>
      <c r="VSL58" s="53"/>
      <c r="VSM58" s="53"/>
      <c r="VSN58" s="53"/>
      <c r="VSO58" s="53"/>
      <c r="VSP58" s="53"/>
      <c r="VSQ58" s="53"/>
      <c r="VSR58" s="53"/>
      <c r="VSS58" s="53"/>
      <c r="VST58" s="53"/>
      <c r="VSU58" s="53"/>
      <c r="VSV58" s="53"/>
      <c r="VSW58" s="53"/>
      <c r="VSX58" s="53"/>
      <c r="VSY58" s="53"/>
      <c r="VSZ58" s="53"/>
      <c r="VTA58" s="53"/>
      <c r="VTB58" s="53"/>
      <c r="VTC58" s="53"/>
      <c r="VTD58" s="53"/>
      <c r="VTE58" s="53"/>
      <c r="VTF58" s="53"/>
      <c r="VTG58" s="53"/>
      <c r="VTH58" s="53"/>
      <c r="VTI58" s="53"/>
      <c r="VTJ58" s="53"/>
      <c r="VTK58" s="53"/>
      <c r="VTL58" s="53"/>
      <c r="VTM58" s="53"/>
      <c r="VTN58" s="53"/>
      <c r="VTO58" s="53"/>
      <c r="VTP58" s="53"/>
      <c r="VTQ58" s="53"/>
      <c r="VTR58" s="53"/>
      <c r="VTS58" s="53"/>
      <c r="VTT58" s="53"/>
      <c r="VTU58" s="53"/>
      <c r="VTV58" s="53"/>
      <c r="VTW58" s="53"/>
      <c r="VTX58" s="53"/>
      <c r="VTY58" s="53"/>
      <c r="VTZ58" s="53"/>
      <c r="VUA58" s="53"/>
      <c r="VUB58" s="53"/>
      <c r="VUC58" s="53"/>
      <c r="VUD58" s="53"/>
      <c r="VUE58" s="53"/>
      <c r="VUF58" s="53"/>
      <c r="VUG58" s="53"/>
      <c r="VUH58" s="53"/>
      <c r="VUI58" s="53"/>
      <c r="VUJ58" s="53"/>
      <c r="VUK58" s="53"/>
      <c r="VUL58" s="53"/>
      <c r="VUM58" s="53"/>
      <c r="VUN58" s="53"/>
      <c r="VUO58" s="53"/>
      <c r="VUP58" s="53"/>
      <c r="VUQ58" s="53"/>
      <c r="VUR58" s="53"/>
      <c r="VUS58" s="53"/>
      <c r="VUT58" s="53"/>
      <c r="VUU58" s="53"/>
      <c r="VUV58" s="53"/>
      <c r="VUW58" s="53"/>
      <c r="VUX58" s="53"/>
      <c r="VUY58" s="53"/>
      <c r="VUZ58" s="53"/>
      <c r="VVA58" s="53"/>
      <c r="VVB58" s="53"/>
      <c r="VVC58" s="53"/>
      <c r="VVD58" s="53"/>
      <c r="VVE58" s="53"/>
      <c r="VVF58" s="53"/>
      <c r="VVG58" s="53"/>
      <c r="VVH58" s="53"/>
      <c r="VVI58" s="53"/>
      <c r="VVJ58" s="53"/>
      <c r="VVK58" s="53"/>
      <c r="VVL58" s="53"/>
      <c r="VVM58" s="53"/>
      <c r="VVN58" s="53"/>
      <c r="VVO58" s="53"/>
      <c r="VVP58" s="53"/>
      <c r="VVQ58" s="53"/>
      <c r="VVR58" s="53"/>
      <c r="VVS58" s="53"/>
      <c r="VVT58" s="53"/>
      <c r="VVU58" s="53"/>
      <c r="VVV58" s="53"/>
      <c r="VVW58" s="53"/>
      <c r="VVX58" s="53"/>
      <c r="VVY58" s="53"/>
      <c r="VVZ58" s="53"/>
      <c r="VWA58" s="53"/>
      <c r="VWB58" s="53"/>
      <c r="VWC58" s="53"/>
      <c r="VWD58" s="53"/>
      <c r="VWE58" s="53"/>
      <c r="VWF58" s="53"/>
      <c r="VWG58" s="53"/>
      <c r="VWH58" s="53"/>
      <c r="VWI58" s="53"/>
      <c r="VWJ58" s="53"/>
      <c r="VWK58" s="53"/>
      <c r="VWL58" s="53"/>
      <c r="VWM58" s="53"/>
      <c r="VWN58" s="53"/>
      <c r="VWO58" s="53"/>
      <c r="VWP58" s="53"/>
      <c r="VWQ58" s="53"/>
      <c r="VWR58" s="53"/>
      <c r="VWS58" s="53"/>
      <c r="VWT58" s="53"/>
      <c r="VWU58" s="53"/>
      <c r="VWV58" s="53"/>
      <c r="VWW58" s="53"/>
      <c r="VWX58" s="53"/>
      <c r="VWY58" s="53"/>
      <c r="VWZ58" s="53"/>
      <c r="VXA58" s="53"/>
      <c r="VXB58" s="53"/>
      <c r="VXC58" s="53"/>
      <c r="VXD58" s="53"/>
      <c r="VXE58" s="53"/>
      <c r="VXF58" s="53"/>
      <c r="VXG58" s="53"/>
      <c r="VXH58" s="53"/>
      <c r="VXI58" s="53"/>
      <c r="VXJ58" s="53"/>
      <c r="VXK58" s="53"/>
      <c r="VXL58" s="53"/>
      <c r="VXM58" s="53"/>
      <c r="VXN58" s="53"/>
      <c r="VXO58" s="53"/>
      <c r="VXP58" s="53"/>
      <c r="VXQ58" s="53"/>
      <c r="VXR58" s="53"/>
      <c r="VXS58" s="53"/>
      <c r="VXT58" s="53"/>
      <c r="VXU58" s="53"/>
      <c r="VXV58" s="53"/>
      <c r="VXW58" s="53"/>
      <c r="VXX58" s="53"/>
      <c r="VXY58" s="53"/>
      <c r="VXZ58" s="53"/>
      <c r="VYA58" s="53"/>
      <c r="VYB58" s="53"/>
      <c r="VYC58" s="53"/>
      <c r="VYD58" s="53"/>
      <c r="VYE58" s="53"/>
      <c r="VYF58" s="53"/>
      <c r="VYG58" s="53"/>
      <c r="VYH58" s="53"/>
      <c r="VYI58" s="53"/>
      <c r="VYJ58" s="53"/>
      <c r="VYK58" s="53"/>
      <c r="VYL58" s="53"/>
      <c r="VYM58" s="53"/>
      <c r="VYN58" s="53"/>
      <c r="VYO58" s="53"/>
      <c r="VYP58" s="53"/>
      <c r="VYQ58" s="53"/>
      <c r="VYR58" s="53"/>
      <c r="VYS58" s="53"/>
      <c r="VYT58" s="53"/>
      <c r="VYU58" s="53"/>
      <c r="VYV58" s="53"/>
      <c r="VYW58" s="53"/>
      <c r="VYX58" s="53"/>
      <c r="VYY58" s="53"/>
      <c r="VYZ58" s="53"/>
      <c r="VZA58" s="53"/>
      <c r="VZB58" s="53"/>
      <c r="VZC58" s="53"/>
      <c r="VZD58" s="53"/>
      <c r="VZE58" s="53"/>
      <c r="VZF58" s="53"/>
      <c r="VZG58" s="53"/>
      <c r="VZH58" s="53"/>
      <c r="VZI58" s="53"/>
      <c r="VZJ58" s="53"/>
      <c r="VZK58" s="53"/>
      <c r="VZL58" s="53"/>
      <c r="VZM58" s="53"/>
      <c r="VZN58" s="53"/>
      <c r="VZO58" s="53"/>
      <c r="VZP58" s="53"/>
      <c r="VZQ58" s="53"/>
      <c r="VZR58" s="53"/>
      <c r="VZS58" s="53"/>
      <c r="VZT58" s="53"/>
      <c r="VZU58" s="53"/>
      <c r="VZV58" s="53"/>
      <c r="VZW58" s="53"/>
      <c r="VZX58" s="53"/>
      <c r="VZY58" s="53"/>
      <c r="VZZ58" s="53"/>
      <c r="WAA58" s="53"/>
      <c r="WAB58" s="53"/>
      <c r="WAC58" s="53"/>
      <c r="WAD58" s="53"/>
      <c r="WAE58" s="53"/>
      <c r="WAF58" s="53"/>
      <c r="WAG58" s="53"/>
      <c r="WAH58" s="53"/>
      <c r="WAI58" s="53"/>
      <c r="WAJ58" s="53"/>
      <c r="WAK58" s="53"/>
      <c r="WAL58" s="53"/>
      <c r="WAM58" s="53"/>
      <c r="WAN58" s="53"/>
      <c r="WAO58" s="53"/>
      <c r="WAP58" s="53"/>
      <c r="WAQ58" s="53"/>
      <c r="WAR58" s="53"/>
      <c r="WAS58" s="53"/>
      <c r="WAT58" s="53"/>
      <c r="WAU58" s="53"/>
      <c r="WAV58" s="53"/>
      <c r="WAW58" s="53"/>
      <c r="WAX58" s="53"/>
      <c r="WAY58" s="53"/>
      <c r="WAZ58" s="53"/>
      <c r="WBA58" s="53"/>
      <c r="WBB58" s="53"/>
      <c r="WBC58" s="53"/>
      <c r="WBD58" s="53"/>
      <c r="WBE58" s="53"/>
      <c r="WBF58" s="53"/>
      <c r="WBG58" s="53"/>
      <c r="WBH58" s="53"/>
      <c r="WBI58" s="53"/>
      <c r="WBJ58" s="53"/>
      <c r="WBK58" s="53"/>
      <c r="WBL58" s="53"/>
      <c r="WBM58" s="53"/>
      <c r="WBN58" s="53"/>
      <c r="WBO58" s="53"/>
      <c r="WBP58" s="53"/>
      <c r="WBQ58" s="53"/>
      <c r="WBR58" s="53"/>
      <c r="WBS58" s="53"/>
      <c r="WBT58" s="53"/>
      <c r="WBU58" s="53"/>
      <c r="WBV58" s="53"/>
      <c r="WBW58" s="53"/>
      <c r="WBX58" s="53"/>
      <c r="WBY58" s="53"/>
      <c r="WBZ58" s="53"/>
      <c r="WCA58" s="53"/>
      <c r="WCB58" s="53"/>
      <c r="WCC58" s="53"/>
      <c r="WCD58" s="53"/>
      <c r="WCE58" s="53"/>
      <c r="WCF58" s="53"/>
      <c r="WCG58" s="53"/>
      <c r="WCH58" s="53"/>
      <c r="WCI58" s="53"/>
      <c r="WCJ58" s="53"/>
      <c r="WCK58" s="53"/>
      <c r="WCL58" s="53"/>
      <c r="WCM58" s="53"/>
      <c r="WCN58" s="53"/>
      <c r="WCO58" s="53"/>
      <c r="WCP58" s="53"/>
      <c r="WCQ58" s="53"/>
      <c r="WCR58" s="53"/>
      <c r="WCS58" s="53"/>
      <c r="WCT58" s="53"/>
      <c r="WCU58" s="53"/>
      <c r="WCV58" s="53"/>
      <c r="WCW58" s="53"/>
      <c r="WCX58" s="53"/>
      <c r="WCY58" s="53"/>
      <c r="WCZ58" s="53"/>
      <c r="WDA58" s="53"/>
      <c r="WDB58" s="53"/>
      <c r="WDC58" s="53"/>
      <c r="WDD58" s="53"/>
      <c r="WDE58" s="53"/>
      <c r="WDF58" s="53"/>
      <c r="WDG58" s="53"/>
      <c r="WDH58" s="53"/>
      <c r="WDI58" s="53"/>
      <c r="WDJ58" s="53"/>
      <c r="WDK58" s="53"/>
      <c r="WDL58" s="53"/>
      <c r="WDM58" s="53"/>
      <c r="WDN58" s="53"/>
      <c r="WDO58" s="53"/>
      <c r="WDP58" s="53"/>
      <c r="WDQ58" s="53"/>
      <c r="WDR58" s="53"/>
      <c r="WDS58" s="53"/>
      <c r="WDT58" s="53"/>
      <c r="WDU58" s="53"/>
      <c r="WDV58" s="53"/>
      <c r="WDW58" s="53"/>
      <c r="WDX58" s="53"/>
      <c r="WDY58" s="53"/>
      <c r="WDZ58" s="53"/>
      <c r="WEA58" s="53"/>
      <c r="WEB58" s="53"/>
      <c r="WEC58" s="53"/>
      <c r="WED58" s="53"/>
      <c r="WEE58" s="53"/>
      <c r="WEF58" s="53"/>
      <c r="WEG58" s="53"/>
      <c r="WEH58" s="53"/>
      <c r="WEI58" s="53"/>
      <c r="WEJ58" s="53"/>
      <c r="WEK58" s="53"/>
      <c r="WEL58" s="53"/>
      <c r="WEM58" s="53"/>
      <c r="WEN58" s="53"/>
      <c r="WEO58" s="53"/>
      <c r="WEP58" s="53"/>
      <c r="WEQ58" s="53"/>
      <c r="WER58" s="53"/>
      <c r="WES58" s="53"/>
      <c r="WET58" s="53"/>
      <c r="WEU58" s="53"/>
      <c r="WEV58" s="53"/>
      <c r="WEW58" s="53"/>
      <c r="WEX58" s="53"/>
      <c r="WEY58" s="53"/>
      <c r="WEZ58" s="53"/>
      <c r="WFA58" s="53"/>
      <c r="WFB58" s="53"/>
      <c r="WFC58" s="53"/>
      <c r="WFD58" s="53"/>
      <c r="WFE58" s="53"/>
      <c r="WFF58" s="53"/>
      <c r="WFG58" s="53"/>
      <c r="WFH58" s="53"/>
      <c r="WFI58" s="53"/>
      <c r="WFJ58" s="53"/>
      <c r="WFK58" s="53"/>
      <c r="WFL58" s="53"/>
      <c r="WFM58" s="53"/>
      <c r="WFN58" s="53"/>
      <c r="WFO58" s="53"/>
      <c r="WFP58" s="53"/>
      <c r="WFQ58" s="53"/>
      <c r="WFR58" s="53"/>
      <c r="WFS58" s="53"/>
      <c r="WFT58" s="53"/>
      <c r="WFU58" s="53"/>
      <c r="WFV58" s="53"/>
      <c r="WFW58" s="53"/>
      <c r="WFX58" s="53"/>
      <c r="WFY58" s="53"/>
      <c r="WFZ58" s="53"/>
      <c r="WGA58" s="53"/>
      <c r="WGB58" s="53"/>
      <c r="WGC58" s="53"/>
      <c r="WGD58" s="53"/>
      <c r="WGE58" s="53"/>
      <c r="WGF58" s="53"/>
      <c r="WGG58" s="53"/>
      <c r="WGH58" s="53"/>
      <c r="WGI58" s="53"/>
      <c r="WGJ58" s="53"/>
      <c r="WGK58" s="53"/>
      <c r="WGL58" s="53"/>
      <c r="WGM58" s="53"/>
      <c r="WGN58" s="53"/>
      <c r="WGO58" s="53"/>
      <c r="WGP58" s="53"/>
      <c r="WGQ58" s="53"/>
      <c r="WGR58" s="53"/>
      <c r="WGS58" s="53"/>
      <c r="WGT58" s="53"/>
      <c r="WGU58" s="53"/>
      <c r="WGV58" s="53"/>
      <c r="WGW58" s="53"/>
      <c r="WGX58" s="53"/>
      <c r="WGY58" s="53"/>
      <c r="WGZ58" s="53"/>
      <c r="WHA58" s="53"/>
      <c r="WHB58" s="53"/>
      <c r="WHC58" s="53"/>
      <c r="WHD58" s="53"/>
      <c r="WHE58" s="53"/>
      <c r="WHF58" s="53"/>
      <c r="WHG58" s="53"/>
      <c r="WHH58" s="53"/>
      <c r="WHI58" s="53"/>
      <c r="WHJ58" s="53"/>
      <c r="WHK58" s="53"/>
      <c r="WHL58" s="53"/>
      <c r="WHM58" s="53"/>
      <c r="WHN58" s="53"/>
      <c r="WHO58" s="53"/>
      <c r="WHP58" s="53"/>
      <c r="WHQ58" s="53"/>
      <c r="WHR58" s="53"/>
      <c r="WHS58" s="53"/>
      <c r="WHT58" s="53"/>
      <c r="WHU58" s="53"/>
      <c r="WHV58" s="53"/>
      <c r="WHW58" s="53"/>
      <c r="WHX58" s="53"/>
      <c r="WHY58" s="53"/>
      <c r="WHZ58" s="53"/>
      <c r="WIA58" s="53"/>
      <c r="WIB58" s="53"/>
      <c r="WIC58" s="53"/>
      <c r="WID58" s="53"/>
      <c r="WIE58" s="53"/>
      <c r="WIF58" s="53"/>
      <c r="WIG58" s="53"/>
      <c r="WIH58" s="53"/>
      <c r="WII58" s="53"/>
      <c r="WIJ58" s="53"/>
      <c r="WIK58" s="53"/>
      <c r="WIL58" s="53"/>
      <c r="WIM58" s="53"/>
      <c r="WIN58" s="53"/>
      <c r="WIO58" s="53"/>
      <c r="WIP58" s="53"/>
      <c r="WIQ58" s="53"/>
      <c r="WIR58" s="53"/>
      <c r="WIS58" s="53"/>
      <c r="WIT58" s="53"/>
      <c r="WIU58" s="53"/>
      <c r="WIV58" s="53"/>
      <c r="WIW58" s="53"/>
      <c r="WIX58" s="53"/>
      <c r="WIY58" s="53"/>
      <c r="WIZ58" s="53"/>
      <c r="WJA58" s="53"/>
      <c r="WJB58" s="53"/>
      <c r="WJC58" s="53"/>
      <c r="WJD58" s="53"/>
      <c r="WJE58" s="53"/>
      <c r="WJF58" s="53"/>
      <c r="WJG58" s="53"/>
      <c r="WJH58" s="53"/>
      <c r="WJI58" s="53"/>
      <c r="WJJ58" s="53"/>
      <c r="WJK58" s="53"/>
      <c r="WJL58" s="53"/>
      <c r="WJM58" s="53"/>
      <c r="WJN58" s="53"/>
      <c r="WJO58" s="53"/>
      <c r="WJP58" s="53"/>
      <c r="WJQ58" s="53"/>
      <c r="WJR58" s="53"/>
      <c r="WJS58" s="53"/>
      <c r="WJT58" s="53"/>
      <c r="WJU58" s="53"/>
      <c r="WJV58" s="53"/>
      <c r="WJW58" s="53"/>
      <c r="WJX58" s="53"/>
      <c r="WJY58" s="53"/>
      <c r="WJZ58" s="53"/>
      <c r="WKA58" s="53"/>
      <c r="WKB58" s="53"/>
      <c r="WKC58" s="53"/>
      <c r="WKD58" s="53"/>
      <c r="WKE58" s="53"/>
      <c r="WKF58" s="53"/>
      <c r="WKG58" s="53"/>
      <c r="WKH58" s="53"/>
      <c r="WKI58" s="53"/>
      <c r="WKJ58" s="53"/>
      <c r="WKK58" s="53"/>
      <c r="WKL58" s="53"/>
      <c r="WKM58" s="53"/>
      <c r="WKN58" s="53"/>
      <c r="WKO58" s="53"/>
      <c r="WKP58" s="53"/>
      <c r="WKQ58" s="53"/>
      <c r="WKR58" s="53"/>
      <c r="WKS58" s="53"/>
      <c r="WKT58" s="53"/>
      <c r="WKU58" s="53"/>
      <c r="WKV58" s="53"/>
      <c r="WKW58" s="53"/>
      <c r="WKX58" s="53"/>
      <c r="WKY58" s="53"/>
      <c r="WKZ58" s="53"/>
      <c r="WLA58" s="53"/>
      <c r="WLB58" s="53"/>
      <c r="WLC58" s="53"/>
      <c r="WLD58" s="53"/>
      <c r="WLE58" s="53"/>
      <c r="WLF58" s="53"/>
      <c r="WLG58" s="53"/>
      <c r="WLH58" s="53"/>
      <c r="WLI58" s="53"/>
      <c r="WLJ58" s="53"/>
      <c r="WLK58" s="53"/>
      <c r="WLL58" s="53"/>
      <c r="WLM58" s="53"/>
      <c r="WLN58" s="53"/>
      <c r="WLO58" s="53"/>
      <c r="WLP58" s="53"/>
      <c r="WLQ58" s="53"/>
      <c r="WLR58" s="53"/>
      <c r="WLS58" s="53"/>
      <c r="WLT58" s="53"/>
      <c r="WLU58" s="53"/>
      <c r="WLV58" s="53"/>
      <c r="WLW58" s="53"/>
      <c r="WLX58" s="53"/>
      <c r="WLY58" s="53"/>
      <c r="WLZ58" s="53"/>
      <c r="WMA58" s="53"/>
      <c r="WMB58" s="53"/>
      <c r="WMC58" s="53"/>
      <c r="WMD58" s="53"/>
      <c r="WME58" s="53"/>
      <c r="WMF58" s="53"/>
      <c r="WMG58" s="53"/>
      <c r="WMH58" s="53"/>
      <c r="WMI58" s="53"/>
      <c r="WMJ58" s="53"/>
      <c r="WMK58" s="53"/>
      <c r="WML58" s="53"/>
      <c r="WMM58" s="53"/>
      <c r="WMN58" s="53"/>
      <c r="WMO58" s="53"/>
      <c r="WMP58" s="53"/>
      <c r="WMQ58" s="53"/>
      <c r="WMR58" s="53"/>
      <c r="WMS58" s="53"/>
      <c r="WMT58" s="53"/>
      <c r="WMU58" s="53"/>
      <c r="WMV58" s="53"/>
      <c r="WMW58" s="53"/>
      <c r="WMX58" s="53"/>
      <c r="WMY58" s="53"/>
      <c r="WMZ58" s="53"/>
      <c r="WNA58" s="53"/>
      <c r="WNB58" s="53"/>
      <c r="WNC58" s="53"/>
      <c r="WND58" s="53"/>
      <c r="WNE58" s="53"/>
      <c r="WNF58" s="53"/>
      <c r="WNG58" s="53"/>
      <c r="WNH58" s="53"/>
      <c r="WNI58" s="53"/>
      <c r="WNJ58" s="53"/>
      <c r="WNK58" s="53"/>
      <c r="WNL58" s="53"/>
      <c r="WNM58" s="53"/>
      <c r="WNN58" s="53"/>
      <c r="WNO58" s="53"/>
      <c r="WNP58" s="53"/>
      <c r="WNQ58" s="53"/>
      <c r="WNR58" s="53"/>
      <c r="WNS58" s="53"/>
      <c r="WNT58" s="53"/>
      <c r="WNU58" s="53"/>
      <c r="WNV58" s="53"/>
      <c r="WNW58" s="53"/>
      <c r="WNX58" s="53"/>
      <c r="WNY58" s="53"/>
      <c r="WNZ58" s="53"/>
      <c r="WOA58" s="53"/>
      <c r="WOB58" s="53"/>
      <c r="WOC58" s="53"/>
      <c r="WOD58" s="53"/>
      <c r="WOE58" s="53"/>
      <c r="WOF58" s="53"/>
      <c r="WOG58" s="53"/>
      <c r="WOH58" s="53"/>
      <c r="WOI58" s="53"/>
      <c r="WOJ58" s="53"/>
      <c r="WOK58" s="53"/>
      <c r="WOL58" s="53"/>
      <c r="WOM58" s="53"/>
      <c r="WON58" s="53"/>
      <c r="WOO58" s="53"/>
      <c r="WOP58" s="53"/>
      <c r="WOQ58" s="53"/>
      <c r="WOR58" s="53"/>
      <c r="WOS58" s="53"/>
      <c r="WOT58" s="53"/>
      <c r="WOU58" s="53"/>
      <c r="WOV58" s="53"/>
      <c r="WOW58" s="53"/>
      <c r="WOX58" s="53"/>
      <c r="WOY58" s="53"/>
      <c r="WOZ58" s="53"/>
      <c r="WPA58" s="53"/>
      <c r="WPB58" s="53"/>
      <c r="WPC58" s="53"/>
      <c r="WPD58" s="53"/>
      <c r="WPE58" s="53"/>
      <c r="WPF58" s="53"/>
      <c r="WPG58" s="53"/>
      <c r="WPH58" s="53"/>
      <c r="WPI58" s="53"/>
      <c r="WPJ58" s="53"/>
      <c r="WPK58" s="53"/>
      <c r="WPL58" s="53"/>
      <c r="WPM58" s="53"/>
      <c r="WPN58" s="53"/>
      <c r="WPO58" s="53"/>
      <c r="WPP58" s="53"/>
      <c r="WPQ58" s="53"/>
      <c r="WPR58" s="53"/>
      <c r="WPS58" s="53"/>
      <c r="WPT58" s="53"/>
      <c r="WPU58" s="53"/>
      <c r="WPV58" s="53"/>
      <c r="WPW58" s="53"/>
      <c r="WPX58" s="53"/>
      <c r="WPY58" s="53"/>
      <c r="WPZ58" s="53"/>
      <c r="WQA58" s="53"/>
      <c r="WQB58" s="53"/>
      <c r="WQC58" s="53"/>
      <c r="WQD58" s="53"/>
      <c r="WQE58" s="53"/>
      <c r="WQF58" s="53"/>
      <c r="WQG58" s="53"/>
      <c r="WQH58" s="53"/>
      <c r="WQI58" s="53"/>
      <c r="WQJ58" s="53"/>
      <c r="WQK58" s="53"/>
      <c r="WQL58" s="53"/>
      <c r="WQM58" s="53"/>
      <c r="WQN58" s="53"/>
      <c r="WQO58" s="53"/>
      <c r="WQP58" s="53"/>
      <c r="WQQ58" s="53"/>
      <c r="WQR58" s="53"/>
      <c r="WQS58" s="53"/>
      <c r="WQT58" s="53"/>
      <c r="WQU58" s="53"/>
      <c r="WQV58" s="53"/>
      <c r="WQW58" s="53"/>
      <c r="WQX58" s="53"/>
      <c r="WQY58" s="53"/>
      <c r="WQZ58" s="53"/>
      <c r="WRA58" s="53"/>
      <c r="WRB58" s="53"/>
      <c r="WRC58" s="53"/>
      <c r="WRD58" s="53"/>
      <c r="WRE58" s="53"/>
      <c r="WRF58" s="53"/>
      <c r="WRG58" s="53"/>
      <c r="WRH58" s="53"/>
      <c r="WRI58" s="53"/>
      <c r="WRJ58" s="53"/>
      <c r="WRK58" s="53"/>
      <c r="WRL58" s="53"/>
      <c r="WRM58" s="53"/>
      <c r="WRN58" s="53"/>
      <c r="WRO58" s="53"/>
      <c r="WRP58" s="53"/>
      <c r="WRQ58" s="53"/>
      <c r="WRR58" s="53"/>
      <c r="WRS58" s="53"/>
      <c r="WRT58" s="53"/>
      <c r="WRU58" s="53"/>
      <c r="WRV58" s="53"/>
      <c r="WRW58" s="53"/>
      <c r="WRX58" s="53"/>
      <c r="WRY58" s="53"/>
      <c r="WRZ58" s="53"/>
      <c r="WSA58" s="53"/>
      <c r="WSB58" s="53"/>
      <c r="WSC58" s="53"/>
      <c r="WSD58" s="53"/>
      <c r="WSE58" s="53"/>
      <c r="WSF58" s="53"/>
      <c r="WSG58" s="53"/>
      <c r="WSH58" s="53"/>
      <c r="WSI58" s="53"/>
      <c r="WSJ58" s="53"/>
      <c r="WSK58" s="53"/>
      <c r="WSL58" s="53"/>
      <c r="WSM58" s="53"/>
      <c r="WSN58" s="53"/>
      <c r="WSO58" s="53"/>
      <c r="WSP58" s="53"/>
      <c r="WSQ58" s="53"/>
      <c r="WSR58" s="53"/>
      <c r="WSS58" s="53"/>
      <c r="WST58" s="53"/>
      <c r="WSU58" s="53"/>
      <c r="WSV58" s="53"/>
      <c r="WSW58" s="53"/>
      <c r="WSX58" s="53"/>
      <c r="WSY58" s="53"/>
      <c r="WSZ58" s="53"/>
      <c r="WTA58" s="53"/>
      <c r="WTB58" s="53"/>
      <c r="WTC58" s="53"/>
      <c r="WTD58" s="53"/>
      <c r="WTE58" s="53"/>
      <c r="WTF58" s="53"/>
      <c r="WTG58" s="53"/>
      <c r="WTH58" s="53"/>
      <c r="WTI58" s="53"/>
      <c r="WTJ58" s="53"/>
      <c r="WTK58" s="53"/>
      <c r="WTL58" s="53"/>
      <c r="WTM58" s="53"/>
      <c r="WTN58" s="53"/>
      <c r="WTO58" s="53"/>
      <c r="WTP58" s="53"/>
      <c r="WTQ58" s="53"/>
      <c r="WTR58" s="53"/>
      <c r="WTS58" s="53"/>
      <c r="WTT58" s="53"/>
      <c r="WTU58" s="53"/>
      <c r="WTV58" s="53"/>
      <c r="WTW58" s="53"/>
      <c r="WTX58" s="53"/>
      <c r="WTY58" s="53"/>
      <c r="WTZ58" s="53"/>
      <c r="WUA58" s="53"/>
      <c r="WUB58" s="53"/>
      <c r="WUC58" s="53"/>
      <c r="WUD58" s="53"/>
      <c r="WUE58" s="53"/>
      <c r="WUF58" s="53"/>
      <c r="WUG58" s="53"/>
      <c r="WUH58" s="53"/>
      <c r="WUI58" s="53"/>
      <c r="WUJ58" s="53"/>
      <c r="WUK58" s="53"/>
      <c r="WUL58" s="53"/>
      <c r="WUM58" s="53"/>
      <c r="WUN58" s="53"/>
      <c r="WUO58" s="53"/>
      <c r="WUP58" s="53"/>
      <c r="WUQ58" s="53"/>
      <c r="WUR58" s="53"/>
      <c r="WUS58" s="53"/>
      <c r="WUT58" s="53"/>
      <c r="WUU58" s="53"/>
      <c r="WUV58" s="53"/>
      <c r="WUW58" s="53"/>
      <c r="WUX58" s="53"/>
      <c r="WUY58" s="53"/>
      <c r="WUZ58" s="53"/>
      <c r="WVA58" s="53"/>
      <c r="WVB58" s="53"/>
      <c r="WVC58" s="53"/>
      <c r="WVD58" s="53"/>
      <c r="WVE58" s="53"/>
      <c r="WVF58" s="53"/>
      <c r="WVG58" s="53"/>
      <c r="WVH58" s="53"/>
      <c r="WVI58" s="53"/>
      <c r="WVJ58" s="53"/>
      <c r="WVK58" s="53"/>
      <c r="WVL58" s="53"/>
      <c r="WVM58" s="53"/>
      <c r="WVN58" s="53"/>
      <c r="WVO58" s="53"/>
      <c r="WVP58" s="53"/>
      <c r="WVQ58" s="53"/>
      <c r="WVR58" s="53"/>
      <c r="WVS58" s="53"/>
      <c r="WVT58" s="53"/>
      <c r="WVU58" s="53"/>
      <c r="WVV58" s="53"/>
      <c r="WVW58" s="53"/>
      <c r="WVX58" s="53"/>
      <c r="WVY58" s="53"/>
      <c r="WVZ58" s="53"/>
      <c r="WWA58" s="53"/>
      <c r="WWB58" s="53"/>
      <c r="WWC58" s="53"/>
      <c r="WWD58" s="53"/>
      <c r="WWE58" s="53"/>
      <c r="WWF58" s="53"/>
      <c r="WWG58" s="53"/>
      <c r="WWH58" s="53"/>
      <c r="WWI58" s="53"/>
      <c r="WWJ58" s="53"/>
      <c r="WWK58" s="53"/>
      <c r="WWL58" s="53"/>
      <c r="WWM58" s="53"/>
      <c r="WWN58" s="53"/>
      <c r="WWO58" s="53"/>
      <c r="WWP58" s="53"/>
      <c r="WWQ58" s="53"/>
      <c r="WWR58" s="53"/>
      <c r="WWS58" s="53"/>
      <c r="WWT58" s="53"/>
      <c r="WWU58" s="53"/>
      <c r="WWV58" s="53"/>
      <c r="WWW58" s="53"/>
      <c r="WWX58" s="53"/>
      <c r="WWY58" s="53"/>
      <c r="WWZ58" s="53"/>
      <c r="WXA58" s="53"/>
      <c r="WXB58" s="53"/>
      <c r="WXC58" s="53"/>
      <c r="WXD58" s="53"/>
      <c r="WXE58" s="53"/>
      <c r="WXF58" s="53"/>
      <c r="WXG58" s="53"/>
      <c r="WXH58" s="53"/>
      <c r="WXI58" s="53"/>
      <c r="WXJ58" s="53"/>
      <c r="WXK58" s="53"/>
      <c r="WXL58" s="53"/>
      <c r="WXM58" s="53"/>
      <c r="WXN58" s="53"/>
      <c r="WXO58" s="53"/>
      <c r="WXP58" s="53"/>
      <c r="WXQ58" s="53"/>
      <c r="WXR58" s="53"/>
      <c r="WXS58" s="53"/>
      <c r="WXT58" s="53"/>
      <c r="WXU58" s="53"/>
      <c r="WXV58" s="53"/>
      <c r="WXW58" s="53"/>
      <c r="WXX58" s="53"/>
      <c r="WXY58" s="53"/>
      <c r="WXZ58" s="53"/>
      <c r="WYA58" s="53"/>
      <c r="WYB58" s="53"/>
      <c r="WYC58" s="53"/>
      <c r="WYD58" s="53"/>
      <c r="WYE58" s="53"/>
      <c r="WYF58" s="53"/>
      <c r="WYG58" s="53"/>
      <c r="WYH58" s="53"/>
      <c r="WYI58" s="53"/>
      <c r="WYJ58" s="53"/>
      <c r="WYK58" s="53"/>
      <c r="WYL58" s="53"/>
      <c r="WYM58" s="53"/>
      <c r="WYN58" s="53"/>
      <c r="WYO58" s="53"/>
      <c r="WYP58" s="53"/>
      <c r="WYQ58" s="53"/>
      <c r="WYR58" s="53"/>
      <c r="WYS58" s="53"/>
      <c r="WYT58" s="53"/>
      <c r="WYU58" s="53"/>
      <c r="WYV58" s="53"/>
      <c r="WYW58" s="53"/>
      <c r="WYX58" s="53"/>
      <c r="WYY58" s="53"/>
      <c r="WYZ58" s="53"/>
      <c r="WZA58" s="53"/>
      <c r="WZB58" s="53"/>
      <c r="WZC58" s="53"/>
      <c r="WZD58" s="53"/>
      <c r="WZE58" s="53"/>
      <c r="WZF58" s="53"/>
      <c r="WZG58" s="53"/>
      <c r="WZH58" s="53"/>
      <c r="WZI58" s="53"/>
      <c r="WZJ58" s="53"/>
      <c r="WZK58" s="53"/>
      <c r="WZL58" s="53"/>
      <c r="WZM58" s="53"/>
      <c r="WZN58" s="53"/>
      <c r="WZO58" s="53"/>
      <c r="WZP58" s="53"/>
      <c r="WZQ58" s="53"/>
      <c r="WZR58" s="53"/>
      <c r="WZS58" s="53"/>
      <c r="WZT58" s="53"/>
      <c r="WZU58" s="53"/>
      <c r="WZV58" s="53"/>
      <c r="WZW58" s="53"/>
      <c r="WZX58" s="53"/>
      <c r="WZY58" s="53"/>
      <c r="WZZ58" s="53"/>
      <c r="XAA58" s="53"/>
      <c r="XAB58" s="53"/>
      <c r="XAC58" s="53"/>
      <c r="XAD58" s="53"/>
      <c r="XAE58" s="53"/>
      <c r="XAF58" s="53"/>
      <c r="XAG58" s="53"/>
      <c r="XAH58" s="53"/>
      <c r="XAI58" s="53"/>
      <c r="XAJ58" s="53"/>
      <c r="XAK58" s="53"/>
      <c r="XAL58" s="53"/>
      <c r="XAM58" s="53"/>
      <c r="XAN58" s="53"/>
      <c r="XAO58" s="53"/>
      <c r="XAP58" s="53"/>
      <c r="XAQ58" s="53"/>
      <c r="XAR58" s="53"/>
      <c r="XAS58" s="53"/>
      <c r="XAT58" s="53"/>
      <c r="XAU58" s="53"/>
      <c r="XAV58" s="53"/>
      <c r="XAW58" s="53"/>
      <c r="XAX58" s="53"/>
      <c r="XAY58" s="53"/>
      <c r="XAZ58" s="53"/>
      <c r="XBA58" s="53"/>
      <c r="XBB58" s="53"/>
      <c r="XBC58" s="53"/>
      <c r="XBD58" s="53"/>
      <c r="XBE58" s="53"/>
      <c r="XBF58" s="53"/>
      <c r="XBG58" s="53"/>
      <c r="XBH58" s="53"/>
      <c r="XBI58" s="53"/>
      <c r="XBJ58" s="53"/>
      <c r="XBK58" s="53"/>
      <c r="XBL58" s="53"/>
      <c r="XBM58" s="53"/>
      <c r="XBN58" s="53"/>
      <c r="XBO58" s="53"/>
      <c r="XBP58" s="53"/>
      <c r="XBQ58" s="53"/>
      <c r="XBR58" s="53"/>
      <c r="XBS58" s="53"/>
      <c r="XBT58" s="53"/>
      <c r="XBU58" s="53"/>
      <c r="XBV58" s="53"/>
      <c r="XBW58" s="53"/>
      <c r="XBX58" s="53"/>
      <c r="XBY58" s="53"/>
      <c r="XBZ58" s="53"/>
      <c r="XCA58" s="53"/>
      <c r="XCB58" s="53"/>
      <c r="XCC58" s="53"/>
      <c r="XCD58" s="53"/>
      <c r="XCE58" s="53"/>
      <c r="XCF58" s="53"/>
      <c r="XCG58" s="53"/>
      <c r="XCH58" s="53"/>
      <c r="XCI58" s="53"/>
      <c r="XCJ58" s="53"/>
      <c r="XCK58" s="53"/>
      <c r="XCL58" s="53"/>
      <c r="XCM58" s="53"/>
      <c r="XCN58" s="53"/>
      <c r="XCO58" s="53"/>
      <c r="XCP58" s="53"/>
      <c r="XCQ58" s="53"/>
      <c r="XCR58" s="53"/>
      <c r="XCS58" s="53"/>
      <c r="XCT58" s="53"/>
      <c r="XCU58" s="53"/>
      <c r="XCV58" s="53"/>
      <c r="XCW58" s="53"/>
      <c r="XCX58" s="53"/>
      <c r="XCY58" s="53"/>
      <c r="XCZ58" s="53"/>
      <c r="XDA58" s="53"/>
      <c r="XDB58" s="53"/>
      <c r="XDC58" s="53"/>
      <c r="XDD58" s="53"/>
      <c r="XDE58" s="53"/>
      <c r="XDF58" s="53"/>
      <c r="XDG58" s="53"/>
      <c r="XDH58" s="53"/>
      <c r="XDI58" s="53"/>
      <c r="XDJ58" s="53"/>
      <c r="XDK58" s="53"/>
      <c r="XDL58" s="53"/>
      <c r="XDM58" s="53"/>
      <c r="XDN58" s="53"/>
      <c r="XDO58" s="53"/>
      <c r="XDP58" s="53"/>
      <c r="XDQ58" s="53"/>
      <c r="XDR58" s="53"/>
      <c r="XDS58" s="53"/>
      <c r="XDT58" s="53"/>
      <c r="XDU58" s="53"/>
      <c r="XDV58" s="53"/>
      <c r="XDW58" s="53"/>
      <c r="XDX58" s="53"/>
      <c r="XDY58" s="53"/>
      <c r="XDZ58" s="53"/>
      <c r="XEA58" s="53"/>
      <c r="XEB58" s="53"/>
      <c r="XEC58" s="53"/>
      <c r="XED58" s="53"/>
      <c r="XEE58" s="53"/>
      <c r="XEF58" s="53"/>
      <c r="XEG58" s="53"/>
      <c r="XEH58" s="53"/>
      <c r="XEI58" s="53"/>
      <c r="XEJ58" s="53"/>
      <c r="XEK58" s="53"/>
      <c r="XEL58" s="53"/>
      <c r="XEM58" s="53"/>
      <c r="XEN58" s="53"/>
      <c r="XEO58" s="53"/>
      <c r="XEP58" s="53"/>
      <c r="XEQ58" s="53"/>
      <c r="XER58" s="53"/>
      <c r="XES58" s="53"/>
      <c r="XET58" s="53"/>
      <c r="XEU58" s="53"/>
      <c r="XEV58" s="53"/>
      <c r="XEW58" s="53"/>
      <c r="XEX58" s="53"/>
      <c r="XEY58" s="53"/>
      <c r="XEZ58" s="53"/>
      <c r="XFA58" s="53"/>
      <c r="XFB58" s="53"/>
    </row>
    <row r="59" spans="1:16382" ht="15.75" thickTop="1" x14ac:dyDescent="0.25">
      <c r="AC59" s="32" t="e">
        <f>AB58-[12]MVTSEPT!$D$53</f>
        <v>#VALUE!</v>
      </c>
    </row>
    <row r="60" spans="1:16382" ht="26.25" x14ac:dyDescent="0.4">
      <c r="V60" s="78"/>
    </row>
    <row r="61" spans="1:16382" x14ac:dyDescent="0.25">
      <c r="Q61" s="54" t="s">
        <v>150</v>
      </c>
      <c r="S61" s="32">
        <f>B58</f>
        <v>18021000</v>
      </c>
    </row>
    <row r="62" spans="1:16382" x14ac:dyDescent="0.25">
      <c r="Q62" s="54" t="s">
        <v>55</v>
      </c>
      <c r="S62" s="32">
        <f>C58</f>
        <v>6174113.8883337844</v>
      </c>
    </row>
    <row r="63" spans="1:16382" x14ac:dyDescent="0.25">
      <c r="Q63" s="54" t="s">
        <v>151</v>
      </c>
      <c r="S63" s="32">
        <f>D58</f>
        <v>3860500</v>
      </c>
      <c r="T63" s="32">
        <v>1513900</v>
      </c>
    </row>
    <row r="64" spans="1:16382" x14ac:dyDescent="0.25">
      <c r="Q64" s="54" t="s">
        <v>140</v>
      </c>
    </row>
    <row r="65" spans="17:19" ht="15.75" x14ac:dyDescent="0.25">
      <c r="S65" s="79">
        <f>SUM(S61:S64)</f>
        <v>28055613.888333783</v>
      </c>
    </row>
    <row r="66" spans="17:19" x14ac:dyDescent="0.25">
      <c r="Q66" s="54" t="s">
        <v>152</v>
      </c>
      <c r="S66" s="80">
        <f>V58</f>
        <v>10314500</v>
      </c>
    </row>
  </sheetData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F7" sqref="F7"/>
    </sheetView>
  </sheetViews>
  <sheetFormatPr baseColWidth="10" defaultRowHeight="15" x14ac:dyDescent="0.25"/>
  <cols>
    <col min="1" max="1" width="20.5703125" customWidth="1"/>
    <col min="2" max="2" width="20" customWidth="1"/>
  </cols>
  <sheetData>
    <row r="1" spans="1:4" x14ac:dyDescent="0.25">
      <c r="B1" t="s">
        <v>175</v>
      </c>
    </row>
    <row r="3" spans="1:4" x14ac:dyDescent="0.25">
      <c r="A3" t="s">
        <v>170</v>
      </c>
      <c r="B3" s="32">
        <v>480000</v>
      </c>
    </row>
    <row r="4" spans="1:4" x14ac:dyDescent="0.25">
      <c r="A4" t="s">
        <v>171</v>
      </c>
      <c r="B4" s="32">
        <v>27342.159596582205</v>
      </c>
    </row>
    <row r="6" spans="1:4" x14ac:dyDescent="0.25">
      <c r="B6" s="32">
        <f>SUM(B3:B5)</f>
        <v>507342.15959658218</v>
      </c>
    </row>
    <row r="8" spans="1:4" x14ac:dyDescent="0.25">
      <c r="A8" t="s">
        <v>172</v>
      </c>
      <c r="B8" s="32">
        <f>7*25000</f>
        <v>175000</v>
      </c>
    </row>
    <row r="9" spans="1:4" x14ac:dyDescent="0.25">
      <c r="A9" t="s">
        <v>173</v>
      </c>
      <c r="B9" s="32">
        <v>63000</v>
      </c>
    </row>
    <row r="10" spans="1:4" x14ac:dyDescent="0.25">
      <c r="A10" t="s">
        <v>174</v>
      </c>
      <c r="B10" s="32">
        <v>304500</v>
      </c>
      <c r="D10" s="32">
        <f>B8+B9+B11</f>
        <v>277095</v>
      </c>
    </row>
    <row r="11" spans="1:4" x14ac:dyDescent="0.25">
      <c r="A11" t="s">
        <v>177</v>
      </c>
      <c r="B11" s="32">
        <v>39095</v>
      </c>
    </row>
    <row r="12" spans="1:4" x14ac:dyDescent="0.25">
      <c r="B12" s="32"/>
      <c r="D12" s="32">
        <f>B6-D10</f>
        <v>230247.15959658218</v>
      </c>
    </row>
    <row r="13" spans="1:4" x14ac:dyDescent="0.25">
      <c r="B13" s="32">
        <f>SUM(B8:B11)</f>
        <v>581595</v>
      </c>
      <c r="D13" s="32">
        <f>D12-B10</f>
        <v>-74252.840403417824</v>
      </c>
    </row>
    <row r="14" spans="1:4" x14ac:dyDescent="0.25">
      <c r="B14" s="32"/>
    </row>
    <row r="15" spans="1:4" x14ac:dyDescent="0.25">
      <c r="A15" t="s">
        <v>176</v>
      </c>
      <c r="B15" s="32">
        <f>B6-B13</f>
        <v>-74252.840403417824</v>
      </c>
    </row>
    <row r="16" spans="1:4" x14ac:dyDescent="0.25">
      <c r="B16" s="32"/>
    </row>
    <row r="17" spans="2:2" x14ac:dyDescent="0.25">
      <c r="B17" s="32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C64"/>
  <sheetViews>
    <sheetView workbookViewId="0">
      <pane xSplit="1" ySplit="3" topLeftCell="F15" activePane="bottomRight" state="frozen"/>
      <selection pane="topRight" activeCell="B1" sqref="B1"/>
      <selection pane="bottomLeft" activeCell="A4" sqref="A4"/>
      <selection pane="bottomRight" activeCell="A41" sqref="A41:XFD41"/>
    </sheetView>
  </sheetViews>
  <sheetFormatPr baseColWidth="10" defaultColWidth="13.7109375" defaultRowHeight="15" x14ac:dyDescent="0.25"/>
  <cols>
    <col min="1" max="1" width="28.28515625" customWidth="1"/>
    <col min="2" max="2" width="17" customWidth="1"/>
    <col min="3" max="3" width="15" bestFit="1" customWidth="1"/>
    <col min="4" max="4" width="15" style="32" bestFit="1" customWidth="1"/>
    <col min="5" max="5" width="17.42578125" style="32" customWidth="1"/>
    <col min="6" max="6" width="16.85546875" style="32" bestFit="1" customWidth="1"/>
    <col min="7" max="7" width="0" style="48" hidden="1" customWidth="1"/>
    <col min="8" max="8" width="11.42578125" style="48" hidden="1" customWidth="1"/>
    <col min="9" max="10" width="15" style="48" customWidth="1"/>
    <col min="11" max="11" width="16.42578125" style="54" customWidth="1"/>
    <col min="12" max="12" width="16.85546875" style="48" bestFit="1" customWidth="1"/>
    <col min="13" max="13" width="18.5703125" style="74" hidden="1" customWidth="1"/>
    <col min="14" max="14" width="21" style="54" hidden="1" customWidth="1"/>
    <col min="15" max="15" width="16.7109375" customWidth="1"/>
    <col min="17" max="17" width="16.5703125" customWidth="1"/>
    <col min="18" max="18" width="0.140625" customWidth="1"/>
    <col min="19" max="19" width="18.5703125" bestFit="1" customWidth="1"/>
    <col min="20" max="22" width="0" hidden="1" customWidth="1"/>
  </cols>
  <sheetData>
    <row r="1" spans="1:23" ht="23.25" x14ac:dyDescent="0.35">
      <c r="B1" s="52" t="s">
        <v>131</v>
      </c>
    </row>
    <row r="2" spans="1:23" ht="15.75" thickBot="1" x14ac:dyDescent="0.3"/>
    <row r="3" spans="1:23" ht="30" thickTop="1" x14ac:dyDescent="0.25">
      <c r="A3" s="60" t="s">
        <v>74</v>
      </c>
      <c r="B3" s="61" t="s">
        <v>142</v>
      </c>
      <c r="C3" s="61" t="s">
        <v>75</v>
      </c>
      <c r="D3" s="61" t="s">
        <v>1</v>
      </c>
      <c r="E3" s="61" t="s">
        <v>76</v>
      </c>
      <c r="F3" s="93" t="s">
        <v>77</v>
      </c>
      <c r="G3" s="94" t="s">
        <v>54</v>
      </c>
      <c r="H3" s="94" t="s">
        <v>140</v>
      </c>
      <c r="I3" s="94" t="s">
        <v>146</v>
      </c>
      <c r="J3" s="94" t="s">
        <v>144</v>
      </c>
      <c r="K3" s="95" t="s">
        <v>141</v>
      </c>
      <c r="L3" s="94" t="s">
        <v>78</v>
      </c>
      <c r="M3" s="96" t="s">
        <v>79</v>
      </c>
      <c r="N3" s="95" t="s">
        <v>140</v>
      </c>
      <c r="O3" s="93" t="s">
        <v>137</v>
      </c>
      <c r="P3" s="93" t="s">
        <v>41</v>
      </c>
      <c r="Q3" s="93" t="s">
        <v>132</v>
      </c>
      <c r="R3" s="93" t="s">
        <v>133</v>
      </c>
      <c r="S3" s="97" t="s">
        <v>147</v>
      </c>
      <c r="T3" s="44"/>
      <c r="U3" s="44" t="s">
        <v>134</v>
      </c>
    </row>
    <row r="4" spans="1:23" x14ac:dyDescent="0.25">
      <c r="A4" s="14" t="s">
        <v>73</v>
      </c>
      <c r="B4" s="64"/>
      <c r="C4" s="64">
        <f>+INVENT2016_2017!I4</f>
        <v>0</v>
      </c>
      <c r="D4" s="64">
        <f>[11]MVTAOUT!$H5+[11]MVTSEPT!$I5+[11]MVTOCT!$G5+[11]MVTNOV!$G5+[11]MVTDEC!$G5+[11]MVTJANV!$G5+[11]MVTFEV!$G5+[11]MVTMARS!$G5+[11]MVTAVRIL!$G5+[11]MVTMAI!$G5+[11]MVTJUIN!$G5+[11]MVTJUIL!$G5+[11]MVTAOUT2018!$G5</f>
        <v>0</v>
      </c>
      <c r="E4" s="64">
        <f>+[11]MVTAOUT!$D5+[11]MVTSEPT!$E5+[11]MVTOCT!$C5+[11]MVTNOV!$C5+[11]MVTDEC!$C5+[11]MVTJANV!$C5+[11]MVTFEV!$C5+[11]MVTMARS!$C5+[11]MVTAVRIL!$C5+[11]MVTMAI!$C5+[11]MVTJUIN!$C5+[11]MVTJUIL!$C5</f>
        <v>15580.723283297679</v>
      </c>
      <c r="F4" s="64">
        <f t="shared" ref="F4:F54" si="0">+C4+D4+E4</f>
        <v>15580.723283297679</v>
      </c>
      <c r="G4" s="65"/>
      <c r="H4" s="66"/>
      <c r="I4" s="65"/>
      <c r="J4" s="65"/>
      <c r="K4" s="81">
        <f>F4-G4-H4-I4-J4</f>
        <v>15580.723283297679</v>
      </c>
      <c r="L4" s="64"/>
      <c r="M4" s="82">
        <f>K4+L4</f>
        <v>15580.723283297679</v>
      </c>
      <c r="N4" s="66"/>
      <c r="O4" s="65">
        <f>[11]MVTAOUT!O5+[11]MVTSEPT!P5+[11]MVTOCT!N5+[11]MVTNOV!N5+[11]MVTDEC!N5+[11]MVTJANV!N5+[11]MVTFEV!N5+[11]MVTMARS!N5+[11]MVTAVRIL!N5+[11]MVTMAI!N5+[11]MVTJUIN!N5+[11]MVTJUIL!N5</f>
        <v>0</v>
      </c>
      <c r="P4" s="65">
        <f>[11]MVTAOUT!P5+[11]MVTSEPT!Q5+[11]MVTOCT!O5+[11]MVTNOV!O5+[11]MVTDEC!O5+[11]MVTJANV!O5+[11]MVTFEV!O5+[11]MVTMARS!O5+[11]MVTAVRIL!O5+[11]MVTMAI!O5+[11]MVTJUIN!O5+[11]MVTJUIL!O5</f>
        <v>0</v>
      </c>
      <c r="Q4" s="65">
        <f>+INVENT2016_2017!N4</f>
        <v>0</v>
      </c>
      <c r="R4" s="65">
        <f>[11]MVTAOUT!$Q5+[11]MVTSEPT!$R5+[11]MVTOCT!$P5+[11]MVTNOV!$P5+[11]MVTDEC!$P5+[11]MVTJANV!$P5+[11]MVTFEV!$P5+[11]MVTMARS!$P5+[11]MVTAVRIL!$P5+[11]MVTMAI!$P5+[11]MVTJUIN!$P5+[11]MVTJUIL!$P5</f>
        <v>0</v>
      </c>
      <c r="S4" s="83"/>
      <c r="T4" s="32"/>
    </row>
    <row r="5" spans="1:23" x14ac:dyDescent="0.25">
      <c r="A5" s="14" t="s">
        <v>80</v>
      </c>
      <c r="B5" s="64">
        <f>+INVENT2016_2017!J5</f>
        <v>450000</v>
      </c>
      <c r="C5" s="64">
        <f>+INVENT2016_2017!I5</f>
        <v>0</v>
      </c>
      <c r="D5" s="64">
        <f>[11]MVTAOUT!$H6+[11]MVTSEPT!$I6+[11]MVTOCT!$G6+[11]MVTNOV!$G6+[11]MVTDEC!$G6+[11]MVTJANV!$G6+[11]MVTFEV!$G6+[11]MVTMARS!$G6+[11]MVTAVRIL!$G6+[11]MVTMAI!$G6+[11]MVTJUIN!$G6+[11]MVTJUIL!$G6+[11]MVTAOUT2018!$G6</f>
        <v>68000</v>
      </c>
      <c r="E5" s="64">
        <f>+[11]MVTAOUT!$D6+[11]MVTSEPT!$E6+[11]MVTOCT!$C6+[11]MVTNOV!$C6+[11]MVTDEC!$C6+[11]MVTJANV!$C6+[11]MVTFEV!$C6+[11]MVTMARS!$C6+[11]MVTAVRIL!$C6+[11]MVTMAI!$C6+[11]MVTJUIN!$C6+[11]MVTJUIL!$C6</f>
        <v>19643.082164907726</v>
      </c>
      <c r="F5" s="64">
        <f t="shared" si="0"/>
        <v>87643.082164907726</v>
      </c>
      <c r="G5" s="65"/>
      <c r="H5" s="66"/>
      <c r="I5" s="65">
        <v>25000</v>
      </c>
      <c r="J5" s="65">
        <v>30000</v>
      </c>
      <c r="K5" s="81">
        <f t="shared" ref="K5:K54" si="1">F5-G5-H5-I5-J5</f>
        <v>32643.082164907726</v>
      </c>
      <c r="L5" s="64">
        <f>B5+J5</f>
        <v>480000</v>
      </c>
      <c r="M5" s="82">
        <f t="shared" ref="M5:M33" si="2">K5+L5</f>
        <v>512643.08216490771</v>
      </c>
      <c r="N5" s="66"/>
      <c r="O5" s="65">
        <f>[11]MVTAOUT!O6+[11]MVTSEPT!P6+[11]MVTOCT!N6+[11]MVTNOV!N6+[11]MVTDEC!N6+[11]MVTJANV!N6+[11]MVTFEV!N6+[11]MVTMARS!N6+[11]MVTAVRIL!N6+[11]MVTMAI!N6+[11]MVTJUIN!N6+[11]MVTJUIL!N6</f>
        <v>0</v>
      </c>
      <c r="P5" s="65">
        <f>[11]MVTAOUT!P6+[11]MVTSEPT!Q6+[11]MVTOCT!O6+[11]MVTNOV!O6+[11]MVTDEC!O6+[11]MVTJANV!O6+[11]MVTFEV!O6+[11]MVTMARS!O6+[11]MVTAVRIL!O6+[11]MVTMAI!O6+[11]MVTJUIN!O6+[11]MVTJUIL!O6</f>
        <v>0</v>
      </c>
      <c r="Q5" s="65">
        <f>+INVENT2016_2017!N5</f>
        <v>588000</v>
      </c>
      <c r="R5" s="65">
        <f>[11]MVTAOUT!$Q6+[11]MVTSEPT!$R6+[11]MVTOCT!$P6+[11]MVTNOV!$P6+[11]MVTDEC!$P6+[11]MVTJANV!$P6+[11]MVTFEV!$P6+[11]MVTMARS!$P6+[11]MVTAVRIL!$P6+[11]MVTMAI!$P6+[11]MVTJUIN!$P6+[11]MVTJUIL!$P6</f>
        <v>0</v>
      </c>
      <c r="S5" s="83">
        <f>+Q5</f>
        <v>588000</v>
      </c>
      <c r="T5" s="32"/>
    </row>
    <row r="6" spans="1:23" x14ac:dyDescent="0.25">
      <c r="A6" s="14" t="s">
        <v>81</v>
      </c>
      <c r="B6" s="64">
        <f>+INVENT2016_2017!J6</f>
        <v>450000</v>
      </c>
      <c r="C6" s="64">
        <f>+INVENT2016_2017!I6</f>
        <v>47526.870595715751</v>
      </c>
      <c r="D6" s="64">
        <f>[11]MVTAOUT!$H7+[11]MVTSEPT!$I7+[11]MVTOCT!$G7+[11]MVTNOV!$G7+[11]MVTDEC!$G7+[11]MVTJANV!$G7+[11]MVTFEV!$G7+[11]MVTMARS!$G7+[11]MVTAVRIL!$G7+[11]MVTMAI!$G7+[11]MVTJUIN!$G7+[11]MVTJUIL!$G7+[11]MVTAOUT2018!$G7</f>
        <v>39000</v>
      </c>
      <c r="E6" s="64">
        <f>+[11]MVTAOUT!$D7+[11]MVTSEPT!$E7+[11]MVTOCT!$C7+[11]MVTNOV!$C7+[11]MVTDEC!$C7+[11]MVTJANV!$C7+[11]MVTFEV!$C7+[11]MVTMARS!$C7+[11]MVTAVRIL!$C7+[11]MVTMAI!$C7+[11]MVTJUIN!$C7+[11]MVTJUIL!$C7</f>
        <v>19804.409122959751</v>
      </c>
      <c r="F6" s="64">
        <f t="shared" si="0"/>
        <v>106331.27971867551</v>
      </c>
      <c r="G6" s="65"/>
      <c r="H6" s="66"/>
      <c r="I6" s="65">
        <v>25000</v>
      </c>
      <c r="J6" s="65">
        <v>30000</v>
      </c>
      <c r="K6" s="81">
        <f t="shared" si="1"/>
        <v>51331.279718675505</v>
      </c>
      <c r="L6" s="64">
        <f>B6+J6</f>
        <v>480000</v>
      </c>
      <c r="M6" s="82">
        <f t="shared" si="2"/>
        <v>531331.27971867553</v>
      </c>
      <c r="N6" s="66">
        <v>8000</v>
      </c>
      <c r="O6" s="65">
        <f>[11]MVTAOUT!O7+[11]MVTSEPT!P7+[11]MVTOCT!N7+[11]MVTNOV!N7+[11]MVTDEC!N7+[11]MVTJANV!N7+[11]MVTFEV!N7+[11]MVTMARS!N7+[11]MVTAVRIL!N7+[11]MVTMAI!N7+[11]MVTJUIN!N7+[11]MVTJUIL!N7</f>
        <v>0</v>
      </c>
      <c r="P6" s="65">
        <f>[11]MVTAOUT!P7+[11]MVTSEPT!Q7+[11]MVTOCT!O7+[11]MVTNOV!O7+[11]MVTDEC!O7+[11]MVTJANV!O7+[11]MVTFEV!O7+[11]MVTMARS!O7+[11]MVTAVRIL!O7+[11]MVTMAI!O7+[11]MVTJUIN!O7+[11]MVTJUIL!O7</f>
        <v>0</v>
      </c>
      <c r="Q6" s="65">
        <f>+INVENT2016_2017!N6</f>
        <v>784000</v>
      </c>
      <c r="R6" s="65">
        <f>[11]MVTAOUT!$Q7+[11]MVTSEPT!$R7+[11]MVTOCT!$P7+[11]MVTNOV!$P7+[11]MVTDEC!$P7+[11]MVTJANV!$P7+[11]MVTFEV!$P7+[11]MVTMARS!$P7+[11]MVTAVRIL!$P7+[11]MVTMAI!$P7+[11]MVTJUIN!$P7+[11]MVTJUIL!$P7</f>
        <v>823200</v>
      </c>
      <c r="S6" s="83">
        <f>+IF(U6="OK",O6+P6,"EMPRUNT NON REMBOURSE")</f>
        <v>0</v>
      </c>
      <c r="T6" s="32"/>
      <c r="U6" t="s">
        <v>135</v>
      </c>
    </row>
    <row r="7" spans="1:23" x14ac:dyDescent="0.25">
      <c r="A7" s="14" t="s">
        <v>82</v>
      </c>
      <c r="B7" s="64">
        <f>+INVENT2016_2017!J7</f>
        <v>450000</v>
      </c>
      <c r="C7" s="64">
        <f>+INVENT2016_2017!I7</f>
        <v>39888.739729307388</v>
      </c>
      <c r="D7" s="64">
        <f>[11]MVTAOUT!$H8+[11]MVTSEPT!$I8+[11]MVTOCT!$G8+[11]MVTNOV!$G8+[11]MVTDEC!$G8+[11]MVTJANV!$G8+[11]MVTFEV!$G8+[11]MVTMARS!$G8+[11]MVTAVRIL!$G8+[11]MVTMAI!$G8+[11]MVTJUIN!$G8+[11]MVTJUIL!$G8+[11]MVTAOUT2018!$G8</f>
        <v>39000</v>
      </c>
      <c r="E7" s="64">
        <f>+[11]MVTAOUT!$D8+[11]MVTSEPT!$E8+[11]MVTOCT!$C8+[11]MVTNOV!$C8+[11]MVTDEC!$C8+[11]MVTJANV!$C8+[11]MVTFEV!$C8+[11]MVTMARS!$C8+[11]MVTAVRIL!$C8+[11]MVTMAI!$C8+[11]MVTJUIN!$C8+[11]MVTJUIL!$C8</f>
        <v>19815.211897162193</v>
      </c>
      <c r="F7" s="64">
        <f t="shared" si="0"/>
        <v>98703.951626469585</v>
      </c>
      <c r="G7" s="65"/>
      <c r="H7" s="66"/>
      <c r="I7" s="65">
        <v>25000</v>
      </c>
      <c r="J7" s="65">
        <v>30000</v>
      </c>
      <c r="K7" s="81">
        <f t="shared" si="1"/>
        <v>43703.951626469585</v>
      </c>
      <c r="L7" s="64">
        <f>B7+J7</f>
        <v>480000</v>
      </c>
      <c r="M7" s="82">
        <f t="shared" si="2"/>
        <v>523703.95162646961</v>
      </c>
      <c r="N7" s="66"/>
      <c r="O7" s="65">
        <f>[11]MVTAOUT!O8+[11]MVTSEPT!P8+[11]MVTOCT!N8+[11]MVTNOV!N8+[11]MVTDEC!N8+[11]MVTJANV!N8+[11]MVTFEV!N8+[11]MVTMARS!N8+[11]MVTAVRIL!N8+[11]MVTMAI!N8+[11]MVTJUIN!N8+[11]MVTJUIL!N8</f>
        <v>0</v>
      </c>
      <c r="P7" s="65">
        <f>[11]MVTAOUT!P8+[11]MVTSEPT!Q8+[11]MVTOCT!O8+[11]MVTNOV!O8+[11]MVTDEC!O8+[11]MVTJANV!O8+[11]MVTFEV!O8+[11]MVTMARS!O8+[11]MVTAVRIL!O8+[11]MVTMAI!O8+[11]MVTJUIN!O8+[11]MVTJUIL!O8</f>
        <v>0</v>
      </c>
      <c r="Q7" s="65">
        <f>+INVENT2016_2017!N7</f>
        <v>1293600</v>
      </c>
      <c r="R7" s="65">
        <f>[11]MVTAOUT!$Q8+[11]MVTSEPT!$R8+[11]MVTOCT!$P8+[11]MVTNOV!$P8+[11]MVTDEC!$P8+[11]MVTJANV!$P8+[11]MVTFEV!$P8+[11]MVTMARS!$P8+[11]MVTAVRIL!$P8+[11]MVTMAI!$P8+[11]MVTJUIN!$P8+[11]MVTJUIL!$P8</f>
        <v>1293500</v>
      </c>
      <c r="S7" s="83"/>
      <c r="T7" s="32"/>
      <c r="U7" s="32"/>
    </row>
    <row r="8" spans="1:23" x14ac:dyDescent="0.25">
      <c r="A8" s="14" t="s">
        <v>83</v>
      </c>
      <c r="B8" s="64">
        <f>+INVENT2016_2017!J8</f>
        <v>450000</v>
      </c>
      <c r="C8" s="64">
        <f>+INVENT2016_2017!I8</f>
        <v>23224.097929742595</v>
      </c>
      <c r="D8" s="64">
        <f>[11]MVTAOUT!$H9+[11]MVTSEPT!$I9+[11]MVTOCT!$G9+[11]MVTNOV!$G9+[11]MVTDEC!$G9+[11]MVTJANV!$G9+[11]MVTFEV!$G9+[11]MVTMARS!$G9+[11]MVTAVRIL!$G9+[11]MVTMAI!$G9+[11]MVTJUIN!$G9+[11]MVTJUIL!$G9+[11]MVTAOUT2018!$G9</f>
        <v>39000</v>
      </c>
      <c r="E8" s="64">
        <f>+[11]MVTAOUT!$D9+[11]MVTSEPT!$E9+[11]MVTOCT!$C9+[11]MVTNOV!$C9+[11]MVTDEC!$C9+[11]MVTJANV!$C9+[11]MVTFEV!$C9+[11]MVTMARS!$C9+[11]MVTAVRIL!$C9+[11]MVTMAI!$C9+[11]MVTJUIN!$C9+[11]MVTJUIL!$C9</f>
        <v>19830.391889387389</v>
      </c>
      <c r="F8" s="64">
        <f t="shared" si="0"/>
        <v>82054.489819129987</v>
      </c>
      <c r="G8" s="65"/>
      <c r="H8" s="66"/>
      <c r="I8" s="65">
        <v>25000</v>
      </c>
      <c r="J8" s="65">
        <v>30000</v>
      </c>
      <c r="K8" s="81">
        <f t="shared" si="1"/>
        <v>27054.489819129987</v>
      </c>
      <c r="L8" s="64">
        <f>B8+J8</f>
        <v>480000</v>
      </c>
      <c r="M8" s="82">
        <f t="shared" si="2"/>
        <v>507054.48981912999</v>
      </c>
      <c r="N8" s="66"/>
      <c r="O8" s="65">
        <f>[11]MVTAOUT!O9+[11]MVTSEPT!P9+[11]MVTOCT!N9+[11]MVTNOV!N9+[11]MVTDEC!N9+[11]MVTJANV!N9+[11]MVTFEV!N9+[11]MVTMARS!N9+[11]MVTAVRIL!N9+[11]MVTMAI!N9+[11]MVTJUIN!N9+[11]MVTJUIL!N9</f>
        <v>693000</v>
      </c>
      <c r="P8" s="65">
        <f>[11]MVTAOUT!P9+[11]MVTSEPT!Q9+[11]MVTOCT!O9+[11]MVTNOV!O9+[11]MVTDEC!O9+[11]MVTJANV!O9+[11]MVTFEV!O9+[11]MVTMARS!O9+[11]MVTAVRIL!O9+[11]MVTMAI!O9+[11]MVTJUIN!O9+[11]MVTJUIL!O9</f>
        <v>49000</v>
      </c>
      <c r="Q8" s="65">
        <f>+INVENT2016_2017!N8</f>
        <v>1017000</v>
      </c>
      <c r="R8" s="65">
        <f>[11]MVTAOUT!$Q9+[11]MVTSEPT!$R9+[11]MVTOCT!$P9+[11]MVTNOV!$P9+[11]MVTDEC!$P9+[11]MVTJANV!$P9+[11]MVTFEV!$P9+[11]MVTMARS!$P9+[11]MVTAVRIL!$P9+[11]MVTMAI!$P9+[11]MVTJUIN!$P9+[11]MVTJUIL!$P9</f>
        <v>1040000</v>
      </c>
      <c r="S8" s="83">
        <f>O8</f>
        <v>693000</v>
      </c>
      <c r="T8" s="32"/>
      <c r="U8" t="s">
        <v>135</v>
      </c>
      <c r="W8" s="99">
        <v>43121</v>
      </c>
    </row>
    <row r="9" spans="1:23" x14ac:dyDescent="0.25">
      <c r="A9" s="14" t="s">
        <v>84</v>
      </c>
      <c r="B9" s="64">
        <f>+INVENT2016_2017!J9</f>
        <v>450000</v>
      </c>
      <c r="C9" s="64">
        <f>+INVENT2016_2017!I9</f>
        <v>69006.039725126408</v>
      </c>
      <c r="D9" s="64">
        <f>[11]MVTAOUT!$H10+[11]MVTSEPT!$I10+[11]MVTOCT!$G10+[11]MVTNOV!$G10+[11]MVTDEC!$G10+[11]MVTJANV!$G10+[11]MVTFEV!$G10+[11]MVTMARS!$G10+[11]MVTAVRIL!$G10+[11]MVTMAI!$G10+[11]MVTJUIN!$G10+[11]MVTJUIL!$G10+[11]MVTAOUT2018!$G10</f>
        <v>51000</v>
      </c>
      <c r="E9" s="64">
        <f>+[11]MVTAOUT!$D10+[11]MVTSEPT!$E10+[11]MVTOCT!$C10+[11]MVTNOV!$C10+[11]MVTDEC!$C10+[11]MVTJANV!$C10+[11]MVTFEV!$C10+[11]MVTMARS!$C10+[11]MVTAVRIL!$C10+[11]MVTMAI!$C10+[11]MVTJUIN!$C10+[11]MVTJUIL!$C10</f>
        <v>20026.542089482133</v>
      </c>
      <c r="F9" s="64">
        <f t="shared" si="0"/>
        <v>140032.58181460854</v>
      </c>
      <c r="G9" s="65"/>
      <c r="H9" s="66"/>
      <c r="I9" s="65">
        <v>25000</v>
      </c>
      <c r="J9" s="65">
        <v>30000</v>
      </c>
      <c r="K9" s="81">
        <f t="shared" si="1"/>
        <v>85032.581814608537</v>
      </c>
      <c r="L9" s="64">
        <f>B9+J9</f>
        <v>480000</v>
      </c>
      <c r="M9" s="82">
        <f t="shared" si="2"/>
        <v>565032.58181460854</v>
      </c>
      <c r="N9" s="66"/>
      <c r="O9" s="65">
        <f>[11]MVTAOUT!O10+[11]MVTSEPT!P10+[11]MVTOCT!N10+[11]MVTNOV!N10+[11]MVTDEC!N10+[11]MVTJANV!N10+[11]MVTFEV!N10+[11]MVTMARS!N10+[11]MVTAVRIL!N10+[11]MVTMAI!N10+[11]MVTJUIN!N10+[11]MVTJUIL!N10</f>
        <v>0</v>
      </c>
      <c r="P9" s="65">
        <f>[11]MVTAOUT!P10+[11]MVTSEPT!Q10+[11]MVTOCT!O10+[11]MVTNOV!O10+[11]MVTDEC!O10+[11]MVTJANV!O10+[11]MVTFEV!O10+[11]MVTMARS!O10+[11]MVTAVRIL!O10+[11]MVTMAI!O10+[11]MVTJUIN!O10+[11]MVTJUIL!O10</f>
        <v>0</v>
      </c>
      <c r="Q9" s="65">
        <f>+INVENT2016_2017!N9</f>
        <v>140000</v>
      </c>
      <c r="R9" s="65">
        <f>[11]MVTAOUT!$Q10+[11]MVTSEPT!$R10+[11]MVTOCT!$P10+[11]MVTNOV!$P10+[11]MVTDEC!$P10+[11]MVTJANV!$P10+[11]MVTFEV!$P10+[11]MVTMARS!$P10+[11]MVTAVRIL!$P10+[11]MVTMAI!$P10+[11]MVTJUIN!$P10+[11]MVTJUIL!$P10</f>
        <v>210000</v>
      </c>
      <c r="S9" s="83"/>
      <c r="T9" s="32"/>
      <c r="U9" s="32"/>
    </row>
    <row r="10" spans="1:23" hidden="1" x14ac:dyDescent="0.25">
      <c r="A10" s="14"/>
      <c r="B10" s="64"/>
      <c r="C10" s="64"/>
      <c r="D10" s="64"/>
      <c r="E10" s="64"/>
      <c r="F10" s="64"/>
      <c r="G10" s="65"/>
      <c r="H10" s="66"/>
      <c r="I10" s="65"/>
      <c r="J10" s="65"/>
      <c r="K10" s="81"/>
      <c r="L10" s="64"/>
      <c r="M10" s="82"/>
      <c r="N10" s="66"/>
      <c r="O10" s="65"/>
      <c r="P10" s="65"/>
      <c r="Q10" s="65"/>
      <c r="R10" s="65"/>
      <c r="S10" s="83"/>
      <c r="T10" s="32"/>
      <c r="U10" s="32"/>
    </row>
    <row r="11" spans="1:23" ht="15" customHeight="1" x14ac:dyDescent="0.25">
      <c r="A11" s="14" t="s">
        <v>86</v>
      </c>
      <c r="B11" s="64">
        <f>+INVENT2016_2017!J11</f>
        <v>450000</v>
      </c>
      <c r="C11" s="64">
        <f>+INVENT2016_2017!I11</f>
        <v>730153.82846491481</v>
      </c>
      <c r="D11" s="64">
        <f>[11]MVTAOUT!$H11+[11]MVTSEPT!$I11+[11]MVTOCT!$G11+[11]MVTNOV!$G11+[11]MVTDEC!$G11+[11]MVTJANV!$G11+[11]MVTFEV!$G11+[11]MVTMARS!$G11+[11]MVTAVRIL!$G11+[11]MVTMAI!$G11+[11]MVTJUIN!$G11+[11]MVTJUIL!$G11+[11]MVTAOUT2018!$G11</f>
        <v>233000</v>
      </c>
      <c r="E11" s="64">
        <f>+[11]MVTAOUT!$D11+[11]MVTSEPT!$E11+[11]MVTOCT!$C11+[11]MVTNOV!$C11+[11]MVTDEC!$C11+[11]MVTJANV!$C11+[11]MVTFEV!$C11+[11]MVTMARS!$C11+[11]MVTAVRIL!$C11+[11]MVTMAI!$C11+[11]MVTJUIN!$C11+[11]MVTJUIL!$C11</f>
        <v>22119.979952866226</v>
      </c>
      <c r="F11" s="64">
        <f t="shared" si="0"/>
        <v>985273.80841778102</v>
      </c>
      <c r="G11" s="65"/>
      <c r="H11" s="66"/>
      <c r="I11" s="65"/>
      <c r="J11" s="65"/>
      <c r="K11" s="81">
        <f t="shared" si="1"/>
        <v>985273.80841778102</v>
      </c>
      <c r="L11" s="64">
        <f>B11+J11</f>
        <v>450000</v>
      </c>
      <c r="M11" s="82">
        <f t="shared" si="2"/>
        <v>1435273.808417781</v>
      </c>
      <c r="N11" s="84"/>
      <c r="O11" s="65">
        <f>[11]MVTAOUT!O11+[11]MVTSEPT!P11+[11]MVTOCT!N11+[11]MVTNOV!N11+[11]MVTDEC!N11+[11]MVTJANV!N11+[11]MVTFEV!N11+[11]MVTMARS!N11+[11]MVTAVRIL!N11+[11]MVTMAI!N11+[11]MVTJUIN!N11+[11]MVTJUIL!N11</f>
        <v>0</v>
      </c>
      <c r="P11" s="65">
        <f>[11]MVTAOUT!P11+[11]MVTSEPT!Q11+[11]MVTOCT!O11+[11]MVTNOV!O11+[11]MVTDEC!O11+[11]MVTJANV!O11+[11]MVTFEV!O11+[11]MVTMARS!O11+[11]MVTAVRIL!O11+[11]MVTMAI!O11+[11]MVTJUIN!O11+[11]MVTJUIL!O11</f>
        <v>0</v>
      </c>
      <c r="Q11" s="65">
        <f>+INVENT2016_2017!N11</f>
        <v>1120000</v>
      </c>
      <c r="R11" s="65">
        <f>[11]MVTAOUT!$Q11+[11]MVTSEPT!$R11+[11]MVTOCT!$P11+[11]MVTNOV!$P11+[11]MVTDEC!$P11+[11]MVTJANV!$P11+[11]MVTFEV!$P11+[11]MVTMARS!$P11+[11]MVTAVRIL!$P11+[11]MVTMAI!$P11+[11]MVTJUIN!$P11+[11]MVTJUIL!$P11</f>
        <v>1100000</v>
      </c>
      <c r="S11" s="83">
        <v>0</v>
      </c>
      <c r="T11" s="47">
        <f>Q11-R11</f>
        <v>20000</v>
      </c>
      <c r="U11" t="s">
        <v>135</v>
      </c>
    </row>
    <row r="12" spans="1:23" ht="15" customHeight="1" x14ac:dyDescent="0.25">
      <c r="A12" s="14" t="s">
        <v>87</v>
      </c>
      <c r="B12" s="64">
        <f>+INVENT2016_2017!J12</f>
        <v>450000</v>
      </c>
      <c r="C12" s="64">
        <f>+INVENT2016_2017!I12</f>
        <v>47654.584164984422</v>
      </c>
      <c r="D12" s="64">
        <f>[11]MVTAOUT!$H12+[11]MVTSEPT!$I12+[11]MVTOCT!$G12+[11]MVTNOV!$G12+[11]MVTDEC!$G12+[11]MVTJANV!$G12+[11]MVTFEV!$G12+[11]MVTMARS!$G12+[11]MVTAVRIL!$G12+[11]MVTMAI!$G12+[11]MVTJUIN!$G12+[11]MVTJUIL!$G12+[11]MVTAOUT2018!$G12</f>
        <v>39000</v>
      </c>
      <c r="E12" s="64">
        <f>+[11]MVTAOUT!$D12+[11]MVTSEPT!$E12+[11]MVTOCT!$C12+[11]MVTNOV!$C12+[11]MVTDEC!$C12+[11]MVTJANV!$C12+[11]MVTFEV!$C12+[11]MVTMARS!$C12+[11]MVTAVRIL!$C12+[11]MVTMAI!$C12+[11]MVTJUIN!$C12+[11]MVTJUIL!$C12</f>
        <v>19804.49817563231</v>
      </c>
      <c r="F12" s="64">
        <f t="shared" si="0"/>
        <v>106459.08234061673</v>
      </c>
      <c r="G12" s="65"/>
      <c r="H12" s="66"/>
      <c r="I12" s="65">
        <v>25000</v>
      </c>
      <c r="J12" s="65">
        <v>30000</v>
      </c>
      <c r="K12" s="81">
        <f t="shared" si="1"/>
        <v>51459.082340616733</v>
      </c>
      <c r="L12" s="64">
        <f>B12+J12</f>
        <v>480000</v>
      </c>
      <c r="M12" s="82">
        <f t="shared" si="2"/>
        <v>531459.08234061673</v>
      </c>
      <c r="N12" s="84"/>
      <c r="O12" s="65">
        <f>[11]MVTAOUT!O12+[11]MVTSEPT!P12+[11]MVTOCT!N12+[11]MVTNOV!N12+[11]MVTDEC!N12+[11]MVTJANV!N12+[11]MVTFEV!N12+[11]MVTMARS!N12+[11]MVTAVRIL!N12+[11]MVTMAI!N12+[11]MVTJUIN!N12+[11]MVTJUIL!N12</f>
        <v>1000000</v>
      </c>
      <c r="P12" s="65">
        <f>[11]MVTAOUT!P12+[11]MVTSEPT!Q12+[11]MVTOCT!O12+[11]MVTNOV!O12+[11]MVTDEC!O12+[11]MVTJANV!O12+[11]MVTFEV!O12+[11]MVTMARS!O12+[11]MVTAVRIL!O12+[11]MVTMAI!O12+[11]MVTJUIN!O12+[11]MVTJUIL!O12</f>
        <v>40000</v>
      </c>
      <c r="Q12" s="65">
        <f>+INVENT2016_2017!N12</f>
        <v>784000</v>
      </c>
      <c r="R12" s="65">
        <f>[11]MVTAOUT!$Q12+[11]MVTSEPT!$R12+[11]MVTOCT!$P12+[11]MVTNOV!$P12+[11]MVTDEC!$P12+[11]MVTJANV!$P12+[11]MVTFEV!$P12+[11]MVTMARS!$P12+[11]MVTAVRIL!$P12+[11]MVTMAI!$P12+[11]MVTJUIN!$P12+[11]MVTJUIL!$P12</f>
        <v>770000</v>
      </c>
      <c r="S12" s="83">
        <f>O12</f>
        <v>1000000</v>
      </c>
      <c r="T12" s="47">
        <f>Q12-R12</f>
        <v>14000</v>
      </c>
      <c r="U12" t="s">
        <v>135</v>
      </c>
      <c r="V12" s="32">
        <v>40000</v>
      </c>
      <c r="W12" s="99">
        <v>43205</v>
      </c>
    </row>
    <row r="13" spans="1:23" ht="15" customHeight="1" x14ac:dyDescent="0.25">
      <c r="A13" s="14" t="s">
        <v>88</v>
      </c>
      <c r="B13" s="64">
        <f>+INVENT2016_2017!J13</f>
        <v>450000</v>
      </c>
      <c r="C13" s="64">
        <f>+INVENT2016_2017!I13</f>
        <v>110017.94800500985</v>
      </c>
      <c r="D13" s="64">
        <f>[11]MVTAOUT!$H13+[11]MVTSEPT!$I13+[11]MVTOCT!$G13+[11]MVTNOV!$G13+[11]MVTDEC!$G13+[11]MVTJANV!$G13+[11]MVTFEV!$G13+[11]MVTMARS!$G13+[11]MVTAVRIL!$G13+[11]MVTMAI!$G13+[11]MVTJUIN!$G13+[11]MVTJUIL!$G13+[11]MVTAOUT2018!$G13</f>
        <v>39000</v>
      </c>
      <c r="E13" s="64">
        <f>+[11]MVTAOUT!$D13+[11]MVTSEPT!$E13+[11]MVTOCT!$C13+[11]MVTNOV!$C13+[11]MVTDEC!$C13+[11]MVTJANV!$C13+[11]MVTFEV!$C13+[11]MVTMARS!$C13+[11]MVTAVRIL!$C13+[11]MVTMAI!$C13+[11]MVTJUIN!$C13+[11]MVTJUIL!$C13</f>
        <v>19979.185268172896</v>
      </c>
      <c r="F13" s="64">
        <f t="shared" si="0"/>
        <v>168997.13327318276</v>
      </c>
      <c r="G13" s="65"/>
      <c r="H13" s="66"/>
      <c r="I13" s="65">
        <v>25000</v>
      </c>
      <c r="J13" s="65">
        <v>30000</v>
      </c>
      <c r="K13" s="81">
        <f t="shared" si="1"/>
        <v>113997.13327318276</v>
      </c>
      <c r="L13" s="64">
        <f>B13+J13</f>
        <v>480000</v>
      </c>
      <c r="M13" s="82">
        <f t="shared" si="2"/>
        <v>593997.13327318279</v>
      </c>
      <c r="N13" s="84"/>
      <c r="O13" s="65">
        <f>[11]MVTAOUT!O13+[11]MVTSEPT!P13+[11]MVTOCT!N13+[11]MVTNOV!N13+[11]MVTDEC!N13+[11]MVTJANV!N13+[11]MVTFEV!N13+[11]MVTMARS!N13+[11]MVTAVRIL!N13+[11]MVTMAI!N13+[11]MVTJUIN!N13+[11]MVTJUIL!N13</f>
        <v>700000</v>
      </c>
      <c r="P13" s="65">
        <f>[11]MVTAOUT!P13+[11]MVTSEPT!Q13+[11]MVTOCT!O13+[11]MVTNOV!O13+[11]MVTDEC!O13+[11]MVTJANV!O13+[11]MVTFEV!O13+[11]MVTMARS!O13+[11]MVTAVRIL!O13+[11]MVTMAI!O13+[11]MVTJUIN!O13+[11]MVTJUIL!O13</f>
        <v>42000</v>
      </c>
      <c r="Q13" s="65">
        <f>+INVENT2016_2017!N13</f>
        <v>0</v>
      </c>
      <c r="R13" s="65">
        <f>[11]MVTAOUT!$Q13+[11]MVTSEPT!$R13+[11]MVTOCT!$P13+[11]MVTNOV!$P13+[11]MVTDEC!$P13+[11]MVTJANV!$P13+[11]MVTFEV!$P13+[11]MVTMARS!$P13+[11]MVTAVRIL!$P13+[11]MVTMAI!$P13+[11]MVTJUIN!$P13+[11]MVTJUIL!$P13</f>
        <v>0</v>
      </c>
      <c r="S13" s="83">
        <v>700000</v>
      </c>
      <c r="T13" s="32"/>
      <c r="W13" s="99">
        <v>43148</v>
      </c>
    </row>
    <row r="14" spans="1:23" ht="15" customHeight="1" x14ac:dyDescent="0.25">
      <c r="A14" s="14" t="s">
        <v>89</v>
      </c>
      <c r="B14" s="64">
        <f>+INVENT2016_2017!J14</f>
        <v>450000</v>
      </c>
      <c r="C14" s="64">
        <f>+INVENT2016_2017!I14</f>
        <v>47415.82110666974</v>
      </c>
      <c r="D14" s="64">
        <f>[11]MVTAOUT!$H14+[11]MVTSEPT!$I14+[11]MVTOCT!$G14+[11]MVTNOV!$G14+[11]MVTDEC!$G14+[11]MVTJANV!$G14+[11]MVTFEV!$G14+[11]MVTMARS!$G14+[11]MVTAVRIL!$G14+[11]MVTMAI!$G14+[11]MVTJUIN!$G14+[11]MVTJUIL!$G14+[11]MVTAOUT2018!$G14</f>
        <v>40000</v>
      </c>
      <c r="E14" s="64">
        <f>+[11]MVTAOUT!$D14+[11]MVTSEPT!$E14+[11]MVTOCT!$C14+[11]MVTNOV!$C14+[11]MVTDEC!$C14+[11]MVTJANV!$C14+[11]MVTFEV!$C14+[11]MVTMARS!$C14+[11]MVTAVRIL!$C14+[11]MVTMAI!$C14+[11]MVTJUIN!$C14+[11]MVTJUIL!$C14</f>
        <v>19803.730952607159</v>
      </c>
      <c r="F14" s="64">
        <f t="shared" si="0"/>
        <v>107219.5520592769</v>
      </c>
      <c r="G14" s="65"/>
      <c r="H14" s="66"/>
      <c r="I14" s="65">
        <v>25000</v>
      </c>
      <c r="J14" s="65">
        <v>30000</v>
      </c>
      <c r="K14" s="81">
        <f t="shared" si="1"/>
        <v>52219.552059276903</v>
      </c>
      <c r="L14" s="64">
        <f>B14+J14</f>
        <v>480000</v>
      </c>
      <c r="M14" s="82">
        <f t="shared" si="2"/>
        <v>532219.55205927696</v>
      </c>
      <c r="N14" s="84"/>
      <c r="O14" s="65">
        <f>[11]MVTAOUT!O14+[11]MVTSEPT!P14+[11]MVTOCT!N14+[11]MVTNOV!N14+[11]MVTDEC!N14+[11]MVTJANV!N14+[11]MVTFEV!N14+[11]MVTMARS!N14+[11]MVTAVRIL!N14+[11]MVTMAI!N14+[11]MVTJUIN!N14+[11]MVTJUIL!N14</f>
        <v>600000</v>
      </c>
      <c r="P14" s="65">
        <f>[11]MVTAOUT!P14+[11]MVTSEPT!Q14+[11]MVTOCT!O14+[11]MVTNOV!O14+[11]MVTDEC!O14+[11]MVTJANV!O14+[11]MVTFEV!O14+[11]MVTMARS!O14+[11]MVTAVRIL!O14+[11]MVTMAI!O14+[11]MVTJUIN!O14+[11]MVTJUIL!O14</f>
        <v>66000</v>
      </c>
      <c r="Q14" s="65">
        <f>+INVENT2016_2017!N14</f>
        <v>1293600</v>
      </c>
      <c r="R14" s="65">
        <f>[11]MVTAOUT!$Q14+[11]MVTSEPT!$R14+[11]MVTOCT!$P14+[11]MVTNOV!$P14+[11]MVTDEC!$P14+[11]MVTJANV!$P14+[11]MVTFEV!$P14+[11]MVTMARS!$P14+[11]MVTAVRIL!$P14+[11]MVTMAI!$P14+[11]MVTJUIN!$P14+[11]MVTJUIL!$P14</f>
        <v>1293000</v>
      </c>
      <c r="S14" s="83">
        <f>+IF(U14="OK",O14+P14,"EMPRUNT NON REMBOURSE")</f>
        <v>666000</v>
      </c>
      <c r="T14" s="32"/>
      <c r="U14" s="32" t="s">
        <v>135</v>
      </c>
      <c r="W14" s="99">
        <v>42993</v>
      </c>
    </row>
    <row r="15" spans="1:23" ht="15" customHeight="1" x14ac:dyDescent="0.25">
      <c r="A15" s="14" t="s">
        <v>90</v>
      </c>
      <c r="B15" s="64">
        <f>+INVENT2016_2017!J15</f>
        <v>450000</v>
      </c>
      <c r="C15" s="64">
        <f>+INVENT2016_2017!I15</f>
        <v>0</v>
      </c>
      <c r="D15" s="64">
        <f>[11]MVTAOUT!$H15+[11]MVTSEPT!$I15+[11]MVTOCT!$G15+[11]MVTNOV!$G15+[11]MVTDEC!$G15+[11]MVTJANV!$G15+[11]MVTFEV!$G15+[11]MVTMARS!$G15+[11]MVTAVRIL!$G15+[11]MVTMAI!$G15+[11]MVTJUIN!$G15+[11]MVTJUIL!$G15+[11]MVTAOUT2018!$G15</f>
        <v>39000</v>
      </c>
      <c r="E15" s="64">
        <f>+[11]MVTAOUT!$D15+[11]MVTSEPT!$E15+[11]MVTOCT!$C15+[11]MVTNOV!$C15+[11]MVTDEC!$C15+[11]MVTJANV!$C15+[11]MVTFEV!$C15+[11]MVTMARS!$C15+[11]MVTAVRIL!$C15+[11]MVTMAI!$C15+[11]MVTJUIN!$C15+[11]MVTJUIL!$C15</f>
        <v>20021.149627566785</v>
      </c>
      <c r="F15" s="64">
        <f t="shared" si="0"/>
        <v>59021.149627566789</v>
      </c>
      <c r="G15" s="65"/>
      <c r="H15" s="66"/>
      <c r="I15" s="65">
        <v>25000</v>
      </c>
      <c r="J15" s="65">
        <v>30000</v>
      </c>
      <c r="K15" s="81">
        <f t="shared" si="1"/>
        <v>4021.1496275667887</v>
      </c>
      <c r="L15" s="64">
        <f>B15+J15</f>
        <v>480000</v>
      </c>
      <c r="M15" s="82">
        <f t="shared" si="2"/>
        <v>484021.1496275668</v>
      </c>
      <c r="N15" s="84"/>
      <c r="O15" s="65">
        <f>[11]MVTAOUT!O15+[11]MVTSEPT!P15+[11]MVTOCT!N15+[11]MVTNOV!N15+[11]MVTDEC!N15+[11]MVTJANV!N15+[11]MVTFEV!N15+[11]MVTMARS!N15+[11]MVTAVRIL!N15+[11]MVTMAI!N15+[11]MVTJUIN!N15+[11]MVTJUIL!N15</f>
        <v>0</v>
      </c>
      <c r="P15" s="65">
        <f>[11]MVTAOUT!P15+[11]MVTSEPT!Q15+[11]MVTOCT!O15+[11]MVTNOV!O15+[11]MVTDEC!O15+[11]MVTJANV!O15+[11]MVTFEV!O15+[11]MVTMARS!O15+[11]MVTAVRIL!O15+[11]MVTMAI!O15+[11]MVTJUIN!O15+[11]MVTJUIL!O15</f>
        <v>0</v>
      </c>
      <c r="Q15" s="65">
        <f>+INVENT2016_2017!N15</f>
        <v>0</v>
      </c>
      <c r="R15" s="65">
        <f>[11]MVTAOUT!$Q15+[11]MVTSEPT!$R15+[11]MVTOCT!$P15+[11]MVTNOV!$P15+[11]MVTDEC!$P15+[11]MVTJANV!$P15+[11]MVTFEV!$P15+[11]MVTMARS!$P15+[11]MVTAVRIL!$P15+[11]MVTMAI!$P15+[11]MVTJUIN!$P15+[11]MVTJUIL!$P15</f>
        <v>0</v>
      </c>
      <c r="S15" s="83"/>
      <c r="T15" s="32"/>
    </row>
    <row r="16" spans="1:23" s="49" customFormat="1" ht="15" customHeight="1" x14ac:dyDescent="0.25">
      <c r="A16" s="17" t="s">
        <v>91</v>
      </c>
      <c r="B16" s="65">
        <v>80000</v>
      </c>
      <c r="C16" s="65">
        <f>+INVENT2016_2017!I16</f>
        <v>0</v>
      </c>
      <c r="D16" s="65">
        <f>[11]MVTAOUT!$H16+[11]MVTSEPT!$I16+[11]MVTOCT!$G16+[11]MVTNOV!$G16+[11]MVTDEC!$G16+[11]MVTJANV!$G16+[11]MVTFEV!$G16+[11]MVTMARS!$G16+[11]MVTAVRIL!$G16+[11]MVTMAI!$G16+[11]MVTJUIN!$G16+[11]MVTJUIL!$G16+[11]MVTAOUT2018!$G16</f>
        <v>0</v>
      </c>
      <c r="E16" s="65">
        <f>+[11]MVTAOUT!$D16+[11]MVTSEPT!$E16+[11]MVTOCT!$C16+[11]MVTNOV!$C16+[11]MVTDEC!$C16+[11]MVTJANV!$C16+[11]MVTFEV!$C16+[11]MVTMARS!$C16+[11]MVTAVRIL!$C16+[11]MVTMAI!$C16+[11]MVTJUIN!$C16+[11]MVTJUIL!$C16</f>
        <v>3334.7558071553813</v>
      </c>
      <c r="F16" s="65">
        <f t="shared" si="0"/>
        <v>3334.7558071553813</v>
      </c>
      <c r="G16" s="65"/>
      <c r="H16" s="65"/>
      <c r="I16" s="65">
        <v>6848</v>
      </c>
      <c r="J16" s="65">
        <v>0</v>
      </c>
      <c r="K16" s="81">
        <f t="shared" si="1"/>
        <v>-3513.2441928446187</v>
      </c>
      <c r="L16" s="65">
        <v>80000</v>
      </c>
      <c r="M16" s="98">
        <f t="shared" si="2"/>
        <v>76486.755807155379</v>
      </c>
      <c r="N16" s="98"/>
      <c r="O16" s="65">
        <f>[11]MVTAOUT!O16+[11]MVTSEPT!P16+[11]MVTOCT!N16+[11]MVTNOV!N16+[11]MVTDEC!N16+[11]MVTJANV!N16+[11]MVTFEV!N16+[11]MVTMARS!N16+[11]MVTAVRIL!N16+[11]MVTMAI!N16+[11]MVTJUIN!N16+[11]MVTJUIL!N16</f>
        <v>0</v>
      </c>
      <c r="P16" s="65">
        <f>[11]MVTAOUT!P16+[11]MVTSEPT!Q16+[11]MVTOCT!O16+[11]MVTNOV!O16+[11]MVTDEC!O16+[11]MVTJANV!O16+[11]MVTFEV!O16+[11]MVTMARS!O16+[11]MVTAVRIL!O16+[11]MVTMAI!O16+[11]MVTJUIN!O16+[11]MVTJUIL!O16</f>
        <v>0</v>
      </c>
      <c r="Q16" s="65">
        <f>+INVENT2016_2017!N16</f>
        <v>0</v>
      </c>
      <c r="R16" s="65">
        <f>[11]MVTAOUT!$Q16+[11]MVTSEPT!$R16+[11]MVTOCT!$P16+[11]MVTNOV!$P16+[11]MVTDEC!$P16+[11]MVTJANV!$P16+[11]MVTFEV!$P16+[11]MVTMARS!$P16+[11]MVTAVRIL!$P16+[11]MVTMAI!$P16+[11]MVTJUIN!$P16+[11]MVTJUIL!$P16</f>
        <v>0</v>
      </c>
      <c r="S16" s="83"/>
      <c r="T16" s="48"/>
    </row>
    <row r="17" spans="1:23" ht="15" customHeight="1" x14ac:dyDescent="0.25">
      <c r="A17" s="14" t="s">
        <v>92</v>
      </c>
      <c r="B17" s="64">
        <f>+INVENT2016_2017!J17</f>
        <v>450000</v>
      </c>
      <c r="C17" s="64">
        <f>+INVENT2016_2017!I17</f>
        <v>82839.280004531</v>
      </c>
      <c r="D17" s="64">
        <f>[11]MVTAOUT!$H17+[11]MVTSEPT!$I17+[11]MVTOCT!$G17+[11]MVTNOV!$G17+[11]MVTDEC!$G17+[11]MVTJANV!$G17+[11]MVTFEV!$G17+[11]MVTMARS!$G17+[11]MVTAVRIL!$G17+[11]MVTMAI!$G17+[11]MVTJUIN!$G17+[11]MVTJUIL!$G17+[11]MVTAOUT2018!$G17</f>
        <v>54000</v>
      </c>
      <c r="E17" s="64">
        <f>+[11]MVTAOUT!$D17+[11]MVTSEPT!$E17+[11]MVTOCT!$C17+[11]MVTNOV!$C17+[11]MVTDEC!$C17+[11]MVTJANV!$C17+[11]MVTFEV!$C17+[11]MVTMARS!$C17+[11]MVTAVRIL!$C17+[11]MVTMAI!$C17+[11]MVTJUIN!$C17+[11]MVTJUIL!$C17</f>
        <v>20317.162507742913</v>
      </c>
      <c r="F17" s="64">
        <f t="shared" si="0"/>
        <v>157156.4425122739</v>
      </c>
      <c r="G17" s="65"/>
      <c r="H17" s="66"/>
      <c r="I17" s="65">
        <v>25000</v>
      </c>
      <c r="J17" s="65">
        <v>30000</v>
      </c>
      <c r="K17" s="81">
        <f t="shared" si="1"/>
        <v>102156.4425122739</v>
      </c>
      <c r="L17" s="64">
        <f>B17+J17</f>
        <v>480000</v>
      </c>
      <c r="M17" s="82">
        <f t="shared" si="2"/>
        <v>582156.4425122739</v>
      </c>
      <c r="N17" s="66">
        <v>70000</v>
      </c>
      <c r="O17" s="65">
        <f>[11]MVTAOUT!O17+[11]MVTSEPT!P17+[11]MVTOCT!N17+[11]MVTNOV!N17+[11]MVTDEC!N17+[11]MVTJANV!N17+[11]MVTFEV!N17+[11]MVTMARS!N17+[11]MVTAVRIL!N17+[11]MVTMAI!N17+[11]MVTJUIN!N17+[11]MVTJUIL!N17</f>
        <v>0</v>
      </c>
      <c r="P17" s="65">
        <f>[11]MVTAOUT!P17+[11]MVTSEPT!Q17+[11]MVTOCT!O17+[11]MVTNOV!O17+[11]MVTDEC!O17+[11]MVTJANV!O17+[11]MVTFEV!O17+[11]MVTMARS!O17+[11]MVTAVRIL!O17+[11]MVTMAI!O17+[11]MVTJUIN!O17+[11]MVTJUIL!O17</f>
        <v>0</v>
      </c>
      <c r="Q17" s="65">
        <f>+INVENT2016_2017!N17</f>
        <v>784000</v>
      </c>
      <c r="R17" s="65">
        <f>[11]MVTAOUT!$Q17+[11]MVTSEPT!$R17+[11]MVTOCT!$P17+[11]MVTNOV!$P17+[11]MVTDEC!$P17+[11]MVTJANV!$P17+[11]MVTFEV!$P17+[11]MVTMARS!$P17+[11]MVTAVRIL!$P17+[11]MVTMAI!$P17+[11]MVTJUIN!$P17+[11]MVTJUIL!$P17</f>
        <v>565000</v>
      </c>
      <c r="S17" s="83">
        <v>479000</v>
      </c>
      <c r="T17" s="47">
        <f>Q17-R17</f>
        <v>219000</v>
      </c>
      <c r="U17" s="32" t="s">
        <v>138</v>
      </c>
      <c r="W17" s="99">
        <v>42904</v>
      </c>
    </row>
    <row r="18" spans="1:23" ht="15" customHeight="1" x14ac:dyDescent="0.25">
      <c r="A18" s="17" t="s">
        <v>93</v>
      </c>
      <c r="B18" s="66">
        <v>387000</v>
      </c>
      <c r="C18" s="64">
        <f>+INVENT2016_2017!I18</f>
        <v>48664.160188931972</v>
      </c>
      <c r="D18" s="64">
        <f>[11]MVTAOUT!$H18+[11]MVTSEPT!$I18+[11]MVTOCT!$G18+[11]MVTNOV!$G18+[11]MVTDEC!$G18+[11]MVTJANV!$G18+[11]MVTFEV!$G18+[11]MVTMARS!$G18+[11]MVTAVRIL!$G18+[11]MVTMAI!$G18+[11]MVTJUIN!$G18+[11]MVTJUIL!$G18+[11]MVTAOUT2018!$G18</f>
        <v>0</v>
      </c>
      <c r="E18" s="64">
        <f>+[11]MVTAOUT!$D18+[11]MVTSEPT!$E18+[11]MVTOCT!$C18+[11]MVTNOV!$C18+[11]MVTDEC!$C18+[11]MVTJANV!$C18+[11]MVTFEV!$C18+[11]MVTMARS!$C18+[11]MVTAVRIL!$C18+[11]MVTMAI!$C18+[11]MVTJUIN!$C18+[11]MVTJUIL!$C18</f>
        <v>16583.140217657292</v>
      </c>
      <c r="F18" s="64">
        <f t="shared" si="0"/>
        <v>65247.30040658926</v>
      </c>
      <c r="G18" s="65"/>
      <c r="H18" s="66"/>
      <c r="I18" s="65">
        <v>25000</v>
      </c>
      <c r="J18" s="65">
        <v>30000</v>
      </c>
      <c r="K18" s="81">
        <f t="shared" si="1"/>
        <v>10247.30040658926</v>
      </c>
      <c r="L18" s="64">
        <v>447000</v>
      </c>
      <c r="M18" s="82">
        <f t="shared" si="2"/>
        <v>457247.30040658929</v>
      </c>
      <c r="N18" s="66"/>
      <c r="O18" s="65">
        <f>[11]MVTAOUT!O18+[11]MVTSEPT!P18+[11]MVTOCT!N18+[11]MVTNOV!N18+[11]MVTDEC!N18+[11]MVTJANV!N18+[11]MVTFEV!N18+[11]MVTMARS!N18+[11]MVTAVRIL!N18+[11]MVTMAI!N18+[11]MVTJUIN!N18+[11]MVTJUIL!N18</f>
        <v>0</v>
      </c>
      <c r="P18" s="65">
        <f>[11]MVTAOUT!P18+[11]MVTSEPT!Q18+[11]MVTOCT!O18+[11]MVTNOV!O18+[11]MVTDEC!O18+[11]MVTJANV!O18+[11]MVTFEV!O18+[11]MVTMARS!O18+[11]MVTAVRIL!O18+[11]MVTMAI!O18+[11]MVTJUIN!O18+[11]MVTJUIL!O18</f>
        <v>0</v>
      </c>
      <c r="Q18" s="65">
        <f>+INVENT2016_2017!N18</f>
        <v>0</v>
      </c>
      <c r="R18" s="65">
        <f>[11]MVTAOUT!$Q18+[11]MVTSEPT!$R18+[11]MVTOCT!$P18+[11]MVTNOV!$P18+[11]MVTDEC!$P18+[11]MVTJANV!$P18+[11]MVTFEV!$P18+[11]MVTMARS!$P18+[11]MVTAVRIL!$P18+[11]MVTMAI!$P18+[11]MVTJUIN!$P18+[11]MVTJUIL!$P18</f>
        <v>0</v>
      </c>
      <c r="S18" s="83"/>
      <c r="T18" s="32"/>
    </row>
    <row r="19" spans="1:23" ht="15" customHeight="1" x14ac:dyDescent="0.25">
      <c r="A19" s="14" t="s">
        <v>94</v>
      </c>
      <c r="B19" s="64">
        <f>+INVENT2016_2017!J19</f>
        <v>450000</v>
      </c>
      <c r="C19" s="64">
        <f>+INVENT2016_2017!I19</f>
        <v>1911428.9050543844</v>
      </c>
      <c r="D19" s="64">
        <f>[11]MVTAOUT!$H19+[11]MVTSEPT!$I19+[11]MVTOCT!$G19+[11]MVTNOV!$G19+[11]MVTDEC!$G19+[11]MVTJANV!$G19+[11]MVTFEV!$G19+[11]MVTMARS!$G19+[11]MVTAVRIL!$G19+[11]MVTMAI!$G19+[11]MVTJUIN!$G19+[11]MVTJUIL!$G19+[11]MVTAOUT2018!$G19</f>
        <v>1078000</v>
      </c>
      <c r="E19" s="64">
        <f>+[11]MVTAOUT!$D19+[11]MVTSEPT!$E19+[11]MVTOCT!$C19+[11]MVTNOV!$C19+[11]MVTDEC!$C19+[11]MVTJANV!$C19+[11]MVTFEV!$C19+[11]MVTMARS!$C19+[11]MVTAVRIL!$C19+[11]MVTMAI!$C19+[11]MVTJUIN!$C19+[11]MVTJUIL!$C19</f>
        <v>29469.823241101709</v>
      </c>
      <c r="F19" s="64">
        <f t="shared" si="0"/>
        <v>3018898.728295486</v>
      </c>
      <c r="G19" s="65"/>
      <c r="H19" s="66"/>
      <c r="I19" s="65">
        <v>25000</v>
      </c>
      <c r="J19" s="65">
        <v>30000</v>
      </c>
      <c r="K19" s="81">
        <f t="shared" si="1"/>
        <v>2963898.728295486</v>
      </c>
      <c r="L19" s="64">
        <f t="shared" ref="L19:L28" si="3">B19+J19</f>
        <v>480000</v>
      </c>
      <c r="M19" s="82">
        <f t="shared" si="2"/>
        <v>3443898.728295486</v>
      </c>
      <c r="N19" s="66">
        <v>1000000</v>
      </c>
      <c r="O19" s="65">
        <f>[11]MVTAOUT!O19+[11]MVTSEPT!P19+[11]MVTOCT!N19+[11]MVTNOV!N19+[11]MVTDEC!N19+[11]MVTJANV!N19+[11]MVTFEV!N19+[11]MVTMARS!N19+[11]MVTAVRIL!N19+[11]MVTMAI!N19+[11]MVTJUIN!N19+[11]MVTJUIL!N19</f>
        <v>0</v>
      </c>
      <c r="P19" s="65">
        <f>[11]MVTAOUT!P19+[11]MVTSEPT!Q19+[11]MVTOCT!O19+[11]MVTNOV!O19+[11]MVTDEC!O19+[11]MVTJANV!O19+[11]MVTFEV!O19+[11]MVTMARS!O19+[11]MVTAVRIL!O19+[11]MVTMAI!O19+[11]MVTJUIN!O19+[11]MVTJUIL!O19</f>
        <v>0</v>
      </c>
      <c r="Q19" s="65">
        <f>+INVENT2016_2017!N19</f>
        <v>0</v>
      </c>
      <c r="R19" s="65">
        <f>[11]MVTAOUT!$Q19+[11]MVTSEPT!$R19+[11]MVTOCT!$P19+[11]MVTNOV!$P19+[11]MVTDEC!$P19+[11]MVTJANV!$P19+[11]MVTFEV!$P19+[11]MVTMARS!$P19+[11]MVTAVRIL!$P19+[11]MVTMAI!$P19+[11]MVTJUIN!$P19+[11]MVTJUIL!$P19</f>
        <v>0</v>
      </c>
      <c r="S19" s="83"/>
      <c r="T19" s="32"/>
    </row>
    <row r="20" spans="1:23" x14ac:dyDescent="0.25">
      <c r="A20" s="14" t="s">
        <v>95</v>
      </c>
      <c r="B20" s="64">
        <f>+INVENT2016_2017!J20</f>
        <v>450000</v>
      </c>
      <c r="C20" s="64">
        <f>+INVENT2016_2017!I20</f>
        <v>47239.946532464717</v>
      </c>
      <c r="D20" s="64">
        <f>[11]MVTAOUT!$H20+[11]MVTSEPT!$I20+[11]MVTOCT!$G20+[11]MVTNOV!$G20+[11]MVTDEC!$G20+[11]MVTJANV!$G20+[11]MVTFEV!$G20+[11]MVTMARS!$G20+[11]MVTAVRIL!$G20+[11]MVTMAI!$G20+[11]MVTJUIN!$G20+[11]MVTJUIL!$G20+[11]MVTAOUT2018!$G20</f>
        <v>39000</v>
      </c>
      <c r="E20" s="64">
        <f>+[11]MVTAOUT!$D20+[11]MVTSEPT!$E20+[11]MVTOCT!$C20+[11]MVTNOV!$C20+[11]MVTDEC!$C20+[11]MVTJANV!$C20+[11]MVTFEV!$C20+[11]MVTMARS!$C20+[11]MVTAVRIL!$C20+[11]MVTMAI!$C20+[11]MVTJUIN!$C20+[11]MVTJUIL!$C20</f>
        <v>19803.16581064666</v>
      </c>
      <c r="F20" s="64">
        <f t="shared" si="0"/>
        <v>106043.11234311138</v>
      </c>
      <c r="G20" s="65"/>
      <c r="H20" s="66"/>
      <c r="I20" s="65">
        <v>25000</v>
      </c>
      <c r="J20" s="65">
        <v>30000</v>
      </c>
      <c r="K20" s="81">
        <f t="shared" si="1"/>
        <v>51043.112343111381</v>
      </c>
      <c r="L20" s="64">
        <f t="shared" si="3"/>
        <v>480000</v>
      </c>
      <c r="M20" s="82">
        <f t="shared" si="2"/>
        <v>531043.11234311142</v>
      </c>
      <c r="N20" s="66">
        <v>8000</v>
      </c>
      <c r="O20" s="65">
        <f>[11]MVTAOUT!O20+[11]MVTSEPT!P20+[11]MVTOCT!N20+[11]MVTNOV!N20+[11]MVTDEC!N20+[11]MVTJANV!N20+[11]MVTFEV!N20+[11]MVTMARS!N20+[11]MVTAVRIL!N20+[11]MVTMAI!N20+[11]MVTJUIN!N20+[11]MVTJUIL!N20</f>
        <v>600000</v>
      </c>
      <c r="P20" s="65">
        <f>[11]MVTAOUT!P20+[11]MVTSEPT!Q20+[11]MVTOCT!O20+[11]MVTNOV!O20+[11]MVTDEC!O20+[11]MVTJANV!O20+[11]MVTFEV!O20+[11]MVTMARS!O20+[11]MVTAVRIL!O20+[11]MVTMAI!O20+[11]MVTJUIN!O20+[11]MVTJUIL!O20</f>
        <v>48000</v>
      </c>
      <c r="Q20" s="65">
        <f>+INVENT2016_2017!N20</f>
        <v>1100000</v>
      </c>
      <c r="R20" s="65">
        <f>[11]MVTAOUT!$Q20+[11]MVTSEPT!$R20+[11]MVTOCT!$P20+[11]MVTNOV!$P20+[11]MVTDEC!$P20+[11]MVTJANV!$P20+[11]MVTFEV!$P20+[11]MVTMARS!$P20+[11]MVTAVRIL!$P20+[11]MVTMAI!$P20+[11]MVTJUIN!$P20+[11]MVTJUIL!$P20</f>
        <v>1150000</v>
      </c>
      <c r="S20" s="83">
        <f>+IF(U20="OK",O20+P20,"EMPRUNT NON REMBOURSE")</f>
        <v>648000</v>
      </c>
      <c r="T20" s="32"/>
      <c r="U20" t="s">
        <v>135</v>
      </c>
      <c r="W20" s="99">
        <v>43086</v>
      </c>
    </row>
    <row r="21" spans="1:23" x14ac:dyDescent="0.25">
      <c r="A21" s="14" t="s">
        <v>96</v>
      </c>
      <c r="B21" s="64">
        <f>+INVENT2016_2017!J21</f>
        <v>450000</v>
      </c>
      <c r="C21" s="64">
        <f>+INVENT2016_2017!I21</f>
        <v>53808.893492286523</v>
      </c>
      <c r="D21" s="64">
        <f>[11]MVTAOUT!$H21+[11]MVTSEPT!$I21+[11]MVTOCT!$G21+[11]MVTNOV!$G21+[11]MVTDEC!$G21+[11]MVTJANV!$G21+[11]MVTFEV!$G21+[11]MVTMARS!$G21+[11]MVTAVRIL!$G21+[11]MVTMAI!$G21+[11]MVTJUIN!$G21+[11]MVTJUIL!$G21+[11]MVTAOUT2018!$G21</f>
        <v>39000</v>
      </c>
      <c r="E21" s="64">
        <f>+[11]MVTAOUT!$D21+[11]MVTSEPT!$E21+[11]MVTOCT!$C21+[11]MVTNOV!$C21+[11]MVTDEC!$C21+[11]MVTJANV!$C21+[11]MVTFEV!$C21+[11]MVTMARS!$C21+[11]MVTAVRIL!$C21+[11]MVTMAI!$C21+[11]MVTJUIN!$C21+[11]MVTJUIL!$C21</f>
        <v>19802.808393163788</v>
      </c>
      <c r="F21" s="64">
        <f t="shared" si="0"/>
        <v>112611.70188545031</v>
      </c>
      <c r="G21" s="65"/>
      <c r="H21" s="66"/>
      <c r="I21" s="65">
        <v>25000</v>
      </c>
      <c r="J21" s="65">
        <v>30000</v>
      </c>
      <c r="K21" s="81">
        <f t="shared" si="1"/>
        <v>57611.701885450311</v>
      </c>
      <c r="L21" s="64">
        <f t="shared" si="3"/>
        <v>480000</v>
      </c>
      <c r="M21" s="82">
        <f t="shared" si="2"/>
        <v>537611.70188545028</v>
      </c>
      <c r="N21" s="66"/>
      <c r="O21" s="65">
        <f>[11]MVTAOUT!O21+[11]MVTSEPT!P21+[11]MVTOCT!N21+[11]MVTNOV!N21+[11]MVTDEC!N21+[11]MVTJANV!N21+[11]MVTFEV!N21+[11]MVTMARS!N21+[11]MVTAVRIL!N21+[11]MVTMAI!N21+[11]MVTJUIN!N21+[11]MVTJUIL!N21</f>
        <v>110000</v>
      </c>
      <c r="P21" s="65">
        <f>[11]MVTAOUT!P21+[11]MVTSEPT!Q21+[11]MVTOCT!O21+[11]MVTNOV!O21+[11]MVTDEC!O21+[11]MVTJANV!O21+[11]MVTFEV!O21+[11]MVTMARS!O21+[11]MVTAVRIL!O21+[11]MVTMAI!O21+[11]MVTJUIN!O21+[11]MVTJUIL!O21</f>
        <v>3300</v>
      </c>
      <c r="Q21" s="65">
        <f>+INVENT2016_2017!N21</f>
        <v>592000</v>
      </c>
      <c r="R21" s="65">
        <f>[11]MVTAOUT!$Q21+[11]MVTSEPT!$R21+[11]MVTOCT!$P21+[11]MVTNOV!$P21+[11]MVTDEC!$P21+[11]MVTJANV!$P21+[11]MVTFEV!$P21+[11]MVTMARS!$P21+[11]MVTAVRIL!$P21+[11]MVTMAI!$P21+[11]MVTJUIN!$P21+[11]MVTJUIL!$P21</f>
        <v>399000</v>
      </c>
      <c r="S21" s="83">
        <f>+O21</f>
        <v>110000</v>
      </c>
      <c r="T21" s="32"/>
      <c r="U21" s="32" t="s">
        <v>135</v>
      </c>
      <c r="W21" s="99">
        <v>43241</v>
      </c>
    </row>
    <row r="22" spans="1:23" x14ac:dyDescent="0.25">
      <c r="A22" s="14" t="s">
        <v>97</v>
      </c>
      <c r="B22" s="64">
        <f>+INVENT2016_2017!J22</f>
        <v>450000</v>
      </c>
      <c r="C22" s="64">
        <f>+INVENT2016_2017!I22</f>
        <v>39090.629774364417</v>
      </c>
      <c r="D22" s="64">
        <f>[11]MVTAOUT!$H22+[11]MVTSEPT!$I22+[11]MVTOCT!$G22+[11]MVTNOV!$G22+[11]MVTDEC!$G22+[11]MVTJANV!$G22+[11]MVTFEV!$G22+[11]MVTMARS!$G22+[11]MVTAVRIL!$G22+[11]MVTMAI!$G22+[11]MVTJUIN!$G22+[11]MVTJUIL!$G22+[11]MVTAOUT2018!$G22</f>
        <v>38000</v>
      </c>
      <c r="E22" s="64">
        <f>+[11]MVTAOUT!$D22+[11]MVTSEPT!$E22+[11]MVTOCT!$C22+[11]MVTNOV!$C22+[11]MVTDEC!$C22+[11]MVTJANV!$C22+[11]MVTFEV!$C22+[11]MVTMARS!$C22+[11]MVTAVRIL!$C22+[11]MVTMAI!$C22+[11]MVTJUIN!$C22+[11]MVTJUIL!$C22</f>
        <v>19797.109500169328</v>
      </c>
      <c r="F22" s="64">
        <f t="shared" si="0"/>
        <v>96887.739274533742</v>
      </c>
      <c r="G22" s="65"/>
      <c r="H22" s="66"/>
      <c r="I22" s="65">
        <v>25000</v>
      </c>
      <c r="J22" s="65">
        <v>30000</v>
      </c>
      <c r="K22" s="81">
        <f t="shared" si="1"/>
        <v>41887.739274533742</v>
      </c>
      <c r="L22" s="64">
        <f t="shared" si="3"/>
        <v>480000</v>
      </c>
      <c r="M22" s="82">
        <f t="shared" si="2"/>
        <v>521887.73927453376</v>
      </c>
      <c r="N22" s="66"/>
      <c r="O22" s="65">
        <f>[11]MVTAOUT!O22+[11]MVTSEPT!P22+[11]MVTOCT!N22+[11]MVTNOV!N22+[11]MVTDEC!N22+[11]MVTJANV!N22+[11]MVTFEV!N22+[11]MVTMARS!N22+[11]MVTAVRIL!N22+[11]MVTMAI!N22+[11]MVTJUIN!N22+[11]MVTJUIL!N22</f>
        <v>700000</v>
      </c>
      <c r="P22" s="65">
        <f>[11]MVTAOUT!P22+[11]MVTSEPT!Q22+[11]MVTOCT!O22+[11]MVTNOV!O22+[11]MVTDEC!O22+[11]MVTJANV!O22+[11]MVTFEV!O22+[11]MVTMARS!O22+[11]MVTAVRIL!O22+[11]MVTMAI!O22+[11]MVTJUIN!O22+[11]MVTJUIL!O22</f>
        <v>70000</v>
      </c>
      <c r="Q22" s="65">
        <f>+INVENT2016_2017!N22</f>
        <v>896000</v>
      </c>
      <c r="R22" s="65">
        <f>[11]MVTAOUT!$Q22+[11]MVTSEPT!$R22+[11]MVTOCT!$P22+[11]MVTNOV!$P22+[11]MVTDEC!$P22+[11]MVTJANV!$P22+[11]MVTFEV!$P22+[11]MVTMARS!$P22+[11]MVTAVRIL!$P22+[11]MVTMAI!$P22+[11]MVTJUIN!$P22+[11]MVTJUIL!$P22</f>
        <v>896000</v>
      </c>
      <c r="S22" s="83">
        <f>+IF(U22="OK",O22,"EMPRUNT NON REMBOURSE")</f>
        <v>700000</v>
      </c>
      <c r="T22" s="32"/>
      <c r="U22" t="s">
        <v>135</v>
      </c>
      <c r="W22" s="99">
        <v>43121</v>
      </c>
    </row>
    <row r="23" spans="1:23" ht="16.5" customHeight="1" x14ac:dyDescent="0.25">
      <c r="A23" s="14" t="s">
        <v>98</v>
      </c>
      <c r="B23" s="64">
        <f>+INVENT2016_2017!J23</f>
        <v>450000</v>
      </c>
      <c r="C23" s="64">
        <f>+INVENT2016_2017!I23</f>
        <v>36797.235944061853</v>
      </c>
      <c r="D23" s="64">
        <f>[11]MVTAOUT!$H23+[11]MVTSEPT!$I23+[11]MVTOCT!$G23+[11]MVTNOV!$G23+[11]MVTDEC!$G23+[11]MVTJANV!$G23+[11]MVTFEV!$G23+[11]MVTMARS!$G23+[11]MVTAVRIL!$G23+[11]MVTMAI!$G23+[11]MVTJUIN!$G23+[11]MVTJUIL!$G23+[11]MVTAOUT2018!$G23</f>
        <v>39000</v>
      </c>
      <c r="E23" s="64">
        <f>+[11]MVTAOUT!$D23+[11]MVTSEPT!$E23+[11]MVTOCT!$C23+[11]MVTNOV!$C23+[11]MVTDEC!$C23+[11]MVTJANV!$C23+[11]MVTFEV!$C23+[11]MVTMARS!$C23+[11]MVTAVRIL!$C23+[11]MVTMAI!$C23+[11]MVTJUIN!$C23+[11]MVTJUIL!$C23</f>
        <v>19808.169885824143</v>
      </c>
      <c r="F23" s="64">
        <f t="shared" si="0"/>
        <v>95605.405829886004</v>
      </c>
      <c r="G23" s="65"/>
      <c r="H23" s="66"/>
      <c r="I23" s="65">
        <v>25000</v>
      </c>
      <c r="J23" s="65">
        <v>30000</v>
      </c>
      <c r="K23" s="81">
        <f t="shared" si="1"/>
        <v>40605.405829886004</v>
      </c>
      <c r="L23" s="64">
        <f t="shared" si="3"/>
        <v>480000</v>
      </c>
      <c r="M23" s="82">
        <f t="shared" si="2"/>
        <v>520605.40582988597</v>
      </c>
      <c r="N23" s="66"/>
      <c r="O23" s="65">
        <f>[11]MVTAOUT!O23+[11]MVTSEPT!P23+[11]MVTOCT!N23+[11]MVTNOV!N23+[11]MVTDEC!N23+[11]MVTJANV!N23+[11]MVTFEV!N23+[11]MVTMARS!N23+[11]MVTAVRIL!N23+[11]MVTMAI!N23+[11]MVTJUIN!N23+[11]MVTJUIL!N23</f>
        <v>850000</v>
      </c>
      <c r="P23" s="65">
        <f>[11]MVTAOUT!P23+[11]MVTSEPT!Q23+[11]MVTOCT!O23+[11]MVTNOV!O23+[11]MVTDEC!O23+[11]MVTJANV!O23+[11]MVTFEV!O23+[11]MVTMARS!O23+[11]MVTAVRIL!O23+[11]MVTMAI!O23+[11]MVTJUIN!O23+[11]MVTJUIL!O23</f>
        <v>51000</v>
      </c>
      <c r="Q23" s="65">
        <f>+INVENT2016_2017!N23</f>
        <v>1120000</v>
      </c>
      <c r="R23" s="65">
        <f>[11]MVTAOUT!$Q23+[11]MVTSEPT!$R23+[11]MVTOCT!$P23+[11]MVTNOV!$P23+[11]MVTDEC!$P23+[11]MVTJANV!$P23+[11]MVTFEV!$P23+[11]MVTMARS!$P23+[11]MVTAVRIL!$P23+[11]MVTMAI!$P23+[11]MVTJUIN!$P23+[11]MVTJUIL!$P23</f>
        <v>1100000</v>
      </c>
      <c r="S23" s="83">
        <f>+O23</f>
        <v>850000</v>
      </c>
      <c r="T23" s="32"/>
      <c r="U23" s="32" t="s">
        <v>135</v>
      </c>
      <c r="V23">
        <v>20000</v>
      </c>
      <c r="W23" s="99">
        <v>43241</v>
      </c>
    </row>
    <row r="24" spans="1:23" x14ac:dyDescent="0.25">
      <c r="A24" s="14" t="s">
        <v>99</v>
      </c>
      <c r="B24" s="64">
        <f>+INVENT2016_2017!J24</f>
        <v>450000</v>
      </c>
      <c r="C24" s="64">
        <f>+INVENT2016_2017!I24</f>
        <v>47506.896495311616</v>
      </c>
      <c r="D24" s="64">
        <f>[11]MVTAOUT!$H24+[11]MVTSEPT!$I24+[11]MVTOCT!$G24+[11]MVTNOV!$G24+[11]MVTDEC!$G24+[11]MVTJANV!$G24+[11]MVTFEV!$G24+[11]MVTMARS!$G24+[11]MVTAVRIL!$G24+[11]MVTMAI!$G24+[11]MVTJUIN!$G24+[11]MVTJUIL!$G24+[11]MVTAOUT2018!$G24</f>
        <v>39000</v>
      </c>
      <c r="E24" s="64">
        <f>+[11]MVTAOUT!$D24+[11]MVTSEPT!$E24+[11]MVTOCT!$C24+[11]MVTNOV!$C24+[11]MVTDEC!$C24+[11]MVTJANV!$C24+[11]MVTFEV!$C24+[11]MVTMARS!$C24+[11]MVTAVRIL!$C24+[11]MVTMAI!$C24+[11]MVTJUIN!$C24+[11]MVTJUIL!$C24</f>
        <v>19799.955297849745</v>
      </c>
      <c r="F24" s="64">
        <f t="shared" si="0"/>
        <v>106306.85179316136</v>
      </c>
      <c r="G24" s="65"/>
      <c r="H24" s="66"/>
      <c r="I24" s="65">
        <v>25000</v>
      </c>
      <c r="J24" s="65">
        <v>30000</v>
      </c>
      <c r="K24" s="81">
        <f t="shared" si="1"/>
        <v>51306.851793161361</v>
      </c>
      <c r="L24" s="64">
        <f t="shared" si="3"/>
        <v>480000</v>
      </c>
      <c r="M24" s="82">
        <f t="shared" si="2"/>
        <v>531306.85179316136</v>
      </c>
      <c r="N24" s="66">
        <v>5000</v>
      </c>
      <c r="O24" s="65">
        <f>[11]MVTAOUT!O24+[11]MVTSEPT!P24+[11]MVTOCT!N24+[11]MVTNOV!N24+[11]MVTDEC!N24+[11]MVTJANV!N24+[11]MVTFEV!N24+[11]MVTMARS!N24+[11]MVTAVRIL!N24+[11]MVTMAI!N24+[11]MVTJUIN!N24+[11]MVTJUIL!N24</f>
        <v>150000</v>
      </c>
      <c r="P24" s="65">
        <f>[11]MVTAOUT!P24+[11]MVTSEPT!Q24+[11]MVTOCT!O24+[11]MVTNOV!O24+[11]MVTDEC!O24+[11]MVTJANV!O24+[11]MVTFEV!O24+[11]MVTMARS!O24+[11]MVTAVRIL!O24+[11]MVTMAI!O24+[11]MVTJUIN!O24+[11]MVTJUIL!O24</f>
        <v>18000</v>
      </c>
      <c r="Q24" s="65">
        <f>+INVENT2016_2017!N24</f>
        <v>154500</v>
      </c>
      <c r="R24" s="65">
        <f>[11]MVTAOUT!$Q24+[11]MVTSEPT!$R24+[11]MVTOCT!$P24+[11]MVTNOV!$P24+[11]MVTDEC!$P24+[11]MVTJANV!$P24+[11]MVTFEV!$P24+[11]MVTMARS!$P24+[11]MVTAVRIL!$P24+[11]MVTMAI!$P24+[11]MVTJUIN!$P24+[11]MVTJUIL!$P24</f>
        <v>157500</v>
      </c>
      <c r="S24" s="83">
        <f>+IF(U24="OK",O24+P24,"EMPRUNT NON REMBOURSE")</f>
        <v>168000</v>
      </c>
      <c r="T24" s="32"/>
      <c r="U24" t="s">
        <v>135</v>
      </c>
      <c r="W24" s="99">
        <v>42967</v>
      </c>
    </row>
    <row r="25" spans="1:23" x14ac:dyDescent="0.25">
      <c r="A25" s="14" t="s">
        <v>100</v>
      </c>
      <c r="B25" s="64">
        <f>+INVENT2016_2017!J25</f>
        <v>450000</v>
      </c>
      <c r="C25" s="64">
        <f>+INVENT2016_2017!I25</f>
        <v>47549.254632432756</v>
      </c>
      <c r="D25" s="64">
        <f>[11]MVTAOUT!$H25+[11]MVTSEPT!$I25+[11]MVTOCT!$G25+[11]MVTNOV!$G25+[11]MVTDEC!$G25+[11]MVTJANV!$G25+[11]MVTFEV!$G25+[11]MVTMARS!$G25+[11]MVTAVRIL!$G25+[11]MVTMAI!$G25+[11]MVTJUIN!$G25+[11]MVTJUIL!$G25+[11]MVTAOUT2018!$G25</f>
        <v>39000</v>
      </c>
      <c r="E25" s="64">
        <f>+[11]MVTAOUT!$D25+[11]MVTSEPT!$E25+[11]MVTOCT!$C25+[11]MVTNOV!$C25+[11]MVTDEC!$C25+[11]MVTJANV!$C25+[11]MVTFEV!$C25+[11]MVTMARS!$C25+[11]MVTAVRIL!$C25+[11]MVTMAI!$C25+[11]MVTJUIN!$C25+[11]MVTJUIL!$C25</f>
        <v>19804.481050118364</v>
      </c>
      <c r="F25" s="64">
        <f t="shared" si="0"/>
        <v>106353.73568255112</v>
      </c>
      <c r="G25" s="65"/>
      <c r="H25" s="66"/>
      <c r="I25" s="65">
        <v>25000</v>
      </c>
      <c r="J25" s="65">
        <v>30000</v>
      </c>
      <c r="K25" s="81">
        <f t="shared" si="1"/>
        <v>51353.735682551123</v>
      </c>
      <c r="L25" s="64">
        <f t="shared" si="3"/>
        <v>480000</v>
      </c>
      <c r="M25" s="82">
        <f t="shared" si="2"/>
        <v>531353.73568255117</v>
      </c>
      <c r="N25" s="66">
        <v>8000</v>
      </c>
      <c r="O25" s="65">
        <f>[11]MVTAOUT!O25+[11]MVTSEPT!P25+[11]MVTOCT!N25+[11]MVTNOV!N25+[11]MVTDEC!N25+[11]MVTJANV!N25+[11]MVTFEV!N25+[11]MVTMARS!N25+[11]MVTAVRIL!N25+[11]MVTMAI!N25+[11]MVTJUIN!N25+[11]MVTJUIL!N25</f>
        <v>0</v>
      </c>
      <c r="P25" s="65">
        <f>[11]MVTAOUT!P25+[11]MVTSEPT!Q25+[11]MVTOCT!O25+[11]MVTNOV!O25+[11]MVTDEC!O25+[11]MVTJANV!O25+[11]MVTFEV!O25+[11]MVTMARS!O25+[11]MVTAVRIL!O25+[11]MVTMAI!O25+[11]MVTJUIN!O25+[11]MVTJUIL!O25</f>
        <v>0</v>
      </c>
      <c r="Q25" s="65">
        <f>+INVENT2016_2017!N25</f>
        <v>0</v>
      </c>
      <c r="R25" s="65">
        <f>[11]MVTAOUT!$Q25+[11]MVTSEPT!$R25+[11]MVTOCT!$P25+[11]MVTNOV!$P25+[11]MVTDEC!$P25+[11]MVTJANV!$P25+[11]MVTFEV!$P25+[11]MVTMARS!$P25+[11]MVTAVRIL!$P25+[11]MVTMAI!$P25+[11]MVTJUIN!$P25+[11]MVTJUIL!$P25</f>
        <v>21000</v>
      </c>
      <c r="S25" s="83"/>
      <c r="T25" s="32"/>
      <c r="U25" s="32" t="s">
        <v>138</v>
      </c>
    </row>
    <row r="26" spans="1:23" x14ac:dyDescent="0.25">
      <c r="A26" s="14" t="s">
        <v>101</v>
      </c>
      <c r="B26" s="64">
        <f>+INVENT2016_2017!J26</f>
        <v>450000</v>
      </c>
      <c r="C26" s="64">
        <f>+INVENT2016_2017!I26</f>
        <v>47476.113679677859</v>
      </c>
      <c r="D26" s="64">
        <f>[11]MVTAOUT!$H26+[11]MVTSEPT!$I26+[11]MVTOCT!$G26+[11]MVTNOV!$G26+[11]MVTDEC!$G26+[11]MVTJANV!$G26+[11]MVTFEV!$G26+[11]MVTMARS!$G26+[11]MVTAVRIL!$G26+[11]MVTMAI!$G26+[11]MVTJUIN!$G26+[11]MVTJUIL!$G26+[11]MVTAOUT2018!$G26</f>
        <v>104000</v>
      </c>
      <c r="E26" s="64">
        <f>+[11]MVTAOUT!$D26+[11]MVTSEPT!$E26+[11]MVTOCT!$C26+[11]MVTNOV!$C26+[11]MVTDEC!$C26+[11]MVTJANV!$C26+[11]MVTFEV!$C26+[11]MVTMARS!$C26+[11]MVTAVRIL!$C26+[11]MVTMAI!$C26+[11]MVTJUIN!$C26+[11]MVTJUIL!$C26</f>
        <v>20749.50043166359</v>
      </c>
      <c r="F26" s="64">
        <f t="shared" si="0"/>
        <v>172225.61411134145</v>
      </c>
      <c r="G26" s="65"/>
      <c r="H26" s="66"/>
      <c r="I26" s="65">
        <v>25000</v>
      </c>
      <c r="J26" s="65">
        <v>30000</v>
      </c>
      <c r="K26" s="81">
        <f t="shared" si="1"/>
        <v>117225.61411134145</v>
      </c>
      <c r="L26" s="64">
        <f t="shared" si="3"/>
        <v>480000</v>
      </c>
      <c r="M26" s="82">
        <f t="shared" si="2"/>
        <v>597225.61411134142</v>
      </c>
      <c r="N26" s="66">
        <v>50000</v>
      </c>
      <c r="O26" s="65">
        <f>[11]MVTAOUT!O26+[11]MVTSEPT!P26+[11]MVTOCT!N26+[11]MVTNOV!N26+[11]MVTDEC!N26+[11]MVTJANV!N26+[11]MVTFEV!N26+[11]MVTMARS!N26+[11]MVTAVRIL!N26+[11]MVTMAI!N26+[11]MVTJUIN!N26+[11]MVTJUIL!N26</f>
        <v>700000</v>
      </c>
      <c r="P26" s="65">
        <f>[11]MVTAOUT!P26+[11]MVTSEPT!Q26+[11]MVTOCT!O26+[11]MVTNOV!O26+[11]MVTDEC!O26+[11]MVTJANV!O26+[11]MVTFEV!O26+[11]MVTMARS!O26+[11]MVTAVRIL!O26+[11]MVTMAI!O26+[11]MVTJUIN!O26+[11]MVTJUIL!O26</f>
        <v>35000</v>
      </c>
      <c r="Q26" s="65">
        <f>+INVENT2016_2017!N26</f>
        <v>672000</v>
      </c>
      <c r="R26" s="65">
        <f>[11]MVTAOUT!$Q26+[11]MVTSEPT!$R26+[11]MVTOCT!$P26+[11]MVTNOV!$P26+[11]MVTDEC!$P26+[11]MVTJANV!$P26+[11]MVTFEV!$P26+[11]MVTMARS!$P26+[11]MVTAVRIL!$P26+[11]MVTMAI!$P26+[11]MVTJUIN!$P26+[11]MVTJUIL!$P26</f>
        <v>672000</v>
      </c>
      <c r="S26" s="83">
        <f>+O26</f>
        <v>700000</v>
      </c>
      <c r="T26" s="32"/>
      <c r="U26" s="32" t="s">
        <v>135</v>
      </c>
      <c r="W26" s="99">
        <v>43169</v>
      </c>
    </row>
    <row r="27" spans="1:23" x14ac:dyDescent="0.25">
      <c r="A27" s="14" t="s">
        <v>102</v>
      </c>
      <c r="B27" s="64">
        <f>+INVENT2016_2017!J27</f>
        <v>450000</v>
      </c>
      <c r="C27" s="64">
        <f>+INVENT2016_2017!I27</f>
        <v>27680.73434003918</v>
      </c>
      <c r="D27" s="64">
        <f>[11]MVTAOUT!$H27+[11]MVTSEPT!$I27+[11]MVTOCT!$G27+[11]MVTNOV!$G27+[11]MVTDEC!$G27+[11]MVTJANV!$G27+[11]MVTFEV!$G27+[11]MVTMARS!$G27+[11]MVTAVRIL!$G27+[11]MVTMAI!$G27+[11]MVTJUIN!$G27+[11]MVTJUIL!$G27+[11]MVTAOUT2018!$G27</f>
        <v>39000</v>
      </c>
      <c r="E27" s="64">
        <f>+[11]MVTAOUT!$D27+[11]MVTSEPT!$E27+[11]MVTOCT!$C27+[11]MVTNOV!$C27+[11]MVTDEC!$C27+[11]MVTJANV!$C27+[11]MVTFEV!$C27+[11]MVTMARS!$C27+[11]MVTAVRIL!$C27+[11]MVTMAI!$C27+[11]MVTJUIN!$C27+[11]MVTJUIL!$C27</f>
        <v>19734.447121784498</v>
      </c>
      <c r="F27" s="64">
        <f t="shared" si="0"/>
        <v>86415.181461823682</v>
      </c>
      <c r="G27" s="65"/>
      <c r="H27" s="66"/>
      <c r="I27" s="65">
        <v>25000</v>
      </c>
      <c r="J27" s="65">
        <v>30000</v>
      </c>
      <c r="K27" s="81">
        <f t="shared" si="1"/>
        <v>31415.181461823682</v>
      </c>
      <c r="L27" s="64">
        <f t="shared" si="3"/>
        <v>480000</v>
      </c>
      <c r="M27" s="82">
        <f t="shared" si="2"/>
        <v>511415.1814618237</v>
      </c>
      <c r="N27" s="66"/>
      <c r="O27" s="65">
        <f>[11]MVTAOUT!O27+[11]MVTSEPT!P27+[11]MVTOCT!N27+[11]MVTNOV!N27+[11]MVTDEC!N27+[11]MVTJANV!N27+[11]MVTFEV!N27+[11]MVTMARS!N27+[11]MVTAVRIL!N27+[11]MVTMAI!N27+[11]MVTJUIN!N27+[11]MVTJUIL!N27</f>
        <v>0</v>
      </c>
      <c r="P27" s="65">
        <f>[11]MVTAOUT!P27+[11]MVTSEPT!Q27+[11]MVTOCT!O27+[11]MVTNOV!O27+[11]MVTDEC!O27+[11]MVTJANV!O27+[11]MVTFEV!O27+[11]MVTMARS!O27+[11]MVTAVRIL!O27+[11]MVTMAI!O27+[11]MVTJUIN!O27+[11]MVTJUIL!O27</f>
        <v>0</v>
      </c>
      <c r="Q27" s="65">
        <f>+INVENT2016_2017!N27</f>
        <v>0</v>
      </c>
      <c r="R27" s="65">
        <f>[11]MVTAOUT!$Q27+[11]MVTSEPT!$R27+[11]MVTOCT!$P27+[11]MVTNOV!$P27+[11]MVTDEC!$P27+[11]MVTJANV!$P27+[11]MVTFEV!$P27+[11]MVTMARS!$P27+[11]MVTAVRIL!$P27+[11]MVTMAI!$P27+[11]MVTJUIN!$P27+[11]MVTJUIL!$P27</f>
        <v>0</v>
      </c>
      <c r="S27" s="83"/>
      <c r="T27" s="32"/>
    </row>
    <row r="28" spans="1:23" x14ac:dyDescent="0.25">
      <c r="A28" s="14" t="s">
        <v>103</v>
      </c>
      <c r="B28" s="64">
        <f>+INVENT2016_2017!J28</f>
        <v>450000</v>
      </c>
      <c r="C28" s="64">
        <f>+INVENT2016_2017!I28</f>
        <v>47679.518159791274</v>
      </c>
      <c r="D28" s="64">
        <f>[11]MVTAOUT!$H28+[11]MVTSEPT!$I28+[11]MVTOCT!$G28+[11]MVTNOV!$G28+[11]MVTDEC!$G28+[11]MVTJANV!$G28+[11]MVTFEV!$G28+[11]MVTMARS!$G28+[11]MVTAVRIL!$G28+[11]MVTMAI!$G28+[11]MVTJUIN!$G28+[11]MVTJUIL!$G28+[11]MVTAOUT2018!$G28</f>
        <v>105500</v>
      </c>
      <c r="E28" s="64">
        <f>+[11]MVTAOUT!$D28+[11]MVTSEPT!$E28+[11]MVTOCT!$C28+[11]MVTNOV!$C28+[11]MVTDEC!$C28+[11]MVTJANV!$C28+[11]MVTFEV!$C28+[11]MVTMARS!$C28+[11]MVTAVRIL!$C28+[11]MVTMAI!$C28+[11]MVTJUIN!$C28+[11]MVTJUIL!$C28</f>
        <v>22120.769243732229</v>
      </c>
      <c r="F28" s="64">
        <f t="shared" si="0"/>
        <v>175300.28740352351</v>
      </c>
      <c r="G28" s="65"/>
      <c r="H28" s="66"/>
      <c r="I28" s="65">
        <v>25000</v>
      </c>
      <c r="J28" s="65">
        <v>30000</v>
      </c>
      <c r="K28" s="81">
        <f t="shared" si="1"/>
        <v>120300.28740352351</v>
      </c>
      <c r="L28" s="64">
        <f t="shared" si="3"/>
        <v>480000</v>
      </c>
      <c r="M28" s="82">
        <f t="shared" si="2"/>
        <v>600300.28740352346</v>
      </c>
      <c r="N28" s="66"/>
      <c r="O28" s="65">
        <f>[11]MVTAOUT!O28+[11]MVTSEPT!P28+[11]MVTOCT!N28+[11]MVTNOV!N28+[11]MVTDEC!N28+[11]MVTJANV!N28+[11]MVTFEV!N28+[11]MVTMARS!N28+[11]MVTAVRIL!N28+[11]MVTMAI!N28+[11]MVTJUIN!N28+[11]MVTJUIL!N28</f>
        <v>0</v>
      </c>
      <c r="P28" s="65">
        <f>[11]MVTAOUT!P28+[11]MVTSEPT!Q28+[11]MVTOCT!O28+[11]MVTNOV!O28+[11]MVTDEC!O28+[11]MVTJANV!O28+[11]MVTFEV!O28+[11]MVTMARS!O28+[11]MVTAVRIL!O28+[11]MVTMAI!O28+[11]MVTJUIN!O28+[11]MVTJUIL!O28</f>
        <v>0</v>
      </c>
      <c r="Q28" s="65">
        <f>+INVENT2016_2017!N28</f>
        <v>1120000</v>
      </c>
      <c r="R28" s="65">
        <f>[11]MVTAOUT!$Q28+[11]MVTSEPT!$R28+[11]MVTOCT!$P28+[11]MVTNOV!$P28+[11]MVTDEC!$P28+[11]MVTJANV!$P28+[11]MVTFEV!$P28+[11]MVTMARS!$P28+[11]MVTAVRIL!$P28+[11]MVTMAI!$P28+[11]MVTJUIN!$P28+[11]MVTJUIL!$P28</f>
        <v>0</v>
      </c>
      <c r="S28" s="83">
        <f>+Q28</f>
        <v>1120000</v>
      </c>
      <c r="T28" s="32"/>
      <c r="W28" s="99">
        <v>42904</v>
      </c>
    </row>
    <row r="29" spans="1:23" s="49" customFormat="1" x14ac:dyDescent="0.25">
      <c r="A29" s="17" t="s">
        <v>104</v>
      </c>
      <c r="B29" s="65">
        <v>30000</v>
      </c>
      <c r="C29" s="65">
        <f>+INVENT2016_2017!I29</f>
        <v>-4174.3496285728761</v>
      </c>
      <c r="D29" s="65">
        <f>[11]MVTAOUT!$H29+[11]MVTSEPT!$I29+[11]MVTOCT!$G29+[11]MVTNOV!$G29+[11]MVTDEC!$G29+[11]MVTJANV!$G29+[11]MVTFEV!$G29+[11]MVTMARS!$G29+[11]MVTAVRIL!$G29+[11]MVTMAI!$G29+[11]MVTJUIN!$G29+[11]MVTJUIL!$G29+[11]MVTAOUT2018!$G29</f>
        <v>0</v>
      </c>
      <c r="E29" s="65">
        <f>+[11]MVTAOUT!$D29+[11]MVTSEPT!$E29+[11]MVTOCT!$C29+[11]MVTNOV!$C29+[11]MVTDEC!$C29+[11]MVTJANV!$C29+[11]MVTFEV!$C29+[11]MVTMARS!$C29+[11]MVTAVRIL!$C29+[11]MVTMAI!$C29+[11]MVTJUIN!$C29+[11]MVTJUIL!$C29</f>
        <v>1237.5906251636579</v>
      </c>
      <c r="F29" s="65">
        <f t="shared" si="0"/>
        <v>-2936.7590034092182</v>
      </c>
      <c r="G29" s="65"/>
      <c r="H29" s="65"/>
      <c r="I29" s="65">
        <v>13234</v>
      </c>
      <c r="J29" s="65">
        <v>0</v>
      </c>
      <c r="K29" s="98">
        <f t="shared" si="1"/>
        <v>-16170.759003409217</v>
      </c>
      <c r="L29" s="65">
        <v>30000</v>
      </c>
      <c r="M29" s="98">
        <f t="shared" si="2"/>
        <v>13829.240996590783</v>
      </c>
      <c r="N29" s="65"/>
      <c r="O29" s="65">
        <f>[11]MVTAOUT!O29+[11]MVTSEPT!P29+[11]MVTOCT!N29+[11]MVTNOV!N29+[11]MVTDEC!N29+[11]MVTJANV!N29+[11]MVTFEV!N29+[11]MVTMARS!N29+[11]MVTAVRIL!N29+[11]MVTMAI!N29+[11]MVTJUIN!N29+[11]MVTJUIL!N29</f>
        <v>0</v>
      </c>
      <c r="P29" s="65">
        <f>[11]MVTAOUT!P29+[11]MVTSEPT!Q29+[11]MVTOCT!O29+[11]MVTNOV!O29+[11]MVTDEC!O29+[11]MVTJANV!O29+[11]MVTFEV!O29+[11]MVTMARS!O29+[11]MVTAVRIL!O29+[11]MVTMAI!O29+[11]MVTJUIN!O29+[11]MVTJUIL!O29</f>
        <v>0</v>
      </c>
      <c r="Q29" s="65">
        <f>+INVENT2016_2017!N29</f>
        <v>0</v>
      </c>
      <c r="R29" s="65">
        <f>[11]MVTAOUT!$Q29+[11]MVTSEPT!$R29+[11]MVTOCT!$P29+[11]MVTNOV!$P29+[11]MVTDEC!$P29+[11]MVTJANV!$P29+[11]MVTFEV!$P29+[11]MVTMARS!$P29+[11]MVTAVRIL!$P29+[11]MVTMAI!$P29+[11]MVTJUIN!$P29+[11]MVTJUIL!$P29</f>
        <v>50000</v>
      </c>
      <c r="S29" s="83"/>
      <c r="T29" s="48"/>
      <c r="U29" s="48" t="s">
        <v>138</v>
      </c>
    </row>
    <row r="30" spans="1:23" x14ac:dyDescent="0.25">
      <c r="A30" s="14" t="s">
        <v>105</v>
      </c>
      <c r="B30" s="64">
        <f>+INVENT2016_2017!J30</f>
        <v>450000</v>
      </c>
      <c r="C30" s="64">
        <f>+INVENT2016_2017!I30</f>
        <v>93205.63086682024</v>
      </c>
      <c r="D30" s="64">
        <f>[11]MVTAOUT!$H30+[11]MVTSEPT!$I30+[11]MVTOCT!$G30+[11]MVTNOV!$G30+[11]MVTDEC!$G30+[11]MVTJANV!$G30+[11]MVTFEV!$G30+[11]MVTMARS!$G30+[11]MVTAVRIL!$G30+[11]MVTMAI!$G30+[11]MVTJUIN!$G30+[11]MVTJUIL!$G30+[11]MVTAOUT2018!$G30</f>
        <v>39000</v>
      </c>
      <c r="E30" s="64">
        <f>+[11]MVTAOUT!$D30+[11]MVTSEPT!$E30+[11]MVTOCT!$C30+[11]MVTNOV!$C30+[11]MVTDEC!$C30+[11]MVTJANV!$C30+[11]MVTFEV!$C30+[11]MVTMARS!$C30+[11]MVTAVRIL!$C30+[11]MVTMAI!$C30+[11]MVTJUIN!$C30+[11]MVTJUIL!$C30</f>
        <v>19932.623691365428</v>
      </c>
      <c r="F30" s="64">
        <f t="shared" si="0"/>
        <v>152138.25455818564</v>
      </c>
      <c r="G30" s="65"/>
      <c r="H30" s="66"/>
      <c r="I30" s="65">
        <v>25000</v>
      </c>
      <c r="J30" s="65">
        <v>30000</v>
      </c>
      <c r="K30" s="81">
        <f t="shared" si="1"/>
        <v>97138.254558185639</v>
      </c>
      <c r="L30" s="64">
        <f>B30+J30</f>
        <v>480000</v>
      </c>
      <c r="M30" s="82">
        <f t="shared" si="2"/>
        <v>577138.25455818558</v>
      </c>
      <c r="N30" s="66"/>
      <c r="O30" s="65">
        <f>[11]MVTAOUT!O30+[11]MVTSEPT!P30+[11]MVTOCT!N30+[11]MVTNOV!N30+[11]MVTDEC!N30+[11]MVTJANV!N30+[11]MVTFEV!N30+[11]MVTMARS!N30+[11]MVTAVRIL!N30+[11]MVTMAI!N30+[11]MVTJUIN!N30+[11]MVTJUIL!N30</f>
        <v>0</v>
      </c>
      <c r="P30" s="65">
        <f>[11]MVTAOUT!P30+[11]MVTSEPT!Q30+[11]MVTOCT!O30+[11]MVTNOV!O30+[11]MVTDEC!O30+[11]MVTJANV!O30+[11]MVTFEV!O30+[11]MVTMARS!O30+[11]MVTAVRIL!O30+[11]MVTMAI!O30+[11]MVTJUIN!O30+[11]MVTJUIL!O30</f>
        <v>0</v>
      </c>
      <c r="Q30" s="65">
        <f>+INVENT2016_2017!N30</f>
        <v>0</v>
      </c>
      <c r="R30" s="65">
        <f>[11]MVTAOUT!$Q30+[11]MVTSEPT!$R30+[11]MVTOCT!$P30+[11]MVTNOV!$P30+[11]MVTDEC!$P30+[11]MVTJANV!$P30+[11]MVTFEV!$P30+[11]MVTMARS!$P30+[11]MVTAVRIL!$P30+[11]MVTMAI!$P30+[11]MVTJUIN!$P30+[11]MVTJUIL!$P30</f>
        <v>0</v>
      </c>
      <c r="S30" s="83"/>
      <c r="T30" s="32"/>
      <c r="U30" s="32"/>
    </row>
    <row r="31" spans="1:23" x14ac:dyDescent="0.25">
      <c r="A31" s="14" t="s">
        <v>106</v>
      </c>
      <c r="B31" s="64">
        <f>+INVENT2016_2017!J31</f>
        <v>450000</v>
      </c>
      <c r="C31" s="64">
        <f>+INVENT2016_2017!I31</f>
        <v>46909.873148318322</v>
      </c>
      <c r="D31" s="64">
        <f>[11]MVTAOUT!$H31+[11]MVTSEPT!$I31+[11]MVTOCT!$G31+[11]MVTNOV!$G31+[11]MVTDEC!$G31+[11]MVTJANV!$G31+[11]MVTFEV!$G31+[11]MVTMARS!$G31+[11]MVTAVRIL!$G31+[11]MVTMAI!$G31+[11]MVTJUIN!$G31+[11]MVTJUIL!$G31+[11]MVTAOUT2018!$G31</f>
        <v>39000</v>
      </c>
      <c r="E31" s="64">
        <f>+[11]MVTAOUT!$D31+[11]MVTSEPT!$E31+[11]MVTOCT!$C31+[11]MVTNOV!$C31+[11]MVTDEC!$C31+[11]MVTJANV!$C31+[11]MVTFEV!$C31+[11]MVTMARS!$C31+[11]MVTAVRIL!$C31+[11]MVTMAI!$C31+[11]MVTJUIN!$C31+[11]MVTJUIL!$C31</f>
        <v>19779.44545784255</v>
      </c>
      <c r="F31" s="64">
        <f t="shared" si="0"/>
        <v>105689.31860616087</v>
      </c>
      <c r="G31" s="65"/>
      <c r="H31" s="66"/>
      <c r="I31" s="65">
        <v>25000</v>
      </c>
      <c r="J31" s="65">
        <v>30000</v>
      </c>
      <c r="K31" s="81">
        <f t="shared" si="1"/>
        <v>50689.318606160872</v>
      </c>
      <c r="L31" s="64">
        <f>B31+J31</f>
        <v>480000</v>
      </c>
      <c r="M31" s="82">
        <f t="shared" si="2"/>
        <v>530689.31860616081</v>
      </c>
      <c r="N31" s="66">
        <v>13900</v>
      </c>
      <c r="O31" s="65">
        <f>[11]MVTAOUT!O31+[11]MVTSEPT!P31+[11]MVTOCT!N31+[11]MVTNOV!N31+[11]MVTDEC!N31+[11]MVTJANV!N31+[11]MVTFEV!N31+[11]MVTMARS!N31+[11]MVTAVRIL!N31+[11]MVTMAI!N31+[11]MVTJUIN!N31+[11]MVTJUIL!N31</f>
        <v>500000</v>
      </c>
      <c r="P31" s="65">
        <f>[11]MVTAOUT!P31+[11]MVTSEPT!Q31+[11]MVTOCT!O31+[11]MVTNOV!O31+[11]MVTDEC!O31+[11]MVTJANV!O31+[11]MVTFEV!O31+[11]MVTMARS!O31+[11]MVTAVRIL!O31+[11]MVTMAI!O31+[11]MVTJUIN!O31+[11]MVTJUIL!O31</f>
        <v>10000</v>
      </c>
      <c r="Q31" s="65">
        <f>+INVENT2016_2017!N31</f>
        <v>896000</v>
      </c>
      <c r="R31" s="65">
        <f>[11]MVTAOUT!$Q31+[11]MVTSEPT!$R31+[11]MVTOCT!$P31+[11]MVTNOV!$P31+[11]MVTDEC!$P31+[11]MVTJANV!$P31+[11]MVTFEV!$P31+[11]MVTMARS!$P31+[11]MVTAVRIL!$P31+[11]MVTMAI!$P31+[11]MVTJUIN!$P31+[11]MVTJUIL!$P31</f>
        <v>940800</v>
      </c>
      <c r="S31" s="83">
        <f>+IF(U31="OK",O31,"EMPRUNT NON REMBOURSE")</f>
        <v>500000</v>
      </c>
      <c r="T31" s="32"/>
      <c r="U31" s="32" t="s">
        <v>135</v>
      </c>
      <c r="W31" s="99">
        <v>43268</v>
      </c>
    </row>
    <row r="32" spans="1:23" x14ac:dyDescent="0.25">
      <c r="A32" s="14" t="s">
        <v>107</v>
      </c>
      <c r="B32" s="64">
        <f>+INVENT2016_2017!J32</f>
        <v>450000</v>
      </c>
      <c r="C32" s="64">
        <f>+INVENT2016_2017!I32</f>
        <v>54313.880911556305</v>
      </c>
      <c r="D32" s="64">
        <f>[11]MVTAOUT!$H32+[11]MVTSEPT!$I32+[11]MVTOCT!$G32+[11]MVTNOV!$G32+[11]MVTDEC!$G32+[11]MVTJANV!$G32+[11]MVTFEV!$G32+[11]MVTMARS!$G32+[11]MVTAVRIL!$G32+[11]MVTMAI!$G32+[11]MVTJUIN!$G32+[11]MVTJUIL!$G32+[11]MVTAOUT2018!$G32</f>
        <v>378000</v>
      </c>
      <c r="E32" s="64">
        <f>+[11]MVTAOUT!$D32+[11]MVTSEPT!$E32+[11]MVTOCT!$C32+[11]MVTNOV!$C32+[11]MVTDEC!$C32+[11]MVTJANV!$C32+[11]MVTFEV!$C32+[11]MVTMARS!$C32+[11]MVTAVRIL!$C32+[11]MVTMAI!$C32+[11]MVTJUIN!$C32+[11]MVTJUIL!$C32</f>
        <v>27722.469576251013</v>
      </c>
      <c r="F32" s="64">
        <f t="shared" si="0"/>
        <v>460036.3504878073</v>
      </c>
      <c r="G32" s="65"/>
      <c r="H32" s="66"/>
      <c r="I32" s="65">
        <v>25000</v>
      </c>
      <c r="J32" s="65">
        <v>30000</v>
      </c>
      <c r="K32" s="81">
        <f t="shared" si="1"/>
        <v>405036.3504878073</v>
      </c>
      <c r="L32" s="64">
        <f>B32+J32</f>
        <v>480000</v>
      </c>
      <c r="M32" s="82">
        <f t="shared" si="2"/>
        <v>885036.3504878073</v>
      </c>
      <c r="N32" s="66">
        <v>100000</v>
      </c>
      <c r="O32" s="65">
        <f>[11]MVTAOUT!O32+[11]MVTSEPT!P32+[11]MVTOCT!N32+[11]MVTNOV!N32+[11]MVTDEC!N32+[11]MVTJANV!N32+[11]MVTFEV!N32+[11]MVTMARS!N32+[11]MVTAVRIL!N32+[11]MVTMAI!N32+[11]MVTJUIN!N32+[11]MVTJUIL!N32</f>
        <v>1000000</v>
      </c>
      <c r="P32" s="65">
        <f>[11]MVTAOUT!P32+[11]MVTSEPT!Q32+[11]MVTOCT!O32+[11]MVTNOV!O32+[11]MVTDEC!O32+[11]MVTJANV!O32+[11]MVTFEV!O32+[11]MVTMARS!O32+[11]MVTAVRIL!O32+[11]MVTMAI!O32+[11]MVTJUIN!O32+[11]MVTJUIL!O32</f>
        <v>90000</v>
      </c>
      <c r="Q32" s="65">
        <f>+INVENT2016_2017!N32</f>
        <v>1120000</v>
      </c>
      <c r="R32" s="65">
        <f>[11]MVTAOUT!$Q32+[11]MVTSEPT!$R32+[11]MVTOCT!$P32+[11]MVTNOV!$P32+[11]MVTDEC!$P32+[11]MVTJANV!$P32+[11]MVTFEV!$P32+[11]MVTMARS!$P32+[11]MVTAVRIL!$P32+[11]MVTMAI!$P32+[11]MVTJUIN!$P32+[11]MVTJUIL!$P32</f>
        <v>1120000</v>
      </c>
      <c r="S32" s="83">
        <f>+IF(U32="OK",O32+P32,"EMPRUNT NON REMBOURSE")</f>
        <v>1090000</v>
      </c>
      <c r="T32" s="32"/>
      <c r="U32" t="s">
        <v>135</v>
      </c>
      <c r="W32" s="99">
        <v>43057</v>
      </c>
    </row>
    <row r="33" spans="1:23" x14ac:dyDescent="0.25">
      <c r="A33" s="14" t="s">
        <v>108</v>
      </c>
      <c r="B33" s="64">
        <f>+INVENT2016_2017!J33</f>
        <v>450000</v>
      </c>
      <c r="C33" s="64">
        <f>+INVENT2016_2017!I33</f>
        <v>50017.733013545163</v>
      </c>
      <c r="D33" s="64">
        <f>[11]MVTAOUT!$H33+[11]MVTSEPT!$I33+[11]MVTOCT!$G33+[11]MVTNOV!$G33+[11]MVTDEC!$G33+[11]MVTJANV!$G33+[11]MVTFEV!$G33+[11]MVTMARS!$G33+[11]MVTAVRIL!$G33+[11]MVTMAI!$G33+[11]MVTJUIN!$G33+[11]MVTJUIL!$G33+[11]MVTAOUT2018!$G33</f>
        <v>104000</v>
      </c>
      <c r="E33" s="64">
        <f>+[11]MVTAOUT!$D33+[11]MVTSEPT!$E33+[11]MVTOCT!$C33+[11]MVTNOV!$C33+[11]MVTDEC!$C33+[11]MVTJANV!$C33+[11]MVTFEV!$C33+[11]MVTMARS!$C33+[11]MVTAVRIL!$C33+[11]MVTMAI!$C33+[11]MVTJUIN!$C33+[11]MVTJUIL!$C33</f>
        <v>21092.066749094622</v>
      </c>
      <c r="F33" s="64">
        <f t="shared" si="0"/>
        <v>175109.7997626398</v>
      </c>
      <c r="G33" s="65"/>
      <c r="H33" s="66"/>
      <c r="I33" s="65">
        <v>25000</v>
      </c>
      <c r="J33" s="65">
        <v>30000</v>
      </c>
      <c r="K33" s="81">
        <f t="shared" si="1"/>
        <v>120109.7997626398</v>
      </c>
      <c r="L33" s="64">
        <f>B33+J33</f>
        <v>480000</v>
      </c>
      <c r="M33" s="82">
        <f t="shared" si="2"/>
        <v>600109.7997626398</v>
      </c>
      <c r="N33" s="66">
        <v>150000</v>
      </c>
      <c r="O33" s="65">
        <f>[11]MVTAOUT!O33+[11]MVTSEPT!P33+[11]MVTOCT!N33+[11]MVTNOV!N33+[11]MVTDEC!N33+[11]MVTJANV!N33+[11]MVTFEV!N33+[11]MVTMARS!N33+[11]MVTAVRIL!N33+[11]MVTMAI!N33+[11]MVTJUIN!N33+[11]MVTJUIL!N33</f>
        <v>500000</v>
      </c>
      <c r="P33" s="65">
        <f>[11]MVTAOUT!P33+[11]MVTSEPT!Q33+[11]MVTOCT!O33+[11]MVTNOV!O33+[11]MVTDEC!O33+[11]MVTJANV!O33+[11]MVTFEV!O33+[11]MVTMARS!O33+[11]MVTAVRIL!O33+[11]MVTMAI!O33+[11]MVTJUIN!O33+[11]MVTJUIL!O33</f>
        <v>50000</v>
      </c>
      <c r="Q33" s="65">
        <f>+INVENT2016_2017!N33</f>
        <v>472000</v>
      </c>
      <c r="R33" s="65">
        <f>[11]MVTAOUT!$Q33+[11]MVTSEPT!$R33+[11]MVTOCT!$P33+[11]MVTNOV!$P33+[11]MVTDEC!$P33+[11]MVTJANV!$P33+[11]MVTFEV!$P33+[11]MVTMARS!$P33+[11]MVTAVRIL!$P33+[11]MVTMAI!$P33+[11]MVTJUIN!$P33+[11]MVTJUIL!$P33</f>
        <v>1274000</v>
      </c>
      <c r="S33" s="83">
        <f>+IF(U33="OK",O33+P33,"EMPRUNT NON REMBOURSE")-130000</f>
        <v>420000</v>
      </c>
      <c r="T33" s="32"/>
      <c r="U33" s="32" t="s">
        <v>135</v>
      </c>
      <c r="W33" s="99">
        <v>43374</v>
      </c>
    </row>
    <row r="34" spans="1:23" hidden="1" x14ac:dyDescent="0.25">
      <c r="A34" s="14"/>
      <c r="B34" s="64"/>
      <c r="C34" s="64"/>
      <c r="D34" s="64"/>
      <c r="E34" s="64"/>
      <c r="F34" s="64"/>
      <c r="G34" s="65"/>
      <c r="H34" s="66"/>
      <c r="I34" s="65"/>
      <c r="J34" s="65"/>
      <c r="K34" s="81"/>
      <c r="L34" s="64"/>
      <c r="M34" s="82"/>
      <c r="N34" s="66"/>
      <c r="O34" s="65"/>
      <c r="P34" s="65"/>
      <c r="Q34" s="65"/>
      <c r="R34" s="65"/>
      <c r="S34" s="83"/>
      <c r="T34" s="32"/>
      <c r="U34" s="32"/>
    </row>
    <row r="35" spans="1:23" hidden="1" x14ac:dyDescent="0.25">
      <c r="A35" s="14"/>
      <c r="B35" s="64"/>
      <c r="C35" s="64"/>
      <c r="D35" s="64"/>
      <c r="E35" s="64"/>
      <c r="F35" s="64"/>
      <c r="G35" s="65"/>
      <c r="H35" s="66"/>
      <c r="I35" s="65"/>
      <c r="J35" s="65"/>
      <c r="K35" s="81"/>
      <c r="L35" s="64"/>
      <c r="M35" s="82"/>
      <c r="N35" s="66"/>
      <c r="O35" s="65"/>
      <c r="P35" s="65"/>
      <c r="Q35" s="65"/>
      <c r="R35" s="65"/>
      <c r="S35" s="83"/>
      <c r="T35" s="32"/>
      <c r="U35" s="32"/>
    </row>
    <row r="36" spans="1:23" hidden="1" x14ac:dyDescent="0.25">
      <c r="A36" s="14"/>
      <c r="B36" s="64"/>
      <c r="C36" s="64"/>
      <c r="D36" s="64"/>
      <c r="E36" s="64"/>
      <c r="F36" s="64"/>
      <c r="G36" s="65"/>
      <c r="H36" s="66"/>
      <c r="I36" s="65"/>
      <c r="J36" s="65"/>
      <c r="K36" s="81"/>
      <c r="L36" s="64"/>
      <c r="M36" s="82"/>
      <c r="N36" s="66"/>
      <c r="O36" s="65"/>
      <c r="P36" s="65"/>
      <c r="Q36" s="65"/>
      <c r="R36" s="65"/>
      <c r="S36" s="83"/>
      <c r="T36" s="32"/>
      <c r="U36" s="32"/>
    </row>
    <row r="37" spans="1:23" x14ac:dyDescent="0.25">
      <c r="A37" s="14" t="s">
        <v>112</v>
      </c>
      <c r="B37" s="64">
        <f>+INVENT2016_2017!J37</f>
        <v>450000</v>
      </c>
      <c r="C37" s="64">
        <f>+INVENT2016_2017!I37</f>
        <v>47164.657594173732</v>
      </c>
      <c r="D37" s="64">
        <f>[11]MVTAOUT!$H35+[11]MVTSEPT!$I35+[11]MVTOCT!$G35+[11]MVTNOV!$G35+[11]MVTDEC!$G35+[11]MVTJANV!$G35+[11]MVTFEV!$G35+[11]MVTMARS!$G35+[11]MVTAVRIL!$G35+[11]MVTMAI!$G35+[11]MVTJUIN!$G35+[11]MVTJUIL!$G35+[11]MVTAOUT2018!$G35</f>
        <v>39000</v>
      </c>
      <c r="E37" s="64">
        <f>+[11]MVTAOUT!$D35+[11]MVTSEPT!$E35+[11]MVTOCT!$C35+[11]MVTNOV!$C35+[11]MVTDEC!$C35+[11]MVTJANV!$C35+[11]MVTFEV!$C35+[11]MVTMARS!$C35+[11]MVTAVRIL!$C35+[11]MVTMAI!$C35+[11]MVTJUIN!$C35+[11]MVTJUIL!$C35</f>
        <v>19803.637745363583</v>
      </c>
      <c r="F37" s="64">
        <f t="shared" si="0"/>
        <v>105968.29533953732</v>
      </c>
      <c r="G37" s="65"/>
      <c r="H37" s="66"/>
      <c r="I37" s="65">
        <v>25000</v>
      </c>
      <c r="J37" s="65">
        <v>30000</v>
      </c>
      <c r="K37" s="81">
        <f t="shared" si="1"/>
        <v>50968.295339537319</v>
      </c>
      <c r="L37" s="64">
        <f>B37+J37</f>
        <v>480000</v>
      </c>
      <c r="M37" s="82">
        <f t="shared" ref="M37:M38" si="4">K37+L37</f>
        <v>530968.29533953732</v>
      </c>
      <c r="N37" s="84"/>
      <c r="O37" s="65">
        <f>[11]MVTAOUT!O35+[11]MVTSEPT!P35+[11]MVTOCT!N35+[11]MVTNOV!N35+[11]MVTDEC!N35+[11]MVTJANV!N35+[11]MVTFEV!N35+[11]MVTMARS!N35+[11]MVTAVRIL!N35+[11]MVTMAI!N35+[11]MVTJUIN!N35+[11]MVTJUIL!N35</f>
        <v>0</v>
      </c>
      <c r="P37" s="65">
        <f>[11]MVTAOUT!P35+[11]MVTSEPT!Q35+[11]MVTOCT!O35+[11]MVTNOV!O35+[11]MVTDEC!O35+[11]MVTJANV!O35+[11]MVTFEV!O35+[11]MVTMARS!O35+[11]MVTAVRIL!O35+[11]MVTMAI!O35+[11]MVTJUIN!O35+[11]MVTJUIL!O35</f>
        <v>0</v>
      </c>
      <c r="Q37" s="65">
        <f>+INVENT2016_2017!N37</f>
        <v>0</v>
      </c>
      <c r="R37" s="65">
        <f>[11]MVTAOUT!$Q35+[11]MVTSEPT!$R35+[11]MVTOCT!$P35+[11]MVTNOV!$P35+[11]MVTDEC!$P35+[11]MVTJANV!$P35+[11]MVTFEV!$P35+[11]MVTMARS!$P35+[11]MVTAVRIL!$P35+[11]MVTMAI!$P35+[11]MVTJUIN!$P35+[11]MVTJUIL!$P35</f>
        <v>0</v>
      </c>
      <c r="S37" s="83"/>
      <c r="T37" s="32"/>
    </row>
    <row r="38" spans="1:23" x14ac:dyDescent="0.25">
      <c r="A38" s="14" t="s">
        <v>113</v>
      </c>
      <c r="B38" s="64">
        <f>+INVENT2016_2017!J38</f>
        <v>450000</v>
      </c>
      <c r="C38" s="64">
        <f>+INVENT2016_2017!I38</f>
        <v>39428.86927142147</v>
      </c>
      <c r="D38" s="64">
        <f>[11]MVTAOUT!$H36+[11]MVTSEPT!$I36+[11]MVTOCT!$G36+[11]MVTNOV!$G36+[11]MVTDEC!$G36+[11]MVTJANV!$G36+[11]MVTFEV!$G36+[11]MVTMARS!$G36+[11]MVTAVRIL!$G36+[11]MVTMAI!$G36+[11]MVTJUIN!$G36+[11]MVTJUIL!$G36+[11]MVTAOUT2018!$G36</f>
        <v>39000</v>
      </c>
      <c r="E38" s="64">
        <f>+[11]MVTAOUT!$D36+[11]MVTSEPT!$E36+[11]MVTOCT!$C36+[11]MVTNOV!$C36+[11]MVTDEC!$C36+[11]MVTJANV!$C36+[11]MVTFEV!$C36+[11]MVTMARS!$C36+[11]MVTAVRIL!$C36+[11]MVTMAI!$C36+[11]MVTJUIN!$C36+[11]MVTJUIL!$C36</f>
        <v>19818.304035514146</v>
      </c>
      <c r="F38" s="64">
        <f t="shared" si="0"/>
        <v>98247.173306935612</v>
      </c>
      <c r="G38" s="65"/>
      <c r="H38" s="66"/>
      <c r="I38" s="65">
        <v>25000</v>
      </c>
      <c r="J38" s="65">
        <v>30000</v>
      </c>
      <c r="K38" s="81">
        <f t="shared" si="1"/>
        <v>43247.173306935612</v>
      </c>
      <c r="L38" s="64">
        <f>B38+J38</f>
        <v>480000</v>
      </c>
      <c r="M38" s="82">
        <f t="shared" si="4"/>
        <v>523247.17330693558</v>
      </c>
      <c r="N38" s="84"/>
      <c r="O38" s="65">
        <f>[11]MVTAOUT!O36+[11]MVTSEPT!P36+[11]MVTOCT!N36+[11]MVTNOV!N36+[11]MVTDEC!N36+[11]MVTJANV!N36+[11]MVTFEV!N36+[11]MVTMARS!N36+[11]MVTAVRIL!N36+[11]MVTMAI!N36+[11]MVTJUIN!N36+[11]MVTJUIL!N36</f>
        <v>2000000</v>
      </c>
      <c r="P38" s="65">
        <f>[11]MVTAOUT!P36+[11]MVTSEPT!Q36+[11]MVTOCT!O36+[11]MVTNOV!O36+[11]MVTDEC!O36+[11]MVTJANV!O36+[11]MVTFEV!O36+[11]MVTMARS!O36+[11]MVTAVRIL!O36+[11]MVTMAI!O36+[11]MVTJUIN!O36+[11]MVTJUIL!O36</f>
        <v>140000</v>
      </c>
      <c r="Q38" s="65">
        <f>+INVENT2016_2017!N38</f>
        <v>1120000</v>
      </c>
      <c r="R38" s="65">
        <f>[11]MVTAOUT!$Q36+[11]MVTSEPT!$R36+[11]MVTOCT!$P36+[11]MVTNOV!$P36+[11]MVTDEC!$P36+[11]MVTJANV!$P36+[11]MVTFEV!$P36+[11]MVTMARS!$P36+[11]MVTAVRIL!$P36+[11]MVTMAI!$P36+[11]MVTJUIN!$P36+[11]MVTJUIL!$P36</f>
        <v>2200000</v>
      </c>
      <c r="S38" s="83">
        <v>1040000</v>
      </c>
      <c r="T38" s="47">
        <v>40000</v>
      </c>
      <c r="U38" t="s">
        <v>135</v>
      </c>
      <c r="W38" s="99">
        <v>43009</v>
      </c>
    </row>
    <row r="39" spans="1:23" s="49" customFormat="1" x14ac:dyDescent="0.25">
      <c r="A39" s="17" t="s">
        <v>114</v>
      </c>
      <c r="B39" s="65">
        <v>344000</v>
      </c>
      <c r="C39" s="65">
        <f>+INVENT2016_2017!I39</f>
        <v>42886.780925128507</v>
      </c>
      <c r="D39" s="65">
        <f>[11]MVTAOUT!$H37+[11]MVTSEPT!$I37+[11]MVTOCT!$G37+[11]MVTNOV!$G37+[11]MVTDEC!$G37+[11]MVTJANV!$G37+[11]MVTFEV!$G37+[11]MVTMARS!$G37+[11]MVTAVRIL!$G37+[11]MVTMAI!$G37+[11]MVTJUIN!$G37+[11]MVTJUIL!$G37+[11]MVTAOUT2018!$G37</f>
        <v>21000</v>
      </c>
      <c r="E39" s="65">
        <f>+[11]MVTAOUT!$D37+[11]MVTSEPT!$E37+[11]MVTOCT!$C37+[11]MVTNOV!$C37+[11]MVTDEC!$C37+[11]MVTJANV!$C37+[11]MVTFEV!$C37+[11]MVTMARS!$C37+[11]MVTAVRIL!$C37+[11]MVTMAI!$C37+[11]MVTJUIN!$C37+[11]MVTJUIL!$C37</f>
        <v>18455.378671453702</v>
      </c>
      <c r="F39" s="65">
        <f t="shared" si="0"/>
        <v>82342.159596582205</v>
      </c>
      <c r="G39" s="65"/>
      <c r="H39" s="65"/>
      <c r="I39" s="65">
        <v>25000</v>
      </c>
      <c r="J39" s="65">
        <v>30000</v>
      </c>
      <c r="K39" s="81">
        <f t="shared" si="1"/>
        <v>27342.159596582205</v>
      </c>
      <c r="L39" s="65">
        <v>344000</v>
      </c>
      <c r="M39" s="98">
        <f t="shared" ref="M39:M53" si="5">L39+K39</f>
        <v>371342.15959658218</v>
      </c>
      <c r="N39" s="98"/>
      <c r="O39" s="65">
        <f>[11]MVTAOUT!O37+[11]MVTSEPT!P37+[11]MVTOCT!N37+[11]MVTNOV!N37+[11]MVTDEC!N37+[11]MVTJANV!N37+[11]MVTFEV!N37+[11]MVTMARS!N37+[11]MVTAVRIL!N37+[11]MVTMAI!N37+[11]MVTJUIN!N37+[11]MVTJUIL!N37</f>
        <v>0</v>
      </c>
      <c r="P39" s="65">
        <f>[11]MVTAOUT!P37+[11]MVTSEPT!Q37+[11]MVTOCT!O37+[11]MVTNOV!O37+[11]MVTDEC!O37+[11]MVTJANV!O37+[11]MVTFEV!O37+[11]MVTMARS!O37+[11]MVTAVRIL!O37+[11]MVTMAI!O37+[11]MVTJUIN!O37+[11]MVTJUIL!O37</f>
        <v>0</v>
      </c>
      <c r="Q39" s="65">
        <f>+INVENT2016_2017!N39</f>
        <v>784000</v>
      </c>
      <c r="R39" s="65">
        <f>[11]MVTAOUT!$Q37+[11]MVTSEPT!$R37+[11]MVTOCT!$P37+[11]MVTNOV!$P37+[11]MVTDEC!$P37+[11]MVTJANV!$P37+[11]MVTFEV!$P37+[11]MVTMARS!$P37+[11]MVTAVRIL!$P37+[11]MVTMAI!$P37+[11]MVTJUIN!$P37+[11]MVTJUIL!$P37</f>
        <v>0</v>
      </c>
      <c r="S39" s="83">
        <f>+Q39-700000</f>
        <v>84000</v>
      </c>
      <c r="T39" s="48"/>
      <c r="W39" s="100">
        <v>42873</v>
      </c>
    </row>
    <row r="40" spans="1:23" x14ac:dyDescent="0.25">
      <c r="A40" s="14" t="s">
        <v>115</v>
      </c>
      <c r="B40" s="64">
        <f>+INVENT2016_2017!J40</f>
        <v>450000</v>
      </c>
      <c r="C40" s="64">
        <f>+INVENT2016_2017!I40</f>
        <v>53965.469479387291</v>
      </c>
      <c r="D40" s="64">
        <f>[11]MVTAOUT!$H38+[11]MVTSEPT!$I38+[11]MVTOCT!$G38+[11]MVTNOV!$G38+[11]MVTDEC!$G38+[11]MVTJANV!$G38+[11]MVTFEV!$G38+[11]MVTMARS!$G38+[11]MVTAVRIL!$G38+[11]MVTMAI!$G38+[11]MVTJUIN!$G38+[11]MVTJUIL!$G38+[11]MVTAOUT2018!$G38</f>
        <v>39000</v>
      </c>
      <c r="E40" s="64">
        <f>+[11]MVTAOUT!$D38+[11]MVTSEPT!$E38+[11]MVTOCT!$C38+[11]MVTNOV!$C38+[11]MVTDEC!$C38+[11]MVTJANV!$C38+[11]MVTFEV!$C38+[11]MVTMARS!$C38+[11]MVTAVRIL!$C38+[11]MVTMAI!$C38+[11]MVTJUIN!$C38+[11]MVTJUIL!$C38</f>
        <v>19811.994996173344</v>
      </c>
      <c r="F40" s="64">
        <f t="shared" si="0"/>
        <v>112777.46447556064</v>
      </c>
      <c r="G40" s="65"/>
      <c r="H40" s="66"/>
      <c r="I40" s="65">
        <v>25000</v>
      </c>
      <c r="J40" s="65">
        <v>30000</v>
      </c>
      <c r="K40" s="81">
        <f t="shared" si="1"/>
        <v>57777.464475560642</v>
      </c>
      <c r="L40" s="64">
        <f>B40+J40</f>
        <v>480000</v>
      </c>
      <c r="M40" s="82">
        <f t="shared" ref="M40:M54" si="6">K40+L40</f>
        <v>537777.4644755607</v>
      </c>
      <c r="N40" s="84"/>
      <c r="O40" s="65">
        <f>[11]MVTAOUT!O38+[11]MVTSEPT!P38+[11]MVTOCT!N38+[11]MVTNOV!N38+[11]MVTDEC!N38+[11]MVTJANV!N38+[11]MVTFEV!N38+[11]MVTMARS!N38+[11]MVTAVRIL!N38+[11]MVTMAI!N38+[11]MVTJUIN!N38+[11]MVTJUIL!N38</f>
        <v>0</v>
      </c>
      <c r="P40" s="65">
        <f>[11]MVTAOUT!P38+[11]MVTSEPT!Q38+[11]MVTOCT!O38+[11]MVTNOV!O38+[11]MVTDEC!O38+[11]MVTJANV!O38+[11]MVTFEV!O38+[11]MVTMARS!O38+[11]MVTAVRIL!O38+[11]MVTMAI!O38+[11]MVTJUIN!O38+[11]MVTJUIL!O38</f>
        <v>0</v>
      </c>
      <c r="Q40" s="65">
        <f>+INVENT2016_2017!N40</f>
        <v>1120000</v>
      </c>
      <c r="R40" s="65">
        <f>[11]MVTAOUT!$Q38+[11]MVTSEPT!$R38+[11]MVTOCT!$P38+[11]MVTNOV!$P38+[11]MVTDEC!$P38+[11]MVTJANV!$P38+[11]MVTFEV!$P38+[11]MVTMARS!$P38+[11]MVTAVRIL!$P38+[11]MVTMAI!$P38+[11]MVTJUIN!$P38+[11]MVTJUIL!$P38</f>
        <v>0</v>
      </c>
      <c r="S40" s="83">
        <f>+Q40-120000</f>
        <v>1000000</v>
      </c>
      <c r="T40" s="32"/>
      <c r="W40" s="99">
        <v>43169</v>
      </c>
    </row>
    <row r="41" spans="1:23" x14ac:dyDescent="0.25">
      <c r="A41" s="14" t="s">
        <v>116</v>
      </c>
      <c r="B41" s="64">
        <f>+INVENT2016_2017!J41</f>
        <v>450000</v>
      </c>
      <c r="C41" s="64">
        <f>+INVENT2016_2017!I41</f>
        <v>49454.029566398589</v>
      </c>
      <c r="D41" s="64">
        <f>[11]MVTAOUT!$H39+[11]MVTSEPT!$I39+[11]MVTOCT!$G39+[11]MVTNOV!$G39+[11]MVTDEC!$G39+[11]MVTJANV!$G39+[11]MVTFEV!$G39+[11]MVTMARS!$G39+[11]MVTAVRIL!$G39+[11]MVTMAI!$G39+[11]MVTJUIN!$G39+[11]MVTJUIL!$G39+[11]MVTAOUT2018!$G39</f>
        <v>39000</v>
      </c>
      <c r="E41" s="64">
        <f>+[11]MVTAOUT!$D39+[11]MVTSEPT!$E39+[11]MVTOCT!$C39+[11]MVTNOV!$C39+[11]MVTDEC!$C39+[11]MVTJANV!$C39+[11]MVTFEV!$C39+[11]MVTMARS!$C39+[11]MVTAVRIL!$C39+[11]MVTMAI!$C39+[11]MVTJUIN!$C39+[11]MVTJUIL!$C39</f>
        <v>19810.67290649606</v>
      </c>
      <c r="F41" s="64">
        <f t="shared" si="0"/>
        <v>108264.70247289466</v>
      </c>
      <c r="G41" s="65"/>
      <c r="H41" s="66"/>
      <c r="I41" s="65">
        <v>25000</v>
      </c>
      <c r="J41" s="65">
        <v>30000</v>
      </c>
      <c r="K41" s="81">
        <f t="shared" si="1"/>
        <v>53264.702472894656</v>
      </c>
      <c r="L41" s="64">
        <f>B41+J41</f>
        <v>480000</v>
      </c>
      <c r="M41" s="82">
        <f t="shared" si="6"/>
        <v>533264.70247289469</v>
      </c>
      <c r="N41" s="84"/>
      <c r="O41" s="65">
        <f>[11]MVTAOUT!O39+[11]MVTSEPT!P39+[11]MVTOCT!N39+[11]MVTNOV!N39+[11]MVTDEC!N39+[11]MVTJANV!N39+[11]MVTFEV!N39+[11]MVTMARS!N39+[11]MVTAVRIL!N39+[11]MVTMAI!N39+[11]MVTJUIN!N39+[11]MVTJUIL!N39</f>
        <v>0</v>
      </c>
      <c r="P41" s="65">
        <f>[11]MVTAOUT!P39+[11]MVTSEPT!Q39+[11]MVTOCT!O39+[11]MVTNOV!O39+[11]MVTDEC!O39+[11]MVTJANV!O39+[11]MVTFEV!O39+[11]MVTMARS!O39+[11]MVTAVRIL!O39+[11]MVTMAI!O39+[11]MVTJUIN!O39+[11]MVTJUIL!O39</f>
        <v>0</v>
      </c>
      <c r="Q41" s="65">
        <f>+INVENT2016_2017!N41</f>
        <v>963000</v>
      </c>
      <c r="R41" s="65">
        <f>[11]MVTAOUT!$Q39+[11]MVTSEPT!$R39+[11]MVTOCT!$P39+[11]MVTNOV!$P39+[11]MVTDEC!$P39+[11]MVTJANV!$P39+[11]MVTFEV!$P39+[11]MVTMARS!$P39+[11]MVTAVRIL!$P39+[11]MVTMAI!$P39+[11]MVTJUIN!$P39+[11]MVTJUIL!$P39</f>
        <v>670000</v>
      </c>
      <c r="S41" s="83">
        <f>Q41-R41</f>
        <v>293000</v>
      </c>
      <c r="T41" s="47"/>
      <c r="U41" s="32" t="s">
        <v>138</v>
      </c>
    </row>
    <row r="42" spans="1:23" x14ac:dyDescent="0.25">
      <c r="A42" s="14" t="s">
        <v>117</v>
      </c>
      <c r="B42" s="64">
        <f>+INVENT2016_2017!J42</f>
        <v>450000</v>
      </c>
      <c r="C42" s="64">
        <f>+INVENT2016_2017!I42</f>
        <v>152184.30617585612</v>
      </c>
      <c r="D42" s="64">
        <f>[11]MVTAOUT!$H40+[11]MVTSEPT!$I40+[11]MVTOCT!$G40+[11]MVTNOV!$G40+[11]MVTDEC!$G40+[11]MVTJANV!$G40+[11]MVTFEV!$G40+[11]MVTMARS!$G40+[11]MVTAVRIL!$G40+[11]MVTMAI!$G40+[11]MVTJUIN!$G40+[11]MVTJUIL!$G40+[11]MVTAOUT2018!$G40</f>
        <v>119000</v>
      </c>
      <c r="E42" s="64">
        <f>+[11]MVTAOUT!$D40+[11]MVTSEPT!$E40+[11]MVTOCT!$C40+[11]MVTNOV!$C40+[11]MVTDEC!$C40+[11]MVTJANV!$C40+[11]MVTFEV!$C40+[11]MVTMARS!$C40+[11]MVTAVRIL!$C40+[11]MVTMAI!$C40+[11]MVTJUIN!$C40+[11]MVTJUIL!$C40</f>
        <v>20955.294945149803</v>
      </c>
      <c r="F42" s="64">
        <f t="shared" si="0"/>
        <v>292139.60112100595</v>
      </c>
      <c r="G42" s="65"/>
      <c r="H42" s="66"/>
      <c r="I42" s="65">
        <v>25000</v>
      </c>
      <c r="J42" s="65">
        <v>30000</v>
      </c>
      <c r="K42" s="81">
        <f t="shared" si="1"/>
        <v>237139.60112100595</v>
      </c>
      <c r="L42" s="64">
        <f>B42+J42</f>
        <v>480000</v>
      </c>
      <c r="M42" s="82">
        <f t="shared" si="6"/>
        <v>717139.60112100595</v>
      </c>
      <c r="N42" s="66">
        <v>70000</v>
      </c>
      <c r="O42" s="65">
        <f>[11]MVTAOUT!O40+[11]MVTSEPT!P40+[11]MVTOCT!N40+[11]MVTNOV!N40+[11]MVTDEC!N40+[11]MVTJANV!N40+[11]MVTFEV!N40+[11]MVTMARS!N40+[11]MVTAVRIL!N40+[11]MVTMAI!N40+[11]MVTJUIN!N40+[11]MVTJUIL!N40</f>
        <v>290000</v>
      </c>
      <c r="P42" s="65">
        <f>[11]MVTAOUT!P40+[11]MVTSEPT!Q40+[11]MVTOCT!O40+[11]MVTNOV!O40+[11]MVTDEC!O40+[11]MVTJANV!O40+[11]MVTFEV!O40+[11]MVTMARS!O40+[11]MVTAVRIL!O40+[11]MVTMAI!O40+[11]MVTJUIN!O40+[11]MVTJUIL!O40</f>
        <v>20300</v>
      </c>
      <c r="Q42" s="65">
        <f>+INVENT2016_2017!N42</f>
        <v>87200</v>
      </c>
      <c r="R42" s="65">
        <f>[11]MVTAOUT!$Q40+[11]MVTSEPT!$R40+[11]MVTOCT!$P40+[11]MVTNOV!$P40+[11]MVTDEC!$P40+[11]MVTJANV!$P40+[11]MVTFEV!$P40+[11]MVTMARS!$P40+[11]MVTAVRIL!$P40+[11]MVTMAI!$P40+[11]MVTJUIN!$P40+[11]MVTJUIL!$P40</f>
        <v>87200</v>
      </c>
      <c r="S42" s="83">
        <f>+O42</f>
        <v>290000</v>
      </c>
      <c r="T42" s="32"/>
      <c r="U42" t="s">
        <v>135</v>
      </c>
      <c r="W42" s="99">
        <v>43241</v>
      </c>
    </row>
    <row r="43" spans="1:23" x14ac:dyDescent="0.25">
      <c r="A43" s="14" t="s">
        <v>118</v>
      </c>
      <c r="B43" s="64">
        <f>+INVENT2016_2017!J43</f>
        <v>450000</v>
      </c>
      <c r="C43" s="64">
        <f>+INVENT2016_2017!I43</f>
        <v>50378.24403085652</v>
      </c>
      <c r="D43" s="64">
        <f>[11]MVTAOUT!$H41+[11]MVTSEPT!$I41+[11]MVTOCT!$G41+[11]MVTNOV!$G41+[11]MVTDEC!$G41+[11]MVTJANV!$G41+[11]MVTFEV!$G41+[11]MVTMARS!$G41+[11]MVTAVRIL!$G41+[11]MVTMAI!$G41+[11]MVTJUIN!$G41+[11]MVTJUIL!$G41+[11]MVTAOUT2018!$G41</f>
        <v>39000</v>
      </c>
      <c r="E43" s="64">
        <f>+[11]MVTAOUT!$D41+[11]MVTSEPT!$E41+[11]MVTOCT!$C41+[11]MVTNOV!$C41+[11]MVTDEC!$C41+[11]MVTJANV!$C41+[11]MVTFEV!$C41+[11]MVTMARS!$C41+[11]MVTAVRIL!$C41+[11]MVTMAI!$C41+[11]MVTJUIN!$C41+[11]MVTJUIL!$C41</f>
        <v>18511.984246124382</v>
      </c>
      <c r="F43" s="64">
        <f t="shared" si="0"/>
        <v>107890.22827698091</v>
      </c>
      <c r="G43" s="65"/>
      <c r="H43" s="66"/>
      <c r="I43" s="65">
        <v>25000</v>
      </c>
      <c r="J43" s="65">
        <v>30000</v>
      </c>
      <c r="K43" s="81">
        <f t="shared" si="1"/>
        <v>52890.22827698091</v>
      </c>
      <c r="L43" s="64">
        <f>B43+J43</f>
        <v>480000</v>
      </c>
      <c r="M43" s="82">
        <f t="shared" si="6"/>
        <v>532890.22827698092</v>
      </c>
      <c r="N43" s="66"/>
      <c r="O43" s="65">
        <f>[11]MVTAOUT!O41+[11]MVTSEPT!P41+[11]MVTOCT!N41+[11]MVTNOV!N41+[11]MVTDEC!N41+[11]MVTJANV!N41+[11]MVTFEV!N41+[11]MVTMARS!N41+[11]MVTAVRIL!N41+[11]MVTMAI!N41+[11]MVTJUIN!N41+[11]MVTJUIL!N41</f>
        <v>0</v>
      </c>
      <c r="P43" s="65">
        <f>[11]MVTAOUT!P41+[11]MVTSEPT!Q41+[11]MVTOCT!O41+[11]MVTNOV!O41+[11]MVTDEC!O41+[11]MVTJANV!O41+[11]MVTFEV!O41+[11]MVTMARS!O41+[11]MVTAVRIL!O41+[11]MVTMAI!O41+[11]MVTJUIN!O41+[11]MVTJUIL!O41</f>
        <v>0</v>
      </c>
      <c r="Q43" s="65">
        <f>+INVENT2016_2017!N43</f>
        <v>0</v>
      </c>
      <c r="R43" s="65">
        <f>[11]MVTAOUT!$Q41+[11]MVTSEPT!$R41+[11]MVTOCT!$P41+[11]MVTNOV!$P41+[11]MVTDEC!$P41+[11]MVTJANV!$P41+[11]MVTFEV!$P41+[11]MVTMARS!$P41+[11]MVTAVRIL!$P41+[11]MVTMAI!$P41+[11]MVTJUIN!$P41+[11]MVTJUIL!$P41</f>
        <v>0</v>
      </c>
      <c r="S43" s="83"/>
      <c r="T43" s="32"/>
    </row>
    <row r="44" spans="1:23" s="49" customFormat="1" x14ac:dyDescent="0.25">
      <c r="A44" s="17" t="s">
        <v>119</v>
      </c>
      <c r="B44" s="65">
        <v>50000</v>
      </c>
      <c r="C44" s="65">
        <f>+INVENT2016_2017!I44</f>
        <v>0</v>
      </c>
      <c r="D44" s="65">
        <f>[11]MVTAOUT!$H42+[11]MVTSEPT!$I42+[11]MVTOCT!$G42+[11]MVTNOV!$G42+[11]MVTDEC!$G42+[11]MVTJANV!$G42+[11]MVTFEV!$G42+[11]MVTMARS!$G42+[11]MVTAVRIL!$G42+[11]MVTMAI!$G42+[11]MVTJUIN!$G42+[11]MVTJUIL!$G42+[11]MVTAOUT2018!$G42</f>
        <v>0</v>
      </c>
      <c r="E44" s="65">
        <f>+[11]MVTAOUT!$D42+[11]MVTSEPT!$E42+[11]MVTOCT!$C42+[11]MVTNOV!$C42+[11]MVTDEC!$C42+[11]MVTJANV!$C42+[11]MVTFEV!$C42+[11]MVTMARS!$C42+[11]MVTAVRIL!$C42+[11]MVTMAI!$C42+[11]MVTJUIN!$C42+[11]MVTJUIL!$C42</f>
        <v>2156.6179161802906</v>
      </c>
      <c r="F44" s="65">
        <f t="shared" si="0"/>
        <v>2156.6179161802906</v>
      </c>
      <c r="G44" s="65"/>
      <c r="H44" s="65"/>
      <c r="I44" s="65">
        <v>9055</v>
      </c>
      <c r="J44" s="65">
        <v>30000</v>
      </c>
      <c r="K44" s="81">
        <f t="shared" si="1"/>
        <v>-36898.382083819713</v>
      </c>
      <c r="L44" s="65">
        <v>50000</v>
      </c>
      <c r="M44" s="98">
        <f t="shared" si="6"/>
        <v>13101.617916180287</v>
      </c>
      <c r="N44" s="65"/>
      <c r="O44" s="65">
        <f>[11]MVTAOUT!O42+[11]MVTSEPT!P42+[11]MVTOCT!N42+[11]MVTNOV!N42+[11]MVTDEC!N42+[11]MVTJANV!N42+[11]MVTFEV!N42+[11]MVTMARS!N42+[11]MVTAVRIL!N42+[11]MVTMAI!N42+[11]MVTJUIN!N42+[11]MVTJUIL!N42</f>
        <v>0</v>
      </c>
      <c r="P44" s="65">
        <f>[11]MVTAOUT!P42+[11]MVTSEPT!Q42+[11]MVTOCT!O42+[11]MVTNOV!O42+[11]MVTDEC!O42+[11]MVTJANV!O42+[11]MVTFEV!O42+[11]MVTMARS!O42+[11]MVTAVRIL!O42+[11]MVTMAI!O42+[11]MVTJUIN!O42+[11]MVTJUIL!O42</f>
        <v>0</v>
      </c>
      <c r="Q44" s="65">
        <f>+INVENT2016_2017!N44</f>
        <v>0</v>
      </c>
      <c r="R44" s="65">
        <f>[11]MVTAOUT!$Q42+[11]MVTSEPT!$R42+[11]MVTOCT!$P42+[11]MVTNOV!$P42+[11]MVTDEC!$P42+[11]MVTJANV!$P42+[11]MVTFEV!$P42+[11]MVTMARS!$P42+[11]MVTAVRIL!$P42+[11]MVTMAI!$P42+[11]MVTJUIN!$P42+[11]MVTJUIL!$P42</f>
        <v>0</v>
      </c>
      <c r="S44" s="83"/>
      <c r="T44" s="48"/>
    </row>
    <row r="45" spans="1:23" x14ac:dyDescent="0.25">
      <c r="A45" s="14" t="s">
        <v>120</v>
      </c>
      <c r="B45" s="64">
        <f>+INVENT2016_2017!J45</f>
        <v>450000</v>
      </c>
      <c r="C45" s="64">
        <f>+INVENT2016_2017!I45</f>
        <v>47556.520766033747</v>
      </c>
      <c r="D45" s="64">
        <f>[11]MVTAOUT!$H43+[11]MVTSEPT!$I43+[11]MVTOCT!$G43+[11]MVTNOV!$G43+[11]MVTDEC!$G43+[11]MVTJANV!$G43+[11]MVTFEV!$G43+[11]MVTMARS!$G43+[11]MVTAVRIL!$G43+[11]MVTMAI!$G43+[11]MVTJUIN!$G43+[11]MVTJUIL!$G43+[11]MVTAOUT2018!$G43</f>
        <v>39000</v>
      </c>
      <c r="E45" s="64">
        <f>+[11]MVTAOUT!$D43+[11]MVTSEPT!$E43+[11]MVTOCT!$C43+[11]MVTNOV!$C43+[11]MVTDEC!$C43+[11]MVTJANV!$C43+[11]MVTFEV!$C43+[11]MVTMARS!$C43+[11]MVTAVRIL!$C43+[11]MVTMAI!$C43+[11]MVTJUIN!$C43+[11]MVTJUIL!$C43</f>
        <v>19804.254263865943</v>
      </c>
      <c r="F45" s="64">
        <f t="shared" si="0"/>
        <v>106360.7750298997</v>
      </c>
      <c r="G45" s="65"/>
      <c r="H45" s="66"/>
      <c r="I45" s="65">
        <v>25000</v>
      </c>
      <c r="J45" s="65">
        <v>30000</v>
      </c>
      <c r="K45" s="81">
        <f t="shared" si="1"/>
        <v>51360.775029899698</v>
      </c>
      <c r="L45" s="64">
        <f>B45+J45</f>
        <v>480000</v>
      </c>
      <c r="M45" s="82">
        <f t="shared" si="6"/>
        <v>531360.77502989967</v>
      </c>
      <c r="N45" s="66">
        <v>8000</v>
      </c>
      <c r="O45" s="65">
        <f>[11]MVTAOUT!O43+[11]MVTSEPT!P43+[11]MVTOCT!N43+[11]MVTNOV!N43+[11]MVTDEC!N43+[11]MVTJANV!N43+[11]MVTFEV!N43+[11]MVTMARS!N43+[11]MVTAVRIL!N43+[11]MVTMAI!N43+[11]MVTJUIN!N43+[11]MVTJUIL!N43</f>
        <v>0</v>
      </c>
      <c r="P45" s="65">
        <f>[11]MVTAOUT!P43+[11]MVTSEPT!Q43+[11]MVTOCT!O43+[11]MVTNOV!O43+[11]MVTDEC!O43+[11]MVTJANV!O43+[11]MVTFEV!O43+[11]MVTMARS!O43+[11]MVTAVRIL!O43+[11]MVTMAI!O43+[11]MVTJUIN!O43+[11]MVTJUIL!O43</f>
        <v>0</v>
      </c>
      <c r="Q45" s="65">
        <f>+INVENT2016_2017!N45</f>
        <v>0</v>
      </c>
      <c r="R45" s="65">
        <f>[11]MVTAOUT!$Q43+[11]MVTSEPT!$R43+[11]MVTOCT!$P43+[11]MVTNOV!$P43+[11]MVTDEC!$P43+[11]MVTJANV!$P43+[11]MVTFEV!$P43+[11]MVTMARS!$P43+[11]MVTAVRIL!$P43+[11]MVTMAI!$P43+[11]MVTJUIN!$P43+[11]MVTJUIL!$P43</f>
        <v>0</v>
      </c>
      <c r="S45" s="83"/>
      <c r="T45" s="32"/>
    </row>
    <row r="46" spans="1:23" x14ac:dyDescent="0.25">
      <c r="A46" s="14" t="s">
        <v>121</v>
      </c>
      <c r="B46" s="64">
        <f>+INVENT2016_2017!J46</f>
        <v>450000</v>
      </c>
      <c r="C46" s="64">
        <f>+INVENT2016_2017!I46</f>
        <v>115459.90375955624</v>
      </c>
      <c r="D46" s="64">
        <f>[11]MVTAOUT!$H44+[11]MVTSEPT!$I44+[11]MVTOCT!$G44+[11]MVTNOV!$G44+[11]MVTDEC!$G44+[11]MVTJANV!$G44+[11]MVTFEV!$G44+[11]MVTMARS!$G44+[11]MVTAVRIL!$G44+[11]MVTMAI!$G44+[11]MVTJUIN!$G44+[11]MVTJUIL!$G44+[11]MVTAOUT2018!$G44</f>
        <v>24000</v>
      </c>
      <c r="E46" s="64">
        <f>+[11]MVTAOUT!$D44+[11]MVTSEPT!$E44+[11]MVTOCT!$C44+[11]MVTNOV!$C44+[11]MVTDEC!$C44+[11]MVTJANV!$C44+[11]MVTFEV!$C44+[11]MVTMARS!$C44+[11]MVTAVRIL!$C44+[11]MVTMAI!$C44+[11]MVTJUIN!$C44+[11]MVTJUIL!$C44</f>
        <v>19340.450643409094</v>
      </c>
      <c r="F46" s="64">
        <f t="shared" si="0"/>
        <v>158800.35440296534</v>
      </c>
      <c r="G46" s="65"/>
      <c r="H46" s="66"/>
      <c r="I46" s="65">
        <v>25000</v>
      </c>
      <c r="J46" s="65">
        <v>30000</v>
      </c>
      <c r="K46" s="81">
        <f t="shared" si="1"/>
        <v>103800.35440296534</v>
      </c>
      <c r="L46" s="64">
        <f>B46+J46</f>
        <v>480000</v>
      </c>
      <c r="M46" s="82">
        <f t="shared" si="6"/>
        <v>583800.3544029654</v>
      </c>
      <c r="N46" s="66">
        <v>23000</v>
      </c>
      <c r="O46" s="65">
        <f>[11]MVTAOUT!O44+[11]MVTSEPT!P44+[11]MVTOCT!N44+[11]MVTNOV!N44+[11]MVTDEC!N44+[11]MVTJANV!N44+[11]MVTFEV!N44+[11]MVTMARS!N44+[11]MVTAVRIL!N44+[11]MVTMAI!N44+[11]MVTJUIN!N44+[11]MVTJUIL!N44</f>
        <v>0</v>
      </c>
      <c r="P46" s="65">
        <f>[11]MVTAOUT!P44+[11]MVTSEPT!Q44+[11]MVTOCT!O44+[11]MVTNOV!O44+[11]MVTDEC!O44+[11]MVTJANV!O44+[11]MVTFEV!O44+[11]MVTMARS!O44+[11]MVTAVRIL!O44+[11]MVTMAI!O44+[11]MVTJUIN!O44+[11]MVTJUIL!O44</f>
        <v>0</v>
      </c>
      <c r="Q46" s="65">
        <f>+INVENT2016_2017!N46</f>
        <v>851500</v>
      </c>
      <c r="R46" s="65">
        <f>[11]MVTAOUT!$Q44+[11]MVTSEPT!$R44+[11]MVTOCT!$P44+[11]MVTNOV!$P44+[11]MVTDEC!$P44+[11]MVTJANV!$P44+[11]MVTFEV!$P44+[11]MVTMARS!$P44+[11]MVTAVRIL!$P44+[11]MVTMAI!$P44+[11]MVTJUIN!$P44+[11]MVTJUIL!$P44</f>
        <v>0</v>
      </c>
      <c r="S46" s="83">
        <f>+Q46</f>
        <v>851500</v>
      </c>
      <c r="T46" s="32"/>
      <c r="W46" s="99">
        <v>42876</v>
      </c>
    </row>
    <row r="47" spans="1:23" s="49" customFormat="1" x14ac:dyDescent="0.25">
      <c r="A47" s="17" t="s">
        <v>122</v>
      </c>
      <c r="B47" s="65">
        <v>30000</v>
      </c>
      <c r="C47" s="65">
        <f>+INVENT2016_2017!I47</f>
        <v>0</v>
      </c>
      <c r="D47" s="65">
        <f>[11]MVTAOUT!$H45+[11]MVTSEPT!$I45+[11]MVTOCT!$G45+[11]MVTNOV!$G45+[11]MVTDEC!$G45+[11]MVTJANV!$G45+[11]MVTFEV!$G45+[11]MVTMARS!$G45+[11]MVTAVRIL!$G45+[11]MVTMAI!$G45+[11]MVTJUIN!$G45+[11]MVTJUIL!$G45+[11]MVTAOUT2018!$G45</f>
        <v>0</v>
      </c>
      <c r="E47" s="65">
        <f>+[11]MVTAOUT!$D45+[11]MVTSEPT!$E45+[11]MVTOCT!$C45+[11]MVTNOV!$C45+[11]MVTDEC!$C45+[11]MVTJANV!$C45+[11]MVTFEV!$C45+[11]MVTMARS!$C45+[11]MVTAVRIL!$C45+[11]MVTMAI!$C45+[11]MVTJUIN!$C45+[11]MVTJUIL!$C45</f>
        <v>1204.9540346265594</v>
      </c>
      <c r="F47" s="65">
        <f t="shared" si="0"/>
        <v>1204.9540346265594</v>
      </c>
      <c r="G47" s="65"/>
      <c r="H47" s="65"/>
      <c r="I47" s="65">
        <v>7540</v>
      </c>
      <c r="J47" s="65">
        <v>0</v>
      </c>
      <c r="K47" s="81">
        <f t="shared" si="1"/>
        <v>-6335.0459653734406</v>
      </c>
      <c r="L47" s="65">
        <v>30000</v>
      </c>
      <c r="M47" s="98">
        <f t="shared" si="6"/>
        <v>23664.95403462656</v>
      </c>
      <c r="N47" s="98"/>
      <c r="O47" s="65">
        <f>[11]MVTAOUT!O45+[11]MVTSEPT!P45+[11]MVTOCT!N45+[11]MVTNOV!N45+[11]MVTDEC!N45+[11]MVTJANV!N45+[11]MVTFEV!N45+[11]MVTMARS!N45+[11]MVTAVRIL!N45+[11]MVTMAI!N45+[11]MVTJUIN!N45+[11]MVTJUIL!N45</f>
        <v>0</v>
      </c>
      <c r="P47" s="65">
        <f>[11]MVTAOUT!P45+[11]MVTSEPT!Q45+[11]MVTOCT!O45+[11]MVTNOV!O45+[11]MVTDEC!O45+[11]MVTJANV!O45+[11]MVTFEV!O45+[11]MVTMARS!O45+[11]MVTAVRIL!O45+[11]MVTMAI!O45+[11]MVTJUIN!O45+[11]MVTJUIL!O45</f>
        <v>0</v>
      </c>
      <c r="Q47" s="65">
        <f>+INVENT2016_2017!N47</f>
        <v>0</v>
      </c>
      <c r="R47" s="65">
        <f>[11]MVTAOUT!$Q45+[11]MVTSEPT!$R45+[11]MVTOCT!$P45+[11]MVTNOV!$P45+[11]MVTDEC!$P45+[11]MVTJANV!$P45+[11]MVTFEV!$P45+[11]MVTMARS!$P45+[11]MVTAVRIL!$P45+[11]MVTMAI!$P45+[11]MVTJUIN!$P45+[11]MVTJUIL!$P45</f>
        <v>0</v>
      </c>
      <c r="S47" s="83"/>
      <c r="T47" s="48"/>
    </row>
    <row r="48" spans="1:23" x14ac:dyDescent="0.25">
      <c r="A48" s="14" t="s">
        <v>123</v>
      </c>
      <c r="B48" s="64">
        <f>+INVENT2016_2017!J48</f>
        <v>450000</v>
      </c>
      <c r="C48" s="64">
        <f>+INVENT2016_2017!I48</f>
        <v>64088.864806082551</v>
      </c>
      <c r="D48" s="64">
        <f>[11]MVTAOUT!$H46+[11]MVTSEPT!$I46+[11]MVTOCT!$G46+[11]MVTNOV!$G46+[11]MVTDEC!$G46+[11]MVTJANV!$G46+[11]MVTFEV!$G46+[11]MVTMARS!$G46+[11]MVTAVRIL!$G46+[11]MVTMAI!$G46+[11]MVTJUIN!$G46+[11]MVTJUIL!$G46+[11]MVTAOUT2018!$G46</f>
        <v>36000</v>
      </c>
      <c r="E48" s="64">
        <f>+[11]MVTAOUT!$D46+[11]MVTSEPT!$E46+[11]MVTOCT!$C46+[11]MVTNOV!$C46+[11]MVTDEC!$C46+[11]MVTJANV!$C46+[11]MVTFEV!$C46+[11]MVTMARS!$C46+[11]MVTAVRIL!$C46+[11]MVTMAI!$C46+[11]MVTJUIN!$C46+[11]MVTJUIL!$C46</f>
        <v>19893.285598644401</v>
      </c>
      <c r="F48" s="64">
        <f t="shared" si="0"/>
        <v>119982.15040472696</v>
      </c>
      <c r="G48" s="65"/>
      <c r="H48" s="66"/>
      <c r="I48" s="65">
        <v>25000</v>
      </c>
      <c r="J48" s="65">
        <v>30000</v>
      </c>
      <c r="K48" s="81">
        <f t="shared" si="1"/>
        <v>64982.150404726955</v>
      </c>
      <c r="L48" s="64">
        <f>B48+J48</f>
        <v>480000</v>
      </c>
      <c r="M48" s="82">
        <f t="shared" si="6"/>
        <v>544982.15040472697</v>
      </c>
      <c r="N48" s="84"/>
      <c r="O48" s="65">
        <f>[11]MVTAOUT!O46+[11]MVTSEPT!P46+[11]MVTOCT!N46+[11]MVTNOV!N46+[11]MVTDEC!N46+[11]MVTJANV!N46+[11]MVTFEV!N46+[11]MVTMARS!N46+[11]MVTAVRIL!N46+[11]MVTMAI!N46+[11]MVTJUIN!N46+[11]MVTJUIL!N46</f>
        <v>1000000</v>
      </c>
      <c r="P48" s="65">
        <f>[11]MVTAOUT!P46+[11]MVTSEPT!Q46+[11]MVTOCT!O46+[11]MVTNOV!O46+[11]MVTDEC!O46+[11]MVTJANV!O46+[11]MVTFEV!O46+[11]MVTMARS!O46+[11]MVTAVRIL!O46+[11]MVTMAI!O46+[11]MVTJUIN!O46+[11]MVTJUIL!O46</f>
        <v>30000</v>
      </c>
      <c r="Q48" s="65">
        <f>+INVENT2016_2017!N48</f>
        <v>1064000</v>
      </c>
      <c r="R48" s="65">
        <f>[11]MVTAOUT!$Q46+[11]MVTSEPT!$R46+[11]MVTOCT!$P46+[11]MVTNOV!$P46+[11]MVTDEC!$P46+[11]MVTJANV!$P46+[11]MVTFEV!$P46+[11]MVTMARS!$P46+[11]MVTAVRIL!$P46+[11]MVTMAI!$P46+[11]MVTJUIN!$P46+[11]MVTJUIL!$P46</f>
        <v>1293600</v>
      </c>
      <c r="S48" s="83">
        <f>O48+885600</f>
        <v>1885600</v>
      </c>
      <c r="T48" s="32"/>
      <c r="U48" s="32" t="s">
        <v>135</v>
      </c>
      <c r="W48" s="99">
        <v>43241</v>
      </c>
    </row>
    <row r="49" spans="1:16383" x14ac:dyDescent="0.25">
      <c r="A49" s="17" t="s">
        <v>124</v>
      </c>
      <c r="B49" s="64">
        <f>+INVENT2016_2017!J49</f>
        <v>450000</v>
      </c>
      <c r="C49" s="64">
        <f>+INVENT2016_2017!I49</f>
        <v>52395.568882973399</v>
      </c>
      <c r="D49" s="64">
        <f>[11]MVTAOUT!$H47+[11]MVTSEPT!$I47+[11]MVTOCT!$G47+[11]MVTNOV!$G47+[11]MVTDEC!$G47+[11]MVTJANV!$G47+[11]MVTFEV!$G47+[11]MVTMARS!$G47+[11]MVTAVRIL!$G47+[11]MVTMAI!$G47+[11]MVTJUIN!$G47+[11]MVTJUIL!$G47+[11]MVTAOUT2018!$G47</f>
        <v>0</v>
      </c>
      <c r="E49" s="64">
        <f>+[11]MVTAOUT!$D47+[11]MVTSEPT!$E47+[11]MVTOCT!$C47+[11]MVTNOV!$C47+[11]MVTDEC!$C47+[11]MVTJANV!$C47+[11]MVTFEV!$C47+[11]MVTMARS!$C47+[11]MVTAVRIL!$C47+[11]MVTMAI!$C47+[11]MVTJUIN!$C47+[11]MVTJUIL!$C47</f>
        <v>19295.137072066729</v>
      </c>
      <c r="F49" s="64">
        <f t="shared" si="0"/>
        <v>71690.705955040132</v>
      </c>
      <c r="G49" s="65"/>
      <c r="H49" s="66"/>
      <c r="I49" s="65">
        <v>25000</v>
      </c>
      <c r="J49" s="65">
        <v>30000</v>
      </c>
      <c r="K49" s="81">
        <f t="shared" si="1"/>
        <v>16690.705955040132</v>
      </c>
      <c r="L49" s="64">
        <f>B49+J49</f>
        <v>480000</v>
      </c>
      <c r="M49" s="82">
        <f t="shared" si="6"/>
        <v>496690.70595504012</v>
      </c>
      <c r="N49" s="84"/>
      <c r="O49" s="65">
        <f>[11]MVTAOUT!O47+[11]MVTSEPT!P47+[11]MVTOCT!N47+[11]MVTNOV!N47+[11]MVTDEC!N47+[11]MVTJANV!N47+[11]MVTFEV!N47+[11]MVTMARS!N47+[11]MVTAVRIL!N47+[11]MVTMAI!N47+[11]MVTJUIN!N47+[11]MVTJUIL!N47</f>
        <v>0</v>
      </c>
      <c r="P49" s="65">
        <f>[11]MVTAOUT!P47+[11]MVTSEPT!Q47+[11]MVTOCT!O47+[11]MVTNOV!O47+[11]MVTDEC!O47+[11]MVTJANV!O47+[11]MVTFEV!O47+[11]MVTMARS!O47+[11]MVTAVRIL!O47+[11]MVTMAI!O47+[11]MVTJUIN!O47+[11]MVTJUIL!O47</f>
        <v>0</v>
      </c>
      <c r="Q49" s="65">
        <f>+INVENT2016_2017!N49</f>
        <v>1120000</v>
      </c>
      <c r="R49" s="65">
        <f>[11]MVTAOUT!$Q47+[11]MVTSEPT!$R47+[11]MVTOCT!$P47+[11]MVTNOV!$P47+[11]MVTDEC!$P47+[11]MVTJANV!$P47+[11]MVTFEV!$P47+[11]MVTMARS!$P47+[11]MVTAVRIL!$P47+[11]MVTMAI!$P47+[11]MVTJUIN!$P47+[11]MVTJUIL!$P47</f>
        <v>0</v>
      </c>
      <c r="S49" s="83">
        <v>0</v>
      </c>
      <c r="T49" s="32"/>
      <c r="U49" t="s">
        <v>145</v>
      </c>
    </row>
    <row r="50" spans="1:16383" x14ac:dyDescent="0.25">
      <c r="A50" s="14" t="s">
        <v>125</v>
      </c>
      <c r="B50" s="64">
        <f>+INVENT2016_2017!J50</f>
        <v>450000</v>
      </c>
      <c r="C50" s="64">
        <f>+INVENT2016_2017!I50</f>
        <v>460575.58364179294</v>
      </c>
      <c r="D50" s="64">
        <f>[11]MVTAOUT!$H48+[11]MVTSEPT!$I48+[11]MVTOCT!$G48+[11]MVTNOV!$G48+[11]MVTDEC!$G48+[11]MVTJANV!$G48+[11]MVTFEV!$G48+[11]MVTMARS!$G48+[11]MVTAVRIL!$G48+[11]MVTMAI!$G48+[11]MVTJUIN!$G48+[11]MVTJUIL!$G48+[11]MVTAOUT2018!$G48</f>
        <v>39000</v>
      </c>
      <c r="E50" s="64">
        <f>+[11]MVTAOUT!$D48+[11]MVTSEPT!$E48+[11]MVTOCT!$C48+[11]MVTNOV!$C48+[11]MVTDEC!$C48+[11]MVTJANV!$C48+[11]MVTFEV!$C48+[11]MVTMARS!$C48+[11]MVTAVRIL!$C48+[11]MVTMAI!$C48+[11]MVTJUIN!$C48+[11]MVTJUIL!$C48</f>
        <v>21144.59288881634</v>
      </c>
      <c r="F50" s="64">
        <f t="shared" si="0"/>
        <v>520720.17653060926</v>
      </c>
      <c r="G50" s="65"/>
      <c r="H50" s="66"/>
      <c r="I50" s="65">
        <v>25000</v>
      </c>
      <c r="J50" s="65">
        <v>30000</v>
      </c>
      <c r="K50" s="81">
        <f t="shared" si="1"/>
        <v>465720.17653060926</v>
      </c>
      <c r="L50" s="64">
        <f>B50+J50</f>
        <v>480000</v>
      </c>
      <c r="M50" s="82">
        <f t="shared" si="6"/>
        <v>945720.17653060926</v>
      </c>
      <c r="N50" s="84"/>
      <c r="O50" s="65">
        <f>[11]MVTAOUT!O48+[11]MVTSEPT!P48+[11]MVTOCT!N48+[11]MVTNOV!N48+[11]MVTDEC!N48+[11]MVTJANV!N48+[11]MVTFEV!N48+[11]MVTMARS!N48+[11]MVTAVRIL!N48+[11]MVTMAI!N48+[11]MVTJUIN!N48+[11]MVTJUIL!N48</f>
        <v>0</v>
      </c>
      <c r="P50" s="65">
        <f>[11]MVTAOUT!P48+[11]MVTSEPT!Q48+[11]MVTOCT!O48+[11]MVTNOV!O48+[11]MVTDEC!O48+[11]MVTJANV!O48+[11]MVTFEV!O48+[11]MVTMARS!O48+[11]MVTAVRIL!O48+[11]MVTMAI!O48+[11]MVTJUIN!O48+[11]MVTJUIL!O48</f>
        <v>0</v>
      </c>
      <c r="Q50" s="65">
        <f>+INVENT2016_2017!N50</f>
        <v>0</v>
      </c>
      <c r="R50" s="65">
        <f>[11]MVTAOUT!$Q48+[11]MVTSEPT!$R48+[11]MVTOCT!$P48+[11]MVTNOV!$P48+[11]MVTDEC!$P48+[11]MVTJANV!$P48+[11]MVTFEV!$P48+[11]MVTMARS!$P48+[11]MVTAVRIL!$P48+[11]MVTMAI!$P48+[11]MVTJUIN!$P48+[11]MVTJUIL!$P48</f>
        <v>0</v>
      </c>
      <c r="S50" s="83"/>
      <c r="T50" s="32"/>
    </row>
    <row r="51" spans="1:16383" x14ac:dyDescent="0.25">
      <c r="A51" s="14" t="s">
        <v>126</v>
      </c>
      <c r="B51" s="64">
        <f>+INVENT2016_2017!J51</f>
        <v>450000</v>
      </c>
      <c r="C51" s="64">
        <f>+INVENT2016_2017!I51</f>
        <v>1205652.8231027098</v>
      </c>
      <c r="D51" s="64">
        <f>[11]MVTAOUT!$H49+[11]MVTSEPT!$I49+[11]MVTOCT!$G49+[11]MVTNOV!$G49+[11]MVTDEC!$G49+[11]MVTJANV!$G49+[11]MVTFEV!$G49+[11]MVTMARS!$G49+[11]MVTAVRIL!$G49+[11]MVTMAI!$G49+[11]MVTJUIN!$G49+[11]MVTJUIL!$G49+[11]MVTAOUT2018!$G49</f>
        <v>39000</v>
      </c>
      <c r="E51" s="64">
        <f>+[11]MVTAOUT!$D49+[11]MVTSEPT!$E49+[11]MVTOCT!$C49+[11]MVTNOV!$C49+[11]MVTDEC!$C49+[11]MVTJANV!$C49+[11]MVTFEV!$C49+[11]MVTMARS!$C49+[11]MVTAVRIL!$C49+[11]MVTMAI!$C49+[11]MVTJUIN!$C49+[11]MVTJUIL!$C49</f>
        <v>23501.827988491023</v>
      </c>
      <c r="F51" s="64">
        <f t="shared" si="0"/>
        <v>1268154.6510912008</v>
      </c>
      <c r="G51" s="65"/>
      <c r="H51" s="66"/>
      <c r="I51" s="65">
        <v>25000</v>
      </c>
      <c r="J51" s="65">
        <v>30000</v>
      </c>
      <c r="K51" s="81">
        <f t="shared" si="1"/>
        <v>1213154.6510912008</v>
      </c>
      <c r="L51" s="64">
        <f>B51+J51</f>
        <v>480000</v>
      </c>
      <c r="M51" s="82">
        <f t="shared" si="6"/>
        <v>1693154.6510912008</v>
      </c>
      <c r="N51" s="84"/>
      <c r="O51" s="65">
        <f>[11]MVTAOUT!O49+[11]MVTSEPT!P49+[11]MVTOCT!N49+[11]MVTNOV!N49+[11]MVTDEC!N49+[11]MVTJANV!N49+[11]MVTFEV!N49+[11]MVTMARS!N49+[11]MVTAVRIL!N49+[11]MVTMAI!N49+[11]MVTJUIN!N49+[11]MVTJUIL!N49</f>
        <v>0</v>
      </c>
      <c r="P51" s="65">
        <f>[11]MVTAOUT!P49+[11]MVTSEPT!Q49+[11]MVTOCT!O49+[11]MVTNOV!O49+[11]MVTDEC!O49+[11]MVTJANV!O49+[11]MVTFEV!O49+[11]MVTMARS!O49+[11]MVTAVRIL!O49+[11]MVTMAI!O49+[11]MVTJUIN!O49+[11]MVTJUIL!O49</f>
        <v>0</v>
      </c>
      <c r="Q51" s="65">
        <f>+INVENT2016_2017!N51</f>
        <v>0</v>
      </c>
      <c r="R51" s="65">
        <f>[11]MVTAOUT!$Q49+[11]MVTSEPT!$R49+[11]MVTOCT!$P49+[11]MVTNOV!$P49+[11]MVTDEC!$P49+[11]MVTJANV!$P49+[11]MVTFEV!$P49+[11]MVTMARS!$P49+[11]MVTAVRIL!$P49+[11]MVTMAI!$P49+[11]MVTJUIN!$P49+[11]MVTJUIL!$P49</f>
        <v>0</v>
      </c>
      <c r="S51" s="83"/>
      <c r="T51" s="32"/>
    </row>
    <row r="52" spans="1:16383" s="49" customFormat="1" x14ac:dyDescent="0.25">
      <c r="A52" s="17" t="s">
        <v>127</v>
      </c>
      <c r="B52" s="65">
        <f>+INVENT2016_2017!J52</f>
        <v>450000</v>
      </c>
      <c r="C52" s="65">
        <f>+INVENT2016_2017!I52</f>
        <v>0</v>
      </c>
      <c r="D52" s="65">
        <f>[11]MVTAOUT!$H50+[11]MVTSEPT!$I50+[11]MVTOCT!$G50+[11]MVTNOV!$G50+[11]MVTDEC!$G50+[11]MVTJANV!$G50+[11]MVTFEV!$G50+[11]MVTMARS!$G50+[11]MVTAVRIL!$G50+[11]MVTMAI!$G50+[11]MVTJUIN!$G50+[11]MVTJUIL!$G50+[11]MVTAOUT2018!$G50</f>
        <v>57000</v>
      </c>
      <c r="E52" s="65">
        <f>+[11]MVTAOUT!$D50+[11]MVTSEPT!$E50+[11]MVTOCT!$C50+[11]MVTNOV!$C50+[11]MVTDEC!$C50+[11]MVTJANV!$C50+[11]MVTFEV!$C50+[11]MVTMARS!$C50+[11]MVTAVRIL!$C50+[11]MVTMAI!$C50+[11]MVTJUIN!$C50+[11]MVTJUIL!$C50</f>
        <v>88.5270055831013</v>
      </c>
      <c r="F52" s="65">
        <f t="shared" si="0"/>
        <v>57088.527005583099</v>
      </c>
      <c r="G52" s="65"/>
      <c r="H52" s="66"/>
      <c r="I52" s="65">
        <v>24094</v>
      </c>
      <c r="J52" s="65">
        <v>30000</v>
      </c>
      <c r="K52" s="81">
        <f t="shared" si="1"/>
        <v>2994.5270055830988</v>
      </c>
      <c r="L52" s="64">
        <f>B52+J52</f>
        <v>480000</v>
      </c>
      <c r="M52" s="82">
        <f t="shared" si="6"/>
        <v>482994.52700558311</v>
      </c>
      <c r="N52" s="84"/>
      <c r="O52" s="65">
        <f>[11]MVTAOUT!O50+[11]MVTSEPT!P50+[11]MVTOCT!N50+[11]MVTNOV!N50+[11]MVTDEC!N50+[11]MVTJANV!N50+[11]MVTFEV!N50+[11]MVTMARS!N50+[11]MVTAVRIL!N50+[11]MVTMAI!N50+[11]MVTJUIN!N50+[11]MVTJUIL!N50</f>
        <v>1000000</v>
      </c>
      <c r="P52" s="65">
        <f>[11]MVTAOUT!P50+[11]MVTSEPT!Q50+[11]MVTOCT!O50+[11]MVTNOV!O50+[11]MVTDEC!O50+[11]MVTJANV!O50+[11]MVTFEV!O50+[11]MVTMARS!O50+[11]MVTAVRIL!O50+[11]MVTMAI!O50+[11]MVTJUIN!O50+[11]MVTJUIL!O50</f>
        <v>60000</v>
      </c>
      <c r="Q52" s="65">
        <f>+INVENT2016_2017!N52</f>
        <v>0</v>
      </c>
      <c r="R52" s="65">
        <f>[11]MVTAOUT!$Q50+[11]MVTSEPT!$R50+[11]MVTOCT!$P50+[11]MVTNOV!$P50+[11]MVTDEC!$P50+[11]MVTJANV!$P50+[11]MVTFEV!$P50+[11]MVTMARS!$P50+[11]MVTAVRIL!$P50+[11]MVTMAI!$P50+[11]MVTJUIN!$P50+[11]MVTJUIL!$P50</f>
        <v>0</v>
      </c>
      <c r="S52" s="83">
        <f>+O52+P52</f>
        <v>1060000</v>
      </c>
      <c r="T52" s="48"/>
      <c r="V52" s="49">
        <v>60000</v>
      </c>
      <c r="W52" s="100">
        <v>43148</v>
      </c>
    </row>
    <row r="53" spans="1:16383" s="49" customFormat="1" x14ac:dyDescent="0.25">
      <c r="A53" s="17" t="s">
        <v>128</v>
      </c>
      <c r="B53" s="65">
        <v>0</v>
      </c>
      <c r="C53" s="65">
        <f>+INVENT2016_2017!I53</f>
        <v>0</v>
      </c>
      <c r="D53" s="65">
        <f>[11]MVTAOUT!$H51+[11]MVTSEPT!$I51+[11]MVTOCT!$G51+[11]MVTNOV!$G51+[11]MVTDEC!$G51+[11]MVTJANV!$G51+[11]MVTFEV!$G51+[11]MVTMARS!$G51+[11]MVTAVRIL!$G51+[11]MVTMAI!$G51+[11]MVTJUIN!$G51+[11]MVTJUIL!$G51+[11]MVTAOUT2018!$G51</f>
        <v>27000</v>
      </c>
      <c r="E53" s="65">
        <f>+[11]MVTAOUT!$D51+[11]MVTSEPT!$E51+[11]MVTOCT!$C51+[11]MVTNOV!$C51+[11]MVTDEC!$C51+[11]MVTJANV!$C51+[11]MVTFEV!$C51+[11]MVTMARS!$C51+[11]MVTAVRIL!$C51+[11]MVTMAI!$C51+[11]MVTJUIN!$C51+[11]MVTJUIL!$C51</f>
        <v>88.5270055831013</v>
      </c>
      <c r="F53" s="65">
        <f t="shared" si="0"/>
        <v>27088.527005583102</v>
      </c>
      <c r="G53" s="65"/>
      <c r="H53" s="65"/>
      <c r="I53" s="65">
        <v>24094</v>
      </c>
      <c r="J53" s="65"/>
      <c r="K53" s="81">
        <f t="shared" si="1"/>
        <v>2994.5270055831024</v>
      </c>
      <c r="L53" s="65">
        <v>0</v>
      </c>
      <c r="M53" s="98">
        <f t="shared" si="5"/>
        <v>2994.5270055831024</v>
      </c>
      <c r="N53" s="98"/>
      <c r="O53" s="65">
        <f>[11]MVTAOUT!O51+[11]MVTSEPT!P51+[11]MVTOCT!N51+[11]MVTNOV!N51+[11]MVTDEC!N51+[11]MVTJANV!N51+[11]MVTFEV!N51+[11]MVTMARS!N51+[11]MVTAVRIL!N51+[11]MVTMAI!N51+[11]MVTJUIN!N51+[11]MVTJUIL!N51</f>
        <v>0</v>
      </c>
      <c r="P53" s="65">
        <f>[11]MVTAOUT!P51+[11]MVTSEPT!Q51+[11]MVTOCT!O51+[11]MVTNOV!O51+[11]MVTDEC!O51+[11]MVTJANV!O51+[11]MVTFEV!O51+[11]MVTMARS!O51+[11]MVTAVRIL!O51+[11]MVTMAI!O51+[11]MVTJUIN!O51+[11]MVTJUIL!O51</f>
        <v>0</v>
      </c>
      <c r="Q53" s="65">
        <f>+INVENT2016_2017!N53</f>
        <v>0</v>
      </c>
      <c r="R53" s="65">
        <f>[11]MVTAOUT!$Q51+[11]MVTSEPT!$R51+[11]MVTOCT!$P51+[11]MVTNOV!$P51+[11]MVTDEC!$P51+[11]MVTJANV!$P51+[11]MVTFEV!$P51+[11]MVTMARS!$P51+[11]MVTAVRIL!$P51+[11]MVTMAI!$P51+[11]MVTJUIN!$P51+[11]MVTJUIL!$P51</f>
        <v>0</v>
      </c>
      <c r="S53" s="83"/>
      <c r="T53" s="48"/>
    </row>
    <row r="54" spans="1:16383" x14ac:dyDescent="0.25">
      <c r="A54" s="14" t="s">
        <v>129</v>
      </c>
      <c r="B54" s="64">
        <f>+INVENT2016_2017!J54</f>
        <v>450000</v>
      </c>
      <c r="C54" s="64">
        <f>+INVENT2016_2017!I54</f>
        <v>0</v>
      </c>
      <c r="D54" s="64">
        <f>[11]MVTAOUT!$H52+[11]MVTSEPT!$I52+[11]MVTOCT!$G52+[11]MVTNOV!$G52+[11]MVTDEC!$G52+[11]MVTJANV!$G52+[11]MVTFEV!$G52+[11]MVTMARS!$G52+[11]MVTAVRIL!$G52+[11]MVTMAI!$G52+[11]MVTJUIN!$G52+[11]MVTJUIL!$G52+[11]MVTAOUT2018!$G52</f>
        <v>465000</v>
      </c>
      <c r="E54" s="64">
        <f>+[11]MVTAOUT!$D52+[11]MVTSEPT!$E52+[11]MVTOCT!$C52+[11]MVTNOV!$C52+[11]MVTDEC!$C52+[11]MVTJANV!$C52+[11]MVTFEV!$C52+[11]MVTMARS!$C52+[11]MVTAVRIL!$C52+[11]MVTMAI!$C52+[11]MVTJUIN!$C52+[11]MVTJUIL!$C52</f>
        <v>1596.1690040891908</v>
      </c>
      <c r="F54" s="64">
        <f t="shared" si="0"/>
        <v>466596.1690040892</v>
      </c>
      <c r="G54" s="65"/>
      <c r="H54" s="85"/>
      <c r="I54" s="65">
        <v>25000</v>
      </c>
      <c r="J54" s="65">
        <v>30000</v>
      </c>
      <c r="K54" s="81">
        <f t="shared" si="1"/>
        <v>411596.1690040892</v>
      </c>
      <c r="L54" s="64">
        <f>B54+J54</f>
        <v>480000</v>
      </c>
      <c r="M54" s="82">
        <f t="shared" si="6"/>
        <v>891596.1690040892</v>
      </c>
      <c r="N54" s="84"/>
      <c r="O54" s="65">
        <f>[11]MVTAOUT!O52+[11]MVTSEPT!P52+[11]MVTOCT!N52+[11]MVTNOV!N52+[11]MVTDEC!N52+[11]MVTJANV!N52+[11]MVTFEV!N52+[11]MVTMARS!N52+[11]MVTAVRIL!N52+[11]MVTMAI!N52+[11]MVTJUIN!N52+[11]MVTJUIL!N52</f>
        <v>0</v>
      </c>
      <c r="P54" s="65">
        <f>[11]MVTAOUT!P52+[11]MVTSEPT!Q52+[11]MVTOCT!O52+[11]MVTNOV!O52+[11]MVTDEC!O52+[11]MVTJANV!O52+[11]MVTFEV!O52+[11]MVTMARS!O52+[11]MVTAVRIL!O52+[11]MVTMAI!O52+[11]MVTJUIN!O52+[11]MVTJUIL!O52</f>
        <v>0</v>
      </c>
      <c r="Q54" s="65">
        <f>+INVENT2016_2017!N54</f>
        <v>0</v>
      </c>
      <c r="R54" s="65">
        <f>[11]MVTAOUT!$Q52+[11]MVTSEPT!$R52+[11]MVTOCT!$P52+[11]MVTNOV!$P52+[11]MVTDEC!$P52+[11]MVTJANV!$P52+[11]MVTFEV!$P52+[11]MVTMARS!$P52+[11]MVTAVRIL!$P52+[11]MVTMAI!$P52+[11]MVTJUIN!$P52+[11]MVTJUIL!$P52</f>
        <v>0</v>
      </c>
      <c r="S54" s="83"/>
      <c r="T54" s="32"/>
    </row>
    <row r="55" spans="1:16383" x14ac:dyDescent="0.25">
      <c r="A55" s="14"/>
      <c r="B55" s="68"/>
      <c r="C55" s="68"/>
      <c r="D55" s="33"/>
      <c r="E55" s="33"/>
      <c r="F55" s="33"/>
      <c r="G55" s="67"/>
      <c r="H55" s="67"/>
      <c r="I55" s="67"/>
      <c r="J55" s="67"/>
      <c r="K55" s="86"/>
      <c r="L55" s="67"/>
      <c r="M55" s="87"/>
      <c r="N55" s="88"/>
      <c r="O55" s="15"/>
      <c r="P55" s="15"/>
      <c r="Q55" s="15"/>
      <c r="R55" s="15"/>
      <c r="S55" s="16"/>
    </row>
    <row r="56" spans="1:16383" ht="18.75" thickBot="1" x14ac:dyDescent="0.3">
      <c r="A56" s="69"/>
      <c r="B56" s="70">
        <f t="shared" ref="B56:S56" si="7">SUM(B4:B54)</f>
        <v>18471000</v>
      </c>
      <c r="C56" s="70">
        <f t="shared" si="7"/>
        <v>6174113.8883337844</v>
      </c>
      <c r="D56" s="70">
        <f t="shared" si="7"/>
        <v>3860500</v>
      </c>
      <c r="E56" s="70">
        <f t="shared" si="7"/>
        <v>822600</v>
      </c>
      <c r="F56" s="70">
        <f t="shared" si="7"/>
        <v>10857213.888333786</v>
      </c>
      <c r="G56" s="70">
        <f t="shared" si="7"/>
        <v>0</v>
      </c>
      <c r="H56" s="70">
        <f t="shared" si="7"/>
        <v>0</v>
      </c>
      <c r="I56" s="70">
        <f t="shared" si="7"/>
        <v>1059865</v>
      </c>
      <c r="J56" s="70">
        <f t="shared" si="7"/>
        <v>1230000</v>
      </c>
      <c r="K56" s="89">
        <f t="shared" si="7"/>
        <v>8567348.8883337863</v>
      </c>
      <c r="L56" s="70">
        <f t="shared" si="7"/>
        <v>19671000</v>
      </c>
      <c r="M56" s="90">
        <f t="shared" si="7"/>
        <v>28238348.888333783</v>
      </c>
      <c r="N56" s="91">
        <f t="shared" si="7"/>
        <v>1513900</v>
      </c>
      <c r="O56" s="70">
        <f t="shared" si="7"/>
        <v>12393000</v>
      </c>
      <c r="P56" s="70">
        <f t="shared" si="7"/>
        <v>822600</v>
      </c>
      <c r="Q56" s="70">
        <f t="shared" si="7"/>
        <v>23056400</v>
      </c>
      <c r="R56" s="70">
        <f t="shared" si="7"/>
        <v>19125800</v>
      </c>
      <c r="S56" s="92">
        <f t="shared" si="7"/>
        <v>16936100</v>
      </c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  <c r="FH56" s="53"/>
      <c r="FI56" s="53"/>
      <c r="FJ56" s="53"/>
      <c r="FK56" s="53"/>
      <c r="FL56" s="53"/>
      <c r="FM56" s="53"/>
      <c r="FN56" s="53"/>
      <c r="FO56" s="53"/>
      <c r="FP56" s="53"/>
      <c r="FQ56" s="53"/>
      <c r="FR56" s="53"/>
      <c r="FS56" s="53"/>
      <c r="FT56" s="53"/>
      <c r="FU56" s="53"/>
      <c r="FV56" s="53"/>
      <c r="FW56" s="53"/>
      <c r="FX56" s="53"/>
      <c r="FY56" s="53"/>
      <c r="FZ56" s="53"/>
      <c r="GA56" s="53"/>
      <c r="GB56" s="53"/>
      <c r="GC56" s="53"/>
      <c r="GD56" s="53"/>
      <c r="GE56" s="53"/>
      <c r="GF56" s="53"/>
      <c r="GG56" s="53"/>
      <c r="GH56" s="53"/>
      <c r="GI56" s="53"/>
      <c r="GJ56" s="53"/>
      <c r="GK56" s="53"/>
      <c r="GL56" s="53"/>
      <c r="GM56" s="53"/>
      <c r="GN56" s="53"/>
      <c r="GO56" s="53"/>
      <c r="GP56" s="53"/>
      <c r="GQ56" s="53"/>
      <c r="GR56" s="53"/>
      <c r="GS56" s="53"/>
      <c r="GT56" s="53"/>
      <c r="GU56" s="53"/>
      <c r="GV56" s="53"/>
      <c r="GW56" s="53"/>
      <c r="GX56" s="53"/>
      <c r="GY56" s="53"/>
      <c r="GZ56" s="53"/>
      <c r="HA56" s="53"/>
      <c r="HB56" s="53"/>
      <c r="HC56" s="53"/>
      <c r="HD56" s="53"/>
      <c r="HE56" s="53"/>
      <c r="HF56" s="53"/>
      <c r="HG56" s="53"/>
      <c r="HH56" s="53"/>
      <c r="HI56" s="53"/>
      <c r="HJ56" s="53"/>
      <c r="HK56" s="53"/>
      <c r="HL56" s="53"/>
      <c r="HM56" s="53"/>
      <c r="HN56" s="53"/>
      <c r="HO56" s="53"/>
      <c r="HP56" s="53"/>
      <c r="HQ56" s="53"/>
      <c r="HR56" s="53"/>
      <c r="HS56" s="53"/>
      <c r="HT56" s="53"/>
      <c r="HU56" s="53"/>
      <c r="HV56" s="53"/>
      <c r="HW56" s="53"/>
      <c r="HX56" s="53"/>
      <c r="HY56" s="53"/>
      <c r="HZ56" s="53"/>
      <c r="IA56" s="53"/>
      <c r="IB56" s="53"/>
      <c r="IC56" s="53"/>
      <c r="ID56" s="53"/>
      <c r="IE56" s="53"/>
      <c r="IF56" s="53"/>
      <c r="IG56" s="53"/>
      <c r="IH56" s="53"/>
      <c r="II56" s="53"/>
      <c r="IJ56" s="53"/>
      <c r="IK56" s="53"/>
      <c r="IL56" s="53"/>
      <c r="IM56" s="53"/>
      <c r="IN56" s="53"/>
      <c r="IO56" s="53"/>
      <c r="IP56" s="53"/>
      <c r="IQ56" s="53"/>
      <c r="IR56" s="53"/>
      <c r="IS56" s="53"/>
      <c r="IT56" s="53"/>
      <c r="IU56" s="53"/>
      <c r="IV56" s="53"/>
      <c r="IW56" s="53"/>
      <c r="IX56" s="53"/>
      <c r="IY56" s="53"/>
      <c r="IZ56" s="53"/>
      <c r="JA56" s="53"/>
      <c r="JB56" s="53"/>
      <c r="JC56" s="53"/>
      <c r="JD56" s="53"/>
      <c r="JE56" s="53"/>
      <c r="JF56" s="53"/>
      <c r="JG56" s="53"/>
      <c r="JH56" s="53"/>
      <c r="JI56" s="53"/>
      <c r="JJ56" s="53"/>
      <c r="JK56" s="53"/>
      <c r="JL56" s="53"/>
      <c r="JM56" s="53"/>
      <c r="JN56" s="53"/>
      <c r="JO56" s="53"/>
      <c r="JP56" s="53"/>
      <c r="JQ56" s="53"/>
      <c r="JR56" s="53"/>
      <c r="JS56" s="53"/>
      <c r="JT56" s="53"/>
      <c r="JU56" s="53"/>
      <c r="JV56" s="53"/>
      <c r="JW56" s="53"/>
      <c r="JX56" s="53"/>
      <c r="JY56" s="53"/>
      <c r="JZ56" s="53"/>
      <c r="KA56" s="53"/>
      <c r="KB56" s="53"/>
      <c r="KC56" s="53"/>
      <c r="KD56" s="53"/>
      <c r="KE56" s="53"/>
      <c r="KF56" s="53"/>
      <c r="KG56" s="53"/>
      <c r="KH56" s="53"/>
      <c r="KI56" s="53"/>
      <c r="KJ56" s="53"/>
      <c r="KK56" s="53"/>
      <c r="KL56" s="53"/>
      <c r="KM56" s="53"/>
      <c r="KN56" s="53"/>
      <c r="KO56" s="53"/>
      <c r="KP56" s="53"/>
      <c r="KQ56" s="53"/>
      <c r="KR56" s="53"/>
      <c r="KS56" s="53"/>
      <c r="KT56" s="53"/>
      <c r="KU56" s="53"/>
      <c r="KV56" s="53"/>
      <c r="KW56" s="53"/>
      <c r="KX56" s="53"/>
      <c r="KY56" s="53"/>
      <c r="KZ56" s="53"/>
      <c r="LA56" s="53"/>
      <c r="LB56" s="53"/>
      <c r="LC56" s="53"/>
      <c r="LD56" s="53"/>
      <c r="LE56" s="53"/>
      <c r="LF56" s="53"/>
      <c r="LG56" s="53"/>
      <c r="LH56" s="53"/>
      <c r="LI56" s="53"/>
      <c r="LJ56" s="53"/>
      <c r="LK56" s="53"/>
      <c r="LL56" s="53"/>
      <c r="LM56" s="53"/>
      <c r="LN56" s="53"/>
      <c r="LO56" s="53"/>
      <c r="LP56" s="53"/>
      <c r="LQ56" s="53"/>
      <c r="LR56" s="53"/>
      <c r="LS56" s="53"/>
      <c r="LT56" s="53"/>
      <c r="LU56" s="53"/>
      <c r="LV56" s="53"/>
      <c r="LW56" s="53"/>
      <c r="LX56" s="53"/>
      <c r="LY56" s="53"/>
      <c r="LZ56" s="53"/>
      <c r="MA56" s="53"/>
      <c r="MB56" s="53"/>
      <c r="MC56" s="53"/>
      <c r="MD56" s="53"/>
      <c r="ME56" s="53"/>
      <c r="MF56" s="53"/>
      <c r="MG56" s="53"/>
      <c r="MH56" s="53"/>
      <c r="MI56" s="53"/>
      <c r="MJ56" s="53"/>
      <c r="MK56" s="53"/>
      <c r="ML56" s="53"/>
      <c r="MM56" s="53"/>
      <c r="MN56" s="53"/>
      <c r="MO56" s="53"/>
      <c r="MP56" s="53"/>
      <c r="MQ56" s="53"/>
      <c r="MR56" s="53"/>
      <c r="MS56" s="53"/>
      <c r="MT56" s="53"/>
      <c r="MU56" s="53"/>
      <c r="MV56" s="53"/>
      <c r="MW56" s="53"/>
      <c r="MX56" s="53"/>
      <c r="MY56" s="53"/>
      <c r="MZ56" s="53"/>
      <c r="NA56" s="53"/>
      <c r="NB56" s="53"/>
      <c r="NC56" s="53"/>
      <c r="ND56" s="53"/>
      <c r="NE56" s="53"/>
      <c r="NF56" s="53"/>
      <c r="NG56" s="53"/>
      <c r="NH56" s="53"/>
      <c r="NI56" s="53"/>
      <c r="NJ56" s="53"/>
      <c r="NK56" s="53"/>
      <c r="NL56" s="53"/>
      <c r="NM56" s="53"/>
      <c r="NN56" s="53"/>
      <c r="NO56" s="53"/>
      <c r="NP56" s="53"/>
      <c r="NQ56" s="53"/>
      <c r="NR56" s="53"/>
      <c r="NS56" s="53"/>
      <c r="NT56" s="53"/>
      <c r="NU56" s="53"/>
      <c r="NV56" s="53"/>
      <c r="NW56" s="53"/>
      <c r="NX56" s="53"/>
      <c r="NY56" s="53"/>
      <c r="NZ56" s="53"/>
      <c r="OA56" s="53"/>
      <c r="OB56" s="53"/>
      <c r="OC56" s="53"/>
      <c r="OD56" s="53"/>
      <c r="OE56" s="53"/>
      <c r="OF56" s="53"/>
      <c r="OG56" s="53"/>
      <c r="OH56" s="53"/>
      <c r="OI56" s="53"/>
      <c r="OJ56" s="53"/>
      <c r="OK56" s="53"/>
      <c r="OL56" s="53"/>
      <c r="OM56" s="53"/>
      <c r="ON56" s="53"/>
      <c r="OO56" s="53"/>
      <c r="OP56" s="53"/>
      <c r="OQ56" s="53"/>
      <c r="OR56" s="53"/>
      <c r="OS56" s="53"/>
      <c r="OT56" s="53"/>
      <c r="OU56" s="53"/>
      <c r="OV56" s="53"/>
      <c r="OW56" s="53"/>
      <c r="OX56" s="53"/>
      <c r="OY56" s="53"/>
      <c r="OZ56" s="53"/>
      <c r="PA56" s="53"/>
      <c r="PB56" s="53"/>
      <c r="PC56" s="53"/>
      <c r="PD56" s="53"/>
      <c r="PE56" s="53"/>
      <c r="PF56" s="53"/>
      <c r="PG56" s="53"/>
      <c r="PH56" s="53"/>
      <c r="PI56" s="53"/>
      <c r="PJ56" s="53"/>
      <c r="PK56" s="53"/>
      <c r="PL56" s="53"/>
      <c r="PM56" s="53"/>
      <c r="PN56" s="53"/>
      <c r="PO56" s="53"/>
      <c r="PP56" s="53"/>
      <c r="PQ56" s="53"/>
      <c r="PR56" s="53"/>
      <c r="PS56" s="53"/>
      <c r="PT56" s="53"/>
      <c r="PU56" s="53"/>
      <c r="PV56" s="53"/>
      <c r="PW56" s="53"/>
      <c r="PX56" s="53"/>
      <c r="PY56" s="53"/>
      <c r="PZ56" s="53"/>
      <c r="QA56" s="53"/>
      <c r="QB56" s="53"/>
      <c r="QC56" s="53"/>
      <c r="QD56" s="53"/>
      <c r="QE56" s="53"/>
      <c r="QF56" s="53"/>
      <c r="QG56" s="53"/>
      <c r="QH56" s="53"/>
      <c r="QI56" s="53"/>
      <c r="QJ56" s="53"/>
      <c r="QK56" s="53"/>
      <c r="QL56" s="53"/>
      <c r="QM56" s="53"/>
      <c r="QN56" s="53"/>
      <c r="QO56" s="53"/>
      <c r="QP56" s="53"/>
      <c r="QQ56" s="53"/>
      <c r="QR56" s="53"/>
      <c r="QS56" s="53"/>
      <c r="QT56" s="53"/>
      <c r="QU56" s="53"/>
      <c r="QV56" s="53"/>
      <c r="QW56" s="53"/>
      <c r="QX56" s="53"/>
      <c r="QY56" s="53"/>
      <c r="QZ56" s="53"/>
      <c r="RA56" s="53"/>
      <c r="RB56" s="53"/>
      <c r="RC56" s="53"/>
      <c r="RD56" s="53"/>
      <c r="RE56" s="53"/>
      <c r="RF56" s="53"/>
      <c r="RG56" s="53"/>
      <c r="RH56" s="53"/>
      <c r="RI56" s="53"/>
      <c r="RJ56" s="53"/>
      <c r="RK56" s="53"/>
      <c r="RL56" s="53"/>
      <c r="RM56" s="53"/>
      <c r="RN56" s="53"/>
      <c r="RO56" s="53"/>
      <c r="RP56" s="53"/>
      <c r="RQ56" s="53"/>
      <c r="RR56" s="53"/>
      <c r="RS56" s="53"/>
      <c r="RT56" s="53"/>
      <c r="RU56" s="53"/>
      <c r="RV56" s="53"/>
      <c r="RW56" s="53"/>
      <c r="RX56" s="53"/>
      <c r="RY56" s="53"/>
      <c r="RZ56" s="53"/>
      <c r="SA56" s="53"/>
      <c r="SB56" s="53"/>
      <c r="SC56" s="53"/>
      <c r="SD56" s="53"/>
      <c r="SE56" s="53"/>
      <c r="SF56" s="53"/>
      <c r="SG56" s="53"/>
      <c r="SH56" s="53"/>
      <c r="SI56" s="53"/>
      <c r="SJ56" s="53"/>
      <c r="SK56" s="53"/>
      <c r="SL56" s="53"/>
      <c r="SM56" s="53"/>
      <c r="SN56" s="53"/>
      <c r="SO56" s="53"/>
      <c r="SP56" s="53"/>
      <c r="SQ56" s="53"/>
      <c r="SR56" s="53"/>
      <c r="SS56" s="53"/>
      <c r="ST56" s="53"/>
      <c r="SU56" s="53"/>
      <c r="SV56" s="53"/>
      <c r="SW56" s="53"/>
      <c r="SX56" s="53"/>
      <c r="SY56" s="53"/>
      <c r="SZ56" s="53"/>
      <c r="TA56" s="53"/>
      <c r="TB56" s="53"/>
      <c r="TC56" s="53"/>
      <c r="TD56" s="53"/>
      <c r="TE56" s="53"/>
      <c r="TF56" s="53"/>
      <c r="TG56" s="53"/>
      <c r="TH56" s="53"/>
      <c r="TI56" s="53"/>
      <c r="TJ56" s="53"/>
      <c r="TK56" s="53"/>
      <c r="TL56" s="53"/>
      <c r="TM56" s="53"/>
      <c r="TN56" s="53"/>
      <c r="TO56" s="53"/>
      <c r="TP56" s="53"/>
      <c r="TQ56" s="53"/>
      <c r="TR56" s="53"/>
      <c r="TS56" s="53"/>
      <c r="TT56" s="53"/>
      <c r="TU56" s="53"/>
      <c r="TV56" s="53"/>
      <c r="TW56" s="53"/>
      <c r="TX56" s="53"/>
      <c r="TY56" s="53"/>
      <c r="TZ56" s="53"/>
      <c r="UA56" s="53"/>
      <c r="UB56" s="53"/>
      <c r="UC56" s="53"/>
      <c r="UD56" s="53"/>
      <c r="UE56" s="53"/>
      <c r="UF56" s="53"/>
      <c r="UG56" s="53"/>
      <c r="UH56" s="53"/>
      <c r="UI56" s="53"/>
      <c r="UJ56" s="53"/>
      <c r="UK56" s="53"/>
      <c r="UL56" s="53"/>
      <c r="UM56" s="53"/>
      <c r="UN56" s="53"/>
      <c r="UO56" s="53"/>
      <c r="UP56" s="53"/>
      <c r="UQ56" s="53"/>
      <c r="UR56" s="53"/>
      <c r="US56" s="53"/>
      <c r="UT56" s="53"/>
      <c r="UU56" s="53"/>
      <c r="UV56" s="53"/>
      <c r="UW56" s="53"/>
      <c r="UX56" s="53"/>
      <c r="UY56" s="53"/>
      <c r="UZ56" s="53"/>
      <c r="VA56" s="53"/>
      <c r="VB56" s="53"/>
      <c r="VC56" s="53"/>
      <c r="VD56" s="53"/>
      <c r="VE56" s="53"/>
      <c r="VF56" s="53"/>
      <c r="VG56" s="53"/>
      <c r="VH56" s="53"/>
      <c r="VI56" s="53"/>
      <c r="VJ56" s="53"/>
      <c r="VK56" s="53"/>
      <c r="VL56" s="53"/>
      <c r="VM56" s="53"/>
      <c r="VN56" s="53"/>
      <c r="VO56" s="53"/>
      <c r="VP56" s="53"/>
      <c r="VQ56" s="53"/>
      <c r="VR56" s="53"/>
      <c r="VS56" s="53"/>
      <c r="VT56" s="53"/>
      <c r="VU56" s="53"/>
      <c r="VV56" s="53"/>
      <c r="VW56" s="53"/>
      <c r="VX56" s="53"/>
      <c r="VY56" s="53"/>
      <c r="VZ56" s="53"/>
      <c r="WA56" s="53"/>
      <c r="WB56" s="53"/>
      <c r="WC56" s="53"/>
      <c r="WD56" s="53"/>
      <c r="WE56" s="53"/>
      <c r="WF56" s="53"/>
      <c r="WG56" s="53"/>
      <c r="WH56" s="53"/>
      <c r="WI56" s="53"/>
      <c r="WJ56" s="53"/>
      <c r="WK56" s="53"/>
      <c r="WL56" s="53"/>
      <c r="WM56" s="53"/>
      <c r="WN56" s="53"/>
      <c r="WO56" s="53"/>
      <c r="WP56" s="53"/>
      <c r="WQ56" s="53"/>
      <c r="WR56" s="53"/>
      <c r="WS56" s="53"/>
      <c r="WT56" s="53"/>
      <c r="WU56" s="53"/>
      <c r="WV56" s="53"/>
      <c r="WW56" s="53"/>
      <c r="WX56" s="53"/>
      <c r="WY56" s="53"/>
      <c r="WZ56" s="53"/>
      <c r="XA56" s="53"/>
      <c r="XB56" s="53"/>
      <c r="XC56" s="53"/>
      <c r="XD56" s="53"/>
      <c r="XE56" s="53"/>
      <c r="XF56" s="53"/>
      <c r="XG56" s="53"/>
      <c r="XH56" s="53"/>
      <c r="XI56" s="53"/>
      <c r="XJ56" s="53"/>
      <c r="XK56" s="53"/>
      <c r="XL56" s="53"/>
      <c r="XM56" s="53"/>
      <c r="XN56" s="53"/>
      <c r="XO56" s="53"/>
      <c r="XP56" s="53"/>
      <c r="XQ56" s="53"/>
      <c r="XR56" s="53"/>
      <c r="XS56" s="53"/>
      <c r="XT56" s="53"/>
      <c r="XU56" s="53"/>
      <c r="XV56" s="53"/>
      <c r="XW56" s="53"/>
      <c r="XX56" s="53"/>
      <c r="XY56" s="53"/>
      <c r="XZ56" s="53"/>
      <c r="YA56" s="53"/>
      <c r="YB56" s="53"/>
      <c r="YC56" s="53"/>
      <c r="YD56" s="53"/>
      <c r="YE56" s="53"/>
      <c r="YF56" s="53"/>
      <c r="YG56" s="53"/>
      <c r="YH56" s="53"/>
      <c r="YI56" s="53"/>
      <c r="YJ56" s="53"/>
      <c r="YK56" s="53"/>
      <c r="YL56" s="53"/>
      <c r="YM56" s="53"/>
      <c r="YN56" s="53"/>
      <c r="YO56" s="53"/>
      <c r="YP56" s="53"/>
      <c r="YQ56" s="53"/>
      <c r="YR56" s="53"/>
      <c r="YS56" s="53"/>
      <c r="YT56" s="53"/>
      <c r="YU56" s="53"/>
      <c r="YV56" s="53"/>
      <c r="YW56" s="53"/>
      <c r="YX56" s="53"/>
      <c r="YY56" s="53"/>
      <c r="YZ56" s="53"/>
      <c r="ZA56" s="53"/>
      <c r="ZB56" s="53"/>
      <c r="ZC56" s="53"/>
      <c r="ZD56" s="53"/>
      <c r="ZE56" s="53"/>
      <c r="ZF56" s="53"/>
      <c r="ZG56" s="53"/>
      <c r="ZH56" s="53"/>
      <c r="ZI56" s="53"/>
      <c r="ZJ56" s="53"/>
      <c r="ZK56" s="53"/>
      <c r="ZL56" s="53"/>
      <c r="ZM56" s="53"/>
      <c r="ZN56" s="53"/>
      <c r="ZO56" s="53"/>
      <c r="ZP56" s="53"/>
      <c r="ZQ56" s="53"/>
      <c r="ZR56" s="53"/>
      <c r="ZS56" s="53"/>
      <c r="ZT56" s="53"/>
      <c r="ZU56" s="53"/>
      <c r="ZV56" s="53"/>
      <c r="ZW56" s="53"/>
      <c r="ZX56" s="53"/>
      <c r="ZY56" s="53"/>
      <c r="ZZ56" s="53"/>
      <c r="AAA56" s="53"/>
      <c r="AAB56" s="53"/>
      <c r="AAC56" s="53"/>
      <c r="AAD56" s="53"/>
      <c r="AAE56" s="53"/>
      <c r="AAF56" s="53"/>
      <c r="AAG56" s="53"/>
      <c r="AAH56" s="53"/>
      <c r="AAI56" s="53"/>
      <c r="AAJ56" s="53"/>
      <c r="AAK56" s="53"/>
      <c r="AAL56" s="53"/>
      <c r="AAM56" s="53"/>
      <c r="AAN56" s="53"/>
      <c r="AAO56" s="53"/>
      <c r="AAP56" s="53"/>
      <c r="AAQ56" s="53"/>
      <c r="AAR56" s="53"/>
      <c r="AAS56" s="53"/>
      <c r="AAT56" s="53"/>
      <c r="AAU56" s="53"/>
      <c r="AAV56" s="53"/>
      <c r="AAW56" s="53"/>
      <c r="AAX56" s="53"/>
      <c r="AAY56" s="53"/>
      <c r="AAZ56" s="53"/>
      <c r="ABA56" s="53"/>
      <c r="ABB56" s="53"/>
      <c r="ABC56" s="53"/>
      <c r="ABD56" s="53"/>
      <c r="ABE56" s="53"/>
      <c r="ABF56" s="53"/>
      <c r="ABG56" s="53"/>
      <c r="ABH56" s="53"/>
      <c r="ABI56" s="53"/>
      <c r="ABJ56" s="53"/>
      <c r="ABK56" s="53"/>
      <c r="ABL56" s="53"/>
      <c r="ABM56" s="53"/>
      <c r="ABN56" s="53"/>
      <c r="ABO56" s="53"/>
      <c r="ABP56" s="53"/>
      <c r="ABQ56" s="53"/>
      <c r="ABR56" s="53"/>
      <c r="ABS56" s="53"/>
      <c r="ABT56" s="53"/>
      <c r="ABU56" s="53"/>
      <c r="ABV56" s="53"/>
      <c r="ABW56" s="53"/>
      <c r="ABX56" s="53"/>
      <c r="ABY56" s="53"/>
      <c r="ABZ56" s="53"/>
      <c r="ACA56" s="53"/>
      <c r="ACB56" s="53"/>
      <c r="ACC56" s="53"/>
      <c r="ACD56" s="53"/>
      <c r="ACE56" s="53"/>
      <c r="ACF56" s="53"/>
      <c r="ACG56" s="53"/>
      <c r="ACH56" s="53"/>
      <c r="ACI56" s="53"/>
      <c r="ACJ56" s="53"/>
      <c r="ACK56" s="53"/>
      <c r="ACL56" s="53"/>
      <c r="ACM56" s="53"/>
      <c r="ACN56" s="53"/>
      <c r="ACO56" s="53"/>
      <c r="ACP56" s="53"/>
      <c r="ACQ56" s="53"/>
      <c r="ACR56" s="53"/>
      <c r="ACS56" s="53"/>
      <c r="ACT56" s="53"/>
      <c r="ACU56" s="53"/>
      <c r="ACV56" s="53"/>
      <c r="ACW56" s="53"/>
      <c r="ACX56" s="53"/>
      <c r="ACY56" s="53"/>
      <c r="ACZ56" s="53"/>
      <c r="ADA56" s="53"/>
      <c r="ADB56" s="53"/>
      <c r="ADC56" s="53"/>
      <c r="ADD56" s="53"/>
      <c r="ADE56" s="53"/>
      <c r="ADF56" s="53"/>
      <c r="ADG56" s="53"/>
      <c r="ADH56" s="53"/>
      <c r="ADI56" s="53"/>
      <c r="ADJ56" s="53"/>
      <c r="ADK56" s="53"/>
      <c r="ADL56" s="53"/>
      <c r="ADM56" s="53"/>
      <c r="ADN56" s="53"/>
      <c r="ADO56" s="53"/>
      <c r="ADP56" s="53"/>
      <c r="ADQ56" s="53"/>
      <c r="ADR56" s="53"/>
      <c r="ADS56" s="53"/>
      <c r="ADT56" s="53"/>
      <c r="ADU56" s="53"/>
      <c r="ADV56" s="53"/>
      <c r="ADW56" s="53"/>
      <c r="ADX56" s="53"/>
      <c r="ADY56" s="53"/>
      <c r="ADZ56" s="53"/>
      <c r="AEA56" s="53"/>
      <c r="AEB56" s="53"/>
      <c r="AEC56" s="53"/>
      <c r="AED56" s="53"/>
      <c r="AEE56" s="53"/>
      <c r="AEF56" s="53"/>
      <c r="AEG56" s="53"/>
      <c r="AEH56" s="53"/>
      <c r="AEI56" s="53"/>
      <c r="AEJ56" s="53"/>
      <c r="AEK56" s="53"/>
      <c r="AEL56" s="53"/>
      <c r="AEM56" s="53"/>
      <c r="AEN56" s="53"/>
      <c r="AEO56" s="53"/>
      <c r="AEP56" s="53"/>
      <c r="AEQ56" s="53"/>
      <c r="AER56" s="53"/>
      <c r="AES56" s="53"/>
      <c r="AET56" s="53"/>
      <c r="AEU56" s="53"/>
      <c r="AEV56" s="53"/>
      <c r="AEW56" s="53"/>
      <c r="AEX56" s="53"/>
      <c r="AEY56" s="53"/>
      <c r="AEZ56" s="53"/>
      <c r="AFA56" s="53"/>
      <c r="AFB56" s="53"/>
      <c r="AFC56" s="53"/>
      <c r="AFD56" s="53"/>
      <c r="AFE56" s="53"/>
      <c r="AFF56" s="53"/>
      <c r="AFG56" s="53"/>
      <c r="AFH56" s="53"/>
      <c r="AFI56" s="53"/>
      <c r="AFJ56" s="53"/>
      <c r="AFK56" s="53"/>
      <c r="AFL56" s="53"/>
      <c r="AFM56" s="53"/>
      <c r="AFN56" s="53"/>
      <c r="AFO56" s="53"/>
      <c r="AFP56" s="53"/>
      <c r="AFQ56" s="53"/>
      <c r="AFR56" s="53"/>
      <c r="AFS56" s="53"/>
      <c r="AFT56" s="53"/>
      <c r="AFU56" s="53"/>
      <c r="AFV56" s="53"/>
      <c r="AFW56" s="53"/>
      <c r="AFX56" s="53"/>
      <c r="AFY56" s="53"/>
      <c r="AFZ56" s="53"/>
      <c r="AGA56" s="53"/>
      <c r="AGB56" s="53"/>
      <c r="AGC56" s="53"/>
      <c r="AGD56" s="53"/>
      <c r="AGE56" s="53"/>
      <c r="AGF56" s="53"/>
      <c r="AGG56" s="53"/>
      <c r="AGH56" s="53"/>
      <c r="AGI56" s="53"/>
      <c r="AGJ56" s="53"/>
      <c r="AGK56" s="53"/>
      <c r="AGL56" s="53"/>
      <c r="AGM56" s="53"/>
      <c r="AGN56" s="53"/>
      <c r="AGO56" s="53"/>
      <c r="AGP56" s="53"/>
      <c r="AGQ56" s="53"/>
      <c r="AGR56" s="53"/>
      <c r="AGS56" s="53"/>
      <c r="AGT56" s="53"/>
      <c r="AGU56" s="53"/>
      <c r="AGV56" s="53"/>
      <c r="AGW56" s="53"/>
      <c r="AGX56" s="53"/>
      <c r="AGY56" s="53"/>
      <c r="AGZ56" s="53"/>
      <c r="AHA56" s="53"/>
      <c r="AHB56" s="53"/>
      <c r="AHC56" s="53"/>
      <c r="AHD56" s="53"/>
      <c r="AHE56" s="53"/>
      <c r="AHF56" s="53"/>
      <c r="AHG56" s="53"/>
      <c r="AHH56" s="53"/>
      <c r="AHI56" s="53"/>
      <c r="AHJ56" s="53"/>
      <c r="AHK56" s="53"/>
      <c r="AHL56" s="53"/>
      <c r="AHM56" s="53"/>
      <c r="AHN56" s="53"/>
      <c r="AHO56" s="53"/>
      <c r="AHP56" s="53"/>
      <c r="AHQ56" s="53"/>
      <c r="AHR56" s="53"/>
      <c r="AHS56" s="53"/>
      <c r="AHT56" s="53"/>
      <c r="AHU56" s="53"/>
      <c r="AHV56" s="53"/>
      <c r="AHW56" s="53"/>
      <c r="AHX56" s="53"/>
      <c r="AHY56" s="53"/>
      <c r="AHZ56" s="53"/>
      <c r="AIA56" s="53"/>
      <c r="AIB56" s="53"/>
      <c r="AIC56" s="53"/>
      <c r="AID56" s="53"/>
      <c r="AIE56" s="53"/>
      <c r="AIF56" s="53"/>
      <c r="AIG56" s="53"/>
      <c r="AIH56" s="53"/>
      <c r="AII56" s="53"/>
      <c r="AIJ56" s="53"/>
      <c r="AIK56" s="53"/>
      <c r="AIL56" s="53"/>
      <c r="AIM56" s="53"/>
      <c r="AIN56" s="53"/>
      <c r="AIO56" s="53"/>
      <c r="AIP56" s="53"/>
      <c r="AIQ56" s="53"/>
      <c r="AIR56" s="53"/>
      <c r="AIS56" s="53"/>
      <c r="AIT56" s="53"/>
      <c r="AIU56" s="53"/>
      <c r="AIV56" s="53"/>
      <c r="AIW56" s="53"/>
      <c r="AIX56" s="53"/>
      <c r="AIY56" s="53"/>
      <c r="AIZ56" s="53"/>
      <c r="AJA56" s="53"/>
      <c r="AJB56" s="53"/>
      <c r="AJC56" s="53"/>
      <c r="AJD56" s="53"/>
      <c r="AJE56" s="53"/>
      <c r="AJF56" s="53"/>
      <c r="AJG56" s="53"/>
      <c r="AJH56" s="53"/>
      <c r="AJI56" s="53"/>
      <c r="AJJ56" s="53"/>
      <c r="AJK56" s="53"/>
      <c r="AJL56" s="53"/>
      <c r="AJM56" s="53"/>
      <c r="AJN56" s="53"/>
      <c r="AJO56" s="53"/>
      <c r="AJP56" s="53"/>
      <c r="AJQ56" s="53"/>
      <c r="AJR56" s="53"/>
      <c r="AJS56" s="53"/>
      <c r="AJT56" s="53"/>
      <c r="AJU56" s="53"/>
      <c r="AJV56" s="53"/>
      <c r="AJW56" s="53"/>
      <c r="AJX56" s="53"/>
      <c r="AJY56" s="53"/>
      <c r="AJZ56" s="53"/>
      <c r="AKA56" s="53"/>
      <c r="AKB56" s="53"/>
      <c r="AKC56" s="53"/>
      <c r="AKD56" s="53"/>
      <c r="AKE56" s="53"/>
      <c r="AKF56" s="53"/>
      <c r="AKG56" s="53"/>
      <c r="AKH56" s="53"/>
      <c r="AKI56" s="53"/>
      <c r="AKJ56" s="53"/>
      <c r="AKK56" s="53"/>
      <c r="AKL56" s="53"/>
      <c r="AKM56" s="53"/>
      <c r="AKN56" s="53"/>
      <c r="AKO56" s="53"/>
      <c r="AKP56" s="53"/>
      <c r="AKQ56" s="53"/>
      <c r="AKR56" s="53"/>
      <c r="AKS56" s="53"/>
      <c r="AKT56" s="53"/>
      <c r="AKU56" s="53"/>
      <c r="AKV56" s="53"/>
      <c r="AKW56" s="53"/>
      <c r="AKX56" s="53"/>
      <c r="AKY56" s="53"/>
      <c r="AKZ56" s="53"/>
      <c r="ALA56" s="53"/>
      <c r="ALB56" s="53"/>
      <c r="ALC56" s="53"/>
      <c r="ALD56" s="53"/>
      <c r="ALE56" s="53"/>
      <c r="ALF56" s="53"/>
      <c r="ALG56" s="53"/>
      <c r="ALH56" s="53"/>
      <c r="ALI56" s="53"/>
      <c r="ALJ56" s="53"/>
      <c r="ALK56" s="53"/>
      <c r="ALL56" s="53"/>
      <c r="ALM56" s="53"/>
      <c r="ALN56" s="53"/>
      <c r="ALO56" s="53"/>
      <c r="ALP56" s="53"/>
      <c r="ALQ56" s="53"/>
      <c r="ALR56" s="53"/>
      <c r="ALS56" s="53"/>
      <c r="ALT56" s="53"/>
      <c r="ALU56" s="53"/>
      <c r="ALV56" s="53"/>
      <c r="ALW56" s="53"/>
      <c r="ALX56" s="53"/>
      <c r="ALY56" s="53"/>
      <c r="ALZ56" s="53"/>
      <c r="AMA56" s="53"/>
      <c r="AMB56" s="53"/>
      <c r="AMC56" s="53"/>
      <c r="AMD56" s="53"/>
      <c r="AME56" s="53"/>
      <c r="AMF56" s="53"/>
      <c r="AMG56" s="53"/>
      <c r="AMH56" s="53"/>
      <c r="AMI56" s="53"/>
      <c r="AMJ56" s="53"/>
      <c r="AMK56" s="53"/>
      <c r="AML56" s="53"/>
      <c r="AMM56" s="53"/>
      <c r="AMN56" s="53"/>
      <c r="AMO56" s="53"/>
      <c r="AMP56" s="53"/>
      <c r="AMQ56" s="53"/>
      <c r="AMR56" s="53"/>
      <c r="AMS56" s="53"/>
      <c r="AMT56" s="53"/>
      <c r="AMU56" s="53"/>
      <c r="AMV56" s="53"/>
      <c r="AMW56" s="53"/>
      <c r="AMX56" s="53"/>
      <c r="AMY56" s="53"/>
      <c r="AMZ56" s="53"/>
      <c r="ANA56" s="53"/>
      <c r="ANB56" s="53"/>
      <c r="ANC56" s="53"/>
      <c r="AND56" s="53"/>
      <c r="ANE56" s="53"/>
      <c r="ANF56" s="53"/>
      <c r="ANG56" s="53"/>
      <c r="ANH56" s="53"/>
      <c r="ANI56" s="53"/>
      <c r="ANJ56" s="53"/>
      <c r="ANK56" s="53"/>
      <c r="ANL56" s="53"/>
      <c r="ANM56" s="53"/>
      <c r="ANN56" s="53"/>
      <c r="ANO56" s="53"/>
      <c r="ANP56" s="53"/>
      <c r="ANQ56" s="53"/>
      <c r="ANR56" s="53"/>
      <c r="ANS56" s="53"/>
      <c r="ANT56" s="53"/>
      <c r="ANU56" s="53"/>
      <c r="ANV56" s="53"/>
      <c r="ANW56" s="53"/>
      <c r="ANX56" s="53"/>
      <c r="ANY56" s="53"/>
      <c r="ANZ56" s="53"/>
      <c r="AOA56" s="53"/>
      <c r="AOB56" s="53"/>
      <c r="AOC56" s="53"/>
      <c r="AOD56" s="53"/>
      <c r="AOE56" s="53"/>
      <c r="AOF56" s="53"/>
      <c r="AOG56" s="53"/>
      <c r="AOH56" s="53"/>
      <c r="AOI56" s="53"/>
      <c r="AOJ56" s="53"/>
      <c r="AOK56" s="53"/>
      <c r="AOL56" s="53"/>
      <c r="AOM56" s="53"/>
      <c r="AON56" s="53"/>
      <c r="AOO56" s="53"/>
      <c r="AOP56" s="53"/>
      <c r="AOQ56" s="53"/>
      <c r="AOR56" s="53"/>
      <c r="AOS56" s="53"/>
      <c r="AOT56" s="53"/>
      <c r="AOU56" s="53"/>
      <c r="AOV56" s="53"/>
      <c r="AOW56" s="53"/>
      <c r="AOX56" s="53"/>
      <c r="AOY56" s="53"/>
      <c r="AOZ56" s="53"/>
      <c r="APA56" s="53"/>
      <c r="APB56" s="53"/>
      <c r="APC56" s="53"/>
      <c r="APD56" s="53"/>
      <c r="APE56" s="53"/>
      <c r="APF56" s="53"/>
      <c r="APG56" s="53"/>
      <c r="APH56" s="53"/>
      <c r="API56" s="53"/>
      <c r="APJ56" s="53"/>
      <c r="APK56" s="53"/>
      <c r="APL56" s="53"/>
      <c r="APM56" s="53"/>
      <c r="APN56" s="53"/>
      <c r="APO56" s="53"/>
      <c r="APP56" s="53"/>
      <c r="APQ56" s="53"/>
      <c r="APR56" s="53"/>
      <c r="APS56" s="53"/>
      <c r="APT56" s="53"/>
      <c r="APU56" s="53"/>
      <c r="APV56" s="53"/>
      <c r="APW56" s="53"/>
      <c r="APX56" s="53"/>
      <c r="APY56" s="53"/>
      <c r="APZ56" s="53"/>
      <c r="AQA56" s="53"/>
      <c r="AQB56" s="53"/>
      <c r="AQC56" s="53"/>
      <c r="AQD56" s="53"/>
      <c r="AQE56" s="53"/>
      <c r="AQF56" s="53"/>
      <c r="AQG56" s="53"/>
      <c r="AQH56" s="53"/>
      <c r="AQI56" s="53"/>
      <c r="AQJ56" s="53"/>
      <c r="AQK56" s="53"/>
      <c r="AQL56" s="53"/>
      <c r="AQM56" s="53"/>
      <c r="AQN56" s="53"/>
      <c r="AQO56" s="53"/>
      <c r="AQP56" s="53"/>
      <c r="AQQ56" s="53"/>
      <c r="AQR56" s="53"/>
      <c r="AQS56" s="53"/>
      <c r="AQT56" s="53"/>
      <c r="AQU56" s="53"/>
      <c r="AQV56" s="53"/>
      <c r="AQW56" s="53"/>
      <c r="AQX56" s="53"/>
      <c r="AQY56" s="53"/>
      <c r="AQZ56" s="53"/>
      <c r="ARA56" s="53"/>
      <c r="ARB56" s="53"/>
      <c r="ARC56" s="53"/>
      <c r="ARD56" s="53"/>
      <c r="ARE56" s="53"/>
      <c r="ARF56" s="53"/>
      <c r="ARG56" s="53"/>
      <c r="ARH56" s="53"/>
      <c r="ARI56" s="53"/>
      <c r="ARJ56" s="53"/>
      <c r="ARK56" s="53"/>
      <c r="ARL56" s="53"/>
      <c r="ARM56" s="53"/>
      <c r="ARN56" s="53"/>
      <c r="ARO56" s="53"/>
      <c r="ARP56" s="53"/>
      <c r="ARQ56" s="53"/>
      <c r="ARR56" s="53"/>
      <c r="ARS56" s="53"/>
      <c r="ART56" s="53"/>
      <c r="ARU56" s="53"/>
      <c r="ARV56" s="53"/>
      <c r="ARW56" s="53"/>
      <c r="ARX56" s="53"/>
      <c r="ARY56" s="53"/>
      <c r="ARZ56" s="53"/>
      <c r="ASA56" s="53"/>
      <c r="ASB56" s="53"/>
      <c r="ASC56" s="53"/>
      <c r="ASD56" s="53"/>
      <c r="ASE56" s="53"/>
      <c r="ASF56" s="53"/>
      <c r="ASG56" s="53"/>
      <c r="ASH56" s="53"/>
      <c r="ASI56" s="53"/>
      <c r="ASJ56" s="53"/>
      <c r="ASK56" s="53"/>
      <c r="ASL56" s="53"/>
      <c r="ASM56" s="53"/>
      <c r="ASN56" s="53"/>
      <c r="ASO56" s="53"/>
      <c r="ASP56" s="53"/>
      <c r="ASQ56" s="53"/>
      <c r="ASR56" s="53"/>
      <c r="ASS56" s="53"/>
      <c r="AST56" s="53"/>
      <c r="ASU56" s="53"/>
      <c r="ASV56" s="53"/>
      <c r="ASW56" s="53"/>
      <c r="ASX56" s="53"/>
      <c r="ASY56" s="53"/>
      <c r="ASZ56" s="53"/>
      <c r="ATA56" s="53"/>
      <c r="ATB56" s="53"/>
      <c r="ATC56" s="53"/>
      <c r="ATD56" s="53"/>
      <c r="ATE56" s="53"/>
      <c r="ATF56" s="53"/>
      <c r="ATG56" s="53"/>
      <c r="ATH56" s="53"/>
      <c r="ATI56" s="53"/>
      <c r="ATJ56" s="53"/>
      <c r="ATK56" s="53"/>
      <c r="ATL56" s="53"/>
      <c r="ATM56" s="53"/>
      <c r="ATN56" s="53"/>
      <c r="ATO56" s="53"/>
      <c r="ATP56" s="53"/>
      <c r="ATQ56" s="53"/>
      <c r="ATR56" s="53"/>
      <c r="ATS56" s="53"/>
      <c r="ATT56" s="53"/>
      <c r="ATU56" s="53"/>
      <c r="ATV56" s="53"/>
      <c r="ATW56" s="53"/>
      <c r="ATX56" s="53"/>
      <c r="ATY56" s="53"/>
      <c r="ATZ56" s="53"/>
      <c r="AUA56" s="53"/>
      <c r="AUB56" s="53"/>
      <c r="AUC56" s="53"/>
      <c r="AUD56" s="53"/>
      <c r="AUE56" s="53"/>
      <c r="AUF56" s="53"/>
      <c r="AUG56" s="53"/>
      <c r="AUH56" s="53"/>
      <c r="AUI56" s="53"/>
      <c r="AUJ56" s="53"/>
      <c r="AUK56" s="53"/>
      <c r="AUL56" s="53"/>
      <c r="AUM56" s="53"/>
      <c r="AUN56" s="53"/>
      <c r="AUO56" s="53"/>
      <c r="AUP56" s="53"/>
      <c r="AUQ56" s="53"/>
      <c r="AUR56" s="53"/>
      <c r="AUS56" s="53"/>
      <c r="AUT56" s="53"/>
      <c r="AUU56" s="53"/>
      <c r="AUV56" s="53"/>
      <c r="AUW56" s="53"/>
      <c r="AUX56" s="53"/>
      <c r="AUY56" s="53"/>
      <c r="AUZ56" s="53"/>
      <c r="AVA56" s="53"/>
      <c r="AVB56" s="53"/>
      <c r="AVC56" s="53"/>
      <c r="AVD56" s="53"/>
      <c r="AVE56" s="53"/>
      <c r="AVF56" s="53"/>
      <c r="AVG56" s="53"/>
      <c r="AVH56" s="53"/>
      <c r="AVI56" s="53"/>
      <c r="AVJ56" s="53"/>
      <c r="AVK56" s="53"/>
      <c r="AVL56" s="53"/>
      <c r="AVM56" s="53"/>
      <c r="AVN56" s="53"/>
      <c r="AVO56" s="53"/>
      <c r="AVP56" s="53"/>
      <c r="AVQ56" s="53"/>
      <c r="AVR56" s="53"/>
      <c r="AVS56" s="53"/>
      <c r="AVT56" s="53"/>
      <c r="AVU56" s="53"/>
      <c r="AVV56" s="53"/>
      <c r="AVW56" s="53"/>
      <c r="AVX56" s="53"/>
      <c r="AVY56" s="53"/>
      <c r="AVZ56" s="53"/>
      <c r="AWA56" s="53"/>
      <c r="AWB56" s="53"/>
      <c r="AWC56" s="53"/>
      <c r="AWD56" s="53"/>
      <c r="AWE56" s="53"/>
      <c r="AWF56" s="53"/>
      <c r="AWG56" s="53"/>
      <c r="AWH56" s="53"/>
      <c r="AWI56" s="53"/>
      <c r="AWJ56" s="53"/>
      <c r="AWK56" s="53"/>
      <c r="AWL56" s="53"/>
      <c r="AWM56" s="53"/>
      <c r="AWN56" s="53"/>
      <c r="AWO56" s="53"/>
      <c r="AWP56" s="53"/>
      <c r="AWQ56" s="53"/>
      <c r="AWR56" s="53"/>
      <c r="AWS56" s="53"/>
      <c r="AWT56" s="53"/>
      <c r="AWU56" s="53"/>
      <c r="AWV56" s="53"/>
      <c r="AWW56" s="53"/>
      <c r="AWX56" s="53"/>
      <c r="AWY56" s="53"/>
      <c r="AWZ56" s="53"/>
      <c r="AXA56" s="53"/>
      <c r="AXB56" s="53"/>
      <c r="AXC56" s="53"/>
      <c r="AXD56" s="53"/>
      <c r="AXE56" s="53"/>
      <c r="AXF56" s="53"/>
      <c r="AXG56" s="53"/>
      <c r="AXH56" s="53"/>
      <c r="AXI56" s="53"/>
      <c r="AXJ56" s="53"/>
      <c r="AXK56" s="53"/>
      <c r="AXL56" s="53"/>
      <c r="AXM56" s="53"/>
      <c r="AXN56" s="53"/>
      <c r="AXO56" s="53"/>
      <c r="AXP56" s="53"/>
      <c r="AXQ56" s="53"/>
      <c r="AXR56" s="53"/>
      <c r="AXS56" s="53"/>
      <c r="AXT56" s="53"/>
      <c r="AXU56" s="53"/>
      <c r="AXV56" s="53"/>
      <c r="AXW56" s="53"/>
      <c r="AXX56" s="53"/>
      <c r="AXY56" s="53"/>
      <c r="AXZ56" s="53"/>
      <c r="AYA56" s="53"/>
      <c r="AYB56" s="53"/>
      <c r="AYC56" s="53"/>
      <c r="AYD56" s="53"/>
      <c r="AYE56" s="53"/>
      <c r="AYF56" s="53"/>
      <c r="AYG56" s="53"/>
      <c r="AYH56" s="53"/>
      <c r="AYI56" s="53"/>
      <c r="AYJ56" s="53"/>
      <c r="AYK56" s="53"/>
      <c r="AYL56" s="53"/>
      <c r="AYM56" s="53"/>
      <c r="AYN56" s="53"/>
      <c r="AYO56" s="53"/>
      <c r="AYP56" s="53"/>
      <c r="AYQ56" s="53"/>
      <c r="AYR56" s="53"/>
      <c r="AYS56" s="53"/>
      <c r="AYT56" s="53"/>
      <c r="AYU56" s="53"/>
      <c r="AYV56" s="53"/>
      <c r="AYW56" s="53"/>
      <c r="AYX56" s="53"/>
      <c r="AYY56" s="53"/>
      <c r="AYZ56" s="53"/>
      <c r="AZA56" s="53"/>
      <c r="AZB56" s="53"/>
      <c r="AZC56" s="53"/>
      <c r="AZD56" s="53"/>
      <c r="AZE56" s="53"/>
      <c r="AZF56" s="53"/>
      <c r="AZG56" s="53"/>
      <c r="AZH56" s="53"/>
      <c r="AZI56" s="53"/>
      <c r="AZJ56" s="53"/>
      <c r="AZK56" s="53"/>
      <c r="AZL56" s="53"/>
      <c r="AZM56" s="53"/>
      <c r="AZN56" s="53"/>
      <c r="AZO56" s="53"/>
      <c r="AZP56" s="53"/>
      <c r="AZQ56" s="53"/>
      <c r="AZR56" s="53"/>
      <c r="AZS56" s="53"/>
      <c r="AZT56" s="53"/>
      <c r="AZU56" s="53"/>
      <c r="AZV56" s="53"/>
      <c r="AZW56" s="53"/>
      <c r="AZX56" s="53"/>
      <c r="AZY56" s="53"/>
      <c r="AZZ56" s="53"/>
      <c r="BAA56" s="53"/>
      <c r="BAB56" s="53"/>
      <c r="BAC56" s="53"/>
      <c r="BAD56" s="53"/>
      <c r="BAE56" s="53"/>
      <c r="BAF56" s="53"/>
      <c r="BAG56" s="53"/>
      <c r="BAH56" s="53"/>
      <c r="BAI56" s="53"/>
      <c r="BAJ56" s="53"/>
      <c r="BAK56" s="53"/>
      <c r="BAL56" s="53"/>
      <c r="BAM56" s="53"/>
      <c r="BAN56" s="53"/>
      <c r="BAO56" s="53"/>
      <c r="BAP56" s="53"/>
      <c r="BAQ56" s="53"/>
      <c r="BAR56" s="53"/>
      <c r="BAS56" s="53"/>
      <c r="BAT56" s="53"/>
      <c r="BAU56" s="53"/>
      <c r="BAV56" s="53"/>
      <c r="BAW56" s="53"/>
      <c r="BAX56" s="53"/>
      <c r="BAY56" s="53"/>
      <c r="BAZ56" s="53"/>
      <c r="BBA56" s="53"/>
      <c r="BBB56" s="53"/>
      <c r="BBC56" s="53"/>
      <c r="BBD56" s="53"/>
      <c r="BBE56" s="53"/>
      <c r="BBF56" s="53"/>
      <c r="BBG56" s="53"/>
      <c r="BBH56" s="53"/>
      <c r="BBI56" s="53"/>
      <c r="BBJ56" s="53"/>
      <c r="BBK56" s="53"/>
      <c r="BBL56" s="53"/>
      <c r="BBM56" s="53"/>
      <c r="BBN56" s="53"/>
      <c r="BBO56" s="53"/>
      <c r="BBP56" s="53"/>
      <c r="BBQ56" s="53"/>
      <c r="BBR56" s="53"/>
      <c r="BBS56" s="53"/>
      <c r="BBT56" s="53"/>
      <c r="BBU56" s="53"/>
      <c r="BBV56" s="53"/>
      <c r="BBW56" s="53"/>
      <c r="BBX56" s="53"/>
      <c r="BBY56" s="53"/>
      <c r="BBZ56" s="53"/>
      <c r="BCA56" s="53"/>
      <c r="BCB56" s="53"/>
      <c r="BCC56" s="53"/>
      <c r="BCD56" s="53"/>
      <c r="BCE56" s="53"/>
      <c r="BCF56" s="53"/>
      <c r="BCG56" s="53"/>
      <c r="BCH56" s="53"/>
      <c r="BCI56" s="53"/>
      <c r="BCJ56" s="53"/>
      <c r="BCK56" s="53"/>
      <c r="BCL56" s="53"/>
      <c r="BCM56" s="53"/>
      <c r="BCN56" s="53"/>
      <c r="BCO56" s="53"/>
      <c r="BCP56" s="53"/>
      <c r="BCQ56" s="53"/>
      <c r="BCR56" s="53"/>
      <c r="BCS56" s="53"/>
      <c r="BCT56" s="53"/>
      <c r="BCU56" s="53"/>
      <c r="BCV56" s="53"/>
      <c r="BCW56" s="53"/>
      <c r="BCX56" s="53"/>
      <c r="BCY56" s="53"/>
      <c r="BCZ56" s="53"/>
      <c r="BDA56" s="53"/>
      <c r="BDB56" s="53"/>
      <c r="BDC56" s="53"/>
      <c r="BDD56" s="53"/>
      <c r="BDE56" s="53"/>
      <c r="BDF56" s="53"/>
      <c r="BDG56" s="53"/>
      <c r="BDH56" s="53"/>
      <c r="BDI56" s="53"/>
      <c r="BDJ56" s="53"/>
      <c r="BDK56" s="53"/>
      <c r="BDL56" s="53"/>
      <c r="BDM56" s="53"/>
      <c r="BDN56" s="53"/>
      <c r="BDO56" s="53"/>
      <c r="BDP56" s="53"/>
      <c r="BDQ56" s="53"/>
      <c r="BDR56" s="53"/>
      <c r="BDS56" s="53"/>
      <c r="BDT56" s="53"/>
      <c r="BDU56" s="53"/>
      <c r="BDV56" s="53"/>
      <c r="BDW56" s="53"/>
      <c r="BDX56" s="53"/>
      <c r="BDY56" s="53"/>
      <c r="BDZ56" s="53"/>
      <c r="BEA56" s="53"/>
      <c r="BEB56" s="53"/>
      <c r="BEC56" s="53"/>
      <c r="BED56" s="53"/>
      <c r="BEE56" s="53"/>
      <c r="BEF56" s="53"/>
      <c r="BEG56" s="53"/>
      <c r="BEH56" s="53"/>
      <c r="BEI56" s="53"/>
      <c r="BEJ56" s="53"/>
      <c r="BEK56" s="53"/>
      <c r="BEL56" s="53"/>
      <c r="BEM56" s="53"/>
      <c r="BEN56" s="53"/>
      <c r="BEO56" s="53"/>
      <c r="BEP56" s="53"/>
      <c r="BEQ56" s="53"/>
      <c r="BER56" s="53"/>
      <c r="BES56" s="53"/>
      <c r="BET56" s="53"/>
      <c r="BEU56" s="53"/>
      <c r="BEV56" s="53"/>
      <c r="BEW56" s="53"/>
      <c r="BEX56" s="53"/>
      <c r="BEY56" s="53"/>
      <c r="BEZ56" s="53"/>
      <c r="BFA56" s="53"/>
      <c r="BFB56" s="53"/>
      <c r="BFC56" s="53"/>
      <c r="BFD56" s="53"/>
      <c r="BFE56" s="53"/>
      <c r="BFF56" s="53"/>
      <c r="BFG56" s="53"/>
      <c r="BFH56" s="53"/>
      <c r="BFI56" s="53"/>
      <c r="BFJ56" s="53"/>
      <c r="BFK56" s="53"/>
      <c r="BFL56" s="53"/>
      <c r="BFM56" s="53"/>
      <c r="BFN56" s="53"/>
      <c r="BFO56" s="53"/>
      <c r="BFP56" s="53"/>
      <c r="BFQ56" s="53"/>
      <c r="BFR56" s="53"/>
      <c r="BFS56" s="53"/>
      <c r="BFT56" s="53"/>
      <c r="BFU56" s="53"/>
      <c r="BFV56" s="53"/>
      <c r="BFW56" s="53"/>
      <c r="BFX56" s="53"/>
      <c r="BFY56" s="53"/>
      <c r="BFZ56" s="53"/>
      <c r="BGA56" s="53"/>
      <c r="BGB56" s="53"/>
      <c r="BGC56" s="53"/>
      <c r="BGD56" s="53"/>
      <c r="BGE56" s="53"/>
      <c r="BGF56" s="53"/>
      <c r="BGG56" s="53"/>
      <c r="BGH56" s="53"/>
      <c r="BGI56" s="53"/>
      <c r="BGJ56" s="53"/>
      <c r="BGK56" s="53"/>
      <c r="BGL56" s="53"/>
      <c r="BGM56" s="53"/>
      <c r="BGN56" s="53"/>
      <c r="BGO56" s="53"/>
      <c r="BGP56" s="53"/>
      <c r="BGQ56" s="53"/>
      <c r="BGR56" s="53"/>
      <c r="BGS56" s="53"/>
      <c r="BGT56" s="53"/>
      <c r="BGU56" s="53"/>
      <c r="BGV56" s="53"/>
      <c r="BGW56" s="53"/>
      <c r="BGX56" s="53"/>
      <c r="BGY56" s="53"/>
      <c r="BGZ56" s="53"/>
      <c r="BHA56" s="53"/>
      <c r="BHB56" s="53"/>
      <c r="BHC56" s="53"/>
      <c r="BHD56" s="53"/>
      <c r="BHE56" s="53"/>
      <c r="BHF56" s="53"/>
      <c r="BHG56" s="53"/>
      <c r="BHH56" s="53"/>
      <c r="BHI56" s="53"/>
      <c r="BHJ56" s="53"/>
      <c r="BHK56" s="53"/>
      <c r="BHL56" s="53"/>
      <c r="BHM56" s="53"/>
      <c r="BHN56" s="53"/>
      <c r="BHO56" s="53"/>
      <c r="BHP56" s="53"/>
      <c r="BHQ56" s="53"/>
      <c r="BHR56" s="53"/>
      <c r="BHS56" s="53"/>
      <c r="BHT56" s="53"/>
      <c r="BHU56" s="53"/>
      <c r="BHV56" s="53"/>
      <c r="BHW56" s="53"/>
      <c r="BHX56" s="53"/>
      <c r="BHY56" s="53"/>
      <c r="BHZ56" s="53"/>
      <c r="BIA56" s="53"/>
      <c r="BIB56" s="53"/>
      <c r="BIC56" s="53"/>
      <c r="BID56" s="53"/>
      <c r="BIE56" s="53"/>
      <c r="BIF56" s="53"/>
      <c r="BIG56" s="53"/>
      <c r="BIH56" s="53"/>
      <c r="BII56" s="53"/>
      <c r="BIJ56" s="53"/>
      <c r="BIK56" s="53"/>
      <c r="BIL56" s="53"/>
      <c r="BIM56" s="53"/>
      <c r="BIN56" s="53"/>
      <c r="BIO56" s="53"/>
      <c r="BIP56" s="53"/>
      <c r="BIQ56" s="53"/>
      <c r="BIR56" s="53"/>
      <c r="BIS56" s="53"/>
      <c r="BIT56" s="53"/>
      <c r="BIU56" s="53"/>
      <c r="BIV56" s="53"/>
      <c r="BIW56" s="53"/>
      <c r="BIX56" s="53"/>
      <c r="BIY56" s="53"/>
      <c r="BIZ56" s="53"/>
      <c r="BJA56" s="53"/>
      <c r="BJB56" s="53"/>
      <c r="BJC56" s="53"/>
      <c r="BJD56" s="53"/>
      <c r="BJE56" s="53"/>
      <c r="BJF56" s="53"/>
      <c r="BJG56" s="53"/>
      <c r="BJH56" s="53"/>
      <c r="BJI56" s="53"/>
      <c r="BJJ56" s="53"/>
      <c r="BJK56" s="53"/>
      <c r="BJL56" s="53"/>
      <c r="BJM56" s="53"/>
      <c r="BJN56" s="53"/>
      <c r="BJO56" s="53"/>
      <c r="BJP56" s="53"/>
      <c r="BJQ56" s="53"/>
      <c r="BJR56" s="53"/>
      <c r="BJS56" s="53"/>
      <c r="BJT56" s="53"/>
      <c r="BJU56" s="53"/>
      <c r="BJV56" s="53"/>
      <c r="BJW56" s="53"/>
      <c r="BJX56" s="53"/>
      <c r="BJY56" s="53"/>
      <c r="BJZ56" s="53"/>
      <c r="BKA56" s="53"/>
      <c r="BKB56" s="53"/>
      <c r="BKC56" s="53"/>
      <c r="BKD56" s="53"/>
      <c r="BKE56" s="53"/>
      <c r="BKF56" s="53"/>
      <c r="BKG56" s="53"/>
      <c r="BKH56" s="53"/>
      <c r="BKI56" s="53"/>
      <c r="BKJ56" s="53"/>
      <c r="BKK56" s="53"/>
      <c r="BKL56" s="53"/>
      <c r="BKM56" s="53"/>
      <c r="BKN56" s="53"/>
      <c r="BKO56" s="53"/>
      <c r="BKP56" s="53"/>
      <c r="BKQ56" s="53"/>
      <c r="BKR56" s="53"/>
      <c r="BKS56" s="53"/>
      <c r="BKT56" s="53"/>
      <c r="BKU56" s="53"/>
      <c r="BKV56" s="53"/>
      <c r="BKW56" s="53"/>
      <c r="BKX56" s="53"/>
      <c r="BKY56" s="53"/>
      <c r="BKZ56" s="53"/>
      <c r="BLA56" s="53"/>
      <c r="BLB56" s="53"/>
      <c r="BLC56" s="53"/>
      <c r="BLD56" s="53"/>
      <c r="BLE56" s="53"/>
      <c r="BLF56" s="53"/>
      <c r="BLG56" s="53"/>
      <c r="BLH56" s="53"/>
      <c r="BLI56" s="53"/>
      <c r="BLJ56" s="53"/>
      <c r="BLK56" s="53"/>
      <c r="BLL56" s="53"/>
      <c r="BLM56" s="53"/>
      <c r="BLN56" s="53"/>
      <c r="BLO56" s="53"/>
      <c r="BLP56" s="53"/>
      <c r="BLQ56" s="53"/>
      <c r="BLR56" s="53"/>
      <c r="BLS56" s="53"/>
      <c r="BLT56" s="53"/>
      <c r="BLU56" s="53"/>
      <c r="BLV56" s="53"/>
      <c r="BLW56" s="53"/>
      <c r="BLX56" s="53"/>
      <c r="BLY56" s="53"/>
      <c r="BLZ56" s="53"/>
      <c r="BMA56" s="53"/>
      <c r="BMB56" s="53"/>
      <c r="BMC56" s="53"/>
      <c r="BMD56" s="53"/>
      <c r="BME56" s="53"/>
      <c r="BMF56" s="53"/>
      <c r="BMG56" s="53"/>
      <c r="BMH56" s="53"/>
      <c r="BMI56" s="53"/>
      <c r="BMJ56" s="53"/>
      <c r="BMK56" s="53"/>
      <c r="BML56" s="53"/>
      <c r="BMM56" s="53"/>
      <c r="BMN56" s="53"/>
      <c r="BMO56" s="53"/>
      <c r="BMP56" s="53"/>
      <c r="BMQ56" s="53"/>
      <c r="BMR56" s="53"/>
      <c r="BMS56" s="53"/>
      <c r="BMT56" s="53"/>
      <c r="BMU56" s="53"/>
      <c r="BMV56" s="53"/>
      <c r="BMW56" s="53"/>
      <c r="BMX56" s="53"/>
      <c r="BMY56" s="53"/>
      <c r="BMZ56" s="53"/>
      <c r="BNA56" s="53"/>
      <c r="BNB56" s="53"/>
      <c r="BNC56" s="53"/>
      <c r="BND56" s="53"/>
      <c r="BNE56" s="53"/>
      <c r="BNF56" s="53"/>
      <c r="BNG56" s="53"/>
      <c r="BNH56" s="53"/>
      <c r="BNI56" s="53"/>
      <c r="BNJ56" s="53"/>
      <c r="BNK56" s="53"/>
      <c r="BNL56" s="53"/>
      <c r="BNM56" s="53"/>
      <c r="BNN56" s="53"/>
      <c r="BNO56" s="53"/>
      <c r="BNP56" s="53"/>
      <c r="BNQ56" s="53"/>
      <c r="BNR56" s="53"/>
      <c r="BNS56" s="53"/>
      <c r="BNT56" s="53"/>
      <c r="BNU56" s="53"/>
      <c r="BNV56" s="53"/>
      <c r="BNW56" s="53"/>
      <c r="BNX56" s="53"/>
      <c r="BNY56" s="53"/>
      <c r="BNZ56" s="53"/>
      <c r="BOA56" s="53"/>
      <c r="BOB56" s="53"/>
      <c r="BOC56" s="53"/>
      <c r="BOD56" s="53"/>
      <c r="BOE56" s="53"/>
      <c r="BOF56" s="53"/>
      <c r="BOG56" s="53"/>
      <c r="BOH56" s="53"/>
      <c r="BOI56" s="53"/>
      <c r="BOJ56" s="53"/>
      <c r="BOK56" s="53"/>
      <c r="BOL56" s="53"/>
      <c r="BOM56" s="53"/>
      <c r="BON56" s="53"/>
      <c r="BOO56" s="53"/>
      <c r="BOP56" s="53"/>
      <c r="BOQ56" s="53"/>
      <c r="BOR56" s="53"/>
      <c r="BOS56" s="53"/>
      <c r="BOT56" s="53"/>
      <c r="BOU56" s="53"/>
      <c r="BOV56" s="53"/>
      <c r="BOW56" s="53"/>
      <c r="BOX56" s="53"/>
      <c r="BOY56" s="53"/>
      <c r="BOZ56" s="53"/>
      <c r="BPA56" s="53"/>
      <c r="BPB56" s="53"/>
      <c r="BPC56" s="53"/>
      <c r="BPD56" s="53"/>
      <c r="BPE56" s="53"/>
      <c r="BPF56" s="53"/>
      <c r="BPG56" s="53"/>
      <c r="BPH56" s="53"/>
      <c r="BPI56" s="53"/>
      <c r="BPJ56" s="53"/>
      <c r="BPK56" s="53"/>
      <c r="BPL56" s="53"/>
      <c r="BPM56" s="53"/>
      <c r="BPN56" s="53"/>
      <c r="BPO56" s="53"/>
      <c r="BPP56" s="53"/>
      <c r="BPQ56" s="53"/>
      <c r="BPR56" s="53"/>
      <c r="BPS56" s="53"/>
      <c r="BPT56" s="53"/>
      <c r="BPU56" s="53"/>
      <c r="BPV56" s="53"/>
      <c r="BPW56" s="53"/>
      <c r="BPX56" s="53"/>
      <c r="BPY56" s="53"/>
      <c r="BPZ56" s="53"/>
      <c r="BQA56" s="53"/>
      <c r="BQB56" s="53"/>
      <c r="BQC56" s="53"/>
      <c r="BQD56" s="53"/>
      <c r="BQE56" s="53"/>
      <c r="BQF56" s="53"/>
      <c r="BQG56" s="53"/>
      <c r="BQH56" s="53"/>
      <c r="BQI56" s="53"/>
      <c r="BQJ56" s="53"/>
      <c r="BQK56" s="53"/>
      <c r="BQL56" s="53"/>
      <c r="BQM56" s="53"/>
      <c r="BQN56" s="53"/>
      <c r="BQO56" s="53"/>
      <c r="BQP56" s="53"/>
      <c r="BQQ56" s="53"/>
      <c r="BQR56" s="53"/>
      <c r="BQS56" s="53"/>
      <c r="BQT56" s="53"/>
      <c r="BQU56" s="53"/>
      <c r="BQV56" s="53"/>
      <c r="BQW56" s="53"/>
      <c r="BQX56" s="53"/>
      <c r="BQY56" s="53"/>
      <c r="BQZ56" s="53"/>
      <c r="BRA56" s="53"/>
      <c r="BRB56" s="53"/>
      <c r="BRC56" s="53"/>
      <c r="BRD56" s="53"/>
      <c r="BRE56" s="53"/>
      <c r="BRF56" s="53"/>
      <c r="BRG56" s="53"/>
      <c r="BRH56" s="53"/>
      <c r="BRI56" s="53"/>
      <c r="BRJ56" s="53"/>
      <c r="BRK56" s="53"/>
      <c r="BRL56" s="53"/>
      <c r="BRM56" s="53"/>
      <c r="BRN56" s="53"/>
      <c r="BRO56" s="53"/>
      <c r="BRP56" s="53"/>
      <c r="BRQ56" s="53"/>
      <c r="BRR56" s="53"/>
      <c r="BRS56" s="53"/>
      <c r="BRT56" s="53"/>
      <c r="BRU56" s="53"/>
      <c r="BRV56" s="53"/>
      <c r="BRW56" s="53"/>
      <c r="BRX56" s="53"/>
      <c r="BRY56" s="53"/>
      <c r="BRZ56" s="53"/>
      <c r="BSA56" s="53"/>
      <c r="BSB56" s="53"/>
      <c r="BSC56" s="53"/>
      <c r="BSD56" s="53"/>
      <c r="BSE56" s="53"/>
      <c r="BSF56" s="53"/>
      <c r="BSG56" s="53"/>
      <c r="BSH56" s="53"/>
      <c r="BSI56" s="53"/>
      <c r="BSJ56" s="53"/>
      <c r="BSK56" s="53"/>
      <c r="BSL56" s="53"/>
      <c r="BSM56" s="53"/>
      <c r="BSN56" s="53"/>
      <c r="BSO56" s="53"/>
      <c r="BSP56" s="53"/>
      <c r="BSQ56" s="53"/>
      <c r="BSR56" s="53"/>
      <c r="BSS56" s="53"/>
      <c r="BST56" s="53"/>
      <c r="BSU56" s="53"/>
      <c r="BSV56" s="53"/>
      <c r="BSW56" s="53"/>
      <c r="BSX56" s="53"/>
      <c r="BSY56" s="53"/>
      <c r="BSZ56" s="53"/>
      <c r="BTA56" s="53"/>
      <c r="BTB56" s="53"/>
      <c r="BTC56" s="53"/>
      <c r="BTD56" s="53"/>
      <c r="BTE56" s="53"/>
      <c r="BTF56" s="53"/>
      <c r="BTG56" s="53"/>
      <c r="BTH56" s="53"/>
      <c r="BTI56" s="53"/>
      <c r="BTJ56" s="53"/>
      <c r="BTK56" s="53"/>
      <c r="BTL56" s="53"/>
      <c r="BTM56" s="53"/>
      <c r="BTN56" s="53"/>
      <c r="BTO56" s="53"/>
      <c r="BTP56" s="53"/>
      <c r="BTQ56" s="53"/>
      <c r="BTR56" s="53"/>
      <c r="BTS56" s="53"/>
      <c r="BTT56" s="53"/>
      <c r="BTU56" s="53"/>
      <c r="BTV56" s="53"/>
      <c r="BTW56" s="53"/>
      <c r="BTX56" s="53"/>
      <c r="BTY56" s="53"/>
      <c r="BTZ56" s="53"/>
      <c r="BUA56" s="53"/>
      <c r="BUB56" s="53"/>
      <c r="BUC56" s="53"/>
      <c r="BUD56" s="53"/>
      <c r="BUE56" s="53"/>
      <c r="BUF56" s="53"/>
      <c r="BUG56" s="53"/>
      <c r="BUH56" s="53"/>
      <c r="BUI56" s="53"/>
      <c r="BUJ56" s="53"/>
      <c r="BUK56" s="53"/>
      <c r="BUL56" s="53"/>
      <c r="BUM56" s="53"/>
      <c r="BUN56" s="53"/>
      <c r="BUO56" s="53"/>
      <c r="BUP56" s="53"/>
      <c r="BUQ56" s="53"/>
      <c r="BUR56" s="53"/>
      <c r="BUS56" s="53"/>
      <c r="BUT56" s="53"/>
      <c r="BUU56" s="53"/>
      <c r="BUV56" s="53"/>
      <c r="BUW56" s="53"/>
      <c r="BUX56" s="53"/>
      <c r="BUY56" s="53"/>
      <c r="BUZ56" s="53"/>
      <c r="BVA56" s="53"/>
      <c r="BVB56" s="53"/>
      <c r="BVC56" s="53"/>
      <c r="BVD56" s="53"/>
      <c r="BVE56" s="53"/>
      <c r="BVF56" s="53"/>
      <c r="BVG56" s="53"/>
      <c r="BVH56" s="53"/>
      <c r="BVI56" s="53"/>
      <c r="BVJ56" s="53"/>
      <c r="BVK56" s="53"/>
      <c r="BVL56" s="53"/>
      <c r="BVM56" s="53"/>
      <c r="BVN56" s="53"/>
      <c r="BVO56" s="53"/>
      <c r="BVP56" s="53"/>
      <c r="BVQ56" s="53"/>
      <c r="BVR56" s="53"/>
      <c r="BVS56" s="53"/>
      <c r="BVT56" s="53"/>
      <c r="BVU56" s="53"/>
      <c r="BVV56" s="53"/>
      <c r="BVW56" s="53"/>
      <c r="BVX56" s="53"/>
      <c r="BVY56" s="53"/>
      <c r="BVZ56" s="53"/>
      <c r="BWA56" s="53"/>
      <c r="BWB56" s="53"/>
      <c r="BWC56" s="53"/>
      <c r="BWD56" s="53"/>
      <c r="BWE56" s="53"/>
      <c r="BWF56" s="53"/>
      <c r="BWG56" s="53"/>
      <c r="BWH56" s="53"/>
      <c r="BWI56" s="53"/>
      <c r="BWJ56" s="53"/>
      <c r="BWK56" s="53"/>
      <c r="BWL56" s="53"/>
      <c r="BWM56" s="53"/>
      <c r="BWN56" s="53"/>
      <c r="BWO56" s="53"/>
      <c r="BWP56" s="53"/>
      <c r="BWQ56" s="53"/>
      <c r="BWR56" s="53"/>
      <c r="BWS56" s="53"/>
      <c r="BWT56" s="53"/>
      <c r="BWU56" s="53"/>
      <c r="BWV56" s="53"/>
      <c r="BWW56" s="53"/>
      <c r="BWX56" s="53"/>
      <c r="BWY56" s="53"/>
      <c r="BWZ56" s="53"/>
      <c r="BXA56" s="53"/>
      <c r="BXB56" s="53"/>
      <c r="BXC56" s="53"/>
      <c r="BXD56" s="53"/>
      <c r="BXE56" s="53"/>
      <c r="BXF56" s="53"/>
      <c r="BXG56" s="53"/>
      <c r="BXH56" s="53"/>
      <c r="BXI56" s="53"/>
      <c r="BXJ56" s="53"/>
      <c r="BXK56" s="53"/>
      <c r="BXL56" s="53"/>
      <c r="BXM56" s="53"/>
      <c r="BXN56" s="53"/>
      <c r="BXO56" s="53"/>
      <c r="BXP56" s="53"/>
      <c r="BXQ56" s="53"/>
      <c r="BXR56" s="53"/>
      <c r="BXS56" s="53"/>
      <c r="BXT56" s="53"/>
      <c r="BXU56" s="53"/>
      <c r="BXV56" s="53"/>
      <c r="BXW56" s="53"/>
      <c r="BXX56" s="53"/>
      <c r="BXY56" s="53"/>
      <c r="BXZ56" s="53"/>
      <c r="BYA56" s="53"/>
      <c r="BYB56" s="53"/>
      <c r="BYC56" s="53"/>
      <c r="BYD56" s="53"/>
      <c r="BYE56" s="53"/>
      <c r="BYF56" s="53"/>
      <c r="BYG56" s="53"/>
      <c r="BYH56" s="53"/>
      <c r="BYI56" s="53"/>
      <c r="BYJ56" s="53"/>
      <c r="BYK56" s="53"/>
      <c r="BYL56" s="53"/>
      <c r="BYM56" s="53"/>
      <c r="BYN56" s="53"/>
      <c r="BYO56" s="53"/>
      <c r="BYP56" s="53"/>
      <c r="BYQ56" s="53"/>
      <c r="BYR56" s="53"/>
      <c r="BYS56" s="53"/>
      <c r="BYT56" s="53"/>
      <c r="BYU56" s="53"/>
      <c r="BYV56" s="53"/>
      <c r="BYW56" s="53"/>
      <c r="BYX56" s="53"/>
      <c r="BYY56" s="53"/>
      <c r="BYZ56" s="53"/>
      <c r="BZA56" s="53"/>
      <c r="BZB56" s="53"/>
      <c r="BZC56" s="53"/>
      <c r="BZD56" s="53"/>
      <c r="BZE56" s="53"/>
      <c r="BZF56" s="53"/>
      <c r="BZG56" s="53"/>
      <c r="BZH56" s="53"/>
      <c r="BZI56" s="53"/>
      <c r="BZJ56" s="53"/>
      <c r="BZK56" s="53"/>
      <c r="BZL56" s="53"/>
      <c r="BZM56" s="53"/>
      <c r="BZN56" s="53"/>
      <c r="BZO56" s="53"/>
      <c r="BZP56" s="53"/>
      <c r="BZQ56" s="53"/>
      <c r="BZR56" s="53"/>
      <c r="BZS56" s="53"/>
      <c r="BZT56" s="53"/>
      <c r="BZU56" s="53"/>
      <c r="BZV56" s="53"/>
      <c r="BZW56" s="53"/>
      <c r="BZX56" s="53"/>
      <c r="BZY56" s="53"/>
      <c r="BZZ56" s="53"/>
      <c r="CAA56" s="53"/>
      <c r="CAB56" s="53"/>
      <c r="CAC56" s="53"/>
      <c r="CAD56" s="53"/>
      <c r="CAE56" s="53"/>
      <c r="CAF56" s="53"/>
      <c r="CAG56" s="53"/>
      <c r="CAH56" s="53"/>
      <c r="CAI56" s="53"/>
      <c r="CAJ56" s="53"/>
      <c r="CAK56" s="53"/>
      <c r="CAL56" s="53"/>
      <c r="CAM56" s="53"/>
      <c r="CAN56" s="53"/>
      <c r="CAO56" s="53"/>
      <c r="CAP56" s="53"/>
      <c r="CAQ56" s="53"/>
      <c r="CAR56" s="53"/>
      <c r="CAS56" s="53"/>
      <c r="CAT56" s="53"/>
      <c r="CAU56" s="53"/>
      <c r="CAV56" s="53"/>
      <c r="CAW56" s="53"/>
      <c r="CAX56" s="53"/>
      <c r="CAY56" s="53"/>
      <c r="CAZ56" s="53"/>
      <c r="CBA56" s="53"/>
      <c r="CBB56" s="53"/>
      <c r="CBC56" s="53"/>
      <c r="CBD56" s="53"/>
      <c r="CBE56" s="53"/>
      <c r="CBF56" s="53"/>
      <c r="CBG56" s="53"/>
      <c r="CBH56" s="53"/>
      <c r="CBI56" s="53"/>
      <c r="CBJ56" s="53"/>
      <c r="CBK56" s="53"/>
      <c r="CBL56" s="53"/>
      <c r="CBM56" s="53"/>
      <c r="CBN56" s="53"/>
      <c r="CBO56" s="53"/>
      <c r="CBP56" s="53"/>
      <c r="CBQ56" s="53"/>
      <c r="CBR56" s="53"/>
      <c r="CBS56" s="53"/>
      <c r="CBT56" s="53"/>
      <c r="CBU56" s="53"/>
      <c r="CBV56" s="53"/>
      <c r="CBW56" s="53"/>
      <c r="CBX56" s="53"/>
      <c r="CBY56" s="53"/>
      <c r="CBZ56" s="53"/>
      <c r="CCA56" s="53"/>
      <c r="CCB56" s="53"/>
      <c r="CCC56" s="53"/>
      <c r="CCD56" s="53"/>
      <c r="CCE56" s="53"/>
      <c r="CCF56" s="53"/>
      <c r="CCG56" s="53"/>
      <c r="CCH56" s="53"/>
      <c r="CCI56" s="53"/>
      <c r="CCJ56" s="53"/>
      <c r="CCK56" s="53"/>
      <c r="CCL56" s="53"/>
      <c r="CCM56" s="53"/>
      <c r="CCN56" s="53"/>
      <c r="CCO56" s="53"/>
      <c r="CCP56" s="53"/>
      <c r="CCQ56" s="53"/>
      <c r="CCR56" s="53"/>
      <c r="CCS56" s="53"/>
      <c r="CCT56" s="53"/>
      <c r="CCU56" s="53"/>
      <c r="CCV56" s="53"/>
      <c r="CCW56" s="53"/>
      <c r="CCX56" s="53"/>
      <c r="CCY56" s="53"/>
      <c r="CCZ56" s="53"/>
      <c r="CDA56" s="53"/>
      <c r="CDB56" s="53"/>
      <c r="CDC56" s="53"/>
      <c r="CDD56" s="53"/>
      <c r="CDE56" s="53"/>
      <c r="CDF56" s="53"/>
      <c r="CDG56" s="53"/>
      <c r="CDH56" s="53"/>
      <c r="CDI56" s="53"/>
      <c r="CDJ56" s="53"/>
      <c r="CDK56" s="53"/>
      <c r="CDL56" s="53"/>
      <c r="CDM56" s="53"/>
      <c r="CDN56" s="53"/>
      <c r="CDO56" s="53"/>
      <c r="CDP56" s="53"/>
      <c r="CDQ56" s="53"/>
      <c r="CDR56" s="53"/>
      <c r="CDS56" s="53"/>
      <c r="CDT56" s="53"/>
      <c r="CDU56" s="53"/>
      <c r="CDV56" s="53"/>
      <c r="CDW56" s="53"/>
      <c r="CDX56" s="53"/>
      <c r="CDY56" s="53"/>
      <c r="CDZ56" s="53"/>
      <c r="CEA56" s="53"/>
      <c r="CEB56" s="53"/>
      <c r="CEC56" s="53"/>
      <c r="CED56" s="53"/>
      <c r="CEE56" s="53"/>
      <c r="CEF56" s="53"/>
      <c r="CEG56" s="53"/>
      <c r="CEH56" s="53"/>
      <c r="CEI56" s="53"/>
      <c r="CEJ56" s="53"/>
      <c r="CEK56" s="53"/>
      <c r="CEL56" s="53"/>
      <c r="CEM56" s="53"/>
      <c r="CEN56" s="53"/>
      <c r="CEO56" s="53"/>
      <c r="CEP56" s="53"/>
      <c r="CEQ56" s="53"/>
      <c r="CER56" s="53"/>
      <c r="CES56" s="53"/>
      <c r="CET56" s="53"/>
      <c r="CEU56" s="53"/>
      <c r="CEV56" s="53"/>
      <c r="CEW56" s="53"/>
      <c r="CEX56" s="53"/>
      <c r="CEY56" s="53"/>
      <c r="CEZ56" s="53"/>
      <c r="CFA56" s="53"/>
      <c r="CFB56" s="53"/>
      <c r="CFC56" s="53"/>
      <c r="CFD56" s="53"/>
      <c r="CFE56" s="53"/>
      <c r="CFF56" s="53"/>
      <c r="CFG56" s="53"/>
      <c r="CFH56" s="53"/>
      <c r="CFI56" s="53"/>
      <c r="CFJ56" s="53"/>
      <c r="CFK56" s="53"/>
      <c r="CFL56" s="53"/>
      <c r="CFM56" s="53"/>
      <c r="CFN56" s="53"/>
      <c r="CFO56" s="53"/>
      <c r="CFP56" s="53"/>
      <c r="CFQ56" s="53"/>
      <c r="CFR56" s="53"/>
      <c r="CFS56" s="53"/>
      <c r="CFT56" s="53"/>
      <c r="CFU56" s="53"/>
      <c r="CFV56" s="53"/>
      <c r="CFW56" s="53"/>
      <c r="CFX56" s="53"/>
      <c r="CFY56" s="53"/>
      <c r="CFZ56" s="53"/>
      <c r="CGA56" s="53"/>
      <c r="CGB56" s="53"/>
      <c r="CGC56" s="53"/>
      <c r="CGD56" s="53"/>
      <c r="CGE56" s="53"/>
      <c r="CGF56" s="53"/>
      <c r="CGG56" s="53"/>
      <c r="CGH56" s="53"/>
      <c r="CGI56" s="53"/>
      <c r="CGJ56" s="53"/>
      <c r="CGK56" s="53"/>
      <c r="CGL56" s="53"/>
      <c r="CGM56" s="53"/>
      <c r="CGN56" s="53"/>
      <c r="CGO56" s="53"/>
      <c r="CGP56" s="53"/>
      <c r="CGQ56" s="53"/>
      <c r="CGR56" s="53"/>
      <c r="CGS56" s="53"/>
      <c r="CGT56" s="53"/>
      <c r="CGU56" s="53"/>
      <c r="CGV56" s="53"/>
      <c r="CGW56" s="53"/>
      <c r="CGX56" s="53"/>
      <c r="CGY56" s="53"/>
      <c r="CGZ56" s="53"/>
      <c r="CHA56" s="53"/>
      <c r="CHB56" s="53"/>
      <c r="CHC56" s="53"/>
      <c r="CHD56" s="53"/>
      <c r="CHE56" s="53"/>
      <c r="CHF56" s="53"/>
      <c r="CHG56" s="53"/>
      <c r="CHH56" s="53"/>
      <c r="CHI56" s="53"/>
      <c r="CHJ56" s="53"/>
      <c r="CHK56" s="53"/>
      <c r="CHL56" s="53"/>
      <c r="CHM56" s="53"/>
      <c r="CHN56" s="53"/>
      <c r="CHO56" s="53"/>
      <c r="CHP56" s="53"/>
      <c r="CHQ56" s="53"/>
      <c r="CHR56" s="53"/>
      <c r="CHS56" s="53"/>
      <c r="CHT56" s="53"/>
      <c r="CHU56" s="53"/>
      <c r="CHV56" s="53"/>
      <c r="CHW56" s="53"/>
      <c r="CHX56" s="53"/>
      <c r="CHY56" s="53"/>
      <c r="CHZ56" s="53"/>
      <c r="CIA56" s="53"/>
      <c r="CIB56" s="53"/>
      <c r="CIC56" s="53"/>
      <c r="CID56" s="53"/>
      <c r="CIE56" s="53"/>
      <c r="CIF56" s="53"/>
      <c r="CIG56" s="53"/>
      <c r="CIH56" s="53"/>
      <c r="CII56" s="53"/>
      <c r="CIJ56" s="53"/>
      <c r="CIK56" s="53"/>
      <c r="CIL56" s="53"/>
      <c r="CIM56" s="53"/>
      <c r="CIN56" s="53"/>
      <c r="CIO56" s="53"/>
      <c r="CIP56" s="53"/>
      <c r="CIQ56" s="53"/>
      <c r="CIR56" s="53"/>
      <c r="CIS56" s="53"/>
      <c r="CIT56" s="53"/>
      <c r="CIU56" s="53"/>
      <c r="CIV56" s="53"/>
      <c r="CIW56" s="53"/>
      <c r="CIX56" s="53"/>
      <c r="CIY56" s="53"/>
      <c r="CIZ56" s="53"/>
      <c r="CJA56" s="53"/>
      <c r="CJB56" s="53"/>
      <c r="CJC56" s="53"/>
      <c r="CJD56" s="53"/>
      <c r="CJE56" s="53"/>
      <c r="CJF56" s="53"/>
      <c r="CJG56" s="53"/>
      <c r="CJH56" s="53"/>
      <c r="CJI56" s="53"/>
      <c r="CJJ56" s="53"/>
      <c r="CJK56" s="53"/>
      <c r="CJL56" s="53"/>
      <c r="CJM56" s="53"/>
      <c r="CJN56" s="53"/>
      <c r="CJO56" s="53"/>
      <c r="CJP56" s="53"/>
      <c r="CJQ56" s="53"/>
      <c r="CJR56" s="53"/>
      <c r="CJS56" s="53"/>
      <c r="CJT56" s="53"/>
      <c r="CJU56" s="53"/>
      <c r="CJV56" s="53"/>
      <c r="CJW56" s="53"/>
      <c r="CJX56" s="53"/>
      <c r="CJY56" s="53"/>
      <c r="CJZ56" s="53"/>
      <c r="CKA56" s="53"/>
      <c r="CKB56" s="53"/>
      <c r="CKC56" s="53"/>
      <c r="CKD56" s="53"/>
      <c r="CKE56" s="53"/>
      <c r="CKF56" s="53"/>
      <c r="CKG56" s="53"/>
      <c r="CKH56" s="53"/>
      <c r="CKI56" s="53"/>
      <c r="CKJ56" s="53"/>
      <c r="CKK56" s="53"/>
      <c r="CKL56" s="53"/>
      <c r="CKM56" s="53"/>
      <c r="CKN56" s="53"/>
      <c r="CKO56" s="53"/>
      <c r="CKP56" s="53"/>
      <c r="CKQ56" s="53"/>
      <c r="CKR56" s="53"/>
      <c r="CKS56" s="53"/>
      <c r="CKT56" s="53"/>
      <c r="CKU56" s="53"/>
      <c r="CKV56" s="53"/>
      <c r="CKW56" s="53"/>
      <c r="CKX56" s="53"/>
      <c r="CKY56" s="53"/>
      <c r="CKZ56" s="53"/>
      <c r="CLA56" s="53"/>
      <c r="CLB56" s="53"/>
      <c r="CLC56" s="53"/>
      <c r="CLD56" s="53"/>
      <c r="CLE56" s="53"/>
      <c r="CLF56" s="53"/>
      <c r="CLG56" s="53"/>
      <c r="CLH56" s="53"/>
      <c r="CLI56" s="53"/>
      <c r="CLJ56" s="53"/>
      <c r="CLK56" s="53"/>
      <c r="CLL56" s="53"/>
      <c r="CLM56" s="53"/>
      <c r="CLN56" s="53"/>
      <c r="CLO56" s="53"/>
      <c r="CLP56" s="53"/>
      <c r="CLQ56" s="53"/>
      <c r="CLR56" s="53"/>
      <c r="CLS56" s="53"/>
      <c r="CLT56" s="53"/>
      <c r="CLU56" s="53"/>
      <c r="CLV56" s="53"/>
      <c r="CLW56" s="53"/>
      <c r="CLX56" s="53"/>
      <c r="CLY56" s="53"/>
      <c r="CLZ56" s="53"/>
      <c r="CMA56" s="53"/>
      <c r="CMB56" s="53"/>
      <c r="CMC56" s="53"/>
      <c r="CMD56" s="53"/>
      <c r="CME56" s="53"/>
      <c r="CMF56" s="53"/>
      <c r="CMG56" s="53"/>
      <c r="CMH56" s="53"/>
      <c r="CMI56" s="53"/>
      <c r="CMJ56" s="53"/>
      <c r="CMK56" s="53"/>
      <c r="CML56" s="53"/>
      <c r="CMM56" s="53"/>
      <c r="CMN56" s="53"/>
      <c r="CMO56" s="53"/>
      <c r="CMP56" s="53"/>
      <c r="CMQ56" s="53"/>
      <c r="CMR56" s="53"/>
      <c r="CMS56" s="53"/>
      <c r="CMT56" s="53"/>
      <c r="CMU56" s="53"/>
      <c r="CMV56" s="53"/>
      <c r="CMW56" s="53"/>
      <c r="CMX56" s="53"/>
      <c r="CMY56" s="53"/>
      <c r="CMZ56" s="53"/>
      <c r="CNA56" s="53"/>
      <c r="CNB56" s="53"/>
      <c r="CNC56" s="53"/>
      <c r="CND56" s="53"/>
      <c r="CNE56" s="53"/>
      <c r="CNF56" s="53"/>
      <c r="CNG56" s="53"/>
      <c r="CNH56" s="53"/>
      <c r="CNI56" s="53"/>
      <c r="CNJ56" s="53"/>
      <c r="CNK56" s="53"/>
      <c r="CNL56" s="53"/>
      <c r="CNM56" s="53"/>
      <c r="CNN56" s="53"/>
      <c r="CNO56" s="53"/>
      <c r="CNP56" s="53"/>
      <c r="CNQ56" s="53"/>
      <c r="CNR56" s="53"/>
      <c r="CNS56" s="53"/>
      <c r="CNT56" s="53"/>
      <c r="CNU56" s="53"/>
      <c r="CNV56" s="53"/>
      <c r="CNW56" s="53"/>
      <c r="CNX56" s="53"/>
      <c r="CNY56" s="53"/>
      <c r="CNZ56" s="53"/>
      <c r="COA56" s="53"/>
      <c r="COB56" s="53"/>
      <c r="COC56" s="53"/>
      <c r="COD56" s="53"/>
      <c r="COE56" s="53"/>
      <c r="COF56" s="53"/>
      <c r="COG56" s="53"/>
      <c r="COH56" s="53"/>
      <c r="COI56" s="53"/>
      <c r="COJ56" s="53"/>
      <c r="COK56" s="53"/>
      <c r="COL56" s="53"/>
      <c r="COM56" s="53"/>
      <c r="CON56" s="53"/>
      <c r="COO56" s="53"/>
      <c r="COP56" s="53"/>
      <c r="COQ56" s="53"/>
      <c r="COR56" s="53"/>
      <c r="COS56" s="53"/>
      <c r="COT56" s="53"/>
      <c r="COU56" s="53"/>
      <c r="COV56" s="53"/>
      <c r="COW56" s="53"/>
      <c r="COX56" s="53"/>
      <c r="COY56" s="53"/>
      <c r="COZ56" s="53"/>
      <c r="CPA56" s="53"/>
      <c r="CPB56" s="53"/>
      <c r="CPC56" s="53"/>
      <c r="CPD56" s="53"/>
      <c r="CPE56" s="53"/>
      <c r="CPF56" s="53"/>
      <c r="CPG56" s="53"/>
      <c r="CPH56" s="53"/>
      <c r="CPI56" s="53"/>
      <c r="CPJ56" s="53"/>
      <c r="CPK56" s="53"/>
      <c r="CPL56" s="53"/>
      <c r="CPM56" s="53"/>
      <c r="CPN56" s="53"/>
      <c r="CPO56" s="53"/>
      <c r="CPP56" s="53"/>
      <c r="CPQ56" s="53"/>
      <c r="CPR56" s="53"/>
      <c r="CPS56" s="53"/>
      <c r="CPT56" s="53"/>
      <c r="CPU56" s="53"/>
      <c r="CPV56" s="53"/>
      <c r="CPW56" s="53"/>
      <c r="CPX56" s="53"/>
      <c r="CPY56" s="53"/>
      <c r="CPZ56" s="53"/>
      <c r="CQA56" s="53"/>
      <c r="CQB56" s="53"/>
      <c r="CQC56" s="53"/>
      <c r="CQD56" s="53"/>
      <c r="CQE56" s="53"/>
      <c r="CQF56" s="53"/>
      <c r="CQG56" s="53"/>
      <c r="CQH56" s="53"/>
      <c r="CQI56" s="53"/>
      <c r="CQJ56" s="53"/>
      <c r="CQK56" s="53"/>
      <c r="CQL56" s="53"/>
      <c r="CQM56" s="53"/>
      <c r="CQN56" s="53"/>
      <c r="CQO56" s="53"/>
      <c r="CQP56" s="53"/>
      <c r="CQQ56" s="53"/>
      <c r="CQR56" s="53"/>
      <c r="CQS56" s="53"/>
      <c r="CQT56" s="53"/>
      <c r="CQU56" s="53"/>
      <c r="CQV56" s="53"/>
      <c r="CQW56" s="53"/>
      <c r="CQX56" s="53"/>
      <c r="CQY56" s="53"/>
      <c r="CQZ56" s="53"/>
      <c r="CRA56" s="53"/>
      <c r="CRB56" s="53"/>
      <c r="CRC56" s="53"/>
      <c r="CRD56" s="53"/>
      <c r="CRE56" s="53"/>
      <c r="CRF56" s="53"/>
      <c r="CRG56" s="53"/>
      <c r="CRH56" s="53"/>
      <c r="CRI56" s="53"/>
      <c r="CRJ56" s="53"/>
      <c r="CRK56" s="53"/>
      <c r="CRL56" s="53"/>
      <c r="CRM56" s="53"/>
      <c r="CRN56" s="53"/>
      <c r="CRO56" s="53"/>
      <c r="CRP56" s="53"/>
      <c r="CRQ56" s="53"/>
      <c r="CRR56" s="53"/>
      <c r="CRS56" s="53"/>
      <c r="CRT56" s="53"/>
      <c r="CRU56" s="53"/>
      <c r="CRV56" s="53"/>
      <c r="CRW56" s="53"/>
      <c r="CRX56" s="53"/>
      <c r="CRY56" s="53"/>
      <c r="CRZ56" s="53"/>
      <c r="CSA56" s="53"/>
      <c r="CSB56" s="53"/>
      <c r="CSC56" s="53"/>
      <c r="CSD56" s="53"/>
      <c r="CSE56" s="53"/>
      <c r="CSF56" s="53"/>
      <c r="CSG56" s="53"/>
      <c r="CSH56" s="53"/>
      <c r="CSI56" s="53"/>
      <c r="CSJ56" s="53"/>
      <c r="CSK56" s="53"/>
      <c r="CSL56" s="53"/>
      <c r="CSM56" s="53"/>
      <c r="CSN56" s="53"/>
      <c r="CSO56" s="53"/>
      <c r="CSP56" s="53"/>
      <c r="CSQ56" s="53"/>
      <c r="CSR56" s="53"/>
      <c r="CSS56" s="53"/>
      <c r="CST56" s="53"/>
      <c r="CSU56" s="53"/>
      <c r="CSV56" s="53"/>
      <c r="CSW56" s="53"/>
      <c r="CSX56" s="53"/>
      <c r="CSY56" s="53"/>
      <c r="CSZ56" s="53"/>
      <c r="CTA56" s="53"/>
      <c r="CTB56" s="53"/>
      <c r="CTC56" s="53"/>
      <c r="CTD56" s="53"/>
      <c r="CTE56" s="53"/>
      <c r="CTF56" s="53"/>
      <c r="CTG56" s="53"/>
      <c r="CTH56" s="53"/>
      <c r="CTI56" s="53"/>
      <c r="CTJ56" s="53"/>
      <c r="CTK56" s="53"/>
      <c r="CTL56" s="53"/>
      <c r="CTM56" s="53"/>
      <c r="CTN56" s="53"/>
      <c r="CTO56" s="53"/>
      <c r="CTP56" s="53"/>
      <c r="CTQ56" s="53"/>
      <c r="CTR56" s="53"/>
      <c r="CTS56" s="53"/>
      <c r="CTT56" s="53"/>
      <c r="CTU56" s="53"/>
      <c r="CTV56" s="53"/>
      <c r="CTW56" s="53"/>
      <c r="CTX56" s="53"/>
      <c r="CTY56" s="53"/>
      <c r="CTZ56" s="53"/>
      <c r="CUA56" s="53"/>
      <c r="CUB56" s="53"/>
      <c r="CUC56" s="53"/>
      <c r="CUD56" s="53"/>
      <c r="CUE56" s="53"/>
      <c r="CUF56" s="53"/>
      <c r="CUG56" s="53"/>
      <c r="CUH56" s="53"/>
      <c r="CUI56" s="53"/>
      <c r="CUJ56" s="53"/>
      <c r="CUK56" s="53"/>
      <c r="CUL56" s="53"/>
      <c r="CUM56" s="53"/>
      <c r="CUN56" s="53"/>
      <c r="CUO56" s="53"/>
      <c r="CUP56" s="53"/>
      <c r="CUQ56" s="53"/>
      <c r="CUR56" s="53"/>
      <c r="CUS56" s="53"/>
      <c r="CUT56" s="53"/>
      <c r="CUU56" s="53"/>
      <c r="CUV56" s="53"/>
      <c r="CUW56" s="53"/>
      <c r="CUX56" s="53"/>
      <c r="CUY56" s="53"/>
      <c r="CUZ56" s="53"/>
      <c r="CVA56" s="53"/>
      <c r="CVB56" s="53"/>
      <c r="CVC56" s="53"/>
      <c r="CVD56" s="53"/>
      <c r="CVE56" s="53"/>
      <c r="CVF56" s="53"/>
      <c r="CVG56" s="53"/>
      <c r="CVH56" s="53"/>
      <c r="CVI56" s="53"/>
      <c r="CVJ56" s="53"/>
      <c r="CVK56" s="53"/>
      <c r="CVL56" s="53"/>
      <c r="CVM56" s="53"/>
      <c r="CVN56" s="53"/>
      <c r="CVO56" s="53"/>
      <c r="CVP56" s="53"/>
      <c r="CVQ56" s="53"/>
      <c r="CVR56" s="53"/>
      <c r="CVS56" s="53"/>
      <c r="CVT56" s="53"/>
      <c r="CVU56" s="53"/>
      <c r="CVV56" s="53"/>
      <c r="CVW56" s="53"/>
      <c r="CVX56" s="53"/>
      <c r="CVY56" s="53"/>
      <c r="CVZ56" s="53"/>
      <c r="CWA56" s="53"/>
      <c r="CWB56" s="53"/>
      <c r="CWC56" s="53"/>
      <c r="CWD56" s="53"/>
      <c r="CWE56" s="53"/>
      <c r="CWF56" s="53"/>
      <c r="CWG56" s="53"/>
      <c r="CWH56" s="53"/>
      <c r="CWI56" s="53"/>
      <c r="CWJ56" s="53"/>
      <c r="CWK56" s="53"/>
      <c r="CWL56" s="53"/>
      <c r="CWM56" s="53"/>
      <c r="CWN56" s="53"/>
      <c r="CWO56" s="53"/>
      <c r="CWP56" s="53"/>
      <c r="CWQ56" s="53"/>
      <c r="CWR56" s="53"/>
      <c r="CWS56" s="53"/>
      <c r="CWT56" s="53"/>
      <c r="CWU56" s="53"/>
      <c r="CWV56" s="53"/>
      <c r="CWW56" s="53"/>
      <c r="CWX56" s="53"/>
      <c r="CWY56" s="53"/>
      <c r="CWZ56" s="53"/>
      <c r="CXA56" s="53"/>
      <c r="CXB56" s="53"/>
      <c r="CXC56" s="53"/>
      <c r="CXD56" s="53"/>
      <c r="CXE56" s="53"/>
      <c r="CXF56" s="53"/>
      <c r="CXG56" s="53"/>
      <c r="CXH56" s="53"/>
      <c r="CXI56" s="53"/>
      <c r="CXJ56" s="53"/>
      <c r="CXK56" s="53"/>
      <c r="CXL56" s="53"/>
      <c r="CXM56" s="53"/>
      <c r="CXN56" s="53"/>
      <c r="CXO56" s="53"/>
      <c r="CXP56" s="53"/>
      <c r="CXQ56" s="53"/>
      <c r="CXR56" s="53"/>
      <c r="CXS56" s="53"/>
      <c r="CXT56" s="53"/>
      <c r="CXU56" s="53"/>
      <c r="CXV56" s="53"/>
      <c r="CXW56" s="53"/>
      <c r="CXX56" s="53"/>
      <c r="CXY56" s="53"/>
      <c r="CXZ56" s="53"/>
      <c r="CYA56" s="53"/>
      <c r="CYB56" s="53"/>
      <c r="CYC56" s="53"/>
      <c r="CYD56" s="53"/>
      <c r="CYE56" s="53"/>
      <c r="CYF56" s="53"/>
      <c r="CYG56" s="53"/>
      <c r="CYH56" s="53"/>
      <c r="CYI56" s="53"/>
      <c r="CYJ56" s="53"/>
      <c r="CYK56" s="53"/>
      <c r="CYL56" s="53"/>
      <c r="CYM56" s="53"/>
      <c r="CYN56" s="53"/>
      <c r="CYO56" s="53"/>
      <c r="CYP56" s="53"/>
      <c r="CYQ56" s="53"/>
      <c r="CYR56" s="53"/>
      <c r="CYS56" s="53"/>
      <c r="CYT56" s="53"/>
      <c r="CYU56" s="53"/>
      <c r="CYV56" s="53"/>
      <c r="CYW56" s="53"/>
      <c r="CYX56" s="53"/>
      <c r="CYY56" s="53"/>
      <c r="CYZ56" s="53"/>
      <c r="CZA56" s="53"/>
      <c r="CZB56" s="53"/>
      <c r="CZC56" s="53"/>
      <c r="CZD56" s="53"/>
      <c r="CZE56" s="53"/>
      <c r="CZF56" s="53"/>
      <c r="CZG56" s="53"/>
      <c r="CZH56" s="53"/>
      <c r="CZI56" s="53"/>
      <c r="CZJ56" s="53"/>
      <c r="CZK56" s="53"/>
      <c r="CZL56" s="53"/>
      <c r="CZM56" s="53"/>
      <c r="CZN56" s="53"/>
      <c r="CZO56" s="53"/>
      <c r="CZP56" s="53"/>
      <c r="CZQ56" s="53"/>
      <c r="CZR56" s="53"/>
      <c r="CZS56" s="53"/>
      <c r="CZT56" s="53"/>
      <c r="CZU56" s="53"/>
      <c r="CZV56" s="53"/>
      <c r="CZW56" s="53"/>
      <c r="CZX56" s="53"/>
      <c r="CZY56" s="53"/>
      <c r="CZZ56" s="53"/>
      <c r="DAA56" s="53"/>
      <c r="DAB56" s="53"/>
      <c r="DAC56" s="53"/>
      <c r="DAD56" s="53"/>
      <c r="DAE56" s="53"/>
      <c r="DAF56" s="53"/>
      <c r="DAG56" s="53"/>
      <c r="DAH56" s="53"/>
      <c r="DAI56" s="53"/>
      <c r="DAJ56" s="53"/>
      <c r="DAK56" s="53"/>
      <c r="DAL56" s="53"/>
      <c r="DAM56" s="53"/>
      <c r="DAN56" s="53"/>
      <c r="DAO56" s="53"/>
      <c r="DAP56" s="53"/>
      <c r="DAQ56" s="53"/>
      <c r="DAR56" s="53"/>
      <c r="DAS56" s="53"/>
      <c r="DAT56" s="53"/>
      <c r="DAU56" s="53"/>
      <c r="DAV56" s="53"/>
      <c r="DAW56" s="53"/>
      <c r="DAX56" s="53"/>
      <c r="DAY56" s="53"/>
      <c r="DAZ56" s="53"/>
      <c r="DBA56" s="53"/>
      <c r="DBB56" s="53"/>
      <c r="DBC56" s="53"/>
      <c r="DBD56" s="53"/>
      <c r="DBE56" s="53"/>
      <c r="DBF56" s="53"/>
      <c r="DBG56" s="53"/>
      <c r="DBH56" s="53"/>
      <c r="DBI56" s="53"/>
      <c r="DBJ56" s="53"/>
      <c r="DBK56" s="53"/>
      <c r="DBL56" s="53"/>
      <c r="DBM56" s="53"/>
      <c r="DBN56" s="53"/>
      <c r="DBO56" s="53"/>
      <c r="DBP56" s="53"/>
      <c r="DBQ56" s="53"/>
      <c r="DBR56" s="53"/>
      <c r="DBS56" s="53"/>
      <c r="DBT56" s="53"/>
      <c r="DBU56" s="53"/>
      <c r="DBV56" s="53"/>
      <c r="DBW56" s="53"/>
      <c r="DBX56" s="53"/>
      <c r="DBY56" s="53"/>
      <c r="DBZ56" s="53"/>
      <c r="DCA56" s="53"/>
      <c r="DCB56" s="53"/>
      <c r="DCC56" s="53"/>
      <c r="DCD56" s="53"/>
      <c r="DCE56" s="53"/>
      <c r="DCF56" s="53"/>
      <c r="DCG56" s="53"/>
      <c r="DCH56" s="53"/>
      <c r="DCI56" s="53"/>
      <c r="DCJ56" s="53"/>
      <c r="DCK56" s="53"/>
      <c r="DCL56" s="53"/>
      <c r="DCM56" s="53"/>
      <c r="DCN56" s="53"/>
      <c r="DCO56" s="53"/>
      <c r="DCP56" s="53"/>
      <c r="DCQ56" s="53"/>
      <c r="DCR56" s="53"/>
      <c r="DCS56" s="53"/>
      <c r="DCT56" s="53"/>
      <c r="DCU56" s="53"/>
      <c r="DCV56" s="53"/>
      <c r="DCW56" s="53"/>
      <c r="DCX56" s="53"/>
      <c r="DCY56" s="53"/>
      <c r="DCZ56" s="53"/>
      <c r="DDA56" s="53"/>
      <c r="DDB56" s="53"/>
      <c r="DDC56" s="53"/>
      <c r="DDD56" s="53"/>
      <c r="DDE56" s="53"/>
      <c r="DDF56" s="53"/>
      <c r="DDG56" s="53"/>
      <c r="DDH56" s="53"/>
      <c r="DDI56" s="53"/>
      <c r="DDJ56" s="53"/>
      <c r="DDK56" s="53"/>
      <c r="DDL56" s="53"/>
      <c r="DDM56" s="53"/>
      <c r="DDN56" s="53"/>
      <c r="DDO56" s="53"/>
      <c r="DDP56" s="53"/>
      <c r="DDQ56" s="53"/>
      <c r="DDR56" s="53"/>
      <c r="DDS56" s="53"/>
      <c r="DDT56" s="53"/>
      <c r="DDU56" s="53"/>
      <c r="DDV56" s="53"/>
      <c r="DDW56" s="53"/>
      <c r="DDX56" s="53"/>
      <c r="DDY56" s="53"/>
      <c r="DDZ56" s="53"/>
      <c r="DEA56" s="53"/>
      <c r="DEB56" s="53"/>
      <c r="DEC56" s="53"/>
      <c r="DED56" s="53"/>
      <c r="DEE56" s="53"/>
      <c r="DEF56" s="53"/>
      <c r="DEG56" s="53"/>
      <c r="DEH56" s="53"/>
      <c r="DEI56" s="53"/>
      <c r="DEJ56" s="53"/>
      <c r="DEK56" s="53"/>
      <c r="DEL56" s="53"/>
      <c r="DEM56" s="53"/>
      <c r="DEN56" s="53"/>
      <c r="DEO56" s="53"/>
      <c r="DEP56" s="53"/>
      <c r="DEQ56" s="53"/>
      <c r="DER56" s="53"/>
      <c r="DES56" s="53"/>
      <c r="DET56" s="53"/>
      <c r="DEU56" s="53"/>
      <c r="DEV56" s="53"/>
      <c r="DEW56" s="53"/>
      <c r="DEX56" s="53"/>
      <c r="DEY56" s="53"/>
      <c r="DEZ56" s="53"/>
      <c r="DFA56" s="53"/>
      <c r="DFB56" s="53"/>
      <c r="DFC56" s="53"/>
      <c r="DFD56" s="53"/>
      <c r="DFE56" s="53"/>
      <c r="DFF56" s="53"/>
      <c r="DFG56" s="53"/>
      <c r="DFH56" s="53"/>
      <c r="DFI56" s="53"/>
      <c r="DFJ56" s="53"/>
      <c r="DFK56" s="53"/>
      <c r="DFL56" s="53"/>
      <c r="DFM56" s="53"/>
      <c r="DFN56" s="53"/>
      <c r="DFO56" s="53"/>
      <c r="DFP56" s="53"/>
      <c r="DFQ56" s="53"/>
      <c r="DFR56" s="53"/>
      <c r="DFS56" s="53"/>
      <c r="DFT56" s="53"/>
      <c r="DFU56" s="53"/>
      <c r="DFV56" s="53"/>
      <c r="DFW56" s="53"/>
      <c r="DFX56" s="53"/>
      <c r="DFY56" s="53"/>
      <c r="DFZ56" s="53"/>
      <c r="DGA56" s="53"/>
      <c r="DGB56" s="53"/>
      <c r="DGC56" s="53"/>
      <c r="DGD56" s="53"/>
      <c r="DGE56" s="53"/>
      <c r="DGF56" s="53"/>
      <c r="DGG56" s="53"/>
      <c r="DGH56" s="53"/>
      <c r="DGI56" s="53"/>
      <c r="DGJ56" s="53"/>
      <c r="DGK56" s="53"/>
      <c r="DGL56" s="53"/>
      <c r="DGM56" s="53"/>
      <c r="DGN56" s="53"/>
      <c r="DGO56" s="53"/>
      <c r="DGP56" s="53"/>
      <c r="DGQ56" s="53"/>
      <c r="DGR56" s="53"/>
      <c r="DGS56" s="53"/>
      <c r="DGT56" s="53"/>
      <c r="DGU56" s="53"/>
      <c r="DGV56" s="53"/>
      <c r="DGW56" s="53"/>
      <c r="DGX56" s="53"/>
      <c r="DGY56" s="53"/>
      <c r="DGZ56" s="53"/>
      <c r="DHA56" s="53"/>
      <c r="DHB56" s="53"/>
      <c r="DHC56" s="53"/>
      <c r="DHD56" s="53"/>
      <c r="DHE56" s="53"/>
      <c r="DHF56" s="53"/>
      <c r="DHG56" s="53"/>
      <c r="DHH56" s="53"/>
      <c r="DHI56" s="53"/>
      <c r="DHJ56" s="53"/>
      <c r="DHK56" s="53"/>
      <c r="DHL56" s="53"/>
      <c r="DHM56" s="53"/>
      <c r="DHN56" s="53"/>
      <c r="DHO56" s="53"/>
      <c r="DHP56" s="53"/>
      <c r="DHQ56" s="53"/>
      <c r="DHR56" s="53"/>
      <c r="DHS56" s="53"/>
      <c r="DHT56" s="53"/>
      <c r="DHU56" s="53"/>
      <c r="DHV56" s="53"/>
      <c r="DHW56" s="53"/>
      <c r="DHX56" s="53"/>
      <c r="DHY56" s="53"/>
      <c r="DHZ56" s="53"/>
      <c r="DIA56" s="53"/>
      <c r="DIB56" s="53"/>
      <c r="DIC56" s="53"/>
      <c r="DID56" s="53"/>
      <c r="DIE56" s="53"/>
      <c r="DIF56" s="53"/>
      <c r="DIG56" s="53"/>
      <c r="DIH56" s="53"/>
      <c r="DII56" s="53"/>
      <c r="DIJ56" s="53"/>
      <c r="DIK56" s="53"/>
      <c r="DIL56" s="53"/>
      <c r="DIM56" s="53"/>
      <c r="DIN56" s="53"/>
      <c r="DIO56" s="53"/>
      <c r="DIP56" s="53"/>
      <c r="DIQ56" s="53"/>
      <c r="DIR56" s="53"/>
      <c r="DIS56" s="53"/>
      <c r="DIT56" s="53"/>
      <c r="DIU56" s="53"/>
      <c r="DIV56" s="53"/>
      <c r="DIW56" s="53"/>
      <c r="DIX56" s="53"/>
      <c r="DIY56" s="53"/>
      <c r="DIZ56" s="53"/>
      <c r="DJA56" s="53"/>
      <c r="DJB56" s="53"/>
      <c r="DJC56" s="53"/>
      <c r="DJD56" s="53"/>
      <c r="DJE56" s="53"/>
      <c r="DJF56" s="53"/>
      <c r="DJG56" s="53"/>
      <c r="DJH56" s="53"/>
      <c r="DJI56" s="53"/>
      <c r="DJJ56" s="53"/>
      <c r="DJK56" s="53"/>
      <c r="DJL56" s="53"/>
      <c r="DJM56" s="53"/>
      <c r="DJN56" s="53"/>
      <c r="DJO56" s="53"/>
      <c r="DJP56" s="53"/>
      <c r="DJQ56" s="53"/>
      <c r="DJR56" s="53"/>
      <c r="DJS56" s="53"/>
      <c r="DJT56" s="53"/>
      <c r="DJU56" s="53"/>
      <c r="DJV56" s="53"/>
      <c r="DJW56" s="53"/>
      <c r="DJX56" s="53"/>
      <c r="DJY56" s="53"/>
      <c r="DJZ56" s="53"/>
      <c r="DKA56" s="53"/>
      <c r="DKB56" s="53"/>
      <c r="DKC56" s="53"/>
      <c r="DKD56" s="53"/>
      <c r="DKE56" s="53"/>
      <c r="DKF56" s="53"/>
      <c r="DKG56" s="53"/>
      <c r="DKH56" s="53"/>
      <c r="DKI56" s="53"/>
      <c r="DKJ56" s="53"/>
      <c r="DKK56" s="53"/>
      <c r="DKL56" s="53"/>
      <c r="DKM56" s="53"/>
      <c r="DKN56" s="53"/>
      <c r="DKO56" s="53"/>
      <c r="DKP56" s="53"/>
      <c r="DKQ56" s="53"/>
      <c r="DKR56" s="53"/>
      <c r="DKS56" s="53"/>
      <c r="DKT56" s="53"/>
      <c r="DKU56" s="53"/>
      <c r="DKV56" s="53"/>
      <c r="DKW56" s="53"/>
      <c r="DKX56" s="53"/>
      <c r="DKY56" s="53"/>
      <c r="DKZ56" s="53"/>
      <c r="DLA56" s="53"/>
      <c r="DLB56" s="53"/>
      <c r="DLC56" s="53"/>
      <c r="DLD56" s="53"/>
      <c r="DLE56" s="53"/>
      <c r="DLF56" s="53"/>
      <c r="DLG56" s="53"/>
      <c r="DLH56" s="53"/>
      <c r="DLI56" s="53"/>
      <c r="DLJ56" s="53"/>
      <c r="DLK56" s="53"/>
      <c r="DLL56" s="53"/>
      <c r="DLM56" s="53"/>
      <c r="DLN56" s="53"/>
      <c r="DLO56" s="53"/>
      <c r="DLP56" s="53"/>
      <c r="DLQ56" s="53"/>
      <c r="DLR56" s="53"/>
      <c r="DLS56" s="53"/>
      <c r="DLT56" s="53"/>
      <c r="DLU56" s="53"/>
      <c r="DLV56" s="53"/>
      <c r="DLW56" s="53"/>
      <c r="DLX56" s="53"/>
      <c r="DLY56" s="53"/>
      <c r="DLZ56" s="53"/>
      <c r="DMA56" s="53"/>
      <c r="DMB56" s="53"/>
      <c r="DMC56" s="53"/>
      <c r="DMD56" s="53"/>
      <c r="DME56" s="53"/>
      <c r="DMF56" s="53"/>
      <c r="DMG56" s="53"/>
      <c r="DMH56" s="53"/>
      <c r="DMI56" s="53"/>
      <c r="DMJ56" s="53"/>
      <c r="DMK56" s="53"/>
      <c r="DML56" s="53"/>
      <c r="DMM56" s="53"/>
      <c r="DMN56" s="53"/>
      <c r="DMO56" s="53"/>
      <c r="DMP56" s="53"/>
      <c r="DMQ56" s="53"/>
      <c r="DMR56" s="53"/>
      <c r="DMS56" s="53"/>
      <c r="DMT56" s="53"/>
      <c r="DMU56" s="53"/>
      <c r="DMV56" s="53"/>
      <c r="DMW56" s="53"/>
      <c r="DMX56" s="53"/>
      <c r="DMY56" s="53"/>
      <c r="DMZ56" s="53"/>
      <c r="DNA56" s="53"/>
      <c r="DNB56" s="53"/>
      <c r="DNC56" s="53"/>
      <c r="DND56" s="53"/>
      <c r="DNE56" s="53"/>
      <c r="DNF56" s="53"/>
      <c r="DNG56" s="53"/>
      <c r="DNH56" s="53"/>
      <c r="DNI56" s="53"/>
      <c r="DNJ56" s="53"/>
      <c r="DNK56" s="53"/>
      <c r="DNL56" s="53"/>
      <c r="DNM56" s="53"/>
      <c r="DNN56" s="53"/>
      <c r="DNO56" s="53"/>
      <c r="DNP56" s="53"/>
      <c r="DNQ56" s="53"/>
      <c r="DNR56" s="53"/>
      <c r="DNS56" s="53"/>
      <c r="DNT56" s="53"/>
      <c r="DNU56" s="53"/>
      <c r="DNV56" s="53"/>
      <c r="DNW56" s="53"/>
      <c r="DNX56" s="53"/>
      <c r="DNY56" s="53"/>
      <c r="DNZ56" s="53"/>
      <c r="DOA56" s="53"/>
      <c r="DOB56" s="53"/>
      <c r="DOC56" s="53"/>
      <c r="DOD56" s="53"/>
      <c r="DOE56" s="53"/>
      <c r="DOF56" s="53"/>
      <c r="DOG56" s="53"/>
      <c r="DOH56" s="53"/>
      <c r="DOI56" s="53"/>
      <c r="DOJ56" s="53"/>
      <c r="DOK56" s="53"/>
      <c r="DOL56" s="53"/>
      <c r="DOM56" s="53"/>
      <c r="DON56" s="53"/>
      <c r="DOO56" s="53"/>
      <c r="DOP56" s="53"/>
      <c r="DOQ56" s="53"/>
      <c r="DOR56" s="53"/>
      <c r="DOS56" s="53"/>
      <c r="DOT56" s="53"/>
      <c r="DOU56" s="53"/>
      <c r="DOV56" s="53"/>
      <c r="DOW56" s="53"/>
      <c r="DOX56" s="53"/>
      <c r="DOY56" s="53"/>
      <c r="DOZ56" s="53"/>
      <c r="DPA56" s="53"/>
      <c r="DPB56" s="53"/>
      <c r="DPC56" s="53"/>
      <c r="DPD56" s="53"/>
      <c r="DPE56" s="53"/>
      <c r="DPF56" s="53"/>
      <c r="DPG56" s="53"/>
      <c r="DPH56" s="53"/>
      <c r="DPI56" s="53"/>
      <c r="DPJ56" s="53"/>
      <c r="DPK56" s="53"/>
      <c r="DPL56" s="53"/>
      <c r="DPM56" s="53"/>
      <c r="DPN56" s="53"/>
      <c r="DPO56" s="53"/>
      <c r="DPP56" s="53"/>
      <c r="DPQ56" s="53"/>
      <c r="DPR56" s="53"/>
      <c r="DPS56" s="53"/>
      <c r="DPT56" s="53"/>
      <c r="DPU56" s="53"/>
      <c r="DPV56" s="53"/>
      <c r="DPW56" s="53"/>
      <c r="DPX56" s="53"/>
      <c r="DPY56" s="53"/>
      <c r="DPZ56" s="53"/>
      <c r="DQA56" s="53"/>
      <c r="DQB56" s="53"/>
      <c r="DQC56" s="53"/>
      <c r="DQD56" s="53"/>
      <c r="DQE56" s="53"/>
      <c r="DQF56" s="53"/>
      <c r="DQG56" s="53"/>
      <c r="DQH56" s="53"/>
      <c r="DQI56" s="53"/>
      <c r="DQJ56" s="53"/>
      <c r="DQK56" s="53"/>
      <c r="DQL56" s="53"/>
      <c r="DQM56" s="53"/>
      <c r="DQN56" s="53"/>
      <c r="DQO56" s="53"/>
      <c r="DQP56" s="53"/>
      <c r="DQQ56" s="53"/>
      <c r="DQR56" s="53"/>
      <c r="DQS56" s="53"/>
      <c r="DQT56" s="53"/>
      <c r="DQU56" s="53"/>
      <c r="DQV56" s="53"/>
      <c r="DQW56" s="53"/>
      <c r="DQX56" s="53"/>
      <c r="DQY56" s="53"/>
      <c r="DQZ56" s="53"/>
      <c r="DRA56" s="53"/>
      <c r="DRB56" s="53"/>
      <c r="DRC56" s="53"/>
      <c r="DRD56" s="53"/>
      <c r="DRE56" s="53"/>
      <c r="DRF56" s="53"/>
      <c r="DRG56" s="53"/>
      <c r="DRH56" s="53"/>
      <c r="DRI56" s="53"/>
      <c r="DRJ56" s="53"/>
      <c r="DRK56" s="53"/>
      <c r="DRL56" s="53"/>
      <c r="DRM56" s="53"/>
      <c r="DRN56" s="53"/>
      <c r="DRO56" s="53"/>
      <c r="DRP56" s="53"/>
      <c r="DRQ56" s="53"/>
      <c r="DRR56" s="53"/>
      <c r="DRS56" s="53"/>
      <c r="DRT56" s="53"/>
      <c r="DRU56" s="53"/>
      <c r="DRV56" s="53"/>
      <c r="DRW56" s="53"/>
      <c r="DRX56" s="53"/>
      <c r="DRY56" s="53"/>
      <c r="DRZ56" s="53"/>
      <c r="DSA56" s="53"/>
      <c r="DSB56" s="53"/>
      <c r="DSC56" s="53"/>
      <c r="DSD56" s="53"/>
      <c r="DSE56" s="53"/>
      <c r="DSF56" s="53"/>
      <c r="DSG56" s="53"/>
      <c r="DSH56" s="53"/>
      <c r="DSI56" s="53"/>
      <c r="DSJ56" s="53"/>
      <c r="DSK56" s="53"/>
      <c r="DSL56" s="53"/>
      <c r="DSM56" s="53"/>
      <c r="DSN56" s="53"/>
      <c r="DSO56" s="53"/>
      <c r="DSP56" s="53"/>
      <c r="DSQ56" s="53"/>
      <c r="DSR56" s="53"/>
      <c r="DSS56" s="53"/>
      <c r="DST56" s="53"/>
      <c r="DSU56" s="53"/>
      <c r="DSV56" s="53"/>
      <c r="DSW56" s="53"/>
      <c r="DSX56" s="53"/>
      <c r="DSY56" s="53"/>
      <c r="DSZ56" s="53"/>
      <c r="DTA56" s="53"/>
      <c r="DTB56" s="53"/>
      <c r="DTC56" s="53"/>
      <c r="DTD56" s="53"/>
      <c r="DTE56" s="53"/>
      <c r="DTF56" s="53"/>
      <c r="DTG56" s="53"/>
      <c r="DTH56" s="53"/>
      <c r="DTI56" s="53"/>
      <c r="DTJ56" s="53"/>
      <c r="DTK56" s="53"/>
      <c r="DTL56" s="53"/>
      <c r="DTM56" s="53"/>
      <c r="DTN56" s="53"/>
      <c r="DTO56" s="53"/>
      <c r="DTP56" s="53"/>
      <c r="DTQ56" s="53"/>
      <c r="DTR56" s="53"/>
      <c r="DTS56" s="53"/>
      <c r="DTT56" s="53"/>
      <c r="DTU56" s="53"/>
      <c r="DTV56" s="53"/>
      <c r="DTW56" s="53"/>
      <c r="DTX56" s="53"/>
      <c r="DTY56" s="53"/>
      <c r="DTZ56" s="53"/>
      <c r="DUA56" s="53"/>
      <c r="DUB56" s="53"/>
      <c r="DUC56" s="53"/>
      <c r="DUD56" s="53"/>
      <c r="DUE56" s="53"/>
      <c r="DUF56" s="53"/>
      <c r="DUG56" s="53"/>
      <c r="DUH56" s="53"/>
      <c r="DUI56" s="53"/>
      <c r="DUJ56" s="53"/>
      <c r="DUK56" s="53"/>
      <c r="DUL56" s="53"/>
      <c r="DUM56" s="53"/>
      <c r="DUN56" s="53"/>
      <c r="DUO56" s="53"/>
      <c r="DUP56" s="53"/>
      <c r="DUQ56" s="53"/>
      <c r="DUR56" s="53"/>
      <c r="DUS56" s="53"/>
      <c r="DUT56" s="53"/>
      <c r="DUU56" s="53"/>
      <c r="DUV56" s="53"/>
      <c r="DUW56" s="53"/>
      <c r="DUX56" s="53"/>
      <c r="DUY56" s="53"/>
      <c r="DUZ56" s="53"/>
      <c r="DVA56" s="53"/>
      <c r="DVB56" s="53"/>
      <c r="DVC56" s="53"/>
      <c r="DVD56" s="53"/>
      <c r="DVE56" s="53"/>
      <c r="DVF56" s="53"/>
      <c r="DVG56" s="53"/>
      <c r="DVH56" s="53"/>
      <c r="DVI56" s="53"/>
      <c r="DVJ56" s="53"/>
      <c r="DVK56" s="53"/>
      <c r="DVL56" s="53"/>
      <c r="DVM56" s="53"/>
      <c r="DVN56" s="53"/>
      <c r="DVO56" s="53"/>
      <c r="DVP56" s="53"/>
      <c r="DVQ56" s="53"/>
      <c r="DVR56" s="53"/>
      <c r="DVS56" s="53"/>
      <c r="DVT56" s="53"/>
      <c r="DVU56" s="53"/>
      <c r="DVV56" s="53"/>
      <c r="DVW56" s="53"/>
      <c r="DVX56" s="53"/>
      <c r="DVY56" s="53"/>
      <c r="DVZ56" s="53"/>
      <c r="DWA56" s="53"/>
      <c r="DWB56" s="53"/>
      <c r="DWC56" s="53"/>
      <c r="DWD56" s="53"/>
      <c r="DWE56" s="53"/>
      <c r="DWF56" s="53"/>
      <c r="DWG56" s="53"/>
      <c r="DWH56" s="53"/>
      <c r="DWI56" s="53"/>
      <c r="DWJ56" s="53"/>
      <c r="DWK56" s="53"/>
      <c r="DWL56" s="53"/>
      <c r="DWM56" s="53"/>
      <c r="DWN56" s="53"/>
      <c r="DWO56" s="53"/>
      <c r="DWP56" s="53"/>
      <c r="DWQ56" s="53"/>
      <c r="DWR56" s="53"/>
      <c r="DWS56" s="53"/>
      <c r="DWT56" s="53"/>
      <c r="DWU56" s="53"/>
      <c r="DWV56" s="53"/>
      <c r="DWW56" s="53"/>
      <c r="DWX56" s="53"/>
      <c r="DWY56" s="53"/>
      <c r="DWZ56" s="53"/>
      <c r="DXA56" s="53"/>
      <c r="DXB56" s="53"/>
      <c r="DXC56" s="53"/>
      <c r="DXD56" s="53"/>
      <c r="DXE56" s="53"/>
      <c r="DXF56" s="53"/>
      <c r="DXG56" s="53"/>
      <c r="DXH56" s="53"/>
      <c r="DXI56" s="53"/>
      <c r="DXJ56" s="53"/>
      <c r="DXK56" s="53"/>
      <c r="DXL56" s="53"/>
      <c r="DXM56" s="53"/>
      <c r="DXN56" s="53"/>
      <c r="DXO56" s="53"/>
      <c r="DXP56" s="53"/>
      <c r="DXQ56" s="53"/>
      <c r="DXR56" s="53"/>
      <c r="DXS56" s="53"/>
      <c r="DXT56" s="53"/>
      <c r="DXU56" s="53"/>
      <c r="DXV56" s="53"/>
      <c r="DXW56" s="53"/>
      <c r="DXX56" s="53"/>
      <c r="DXY56" s="53"/>
      <c r="DXZ56" s="53"/>
      <c r="DYA56" s="53"/>
      <c r="DYB56" s="53"/>
      <c r="DYC56" s="53"/>
      <c r="DYD56" s="53"/>
      <c r="DYE56" s="53"/>
      <c r="DYF56" s="53"/>
      <c r="DYG56" s="53"/>
      <c r="DYH56" s="53"/>
      <c r="DYI56" s="53"/>
      <c r="DYJ56" s="53"/>
      <c r="DYK56" s="53"/>
      <c r="DYL56" s="53"/>
      <c r="DYM56" s="53"/>
      <c r="DYN56" s="53"/>
      <c r="DYO56" s="53"/>
      <c r="DYP56" s="53"/>
      <c r="DYQ56" s="53"/>
      <c r="DYR56" s="53"/>
      <c r="DYS56" s="53"/>
      <c r="DYT56" s="53"/>
      <c r="DYU56" s="53"/>
      <c r="DYV56" s="53"/>
      <c r="DYW56" s="53"/>
      <c r="DYX56" s="53"/>
      <c r="DYY56" s="53"/>
      <c r="DYZ56" s="53"/>
      <c r="DZA56" s="53"/>
      <c r="DZB56" s="53"/>
      <c r="DZC56" s="53"/>
      <c r="DZD56" s="53"/>
      <c r="DZE56" s="53"/>
      <c r="DZF56" s="53"/>
      <c r="DZG56" s="53"/>
      <c r="DZH56" s="53"/>
      <c r="DZI56" s="53"/>
      <c r="DZJ56" s="53"/>
      <c r="DZK56" s="53"/>
      <c r="DZL56" s="53"/>
      <c r="DZM56" s="53"/>
      <c r="DZN56" s="53"/>
      <c r="DZO56" s="53"/>
      <c r="DZP56" s="53"/>
      <c r="DZQ56" s="53"/>
      <c r="DZR56" s="53"/>
      <c r="DZS56" s="53"/>
      <c r="DZT56" s="53"/>
      <c r="DZU56" s="53"/>
      <c r="DZV56" s="53"/>
      <c r="DZW56" s="53"/>
      <c r="DZX56" s="53"/>
      <c r="DZY56" s="53"/>
      <c r="DZZ56" s="53"/>
      <c r="EAA56" s="53"/>
      <c r="EAB56" s="53"/>
      <c r="EAC56" s="53"/>
      <c r="EAD56" s="53"/>
      <c r="EAE56" s="53"/>
      <c r="EAF56" s="53"/>
      <c r="EAG56" s="53"/>
      <c r="EAH56" s="53"/>
      <c r="EAI56" s="53"/>
      <c r="EAJ56" s="53"/>
      <c r="EAK56" s="53"/>
      <c r="EAL56" s="53"/>
      <c r="EAM56" s="53"/>
      <c r="EAN56" s="53"/>
      <c r="EAO56" s="53"/>
      <c r="EAP56" s="53"/>
      <c r="EAQ56" s="53"/>
      <c r="EAR56" s="53"/>
      <c r="EAS56" s="53"/>
      <c r="EAT56" s="53"/>
      <c r="EAU56" s="53"/>
      <c r="EAV56" s="53"/>
      <c r="EAW56" s="53"/>
      <c r="EAX56" s="53"/>
      <c r="EAY56" s="53"/>
      <c r="EAZ56" s="53"/>
      <c r="EBA56" s="53"/>
      <c r="EBB56" s="53"/>
      <c r="EBC56" s="53"/>
      <c r="EBD56" s="53"/>
      <c r="EBE56" s="53"/>
      <c r="EBF56" s="53"/>
      <c r="EBG56" s="53"/>
      <c r="EBH56" s="53"/>
      <c r="EBI56" s="53"/>
      <c r="EBJ56" s="53"/>
      <c r="EBK56" s="53"/>
      <c r="EBL56" s="53"/>
      <c r="EBM56" s="53"/>
      <c r="EBN56" s="53"/>
      <c r="EBO56" s="53"/>
      <c r="EBP56" s="53"/>
      <c r="EBQ56" s="53"/>
      <c r="EBR56" s="53"/>
      <c r="EBS56" s="53"/>
      <c r="EBT56" s="53"/>
      <c r="EBU56" s="53"/>
      <c r="EBV56" s="53"/>
      <c r="EBW56" s="53"/>
      <c r="EBX56" s="53"/>
      <c r="EBY56" s="53"/>
      <c r="EBZ56" s="53"/>
      <c r="ECA56" s="53"/>
      <c r="ECB56" s="53"/>
      <c r="ECC56" s="53"/>
      <c r="ECD56" s="53"/>
      <c r="ECE56" s="53"/>
      <c r="ECF56" s="53"/>
      <c r="ECG56" s="53"/>
      <c r="ECH56" s="53"/>
      <c r="ECI56" s="53"/>
      <c r="ECJ56" s="53"/>
      <c r="ECK56" s="53"/>
      <c r="ECL56" s="53"/>
      <c r="ECM56" s="53"/>
      <c r="ECN56" s="53"/>
      <c r="ECO56" s="53"/>
      <c r="ECP56" s="53"/>
      <c r="ECQ56" s="53"/>
      <c r="ECR56" s="53"/>
      <c r="ECS56" s="53"/>
      <c r="ECT56" s="53"/>
      <c r="ECU56" s="53"/>
      <c r="ECV56" s="53"/>
      <c r="ECW56" s="53"/>
      <c r="ECX56" s="53"/>
      <c r="ECY56" s="53"/>
      <c r="ECZ56" s="53"/>
      <c r="EDA56" s="53"/>
      <c r="EDB56" s="53"/>
      <c r="EDC56" s="53"/>
      <c r="EDD56" s="53"/>
      <c r="EDE56" s="53"/>
      <c r="EDF56" s="53"/>
      <c r="EDG56" s="53"/>
      <c r="EDH56" s="53"/>
      <c r="EDI56" s="53"/>
      <c r="EDJ56" s="53"/>
      <c r="EDK56" s="53"/>
      <c r="EDL56" s="53"/>
      <c r="EDM56" s="53"/>
      <c r="EDN56" s="53"/>
      <c r="EDO56" s="53"/>
      <c r="EDP56" s="53"/>
      <c r="EDQ56" s="53"/>
      <c r="EDR56" s="53"/>
      <c r="EDS56" s="53"/>
      <c r="EDT56" s="53"/>
      <c r="EDU56" s="53"/>
      <c r="EDV56" s="53"/>
      <c r="EDW56" s="53"/>
      <c r="EDX56" s="53"/>
      <c r="EDY56" s="53"/>
      <c r="EDZ56" s="53"/>
      <c r="EEA56" s="53"/>
      <c r="EEB56" s="53"/>
      <c r="EEC56" s="53"/>
      <c r="EED56" s="53"/>
      <c r="EEE56" s="53"/>
      <c r="EEF56" s="53"/>
      <c r="EEG56" s="53"/>
      <c r="EEH56" s="53"/>
      <c r="EEI56" s="53"/>
      <c r="EEJ56" s="53"/>
      <c r="EEK56" s="53"/>
      <c r="EEL56" s="53"/>
      <c r="EEM56" s="53"/>
      <c r="EEN56" s="53"/>
      <c r="EEO56" s="53"/>
      <c r="EEP56" s="53"/>
      <c r="EEQ56" s="53"/>
      <c r="EER56" s="53"/>
      <c r="EES56" s="53"/>
      <c r="EET56" s="53"/>
      <c r="EEU56" s="53"/>
      <c r="EEV56" s="53"/>
      <c r="EEW56" s="53"/>
      <c r="EEX56" s="53"/>
      <c r="EEY56" s="53"/>
      <c r="EEZ56" s="53"/>
      <c r="EFA56" s="53"/>
      <c r="EFB56" s="53"/>
      <c r="EFC56" s="53"/>
      <c r="EFD56" s="53"/>
      <c r="EFE56" s="53"/>
      <c r="EFF56" s="53"/>
      <c r="EFG56" s="53"/>
      <c r="EFH56" s="53"/>
      <c r="EFI56" s="53"/>
      <c r="EFJ56" s="53"/>
      <c r="EFK56" s="53"/>
      <c r="EFL56" s="53"/>
      <c r="EFM56" s="53"/>
      <c r="EFN56" s="53"/>
      <c r="EFO56" s="53"/>
      <c r="EFP56" s="53"/>
      <c r="EFQ56" s="53"/>
      <c r="EFR56" s="53"/>
      <c r="EFS56" s="53"/>
      <c r="EFT56" s="53"/>
      <c r="EFU56" s="53"/>
      <c r="EFV56" s="53"/>
      <c r="EFW56" s="53"/>
      <c r="EFX56" s="53"/>
      <c r="EFY56" s="53"/>
      <c r="EFZ56" s="53"/>
      <c r="EGA56" s="53"/>
      <c r="EGB56" s="53"/>
      <c r="EGC56" s="53"/>
      <c r="EGD56" s="53"/>
      <c r="EGE56" s="53"/>
      <c r="EGF56" s="53"/>
      <c r="EGG56" s="53"/>
      <c r="EGH56" s="53"/>
      <c r="EGI56" s="53"/>
      <c r="EGJ56" s="53"/>
      <c r="EGK56" s="53"/>
      <c r="EGL56" s="53"/>
      <c r="EGM56" s="53"/>
      <c r="EGN56" s="53"/>
      <c r="EGO56" s="53"/>
      <c r="EGP56" s="53"/>
      <c r="EGQ56" s="53"/>
      <c r="EGR56" s="53"/>
      <c r="EGS56" s="53"/>
      <c r="EGT56" s="53"/>
      <c r="EGU56" s="53"/>
      <c r="EGV56" s="53"/>
      <c r="EGW56" s="53"/>
      <c r="EGX56" s="53"/>
      <c r="EGY56" s="53"/>
      <c r="EGZ56" s="53"/>
      <c r="EHA56" s="53"/>
      <c r="EHB56" s="53"/>
      <c r="EHC56" s="53"/>
      <c r="EHD56" s="53"/>
      <c r="EHE56" s="53"/>
      <c r="EHF56" s="53"/>
      <c r="EHG56" s="53"/>
      <c r="EHH56" s="53"/>
      <c r="EHI56" s="53"/>
      <c r="EHJ56" s="53"/>
      <c r="EHK56" s="53"/>
      <c r="EHL56" s="53"/>
      <c r="EHM56" s="53"/>
      <c r="EHN56" s="53"/>
      <c r="EHO56" s="53"/>
      <c r="EHP56" s="53"/>
      <c r="EHQ56" s="53"/>
      <c r="EHR56" s="53"/>
      <c r="EHS56" s="53"/>
      <c r="EHT56" s="53"/>
      <c r="EHU56" s="53"/>
      <c r="EHV56" s="53"/>
      <c r="EHW56" s="53"/>
      <c r="EHX56" s="53"/>
      <c r="EHY56" s="53"/>
      <c r="EHZ56" s="53"/>
      <c r="EIA56" s="53"/>
      <c r="EIB56" s="53"/>
      <c r="EIC56" s="53"/>
      <c r="EID56" s="53"/>
      <c r="EIE56" s="53"/>
      <c r="EIF56" s="53"/>
      <c r="EIG56" s="53"/>
      <c r="EIH56" s="53"/>
      <c r="EII56" s="53"/>
      <c r="EIJ56" s="53"/>
      <c r="EIK56" s="53"/>
      <c r="EIL56" s="53"/>
      <c r="EIM56" s="53"/>
      <c r="EIN56" s="53"/>
      <c r="EIO56" s="53"/>
      <c r="EIP56" s="53"/>
      <c r="EIQ56" s="53"/>
      <c r="EIR56" s="53"/>
      <c r="EIS56" s="53"/>
      <c r="EIT56" s="53"/>
      <c r="EIU56" s="53"/>
      <c r="EIV56" s="53"/>
      <c r="EIW56" s="53"/>
      <c r="EIX56" s="53"/>
      <c r="EIY56" s="53"/>
      <c r="EIZ56" s="53"/>
      <c r="EJA56" s="53"/>
      <c r="EJB56" s="53"/>
      <c r="EJC56" s="53"/>
      <c r="EJD56" s="53"/>
      <c r="EJE56" s="53"/>
      <c r="EJF56" s="53"/>
      <c r="EJG56" s="53"/>
      <c r="EJH56" s="53"/>
      <c r="EJI56" s="53"/>
      <c r="EJJ56" s="53"/>
      <c r="EJK56" s="53"/>
      <c r="EJL56" s="53"/>
      <c r="EJM56" s="53"/>
      <c r="EJN56" s="53"/>
      <c r="EJO56" s="53"/>
      <c r="EJP56" s="53"/>
      <c r="EJQ56" s="53"/>
      <c r="EJR56" s="53"/>
      <c r="EJS56" s="53"/>
      <c r="EJT56" s="53"/>
      <c r="EJU56" s="53"/>
      <c r="EJV56" s="53"/>
      <c r="EJW56" s="53"/>
      <c r="EJX56" s="53"/>
      <c r="EJY56" s="53"/>
      <c r="EJZ56" s="53"/>
      <c r="EKA56" s="53"/>
      <c r="EKB56" s="53"/>
      <c r="EKC56" s="53"/>
      <c r="EKD56" s="53"/>
      <c r="EKE56" s="53"/>
      <c r="EKF56" s="53"/>
      <c r="EKG56" s="53"/>
      <c r="EKH56" s="53"/>
      <c r="EKI56" s="53"/>
      <c r="EKJ56" s="53"/>
      <c r="EKK56" s="53"/>
      <c r="EKL56" s="53"/>
      <c r="EKM56" s="53"/>
      <c r="EKN56" s="53"/>
      <c r="EKO56" s="53"/>
      <c r="EKP56" s="53"/>
      <c r="EKQ56" s="53"/>
      <c r="EKR56" s="53"/>
      <c r="EKS56" s="53"/>
      <c r="EKT56" s="53"/>
      <c r="EKU56" s="53"/>
      <c r="EKV56" s="53"/>
      <c r="EKW56" s="53"/>
      <c r="EKX56" s="53"/>
      <c r="EKY56" s="53"/>
      <c r="EKZ56" s="53"/>
      <c r="ELA56" s="53"/>
      <c r="ELB56" s="53"/>
      <c r="ELC56" s="53"/>
      <c r="ELD56" s="53"/>
      <c r="ELE56" s="53"/>
      <c r="ELF56" s="53"/>
      <c r="ELG56" s="53"/>
      <c r="ELH56" s="53"/>
      <c r="ELI56" s="53"/>
      <c r="ELJ56" s="53"/>
      <c r="ELK56" s="53"/>
      <c r="ELL56" s="53"/>
      <c r="ELM56" s="53"/>
      <c r="ELN56" s="53"/>
      <c r="ELO56" s="53"/>
      <c r="ELP56" s="53"/>
      <c r="ELQ56" s="53"/>
      <c r="ELR56" s="53"/>
      <c r="ELS56" s="53"/>
      <c r="ELT56" s="53"/>
      <c r="ELU56" s="53"/>
      <c r="ELV56" s="53"/>
      <c r="ELW56" s="53"/>
      <c r="ELX56" s="53"/>
      <c r="ELY56" s="53"/>
      <c r="ELZ56" s="53"/>
      <c r="EMA56" s="53"/>
      <c r="EMB56" s="53"/>
      <c r="EMC56" s="53"/>
      <c r="EMD56" s="53"/>
      <c r="EME56" s="53"/>
      <c r="EMF56" s="53"/>
      <c r="EMG56" s="53"/>
      <c r="EMH56" s="53"/>
      <c r="EMI56" s="53"/>
      <c r="EMJ56" s="53"/>
      <c r="EMK56" s="53"/>
      <c r="EML56" s="53"/>
      <c r="EMM56" s="53"/>
      <c r="EMN56" s="53"/>
      <c r="EMO56" s="53"/>
      <c r="EMP56" s="53"/>
      <c r="EMQ56" s="53"/>
      <c r="EMR56" s="53"/>
      <c r="EMS56" s="53"/>
      <c r="EMT56" s="53"/>
      <c r="EMU56" s="53"/>
      <c r="EMV56" s="53"/>
      <c r="EMW56" s="53"/>
      <c r="EMX56" s="53"/>
      <c r="EMY56" s="53"/>
      <c r="EMZ56" s="53"/>
      <c r="ENA56" s="53"/>
      <c r="ENB56" s="53"/>
      <c r="ENC56" s="53"/>
      <c r="END56" s="53"/>
      <c r="ENE56" s="53"/>
      <c r="ENF56" s="53"/>
      <c r="ENG56" s="53"/>
      <c r="ENH56" s="53"/>
      <c r="ENI56" s="53"/>
      <c r="ENJ56" s="53"/>
      <c r="ENK56" s="53"/>
      <c r="ENL56" s="53"/>
      <c r="ENM56" s="53"/>
      <c r="ENN56" s="53"/>
      <c r="ENO56" s="53"/>
      <c r="ENP56" s="53"/>
      <c r="ENQ56" s="53"/>
      <c r="ENR56" s="53"/>
      <c r="ENS56" s="53"/>
      <c r="ENT56" s="53"/>
      <c r="ENU56" s="53"/>
      <c r="ENV56" s="53"/>
      <c r="ENW56" s="53"/>
      <c r="ENX56" s="53"/>
      <c r="ENY56" s="53"/>
      <c r="ENZ56" s="53"/>
      <c r="EOA56" s="53"/>
      <c r="EOB56" s="53"/>
      <c r="EOC56" s="53"/>
      <c r="EOD56" s="53"/>
      <c r="EOE56" s="53"/>
      <c r="EOF56" s="53"/>
      <c r="EOG56" s="53"/>
      <c r="EOH56" s="53"/>
      <c r="EOI56" s="53"/>
      <c r="EOJ56" s="53"/>
      <c r="EOK56" s="53"/>
      <c r="EOL56" s="53"/>
      <c r="EOM56" s="53"/>
      <c r="EON56" s="53"/>
      <c r="EOO56" s="53"/>
      <c r="EOP56" s="53"/>
      <c r="EOQ56" s="53"/>
      <c r="EOR56" s="53"/>
      <c r="EOS56" s="53"/>
      <c r="EOT56" s="53"/>
      <c r="EOU56" s="53"/>
      <c r="EOV56" s="53"/>
      <c r="EOW56" s="53"/>
      <c r="EOX56" s="53"/>
      <c r="EOY56" s="53"/>
      <c r="EOZ56" s="53"/>
      <c r="EPA56" s="53"/>
      <c r="EPB56" s="53"/>
      <c r="EPC56" s="53"/>
      <c r="EPD56" s="53"/>
      <c r="EPE56" s="53"/>
      <c r="EPF56" s="53"/>
      <c r="EPG56" s="53"/>
      <c r="EPH56" s="53"/>
      <c r="EPI56" s="53"/>
      <c r="EPJ56" s="53"/>
      <c r="EPK56" s="53"/>
      <c r="EPL56" s="53"/>
      <c r="EPM56" s="53"/>
      <c r="EPN56" s="53"/>
      <c r="EPO56" s="53"/>
      <c r="EPP56" s="53"/>
      <c r="EPQ56" s="53"/>
      <c r="EPR56" s="53"/>
      <c r="EPS56" s="53"/>
      <c r="EPT56" s="53"/>
      <c r="EPU56" s="53"/>
      <c r="EPV56" s="53"/>
      <c r="EPW56" s="53"/>
      <c r="EPX56" s="53"/>
      <c r="EPY56" s="53"/>
      <c r="EPZ56" s="53"/>
      <c r="EQA56" s="53"/>
      <c r="EQB56" s="53"/>
      <c r="EQC56" s="53"/>
      <c r="EQD56" s="53"/>
      <c r="EQE56" s="53"/>
      <c r="EQF56" s="53"/>
      <c r="EQG56" s="53"/>
      <c r="EQH56" s="53"/>
      <c r="EQI56" s="53"/>
      <c r="EQJ56" s="53"/>
      <c r="EQK56" s="53"/>
      <c r="EQL56" s="53"/>
      <c r="EQM56" s="53"/>
      <c r="EQN56" s="53"/>
      <c r="EQO56" s="53"/>
      <c r="EQP56" s="53"/>
      <c r="EQQ56" s="53"/>
      <c r="EQR56" s="53"/>
      <c r="EQS56" s="53"/>
      <c r="EQT56" s="53"/>
      <c r="EQU56" s="53"/>
      <c r="EQV56" s="53"/>
      <c r="EQW56" s="53"/>
      <c r="EQX56" s="53"/>
      <c r="EQY56" s="53"/>
      <c r="EQZ56" s="53"/>
      <c r="ERA56" s="53"/>
      <c r="ERB56" s="53"/>
      <c r="ERC56" s="53"/>
      <c r="ERD56" s="53"/>
      <c r="ERE56" s="53"/>
      <c r="ERF56" s="53"/>
      <c r="ERG56" s="53"/>
      <c r="ERH56" s="53"/>
      <c r="ERI56" s="53"/>
      <c r="ERJ56" s="53"/>
      <c r="ERK56" s="53"/>
      <c r="ERL56" s="53"/>
      <c r="ERM56" s="53"/>
      <c r="ERN56" s="53"/>
      <c r="ERO56" s="53"/>
      <c r="ERP56" s="53"/>
      <c r="ERQ56" s="53"/>
      <c r="ERR56" s="53"/>
      <c r="ERS56" s="53"/>
      <c r="ERT56" s="53"/>
      <c r="ERU56" s="53"/>
      <c r="ERV56" s="53"/>
      <c r="ERW56" s="53"/>
      <c r="ERX56" s="53"/>
      <c r="ERY56" s="53"/>
      <c r="ERZ56" s="53"/>
      <c r="ESA56" s="53"/>
      <c r="ESB56" s="53"/>
      <c r="ESC56" s="53"/>
      <c r="ESD56" s="53"/>
      <c r="ESE56" s="53"/>
      <c r="ESF56" s="53"/>
      <c r="ESG56" s="53"/>
      <c r="ESH56" s="53"/>
      <c r="ESI56" s="53"/>
      <c r="ESJ56" s="53"/>
      <c r="ESK56" s="53"/>
      <c r="ESL56" s="53"/>
      <c r="ESM56" s="53"/>
      <c r="ESN56" s="53"/>
      <c r="ESO56" s="53"/>
      <c r="ESP56" s="53"/>
      <c r="ESQ56" s="53"/>
      <c r="ESR56" s="53"/>
      <c r="ESS56" s="53"/>
      <c r="EST56" s="53"/>
      <c r="ESU56" s="53"/>
      <c r="ESV56" s="53"/>
      <c r="ESW56" s="53"/>
      <c r="ESX56" s="53"/>
      <c r="ESY56" s="53"/>
      <c r="ESZ56" s="53"/>
      <c r="ETA56" s="53"/>
      <c r="ETB56" s="53"/>
      <c r="ETC56" s="53"/>
      <c r="ETD56" s="53"/>
      <c r="ETE56" s="53"/>
      <c r="ETF56" s="53"/>
      <c r="ETG56" s="53"/>
      <c r="ETH56" s="53"/>
      <c r="ETI56" s="53"/>
      <c r="ETJ56" s="53"/>
      <c r="ETK56" s="53"/>
      <c r="ETL56" s="53"/>
      <c r="ETM56" s="53"/>
      <c r="ETN56" s="53"/>
      <c r="ETO56" s="53"/>
      <c r="ETP56" s="53"/>
      <c r="ETQ56" s="53"/>
      <c r="ETR56" s="53"/>
      <c r="ETS56" s="53"/>
      <c r="ETT56" s="53"/>
      <c r="ETU56" s="53"/>
      <c r="ETV56" s="53"/>
      <c r="ETW56" s="53"/>
      <c r="ETX56" s="53"/>
      <c r="ETY56" s="53"/>
      <c r="ETZ56" s="53"/>
      <c r="EUA56" s="53"/>
      <c r="EUB56" s="53"/>
      <c r="EUC56" s="53"/>
      <c r="EUD56" s="53"/>
      <c r="EUE56" s="53"/>
      <c r="EUF56" s="53"/>
      <c r="EUG56" s="53"/>
      <c r="EUH56" s="53"/>
      <c r="EUI56" s="53"/>
      <c r="EUJ56" s="53"/>
      <c r="EUK56" s="53"/>
      <c r="EUL56" s="53"/>
      <c r="EUM56" s="53"/>
      <c r="EUN56" s="53"/>
      <c r="EUO56" s="53"/>
      <c r="EUP56" s="53"/>
      <c r="EUQ56" s="53"/>
      <c r="EUR56" s="53"/>
      <c r="EUS56" s="53"/>
      <c r="EUT56" s="53"/>
      <c r="EUU56" s="53"/>
      <c r="EUV56" s="53"/>
      <c r="EUW56" s="53"/>
      <c r="EUX56" s="53"/>
      <c r="EUY56" s="53"/>
      <c r="EUZ56" s="53"/>
      <c r="EVA56" s="53"/>
      <c r="EVB56" s="53"/>
      <c r="EVC56" s="53"/>
      <c r="EVD56" s="53"/>
      <c r="EVE56" s="53"/>
      <c r="EVF56" s="53"/>
      <c r="EVG56" s="53"/>
      <c r="EVH56" s="53"/>
      <c r="EVI56" s="53"/>
      <c r="EVJ56" s="53"/>
      <c r="EVK56" s="53"/>
      <c r="EVL56" s="53"/>
      <c r="EVM56" s="53"/>
      <c r="EVN56" s="53"/>
      <c r="EVO56" s="53"/>
      <c r="EVP56" s="53"/>
      <c r="EVQ56" s="53"/>
      <c r="EVR56" s="53"/>
      <c r="EVS56" s="53"/>
      <c r="EVT56" s="53"/>
      <c r="EVU56" s="53"/>
      <c r="EVV56" s="53"/>
      <c r="EVW56" s="53"/>
      <c r="EVX56" s="53"/>
      <c r="EVY56" s="53"/>
      <c r="EVZ56" s="53"/>
      <c r="EWA56" s="53"/>
      <c r="EWB56" s="53"/>
      <c r="EWC56" s="53"/>
      <c r="EWD56" s="53"/>
      <c r="EWE56" s="53"/>
      <c r="EWF56" s="53"/>
      <c r="EWG56" s="53"/>
      <c r="EWH56" s="53"/>
      <c r="EWI56" s="53"/>
      <c r="EWJ56" s="53"/>
      <c r="EWK56" s="53"/>
      <c r="EWL56" s="53"/>
      <c r="EWM56" s="53"/>
      <c r="EWN56" s="53"/>
      <c r="EWO56" s="53"/>
      <c r="EWP56" s="53"/>
      <c r="EWQ56" s="53"/>
      <c r="EWR56" s="53"/>
      <c r="EWS56" s="53"/>
      <c r="EWT56" s="53"/>
      <c r="EWU56" s="53"/>
      <c r="EWV56" s="53"/>
      <c r="EWW56" s="53"/>
      <c r="EWX56" s="53"/>
      <c r="EWY56" s="53"/>
      <c r="EWZ56" s="53"/>
      <c r="EXA56" s="53"/>
      <c r="EXB56" s="53"/>
      <c r="EXC56" s="53"/>
      <c r="EXD56" s="53"/>
      <c r="EXE56" s="53"/>
      <c r="EXF56" s="53"/>
      <c r="EXG56" s="53"/>
      <c r="EXH56" s="53"/>
      <c r="EXI56" s="53"/>
      <c r="EXJ56" s="53"/>
      <c r="EXK56" s="53"/>
      <c r="EXL56" s="53"/>
      <c r="EXM56" s="53"/>
      <c r="EXN56" s="53"/>
      <c r="EXO56" s="53"/>
      <c r="EXP56" s="53"/>
      <c r="EXQ56" s="53"/>
      <c r="EXR56" s="53"/>
      <c r="EXS56" s="53"/>
      <c r="EXT56" s="53"/>
      <c r="EXU56" s="53"/>
      <c r="EXV56" s="53"/>
      <c r="EXW56" s="53"/>
      <c r="EXX56" s="53"/>
      <c r="EXY56" s="53"/>
      <c r="EXZ56" s="53"/>
      <c r="EYA56" s="53"/>
      <c r="EYB56" s="53"/>
      <c r="EYC56" s="53"/>
      <c r="EYD56" s="53"/>
      <c r="EYE56" s="53"/>
      <c r="EYF56" s="53"/>
      <c r="EYG56" s="53"/>
      <c r="EYH56" s="53"/>
      <c r="EYI56" s="53"/>
      <c r="EYJ56" s="53"/>
      <c r="EYK56" s="53"/>
      <c r="EYL56" s="53"/>
      <c r="EYM56" s="53"/>
      <c r="EYN56" s="53"/>
      <c r="EYO56" s="53"/>
      <c r="EYP56" s="53"/>
      <c r="EYQ56" s="53"/>
      <c r="EYR56" s="53"/>
      <c r="EYS56" s="53"/>
      <c r="EYT56" s="53"/>
      <c r="EYU56" s="53"/>
      <c r="EYV56" s="53"/>
      <c r="EYW56" s="53"/>
      <c r="EYX56" s="53"/>
      <c r="EYY56" s="53"/>
      <c r="EYZ56" s="53"/>
      <c r="EZA56" s="53"/>
      <c r="EZB56" s="53"/>
      <c r="EZC56" s="53"/>
      <c r="EZD56" s="53"/>
      <c r="EZE56" s="53"/>
      <c r="EZF56" s="53"/>
      <c r="EZG56" s="53"/>
      <c r="EZH56" s="53"/>
      <c r="EZI56" s="53"/>
      <c r="EZJ56" s="53"/>
      <c r="EZK56" s="53"/>
      <c r="EZL56" s="53"/>
      <c r="EZM56" s="53"/>
      <c r="EZN56" s="53"/>
      <c r="EZO56" s="53"/>
      <c r="EZP56" s="53"/>
      <c r="EZQ56" s="53"/>
      <c r="EZR56" s="53"/>
      <c r="EZS56" s="53"/>
      <c r="EZT56" s="53"/>
      <c r="EZU56" s="53"/>
      <c r="EZV56" s="53"/>
      <c r="EZW56" s="53"/>
      <c r="EZX56" s="53"/>
      <c r="EZY56" s="53"/>
      <c r="EZZ56" s="53"/>
      <c r="FAA56" s="53"/>
      <c r="FAB56" s="53"/>
      <c r="FAC56" s="53"/>
      <c r="FAD56" s="53"/>
      <c r="FAE56" s="53"/>
      <c r="FAF56" s="53"/>
      <c r="FAG56" s="53"/>
      <c r="FAH56" s="53"/>
      <c r="FAI56" s="53"/>
      <c r="FAJ56" s="53"/>
      <c r="FAK56" s="53"/>
      <c r="FAL56" s="53"/>
      <c r="FAM56" s="53"/>
      <c r="FAN56" s="53"/>
      <c r="FAO56" s="53"/>
      <c r="FAP56" s="53"/>
      <c r="FAQ56" s="53"/>
      <c r="FAR56" s="53"/>
      <c r="FAS56" s="53"/>
      <c r="FAT56" s="53"/>
      <c r="FAU56" s="53"/>
      <c r="FAV56" s="53"/>
      <c r="FAW56" s="53"/>
      <c r="FAX56" s="53"/>
      <c r="FAY56" s="53"/>
      <c r="FAZ56" s="53"/>
      <c r="FBA56" s="53"/>
      <c r="FBB56" s="53"/>
      <c r="FBC56" s="53"/>
      <c r="FBD56" s="53"/>
      <c r="FBE56" s="53"/>
      <c r="FBF56" s="53"/>
      <c r="FBG56" s="53"/>
      <c r="FBH56" s="53"/>
      <c r="FBI56" s="53"/>
      <c r="FBJ56" s="53"/>
      <c r="FBK56" s="53"/>
      <c r="FBL56" s="53"/>
      <c r="FBM56" s="53"/>
      <c r="FBN56" s="53"/>
      <c r="FBO56" s="53"/>
      <c r="FBP56" s="53"/>
      <c r="FBQ56" s="53"/>
      <c r="FBR56" s="53"/>
      <c r="FBS56" s="53"/>
      <c r="FBT56" s="53"/>
      <c r="FBU56" s="53"/>
      <c r="FBV56" s="53"/>
      <c r="FBW56" s="53"/>
      <c r="FBX56" s="53"/>
      <c r="FBY56" s="53"/>
      <c r="FBZ56" s="53"/>
      <c r="FCA56" s="53"/>
      <c r="FCB56" s="53"/>
      <c r="FCC56" s="53"/>
      <c r="FCD56" s="53"/>
      <c r="FCE56" s="53"/>
      <c r="FCF56" s="53"/>
      <c r="FCG56" s="53"/>
      <c r="FCH56" s="53"/>
      <c r="FCI56" s="53"/>
      <c r="FCJ56" s="53"/>
      <c r="FCK56" s="53"/>
      <c r="FCL56" s="53"/>
      <c r="FCM56" s="53"/>
      <c r="FCN56" s="53"/>
      <c r="FCO56" s="53"/>
      <c r="FCP56" s="53"/>
      <c r="FCQ56" s="53"/>
      <c r="FCR56" s="53"/>
      <c r="FCS56" s="53"/>
      <c r="FCT56" s="53"/>
      <c r="FCU56" s="53"/>
      <c r="FCV56" s="53"/>
      <c r="FCW56" s="53"/>
      <c r="FCX56" s="53"/>
      <c r="FCY56" s="53"/>
      <c r="FCZ56" s="53"/>
      <c r="FDA56" s="53"/>
      <c r="FDB56" s="53"/>
      <c r="FDC56" s="53"/>
      <c r="FDD56" s="53"/>
      <c r="FDE56" s="53"/>
      <c r="FDF56" s="53"/>
      <c r="FDG56" s="53"/>
      <c r="FDH56" s="53"/>
      <c r="FDI56" s="53"/>
      <c r="FDJ56" s="53"/>
      <c r="FDK56" s="53"/>
      <c r="FDL56" s="53"/>
      <c r="FDM56" s="53"/>
      <c r="FDN56" s="53"/>
      <c r="FDO56" s="53"/>
      <c r="FDP56" s="53"/>
      <c r="FDQ56" s="53"/>
      <c r="FDR56" s="53"/>
      <c r="FDS56" s="53"/>
      <c r="FDT56" s="53"/>
      <c r="FDU56" s="53"/>
      <c r="FDV56" s="53"/>
      <c r="FDW56" s="53"/>
      <c r="FDX56" s="53"/>
      <c r="FDY56" s="53"/>
      <c r="FDZ56" s="53"/>
      <c r="FEA56" s="53"/>
      <c r="FEB56" s="53"/>
      <c r="FEC56" s="53"/>
      <c r="FED56" s="53"/>
      <c r="FEE56" s="53"/>
      <c r="FEF56" s="53"/>
      <c r="FEG56" s="53"/>
      <c r="FEH56" s="53"/>
      <c r="FEI56" s="53"/>
      <c r="FEJ56" s="53"/>
      <c r="FEK56" s="53"/>
      <c r="FEL56" s="53"/>
      <c r="FEM56" s="53"/>
      <c r="FEN56" s="53"/>
      <c r="FEO56" s="53"/>
      <c r="FEP56" s="53"/>
      <c r="FEQ56" s="53"/>
      <c r="FER56" s="53"/>
      <c r="FES56" s="53"/>
      <c r="FET56" s="53"/>
      <c r="FEU56" s="53"/>
      <c r="FEV56" s="53"/>
      <c r="FEW56" s="53"/>
      <c r="FEX56" s="53"/>
      <c r="FEY56" s="53"/>
      <c r="FEZ56" s="53"/>
      <c r="FFA56" s="53"/>
      <c r="FFB56" s="53"/>
      <c r="FFC56" s="53"/>
      <c r="FFD56" s="53"/>
      <c r="FFE56" s="53"/>
      <c r="FFF56" s="53"/>
      <c r="FFG56" s="53"/>
      <c r="FFH56" s="53"/>
      <c r="FFI56" s="53"/>
      <c r="FFJ56" s="53"/>
      <c r="FFK56" s="53"/>
      <c r="FFL56" s="53"/>
      <c r="FFM56" s="53"/>
      <c r="FFN56" s="53"/>
      <c r="FFO56" s="53"/>
      <c r="FFP56" s="53"/>
      <c r="FFQ56" s="53"/>
      <c r="FFR56" s="53"/>
      <c r="FFS56" s="53"/>
      <c r="FFT56" s="53"/>
      <c r="FFU56" s="53"/>
      <c r="FFV56" s="53"/>
      <c r="FFW56" s="53"/>
      <c r="FFX56" s="53"/>
      <c r="FFY56" s="53"/>
      <c r="FFZ56" s="53"/>
      <c r="FGA56" s="53"/>
      <c r="FGB56" s="53"/>
      <c r="FGC56" s="53"/>
      <c r="FGD56" s="53"/>
      <c r="FGE56" s="53"/>
      <c r="FGF56" s="53"/>
      <c r="FGG56" s="53"/>
      <c r="FGH56" s="53"/>
      <c r="FGI56" s="53"/>
      <c r="FGJ56" s="53"/>
      <c r="FGK56" s="53"/>
      <c r="FGL56" s="53"/>
      <c r="FGM56" s="53"/>
      <c r="FGN56" s="53"/>
      <c r="FGO56" s="53"/>
      <c r="FGP56" s="53"/>
      <c r="FGQ56" s="53"/>
      <c r="FGR56" s="53"/>
      <c r="FGS56" s="53"/>
      <c r="FGT56" s="53"/>
      <c r="FGU56" s="53"/>
      <c r="FGV56" s="53"/>
      <c r="FGW56" s="53"/>
      <c r="FGX56" s="53"/>
      <c r="FGY56" s="53"/>
      <c r="FGZ56" s="53"/>
      <c r="FHA56" s="53"/>
      <c r="FHB56" s="53"/>
      <c r="FHC56" s="53"/>
      <c r="FHD56" s="53"/>
      <c r="FHE56" s="53"/>
      <c r="FHF56" s="53"/>
      <c r="FHG56" s="53"/>
      <c r="FHH56" s="53"/>
      <c r="FHI56" s="53"/>
      <c r="FHJ56" s="53"/>
      <c r="FHK56" s="53"/>
      <c r="FHL56" s="53"/>
      <c r="FHM56" s="53"/>
      <c r="FHN56" s="53"/>
      <c r="FHO56" s="53"/>
      <c r="FHP56" s="53"/>
      <c r="FHQ56" s="53"/>
      <c r="FHR56" s="53"/>
      <c r="FHS56" s="53"/>
      <c r="FHT56" s="53"/>
      <c r="FHU56" s="53"/>
      <c r="FHV56" s="53"/>
      <c r="FHW56" s="53"/>
      <c r="FHX56" s="53"/>
      <c r="FHY56" s="53"/>
      <c r="FHZ56" s="53"/>
      <c r="FIA56" s="53"/>
      <c r="FIB56" s="53"/>
      <c r="FIC56" s="53"/>
      <c r="FID56" s="53"/>
      <c r="FIE56" s="53"/>
      <c r="FIF56" s="53"/>
      <c r="FIG56" s="53"/>
      <c r="FIH56" s="53"/>
      <c r="FII56" s="53"/>
      <c r="FIJ56" s="53"/>
      <c r="FIK56" s="53"/>
      <c r="FIL56" s="53"/>
      <c r="FIM56" s="53"/>
      <c r="FIN56" s="53"/>
      <c r="FIO56" s="53"/>
      <c r="FIP56" s="53"/>
      <c r="FIQ56" s="53"/>
      <c r="FIR56" s="53"/>
      <c r="FIS56" s="53"/>
      <c r="FIT56" s="53"/>
      <c r="FIU56" s="53"/>
      <c r="FIV56" s="53"/>
      <c r="FIW56" s="53"/>
      <c r="FIX56" s="53"/>
      <c r="FIY56" s="53"/>
      <c r="FIZ56" s="53"/>
      <c r="FJA56" s="53"/>
      <c r="FJB56" s="53"/>
      <c r="FJC56" s="53"/>
      <c r="FJD56" s="53"/>
      <c r="FJE56" s="53"/>
      <c r="FJF56" s="53"/>
      <c r="FJG56" s="53"/>
      <c r="FJH56" s="53"/>
      <c r="FJI56" s="53"/>
      <c r="FJJ56" s="53"/>
      <c r="FJK56" s="53"/>
      <c r="FJL56" s="53"/>
      <c r="FJM56" s="53"/>
      <c r="FJN56" s="53"/>
      <c r="FJO56" s="53"/>
      <c r="FJP56" s="53"/>
      <c r="FJQ56" s="53"/>
      <c r="FJR56" s="53"/>
      <c r="FJS56" s="53"/>
      <c r="FJT56" s="53"/>
      <c r="FJU56" s="53"/>
      <c r="FJV56" s="53"/>
      <c r="FJW56" s="53"/>
      <c r="FJX56" s="53"/>
      <c r="FJY56" s="53"/>
      <c r="FJZ56" s="53"/>
      <c r="FKA56" s="53"/>
      <c r="FKB56" s="53"/>
      <c r="FKC56" s="53"/>
      <c r="FKD56" s="53"/>
      <c r="FKE56" s="53"/>
      <c r="FKF56" s="53"/>
      <c r="FKG56" s="53"/>
      <c r="FKH56" s="53"/>
      <c r="FKI56" s="53"/>
      <c r="FKJ56" s="53"/>
      <c r="FKK56" s="53"/>
      <c r="FKL56" s="53"/>
      <c r="FKM56" s="53"/>
      <c r="FKN56" s="53"/>
      <c r="FKO56" s="53"/>
      <c r="FKP56" s="53"/>
      <c r="FKQ56" s="53"/>
      <c r="FKR56" s="53"/>
      <c r="FKS56" s="53"/>
      <c r="FKT56" s="53"/>
      <c r="FKU56" s="53"/>
      <c r="FKV56" s="53"/>
      <c r="FKW56" s="53"/>
      <c r="FKX56" s="53"/>
      <c r="FKY56" s="53"/>
      <c r="FKZ56" s="53"/>
      <c r="FLA56" s="53"/>
      <c r="FLB56" s="53"/>
      <c r="FLC56" s="53"/>
      <c r="FLD56" s="53"/>
      <c r="FLE56" s="53"/>
      <c r="FLF56" s="53"/>
      <c r="FLG56" s="53"/>
      <c r="FLH56" s="53"/>
      <c r="FLI56" s="53"/>
      <c r="FLJ56" s="53"/>
      <c r="FLK56" s="53"/>
      <c r="FLL56" s="53"/>
      <c r="FLM56" s="53"/>
      <c r="FLN56" s="53"/>
      <c r="FLO56" s="53"/>
      <c r="FLP56" s="53"/>
      <c r="FLQ56" s="53"/>
      <c r="FLR56" s="53"/>
      <c r="FLS56" s="53"/>
      <c r="FLT56" s="53"/>
      <c r="FLU56" s="53"/>
      <c r="FLV56" s="53"/>
      <c r="FLW56" s="53"/>
      <c r="FLX56" s="53"/>
      <c r="FLY56" s="53"/>
      <c r="FLZ56" s="53"/>
      <c r="FMA56" s="53"/>
      <c r="FMB56" s="53"/>
      <c r="FMC56" s="53"/>
      <c r="FMD56" s="53"/>
      <c r="FME56" s="53"/>
      <c r="FMF56" s="53"/>
      <c r="FMG56" s="53"/>
      <c r="FMH56" s="53"/>
      <c r="FMI56" s="53"/>
      <c r="FMJ56" s="53"/>
      <c r="FMK56" s="53"/>
      <c r="FML56" s="53"/>
      <c r="FMM56" s="53"/>
      <c r="FMN56" s="53"/>
      <c r="FMO56" s="53"/>
      <c r="FMP56" s="53"/>
      <c r="FMQ56" s="53"/>
      <c r="FMR56" s="53"/>
      <c r="FMS56" s="53"/>
      <c r="FMT56" s="53"/>
      <c r="FMU56" s="53"/>
      <c r="FMV56" s="53"/>
      <c r="FMW56" s="53"/>
      <c r="FMX56" s="53"/>
      <c r="FMY56" s="53"/>
      <c r="FMZ56" s="53"/>
      <c r="FNA56" s="53"/>
      <c r="FNB56" s="53"/>
      <c r="FNC56" s="53"/>
      <c r="FND56" s="53"/>
      <c r="FNE56" s="53"/>
      <c r="FNF56" s="53"/>
      <c r="FNG56" s="53"/>
      <c r="FNH56" s="53"/>
      <c r="FNI56" s="53"/>
      <c r="FNJ56" s="53"/>
      <c r="FNK56" s="53"/>
      <c r="FNL56" s="53"/>
      <c r="FNM56" s="53"/>
      <c r="FNN56" s="53"/>
      <c r="FNO56" s="53"/>
      <c r="FNP56" s="53"/>
      <c r="FNQ56" s="53"/>
      <c r="FNR56" s="53"/>
      <c r="FNS56" s="53"/>
      <c r="FNT56" s="53"/>
      <c r="FNU56" s="53"/>
      <c r="FNV56" s="53"/>
      <c r="FNW56" s="53"/>
      <c r="FNX56" s="53"/>
      <c r="FNY56" s="53"/>
      <c r="FNZ56" s="53"/>
      <c r="FOA56" s="53"/>
      <c r="FOB56" s="53"/>
      <c r="FOC56" s="53"/>
      <c r="FOD56" s="53"/>
      <c r="FOE56" s="53"/>
      <c r="FOF56" s="53"/>
      <c r="FOG56" s="53"/>
      <c r="FOH56" s="53"/>
      <c r="FOI56" s="53"/>
      <c r="FOJ56" s="53"/>
      <c r="FOK56" s="53"/>
      <c r="FOL56" s="53"/>
      <c r="FOM56" s="53"/>
      <c r="FON56" s="53"/>
      <c r="FOO56" s="53"/>
      <c r="FOP56" s="53"/>
      <c r="FOQ56" s="53"/>
      <c r="FOR56" s="53"/>
      <c r="FOS56" s="53"/>
      <c r="FOT56" s="53"/>
      <c r="FOU56" s="53"/>
      <c r="FOV56" s="53"/>
      <c r="FOW56" s="53"/>
      <c r="FOX56" s="53"/>
      <c r="FOY56" s="53"/>
      <c r="FOZ56" s="53"/>
      <c r="FPA56" s="53"/>
      <c r="FPB56" s="53"/>
      <c r="FPC56" s="53"/>
      <c r="FPD56" s="53"/>
      <c r="FPE56" s="53"/>
      <c r="FPF56" s="53"/>
      <c r="FPG56" s="53"/>
      <c r="FPH56" s="53"/>
      <c r="FPI56" s="53"/>
      <c r="FPJ56" s="53"/>
      <c r="FPK56" s="53"/>
      <c r="FPL56" s="53"/>
      <c r="FPM56" s="53"/>
      <c r="FPN56" s="53"/>
      <c r="FPO56" s="53"/>
      <c r="FPP56" s="53"/>
      <c r="FPQ56" s="53"/>
      <c r="FPR56" s="53"/>
      <c r="FPS56" s="53"/>
      <c r="FPT56" s="53"/>
      <c r="FPU56" s="53"/>
      <c r="FPV56" s="53"/>
      <c r="FPW56" s="53"/>
      <c r="FPX56" s="53"/>
      <c r="FPY56" s="53"/>
      <c r="FPZ56" s="53"/>
      <c r="FQA56" s="53"/>
      <c r="FQB56" s="53"/>
      <c r="FQC56" s="53"/>
      <c r="FQD56" s="53"/>
      <c r="FQE56" s="53"/>
      <c r="FQF56" s="53"/>
      <c r="FQG56" s="53"/>
      <c r="FQH56" s="53"/>
      <c r="FQI56" s="53"/>
      <c r="FQJ56" s="53"/>
      <c r="FQK56" s="53"/>
      <c r="FQL56" s="53"/>
      <c r="FQM56" s="53"/>
      <c r="FQN56" s="53"/>
      <c r="FQO56" s="53"/>
      <c r="FQP56" s="53"/>
      <c r="FQQ56" s="53"/>
      <c r="FQR56" s="53"/>
      <c r="FQS56" s="53"/>
      <c r="FQT56" s="53"/>
      <c r="FQU56" s="53"/>
      <c r="FQV56" s="53"/>
      <c r="FQW56" s="53"/>
      <c r="FQX56" s="53"/>
      <c r="FQY56" s="53"/>
      <c r="FQZ56" s="53"/>
      <c r="FRA56" s="53"/>
      <c r="FRB56" s="53"/>
      <c r="FRC56" s="53"/>
      <c r="FRD56" s="53"/>
      <c r="FRE56" s="53"/>
      <c r="FRF56" s="53"/>
      <c r="FRG56" s="53"/>
      <c r="FRH56" s="53"/>
      <c r="FRI56" s="53"/>
      <c r="FRJ56" s="53"/>
      <c r="FRK56" s="53"/>
      <c r="FRL56" s="53"/>
      <c r="FRM56" s="53"/>
      <c r="FRN56" s="53"/>
      <c r="FRO56" s="53"/>
      <c r="FRP56" s="53"/>
      <c r="FRQ56" s="53"/>
      <c r="FRR56" s="53"/>
      <c r="FRS56" s="53"/>
      <c r="FRT56" s="53"/>
      <c r="FRU56" s="53"/>
      <c r="FRV56" s="53"/>
      <c r="FRW56" s="53"/>
      <c r="FRX56" s="53"/>
      <c r="FRY56" s="53"/>
      <c r="FRZ56" s="53"/>
      <c r="FSA56" s="53"/>
      <c r="FSB56" s="53"/>
      <c r="FSC56" s="53"/>
      <c r="FSD56" s="53"/>
      <c r="FSE56" s="53"/>
      <c r="FSF56" s="53"/>
      <c r="FSG56" s="53"/>
      <c r="FSH56" s="53"/>
      <c r="FSI56" s="53"/>
      <c r="FSJ56" s="53"/>
      <c r="FSK56" s="53"/>
      <c r="FSL56" s="53"/>
      <c r="FSM56" s="53"/>
      <c r="FSN56" s="53"/>
      <c r="FSO56" s="53"/>
      <c r="FSP56" s="53"/>
      <c r="FSQ56" s="53"/>
      <c r="FSR56" s="53"/>
      <c r="FSS56" s="53"/>
      <c r="FST56" s="53"/>
      <c r="FSU56" s="53"/>
      <c r="FSV56" s="53"/>
      <c r="FSW56" s="53"/>
      <c r="FSX56" s="53"/>
      <c r="FSY56" s="53"/>
      <c r="FSZ56" s="53"/>
      <c r="FTA56" s="53"/>
      <c r="FTB56" s="53"/>
      <c r="FTC56" s="53"/>
      <c r="FTD56" s="53"/>
      <c r="FTE56" s="53"/>
      <c r="FTF56" s="53"/>
      <c r="FTG56" s="53"/>
      <c r="FTH56" s="53"/>
      <c r="FTI56" s="53"/>
      <c r="FTJ56" s="53"/>
      <c r="FTK56" s="53"/>
      <c r="FTL56" s="53"/>
      <c r="FTM56" s="53"/>
      <c r="FTN56" s="53"/>
      <c r="FTO56" s="53"/>
      <c r="FTP56" s="53"/>
      <c r="FTQ56" s="53"/>
      <c r="FTR56" s="53"/>
      <c r="FTS56" s="53"/>
      <c r="FTT56" s="53"/>
      <c r="FTU56" s="53"/>
      <c r="FTV56" s="53"/>
      <c r="FTW56" s="53"/>
      <c r="FTX56" s="53"/>
      <c r="FTY56" s="53"/>
      <c r="FTZ56" s="53"/>
      <c r="FUA56" s="53"/>
      <c r="FUB56" s="53"/>
      <c r="FUC56" s="53"/>
      <c r="FUD56" s="53"/>
      <c r="FUE56" s="53"/>
      <c r="FUF56" s="53"/>
      <c r="FUG56" s="53"/>
      <c r="FUH56" s="53"/>
      <c r="FUI56" s="53"/>
      <c r="FUJ56" s="53"/>
      <c r="FUK56" s="53"/>
      <c r="FUL56" s="53"/>
      <c r="FUM56" s="53"/>
      <c r="FUN56" s="53"/>
      <c r="FUO56" s="53"/>
      <c r="FUP56" s="53"/>
      <c r="FUQ56" s="53"/>
      <c r="FUR56" s="53"/>
      <c r="FUS56" s="53"/>
      <c r="FUT56" s="53"/>
      <c r="FUU56" s="53"/>
      <c r="FUV56" s="53"/>
      <c r="FUW56" s="53"/>
      <c r="FUX56" s="53"/>
      <c r="FUY56" s="53"/>
      <c r="FUZ56" s="53"/>
      <c r="FVA56" s="53"/>
      <c r="FVB56" s="53"/>
      <c r="FVC56" s="53"/>
      <c r="FVD56" s="53"/>
      <c r="FVE56" s="53"/>
      <c r="FVF56" s="53"/>
      <c r="FVG56" s="53"/>
      <c r="FVH56" s="53"/>
      <c r="FVI56" s="53"/>
      <c r="FVJ56" s="53"/>
      <c r="FVK56" s="53"/>
      <c r="FVL56" s="53"/>
      <c r="FVM56" s="53"/>
      <c r="FVN56" s="53"/>
      <c r="FVO56" s="53"/>
      <c r="FVP56" s="53"/>
      <c r="FVQ56" s="53"/>
      <c r="FVR56" s="53"/>
      <c r="FVS56" s="53"/>
      <c r="FVT56" s="53"/>
      <c r="FVU56" s="53"/>
      <c r="FVV56" s="53"/>
      <c r="FVW56" s="53"/>
      <c r="FVX56" s="53"/>
      <c r="FVY56" s="53"/>
      <c r="FVZ56" s="53"/>
      <c r="FWA56" s="53"/>
      <c r="FWB56" s="53"/>
      <c r="FWC56" s="53"/>
      <c r="FWD56" s="53"/>
      <c r="FWE56" s="53"/>
      <c r="FWF56" s="53"/>
      <c r="FWG56" s="53"/>
      <c r="FWH56" s="53"/>
      <c r="FWI56" s="53"/>
      <c r="FWJ56" s="53"/>
      <c r="FWK56" s="53"/>
      <c r="FWL56" s="53"/>
      <c r="FWM56" s="53"/>
      <c r="FWN56" s="53"/>
      <c r="FWO56" s="53"/>
      <c r="FWP56" s="53"/>
      <c r="FWQ56" s="53"/>
      <c r="FWR56" s="53"/>
      <c r="FWS56" s="53"/>
      <c r="FWT56" s="53"/>
      <c r="FWU56" s="53"/>
      <c r="FWV56" s="53"/>
      <c r="FWW56" s="53"/>
      <c r="FWX56" s="53"/>
      <c r="FWY56" s="53"/>
      <c r="FWZ56" s="53"/>
      <c r="FXA56" s="53"/>
      <c r="FXB56" s="53"/>
      <c r="FXC56" s="53"/>
      <c r="FXD56" s="53"/>
      <c r="FXE56" s="53"/>
      <c r="FXF56" s="53"/>
      <c r="FXG56" s="53"/>
      <c r="FXH56" s="53"/>
      <c r="FXI56" s="53"/>
      <c r="FXJ56" s="53"/>
      <c r="FXK56" s="53"/>
      <c r="FXL56" s="53"/>
      <c r="FXM56" s="53"/>
      <c r="FXN56" s="53"/>
      <c r="FXO56" s="53"/>
      <c r="FXP56" s="53"/>
      <c r="FXQ56" s="53"/>
      <c r="FXR56" s="53"/>
      <c r="FXS56" s="53"/>
      <c r="FXT56" s="53"/>
      <c r="FXU56" s="53"/>
      <c r="FXV56" s="53"/>
      <c r="FXW56" s="53"/>
      <c r="FXX56" s="53"/>
      <c r="FXY56" s="53"/>
      <c r="FXZ56" s="53"/>
      <c r="FYA56" s="53"/>
      <c r="FYB56" s="53"/>
      <c r="FYC56" s="53"/>
      <c r="FYD56" s="53"/>
      <c r="FYE56" s="53"/>
      <c r="FYF56" s="53"/>
      <c r="FYG56" s="53"/>
      <c r="FYH56" s="53"/>
      <c r="FYI56" s="53"/>
      <c r="FYJ56" s="53"/>
      <c r="FYK56" s="53"/>
      <c r="FYL56" s="53"/>
      <c r="FYM56" s="53"/>
      <c r="FYN56" s="53"/>
      <c r="FYO56" s="53"/>
      <c r="FYP56" s="53"/>
      <c r="FYQ56" s="53"/>
      <c r="FYR56" s="53"/>
      <c r="FYS56" s="53"/>
      <c r="FYT56" s="53"/>
      <c r="FYU56" s="53"/>
      <c r="FYV56" s="53"/>
      <c r="FYW56" s="53"/>
      <c r="FYX56" s="53"/>
      <c r="FYY56" s="53"/>
      <c r="FYZ56" s="53"/>
      <c r="FZA56" s="53"/>
      <c r="FZB56" s="53"/>
      <c r="FZC56" s="53"/>
      <c r="FZD56" s="53"/>
      <c r="FZE56" s="53"/>
      <c r="FZF56" s="53"/>
      <c r="FZG56" s="53"/>
      <c r="FZH56" s="53"/>
      <c r="FZI56" s="53"/>
      <c r="FZJ56" s="53"/>
      <c r="FZK56" s="53"/>
      <c r="FZL56" s="53"/>
      <c r="FZM56" s="53"/>
      <c r="FZN56" s="53"/>
      <c r="FZO56" s="53"/>
      <c r="FZP56" s="53"/>
      <c r="FZQ56" s="53"/>
      <c r="FZR56" s="53"/>
      <c r="FZS56" s="53"/>
      <c r="FZT56" s="53"/>
      <c r="FZU56" s="53"/>
      <c r="FZV56" s="53"/>
      <c r="FZW56" s="53"/>
      <c r="FZX56" s="53"/>
      <c r="FZY56" s="53"/>
      <c r="FZZ56" s="53"/>
      <c r="GAA56" s="53"/>
      <c r="GAB56" s="53"/>
      <c r="GAC56" s="53"/>
      <c r="GAD56" s="53"/>
      <c r="GAE56" s="53"/>
      <c r="GAF56" s="53"/>
      <c r="GAG56" s="53"/>
      <c r="GAH56" s="53"/>
      <c r="GAI56" s="53"/>
      <c r="GAJ56" s="53"/>
      <c r="GAK56" s="53"/>
      <c r="GAL56" s="53"/>
      <c r="GAM56" s="53"/>
      <c r="GAN56" s="53"/>
      <c r="GAO56" s="53"/>
      <c r="GAP56" s="53"/>
      <c r="GAQ56" s="53"/>
      <c r="GAR56" s="53"/>
      <c r="GAS56" s="53"/>
      <c r="GAT56" s="53"/>
      <c r="GAU56" s="53"/>
      <c r="GAV56" s="53"/>
      <c r="GAW56" s="53"/>
      <c r="GAX56" s="53"/>
      <c r="GAY56" s="53"/>
      <c r="GAZ56" s="53"/>
      <c r="GBA56" s="53"/>
      <c r="GBB56" s="53"/>
      <c r="GBC56" s="53"/>
      <c r="GBD56" s="53"/>
      <c r="GBE56" s="53"/>
      <c r="GBF56" s="53"/>
      <c r="GBG56" s="53"/>
      <c r="GBH56" s="53"/>
      <c r="GBI56" s="53"/>
      <c r="GBJ56" s="53"/>
      <c r="GBK56" s="53"/>
      <c r="GBL56" s="53"/>
      <c r="GBM56" s="53"/>
      <c r="GBN56" s="53"/>
      <c r="GBO56" s="53"/>
      <c r="GBP56" s="53"/>
      <c r="GBQ56" s="53"/>
      <c r="GBR56" s="53"/>
      <c r="GBS56" s="53"/>
      <c r="GBT56" s="53"/>
      <c r="GBU56" s="53"/>
      <c r="GBV56" s="53"/>
      <c r="GBW56" s="53"/>
      <c r="GBX56" s="53"/>
      <c r="GBY56" s="53"/>
      <c r="GBZ56" s="53"/>
      <c r="GCA56" s="53"/>
      <c r="GCB56" s="53"/>
      <c r="GCC56" s="53"/>
      <c r="GCD56" s="53"/>
      <c r="GCE56" s="53"/>
      <c r="GCF56" s="53"/>
      <c r="GCG56" s="53"/>
      <c r="GCH56" s="53"/>
      <c r="GCI56" s="53"/>
      <c r="GCJ56" s="53"/>
      <c r="GCK56" s="53"/>
      <c r="GCL56" s="53"/>
      <c r="GCM56" s="53"/>
      <c r="GCN56" s="53"/>
      <c r="GCO56" s="53"/>
      <c r="GCP56" s="53"/>
      <c r="GCQ56" s="53"/>
      <c r="GCR56" s="53"/>
      <c r="GCS56" s="53"/>
      <c r="GCT56" s="53"/>
      <c r="GCU56" s="53"/>
      <c r="GCV56" s="53"/>
      <c r="GCW56" s="53"/>
      <c r="GCX56" s="53"/>
      <c r="GCY56" s="53"/>
      <c r="GCZ56" s="53"/>
      <c r="GDA56" s="53"/>
      <c r="GDB56" s="53"/>
      <c r="GDC56" s="53"/>
      <c r="GDD56" s="53"/>
      <c r="GDE56" s="53"/>
      <c r="GDF56" s="53"/>
      <c r="GDG56" s="53"/>
      <c r="GDH56" s="53"/>
      <c r="GDI56" s="53"/>
      <c r="GDJ56" s="53"/>
      <c r="GDK56" s="53"/>
      <c r="GDL56" s="53"/>
      <c r="GDM56" s="53"/>
      <c r="GDN56" s="53"/>
      <c r="GDO56" s="53"/>
      <c r="GDP56" s="53"/>
      <c r="GDQ56" s="53"/>
      <c r="GDR56" s="53"/>
      <c r="GDS56" s="53"/>
      <c r="GDT56" s="53"/>
      <c r="GDU56" s="53"/>
      <c r="GDV56" s="53"/>
      <c r="GDW56" s="53"/>
      <c r="GDX56" s="53"/>
      <c r="GDY56" s="53"/>
      <c r="GDZ56" s="53"/>
      <c r="GEA56" s="53"/>
      <c r="GEB56" s="53"/>
      <c r="GEC56" s="53"/>
      <c r="GED56" s="53"/>
      <c r="GEE56" s="53"/>
      <c r="GEF56" s="53"/>
      <c r="GEG56" s="53"/>
      <c r="GEH56" s="53"/>
      <c r="GEI56" s="53"/>
      <c r="GEJ56" s="53"/>
      <c r="GEK56" s="53"/>
      <c r="GEL56" s="53"/>
      <c r="GEM56" s="53"/>
      <c r="GEN56" s="53"/>
      <c r="GEO56" s="53"/>
      <c r="GEP56" s="53"/>
      <c r="GEQ56" s="53"/>
      <c r="GER56" s="53"/>
      <c r="GES56" s="53"/>
      <c r="GET56" s="53"/>
      <c r="GEU56" s="53"/>
      <c r="GEV56" s="53"/>
      <c r="GEW56" s="53"/>
      <c r="GEX56" s="53"/>
      <c r="GEY56" s="53"/>
      <c r="GEZ56" s="53"/>
      <c r="GFA56" s="53"/>
      <c r="GFB56" s="53"/>
      <c r="GFC56" s="53"/>
      <c r="GFD56" s="53"/>
      <c r="GFE56" s="53"/>
      <c r="GFF56" s="53"/>
      <c r="GFG56" s="53"/>
      <c r="GFH56" s="53"/>
      <c r="GFI56" s="53"/>
      <c r="GFJ56" s="53"/>
      <c r="GFK56" s="53"/>
      <c r="GFL56" s="53"/>
      <c r="GFM56" s="53"/>
      <c r="GFN56" s="53"/>
      <c r="GFO56" s="53"/>
      <c r="GFP56" s="53"/>
      <c r="GFQ56" s="53"/>
      <c r="GFR56" s="53"/>
      <c r="GFS56" s="53"/>
      <c r="GFT56" s="53"/>
      <c r="GFU56" s="53"/>
      <c r="GFV56" s="53"/>
      <c r="GFW56" s="53"/>
      <c r="GFX56" s="53"/>
      <c r="GFY56" s="53"/>
      <c r="GFZ56" s="53"/>
      <c r="GGA56" s="53"/>
      <c r="GGB56" s="53"/>
      <c r="GGC56" s="53"/>
      <c r="GGD56" s="53"/>
      <c r="GGE56" s="53"/>
      <c r="GGF56" s="53"/>
      <c r="GGG56" s="53"/>
      <c r="GGH56" s="53"/>
      <c r="GGI56" s="53"/>
      <c r="GGJ56" s="53"/>
      <c r="GGK56" s="53"/>
      <c r="GGL56" s="53"/>
      <c r="GGM56" s="53"/>
      <c r="GGN56" s="53"/>
      <c r="GGO56" s="53"/>
      <c r="GGP56" s="53"/>
      <c r="GGQ56" s="53"/>
      <c r="GGR56" s="53"/>
      <c r="GGS56" s="53"/>
      <c r="GGT56" s="53"/>
      <c r="GGU56" s="53"/>
      <c r="GGV56" s="53"/>
      <c r="GGW56" s="53"/>
      <c r="GGX56" s="53"/>
      <c r="GGY56" s="53"/>
      <c r="GGZ56" s="53"/>
      <c r="GHA56" s="53"/>
      <c r="GHB56" s="53"/>
      <c r="GHC56" s="53"/>
      <c r="GHD56" s="53"/>
      <c r="GHE56" s="53"/>
      <c r="GHF56" s="53"/>
      <c r="GHG56" s="53"/>
      <c r="GHH56" s="53"/>
      <c r="GHI56" s="53"/>
      <c r="GHJ56" s="53"/>
      <c r="GHK56" s="53"/>
      <c r="GHL56" s="53"/>
      <c r="GHM56" s="53"/>
      <c r="GHN56" s="53"/>
      <c r="GHO56" s="53"/>
      <c r="GHP56" s="53"/>
      <c r="GHQ56" s="53"/>
      <c r="GHR56" s="53"/>
      <c r="GHS56" s="53"/>
      <c r="GHT56" s="53"/>
      <c r="GHU56" s="53"/>
      <c r="GHV56" s="53"/>
      <c r="GHW56" s="53"/>
      <c r="GHX56" s="53"/>
      <c r="GHY56" s="53"/>
      <c r="GHZ56" s="53"/>
      <c r="GIA56" s="53"/>
      <c r="GIB56" s="53"/>
      <c r="GIC56" s="53"/>
      <c r="GID56" s="53"/>
      <c r="GIE56" s="53"/>
      <c r="GIF56" s="53"/>
      <c r="GIG56" s="53"/>
      <c r="GIH56" s="53"/>
      <c r="GII56" s="53"/>
      <c r="GIJ56" s="53"/>
      <c r="GIK56" s="53"/>
      <c r="GIL56" s="53"/>
      <c r="GIM56" s="53"/>
      <c r="GIN56" s="53"/>
      <c r="GIO56" s="53"/>
      <c r="GIP56" s="53"/>
      <c r="GIQ56" s="53"/>
      <c r="GIR56" s="53"/>
      <c r="GIS56" s="53"/>
      <c r="GIT56" s="53"/>
      <c r="GIU56" s="53"/>
      <c r="GIV56" s="53"/>
      <c r="GIW56" s="53"/>
      <c r="GIX56" s="53"/>
      <c r="GIY56" s="53"/>
      <c r="GIZ56" s="53"/>
      <c r="GJA56" s="53"/>
      <c r="GJB56" s="53"/>
      <c r="GJC56" s="53"/>
      <c r="GJD56" s="53"/>
      <c r="GJE56" s="53"/>
      <c r="GJF56" s="53"/>
      <c r="GJG56" s="53"/>
      <c r="GJH56" s="53"/>
      <c r="GJI56" s="53"/>
      <c r="GJJ56" s="53"/>
      <c r="GJK56" s="53"/>
      <c r="GJL56" s="53"/>
      <c r="GJM56" s="53"/>
      <c r="GJN56" s="53"/>
      <c r="GJO56" s="53"/>
      <c r="GJP56" s="53"/>
      <c r="GJQ56" s="53"/>
      <c r="GJR56" s="53"/>
      <c r="GJS56" s="53"/>
      <c r="GJT56" s="53"/>
      <c r="GJU56" s="53"/>
      <c r="GJV56" s="53"/>
      <c r="GJW56" s="53"/>
      <c r="GJX56" s="53"/>
      <c r="GJY56" s="53"/>
      <c r="GJZ56" s="53"/>
      <c r="GKA56" s="53"/>
      <c r="GKB56" s="53"/>
      <c r="GKC56" s="53"/>
      <c r="GKD56" s="53"/>
      <c r="GKE56" s="53"/>
      <c r="GKF56" s="53"/>
      <c r="GKG56" s="53"/>
      <c r="GKH56" s="53"/>
      <c r="GKI56" s="53"/>
      <c r="GKJ56" s="53"/>
      <c r="GKK56" s="53"/>
      <c r="GKL56" s="53"/>
      <c r="GKM56" s="53"/>
      <c r="GKN56" s="53"/>
      <c r="GKO56" s="53"/>
      <c r="GKP56" s="53"/>
      <c r="GKQ56" s="53"/>
      <c r="GKR56" s="53"/>
      <c r="GKS56" s="53"/>
      <c r="GKT56" s="53"/>
      <c r="GKU56" s="53"/>
      <c r="GKV56" s="53"/>
      <c r="GKW56" s="53"/>
      <c r="GKX56" s="53"/>
      <c r="GKY56" s="53"/>
      <c r="GKZ56" s="53"/>
      <c r="GLA56" s="53"/>
      <c r="GLB56" s="53"/>
      <c r="GLC56" s="53"/>
      <c r="GLD56" s="53"/>
      <c r="GLE56" s="53"/>
      <c r="GLF56" s="53"/>
      <c r="GLG56" s="53"/>
      <c r="GLH56" s="53"/>
      <c r="GLI56" s="53"/>
      <c r="GLJ56" s="53"/>
      <c r="GLK56" s="53"/>
      <c r="GLL56" s="53"/>
      <c r="GLM56" s="53"/>
      <c r="GLN56" s="53"/>
      <c r="GLO56" s="53"/>
      <c r="GLP56" s="53"/>
      <c r="GLQ56" s="53"/>
      <c r="GLR56" s="53"/>
      <c r="GLS56" s="53"/>
      <c r="GLT56" s="53"/>
      <c r="GLU56" s="53"/>
      <c r="GLV56" s="53"/>
      <c r="GLW56" s="53"/>
      <c r="GLX56" s="53"/>
      <c r="GLY56" s="53"/>
      <c r="GLZ56" s="53"/>
      <c r="GMA56" s="53"/>
      <c r="GMB56" s="53"/>
      <c r="GMC56" s="53"/>
      <c r="GMD56" s="53"/>
      <c r="GME56" s="53"/>
      <c r="GMF56" s="53"/>
      <c r="GMG56" s="53"/>
      <c r="GMH56" s="53"/>
      <c r="GMI56" s="53"/>
      <c r="GMJ56" s="53"/>
      <c r="GMK56" s="53"/>
      <c r="GML56" s="53"/>
      <c r="GMM56" s="53"/>
      <c r="GMN56" s="53"/>
      <c r="GMO56" s="53"/>
      <c r="GMP56" s="53"/>
      <c r="GMQ56" s="53"/>
      <c r="GMR56" s="53"/>
      <c r="GMS56" s="53"/>
      <c r="GMT56" s="53"/>
      <c r="GMU56" s="53"/>
      <c r="GMV56" s="53"/>
      <c r="GMW56" s="53"/>
      <c r="GMX56" s="53"/>
      <c r="GMY56" s="53"/>
      <c r="GMZ56" s="53"/>
      <c r="GNA56" s="53"/>
      <c r="GNB56" s="53"/>
      <c r="GNC56" s="53"/>
      <c r="GND56" s="53"/>
      <c r="GNE56" s="53"/>
      <c r="GNF56" s="53"/>
      <c r="GNG56" s="53"/>
      <c r="GNH56" s="53"/>
      <c r="GNI56" s="53"/>
      <c r="GNJ56" s="53"/>
      <c r="GNK56" s="53"/>
      <c r="GNL56" s="53"/>
      <c r="GNM56" s="53"/>
      <c r="GNN56" s="53"/>
      <c r="GNO56" s="53"/>
      <c r="GNP56" s="53"/>
      <c r="GNQ56" s="53"/>
      <c r="GNR56" s="53"/>
      <c r="GNS56" s="53"/>
      <c r="GNT56" s="53"/>
      <c r="GNU56" s="53"/>
      <c r="GNV56" s="53"/>
      <c r="GNW56" s="53"/>
      <c r="GNX56" s="53"/>
      <c r="GNY56" s="53"/>
      <c r="GNZ56" s="53"/>
      <c r="GOA56" s="53"/>
      <c r="GOB56" s="53"/>
      <c r="GOC56" s="53"/>
      <c r="GOD56" s="53"/>
      <c r="GOE56" s="53"/>
      <c r="GOF56" s="53"/>
      <c r="GOG56" s="53"/>
      <c r="GOH56" s="53"/>
      <c r="GOI56" s="53"/>
      <c r="GOJ56" s="53"/>
      <c r="GOK56" s="53"/>
      <c r="GOL56" s="53"/>
      <c r="GOM56" s="53"/>
      <c r="GON56" s="53"/>
      <c r="GOO56" s="53"/>
      <c r="GOP56" s="53"/>
      <c r="GOQ56" s="53"/>
      <c r="GOR56" s="53"/>
      <c r="GOS56" s="53"/>
      <c r="GOT56" s="53"/>
      <c r="GOU56" s="53"/>
      <c r="GOV56" s="53"/>
      <c r="GOW56" s="53"/>
      <c r="GOX56" s="53"/>
      <c r="GOY56" s="53"/>
      <c r="GOZ56" s="53"/>
      <c r="GPA56" s="53"/>
      <c r="GPB56" s="53"/>
      <c r="GPC56" s="53"/>
      <c r="GPD56" s="53"/>
      <c r="GPE56" s="53"/>
      <c r="GPF56" s="53"/>
      <c r="GPG56" s="53"/>
      <c r="GPH56" s="53"/>
      <c r="GPI56" s="53"/>
      <c r="GPJ56" s="53"/>
      <c r="GPK56" s="53"/>
      <c r="GPL56" s="53"/>
      <c r="GPM56" s="53"/>
      <c r="GPN56" s="53"/>
      <c r="GPO56" s="53"/>
      <c r="GPP56" s="53"/>
      <c r="GPQ56" s="53"/>
      <c r="GPR56" s="53"/>
      <c r="GPS56" s="53"/>
      <c r="GPT56" s="53"/>
      <c r="GPU56" s="53"/>
      <c r="GPV56" s="53"/>
      <c r="GPW56" s="53"/>
      <c r="GPX56" s="53"/>
      <c r="GPY56" s="53"/>
      <c r="GPZ56" s="53"/>
      <c r="GQA56" s="53"/>
      <c r="GQB56" s="53"/>
      <c r="GQC56" s="53"/>
      <c r="GQD56" s="53"/>
      <c r="GQE56" s="53"/>
      <c r="GQF56" s="53"/>
      <c r="GQG56" s="53"/>
      <c r="GQH56" s="53"/>
      <c r="GQI56" s="53"/>
      <c r="GQJ56" s="53"/>
      <c r="GQK56" s="53"/>
      <c r="GQL56" s="53"/>
      <c r="GQM56" s="53"/>
      <c r="GQN56" s="53"/>
      <c r="GQO56" s="53"/>
      <c r="GQP56" s="53"/>
      <c r="GQQ56" s="53"/>
      <c r="GQR56" s="53"/>
      <c r="GQS56" s="53"/>
      <c r="GQT56" s="53"/>
      <c r="GQU56" s="53"/>
      <c r="GQV56" s="53"/>
      <c r="GQW56" s="53"/>
      <c r="GQX56" s="53"/>
      <c r="GQY56" s="53"/>
      <c r="GQZ56" s="53"/>
      <c r="GRA56" s="53"/>
      <c r="GRB56" s="53"/>
      <c r="GRC56" s="53"/>
      <c r="GRD56" s="53"/>
      <c r="GRE56" s="53"/>
      <c r="GRF56" s="53"/>
      <c r="GRG56" s="53"/>
      <c r="GRH56" s="53"/>
      <c r="GRI56" s="53"/>
      <c r="GRJ56" s="53"/>
      <c r="GRK56" s="53"/>
      <c r="GRL56" s="53"/>
      <c r="GRM56" s="53"/>
      <c r="GRN56" s="53"/>
      <c r="GRO56" s="53"/>
      <c r="GRP56" s="53"/>
      <c r="GRQ56" s="53"/>
      <c r="GRR56" s="53"/>
      <c r="GRS56" s="53"/>
      <c r="GRT56" s="53"/>
      <c r="GRU56" s="53"/>
      <c r="GRV56" s="53"/>
      <c r="GRW56" s="53"/>
      <c r="GRX56" s="53"/>
      <c r="GRY56" s="53"/>
      <c r="GRZ56" s="53"/>
      <c r="GSA56" s="53"/>
      <c r="GSB56" s="53"/>
      <c r="GSC56" s="53"/>
      <c r="GSD56" s="53"/>
      <c r="GSE56" s="53"/>
      <c r="GSF56" s="53"/>
      <c r="GSG56" s="53"/>
      <c r="GSH56" s="53"/>
      <c r="GSI56" s="53"/>
      <c r="GSJ56" s="53"/>
      <c r="GSK56" s="53"/>
      <c r="GSL56" s="53"/>
      <c r="GSM56" s="53"/>
      <c r="GSN56" s="53"/>
      <c r="GSO56" s="53"/>
      <c r="GSP56" s="53"/>
      <c r="GSQ56" s="53"/>
      <c r="GSR56" s="53"/>
      <c r="GSS56" s="53"/>
      <c r="GST56" s="53"/>
      <c r="GSU56" s="53"/>
      <c r="GSV56" s="53"/>
      <c r="GSW56" s="53"/>
      <c r="GSX56" s="53"/>
      <c r="GSY56" s="53"/>
      <c r="GSZ56" s="53"/>
      <c r="GTA56" s="53"/>
      <c r="GTB56" s="53"/>
      <c r="GTC56" s="53"/>
      <c r="GTD56" s="53"/>
      <c r="GTE56" s="53"/>
      <c r="GTF56" s="53"/>
      <c r="GTG56" s="53"/>
      <c r="GTH56" s="53"/>
      <c r="GTI56" s="53"/>
      <c r="GTJ56" s="53"/>
      <c r="GTK56" s="53"/>
      <c r="GTL56" s="53"/>
      <c r="GTM56" s="53"/>
      <c r="GTN56" s="53"/>
      <c r="GTO56" s="53"/>
      <c r="GTP56" s="53"/>
      <c r="GTQ56" s="53"/>
      <c r="GTR56" s="53"/>
      <c r="GTS56" s="53"/>
      <c r="GTT56" s="53"/>
      <c r="GTU56" s="53"/>
      <c r="GTV56" s="53"/>
      <c r="GTW56" s="53"/>
      <c r="GTX56" s="53"/>
      <c r="GTY56" s="53"/>
      <c r="GTZ56" s="53"/>
      <c r="GUA56" s="53"/>
      <c r="GUB56" s="53"/>
      <c r="GUC56" s="53"/>
      <c r="GUD56" s="53"/>
      <c r="GUE56" s="53"/>
      <c r="GUF56" s="53"/>
      <c r="GUG56" s="53"/>
      <c r="GUH56" s="53"/>
      <c r="GUI56" s="53"/>
      <c r="GUJ56" s="53"/>
      <c r="GUK56" s="53"/>
      <c r="GUL56" s="53"/>
      <c r="GUM56" s="53"/>
      <c r="GUN56" s="53"/>
      <c r="GUO56" s="53"/>
      <c r="GUP56" s="53"/>
      <c r="GUQ56" s="53"/>
      <c r="GUR56" s="53"/>
      <c r="GUS56" s="53"/>
      <c r="GUT56" s="53"/>
      <c r="GUU56" s="53"/>
      <c r="GUV56" s="53"/>
      <c r="GUW56" s="53"/>
      <c r="GUX56" s="53"/>
      <c r="GUY56" s="53"/>
      <c r="GUZ56" s="53"/>
      <c r="GVA56" s="53"/>
      <c r="GVB56" s="53"/>
      <c r="GVC56" s="53"/>
      <c r="GVD56" s="53"/>
      <c r="GVE56" s="53"/>
      <c r="GVF56" s="53"/>
      <c r="GVG56" s="53"/>
      <c r="GVH56" s="53"/>
      <c r="GVI56" s="53"/>
      <c r="GVJ56" s="53"/>
      <c r="GVK56" s="53"/>
      <c r="GVL56" s="53"/>
      <c r="GVM56" s="53"/>
      <c r="GVN56" s="53"/>
      <c r="GVO56" s="53"/>
      <c r="GVP56" s="53"/>
      <c r="GVQ56" s="53"/>
      <c r="GVR56" s="53"/>
      <c r="GVS56" s="53"/>
      <c r="GVT56" s="53"/>
      <c r="GVU56" s="53"/>
      <c r="GVV56" s="53"/>
      <c r="GVW56" s="53"/>
      <c r="GVX56" s="53"/>
      <c r="GVY56" s="53"/>
      <c r="GVZ56" s="53"/>
      <c r="GWA56" s="53"/>
      <c r="GWB56" s="53"/>
      <c r="GWC56" s="53"/>
      <c r="GWD56" s="53"/>
      <c r="GWE56" s="53"/>
      <c r="GWF56" s="53"/>
      <c r="GWG56" s="53"/>
      <c r="GWH56" s="53"/>
      <c r="GWI56" s="53"/>
      <c r="GWJ56" s="53"/>
      <c r="GWK56" s="53"/>
      <c r="GWL56" s="53"/>
      <c r="GWM56" s="53"/>
      <c r="GWN56" s="53"/>
      <c r="GWO56" s="53"/>
      <c r="GWP56" s="53"/>
      <c r="GWQ56" s="53"/>
      <c r="GWR56" s="53"/>
      <c r="GWS56" s="53"/>
      <c r="GWT56" s="53"/>
      <c r="GWU56" s="53"/>
      <c r="GWV56" s="53"/>
      <c r="GWW56" s="53"/>
      <c r="GWX56" s="53"/>
      <c r="GWY56" s="53"/>
      <c r="GWZ56" s="53"/>
      <c r="GXA56" s="53"/>
      <c r="GXB56" s="53"/>
      <c r="GXC56" s="53"/>
      <c r="GXD56" s="53"/>
      <c r="GXE56" s="53"/>
      <c r="GXF56" s="53"/>
      <c r="GXG56" s="53"/>
      <c r="GXH56" s="53"/>
      <c r="GXI56" s="53"/>
      <c r="GXJ56" s="53"/>
      <c r="GXK56" s="53"/>
      <c r="GXL56" s="53"/>
      <c r="GXM56" s="53"/>
      <c r="GXN56" s="53"/>
      <c r="GXO56" s="53"/>
      <c r="GXP56" s="53"/>
      <c r="GXQ56" s="53"/>
      <c r="GXR56" s="53"/>
      <c r="GXS56" s="53"/>
      <c r="GXT56" s="53"/>
      <c r="GXU56" s="53"/>
      <c r="GXV56" s="53"/>
      <c r="GXW56" s="53"/>
      <c r="GXX56" s="53"/>
      <c r="GXY56" s="53"/>
      <c r="GXZ56" s="53"/>
      <c r="GYA56" s="53"/>
      <c r="GYB56" s="53"/>
      <c r="GYC56" s="53"/>
      <c r="GYD56" s="53"/>
      <c r="GYE56" s="53"/>
      <c r="GYF56" s="53"/>
      <c r="GYG56" s="53"/>
      <c r="GYH56" s="53"/>
      <c r="GYI56" s="53"/>
      <c r="GYJ56" s="53"/>
      <c r="GYK56" s="53"/>
      <c r="GYL56" s="53"/>
      <c r="GYM56" s="53"/>
      <c r="GYN56" s="53"/>
      <c r="GYO56" s="53"/>
      <c r="GYP56" s="53"/>
      <c r="GYQ56" s="53"/>
      <c r="GYR56" s="53"/>
      <c r="GYS56" s="53"/>
      <c r="GYT56" s="53"/>
      <c r="GYU56" s="53"/>
      <c r="GYV56" s="53"/>
      <c r="GYW56" s="53"/>
      <c r="GYX56" s="53"/>
      <c r="GYY56" s="53"/>
      <c r="GYZ56" s="53"/>
      <c r="GZA56" s="53"/>
      <c r="GZB56" s="53"/>
      <c r="GZC56" s="53"/>
      <c r="GZD56" s="53"/>
      <c r="GZE56" s="53"/>
      <c r="GZF56" s="53"/>
      <c r="GZG56" s="53"/>
      <c r="GZH56" s="53"/>
      <c r="GZI56" s="53"/>
      <c r="GZJ56" s="53"/>
      <c r="GZK56" s="53"/>
      <c r="GZL56" s="53"/>
      <c r="GZM56" s="53"/>
      <c r="GZN56" s="53"/>
      <c r="GZO56" s="53"/>
      <c r="GZP56" s="53"/>
      <c r="GZQ56" s="53"/>
      <c r="GZR56" s="53"/>
      <c r="GZS56" s="53"/>
      <c r="GZT56" s="53"/>
      <c r="GZU56" s="53"/>
      <c r="GZV56" s="53"/>
      <c r="GZW56" s="53"/>
      <c r="GZX56" s="53"/>
      <c r="GZY56" s="53"/>
      <c r="GZZ56" s="53"/>
      <c r="HAA56" s="53"/>
      <c r="HAB56" s="53"/>
      <c r="HAC56" s="53"/>
      <c r="HAD56" s="53"/>
      <c r="HAE56" s="53"/>
      <c r="HAF56" s="53"/>
      <c r="HAG56" s="53"/>
      <c r="HAH56" s="53"/>
      <c r="HAI56" s="53"/>
      <c r="HAJ56" s="53"/>
      <c r="HAK56" s="53"/>
      <c r="HAL56" s="53"/>
      <c r="HAM56" s="53"/>
      <c r="HAN56" s="53"/>
      <c r="HAO56" s="53"/>
      <c r="HAP56" s="53"/>
      <c r="HAQ56" s="53"/>
      <c r="HAR56" s="53"/>
      <c r="HAS56" s="53"/>
      <c r="HAT56" s="53"/>
      <c r="HAU56" s="53"/>
      <c r="HAV56" s="53"/>
      <c r="HAW56" s="53"/>
      <c r="HAX56" s="53"/>
      <c r="HAY56" s="53"/>
      <c r="HAZ56" s="53"/>
      <c r="HBA56" s="53"/>
      <c r="HBB56" s="53"/>
      <c r="HBC56" s="53"/>
      <c r="HBD56" s="53"/>
      <c r="HBE56" s="53"/>
      <c r="HBF56" s="53"/>
      <c r="HBG56" s="53"/>
      <c r="HBH56" s="53"/>
      <c r="HBI56" s="53"/>
      <c r="HBJ56" s="53"/>
      <c r="HBK56" s="53"/>
      <c r="HBL56" s="53"/>
      <c r="HBM56" s="53"/>
      <c r="HBN56" s="53"/>
      <c r="HBO56" s="53"/>
      <c r="HBP56" s="53"/>
      <c r="HBQ56" s="53"/>
      <c r="HBR56" s="53"/>
      <c r="HBS56" s="53"/>
      <c r="HBT56" s="53"/>
      <c r="HBU56" s="53"/>
      <c r="HBV56" s="53"/>
      <c r="HBW56" s="53"/>
      <c r="HBX56" s="53"/>
      <c r="HBY56" s="53"/>
      <c r="HBZ56" s="53"/>
      <c r="HCA56" s="53"/>
      <c r="HCB56" s="53"/>
      <c r="HCC56" s="53"/>
      <c r="HCD56" s="53"/>
      <c r="HCE56" s="53"/>
      <c r="HCF56" s="53"/>
      <c r="HCG56" s="53"/>
      <c r="HCH56" s="53"/>
      <c r="HCI56" s="53"/>
      <c r="HCJ56" s="53"/>
      <c r="HCK56" s="53"/>
      <c r="HCL56" s="53"/>
      <c r="HCM56" s="53"/>
      <c r="HCN56" s="53"/>
      <c r="HCO56" s="53"/>
      <c r="HCP56" s="53"/>
      <c r="HCQ56" s="53"/>
      <c r="HCR56" s="53"/>
      <c r="HCS56" s="53"/>
      <c r="HCT56" s="53"/>
      <c r="HCU56" s="53"/>
      <c r="HCV56" s="53"/>
      <c r="HCW56" s="53"/>
      <c r="HCX56" s="53"/>
      <c r="HCY56" s="53"/>
      <c r="HCZ56" s="53"/>
      <c r="HDA56" s="53"/>
      <c r="HDB56" s="53"/>
      <c r="HDC56" s="53"/>
      <c r="HDD56" s="53"/>
      <c r="HDE56" s="53"/>
      <c r="HDF56" s="53"/>
      <c r="HDG56" s="53"/>
      <c r="HDH56" s="53"/>
      <c r="HDI56" s="53"/>
      <c r="HDJ56" s="53"/>
      <c r="HDK56" s="53"/>
      <c r="HDL56" s="53"/>
      <c r="HDM56" s="53"/>
      <c r="HDN56" s="53"/>
      <c r="HDO56" s="53"/>
      <c r="HDP56" s="53"/>
      <c r="HDQ56" s="53"/>
      <c r="HDR56" s="53"/>
      <c r="HDS56" s="53"/>
      <c r="HDT56" s="53"/>
      <c r="HDU56" s="53"/>
      <c r="HDV56" s="53"/>
      <c r="HDW56" s="53"/>
      <c r="HDX56" s="53"/>
      <c r="HDY56" s="53"/>
      <c r="HDZ56" s="53"/>
      <c r="HEA56" s="53"/>
      <c r="HEB56" s="53"/>
      <c r="HEC56" s="53"/>
      <c r="HED56" s="53"/>
      <c r="HEE56" s="53"/>
      <c r="HEF56" s="53"/>
      <c r="HEG56" s="53"/>
      <c r="HEH56" s="53"/>
      <c r="HEI56" s="53"/>
      <c r="HEJ56" s="53"/>
      <c r="HEK56" s="53"/>
      <c r="HEL56" s="53"/>
      <c r="HEM56" s="53"/>
      <c r="HEN56" s="53"/>
      <c r="HEO56" s="53"/>
      <c r="HEP56" s="53"/>
      <c r="HEQ56" s="53"/>
      <c r="HER56" s="53"/>
      <c r="HES56" s="53"/>
      <c r="HET56" s="53"/>
      <c r="HEU56" s="53"/>
      <c r="HEV56" s="53"/>
      <c r="HEW56" s="53"/>
      <c r="HEX56" s="53"/>
      <c r="HEY56" s="53"/>
      <c r="HEZ56" s="53"/>
      <c r="HFA56" s="53"/>
      <c r="HFB56" s="53"/>
      <c r="HFC56" s="53"/>
      <c r="HFD56" s="53"/>
      <c r="HFE56" s="53"/>
      <c r="HFF56" s="53"/>
      <c r="HFG56" s="53"/>
      <c r="HFH56" s="53"/>
      <c r="HFI56" s="53"/>
      <c r="HFJ56" s="53"/>
      <c r="HFK56" s="53"/>
      <c r="HFL56" s="53"/>
      <c r="HFM56" s="53"/>
      <c r="HFN56" s="53"/>
      <c r="HFO56" s="53"/>
      <c r="HFP56" s="53"/>
      <c r="HFQ56" s="53"/>
      <c r="HFR56" s="53"/>
      <c r="HFS56" s="53"/>
      <c r="HFT56" s="53"/>
      <c r="HFU56" s="53"/>
      <c r="HFV56" s="53"/>
      <c r="HFW56" s="53"/>
      <c r="HFX56" s="53"/>
      <c r="HFY56" s="53"/>
      <c r="HFZ56" s="53"/>
      <c r="HGA56" s="53"/>
      <c r="HGB56" s="53"/>
      <c r="HGC56" s="53"/>
      <c r="HGD56" s="53"/>
      <c r="HGE56" s="53"/>
      <c r="HGF56" s="53"/>
      <c r="HGG56" s="53"/>
      <c r="HGH56" s="53"/>
      <c r="HGI56" s="53"/>
      <c r="HGJ56" s="53"/>
      <c r="HGK56" s="53"/>
      <c r="HGL56" s="53"/>
      <c r="HGM56" s="53"/>
      <c r="HGN56" s="53"/>
      <c r="HGO56" s="53"/>
      <c r="HGP56" s="53"/>
      <c r="HGQ56" s="53"/>
      <c r="HGR56" s="53"/>
      <c r="HGS56" s="53"/>
      <c r="HGT56" s="53"/>
      <c r="HGU56" s="53"/>
      <c r="HGV56" s="53"/>
      <c r="HGW56" s="53"/>
      <c r="HGX56" s="53"/>
      <c r="HGY56" s="53"/>
      <c r="HGZ56" s="53"/>
      <c r="HHA56" s="53"/>
      <c r="HHB56" s="53"/>
      <c r="HHC56" s="53"/>
      <c r="HHD56" s="53"/>
      <c r="HHE56" s="53"/>
      <c r="HHF56" s="53"/>
      <c r="HHG56" s="53"/>
      <c r="HHH56" s="53"/>
      <c r="HHI56" s="53"/>
      <c r="HHJ56" s="53"/>
      <c r="HHK56" s="53"/>
      <c r="HHL56" s="53"/>
      <c r="HHM56" s="53"/>
      <c r="HHN56" s="53"/>
      <c r="HHO56" s="53"/>
      <c r="HHP56" s="53"/>
      <c r="HHQ56" s="53"/>
      <c r="HHR56" s="53"/>
      <c r="HHS56" s="53"/>
      <c r="HHT56" s="53"/>
      <c r="HHU56" s="53"/>
      <c r="HHV56" s="53"/>
      <c r="HHW56" s="53"/>
      <c r="HHX56" s="53"/>
      <c r="HHY56" s="53"/>
      <c r="HHZ56" s="53"/>
      <c r="HIA56" s="53"/>
      <c r="HIB56" s="53"/>
      <c r="HIC56" s="53"/>
      <c r="HID56" s="53"/>
      <c r="HIE56" s="53"/>
      <c r="HIF56" s="53"/>
      <c r="HIG56" s="53"/>
      <c r="HIH56" s="53"/>
      <c r="HII56" s="53"/>
      <c r="HIJ56" s="53"/>
      <c r="HIK56" s="53"/>
      <c r="HIL56" s="53"/>
      <c r="HIM56" s="53"/>
      <c r="HIN56" s="53"/>
      <c r="HIO56" s="53"/>
      <c r="HIP56" s="53"/>
      <c r="HIQ56" s="53"/>
      <c r="HIR56" s="53"/>
      <c r="HIS56" s="53"/>
      <c r="HIT56" s="53"/>
      <c r="HIU56" s="53"/>
      <c r="HIV56" s="53"/>
      <c r="HIW56" s="53"/>
      <c r="HIX56" s="53"/>
      <c r="HIY56" s="53"/>
      <c r="HIZ56" s="53"/>
      <c r="HJA56" s="53"/>
      <c r="HJB56" s="53"/>
      <c r="HJC56" s="53"/>
      <c r="HJD56" s="53"/>
      <c r="HJE56" s="53"/>
      <c r="HJF56" s="53"/>
      <c r="HJG56" s="53"/>
      <c r="HJH56" s="53"/>
      <c r="HJI56" s="53"/>
      <c r="HJJ56" s="53"/>
      <c r="HJK56" s="53"/>
      <c r="HJL56" s="53"/>
      <c r="HJM56" s="53"/>
      <c r="HJN56" s="53"/>
      <c r="HJO56" s="53"/>
      <c r="HJP56" s="53"/>
      <c r="HJQ56" s="53"/>
      <c r="HJR56" s="53"/>
      <c r="HJS56" s="53"/>
      <c r="HJT56" s="53"/>
      <c r="HJU56" s="53"/>
      <c r="HJV56" s="53"/>
      <c r="HJW56" s="53"/>
      <c r="HJX56" s="53"/>
      <c r="HJY56" s="53"/>
      <c r="HJZ56" s="53"/>
      <c r="HKA56" s="53"/>
      <c r="HKB56" s="53"/>
      <c r="HKC56" s="53"/>
      <c r="HKD56" s="53"/>
      <c r="HKE56" s="53"/>
      <c r="HKF56" s="53"/>
      <c r="HKG56" s="53"/>
      <c r="HKH56" s="53"/>
      <c r="HKI56" s="53"/>
      <c r="HKJ56" s="53"/>
      <c r="HKK56" s="53"/>
      <c r="HKL56" s="53"/>
      <c r="HKM56" s="53"/>
      <c r="HKN56" s="53"/>
      <c r="HKO56" s="53"/>
      <c r="HKP56" s="53"/>
      <c r="HKQ56" s="53"/>
      <c r="HKR56" s="53"/>
      <c r="HKS56" s="53"/>
      <c r="HKT56" s="53"/>
      <c r="HKU56" s="53"/>
      <c r="HKV56" s="53"/>
      <c r="HKW56" s="53"/>
      <c r="HKX56" s="53"/>
      <c r="HKY56" s="53"/>
      <c r="HKZ56" s="53"/>
      <c r="HLA56" s="53"/>
      <c r="HLB56" s="53"/>
      <c r="HLC56" s="53"/>
      <c r="HLD56" s="53"/>
      <c r="HLE56" s="53"/>
      <c r="HLF56" s="53"/>
      <c r="HLG56" s="53"/>
      <c r="HLH56" s="53"/>
      <c r="HLI56" s="53"/>
      <c r="HLJ56" s="53"/>
      <c r="HLK56" s="53"/>
      <c r="HLL56" s="53"/>
      <c r="HLM56" s="53"/>
      <c r="HLN56" s="53"/>
      <c r="HLO56" s="53"/>
      <c r="HLP56" s="53"/>
      <c r="HLQ56" s="53"/>
      <c r="HLR56" s="53"/>
      <c r="HLS56" s="53"/>
      <c r="HLT56" s="53"/>
      <c r="HLU56" s="53"/>
      <c r="HLV56" s="53"/>
      <c r="HLW56" s="53"/>
      <c r="HLX56" s="53"/>
      <c r="HLY56" s="53"/>
      <c r="HLZ56" s="53"/>
      <c r="HMA56" s="53"/>
      <c r="HMB56" s="53"/>
      <c r="HMC56" s="53"/>
      <c r="HMD56" s="53"/>
      <c r="HME56" s="53"/>
      <c r="HMF56" s="53"/>
      <c r="HMG56" s="53"/>
      <c r="HMH56" s="53"/>
      <c r="HMI56" s="53"/>
      <c r="HMJ56" s="53"/>
      <c r="HMK56" s="53"/>
      <c r="HML56" s="53"/>
      <c r="HMM56" s="53"/>
      <c r="HMN56" s="53"/>
      <c r="HMO56" s="53"/>
      <c r="HMP56" s="53"/>
      <c r="HMQ56" s="53"/>
      <c r="HMR56" s="53"/>
      <c r="HMS56" s="53"/>
      <c r="HMT56" s="53"/>
      <c r="HMU56" s="53"/>
      <c r="HMV56" s="53"/>
      <c r="HMW56" s="53"/>
      <c r="HMX56" s="53"/>
      <c r="HMY56" s="53"/>
      <c r="HMZ56" s="53"/>
      <c r="HNA56" s="53"/>
      <c r="HNB56" s="53"/>
      <c r="HNC56" s="53"/>
      <c r="HND56" s="53"/>
      <c r="HNE56" s="53"/>
      <c r="HNF56" s="53"/>
      <c r="HNG56" s="53"/>
      <c r="HNH56" s="53"/>
      <c r="HNI56" s="53"/>
      <c r="HNJ56" s="53"/>
      <c r="HNK56" s="53"/>
      <c r="HNL56" s="53"/>
      <c r="HNM56" s="53"/>
      <c r="HNN56" s="53"/>
      <c r="HNO56" s="53"/>
      <c r="HNP56" s="53"/>
      <c r="HNQ56" s="53"/>
      <c r="HNR56" s="53"/>
      <c r="HNS56" s="53"/>
      <c r="HNT56" s="53"/>
      <c r="HNU56" s="53"/>
      <c r="HNV56" s="53"/>
      <c r="HNW56" s="53"/>
      <c r="HNX56" s="53"/>
      <c r="HNY56" s="53"/>
      <c r="HNZ56" s="53"/>
      <c r="HOA56" s="53"/>
      <c r="HOB56" s="53"/>
      <c r="HOC56" s="53"/>
      <c r="HOD56" s="53"/>
      <c r="HOE56" s="53"/>
      <c r="HOF56" s="53"/>
      <c r="HOG56" s="53"/>
      <c r="HOH56" s="53"/>
      <c r="HOI56" s="53"/>
      <c r="HOJ56" s="53"/>
      <c r="HOK56" s="53"/>
      <c r="HOL56" s="53"/>
      <c r="HOM56" s="53"/>
      <c r="HON56" s="53"/>
      <c r="HOO56" s="53"/>
      <c r="HOP56" s="53"/>
      <c r="HOQ56" s="53"/>
      <c r="HOR56" s="53"/>
      <c r="HOS56" s="53"/>
      <c r="HOT56" s="53"/>
      <c r="HOU56" s="53"/>
      <c r="HOV56" s="53"/>
      <c r="HOW56" s="53"/>
      <c r="HOX56" s="53"/>
      <c r="HOY56" s="53"/>
      <c r="HOZ56" s="53"/>
      <c r="HPA56" s="53"/>
      <c r="HPB56" s="53"/>
      <c r="HPC56" s="53"/>
      <c r="HPD56" s="53"/>
      <c r="HPE56" s="53"/>
      <c r="HPF56" s="53"/>
      <c r="HPG56" s="53"/>
      <c r="HPH56" s="53"/>
      <c r="HPI56" s="53"/>
      <c r="HPJ56" s="53"/>
      <c r="HPK56" s="53"/>
      <c r="HPL56" s="53"/>
      <c r="HPM56" s="53"/>
      <c r="HPN56" s="53"/>
      <c r="HPO56" s="53"/>
      <c r="HPP56" s="53"/>
      <c r="HPQ56" s="53"/>
      <c r="HPR56" s="53"/>
      <c r="HPS56" s="53"/>
      <c r="HPT56" s="53"/>
      <c r="HPU56" s="53"/>
      <c r="HPV56" s="53"/>
      <c r="HPW56" s="53"/>
      <c r="HPX56" s="53"/>
      <c r="HPY56" s="53"/>
      <c r="HPZ56" s="53"/>
      <c r="HQA56" s="53"/>
      <c r="HQB56" s="53"/>
      <c r="HQC56" s="53"/>
      <c r="HQD56" s="53"/>
      <c r="HQE56" s="53"/>
      <c r="HQF56" s="53"/>
      <c r="HQG56" s="53"/>
      <c r="HQH56" s="53"/>
      <c r="HQI56" s="53"/>
      <c r="HQJ56" s="53"/>
      <c r="HQK56" s="53"/>
      <c r="HQL56" s="53"/>
      <c r="HQM56" s="53"/>
      <c r="HQN56" s="53"/>
      <c r="HQO56" s="53"/>
      <c r="HQP56" s="53"/>
      <c r="HQQ56" s="53"/>
      <c r="HQR56" s="53"/>
      <c r="HQS56" s="53"/>
      <c r="HQT56" s="53"/>
      <c r="HQU56" s="53"/>
      <c r="HQV56" s="53"/>
      <c r="HQW56" s="53"/>
      <c r="HQX56" s="53"/>
      <c r="HQY56" s="53"/>
      <c r="HQZ56" s="53"/>
      <c r="HRA56" s="53"/>
      <c r="HRB56" s="53"/>
      <c r="HRC56" s="53"/>
      <c r="HRD56" s="53"/>
      <c r="HRE56" s="53"/>
      <c r="HRF56" s="53"/>
      <c r="HRG56" s="53"/>
      <c r="HRH56" s="53"/>
      <c r="HRI56" s="53"/>
      <c r="HRJ56" s="53"/>
      <c r="HRK56" s="53"/>
      <c r="HRL56" s="53"/>
      <c r="HRM56" s="53"/>
      <c r="HRN56" s="53"/>
      <c r="HRO56" s="53"/>
      <c r="HRP56" s="53"/>
      <c r="HRQ56" s="53"/>
      <c r="HRR56" s="53"/>
      <c r="HRS56" s="53"/>
      <c r="HRT56" s="53"/>
      <c r="HRU56" s="53"/>
      <c r="HRV56" s="53"/>
      <c r="HRW56" s="53"/>
      <c r="HRX56" s="53"/>
      <c r="HRY56" s="53"/>
      <c r="HRZ56" s="53"/>
      <c r="HSA56" s="53"/>
      <c r="HSB56" s="53"/>
      <c r="HSC56" s="53"/>
      <c r="HSD56" s="53"/>
      <c r="HSE56" s="53"/>
      <c r="HSF56" s="53"/>
      <c r="HSG56" s="53"/>
      <c r="HSH56" s="53"/>
      <c r="HSI56" s="53"/>
      <c r="HSJ56" s="53"/>
      <c r="HSK56" s="53"/>
      <c r="HSL56" s="53"/>
      <c r="HSM56" s="53"/>
      <c r="HSN56" s="53"/>
      <c r="HSO56" s="53"/>
      <c r="HSP56" s="53"/>
      <c r="HSQ56" s="53"/>
      <c r="HSR56" s="53"/>
      <c r="HSS56" s="53"/>
      <c r="HST56" s="53"/>
      <c r="HSU56" s="53"/>
      <c r="HSV56" s="53"/>
      <c r="HSW56" s="53"/>
      <c r="HSX56" s="53"/>
      <c r="HSY56" s="53"/>
      <c r="HSZ56" s="53"/>
      <c r="HTA56" s="53"/>
      <c r="HTB56" s="53"/>
      <c r="HTC56" s="53"/>
      <c r="HTD56" s="53"/>
      <c r="HTE56" s="53"/>
      <c r="HTF56" s="53"/>
      <c r="HTG56" s="53"/>
      <c r="HTH56" s="53"/>
      <c r="HTI56" s="53"/>
      <c r="HTJ56" s="53"/>
      <c r="HTK56" s="53"/>
      <c r="HTL56" s="53"/>
      <c r="HTM56" s="53"/>
      <c r="HTN56" s="53"/>
      <c r="HTO56" s="53"/>
      <c r="HTP56" s="53"/>
      <c r="HTQ56" s="53"/>
      <c r="HTR56" s="53"/>
      <c r="HTS56" s="53"/>
      <c r="HTT56" s="53"/>
      <c r="HTU56" s="53"/>
      <c r="HTV56" s="53"/>
      <c r="HTW56" s="53"/>
      <c r="HTX56" s="53"/>
      <c r="HTY56" s="53"/>
      <c r="HTZ56" s="53"/>
      <c r="HUA56" s="53"/>
      <c r="HUB56" s="53"/>
      <c r="HUC56" s="53"/>
      <c r="HUD56" s="53"/>
      <c r="HUE56" s="53"/>
      <c r="HUF56" s="53"/>
      <c r="HUG56" s="53"/>
      <c r="HUH56" s="53"/>
      <c r="HUI56" s="53"/>
      <c r="HUJ56" s="53"/>
      <c r="HUK56" s="53"/>
      <c r="HUL56" s="53"/>
      <c r="HUM56" s="53"/>
      <c r="HUN56" s="53"/>
      <c r="HUO56" s="53"/>
      <c r="HUP56" s="53"/>
      <c r="HUQ56" s="53"/>
      <c r="HUR56" s="53"/>
      <c r="HUS56" s="53"/>
      <c r="HUT56" s="53"/>
      <c r="HUU56" s="53"/>
      <c r="HUV56" s="53"/>
      <c r="HUW56" s="53"/>
      <c r="HUX56" s="53"/>
      <c r="HUY56" s="53"/>
      <c r="HUZ56" s="53"/>
      <c r="HVA56" s="53"/>
      <c r="HVB56" s="53"/>
      <c r="HVC56" s="53"/>
      <c r="HVD56" s="53"/>
      <c r="HVE56" s="53"/>
      <c r="HVF56" s="53"/>
      <c r="HVG56" s="53"/>
      <c r="HVH56" s="53"/>
      <c r="HVI56" s="53"/>
      <c r="HVJ56" s="53"/>
      <c r="HVK56" s="53"/>
      <c r="HVL56" s="53"/>
      <c r="HVM56" s="53"/>
      <c r="HVN56" s="53"/>
      <c r="HVO56" s="53"/>
      <c r="HVP56" s="53"/>
      <c r="HVQ56" s="53"/>
      <c r="HVR56" s="53"/>
      <c r="HVS56" s="53"/>
      <c r="HVT56" s="53"/>
      <c r="HVU56" s="53"/>
      <c r="HVV56" s="53"/>
      <c r="HVW56" s="53"/>
      <c r="HVX56" s="53"/>
      <c r="HVY56" s="53"/>
      <c r="HVZ56" s="53"/>
      <c r="HWA56" s="53"/>
      <c r="HWB56" s="53"/>
      <c r="HWC56" s="53"/>
      <c r="HWD56" s="53"/>
      <c r="HWE56" s="53"/>
      <c r="HWF56" s="53"/>
      <c r="HWG56" s="53"/>
      <c r="HWH56" s="53"/>
      <c r="HWI56" s="53"/>
      <c r="HWJ56" s="53"/>
      <c r="HWK56" s="53"/>
      <c r="HWL56" s="53"/>
      <c r="HWM56" s="53"/>
      <c r="HWN56" s="53"/>
      <c r="HWO56" s="53"/>
      <c r="HWP56" s="53"/>
      <c r="HWQ56" s="53"/>
      <c r="HWR56" s="53"/>
      <c r="HWS56" s="53"/>
      <c r="HWT56" s="53"/>
      <c r="HWU56" s="53"/>
      <c r="HWV56" s="53"/>
      <c r="HWW56" s="53"/>
      <c r="HWX56" s="53"/>
      <c r="HWY56" s="53"/>
      <c r="HWZ56" s="53"/>
      <c r="HXA56" s="53"/>
      <c r="HXB56" s="53"/>
      <c r="HXC56" s="53"/>
      <c r="HXD56" s="53"/>
      <c r="HXE56" s="53"/>
      <c r="HXF56" s="53"/>
      <c r="HXG56" s="53"/>
      <c r="HXH56" s="53"/>
      <c r="HXI56" s="53"/>
      <c r="HXJ56" s="53"/>
      <c r="HXK56" s="53"/>
      <c r="HXL56" s="53"/>
      <c r="HXM56" s="53"/>
      <c r="HXN56" s="53"/>
      <c r="HXO56" s="53"/>
      <c r="HXP56" s="53"/>
      <c r="HXQ56" s="53"/>
      <c r="HXR56" s="53"/>
      <c r="HXS56" s="53"/>
      <c r="HXT56" s="53"/>
      <c r="HXU56" s="53"/>
      <c r="HXV56" s="53"/>
      <c r="HXW56" s="53"/>
      <c r="HXX56" s="53"/>
      <c r="HXY56" s="53"/>
      <c r="HXZ56" s="53"/>
      <c r="HYA56" s="53"/>
      <c r="HYB56" s="53"/>
      <c r="HYC56" s="53"/>
      <c r="HYD56" s="53"/>
      <c r="HYE56" s="53"/>
      <c r="HYF56" s="53"/>
      <c r="HYG56" s="53"/>
      <c r="HYH56" s="53"/>
      <c r="HYI56" s="53"/>
      <c r="HYJ56" s="53"/>
      <c r="HYK56" s="53"/>
      <c r="HYL56" s="53"/>
      <c r="HYM56" s="53"/>
      <c r="HYN56" s="53"/>
      <c r="HYO56" s="53"/>
      <c r="HYP56" s="53"/>
      <c r="HYQ56" s="53"/>
      <c r="HYR56" s="53"/>
      <c r="HYS56" s="53"/>
      <c r="HYT56" s="53"/>
      <c r="HYU56" s="53"/>
      <c r="HYV56" s="53"/>
      <c r="HYW56" s="53"/>
      <c r="HYX56" s="53"/>
      <c r="HYY56" s="53"/>
      <c r="HYZ56" s="53"/>
      <c r="HZA56" s="53"/>
      <c r="HZB56" s="53"/>
      <c r="HZC56" s="53"/>
      <c r="HZD56" s="53"/>
      <c r="HZE56" s="53"/>
      <c r="HZF56" s="53"/>
      <c r="HZG56" s="53"/>
      <c r="HZH56" s="53"/>
      <c r="HZI56" s="53"/>
      <c r="HZJ56" s="53"/>
      <c r="HZK56" s="53"/>
      <c r="HZL56" s="53"/>
      <c r="HZM56" s="53"/>
      <c r="HZN56" s="53"/>
      <c r="HZO56" s="53"/>
      <c r="HZP56" s="53"/>
      <c r="HZQ56" s="53"/>
      <c r="HZR56" s="53"/>
      <c r="HZS56" s="53"/>
      <c r="HZT56" s="53"/>
      <c r="HZU56" s="53"/>
      <c r="HZV56" s="53"/>
      <c r="HZW56" s="53"/>
      <c r="HZX56" s="53"/>
      <c r="HZY56" s="53"/>
      <c r="HZZ56" s="53"/>
      <c r="IAA56" s="53"/>
      <c r="IAB56" s="53"/>
      <c r="IAC56" s="53"/>
      <c r="IAD56" s="53"/>
      <c r="IAE56" s="53"/>
      <c r="IAF56" s="53"/>
      <c r="IAG56" s="53"/>
      <c r="IAH56" s="53"/>
      <c r="IAI56" s="53"/>
      <c r="IAJ56" s="53"/>
      <c r="IAK56" s="53"/>
      <c r="IAL56" s="53"/>
      <c r="IAM56" s="53"/>
      <c r="IAN56" s="53"/>
      <c r="IAO56" s="53"/>
      <c r="IAP56" s="53"/>
      <c r="IAQ56" s="53"/>
      <c r="IAR56" s="53"/>
      <c r="IAS56" s="53"/>
      <c r="IAT56" s="53"/>
      <c r="IAU56" s="53"/>
      <c r="IAV56" s="53"/>
      <c r="IAW56" s="53"/>
      <c r="IAX56" s="53"/>
      <c r="IAY56" s="53"/>
      <c r="IAZ56" s="53"/>
      <c r="IBA56" s="53"/>
      <c r="IBB56" s="53"/>
      <c r="IBC56" s="53"/>
      <c r="IBD56" s="53"/>
      <c r="IBE56" s="53"/>
      <c r="IBF56" s="53"/>
      <c r="IBG56" s="53"/>
      <c r="IBH56" s="53"/>
      <c r="IBI56" s="53"/>
      <c r="IBJ56" s="53"/>
      <c r="IBK56" s="53"/>
      <c r="IBL56" s="53"/>
      <c r="IBM56" s="53"/>
      <c r="IBN56" s="53"/>
      <c r="IBO56" s="53"/>
      <c r="IBP56" s="53"/>
      <c r="IBQ56" s="53"/>
      <c r="IBR56" s="53"/>
      <c r="IBS56" s="53"/>
      <c r="IBT56" s="53"/>
      <c r="IBU56" s="53"/>
      <c r="IBV56" s="53"/>
      <c r="IBW56" s="53"/>
      <c r="IBX56" s="53"/>
      <c r="IBY56" s="53"/>
      <c r="IBZ56" s="53"/>
      <c r="ICA56" s="53"/>
      <c r="ICB56" s="53"/>
      <c r="ICC56" s="53"/>
      <c r="ICD56" s="53"/>
      <c r="ICE56" s="53"/>
      <c r="ICF56" s="53"/>
      <c r="ICG56" s="53"/>
      <c r="ICH56" s="53"/>
      <c r="ICI56" s="53"/>
      <c r="ICJ56" s="53"/>
      <c r="ICK56" s="53"/>
      <c r="ICL56" s="53"/>
      <c r="ICM56" s="53"/>
      <c r="ICN56" s="53"/>
      <c r="ICO56" s="53"/>
      <c r="ICP56" s="53"/>
      <c r="ICQ56" s="53"/>
      <c r="ICR56" s="53"/>
      <c r="ICS56" s="53"/>
      <c r="ICT56" s="53"/>
      <c r="ICU56" s="53"/>
      <c r="ICV56" s="53"/>
      <c r="ICW56" s="53"/>
      <c r="ICX56" s="53"/>
      <c r="ICY56" s="53"/>
      <c r="ICZ56" s="53"/>
      <c r="IDA56" s="53"/>
      <c r="IDB56" s="53"/>
      <c r="IDC56" s="53"/>
      <c r="IDD56" s="53"/>
      <c r="IDE56" s="53"/>
      <c r="IDF56" s="53"/>
      <c r="IDG56" s="53"/>
      <c r="IDH56" s="53"/>
      <c r="IDI56" s="53"/>
      <c r="IDJ56" s="53"/>
      <c r="IDK56" s="53"/>
      <c r="IDL56" s="53"/>
      <c r="IDM56" s="53"/>
      <c r="IDN56" s="53"/>
      <c r="IDO56" s="53"/>
      <c r="IDP56" s="53"/>
      <c r="IDQ56" s="53"/>
      <c r="IDR56" s="53"/>
      <c r="IDS56" s="53"/>
      <c r="IDT56" s="53"/>
      <c r="IDU56" s="53"/>
      <c r="IDV56" s="53"/>
      <c r="IDW56" s="53"/>
      <c r="IDX56" s="53"/>
      <c r="IDY56" s="53"/>
      <c r="IDZ56" s="53"/>
      <c r="IEA56" s="53"/>
      <c r="IEB56" s="53"/>
      <c r="IEC56" s="53"/>
      <c r="IED56" s="53"/>
      <c r="IEE56" s="53"/>
      <c r="IEF56" s="53"/>
      <c r="IEG56" s="53"/>
      <c r="IEH56" s="53"/>
      <c r="IEI56" s="53"/>
      <c r="IEJ56" s="53"/>
      <c r="IEK56" s="53"/>
      <c r="IEL56" s="53"/>
      <c r="IEM56" s="53"/>
      <c r="IEN56" s="53"/>
      <c r="IEO56" s="53"/>
      <c r="IEP56" s="53"/>
      <c r="IEQ56" s="53"/>
      <c r="IER56" s="53"/>
      <c r="IES56" s="53"/>
      <c r="IET56" s="53"/>
      <c r="IEU56" s="53"/>
      <c r="IEV56" s="53"/>
      <c r="IEW56" s="53"/>
      <c r="IEX56" s="53"/>
      <c r="IEY56" s="53"/>
      <c r="IEZ56" s="53"/>
      <c r="IFA56" s="53"/>
      <c r="IFB56" s="53"/>
      <c r="IFC56" s="53"/>
      <c r="IFD56" s="53"/>
      <c r="IFE56" s="53"/>
      <c r="IFF56" s="53"/>
      <c r="IFG56" s="53"/>
      <c r="IFH56" s="53"/>
      <c r="IFI56" s="53"/>
      <c r="IFJ56" s="53"/>
      <c r="IFK56" s="53"/>
      <c r="IFL56" s="53"/>
      <c r="IFM56" s="53"/>
      <c r="IFN56" s="53"/>
      <c r="IFO56" s="53"/>
      <c r="IFP56" s="53"/>
      <c r="IFQ56" s="53"/>
      <c r="IFR56" s="53"/>
      <c r="IFS56" s="53"/>
      <c r="IFT56" s="53"/>
      <c r="IFU56" s="53"/>
      <c r="IFV56" s="53"/>
      <c r="IFW56" s="53"/>
      <c r="IFX56" s="53"/>
      <c r="IFY56" s="53"/>
      <c r="IFZ56" s="53"/>
      <c r="IGA56" s="53"/>
      <c r="IGB56" s="53"/>
      <c r="IGC56" s="53"/>
      <c r="IGD56" s="53"/>
      <c r="IGE56" s="53"/>
      <c r="IGF56" s="53"/>
      <c r="IGG56" s="53"/>
      <c r="IGH56" s="53"/>
      <c r="IGI56" s="53"/>
      <c r="IGJ56" s="53"/>
      <c r="IGK56" s="53"/>
      <c r="IGL56" s="53"/>
      <c r="IGM56" s="53"/>
      <c r="IGN56" s="53"/>
      <c r="IGO56" s="53"/>
      <c r="IGP56" s="53"/>
      <c r="IGQ56" s="53"/>
      <c r="IGR56" s="53"/>
      <c r="IGS56" s="53"/>
      <c r="IGT56" s="53"/>
      <c r="IGU56" s="53"/>
      <c r="IGV56" s="53"/>
      <c r="IGW56" s="53"/>
      <c r="IGX56" s="53"/>
      <c r="IGY56" s="53"/>
      <c r="IGZ56" s="53"/>
      <c r="IHA56" s="53"/>
      <c r="IHB56" s="53"/>
      <c r="IHC56" s="53"/>
      <c r="IHD56" s="53"/>
      <c r="IHE56" s="53"/>
      <c r="IHF56" s="53"/>
      <c r="IHG56" s="53"/>
      <c r="IHH56" s="53"/>
      <c r="IHI56" s="53"/>
      <c r="IHJ56" s="53"/>
      <c r="IHK56" s="53"/>
      <c r="IHL56" s="53"/>
      <c r="IHM56" s="53"/>
      <c r="IHN56" s="53"/>
      <c r="IHO56" s="53"/>
      <c r="IHP56" s="53"/>
      <c r="IHQ56" s="53"/>
      <c r="IHR56" s="53"/>
      <c r="IHS56" s="53"/>
      <c r="IHT56" s="53"/>
      <c r="IHU56" s="53"/>
      <c r="IHV56" s="53"/>
      <c r="IHW56" s="53"/>
      <c r="IHX56" s="53"/>
      <c r="IHY56" s="53"/>
      <c r="IHZ56" s="53"/>
      <c r="IIA56" s="53"/>
      <c r="IIB56" s="53"/>
      <c r="IIC56" s="53"/>
      <c r="IID56" s="53"/>
      <c r="IIE56" s="53"/>
      <c r="IIF56" s="53"/>
      <c r="IIG56" s="53"/>
      <c r="IIH56" s="53"/>
      <c r="III56" s="53"/>
      <c r="IIJ56" s="53"/>
      <c r="IIK56" s="53"/>
      <c r="IIL56" s="53"/>
      <c r="IIM56" s="53"/>
      <c r="IIN56" s="53"/>
      <c r="IIO56" s="53"/>
      <c r="IIP56" s="53"/>
      <c r="IIQ56" s="53"/>
      <c r="IIR56" s="53"/>
      <c r="IIS56" s="53"/>
      <c r="IIT56" s="53"/>
      <c r="IIU56" s="53"/>
      <c r="IIV56" s="53"/>
      <c r="IIW56" s="53"/>
      <c r="IIX56" s="53"/>
      <c r="IIY56" s="53"/>
      <c r="IIZ56" s="53"/>
      <c r="IJA56" s="53"/>
      <c r="IJB56" s="53"/>
      <c r="IJC56" s="53"/>
      <c r="IJD56" s="53"/>
      <c r="IJE56" s="53"/>
      <c r="IJF56" s="53"/>
      <c r="IJG56" s="53"/>
      <c r="IJH56" s="53"/>
      <c r="IJI56" s="53"/>
      <c r="IJJ56" s="53"/>
      <c r="IJK56" s="53"/>
      <c r="IJL56" s="53"/>
      <c r="IJM56" s="53"/>
      <c r="IJN56" s="53"/>
      <c r="IJO56" s="53"/>
      <c r="IJP56" s="53"/>
      <c r="IJQ56" s="53"/>
      <c r="IJR56" s="53"/>
      <c r="IJS56" s="53"/>
      <c r="IJT56" s="53"/>
      <c r="IJU56" s="53"/>
      <c r="IJV56" s="53"/>
      <c r="IJW56" s="53"/>
      <c r="IJX56" s="53"/>
      <c r="IJY56" s="53"/>
      <c r="IJZ56" s="53"/>
      <c r="IKA56" s="53"/>
      <c r="IKB56" s="53"/>
      <c r="IKC56" s="53"/>
      <c r="IKD56" s="53"/>
      <c r="IKE56" s="53"/>
      <c r="IKF56" s="53"/>
      <c r="IKG56" s="53"/>
      <c r="IKH56" s="53"/>
      <c r="IKI56" s="53"/>
      <c r="IKJ56" s="53"/>
      <c r="IKK56" s="53"/>
      <c r="IKL56" s="53"/>
      <c r="IKM56" s="53"/>
      <c r="IKN56" s="53"/>
      <c r="IKO56" s="53"/>
      <c r="IKP56" s="53"/>
      <c r="IKQ56" s="53"/>
      <c r="IKR56" s="53"/>
      <c r="IKS56" s="53"/>
      <c r="IKT56" s="53"/>
      <c r="IKU56" s="53"/>
      <c r="IKV56" s="53"/>
      <c r="IKW56" s="53"/>
      <c r="IKX56" s="53"/>
      <c r="IKY56" s="53"/>
      <c r="IKZ56" s="53"/>
      <c r="ILA56" s="53"/>
      <c r="ILB56" s="53"/>
      <c r="ILC56" s="53"/>
      <c r="ILD56" s="53"/>
      <c r="ILE56" s="53"/>
      <c r="ILF56" s="53"/>
      <c r="ILG56" s="53"/>
      <c r="ILH56" s="53"/>
      <c r="ILI56" s="53"/>
      <c r="ILJ56" s="53"/>
      <c r="ILK56" s="53"/>
      <c r="ILL56" s="53"/>
      <c r="ILM56" s="53"/>
      <c r="ILN56" s="53"/>
      <c r="ILO56" s="53"/>
      <c r="ILP56" s="53"/>
      <c r="ILQ56" s="53"/>
      <c r="ILR56" s="53"/>
      <c r="ILS56" s="53"/>
      <c r="ILT56" s="53"/>
      <c r="ILU56" s="53"/>
      <c r="ILV56" s="53"/>
      <c r="ILW56" s="53"/>
      <c r="ILX56" s="53"/>
      <c r="ILY56" s="53"/>
      <c r="ILZ56" s="53"/>
      <c r="IMA56" s="53"/>
      <c r="IMB56" s="53"/>
      <c r="IMC56" s="53"/>
      <c r="IMD56" s="53"/>
      <c r="IME56" s="53"/>
      <c r="IMF56" s="53"/>
      <c r="IMG56" s="53"/>
      <c r="IMH56" s="53"/>
      <c r="IMI56" s="53"/>
      <c r="IMJ56" s="53"/>
      <c r="IMK56" s="53"/>
      <c r="IML56" s="53"/>
      <c r="IMM56" s="53"/>
      <c r="IMN56" s="53"/>
      <c r="IMO56" s="53"/>
      <c r="IMP56" s="53"/>
      <c r="IMQ56" s="53"/>
      <c r="IMR56" s="53"/>
      <c r="IMS56" s="53"/>
      <c r="IMT56" s="53"/>
      <c r="IMU56" s="53"/>
      <c r="IMV56" s="53"/>
      <c r="IMW56" s="53"/>
      <c r="IMX56" s="53"/>
      <c r="IMY56" s="53"/>
      <c r="IMZ56" s="53"/>
      <c r="INA56" s="53"/>
      <c r="INB56" s="53"/>
      <c r="INC56" s="53"/>
      <c r="IND56" s="53"/>
      <c r="INE56" s="53"/>
      <c r="INF56" s="53"/>
      <c r="ING56" s="53"/>
      <c r="INH56" s="53"/>
      <c r="INI56" s="53"/>
      <c r="INJ56" s="53"/>
      <c r="INK56" s="53"/>
      <c r="INL56" s="53"/>
      <c r="INM56" s="53"/>
      <c r="INN56" s="53"/>
      <c r="INO56" s="53"/>
      <c r="INP56" s="53"/>
      <c r="INQ56" s="53"/>
      <c r="INR56" s="53"/>
      <c r="INS56" s="53"/>
      <c r="INT56" s="53"/>
      <c r="INU56" s="53"/>
      <c r="INV56" s="53"/>
      <c r="INW56" s="53"/>
      <c r="INX56" s="53"/>
      <c r="INY56" s="53"/>
      <c r="INZ56" s="53"/>
      <c r="IOA56" s="53"/>
      <c r="IOB56" s="53"/>
      <c r="IOC56" s="53"/>
      <c r="IOD56" s="53"/>
      <c r="IOE56" s="53"/>
      <c r="IOF56" s="53"/>
      <c r="IOG56" s="53"/>
      <c r="IOH56" s="53"/>
      <c r="IOI56" s="53"/>
      <c r="IOJ56" s="53"/>
      <c r="IOK56" s="53"/>
      <c r="IOL56" s="53"/>
      <c r="IOM56" s="53"/>
      <c r="ION56" s="53"/>
      <c r="IOO56" s="53"/>
      <c r="IOP56" s="53"/>
      <c r="IOQ56" s="53"/>
      <c r="IOR56" s="53"/>
      <c r="IOS56" s="53"/>
      <c r="IOT56" s="53"/>
      <c r="IOU56" s="53"/>
      <c r="IOV56" s="53"/>
      <c r="IOW56" s="53"/>
      <c r="IOX56" s="53"/>
      <c r="IOY56" s="53"/>
      <c r="IOZ56" s="53"/>
      <c r="IPA56" s="53"/>
      <c r="IPB56" s="53"/>
      <c r="IPC56" s="53"/>
      <c r="IPD56" s="53"/>
      <c r="IPE56" s="53"/>
      <c r="IPF56" s="53"/>
      <c r="IPG56" s="53"/>
      <c r="IPH56" s="53"/>
      <c r="IPI56" s="53"/>
      <c r="IPJ56" s="53"/>
      <c r="IPK56" s="53"/>
      <c r="IPL56" s="53"/>
      <c r="IPM56" s="53"/>
      <c r="IPN56" s="53"/>
      <c r="IPO56" s="53"/>
      <c r="IPP56" s="53"/>
      <c r="IPQ56" s="53"/>
      <c r="IPR56" s="53"/>
      <c r="IPS56" s="53"/>
      <c r="IPT56" s="53"/>
      <c r="IPU56" s="53"/>
      <c r="IPV56" s="53"/>
      <c r="IPW56" s="53"/>
      <c r="IPX56" s="53"/>
      <c r="IPY56" s="53"/>
      <c r="IPZ56" s="53"/>
      <c r="IQA56" s="53"/>
      <c r="IQB56" s="53"/>
      <c r="IQC56" s="53"/>
      <c r="IQD56" s="53"/>
      <c r="IQE56" s="53"/>
      <c r="IQF56" s="53"/>
      <c r="IQG56" s="53"/>
      <c r="IQH56" s="53"/>
      <c r="IQI56" s="53"/>
      <c r="IQJ56" s="53"/>
      <c r="IQK56" s="53"/>
      <c r="IQL56" s="53"/>
      <c r="IQM56" s="53"/>
      <c r="IQN56" s="53"/>
      <c r="IQO56" s="53"/>
      <c r="IQP56" s="53"/>
      <c r="IQQ56" s="53"/>
      <c r="IQR56" s="53"/>
      <c r="IQS56" s="53"/>
      <c r="IQT56" s="53"/>
      <c r="IQU56" s="53"/>
      <c r="IQV56" s="53"/>
      <c r="IQW56" s="53"/>
      <c r="IQX56" s="53"/>
      <c r="IQY56" s="53"/>
      <c r="IQZ56" s="53"/>
      <c r="IRA56" s="53"/>
      <c r="IRB56" s="53"/>
      <c r="IRC56" s="53"/>
      <c r="IRD56" s="53"/>
      <c r="IRE56" s="53"/>
      <c r="IRF56" s="53"/>
      <c r="IRG56" s="53"/>
      <c r="IRH56" s="53"/>
      <c r="IRI56" s="53"/>
      <c r="IRJ56" s="53"/>
      <c r="IRK56" s="53"/>
      <c r="IRL56" s="53"/>
      <c r="IRM56" s="53"/>
      <c r="IRN56" s="53"/>
      <c r="IRO56" s="53"/>
      <c r="IRP56" s="53"/>
      <c r="IRQ56" s="53"/>
      <c r="IRR56" s="53"/>
      <c r="IRS56" s="53"/>
      <c r="IRT56" s="53"/>
      <c r="IRU56" s="53"/>
      <c r="IRV56" s="53"/>
      <c r="IRW56" s="53"/>
      <c r="IRX56" s="53"/>
      <c r="IRY56" s="53"/>
      <c r="IRZ56" s="53"/>
      <c r="ISA56" s="53"/>
      <c r="ISB56" s="53"/>
      <c r="ISC56" s="53"/>
      <c r="ISD56" s="53"/>
      <c r="ISE56" s="53"/>
      <c r="ISF56" s="53"/>
      <c r="ISG56" s="53"/>
      <c r="ISH56" s="53"/>
      <c r="ISI56" s="53"/>
      <c r="ISJ56" s="53"/>
      <c r="ISK56" s="53"/>
      <c r="ISL56" s="53"/>
      <c r="ISM56" s="53"/>
      <c r="ISN56" s="53"/>
      <c r="ISO56" s="53"/>
      <c r="ISP56" s="53"/>
      <c r="ISQ56" s="53"/>
      <c r="ISR56" s="53"/>
      <c r="ISS56" s="53"/>
      <c r="IST56" s="53"/>
      <c r="ISU56" s="53"/>
      <c r="ISV56" s="53"/>
      <c r="ISW56" s="53"/>
      <c r="ISX56" s="53"/>
      <c r="ISY56" s="53"/>
      <c r="ISZ56" s="53"/>
      <c r="ITA56" s="53"/>
      <c r="ITB56" s="53"/>
      <c r="ITC56" s="53"/>
      <c r="ITD56" s="53"/>
      <c r="ITE56" s="53"/>
      <c r="ITF56" s="53"/>
      <c r="ITG56" s="53"/>
      <c r="ITH56" s="53"/>
      <c r="ITI56" s="53"/>
      <c r="ITJ56" s="53"/>
      <c r="ITK56" s="53"/>
      <c r="ITL56" s="53"/>
      <c r="ITM56" s="53"/>
      <c r="ITN56" s="53"/>
      <c r="ITO56" s="53"/>
      <c r="ITP56" s="53"/>
      <c r="ITQ56" s="53"/>
      <c r="ITR56" s="53"/>
      <c r="ITS56" s="53"/>
      <c r="ITT56" s="53"/>
      <c r="ITU56" s="53"/>
      <c r="ITV56" s="53"/>
      <c r="ITW56" s="53"/>
      <c r="ITX56" s="53"/>
      <c r="ITY56" s="53"/>
      <c r="ITZ56" s="53"/>
      <c r="IUA56" s="53"/>
      <c r="IUB56" s="53"/>
      <c r="IUC56" s="53"/>
      <c r="IUD56" s="53"/>
      <c r="IUE56" s="53"/>
      <c r="IUF56" s="53"/>
      <c r="IUG56" s="53"/>
      <c r="IUH56" s="53"/>
      <c r="IUI56" s="53"/>
      <c r="IUJ56" s="53"/>
      <c r="IUK56" s="53"/>
      <c r="IUL56" s="53"/>
      <c r="IUM56" s="53"/>
      <c r="IUN56" s="53"/>
      <c r="IUO56" s="53"/>
      <c r="IUP56" s="53"/>
      <c r="IUQ56" s="53"/>
      <c r="IUR56" s="53"/>
      <c r="IUS56" s="53"/>
      <c r="IUT56" s="53"/>
      <c r="IUU56" s="53"/>
      <c r="IUV56" s="53"/>
      <c r="IUW56" s="53"/>
      <c r="IUX56" s="53"/>
      <c r="IUY56" s="53"/>
      <c r="IUZ56" s="53"/>
      <c r="IVA56" s="53"/>
      <c r="IVB56" s="53"/>
      <c r="IVC56" s="53"/>
      <c r="IVD56" s="53"/>
      <c r="IVE56" s="53"/>
      <c r="IVF56" s="53"/>
      <c r="IVG56" s="53"/>
      <c r="IVH56" s="53"/>
      <c r="IVI56" s="53"/>
      <c r="IVJ56" s="53"/>
      <c r="IVK56" s="53"/>
      <c r="IVL56" s="53"/>
      <c r="IVM56" s="53"/>
      <c r="IVN56" s="53"/>
      <c r="IVO56" s="53"/>
      <c r="IVP56" s="53"/>
      <c r="IVQ56" s="53"/>
      <c r="IVR56" s="53"/>
      <c r="IVS56" s="53"/>
      <c r="IVT56" s="53"/>
      <c r="IVU56" s="53"/>
      <c r="IVV56" s="53"/>
      <c r="IVW56" s="53"/>
      <c r="IVX56" s="53"/>
      <c r="IVY56" s="53"/>
      <c r="IVZ56" s="53"/>
      <c r="IWA56" s="53"/>
      <c r="IWB56" s="53"/>
      <c r="IWC56" s="53"/>
      <c r="IWD56" s="53"/>
      <c r="IWE56" s="53"/>
      <c r="IWF56" s="53"/>
      <c r="IWG56" s="53"/>
      <c r="IWH56" s="53"/>
      <c r="IWI56" s="53"/>
      <c r="IWJ56" s="53"/>
      <c r="IWK56" s="53"/>
      <c r="IWL56" s="53"/>
      <c r="IWM56" s="53"/>
      <c r="IWN56" s="53"/>
      <c r="IWO56" s="53"/>
      <c r="IWP56" s="53"/>
      <c r="IWQ56" s="53"/>
      <c r="IWR56" s="53"/>
      <c r="IWS56" s="53"/>
      <c r="IWT56" s="53"/>
      <c r="IWU56" s="53"/>
      <c r="IWV56" s="53"/>
      <c r="IWW56" s="53"/>
      <c r="IWX56" s="53"/>
      <c r="IWY56" s="53"/>
      <c r="IWZ56" s="53"/>
      <c r="IXA56" s="53"/>
      <c r="IXB56" s="53"/>
      <c r="IXC56" s="53"/>
      <c r="IXD56" s="53"/>
      <c r="IXE56" s="53"/>
      <c r="IXF56" s="53"/>
      <c r="IXG56" s="53"/>
      <c r="IXH56" s="53"/>
      <c r="IXI56" s="53"/>
      <c r="IXJ56" s="53"/>
      <c r="IXK56" s="53"/>
      <c r="IXL56" s="53"/>
      <c r="IXM56" s="53"/>
      <c r="IXN56" s="53"/>
      <c r="IXO56" s="53"/>
      <c r="IXP56" s="53"/>
      <c r="IXQ56" s="53"/>
      <c r="IXR56" s="53"/>
      <c r="IXS56" s="53"/>
      <c r="IXT56" s="53"/>
      <c r="IXU56" s="53"/>
      <c r="IXV56" s="53"/>
      <c r="IXW56" s="53"/>
      <c r="IXX56" s="53"/>
      <c r="IXY56" s="53"/>
      <c r="IXZ56" s="53"/>
      <c r="IYA56" s="53"/>
      <c r="IYB56" s="53"/>
      <c r="IYC56" s="53"/>
      <c r="IYD56" s="53"/>
      <c r="IYE56" s="53"/>
      <c r="IYF56" s="53"/>
      <c r="IYG56" s="53"/>
      <c r="IYH56" s="53"/>
      <c r="IYI56" s="53"/>
      <c r="IYJ56" s="53"/>
      <c r="IYK56" s="53"/>
      <c r="IYL56" s="53"/>
      <c r="IYM56" s="53"/>
      <c r="IYN56" s="53"/>
      <c r="IYO56" s="53"/>
      <c r="IYP56" s="53"/>
      <c r="IYQ56" s="53"/>
      <c r="IYR56" s="53"/>
      <c r="IYS56" s="53"/>
      <c r="IYT56" s="53"/>
      <c r="IYU56" s="53"/>
      <c r="IYV56" s="53"/>
      <c r="IYW56" s="53"/>
      <c r="IYX56" s="53"/>
      <c r="IYY56" s="53"/>
      <c r="IYZ56" s="53"/>
      <c r="IZA56" s="53"/>
      <c r="IZB56" s="53"/>
      <c r="IZC56" s="53"/>
      <c r="IZD56" s="53"/>
      <c r="IZE56" s="53"/>
      <c r="IZF56" s="53"/>
      <c r="IZG56" s="53"/>
      <c r="IZH56" s="53"/>
      <c r="IZI56" s="53"/>
      <c r="IZJ56" s="53"/>
      <c r="IZK56" s="53"/>
      <c r="IZL56" s="53"/>
      <c r="IZM56" s="53"/>
      <c r="IZN56" s="53"/>
      <c r="IZO56" s="53"/>
      <c r="IZP56" s="53"/>
      <c r="IZQ56" s="53"/>
      <c r="IZR56" s="53"/>
      <c r="IZS56" s="53"/>
      <c r="IZT56" s="53"/>
      <c r="IZU56" s="53"/>
      <c r="IZV56" s="53"/>
      <c r="IZW56" s="53"/>
      <c r="IZX56" s="53"/>
      <c r="IZY56" s="53"/>
      <c r="IZZ56" s="53"/>
      <c r="JAA56" s="53"/>
      <c r="JAB56" s="53"/>
      <c r="JAC56" s="53"/>
      <c r="JAD56" s="53"/>
      <c r="JAE56" s="53"/>
      <c r="JAF56" s="53"/>
      <c r="JAG56" s="53"/>
      <c r="JAH56" s="53"/>
      <c r="JAI56" s="53"/>
      <c r="JAJ56" s="53"/>
      <c r="JAK56" s="53"/>
      <c r="JAL56" s="53"/>
      <c r="JAM56" s="53"/>
      <c r="JAN56" s="53"/>
      <c r="JAO56" s="53"/>
      <c r="JAP56" s="53"/>
      <c r="JAQ56" s="53"/>
      <c r="JAR56" s="53"/>
      <c r="JAS56" s="53"/>
      <c r="JAT56" s="53"/>
      <c r="JAU56" s="53"/>
      <c r="JAV56" s="53"/>
      <c r="JAW56" s="53"/>
      <c r="JAX56" s="53"/>
      <c r="JAY56" s="53"/>
      <c r="JAZ56" s="53"/>
      <c r="JBA56" s="53"/>
      <c r="JBB56" s="53"/>
      <c r="JBC56" s="53"/>
      <c r="JBD56" s="53"/>
      <c r="JBE56" s="53"/>
      <c r="JBF56" s="53"/>
      <c r="JBG56" s="53"/>
      <c r="JBH56" s="53"/>
      <c r="JBI56" s="53"/>
      <c r="JBJ56" s="53"/>
      <c r="JBK56" s="53"/>
      <c r="JBL56" s="53"/>
      <c r="JBM56" s="53"/>
      <c r="JBN56" s="53"/>
      <c r="JBO56" s="53"/>
      <c r="JBP56" s="53"/>
      <c r="JBQ56" s="53"/>
      <c r="JBR56" s="53"/>
      <c r="JBS56" s="53"/>
      <c r="JBT56" s="53"/>
      <c r="JBU56" s="53"/>
      <c r="JBV56" s="53"/>
      <c r="JBW56" s="53"/>
      <c r="JBX56" s="53"/>
      <c r="JBY56" s="53"/>
      <c r="JBZ56" s="53"/>
      <c r="JCA56" s="53"/>
      <c r="JCB56" s="53"/>
      <c r="JCC56" s="53"/>
      <c r="JCD56" s="53"/>
      <c r="JCE56" s="53"/>
      <c r="JCF56" s="53"/>
      <c r="JCG56" s="53"/>
      <c r="JCH56" s="53"/>
      <c r="JCI56" s="53"/>
      <c r="JCJ56" s="53"/>
      <c r="JCK56" s="53"/>
      <c r="JCL56" s="53"/>
      <c r="JCM56" s="53"/>
      <c r="JCN56" s="53"/>
      <c r="JCO56" s="53"/>
      <c r="JCP56" s="53"/>
      <c r="JCQ56" s="53"/>
      <c r="JCR56" s="53"/>
      <c r="JCS56" s="53"/>
      <c r="JCT56" s="53"/>
      <c r="JCU56" s="53"/>
      <c r="JCV56" s="53"/>
      <c r="JCW56" s="53"/>
      <c r="JCX56" s="53"/>
      <c r="JCY56" s="53"/>
      <c r="JCZ56" s="53"/>
      <c r="JDA56" s="53"/>
      <c r="JDB56" s="53"/>
      <c r="JDC56" s="53"/>
      <c r="JDD56" s="53"/>
      <c r="JDE56" s="53"/>
      <c r="JDF56" s="53"/>
      <c r="JDG56" s="53"/>
      <c r="JDH56" s="53"/>
      <c r="JDI56" s="53"/>
      <c r="JDJ56" s="53"/>
      <c r="JDK56" s="53"/>
      <c r="JDL56" s="53"/>
      <c r="JDM56" s="53"/>
      <c r="JDN56" s="53"/>
      <c r="JDO56" s="53"/>
      <c r="JDP56" s="53"/>
      <c r="JDQ56" s="53"/>
      <c r="JDR56" s="53"/>
      <c r="JDS56" s="53"/>
      <c r="JDT56" s="53"/>
      <c r="JDU56" s="53"/>
      <c r="JDV56" s="53"/>
      <c r="JDW56" s="53"/>
      <c r="JDX56" s="53"/>
      <c r="JDY56" s="53"/>
      <c r="JDZ56" s="53"/>
      <c r="JEA56" s="53"/>
      <c r="JEB56" s="53"/>
      <c r="JEC56" s="53"/>
      <c r="JED56" s="53"/>
      <c r="JEE56" s="53"/>
      <c r="JEF56" s="53"/>
      <c r="JEG56" s="53"/>
      <c r="JEH56" s="53"/>
      <c r="JEI56" s="53"/>
      <c r="JEJ56" s="53"/>
      <c r="JEK56" s="53"/>
      <c r="JEL56" s="53"/>
      <c r="JEM56" s="53"/>
      <c r="JEN56" s="53"/>
      <c r="JEO56" s="53"/>
      <c r="JEP56" s="53"/>
      <c r="JEQ56" s="53"/>
      <c r="JER56" s="53"/>
      <c r="JES56" s="53"/>
      <c r="JET56" s="53"/>
      <c r="JEU56" s="53"/>
      <c r="JEV56" s="53"/>
      <c r="JEW56" s="53"/>
      <c r="JEX56" s="53"/>
      <c r="JEY56" s="53"/>
      <c r="JEZ56" s="53"/>
      <c r="JFA56" s="53"/>
      <c r="JFB56" s="53"/>
      <c r="JFC56" s="53"/>
      <c r="JFD56" s="53"/>
      <c r="JFE56" s="53"/>
      <c r="JFF56" s="53"/>
      <c r="JFG56" s="53"/>
      <c r="JFH56" s="53"/>
      <c r="JFI56" s="53"/>
      <c r="JFJ56" s="53"/>
      <c r="JFK56" s="53"/>
      <c r="JFL56" s="53"/>
      <c r="JFM56" s="53"/>
      <c r="JFN56" s="53"/>
      <c r="JFO56" s="53"/>
      <c r="JFP56" s="53"/>
      <c r="JFQ56" s="53"/>
      <c r="JFR56" s="53"/>
      <c r="JFS56" s="53"/>
      <c r="JFT56" s="53"/>
      <c r="JFU56" s="53"/>
      <c r="JFV56" s="53"/>
      <c r="JFW56" s="53"/>
      <c r="JFX56" s="53"/>
      <c r="JFY56" s="53"/>
      <c r="JFZ56" s="53"/>
      <c r="JGA56" s="53"/>
      <c r="JGB56" s="53"/>
      <c r="JGC56" s="53"/>
      <c r="JGD56" s="53"/>
      <c r="JGE56" s="53"/>
      <c r="JGF56" s="53"/>
      <c r="JGG56" s="53"/>
      <c r="JGH56" s="53"/>
      <c r="JGI56" s="53"/>
      <c r="JGJ56" s="53"/>
      <c r="JGK56" s="53"/>
      <c r="JGL56" s="53"/>
      <c r="JGM56" s="53"/>
      <c r="JGN56" s="53"/>
      <c r="JGO56" s="53"/>
      <c r="JGP56" s="53"/>
      <c r="JGQ56" s="53"/>
      <c r="JGR56" s="53"/>
      <c r="JGS56" s="53"/>
      <c r="JGT56" s="53"/>
      <c r="JGU56" s="53"/>
      <c r="JGV56" s="53"/>
      <c r="JGW56" s="53"/>
      <c r="JGX56" s="53"/>
      <c r="JGY56" s="53"/>
      <c r="JGZ56" s="53"/>
      <c r="JHA56" s="53"/>
      <c r="JHB56" s="53"/>
      <c r="JHC56" s="53"/>
      <c r="JHD56" s="53"/>
      <c r="JHE56" s="53"/>
      <c r="JHF56" s="53"/>
      <c r="JHG56" s="53"/>
      <c r="JHH56" s="53"/>
      <c r="JHI56" s="53"/>
      <c r="JHJ56" s="53"/>
      <c r="JHK56" s="53"/>
      <c r="JHL56" s="53"/>
      <c r="JHM56" s="53"/>
      <c r="JHN56" s="53"/>
      <c r="JHO56" s="53"/>
      <c r="JHP56" s="53"/>
      <c r="JHQ56" s="53"/>
      <c r="JHR56" s="53"/>
      <c r="JHS56" s="53"/>
      <c r="JHT56" s="53"/>
      <c r="JHU56" s="53"/>
      <c r="JHV56" s="53"/>
      <c r="JHW56" s="53"/>
      <c r="JHX56" s="53"/>
      <c r="JHY56" s="53"/>
      <c r="JHZ56" s="53"/>
      <c r="JIA56" s="53"/>
      <c r="JIB56" s="53"/>
      <c r="JIC56" s="53"/>
      <c r="JID56" s="53"/>
      <c r="JIE56" s="53"/>
      <c r="JIF56" s="53"/>
      <c r="JIG56" s="53"/>
      <c r="JIH56" s="53"/>
      <c r="JII56" s="53"/>
      <c r="JIJ56" s="53"/>
      <c r="JIK56" s="53"/>
      <c r="JIL56" s="53"/>
      <c r="JIM56" s="53"/>
      <c r="JIN56" s="53"/>
      <c r="JIO56" s="53"/>
      <c r="JIP56" s="53"/>
      <c r="JIQ56" s="53"/>
      <c r="JIR56" s="53"/>
      <c r="JIS56" s="53"/>
      <c r="JIT56" s="53"/>
      <c r="JIU56" s="53"/>
      <c r="JIV56" s="53"/>
      <c r="JIW56" s="53"/>
      <c r="JIX56" s="53"/>
      <c r="JIY56" s="53"/>
      <c r="JIZ56" s="53"/>
      <c r="JJA56" s="53"/>
      <c r="JJB56" s="53"/>
      <c r="JJC56" s="53"/>
      <c r="JJD56" s="53"/>
      <c r="JJE56" s="53"/>
      <c r="JJF56" s="53"/>
      <c r="JJG56" s="53"/>
      <c r="JJH56" s="53"/>
      <c r="JJI56" s="53"/>
      <c r="JJJ56" s="53"/>
      <c r="JJK56" s="53"/>
      <c r="JJL56" s="53"/>
      <c r="JJM56" s="53"/>
      <c r="JJN56" s="53"/>
      <c r="JJO56" s="53"/>
      <c r="JJP56" s="53"/>
      <c r="JJQ56" s="53"/>
      <c r="JJR56" s="53"/>
      <c r="JJS56" s="53"/>
      <c r="JJT56" s="53"/>
      <c r="JJU56" s="53"/>
      <c r="JJV56" s="53"/>
      <c r="JJW56" s="53"/>
      <c r="JJX56" s="53"/>
      <c r="JJY56" s="53"/>
      <c r="JJZ56" s="53"/>
      <c r="JKA56" s="53"/>
      <c r="JKB56" s="53"/>
      <c r="JKC56" s="53"/>
      <c r="JKD56" s="53"/>
      <c r="JKE56" s="53"/>
      <c r="JKF56" s="53"/>
      <c r="JKG56" s="53"/>
      <c r="JKH56" s="53"/>
      <c r="JKI56" s="53"/>
      <c r="JKJ56" s="53"/>
      <c r="JKK56" s="53"/>
      <c r="JKL56" s="53"/>
      <c r="JKM56" s="53"/>
      <c r="JKN56" s="53"/>
      <c r="JKO56" s="53"/>
      <c r="JKP56" s="53"/>
      <c r="JKQ56" s="53"/>
      <c r="JKR56" s="53"/>
      <c r="JKS56" s="53"/>
      <c r="JKT56" s="53"/>
      <c r="JKU56" s="53"/>
      <c r="JKV56" s="53"/>
      <c r="JKW56" s="53"/>
      <c r="JKX56" s="53"/>
      <c r="JKY56" s="53"/>
      <c r="JKZ56" s="53"/>
      <c r="JLA56" s="53"/>
      <c r="JLB56" s="53"/>
      <c r="JLC56" s="53"/>
      <c r="JLD56" s="53"/>
      <c r="JLE56" s="53"/>
      <c r="JLF56" s="53"/>
      <c r="JLG56" s="53"/>
      <c r="JLH56" s="53"/>
      <c r="JLI56" s="53"/>
      <c r="JLJ56" s="53"/>
      <c r="JLK56" s="53"/>
      <c r="JLL56" s="53"/>
      <c r="JLM56" s="53"/>
      <c r="JLN56" s="53"/>
      <c r="JLO56" s="53"/>
      <c r="JLP56" s="53"/>
      <c r="JLQ56" s="53"/>
      <c r="JLR56" s="53"/>
      <c r="JLS56" s="53"/>
      <c r="JLT56" s="53"/>
      <c r="JLU56" s="53"/>
      <c r="JLV56" s="53"/>
      <c r="JLW56" s="53"/>
      <c r="JLX56" s="53"/>
      <c r="JLY56" s="53"/>
      <c r="JLZ56" s="53"/>
      <c r="JMA56" s="53"/>
      <c r="JMB56" s="53"/>
      <c r="JMC56" s="53"/>
      <c r="JMD56" s="53"/>
      <c r="JME56" s="53"/>
      <c r="JMF56" s="53"/>
      <c r="JMG56" s="53"/>
      <c r="JMH56" s="53"/>
      <c r="JMI56" s="53"/>
      <c r="JMJ56" s="53"/>
      <c r="JMK56" s="53"/>
      <c r="JML56" s="53"/>
      <c r="JMM56" s="53"/>
      <c r="JMN56" s="53"/>
      <c r="JMO56" s="53"/>
      <c r="JMP56" s="53"/>
      <c r="JMQ56" s="53"/>
      <c r="JMR56" s="53"/>
      <c r="JMS56" s="53"/>
      <c r="JMT56" s="53"/>
      <c r="JMU56" s="53"/>
      <c r="JMV56" s="53"/>
      <c r="JMW56" s="53"/>
      <c r="JMX56" s="53"/>
      <c r="JMY56" s="53"/>
      <c r="JMZ56" s="53"/>
      <c r="JNA56" s="53"/>
      <c r="JNB56" s="53"/>
      <c r="JNC56" s="53"/>
      <c r="JND56" s="53"/>
      <c r="JNE56" s="53"/>
      <c r="JNF56" s="53"/>
      <c r="JNG56" s="53"/>
      <c r="JNH56" s="53"/>
      <c r="JNI56" s="53"/>
      <c r="JNJ56" s="53"/>
      <c r="JNK56" s="53"/>
      <c r="JNL56" s="53"/>
      <c r="JNM56" s="53"/>
      <c r="JNN56" s="53"/>
      <c r="JNO56" s="53"/>
      <c r="JNP56" s="53"/>
      <c r="JNQ56" s="53"/>
      <c r="JNR56" s="53"/>
      <c r="JNS56" s="53"/>
      <c r="JNT56" s="53"/>
      <c r="JNU56" s="53"/>
      <c r="JNV56" s="53"/>
      <c r="JNW56" s="53"/>
      <c r="JNX56" s="53"/>
      <c r="JNY56" s="53"/>
      <c r="JNZ56" s="53"/>
      <c r="JOA56" s="53"/>
      <c r="JOB56" s="53"/>
      <c r="JOC56" s="53"/>
      <c r="JOD56" s="53"/>
      <c r="JOE56" s="53"/>
      <c r="JOF56" s="53"/>
      <c r="JOG56" s="53"/>
      <c r="JOH56" s="53"/>
      <c r="JOI56" s="53"/>
      <c r="JOJ56" s="53"/>
      <c r="JOK56" s="53"/>
      <c r="JOL56" s="53"/>
      <c r="JOM56" s="53"/>
      <c r="JON56" s="53"/>
      <c r="JOO56" s="53"/>
      <c r="JOP56" s="53"/>
      <c r="JOQ56" s="53"/>
      <c r="JOR56" s="53"/>
      <c r="JOS56" s="53"/>
      <c r="JOT56" s="53"/>
      <c r="JOU56" s="53"/>
      <c r="JOV56" s="53"/>
      <c r="JOW56" s="53"/>
      <c r="JOX56" s="53"/>
      <c r="JOY56" s="53"/>
      <c r="JOZ56" s="53"/>
      <c r="JPA56" s="53"/>
      <c r="JPB56" s="53"/>
      <c r="JPC56" s="53"/>
      <c r="JPD56" s="53"/>
      <c r="JPE56" s="53"/>
      <c r="JPF56" s="53"/>
      <c r="JPG56" s="53"/>
      <c r="JPH56" s="53"/>
      <c r="JPI56" s="53"/>
      <c r="JPJ56" s="53"/>
      <c r="JPK56" s="53"/>
      <c r="JPL56" s="53"/>
      <c r="JPM56" s="53"/>
      <c r="JPN56" s="53"/>
      <c r="JPO56" s="53"/>
      <c r="JPP56" s="53"/>
      <c r="JPQ56" s="53"/>
      <c r="JPR56" s="53"/>
      <c r="JPS56" s="53"/>
      <c r="JPT56" s="53"/>
      <c r="JPU56" s="53"/>
      <c r="JPV56" s="53"/>
      <c r="JPW56" s="53"/>
      <c r="JPX56" s="53"/>
      <c r="JPY56" s="53"/>
      <c r="JPZ56" s="53"/>
      <c r="JQA56" s="53"/>
      <c r="JQB56" s="53"/>
      <c r="JQC56" s="53"/>
      <c r="JQD56" s="53"/>
      <c r="JQE56" s="53"/>
      <c r="JQF56" s="53"/>
      <c r="JQG56" s="53"/>
      <c r="JQH56" s="53"/>
      <c r="JQI56" s="53"/>
      <c r="JQJ56" s="53"/>
      <c r="JQK56" s="53"/>
      <c r="JQL56" s="53"/>
      <c r="JQM56" s="53"/>
      <c r="JQN56" s="53"/>
      <c r="JQO56" s="53"/>
      <c r="JQP56" s="53"/>
      <c r="JQQ56" s="53"/>
      <c r="JQR56" s="53"/>
      <c r="JQS56" s="53"/>
      <c r="JQT56" s="53"/>
      <c r="JQU56" s="53"/>
      <c r="JQV56" s="53"/>
      <c r="JQW56" s="53"/>
      <c r="JQX56" s="53"/>
      <c r="JQY56" s="53"/>
      <c r="JQZ56" s="53"/>
      <c r="JRA56" s="53"/>
      <c r="JRB56" s="53"/>
      <c r="JRC56" s="53"/>
      <c r="JRD56" s="53"/>
      <c r="JRE56" s="53"/>
      <c r="JRF56" s="53"/>
      <c r="JRG56" s="53"/>
      <c r="JRH56" s="53"/>
      <c r="JRI56" s="53"/>
      <c r="JRJ56" s="53"/>
      <c r="JRK56" s="53"/>
      <c r="JRL56" s="53"/>
      <c r="JRM56" s="53"/>
      <c r="JRN56" s="53"/>
      <c r="JRO56" s="53"/>
      <c r="JRP56" s="53"/>
      <c r="JRQ56" s="53"/>
      <c r="JRR56" s="53"/>
      <c r="JRS56" s="53"/>
      <c r="JRT56" s="53"/>
      <c r="JRU56" s="53"/>
      <c r="JRV56" s="53"/>
      <c r="JRW56" s="53"/>
      <c r="JRX56" s="53"/>
      <c r="JRY56" s="53"/>
      <c r="JRZ56" s="53"/>
      <c r="JSA56" s="53"/>
      <c r="JSB56" s="53"/>
      <c r="JSC56" s="53"/>
      <c r="JSD56" s="53"/>
      <c r="JSE56" s="53"/>
      <c r="JSF56" s="53"/>
      <c r="JSG56" s="53"/>
      <c r="JSH56" s="53"/>
      <c r="JSI56" s="53"/>
      <c r="JSJ56" s="53"/>
      <c r="JSK56" s="53"/>
      <c r="JSL56" s="53"/>
      <c r="JSM56" s="53"/>
      <c r="JSN56" s="53"/>
      <c r="JSO56" s="53"/>
      <c r="JSP56" s="53"/>
      <c r="JSQ56" s="53"/>
      <c r="JSR56" s="53"/>
      <c r="JSS56" s="53"/>
      <c r="JST56" s="53"/>
      <c r="JSU56" s="53"/>
      <c r="JSV56" s="53"/>
      <c r="JSW56" s="53"/>
      <c r="JSX56" s="53"/>
      <c r="JSY56" s="53"/>
      <c r="JSZ56" s="53"/>
      <c r="JTA56" s="53"/>
      <c r="JTB56" s="53"/>
      <c r="JTC56" s="53"/>
      <c r="JTD56" s="53"/>
      <c r="JTE56" s="53"/>
      <c r="JTF56" s="53"/>
      <c r="JTG56" s="53"/>
      <c r="JTH56" s="53"/>
      <c r="JTI56" s="53"/>
      <c r="JTJ56" s="53"/>
      <c r="JTK56" s="53"/>
      <c r="JTL56" s="53"/>
      <c r="JTM56" s="53"/>
      <c r="JTN56" s="53"/>
      <c r="JTO56" s="53"/>
      <c r="JTP56" s="53"/>
      <c r="JTQ56" s="53"/>
      <c r="JTR56" s="53"/>
      <c r="JTS56" s="53"/>
      <c r="JTT56" s="53"/>
      <c r="JTU56" s="53"/>
      <c r="JTV56" s="53"/>
      <c r="JTW56" s="53"/>
      <c r="JTX56" s="53"/>
      <c r="JTY56" s="53"/>
      <c r="JTZ56" s="53"/>
      <c r="JUA56" s="53"/>
      <c r="JUB56" s="53"/>
      <c r="JUC56" s="53"/>
      <c r="JUD56" s="53"/>
      <c r="JUE56" s="53"/>
      <c r="JUF56" s="53"/>
      <c r="JUG56" s="53"/>
      <c r="JUH56" s="53"/>
      <c r="JUI56" s="53"/>
      <c r="JUJ56" s="53"/>
      <c r="JUK56" s="53"/>
      <c r="JUL56" s="53"/>
      <c r="JUM56" s="53"/>
      <c r="JUN56" s="53"/>
      <c r="JUO56" s="53"/>
      <c r="JUP56" s="53"/>
      <c r="JUQ56" s="53"/>
      <c r="JUR56" s="53"/>
      <c r="JUS56" s="53"/>
      <c r="JUT56" s="53"/>
      <c r="JUU56" s="53"/>
      <c r="JUV56" s="53"/>
      <c r="JUW56" s="53"/>
      <c r="JUX56" s="53"/>
      <c r="JUY56" s="53"/>
      <c r="JUZ56" s="53"/>
      <c r="JVA56" s="53"/>
      <c r="JVB56" s="53"/>
      <c r="JVC56" s="53"/>
      <c r="JVD56" s="53"/>
      <c r="JVE56" s="53"/>
      <c r="JVF56" s="53"/>
      <c r="JVG56" s="53"/>
      <c r="JVH56" s="53"/>
      <c r="JVI56" s="53"/>
      <c r="JVJ56" s="53"/>
      <c r="JVK56" s="53"/>
      <c r="JVL56" s="53"/>
      <c r="JVM56" s="53"/>
      <c r="JVN56" s="53"/>
      <c r="JVO56" s="53"/>
      <c r="JVP56" s="53"/>
      <c r="JVQ56" s="53"/>
      <c r="JVR56" s="53"/>
      <c r="JVS56" s="53"/>
      <c r="JVT56" s="53"/>
      <c r="JVU56" s="53"/>
      <c r="JVV56" s="53"/>
      <c r="JVW56" s="53"/>
      <c r="JVX56" s="53"/>
      <c r="JVY56" s="53"/>
      <c r="JVZ56" s="53"/>
      <c r="JWA56" s="53"/>
      <c r="JWB56" s="53"/>
      <c r="JWC56" s="53"/>
      <c r="JWD56" s="53"/>
      <c r="JWE56" s="53"/>
      <c r="JWF56" s="53"/>
      <c r="JWG56" s="53"/>
      <c r="JWH56" s="53"/>
      <c r="JWI56" s="53"/>
      <c r="JWJ56" s="53"/>
      <c r="JWK56" s="53"/>
      <c r="JWL56" s="53"/>
      <c r="JWM56" s="53"/>
      <c r="JWN56" s="53"/>
      <c r="JWO56" s="53"/>
      <c r="JWP56" s="53"/>
      <c r="JWQ56" s="53"/>
      <c r="JWR56" s="53"/>
      <c r="JWS56" s="53"/>
      <c r="JWT56" s="53"/>
      <c r="JWU56" s="53"/>
      <c r="JWV56" s="53"/>
      <c r="JWW56" s="53"/>
      <c r="JWX56" s="53"/>
      <c r="JWY56" s="53"/>
      <c r="JWZ56" s="53"/>
      <c r="JXA56" s="53"/>
      <c r="JXB56" s="53"/>
      <c r="JXC56" s="53"/>
      <c r="JXD56" s="53"/>
      <c r="JXE56" s="53"/>
      <c r="JXF56" s="53"/>
      <c r="JXG56" s="53"/>
      <c r="JXH56" s="53"/>
      <c r="JXI56" s="53"/>
      <c r="JXJ56" s="53"/>
      <c r="JXK56" s="53"/>
      <c r="JXL56" s="53"/>
      <c r="JXM56" s="53"/>
      <c r="JXN56" s="53"/>
      <c r="JXO56" s="53"/>
      <c r="JXP56" s="53"/>
      <c r="JXQ56" s="53"/>
      <c r="JXR56" s="53"/>
      <c r="JXS56" s="53"/>
      <c r="JXT56" s="53"/>
      <c r="JXU56" s="53"/>
      <c r="JXV56" s="53"/>
      <c r="JXW56" s="53"/>
      <c r="JXX56" s="53"/>
      <c r="JXY56" s="53"/>
      <c r="JXZ56" s="53"/>
      <c r="JYA56" s="53"/>
      <c r="JYB56" s="53"/>
      <c r="JYC56" s="53"/>
      <c r="JYD56" s="53"/>
      <c r="JYE56" s="53"/>
      <c r="JYF56" s="53"/>
      <c r="JYG56" s="53"/>
      <c r="JYH56" s="53"/>
      <c r="JYI56" s="53"/>
      <c r="JYJ56" s="53"/>
      <c r="JYK56" s="53"/>
      <c r="JYL56" s="53"/>
      <c r="JYM56" s="53"/>
      <c r="JYN56" s="53"/>
      <c r="JYO56" s="53"/>
      <c r="JYP56" s="53"/>
      <c r="JYQ56" s="53"/>
      <c r="JYR56" s="53"/>
      <c r="JYS56" s="53"/>
      <c r="JYT56" s="53"/>
      <c r="JYU56" s="53"/>
      <c r="JYV56" s="53"/>
      <c r="JYW56" s="53"/>
      <c r="JYX56" s="53"/>
      <c r="JYY56" s="53"/>
      <c r="JYZ56" s="53"/>
      <c r="JZA56" s="53"/>
      <c r="JZB56" s="53"/>
      <c r="JZC56" s="53"/>
      <c r="JZD56" s="53"/>
      <c r="JZE56" s="53"/>
      <c r="JZF56" s="53"/>
      <c r="JZG56" s="53"/>
      <c r="JZH56" s="53"/>
      <c r="JZI56" s="53"/>
      <c r="JZJ56" s="53"/>
      <c r="JZK56" s="53"/>
      <c r="JZL56" s="53"/>
      <c r="JZM56" s="53"/>
      <c r="JZN56" s="53"/>
      <c r="JZO56" s="53"/>
      <c r="JZP56" s="53"/>
      <c r="JZQ56" s="53"/>
      <c r="JZR56" s="53"/>
      <c r="JZS56" s="53"/>
      <c r="JZT56" s="53"/>
      <c r="JZU56" s="53"/>
      <c r="JZV56" s="53"/>
      <c r="JZW56" s="53"/>
      <c r="JZX56" s="53"/>
      <c r="JZY56" s="53"/>
      <c r="JZZ56" s="53"/>
      <c r="KAA56" s="53"/>
      <c r="KAB56" s="53"/>
      <c r="KAC56" s="53"/>
      <c r="KAD56" s="53"/>
      <c r="KAE56" s="53"/>
      <c r="KAF56" s="53"/>
      <c r="KAG56" s="53"/>
      <c r="KAH56" s="53"/>
      <c r="KAI56" s="53"/>
      <c r="KAJ56" s="53"/>
      <c r="KAK56" s="53"/>
      <c r="KAL56" s="53"/>
      <c r="KAM56" s="53"/>
      <c r="KAN56" s="53"/>
      <c r="KAO56" s="53"/>
      <c r="KAP56" s="53"/>
      <c r="KAQ56" s="53"/>
      <c r="KAR56" s="53"/>
      <c r="KAS56" s="53"/>
      <c r="KAT56" s="53"/>
      <c r="KAU56" s="53"/>
      <c r="KAV56" s="53"/>
      <c r="KAW56" s="53"/>
      <c r="KAX56" s="53"/>
      <c r="KAY56" s="53"/>
      <c r="KAZ56" s="53"/>
      <c r="KBA56" s="53"/>
      <c r="KBB56" s="53"/>
      <c r="KBC56" s="53"/>
      <c r="KBD56" s="53"/>
      <c r="KBE56" s="53"/>
      <c r="KBF56" s="53"/>
      <c r="KBG56" s="53"/>
      <c r="KBH56" s="53"/>
      <c r="KBI56" s="53"/>
      <c r="KBJ56" s="53"/>
      <c r="KBK56" s="53"/>
      <c r="KBL56" s="53"/>
      <c r="KBM56" s="53"/>
      <c r="KBN56" s="53"/>
      <c r="KBO56" s="53"/>
      <c r="KBP56" s="53"/>
      <c r="KBQ56" s="53"/>
      <c r="KBR56" s="53"/>
      <c r="KBS56" s="53"/>
      <c r="KBT56" s="53"/>
      <c r="KBU56" s="53"/>
      <c r="KBV56" s="53"/>
      <c r="KBW56" s="53"/>
      <c r="KBX56" s="53"/>
      <c r="KBY56" s="53"/>
      <c r="KBZ56" s="53"/>
      <c r="KCA56" s="53"/>
      <c r="KCB56" s="53"/>
      <c r="KCC56" s="53"/>
      <c r="KCD56" s="53"/>
      <c r="KCE56" s="53"/>
      <c r="KCF56" s="53"/>
      <c r="KCG56" s="53"/>
      <c r="KCH56" s="53"/>
      <c r="KCI56" s="53"/>
      <c r="KCJ56" s="53"/>
      <c r="KCK56" s="53"/>
      <c r="KCL56" s="53"/>
      <c r="KCM56" s="53"/>
      <c r="KCN56" s="53"/>
      <c r="KCO56" s="53"/>
      <c r="KCP56" s="53"/>
      <c r="KCQ56" s="53"/>
      <c r="KCR56" s="53"/>
      <c r="KCS56" s="53"/>
      <c r="KCT56" s="53"/>
      <c r="KCU56" s="53"/>
      <c r="KCV56" s="53"/>
      <c r="KCW56" s="53"/>
      <c r="KCX56" s="53"/>
      <c r="KCY56" s="53"/>
      <c r="KCZ56" s="53"/>
      <c r="KDA56" s="53"/>
      <c r="KDB56" s="53"/>
      <c r="KDC56" s="53"/>
      <c r="KDD56" s="53"/>
      <c r="KDE56" s="53"/>
      <c r="KDF56" s="53"/>
      <c r="KDG56" s="53"/>
      <c r="KDH56" s="53"/>
      <c r="KDI56" s="53"/>
      <c r="KDJ56" s="53"/>
      <c r="KDK56" s="53"/>
      <c r="KDL56" s="53"/>
      <c r="KDM56" s="53"/>
      <c r="KDN56" s="53"/>
      <c r="KDO56" s="53"/>
      <c r="KDP56" s="53"/>
      <c r="KDQ56" s="53"/>
      <c r="KDR56" s="53"/>
      <c r="KDS56" s="53"/>
      <c r="KDT56" s="53"/>
      <c r="KDU56" s="53"/>
      <c r="KDV56" s="53"/>
      <c r="KDW56" s="53"/>
      <c r="KDX56" s="53"/>
      <c r="KDY56" s="53"/>
      <c r="KDZ56" s="53"/>
      <c r="KEA56" s="53"/>
      <c r="KEB56" s="53"/>
      <c r="KEC56" s="53"/>
      <c r="KED56" s="53"/>
      <c r="KEE56" s="53"/>
      <c r="KEF56" s="53"/>
      <c r="KEG56" s="53"/>
      <c r="KEH56" s="53"/>
      <c r="KEI56" s="53"/>
      <c r="KEJ56" s="53"/>
      <c r="KEK56" s="53"/>
      <c r="KEL56" s="53"/>
      <c r="KEM56" s="53"/>
      <c r="KEN56" s="53"/>
      <c r="KEO56" s="53"/>
      <c r="KEP56" s="53"/>
      <c r="KEQ56" s="53"/>
      <c r="KER56" s="53"/>
      <c r="KES56" s="53"/>
      <c r="KET56" s="53"/>
      <c r="KEU56" s="53"/>
      <c r="KEV56" s="53"/>
      <c r="KEW56" s="53"/>
      <c r="KEX56" s="53"/>
      <c r="KEY56" s="53"/>
      <c r="KEZ56" s="53"/>
      <c r="KFA56" s="53"/>
      <c r="KFB56" s="53"/>
      <c r="KFC56" s="53"/>
      <c r="KFD56" s="53"/>
      <c r="KFE56" s="53"/>
      <c r="KFF56" s="53"/>
      <c r="KFG56" s="53"/>
      <c r="KFH56" s="53"/>
      <c r="KFI56" s="53"/>
      <c r="KFJ56" s="53"/>
      <c r="KFK56" s="53"/>
      <c r="KFL56" s="53"/>
      <c r="KFM56" s="53"/>
      <c r="KFN56" s="53"/>
      <c r="KFO56" s="53"/>
      <c r="KFP56" s="53"/>
      <c r="KFQ56" s="53"/>
      <c r="KFR56" s="53"/>
      <c r="KFS56" s="53"/>
      <c r="KFT56" s="53"/>
      <c r="KFU56" s="53"/>
      <c r="KFV56" s="53"/>
      <c r="KFW56" s="53"/>
      <c r="KFX56" s="53"/>
      <c r="KFY56" s="53"/>
      <c r="KFZ56" s="53"/>
      <c r="KGA56" s="53"/>
      <c r="KGB56" s="53"/>
      <c r="KGC56" s="53"/>
      <c r="KGD56" s="53"/>
      <c r="KGE56" s="53"/>
      <c r="KGF56" s="53"/>
      <c r="KGG56" s="53"/>
      <c r="KGH56" s="53"/>
      <c r="KGI56" s="53"/>
      <c r="KGJ56" s="53"/>
      <c r="KGK56" s="53"/>
      <c r="KGL56" s="53"/>
      <c r="KGM56" s="53"/>
      <c r="KGN56" s="53"/>
      <c r="KGO56" s="53"/>
      <c r="KGP56" s="53"/>
      <c r="KGQ56" s="53"/>
      <c r="KGR56" s="53"/>
      <c r="KGS56" s="53"/>
      <c r="KGT56" s="53"/>
      <c r="KGU56" s="53"/>
      <c r="KGV56" s="53"/>
      <c r="KGW56" s="53"/>
      <c r="KGX56" s="53"/>
      <c r="KGY56" s="53"/>
      <c r="KGZ56" s="53"/>
      <c r="KHA56" s="53"/>
      <c r="KHB56" s="53"/>
      <c r="KHC56" s="53"/>
      <c r="KHD56" s="53"/>
      <c r="KHE56" s="53"/>
      <c r="KHF56" s="53"/>
      <c r="KHG56" s="53"/>
      <c r="KHH56" s="53"/>
      <c r="KHI56" s="53"/>
      <c r="KHJ56" s="53"/>
      <c r="KHK56" s="53"/>
      <c r="KHL56" s="53"/>
      <c r="KHM56" s="53"/>
      <c r="KHN56" s="53"/>
      <c r="KHO56" s="53"/>
      <c r="KHP56" s="53"/>
      <c r="KHQ56" s="53"/>
      <c r="KHR56" s="53"/>
      <c r="KHS56" s="53"/>
      <c r="KHT56" s="53"/>
      <c r="KHU56" s="53"/>
      <c r="KHV56" s="53"/>
      <c r="KHW56" s="53"/>
      <c r="KHX56" s="53"/>
      <c r="KHY56" s="53"/>
      <c r="KHZ56" s="53"/>
      <c r="KIA56" s="53"/>
      <c r="KIB56" s="53"/>
      <c r="KIC56" s="53"/>
      <c r="KID56" s="53"/>
      <c r="KIE56" s="53"/>
      <c r="KIF56" s="53"/>
      <c r="KIG56" s="53"/>
      <c r="KIH56" s="53"/>
      <c r="KII56" s="53"/>
      <c r="KIJ56" s="53"/>
      <c r="KIK56" s="53"/>
      <c r="KIL56" s="53"/>
      <c r="KIM56" s="53"/>
      <c r="KIN56" s="53"/>
      <c r="KIO56" s="53"/>
      <c r="KIP56" s="53"/>
      <c r="KIQ56" s="53"/>
      <c r="KIR56" s="53"/>
      <c r="KIS56" s="53"/>
      <c r="KIT56" s="53"/>
      <c r="KIU56" s="53"/>
      <c r="KIV56" s="53"/>
      <c r="KIW56" s="53"/>
      <c r="KIX56" s="53"/>
      <c r="KIY56" s="53"/>
      <c r="KIZ56" s="53"/>
      <c r="KJA56" s="53"/>
      <c r="KJB56" s="53"/>
      <c r="KJC56" s="53"/>
      <c r="KJD56" s="53"/>
      <c r="KJE56" s="53"/>
      <c r="KJF56" s="53"/>
      <c r="KJG56" s="53"/>
      <c r="KJH56" s="53"/>
      <c r="KJI56" s="53"/>
      <c r="KJJ56" s="53"/>
      <c r="KJK56" s="53"/>
      <c r="KJL56" s="53"/>
      <c r="KJM56" s="53"/>
      <c r="KJN56" s="53"/>
      <c r="KJO56" s="53"/>
      <c r="KJP56" s="53"/>
      <c r="KJQ56" s="53"/>
      <c r="KJR56" s="53"/>
      <c r="KJS56" s="53"/>
      <c r="KJT56" s="53"/>
      <c r="KJU56" s="53"/>
      <c r="KJV56" s="53"/>
      <c r="KJW56" s="53"/>
      <c r="KJX56" s="53"/>
      <c r="KJY56" s="53"/>
      <c r="KJZ56" s="53"/>
      <c r="KKA56" s="53"/>
      <c r="KKB56" s="53"/>
      <c r="KKC56" s="53"/>
      <c r="KKD56" s="53"/>
      <c r="KKE56" s="53"/>
      <c r="KKF56" s="53"/>
      <c r="KKG56" s="53"/>
      <c r="KKH56" s="53"/>
      <c r="KKI56" s="53"/>
      <c r="KKJ56" s="53"/>
      <c r="KKK56" s="53"/>
      <c r="KKL56" s="53"/>
      <c r="KKM56" s="53"/>
      <c r="KKN56" s="53"/>
      <c r="KKO56" s="53"/>
      <c r="KKP56" s="53"/>
      <c r="KKQ56" s="53"/>
      <c r="KKR56" s="53"/>
      <c r="KKS56" s="53"/>
      <c r="KKT56" s="53"/>
      <c r="KKU56" s="53"/>
      <c r="KKV56" s="53"/>
      <c r="KKW56" s="53"/>
      <c r="KKX56" s="53"/>
      <c r="KKY56" s="53"/>
      <c r="KKZ56" s="53"/>
      <c r="KLA56" s="53"/>
      <c r="KLB56" s="53"/>
      <c r="KLC56" s="53"/>
      <c r="KLD56" s="53"/>
      <c r="KLE56" s="53"/>
      <c r="KLF56" s="53"/>
      <c r="KLG56" s="53"/>
      <c r="KLH56" s="53"/>
      <c r="KLI56" s="53"/>
      <c r="KLJ56" s="53"/>
      <c r="KLK56" s="53"/>
      <c r="KLL56" s="53"/>
      <c r="KLM56" s="53"/>
      <c r="KLN56" s="53"/>
      <c r="KLO56" s="53"/>
      <c r="KLP56" s="53"/>
      <c r="KLQ56" s="53"/>
      <c r="KLR56" s="53"/>
      <c r="KLS56" s="53"/>
      <c r="KLT56" s="53"/>
      <c r="KLU56" s="53"/>
      <c r="KLV56" s="53"/>
      <c r="KLW56" s="53"/>
      <c r="KLX56" s="53"/>
      <c r="KLY56" s="53"/>
      <c r="KLZ56" s="53"/>
      <c r="KMA56" s="53"/>
      <c r="KMB56" s="53"/>
      <c r="KMC56" s="53"/>
      <c r="KMD56" s="53"/>
      <c r="KME56" s="53"/>
      <c r="KMF56" s="53"/>
      <c r="KMG56" s="53"/>
      <c r="KMH56" s="53"/>
      <c r="KMI56" s="53"/>
      <c r="KMJ56" s="53"/>
      <c r="KMK56" s="53"/>
      <c r="KML56" s="53"/>
      <c r="KMM56" s="53"/>
      <c r="KMN56" s="53"/>
      <c r="KMO56" s="53"/>
      <c r="KMP56" s="53"/>
      <c r="KMQ56" s="53"/>
      <c r="KMR56" s="53"/>
      <c r="KMS56" s="53"/>
      <c r="KMT56" s="53"/>
      <c r="KMU56" s="53"/>
      <c r="KMV56" s="53"/>
      <c r="KMW56" s="53"/>
      <c r="KMX56" s="53"/>
      <c r="KMY56" s="53"/>
      <c r="KMZ56" s="53"/>
      <c r="KNA56" s="53"/>
      <c r="KNB56" s="53"/>
      <c r="KNC56" s="53"/>
      <c r="KND56" s="53"/>
      <c r="KNE56" s="53"/>
      <c r="KNF56" s="53"/>
      <c r="KNG56" s="53"/>
      <c r="KNH56" s="53"/>
      <c r="KNI56" s="53"/>
      <c r="KNJ56" s="53"/>
      <c r="KNK56" s="53"/>
      <c r="KNL56" s="53"/>
      <c r="KNM56" s="53"/>
      <c r="KNN56" s="53"/>
      <c r="KNO56" s="53"/>
      <c r="KNP56" s="53"/>
      <c r="KNQ56" s="53"/>
      <c r="KNR56" s="53"/>
      <c r="KNS56" s="53"/>
      <c r="KNT56" s="53"/>
      <c r="KNU56" s="53"/>
      <c r="KNV56" s="53"/>
      <c r="KNW56" s="53"/>
      <c r="KNX56" s="53"/>
      <c r="KNY56" s="53"/>
      <c r="KNZ56" s="53"/>
      <c r="KOA56" s="53"/>
      <c r="KOB56" s="53"/>
      <c r="KOC56" s="53"/>
      <c r="KOD56" s="53"/>
      <c r="KOE56" s="53"/>
      <c r="KOF56" s="53"/>
      <c r="KOG56" s="53"/>
      <c r="KOH56" s="53"/>
      <c r="KOI56" s="53"/>
      <c r="KOJ56" s="53"/>
      <c r="KOK56" s="53"/>
      <c r="KOL56" s="53"/>
      <c r="KOM56" s="53"/>
      <c r="KON56" s="53"/>
      <c r="KOO56" s="53"/>
      <c r="KOP56" s="53"/>
      <c r="KOQ56" s="53"/>
      <c r="KOR56" s="53"/>
      <c r="KOS56" s="53"/>
      <c r="KOT56" s="53"/>
      <c r="KOU56" s="53"/>
      <c r="KOV56" s="53"/>
      <c r="KOW56" s="53"/>
      <c r="KOX56" s="53"/>
      <c r="KOY56" s="53"/>
      <c r="KOZ56" s="53"/>
      <c r="KPA56" s="53"/>
      <c r="KPB56" s="53"/>
      <c r="KPC56" s="53"/>
      <c r="KPD56" s="53"/>
      <c r="KPE56" s="53"/>
      <c r="KPF56" s="53"/>
      <c r="KPG56" s="53"/>
      <c r="KPH56" s="53"/>
      <c r="KPI56" s="53"/>
      <c r="KPJ56" s="53"/>
      <c r="KPK56" s="53"/>
      <c r="KPL56" s="53"/>
      <c r="KPM56" s="53"/>
      <c r="KPN56" s="53"/>
      <c r="KPO56" s="53"/>
      <c r="KPP56" s="53"/>
      <c r="KPQ56" s="53"/>
      <c r="KPR56" s="53"/>
      <c r="KPS56" s="53"/>
      <c r="KPT56" s="53"/>
      <c r="KPU56" s="53"/>
      <c r="KPV56" s="53"/>
      <c r="KPW56" s="53"/>
      <c r="KPX56" s="53"/>
      <c r="KPY56" s="53"/>
      <c r="KPZ56" s="53"/>
      <c r="KQA56" s="53"/>
      <c r="KQB56" s="53"/>
      <c r="KQC56" s="53"/>
      <c r="KQD56" s="53"/>
      <c r="KQE56" s="53"/>
      <c r="KQF56" s="53"/>
      <c r="KQG56" s="53"/>
      <c r="KQH56" s="53"/>
      <c r="KQI56" s="53"/>
      <c r="KQJ56" s="53"/>
      <c r="KQK56" s="53"/>
      <c r="KQL56" s="53"/>
      <c r="KQM56" s="53"/>
      <c r="KQN56" s="53"/>
      <c r="KQO56" s="53"/>
      <c r="KQP56" s="53"/>
      <c r="KQQ56" s="53"/>
      <c r="KQR56" s="53"/>
      <c r="KQS56" s="53"/>
      <c r="KQT56" s="53"/>
      <c r="KQU56" s="53"/>
      <c r="KQV56" s="53"/>
      <c r="KQW56" s="53"/>
      <c r="KQX56" s="53"/>
      <c r="KQY56" s="53"/>
      <c r="KQZ56" s="53"/>
      <c r="KRA56" s="53"/>
      <c r="KRB56" s="53"/>
      <c r="KRC56" s="53"/>
      <c r="KRD56" s="53"/>
      <c r="KRE56" s="53"/>
      <c r="KRF56" s="53"/>
      <c r="KRG56" s="53"/>
      <c r="KRH56" s="53"/>
      <c r="KRI56" s="53"/>
      <c r="KRJ56" s="53"/>
      <c r="KRK56" s="53"/>
      <c r="KRL56" s="53"/>
      <c r="KRM56" s="53"/>
      <c r="KRN56" s="53"/>
      <c r="KRO56" s="53"/>
      <c r="KRP56" s="53"/>
      <c r="KRQ56" s="53"/>
      <c r="KRR56" s="53"/>
      <c r="KRS56" s="53"/>
      <c r="KRT56" s="53"/>
      <c r="KRU56" s="53"/>
      <c r="KRV56" s="53"/>
      <c r="KRW56" s="53"/>
      <c r="KRX56" s="53"/>
      <c r="KRY56" s="53"/>
      <c r="KRZ56" s="53"/>
      <c r="KSA56" s="53"/>
      <c r="KSB56" s="53"/>
      <c r="KSC56" s="53"/>
      <c r="KSD56" s="53"/>
      <c r="KSE56" s="53"/>
      <c r="KSF56" s="53"/>
      <c r="KSG56" s="53"/>
      <c r="KSH56" s="53"/>
      <c r="KSI56" s="53"/>
      <c r="KSJ56" s="53"/>
      <c r="KSK56" s="53"/>
      <c r="KSL56" s="53"/>
      <c r="KSM56" s="53"/>
      <c r="KSN56" s="53"/>
      <c r="KSO56" s="53"/>
      <c r="KSP56" s="53"/>
      <c r="KSQ56" s="53"/>
      <c r="KSR56" s="53"/>
      <c r="KSS56" s="53"/>
      <c r="KST56" s="53"/>
      <c r="KSU56" s="53"/>
      <c r="KSV56" s="53"/>
      <c r="KSW56" s="53"/>
      <c r="KSX56" s="53"/>
      <c r="KSY56" s="53"/>
      <c r="KSZ56" s="53"/>
      <c r="KTA56" s="53"/>
      <c r="KTB56" s="53"/>
      <c r="KTC56" s="53"/>
      <c r="KTD56" s="53"/>
      <c r="KTE56" s="53"/>
      <c r="KTF56" s="53"/>
      <c r="KTG56" s="53"/>
      <c r="KTH56" s="53"/>
      <c r="KTI56" s="53"/>
      <c r="KTJ56" s="53"/>
      <c r="KTK56" s="53"/>
      <c r="KTL56" s="53"/>
      <c r="KTM56" s="53"/>
      <c r="KTN56" s="53"/>
      <c r="KTO56" s="53"/>
      <c r="KTP56" s="53"/>
      <c r="KTQ56" s="53"/>
      <c r="KTR56" s="53"/>
      <c r="KTS56" s="53"/>
      <c r="KTT56" s="53"/>
      <c r="KTU56" s="53"/>
      <c r="KTV56" s="53"/>
      <c r="KTW56" s="53"/>
      <c r="KTX56" s="53"/>
      <c r="KTY56" s="53"/>
      <c r="KTZ56" s="53"/>
      <c r="KUA56" s="53"/>
      <c r="KUB56" s="53"/>
      <c r="KUC56" s="53"/>
      <c r="KUD56" s="53"/>
      <c r="KUE56" s="53"/>
      <c r="KUF56" s="53"/>
      <c r="KUG56" s="53"/>
      <c r="KUH56" s="53"/>
      <c r="KUI56" s="53"/>
      <c r="KUJ56" s="53"/>
      <c r="KUK56" s="53"/>
      <c r="KUL56" s="53"/>
      <c r="KUM56" s="53"/>
      <c r="KUN56" s="53"/>
      <c r="KUO56" s="53"/>
      <c r="KUP56" s="53"/>
      <c r="KUQ56" s="53"/>
      <c r="KUR56" s="53"/>
      <c r="KUS56" s="53"/>
      <c r="KUT56" s="53"/>
      <c r="KUU56" s="53"/>
      <c r="KUV56" s="53"/>
      <c r="KUW56" s="53"/>
      <c r="KUX56" s="53"/>
      <c r="KUY56" s="53"/>
      <c r="KUZ56" s="53"/>
      <c r="KVA56" s="53"/>
      <c r="KVB56" s="53"/>
      <c r="KVC56" s="53"/>
      <c r="KVD56" s="53"/>
      <c r="KVE56" s="53"/>
      <c r="KVF56" s="53"/>
      <c r="KVG56" s="53"/>
      <c r="KVH56" s="53"/>
      <c r="KVI56" s="53"/>
      <c r="KVJ56" s="53"/>
      <c r="KVK56" s="53"/>
      <c r="KVL56" s="53"/>
      <c r="KVM56" s="53"/>
      <c r="KVN56" s="53"/>
      <c r="KVO56" s="53"/>
      <c r="KVP56" s="53"/>
      <c r="KVQ56" s="53"/>
      <c r="KVR56" s="53"/>
      <c r="KVS56" s="53"/>
      <c r="KVT56" s="53"/>
      <c r="KVU56" s="53"/>
      <c r="KVV56" s="53"/>
      <c r="KVW56" s="53"/>
      <c r="KVX56" s="53"/>
      <c r="KVY56" s="53"/>
      <c r="KVZ56" s="53"/>
      <c r="KWA56" s="53"/>
      <c r="KWB56" s="53"/>
      <c r="KWC56" s="53"/>
      <c r="KWD56" s="53"/>
      <c r="KWE56" s="53"/>
      <c r="KWF56" s="53"/>
      <c r="KWG56" s="53"/>
      <c r="KWH56" s="53"/>
      <c r="KWI56" s="53"/>
      <c r="KWJ56" s="53"/>
      <c r="KWK56" s="53"/>
      <c r="KWL56" s="53"/>
      <c r="KWM56" s="53"/>
      <c r="KWN56" s="53"/>
      <c r="KWO56" s="53"/>
      <c r="KWP56" s="53"/>
      <c r="KWQ56" s="53"/>
      <c r="KWR56" s="53"/>
      <c r="KWS56" s="53"/>
      <c r="KWT56" s="53"/>
      <c r="KWU56" s="53"/>
      <c r="KWV56" s="53"/>
      <c r="KWW56" s="53"/>
      <c r="KWX56" s="53"/>
      <c r="KWY56" s="53"/>
      <c r="KWZ56" s="53"/>
      <c r="KXA56" s="53"/>
      <c r="KXB56" s="53"/>
      <c r="KXC56" s="53"/>
      <c r="KXD56" s="53"/>
      <c r="KXE56" s="53"/>
      <c r="KXF56" s="53"/>
      <c r="KXG56" s="53"/>
      <c r="KXH56" s="53"/>
      <c r="KXI56" s="53"/>
      <c r="KXJ56" s="53"/>
      <c r="KXK56" s="53"/>
      <c r="KXL56" s="53"/>
      <c r="KXM56" s="53"/>
      <c r="KXN56" s="53"/>
      <c r="KXO56" s="53"/>
      <c r="KXP56" s="53"/>
      <c r="KXQ56" s="53"/>
      <c r="KXR56" s="53"/>
      <c r="KXS56" s="53"/>
      <c r="KXT56" s="53"/>
      <c r="KXU56" s="53"/>
      <c r="KXV56" s="53"/>
      <c r="KXW56" s="53"/>
      <c r="KXX56" s="53"/>
      <c r="KXY56" s="53"/>
      <c r="KXZ56" s="53"/>
      <c r="KYA56" s="53"/>
      <c r="KYB56" s="53"/>
      <c r="KYC56" s="53"/>
      <c r="KYD56" s="53"/>
      <c r="KYE56" s="53"/>
      <c r="KYF56" s="53"/>
      <c r="KYG56" s="53"/>
      <c r="KYH56" s="53"/>
      <c r="KYI56" s="53"/>
      <c r="KYJ56" s="53"/>
      <c r="KYK56" s="53"/>
      <c r="KYL56" s="53"/>
      <c r="KYM56" s="53"/>
      <c r="KYN56" s="53"/>
      <c r="KYO56" s="53"/>
      <c r="KYP56" s="53"/>
      <c r="KYQ56" s="53"/>
      <c r="KYR56" s="53"/>
      <c r="KYS56" s="53"/>
      <c r="KYT56" s="53"/>
      <c r="KYU56" s="53"/>
      <c r="KYV56" s="53"/>
      <c r="KYW56" s="53"/>
      <c r="KYX56" s="53"/>
      <c r="KYY56" s="53"/>
      <c r="KYZ56" s="53"/>
      <c r="KZA56" s="53"/>
      <c r="KZB56" s="53"/>
      <c r="KZC56" s="53"/>
      <c r="KZD56" s="53"/>
      <c r="KZE56" s="53"/>
      <c r="KZF56" s="53"/>
      <c r="KZG56" s="53"/>
      <c r="KZH56" s="53"/>
      <c r="KZI56" s="53"/>
      <c r="KZJ56" s="53"/>
      <c r="KZK56" s="53"/>
      <c r="KZL56" s="53"/>
      <c r="KZM56" s="53"/>
      <c r="KZN56" s="53"/>
      <c r="KZO56" s="53"/>
      <c r="KZP56" s="53"/>
      <c r="KZQ56" s="53"/>
      <c r="KZR56" s="53"/>
      <c r="KZS56" s="53"/>
      <c r="KZT56" s="53"/>
      <c r="KZU56" s="53"/>
      <c r="KZV56" s="53"/>
      <c r="KZW56" s="53"/>
      <c r="KZX56" s="53"/>
      <c r="KZY56" s="53"/>
      <c r="KZZ56" s="53"/>
      <c r="LAA56" s="53"/>
      <c r="LAB56" s="53"/>
      <c r="LAC56" s="53"/>
      <c r="LAD56" s="53"/>
      <c r="LAE56" s="53"/>
      <c r="LAF56" s="53"/>
      <c r="LAG56" s="53"/>
      <c r="LAH56" s="53"/>
      <c r="LAI56" s="53"/>
      <c r="LAJ56" s="53"/>
      <c r="LAK56" s="53"/>
      <c r="LAL56" s="53"/>
      <c r="LAM56" s="53"/>
      <c r="LAN56" s="53"/>
      <c r="LAO56" s="53"/>
      <c r="LAP56" s="53"/>
      <c r="LAQ56" s="53"/>
      <c r="LAR56" s="53"/>
      <c r="LAS56" s="53"/>
      <c r="LAT56" s="53"/>
      <c r="LAU56" s="53"/>
      <c r="LAV56" s="53"/>
      <c r="LAW56" s="53"/>
      <c r="LAX56" s="53"/>
      <c r="LAY56" s="53"/>
      <c r="LAZ56" s="53"/>
      <c r="LBA56" s="53"/>
      <c r="LBB56" s="53"/>
      <c r="LBC56" s="53"/>
      <c r="LBD56" s="53"/>
      <c r="LBE56" s="53"/>
      <c r="LBF56" s="53"/>
      <c r="LBG56" s="53"/>
      <c r="LBH56" s="53"/>
      <c r="LBI56" s="53"/>
      <c r="LBJ56" s="53"/>
      <c r="LBK56" s="53"/>
      <c r="LBL56" s="53"/>
      <c r="LBM56" s="53"/>
      <c r="LBN56" s="53"/>
      <c r="LBO56" s="53"/>
      <c r="LBP56" s="53"/>
      <c r="LBQ56" s="53"/>
      <c r="LBR56" s="53"/>
      <c r="LBS56" s="53"/>
      <c r="LBT56" s="53"/>
      <c r="LBU56" s="53"/>
      <c r="LBV56" s="53"/>
      <c r="LBW56" s="53"/>
      <c r="LBX56" s="53"/>
      <c r="LBY56" s="53"/>
      <c r="LBZ56" s="53"/>
      <c r="LCA56" s="53"/>
      <c r="LCB56" s="53"/>
      <c r="LCC56" s="53"/>
      <c r="LCD56" s="53"/>
      <c r="LCE56" s="53"/>
      <c r="LCF56" s="53"/>
      <c r="LCG56" s="53"/>
      <c r="LCH56" s="53"/>
      <c r="LCI56" s="53"/>
      <c r="LCJ56" s="53"/>
      <c r="LCK56" s="53"/>
      <c r="LCL56" s="53"/>
      <c r="LCM56" s="53"/>
      <c r="LCN56" s="53"/>
      <c r="LCO56" s="53"/>
      <c r="LCP56" s="53"/>
      <c r="LCQ56" s="53"/>
      <c r="LCR56" s="53"/>
      <c r="LCS56" s="53"/>
      <c r="LCT56" s="53"/>
      <c r="LCU56" s="53"/>
      <c r="LCV56" s="53"/>
      <c r="LCW56" s="53"/>
      <c r="LCX56" s="53"/>
      <c r="LCY56" s="53"/>
      <c r="LCZ56" s="53"/>
      <c r="LDA56" s="53"/>
      <c r="LDB56" s="53"/>
      <c r="LDC56" s="53"/>
      <c r="LDD56" s="53"/>
      <c r="LDE56" s="53"/>
      <c r="LDF56" s="53"/>
      <c r="LDG56" s="53"/>
      <c r="LDH56" s="53"/>
      <c r="LDI56" s="53"/>
      <c r="LDJ56" s="53"/>
      <c r="LDK56" s="53"/>
      <c r="LDL56" s="53"/>
      <c r="LDM56" s="53"/>
      <c r="LDN56" s="53"/>
      <c r="LDO56" s="53"/>
      <c r="LDP56" s="53"/>
      <c r="LDQ56" s="53"/>
      <c r="LDR56" s="53"/>
      <c r="LDS56" s="53"/>
      <c r="LDT56" s="53"/>
      <c r="LDU56" s="53"/>
      <c r="LDV56" s="53"/>
      <c r="LDW56" s="53"/>
      <c r="LDX56" s="53"/>
      <c r="LDY56" s="53"/>
      <c r="LDZ56" s="53"/>
      <c r="LEA56" s="53"/>
      <c r="LEB56" s="53"/>
      <c r="LEC56" s="53"/>
      <c r="LED56" s="53"/>
      <c r="LEE56" s="53"/>
      <c r="LEF56" s="53"/>
      <c r="LEG56" s="53"/>
      <c r="LEH56" s="53"/>
      <c r="LEI56" s="53"/>
      <c r="LEJ56" s="53"/>
      <c r="LEK56" s="53"/>
      <c r="LEL56" s="53"/>
      <c r="LEM56" s="53"/>
      <c r="LEN56" s="53"/>
      <c r="LEO56" s="53"/>
      <c r="LEP56" s="53"/>
      <c r="LEQ56" s="53"/>
      <c r="LER56" s="53"/>
      <c r="LES56" s="53"/>
      <c r="LET56" s="53"/>
      <c r="LEU56" s="53"/>
      <c r="LEV56" s="53"/>
      <c r="LEW56" s="53"/>
      <c r="LEX56" s="53"/>
      <c r="LEY56" s="53"/>
      <c r="LEZ56" s="53"/>
      <c r="LFA56" s="53"/>
      <c r="LFB56" s="53"/>
      <c r="LFC56" s="53"/>
      <c r="LFD56" s="53"/>
      <c r="LFE56" s="53"/>
      <c r="LFF56" s="53"/>
      <c r="LFG56" s="53"/>
      <c r="LFH56" s="53"/>
      <c r="LFI56" s="53"/>
      <c r="LFJ56" s="53"/>
      <c r="LFK56" s="53"/>
      <c r="LFL56" s="53"/>
      <c r="LFM56" s="53"/>
      <c r="LFN56" s="53"/>
      <c r="LFO56" s="53"/>
      <c r="LFP56" s="53"/>
      <c r="LFQ56" s="53"/>
      <c r="LFR56" s="53"/>
      <c r="LFS56" s="53"/>
      <c r="LFT56" s="53"/>
      <c r="LFU56" s="53"/>
      <c r="LFV56" s="53"/>
      <c r="LFW56" s="53"/>
      <c r="LFX56" s="53"/>
      <c r="LFY56" s="53"/>
      <c r="LFZ56" s="53"/>
      <c r="LGA56" s="53"/>
      <c r="LGB56" s="53"/>
      <c r="LGC56" s="53"/>
      <c r="LGD56" s="53"/>
      <c r="LGE56" s="53"/>
      <c r="LGF56" s="53"/>
      <c r="LGG56" s="53"/>
      <c r="LGH56" s="53"/>
      <c r="LGI56" s="53"/>
      <c r="LGJ56" s="53"/>
      <c r="LGK56" s="53"/>
      <c r="LGL56" s="53"/>
      <c r="LGM56" s="53"/>
      <c r="LGN56" s="53"/>
      <c r="LGO56" s="53"/>
      <c r="LGP56" s="53"/>
      <c r="LGQ56" s="53"/>
      <c r="LGR56" s="53"/>
      <c r="LGS56" s="53"/>
      <c r="LGT56" s="53"/>
      <c r="LGU56" s="53"/>
      <c r="LGV56" s="53"/>
      <c r="LGW56" s="53"/>
      <c r="LGX56" s="53"/>
      <c r="LGY56" s="53"/>
      <c r="LGZ56" s="53"/>
      <c r="LHA56" s="53"/>
      <c r="LHB56" s="53"/>
      <c r="LHC56" s="53"/>
      <c r="LHD56" s="53"/>
      <c r="LHE56" s="53"/>
      <c r="LHF56" s="53"/>
      <c r="LHG56" s="53"/>
      <c r="LHH56" s="53"/>
      <c r="LHI56" s="53"/>
      <c r="LHJ56" s="53"/>
      <c r="LHK56" s="53"/>
      <c r="LHL56" s="53"/>
      <c r="LHM56" s="53"/>
      <c r="LHN56" s="53"/>
      <c r="LHO56" s="53"/>
      <c r="LHP56" s="53"/>
      <c r="LHQ56" s="53"/>
      <c r="LHR56" s="53"/>
      <c r="LHS56" s="53"/>
      <c r="LHT56" s="53"/>
      <c r="LHU56" s="53"/>
      <c r="LHV56" s="53"/>
      <c r="LHW56" s="53"/>
      <c r="LHX56" s="53"/>
      <c r="LHY56" s="53"/>
      <c r="LHZ56" s="53"/>
      <c r="LIA56" s="53"/>
      <c r="LIB56" s="53"/>
      <c r="LIC56" s="53"/>
      <c r="LID56" s="53"/>
      <c r="LIE56" s="53"/>
      <c r="LIF56" s="53"/>
      <c r="LIG56" s="53"/>
      <c r="LIH56" s="53"/>
      <c r="LII56" s="53"/>
      <c r="LIJ56" s="53"/>
      <c r="LIK56" s="53"/>
      <c r="LIL56" s="53"/>
      <c r="LIM56" s="53"/>
      <c r="LIN56" s="53"/>
      <c r="LIO56" s="53"/>
      <c r="LIP56" s="53"/>
      <c r="LIQ56" s="53"/>
      <c r="LIR56" s="53"/>
      <c r="LIS56" s="53"/>
      <c r="LIT56" s="53"/>
      <c r="LIU56" s="53"/>
      <c r="LIV56" s="53"/>
      <c r="LIW56" s="53"/>
      <c r="LIX56" s="53"/>
      <c r="LIY56" s="53"/>
      <c r="LIZ56" s="53"/>
      <c r="LJA56" s="53"/>
      <c r="LJB56" s="53"/>
      <c r="LJC56" s="53"/>
      <c r="LJD56" s="53"/>
      <c r="LJE56" s="53"/>
      <c r="LJF56" s="53"/>
      <c r="LJG56" s="53"/>
      <c r="LJH56" s="53"/>
      <c r="LJI56" s="53"/>
      <c r="LJJ56" s="53"/>
      <c r="LJK56" s="53"/>
      <c r="LJL56" s="53"/>
      <c r="LJM56" s="53"/>
      <c r="LJN56" s="53"/>
      <c r="LJO56" s="53"/>
      <c r="LJP56" s="53"/>
      <c r="LJQ56" s="53"/>
      <c r="LJR56" s="53"/>
      <c r="LJS56" s="53"/>
      <c r="LJT56" s="53"/>
      <c r="LJU56" s="53"/>
      <c r="LJV56" s="53"/>
      <c r="LJW56" s="53"/>
      <c r="LJX56" s="53"/>
      <c r="LJY56" s="53"/>
      <c r="LJZ56" s="53"/>
      <c r="LKA56" s="53"/>
      <c r="LKB56" s="53"/>
      <c r="LKC56" s="53"/>
      <c r="LKD56" s="53"/>
      <c r="LKE56" s="53"/>
      <c r="LKF56" s="53"/>
      <c r="LKG56" s="53"/>
      <c r="LKH56" s="53"/>
      <c r="LKI56" s="53"/>
      <c r="LKJ56" s="53"/>
      <c r="LKK56" s="53"/>
      <c r="LKL56" s="53"/>
      <c r="LKM56" s="53"/>
      <c r="LKN56" s="53"/>
      <c r="LKO56" s="53"/>
      <c r="LKP56" s="53"/>
      <c r="LKQ56" s="53"/>
      <c r="LKR56" s="53"/>
      <c r="LKS56" s="53"/>
      <c r="LKT56" s="53"/>
      <c r="LKU56" s="53"/>
      <c r="LKV56" s="53"/>
      <c r="LKW56" s="53"/>
      <c r="LKX56" s="53"/>
      <c r="LKY56" s="53"/>
      <c r="LKZ56" s="53"/>
      <c r="LLA56" s="53"/>
      <c r="LLB56" s="53"/>
      <c r="LLC56" s="53"/>
      <c r="LLD56" s="53"/>
      <c r="LLE56" s="53"/>
      <c r="LLF56" s="53"/>
      <c r="LLG56" s="53"/>
      <c r="LLH56" s="53"/>
      <c r="LLI56" s="53"/>
      <c r="LLJ56" s="53"/>
      <c r="LLK56" s="53"/>
      <c r="LLL56" s="53"/>
      <c r="LLM56" s="53"/>
      <c r="LLN56" s="53"/>
      <c r="LLO56" s="53"/>
      <c r="LLP56" s="53"/>
      <c r="LLQ56" s="53"/>
      <c r="LLR56" s="53"/>
      <c r="LLS56" s="53"/>
      <c r="LLT56" s="53"/>
      <c r="LLU56" s="53"/>
      <c r="LLV56" s="53"/>
      <c r="LLW56" s="53"/>
      <c r="LLX56" s="53"/>
      <c r="LLY56" s="53"/>
      <c r="LLZ56" s="53"/>
      <c r="LMA56" s="53"/>
      <c r="LMB56" s="53"/>
      <c r="LMC56" s="53"/>
      <c r="LMD56" s="53"/>
      <c r="LME56" s="53"/>
      <c r="LMF56" s="53"/>
      <c r="LMG56" s="53"/>
      <c r="LMH56" s="53"/>
      <c r="LMI56" s="53"/>
      <c r="LMJ56" s="53"/>
      <c r="LMK56" s="53"/>
      <c r="LML56" s="53"/>
      <c r="LMM56" s="53"/>
      <c r="LMN56" s="53"/>
      <c r="LMO56" s="53"/>
      <c r="LMP56" s="53"/>
      <c r="LMQ56" s="53"/>
      <c r="LMR56" s="53"/>
      <c r="LMS56" s="53"/>
      <c r="LMT56" s="53"/>
      <c r="LMU56" s="53"/>
      <c r="LMV56" s="53"/>
      <c r="LMW56" s="53"/>
      <c r="LMX56" s="53"/>
      <c r="LMY56" s="53"/>
      <c r="LMZ56" s="53"/>
      <c r="LNA56" s="53"/>
      <c r="LNB56" s="53"/>
      <c r="LNC56" s="53"/>
      <c r="LND56" s="53"/>
      <c r="LNE56" s="53"/>
      <c r="LNF56" s="53"/>
      <c r="LNG56" s="53"/>
      <c r="LNH56" s="53"/>
      <c r="LNI56" s="53"/>
      <c r="LNJ56" s="53"/>
      <c r="LNK56" s="53"/>
      <c r="LNL56" s="53"/>
      <c r="LNM56" s="53"/>
      <c r="LNN56" s="53"/>
      <c r="LNO56" s="53"/>
      <c r="LNP56" s="53"/>
      <c r="LNQ56" s="53"/>
      <c r="LNR56" s="53"/>
      <c r="LNS56" s="53"/>
      <c r="LNT56" s="53"/>
      <c r="LNU56" s="53"/>
      <c r="LNV56" s="53"/>
      <c r="LNW56" s="53"/>
      <c r="LNX56" s="53"/>
      <c r="LNY56" s="53"/>
      <c r="LNZ56" s="53"/>
      <c r="LOA56" s="53"/>
      <c r="LOB56" s="53"/>
      <c r="LOC56" s="53"/>
      <c r="LOD56" s="53"/>
      <c r="LOE56" s="53"/>
      <c r="LOF56" s="53"/>
      <c r="LOG56" s="53"/>
      <c r="LOH56" s="53"/>
      <c r="LOI56" s="53"/>
      <c r="LOJ56" s="53"/>
      <c r="LOK56" s="53"/>
      <c r="LOL56" s="53"/>
      <c r="LOM56" s="53"/>
      <c r="LON56" s="53"/>
      <c r="LOO56" s="53"/>
      <c r="LOP56" s="53"/>
      <c r="LOQ56" s="53"/>
      <c r="LOR56" s="53"/>
      <c r="LOS56" s="53"/>
      <c r="LOT56" s="53"/>
      <c r="LOU56" s="53"/>
      <c r="LOV56" s="53"/>
      <c r="LOW56" s="53"/>
      <c r="LOX56" s="53"/>
      <c r="LOY56" s="53"/>
      <c r="LOZ56" s="53"/>
      <c r="LPA56" s="53"/>
      <c r="LPB56" s="53"/>
      <c r="LPC56" s="53"/>
      <c r="LPD56" s="53"/>
      <c r="LPE56" s="53"/>
      <c r="LPF56" s="53"/>
      <c r="LPG56" s="53"/>
      <c r="LPH56" s="53"/>
      <c r="LPI56" s="53"/>
      <c r="LPJ56" s="53"/>
      <c r="LPK56" s="53"/>
      <c r="LPL56" s="53"/>
      <c r="LPM56" s="53"/>
      <c r="LPN56" s="53"/>
      <c r="LPO56" s="53"/>
      <c r="LPP56" s="53"/>
      <c r="LPQ56" s="53"/>
      <c r="LPR56" s="53"/>
      <c r="LPS56" s="53"/>
      <c r="LPT56" s="53"/>
      <c r="LPU56" s="53"/>
      <c r="LPV56" s="53"/>
      <c r="LPW56" s="53"/>
      <c r="LPX56" s="53"/>
      <c r="LPY56" s="53"/>
      <c r="LPZ56" s="53"/>
      <c r="LQA56" s="53"/>
      <c r="LQB56" s="53"/>
      <c r="LQC56" s="53"/>
      <c r="LQD56" s="53"/>
      <c r="LQE56" s="53"/>
      <c r="LQF56" s="53"/>
      <c r="LQG56" s="53"/>
      <c r="LQH56" s="53"/>
      <c r="LQI56" s="53"/>
      <c r="LQJ56" s="53"/>
      <c r="LQK56" s="53"/>
      <c r="LQL56" s="53"/>
      <c r="LQM56" s="53"/>
      <c r="LQN56" s="53"/>
      <c r="LQO56" s="53"/>
      <c r="LQP56" s="53"/>
      <c r="LQQ56" s="53"/>
      <c r="LQR56" s="53"/>
      <c r="LQS56" s="53"/>
      <c r="LQT56" s="53"/>
      <c r="LQU56" s="53"/>
      <c r="LQV56" s="53"/>
      <c r="LQW56" s="53"/>
      <c r="LQX56" s="53"/>
      <c r="LQY56" s="53"/>
      <c r="LQZ56" s="53"/>
      <c r="LRA56" s="53"/>
      <c r="LRB56" s="53"/>
      <c r="LRC56" s="53"/>
      <c r="LRD56" s="53"/>
      <c r="LRE56" s="53"/>
      <c r="LRF56" s="53"/>
      <c r="LRG56" s="53"/>
      <c r="LRH56" s="53"/>
      <c r="LRI56" s="53"/>
      <c r="LRJ56" s="53"/>
      <c r="LRK56" s="53"/>
      <c r="LRL56" s="53"/>
      <c r="LRM56" s="53"/>
      <c r="LRN56" s="53"/>
      <c r="LRO56" s="53"/>
      <c r="LRP56" s="53"/>
      <c r="LRQ56" s="53"/>
      <c r="LRR56" s="53"/>
      <c r="LRS56" s="53"/>
      <c r="LRT56" s="53"/>
      <c r="LRU56" s="53"/>
      <c r="LRV56" s="53"/>
      <c r="LRW56" s="53"/>
      <c r="LRX56" s="53"/>
      <c r="LRY56" s="53"/>
      <c r="LRZ56" s="53"/>
      <c r="LSA56" s="53"/>
      <c r="LSB56" s="53"/>
      <c r="LSC56" s="53"/>
      <c r="LSD56" s="53"/>
      <c r="LSE56" s="53"/>
      <c r="LSF56" s="53"/>
      <c r="LSG56" s="53"/>
      <c r="LSH56" s="53"/>
      <c r="LSI56" s="53"/>
      <c r="LSJ56" s="53"/>
      <c r="LSK56" s="53"/>
      <c r="LSL56" s="53"/>
      <c r="LSM56" s="53"/>
      <c r="LSN56" s="53"/>
      <c r="LSO56" s="53"/>
      <c r="LSP56" s="53"/>
      <c r="LSQ56" s="53"/>
      <c r="LSR56" s="53"/>
      <c r="LSS56" s="53"/>
      <c r="LST56" s="53"/>
      <c r="LSU56" s="53"/>
      <c r="LSV56" s="53"/>
      <c r="LSW56" s="53"/>
      <c r="LSX56" s="53"/>
      <c r="LSY56" s="53"/>
      <c r="LSZ56" s="53"/>
      <c r="LTA56" s="53"/>
      <c r="LTB56" s="53"/>
      <c r="LTC56" s="53"/>
      <c r="LTD56" s="53"/>
      <c r="LTE56" s="53"/>
      <c r="LTF56" s="53"/>
      <c r="LTG56" s="53"/>
      <c r="LTH56" s="53"/>
      <c r="LTI56" s="53"/>
      <c r="LTJ56" s="53"/>
      <c r="LTK56" s="53"/>
      <c r="LTL56" s="53"/>
      <c r="LTM56" s="53"/>
      <c r="LTN56" s="53"/>
      <c r="LTO56" s="53"/>
      <c r="LTP56" s="53"/>
      <c r="LTQ56" s="53"/>
      <c r="LTR56" s="53"/>
      <c r="LTS56" s="53"/>
      <c r="LTT56" s="53"/>
      <c r="LTU56" s="53"/>
      <c r="LTV56" s="53"/>
      <c r="LTW56" s="53"/>
      <c r="LTX56" s="53"/>
      <c r="LTY56" s="53"/>
      <c r="LTZ56" s="53"/>
      <c r="LUA56" s="53"/>
      <c r="LUB56" s="53"/>
      <c r="LUC56" s="53"/>
      <c r="LUD56" s="53"/>
      <c r="LUE56" s="53"/>
      <c r="LUF56" s="53"/>
      <c r="LUG56" s="53"/>
      <c r="LUH56" s="53"/>
      <c r="LUI56" s="53"/>
      <c r="LUJ56" s="53"/>
      <c r="LUK56" s="53"/>
      <c r="LUL56" s="53"/>
      <c r="LUM56" s="53"/>
      <c r="LUN56" s="53"/>
      <c r="LUO56" s="53"/>
      <c r="LUP56" s="53"/>
      <c r="LUQ56" s="53"/>
      <c r="LUR56" s="53"/>
      <c r="LUS56" s="53"/>
      <c r="LUT56" s="53"/>
      <c r="LUU56" s="53"/>
      <c r="LUV56" s="53"/>
      <c r="LUW56" s="53"/>
      <c r="LUX56" s="53"/>
      <c r="LUY56" s="53"/>
      <c r="LUZ56" s="53"/>
      <c r="LVA56" s="53"/>
      <c r="LVB56" s="53"/>
      <c r="LVC56" s="53"/>
      <c r="LVD56" s="53"/>
      <c r="LVE56" s="53"/>
      <c r="LVF56" s="53"/>
      <c r="LVG56" s="53"/>
      <c r="LVH56" s="53"/>
      <c r="LVI56" s="53"/>
      <c r="LVJ56" s="53"/>
      <c r="LVK56" s="53"/>
      <c r="LVL56" s="53"/>
      <c r="LVM56" s="53"/>
      <c r="LVN56" s="53"/>
      <c r="LVO56" s="53"/>
      <c r="LVP56" s="53"/>
      <c r="LVQ56" s="53"/>
      <c r="LVR56" s="53"/>
      <c r="LVS56" s="53"/>
      <c r="LVT56" s="53"/>
      <c r="LVU56" s="53"/>
      <c r="LVV56" s="53"/>
      <c r="LVW56" s="53"/>
      <c r="LVX56" s="53"/>
      <c r="LVY56" s="53"/>
      <c r="LVZ56" s="53"/>
      <c r="LWA56" s="53"/>
      <c r="LWB56" s="53"/>
      <c r="LWC56" s="53"/>
      <c r="LWD56" s="53"/>
      <c r="LWE56" s="53"/>
      <c r="LWF56" s="53"/>
      <c r="LWG56" s="53"/>
      <c r="LWH56" s="53"/>
      <c r="LWI56" s="53"/>
      <c r="LWJ56" s="53"/>
      <c r="LWK56" s="53"/>
      <c r="LWL56" s="53"/>
      <c r="LWM56" s="53"/>
      <c r="LWN56" s="53"/>
      <c r="LWO56" s="53"/>
      <c r="LWP56" s="53"/>
      <c r="LWQ56" s="53"/>
      <c r="LWR56" s="53"/>
      <c r="LWS56" s="53"/>
      <c r="LWT56" s="53"/>
      <c r="LWU56" s="53"/>
      <c r="LWV56" s="53"/>
      <c r="LWW56" s="53"/>
      <c r="LWX56" s="53"/>
      <c r="LWY56" s="53"/>
      <c r="LWZ56" s="53"/>
      <c r="LXA56" s="53"/>
      <c r="LXB56" s="53"/>
      <c r="LXC56" s="53"/>
      <c r="LXD56" s="53"/>
      <c r="LXE56" s="53"/>
      <c r="LXF56" s="53"/>
      <c r="LXG56" s="53"/>
      <c r="LXH56" s="53"/>
      <c r="LXI56" s="53"/>
      <c r="LXJ56" s="53"/>
      <c r="LXK56" s="53"/>
      <c r="LXL56" s="53"/>
      <c r="LXM56" s="53"/>
      <c r="LXN56" s="53"/>
      <c r="LXO56" s="53"/>
      <c r="LXP56" s="53"/>
      <c r="LXQ56" s="53"/>
      <c r="LXR56" s="53"/>
      <c r="LXS56" s="53"/>
      <c r="LXT56" s="53"/>
      <c r="LXU56" s="53"/>
      <c r="LXV56" s="53"/>
      <c r="LXW56" s="53"/>
      <c r="LXX56" s="53"/>
      <c r="LXY56" s="53"/>
      <c r="LXZ56" s="53"/>
      <c r="LYA56" s="53"/>
      <c r="LYB56" s="53"/>
      <c r="LYC56" s="53"/>
      <c r="LYD56" s="53"/>
      <c r="LYE56" s="53"/>
      <c r="LYF56" s="53"/>
      <c r="LYG56" s="53"/>
      <c r="LYH56" s="53"/>
      <c r="LYI56" s="53"/>
      <c r="LYJ56" s="53"/>
      <c r="LYK56" s="53"/>
      <c r="LYL56" s="53"/>
      <c r="LYM56" s="53"/>
      <c r="LYN56" s="53"/>
      <c r="LYO56" s="53"/>
      <c r="LYP56" s="53"/>
      <c r="LYQ56" s="53"/>
      <c r="LYR56" s="53"/>
      <c r="LYS56" s="53"/>
      <c r="LYT56" s="53"/>
      <c r="LYU56" s="53"/>
      <c r="LYV56" s="53"/>
      <c r="LYW56" s="53"/>
      <c r="LYX56" s="53"/>
      <c r="LYY56" s="53"/>
      <c r="LYZ56" s="53"/>
      <c r="LZA56" s="53"/>
      <c r="LZB56" s="53"/>
      <c r="LZC56" s="53"/>
      <c r="LZD56" s="53"/>
      <c r="LZE56" s="53"/>
      <c r="LZF56" s="53"/>
      <c r="LZG56" s="53"/>
      <c r="LZH56" s="53"/>
      <c r="LZI56" s="53"/>
      <c r="LZJ56" s="53"/>
      <c r="LZK56" s="53"/>
      <c r="LZL56" s="53"/>
      <c r="LZM56" s="53"/>
      <c r="LZN56" s="53"/>
      <c r="LZO56" s="53"/>
      <c r="LZP56" s="53"/>
      <c r="LZQ56" s="53"/>
      <c r="LZR56" s="53"/>
      <c r="LZS56" s="53"/>
      <c r="LZT56" s="53"/>
      <c r="LZU56" s="53"/>
      <c r="LZV56" s="53"/>
      <c r="LZW56" s="53"/>
      <c r="LZX56" s="53"/>
      <c r="LZY56" s="53"/>
      <c r="LZZ56" s="53"/>
      <c r="MAA56" s="53"/>
      <c r="MAB56" s="53"/>
      <c r="MAC56" s="53"/>
      <c r="MAD56" s="53"/>
      <c r="MAE56" s="53"/>
      <c r="MAF56" s="53"/>
      <c r="MAG56" s="53"/>
      <c r="MAH56" s="53"/>
      <c r="MAI56" s="53"/>
      <c r="MAJ56" s="53"/>
      <c r="MAK56" s="53"/>
      <c r="MAL56" s="53"/>
      <c r="MAM56" s="53"/>
      <c r="MAN56" s="53"/>
      <c r="MAO56" s="53"/>
      <c r="MAP56" s="53"/>
      <c r="MAQ56" s="53"/>
      <c r="MAR56" s="53"/>
      <c r="MAS56" s="53"/>
      <c r="MAT56" s="53"/>
      <c r="MAU56" s="53"/>
      <c r="MAV56" s="53"/>
      <c r="MAW56" s="53"/>
      <c r="MAX56" s="53"/>
      <c r="MAY56" s="53"/>
      <c r="MAZ56" s="53"/>
      <c r="MBA56" s="53"/>
      <c r="MBB56" s="53"/>
      <c r="MBC56" s="53"/>
      <c r="MBD56" s="53"/>
      <c r="MBE56" s="53"/>
      <c r="MBF56" s="53"/>
      <c r="MBG56" s="53"/>
      <c r="MBH56" s="53"/>
      <c r="MBI56" s="53"/>
      <c r="MBJ56" s="53"/>
      <c r="MBK56" s="53"/>
      <c r="MBL56" s="53"/>
      <c r="MBM56" s="53"/>
      <c r="MBN56" s="53"/>
      <c r="MBO56" s="53"/>
      <c r="MBP56" s="53"/>
      <c r="MBQ56" s="53"/>
      <c r="MBR56" s="53"/>
      <c r="MBS56" s="53"/>
      <c r="MBT56" s="53"/>
      <c r="MBU56" s="53"/>
      <c r="MBV56" s="53"/>
      <c r="MBW56" s="53"/>
      <c r="MBX56" s="53"/>
      <c r="MBY56" s="53"/>
      <c r="MBZ56" s="53"/>
      <c r="MCA56" s="53"/>
      <c r="MCB56" s="53"/>
      <c r="MCC56" s="53"/>
      <c r="MCD56" s="53"/>
      <c r="MCE56" s="53"/>
      <c r="MCF56" s="53"/>
      <c r="MCG56" s="53"/>
      <c r="MCH56" s="53"/>
      <c r="MCI56" s="53"/>
      <c r="MCJ56" s="53"/>
      <c r="MCK56" s="53"/>
      <c r="MCL56" s="53"/>
      <c r="MCM56" s="53"/>
      <c r="MCN56" s="53"/>
      <c r="MCO56" s="53"/>
      <c r="MCP56" s="53"/>
      <c r="MCQ56" s="53"/>
      <c r="MCR56" s="53"/>
      <c r="MCS56" s="53"/>
      <c r="MCT56" s="53"/>
      <c r="MCU56" s="53"/>
      <c r="MCV56" s="53"/>
      <c r="MCW56" s="53"/>
      <c r="MCX56" s="53"/>
      <c r="MCY56" s="53"/>
      <c r="MCZ56" s="53"/>
      <c r="MDA56" s="53"/>
      <c r="MDB56" s="53"/>
      <c r="MDC56" s="53"/>
      <c r="MDD56" s="53"/>
      <c r="MDE56" s="53"/>
      <c r="MDF56" s="53"/>
      <c r="MDG56" s="53"/>
      <c r="MDH56" s="53"/>
      <c r="MDI56" s="53"/>
      <c r="MDJ56" s="53"/>
      <c r="MDK56" s="53"/>
      <c r="MDL56" s="53"/>
      <c r="MDM56" s="53"/>
      <c r="MDN56" s="53"/>
      <c r="MDO56" s="53"/>
      <c r="MDP56" s="53"/>
      <c r="MDQ56" s="53"/>
      <c r="MDR56" s="53"/>
      <c r="MDS56" s="53"/>
      <c r="MDT56" s="53"/>
      <c r="MDU56" s="53"/>
      <c r="MDV56" s="53"/>
      <c r="MDW56" s="53"/>
      <c r="MDX56" s="53"/>
      <c r="MDY56" s="53"/>
      <c r="MDZ56" s="53"/>
      <c r="MEA56" s="53"/>
      <c r="MEB56" s="53"/>
      <c r="MEC56" s="53"/>
      <c r="MED56" s="53"/>
      <c r="MEE56" s="53"/>
      <c r="MEF56" s="53"/>
      <c r="MEG56" s="53"/>
      <c r="MEH56" s="53"/>
      <c r="MEI56" s="53"/>
      <c r="MEJ56" s="53"/>
      <c r="MEK56" s="53"/>
      <c r="MEL56" s="53"/>
      <c r="MEM56" s="53"/>
      <c r="MEN56" s="53"/>
      <c r="MEO56" s="53"/>
      <c r="MEP56" s="53"/>
      <c r="MEQ56" s="53"/>
      <c r="MER56" s="53"/>
      <c r="MES56" s="53"/>
      <c r="MET56" s="53"/>
      <c r="MEU56" s="53"/>
      <c r="MEV56" s="53"/>
      <c r="MEW56" s="53"/>
      <c r="MEX56" s="53"/>
      <c r="MEY56" s="53"/>
      <c r="MEZ56" s="53"/>
      <c r="MFA56" s="53"/>
      <c r="MFB56" s="53"/>
      <c r="MFC56" s="53"/>
      <c r="MFD56" s="53"/>
      <c r="MFE56" s="53"/>
      <c r="MFF56" s="53"/>
      <c r="MFG56" s="53"/>
      <c r="MFH56" s="53"/>
      <c r="MFI56" s="53"/>
      <c r="MFJ56" s="53"/>
      <c r="MFK56" s="53"/>
      <c r="MFL56" s="53"/>
      <c r="MFM56" s="53"/>
      <c r="MFN56" s="53"/>
      <c r="MFO56" s="53"/>
      <c r="MFP56" s="53"/>
      <c r="MFQ56" s="53"/>
      <c r="MFR56" s="53"/>
      <c r="MFS56" s="53"/>
      <c r="MFT56" s="53"/>
      <c r="MFU56" s="53"/>
      <c r="MFV56" s="53"/>
      <c r="MFW56" s="53"/>
      <c r="MFX56" s="53"/>
      <c r="MFY56" s="53"/>
      <c r="MFZ56" s="53"/>
      <c r="MGA56" s="53"/>
      <c r="MGB56" s="53"/>
      <c r="MGC56" s="53"/>
      <c r="MGD56" s="53"/>
      <c r="MGE56" s="53"/>
      <c r="MGF56" s="53"/>
      <c r="MGG56" s="53"/>
      <c r="MGH56" s="53"/>
      <c r="MGI56" s="53"/>
      <c r="MGJ56" s="53"/>
      <c r="MGK56" s="53"/>
      <c r="MGL56" s="53"/>
      <c r="MGM56" s="53"/>
      <c r="MGN56" s="53"/>
      <c r="MGO56" s="53"/>
      <c r="MGP56" s="53"/>
      <c r="MGQ56" s="53"/>
      <c r="MGR56" s="53"/>
      <c r="MGS56" s="53"/>
      <c r="MGT56" s="53"/>
      <c r="MGU56" s="53"/>
      <c r="MGV56" s="53"/>
      <c r="MGW56" s="53"/>
      <c r="MGX56" s="53"/>
      <c r="MGY56" s="53"/>
      <c r="MGZ56" s="53"/>
      <c r="MHA56" s="53"/>
      <c r="MHB56" s="53"/>
      <c r="MHC56" s="53"/>
      <c r="MHD56" s="53"/>
      <c r="MHE56" s="53"/>
      <c r="MHF56" s="53"/>
      <c r="MHG56" s="53"/>
      <c r="MHH56" s="53"/>
      <c r="MHI56" s="53"/>
      <c r="MHJ56" s="53"/>
      <c r="MHK56" s="53"/>
      <c r="MHL56" s="53"/>
      <c r="MHM56" s="53"/>
      <c r="MHN56" s="53"/>
      <c r="MHO56" s="53"/>
      <c r="MHP56" s="53"/>
      <c r="MHQ56" s="53"/>
      <c r="MHR56" s="53"/>
      <c r="MHS56" s="53"/>
      <c r="MHT56" s="53"/>
      <c r="MHU56" s="53"/>
      <c r="MHV56" s="53"/>
      <c r="MHW56" s="53"/>
      <c r="MHX56" s="53"/>
      <c r="MHY56" s="53"/>
      <c r="MHZ56" s="53"/>
      <c r="MIA56" s="53"/>
      <c r="MIB56" s="53"/>
      <c r="MIC56" s="53"/>
      <c r="MID56" s="53"/>
      <c r="MIE56" s="53"/>
      <c r="MIF56" s="53"/>
      <c r="MIG56" s="53"/>
      <c r="MIH56" s="53"/>
      <c r="MII56" s="53"/>
      <c r="MIJ56" s="53"/>
      <c r="MIK56" s="53"/>
      <c r="MIL56" s="53"/>
      <c r="MIM56" s="53"/>
      <c r="MIN56" s="53"/>
      <c r="MIO56" s="53"/>
      <c r="MIP56" s="53"/>
      <c r="MIQ56" s="53"/>
      <c r="MIR56" s="53"/>
      <c r="MIS56" s="53"/>
      <c r="MIT56" s="53"/>
      <c r="MIU56" s="53"/>
      <c r="MIV56" s="53"/>
      <c r="MIW56" s="53"/>
      <c r="MIX56" s="53"/>
      <c r="MIY56" s="53"/>
      <c r="MIZ56" s="53"/>
      <c r="MJA56" s="53"/>
      <c r="MJB56" s="53"/>
      <c r="MJC56" s="53"/>
      <c r="MJD56" s="53"/>
      <c r="MJE56" s="53"/>
      <c r="MJF56" s="53"/>
      <c r="MJG56" s="53"/>
      <c r="MJH56" s="53"/>
      <c r="MJI56" s="53"/>
      <c r="MJJ56" s="53"/>
      <c r="MJK56" s="53"/>
      <c r="MJL56" s="53"/>
      <c r="MJM56" s="53"/>
      <c r="MJN56" s="53"/>
      <c r="MJO56" s="53"/>
      <c r="MJP56" s="53"/>
      <c r="MJQ56" s="53"/>
      <c r="MJR56" s="53"/>
      <c r="MJS56" s="53"/>
      <c r="MJT56" s="53"/>
      <c r="MJU56" s="53"/>
      <c r="MJV56" s="53"/>
      <c r="MJW56" s="53"/>
      <c r="MJX56" s="53"/>
      <c r="MJY56" s="53"/>
      <c r="MJZ56" s="53"/>
      <c r="MKA56" s="53"/>
      <c r="MKB56" s="53"/>
      <c r="MKC56" s="53"/>
      <c r="MKD56" s="53"/>
      <c r="MKE56" s="53"/>
      <c r="MKF56" s="53"/>
      <c r="MKG56" s="53"/>
      <c r="MKH56" s="53"/>
      <c r="MKI56" s="53"/>
      <c r="MKJ56" s="53"/>
      <c r="MKK56" s="53"/>
      <c r="MKL56" s="53"/>
      <c r="MKM56" s="53"/>
      <c r="MKN56" s="53"/>
      <c r="MKO56" s="53"/>
      <c r="MKP56" s="53"/>
      <c r="MKQ56" s="53"/>
      <c r="MKR56" s="53"/>
      <c r="MKS56" s="53"/>
      <c r="MKT56" s="53"/>
      <c r="MKU56" s="53"/>
      <c r="MKV56" s="53"/>
      <c r="MKW56" s="53"/>
      <c r="MKX56" s="53"/>
      <c r="MKY56" s="53"/>
      <c r="MKZ56" s="53"/>
      <c r="MLA56" s="53"/>
      <c r="MLB56" s="53"/>
      <c r="MLC56" s="53"/>
      <c r="MLD56" s="53"/>
      <c r="MLE56" s="53"/>
      <c r="MLF56" s="53"/>
      <c r="MLG56" s="53"/>
      <c r="MLH56" s="53"/>
      <c r="MLI56" s="53"/>
      <c r="MLJ56" s="53"/>
      <c r="MLK56" s="53"/>
      <c r="MLL56" s="53"/>
      <c r="MLM56" s="53"/>
      <c r="MLN56" s="53"/>
      <c r="MLO56" s="53"/>
      <c r="MLP56" s="53"/>
      <c r="MLQ56" s="53"/>
      <c r="MLR56" s="53"/>
      <c r="MLS56" s="53"/>
      <c r="MLT56" s="53"/>
      <c r="MLU56" s="53"/>
      <c r="MLV56" s="53"/>
      <c r="MLW56" s="53"/>
      <c r="MLX56" s="53"/>
      <c r="MLY56" s="53"/>
      <c r="MLZ56" s="53"/>
      <c r="MMA56" s="53"/>
      <c r="MMB56" s="53"/>
      <c r="MMC56" s="53"/>
      <c r="MMD56" s="53"/>
      <c r="MME56" s="53"/>
      <c r="MMF56" s="53"/>
      <c r="MMG56" s="53"/>
      <c r="MMH56" s="53"/>
      <c r="MMI56" s="53"/>
      <c r="MMJ56" s="53"/>
      <c r="MMK56" s="53"/>
      <c r="MML56" s="53"/>
      <c r="MMM56" s="53"/>
      <c r="MMN56" s="53"/>
      <c r="MMO56" s="53"/>
      <c r="MMP56" s="53"/>
      <c r="MMQ56" s="53"/>
      <c r="MMR56" s="53"/>
      <c r="MMS56" s="53"/>
      <c r="MMT56" s="53"/>
      <c r="MMU56" s="53"/>
      <c r="MMV56" s="53"/>
      <c r="MMW56" s="53"/>
      <c r="MMX56" s="53"/>
      <c r="MMY56" s="53"/>
      <c r="MMZ56" s="53"/>
      <c r="MNA56" s="53"/>
      <c r="MNB56" s="53"/>
      <c r="MNC56" s="53"/>
      <c r="MND56" s="53"/>
      <c r="MNE56" s="53"/>
      <c r="MNF56" s="53"/>
      <c r="MNG56" s="53"/>
      <c r="MNH56" s="53"/>
      <c r="MNI56" s="53"/>
      <c r="MNJ56" s="53"/>
      <c r="MNK56" s="53"/>
      <c r="MNL56" s="53"/>
      <c r="MNM56" s="53"/>
      <c r="MNN56" s="53"/>
      <c r="MNO56" s="53"/>
      <c r="MNP56" s="53"/>
      <c r="MNQ56" s="53"/>
      <c r="MNR56" s="53"/>
      <c r="MNS56" s="53"/>
      <c r="MNT56" s="53"/>
      <c r="MNU56" s="53"/>
      <c r="MNV56" s="53"/>
      <c r="MNW56" s="53"/>
      <c r="MNX56" s="53"/>
      <c r="MNY56" s="53"/>
      <c r="MNZ56" s="53"/>
      <c r="MOA56" s="53"/>
      <c r="MOB56" s="53"/>
      <c r="MOC56" s="53"/>
      <c r="MOD56" s="53"/>
      <c r="MOE56" s="53"/>
      <c r="MOF56" s="53"/>
      <c r="MOG56" s="53"/>
      <c r="MOH56" s="53"/>
      <c r="MOI56" s="53"/>
      <c r="MOJ56" s="53"/>
      <c r="MOK56" s="53"/>
      <c r="MOL56" s="53"/>
      <c r="MOM56" s="53"/>
      <c r="MON56" s="53"/>
      <c r="MOO56" s="53"/>
      <c r="MOP56" s="53"/>
      <c r="MOQ56" s="53"/>
      <c r="MOR56" s="53"/>
      <c r="MOS56" s="53"/>
      <c r="MOT56" s="53"/>
      <c r="MOU56" s="53"/>
      <c r="MOV56" s="53"/>
      <c r="MOW56" s="53"/>
      <c r="MOX56" s="53"/>
      <c r="MOY56" s="53"/>
      <c r="MOZ56" s="53"/>
      <c r="MPA56" s="53"/>
      <c r="MPB56" s="53"/>
      <c r="MPC56" s="53"/>
      <c r="MPD56" s="53"/>
      <c r="MPE56" s="53"/>
      <c r="MPF56" s="53"/>
      <c r="MPG56" s="53"/>
      <c r="MPH56" s="53"/>
      <c r="MPI56" s="53"/>
      <c r="MPJ56" s="53"/>
      <c r="MPK56" s="53"/>
      <c r="MPL56" s="53"/>
      <c r="MPM56" s="53"/>
      <c r="MPN56" s="53"/>
      <c r="MPO56" s="53"/>
      <c r="MPP56" s="53"/>
      <c r="MPQ56" s="53"/>
      <c r="MPR56" s="53"/>
      <c r="MPS56" s="53"/>
      <c r="MPT56" s="53"/>
      <c r="MPU56" s="53"/>
      <c r="MPV56" s="53"/>
      <c r="MPW56" s="53"/>
      <c r="MPX56" s="53"/>
      <c r="MPY56" s="53"/>
      <c r="MPZ56" s="53"/>
      <c r="MQA56" s="53"/>
      <c r="MQB56" s="53"/>
      <c r="MQC56" s="53"/>
      <c r="MQD56" s="53"/>
      <c r="MQE56" s="53"/>
      <c r="MQF56" s="53"/>
      <c r="MQG56" s="53"/>
      <c r="MQH56" s="53"/>
      <c r="MQI56" s="53"/>
      <c r="MQJ56" s="53"/>
      <c r="MQK56" s="53"/>
      <c r="MQL56" s="53"/>
      <c r="MQM56" s="53"/>
      <c r="MQN56" s="53"/>
      <c r="MQO56" s="53"/>
      <c r="MQP56" s="53"/>
      <c r="MQQ56" s="53"/>
      <c r="MQR56" s="53"/>
      <c r="MQS56" s="53"/>
      <c r="MQT56" s="53"/>
      <c r="MQU56" s="53"/>
      <c r="MQV56" s="53"/>
      <c r="MQW56" s="53"/>
      <c r="MQX56" s="53"/>
      <c r="MQY56" s="53"/>
      <c r="MQZ56" s="53"/>
      <c r="MRA56" s="53"/>
      <c r="MRB56" s="53"/>
      <c r="MRC56" s="53"/>
      <c r="MRD56" s="53"/>
      <c r="MRE56" s="53"/>
      <c r="MRF56" s="53"/>
      <c r="MRG56" s="53"/>
      <c r="MRH56" s="53"/>
      <c r="MRI56" s="53"/>
      <c r="MRJ56" s="53"/>
      <c r="MRK56" s="53"/>
      <c r="MRL56" s="53"/>
      <c r="MRM56" s="53"/>
      <c r="MRN56" s="53"/>
      <c r="MRO56" s="53"/>
      <c r="MRP56" s="53"/>
      <c r="MRQ56" s="53"/>
      <c r="MRR56" s="53"/>
      <c r="MRS56" s="53"/>
      <c r="MRT56" s="53"/>
      <c r="MRU56" s="53"/>
      <c r="MRV56" s="53"/>
      <c r="MRW56" s="53"/>
      <c r="MRX56" s="53"/>
      <c r="MRY56" s="53"/>
      <c r="MRZ56" s="53"/>
      <c r="MSA56" s="53"/>
      <c r="MSB56" s="53"/>
      <c r="MSC56" s="53"/>
      <c r="MSD56" s="53"/>
      <c r="MSE56" s="53"/>
      <c r="MSF56" s="53"/>
      <c r="MSG56" s="53"/>
      <c r="MSH56" s="53"/>
      <c r="MSI56" s="53"/>
      <c r="MSJ56" s="53"/>
      <c r="MSK56" s="53"/>
      <c r="MSL56" s="53"/>
      <c r="MSM56" s="53"/>
      <c r="MSN56" s="53"/>
      <c r="MSO56" s="53"/>
      <c r="MSP56" s="53"/>
      <c r="MSQ56" s="53"/>
      <c r="MSR56" s="53"/>
      <c r="MSS56" s="53"/>
      <c r="MST56" s="53"/>
      <c r="MSU56" s="53"/>
      <c r="MSV56" s="53"/>
      <c r="MSW56" s="53"/>
      <c r="MSX56" s="53"/>
      <c r="MSY56" s="53"/>
      <c r="MSZ56" s="53"/>
      <c r="MTA56" s="53"/>
      <c r="MTB56" s="53"/>
      <c r="MTC56" s="53"/>
      <c r="MTD56" s="53"/>
      <c r="MTE56" s="53"/>
      <c r="MTF56" s="53"/>
      <c r="MTG56" s="53"/>
      <c r="MTH56" s="53"/>
      <c r="MTI56" s="53"/>
      <c r="MTJ56" s="53"/>
      <c r="MTK56" s="53"/>
      <c r="MTL56" s="53"/>
      <c r="MTM56" s="53"/>
      <c r="MTN56" s="53"/>
      <c r="MTO56" s="53"/>
      <c r="MTP56" s="53"/>
      <c r="MTQ56" s="53"/>
      <c r="MTR56" s="53"/>
      <c r="MTS56" s="53"/>
      <c r="MTT56" s="53"/>
      <c r="MTU56" s="53"/>
      <c r="MTV56" s="53"/>
      <c r="MTW56" s="53"/>
      <c r="MTX56" s="53"/>
      <c r="MTY56" s="53"/>
      <c r="MTZ56" s="53"/>
      <c r="MUA56" s="53"/>
      <c r="MUB56" s="53"/>
      <c r="MUC56" s="53"/>
      <c r="MUD56" s="53"/>
      <c r="MUE56" s="53"/>
      <c r="MUF56" s="53"/>
      <c r="MUG56" s="53"/>
      <c r="MUH56" s="53"/>
      <c r="MUI56" s="53"/>
      <c r="MUJ56" s="53"/>
      <c r="MUK56" s="53"/>
      <c r="MUL56" s="53"/>
      <c r="MUM56" s="53"/>
      <c r="MUN56" s="53"/>
      <c r="MUO56" s="53"/>
      <c r="MUP56" s="53"/>
      <c r="MUQ56" s="53"/>
      <c r="MUR56" s="53"/>
      <c r="MUS56" s="53"/>
      <c r="MUT56" s="53"/>
      <c r="MUU56" s="53"/>
      <c r="MUV56" s="53"/>
      <c r="MUW56" s="53"/>
      <c r="MUX56" s="53"/>
      <c r="MUY56" s="53"/>
      <c r="MUZ56" s="53"/>
      <c r="MVA56" s="53"/>
      <c r="MVB56" s="53"/>
      <c r="MVC56" s="53"/>
      <c r="MVD56" s="53"/>
      <c r="MVE56" s="53"/>
      <c r="MVF56" s="53"/>
      <c r="MVG56" s="53"/>
      <c r="MVH56" s="53"/>
      <c r="MVI56" s="53"/>
      <c r="MVJ56" s="53"/>
      <c r="MVK56" s="53"/>
      <c r="MVL56" s="53"/>
      <c r="MVM56" s="53"/>
      <c r="MVN56" s="53"/>
      <c r="MVO56" s="53"/>
      <c r="MVP56" s="53"/>
      <c r="MVQ56" s="53"/>
      <c r="MVR56" s="53"/>
      <c r="MVS56" s="53"/>
      <c r="MVT56" s="53"/>
      <c r="MVU56" s="53"/>
      <c r="MVV56" s="53"/>
      <c r="MVW56" s="53"/>
      <c r="MVX56" s="53"/>
      <c r="MVY56" s="53"/>
      <c r="MVZ56" s="53"/>
      <c r="MWA56" s="53"/>
      <c r="MWB56" s="53"/>
      <c r="MWC56" s="53"/>
      <c r="MWD56" s="53"/>
      <c r="MWE56" s="53"/>
      <c r="MWF56" s="53"/>
      <c r="MWG56" s="53"/>
      <c r="MWH56" s="53"/>
      <c r="MWI56" s="53"/>
      <c r="MWJ56" s="53"/>
      <c r="MWK56" s="53"/>
      <c r="MWL56" s="53"/>
      <c r="MWM56" s="53"/>
      <c r="MWN56" s="53"/>
      <c r="MWO56" s="53"/>
      <c r="MWP56" s="53"/>
      <c r="MWQ56" s="53"/>
      <c r="MWR56" s="53"/>
      <c r="MWS56" s="53"/>
      <c r="MWT56" s="53"/>
      <c r="MWU56" s="53"/>
      <c r="MWV56" s="53"/>
      <c r="MWW56" s="53"/>
      <c r="MWX56" s="53"/>
      <c r="MWY56" s="53"/>
      <c r="MWZ56" s="53"/>
      <c r="MXA56" s="53"/>
      <c r="MXB56" s="53"/>
      <c r="MXC56" s="53"/>
      <c r="MXD56" s="53"/>
      <c r="MXE56" s="53"/>
      <c r="MXF56" s="53"/>
      <c r="MXG56" s="53"/>
      <c r="MXH56" s="53"/>
      <c r="MXI56" s="53"/>
      <c r="MXJ56" s="53"/>
      <c r="MXK56" s="53"/>
      <c r="MXL56" s="53"/>
      <c r="MXM56" s="53"/>
      <c r="MXN56" s="53"/>
      <c r="MXO56" s="53"/>
      <c r="MXP56" s="53"/>
      <c r="MXQ56" s="53"/>
      <c r="MXR56" s="53"/>
      <c r="MXS56" s="53"/>
      <c r="MXT56" s="53"/>
      <c r="MXU56" s="53"/>
      <c r="MXV56" s="53"/>
      <c r="MXW56" s="53"/>
      <c r="MXX56" s="53"/>
      <c r="MXY56" s="53"/>
      <c r="MXZ56" s="53"/>
      <c r="MYA56" s="53"/>
      <c r="MYB56" s="53"/>
      <c r="MYC56" s="53"/>
      <c r="MYD56" s="53"/>
      <c r="MYE56" s="53"/>
      <c r="MYF56" s="53"/>
      <c r="MYG56" s="53"/>
      <c r="MYH56" s="53"/>
      <c r="MYI56" s="53"/>
      <c r="MYJ56" s="53"/>
      <c r="MYK56" s="53"/>
      <c r="MYL56" s="53"/>
      <c r="MYM56" s="53"/>
      <c r="MYN56" s="53"/>
      <c r="MYO56" s="53"/>
      <c r="MYP56" s="53"/>
      <c r="MYQ56" s="53"/>
      <c r="MYR56" s="53"/>
      <c r="MYS56" s="53"/>
      <c r="MYT56" s="53"/>
      <c r="MYU56" s="53"/>
      <c r="MYV56" s="53"/>
      <c r="MYW56" s="53"/>
      <c r="MYX56" s="53"/>
      <c r="MYY56" s="53"/>
      <c r="MYZ56" s="53"/>
      <c r="MZA56" s="53"/>
      <c r="MZB56" s="53"/>
      <c r="MZC56" s="53"/>
      <c r="MZD56" s="53"/>
      <c r="MZE56" s="53"/>
      <c r="MZF56" s="53"/>
      <c r="MZG56" s="53"/>
      <c r="MZH56" s="53"/>
      <c r="MZI56" s="53"/>
      <c r="MZJ56" s="53"/>
      <c r="MZK56" s="53"/>
      <c r="MZL56" s="53"/>
      <c r="MZM56" s="53"/>
      <c r="MZN56" s="53"/>
      <c r="MZO56" s="53"/>
      <c r="MZP56" s="53"/>
      <c r="MZQ56" s="53"/>
      <c r="MZR56" s="53"/>
      <c r="MZS56" s="53"/>
      <c r="MZT56" s="53"/>
      <c r="MZU56" s="53"/>
      <c r="MZV56" s="53"/>
      <c r="MZW56" s="53"/>
      <c r="MZX56" s="53"/>
      <c r="MZY56" s="53"/>
      <c r="MZZ56" s="53"/>
      <c r="NAA56" s="53"/>
      <c r="NAB56" s="53"/>
      <c r="NAC56" s="53"/>
      <c r="NAD56" s="53"/>
      <c r="NAE56" s="53"/>
      <c r="NAF56" s="53"/>
      <c r="NAG56" s="53"/>
      <c r="NAH56" s="53"/>
      <c r="NAI56" s="53"/>
      <c r="NAJ56" s="53"/>
      <c r="NAK56" s="53"/>
      <c r="NAL56" s="53"/>
      <c r="NAM56" s="53"/>
      <c r="NAN56" s="53"/>
      <c r="NAO56" s="53"/>
      <c r="NAP56" s="53"/>
      <c r="NAQ56" s="53"/>
      <c r="NAR56" s="53"/>
      <c r="NAS56" s="53"/>
      <c r="NAT56" s="53"/>
      <c r="NAU56" s="53"/>
      <c r="NAV56" s="53"/>
      <c r="NAW56" s="53"/>
      <c r="NAX56" s="53"/>
      <c r="NAY56" s="53"/>
      <c r="NAZ56" s="53"/>
      <c r="NBA56" s="53"/>
      <c r="NBB56" s="53"/>
      <c r="NBC56" s="53"/>
      <c r="NBD56" s="53"/>
      <c r="NBE56" s="53"/>
      <c r="NBF56" s="53"/>
      <c r="NBG56" s="53"/>
      <c r="NBH56" s="53"/>
      <c r="NBI56" s="53"/>
      <c r="NBJ56" s="53"/>
      <c r="NBK56" s="53"/>
      <c r="NBL56" s="53"/>
      <c r="NBM56" s="53"/>
      <c r="NBN56" s="53"/>
      <c r="NBO56" s="53"/>
      <c r="NBP56" s="53"/>
      <c r="NBQ56" s="53"/>
      <c r="NBR56" s="53"/>
      <c r="NBS56" s="53"/>
      <c r="NBT56" s="53"/>
      <c r="NBU56" s="53"/>
      <c r="NBV56" s="53"/>
      <c r="NBW56" s="53"/>
      <c r="NBX56" s="53"/>
      <c r="NBY56" s="53"/>
      <c r="NBZ56" s="53"/>
      <c r="NCA56" s="53"/>
      <c r="NCB56" s="53"/>
      <c r="NCC56" s="53"/>
      <c r="NCD56" s="53"/>
      <c r="NCE56" s="53"/>
      <c r="NCF56" s="53"/>
      <c r="NCG56" s="53"/>
      <c r="NCH56" s="53"/>
      <c r="NCI56" s="53"/>
      <c r="NCJ56" s="53"/>
      <c r="NCK56" s="53"/>
      <c r="NCL56" s="53"/>
      <c r="NCM56" s="53"/>
      <c r="NCN56" s="53"/>
      <c r="NCO56" s="53"/>
      <c r="NCP56" s="53"/>
      <c r="NCQ56" s="53"/>
      <c r="NCR56" s="53"/>
      <c r="NCS56" s="53"/>
      <c r="NCT56" s="53"/>
      <c r="NCU56" s="53"/>
      <c r="NCV56" s="53"/>
      <c r="NCW56" s="53"/>
      <c r="NCX56" s="53"/>
      <c r="NCY56" s="53"/>
      <c r="NCZ56" s="53"/>
      <c r="NDA56" s="53"/>
      <c r="NDB56" s="53"/>
      <c r="NDC56" s="53"/>
      <c r="NDD56" s="53"/>
      <c r="NDE56" s="53"/>
      <c r="NDF56" s="53"/>
      <c r="NDG56" s="53"/>
      <c r="NDH56" s="53"/>
      <c r="NDI56" s="53"/>
      <c r="NDJ56" s="53"/>
      <c r="NDK56" s="53"/>
      <c r="NDL56" s="53"/>
      <c r="NDM56" s="53"/>
      <c r="NDN56" s="53"/>
      <c r="NDO56" s="53"/>
      <c r="NDP56" s="53"/>
      <c r="NDQ56" s="53"/>
      <c r="NDR56" s="53"/>
      <c r="NDS56" s="53"/>
      <c r="NDT56" s="53"/>
      <c r="NDU56" s="53"/>
      <c r="NDV56" s="53"/>
      <c r="NDW56" s="53"/>
      <c r="NDX56" s="53"/>
      <c r="NDY56" s="53"/>
      <c r="NDZ56" s="53"/>
      <c r="NEA56" s="53"/>
      <c r="NEB56" s="53"/>
      <c r="NEC56" s="53"/>
      <c r="NED56" s="53"/>
      <c r="NEE56" s="53"/>
      <c r="NEF56" s="53"/>
      <c r="NEG56" s="53"/>
      <c r="NEH56" s="53"/>
      <c r="NEI56" s="53"/>
      <c r="NEJ56" s="53"/>
      <c r="NEK56" s="53"/>
      <c r="NEL56" s="53"/>
      <c r="NEM56" s="53"/>
      <c r="NEN56" s="53"/>
      <c r="NEO56" s="53"/>
      <c r="NEP56" s="53"/>
      <c r="NEQ56" s="53"/>
      <c r="NER56" s="53"/>
      <c r="NES56" s="53"/>
      <c r="NET56" s="53"/>
      <c r="NEU56" s="53"/>
      <c r="NEV56" s="53"/>
      <c r="NEW56" s="53"/>
      <c r="NEX56" s="53"/>
      <c r="NEY56" s="53"/>
      <c r="NEZ56" s="53"/>
      <c r="NFA56" s="53"/>
      <c r="NFB56" s="53"/>
      <c r="NFC56" s="53"/>
      <c r="NFD56" s="53"/>
      <c r="NFE56" s="53"/>
      <c r="NFF56" s="53"/>
      <c r="NFG56" s="53"/>
      <c r="NFH56" s="53"/>
      <c r="NFI56" s="53"/>
      <c r="NFJ56" s="53"/>
      <c r="NFK56" s="53"/>
      <c r="NFL56" s="53"/>
      <c r="NFM56" s="53"/>
      <c r="NFN56" s="53"/>
      <c r="NFO56" s="53"/>
      <c r="NFP56" s="53"/>
      <c r="NFQ56" s="53"/>
      <c r="NFR56" s="53"/>
      <c r="NFS56" s="53"/>
      <c r="NFT56" s="53"/>
      <c r="NFU56" s="53"/>
      <c r="NFV56" s="53"/>
      <c r="NFW56" s="53"/>
      <c r="NFX56" s="53"/>
      <c r="NFY56" s="53"/>
      <c r="NFZ56" s="53"/>
      <c r="NGA56" s="53"/>
      <c r="NGB56" s="53"/>
      <c r="NGC56" s="53"/>
      <c r="NGD56" s="53"/>
      <c r="NGE56" s="53"/>
      <c r="NGF56" s="53"/>
      <c r="NGG56" s="53"/>
      <c r="NGH56" s="53"/>
      <c r="NGI56" s="53"/>
      <c r="NGJ56" s="53"/>
      <c r="NGK56" s="53"/>
      <c r="NGL56" s="53"/>
      <c r="NGM56" s="53"/>
      <c r="NGN56" s="53"/>
      <c r="NGO56" s="53"/>
      <c r="NGP56" s="53"/>
      <c r="NGQ56" s="53"/>
      <c r="NGR56" s="53"/>
      <c r="NGS56" s="53"/>
      <c r="NGT56" s="53"/>
      <c r="NGU56" s="53"/>
      <c r="NGV56" s="53"/>
      <c r="NGW56" s="53"/>
      <c r="NGX56" s="53"/>
      <c r="NGY56" s="53"/>
      <c r="NGZ56" s="53"/>
      <c r="NHA56" s="53"/>
      <c r="NHB56" s="53"/>
      <c r="NHC56" s="53"/>
      <c r="NHD56" s="53"/>
      <c r="NHE56" s="53"/>
      <c r="NHF56" s="53"/>
      <c r="NHG56" s="53"/>
      <c r="NHH56" s="53"/>
      <c r="NHI56" s="53"/>
      <c r="NHJ56" s="53"/>
      <c r="NHK56" s="53"/>
      <c r="NHL56" s="53"/>
      <c r="NHM56" s="53"/>
      <c r="NHN56" s="53"/>
      <c r="NHO56" s="53"/>
      <c r="NHP56" s="53"/>
      <c r="NHQ56" s="53"/>
      <c r="NHR56" s="53"/>
      <c r="NHS56" s="53"/>
      <c r="NHT56" s="53"/>
      <c r="NHU56" s="53"/>
      <c r="NHV56" s="53"/>
      <c r="NHW56" s="53"/>
      <c r="NHX56" s="53"/>
      <c r="NHY56" s="53"/>
      <c r="NHZ56" s="53"/>
      <c r="NIA56" s="53"/>
      <c r="NIB56" s="53"/>
      <c r="NIC56" s="53"/>
      <c r="NID56" s="53"/>
      <c r="NIE56" s="53"/>
      <c r="NIF56" s="53"/>
      <c r="NIG56" s="53"/>
      <c r="NIH56" s="53"/>
      <c r="NII56" s="53"/>
      <c r="NIJ56" s="53"/>
      <c r="NIK56" s="53"/>
      <c r="NIL56" s="53"/>
      <c r="NIM56" s="53"/>
      <c r="NIN56" s="53"/>
      <c r="NIO56" s="53"/>
      <c r="NIP56" s="53"/>
      <c r="NIQ56" s="53"/>
      <c r="NIR56" s="53"/>
      <c r="NIS56" s="53"/>
      <c r="NIT56" s="53"/>
      <c r="NIU56" s="53"/>
      <c r="NIV56" s="53"/>
      <c r="NIW56" s="53"/>
      <c r="NIX56" s="53"/>
      <c r="NIY56" s="53"/>
      <c r="NIZ56" s="53"/>
      <c r="NJA56" s="53"/>
      <c r="NJB56" s="53"/>
      <c r="NJC56" s="53"/>
      <c r="NJD56" s="53"/>
      <c r="NJE56" s="53"/>
      <c r="NJF56" s="53"/>
      <c r="NJG56" s="53"/>
      <c r="NJH56" s="53"/>
      <c r="NJI56" s="53"/>
      <c r="NJJ56" s="53"/>
      <c r="NJK56" s="53"/>
      <c r="NJL56" s="53"/>
      <c r="NJM56" s="53"/>
      <c r="NJN56" s="53"/>
      <c r="NJO56" s="53"/>
      <c r="NJP56" s="53"/>
      <c r="NJQ56" s="53"/>
      <c r="NJR56" s="53"/>
      <c r="NJS56" s="53"/>
      <c r="NJT56" s="53"/>
      <c r="NJU56" s="53"/>
      <c r="NJV56" s="53"/>
      <c r="NJW56" s="53"/>
      <c r="NJX56" s="53"/>
      <c r="NJY56" s="53"/>
      <c r="NJZ56" s="53"/>
      <c r="NKA56" s="53"/>
      <c r="NKB56" s="53"/>
      <c r="NKC56" s="53"/>
      <c r="NKD56" s="53"/>
      <c r="NKE56" s="53"/>
      <c r="NKF56" s="53"/>
      <c r="NKG56" s="53"/>
      <c r="NKH56" s="53"/>
      <c r="NKI56" s="53"/>
      <c r="NKJ56" s="53"/>
      <c r="NKK56" s="53"/>
      <c r="NKL56" s="53"/>
      <c r="NKM56" s="53"/>
      <c r="NKN56" s="53"/>
      <c r="NKO56" s="53"/>
      <c r="NKP56" s="53"/>
      <c r="NKQ56" s="53"/>
      <c r="NKR56" s="53"/>
      <c r="NKS56" s="53"/>
      <c r="NKT56" s="53"/>
      <c r="NKU56" s="53"/>
      <c r="NKV56" s="53"/>
      <c r="NKW56" s="53"/>
      <c r="NKX56" s="53"/>
      <c r="NKY56" s="53"/>
      <c r="NKZ56" s="53"/>
      <c r="NLA56" s="53"/>
      <c r="NLB56" s="53"/>
      <c r="NLC56" s="53"/>
      <c r="NLD56" s="53"/>
      <c r="NLE56" s="53"/>
      <c r="NLF56" s="53"/>
      <c r="NLG56" s="53"/>
      <c r="NLH56" s="53"/>
      <c r="NLI56" s="53"/>
      <c r="NLJ56" s="53"/>
      <c r="NLK56" s="53"/>
      <c r="NLL56" s="53"/>
      <c r="NLM56" s="53"/>
      <c r="NLN56" s="53"/>
      <c r="NLO56" s="53"/>
      <c r="NLP56" s="53"/>
      <c r="NLQ56" s="53"/>
      <c r="NLR56" s="53"/>
      <c r="NLS56" s="53"/>
      <c r="NLT56" s="53"/>
      <c r="NLU56" s="53"/>
      <c r="NLV56" s="53"/>
      <c r="NLW56" s="53"/>
      <c r="NLX56" s="53"/>
      <c r="NLY56" s="53"/>
      <c r="NLZ56" s="53"/>
      <c r="NMA56" s="53"/>
      <c r="NMB56" s="53"/>
      <c r="NMC56" s="53"/>
      <c r="NMD56" s="53"/>
      <c r="NME56" s="53"/>
      <c r="NMF56" s="53"/>
      <c r="NMG56" s="53"/>
      <c r="NMH56" s="53"/>
      <c r="NMI56" s="53"/>
      <c r="NMJ56" s="53"/>
      <c r="NMK56" s="53"/>
      <c r="NML56" s="53"/>
      <c r="NMM56" s="53"/>
      <c r="NMN56" s="53"/>
      <c r="NMO56" s="53"/>
      <c r="NMP56" s="53"/>
      <c r="NMQ56" s="53"/>
      <c r="NMR56" s="53"/>
      <c r="NMS56" s="53"/>
      <c r="NMT56" s="53"/>
      <c r="NMU56" s="53"/>
      <c r="NMV56" s="53"/>
      <c r="NMW56" s="53"/>
      <c r="NMX56" s="53"/>
      <c r="NMY56" s="53"/>
      <c r="NMZ56" s="53"/>
      <c r="NNA56" s="53"/>
      <c r="NNB56" s="53"/>
      <c r="NNC56" s="53"/>
      <c r="NND56" s="53"/>
      <c r="NNE56" s="53"/>
      <c r="NNF56" s="53"/>
      <c r="NNG56" s="53"/>
      <c r="NNH56" s="53"/>
      <c r="NNI56" s="53"/>
      <c r="NNJ56" s="53"/>
      <c r="NNK56" s="53"/>
      <c r="NNL56" s="53"/>
      <c r="NNM56" s="53"/>
      <c r="NNN56" s="53"/>
      <c r="NNO56" s="53"/>
      <c r="NNP56" s="53"/>
      <c r="NNQ56" s="53"/>
      <c r="NNR56" s="53"/>
      <c r="NNS56" s="53"/>
      <c r="NNT56" s="53"/>
      <c r="NNU56" s="53"/>
      <c r="NNV56" s="53"/>
      <c r="NNW56" s="53"/>
      <c r="NNX56" s="53"/>
      <c r="NNY56" s="53"/>
      <c r="NNZ56" s="53"/>
      <c r="NOA56" s="53"/>
      <c r="NOB56" s="53"/>
      <c r="NOC56" s="53"/>
      <c r="NOD56" s="53"/>
      <c r="NOE56" s="53"/>
      <c r="NOF56" s="53"/>
      <c r="NOG56" s="53"/>
      <c r="NOH56" s="53"/>
      <c r="NOI56" s="53"/>
      <c r="NOJ56" s="53"/>
      <c r="NOK56" s="53"/>
      <c r="NOL56" s="53"/>
      <c r="NOM56" s="53"/>
      <c r="NON56" s="53"/>
      <c r="NOO56" s="53"/>
      <c r="NOP56" s="53"/>
      <c r="NOQ56" s="53"/>
      <c r="NOR56" s="53"/>
      <c r="NOS56" s="53"/>
      <c r="NOT56" s="53"/>
      <c r="NOU56" s="53"/>
      <c r="NOV56" s="53"/>
      <c r="NOW56" s="53"/>
      <c r="NOX56" s="53"/>
      <c r="NOY56" s="53"/>
      <c r="NOZ56" s="53"/>
      <c r="NPA56" s="53"/>
      <c r="NPB56" s="53"/>
      <c r="NPC56" s="53"/>
      <c r="NPD56" s="53"/>
      <c r="NPE56" s="53"/>
      <c r="NPF56" s="53"/>
      <c r="NPG56" s="53"/>
      <c r="NPH56" s="53"/>
      <c r="NPI56" s="53"/>
      <c r="NPJ56" s="53"/>
      <c r="NPK56" s="53"/>
      <c r="NPL56" s="53"/>
      <c r="NPM56" s="53"/>
      <c r="NPN56" s="53"/>
      <c r="NPO56" s="53"/>
      <c r="NPP56" s="53"/>
      <c r="NPQ56" s="53"/>
      <c r="NPR56" s="53"/>
      <c r="NPS56" s="53"/>
      <c r="NPT56" s="53"/>
      <c r="NPU56" s="53"/>
      <c r="NPV56" s="53"/>
      <c r="NPW56" s="53"/>
      <c r="NPX56" s="53"/>
      <c r="NPY56" s="53"/>
      <c r="NPZ56" s="53"/>
      <c r="NQA56" s="53"/>
      <c r="NQB56" s="53"/>
      <c r="NQC56" s="53"/>
      <c r="NQD56" s="53"/>
      <c r="NQE56" s="53"/>
      <c r="NQF56" s="53"/>
      <c r="NQG56" s="53"/>
      <c r="NQH56" s="53"/>
      <c r="NQI56" s="53"/>
      <c r="NQJ56" s="53"/>
      <c r="NQK56" s="53"/>
      <c r="NQL56" s="53"/>
      <c r="NQM56" s="53"/>
      <c r="NQN56" s="53"/>
      <c r="NQO56" s="53"/>
      <c r="NQP56" s="53"/>
      <c r="NQQ56" s="53"/>
      <c r="NQR56" s="53"/>
      <c r="NQS56" s="53"/>
      <c r="NQT56" s="53"/>
      <c r="NQU56" s="53"/>
      <c r="NQV56" s="53"/>
      <c r="NQW56" s="53"/>
      <c r="NQX56" s="53"/>
      <c r="NQY56" s="53"/>
      <c r="NQZ56" s="53"/>
      <c r="NRA56" s="53"/>
      <c r="NRB56" s="53"/>
      <c r="NRC56" s="53"/>
      <c r="NRD56" s="53"/>
      <c r="NRE56" s="53"/>
      <c r="NRF56" s="53"/>
      <c r="NRG56" s="53"/>
      <c r="NRH56" s="53"/>
      <c r="NRI56" s="53"/>
      <c r="NRJ56" s="53"/>
      <c r="NRK56" s="53"/>
      <c r="NRL56" s="53"/>
      <c r="NRM56" s="53"/>
      <c r="NRN56" s="53"/>
      <c r="NRO56" s="53"/>
      <c r="NRP56" s="53"/>
      <c r="NRQ56" s="53"/>
      <c r="NRR56" s="53"/>
      <c r="NRS56" s="53"/>
      <c r="NRT56" s="53"/>
      <c r="NRU56" s="53"/>
      <c r="NRV56" s="53"/>
      <c r="NRW56" s="53"/>
      <c r="NRX56" s="53"/>
      <c r="NRY56" s="53"/>
      <c r="NRZ56" s="53"/>
      <c r="NSA56" s="53"/>
      <c r="NSB56" s="53"/>
      <c r="NSC56" s="53"/>
      <c r="NSD56" s="53"/>
      <c r="NSE56" s="53"/>
      <c r="NSF56" s="53"/>
      <c r="NSG56" s="53"/>
      <c r="NSH56" s="53"/>
      <c r="NSI56" s="53"/>
      <c r="NSJ56" s="53"/>
      <c r="NSK56" s="53"/>
      <c r="NSL56" s="53"/>
      <c r="NSM56" s="53"/>
      <c r="NSN56" s="53"/>
      <c r="NSO56" s="53"/>
      <c r="NSP56" s="53"/>
      <c r="NSQ56" s="53"/>
      <c r="NSR56" s="53"/>
      <c r="NSS56" s="53"/>
      <c r="NST56" s="53"/>
      <c r="NSU56" s="53"/>
      <c r="NSV56" s="53"/>
      <c r="NSW56" s="53"/>
      <c r="NSX56" s="53"/>
      <c r="NSY56" s="53"/>
      <c r="NSZ56" s="53"/>
      <c r="NTA56" s="53"/>
      <c r="NTB56" s="53"/>
      <c r="NTC56" s="53"/>
      <c r="NTD56" s="53"/>
      <c r="NTE56" s="53"/>
      <c r="NTF56" s="53"/>
      <c r="NTG56" s="53"/>
      <c r="NTH56" s="53"/>
      <c r="NTI56" s="53"/>
      <c r="NTJ56" s="53"/>
      <c r="NTK56" s="53"/>
      <c r="NTL56" s="53"/>
      <c r="NTM56" s="53"/>
      <c r="NTN56" s="53"/>
      <c r="NTO56" s="53"/>
      <c r="NTP56" s="53"/>
      <c r="NTQ56" s="53"/>
      <c r="NTR56" s="53"/>
      <c r="NTS56" s="53"/>
      <c r="NTT56" s="53"/>
      <c r="NTU56" s="53"/>
      <c r="NTV56" s="53"/>
      <c r="NTW56" s="53"/>
      <c r="NTX56" s="53"/>
      <c r="NTY56" s="53"/>
      <c r="NTZ56" s="53"/>
      <c r="NUA56" s="53"/>
      <c r="NUB56" s="53"/>
      <c r="NUC56" s="53"/>
      <c r="NUD56" s="53"/>
      <c r="NUE56" s="53"/>
      <c r="NUF56" s="53"/>
      <c r="NUG56" s="53"/>
      <c r="NUH56" s="53"/>
      <c r="NUI56" s="53"/>
      <c r="NUJ56" s="53"/>
      <c r="NUK56" s="53"/>
      <c r="NUL56" s="53"/>
      <c r="NUM56" s="53"/>
      <c r="NUN56" s="53"/>
      <c r="NUO56" s="53"/>
      <c r="NUP56" s="53"/>
      <c r="NUQ56" s="53"/>
      <c r="NUR56" s="53"/>
      <c r="NUS56" s="53"/>
      <c r="NUT56" s="53"/>
      <c r="NUU56" s="53"/>
      <c r="NUV56" s="53"/>
      <c r="NUW56" s="53"/>
      <c r="NUX56" s="53"/>
      <c r="NUY56" s="53"/>
      <c r="NUZ56" s="53"/>
      <c r="NVA56" s="53"/>
      <c r="NVB56" s="53"/>
      <c r="NVC56" s="53"/>
      <c r="NVD56" s="53"/>
      <c r="NVE56" s="53"/>
      <c r="NVF56" s="53"/>
      <c r="NVG56" s="53"/>
      <c r="NVH56" s="53"/>
      <c r="NVI56" s="53"/>
      <c r="NVJ56" s="53"/>
      <c r="NVK56" s="53"/>
      <c r="NVL56" s="53"/>
      <c r="NVM56" s="53"/>
      <c r="NVN56" s="53"/>
      <c r="NVO56" s="53"/>
      <c r="NVP56" s="53"/>
      <c r="NVQ56" s="53"/>
      <c r="NVR56" s="53"/>
      <c r="NVS56" s="53"/>
      <c r="NVT56" s="53"/>
      <c r="NVU56" s="53"/>
      <c r="NVV56" s="53"/>
      <c r="NVW56" s="53"/>
      <c r="NVX56" s="53"/>
      <c r="NVY56" s="53"/>
      <c r="NVZ56" s="53"/>
      <c r="NWA56" s="53"/>
      <c r="NWB56" s="53"/>
      <c r="NWC56" s="53"/>
      <c r="NWD56" s="53"/>
      <c r="NWE56" s="53"/>
      <c r="NWF56" s="53"/>
      <c r="NWG56" s="53"/>
      <c r="NWH56" s="53"/>
      <c r="NWI56" s="53"/>
      <c r="NWJ56" s="53"/>
      <c r="NWK56" s="53"/>
      <c r="NWL56" s="53"/>
      <c r="NWM56" s="53"/>
      <c r="NWN56" s="53"/>
      <c r="NWO56" s="53"/>
      <c r="NWP56" s="53"/>
      <c r="NWQ56" s="53"/>
      <c r="NWR56" s="53"/>
      <c r="NWS56" s="53"/>
      <c r="NWT56" s="53"/>
      <c r="NWU56" s="53"/>
      <c r="NWV56" s="53"/>
      <c r="NWW56" s="53"/>
      <c r="NWX56" s="53"/>
      <c r="NWY56" s="53"/>
      <c r="NWZ56" s="53"/>
      <c r="NXA56" s="53"/>
      <c r="NXB56" s="53"/>
      <c r="NXC56" s="53"/>
      <c r="NXD56" s="53"/>
      <c r="NXE56" s="53"/>
      <c r="NXF56" s="53"/>
      <c r="NXG56" s="53"/>
      <c r="NXH56" s="53"/>
      <c r="NXI56" s="53"/>
      <c r="NXJ56" s="53"/>
      <c r="NXK56" s="53"/>
      <c r="NXL56" s="53"/>
      <c r="NXM56" s="53"/>
      <c r="NXN56" s="53"/>
      <c r="NXO56" s="53"/>
      <c r="NXP56" s="53"/>
      <c r="NXQ56" s="53"/>
      <c r="NXR56" s="53"/>
      <c r="NXS56" s="53"/>
      <c r="NXT56" s="53"/>
      <c r="NXU56" s="53"/>
      <c r="NXV56" s="53"/>
      <c r="NXW56" s="53"/>
      <c r="NXX56" s="53"/>
      <c r="NXY56" s="53"/>
      <c r="NXZ56" s="53"/>
      <c r="NYA56" s="53"/>
      <c r="NYB56" s="53"/>
      <c r="NYC56" s="53"/>
      <c r="NYD56" s="53"/>
      <c r="NYE56" s="53"/>
      <c r="NYF56" s="53"/>
      <c r="NYG56" s="53"/>
      <c r="NYH56" s="53"/>
      <c r="NYI56" s="53"/>
      <c r="NYJ56" s="53"/>
      <c r="NYK56" s="53"/>
      <c r="NYL56" s="53"/>
      <c r="NYM56" s="53"/>
      <c r="NYN56" s="53"/>
      <c r="NYO56" s="53"/>
      <c r="NYP56" s="53"/>
      <c r="NYQ56" s="53"/>
      <c r="NYR56" s="53"/>
      <c r="NYS56" s="53"/>
      <c r="NYT56" s="53"/>
      <c r="NYU56" s="53"/>
      <c r="NYV56" s="53"/>
      <c r="NYW56" s="53"/>
      <c r="NYX56" s="53"/>
      <c r="NYY56" s="53"/>
      <c r="NYZ56" s="53"/>
      <c r="NZA56" s="53"/>
      <c r="NZB56" s="53"/>
      <c r="NZC56" s="53"/>
      <c r="NZD56" s="53"/>
      <c r="NZE56" s="53"/>
      <c r="NZF56" s="53"/>
      <c r="NZG56" s="53"/>
      <c r="NZH56" s="53"/>
      <c r="NZI56" s="53"/>
      <c r="NZJ56" s="53"/>
      <c r="NZK56" s="53"/>
      <c r="NZL56" s="53"/>
      <c r="NZM56" s="53"/>
      <c r="NZN56" s="53"/>
      <c r="NZO56" s="53"/>
      <c r="NZP56" s="53"/>
      <c r="NZQ56" s="53"/>
      <c r="NZR56" s="53"/>
      <c r="NZS56" s="53"/>
      <c r="NZT56" s="53"/>
      <c r="NZU56" s="53"/>
      <c r="NZV56" s="53"/>
      <c r="NZW56" s="53"/>
      <c r="NZX56" s="53"/>
      <c r="NZY56" s="53"/>
      <c r="NZZ56" s="53"/>
      <c r="OAA56" s="53"/>
      <c r="OAB56" s="53"/>
      <c r="OAC56" s="53"/>
      <c r="OAD56" s="53"/>
      <c r="OAE56" s="53"/>
      <c r="OAF56" s="53"/>
      <c r="OAG56" s="53"/>
      <c r="OAH56" s="53"/>
      <c r="OAI56" s="53"/>
      <c r="OAJ56" s="53"/>
      <c r="OAK56" s="53"/>
      <c r="OAL56" s="53"/>
      <c r="OAM56" s="53"/>
      <c r="OAN56" s="53"/>
      <c r="OAO56" s="53"/>
      <c r="OAP56" s="53"/>
      <c r="OAQ56" s="53"/>
      <c r="OAR56" s="53"/>
      <c r="OAS56" s="53"/>
      <c r="OAT56" s="53"/>
      <c r="OAU56" s="53"/>
      <c r="OAV56" s="53"/>
      <c r="OAW56" s="53"/>
      <c r="OAX56" s="53"/>
      <c r="OAY56" s="53"/>
      <c r="OAZ56" s="53"/>
      <c r="OBA56" s="53"/>
      <c r="OBB56" s="53"/>
      <c r="OBC56" s="53"/>
      <c r="OBD56" s="53"/>
      <c r="OBE56" s="53"/>
      <c r="OBF56" s="53"/>
      <c r="OBG56" s="53"/>
      <c r="OBH56" s="53"/>
      <c r="OBI56" s="53"/>
      <c r="OBJ56" s="53"/>
      <c r="OBK56" s="53"/>
      <c r="OBL56" s="53"/>
      <c r="OBM56" s="53"/>
      <c r="OBN56" s="53"/>
      <c r="OBO56" s="53"/>
      <c r="OBP56" s="53"/>
      <c r="OBQ56" s="53"/>
      <c r="OBR56" s="53"/>
      <c r="OBS56" s="53"/>
      <c r="OBT56" s="53"/>
      <c r="OBU56" s="53"/>
      <c r="OBV56" s="53"/>
      <c r="OBW56" s="53"/>
      <c r="OBX56" s="53"/>
      <c r="OBY56" s="53"/>
      <c r="OBZ56" s="53"/>
      <c r="OCA56" s="53"/>
      <c r="OCB56" s="53"/>
      <c r="OCC56" s="53"/>
      <c r="OCD56" s="53"/>
      <c r="OCE56" s="53"/>
      <c r="OCF56" s="53"/>
      <c r="OCG56" s="53"/>
      <c r="OCH56" s="53"/>
      <c r="OCI56" s="53"/>
      <c r="OCJ56" s="53"/>
      <c r="OCK56" s="53"/>
      <c r="OCL56" s="53"/>
      <c r="OCM56" s="53"/>
      <c r="OCN56" s="53"/>
      <c r="OCO56" s="53"/>
      <c r="OCP56" s="53"/>
      <c r="OCQ56" s="53"/>
      <c r="OCR56" s="53"/>
      <c r="OCS56" s="53"/>
      <c r="OCT56" s="53"/>
      <c r="OCU56" s="53"/>
      <c r="OCV56" s="53"/>
      <c r="OCW56" s="53"/>
      <c r="OCX56" s="53"/>
      <c r="OCY56" s="53"/>
      <c r="OCZ56" s="53"/>
      <c r="ODA56" s="53"/>
      <c r="ODB56" s="53"/>
      <c r="ODC56" s="53"/>
      <c r="ODD56" s="53"/>
      <c r="ODE56" s="53"/>
      <c r="ODF56" s="53"/>
      <c r="ODG56" s="53"/>
      <c r="ODH56" s="53"/>
      <c r="ODI56" s="53"/>
      <c r="ODJ56" s="53"/>
      <c r="ODK56" s="53"/>
      <c r="ODL56" s="53"/>
      <c r="ODM56" s="53"/>
      <c r="ODN56" s="53"/>
      <c r="ODO56" s="53"/>
      <c r="ODP56" s="53"/>
      <c r="ODQ56" s="53"/>
      <c r="ODR56" s="53"/>
      <c r="ODS56" s="53"/>
      <c r="ODT56" s="53"/>
      <c r="ODU56" s="53"/>
      <c r="ODV56" s="53"/>
      <c r="ODW56" s="53"/>
      <c r="ODX56" s="53"/>
      <c r="ODY56" s="53"/>
      <c r="ODZ56" s="53"/>
      <c r="OEA56" s="53"/>
      <c r="OEB56" s="53"/>
      <c r="OEC56" s="53"/>
      <c r="OED56" s="53"/>
      <c r="OEE56" s="53"/>
      <c r="OEF56" s="53"/>
      <c r="OEG56" s="53"/>
      <c r="OEH56" s="53"/>
      <c r="OEI56" s="53"/>
      <c r="OEJ56" s="53"/>
      <c r="OEK56" s="53"/>
      <c r="OEL56" s="53"/>
      <c r="OEM56" s="53"/>
      <c r="OEN56" s="53"/>
      <c r="OEO56" s="53"/>
      <c r="OEP56" s="53"/>
      <c r="OEQ56" s="53"/>
      <c r="OER56" s="53"/>
      <c r="OES56" s="53"/>
      <c r="OET56" s="53"/>
      <c r="OEU56" s="53"/>
      <c r="OEV56" s="53"/>
      <c r="OEW56" s="53"/>
      <c r="OEX56" s="53"/>
      <c r="OEY56" s="53"/>
      <c r="OEZ56" s="53"/>
      <c r="OFA56" s="53"/>
      <c r="OFB56" s="53"/>
      <c r="OFC56" s="53"/>
      <c r="OFD56" s="53"/>
      <c r="OFE56" s="53"/>
      <c r="OFF56" s="53"/>
      <c r="OFG56" s="53"/>
      <c r="OFH56" s="53"/>
      <c r="OFI56" s="53"/>
      <c r="OFJ56" s="53"/>
      <c r="OFK56" s="53"/>
      <c r="OFL56" s="53"/>
      <c r="OFM56" s="53"/>
      <c r="OFN56" s="53"/>
      <c r="OFO56" s="53"/>
      <c r="OFP56" s="53"/>
      <c r="OFQ56" s="53"/>
      <c r="OFR56" s="53"/>
      <c r="OFS56" s="53"/>
      <c r="OFT56" s="53"/>
      <c r="OFU56" s="53"/>
      <c r="OFV56" s="53"/>
      <c r="OFW56" s="53"/>
      <c r="OFX56" s="53"/>
      <c r="OFY56" s="53"/>
      <c r="OFZ56" s="53"/>
      <c r="OGA56" s="53"/>
      <c r="OGB56" s="53"/>
      <c r="OGC56" s="53"/>
      <c r="OGD56" s="53"/>
      <c r="OGE56" s="53"/>
      <c r="OGF56" s="53"/>
      <c r="OGG56" s="53"/>
      <c r="OGH56" s="53"/>
      <c r="OGI56" s="53"/>
      <c r="OGJ56" s="53"/>
      <c r="OGK56" s="53"/>
      <c r="OGL56" s="53"/>
      <c r="OGM56" s="53"/>
      <c r="OGN56" s="53"/>
      <c r="OGO56" s="53"/>
      <c r="OGP56" s="53"/>
      <c r="OGQ56" s="53"/>
      <c r="OGR56" s="53"/>
      <c r="OGS56" s="53"/>
      <c r="OGT56" s="53"/>
      <c r="OGU56" s="53"/>
      <c r="OGV56" s="53"/>
      <c r="OGW56" s="53"/>
      <c r="OGX56" s="53"/>
      <c r="OGY56" s="53"/>
      <c r="OGZ56" s="53"/>
      <c r="OHA56" s="53"/>
      <c r="OHB56" s="53"/>
      <c r="OHC56" s="53"/>
      <c r="OHD56" s="53"/>
      <c r="OHE56" s="53"/>
      <c r="OHF56" s="53"/>
      <c r="OHG56" s="53"/>
      <c r="OHH56" s="53"/>
      <c r="OHI56" s="53"/>
      <c r="OHJ56" s="53"/>
      <c r="OHK56" s="53"/>
      <c r="OHL56" s="53"/>
      <c r="OHM56" s="53"/>
      <c r="OHN56" s="53"/>
      <c r="OHO56" s="53"/>
      <c r="OHP56" s="53"/>
      <c r="OHQ56" s="53"/>
      <c r="OHR56" s="53"/>
      <c r="OHS56" s="53"/>
      <c r="OHT56" s="53"/>
      <c r="OHU56" s="53"/>
      <c r="OHV56" s="53"/>
      <c r="OHW56" s="53"/>
      <c r="OHX56" s="53"/>
      <c r="OHY56" s="53"/>
      <c r="OHZ56" s="53"/>
      <c r="OIA56" s="53"/>
      <c r="OIB56" s="53"/>
      <c r="OIC56" s="53"/>
      <c r="OID56" s="53"/>
      <c r="OIE56" s="53"/>
      <c r="OIF56" s="53"/>
      <c r="OIG56" s="53"/>
      <c r="OIH56" s="53"/>
      <c r="OII56" s="53"/>
      <c r="OIJ56" s="53"/>
      <c r="OIK56" s="53"/>
      <c r="OIL56" s="53"/>
      <c r="OIM56" s="53"/>
      <c r="OIN56" s="53"/>
      <c r="OIO56" s="53"/>
      <c r="OIP56" s="53"/>
      <c r="OIQ56" s="53"/>
      <c r="OIR56" s="53"/>
      <c r="OIS56" s="53"/>
      <c r="OIT56" s="53"/>
      <c r="OIU56" s="53"/>
      <c r="OIV56" s="53"/>
      <c r="OIW56" s="53"/>
      <c r="OIX56" s="53"/>
      <c r="OIY56" s="53"/>
      <c r="OIZ56" s="53"/>
      <c r="OJA56" s="53"/>
      <c r="OJB56" s="53"/>
      <c r="OJC56" s="53"/>
      <c r="OJD56" s="53"/>
      <c r="OJE56" s="53"/>
      <c r="OJF56" s="53"/>
      <c r="OJG56" s="53"/>
      <c r="OJH56" s="53"/>
      <c r="OJI56" s="53"/>
      <c r="OJJ56" s="53"/>
      <c r="OJK56" s="53"/>
      <c r="OJL56" s="53"/>
      <c r="OJM56" s="53"/>
      <c r="OJN56" s="53"/>
      <c r="OJO56" s="53"/>
      <c r="OJP56" s="53"/>
      <c r="OJQ56" s="53"/>
      <c r="OJR56" s="53"/>
      <c r="OJS56" s="53"/>
      <c r="OJT56" s="53"/>
      <c r="OJU56" s="53"/>
      <c r="OJV56" s="53"/>
      <c r="OJW56" s="53"/>
      <c r="OJX56" s="53"/>
      <c r="OJY56" s="53"/>
      <c r="OJZ56" s="53"/>
      <c r="OKA56" s="53"/>
      <c r="OKB56" s="53"/>
      <c r="OKC56" s="53"/>
      <c r="OKD56" s="53"/>
      <c r="OKE56" s="53"/>
      <c r="OKF56" s="53"/>
      <c r="OKG56" s="53"/>
      <c r="OKH56" s="53"/>
      <c r="OKI56" s="53"/>
      <c r="OKJ56" s="53"/>
      <c r="OKK56" s="53"/>
      <c r="OKL56" s="53"/>
      <c r="OKM56" s="53"/>
      <c r="OKN56" s="53"/>
      <c r="OKO56" s="53"/>
      <c r="OKP56" s="53"/>
      <c r="OKQ56" s="53"/>
      <c r="OKR56" s="53"/>
      <c r="OKS56" s="53"/>
      <c r="OKT56" s="53"/>
      <c r="OKU56" s="53"/>
      <c r="OKV56" s="53"/>
      <c r="OKW56" s="53"/>
      <c r="OKX56" s="53"/>
      <c r="OKY56" s="53"/>
      <c r="OKZ56" s="53"/>
      <c r="OLA56" s="53"/>
      <c r="OLB56" s="53"/>
      <c r="OLC56" s="53"/>
      <c r="OLD56" s="53"/>
      <c r="OLE56" s="53"/>
      <c r="OLF56" s="53"/>
      <c r="OLG56" s="53"/>
      <c r="OLH56" s="53"/>
      <c r="OLI56" s="53"/>
      <c r="OLJ56" s="53"/>
      <c r="OLK56" s="53"/>
      <c r="OLL56" s="53"/>
      <c r="OLM56" s="53"/>
      <c r="OLN56" s="53"/>
      <c r="OLO56" s="53"/>
      <c r="OLP56" s="53"/>
      <c r="OLQ56" s="53"/>
      <c r="OLR56" s="53"/>
      <c r="OLS56" s="53"/>
      <c r="OLT56" s="53"/>
      <c r="OLU56" s="53"/>
      <c r="OLV56" s="53"/>
      <c r="OLW56" s="53"/>
      <c r="OLX56" s="53"/>
      <c r="OLY56" s="53"/>
      <c r="OLZ56" s="53"/>
      <c r="OMA56" s="53"/>
      <c r="OMB56" s="53"/>
      <c r="OMC56" s="53"/>
      <c r="OMD56" s="53"/>
      <c r="OME56" s="53"/>
      <c r="OMF56" s="53"/>
      <c r="OMG56" s="53"/>
      <c r="OMH56" s="53"/>
      <c r="OMI56" s="53"/>
      <c r="OMJ56" s="53"/>
      <c r="OMK56" s="53"/>
      <c r="OML56" s="53"/>
      <c r="OMM56" s="53"/>
      <c r="OMN56" s="53"/>
      <c r="OMO56" s="53"/>
      <c r="OMP56" s="53"/>
      <c r="OMQ56" s="53"/>
      <c r="OMR56" s="53"/>
      <c r="OMS56" s="53"/>
      <c r="OMT56" s="53"/>
      <c r="OMU56" s="53"/>
      <c r="OMV56" s="53"/>
      <c r="OMW56" s="53"/>
      <c r="OMX56" s="53"/>
      <c r="OMY56" s="53"/>
      <c r="OMZ56" s="53"/>
      <c r="ONA56" s="53"/>
      <c r="ONB56" s="53"/>
      <c r="ONC56" s="53"/>
      <c r="OND56" s="53"/>
      <c r="ONE56" s="53"/>
      <c r="ONF56" s="53"/>
      <c r="ONG56" s="53"/>
      <c r="ONH56" s="53"/>
      <c r="ONI56" s="53"/>
      <c r="ONJ56" s="53"/>
      <c r="ONK56" s="53"/>
      <c r="ONL56" s="53"/>
      <c r="ONM56" s="53"/>
      <c r="ONN56" s="53"/>
      <c r="ONO56" s="53"/>
      <c r="ONP56" s="53"/>
      <c r="ONQ56" s="53"/>
      <c r="ONR56" s="53"/>
      <c r="ONS56" s="53"/>
      <c r="ONT56" s="53"/>
      <c r="ONU56" s="53"/>
      <c r="ONV56" s="53"/>
      <c r="ONW56" s="53"/>
      <c r="ONX56" s="53"/>
      <c r="ONY56" s="53"/>
      <c r="ONZ56" s="53"/>
      <c r="OOA56" s="53"/>
      <c r="OOB56" s="53"/>
      <c r="OOC56" s="53"/>
      <c r="OOD56" s="53"/>
      <c r="OOE56" s="53"/>
      <c r="OOF56" s="53"/>
      <c r="OOG56" s="53"/>
      <c r="OOH56" s="53"/>
      <c r="OOI56" s="53"/>
      <c r="OOJ56" s="53"/>
      <c r="OOK56" s="53"/>
      <c r="OOL56" s="53"/>
      <c r="OOM56" s="53"/>
      <c r="OON56" s="53"/>
      <c r="OOO56" s="53"/>
      <c r="OOP56" s="53"/>
      <c r="OOQ56" s="53"/>
      <c r="OOR56" s="53"/>
      <c r="OOS56" s="53"/>
      <c r="OOT56" s="53"/>
      <c r="OOU56" s="53"/>
      <c r="OOV56" s="53"/>
      <c r="OOW56" s="53"/>
      <c r="OOX56" s="53"/>
      <c r="OOY56" s="53"/>
      <c r="OOZ56" s="53"/>
      <c r="OPA56" s="53"/>
      <c r="OPB56" s="53"/>
      <c r="OPC56" s="53"/>
      <c r="OPD56" s="53"/>
      <c r="OPE56" s="53"/>
      <c r="OPF56" s="53"/>
      <c r="OPG56" s="53"/>
      <c r="OPH56" s="53"/>
      <c r="OPI56" s="53"/>
      <c r="OPJ56" s="53"/>
      <c r="OPK56" s="53"/>
      <c r="OPL56" s="53"/>
      <c r="OPM56" s="53"/>
      <c r="OPN56" s="53"/>
      <c r="OPO56" s="53"/>
      <c r="OPP56" s="53"/>
      <c r="OPQ56" s="53"/>
      <c r="OPR56" s="53"/>
      <c r="OPS56" s="53"/>
      <c r="OPT56" s="53"/>
      <c r="OPU56" s="53"/>
      <c r="OPV56" s="53"/>
      <c r="OPW56" s="53"/>
      <c r="OPX56" s="53"/>
      <c r="OPY56" s="53"/>
      <c r="OPZ56" s="53"/>
      <c r="OQA56" s="53"/>
      <c r="OQB56" s="53"/>
      <c r="OQC56" s="53"/>
      <c r="OQD56" s="53"/>
      <c r="OQE56" s="53"/>
      <c r="OQF56" s="53"/>
      <c r="OQG56" s="53"/>
      <c r="OQH56" s="53"/>
      <c r="OQI56" s="53"/>
      <c r="OQJ56" s="53"/>
      <c r="OQK56" s="53"/>
      <c r="OQL56" s="53"/>
      <c r="OQM56" s="53"/>
      <c r="OQN56" s="53"/>
      <c r="OQO56" s="53"/>
      <c r="OQP56" s="53"/>
      <c r="OQQ56" s="53"/>
      <c r="OQR56" s="53"/>
      <c r="OQS56" s="53"/>
      <c r="OQT56" s="53"/>
      <c r="OQU56" s="53"/>
      <c r="OQV56" s="53"/>
      <c r="OQW56" s="53"/>
      <c r="OQX56" s="53"/>
      <c r="OQY56" s="53"/>
      <c r="OQZ56" s="53"/>
      <c r="ORA56" s="53"/>
      <c r="ORB56" s="53"/>
      <c r="ORC56" s="53"/>
      <c r="ORD56" s="53"/>
      <c r="ORE56" s="53"/>
      <c r="ORF56" s="53"/>
      <c r="ORG56" s="53"/>
      <c r="ORH56" s="53"/>
      <c r="ORI56" s="53"/>
      <c r="ORJ56" s="53"/>
      <c r="ORK56" s="53"/>
      <c r="ORL56" s="53"/>
      <c r="ORM56" s="53"/>
      <c r="ORN56" s="53"/>
      <c r="ORO56" s="53"/>
      <c r="ORP56" s="53"/>
      <c r="ORQ56" s="53"/>
      <c r="ORR56" s="53"/>
      <c r="ORS56" s="53"/>
      <c r="ORT56" s="53"/>
      <c r="ORU56" s="53"/>
      <c r="ORV56" s="53"/>
      <c r="ORW56" s="53"/>
      <c r="ORX56" s="53"/>
      <c r="ORY56" s="53"/>
      <c r="ORZ56" s="53"/>
      <c r="OSA56" s="53"/>
      <c r="OSB56" s="53"/>
      <c r="OSC56" s="53"/>
      <c r="OSD56" s="53"/>
      <c r="OSE56" s="53"/>
      <c r="OSF56" s="53"/>
      <c r="OSG56" s="53"/>
      <c r="OSH56" s="53"/>
      <c r="OSI56" s="53"/>
      <c r="OSJ56" s="53"/>
      <c r="OSK56" s="53"/>
      <c r="OSL56" s="53"/>
      <c r="OSM56" s="53"/>
      <c r="OSN56" s="53"/>
      <c r="OSO56" s="53"/>
      <c r="OSP56" s="53"/>
      <c r="OSQ56" s="53"/>
      <c r="OSR56" s="53"/>
      <c r="OSS56" s="53"/>
      <c r="OST56" s="53"/>
      <c r="OSU56" s="53"/>
      <c r="OSV56" s="53"/>
      <c r="OSW56" s="53"/>
      <c r="OSX56" s="53"/>
      <c r="OSY56" s="53"/>
      <c r="OSZ56" s="53"/>
      <c r="OTA56" s="53"/>
      <c r="OTB56" s="53"/>
      <c r="OTC56" s="53"/>
      <c r="OTD56" s="53"/>
      <c r="OTE56" s="53"/>
      <c r="OTF56" s="53"/>
      <c r="OTG56" s="53"/>
      <c r="OTH56" s="53"/>
      <c r="OTI56" s="53"/>
      <c r="OTJ56" s="53"/>
      <c r="OTK56" s="53"/>
      <c r="OTL56" s="53"/>
      <c r="OTM56" s="53"/>
      <c r="OTN56" s="53"/>
      <c r="OTO56" s="53"/>
      <c r="OTP56" s="53"/>
      <c r="OTQ56" s="53"/>
      <c r="OTR56" s="53"/>
      <c r="OTS56" s="53"/>
      <c r="OTT56" s="53"/>
      <c r="OTU56" s="53"/>
      <c r="OTV56" s="53"/>
      <c r="OTW56" s="53"/>
      <c r="OTX56" s="53"/>
      <c r="OTY56" s="53"/>
      <c r="OTZ56" s="53"/>
      <c r="OUA56" s="53"/>
      <c r="OUB56" s="53"/>
      <c r="OUC56" s="53"/>
      <c r="OUD56" s="53"/>
      <c r="OUE56" s="53"/>
      <c r="OUF56" s="53"/>
      <c r="OUG56" s="53"/>
      <c r="OUH56" s="53"/>
      <c r="OUI56" s="53"/>
      <c r="OUJ56" s="53"/>
      <c r="OUK56" s="53"/>
      <c r="OUL56" s="53"/>
      <c r="OUM56" s="53"/>
      <c r="OUN56" s="53"/>
      <c r="OUO56" s="53"/>
      <c r="OUP56" s="53"/>
      <c r="OUQ56" s="53"/>
      <c r="OUR56" s="53"/>
      <c r="OUS56" s="53"/>
      <c r="OUT56" s="53"/>
      <c r="OUU56" s="53"/>
      <c r="OUV56" s="53"/>
      <c r="OUW56" s="53"/>
      <c r="OUX56" s="53"/>
      <c r="OUY56" s="53"/>
      <c r="OUZ56" s="53"/>
      <c r="OVA56" s="53"/>
      <c r="OVB56" s="53"/>
      <c r="OVC56" s="53"/>
      <c r="OVD56" s="53"/>
      <c r="OVE56" s="53"/>
      <c r="OVF56" s="53"/>
      <c r="OVG56" s="53"/>
      <c r="OVH56" s="53"/>
      <c r="OVI56" s="53"/>
      <c r="OVJ56" s="53"/>
      <c r="OVK56" s="53"/>
      <c r="OVL56" s="53"/>
      <c r="OVM56" s="53"/>
      <c r="OVN56" s="53"/>
      <c r="OVO56" s="53"/>
      <c r="OVP56" s="53"/>
      <c r="OVQ56" s="53"/>
      <c r="OVR56" s="53"/>
      <c r="OVS56" s="53"/>
      <c r="OVT56" s="53"/>
      <c r="OVU56" s="53"/>
      <c r="OVV56" s="53"/>
      <c r="OVW56" s="53"/>
      <c r="OVX56" s="53"/>
      <c r="OVY56" s="53"/>
      <c r="OVZ56" s="53"/>
      <c r="OWA56" s="53"/>
      <c r="OWB56" s="53"/>
      <c r="OWC56" s="53"/>
      <c r="OWD56" s="53"/>
      <c r="OWE56" s="53"/>
      <c r="OWF56" s="53"/>
      <c r="OWG56" s="53"/>
      <c r="OWH56" s="53"/>
      <c r="OWI56" s="53"/>
      <c r="OWJ56" s="53"/>
      <c r="OWK56" s="53"/>
      <c r="OWL56" s="53"/>
      <c r="OWM56" s="53"/>
      <c r="OWN56" s="53"/>
      <c r="OWO56" s="53"/>
      <c r="OWP56" s="53"/>
      <c r="OWQ56" s="53"/>
      <c r="OWR56" s="53"/>
      <c r="OWS56" s="53"/>
      <c r="OWT56" s="53"/>
      <c r="OWU56" s="53"/>
      <c r="OWV56" s="53"/>
      <c r="OWW56" s="53"/>
      <c r="OWX56" s="53"/>
      <c r="OWY56" s="53"/>
      <c r="OWZ56" s="53"/>
      <c r="OXA56" s="53"/>
      <c r="OXB56" s="53"/>
      <c r="OXC56" s="53"/>
      <c r="OXD56" s="53"/>
      <c r="OXE56" s="53"/>
      <c r="OXF56" s="53"/>
      <c r="OXG56" s="53"/>
      <c r="OXH56" s="53"/>
      <c r="OXI56" s="53"/>
      <c r="OXJ56" s="53"/>
      <c r="OXK56" s="53"/>
      <c r="OXL56" s="53"/>
      <c r="OXM56" s="53"/>
      <c r="OXN56" s="53"/>
      <c r="OXO56" s="53"/>
      <c r="OXP56" s="53"/>
      <c r="OXQ56" s="53"/>
      <c r="OXR56" s="53"/>
      <c r="OXS56" s="53"/>
      <c r="OXT56" s="53"/>
      <c r="OXU56" s="53"/>
      <c r="OXV56" s="53"/>
      <c r="OXW56" s="53"/>
      <c r="OXX56" s="53"/>
      <c r="OXY56" s="53"/>
      <c r="OXZ56" s="53"/>
      <c r="OYA56" s="53"/>
      <c r="OYB56" s="53"/>
      <c r="OYC56" s="53"/>
      <c r="OYD56" s="53"/>
      <c r="OYE56" s="53"/>
      <c r="OYF56" s="53"/>
      <c r="OYG56" s="53"/>
      <c r="OYH56" s="53"/>
      <c r="OYI56" s="53"/>
      <c r="OYJ56" s="53"/>
      <c r="OYK56" s="53"/>
      <c r="OYL56" s="53"/>
      <c r="OYM56" s="53"/>
      <c r="OYN56" s="53"/>
      <c r="OYO56" s="53"/>
      <c r="OYP56" s="53"/>
      <c r="OYQ56" s="53"/>
      <c r="OYR56" s="53"/>
      <c r="OYS56" s="53"/>
      <c r="OYT56" s="53"/>
      <c r="OYU56" s="53"/>
      <c r="OYV56" s="53"/>
      <c r="OYW56" s="53"/>
      <c r="OYX56" s="53"/>
      <c r="OYY56" s="53"/>
      <c r="OYZ56" s="53"/>
      <c r="OZA56" s="53"/>
      <c r="OZB56" s="53"/>
      <c r="OZC56" s="53"/>
      <c r="OZD56" s="53"/>
      <c r="OZE56" s="53"/>
      <c r="OZF56" s="53"/>
      <c r="OZG56" s="53"/>
      <c r="OZH56" s="53"/>
      <c r="OZI56" s="53"/>
      <c r="OZJ56" s="53"/>
      <c r="OZK56" s="53"/>
      <c r="OZL56" s="53"/>
      <c r="OZM56" s="53"/>
      <c r="OZN56" s="53"/>
      <c r="OZO56" s="53"/>
      <c r="OZP56" s="53"/>
      <c r="OZQ56" s="53"/>
      <c r="OZR56" s="53"/>
      <c r="OZS56" s="53"/>
      <c r="OZT56" s="53"/>
      <c r="OZU56" s="53"/>
      <c r="OZV56" s="53"/>
      <c r="OZW56" s="53"/>
      <c r="OZX56" s="53"/>
      <c r="OZY56" s="53"/>
      <c r="OZZ56" s="53"/>
      <c r="PAA56" s="53"/>
      <c r="PAB56" s="53"/>
      <c r="PAC56" s="53"/>
      <c r="PAD56" s="53"/>
      <c r="PAE56" s="53"/>
      <c r="PAF56" s="53"/>
      <c r="PAG56" s="53"/>
      <c r="PAH56" s="53"/>
      <c r="PAI56" s="53"/>
      <c r="PAJ56" s="53"/>
      <c r="PAK56" s="53"/>
      <c r="PAL56" s="53"/>
      <c r="PAM56" s="53"/>
      <c r="PAN56" s="53"/>
      <c r="PAO56" s="53"/>
      <c r="PAP56" s="53"/>
      <c r="PAQ56" s="53"/>
      <c r="PAR56" s="53"/>
      <c r="PAS56" s="53"/>
      <c r="PAT56" s="53"/>
      <c r="PAU56" s="53"/>
      <c r="PAV56" s="53"/>
      <c r="PAW56" s="53"/>
      <c r="PAX56" s="53"/>
      <c r="PAY56" s="53"/>
      <c r="PAZ56" s="53"/>
      <c r="PBA56" s="53"/>
      <c r="PBB56" s="53"/>
      <c r="PBC56" s="53"/>
      <c r="PBD56" s="53"/>
      <c r="PBE56" s="53"/>
      <c r="PBF56" s="53"/>
      <c r="PBG56" s="53"/>
      <c r="PBH56" s="53"/>
      <c r="PBI56" s="53"/>
      <c r="PBJ56" s="53"/>
      <c r="PBK56" s="53"/>
      <c r="PBL56" s="53"/>
      <c r="PBM56" s="53"/>
      <c r="PBN56" s="53"/>
      <c r="PBO56" s="53"/>
      <c r="PBP56" s="53"/>
      <c r="PBQ56" s="53"/>
      <c r="PBR56" s="53"/>
      <c r="PBS56" s="53"/>
      <c r="PBT56" s="53"/>
      <c r="PBU56" s="53"/>
      <c r="PBV56" s="53"/>
      <c r="PBW56" s="53"/>
      <c r="PBX56" s="53"/>
      <c r="PBY56" s="53"/>
      <c r="PBZ56" s="53"/>
      <c r="PCA56" s="53"/>
      <c r="PCB56" s="53"/>
      <c r="PCC56" s="53"/>
      <c r="PCD56" s="53"/>
      <c r="PCE56" s="53"/>
      <c r="PCF56" s="53"/>
      <c r="PCG56" s="53"/>
      <c r="PCH56" s="53"/>
      <c r="PCI56" s="53"/>
      <c r="PCJ56" s="53"/>
      <c r="PCK56" s="53"/>
      <c r="PCL56" s="53"/>
      <c r="PCM56" s="53"/>
      <c r="PCN56" s="53"/>
      <c r="PCO56" s="53"/>
      <c r="PCP56" s="53"/>
      <c r="PCQ56" s="53"/>
      <c r="PCR56" s="53"/>
      <c r="PCS56" s="53"/>
      <c r="PCT56" s="53"/>
      <c r="PCU56" s="53"/>
      <c r="PCV56" s="53"/>
      <c r="PCW56" s="53"/>
      <c r="PCX56" s="53"/>
      <c r="PCY56" s="53"/>
      <c r="PCZ56" s="53"/>
      <c r="PDA56" s="53"/>
      <c r="PDB56" s="53"/>
      <c r="PDC56" s="53"/>
      <c r="PDD56" s="53"/>
      <c r="PDE56" s="53"/>
      <c r="PDF56" s="53"/>
      <c r="PDG56" s="53"/>
      <c r="PDH56" s="53"/>
      <c r="PDI56" s="53"/>
      <c r="PDJ56" s="53"/>
      <c r="PDK56" s="53"/>
      <c r="PDL56" s="53"/>
      <c r="PDM56" s="53"/>
      <c r="PDN56" s="53"/>
      <c r="PDO56" s="53"/>
      <c r="PDP56" s="53"/>
      <c r="PDQ56" s="53"/>
      <c r="PDR56" s="53"/>
      <c r="PDS56" s="53"/>
      <c r="PDT56" s="53"/>
      <c r="PDU56" s="53"/>
      <c r="PDV56" s="53"/>
      <c r="PDW56" s="53"/>
      <c r="PDX56" s="53"/>
      <c r="PDY56" s="53"/>
      <c r="PDZ56" s="53"/>
      <c r="PEA56" s="53"/>
      <c r="PEB56" s="53"/>
      <c r="PEC56" s="53"/>
      <c r="PED56" s="53"/>
      <c r="PEE56" s="53"/>
      <c r="PEF56" s="53"/>
      <c r="PEG56" s="53"/>
      <c r="PEH56" s="53"/>
      <c r="PEI56" s="53"/>
      <c r="PEJ56" s="53"/>
      <c r="PEK56" s="53"/>
      <c r="PEL56" s="53"/>
      <c r="PEM56" s="53"/>
      <c r="PEN56" s="53"/>
      <c r="PEO56" s="53"/>
      <c r="PEP56" s="53"/>
      <c r="PEQ56" s="53"/>
      <c r="PER56" s="53"/>
      <c r="PES56" s="53"/>
      <c r="PET56" s="53"/>
      <c r="PEU56" s="53"/>
      <c r="PEV56" s="53"/>
      <c r="PEW56" s="53"/>
      <c r="PEX56" s="53"/>
      <c r="PEY56" s="53"/>
      <c r="PEZ56" s="53"/>
      <c r="PFA56" s="53"/>
      <c r="PFB56" s="53"/>
      <c r="PFC56" s="53"/>
      <c r="PFD56" s="53"/>
      <c r="PFE56" s="53"/>
      <c r="PFF56" s="53"/>
      <c r="PFG56" s="53"/>
      <c r="PFH56" s="53"/>
      <c r="PFI56" s="53"/>
      <c r="PFJ56" s="53"/>
      <c r="PFK56" s="53"/>
      <c r="PFL56" s="53"/>
      <c r="PFM56" s="53"/>
      <c r="PFN56" s="53"/>
      <c r="PFO56" s="53"/>
      <c r="PFP56" s="53"/>
      <c r="PFQ56" s="53"/>
      <c r="PFR56" s="53"/>
      <c r="PFS56" s="53"/>
      <c r="PFT56" s="53"/>
      <c r="PFU56" s="53"/>
      <c r="PFV56" s="53"/>
      <c r="PFW56" s="53"/>
      <c r="PFX56" s="53"/>
      <c r="PFY56" s="53"/>
      <c r="PFZ56" s="53"/>
      <c r="PGA56" s="53"/>
      <c r="PGB56" s="53"/>
      <c r="PGC56" s="53"/>
      <c r="PGD56" s="53"/>
      <c r="PGE56" s="53"/>
      <c r="PGF56" s="53"/>
      <c r="PGG56" s="53"/>
      <c r="PGH56" s="53"/>
      <c r="PGI56" s="53"/>
      <c r="PGJ56" s="53"/>
      <c r="PGK56" s="53"/>
      <c r="PGL56" s="53"/>
      <c r="PGM56" s="53"/>
      <c r="PGN56" s="53"/>
      <c r="PGO56" s="53"/>
      <c r="PGP56" s="53"/>
      <c r="PGQ56" s="53"/>
      <c r="PGR56" s="53"/>
      <c r="PGS56" s="53"/>
      <c r="PGT56" s="53"/>
      <c r="PGU56" s="53"/>
      <c r="PGV56" s="53"/>
      <c r="PGW56" s="53"/>
      <c r="PGX56" s="53"/>
      <c r="PGY56" s="53"/>
      <c r="PGZ56" s="53"/>
      <c r="PHA56" s="53"/>
      <c r="PHB56" s="53"/>
      <c r="PHC56" s="53"/>
      <c r="PHD56" s="53"/>
      <c r="PHE56" s="53"/>
      <c r="PHF56" s="53"/>
      <c r="PHG56" s="53"/>
      <c r="PHH56" s="53"/>
      <c r="PHI56" s="53"/>
      <c r="PHJ56" s="53"/>
      <c r="PHK56" s="53"/>
      <c r="PHL56" s="53"/>
      <c r="PHM56" s="53"/>
      <c r="PHN56" s="53"/>
      <c r="PHO56" s="53"/>
      <c r="PHP56" s="53"/>
      <c r="PHQ56" s="53"/>
      <c r="PHR56" s="53"/>
      <c r="PHS56" s="53"/>
      <c r="PHT56" s="53"/>
      <c r="PHU56" s="53"/>
      <c r="PHV56" s="53"/>
      <c r="PHW56" s="53"/>
      <c r="PHX56" s="53"/>
      <c r="PHY56" s="53"/>
      <c r="PHZ56" s="53"/>
      <c r="PIA56" s="53"/>
      <c r="PIB56" s="53"/>
      <c r="PIC56" s="53"/>
      <c r="PID56" s="53"/>
      <c r="PIE56" s="53"/>
      <c r="PIF56" s="53"/>
      <c r="PIG56" s="53"/>
      <c r="PIH56" s="53"/>
      <c r="PII56" s="53"/>
      <c r="PIJ56" s="53"/>
      <c r="PIK56" s="53"/>
      <c r="PIL56" s="53"/>
      <c r="PIM56" s="53"/>
      <c r="PIN56" s="53"/>
      <c r="PIO56" s="53"/>
      <c r="PIP56" s="53"/>
      <c r="PIQ56" s="53"/>
      <c r="PIR56" s="53"/>
      <c r="PIS56" s="53"/>
      <c r="PIT56" s="53"/>
      <c r="PIU56" s="53"/>
      <c r="PIV56" s="53"/>
      <c r="PIW56" s="53"/>
      <c r="PIX56" s="53"/>
      <c r="PIY56" s="53"/>
      <c r="PIZ56" s="53"/>
      <c r="PJA56" s="53"/>
      <c r="PJB56" s="53"/>
      <c r="PJC56" s="53"/>
      <c r="PJD56" s="53"/>
      <c r="PJE56" s="53"/>
      <c r="PJF56" s="53"/>
      <c r="PJG56" s="53"/>
      <c r="PJH56" s="53"/>
      <c r="PJI56" s="53"/>
      <c r="PJJ56" s="53"/>
      <c r="PJK56" s="53"/>
      <c r="PJL56" s="53"/>
      <c r="PJM56" s="53"/>
      <c r="PJN56" s="53"/>
      <c r="PJO56" s="53"/>
      <c r="PJP56" s="53"/>
      <c r="PJQ56" s="53"/>
      <c r="PJR56" s="53"/>
      <c r="PJS56" s="53"/>
      <c r="PJT56" s="53"/>
      <c r="PJU56" s="53"/>
      <c r="PJV56" s="53"/>
      <c r="PJW56" s="53"/>
      <c r="PJX56" s="53"/>
      <c r="PJY56" s="53"/>
      <c r="PJZ56" s="53"/>
      <c r="PKA56" s="53"/>
      <c r="PKB56" s="53"/>
      <c r="PKC56" s="53"/>
      <c r="PKD56" s="53"/>
      <c r="PKE56" s="53"/>
      <c r="PKF56" s="53"/>
      <c r="PKG56" s="53"/>
      <c r="PKH56" s="53"/>
      <c r="PKI56" s="53"/>
      <c r="PKJ56" s="53"/>
      <c r="PKK56" s="53"/>
      <c r="PKL56" s="53"/>
      <c r="PKM56" s="53"/>
      <c r="PKN56" s="53"/>
      <c r="PKO56" s="53"/>
      <c r="PKP56" s="53"/>
      <c r="PKQ56" s="53"/>
      <c r="PKR56" s="53"/>
      <c r="PKS56" s="53"/>
      <c r="PKT56" s="53"/>
      <c r="PKU56" s="53"/>
      <c r="PKV56" s="53"/>
      <c r="PKW56" s="53"/>
      <c r="PKX56" s="53"/>
      <c r="PKY56" s="53"/>
      <c r="PKZ56" s="53"/>
      <c r="PLA56" s="53"/>
      <c r="PLB56" s="53"/>
      <c r="PLC56" s="53"/>
      <c r="PLD56" s="53"/>
      <c r="PLE56" s="53"/>
      <c r="PLF56" s="53"/>
      <c r="PLG56" s="53"/>
      <c r="PLH56" s="53"/>
      <c r="PLI56" s="53"/>
      <c r="PLJ56" s="53"/>
      <c r="PLK56" s="53"/>
      <c r="PLL56" s="53"/>
      <c r="PLM56" s="53"/>
      <c r="PLN56" s="53"/>
      <c r="PLO56" s="53"/>
      <c r="PLP56" s="53"/>
      <c r="PLQ56" s="53"/>
      <c r="PLR56" s="53"/>
      <c r="PLS56" s="53"/>
      <c r="PLT56" s="53"/>
      <c r="PLU56" s="53"/>
      <c r="PLV56" s="53"/>
      <c r="PLW56" s="53"/>
      <c r="PLX56" s="53"/>
      <c r="PLY56" s="53"/>
      <c r="PLZ56" s="53"/>
      <c r="PMA56" s="53"/>
      <c r="PMB56" s="53"/>
      <c r="PMC56" s="53"/>
      <c r="PMD56" s="53"/>
      <c r="PME56" s="53"/>
      <c r="PMF56" s="53"/>
      <c r="PMG56" s="53"/>
      <c r="PMH56" s="53"/>
      <c r="PMI56" s="53"/>
      <c r="PMJ56" s="53"/>
      <c r="PMK56" s="53"/>
      <c r="PML56" s="53"/>
      <c r="PMM56" s="53"/>
      <c r="PMN56" s="53"/>
      <c r="PMO56" s="53"/>
      <c r="PMP56" s="53"/>
      <c r="PMQ56" s="53"/>
      <c r="PMR56" s="53"/>
      <c r="PMS56" s="53"/>
      <c r="PMT56" s="53"/>
      <c r="PMU56" s="53"/>
      <c r="PMV56" s="53"/>
      <c r="PMW56" s="53"/>
      <c r="PMX56" s="53"/>
      <c r="PMY56" s="53"/>
      <c r="PMZ56" s="53"/>
      <c r="PNA56" s="53"/>
      <c r="PNB56" s="53"/>
      <c r="PNC56" s="53"/>
      <c r="PND56" s="53"/>
      <c r="PNE56" s="53"/>
      <c r="PNF56" s="53"/>
      <c r="PNG56" s="53"/>
      <c r="PNH56" s="53"/>
      <c r="PNI56" s="53"/>
      <c r="PNJ56" s="53"/>
      <c r="PNK56" s="53"/>
      <c r="PNL56" s="53"/>
      <c r="PNM56" s="53"/>
      <c r="PNN56" s="53"/>
      <c r="PNO56" s="53"/>
      <c r="PNP56" s="53"/>
      <c r="PNQ56" s="53"/>
      <c r="PNR56" s="53"/>
      <c r="PNS56" s="53"/>
      <c r="PNT56" s="53"/>
      <c r="PNU56" s="53"/>
      <c r="PNV56" s="53"/>
      <c r="PNW56" s="53"/>
      <c r="PNX56" s="53"/>
      <c r="PNY56" s="53"/>
      <c r="PNZ56" s="53"/>
      <c r="POA56" s="53"/>
      <c r="POB56" s="53"/>
      <c r="POC56" s="53"/>
      <c r="POD56" s="53"/>
      <c r="POE56" s="53"/>
      <c r="POF56" s="53"/>
      <c r="POG56" s="53"/>
      <c r="POH56" s="53"/>
      <c r="POI56" s="53"/>
      <c r="POJ56" s="53"/>
      <c r="POK56" s="53"/>
      <c r="POL56" s="53"/>
      <c r="POM56" s="53"/>
      <c r="PON56" s="53"/>
      <c r="POO56" s="53"/>
      <c r="POP56" s="53"/>
      <c r="POQ56" s="53"/>
      <c r="POR56" s="53"/>
      <c r="POS56" s="53"/>
      <c r="POT56" s="53"/>
      <c r="POU56" s="53"/>
      <c r="POV56" s="53"/>
      <c r="POW56" s="53"/>
      <c r="POX56" s="53"/>
      <c r="POY56" s="53"/>
      <c r="POZ56" s="53"/>
      <c r="PPA56" s="53"/>
      <c r="PPB56" s="53"/>
      <c r="PPC56" s="53"/>
      <c r="PPD56" s="53"/>
      <c r="PPE56" s="53"/>
      <c r="PPF56" s="53"/>
      <c r="PPG56" s="53"/>
      <c r="PPH56" s="53"/>
      <c r="PPI56" s="53"/>
      <c r="PPJ56" s="53"/>
      <c r="PPK56" s="53"/>
      <c r="PPL56" s="53"/>
      <c r="PPM56" s="53"/>
      <c r="PPN56" s="53"/>
      <c r="PPO56" s="53"/>
      <c r="PPP56" s="53"/>
      <c r="PPQ56" s="53"/>
      <c r="PPR56" s="53"/>
      <c r="PPS56" s="53"/>
      <c r="PPT56" s="53"/>
      <c r="PPU56" s="53"/>
      <c r="PPV56" s="53"/>
      <c r="PPW56" s="53"/>
      <c r="PPX56" s="53"/>
      <c r="PPY56" s="53"/>
      <c r="PPZ56" s="53"/>
      <c r="PQA56" s="53"/>
      <c r="PQB56" s="53"/>
      <c r="PQC56" s="53"/>
      <c r="PQD56" s="53"/>
      <c r="PQE56" s="53"/>
      <c r="PQF56" s="53"/>
      <c r="PQG56" s="53"/>
      <c r="PQH56" s="53"/>
      <c r="PQI56" s="53"/>
      <c r="PQJ56" s="53"/>
      <c r="PQK56" s="53"/>
      <c r="PQL56" s="53"/>
      <c r="PQM56" s="53"/>
      <c r="PQN56" s="53"/>
      <c r="PQO56" s="53"/>
      <c r="PQP56" s="53"/>
      <c r="PQQ56" s="53"/>
      <c r="PQR56" s="53"/>
      <c r="PQS56" s="53"/>
      <c r="PQT56" s="53"/>
      <c r="PQU56" s="53"/>
      <c r="PQV56" s="53"/>
      <c r="PQW56" s="53"/>
      <c r="PQX56" s="53"/>
      <c r="PQY56" s="53"/>
      <c r="PQZ56" s="53"/>
      <c r="PRA56" s="53"/>
      <c r="PRB56" s="53"/>
      <c r="PRC56" s="53"/>
      <c r="PRD56" s="53"/>
      <c r="PRE56" s="53"/>
      <c r="PRF56" s="53"/>
      <c r="PRG56" s="53"/>
      <c r="PRH56" s="53"/>
      <c r="PRI56" s="53"/>
      <c r="PRJ56" s="53"/>
      <c r="PRK56" s="53"/>
      <c r="PRL56" s="53"/>
      <c r="PRM56" s="53"/>
      <c r="PRN56" s="53"/>
      <c r="PRO56" s="53"/>
      <c r="PRP56" s="53"/>
      <c r="PRQ56" s="53"/>
      <c r="PRR56" s="53"/>
      <c r="PRS56" s="53"/>
      <c r="PRT56" s="53"/>
      <c r="PRU56" s="53"/>
      <c r="PRV56" s="53"/>
      <c r="PRW56" s="53"/>
      <c r="PRX56" s="53"/>
      <c r="PRY56" s="53"/>
      <c r="PRZ56" s="53"/>
      <c r="PSA56" s="53"/>
      <c r="PSB56" s="53"/>
      <c r="PSC56" s="53"/>
      <c r="PSD56" s="53"/>
      <c r="PSE56" s="53"/>
      <c r="PSF56" s="53"/>
      <c r="PSG56" s="53"/>
      <c r="PSH56" s="53"/>
      <c r="PSI56" s="53"/>
      <c r="PSJ56" s="53"/>
      <c r="PSK56" s="53"/>
      <c r="PSL56" s="53"/>
      <c r="PSM56" s="53"/>
      <c r="PSN56" s="53"/>
      <c r="PSO56" s="53"/>
      <c r="PSP56" s="53"/>
      <c r="PSQ56" s="53"/>
      <c r="PSR56" s="53"/>
      <c r="PSS56" s="53"/>
      <c r="PST56" s="53"/>
      <c r="PSU56" s="53"/>
      <c r="PSV56" s="53"/>
      <c r="PSW56" s="53"/>
      <c r="PSX56" s="53"/>
      <c r="PSY56" s="53"/>
      <c r="PSZ56" s="53"/>
      <c r="PTA56" s="53"/>
      <c r="PTB56" s="53"/>
      <c r="PTC56" s="53"/>
      <c r="PTD56" s="53"/>
      <c r="PTE56" s="53"/>
      <c r="PTF56" s="53"/>
      <c r="PTG56" s="53"/>
      <c r="PTH56" s="53"/>
      <c r="PTI56" s="53"/>
      <c r="PTJ56" s="53"/>
      <c r="PTK56" s="53"/>
      <c r="PTL56" s="53"/>
      <c r="PTM56" s="53"/>
      <c r="PTN56" s="53"/>
      <c r="PTO56" s="53"/>
      <c r="PTP56" s="53"/>
      <c r="PTQ56" s="53"/>
      <c r="PTR56" s="53"/>
      <c r="PTS56" s="53"/>
      <c r="PTT56" s="53"/>
      <c r="PTU56" s="53"/>
      <c r="PTV56" s="53"/>
      <c r="PTW56" s="53"/>
      <c r="PTX56" s="53"/>
      <c r="PTY56" s="53"/>
      <c r="PTZ56" s="53"/>
      <c r="PUA56" s="53"/>
      <c r="PUB56" s="53"/>
      <c r="PUC56" s="53"/>
      <c r="PUD56" s="53"/>
      <c r="PUE56" s="53"/>
      <c r="PUF56" s="53"/>
      <c r="PUG56" s="53"/>
      <c r="PUH56" s="53"/>
      <c r="PUI56" s="53"/>
      <c r="PUJ56" s="53"/>
      <c r="PUK56" s="53"/>
      <c r="PUL56" s="53"/>
      <c r="PUM56" s="53"/>
      <c r="PUN56" s="53"/>
      <c r="PUO56" s="53"/>
      <c r="PUP56" s="53"/>
      <c r="PUQ56" s="53"/>
      <c r="PUR56" s="53"/>
      <c r="PUS56" s="53"/>
      <c r="PUT56" s="53"/>
      <c r="PUU56" s="53"/>
      <c r="PUV56" s="53"/>
      <c r="PUW56" s="53"/>
      <c r="PUX56" s="53"/>
      <c r="PUY56" s="53"/>
      <c r="PUZ56" s="53"/>
      <c r="PVA56" s="53"/>
      <c r="PVB56" s="53"/>
      <c r="PVC56" s="53"/>
      <c r="PVD56" s="53"/>
      <c r="PVE56" s="53"/>
      <c r="PVF56" s="53"/>
      <c r="PVG56" s="53"/>
      <c r="PVH56" s="53"/>
      <c r="PVI56" s="53"/>
      <c r="PVJ56" s="53"/>
      <c r="PVK56" s="53"/>
      <c r="PVL56" s="53"/>
      <c r="PVM56" s="53"/>
      <c r="PVN56" s="53"/>
      <c r="PVO56" s="53"/>
      <c r="PVP56" s="53"/>
      <c r="PVQ56" s="53"/>
      <c r="PVR56" s="53"/>
      <c r="PVS56" s="53"/>
      <c r="PVT56" s="53"/>
      <c r="PVU56" s="53"/>
      <c r="PVV56" s="53"/>
      <c r="PVW56" s="53"/>
      <c r="PVX56" s="53"/>
      <c r="PVY56" s="53"/>
      <c r="PVZ56" s="53"/>
      <c r="PWA56" s="53"/>
      <c r="PWB56" s="53"/>
      <c r="PWC56" s="53"/>
      <c r="PWD56" s="53"/>
      <c r="PWE56" s="53"/>
      <c r="PWF56" s="53"/>
      <c r="PWG56" s="53"/>
      <c r="PWH56" s="53"/>
      <c r="PWI56" s="53"/>
      <c r="PWJ56" s="53"/>
      <c r="PWK56" s="53"/>
      <c r="PWL56" s="53"/>
      <c r="PWM56" s="53"/>
      <c r="PWN56" s="53"/>
      <c r="PWO56" s="53"/>
      <c r="PWP56" s="53"/>
      <c r="PWQ56" s="53"/>
      <c r="PWR56" s="53"/>
      <c r="PWS56" s="53"/>
      <c r="PWT56" s="53"/>
      <c r="PWU56" s="53"/>
      <c r="PWV56" s="53"/>
      <c r="PWW56" s="53"/>
      <c r="PWX56" s="53"/>
      <c r="PWY56" s="53"/>
      <c r="PWZ56" s="53"/>
      <c r="PXA56" s="53"/>
      <c r="PXB56" s="53"/>
      <c r="PXC56" s="53"/>
      <c r="PXD56" s="53"/>
      <c r="PXE56" s="53"/>
      <c r="PXF56" s="53"/>
      <c r="PXG56" s="53"/>
      <c r="PXH56" s="53"/>
      <c r="PXI56" s="53"/>
      <c r="PXJ56" s="53"/>
      <c r="PXK56" s="53"/>
      <c r="PXL56" s="53"/>
      <c r="PXM56" s="53"/>
      <c r="PXN56" s="53"/>
      <c r="PXO56" s="53"/>
      <c r="PXP56" s="53"/>
      <c r="PXQ56" s="53"/>
      <c r="PXR56" s="53"/>
      <c r="PXS56" s="53"/>
      <c r="PXT56" s="53"/>
      <c r="PXU56" s="53"/>
      <c r="PXV56" s="53"/>
      <c r="PXW56" s="53"/>
      <c r="PXX56" s="53"/>
      <c r="PXY56" s="53"/>
      <c r="PXZ56" s="53"/>
      <c r="PYA56" s="53"/>
      <c r="PYB56" s="53"/>
      <c r="PYC56" s="53"/>
      <c r="PYD56" s="53"/>
      <c r="PYE56" s="53"/>
      <c r="PYF56" s="53"/>
      <c r="PYG56" s="53"/>
      <c r="PYH56" s="53"/>
      <c r="PYI56" s="53"/>
      <c r="PYJ56" s="53"/>
      <c r="PYK56" s="53"/>
      <c r="PYL56" s="53"/>
      <c r="PYM56" s="53"/>
      <c r="PYN56" s="53"/>
      <c r="PYO56" s="53"/>
      <c r="PYP56" s="53"/>
      <c r="PYQ56" s="53"/>
      <c r="PYR56" s="53"/>
      <c r="PYS56" s="53"/>
      <c r="PYT56" s="53"/>
      <c r="PYU56" s="53"/>
      <c r="PYV56" s="53"/>
      <c r="PYW56" s="53"/>
      <c r="PYX56" s="53"/>
      <c r="PYY56" s="53"/>
      <c r="PYZ56" s="53"/>
      <c r="PZA56" s="53"/>
      <c r="PZB56" s="53"/>
      <c r="PZC56" s="53"/>
      <c r="PZD56" s="53"/>
      <c r="PZE56" s="53"/>
      <c r="PZF56" s="53"/>
      <c r="PZG56" s="53"/>
      <c r="PZH56" s="53"/>
      <c r="PZI56" s="53"/>
      <c r="PZJ56" s="53"/>
      <c r="PZK56" s="53"/>
      <c r="PZL56" s="53"/>
      <c r="PZM56" s="53"/>
      <c r="PZN56" s="53"/>
      <c r="PZO56" s="53"/>
      <c r="PZP56" s="53"/>
      <c r="PZQ56" s="53"/>
      <c r="PZR56" s="53"/>
      <c r="PZS56" s="53"/>
      <c r="PZT56" s="53"/>
      <c r="PZU56" s="53"/>
      <c r="PZV56" s="53"/>
      <c r="PZW56" s="53"/>
      <c r="PZX56" s="53"/>
      <c r="PZY56" s="53"/>
      <c r="PZZ56" s="53"/>
      <c r="QAA56" s="53"/>
      <c r="QAB56" s="53"/>
      <c r="QAC56" s="53"/>
      <c r="QAD56" s="53"/>
      <c r="QAE56" s="53"/>
      <c r="QAF56" s="53"/>
      <c r="QAG56" s="53"/>
      <c r="QAH56" s="53"/>
      <c r="QAI56" s="53"/>
      <c r="QAJ56" s="53"/>
      <c r="QAK56" s="53"/>
      <c r="QAL56" s="53"/>
      <c r="QAM56" s="53"/>
      <c r="QAN56" s="53"/>
      <c r="QAO56" s="53"/>
      <c r="QAP56" s="53"/>
      <c r="QAQ56" s="53"/>
      <c r="QAR56" s="53"/>
      <c r="QAS56" s="53"/>
      <c r="QAT56" s="53"/>
      <c r="QAU56" s="53"/>
      <c r="QAV56" s="53"/>
      <c r="QAW56" s="53"/>
      <c r="QAX56" s="53"/>
      <c r="QAY56" s="53"/>
      <c r="QAZ56" s="53"/>
      <c r="QBA56" s="53"/>
      <c r="QBB56" s="53"/>
      <c r="QBC56" s="53"/>
      <c r="QBD56" s="53"/>
      <c r="QBE56" s="53"/>
      <c r="QBF56" s="53"/>
      <c r="QBG56" s="53"/>
      <c r="QBH56" s="53"/>
      <c r="QBI56" s="53"/>
      <c r="QBJ56" s="53"/>
      <c r="QBK56" s="53"/>
      <c r="QBL56" s="53"/>
      <c r="QBM56" s="53"/>
      <c r="QBN56" s="53"/>
      <c r="QBO56" s="53"/>
      <c r="QBP56" s="53"/>
      <c r="QBQ56" s="53"/>
      <c r="QBR56" s="53"/>
      <c r="QBS56" s="53"/>
      <c r="QBT56" s="53"/>
      <c r="QBU56" s="53"/>
      <c r="QBV56" s="53"/>
      <c r="QBW56" s="53"/>
      <c r="QBX56" s="53"/>
      <c r="QBY56" s="53"/>
      <c r="QBZ56" s="53"/>
      <c r="QCA56" s="53"/>
      <c r="QCB56" s="53"/>
      <c r="QCC56" s="53"/>
      <c r="QCD56" s="53"/>
      <c r="QCE56" s="53"/>
      <c r="QCF56" s="53"/>
      <c r="QCG56" s="53"/>
      <c r="QCH56" s="53"/>
      <c r="QCI56" s="53"/>
      <c r="QCJ56" s="53"/>
      <c r="QCK56" s="53"/>
      <c r="QCL56" s="53"/>
      <c r="QCM56" s="53"/>
      <c r="QCN56" s="53"/>
      <c r="QCO56" s="53"/>
      <c r="QCP56" s="53"/>
      <c r="QCQ56" s="53"/>
      <c r="QCR56" s="53"/>
      <c r="QCS56" s="53"/>
      <c r="QCT56" s="53"/>
      <c r="QCU56" s="53"/>
      <c r="QCV56" s="53"/>
      <c r="QCW56" s="53"/>
      <c r="QCX56" s="53"/>
      <c r="QCY56" s="53"/>
      <c r="QCZ56" s="53"/>
      <c r="QDA56" s="53"/>
      <c r="QDB56" s="53"/>
      <c r="QDC56" s="53"/>
      <c r="QDD56" s="53"/>
      <c r="QDE56" s="53"/>
      <c r="QDF56" s="53"/>
      <c r="QDG56" s="53"/>
      <c r="QDH56" s="53"/>
      <c r="QDI56" s="53"/>
      <c r="QDJ56" s="53"/>
      <c r="QDK56" s="53"/>
      <c r="QDL56" s="53"/>
      <c r="QDM56" s="53"/>
      <c r="QDN56" s="53"/>
      <c r="QDO56" s="53"/>
      <c r="QDP56" s="53"/>
      <c r="QDQ56" s="53"/>
      <c r="QDR56" s="53"/>
      <c r="QDS56" s="53"/>
      <c r="QDT56" s="53"/>
      <c r="QDU56" s="53"/>
      <c r="QDV56" s="53"/>
      <c r="QDW56" s="53"/>
      <c r="QDX56" s="53"/>
      <c r="QDY56" s="53"/>
      <c r="QDZ56" s="53"/>
      <c r="QEA56" s="53"/>
      <c r="QEB56" s="53"/>
      <c r="QEC56" s="53"/>
      <c r="QED56" s="53"/>
      <c r="QEE56" s="53"/>
      <c r="QEF56" s="53"/>
      <c r="QEG56" s="53"/>
      <c r="QEH56" s="53"/>
      <c r="QEI56" s="53"/>
      <c r="QEJ56" s="53"/>
      <c r="QEK56" s="53"/>
      <c r="QEL56" s="53"/>
      <c r="QEM56" s="53"/>
      <c r="QEN56" s="53"/>
      <c r="QEO56" s="53"/>
      <c r="QEP56" s="53"/>
      <c r="QEQ56" s="53"/>
      <c r="QER56" s="53"/>
      <c r="QES56" s="53"/>
      <c r="QET56" s="53"/>
      <c r="QEU56" s="53"/>
      <c r="QEV56" s="53"/>
      <c r="QEW56" s="53"/>
      <c r="QEX56" s="53"/>
      <c r="QEY56" s="53"/>
      <c r="QEZ56" s="53"/>
      <c r="QFA56" s="53"/>
      <c r="QFB56" s="53"/>
      <c r="QFC56" s="53"/>
      <c r="QFD56" s="53"/>
      <c r="QFE56" s="53"/>
      <c r="QFF56" s="53"/>
      <c r="QFG56" s="53"/>
      <c r="QFH56" s="53"/>
      <c r="QFI56" s="53"/>
      <c r="QFJ56" s="53"/>
      <c r="QFK56" s="53"/>
      <c r="QFL56" s="53"/>
      <c r="QFM56" s="53"/>
      <c r="QFN56" s="53"/>
      <c r="QFO56" s="53"/>
      <c r="QFP56" s="53"/>
      <c r="QFQ56" s="53"/>
      <c r="QFR56" s="53"/>
      <c r="QFS56" s="53"/>
      <c r="QFT56" s="53"/>
      <c r="QFU56" s="53"/>
      <c r="QFV56" s="53"/>
      <c r="QFW56" s="53"/>
      <c r="QFX56" s="53"/>
      <c r="QFY56" s="53"/>
      <c r="QFZ56" s="53"/>
      <c r="QGA56" s="53"/>
      <c r="QGB56" s="53"/>
      <c r="QGC56" s="53"/>
      <c r="QGD56" s="53"/>
      <c r="QGE56" s="53"/>
      <c r="QGF56" s="53"/>
      <c r="QGG56" s="53"/>
      <c r="QGH56" s="53"/>
      <c r="QGI56" s="53"/>
      <c r="QGJ56" s="53"/>
      <c r="QGK56" s="53"/>
      <c r="QGL56" s="53"/>
      <c r="QGM56" s="53"/>
      <c r="QGN56" s="53"/>
      <c r="QGO56" s="53"/>
      <c r="QGP56" s="53"/>
      <c r="QGQ56" s="53"/>
      <c r="QGR56" s="53"/>
      <c r="QGS56" s="53"/>
      <c r="QGT56" s="53"/>
      <c r="QGU56" s="53"/>
      <c r="QGV56" s="53"/>
      <c r="QGW56" s="53"/>
      <c r="QGX56" s="53"/>
      <c r="QGY56" s="53"/>
      <c r="QGZ56" s="53"/>
      <c r="QHA56" s="53"/>
      <c r="QHB56" s="53"/>
      <c r="QHC56" s="53"/>
      <c r="QHD56" s="53"/>
      <c r="QHE56" s="53"/>
      <c r="QHF56" s="53"/>
      <c r="QHG56" s="53"/>
      <c r="QHH56" s="53"/>
      <c r="QHI56" s="53"/>
      <c r="QHJ56" s="53"/>
      <c r="QHK56" s="53"/>
      <c r="QHL56" s="53"/>
      <c r="QHM56" s="53"/>
      <c r="QHN56" s="53"/>
      <c r="QHO56" s="53"/>
      <c r="QHP56" s="53"/>
      <c r="QHQ56" s="53"/>
      <c r="QHR56" s="53"/>
      <c r="QHS56" s="53"/>
      <c r="QHT56" s="53"/>
      <c r="QHU56" s="53"/>
      <c r="QHV56" s="53"/>
      <c r="QHW56" s="53"/>
      <c r="QHX56" s="53"/>
      <c r="QHY56" s="53"/>
      <c r="QHZ56" s="53"/>
      <c r="QIA56" s="53"/>
      <c r="QIB56" s="53"/>
      <c r="QIC56" s="53"/>
      <c r="QID56" s="53"/>
      <c r="QIE56" s="53"/>
      <c r="QIF56" s="53"/>
      <c r="QIG56" s="53"/>
      <c r="QIH56" s="53"/>
      <c r="QII56" s="53"/>
      <c r="QIJ56" s="53"/>
      <c r="QIK56" s="53"/>
      <c r="QIL56" s="53"/>
      <c r="QIM56" s="53"/>
      <c r="QIN56" s="53"/>
      <c r="QIO56" s="53"/>
      <c r="QIP56" s="53"/>
      <c r="QIQ56" s="53"/>
      <c r="QIR56" s="53"/>
      <c r="QIS56" s="53"/>
      <c r="QIT56" s="53"/>
      <c r="QIU56" s="53"/>
      <c r="QIV56" s="53"/>
      <c r="QIW56" s="53"/>
      <c r="QIX56" s="53"/>
      <c r="QIY56" s="53"/>
      <c r="QIZ56" s="53"/>
      <c r="QJA56" s="53"/>
      <c r="QJB56" s="53"/>
      <c r="QJC56" s="53"/>
      <c r="QJD56" s="53"/>
      <c r="QJE56" s="53"/>
      <c r="QJF56" s="53"/>
      <c r="QJG56" s="53"/>
      <c r="QJH56" s="53"/>
      <c r="QJI56" s="53"/>
      <c r="QJJ56" s="53"/>
      <c r="QJK56" s="53"/>
      <c r="QJL56" s="53"/>
      <c r="QJM56" s="53"/>
      <c r="QJN56" s="53"/>
      <c r="QJO56" s="53"/>
      <c r="QJP56" s="53"/>
      <c r="QJQ56" s="53"/>
      <c r="QJR56" s="53"/>
      <c r="QJS56" s="53"/>
      <c r="QJT56" s="53"/>
      <c r="QJU56" s="53"/>
      <c r="QJV56" s="53"/>
      <c r="QJW56" s="53"/>
      <c r="QJX56" s="53"/>
      <c r="QJY56" s="53"/>
      <c r="QJZ56" s="53"/>
      <c r="QKA56" s="53"/>
      <c r="QKB56" s="53"/>
      <c r="QKC56" s="53"/>
      <c r="QKD56" s="53"/>
      <c r="QKE56" s="53"/>
      <c r="QKF56" s="53"/>
      <c r="QKG56" s="53"/>
      <c r="QKH56" s="53"/>
      <c r="QKI56" s="53"/>
      <c r="QKJ56" s="53"/>
      <c r="QKK56" s="53"/>
      <c r="QKL56" s="53"/>
      <c r="QKM56" s="53"/>
      <c r="QKN56" s="53"/>
      <c r="QKO56" s="53"/>
      <c r="QKP56" s="53"/>
      <c r="QKQ56" s="53"/>
      <c r="QKR56" s="53"/>
      <c r="QKS56" s="53"/>
      <c r="QKT56" s="53"/>
      <c r="QKU56" s="53"/>
      <c r="QKV56" s="53"/>
      <c r="QKW56" s="53"/>
      <c r="QKX56" s="53"/>
      <c r="QKY56" s="53"/>
      <c r="QKZ56" s="53"/>
      <c r="QLA56" s="53"/>
      <c r="QLB56" s="53"/>
      <c r="QLC56" s="53"/>
      <c r="QLD56" s="53"/>
      <c r="QLE56" s="53"/>
      <c r="QLF56" s="53"/>
      <c r="QLG56" s="53"/>
      <c r="QLH56" s="53"/>
      <c r="QLI56" s="53"/>
      <c r="QLJ56" s="53"/>
      <c r="QLK56" s="53"/>
      <c r="QLL56" s="53"/>
      <c r="QLM56" s="53"/>
      <c r="QLN56" s="53"/>
      <c r="QLO56" s="53"/>
      <c r="QLP56" s="53"/>
      <c r="QLQ56" s="53"/>
      <c r="QLR56" s="53"/>
      <c r="QLS56" s="53"/>
      <c r="QLT56" s="53"/>
      <c r="QLU56" s="53"/>
      <c r="QLV56" s="53"/>
      <c r="QLW56" s="53"/>
      <c r="QLX56" s="53"/>
      <c r="QLY56" s="53"/>
      <c r="QLZ56" s="53"/>
      <c r="QMA56" s="53"/>
      <c r="QMB56" s="53"/>
      <c r="QMC56" s="53"/>
      <c r="QMD56" s="53"/>
      <c r="QME56" s="53"/>
      <c r="QMF56" s="53"/>
      <c r="QMG56" s="53"/>
      <c r="QMH56" s="53"/>
      <c r="QMI56" s="53"/>
      <c r="QMJ56" s="53"/>
      <c r="QMK56" s="53"/>
      <c r="QML56" s="53"/>
      <c r="QMM56" s="53"/>
      <c r="QMN56" s="53"/>
      <c r="QMO56" s="53"/>
      <c r="QMP56" s="53"/>
      <c r="QMQ56" s="53"/>
      <c r="QMR56" s="53"/>
      <c r="QMS56" s="53"/>
      <c r="QMT56" s="53"/>
      <c r="QMU56" s="53"/>
      <c r="QMV56" s="53"/>
      <c r="QMW56" s="53"/>
      <c r="QMX56" s="53"/>
      <c r="QMY56" s="53"/>
      <c r="QMZ56" s="53"/>
      <c r="QNA56" s="53"/>
      <c r="QNB56" s="53"/>
      <c r="QNC56" s="53"/>
      <c r="QND56" s="53"/>
      <c r="QNE56" s="53"/>
      <c r="QNF56" s="53"/>
      <c r="QNG56" s="53"/>
      <c r="QNH56" s="53"/>
      <c r="QNI56" s="53"/>
      <c r="QNJ56" s="53"/>
      <c r="QNK56" s="53"/>
      <c r="QNL56" s="53"/>
      <c r="QNM56" s="53"/>
      <c r="QNN56" s="53"/>
      <c r="QNO56" s="53"/>
      <c r="QNP56" s="53"/>
      <c r="QNQ56" s="53"/>
      <c r="QNR56" s="53"/>
      <c r="QNS56" s="53"/>
      <c r="QNT56" s="53"/>
      <c r="QNU56" s="53"/>
      <c r="QNV56" s="53"/>
      <c r="QNW56" s="53"/>
      <c r="QNX56" s="53"/>
      <c r="QNY56" s="53"/>
      <c r="QNZ56" s="53"/>
      <c r="QOA56" s="53"/>
      <c r="QOB56" s="53"/>
      <c r="QOC56" s="53"/>
      <c r="QOD56" s="53"/>
      <c r="QOE56" s="53"/>
      <c r="QOF56" s="53"/>
      <c r="QOG56" s="53"/>
      <c r="QOH56" s="53"/>
      <c r="QOI56" s="53"/>
      <c r="QOJ56" s="53"/>
      <c r="QOK56" s="53"/>
      <c r="QOL56" s="53"/>
      <c r="QOM56" s="53"/>
      <c r="QON56" s="53"/>
      <c r="QOO56" s="53"/>
      <c r="QOP56" s="53"/>
      <c r="QOQ56" s="53"/>
      <c r="QOR56" s="53"/>
      <c r="QOS56" s="53"/>
      <c r="QOT56" s="53"/>
      <c r="QOU56" s="53"/>
      <c r="QOV56" s="53"/>
      <c r="QOW56" s="53"/>
      <c r="QOX56" s="53"/>
      <c r="QOY56" s="53"/>
      <c r="QOZ56" s="53"/>
      <c r="QPA56" s="53"/>
      <c r="QPB56" s="53"/>
      <c r="QPC56" s="53"/>
      <c r="QPD56" s="53"/>
      <c r="QPE56" s="53"/>
      <c r="QPF56" s="53"/>
      <c r="QPG56" s="53"/>
      <c r="QPH56" s="53"/>
      <c r="QPI56" s="53"/>
      <c r="QPJ56" s="53"/>
      <c r="QPK56" s="53"/>
      <c r="QPL56" s="53"/>
      <c r="QPM56" s="53"/>
      <c r="QPN56" s="53"/>
      <c r="QPO56" s="53"/>
      <c r="QPP56" s="53"/>
      <c r="QPQ56" s="53"/>
      <c r="QPR56" s="53"/>
      <c r="QPS56" s="53"/>
      <c r="QPT56" s="53"/>
      <c r="QPU56" s="53"/>
      <c r="QPV56" s="53"/>
      <c r="QPW56" s="53"/>
      <c r="QPX56" s="53"/>
      <c r="QPY56" s="53"/>
      <c r="QPZ56" s="53"/>
      <c r="QQA56" s="53"/>
      <c r="QQB56" s="53"/>
      <c r="QQC56" s="53"/>
      <c r="QQD56" s="53"/>
      <c r="QQE56" s="53"/>
      <c r="QQF56" s="53"/>
      <c r="QQG56" s="53"/>
      <c r="QQH56" s="53"/>
      <c r="QQI56" s="53"/>
      <c r="QQJ56" s="53"/>
      <c r="QQK56" s="53"/>
      <c r="QQL56" s="53"/>
      <c r="QQM56" s="53"/>
      <c r="QQN56" s="53"/>
      <c r="QQO56" s="53"/>
      <c r="QQP56" s="53"/>
      <c r="QQQ56" s="53"/>
      <c r="QQR56" s="53"/>
      <c r="QQS56" s="53"/>
      <c r="QQT56" s="53"/>
      <c r="QQU56" s="53"/>
      <c r="QQV56" s="53"/>
      <c r="QQW56" s="53"/>
      <c r="QQX56" s="53"/>
      <c r="QQY56" s="53"/>
      <c r="QQZ56" s="53"/>
      <c r="QRA56" s="53"/>
      <c r="QRB56" s="53"/>
      <c r="QRC56" s="53"/>
      <c r="QRD56" s="53"/>
      <c r="QRE56" s="53"/>
      <c r="QRF56" s="53"/>
      <c r="QRG56" s="53"/>
      <c r="QRH56" s="53"/>
      <c r="QRI56" s="53"/>
      <c r="QRJ56" s="53"/>
      <c r="QRK56" s="53"/>
      <c r="QRL56" s="53"/>
      <c r="QRM56" s="53"/>
      <c r="QRN56" s="53"/>
      <c r="QRO56" s="53"/>
      <c r="QRP56" s="53"/>
      <c r="QRQ56" s="53"/>
      <c r="QRR56" s="53"/>
      <c r="QRS56" s="53"/>
      <c r="QRT56" s="53"/>
      <c r="QRU56" s="53"/>
      <c r="QRV56" s="53"/>
      <c r="QRW56" s="53"/>
      <c r="QRX56" s="53"/>
      <c r="QRY56" s="53"/>
      <c r="QRZ56" s="53"/>
      <c r="QSA56" s="53"/>
      <c r="QSB56" s="53"/>
      <c r="QSC56" s="53"/>
      <c r="QSD56" s="53"/>
      <c r="QSE56" s="53"/>
      <c r="QSF56" s="53"/>
      <c r="QSG56" s="53"/>
      <c r="QSH56" s="53"/>
      <c r="QSI56" s="53"/>
      <c r="QSJ56" s="53"/>
      <c r="QSK56" s="53"/>
      <c r="QSL56" s="53"/>
      <c r="QSM56" s="53"/>
      <c r="QSN56" s="53"/>
      <c r="QSO56" s="53"/>
      <c r="QSP56" s="53"/>
      <c r="QSQ56" s="53"/>
      <c r="QSR56" s="53"/>
      <c r="QSS56" s="53"/>
      <c r="QST56" s="53"/>
      <c r="QSU56" s="53"/>
      <c r="QSV56" s="53"/>
      <c r="QSW56" s="53"/>
      <c r="QSX56" s="53"/>
      <c r="QSY56" s="53"/>
      <c r="QSZ56" s="53"/>
      <c r="QTA56" s="53"/>
      <c r="QTB56" s="53"/>
      <c r="QTC56" s="53"/>
      <c r="QTD56" s="53"/>
      <c r="QTE56" s="53"/>
      <c r="QTF56" s="53"/>
      <c r="QTG56" s="53"/>
      <c r="QTH56" s="53"/>
      <c r="QTI56" s="53"/>
      <c r="QTJ56" s="53"/>
      <c r="QTK56" s="53"/>
      <c r="QTL56" s="53"/>
      <c r="QTM56" s="53"/>
      <c r="QTN56" s="53"/>
      <c r="QTO56" s="53"/>
      <c r="QTP56" s="53"/>
      <c r="QTQ56" s="53"/>
      <c r="QTR56" s="53"/>
      <c r="QTS56" s="53"/>
      <c r="QTT56" s="53"/>
      <c r="QTU56" s="53"/>
      <c r="QTV56" s="53"/>
      <c r="QTW56" s="53"/>
      <c r="QTX56" s="53"/>
      <c r="QTY56" s="53"/>
      <c r="QTZ56" s="53"/>
      <c r="QUA56" s="53"/>
      <c r="QUB56" s="53"/>
      <c r="QUC56" s="53"/>
      <c r="QUD56" s="53"/>
      <c r="QUE56" s="53"/>
      <c r="QUF56" s="53"/>
      <c r="QUG56" s="53"/>
      <c r="QUH56" s="53"/>
      <c r="QUI56" s="53"/>
      <c r="QUJ56" s="53"/>
      <c r="QUK56" s="53"/>
      <c r="QUL56" s="53"/>
      <c r="QUM56" s="53"/>
      <c r="QUN56" s="53"/>
      <c r="QUO56" s="53"/>
      <c r="QUP56" s="53"/>
      <c r="QUQ56" s="53"/>
      <c r="QUR56" s="53"/>
      <c r="QUS56" s="53"/>
      <c r="QUT56" s="53"/>
      <c r="QUU56" s="53"/>
      <c r="QUV56" s="53"/>
      <c r="QUW56" s="53"/>
      <c r="QUX56" s="53"/>
      <c r="QUY56" s="53"/>
      <c r="QUZ56" s="53"/>
      <c r="QVA56" s="53"/>
      <c r="QVB56" s="53"/>
      <c r="QVC56" s="53"/>
      <c r="QVD56" s="53"/>
      <c r="QVE56" s="53"/>
      <c r="QVF56" s="53"/>
      <c r="QVG56" s="53"/>
      <c r="QVH56" s="53"/>
      <c r="QVI56" s="53"/>
      <c r="QVJ56" s="53"/>
      <c r="QVK56" s="53"/>
      <c r="QVL56" s="53"/>
      <c r="QVM56" s="53"/>
      <c r="QVN56" s="53"/>
      <c r="QVO56" s="53"/>
      <c r="QVP56" s="53"/>
      <c r="QVQ56" s="53"/>
      <c r="QVR56" s="53"/>
      <c r="QVS56" s="53"/>
      <c r="QVT56" s="53"/>
      <c r="QVU56" s="53"/>
      <c r="QVV56" s="53"/>
      <c r="QVW56" s="53"/>
      <c r="QVX56" s="53"/>
      <c r="QVY56" s="53"/>
      <c r="QVZ56" s="53"/>
      <c r="QWA56" s="53"/>
      <c r="QWB56" s="53"/>
      <c r="QWC56" s="53"/>
      <c r="QWD56" s="53"/>
      <c r="QWE56" s="53"/>
      <c r="QWF56" s="53"/>
      <c r="QWG56" s="53"/>
      <c r="QWH56" s="53"/>
      <c r="QWI56" s="53"/>
      <c r="QWJ56" s="53"/>
      <c r="QWK56" s="53"/>
      <c r="QWL56" s="53"/>
      <c r="QWM56" s="53"/>
      <c r="QWN56" s="53"/>
      <c r="QWO56" s="53"/>
      <c r="QWP56" s="53"/>
      <c r="QWQ56" s="53"/>
      <c r="QWR56" s="53"/>
      <c r="QWS56" s="53"/>
      <c r="QWT56" s="53"/>
      <c r="QWU56" s="53"/>
      <c r="QWV56" s="53"/>
      <c r="QWW56" s="53"/>
      <c r="QWX56" s="53"/>
      <c r="QWY56" s="53"/>
      <c r="QWZ56" s="53"/>
      <c r="QXA56" s="53"/>
      <c r="QXB56" s="53"/>
      <c r="QXC56" s="53"/>
      <c r="QXD56" s="53"/>
      <c r="QXE56" s="53"/>
      <c r="QXF56" s="53"/>
      <c r="QXG56" s="53"/>
      <c r="QXH56" s="53"/>
      <c r="QXI56" s="53"/>
      <c r="QXJ56" s="53"/>
      <c r="QXK56" s="53"/>
      <c r="QXL56" s="53"/>
      <c r="QXM56" s="53"/>
      <c r="QXN56" s="53"/>
      <c r="QXO56" s="53"/>
      <c r="QXP56" s="53"/>
      <c r="QXQ56" s="53"/>
      <c r="QXR56" s="53"/>
      <c r="QXS56" s="53"/>
      <c r="QXT56" s="53"/>
      <c r="QXU56" s="53"/>
      <c r="QXV56" s="53"/>
      <c r="QXW56" s="53"/>
      <c r="QXX56" s="53"/>
      <c r="QXY56" s="53"/>
      <c r="QXZ56" s="53"/>
      <c r="QYA56" s="53"/>
      <c r="QYB56" s="53"/>
      <c r="QYC56" s="53"/>
      <c r="QYD56" s="53"/>
      <c r="QYE56" s="53"/>
      <c r="QYF56" s="53"/>
      <c r="QYG56" s="53"/>
      <c r="QYH56" s="53"/>
      <c r="QYI56" s="53"/>
      <c r="QYJ56" s="53"/>
      <c r="QYK56" s="53"/>
      <c r="QYL56" s="53"/>
      <c r="QYM56" s="53"/>
      <c r="QYN56" s="53"/>
      <c r="QYO56" s="53"/>
      <c r="QYP56" s="53"/>
      <c r="QYQ56" s="53"/>
      <c r="QYR56" s="53"/>
      <c r="QYS56" s="53"/>
      <c r="QYT56" s="53"/>
      <c r="QYU56" s="53"/>
      <c r="QYV56" s="53"/>
      <c r="QYW56" s="53"/>
      <c r="QYX56" s="53"/>
      <c r="QYY56" s="53"/>
      <c r="QYZ56" s="53"/>
      <c r="QZA56" s="53"/>
      <c r="QZB56" s="53"/>
      <c r="QZC56" s="53"/>
      <c r="QZD56" s="53"/>
      <c r="QZE56" s="53"/>
      <c r="QZF56" s="53"/>
      <c r="QZG56" s="53"/>
      <c r="QZH56" s="53"/>
      <c r="QZI56" s="53"/>
      <c r="QZJ56" s="53"/>
      <c r="QZK56" s="53"/>
      <c r="QZL56" s="53"/>
      <c r="QZM56" s="53"/>
      <c r="QZN56" s="53"/>
      <c r="QZO56" s="53"/>
      <c r="QZP56" s="53"/>
      <c r="QZQ56" s="53"/>
      <c r="QZR56" s="53"/>
      <c r="QZS56" s="53"/>
      <c r="QZT56" s="53"/>
      <c r="QZU56" s="53"/>
      <c r="QZV56" s="53"/>
      <c r="QZW56" s="53"/>
      <c r="QZX56" s="53"/>
      <c r="QZY56" s="53"/>
      <c r="QZZ56" s="53"/>
      <c r="RAA56" s="53"/>
      <c r="RAB56" s="53"/>
      <c r="RAC56" s="53"/>
      <c r="RAD56" s="53"/>
      <c r="RAE56" s="53"/>
      <c r="RAF56" s="53"/>
      <c r="RAG56" s="53"/>
      <c r="RAH56" s="53"/>
      <c r="RAI56" s="53"/>
      <c r="RAJ56" s="53"/>
      <c r="RAK56" s="53"/>
      <c r="RAL56" s="53"/>
      <c r="RAM56" s="53"/>
      <c r="RAN56" s="53"/>
      <c r="RAO56" s="53"/>
      <c r="RAP56" s="53"/>
      <c r="RAQ56" s="53"/>
      <c r="RAR56" s="53"/>
      <c r="RAS56" s="53"/>
      <c r="RAT56" s="53"/>
      <c r="RAU56" s="53"/>
      <c r="RAV56" s="53"/>
      <c r="RAW56" s="53"/>
      <c r="RAX56" s="53"/>
      <c r="RAY56" s="53"/>
      <c r="RAZ56" s="53"/>
      <c r="RBA56" s="53"/>
      <c r="RBB56" s="53"/>
      <c r="RBC56" s="53"/>
      <c r="RBD56" s="53"/>
      <c r="RBE56" s="53"/>
      <c r="RBF56" s="53"/>
      <c r="RBG56" s="53"/>
      <c r="RBH56" s="53"/>
      <c r="RBI56" s="53"/>
      <c r="RBJ56" s="53"/>
      <c r="RBK56" s="53"/>
      <c r="RBL56" s="53"/>
      <c r="RBM56" s="53"/>
      <c r="RBN56" s="53"/>
      <c r="RBO56" s="53"/>
      <c r="RBP56" s="53"/>
      <c r="RBQ56" s="53"/>
      <c r="RBR56" s="53"/>
      <c r="RBS56" s="53"/>
      <c r="RBT56" s="53"/>
      <c r="RBU56" s="53"/>
      <c r="RBV56" s="53"/>
      <c r="RBW56" s="53"/>
      <c r="RBX56" s="53"/>
      <c r="RBY56" s="53"/>
      <c r="RBZ56" s="53"/>
      <c r="RCA56" s="53"/>
      <c r="RCB56" s="53"/>
      <c r="RCC56" s="53"/>
      <c r="RCD56" s="53"/>
      <c r="RCE56" s="53"/>
      <c r="RCF56" s="53"/>
      <c r="RCG56" s="53"/>
      <c r="RCH56" s="53"/>
      <c r="RCI56" s="53"/>
      <c r="RCJ56" s="53"/>
      <c r="RCK56" s="53"/>
      <c r="RCL56" s="53"/>
      <c r="RCM56" s="53"/>
      <c r="RCN56" s="53"/>
      <c r="RCO56" s="53"/>
      <c r="RCP56" s="53"/>
      <c r="RCQ56" s="53"/>
      <c r="RCR56" s="53"/>
      <c r="RCS56" s="53"/>
      <c r="RCT56" s="53"/>
      <c r="RCU56" s="53"/>
      <c r="RCV56" s="53"/>
      <c r="RCW56" s="53"/>
      <c r="RCX56" s="53"/>
      <c r="RCY56" s="53"/>
      <c r="RCZ56" s="53"/>
      <c r="RDA56" s="53"/>
      <c r="RDB56" s="53"/>
      <c r="RDC56" s="53"/>
      <c r="RDD56" s="53"/>
      <c r="RDE56" s="53"/>
      <c r="RDF56" s="53"/>
      <c r="RDG56" s="53"/>
      <c r="RDH56" s="53"/>
      <c r="RDI56" s="53"/>
      <c r="RDJ56" s="53"/>
      <c r="RDK56" s="53"/>
      <c r="RDL56" s="53"/>
      <c r="RDM56" s="53"/>
      <c r="RDN56" s="53"/>
      <c r="RDO56" s="53"/>
      <c r="RDP56" s="53"/>
      <c r="RDQ56" s="53"/>
      <c r="RDR56" s="53"/>
      <c r="RDS56" s="53"/>
      <c r="RDT56" s="53"/>
      <c r="RDU56" s="53"/>
      <c r="RDV56" s="53"/>
      <c r="RDW56" s="53"/>
      <c r="RDX56" s="53"/>
      <c r="RDY56" s="53"/>
      <c r="RDZ56" s="53"/>
      <c r="REA56" s="53"/>
      <c r="REB56" s="53"/>
      <c r="REC56" s="53"/>
      <c r="RED56" s="53"/>
      <c r="REE56" s="53"/>
      <c r="REF56" s="53"/>
      <c r="REG56" s="53"/>
      <c r="REH56" s="53"/>
      <c r="REI56" s="53"/>
      <c r="REJ56" s="53"/>
      <c r="REK56" s="53"/>
      <c r="REL56" s="53"/>
      <c r="REM56" s="53"/>
      <c r="REN56" s="53"/>
      <c r="REO56" s="53"/>
      <c r="REP56" s="53"/>
      <c r="REQ56" s="53"/>
      <c r="RER56" s="53"/>
      <c r="RES56" s="53"/>
      <c r="RET56" s="53"/>
      <c r="REU56" s="53"/>
      <c r="REV56" s="53"/>
      <c r="REW56" s="53"/>
      <c r="REX56" s="53"/>
      <c r="REY56" s="53"/>
      <c r="REZ56" s="53"/>
      <c r="RFA56" s="53"/>
      <c r="RFB56" s="53"/>
      <c r="RFC56" s="53"/>
      <c r="RFD56" s="53"/>
      <c r="RFE56" s="53"/>
      <c r="RFF56" s="53"/>
      <c r="RFG56" s="53"/>
      <c r="RFH56" s="53"/>
      <c r="RFI56" s="53"/>
      <c r="RFJ56" s="53"/>
      <c r="RFK56" s="53"/>
      <c r="RFL56" s="53"/>
      <c r="RFM56" s="53"/>
      <c r="RFN56" s="53"/>
      <c r="RFO56" s="53"/>
      <c r="RFP56" s="53"/>
      <c r="RFQ56" s="53"/>
      <c r="RFR56" s="53"/>
      <c r="RFS56" s="53"/>
      <c r="RFT56" s="53"/>
      <c r="RFU56" s="53"/>
      <c r="RFV56" s="53"/>
      <c r="RFW56" s="53"/>
      <c r="RFX56" s="53"/>
      <c r="RFY56" s="53"/>
      <c r="RFZ56" s="53"/>
      <c r="RGA56" s="53"/>
      <c r="RGB56" s="53"/>
      <c r="RGC56" s="53"/>
      <c r="RGD56" s="53"/>
      <c r="RGE56" s="53"/>
      <c r="RGF56" s="53"/>
      <c r="RGG56" s="53"/>
      <c r="RGH56" s="53"/>
      <c r="RGI56" s="53"/>
      <c r="RGJ56" s="53"/>
      <c r="RGK56" s="53"/>
      <c r="RGL56" s="53"/>
      <c r="RGM56" s="53"/>
      <c r="RGN56" s="53"/>
      <c r="RGO56" s="53"/>
      <c r="RGP56" s="53"/>
      <c r="RGQ56" s="53"/>
      <c r="RGR56" s="53"/>
      <c r="RGS56" s="53"/>
      <c r="RGT56" s="53"/>
      <c r="RGU56" s="53"/>
      <c r="RGV56" s="53"/>
      <c r="RGW56" s="53"/>
      <c r="RGX56" s="53"/>
      <c r="RGY56" s="53"/>
      <c r="RGZ56" s="53"/>
      <c r="RHA56" s="53"/>
      <c r="RHB56" s="53"/>
      <c r="RHC56" s="53"/>
      <c r="RHD56" s="53"/>
      <c r="RHE56" s="53"/>
      <c r="RHF56" s="53"/>
      <c r="RHG56" s="53"/>
      <c r="RHH56" s="53"/>
      <c r="RHI56" s="53"/>
      <c r="RHJ56" s="53"/>
      <c r="RHK56" s="53"/>
      <c r="RHL56" s="53"/>
      <c r="RHM56" s="53"/>
      <c r="RHN56" s="53"/>
      <c r="RHO56" s="53"/>
      <c r="RHP56" s="53"/>
      <c r="RHQ56" s="53"/>
      <c r="RHR56" s="53"/>
      <c r="RHS56" s="53"/>
      <c r="RHT56" s="53"/>
      <c r="RHU56" s="53"/>
      <c r="RHV56" s="53"/>
      <c r="RHW56" s="53"/>
      <c r="RHX56" s="53"/>
      <c r="RHY56" s="53"/>
      <c r="RHZ56" s="53"/>
      <c r="RIA56" s="53"/>
      <c r="RIB56" s="53"/>
      <c r="RIC56" s="53"/>
      <c r="RID56" s="53"/>
      <c r="RIE56" s="53"/>
      <c r="RIF56" s="53"/>
      <c r="RIG56" s="53"/>
      <c r="RIH56" s="53"/>
      <c r="RII56" s="53"/>
      <c r="RIJ56" s="53"/>
      <c r="RIK56" s="53"/>
      <c r="RIL56" s="53"/>
      <c r="RIM56" s="53"/>
      <c r="RIN56" s="53"/>
      <c r="RIO56" s="53"/>
      <c r="RIP56" s="53"/>
      <c r="RIQ56" s="53"/>
      <c r="RIR56" s="53"/>
      <c r="RIS56" s="53"/>
      <c r="RIT56" s="53"/>
      <c r="RIU56" s="53"/>
      <c r="RIV56" s="53"/>
      <c r="RIW56" s="53"/>
      <c r="RIX56" s="53"/>
      <c r="RIY56" s="53"/>
      <c r="RIZ56" s="53"/>
      <c r="RJA56" s="53"/>
      <c r="RJB56" s="53"/>
      <c r="RJC56" s="53"/>
      <c r="RJD56" s="53"/>
      <c r="RJE56" s="53"/>
      <c r="RJF56" s="53"/>
      <c r="RJG56" s="53"/>
      <c r="RJH56" s="53"/>
      <c r="RJI56" s="53"/>
      <c r="RJJ56" s="53"/>
      <c r="RJK56" s="53"/>
      <c r="RJL56" s="53"/>
      <c r="RJM56" s="53"/>
      <c r="RJN56" s="53"/>
      <c r="RJO56" s="53"/>
      <c r="RJP56" s="53"/>
      <c r="RJQ56" s="53"/>
      <c r="RJR56" s="53"/>
      <c r="RJS56" s="53"/>
      <c r="RJT56" s="53"/>
      <c r="RJU56" s="53"/>
      <c r="RJV56" s="53"/>
      <c r="RJW56" s="53"/>
      <c r="RJX56" s="53"/>
      <c r="RJY56" s="53"/>
      <c r="RJZ56" s="53"/>
      <c r="RKA56" s="53"/>
      <c r="RKB56" s="53"/>
      <c r="RKC56" s="53"/>
      <c r="RKD56" s="53"/>
      <c r="RKE56" s="53"/>
      <c r="RKF56" s="53"/>
      <c r="RKG56" s="53"/>
      <c r="RKH56" s="53"/>
      <c r="RKI56" s="53"/>
      <c r="RKJ56" s="53"/>
      <c r="RKK56" s="53"/>
      <c r="RKL56" s="53"/>
      <c r="RKM56" s="53"/>
      <c r="RKN56" s="53"/>
      <c r="RKO56" s="53"/>
      <c r="RKP56" s="53"/>
      <c r="RKQ56" s="53"/>
      <c r="RKR56" s="53"/>
      <c r="RKS56" s="53"/>
      <c r="RKT56" s="53"/>
      <c r="RKU56" s="53"/>
      <c r="RKV56" s="53"/>
      <c r="RKW56" s="53"/>
      <c r="RKX56" s="53"/>
      <c r="RKY56" s="53"/>
      <c r="RKZ56" s="53"/>
      <c r="RLA56" s="53"/>
      <c r="RLB56" s="53"/>
      <c r="RLC56" s="53"/>
      <c r="RLD56" s="53"/>
      <c r="RLE56" s="53"/>
      <c r="RLF56" s="53"/>
      <c r="RLG56" s="53"/>
      <c r="RLH56" s="53"/>
      <c r="RLI56" s="53"/>
      <c r="RLJ56" s="53"/>
      <c r="RLK56" s="53"/>
      <c r="RLL56" s="53"/>
      <c r="RLM56" s="53"/>
      <c r="RLN56" s="53"/>
      <c r="RLO56" s="53"/>
      <c r="RLP56" s="53"/>
      <c r="RLQ56" s="53"/>
      <c r="RLR56" s="53"/>
      <c r="RLS56" s="53"/>
      <c r="RLT56" s="53"/>
      <c r="RLU56" s="53"/>
      <c r="RLV56" s="53"/>
      <c r="RLW56" s="53"/>
      <c r="RLX56" s="53"/>
      <c r="RLY56" s="53"/>
      <c r="RLZ56" s="53"/>
      <c r="RMA56" s="53"/>
      <c r="RMB56" s="53"/>
      <c r="RMC56" s="53"/>
      <c r="RMD56" s="53"/>
      <c r="RME56" s="53"/>
      <c r="RMF56" s="53"/>
      <c r="RMG56" s="53"/>
      <c r="RMH56" s="53"/>
      <c r="RMI56" s="53"/>
      <c r="RMJ56" s="53"/>
      <c r="RMK56" s="53"/>
      <c r="RML56" s="53"/>
      <c r="RMM56" s="53"/>
      <c r="RMN56" s="53"/>
      <c r="RMO56" s="53"/>
      <c r="RMP56" s="53"/>
      <c r="RMQ56" s="53"/>
      <c r="RMR56" s="53"/>
      <c r="RMS56" s="53"/>
      <c r="RMT56" s="53"/>
      <c r="RMU56" s="53"/>
      <c r="RMV56" s="53"/>
      <c r="RMW56" s="53"/>
      <c r="RMX56" s="53"/>
      <c r="RMY56" s="53"/>
      <c r="RMZ56" s="53"/>
      <c r="RNA56" s="53"/>
      <c r="RNB56" s="53"/>
      <c r="RNC56" s="53"/>
      <c r="RND56" s="53"/>
      <c r="RNE56" s="53"/>
      <c r="RNF56" s="53"/>
      <c r="RNG56" s="53"/>
      <c r="RNH56" s="53"/>
      <c r="RNI56" s="53"/>
      <c r="RNJ56" s="53"/>
      <c r="RNK56" s="53"/>
      <c r="RNL56" s="53"/>
      <c r="RNM56" s="53"/>
      <c r="RNN56" s="53"/>
      <c r="RNO56" s="53"/>
      <c r="RNP56" s="53"/>
      <c r="RNQ56" s="53"/>
      <c r="RNR56" s="53"/>
      <c r="RNS56" s="53"/>
      <c r="RNT56" s="53"/>
      <c r="RNU56" s="53"/>
      <c r="RNV56" s="53"/>
      <c r="RNW56" s="53"/>
      <c r="RNX56" s="53"/>
      <c r="RNY56" s="53"/>
      <c r="RNZ56" s="53"/>
      <c r="ROA56" s="53"/>
      <c r="ROB56" s="53"/>
      <c r="ROC56" s="53"/>
      <c r="ROD56" s="53"/>
      <c r="ROE56" s="53"/>
      <c r="ROF56" s="53"/>
      <c r="ROG56" s="53"/>
      <c r="ROH56" s="53"/>
      <c r="ROI56" s="53"/>
      <c r="ROJ56" s="53"/>
      <c r="ROK56" s="53"/>
      <c r="ROL56" s="53"/>
      <c r="ROM56" s="53"/>
      <c r="RON56" s="53"/>
      <c r="ROO56" s="53"/>
      <c r="ROP56" s="53"/>
      <c r="ROQ56" s="53"/>
      <c r="ROR56" s="53"/>
      <c r="ROS56" s="53"/>
      <c r="ROT56" s="53"/>
      <c r="ROU56" s="53"/>
      <c r="ROV56" s="53"/>
      <c r="ROW56" s="53"/>
      <c r="ROX56" s="53"/>
      <c r="ROY56" s="53"/>
      <c r="ROZ56" s="53"/>
      <c r="RPA56" s="53"/>
      <c r="RPB56" s="53"/>
      <c r="RPC56" s="53"/>
      <c r="RPD56" s="53"/>
      <c r="RPE56" s="53"/>
      <c r="RPF56" s="53"/>
      <c r="RPG56" s="53"/>
      <c r="RPH56" s="53"/>
      <c r="RPI56" s="53"/>
      <c r="RPJ56" s="53"/>
      <c r="RPK56" s="53"/>
      <c r="RPL56" s="53"/>
      <c r="RPM56" s="53"/>
      <c r="RPN56" s="53"/>
      <c r="RPO56" s="53"/>
      <c r="RPP56" s="53"/>
      <c r="RPQ56" s="53"/>
      <c r="RPR56" s="53"/>
      <c r="RPS56" s="53"/>
      <c r="RPT56" s="53"/>
      <c r="RPU56" s="53"/>
      <c r="RPV56" s="53"/>
      <c r="RPW56" s="53"/>
      <c r="RPX56" s="53"/>
      <c r="RPY56" s="53"/>
      <c r="RPZ56" s="53"/>
      <c r="RQA56" s="53"/>
      <c r="RQB56" s="53"/>
      <c r="RQC56" s="53"/>
      <c r="RQD56" s="53"/>
      <c r="RQE56" s="53"/>
      <c r="RQF56" s="53"/>
      <c r="RQG56" s="53"/>
      <c r="RQH56" s="53"/>
      <c r="RQI56" s="53"/>
      <c r="RQJ56" s="53"/>
      <c r="RQK56" s="53"/>
      <c r="RQL56" s="53"/>
      <c r="RQM56" s="53"/>
      <c r="RQN56" s="53"/>
      <c r="RQO56" s="53"/>
      <c r="RQP56" s="53"/>
      <c r="RQQ56" s="53"/>
      <c r="RQR56" s="53"/>
      <c r="RQS56" s="53"/>
      <c r="RQT56" s="53"/>
      <c r="RQU56" s="53"/>
      <c r="RQV56" s="53"/>
      <c r="RQW56" s="53"/>
      <c r="RQX56" s="53"/>
      <c r="RQY56" s="53"/>
      <c r="RQZ56" s="53"/>
      <c r="RRA56" s="53"/>
      <c r="RRB56" s="53"/>
      <c r="RRC56" s="53"/>
      <c r="RRD56" s="53"/>
      <c r="RRE56" s="53"/>
      <c r="RRF56" s="53"/>
      <c r="RRG56" s="53"/>
      <c r="RRH56" s="53"/>
      <c r="RRI56" s="53"/>
      <c r="RRJ56" s="53"/>
      <c r="RRK56" s="53"/>
      <c r="RRL56" s="53"/>
      <c r="RRM56" s="53"/>
      <c r="RRN56" s="53"/>
      <c r="RRO56" s="53"/>
      <c r="RRP56" s="53"/>
      <c r="RRQ56" s="53"/>
      <c r="RRR56" s="53"/>
      <c r="RRS56" s="53"/>
      <c r="RRT56" s="53"/>
      <c r="RRU56" s="53"/>
      <c r="RRV56" s="53"/>
      <c r="RRW56" s="53"/>
      <c r="RRX56" s="53"/>
      <c r="RRY56" s="53"/>
      <c r="RRZ56" s="53"/>
      <c r="RSA56" s="53"/>
      <c r="RSB56" s="53"/>
      <c r="RSC56" s="53"/>
      <c r="RSD56" s="53"/>
      <c r="RSE56" s="53"/>
      <c r="RSF56" s="53"/>
      <c r="RSG56" s="53"/>
      <c r="RSH56" s="53"/>
      <c r="RSI56" s="53"/>
      <c r="RSJ56" s="53"/>
      <c r="RSK56" s="53"/>
      <c r="RSL56" s="53"/>
      <c r="RSM56" s="53"/>
      <c r="RSN56" s="53"/>
      <c r="RSO56" s="53"/>
      <c r="RSP56" s="53"/>
      <c r="RSQ56" s="53"/>
      <c r="RSR56" s="53"/>
      <c r="RSS56" s="53"/>
      <c r="RST56" s="53"/>
      <c r="RSU56" s="53"/>
      <c r="RSV56" s="53"/>
      <c r="RSW56" s="53"/>
      <c r="RSX56" s="53"/>
      <c r="RSY56" s="53"/>
      <c r="RSZ56" s="53"/>
      <c r="RTA56" s="53"/>
      <c r="RTB56" s="53"/>
      <c r="RTC56" s="53"/>
      <c r="RTD56" s="53"/>
      <c r="RTE56" s="53"/>
      <c r="RTF56" s="53"/>
      <c r="RTG56" s="53"/>
      <c r="RTH56" s="53"/>
      <c r="RTI56" s="53"/>
      <c r="RTJ56" s="53"/>
      <c r="RTK56" s="53"/>
      <c r="RTL56" s="53"/>
      <c r="RTM56" s="53"/>
      <c r="RTN56" s="53"/>
      <c r="RTO56" s="53"/>
      <c r="RTP56" s="53"/>
      <c r="RTQ56" s="53"/>
      <c r="RTR56" s="53"/>
      <c r="RTS56" s="53"/>
      <c r="RTT56" s="53"/>
      <c r="RTU56" s="53"/>
      <c r="RTV56" s="53"/>
      <c r="RTW56" s="53"/>
      <c r="RTX56" s="53"/>
      <c r="RTY56" s="53"/>
      <c r="RTZ56" s="53"/>
      <c r="RUA56" s="53"/>
      <c r="RUB56" s="53"/>
      <c r="RUC56" s="53"/>
      <c r="RUD56" s="53"/>
      <c r="RUE56" s="53"/>
      <c r="RUF56" s="53"/>
      <c r="RUG56" s="53"/>
      <c r="RUH56" s="53"/>
      <c r="RUI56" s="53"/>
      <c r="RUJ56" s="53"/>
      <c r="RUK56" s="53"/>
      <c r="RUL56" s="53"/>
      <c r="RUM56" s="53"/>
      <c r="RUN56" s="53"/>
      <c r="RUO56" s="53"/>
      <c r="RUP56" s="53"/>
      <c r="RUQ56" s="53"/>
      <c r="RUR56" s="53"/>
      <c r="RUS56" s="53"/>
      <c r="RUT56" s="53"/>
      <c r="RUU56" s="53"/>
      <c r="RUV56" s="53"/>
      <c r="RUW56" s="53"/>
      <c r="RUX56" s="53"/>
      <c r="RUY56" s="53"/>
      <c r="RUZ56" s="53"/>
      <c r="RVA56" s="53"/>
      <c r="RVB56" s="53"/>
      <c r="RVC56" s="53"/>
      <c r="RVD56" s="53"/>
      <c r="RVE56" s="53"/>
      <c r="RVF56" s="53"/>
      <c r="RVG56" s="53"/>
      <c r="RVH56" s="53"/>
      <c r="RVI56" s="53"/>
      <c r="RVJ56" s="53"/>
      <c r="RVK56" s="53"/>
      <c r="RVL56" s="53"/>
      <c r="RVM56" s="53"/>
      <c r="RVN56" s="53"/>
      <c r="RVO56" s="53"/>
      <c r="RVP56" s="53"/>
      <c r="RVQ56" s="53"/>
      <c r="RVR56" s="53"/>
      <c r="RVS56" s="53"/>
      <c r="RVT56" s="53"/>
      <c r="RVU56" s="53"/>
      <c r="RVV56" s="53"/>
      <c r="RVW56" s="53"/>
      <c r="RVX56" s="53"/>
      <c r="RVY56" s="53"/>
      <c r="RVZ56" s="53"/>
      <c r="RWA56" s="53"/>
      <c r="RWB56" s="53"/>
      <c r="RWC56" s="53"/>
      <c r="RWD56" s="53"/>
      <c r="RWE56" s="53"/>
      <c r="RWF56" s="53"/>
      <c r="RWG56" s="53"/>
      <c r="RWH56" s="53"/>
      <c r="RWI56" s="53"/>
      <c r="RWJ56" s="53"/>
      <c r="RWK56" s="53"/>
      <c r="RWL56" s="53"/>
      <c r="RWM56" s="53"/>
      <c r="RWN56" s="53"/>
      <c r="RWO56" s="53"/>
      <c r="RWP56" s="53"/>
      <c r="RWQ56" s="53"/>
      <c r="RWR56" s="53"/>
      <c r="RWS56" s="53"/>
      <c r="RWT56" s="53"/>
      <c r="RWU56" s="53"/>
      <c r="RWV56" s="53"/>
      <c r="RWW56" s="53"/>
      <c r="RWX56" s="53"/>
      <c r="RWY56" s="53"/>
      <c r="RWZ56" s="53"/>
      <c r="RXA56" s="53"/>
      <c r="RXB56" s="53"/>
      <c r="RXC56" s="53"/>
      <c r="RXD56" s="53"/>
      <c r="RXE56" s="53"/>
      <c r="RXF56" s="53"/>
      <c r="RXG56" s="53"/>
      <c r="RXH56" s="53"/>
      <c r="RXI56" s="53"/>
      <c r="RXJ56" s="53"/>
      <c r="RXK56" s="53"/>
      <c r="RXL56" s="53"/>
      <c r="RXM56" s="53"/>
      <c r="RXN56" s="53"/>
      <c r="RXO56" s="53"/>
      <c r="RXP56" s="53"/>
      <c r="RXQ56" s="53"/>
      <c r="RXR56" s="53"/>
      <c r="RXS56" s="53"/>
      <c r="RXT56" s="53"/>
      <c r="RXU56" s="53"/>
      <c r="RXV56" s="53"/>
      <c r="RXW56" s="53"/>
      <c r="RXX56" s="53"/>
      <c r="RXY56" s="53"/>
      <c r="RXZ56" s="53"/>
      <c r="RYA56" s="53"/>
      <c r="RYB56" s="53"/>
      <c r="RYC56" s="53"/>
      <c r="RYD56" s="53"/>
      <c r="RYE56" s="53"/>
      <c r="RYF56" s="53"/>
      <c r="RYG56" s="53"/>
      <c r="RYH56" s="53"/>
      <c r="RYI56" s="53"/>
      <c r="RYJ56" s="53"/>
      <c r="RYK56" s="53"/>
      <c r="RYL56" s="53"/>
      <c r="RYM56" s="53"/>
      <c r="RYN56" s="53"/>
      <c r="RYO56" s="53"/>
      <c r="RYP56" s="53"/>
      <c r="RYQ56" s="53"/>
      <c r="RYR56" s="53"/>
      <c r="RYS56" s="53"/>
      <c r="RYT56" s="53"/>
      <c r="RYU56" s="53"/>
      <c r="RYV56" s="53"/>
      <c r="RYW56" s="53"/>
      <c r="RYX56" s="53"/>
      <c r="RYY56" s="53"/>
      <c r="RYZ56" s="53"/>
      <c r="RZA56" s="53"/>
      <c r="RZB56" s="53"/>
      <c r="RZC56" s="53"/>
      <c r="RZD56" s="53"/>
      <c r="RZE56" s="53"/>
      <c r="RZF56" s="53"/>
      <c r="RZG56" s="53"/>
      <c r="RZH56" s="53"/>
      <c r="RZI56" s="53"/>
      <c r="RZJ56" s="53"/>
      <c r="RZK56" s="53"/>
      <c r="RZL56" s="53"/>
      <c r="RZM56" s="53"/>
      <c r="RZN56" s="53"/>
      <c r="RZO56" s="53"/>
      <c r="RZP56" s="53"/>
      <c r="RZQ56" s="53"/>
      <c r="RZR56" s="53"/>
      <c r="RZS56" s="53"/>
      <c r="RZT56" s="53"/>
      <c r="RZU56" s="53"/>
      <c r="RZV56" s="53"/>
      <c r="RZW56" s="53"/>
      <c r="RZX56" s="53"/>
      <c r="RZY56" s="53"/>
      <c r="RZZ56" s="53"/>
      <c r="SAA56" s="53"/>
      <c r="SAB56" s="53"/>
      <c r="SAC56" s="53"/>
      <c r="SAD56" s="53"/>
      <c r="SAE56" s="53"/>
      <c r="SAF56" s="53"/>
      <c r="SAG56" s="53"/>
      <c r="SAH56" s="53"/>
      <c r="SAI56" s="53"/>
      <c r="SAJ56" s="53"/>
      <c r="SAK56" s="53"/>
      <c r="SAL56" s="53"/>
      <c r="SAM56" s="53"/>
      <c r="SAN56" s="53"/>
      <c r="SAO56" s="53"/>
      <c r="SAP56" s="53"/>
      <c r="SAQ56" s="53"/>
      <c r="SAR56" s="53"/>
      <c r="SAS56" s="53"/>
      <c r="SAT56" s="53"/>
      <c r="SAU56" s="53"/>
      <c r="SAV56" s="53"/>
      <c r="SAW56" s="53"/>
      <c r="SAX56" s="53"/>
      <c r="SAY56" s="53"/>
      <c r="SAZ56" s="53"/>
      <c r="SBA56" s="53"/>
      <c r="SBB56" s="53"/>
      <c r="SBC56" s="53"/>
      <c r="SBD56" s="53"/>
      <c r="SBE56" s="53"/>
      <c r="SBF56" s="53"/>
      <c r="SBG56" s="53"/>
      <c r="SBH56" s="53"/>
      <c r="SBI56" s="53"/>
      <c r="SBJ56" s="53"/>
      <c r="SBK56" s="53"/>
      <c r="SBL56" s="53"/>
      <c r="SBM56" s="53"/>
      <c r="SBN56" s="53"/>
      <c r="SBO56" s="53"/>
      <c r="SBP56" s="53"/>
      <c r="SBQ56" s="53"/>
      <c r="SBR56" s="53"/>
      <c r="SBS56" s="53"/>
      <c r="SBT56" s="53"/>
      <c r="SBU56" s="53"/>
      <c r="SBV56" s="53"/>
      <c r="SBW56" s="53"/>
      <c r="SBX56" s="53"/>
      <c r="SBY56" s="53"/>
      <c r="SBZ56" s="53"/>
      <c r="SCA56" s="53"/>
      <c r="SCB56" s="53"/>
      <c r="SCC56" s="53"/>
      <c r="SCD56" s="53"/>
      <c r="SCE56" s="53"/>
      <c r="SCF56" s="53"/>
      <c r="SCG56" s="53"/>
      <c r="SCH56" s="53"/>
      <c r="SCI56" s="53"/>
      <c r="SCJ56" s="53"/>
      <c r="SCK56" s="53"/>
      <c r="SCL56" s="53"/>
      <c r="SCM56" s="53"/>
      <c r="SCN56" s="53"/>
      <c r="SCO56" s="53"/>
      <c r="SCP56" s="53"/>
      <c r="SCQ56" s="53"/>
      <c r="SCR56" s="53"/>
      <c r="SCS56" s="53"/>
      <c r="SCT56" s="53"/>
      <c r="SCU56" s="53"/>
      <c r="SCV56" s="53"/>
      <c r="SCW56" s="53"/>
      <c r="SCX56" s="53"/>
      <c r="SCY56" s="53"/>
      <c r="SCZ56" s="53"/>
      <c r="SDA56" s="53"/>
      <c r="SDB56" s="53"/>
      <c r="SDC56" s="53"/>
      <c r="SDD56" s="53"/>
      <c r="SDE56" s="53"/>
      <c r="SDF56" s="53"/>
      <c r="SDG56" s="53"/>
      <c r="SDH56" s="53"/>
      <c r="SDI56" s="53"/>
      <c r="SDJ56" s="53"/>
      <c r="SDK56" s="53"/>
      <c r="SDL56" s="53"/>
      <c r="SDM56" s="53"/>
      <c r="SDN56" s="53"/>
      <c r="SDO56" s="53"/>
      <c r="SDP56" s="53"/>
      <c r="SDQ56" s="53"/>
      <c r="SDR56" s="53"/>
      <c r="SDS56" s="53"/>
      <c r="SDT56" s="53"/>
      <c r="SDU56" s="53"/>
      <c r="SDV56" s="53"/>
      <c r="SDW56" s="53"/>
      <c r="SDX56" s="53"/>
      <c r="SDY56" s="53"/>
      <c r="SDZ56" s="53"/>
      <c r="SEA56" s="53"/>
      <c r="SEB56" s="53"/>
      <c r="SEC56" s="53"/>
      <c r="SED56" s="53"/>
      <c r="SEE56" s="53"/>
      <c r="SEF56" s="53"/>
      <c r="SEG56" s="53"/>
      <c r="SEH56" s="53"/>
      <c r="SEI56" s="53"/>
      <c r="SEJ56" s="53"/>
      <c r="SEK56" s="53"/>
      <c r="SEL56" s="53"/>
      <c r="SEM56" s="53"/>
      <c r="SEN56" s="53"/>
      <c r="SEO56" s="53"/>
      <c r="SEP56" s="53"/>
      <c r="SEQ56" s="53"/>
      <c r="SER56" s="53"/>
      <c r="SES56" s="53"/>
      <c r="SET56" s="53"/>
      <c r="SEU56" s="53"/>
      <c r="SEV56" s="53"/>
      <c r="SEW56" s="53"/>
      <c r="SEX56" s="53"/>
      <c r="SEY56" s="53"/>
      <c r="SEZ56" s="53"/>
      <c r="SFA56" s="53"/>
      <c r="SFB56" s="53"/>
      <c r="SFC56" s="53"/>
      <c r="SFD56" s="53"/>
      <c r="SFE56" s="53"/>
      <c r="SFF56" s="53"/>
      <c r="SFG56" s="53"/>
      <c r="SFH56" s="53"/>
      <c r="SFI56" s="53"/>
      <c r="SFJ56" s="53"/>
      <c r="SFK56" s="53"/>
      <c r="SFL56" s="53"/>
      <c r="SFM56" s="53"/>
      <c r="SFN56" s="53"/>
      <c r="SFO56" s="53"/>
      <c r="SFP56" s="53"/>
      <c r="SFQ56" s="53"/>
      <c r="SFR56" s="53"/>
      <c r="SFS56" s="53"/>
      <c r="SFT56" s="53"/>
      <c r="SFU56" s="53"/>
      <c r="SFV56" s="53"/>
      <c r="SFW56" s="53"/>
      <c r="SFX56" s="53"/>
      <c r="SFY56" s="53"/>
      <c r="SFZ56" s="53"/>
      <c r="SGA56" s="53"/>
      <c r="SGB56" s="53"/>
      <c r="SGC56" s="53"/>
      <c r="SGD56" s="53"/>
      <c r="SGE56" s="53"/>
      <c r="SGF56" s="53"/>
      <c r="SGG56" s="53"/>
      <c r="SGH56" s="53"/>
      <c r="SGI56" s="53"/>
      <c r="SGJ56" s="53"/>
      <c r="SGK56" s="53"/>
      <c r="SGL56" s="53"/>
      <c r="SGM56" s="53"/>
      <c r="SGN56" s="53"/>
      <c r="SGO56" s="53"/>
      <c r="SGP56" s="53"/>
      <c r="SGQ56" s="53"/>
      <c r="SGR56" s="53"/>
      <c r="SGS56" s="53"/>
      <c r="SGT56" s="53"/>
      <c r="SGU56" s="53"/>
      <c r="SGV56" s="53"/>
      <c r="SGW56" s="53"/>
      <c r="SGX56" s="53"/>
      <c r="SGY56" s="53"/>
      <c r="SGZ56" s="53"/>
      <c r="SHA56" s="53"/>
      <c r="SHB56" s="53"/>
      <c r="SHC56" s="53"/>
      <c r="SHD56" s="53"/>
      <c r="SHE56" s="53"/>
      <c r="SHF56" s="53"/>
      <c r="SHG56" s="53"/>
      <c r="SHH56" s="53"/>
      <c r="SHI56" s="53"/>
      <c r="SHJ56" s="53"/>
      <c r="SHK56" s="53"/>
      <c r="SHL56" s="53"/>
      <c r="SHM56" s="53"/>
      <c r="SHN56" s="53"/>
      <c r="SHO56" s="53"/>
      <c r="SHP56" s="53"/>
      <c r="SHQ56" s="53"/>
      <c r="SHR56" s="53"/>
      <c r="SHS56" s="53"/>
      <c r="SHT56" s="53"/>
      <c r="SHU56" s="53"/>
      <c r="SHV56" s="53"/>
      <c r="SHW56" s="53"/>
      <c r="SHX56" s="53"/>
      <c r="SHY56" s="53"/>
      <c r="SHZ56" s="53"/>
      <c r="SIA56" s="53"/>
      <c r="SIB56" s="53"/>
      <c r="SIC56" s="53"/>
      <c r="SID56" s="53"/>
      <c r="SIE56" s="53"/>
      <c r="SIF56" s="53"/>
      <c r="SIG56" s="53"/>
      <c r="SIH56" s="53"/>
      <c r="SII56" s="53"/>
      <c r="SIJ56" s="53"/>
      <c r="SIK56" s="53"/>
      <c r="SIL56" s="53"/>
      <c r="SIM56" s="53"/>
      <c r="SIN56" s="53"/>
      <c r="SIO56" s="53"/>
      <c r="SIP56" s="53"/>
      <c r="SIQ56" s="53"/>
      <c r="SIR56" s="53"/>
      <c r="SIS56" s="53"/>
      <c r="SIT56" s="53"/>
      <c r="SIU56" s="53"/>
      <c r="SIV56" s="53"/>
      <c r="SIW56" s="53"/>
      <c r="SIX56" s="53"/>
      <c r="SIY56" s="53"/>
      <c r="SIZ56" s="53"/>
      <c r="SJA56" s="53"/>
      <c r="SJB56" s="53"/>
      <c r="SJC56" s="53"/>
      <c r="SJD56" s="53"/>
      <c r="SJE56" s="53"/>
      <c r="SJF56" s="53"/>
      <c r="SJG56" s="53"/>
      <c r="SJH56" s="53"/>
      <c r="SJI56" s="53"/>
      <c r="SJJ56" s="53"/>
      <c r="SJK56" s="53"/>
      <c r="SJL56" s="53"/>
      <c r="SJM56" s="53"/>
      <c r="SJN56" s="53"/>
      <c r="SJO56" s="53"/>
      <c r="SJP56" s="53"/>
      <c r="SJQ56" s="53"/>
      <c r="SJR56" s="53"/>
      <c r="SJS56" s="53"/>
      <c r="SJT56" s="53"/>
      <c r="SJU56" s="53"/>
      <c r="SJV56" s="53"/>
      <c r="SJW56" s="53"/>
      <c r="SJX56" s="53"/>
      <c r="SJY56" s="53"/>
      <c r="SJZ56" s="53"/>
      <c r="SKA56" s="53"/>
      <c r="SKB56" s="53"/>
      <c r="SKC56" s="53"/>
      <c r="SKD56" s="53"/>
      <c r="SKE56" s="53"/>
      <c r="SKF56" s="53"/>
      <c r="SKG56" s="53"/>
      <c r="SKH56" s="53"/>
      <c r="SKI56" s="53"/>
      <c r="SKJ56" s="53"/>
      <c r="SKK56" s="53"/>
      <c r="SKL56" s="53"/>
      <c r="SKM56" s="53"/>
      <c r="SKN56" s="53"/>
      <c r="SKO56" s="53"/>
      <c r="SKP56" s="53"/>
      <c r="SKQ56" s="53"/>
      <c r="SKR56" s="53"/>
      <c r="SKS56" s="53"/>
      <c r="SKT56" s="53"/>
      <c r="SKU56" s="53"/>
      <c r="SKV56" s="53"/>
      <c r="SKW56" s="53"/>
      <c r="SKX56" s="53"/>
      <c r="SKY56" s="53"/>
      <c r="SKZ56" s="53"/>
      <c r="SLA56" s="53"/>
      <c r="SLB56" s="53"/>
      <c r="SLC56" s="53"/>
      <c r="SLD56" s="53"/>
      <c r="SLE56" s="53"/>
      <c r="SLF56" s="53"/>
      <c r="SLG56" s="53"/>
      <c r="SLH56" s="53"/>
      <c r="SLI56" s="53"/>
      <c r="SLJ56" s="53"/>
      <c r="SLK56" s="53"/>
      <c r="SLL56" s="53"/>
      <c r="SLM56" s="53"/>
      <c r="SLN56" s="53"/>
      <c r="SLO56" s="53"/>
      <c r="SLP56" s="53"/>
      <c r="SLQ56" s="53"/>
      <c r="SLR56" s="53"/>
      <c r="SLS56" s="53"/>
      <c r="SLT56" s="53"/>
      <c r="SLU56" s="53"/>
      <c r="SLV56" s="53"/>
      <c r="SLW56" s="53"/>
      <c r="SLX56" s="53"/>
      <c r="SLY56" s="53"/>
      <c r="SLZ56" s="53"/>
      <c r="SMA56" s="53"/>
      <c r="SMB56" s="53"/>
      <c r="SMC56" s="53"/>
      <c r="SMD56" s="53"/>
      <c r="SME56" s="53"/>
      <c r="SMF56" s="53"/>
      <c r="SMG56" s="53"/>
      <c r="SMH56" s="53"/>
      <c r="SMI56" s="53"/>
      <c r="SMJ56" s="53"/>
      <c r="SMK56" s="53"/>
      <c r="SML56" s="53"/>
      <c r="SMM56" s="53"/>
      <c r="SMN56" s="53"/>
      <c r="SMO56" s="53"/>
      <c r="SMP56" s="53"/>
      <c r="SMQ56" s="53"/>
      <c r="SMR56" s="53"/>
      <c r="SMS56" s="53"/>
      <c r="SMT56" s="53"/>
      <c r="SMU56" s="53"/>
      <c r="SMV56" s="53"/>
      <c r="SMW56" s="53"/>
      <c r="SMX56" s="53"/>
      <c r="SMY56" s="53"/>
      <c r="SMZ56" s="53"/>
      <c r="SNA56" s="53"/>
      <c r="SNB56" s="53"/>
      <c r="SNC56" s="53"/>
      <c r="SND56" s="53"/>
      <c r="SNE56" s="53"/>
      <c r="SNF56" s="53"/>
      <c r="SNG56" s="53"/>
      <c r="SNH56" s="53"/>
      <c r="SNI56" s="53"/>
      <c r="SNJ56" s="53"/>
      <c r="SNK56" s="53"/>
      <c r="SNL56" s="53"/>
      <c r="SNM56" s="53"/>
      <c r="SNN56" s="53"/>
      <c r="SNO56" s="53"/>
      <c r="SNP56" s="53"/>
      <c r="SNQ56" s="53"/>
      <c r="SNR56" s="53"/>
      <c r="SNS56" s="53"/>
      <c r="SNT56" s="53"/>
      <c r="SNU56" s="53"/>
      <c r="SNV56" s="53"/>
      <c r="SNW56" s="53"/>
      <c r="SNX56" s="53"/>
      <c r="SNY56" s="53"/>
      <c r="SNZ56" s="53"/>
      <c r="SOA56" s="53"/>
      <c r="SOB56" s="53"/>
      <c r="SOC56" s="53"/>
      <c r="SOD56" s="53"/>
      <c r="SOE56" s="53"/>
      <c r="SOF56" s="53"/>
      <c r="SOG56" s="53"/>
      <c r="SOH56" s="53"/>
      <c r="SOI56" s="53"/>
      <c r="SOJ56" s="53"/>
      <c r="SOK56" s="53"/>
      <c r="SOL56" s="53"/>
      <c r="SOM56" s="53"/>
      <c r="SON56" s="53"/>
      <c r="SOO56" s="53"/>
      <c r="SOP56" s="53"/>
      <c r="SOQ56" s="53"/>
      <c r="SOR56" s="53"/>
      <c r="SOS56" s="53"/>
      <c r="SOT56" s="53"/>
      <c r="SOU56" s="53"/>
      <c r="SOV56" s="53"/>
      <c r="SOW56" s="53"/>
      <c r="SOX56" s="53"/>
      <c r="SOY56" s="53"/>
      <c r="SOZ56" s="53"/>
      <c r="SPA56" s="53"/>
      <c r="SPB56" s="53"/>
      <c r="SPC56" s="53"/>
      <c r="SPD56" s="53"/>
      <c r="SPE56" s="53"/>
      <c r="SPF56" s="53"/>
      <c r="SPG56" s="53"/>
      <c r="SPH56" s="53"/>
      <c r="SPI56" s="53"/>
      <c r="SPJ56" s="53"/>
      <c r="SPK56" s="53"/>
      <c r="SPL56" s="53"/>
      <c r="SPM56" s="53"/>
      <c r="SPN56" s="53"/>
      <c r="SPO56" s="53"/>
      <c r="SPP56" s="53"/>
      <c r="SPQ56" s="53"/>
      <c r="SPR56" s="53"/>
      <c r="SPS56" s="53"/>
      <c r="SPT56" s="53"/>
      <c r="SPU56" s="53"/>
      <c r="SPV56" s="53"/>
      <c r="SPW56" s="53"/>
      <c r="SPX56" s="53"/>
      <c r="SPY56" s="53"/>
      <c r="SPZ56" s="53"/>
      <c r="SQA56" s="53"/>
      <c r="SQB56" s="53"/>
      <c r="SQC56" s="53"/>
      <c r="SQD56" s="53"/>
      <c r="SQE56" s="53"/>
      <c r="SQF56" s="53"/>
      <c r="SQG56" s="53"/>
      <c r="SQH56" s="53"/>
      <c r="SQI56" s="53"/>
      <c r="SQJ56" s="53"/>
      <c r="SQK56" s="53"/>
      <c r="SQL56" s="53"/>
      <c r="SQM56" s="53"/>
      <c r="SQN56" s="53"/>
      <c r="SQO56" s="53"/>
      <c r="SQP56" s="53"/>
      <c r="SQQ56" s="53"/>
      <c r="SQR56" s="53"/>
      <c r="SQS56" s="53"/>
      <c r="SQT56" s="53"/>
      <c r="SQU56" s="53"/>
      <c r="SQV56" s="53"/>
      <c r="SQW56" s="53"/>
      <c r="SQX56" s="53"/>
      <c r="SQY56" s="53"/>
      <c r="SQZ56" s="53"/>
      <c r="SRA56" s="53"/>
      <c r="SRB56" s="53"/>
      <c r="SRC56" s="53"/>
      <c r="SRD56" s="53"/>
      <c r="SRE56" s="53"/>
      <c r="SRF56" s="53"/>
      <c r="SRG56" s="53"/>
      <c r="SRH56" s="53"/>
      <c r="SRI56" s="53"/>
      <c r="SRJ56" s="53"/>
      <c r="SRK56" s="53"/>
      <c r="SRL56" s="53"/>
      <c r="SRM56" s="53"/>
      <c r="SRN56" s="53"/>
      <c r="SRO56" s="53"/>
      <c r="SRP56" s="53"/>
      <c r="SRQ56" s="53"/>
      <c r="SRR56" s="53"/>
      <c r="SRS56" s="53"/>
      <c r="SRT56" s="53"/>
      <c r="SRU56" s="53"/>
      <c r="SRV56" s="53"/>
      <c r="SRW56" s="53"/>
      <c r="SRX56" s="53"/>
      <c r="SRY56" s="53"/>
      <c r="SRZ56" s="53"/>
      <c r="SSA56" s="53"/>
      <c r="SSB56" s="53"/>
      <c r="SSC56" s="53"/>
      <c r="SSD56" s="53"/>
      <c r="SSE56" s="53"/>
      <c r="SSF56" s="53"/>
      <c r="SSG56" s="53"/>
      <c r="SSH56" s="53"/>
      <c r="SSI56" s="53"/>
      <c r="SSJ56" s="53"/>
      <c r="SSK56" s="53"/>
      <c r="SSL56" s="53"/>
      <c r="SSM56" s="53"/>
      <c r="SSN56" s="53"/>
      <c r="SSO56" s="53"/>
      <c r="SSP56" s="53"/>
      <c r="SSQ56" s="53"/>
      <c r="SSR56" s="53"/>
      <c r="SSS56" s="53"/>
      <c r="SST56" s="53"/>
      <c r="SSU56" s="53"/>
      <c r="SSV56" s="53"/>
      <c r="SSW56" s="53"/>
      <c r="SSX56" s="53"/>
      <c r="SSY56" s="53"/>
      <c r="SSZ56" s="53"/>
      <c r="STA56" s="53"/>
      <c r="STB56" s="53"/>
      <c r="STC56" s="53"/>
      <c r="STD56" s="53"/>
      <c r="STE56" s="53"/>
      <c r="STF56" s="53"/>
      <c r="STG56" s="53"/>
      <c r="STH56" s="53"/>
      <c r="STI56" s="53"/>
      <c r="STJ56" s="53"/>
      <c r="STK56" s="53"/>
      <c r="STL56" s="53"/>
      <c r="STM56" s="53"/>
      <c r="STN56" s="53"/>
      <c r="STO56" s="53"/>
      <c r="STP56" s="53"/>
      <c r="STQ56" s="53"/>
      <c r="STR56" s="53"/>
      <c r="STS56" s="53"/>
      <c r="STT56" s="53"/>
      <c r="STU56" s="53"/>
      <c r="STV56" s="53"/>
      <c r="STW56" s="53"/>
      <c r="STX56" s="53"/>
      <c r="STY56" s="53"/>
      <c r="STZ56" s="53"/>
      <c r="SUA56" s="53"/>
      <c r="SUB56" s="53"/>
      <c r="SUC56" s="53"/>
      <c r="SUD56" s="53"/>
      <c r="SUE56" s="53"/>
      <c r="SUF56" s="53"/>
      <c r="SUG56" s="53"/>
      <c r="SUH56" s="53"/>
      <c r="SUI56" s="53"/>
      <c r="SUJ56" s="53"/>
      <c r="SUK56" s="53"/>
      <c r="SUL56" s="53"/>
      <c r="SUM56" s="53"/>
      <c r="SUN56" s="53"/>
      <c r="SUO56" s="53"/>
      <c r="SUP56" s="53"/>
      <c r="SUQ56" s="53"/>
      <c r="SUR56" s="53"/>
      <c r="SUS56" s="53"/>
      <c r="SUT56" s="53"/>
      <c r="SUU56" s="53"/>
      <c r="SUV56" s="53"/>
      <c r="SUW56" s="53"/>
      <c r="SUX56" s="53"/>
      <c r="SUY56" s="53"/>
      <c r="SUZ56" s="53"/>
      <c r="SVA56" s="53"/>
      <c r="SVB56" s="53"/>
      <c r="SVC56" s="53"/>
      <c r="SVD56" s="53"/>
      <c r="SVE56" s="53"/>
      <c r="SVF56" s="53"/>
      <c r="SVG56" s="53"/>
      <c r="SVH56" s="53"/>
      <c r="SVI56" s="53"/>
      <c r="SVJ56" s="53"/>
      <c r="SVK56" s="53"/>
      <c r="SVL56" s="53"/>
      <c r="SVM56" s="53"/>
      <c r="SVN56" s="53"/>
      <c r="SVO56" s="53"/>
      <c r="SVP56" s="53"/>
      <c r="SVQ56" s="53"/>
      <c r="SVR56" s="53"/>
      <c r="SVS56" s="53"/>
      <c r="SVT56" s="53"/>
      <c r="SVU56" s="53"/>
      <c r="SVV56" s="53"/>
      <c r="SVW56" s="53"/>
      <c r="SVX56" s="53"/>
      <c r="SVY56" s="53"/>
      <c r="SVZ56" s="53"/>
      <c r="SWA56" s="53"/>
      <c r="SWB56" s="53"/>
      <c r="SWC56" s="53"/>
      <c r="SWD56" s="53"/>
      <c r="SWE56" s="53"/>
      <c r="SWF56" s="53"/>
      <c r="SWG56" s="53"/>
      <c r="SWH56" s="53"/>
      <c r="SWI56" s="53"/>
      <c r="SWJ56" s="53"/>
      <c r="SWK56" s="53"/>
      <c r="SWL56" s="53"/>
      <c r="SWM56" s="53"/>
      <c r="SWN56" s="53"/>
      <c r="SWO56" s="53"/>
      <c r="SWP56" s="53"/>
      <c r="SWQ56" s="53"/>
      <c r="SWR56" s="53"/>
      <c r="SWS56" s="53"/>
      <c r="SWT56" s="53"/>
      <c r="SWU56" s="53"/>
      <c r="SWV56" s="53"/>
      <c r="SWW56" s="53"/>
      <c r="SWX56" s="53"/>
      <c r="SWY56" s="53"/>
      <c r="SWZ56" s="53"/>
      <c r="SXA56" s="53"/>
      <c r="SXB56" s="53"/>
      <c r="SXC56" s="53"/>
      <c r="SXD56" s="53"/>
      <c r="SXE56" s="53"/>
      <c r="SXF56" s="53"/>
      <c r="SXG56" s="53"/>
      <c r="SXH56" s="53"/>
      <c r="SXI56" s="53"/>
      <c r="SXJ56" s="53"/>
      <c r="SXK56" s="53"/>
      <c r="SXL56" s="53"/>
      <c r="SXM56" s="53"/>
      <c r="SXN56" s="53"/>
      <c r="SXO56" s="53"/>
      <c r="SXP56" s="53"/>
      <c r="SXQ56" s="53"/>
      <c r="SXR56" s="53"/>
      <c r="SXS56" s="53"/>
      <c r="SXT56" s="53"/>
      <c r="SXU56" s="53"/>
      <c r="SXV56" s="53"/>
      <c r="SXW56" s="53"/>
      <c r="SXX56" s="53"/>
      <c r="SXY56" s="53"/>
      <c r="SXZ56" s="53"/>
      <c r="SYA56" s="53"/>
      <c r="SYB56" s="53"/>
      <c r="SYC56" s="53"/>
      <c r="SYD56" s="53"/>
      <c r="SYE56" s="53"/>
      <c r="SYF56" s="53"/>
      <c r="SYG56" s="53"/>
      <c r="SYH56" s="53"/>
      <c r="SYI56" s="53"/>
      <c r="SYJ56" s="53"/>
      <c r="SYK56" s="53"/>
      <c r="SYL56" s="53"/>
      <c r="SYM56" s="53"/>
      <c r="SYN56" s="53"/>
      <c r="SYO56" s="53"/>
      <c r="SYP56" s="53"/>
      <c r="SYQ56" s="53"/>
      <c r="SYR56" s="53"/>
      <c r="SYS56" s="53"/>
      <c r="SYT56" s="53"/>
      <c r="SYU56" s="53"/>
      <c r="SYV56" s="53"/>
      <c r="SYW56" s="53"/>
      <c r="SYX56" s="53"/>
      <c r="SYY56" s="53"/>
      <c r="SYZ56" s="53"/>
      <c r="SZA56" s="53"/>
      <c r="SZB56" s="53"/>
      <c r="SZC56" s="53"/>
      <c r="SZD56" s="53"/>
      <c r="SZE56" s="53"/>
      <c r="SZF56" s="53"/>
      <c r="SZG56" s="53"/>
      <c r="SZH56" s="53"/>
      <c r="SZI56" s="53"/>
      <c r="SZJ56" s="53"/>
      <c r="SZK56" s="53"/>
      <c r="SZL56" s="53"/>
      <c r="SZM56" s="53"/>
      <c r="SZN56" s="53"/>
      <c r="SZO56" s="53"/>
      <c r="SZP56" s="53"/>
      <c r="SZQ56" s="53"/>
      <c r="SZR56" s="53"/>
      <c r="SZS56" s="53"/>
      <c r="SZT56" s="53"/>
      <c r="SZU56" s="53"/>
      <c r="SZV56" s="53"/>
      <c r="SZW56" s="53"/>
      <c r="SZX56" s="53"/>
      <c r="SZY56" s="53"/>
      <c r="SZZ56" s="53"/>
      <c r="TAA56" s="53"/>
      <c r="TAB56" s="53"/>
      <c r="TAC56" s="53"/>
      <c r="TAD56" s="53"/>
      <c r="TAE56" s="53"/>
      <c r="TAF56" s="53"/>
      <c r="TAG56" s="53"/>
      <c r="TAH56" s="53"/>
      <c r="TAI56" s="53"/>
      <c r="TAJ56" s="53"/>
      <c r="TAK56" s="53"/>
      <c r="TAL56" s="53"/>
      <c r="TAM56" s="53"/>
      <c r="TAN56" s="53"/>
      <c r="TAO56" s="53"/>
      <c r="TAP56" s="53"/>
      <c r="TAQ56" s="53"/>
      <c r="TAR56" s="53"/>
      <c r="TAS56" s="53"/>
      <c r="TAT56" s="53"/>
      <c r="TAU56" s="53"/>
      <c r="TAV56" s="53"/>
      <c r="TAW56" s="53"/>
      <c r="TAX56" s="53"/>
      <c r="TAY56" s="53"/>
      <c r="TAZ56" s="53"/>
      <c r="TBA56" s="53"/>
      <c r="TBB56" s="53"/>
      <c r="TBC56" s="53"/>
      <c r="TBD56" s="53"/>
      <c r="TBE56" s="53"/>
      <c r="TBF56" s="53"/>
      <c r="TBG56" s="53"/>
      <c r="TBH56" s="53"/>
      <c r="TBI56" s="53"/>
      <c r="TBJ56" s="53"/>
      <c r="TBK56" s="53"/>
      <c r="TBL56" s="53"/>
      <c r="TBM56" s="53"/>
      <c r="TBN56" s="53"/>
      <c r="TBO56" s="53"/>
      <c r="TBP56" s="53"/>
      <c r="TBQ56" s="53"/>
      <c r="TBR56" s="53"/>
      <c r="TBS56" s="53"/>
      <c r="TBT56" s="53"/>
      <c r="TBU56" s="53"/>
      <c r="TBV56" s="53"/>
      <c r="TBW56" s="53"/>
      <c r="TBX56" s="53"/>
      <c r="TBY56" s="53"/>
      <c r="TBZ56" s="53"/>
      <c r="TCA56" s="53"/>
      <c r="TCB56" s="53"/>
      <c r="TCC56" s="53"/>
      <c r="TCD56" s="53"/>
      <c r="TCE56" s="53"/>
      <c r="TCF56" s="53"/>
      <c r="TCG56" s="53"/>
      <c r="TCH56" s="53"/>
      <c r="TCI56" s="53"/>
      <c r="TCJ56" s="53"/>
      <c r="TCK56" s="53"/>
      <c r="TCL56" s="53"/>
      <c r="TCM56" s="53"/>
      <c r="TCN56" s="53"/>
      <c r="TCO56" s="53"/>
      <c r="TCP56" s="53"/>
      <c r="TCQ56" s="53"/>
      <c r="TCR56" s="53"/>
      <c r="TCS56" s="53"/>
      <c r="TCT56" s="53"/>
      <c r="TCU56" s="53"/>
      <c r="TCV56" s="53"/>
      <c r="TCW56" s="53"/>
      <c r="TCX56" s="53"/>
      <c r="TCY56" s="53"/>
      <c r="TCZ56" s="53"/>
      <c r="TDA56" s="53"/>
      <c r="TDB56" s="53"/>
      <c r="TDC56" s="53"/>
      <c r="TDD56" s="53"/>
      <c r="TDE56" s="53"/>
      <c r="TDF56" s="53"/>
      <c r="TDG56" s="53"/>
      <c r="TDH56" s="53"/>
      <c r="TDI56" s="53"/>
      <c r="TDJ56" s="53"/>
      <c r="TDK56" s="53"/>
      <c r="TDL56" s="53"/>
      <c r="TDM56" s="53"/>
      <c r="TDN56" s="53"/>
      <c r="TDO56" s="53"/>
      <c r="TDP56" s="53"/>
      <c r="TDQ56" s="53"/>
      <c r="TDR56" s="53"/>
      <c r="TDS56" s="53"/>
      <c r="TDT56" s="53"/>
      <c r="TDU56" s="53"/>
      <c r="TDV56" s="53"/>
      <c r="TDW56" s="53"/>
      <c r="TDX56" s="53"/>
      <c r="TDY56" s="53"/>
      <c r="TDZ56" s="53"/>
      <c r="TEA56" s="53"/>
      <c r="TEB56" s="53"/>
      <c r="TEC56" s="53"/>
      <c r="TED56" s="53"/>
      <c r="TEE56" s="53"/>
      <c r="TEF56" s="53"/>
      <c r="TEG56" s="53"/>
      <c r="TEH56" s="53"/>
      <c r="TEI56" s="53"/>
      <c r="TEJ56" s="53"/>
      <c r="TEK56" s="53"/>
      <c r="TEL56" s="53"/>
      <c r="TEM56" s="53"/>
      <c r="TEN56" s="53"/>
      <c r="TEO56" s="53"/>
      <c r="TEP56" s="53"/>
      <c r="TEQ56" s="53"/>
      <c r="TER56" s="53"/>
      <c r="TES56" s="53"/>
      <c r="TET56" s="53"/>
      <c r="TEU56" s="53"/>
      <c r="TEV56" s="53"/>
      <c r="TEW56" s="53"/>
      <c r="TEX56" s="53"/>
      <c r="TEY56" s="53"/>
      <c r="TEZ56" s="53"/>
      <c r="TFA56" s="53"/>
      <c r="TFB56" s="53"/>
      <c r="TFC56" s="53"/>
      <c r="TFD56" s="53"/>
      <c r="TFE56" s="53"/>
      <c r="TFF56" s="53"/>
      <c r="TFG56" s="53"/>
      <c r="TFH56" s="53"/>
      <c r="TFI56" s="53"/>
      <c r="TFJ56" s="53"/>
      <c r="TFK56" s="53"/>
      <c r="TFL56" s="53"/>
      <c r="TFM56" s="53"/>
      <c r="TFN56" s="53"/>
      <c r="TFO56" s="53"/>
      <c r="TFP56" s="53"/>
      <c r="TFQ56" s="53"/>
      <c r="TFR56" s="53"/>
      <c r="TFS56" s="53"/>
      <c r="TFT56" s="53"/>
      <c r="TFU56" s="53"/>
      <c r="TFV56" s="53"/>
      <c r="TFW56" s="53"/>
      <c r="TFX56" s="53"/>
      <c r="TFY56" s="53"/>
      <c r="TFZ56" s="53"/>
      <c r="TGA56" s="53"/>
      <c r="TGB56" s="53"/>
      <c r="TGC56" s="53"/>
      <c r="TGD56" s="53"/>
      <c r="TGE56" s="53"/>
      <c r="TGF56" s="53"/>
      <c r="TGG56" s="53"/>
      <c r="TGH56" s="53"/>
      <c r="TGI56" s="53"/>
      <c r="TGJ56" s="53"/>
      <c r="TGK56" s="53"/>
      <c r="TGL56" s="53"/>
      <c r="TGM56" s="53"/>
      <c r="TGN56" s="53"/>
      <c r="TGO56" s="53"/>
      <c r="TGP56" s="53"/>
      <c r="TGQ56" s="53"/>
      <c r="TGR56" s="53"/>
      <c r="TGS56" s="53"/>
      <c r="TGT56" s="53"/>
      <c r="TGU56" s="53"/>
      <c r="TGV56" s="53"/>
      <c r="TGW56" s="53"/>
      <c r="TGX56" s="53"/>
      <c r="TGY56" s="53"/>
      <c r="TGZ56" s="53"/>
      <c r="THA56" s="53"/>
      <c r="THB56" s="53"/>
      <c r="THC56" s="53"/>
      <c r="THD56" s="53"/>
      <c r="THE56" s="53"/>
      <c r="THF56" s="53"/>
      <c r="THG56" s="53"/>
      <c r="THH56" s="53"/>
      <c r="THI56" s="53"/>
      <c r="THJ56" s="53"/>
      <c r="THK56" s="53"/>
      <c r="THL56" s="53"/>
      <c r="THM56" s="53"/>
      <c r="THN56" s="53"/>
      <c r="THO56" s="53"/>
      <c r="THP56" s="53"/>
      <c r="THQ56" s="53"/>
      <c r="THR56" s="53"/>
      <c r="THS56" s="53"/>
      <c r="THT56" s="53"/>
      <c r="THU56" s="53"/>
      <c r="THV56" s="53"/>
      <c r="THW56" s="53"/>
      <c r="THX56" s="53"/>
      <c r="THY56" s="53"/>
      <c r="THZ56" s="53"/>
      <c r="TIA56" s="53"/>
      <c r="TIB56" s="53"/>
      <c r="TIC56" s="53"/>
      <c r="TID56" s="53"/>
      <c r="TIE56" s="53"/>
      <c r="TIF56" s="53"/>
      <c r="TIG56" s="53"/>
      <c r="TIH56" s="53"/>
      <c r="TII56" s="53"/>
      <c r="TIJ56" s="53"/>
      <c r="TIK56" s="53"/>
      <c r="TIL56" s="53"/>
      <c r="TIM56" s="53"/>
      <c r="TIN56" s="53"/>
      <c r="TIO56" s="53"/>
      <c r="TIP56" s="53"/>
      <c r="TIQ56" s="53"/>
      <c r="TIR56" s="53"/>
      <c r="TIS56" s="53"/>
      <c r="TIT56" s="53"/>
      <c r="TIU56" s="53"/>
      <c r="TIV56" s="53"/>
      <c r="TIW56" s="53"/>
      <c r="TIX56" s="53"/>
      <c r="TIY56" s="53"/>
      <c r="TIZ56" s="53"/>
      <c r="TJA56" s="53"/>
      <c r="TJB56" s="53"/>
      <c r="TJC56" s="53"/>
      <c r="TJD56" s="53"/>
      <c r="TJE56" s="53"/>
      <c r="TJF56" s="53"/>
      <c r="TJG56" s="53"/>
      <c r="TJH56" s="53"/>
      <c r="TJI56" s="53"/>
      <c r="TJJ56" s="53"/>
      <c r="TJK56" s="53"/>
      <c r="TJL56" s="53"/>
      <c r="TJM56" s="53"/>
      <c r="TJN56" s="53"/>
      <c r="TJO56" s="53"/>
      <c r="TJP56" s="53"/>
      <c r="TJQ56" s="53"/>
      <c r="TJR56" s="53"/>
      <c r="TJS56" s="53"/>
      <c r="TJT56" s="53"/>
      <c r="TJU56" s="53"/>
      <c r="TJV56" s="53"/>
      <c r="TJW56" s="53"/>
      <c r="TJX56" s="53"/>
      <c r="TJY56" s="53"/>
      <c r="TJZ56" s="53"/>
      <c r="TKA56" s="53"/>
      <c r="TKB56" s="53"/>
      <c r="TKC56" s="53"/>
      <c r="TKD56" s="53"/>
      <c r="TKE56" s="53"/>
      <c r="TKF56" s="53"/>
      <c r="TKG56" s="53"/>
      <c r="TKH56" s="53"/>
      <c r="TKI56" s="53"/>
      <c r="TKJ56" s="53"/>
      <c r="TKK56" s="53"/>
      <c r="TKL56" s="53"/>
      <c r="TKM56" s="53"/>
      <c r="TKN56" s="53"/>
      <c r="TKO56" s="53"/>
      <c r="TKP56" s="53"/>
      <c r="TKQ56" s="53"/>
      <c r="TKR56" s="53"/>
      <c r="TKS56" s="53"/>
      <c r="TKT56" s="53"/>
      <c r="TKU56" s="53"/>
      <c r="TKV56" s="53"/>
      <c r="TKW56" s="53"/>
      <c r="TKX56" s="53"/>
      <c r="TKY56" s="53"/>
      <c r="TKZ56" s="53"/>
      <c r="TLA56" s="53"/>
      <c r="TLB56" s="53"/>
      <c r="TLC56" s="53"/>
      <c r="TLD56" s="53"/>
      <c r="TLE56" s="53"/>
      <c r="TLF56" s="53"/>
      <c r="TLG56" s="53"/>
      <c r="TLH56" s="53"/>
      <c r="TLI56" s="53"/>
      <c r="TLJ56" s="53"/>
      <c r="TLK56" s="53"/>
      <c r="TLL56" s="53"/>
      <c r="TLM56" s="53"/>
      <c r="TLN56" s="53"/>
      <c r="TLO56" s="53"/>
      <c r="TLP56" s="53"/>
      <c r="TLQ56" s="53"/>
      <c r="TLR56" s="53"/>
      <c r="TLS56" s="53"/>
      <c r="TLT56" s="53"/>
      <c r="TLU56" s="53"/>
      <c r="TLV56" s="53"/>
      <c r="TLW56" s="53"/>
      <c r="TLX56" s="53"/>
      <c r="TLY56" s="53"/>
      <c r="TLZ56" s="53"/>
      <c r="TMA56" s="53"/>
      <c r="TMB56" s="53"/>
      <c r="TMC56" s="53"/>
      <c r="TMD56" s="53"/>
      <c r="TME56" s="53"/>
      <c r="TMF56" s="53"/>
      <c r="TMG56" s="53"/>
      <c r="TMH56" s="53"/>
      <c r="TMI56" s="53"/>
      <c r="TMJ56" s="53"/>
      <c r="TMK56" s="53"/>
      <c r="TML56" s="53"/>
      <c r="TMM56" s="53"/>
      <c r="TMN56" s="53"/>
      <c r="TMO56" s="53"/>
      <c r="TMP56" s="53"/>
      <c r="TMQ56" s="53"/>
      <c r="TMR56" s="53"/>
      <c r="TMS56" s="53"/>
      <c r="TMT56" s="53"/>
      <c r="TMU56" s="53"/>
      <c r="TMV56" s="53"/>
      <c r="TMW56" s="53"/>
      <c r="TMX56" s="53"/>
      <c r="TMY56" s="53"/>
      <c r="TMZ56" s="53"/>
      <c r="TNA56" s="53"/>
      <c r="TNB56" s="53"/>
      <c r="TNC56" s="53"/>
      <c r="TND56" s="53"/>
      <c r="TNE56" s="53"/>
      <c r="TNF56" s="53"/>
      <c r="TNG56" s="53"/>
      <c r="TNH56" s="53"/>
      <c r="TNI56" s="53"/>
      <c r="TNJ56" s="53"/>
      <c r="TNK56" s="53"/>
      <c r="TNL56" s="53"/>
      <c r="TNM56" s="53"/>
      <c r="TNN56" s="53"/>
      <c r="TNO56" s="53"/>
      <c r="TNP56" s="53"/>
      <c r="TNQ56" s="53"/>
      <c r="TNR56" s="53"/>
      <c r="TNS56" s="53"/>
      <c r="TNT56" s="53"/>
      <c r="TNU56" s="53"/>
      <c r="TNV56" s="53"/>
      <c r="TNW56" s="53"/>
      <c r="TNX56" s="53"/>
      <c r="TNY56" s="53"/>
      <c r="TNZ56" s="53"/>
      <c r="TOA56" s="53"/>
      <c r="TOB56" s="53"/>
      <c r="TOC56" s="53"/>
      <c r="TOD56" s="53"/>
      <c r="TOE56" s="53"/>
      <c r="TOF56" s="53"/>
      <c r="TOG56" s="53"/>
      <c r="TOH56" s="53"/>
      <c r="TOI56" s="53"/>
      <c r="TOJ56" s="53"/>
      <c r="TOK56" s="53"/>
      <c r="TOL56" s="53"/>
      <c r="TOM56" s="53"/>
      <c r="TON56" s="53"/>
      <c r="TOO56" s="53"/>
      <c r="TOP56" s="53"/>
      <c r="TOQ56" s="53"/>
      <c r="TOR56" s="53"/>
      <c r="TOS56" s="53"/>
      <c r="TOT56" s="53"/>
      <c r="TOU56" s="53"/>
      <c r="TOV56" s="53"/>
      <c r="TOW56" s="53"/>
      <c r="TOX56" s="53"/>
      <c r="TOY56" s="53"/>
      <c r="TOZ56" s="53"/>
      <c r="TPA56" s="53"/>
      <c r="TPB56" s="53"/>
      <c r="TPC56" s="53"/>
      <c r="TPD56" s="53"/>
      <c r="TPE56" s="53"/>
      <c r="TPF56" s="53"/>
      <c r="TPG56" s="53"/>
      <c r="TPH56" s="53"/>
      <c r="TPI56" s="53"/>
      <c r="TPJ56" s="53"/>
      <c r="TPK56" s="53"/>
      <c r="TPL56" s="53"/>
      <c r="TPM56" s="53"/>
      <c r="TPN56" s="53"/>
      <c r="TPO56" s="53"/>
      <c r="TPP56" s="53"/>
      <c r="TPQ56" s="53"/>
      <c r="TPR56" s="53"/>
      <c r="TPS56" s="53"/>
      <c r="TPT56" s="53"/>
      <c r="TPU56" s="53"/>
      <c r="TPV56" s="53"/>
      <c r="TPW56" s="53"/>
      <c r="TPX56" s="53"/>
      <c r="TPY56" s="53"/>
      <c r="TPZ56" s="53"/>
      <c r="TQA56" s="53"/>
      <c r="TQB56" s="53"/>
      <c r="TQC56" s="53"/>
      <c r="TQD56" s="53"/>
      <c r="TQE56" s="53"/>
      <c r="TQF56" s="53"/>
      <c r="TQG56" s="53"/>
      <c r="TQH56" s="53"/>
      <c r="TQI56" s="53"/>
      <c r="TQJ56" s="53"/>
      <c r="TQK56" s="53"/>
      <c r="TQL56" s="53"/>
      <c r="TQM56" s="53"/>
      <c r="TQN56" s="53"/>
      <c r="TQO56" s="53"/>
      <c r="TQP56" s="53"/>
      <c r="TQQ56" s="53"/>
      <c r="TQR56" s="53"/>
      <c r="TQS56" s="53"/>
      <c r="TQT56" s="53"/>
      <c r="TQU56" s="53"/>
      <c r="TQV56" s="53"/>
      <c r="TQW56" s="53"/>
      <c r="TQX56" s="53"/>
      <c r="TQY56" s="53"/>
      <c r="TQZ56" s="53"/>
      <c r="TRA56" s="53"/>
      <c r="TRB56" s="53"/>
      <c r="TRC56" s="53"/>
      <c r="TRD56" s="53"/>
      <c r="TRE56" s="53"/>
      <c r="TRF56" s="53"/>
      <c r="TRG56" s="53"/>
      <c r="TRH56" s="53"/>
      <c r="TRI56" s="53"/>
      <c r="TRJ56" s="53"/>
      <c r="TRK56" s="53"/>
      <c r="TRL56" s="53"/>
      <c r="TRM56" s="53"/>
      <c r="TRN56" s="53"/>
      <c r="TRO56" s="53"/>
      <c r="TRP56" s="53"/>
      <c r="TRQ56" s="53"/>
      <c r="TRR56" s="53"/>
      <c r="TRS56" s="53"/>
      <c r="TRT56" s="53"/>
      <c r="TRU56" s="53"/>
      <c r="TRV56" s="53"/>
      <c r="TRW56" s="53"/>
      <c r="TRX56" s="53"/>
      <c r="TRY56" s="53"/>
      <c r="TRZ56" s="53"/>
      <c r="TSA56" s="53"/>
      <c r="TSB56" s="53"/>
      <c r="TSC56" s="53"/>
      <c r="TSD56" s="53"/>
      <c r="TSE56" s="53"/>
      <c r="TSF56" s="53"/>
      <c r="TSG56" s="53"/>
      <c r="TSH56" s="53"/>
      <c r="TSI56" s="53"/>
      <c r="TSJ56" s="53"/>
      <c r="TSK56" s="53"/>
      <c r="TSL56" s="53"/>
      <c r="TSM56" s="53"/>
      <c r="TSN56" s="53"/>
      <c r="TSO56" s="53"/>
      <c r="TSP56" s="53"/>
      <c r="TSQ56" s="53"/>
      <c r="TSR56" s="53"/>
      <c r="TSS56" s="53"/>
      <c r="TST56" s="53"/>
      <c r="TSU56" s="53"/>
      <c r="TSV56" s="53"/>
      <c r="TSW56" s="53"/>
      <c r="TSX56" s="53"/>
      <c r="TSY56" s="53"/>
      <c r="TSZ56" s="53"/>
      <c r="TTA56" s="53"/>
      <c r="TTB56" s="53"/>
      <c r="TTC56" s="53"/>
      <c r="TTD56" s="53"/>
      <c r="TTE56" s="53"/>
      <c r="TTF56" s="53"/>
      <c r="TTG56" s="53"/>
      <c r="TTH56" s="53"/>
      <c r="TTI56" s="53"/>
      <c r="TTJ56" s="53"/>
      <c r="TTK56" s="53"/>
      <c r="TTL56" s="53"/>
      <c r="TTM56" s="53"/>
      <c r="TTN56" s="53"/>
      <c r="TTO56" s="53"/>
      <c r="TTP56" s="53"/>
      <c r="TTQ56" s="53"/>
      <c r="TTR56" s="53"/>
      <c r="TTS56" s="53"/>
      <c r="TTT56" s="53"/>
      <c r="TTU56" s="53"/>
      <c r="TTV56" s="53"/>
      <c r="TTW56" s="53"/>
      <c r="TTX56" s="53"/>
      <c r="TTY56" s="53"/>
      <c r="TTZ56" s="53"/>
      <c r="TUA56" s="53"/>
      <c r="TUB56" s="53"/>
      <c r="TUC56" s="53"/>
      <c r="TUD56" s="53"/>
      <c r="TUE56" s="53"/>
      <c r="TUF56" s="53"/>
      <c r="TUG56" s="53"/>
      <c r="TUH56" s="53"/>
      <c r="TUI56" s="53"/>
      <c r="TUJ56" s="53"/>
      <c r="TUK56" s="53"/>
      <c r="TUL56" s="53"/>
      <c r="TUM56" s="53"/>
      <c r="TUN56" s="53"/>
      <c r="TUO56" s="53"/>
      <c r="TUP56" s="53"/>
      <c r="TUQ56" s="53"/>
      <c r="TUR56" s="53"/>
      <c r="TUS56" s="53"/>
      <c r="TUT56" s="53"/>
      <c r="TUU56" s="53"/>
      <c r="TUV56" s="53"/>
      <c r="TUW56" s="53"/>
      <c r="TUX56" s="53"/>
      <c r="TUY56" s="53"/>
      <c r="TUZ56" s="53"/>
      <c r="TVA56" s="53"/>
      <c r="TVB56" s="53"/>
      <c r="TVC56" s="53"/>
      <c r="TVD56" s="53"/>
      <c r="TVE56" s="53"/>
      <c r="TVF56" s="53"/>
      <c r="TVG56" s="53"/>
      <c r="TVH56" s="53"/>
      <c r="TVI56" s="53"/>
      <c r="TVJ56" s="53"/>
      <c r="TVK56" s="53"/>
      <c r="TVL56" s="53"/>
      <c r="TVM56" s="53"/>
      <c r="TVN56" s="53"/>
      <c r="TVO56" s="53"/>
      <c r="TVP56" s="53"/>
      <c r="TVQ56" s="53"/>
      <c r="TVR56" s="53"/>
      <c r="TVS56" s="53"/>
      <c r="TVT56" s="53"/>
      <c r="TVU56" s="53"/>
      <c r="TVV56" s="53"/>
      <c r="TVW56" s="53"/>
      <c r="TVX56" s="53"/>
      <c r="TVY56" s="53"/>
      <c r="TVZ56" s="53"/>
      <c r="TWA56" s="53"/>
      <c r="TWB56" s="53"/>
      <c r="TWC56" s="53"/>
      <c r="TWD56" s="53"/>
      <c r="TWE56" s="53"/>
      <c r="TWF56" s="53"/>
      <c r="TWG56" s="53"/>
      <c r="TWH56" s="53"/>
      <c r="TWI56" s="53"/>
      <c r="TWJ56" s="53"/>
      <c r="TWK56" s="53"/>
      <c r="TWL56" s="53"/>
      <c r="TWM56" s="53"/>
      <c r="TWN56" s="53"/>
      <c r="TWO56" s="53"/>
      <c r="TWP56" s="53"/>
      <c r="TWQ56" s="53"/>
      <c r="TWR56" s="53"/>
      <c r="TWS56" s="53"/>
      <c r="TWT56" s="53"/>
      <c r="TWU56" s="53"/>
      <c r="TWV56" s="53"/>
      <c r="TWW56" s="53"/>
      <c r="TWX56" s="53"/>
      <c r="TWY56" s="53"/>
      <c r="TWZ56" s="53"/>
      <c r="TXA56" s="53"/>
      <c r="TXB56" s="53"/>
      <c r="TXC56" s="53"/>
      <c r="TXD56" s="53"/>
      <c r="TXE56" s="53"/>
      <c r="TXF56" s="53"/>
      <c r="TXG56" s="53"/>
      <c r="TXH56" s="53"/>
      <c r="TXI56" s="53"/>
      <c r="TXJ56" s="53"/>
      <c r="TXK56" s="53"/>
      <c r="TXL56" s="53"/>
      <c r="TXM56" s="53"/>
      <c r="TXN56" s="53"/>
      <c r="TXO56" s="53"/>
      <c r="TXP56" s="53"/>
      <c r="TXQ56" s="53"/>
      <c r="TXR56" s="53"/>
      <c r="TXS56" s="53"/>
      <c r="TXT56" s="53"/>
      <c r="TXU56" s="53"/>
      <c r="TXV56" s="53"/>
      <c r="TXW56" s="53"/>
      <c r="TXX56" s="53"/>
      <c r="TXY56" s="53"/>
      <c r="TXZ56" s="53"/>
      <c r="TYA56" s="53"/>
      <c r="TYB56" s="53"/>
      <c r="TYC56" s="53"/>
      <c r="TYD56" s="53"/>
      <c r="TYE56" s="53"/>
      <c r="TYF56" s="53"/>
      <c r="TYG56" s="53"/>
      <c r="TYH56" s="53"/>
      <c r="TYI56" s="53"/>
      <c r="TYJ56" s="53"/>
      <c r="TYK56" s="53"/>
      <c r="TYL56" s="53"/>
      <c r="TYM56" s="53"/>
      <c r="TYN56" s="53"/>
      <c r="TYO56" s="53"/>
      <c r="TYP56" s="53"/>
      <c r="TYQ56" s="53"/>
      <c r="TYR56" s="53"/>
      <c r="TYS56" s="53"/>
      <c r="TYT56" s="53"/>
      <c r="TYU56" s="53"/>
      <c r="TYV56" s="53"/>
      <c r="TYW56" s="53"/>
      <c r="TYX56" s="53"/>
      <c r="TYY56" s="53"/>
      <c r="TYZ56" s="53"/>
      <c r="TZA56" s="53"/>
      <c r="TZB56" s="53"/>
      <c r="TZC56" s="53"/>
      <c r="TZD56" s="53"/>
      <c r="TZE56" s="53"/>
      <c r="TZF56" s="53"/>
      <c r="TZG56" s="53"/>
      <c r="TZH56" s="53"/>
      <c r="TZI56" s="53"/>
      <c r="TZJ56" s="53"/>
      <c r="TZK56" s="53"/>
      <c r="TZL56" s="53"/>
      <c r="TZM56" s="53"/>
      <c r="TZN56" s="53"/>
      <c r="TZO56" s="53"/>
      <c r="TZP56" s="53"/>
      <c r="TZQ56" s="53"/>
      <c r="TZR56" s="53"/>
      <c r="TZS56" s="53"/>
      <c r="TZT56" s="53"/>
      <c r="TZU56" s="53"/>
      <c r="TZV56" s="53"/>
      <c r="TZW56" s="53"/>
      <c r="TZX56" s="53"/>
      <c r="TZY56" s="53"/>
      <c r="TZZ56" s="53"/>
      <c r="UAA56" s="53"/>
      <c r="UAB56" s="53"/>
      <c r="UAC56" s="53"/>
      <c r="UAD56" s="53"/>
      <c r="UAE56" s="53"/>
      <c r="UAF56" s="53"/>
      <c r="UAG56" s="53"/>
      <c r="UAH56" s="53"/>
      <c r="UAI56" s="53"/>
      <c r="UAJ56" s="53"/>
      <c r="UAK56" s="53"/>
      <c r="UAL56" s="53"/>
      <c r="UAM56" s="53"/>
      <c r="UAN56" s="53"/>
      <c r="UAO56" s="53"/>
      <c r="UAP56" s="53"/>
      <c r="UAQ56" s="53"/>
      <c r="UAR56" s="53"/>
      <c r="UAS56" s="53"/>
      <c r="UAT56" s="53"/>
      <c r="UAU56" s="53"/>
      <c r="UAV56" s="53"/>
      <c r="UAW56" s="53"/>
      <c r="UAX56" s="53"/>
      <c r="UAY56" s="53"/>
      <c r="UAZ56" s="53"/>
      <c r="UBA56" s="53"/>
      <c r="UBB56" s="53"/>
      <c r="UBC56" s="53"/>
      <c r="UBD56" s="53"/>
      <c r="UBE56" s="53"/>
      <c r="UBF56" s="53"/>
      <c r="UBG56" s="53"/>
      <c r="UBH56" s="53"/>
      <c r="UBI56" s="53"/>
      <c r="UBJ56" s="53"/>
      <c r="UBK56" s="53"/>
      <c r="UBL56" s="53"/>
      <c r="UBM56" s="53"/>
      <c r="UBN56" s="53"/>
      <c r="UBO56" s="53"/>
      <c r="UBP56" s="53"/>
      <c r="UBQ56" s="53"/>
      <c r="UBR56" s="53"/>
      <c r="UBS56" s="53"/>
      <c r="UBT56" s="53"/>
      <c r="UBU56" s="53"/>
      <c r="UBV56" s="53"/>
      <c r="UBW56" s="53"/>
      <c r="UBX56" s="53"/>
      <c r="UBY56" s="53"/>
      <c r="UBZ56" s="53"/>
      <c r="UCA56" s="53"/>
      <c r="UCB56" s="53"/>
      <c r="UCC56" s="53"/>
      <c r="UCD56" s="53"/>
      <c r="UCE56" s="53"/>
      <c r="UCF56" s="53"/>
      <c r="UCG56" s="53"/>
      <c r="UCH56" s="53"/>
      <c r="UCI56" s="53"/>
      <c r="UCJ56" s="53"/>
      <c r="UCK56" s="53"/>
      <c r="UCL56" s="53"/>
      <c r="UCM56" s="53"/>
      <c r="UCN56" s="53"/>
      <c r="UCO56" s="53"/>
      <c r="UCP56" s="53"/>
      <c r="UCQ56" s="53"/>
      <c r="UCR56" s="53"/>
      <c r="UCS56" s="53"/>
      <c r="UCT56" s="53"/>
      <c r="UCU56" s="53"/>
      <c r="UCV56" s="53"/>
      <c r="UCW56" s="53"/>
      <c r="UCX56" s="53"/>
      <c r="UCY56" s="53"/>
      <c r="UCZ56" s="53"/>
      <c r="UDA56" s="53"/>
      <c r="UDB56" s="53"/>
      <c r="UDC56" s="53"/>
      <c r="UDD56" s="53"/>
      <c r="UDE56" s="53"/>
      <c r="UDF56" s="53"/>
      <c r="UDG56" s="53"/>
      <c r="UDH56" s="53"/>
      <c r="UDI56" s="53"/>
      <c r="UDJ56" s="53"/>
      <c r="UDK56" s="53"/>
      <c r="UDL56" s="53"/>
      <c r="UDM56" s="53"/>
      <c r="UDN56" s="53"/>
      <c r="UDO56" s="53"/>
      <c r="UDP56" s="53"/>
      <c r="UDQ56" s="53"/>
      <c r="UDR56" s="53"/>
      <c r="UDS56" s="53"/>
      <c r="UDT56" s="53"/>
      <c r="UDU56" s="53"/>
      <c r="UDV56" s="53"/>
      <c r="UDW56" s="53"/>
      <c r="UDX56" s="53"/>
      <c r="UDY56" s="53"/>
      <c r="UDZ56" s="53"/>
      <c r="UEA56" s="53"/>
      <c r="UEB56" s="53"/>
      <c r="UEC56" s="53"/>
      <c r="UED56" s="53"/>
      <c r="UEE56" s="53"/>
      <c r="UEF56" s="53"/>
      <c r="UEG56" s="53"/>
      <c r="UEH56" s="53"/>
      <c r="UEI56" s="53"/>
      <c r="UEJ56" s="53"/>
      <c r="UEK56" s="53"/>
      <c r="UEL56" s="53"/>
      <c r="UEM56" s="53"/>
      <c r="UEN56" s="53"/>
      <c r="UEO56" s="53"/>
      <c r="UEP56" s="53"/>
      <c r="UEQ56" s="53"/>
      <c r="UER56" s="53"/>
      <c r="UES56" s="53"/>
      <c r="UET56" s="53"/>
      <c r="UEU56" s="53"/>
      <c r="UEV56" s="53"/>
      <c r="UEW56" s="53"/>
      <c r="UEX56" s="53"/>
      <c r="UEY56" s="53"/>
      <c r="UEZ56" s="53"/>
      <c r="UFA56" s="53"/>
      <c r="UFB56" s="53"/>
      <c r="UFC56" s="53"/>
      <c r="UFD56" s="53"/>
      <c r="UFE56" s="53"/>
      <c r="UFF56" s="53"/>
      <c r="UFG56" s="53"/>
      <c r="UFH56" s="53"/>
      <c r="UFI56" s="53"/>
      <c r="UFJ56" s="53"/>
      <c r="UFK56" s="53"/>
      <c r="UFL56" s="53"/>
      <c r="UFM56" s="53"/>
      <c r="UFN56" s="53"/>
      <c r="UFO56" s="53"/>
      <c r="UFP56" s="53"/>
      <c r="UFQ56" s="53"/>
      <c r="UFR56" s="53"/>
      <c r="UFS56" s="53"/>
      <c r="UFT56" s="53"/>
      <c r="UFU56" s="53"/>
      <c r="UFV56" s="53"/>
      <c r="UFW56" s="53"/>
      <c r="UFX56" s="53"/>
      <c r="UFY56" s="53"/>
      <c r="UFZ56" s="53"/>
      <c r="UGA56" s="53"/>
      <c r="UGB56" s="53"/>
      <c r="UGC56" s="53"/>
      <c r="UGD56" s="53"/>
      <c r="UGE56" s="53"/>
      <c r="UGF56" s="53"/>
      <c r="UGG56" s="53"/>
      <c r="UGH56" s="53"/>
      <c r="UGI56" s="53"/>
      <c r="UGJ56" s="53"/>
      <c r="UGK56" s="53"/>
      <c r="UGL56" s="53"/>
      <c r="UGM56" s="53"/>
      <c r="UGN56" s="53"/>
      <c r="UGO56" s="53"/>
      <c r="UGP56" s="53"/>
      <c r="UGQ56" s="53"/>
      <c r="UGR56" s="53"/>
      <c r="UGS56" s="53"/>
      <c r="UGT56" s="53"/>
      <c r="UGU56" s="53"/>
      <c r="UGV56" s="53"/>
      <c r="UGW56" s="53"/>
      <c r="UGX56" s="53"/>
      <c r="UGY56" s="53"/>
      <c r="UGZ56" s="53"/>
      <c r="UHA56" s="53"/>
      <c r="UHB56" s="53"/>
      <c r="UHC56" s="53"/>
      <c r="UHD56" s="53"/>
      <c r="UHE56" s="53"/>
      <c r="UHF56" s="53"/>
      <c r="UHG56" s="53"/>
      <c r="UHH56" s="53"/>
      <c r="UHI56" s="53"/>
      <c r="UHJ56" s="53"/>
      <c r="UHK56" s="53"/>
      <c r="UHL56" s="53"/>
      <c r="UHM56" s="53"/>
      <c r="UHN56" s="53"/>
      <c r="UHO56" s="53"/>
      <c r="UHP56" s="53"/>
      <c r="UHQ56" s="53"/>
      <c r="UHR56" s="53"/>
      <c r="UHS56" s="53"/>
      <c r="UHT56" s="53"/>
      <c r="UHU56" s="53"/>
      <c r="UHV56" s="53"/>
      <c r="UHW56" s="53"/>
      <c r="UHX56" s="53"/>
      <c r="UHY56" s="53"/>
      <c r="UHZ56" s="53"/>
      <c r="UIA56" s="53"/>
      <c r="UIB56" s="53"/>
      <c r="UIC56" s="53"/>
      <c r="UID56" s="53"/>
      <c r="UIE56" s="53"/>
      <c r="UIF56" s="53"/>
      <c r="UIG56" s="53"/>
      <c r="UIH56" s="53"/>
      <c r="UII56" s="53"/>
      <c r="UIJ56" s="53"/>
      <c r="UIK56" s="53"/>
      <c r="UIL56" s="53"/>
      <c r="UIM56" s="53"/>
      <c r="UIN56" s="53"/>
      <c r="UIO56" s="53"/>
      <c r="UIP56" s="53"/>
      <c r="UIQ56" s="53"/>
      <c r="UIR56" s="53"/>
      <c r="UIS56" s="53"/>
      <c r="UIT56" s="53"/>
      <c r="UIU56" s="53"/>
      <c r="UIV56" s="53"/>
      <c r="UIW56" s="53"/>
      <c r="UIX56" s="53"/>
      <c r="UIY56" s="53"/>
      <c r="UIZ56" s="53"/>
      <c r="UJA56" s="53"/>
      <c r="UJB56" s="53"/>
      <c r="UJC56" s="53"/>
      <c r="UJD56" s="53"/>
      <c r="UJE56" s="53"/>
      <c r="UJF56" s="53"/>
      <c r="UJG56" s="53"/>
      <c r="UJH56" s="53"/>
      <c r="UJI56" s="53"/>
      <c r="UJJ56" s="53"/>
      <c r="UJK56" s="53"/>
      <c r="UJL56" s="53"/>
      <c r="UJM56" s="53"/>
      <c r="UJN56" s="53"/>
      <c r="UJO56" s="53"/>
      <c r="UJP56" s="53"/>
      <c r="UJQ56" s="53"/>
      <c r="UJR56" s="53"/>
      <c r="UJS56" s="53"/>
      <c r="UJT56" s="53"/>
      <c r="UJU56" s="53"/>
      <c r="UJV56" s="53"/>
      <c r="UJW56" s="53"/>
      <c r="UJX56" s="53"/>
      <c r="UJY56" s="53"/>
      <c r="UJZ56" s="53"/>
      <c r="UKA56" s="53"/>
      <c r="UKB56" s="53"/>
      <c r="UKC56" s="53"/>
      <c r="UKD56" s="53"/>
      <c r="UKE56" s="53"/>
      <c r="UKF56" s="53"/>
      <c r="UKG56" s="53"/>
      <c r="UKH56" s="53"/>
      <c r="UKI56" s="53"/>
      <c r="UKJ56" s="53"/>
      <c r="UKK56" s="53"/>
      <c r="UKL56" s="53"/>
      <c r="UKM56" s="53"/>
      <c r="UKN56" s="53"/>
      <c r="UKO56" s="53"/>
      <c r="UKP56" s="53"/>
      <c r="UKQ56" s="53"/>
      <c r="UKR56" s="53"/>
      <c r="UKS56" s="53"/>
      <c r="UKT56" s="53"/>
      <c r="UKU56" s="53"/>
      <c r="UKV56" s="53"/>
      <c r="UKW56" s="53"/>
      <c r="UKX56" s="53"/>
      <c r="UKY56" s="53"/>
      <c r="UKZ56" s="53"/>
      <c r="ULA56" s="53"/>
      <c r="ULB56" s="53"/>
      <c r="ULC56" s="53"/>
      <c r="ULD56" s="53"/>
      <c r="ULE56" s="53"/>
      <c r="ULF56" s="53"/>
      <c r="ULG56" s="53"/>
      <c r="ULH56" s="53"/>
      <c r="ULI56" s="53"/>
      <c r="ULJ56" s="53"/>
      <c r="ULK56" s="53"/>
      <c r="ULL56" s="53"/>
      <c r="ULM56" s="53"/>
      <c r="ULN56" s="53"/>
      <c r="ULO56" s="53"/>
      <c r="ULP56" s="53"/>
      <c r="ULQ56" s="53"/>
      <c r="ULR56" s="53"/>
      <c r="ULS56" s="53"/>
      <c r="ULT56" s="53"/>
      <c r="ULU56" s="53"/>
      <c r="ULV56" s="53"/>
      <c r="ULW56" s="53"/>
      <c r="ULX56" s="53"/>
      <c r="ULY56" s="53"/>
      <c r="ULZ56" s="53"/>
      <c r="UMA56" s="53"/>
      <c r="UMB56" s="53"/>
      <c r="UMC56" s="53"/>
      <c r="UMD56" s="53"/>
      <c r="UME56" s="53"/>
      <c r="UMF56" s="53"/>
      <c r="UMG56" s="53"/>
      <c r="UMH56" s="53"/>
      <c r="UMI56" s="53"/>
      <c r="UMJ56" s="53"/>
      <c r="UMK56" s="53"/>
      <c r="UML56" s="53"/>
      <c r="UMM56" s="53"/>
      <c r="UMN56" s="53"/>
      <c r="UMO56" s="53"/>
      <c r="UMP56" s="53"/>
      <c r="UMQ56" s="53"/>
      <c r="UMR56" s="53"/>
      <c r="UMS56" s="53"/>
      <c r="UMT56" s="53"/>
      <c r="UMU56" s="53"/>
      <c r="UMV56" s="53"/>
      <c r="UMW56" s="53"/>
      <c r="UMX56" s="53"/>
      <c r="UMY56" s="53"/>
      <c r="UMZ56" s="53"/>
      <c r="UNA56" s="53"/>
      <c r="UNB56" s="53"/>
      <c r="UNC56" s="53"/>
      <c r="UND56" s="53"/>
      <c r="UNE56" s="53"/>
      <c r="UNF56" s="53"/>
      <c r="UNG56" s="53"/>
      <c r="UNH56" s="53"/>
      <c r="UNI56" s="53"/>
      <c r="UNJ56" s="53"/>
      <c r="UNK56" s="53"/>
      <c r="UNL56" s="53"/>
      <c r="UNM56" s="53"/>
      <c r="UNN56" s="53"/>
      <c r="UNO56" s="53"/>
      <c r="UNP56" s="53"/>
      <c r="UNQ56" s="53"/>
      <c r="UNR56" s="53"/>
      <c r="UNS56" s="53"/>
      <c r="UNT56" s="53"/>
      <c r="UNU56" s="53"/>
      <c r="UNV56" s="53"/>
      <c r="UNW56" s="53"/>
      <c r="UNX56" s="53"/>
      <c r="UNY56" s="53"/>
      <c r="UNZ56" s="53"/>
      <c r="UOA56" s="53"/>
      <c r="UOB56" s="53"/>
      <c r="UOC56" s="53"/>
      <c r="UOD56" s="53"/>
      <c r="UOE56" s="53"/>
      <c r="UOF56" s="53"/>
      <c r="UOG56" s="53"/>
      <c r="UOH56" s="53"/>
      <c r="UOI56" s="53"/>
      <c r="UOJ56" s="53"/>
      <c r="UOK56" s="53"/>
      <c r="UOL56" s="53"/>
      <c r="UOM56" s="53"/>
      <c r="UON56" s="53"/>
      <c r="UOO56" s="53"/>
      <c r="UOP56" s="53"/>
      <c r="UOQ56" s="53"/>
      <c r="UOR56" s="53"/>
      <c r="UOS56" s="53"/>
      <c r="UOT56" s="53"/>
      <c r="UOU56" s="53"/>
      <c r="UOV56" s="53"/>
      <c r="UOW56" s="53"/>
      <c r="UOX56" s="53"/>
      <c r="UOY56" s="53"/>
      <c r="UOZ56" s="53"/>
      <c r="UPA56" s="53"/>
      <c r="UPB56" s="53"/>
      <c r="UPC56" s="53"/>
      <c r="UPD56" s="53"/>
      <c r="UPE56" s="53"/>
      <c r="UPF56" s="53"/>
      <c r="UPG56" s="53"/>
      <c r="UPH56" s="53"/>
      <c r="UPI56" s="53"/>
      <c r="UPJ56" s="53"/>
      <c r="UPK56" s="53"/>
      <c r="UPL56" s="53"/>
      <c r="UPM56" s="53"/>
      <c r="UPN56" s="53"/>
      <c r="UPO56" s="53"/>
      <c r="UPP56" s="53"/>
      <c r="UPQ56" s="53"/>
      <c r="UPR56" s="53"/>
      <c r="UPS56" s="53"/>
      <c r="UPT56" s="53"/>
      <c r="UPU56" s="53"/>
      <c r="UPV56" s="53"/>
      <c r="UPW56" s="53"/>
      <c r="UPX56" s="53"/>
      <c r="UPY56" s="53"/>
      <c r="UPZ56" s="53"/>
      <c r="UQA56" s="53"/>
      <c r="UQB56" s="53"/>
      <c r="UQC56" s="53"/>
      <c r="UQD56" s="53"/>
      <c r="UQE56" s="53"/>
      <c r="UQF56" s="53"/>
      <c r="UQG56" s="53"/>
      <c r="UQH56" s="53"/>
      <c r="UQI56" s="53"/>
      <c r="UQJ56" s="53"/>
      <c r="UQK56" s="53"/>
      <c r="UQL56" s="53"/>
      <c r="UQM56" s="53"/>
      <c r="UQN56" s="53"/>
      <c r="UQO56" s="53"/>
      <c r="UQP56" s="53"/>
      <c r="UQQ56" s="53"/>
      <c r="UQR56" s="53"/>
      <c r="UQS56" s="53"/>
      <c r="UQT56" s="53"/>
      <c r="UQU56" s="53"/>
      <c r="UQV56" s="53"/>
      <c r="UQW56" s="53"/>
      <c r="UQX56" s="53"/>
      <c r="UQY56" s="53"/>
      <c r="UQZ56" s="53"/>
      <c r="URA56" s="53"/>
      <c r="URB56" s="53"/>
      <c r="URC56" s="53"/>
      <c r="URD56" s="53"/>
      <c r="URE56" s="53"/>
      <c r="URF56" s="53"/>
      <c r="URG56" s="53"/>
      <c r="URH56" s="53"/>
      <c r="URI56" s="53"/>
      <c r="URJ56" s="53"/>
      <c r="URK56" s="53"/>
      <c r="URL56" s="53"/>
      <c r="URM56" s="53"/>
      <c r="URN56" s="53"/>
      <c r="URO56" s="53"/>
      <c r="URP56" s="53"/>
      <c r="URQ56" s="53"/>
      <c r="URR56" s="53"/>
      <c r="URS56" s="53"/>
      <c r="URT56" s="53"/>
      <c r="URU56" s="53"/>
      <c r="URV56" s="53"/>
      <c r="URW56" s="53"/>
      <c r="URX56" s="53"/>
      <c r="URY56" s="53"/>
      <c r="URZ56" s="53"/>
      <c r="USA56" s="53"/>
      <c r="USB56" s="53"/>
      <c r="USC56" s="53"/>
      <c r="USD56" s="53"/>
      <c r="USE56" s="53"/>
      <c r="USF56" s="53"/>
      <c r="USG56" s="53"/>
      <c r="USH56" s="53"/>
      <c r="USI56" s="53"/>
      <c r="USJ56" s="53"/>
      <c r="USK56" s="53"/>
      <c r="USL56" s="53"/>
      <c r="USM56" s="53"/>
      <c r="USN56" s="53"/>
      <c r="USO56" s="53"/>
      <c r="USP56" s="53"/>
      <c r="USQ56" s="53"/>
      <c r="USR56" s="53"/>
      <c r="USS56" s="53"/>
      <c r="UST56" s="53"/>
      <c r="USU56" s="53"/>
      <c r="USV56" s="53"/>
      <c r="USW56" s="53"/>
      <c r="USX56" s="53"/>
      <c r="USY56" s="53"/>
      <c r="USZ56" s="53"/>
      <c r="UTA56" s="53"/>
      <c r="UTB56" s="53"/>
      <c r="UTC56" s="53"/>
      <c r="UTD56" s="53"/>
      <c r="UTE56" s="53"/>
      <c r="UTF56" s="53"/>
      <c r="UTG56" s="53"/>
      <c r="UTH56" s="53"/>
      <c r="UTI56" s="53"/>
      <c r="UTJ56" s="53"/>
      <c r="UTK56" s="53"/>
      <c r="UTL56" s="53"/>
      <c r="UTM56" s="53"/>
      <c r="UTN56" s="53"/>
      <c r="UTO56" s="53"/>
      <c r="UTP56" s="53"/>
      <c r="UTQ56" s="53"/>
      <c r="UTR56" s="53"/>
      <c r="UTS56" s="53"/>
      <c r="UTT56" s="53"/>
      <c r="UTU56" s="53"/>
      <c r="UTV56" s="53"/>
      <c r="UTW56" s="53"/>
      <c r="UTX56" s="53"/>
      <c r="UTY56" s="53"/>
      <c r="UTZ56" s="53"/>
      <c r="UUA56" s="53"/>
      <c r="UUB56" s="53"/>
      <c r="UUC56" s="53"/>
      <c r="UUD56" s="53"/>
      <c r="UUE56" s="53"/>
      <c r="UUF56" s="53"/>
      <c r="UUG56" s="53"/>
      <c r="UUH56" s="53"/>
      <c r="UUI56" s="53"/>
      <c r="UUJ56" s="53"/>
      <c r="UUK56" s="53"/>
      <c r="UUL56" s="53"/>
      <c r="UUM56" s="53"/>
      <c r="UUN56" s="53"/>
      <c r="UUO56" s="53"/>
      <c r="UUP56" s="53"/>
      <c r="UUQ56" s="53"/>
      <c r="UUR56" s="53"/>
      <c r="UUS56" s="53"/>
      <c r="UUT56" s="53"/>
      <c r="UUU56" s="53"/>
      <c r="UUV56" s="53"/>
      <c r="UUW56" s="53"/>
      <c r="UUX56" s="53"/>
      <c r="UUY56" s="53"/>
      <c r="UUZ56" s="53"/>
      <c r="UVA56" s="53"/>
      <c r="UVB56" s="53"/>
      <c r="UVC56" s="53"/>
      <c r="UVD56" s="53"/>
      <c r="UVE56" s="53"/>
      <c r="UVF56" s="53"/>
      <c r="UVG56" s="53"/>
      <c r="UVH56" s="53"/>
      <c r="UVI56" s="53"/>
      <c r="UVJ56" s="53"/>
      <c r="UVK56" s="53"/>
      <c r="UVL56" s="53"/>
      <c r="UVM56" s="53"/>
      <c r="UVN56" s="53"/>
      <c r="UVO56" s="53"/>
      <c r="UVP56" s="53"/>
      <c r="UVQ56" s="53"/>
      <c r="UVR56" s="53"/>
      <c r="UVS56" s="53"/>
      <c r="UVT56" s="53"/>
      <c r="UVU56" s="53"/>
      <c r="UVV56" s="53"/>
      <c r="UVW56" s="53"/>
      <c r="UVX56" s="53"/>
      <c r="UVY56" s="53"/>
      <c r="UVZ56" s="53"/>
      <c r="UWA56" s="53"/>
      <c r="UWB56" s="53"/>
      <c r="UWC56" s="53"/>
      <c r="UWD56" s="53"/>
      <c r="UWE56" s="53"/>
      <c r="UWF56" s="53"/>
      <c r="UWG56" s="53"/>
      <c r="UWH56" s="53"/>
      <c r="UWI56" s="53"/>
      <c r="UWJ56" s="53"/>
      <c r="UWK56" s="53"/>
      <c r="UWL56" s="53"/>
      <c r="UWM56" s="53"/>
      <c r="UWN56" s="53"/>
      <c r="UWO56" s="53"/>
      <c r="UWP56" s="53"/>
      <c r="UWQ56" s="53"/>
      <c r="UWR56" s="53"/>
      <c r="UWS56" s="53"/>
      <c r="UWT56" s="53"/>
      <c r="UWU56" s="53"/>
      <c r="UWV56" s="53"/>
      <c r="UWW56" s="53"/>
      <c r="UWX56" s="53"/>
      <c r="UWY56" s="53"/>
      <c r="UWZ56" s="53"/>
      <c r="UXA56" s="53"/>
      <c r="UXB56" s="53"/>
      <c r="UXC56" s="53"/>
      <c r="UXD56" s="53"/>
      <c r="UXE56" s="53"/>
      <c r="UXF56" s="53"/>
      <c r="UXG56" s="53"/>
      <c r="UXH56" s="53"/>
      <c r="UXI56" s="53"/>
      <c r="UXJ56" s="53"/>
      <c r="UXK56" s="53"/>
      <c r="UXL56" s="53"/>
      <c r="UXM56" s="53"/>
      <c r="UXN56" s="53"/>
      <c r="UXO56" s="53"/>
      <c r="UXP56" s="53"/>
      <c r="UXQ56" s="53"/>
      <c r="UXR56" s="53"/>
      <c r="UXS56" s="53"/>
      <c r="UXT56" s="53"/>
      <c r="UXU56" s="53"/>
      <c r="UXV56" s="53"/>
      <c r="UXW56" s="53"/>
      <c r="UXX56" s="53"/>
      <c r="UXY56" s="53"/>
      <c r="UXZ56" s="53"/>
      <c r="UYA56" s="53"/>
      <c r="UYB56" s="53"/>
      <c r="UYC56" s="53"/>
      <c r="UYD56" s="53"/>
      <c r="UYE56" s="53"/>
      <c r="UYF56" s="53"/>
      <c r="UYG56" s="53"/>
      <c r="UYH56" s="53"/>
      <c r="UYI56" s="53"/>
      <c r="UYJ56" s="53"/>
      <c r="UYK56" s="53"/>
      <c r="UYL56" s="53"/>
      <c r="UYM56" s="53"/>
      <c r="UYN56" s="53"/>
      <c r="UYO56" s="53"/>
      <c r="UYP56" s="53"/>
      <c r="UYQ56" s="53"/>
      <c r="UYR56" s="53"/>
      <c r="UYS56" s="53"/>
      <c r="UYT56" s="53"/>
      <c r="UYU56" s="53"/>
      <c r="UYV56" s="53"/>
      <c r="UYW56" s="53"/>
      <c r="UYX56" s="53"/>
      <c r="UYY56" s="53"/>
      <c r="UYZ56" s="53"/>
      <c r="UZA56" s="53"/>
      <c r="UZB56" s="53"/>
      <c r="UZC56" s="53"/>
      <c r="UZD56" s="53"/>
      <c r="UZE56" s="53"/>
      <c r="UZF56" s="53"/>
      <c r="UZG56" s="53"/>
      <c r="UZH56" s="53"/>
      <c r="UZI56" s="53"/>
      <c r="UZJ56" s="53"/>
      <c r="UZK56" s="53"/>
      <c r="UZL56" s="53"/>
      <c r="UZM56" s="53"/>
      <c r="UZN56" s="53"/>
      <c r="UZO56" s="53"/>
      <c r="UZP56" s="53"/>
      <c r="UZQ56" s="53"/>
      <c r="UZR56" s="53"/>
      <c r="UZS56" s="53"/>
      <c r="UZT56" s="53"/>
      <c r="UZU56" s="53"/>
      <c r="UZV56" s="53"/>
      <c r="UZW56" s="53"/>
      <c r="UZX56" s="53"/>
      <c r="UZY56" s="53"/>
      <c r="UZZ56" s="53"/>
      <c r="VAA56" s="53"/>
      <c r="VAB56" s="53"/>
      <c r="VAC56" s="53"/>
      <c r="VAD56" s="53"/>
      <c r="VAE56" s="53"/>
      <c r="VAF56" s="53"/>
      <c r="VAG56" s="53"/>
      <c r="VAH56" s="53"/>
      <c r="VAI56" s="53"/>
      <c r="VAJ56" s="53"/>
      <c r="VAK56" s="53"/>
      <c r="VAL56" s="53"/>
      <c r="VAM56" s="53"/>
      <c r="VAN56" s="53"/>
      <c r="VAO56" s="53"/>
      <c r="VAP56" s="53"/>
      <c r="VAQ56" s="53"/>
      <c r="VAR56" s="53"/>
      <c r="VAS56" s="53"/>
      <c r="VAT56" s="53"/>
      <c r="VAU56" s="53"/>
      <c r="VAV56" s="53"/>
      <c r="VAW56" s="53"/>
      <c r="VAX56" s="53"/>
      <c r="VAY56" s="53"/>
      <c r="VAZ56" s="53"/>
      <c r="VBA56" s="53"/>
      <c r="VBB56" s="53"/>
      <c r="VBC56" s="53"/>
      <c r="VBD56" s="53"/>
      <c r="VBE56" s="53"/>
      <c r="VBF56" s="53"/>
      <c r="VBG56" s="53"/>
      <c r="VBH56" s="53"/>
      <c r="VBI56" s="53"/>
      <c r="VBJ56" s="53"/>
      <c r="VBK56" s="53"/>
      <c r="VBL56" s="53"/>
      <c r="VBM56" s="53"/>
      <c r="VBN56" s="53"/>
      <c r="VBO56" s="53"/>
      <c r="VBP56" s="53"/>
      <c r="VBQ56" s="53"/>
      <c r="VBR56" s="53"/>
      <c r="VBS56" s="53"/>
      <c r="VBT56" s="53"/>
      <c r="VBU56" s="53"/>
      <c r="VBV56" s="53"/>
      <c r="VBW56" s="53"/>
      <c r="VBX56" s="53"/>
      <c r="VBY56" s="53"/>
      <c r="VBZ56" s="53"/>
      <c r="VCA56" s="53"/>
      <c r="VCB56" s="53"/>
      <c r="VCC56" s="53"/>
      <c r="VCD56" s="53"/>
      <c r="VCE56" s="53"/>
      <c r="VCF56" s="53"/>
      <c r="VCG56" s="53"/>
      <c r="VCH56" s="53"/>
      <c r="VCI56" s="53"/>
      <c r="VCJ56" s="53"/>
      <c r="VCK56" s="53"/>
      <c r="VCL56" s="53"/>
      <c r="VCM56" s="53"/>
      <c r="VCN56" s="53"/>
      <c r="VCO56" s="53"/>
      <c r="VCP56" s="53"/>
      <c r="VCQ56" s="53"/>
      <c r="VCR56" s="53"/>
      <c r="VCS56" s="53"/>
      <c r="VCT56" s="53"/>
      <c r="VCU56" s="53"/>
      <c r="VCV56" s="53"/>
      <c r="VCW56" s="53"/>
      <c r="VCX56" s="53"/>
      <c r="VCY56" s="53"/>
      <c r="VCZ56" s="53"/>
      <c r="VDA56" s="53"/>
      <c r="VDB56" s="53"/>
      <c r="VDC56" s="53"/>
      <c r="VDD56" s="53"/>
      <c r="VDE56" s="53"/>
      <c r="VDF56" s="53"/>
      <c r="VDG56" s="53"/>
      <c r="VDH56" s="53"/>
      <c r="VDI56" s="53"/>
      <c r="VDJ56" s="53"/>
      <c r="VDK56" s="53"/>
      <c r="VDL56" s="53"/>
      <c r="VDM56" s="53"/>
      <c r="VDN56" s="53"/>
      <c r="VDO56" s="53"/>
      <c r="VDP56" s="53"/>
      <c r="VDQ56" s="53"/>
      <c r="VDR56" s="53"/>
      <c r="VDS56" s="53"/>
      <c r="VDT56" s="53"/>
      <c r="VDU56" s="53"/>
      <c r="VDV56" s="53"/>
      <c r="VDW56" s="53"/>
      <c r="VDX56" s="53"/>
      <c r="VDY56" s="53"/>
      <c r="VDZ56" s="53"/>
      <c r="VEA56" s="53"/>
      <c r="VEB56" s="53"/>
      <c r="VEC56" s="53"/>
      <c r="VED56" s="53"/>
      <c r="VEE56" s="53"/>
      <c r="VEF56" s="53"/>
      <c r="VEG56" s="53"/>
      <c r="VEH56" s="53"/>
      <c r="VEI56" s="53"/>
      <c r="VEJ56" s="53"/>
      <c r="VEK56" s="53"/>
      <c r="VEL56" s="53"/>
      <c r="VEM56" s="53"/>
      <c r="VEN56" s="53"/>
      <c r="VEO56" s="53"/>
      <c r="VEP56" s="53"/>
      <c r="VEQ56" s="53"/>
      <c r="VER56" s="53"/>
      <c r="VES56" s="53"/>
      <c r="VET56" s="53"/>
      <c r="VEU56" s="53"/>
      <c r="VEV56" s="53"/>
      <c r="VEW56" s="53"/>
      <c r="VEX56" s="53"/>
      <c r="VEY56" s="53"/>
      <c r="VEZ56" s="53"/>
      <c r="VFA56" s="53"/>
      <c r="VFB56" s="53"/>
      <c r="VFC56" s="53"/>
      <c r="VFD56" s="53"/>
      <c r="VFE56" s="53"/>
      <c r="VFF56" s="53"/>
      <c r="VFG56" s="53"/>
      <c r="VFH56" s="53"/>
      <c r="VFI56" s="53"/>
      <c r="VFJ56" s="53"/>
      <c r="VFK56" s="53"/>
      <c r="VFL56" s="53"/>
      <c r="VFM56" s="53"/>
      <c r="VFN56" s="53"/>
      <c r="VFO56" s="53"/>
      <c r="VFP56" s="53"/>
      <c r="VFQ56" s="53"/>
      <c r="VFR56" s="53"/>
      <c r="VFS56" s="53"/>
      <c r="VFT56" s="53"/>
      <c r="VFU56" s="53"/>
      <c r="VFV56" s="53"/>
      <c r="VFW56" s="53"/>
      <c r="VFX56" s="53"/>
      <c r="VFY56" s="53"/>
      <c r="VFZ56" s="53"/>
      <c r="VGA56" s="53"/>
      <c r="VGB56" s="53"/>
      <c r="VGC56" s="53"/>
      <c r="VGD56" s="53"/>
      <c r="VGE56" s="53"/>
      <c r="VGF56" s="53"/>
      <c r="VGG56" s="53"/>
      <c r="VGH56" s="53"/>
      <c r="VGI56" s="53"/>
      <c r="VGJ56" s="53"/>
      <c r="VGK56" s="53"/>
      <c r="VGL56" s="53"/>
      <c r="VGM56" s="53"/>
      <c r="VGN56" s="53"/>
      <c r="VGO56" s="53"/>
      <c r="VGP56" s="53"/>
      <c r="VGQ56" s="53"/>
      <c r="VGR56" s="53"/>
      <c r="VGS56" s="53"/>
      <c r="VGT56" s="53"/>
      <c r="VGU56" s="53"/>
      <c r="VGV56" s="53"/>
      <c r="VGW56" s="53"/>
      <c r="VGX56" s="53"/>
      <c r="VGY56" s="53"/>
      <c r="VGZ56" s="53"/>
      <c r="VHA56" s="53"/>
      <c r="VHB56" s="53"/>
      <c r="VHC56" s="53"/>
      <c r="VHD56" s="53"/>
      <c r="VHE56" s="53"/>
      <c r="VHF56" s="53"/>
      <c r="VHG56" s="53"/>
      <c r="VHH56" s="53"/>
      <c r="VHI56" s="53"/>
      <c r="VHJ56" s="53"/>
      <c r="VHK56" s="53"/>
      <c r="VHL56" s="53"/>
      <c r="VHM56" s="53"/>
      <c r="VHN56" s="53"/>
      <c r="VHO56" s="53"/>
      <c r="VHP56" s="53"/>
      <c r="VHQ56" s="53"/>
      <c r="VHR56" s="53"/>
      <c r="VHS56" s="53"/>
      <c r="VHT56" s="53"/>
      <c r="VHU56" s="53"/>
      <c r="VHV56" s="53"/>
      <c r="VHW56" s="53"/>
      <c r="VHX56" s="53"/>
      <c r="VHY56" s="53"/>
      <c r="VHZ56" s="53"/>
      <c r="VIA56" s="53"/>
      <c r="VIB56" s="53"/>
      <c r="VIC56" s="53"/>
      <c r="VID56" s="53"/>
      <c r="VIE56" s="53"/>
      <c r="VIF56" s="53"/>
      <c r="VIG56" s="53"/>
      <c r="VIH56" s="53"/>
      <c r="VII56" s="53"/>
      <c r="VIJ56" s="53"/>
      <c r="VIK56" s="53"/>
      <c r="VIL56" s="53"/>
      <c r="VIM56" s="53"/>
      <c r="VIN56" s="53"/>
      <c r="VIO56" s="53"/>
      <c r="VIP56" s="53"/>
      <c r="VIQ56" s="53"/>
      <c r="VIR56" s="53"/>
      <c r="VIS56" s="53"/>
      <c r="VIT56" s="53"/>
      <c r="VIU56" s="53"/>
      <c r="VIV56" s="53"/>
      <c r="VIW56" s="53"/>
      <c r="VIX56" s="53"/>
      <c r="VIY56" s="53"/>
      <c r="VIZ56" s="53"/>
      <c r="VJA56" s="53"/>
      <c r="VJB56" s="53"/>
      <c r="VJC56" s="53"/>
      <c r="VJD56" s="53"/>
      <c r="VJE56" s="53"/>
      <c r="VJF56" s="53"/>
      <c r="VJG56" s="53"/>
      <c r="VJH56" s="53"/>
      <c r="VJI56" s="53"/>
      <c r="VJJ56" s="53"/>
      <c r="VJK56" s="53"/>
      <c r="VJL56" s="53"/>
      <c r="VJM56" s="53"/>
      <c r="VJN56" s="53"/>
      <c r="VJO56" s="53"/>
      <c r="VJP56" s="53"/>
      <c r="VJQ56" s="53"/>
      <c r="VJR56" s="53"/>
      <c r="VJS56" s="53"/>
      <c r="VJT56" s="53"/>
      <c r="VJU56" s="53"/>
      <c r="VJV56" s="53"/>
      <c r="VJW56" s="53"/>
      <c r="VJX56" s="53"/>
      <c r="VJY56" s="53"/>
      <c r="VJZ56" s="53"/>
      <c r="VKA56" s="53"/>
      <c r="VKB56" s="53"/>
      <c r="VKC56" s="53"/>
      <c r="VKD56" s="53"/>
      <c r="VKE56" s="53"/>
      <c r="VKF56" s="53"/>
      <c r="VKG56" s="53"/>
      <c r="VKH56" s="53"/>
      <c r="VKI56" s="53"/>
      <c r="VKJ56" s="53"/>
      <c r="VKK56" s="53"/>
      <c r="VKL56" s="53"/>
      <c r="VKM56" s="53"/>
      <c r="VKN56" s="53"/>
      <c r="VKO56" s="53"/>
      <c r="VKP56" s="53"/>
      <c r="VKQ56" s="53"/>
      <c r="VKR56" s="53"/>
      <c r="VKS56" s="53"/>
      <c r="VKT56" s="53"/>
      <c r="VKU56" s="53"/>
      <c r="VKV56" s="53"/>
      <c r="VKW56" s="53"/>
      <c r="VKX56" s="53"/>
      <c r="VKY56" s="53"/>
      <c r="VKZ56" s="53"/>
      <c r="VLA56" s="53"/>
      <c r="VLB56" s="53"/>
      <c r="VLC56" s="53"/>
      <c r="VLD56" s="53"/>
      <c r="VLE56" s="53"/>
      <c r="VLF56" s="53"/>
      <c r="VLG56" s="53"/>
      <c r="VLH56" s="53"/>
      <c r="VLI56" s="53"/>
      <c r="VLJ56" s="53"/>
      <c r="VLK56" s="53"/>
      <c r="VLL56" s="53"/>
      <c r="VLM56" s="53"/>
      <c r="VLN56" s="53"/>
      <c r="VLO56" s="53"/>
      <c r="VLP56" s="53"/>
      <c r="VLQ56" s="53"/>
      <c r="VLR56" s="53"/>
      <c r="VLS56" s="53"/>
      <c r="VLT56" s="53"/>
      <c r="VLU56" s="53"/>
      <c r="VLV56" s="53"/>
      <c r="VLW56" s="53"/>
      <c r="VLX56" s="53"/>
      <c r="VLY56" s="53"/>
      <c r="VLZ56" s="53"/>
      <c r="VMA56" s="53"/>
      <c r="VMB56" s="53"/>
      <c r="VMC56" s="53"/>
      <c r="VMD56" s="53"/>
      <c r="VME56" s="53"/>
      <c r="VMF56" s="53"/>
      <c r="VMG56" s="53"/>
      <c r="VMH56" s="53"/>
      <c r="VMI56" s="53"/>
      <c r="VMJ56" s="53"/>
      <c r="VMK56" s="53"/>
      <c r="VML56" s="53"/>
      <c r="VMM56" s="53"/>
      <c r="VMN56" s="53"/>
      <c r="VMO56" s="53"/>
      <c r="VMP56" s="53"/>
      <c r="VMQ56" s="53"/>
      <c r="VMR56" s="53"/>
      <c r="VMS56" s="53"/>
      <c r="VMT56" s="53"/>
      <c r="VMU56" s="53"/>
      <c r="VMV56" s="53"/>
      <c r="VMW56" s="53"/>
      <c r="VMX56" s="53"/>
      <c r="VMY56" s="53"/>
      <c r="VMZ56" s="53"/>
      <c r="VNA56" s="53"/>
      <c r="VNB56" s="53"/>
      <c r="VNC56" s="53"/>
      <c r="VND56" s="53"/>
      <c r="VNE56" s="53"/>
      <c r="VNF56" s="53"/>
      <c r="VNG56" s="53"/>
      <c r="VNH56" s="53"/>
      <c r="VNI56" s="53"/>
      <c r="VNJ56" s="53"/>
      <c r="VNK56" s="53"/>
      <c r="VNL56" s="53"/>
      <c r="VNM56" s="53"/>
      <c r="VNN56" s="53"/>
      <c r="VNO56" s="53"/>
      <c r="VNP56" s="53"/>
      <c r="VNQ56" s="53"/>
      <c r="VNR56" s="53"/>
      <c r="VNS56" s="53"/>
      <c r="VNT56" s="53"/>
      <c r="VNU56" s="53"/>
      <c r="VNV56" s="53"/>
      <c r="VNW56" s="53"/>
      <c r="VNX56" s="53"/>
      <c r="VNY56" s="53"/>
      <c r="VNZ56" s="53"/>
      <c r="VOA56" s="53"/>
      <c r="VOB56" s="53"/>
      <c r="VOC56" s="53"/>
      <c r="VOD56" s="53"/>
      <c r="VOE56" s="53"/>
      <c r="VOF56" s="53"/>
      <c r="VOG56" s="53"/>
      <c r="VOH56" s="53"/>
      <c r="VOI56" s="53"/>
      <c r="VOJ56" s="53"/>
      <c r="VOK56" s="53"/>
      <c r="VOL56" s="53"/>
      <c r="VOM56" s="53"/>
      <c r="VON56" s="53"/>
      <c r="VOO56" s="53"/>
      <c r="VOP56" s="53"/>
      <c r="VOQ56" s="53"/>
      <c r="VOR56" s="53"/>
      <c r="VOS56" s="53"/>
      <c r="VOT56" s="53"/>
      <c r="VOU56" s="53"/>
      <c r="VOV56" s="53"/>
      <c r="VOW56" s="53"/>
      <c r="VOX56" s="53"/>
      <c r="VOY56" s="53"/>
      <c r="VOZ56" s="53"/>
      <c r="VPA56" s="53"/>
      <c r="VPB56" s="53"/>
      <c r="VPC56" s="53"/>
      <c r="VPD56" s="53"/>
      <c r="VPE56" s="53"/>
      <c r="VPF56" s="53"/>
      <c r="VPG56" s="53"/>
      <c r="VPH56" s="53"/>
      <c r="VPI56" s="53"/>
      <c r="VPJ56" s="53"/>
      <c r="VPK56" s="53"/>
      <c r="VPL56" s="53"/>
      <c r="VPM56" s="53"/>
      <c r="VPN56" s="53"/>
      <c r="VPO56" s="53"/>
      <c r="VPP56" s="53"/>
      <c r="VPQ56" s="53"/>
      <c r="VPR56" s="53"/>
      <c r="VPS56" s="53"/>
      <c r="VPT56" s="53"/>
      <c r="VPU56" s="53"/>
      <c r="VPV56" s="53"/>
      <c r="VPW56" s="53"/>
      <c r="VPX56" s="53"/>
      <c r="VPY56" s="53"/>
      <c r="VPZ56" s="53"/>
      <c r="VQA56" s="53"/>
      <c r="VQB56" s="53"/>
      <c r="VQC56" s="53"/>
      <c r="VQD56" s="53"/>
      <c r="VQE56" s="53"/>
      <c r="VQF56" s="53"/>
      <c r="VQG56" s="53"/>
      <c r="VQH56" s="53"/>
      <c r="VQI56" s="53"/>
      <c r="VQJ56" s="53"/>
      <c r="VQK56" s="53"/>
      <c r="VQL56" s="53"/>
      <c r="VQM56" s="53"/>
      <c r="VQN56" s="53"/>
      <c r="VQO56" s="53"/>
      <c r="VQP56" s="53"/>
      <c r="VQQ56" s="53"/>
      <c r="VQR56" s="53"/>
      <c r="VQS56" s="53"/>
      <c r="VQT56" s="53"/>
      <c r="VQU56" s="53"/>
      <c r="VQV56" s="53"/>
      <c r="VQW56" s="53"/>
      <c r="VQX56" s="53"/>
      <c r="VQY56" s="53"/>
      <c r="VQZ56" s="53"/>
      <c r="VRA56" s="53"/>
      <c r="VRB56" s="53"/>
      <c r="VRC56" s="53"/>
      <c r="VRD56" s="53"/>
      <c r="VRE56" s="53"/>
      <c r="VRF56" s="53"/>
      <c r="VRG56" s="53"/>
      <c r="VRH56" s="53"/>
      <c r="VRI56" s="53"/>
      <c r="VRJ56" s="53"/>
      <c r="VRK56" s="53"/>
      <c r="VRL56" s="53"/>
      <c r="VRM56" s="53"/>
      <c r="VRN56" s="53"/>
      <c r="VRO56" s="53"/>
      <c r="VRP56" s="53"/>
      <c r="VRQ56" s="53"/>
      <c r="VRR56" s="53"/>
      <c r="VRS56" s="53"/>
      <c r="VRT56" s="53"/>
      <c r="VRU56" s="53"/>
      <c r="VRV56" s="53"/>
      <c r="VRW56" s="53"/>
      <c r="VRX56" s="53"/>
      <c r="VRY56" s="53"/>
      <c r="VRZ56" s="53"/>
      <c r="VSA56" s="53"/>
      <c r="VSB56" s="53"/>
      <c r="VSC56" s="53"/>
      <c r="VSD56" s="53"/>
      <c r="VSE56" s="53"/>
      <c r="VSF56" s="53"/>
      <c r="VSG56" s="53"/>
      <c r="VSH56" s="53"/>
      <c r="VSI56" s="53"/>
      <c r="VSJ56" s="53"/>
      <c r="VSK56" s="53"/>
      <c r="VSL56" s="53"/>
      <c r="VSM56" s="53"/>
      <c r="VSN56" s="53"/>
      <c r="VSO56" s="53"/>
      <c r="VSP56" s="53"/>
      <c r="VSQ56" s="53"/>
      <c r="VSR56" s="53"/>
      <c r="VSS56" s="53"/>
      <c r="VST56" s="53"/>
      <c r="VSU56" s="53"/>
      <c r="VSV56" s="53"/>
      <c r="VSW56" s="53"/>
      <c r="VSX56" s="53"/>
      <c r="VSY56" s="53"/>
      <c r="VSZ56" s="53"/>
      <c r="VTA56" s="53"/>
      <c r="VTB56" s="53"/>
      <c r="VTC56" s="53"/>
      <c r="VTD56" s="53"/>
      <c r="VTE56" s="53"/>
      <c r="VTF56" s="53"/>
      <c r="VTG56" s="53"/>
      <c r="VTH56" s="53"/>
      <c r="VTI56" s="53"/>
      <c r="VTJ56" s="53"/>
      <c r="VTK56" s="53"/>
      <c r="VTL56" s="53"/>
      <c r="VTM56" s="53"/>
      <c r="VTN56" s="53"/>
      <c r="VTO56" s="53"/>
      <c r="VTP56" s="53"/>
      <c r="VTQ56" s="53"/>
      <c r="VTR56" s="53"/>
      <c r="VTS56" s="53"/>
      <c r="VTT56" s="53"/>
      <c r="VTU56" s="53"/>
      <c r="VTV56" s="53"/>
      <c r="VTW56" s="53"/>
      <c r="VTX56" s="53"/>
      <c r="VTY56" s="53"/>
      <c r="VTZ56" s="53"/>
      <c r="VUA56" s="53"/>
      <c r="VUB56" s="53"/>
      <c r="VUC56" s="53"/>
      <c r="VUD56" s="53"/>
      <c r="VUE56" s="53"/>
      <c r="VUF56" s="53"/>
      <c r="VUG56" s="53"/>
      <c r="VUH56" s="53"/>
      <c r="VUI56" s="53"/>
      <c r="VUJ56" s="53"/>
      <c r="VUK56" s="53"/>
      <c r="VUL56" s="53"/>
      <c r="VUM56" s="53"/>
      <c r="VUN56" s="53"/>
      <c r="VUO56" s="53"/>
      <c r="VUP56" s="53"/>
      <c r="VUQ56" s="53"/>
      <c r="VUR56" s="53"/>
      <c r="VUS56" s="53"/>
      <c r="VUT56" s="53"/>
      <c r="VUU56" s="53"/>
      <c r="VUV56" s="53"/>
      <c r="VUW56" s="53"/>
      <c r="VUX56" s="53"/>
      <c r="VUY56" s="53"/>
      <c r="VUZ56" s="53"/>
      <c r="VVA56" s="53"/>
      <c r="VVB56" s="53"/>
      <c r="VVC56" s="53"/>
      <c r="VVD56" s="53"/>
      <c r="VVE56" s="53"/>
      <c r="VVF56" s="53"/>
      <c r="VVG56" s="53"/>
      <c r="VVH56" s="53"/>
      <c r="VVI56" s="53"/>
      <c r="VVJ56" s="53"/>
      <c r="VVK56" s="53"/>
      <c r="VVL56" s="53"/>
      <c r="VVM56" s="53"/>
      <c r="VVN56" s="53"/>
      <c r="VVO56" s="53"/>
      <c r="VVP56" s="53"/>
      <c r="VVQ56" s="53"/>
      <c r="VVR56" s="53"/>
      <c r="VVS56" s="53"/>
      <c r="VVT56" s="53"/>
      <c r="VVU56" s="53"/>
      <c r="VVV56" s="53"/>
      <c r="VVW56" s="53"/>
      <c r="VVX56" s="53"/>
      <c r="VVY56" s="53"/>
      <c r="VVZ56" s="53"/>
      <c r="VWA56" s="53"/>
      <c r="VWB56" s="53"/>
      <c r="VWC56" s="53"/>
      <c r="VWD56" s="53"/>
      <c r="VWE56" s="53"/>
      <c r="VWF56" s="53"/>
      <c r="VWG56" s="53"/>
      <c r="VWH56" s="53"/>
      <c r="VWI56" s="53"/>
      <c r="VWJ56" s="53"/>
      <c r="VWK56" s="53"/>
      <c r="VWL56" s="53"/>
      <c r="VWM56" s="53"/>
      <c r="VWN56" s="53"/>
      <c r="VWO56" s="53"/>
      <c r="VWP56" s="53"/>
      <c r="VWQ56" s="53"/>
      <c r="VWR56" s="53"/>
      <c r="VWS56" s="53"/>
      <c r="VWT56" s="53"/>
      <c r="VWU56" s="53"/>
      <c r="VWV56" s="53"/>
      <c r="VWW56" s="53"/>
      <c r="VWX56" s="53"/>
      <c r="VWY56" s="53"/>
      <c r="VWZ56" s="53"/>
      <c r="VXA56" s="53"/>
      <c r="VXB56" s="53"/>
      <c r="VXC56" s="53"/>
      <c r="VXD56" s="53"/>
      <c r="VXE56" s="53"/>
      <c r="VXF56" s="53"/>
      <c r="VXG56" s="53"/>
      <c r="VXH56" s="53"/>
      <c r="VXI56" s="53"/>
      <c r="VXJ56" s="53"/>
      <c r="VXK56" s="53"/>
      <c r="VXL56" s="53"/>
      <c r="VXM56" s="53"/>
      <c r="VXN56" s="53"/>
      <c r="VXO56" s="53"/>
      <c r="VXP56" s="53"/>
      <c r="VXQ56" s="53"/>
      <c r="VXR56" s="53"/>
      <c r="VXS56" s="53"/>
      <c r="VXT56" s="53"/>
      <c r="VXU56" s="53"/>
      <c r="VXV56" s="53"/>
      <c r="VXW56" s="53"/>
      <c r="VXX56" s="53"/>
      <c r="VXY56" s="53"/>
      <c r="VXZ56" s="53"/>
      <c r="VYA56" s="53"/>
      <c r="VYB56" s="53"/>
      <c r="VYC56" s="53"/>
      <c r="VYD56" s="53"/>
      <c r="VYE56" s="53"/>
      <c r="VYF56" s="53"/>
      <c r="VYG56" s="53"/>
      <c r="VYH56" s="53"/>
      <c r="VYI56" s="53"/>
      <c r="VYJ56" s="53"/>
      <c r="VYK56" s="53"/>
      <c r="VYL56" s="53"/>
      <c r="VYM56" s="53"/>
      <c r="VYN56" s="53"/>
      <c r="VYO56" s="53"/>
      <c r="VYP56" s="53"/>
      <c r="VYQ56" s="53"/>
      <c r="VYR56" s="53"/>
      <c r="VYS56" s="53"/>
      <c r="VYT56" s="53"/>
      <c r="VYU56" s="53"/>
      <c r="VYV56" s="53"/>
      <c r="VYW56" s="53"/>
      <c r="VYX56" s="53"/>
      <c r="VYY56" s="53"/>
      <c r="VYZ56" s="53"/>
      <c r="VZA56" s="53"/>
      <c r="VZB56" s="53"/>
      <c r="VZC56" s="53"/>
      <c r="VZD56" s="53"/>
      <c r="VZE56" s="53"/>
      <c r="VZF56" s="53"/>
      <c r="VZG56" s="53"/>
      <c r="VZH56" s="53"/>
      <c r="VZI56" s="53"/>
      <c r="VZJ56" s="53"/>
      <c r="VZK56" s="53"/>
      <c r="VZL56" s="53"/>
      <c r="VZM56" s="53"/>
      <c r="VZN56" s="53"/>
      <c r="VZO56" s="53"/>
      <c r="VZP56" s="53"/>
      <c r="VZQ56" s="53"/>
      <c r="VZR56" s="53"/>
      <c r="VZS56" s="53"/>
      <c r="VZT56" s="53"/>
      <c r="VZU56" s="53"/>
      <c r="VZV56" s="53"/>
      <c r="VZW56" s="53"/>
      <c r="VZX56" s="53"/>
      <c r="VZY56" s="53"/>
      <c r="VZZ56" s="53"/>
      <c r="WAA56" s="53"/>
      <c r="WAB56" s="53"/>
      <c r="WAC56" s="53"/>
      <c r="WAD56" s="53"/>
      <c r="WAE56" s="53"/>
      <c r="WAF56" s="53"/>
      <c r="WAG56" s="53"/>
      <c r="WAH56" s="53"/>
      <c r="WAI56" s="53"/>
      <c r="WAJ56" s="53"/>
      <c r="WAK56" s="53"/>
      <c r="WAL56" s="53"/>
      <c r="WAM56" s="53"/>
      <c r="WAN56" s="53"/>
      <c r="WAO56" s="53"/>
      <c r="WAP56" s="53"/>
      <c r="WAQ56" s="53"/>
      <c r="WAR56" s="53"/>
      <c r="WAS56" s="53"/>
      <c r="WAT56" s="53"/>
      <c r="WAU56" s="53"/>
      <c r="WAV56" s="53"/>
      <c r="WAW56" s="53"/>
      <c r="WAX56" s="53"/>
      <c r="WAY56" s="53"/>
      <c r="WAZ56" s="53"/>
      <c r="WBA56" s="53"/>
      <c r="WBB56" s="53"/>
      <c r="WBC56" s="53"/>
      <c r="WBD56" s="53"/>
      <c r="WBE56" s="53"/>
      <c r="WBF56" s="53"/>
      <c r="WBG56" s="53"/>
      <c r="WBH56" s="53"/>
      <c r="WBI56" s="53"/>
      <c r="WBJ56" s="53"/>
      <c r="WBK56" s="53"/>
      <c r="WBL56" s="53"/>
      <c r="WBM56" s="53"/>
      <c r="WBN56" s="53"/>
      <c r="WBO56" s="53"/>
      <c r="WBP56" s="53"/>
      <c r="WBQ56" s="53"/>
      <c r="WBR56" s="53"/>
      <c r="WBS56" s="53"/>
      <c r="WBT56" s="53"/>
      <c r="WBU56" s="53"/>
      <c r="WBV56" s="53"/>
      <c r="WBW56" s="53"/>
      <c r="WBX56" s="53"/>
      <c r="WBY56" s="53"/>
      <c r="WBZ56" s="53"/>
      <c r="WCA56" s="53"/>
      <c r="WCB56" s="53"/>
      <c r="WCC56" s="53"/>
      <c r="WCD56" s="53"/>
      <c r="WCE56" s="53"/>
      <c r="WCF56" s="53"/>
      <c r="WCG56" s="53"/>
      <c r="WCH56" s="53"/>
      <c r="WCI56" s="53"/>
      <c r="WCJ56" s="53"/>
      <c r="WCK56" s="53"/>
      <c r="WCL56" s="53"/>
      <c r="WCM56" s="53"/>
      <c r="WCN56" s="53"/>
      <c r="WCO56" s="53"/>
      <c r="WCP56" s="53"/>
      <c r="WCQ56" s="53"/>
      <c r="WCR56" s="53"/>
      <c r="WCS56" s="53"/>
      <c r="WCT56" s="53"/>
      <c r="WCU56" s="53"/>
      <c r="WCV56" s="53"/>
      <c r="WCW56" s="53"/>
      <c r="WCX56" s="53"/>
      <c r="WCY56" s="53"/>
      <c r="WCZ56" s="53"/>
      <c r="WDA56" s="53"/>
      <c r="WDB56" s="53"/>
      <c r="WDC56" s="53"/>
      <c r="WDD56" s="53"/>
      <c r="WDE56" s="53"/>
      <c r="WDF56" s="53"/>
      <c r="WDG56" s="53"/>
      <c r="WDH56" s="53"/>
      <c r="WDI56" s="53"/>
      <c r="WDJ56" s="53"/>
      <c r="WDK56" s="53"/>
      <c r="WDL56" s="53"/>
      <c r="WDM56" s="53"/>
      <c r="WDN56" s="53"/>
      <c r="WDO56" s="53"/>
      <c r="WDP56" s="53"/>
      <c r="WDQ56" s="53"/>
      <c r="WDR56" s="53"/>
      <c r="WDS56" s="53"/>
      <c r="WDT56" s="53"/>
      <c r="WDU56" s="53"/>
      <c r="WDV56" s="53"/>
      <c r="WDW56" s="53"/>
      <c r="WDX56" s="53"/>
      <c r="WDY56" s="53"/>
      <c r="WDZ56" s="53"/>
      <c r="WEA56" s="53"/>
      <c r="WEB56" s="53"/>
      <c r="WEC56" s="53"/>
      <c r="WED56" s="53"/>
      <c r="WEE56" s="53"/>
      <c r="WEF56" s="53"/>
      <c r="WEG56" s="53"/>
      <c r="WEH56" s="53"/>
      <c r="WEI56" s="53"/>
      <c r="WEJ56" s="53"/>
      <c r="WEK56" s="53"/>
      <c r="WEL56" s="53"/>
      <c r="WEM56" s="53"/>
      <c r="WEN56" s="53"/>
      <c r="WEO56" s="53"/>
      <c r="WEP56" s="53"/>
      <c r="WEQ56" s="53"/>
      <c r="WER56" s="53"/>
      <c r="WES56" s="53"/>
      <c r="WET56" s="53"/>
      <c r="WEU56" s="53"/>
      <c r="WEV56" s="53"/>
      <c r="WEW56" s="53"/>
      <c r="WEX56" s="53"/>
      <c r="WEY56" s="53"/>
      <c r="WEZ56" s="53"/>
      <c r="WFA56" s="53"/>
      <c r="WFB56" s="53"/>
      <c r="WFC56" s="53"/>
      <c r="WFD56" s="53"/>
      <c r="WFE56" s="53"/>
      <c r="WFF56" s="53"/>
      <c r="WFG56" s="53"/>
      <c r="WFH56" s="53"/>
      <c r="WFI56" s="53"/>
      <c r="WFJ56" s="53"/>
      <c r="WFK56" s="53"/>
      <c r="WFL56" s="53"/>
      <c r="WFM56" s="53"/>
      <c r="WFN56" s="53"/>
      <c r="WFO56" s="53"/>
      <c r="WFP56" s="53"/>
      <c r="WFQ56" s="53"/>
      <c r="WFR56" s="53"/>
      <c r="WFS56" s="53"/>
      <c r="WFT56" s="53"/>
      <c r="WFU56" s="53"/>
      <c r="WFV56" s="53"/>
      <c r="WFW56" s="53"/>
      <c r="WFX56" s="53"/>
      <c r="WFY56" s="53"/>
      <c r="WFZ56" s="53"/>
      <c r="WGA56" s="53"/>
      <c r="WGB56" s="53"/>
      <c r="WGC56" s="53"/>
      <c r="WGD56" s="53"/>
      <c r="WGE56" s="53"/>
      <c r="WGF56" s="53"/>
      <c r="WGG56" s="53"/>
      <c r="WGH56" s="53"/>
      <c r="WGI56" s="53"/>
      <c r="WGJ56" s="53"/>
      <c r="WGK56" s="53"/>
      <c r="WGL56" s="53"/>
      <c r="WGM56" s="53"/>
      <c r="WGN56" s="53"/>
      <c r="WGO56" s="53"/>
      <c r="WGP56" s="53"/>
      <c r="WGQ56" s="53"/>
      <c r="WGR56" s="53"/>
      <c r="WGS56" s="53"/>
      <c r="WGT56" s="53"/>
      <c r="WGU56" s="53"/>
      <c r="WGV56" s="53"/>
      <c r="WGW56" s="53"/>
      <c r="WGX56" s="53"/>
      <c r="WGY56" s="53"/>
      <c r="WGZ56" s="53"/>
      <c r="WHA56" s="53"/>
      <c r="WHB56" s="53"/>
      <c r="WHC56" s="53"/>
      <c r="WHD56" s="53"/>
      <c r="WHE56" s="53"/>
      <c r="WHF56" s="53"/>
      <c r="WHG56" s="53"/>
      <c r="WHH56" s="53"/>
      <c r="WHI56" s="53"/>
      <c r="WHJ56" s="53"/>
      <c r="WHK56" s="53"/>
      <c r="WHL56" s="53"/>
      <c r="WHM56" s="53"/>
      <c r="WHN56" s="53"/>
      <c r="WHO56" s="53"/>
      <c r="WHP56" s="53"/>
      <c r="WHQ56" s="53"/>
      <c r="WHR56" s="53"/>
      <c r="WHS56" s="53"/>
      <c r="WHT56" s="53"/>
      <c r="WHU56" s="53"/>
      <c r="WHV56" s="53"/>
      <c r="WHW56" s="53"/>
      <c r="WHX56" s="53"/>
      <c r="WHY56" s="53"/>
      <c r="WHZ56" s="53"/>
      <c r="WIA56" s="53"/>
      <c r="WIB56" s="53"/>
      <c r="WIC56" s="53"/>
      <c r="WID56" s="53"/>
      <c r="WIE56" s="53"/>
      <c r="WIF56" s="53"/>
      <c r="WIG56" s="53"/>
      <c r="WIH56" s="53"/>
      <c r="WII56" s="53"/>
      <c r="WIJ56" s="53"/>
      <c r="WIK56" s="53"/>
      <c r="WIL56" s="53"/>
      <c r="WIM56" s="53"/>
      <c r="WIN56" s="53"/>
      <c r="WIO56" s="53"/>
      <c r="WIP56" s="53"/>
      <c r="WIQ56" s="53"/>
      <c r="WIR56" s="53"/>
      <c r="WIS56" s="53"/>
      <c r="WIT56" s="53"/>
      <c r="WIU56" s="53"/>
      <c r="WIV56" s="53"/>
      <c r="WIW56" s="53"/>
      <c r="WIX56" s="53"/>
      <c r="WIY56" s="53"/>
      <c r="WIZ56" s="53"/>
      <c r="WJA56" s="53"/>
      <c r="WJB56" s="53"/>
      <c r="WJC56" s="53"/>
      <c r="WJD56" s="53"/>
      <c r="WJE56" s="53"/>
      <c r="WJF56" s="53"/>
      <c r="WJG56" s="53"/>
      <c r="WJH56" s="53"/>
      <c r="WJI56" s="53"/>
      <c r="WJJ56" s="53"/>
      <c r="WJK56" s="53"/>
      <c r="WJL56" s="53"/>
      <c r="WJM56" s="53"/>
      <c r="WJN56" s="53"/>
      <c r="WJO56" s="53"/>
      <c r="WJP56" s="53"/>
      <c r="WJQ56" s="53"/>
      <c r="WJR56" s="53"/>
      <c r="WJS56" s="53"/>
      <c r="WJT56" s="53"/>
      <c r="WJU56" s="53"/>
      <c r="WJV56" s="53"/>
      <c r="WJW56" s="53"/>
      <c r="WJX56" s="53"/>
      <c r="WJY56" s="53"/>
      <c r="WJZ56" s="53"/>
      <c r="WKA56" s="53"/>
      <c r="WKB56" s="53"/>
      <c r="WKC56" s="53"/>
      <c r="WKD56" s="53"/>
      <c r="WKE56" s="53"/>
      <c r="WKF56" s="53"/>
      <c r="WKG56" s="53"/>
      <c r="WKH56" s="53"/>
      <c r="WKI56" s="53"/>
      <c r="WKJ56" s="53"/>
      <c r="WKK56" s="53"/>
      <c r="WKL56" s="53"/>
      <c r="WKM56" s="53"/>
      <c r="WKN56" s="53"/>
      <c r="WKO56" s="53"/>
      <c r="WKP56" s="53"/>
      <c r="WKQ56" s="53"/>
      <c r="WKR56" s="53"/>
      <c r="WKS56" s="53"/>
      <c r="WKT56" s="53"/>
      <c r="WKU56" s="53"/>
      <c r="WKV56" s="53"/>
      <c r="WKW56" s="53"/>
      <c r="WKX56" s="53"/>
      <c r="WKY56" s="53"/>
      <c r="WKZ56" s="53"/>
      <c r="WLA56" s="53"/>
      <c r="WLB56" s="53"/>
      <c r="WLC56" s="53"/>
      <c r="WLD56" s="53"/>
      <c r="WLE56" s="53"/>
      <c r="WLF56" s="53"/>
      <c r="WLG56" s="53"/>
      <c r="WLH56" s="53"/>
      <c r="WLI56" s="53"/>
      <c r="WLJ56" s="53"/>
      <c r="WLK56" s="53"/>
      <c r="WLL56" s="53"/>
      <c r="WLM56" s="53"/>
      <c r="WLN56" s="53"/>
      <c r="WLO56" s="53"/>
      <c r="WLP56" s="53"/>
      <c r="WLQ56" s="53"/>
      <c r="WLR56" s="53"/>
      <c r="WLS56" s="53"/>
      <c r="WLT56" s="53"/>
      <c r="WLU56" s="53"/>
      <c r="WLV56" s="53"/>
      <c r="WLW56" s="53"/>
      <c r="WLX56" s="53"/>
      <c r="WLY56" s="53"/>
      <c r="WLZ56" s="53"/>
      <c r="WMA56" s="53"/>
      <c r="WMB56" s="53"/>
      <c r="WMC56" s="53"/>
      <c r="WMD56" s="53"/>
      <c r="WME56" s="53"/>
      <c r="WMF56" s="53"/>
      <c r="WMG56" s="53"/>
      <c r="WMH56" s="53"/>
      <c r="WMI56" s="53"/>
      <c r="WMJ56" s="53"/>
      <c r="WMK56" s="53"/>
      <c r="WML56" s="53"/>
      <c r="WMM56" s="53"/>
      <c r="WMN56" s="53"/>
      <c r="WMO56" s="53"/>
      <c r="WMP56" s="53"/>
      <c r="WMQ56" s="53"/>
      <c r="WMR56" s="53"/>
      <c r="WMS56" s="53"/>
      <c r="WMT56" s="53"/>
      <c r="WMU56" s="53"/>
      <c r="WMV56" s="53"/>
      <c r="WMW56" s="53"/>
      <c r="WMX56" s="53"/>
      <c r="WMY56" s="53"/>
      <c r="WMZ56" s="53"/>
      <c r="WNA56" s="53"/>
      <c r="WNB56" s="53"/>
      <c r="WNC56" s="53"/>
      <c r="WND56" s="53"/>
      <c r="WNE56" s="53"/>
      <c r="WNF56" s="53"/>
      <c r="WNG56" s="53"/>
      <c r="WNH56" s="53"/>
      <c r="WNI56" s="53"/>
      <c r="WNJ56" s="53"/>
      <c r="WNK56" s="53"/>
      <c r="WNL56" s="53"/>
      <c r="WNM56" s="53"/>
      <c r="WNN56" s="53"/>
      <c r="WNO56" s="53"/>
      <c r="WNP56" s="53"/>
      <c r="WNQ56" s="53"/>
      <c r="WNR56" s="53"/>
      <c r="WNS56" s="53"/>
      <c r="WNT56" s="53"/>
      <c r="WNU56" s="53"/>
      <c r="WNV56" s="53"/>
      <c r="WNW56" s="53"/>
      <c r="WNX56" s="53"/>
      <c r="WNY56" s="53"/>
      <c r="WNZ56" s="53"/>
      <c r="WOA56" s="53"/>
      <c r="WOB56" s="53"/>
      <c r="WOC56" s="53"/>
      <c r="WOD56" s="53"/>
      <c r="WOE56" s="53"/>
      <c r="WOF56" s="53"/>
      <c r="WOG56" s="53"/>
      <c r="WOH56" s="53"/>
      <c r="WOI56" s="53"/>
      <c r="WOJ56" s="53"/>
      <c r="WOK56" s="53"/>
      <c r="WOL56" s="53"/>
      <c r="WOM56" s="53"/>
      <c r="WON56" s="53"/>
      <c r="WOO56" s="53"/>
      <c r="WOP56" s="53"/>
      <c r="WOQ56" s="53"/>
      <c r="WOR56" s="53"/>
      <c r="WOS56" s="53"/>
      <c r="WOT56" s="53"/>
      <c r="WOU56" s="53"/>
      <c r="WOV56" s="53"/>
      <c r="WOW56" s="53"/>
      <c r="WOX56" s="53"/>
      <c r="WOY56" s="53"/>
      <c r="WOZ56" s="53"/>
      <c r="WPA56" s="53"/>
      <c r="WPB56" s="53"/>
      <c r="WPC56" s="53"/>
      <c r="WPD56" s="53"/>
      <c r="WPE56" s="53"/>
      <c r="WPF56" s="53"/>
      <c r="WPG56" s="53"/>
      <c r="WPH56" s="53"/>
      <c r="WPI56" s="53"/>
      <c r="WPJ56" s="53"/>
      <c r="WPK56" s="53"/>
      <c r="WPL56" s="53"/>
      <c r="WPM56" s="53"/>
      <c r="WPN56" s="53"/>
      <c r="WPO56" s="53"/>
      <c r="WPP56" s="53"/>
      <c r="WPQ56" s="53"/>
      <c r="WPR56" s="53"/>
      <c r="WPS56" s="53"/>
      <c r="WPT56" s="53"/>
      <c r="WPU56" s="53"/>
      <c r="WPV56" s="53"/>
      <c r="WPW56" s="53"/>
      <c r="WPX56" s="53"/>
      <c r="WPY56" s="53"/>
      <c r="WPZ56" s="53"/>
      <c r="WQA56" s="53"/>
      <c r="WQB56" s="53"/>
      <c r="WQC56" s="53"/>
      <c r="WQD56" s="53"/>
      <c r="WQE56" s="53"/>
      <c r="WQF56" s="53"/>
      <c r="WQG56" s="53"/>
      <c r="WQH56" s="53"/>
      <c r="WQI56" s="53"/>
      <c r="WQJ56" s="53"/>
      <c r="WQK56" s="53"/>
      <c r="WQL56" s="53"/>
      <c r="WQM56" s="53"/>
      <c r="WQN56" s="53"/>
      <c r="WQO56" s="53"/>
      <c r="WQP56" s="53"/>
      <c r="WQQ56" s="53"/>
      <c r="WQR56" s="53"/>
      <c r="WQS56" s="53"/>
      <c r="WQT56" s="53"/>
      <c r="WQU56" s="53"/>
      <c r="WQV56" s="53"/>
      <c r="WQW56" s="53"/>
      <c r="WQX56" s="53"/>
      <c r="WQY56" s="53"/>
      <c r="WQZ56" s="53"/>
      <c r="WRA56" s="53"/>
      <c r="WRB56" s="53"/>
      <c r="WRC56" s="53"/>
      <c r="WRD56" s="53"/>
      <c r="WRE56" s="53"/>
      <c r="WRF56" s="53"/>
      <c r="WRG56" s="53"/>
      <c r="WRH56" s="53"/>
      <c r="WRI56" s="53"/>
      <c r="WRJ56" s="53"/>
      <c r="WRK56" s="53"/>
      <c r="WRL56" s="53"/>
      <c r="WRM56" s="53"/>
      <c r="WRN56" s="53"/>
      <c r="WRO56" s="53"/>
      <c r="WRP56" s="53"/>
      <c r="WRQ56" s="53"/>
      <c r="WRR56" s="53"/>
      <c r="WRS56" s="53"/>
      <c r="WRT56" s="53"/>
      <c r="WRU56" s="53"/>
      <c r="WRV56" s="53"/>
      <c r="WRW56" s="53"/>
      <c r="WRX56" s="53"/>
      <c r="WRY56" s="53"/>
      <c r="WRZ56" s="53"/>
      <c r="WSA56" s="53"/>
      <c r="WSB56" s="53"/>
      <c r="WSC56" s="53"/>
      <c r="WSD56" s="53"/>
      <c r="WSE56" s="53"/>
      <c r="WSF56" s="53"/>
      <c r="WSG56" s="53"/>
      <c r="WSH56" s="53"/>
      <c r="WSI56" s="53"/>
      <c r="WSJ56" s="53"/>
      <c r="WSK56" s="53"/>
      <c r="WSL56" s="53"/>
      <c r="WSM56" s="53"/>
      <c r="WSN56" s="53"/>
      <c r="WSO56" s="53"/>
      <c r="WSP56" s="53"/>
      <c r="WSQ56" s="53"/>
      <c r="WSR56" s="53"/>
      <c r="WSS56" s="53"/>
      <c r="WST56" s="53"/>
      <c r="WSU56" s="53"/>
      <c r="WSV56" s="53"/>
      <c r="WSW56" s="53"/>
      <c r="WSX56" s="53"/>
      <c r="WSY56" s="53"/>
      <c r="WSZ56" s="53"/>
      <c r="WTA56" s="53"/>
      <c r="WTB56" s="53"/>
      <c r="WTC56" s="53"/>
      <c r="WTD56" s="53"/>
      <c r="WTE56" s="53"/>
      <c r="WTF56" s="53"/>
      <c r="WTG56" s="53"/>
      <c r="WTH56" s="53"/>
      <c r="WTI56" s="53"/>
      <c r="WTJ56" s="53"/>
      <c r="WTK56" s="53"/>
      <c r="WTL56" s="53"/>
      <c r="WTM56" s="53"/>
      <c r="WTN56" s="53"/>
      <c r="WTO56" s="53"/>
      <c r="WTP56" s="53"/>
      <c r="WTQ56" s="53"/>
      <c r="WTR56" s="53"/>
      <c r="WTS56" s="53"/>
      <c r="WTT56" s="53"/>
      <c r="WTU56" s="53"/>
      <c r="WTV56" s="53"/>
      <c r="WTW56" s="53"/>
      <c r="WTX56" s="53"/>
      <c r="WTY56" s="53"/>
      <c r="WTZ56" s="53"/>
      <c r="WUA56" s="53"/>
      <c r="WUB56" s="53"/>
      <c r="WUC56" s="53"/>
      <c r="WUD56" s="53"/>
      <c r="WUE56" s="53"/>
      <c r="WUF56" s="53"/>
      <c r="WUG56" s="53"/>
      <c r="WUH56" s="53"/>
      <c r="WUI56" s="53"/>
      <c r="WUJ56" s="53"/>
      <c r="WUK56" s="53"/>
      <c r="WUL56" s="53"/>
      <c r="WUM56" s="53"/>
      <c r="WUN56" s="53"/>
      <c r="WUO56" s="53"/>
      <c r="WUP56" s="53"/>
      <c r="WUQ56" s="53"/>
      <c r="WUR56" s="53"/>
      <c r="WUS56" s="53"/>
      <c r="WUT56" s="53"/>
      <c r="WUU56" s="53"/>
      <c r="WUV56" s="53"/>
      <c r="WUW56" s="53"/>
      <c r="WUX56" s="53"/>
      <c r="WUY56" s="53"/>
      <c r="WUZ56" s="53"/>
      <c r="WVA56" s="53"/>
      <c r="WVB56" s="53"/>
      <c r="WVC56" s="53"/>
      <c r="WVD56" s="53"/>
      <c r="WVE56" s="53"/>
      <c r="WVF56" s="53"/>
      <c r="WVG56" s="53"/>
      <c r="WVH56" s="53"/>
      <c r="WVI56" s="53"/>
      <c r="WVJ56" s="53"/>
      <c r="WVK56" s="53"/>
      <c r="WVL56" s="53"/>
      <c r="WVM56" s="53"/>
      <c r="WVN56" s="53"/>
      <c r="WVO56" s="53"/>
      <c r="WVP56" s="53"/>
      <c r="WVQ56" s="53"/>
      <c r="WVR56" s="53"/>
      <c r="WVS56" s="53"/>
      <c r="WVT56" s="53"/>
      <c r="WVU56" s="53"/>
      <c r="WVV56" s="53"/>
      <c r="WVW56" s="53"/>
      <c r="WVX56" s="53"/>
      <c r="WVY56" s="53"/>
      <c r="WVZ56" s="53"/>
      <c r="WWA56" s="53"/>
      <c r="WWB56" s="53"/>
      <c r="WWC56" s="53"/>
      <c r="WWD56" s="53"/>
      <c r="WWE56" s="53"/>
      <c r="WWF56" s="53"/>
      <c r="WWG56" s="53"/>
      <c r="WWH56" s="53"/>
      <c r="WWI56" s="53"/>
      <c r="WWJ56" s="53"/>
      <c r="WWK56" s="53"/>
      <c r="WWL56" s="53"/>
      <c r="WWM56" s="53"/>
      <c r="WWN56" s="53"/>
      <c r="WWO56" s="53"/>
      <c r="WWP56" s="53"/>
      <c r="WWQ56" s="53"/>
      <c r="WWR56" s="53"/>
      <c r="WWS56" s="53"/>
      <c r="WWT56" s="53"/>
      <c r="WWU56" s="53"/>
      <c r="WWV56" s="53"/>
      <c r="WWW56" s="53"/>
      <c r="WWX56" s="53"/>
      <c r="WWY56" s="53"/>
      <c r="WWZ56" s="53"/>
      <c r="WXA56" s="53"/>
      <c r="WXB56" s="53"/>
      <c r="WXC56" s="53"/>
      <c r="WXD56" s="53"/>
      <c r="WXE56" s="53"/>
      <c r="WXF56" s="53"/>
      <c r="WXG56" s="53"/>
      <c r="WXH56" s="53"/>
      <c r="WXI56" s="53"/>
      <c r="WXJ56" s="53"/>
      <c r="WXK56" s="53"/>
      <c r="WXL56" s="53"/>
      <c r="WXM56" s="53"/>
      <c r="WXN56" s="53"/>
      <c r="WXO56" s="53"/>
      <c r="WXP56" s="53"/>
      <c r="WXQ56" s="53"/>
      <c r="WXR56" s="53"/>
      <c r="WXS56" s="53"/>
      <c r="WXT56" s="53"/>
      <c r="WXU56" s="53"/>
      <c r="WXV56" s="53"/>
      <c r="WXW56" s="53"/>
      <c r="WXX56" s="53"/>
      <c r="WXY56" s="53"/>
      <c r="WXZ56" s="53"/>
      <c r="WYA56" s="53"/>
      <c r="WYB56" s="53"/>
      <c r="WYC56" s="53"/>
      <c r="WYD56" s="53"/>
      <c r="WYE56" s="53"/>
      <c r="WYF56" s="53"/>
      <c r="WYG56" s="53"/>
      <c r="WYH56" s="53"/>
      <c r="WYI56" s="53"/>
      <c r="WYJ56" s="53"/>
      <c r="WYK56" s="53"/>
      <c r="WYL56" s="53"/>
      <c r="WYM56" s="53"/>
      <c r="WYN56" s="53"/>
      <c r="WYO56" s="53"/>
      <c r="WYP56" s="53"/>
      <c r="WYQ56" s="53"/>
      <c r="WYR56" s="53"/>
      <c r="WYS56" s="53"/>
      <c r="WYT56" s="53"/>
      <c r="WYU56" s="53"/>
      <c r="WYV56" s="53"/>
      <c r="WYW56" s="53"/>
      <c r="WYX56" s="53"/>
      <c r="WYY56" s="53"/>
      <c r="WYZ56" s="53"/>
      <c r="WZA56" s="53"/>
      <c r="WZB56" s="53"/>
      <c r="WZC56" s="53"/>
      <c r="WZD56" s="53"/>
      <c r="WZE56" s="53"/>
      <c r="WZF56" s="53"/>
      <c r="WZG56" s="53"/>
      <c r="WZH56" s="53"/>
      <c r="WZI56" s="53"/>
      <c r="WZJ56" s="53"/>
      <c r="WZK56" s="53"/>
      <c r="WZL56" s="53"/>
      <c r="WZM56" s="53"/>
      <c r="WZN56" s="53"/>
      <c r="WZO56" s="53"/>
      <c r="WZP56" s="53"/>
      <c r="WZQ56" s="53"/>
      <c r="WZR56" s="53"/>
      <c r="WZS56" s="53"/>
      <c r="WZT56" s="53"/>
      <c r="WZU56" s="53"/>
      <c r="WZV56" s="53"/>
      <c r="WZW56" s="53"/>
      <c r="WZX56" s="53"/>
      <c r="WZY56" s="53"/>
      <c r="WZZ56" s="53"/>
      <c r="XAA56" s="53"/>
      <c r="XAB56" s="53"/>
      <c r="XAC56" s="53"/>
      <c r="XAD56" s="53"/>
      <c r="XAE56" s="53"/>
      <c r="XAF56" s="53"/>
      <c r="XAG56" s="53"/>
      <c r="XAH56" s="53"/>
      <c r="XAI56" s="53"/>
      <c r="XAJ56" s="53"/>
      <c r="XAK56" s="53"/>
      <c r="XAL56" s="53"/>
      <c r="XAM56" s="53"/>
      <c r="XAN56" s="53"/>
      <c r="XAO56" s="53"/>
      <c r="XAP56" s="53"/>
      <c r="XAQ56" s="53"/>
      <c r="XAR56" s="53"/>
      <c r="XAS56" s="53"/>
      <c r="XAT56" s="53"/>
      <c r="XAU56" s="53"/>
      <c r="XAV56" s="53"/>
      <c r="XAW56" s="53"/>
      <c r="XAX56" s="53"/>
      <c r="XAY56" s="53"/>
      <c r="XAZ56" s="53"/>
      <c r="XBA56" s="53"/>
      <c r="XBB56" s="53"/>
      <c r="XBC56" s="53"/>
      <c r="XBD56" s="53"/>
      <c r="XBE56" s="53"/>
      <c r="XBF56" s="53"/>
      <c r="XBG56" s="53"/>
      <c r="XBH56" s="53"/>
      <c r="XBI56" s="53"/>
      <c r="XBJ56" s="53"/>
      <c r="XBK56" s="53"/>
      <c r="XBL56" s="53"/>
      <c r="XBM56" s="53"/>
      <c r="XBN56" s="53"/>
      <c r="XBO56" s="53"/>
      <c r="XBP56" s="53"/>
      <c r="XBQ56" s="53"/>
      <c r="XBR56" s="53"/>
      <c r="XBS56" s="53"/>
      <c r="XBT56" s="53"/>
      <c r="XBU56" s="53"/>
      <c r="XBV56" s="53"/>
      <c r="XBW56" s="53"/>
      <c r="XBX56" s="53"/>
      <c r="XBY56" s="53"/>
      <c r="XBZ56" s="53"/>
      <c r="XCA56" s="53"/>
      <c r="XCB56" s="53"/>
      <c r="XCC56" s="53"/>
      <c r="XCD56" s="53"/>
      <c r="XCE56" s="53"/>
      <c r="XCF56" s="53"/>
      <c r="XCG56" s="53"/>
      <c r="XCH56" s="53"/>
      <c r="XCI56" s="53"/>
      <c r="XCJ56" s="53"/>
      <c r="XCK56" s="53"/>
      <c r="XCL56" s="53"/>
      <c r="XCM56" s="53"/>
      <c r="XCN56" s="53"/>
      <c r="XCO56" s="53"/>
      <c r="XCP56" s="53"/>
      <c r="XCQ56" s="53"/>
      <c r="XCR56" s="53"/>
      <c r="XCS56" s="53"/>
      <c r="XCT56" s="53"/>
      <c r="XCU56" s="53"/>
      <c r="XCV56" s="53"/>
      <c r="XCW56" s="53"/>
      <c r="XCX56" s="53"/>
      <c r="XCY56" s="53"/>
      <c r="XCZ56" s="53"/>
      <c r="XDA56" s="53"/>
      <c r="XDB56" s="53"/>
      <c r="XDC56" s="53"/>
      <c r="XDD56" s="53"/>
      <c r="XDE56" s="53"/>
      <c r="XDF56" s="53"/>
      <c r="XDG56" s="53"/>
      <c r="XDH56" s="53"/>
      <c r="XDI56" s="53"/>
      <c r="XDJ56" s="53"/>
      <c r="XDK56" s="53"/>
      <c r="XDL56" s="53"/>
      <c r="XDM56" s="53"/>
      <c r="XDN56" s="53"/>
      <c r="XDO56" s="53"/>
      <c r="XDP56" s="53"/>
      <c r="XDQ56" s="53"/>
      <c r="XDR56" s="53"/>
      <c r="XDS56" s="53"/>
      <c r="XDT56" s="53"/>
      <c r="XDU56" s="53"/>
      <c r="XDV56" s="53"/>
      <c r="XDW56" s="53"/>
      <c r="XDX56" s="53"/>
      <c r="XDY56" s="53"/>
      <c r="XDZ56" s="53"/>
      <c r="XEA56" s="53"/>
      <c r="XEB56" s="53"/>
      <c r="XEC56" s="53"/>
      <c r="XED56" s="53"/>
      <c r="XEE56" s="53"/>
      <c r="XEF56" s="53"/>
      <c r="XEG56" s="53"/>
      <c r="XEH56" s="53"/>
      <c r="XEI56" s="53"/>
      <c r="XEJ56" s="53"/>
      <c r="XEK56" s="53"/>
      <c r="XEL56" s="53"/>
      <c r="XEM56" s="53"/>
      <c r="XEN56" s="53"/>
      <c r="XEO56" s="53"/>
      <c r="XEP56" s="53"/>
      <c r="XEQ56" s="53"/>
      <c r="XER56" s="53"/>
      <c r="XES56" s="53"/>
      <c r="XET56" s="53"/>
      <c r="XEU56" s="53"/>
      <c r="XEV56" s="53"/>
      <c r="XEW56" s="53"/>
      <c r="XEX56" s="53"/>
      <c r="XEY56" s="53"/>
      <c r="XEZ56" s="53"/>
      <c r="XFA56" s="53"/>
      <c r="XFB56" s="53"/>
      <c r="XFC56" s="53"/>
    </row>
    <row r="57" spans="1:16383" ht="15.75" thickTop="1" x14ac:dyDescent="0.25"/>
    <row r="58" spans="1:16383" ht="26.25" x14ac:dyDescent="0.4">
      <c r="S58" s="78"/>
    </row>
    <row r="59" spans="1:16383" x14ac:dyDescent="0.25">
      <c r="N59" s="54" t="s">
        <v>150</v>
      </c>
      <c r="P59" s="32"/>
    </row>
    <row r="60" spans="1:16383" x14ac:dyDescent="0.25">
      <c r="N60" s="54" t="s">
        <v>55</v>
      </c>
      <c r="P60" s="32"/>
    </row>
    <row r="61" spans="1:16383" x14ac:dyDescent="0.25">
      <c r="N61" s="54" t="s">
        <v>151</v>
      </c>
      <c r="P61" s="32"/>
      <c r="Q61" s="32"/>
    </row>
    <row r="62" spans="1:16383" x14ac:dyDescent="0.25">
      <c r="N62" s="54" t="s">
        <v>140</v>
      </c>
    </row>
    <row r="63" spans="1:16383" ht="15.75" x14ac:dyDescent="0.25">
      <c r="P63" s="79"/>
    </row>
    <row r="64" spans="1:16383" x14ac:dyDescent="0.25">
      <c r="N64" s="54" t="s">
        <v>152</v>
      </c>
      <c r="P64" s="80"/>
    </row>
  </sheetData>
  <pageMargins left="0.70866141732283472" right="0.70866141732283472" top="0.74803149606299213" bottom="0.74803149606299213" header="0.31496062992125984" footer="0.31496062992125984"/>
  <pageSetup paperSize="9" scale="80" orientation="portrait" horizontalDpi="4294967293" verticalDpi="4294967293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ET54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A12" sqref="A12:XFD12"/>
    </sheetView>
  </sheetViews>
  <sheetFormatPr baseColWidth="10" defaultColWidth="13.7109375" defaultRowHeight="15" x14ac:dyDescent="0.25"/>
  <cols>
    <col min="1" max="1" width="31.85546875" bestFit="1" customWidth="1"/>
    <col min="2" max="2" width="17" customWidth="1"/>
    <col min="3" max="3" width="15" bestFit="1" customWidth="1"/>
    <col min="4" max="4" width="15" style="32" bestFit="1" customWidth="1"/>
    <col min="5" max="5" width="17.42578125" style="32" customWidth="1"/>
    <col min="6" max="6" width="16.85546875" style="32" bestFit="1" customWidth="1"/>
    <col min="7" max="8" width="15" style="48" customWidth="1"/>
    <col min="9" max="9" width="16.85546875" bestFit="1" customWidth="1"/>
    <col min="10" max="10" width="16.85546875" style="48" bestFit="1" customWidth="1"/>
    <col min="11" max="11" width="16.85546875" bestFit="1" customWidth="1"/>
    <col min="13" max="13" width="16.85546875" bestFit="1" customWidth="1"/>
  </cols>
  <sheetData>
    <row r="1" spans="1:21" ht="23.25" x14ac:dyDescent="0.35">
      <c r="B1" s="52" t="s">
        <v>131</v>
      </c>
    </row>
    <row r="2" spans="1:21" ht="15.75" thickBot="1" x14ac:dyDescent="0.3"/>
    <row r="3" spans="1:21" ht="30" thickTop="1" x14ac:dyDescent="0.25">
      <c r="A3" s="60" t="s">
        <v>74</v>
      </c>
      <c r="B3" s="61" t="s">
        <v>142</v>
      </c>
      <c r="C3" s="61" t="s">
        <v>75</v>
      </c>
      <c r="D3" s="61" t="s">
        <v>1</v>
      </c>
      <c r="E3" s="61" t="s">
        <v>76</v>
      </c>
      <c r="F3" s="61" t="s">
        <v>77</v>
      </c>
      <c r="G3" s="62" t="s">
        <v>143</v>
      </c>
      <c r="H3" s="62" t="s">
        <v>144</v>
      </c>
      <c r="I3" s="61" t="s">
        <v>141</v>
      </c>
      <c r="J3" s="62" t="s">
        <v>78</v>
      </c>
      <c r="K3" s="61" t="s">
        <v>137</v>
      </c>
      <c r="L3" s="61" t="s">
        <v>41</v>
      </c>
      <c r="M3" s="63" t="s">
        <v>136</v>
      </c>
    </row>
    <row r="4" spans="1:21" x14ac:dyDescent="0.25">
      <c r="A4" s="1" t="s">
        <v>73</v>
      </c>
      <c r="B4" s="45"/>
      <c r="C4" s="45">
        <f>+INVENT2016_2017!I4</f>
        <v>0</v>
      </c>
      <c r="D4" s="45">
        <f>[11]MVTAOUT!$H5+[11]MVTSEPT!$I5+[11]MVTOCT!$G5+[11]MVTNOV!$G5+[11]MVTDEC!$G5+[11]MVTJANV!$G5+[11]MVTFEV!$G5+[11]MVTMARS!$G5+[11]MVTAVRIL!$G5+[11]MVTMAI!$G5+[11]MVTJUIN!$G5+[11]MVTJUIL!$G5+[11]MVTAOUT2018!$G5</f>
        <v>0</v>
      </c>
      <c r="E4" s="45">
        <f>+[11]MVTAOUT!$D5+[11]MVTSEPT!$E5+[11]MVTOCT!$C5+[11]MVTNOV!$C5+[11]MVTDEC!$C5+[11]MVTJANV!$C5+[11]MVTFEV!$C5+[11]MVTMARS!$C5+[11]MVTAVRIL!$C5+[11]MVTMAI!$C5+[11]MVTJUIN!$C5+[11]MVTJUIL!$C5</f>
        <v>15580.723283297679</v>
      </c>
      <c r="F4" s="45">
        <f t="shared" ref="F4:F54" si="0">+C4+D4+E4</f>
        <v>15580.723283297679</v>
      </c>
      <c r="G4" s="50"/>
      <c r="H4" s="50"/>
      <c r="I4" s="64">
        <v>393784.92153259309</v>
      </c>
      <c r="J4" s="64"/>
      <c r="K4" s="64">
        <v>0</v>
      </c>
      <c r="L4" s="64">
        <v>0</v>
      </c>
      <c r="M4" s="71"/>
    </row>
    <row r="5" spans="1:21" x14ac:dyDescent="0.25">
      <c r="A5" s="1" t="s">
        <v>80</v>
      </c>
      <c r="B5" s="45">
        <f>+INVENT2016_2017!J5</f>
        <v>450000</v>
      </c>
      <c r="C5" s="45">
        <f>+INVENT2016_2017!I5</f>
        <v>0</v>
      </c>
      <c r="D5" s="45">
        <f>[11]MVTAOUT!$H6+[11]MVTSEPT!$I6+[11]MVTOCT!$G6+[11]MVTNOV!$G6+[11]MVTDEC!$G6+[11]MVTJANV!$G6+[11]MVTFEV!$G6+[11]MVTMARS!$G6+[11]MVTAVRIL!$G6+[11]MVTMAI!$G6+[11]MVTJUIN!$G6+[11]MVTJUIL!$G6+[11]MVTAOUT2018!$G6</f>
        <v>68000</v>
      </c>
      <c r="E5" s="45">
        <f>+[11]MVTAOUT!$D6+[11]MVTSEPT!$E6+[11]MVTOCT!$C6+[11]MVTNOV!$C6+[11]MVTDEC!$C6+[11]MVTJANV!$C6+[11]MVTFEV!$C6+[11]MVTMARS!$C6+[11]MVTAVRIL!$C6+[11]MVTMAI!$C6+[11]MVTJUIN!$C6+[11]MVTJUIL!$C6</f>
        <v>19643.082164907726</v>
      </c>
      <c r="F5" s="45">
        <f t="shared" si="0"/>
        <v>87643.082164907726</v>
      </c>
      <c r="G5" s="50">
        <v>25000</v>
      </c>
      <c r="H5" s="50">
        <v>30000</v>
      </c>
      <c r="I5" s="64">
        <v>77158.485847873264</v>
      </c>
      <c r="J5" s="64">
        <v>480000</v>
      </c>
      <c r="K5" s="64">
        <v>0</v>
      </c>
      <c r="L5" s="64">
        <v>0</v>
      </c>
      <c r="M5" s="71">
        <v>588000</v>
      </c>
    </row>
    <row r="6" spans="1:21" x14ac:dyDescent="0.25">
      <c r="A6" s="1" t="s">
        <v>81</v>
      </c>
      <c r="B6" s="45">
        <f>+INVENT2016_2017!J6</f>
        <v>450000</v>
      </c>
      <c r="C6" s="45">
        <f>+INVENT2016_2017!I6</f>
        <v>47526.870595715751</v>
      </c>
      <c r="D6" s="45">
        <f>[11]MVTAOUT!$H7+[11]MVTSEPT!$I7+[11]MVTOCT!$G7+[11]MVTNOV!$G7+[11]MVTDEC!$G7+[11]MVTJANV!$G7+[11]MVTFEV!$G7+[11]MVTMARS!$G7+[11]MVTAVRIL!$G7+[11]MVTMAI!$G7+[11]MVTJUIN!$G7+[11]MVTJUIL!$G7+[11]MVTAOUT2018!$G7</f>
        <v>39000</v>
      </c>
      <c r="E6" s="45">
        <f>+[11]MVTAOUT!$D7+[11]MVTSEPT!$E7+[11]MVTOCT!$C7+[11]MVTNOV!$C7+[11]MVTDEC!$C7+[11]MVTJANV!$C7+[11]MVTFEV!$C7+[11]MVTMARS!$C7+[11]MVTAVRIL!$C7+[11]MVTMAI!$C7+[11]MVTJUIN!$C7+[11]MVTJUIL!$C7</f>
        <v>19804.409122959751</v>
      </c>
      <c r="F6" s="45">
        <f t="shared" si="0"/>
        <v>106331.27971867551</v>
      </c>
      <c r="G6" s="50">
        <v>25000</v>
      </c>
      <c r="H6" s="50">
        <v>30000</v>
      </c>
      <c r="I6" s="64">
        <v>47984.88311192533</v>
      </c>
      <c r="J6" s="64">
        <v>480000</v>
      </c>
      <c r="K6" s="64">
        <v>0</v>
      </c>
      <c r="L6" s="64">
        <v>0</v>
      </c>
      <c r="M6" s="71">
        <v>0</v>
      </c>
    </row>
    <row r="7" spans="1:21" x14ac:dyDescent="0.25">
      <c r="A7" s="1" t="s">
        <v>82</v>
      </c>
      <c r="B7" s="45">
        <f>+INVENT2016_2017!J7</f>
        <v>450000</v>
      </c>
      <c r="C7" s="45">
        <f>+INVENT2016_2017!I7</f>
        <v>39888.739729307388</v>
      </c>
      <c r="D7" s="45">
        <f>[11]MVTAOUT!$H8+[11]MVTSEPT!$I8+[11]MVTOCT!$G8+[11]MVTNOV!$G8+[11]MVTDEC!$G8+[11]MVTJANV!$G8+[11]MVTFEV!$G8+[11]MVTMARS!$G8+[11]MVTAVRIL!$G8+[11]MVTMAI!$G8+[11]MVTJUIN!$G8+[11]MVTJUIL!$G8+[11]MVTAOUT2018!$G8</f>
        <v>39000</v>
      </c>
      <c r="E7" s="45">
        <f>+[11]MVTAOUT!$D8+[11]MVTSEPT!$E8+[11]MVTOCT!$C8+[11]MVTNOV!$C8+[11]MVTDEC!$C8+[11]MVTJANV!$C8+[11]MVTFEV!$C8+[11]MVTMARS!$C8+[11]MVTAVRIL!$C8+[11]MVTMAI!$C8+[11]MVTJUIN!$C8+[11]MVTJUIL!$C8</f>
        <v>19815.211897162193</v>
      </c>
      <c r="F7" s="45">
        <f t="shared" si="0"/>
        <v>98703.951626469585</v>
      </c>
      <c r="G7" s="50">
        <v>25000</v>
      </c>
      <c r="H7" s="50">
        <v>30000</v>
      </c>
      <c r="I7" s="64">
        <v>40357.403545613284</v>
      </c>
      <c r="J7" s="64">
        <v>480000</v>
      </c>
      <c r="K7" s="64">
        <v>0</v>
      </c>
      <c r="L7" s="64">
        <v>0</v>
      </c>
      <c r="M7" s="71"/>
    </row>
    <row r="8" spans="1:21" x14ac:dyDescent="0.25">
      <c r="A8" s="1" t="s">
        <v>83</v>
      </c>
      <c r="B8" s="45">
        <f>+INVENT2016_2017!J8</f>
        <v>450000</v>
      </c>
      <c r="C8" s="45">
        <f>+INVENT2016_2017!I8</f>
        <v>23224.097929742595</v>
      </c>
      <c r="D8" s="45">
        <f>[11]MVTAOUT!$H9+[11]MVTSEPT!$I9+[11]MVTOCT!$G9+[11]MVTNOV!$G9+[11]MVTDEC!$G9+[11]MVTJANV!$G9+[11]MVTFEV!$G9+[11]MVTMARS!$G9+[11]MVTAVRIL!$G9+[11]MVTMAI!$G9+[11]MVTJUIN!$G9+[11]MVTJUIL!$G9+[11]MVTAOUT2018!$G9</f>
        <v>39000</v>
      </c>
      <c r="E8" s="45">
        <f>+[11]MVTAOUT!$D9+[11]MVTSEPT!$E9+[11]MVTOCT!$C9+[11]MVTNOV!$C9+[11]MVTDEC!$C9+[11]MVTJANV!$C9+[11]MVTFEV!$C9+[11]MVTMARS!$C9+[11]MVTAVRIL!$C9+[11]MVTMAI!$C9+[11]MVTJUIN!$C9+[11]MVTJUIL!$C9</f>
        <v>19830.391889387389</v>
      </c>
      <c r="F8" s="45">
        <f t="shared" si="0"/>
        <v>82054.489819129987</v>
      </c>
      <c r="G8" s="50">
        <v>25000</v>
      </c>
      <c r="H8" s="50">
        <v>30000</v>
      </c>
      <c r="I8" s="64">
        <v>23707.763681253447</v>
      </c>
      <c r="J8" s="64">
        <v>480000</v>
      </c>
      <c r="K8" s="64">
        <v>693000</v>
      </c>
      <c r="L8" s="64">
        <v>49000</v>
      </c>
      <c r="M8" s="71">
        <v>693000</v>
      </c>
    </row>
    <row r="9" spans="1:21" x14ac:dyDescent="0.25">
      <c r="A9" s="1" t="s">
        <v>84</v>
      </c>
      <c r="B9" s="45">
        <f>+INVENT2016_2017!J9</f>
        <v>450000</v>
      </c>
      <c r="C9" s="45">
        <f>+INVENT2016_2017!I9</f>
        <v>69006.039725126408</v>
      </c>
      <c r="D9" s="45">
        <f>[11]MVTAOUT!$H10+[11]MVTSEPT!$I10+[11]MVTOCT!$G10+[11]MVTNOV!$G10+[11]MVTDEC!$G10+[11]MVTJANV!$G10+[11]MVTFEV!$G10+[11]MVTMARS!$G10+[11]MVTAVRIL!$G10+[11]MVTMAI!$G10+[11]MVTJUIN!$G10+[11]MVTJUIL!$G10+[11]MVTAOUT2018!$G10</f>
        <v>51000</v>
      </c>
      <c r="E9" s="45">
        <f>+[11]MVTAOUT!$D10+[11]MVTSEPT!$E10+[11]MVTOCT!$C10+[11]MVTNOV!$C10+[11]MVTDEC!$C10+[11]MVTJANV!$C10+[11]MVTFEV!$C10+[11]MVTMARS!$C10+[11]MVTAVRIL!$C10+[11]MVTMAI!$C10+[11]MVTJUIN!$C10+[11]MVTJUIL!$C10</f>
        <v>20026.542089482133</v>
      </c>
      <c r="F9" s="45">
        <f t="shared" si="0"/>
        <v>140032.58181460854</v>
      </c>
      <c r="G9" s="50">
        <v>25000</v>
      </c>
      <c r="H9" s="50">
        <v>30000</v>
      </c>
      <c r="I9" s="64">
        <v>81688.268302789278</v>
      </c>
      <c r="J9" s="64">
        <v>480000</v>
      </c>
      <c r="K9" s="64">
        <v>0</v>
      </c>
      <c r="L9" s="64">
        <v>0</v>
      </c>
      <c r="M9" s="71"/>
    </row>
    <row r="10" spans="1:21" ht="15" customHeight="1" x14ac:dyDescent="0.25">
      <c r="A10" s="1"/>
      <c r="B10" s="45"/>
      <c r="C10" s="45"/>
      <c r="D10" s="45"/>
      <c r="E10" s="45"/>
      <c r="F10" s="45"/>
      <c r="G10" s="50"/>
      <c r="H10" s="50"/>
      <c r="I10" s="64"/>
      <c r="J10" s="64"/>
      <c r="K10" s="64">
        <v>0</v>
      </c>
      <c r="L10" s="64">
        <v>0</v>
      </c>
      <c r="M10" s="71">
        <v>0</v>
      </c>
    </row>
    <row r="11" spans="1:21" ht="15" customHeight="1" x14ac:dyDescent="0.25">
      <c r="A11" s="1" t="s">
        <v>86</v>
      </c>
      <c r="B11" s="45">
        <f>+INVENT2016_2017!J11</f>
        <v>450000</v>
      </c>
      <c r="C11" s="45">
        <f>+INVENT2016_2017!I11</f>
        <v>730153.82846491481</v>
      </c>
      <c r="D11" s="45">
        <f>[11]MVTAOUT!$H11+[11]MVTSEPT!$I11+[11]MVTOCT!$G11+[11]MVTNOV!$G11+[11]MVTDEC!$G11+[11]MVTJANV!$G11+[11]MVTFEV!$G11+[11]MVTMARS!$G11+[11]MVTAVRIL!$G11+[11]MVTMAI!$G11+[11]MVTJUIN!$G11+[11]MVTJUIL!$G11+[11]MVTAOUT2018!$G11</f>
        <v>233000</v>
      </c>
      <c r="E11" s="45">
        <f>+[11]MVTAOUT!$D11+[11]MVTSEPT!$E11+[11]MVTOCT!$C11+[11]MVTNOV!$C11+[11]MVTDEC!$C11+[11]MVTJANV!$C11+[11]MVTFEV!$C11+[11]MVTMARS!$C11+[11]MVTAVRIL!$C11+[11]MVTMAI!$C11+[11]MVTJUIN!$C11+[11]MVTJUIL!$C11</f>
        <v>22119.979952866226</v>
      </c>
      <c r="F11" s="45">
        <f t="shared" si="0"/>
        <v>985273.80841778102</v>
      </c>
      <c r="G11" s="50"/>
      <c r="H11" s="50"/>
      <c r="I11" s="64">
        <v>984896.918513924</v>
      </c>
      <c r="J11" s="64">
        <v>450000</v>
      </c>
      <c r="K11" s="64">
        <v>1000000</v>
      </c>
      <c r="L11" s="64">
        <v>40000</v>
      </c>
      <c r="M11" s="71">
        <v>1000000</v>
      </c>
    </row>
    <row r="12" spans="1:21" ht="15" customHeight="1" x14ac:dyDescent="0.25">
      <c r="A12" s="1" t="s">
        <v>87</v>
      </c>
      <c r="B12" s="45">
        <f>+INVENT2016_2017!J12</f>
        <v>450000</v>
      </c>
      <c r="C12" s="45">
        <f>+INVENT2016_2017!I12</f>
        <v>47654.584164984422</v>
      </c>
      <c r="D12" s="45">
        <f>[11]MVTAOUT!$H12+[11]MVTSEPT!$I12+[11]MVTOCT!$G12+[11]MVTNOV!$G12+[11]MVTDEC!$G12+[11]MVTJANV!$G12+[11]MVTFEV!$G12+[11]MVTMARS!$G12+[11]MVTAVRIL!$G12+[11]MVTMAI!$G12+[11]MVTJUIN!$G12+[11]MVTJUIL!$G12+[11]MVTAOUT2018!$G12</f>
        <v>39000</v>
      </c>
      <c r="E12" s="45">
        <f>+[11]MVTAOUT!$D12+[11]MVTSEPT!$E12+[11]MVTOCT!$C12+[11]MVTNOV!$C12+[11]MVTDEC!$C12+[11]MVTJANV!$C12+[11]MVTFEV!$C12+[11]MVTMARS!$C12+[11]MVTAVRIL!$C12+[11]MVTMAI!$C12+[11]MVTJUIN!$C12+[11]MVTJUIL!$C12</f>
        <v>19804.49817563231</v>
      </c>
      <c r="F12" s="45">
        <f t="shared" si="0"/>
        <v>106459.08234061673</v>
      </c>
      <c r="G12" s="50">
        <v>25000</v>
      </c>
      <c r="H12" s="50">
        <v>30000</v>
      </c>
      <c r="I12" s="64">
        <v>48112.684485189733</v>
      </c>
      <c r="J12" s="64">
        <v>480000</v>
      </c>
      <c r="K12" s="64">
        <v>0</v>
      </c>
      <c r="L12" s="64">
        <v>0</v>
      </c>
      <c r="M12" s="71"/>
    </row>
    <row r="13" spans="1:21" ht="15" customHeight="1" x14ac:dyDescent="0.25">
      <c r="A13" s="1" t="s">
        <v>88</v>
      </c>
      <c r="B13" s="45">
        <f>+INVENT2016_2017!J13</f>
        <v>450000</v>
      </c>
      <c r="C13" s="45">
        <f>+INVENT2016_2017!I13</f>
        <v>110017.94800500985</v>
      </c>
      <c r="D13" s="45">
        <f>[11]MVTAOUT!$H13+[11]MVTSEPT!$I13+[11]MVTOCT!$G13+[11]MVTNOV!$G13+[11]MVTDEC!$G13+[11]MVTJANV!$G13+[11]MVTFEV!$G13+[11]MVTMARS!$G13+[11]MVTAVRIL!$G13+[11]MVTMAI!$G13+[11]MVTJUIN!$G13+[11]MVTJUIL!$G13+[11]MVTAOUT2018!$G13</f>
        <v>39000</v>
      </c>
      <c r="E13" s="45">
        <f>+[11]MVTAOUT!$D13+[11]MVTSEPT!$E13+[11]MVTOCT!$C13+[11]MVTNOV!$C13+[11]MVTDEC!$C13+[11]MVTJANV!$C13+[11]MVTFEV!$C13+[11]MVTMARS!$C13+[11]MVTAVRIL!$C13+[11]MVTMAI!$C13+[11]MVTJUIN!$C13+[11]MVTJUIL!$C13</f>
        <v>19979.185268172896</v>
      </c>
      <c r="F13" s="45">
        <f t="shared" si="0"/>
        <v>168997.13327318276</v>
      </c>
      <c r="G13" s="50">
        <v>25000</v>
      </c>
      <c r="H13" s="50">
        <v>30000</v>
      </c>
      <c r="I13" s="64">
        <v>110648.28599405222</v>
      </c>
      <c r="J13" s="64">
        <v>480000</v>
      </c>
      <c r="K13" s="64">
        <v>600000</v>
      </c>
      <c r="L13" s="64">
        <v>66000</v>
      </c>
      <c r="M13" s="71">
        <v>666000</v>
      </c>
    </row>
    <row r="14" spans="1:21" ht="15" customHeight="1" x14ac:dyDescent="0.25">
      <c r="A14" s="1" t="s">
        <v>89</v>
      </c>
      <c r="B14" s="45">
        <f>+INVENT2016_2017!J14</f>
        <v>450000</v>
      </c>
      <c r="C14" s="45">
        <f>+INVENT2016_2017!I14</f>
        <v>47415.82110666974</v>
      </c>
      <c r="D14" s="45">
        <f>[11]MVTAOUT!$H14+[11]MVTSEPT!$I14+[11]MVTOCT!$G14+[11]MVTNOV!$G14+[11]MVTDEC!$G14+[11]MVTJANV!$G14+[11]MVTFEV!$G14+[11]MVTMARS!$G14+[11]MVTAVRIL!$G14+[11]MVTMAI!$G14+[11]MVTJUIN!$G14+[11]MVTJUIL!$G14+[11]MVTAOUT2018!$G14</f>
        <v>40000</v>
      </c>
      <c r="E14" s="45">
        <f>+[11]MVTAOUT!$D14+[11]MVTSEPT!$E14+[11]MVTOCT!$C14+[11]MVTNOV!$C14+[11]MVTDEC!$C14+[11]MVTJANV!$C14+[11]MVTFEV!$C14+[11]MVTMARS!$C14+[11]MVTAVRIL!$C14+[11]MVTMAI!$C14+[11]MVTJUIN!$C14+[11]MVTJUIL!$C14</f>
        <v>19803.730952607159</v>
      </c>
      <c r="F14" s="45">
        <f t="shared" si="0"/>
        <v>107219.5520592769</v>
      </c>
      <c r="G14" s="50">
        <v>25000</v>
      </c>
      <c r="H14" s="50">
        <v>30000</v>
      </c>
      <c r="I14" s="64">
        <v>48873.164961681148</v>
      </c>
      <c r="J14" s="64">
        <v>480000</v>
      </c>
      <c r="K14" s="64">
        <v>0</v>
      </c>
      <c r="L14" s="64">
        <v>0</v>
      </c>
      <c r="M14" s="71"/>
    </row>
    <row r="15" spans="1:21" s="2" customFormat="1" ht="15" customHeight="1" x14ac:dyDescent="0.25">
      <c r="A15" s="1" t="s">
        <v>90</v>
      </c>
      <c r="B15" s="45">
        <f>+INVENT2016_2017!J15</f>
        <v>450000</v>
      </c>
      <c r="C15" s="45">
        <f>+INVENT2016_2017!I15</f>
        <v>0</v>
      </c>
      <c r="D15" s="45">
        <f>[11]MVTAOUT!$H15+[11]MVTSEPT!$I15+[11]MVTOCT!$G15+[11]MVTNOV!$G15+[11]MVTDEC!$G15+[11]MVTJANV!$G15+[11]MVTFEV!$G15+[11]MVTMARS!$G15+[11]MVTAVRIL!$G15+[11]MVTMAI!$G15+[11]MVTJUIN!$G15+[11]MVTJUIL!$G15+[11]MVTAOUT2018!$G15</f>
        <v>39000</v>
      </c>
      <c r="E15" s="45">
        <f>+[11]MVTAOUT!$D15+[11]MVTSEPT!$E15+[11]MVTOCT!$C15+[11]MVTNOV!$C15+[11]MVTDEC!$C15+[11]MVTJANV!$C15+[11]MVTFEV!$C15+[11]MVTMARS!$C15+[11]MVTAVRIL!$C15+[11]MVTMAI!$C15+[11]MVTJUIN!$C15+[11]MVTJUIL!$C15</f>
        <v>20021.149627566785</v>
      </c>
      <c r="F15" s="45">
        <f t="shared" si="0"/>
        <v>59021.149627566789</v>
      </c>
      <c r="G15" s="50">
        <v>25000</v>
      </c>
      <c r="H15" s="50">
        <v>30000</v>
      </c>
      <c r="I15" s="59">
        <v>115649.14850310251</v>
      </c>
      <c r="J15" s="59">
        <v>480000</v>
      </c>
      <c r="K15" s="59">
        <f t="shared" ref="K15" si="1">F15-G15-H15-I15-J15</f>
        <v>-591627.99887553568</v>
      </c>
      <c r="L15" s="45"/>
      <c r="M15" s="59">
        <v>-400000</v>
      </c>
      <c r="N15" s="45">
        <v>80000</v>
      </c>
      <c r="O15" s="58">
        <f t="shared" ref="O15" si="2">B15+K15-T15</f>
        <v>-141627.99887553568</v>
      </c>
      <c r="P15" s="47">
        <f>[11]MVTAOUT!O16+[11]MVTSEPT!P16+[11]MVTOCT!N16+[11]MVTNOV!N16+[11]MVTDEC!N16+[11]MVTJANV!N16+[11]MVTFEV!N16+[11]MVTMARS!N16+[11]MVTAVRIL!N16+[11]MVTMAI!N16+[11]MVTJUIN!N16+[11]MVTJUIL!N16</f>
        <v>0</v>
      </c>
      <c r="Q15" s="47">
        <f>[11]MVTAOUT!P16+[11]MVTSEPT!Q16+[11]MVTOCT!O16+[11]MVTNOV!O16+[11]MVTDEC!O16+[11]MVTJANV!O16+[11]MVTFEV!O16+[11]MVTMARS!O16+[11]MVTAVRIL!O16+[11]MVTMAI!O16+[11]MVTJUIN!O16+[11]MVTJUIL!O16</f>
        <v>0</v>
      </c>
      <c r="R15" s="47">
        <f>+INVENT2016_2017!N16</f>
        <v>0</v>
      </c>
      <c r="S15" s="47">
        <f>[11]MVTAOUT!$Q16+[11]MVTSEPT!$R16+[11]MVTOCT!$P16+[11]MVTNOV!$P16+[11]MVTDEC!$P16+[11]MVTJANV!$P16+[11]MVTFEV!$P16+[11]MVTMARS!$P16+[11]MVTAVRIL!$P16+[11]MVTMAI!$P16+[11]MVTJUIN!$P16+[11]MVTJUIL!$P16</f>
        <v>0</v>
      </c>
      <c r="T15" s="47"/>
      <c r="U15" s="47"/>
    </row>
    <row r="16" spans="1:21" ht="15" customHeight="1" x14ac:dyDescent="0.25">
      <c r="A16" s="46" t="s">
        <v>91</v>
      </c>
      <c r="B16" s="59">
        <v>80000</v>
      </c>
      <c r="C16" s="59">
        <f>+INVENT2016_2017!I16</f>
        <v>0</v>
      </c>
      <c r="D16" s="59">
        <f>[11]MVTAOUT!$H16+[11]MVTSEPT!$I16+[11]MVTOCT!$G16+[11]MVTNOV!$G16+[11]MVTDEC!$G16+[11]MVTJANV!$G16+[11]MVTFEV!$G16+[11]MVTMARS!$G16+[11]MVTAVRIL!$G16+[11]MVTMAI!$G16+[11]MVTJUIN!$G16+[11]MVTJUIL!$G16+[11]MVTAOUT2018!$G16</f>
        <v>0</v>
      </c>
      <c r="E16" s="59">
        <f>+[11]MVTAOUT!$D16+[11]MVTSEPT!$E16+[11]MVTOCT!$C16+[11]MVTNOV!$C16+[11]MVTDEC!$C16+[11]MVTJANV!$C16+[11]MVTFEV!$C16+[11]MVTMARS!$C16+[11]MVTAVRIL!$C16+[11]MVTMAI!$C16+[11]MVTJUIN!$C16+[11]MVTJUIL!$C16</f>
        <v>3334.7558071553813</v>
      </c>
      <c r="F16" s="59">
        <f t="shared" si="0"/>
        <v>3334.7558071553813</v>
      </c>
      <c r="G16" s="59">
        <v>6848</v>
      </c>
      <c r="H16" s="59">
        <v>0</v>
      </c>
      <c r="I16" s="64">
        <v>-0.17251355453117867</v>
      </c>
      <c r="J16" s="64">
        <v>80000</v>
      </c>
      <c r="K16" s="64">
        <v>0</v>
      </c>
      <c r="L16" s="64">
        <v>0</v>
      </c>
      <c r="M16" s="71">
        <v>479000</v>
      </c>
    </row>
    <row r="17" spans="1:13" ht="15" customHeight="1" x14ac:dyDescent="0.25">
      <c r="A17" s="1" t="s">
        <v>92</v>
      </c>
      <c r="B17" s="45">
        <f>+INVENT2016_2017!J17</f>
        <v>450000</v>
      </c>
      <c r="C17" s="45">
        <f>+INVENT2016_2017!I17</f>
        <v>82839.280004531</v>
      </c>
      <c r="D17" s="45">
        <f>[11]MVTAOUT!$H17+[11]MVTSEPT!$I17+[11]MVTOCT!$G17+[11]MVTNOV!$G17+[11]MVTDEC!$G17+[11]MVTJANV!$G17+[11]MVTFEV!$G17+[11]MVTMARS!$G17+[11]MVTAVRIL!$G17+[11]MVTMAI!$G17+[11]MVTJUIN!$G17+[11]MVTJUIL!$G17+[11]MVTAOUT2018!$G17</f>
        <v>54000</v>
      </c>
      <c r="E17" s="45">
        <f>+[11]MVTAOUT!$D17+[11]MVTSEPT!$E17+[11]MVTOCT!$C17+[11]MVTNOV!$C17+[11]MVTDEC!$C17+[11]MVTJANV!$C17+[11]MVTFEV!$C17+[11]MVTMARS!$C17+[11]MVTAVRIL!$C17+[11]MVTMAI!$C17+[11]MVTJUIN!$C17+[11]MVTJUIL!$C17</f>
        <v>20317.162507742913</v>
      </c>
      <c r="F17" s="45">
        <f t="shared" si="0"/>
        <v>157156.4425122739</v>
      </c>
      <c r="G17" s="50">
        <v>25000</v>
      </c>
      <c r="H17" s="50">
        <v>30000</v>
      </c>
      <c r="I17" s="64">
        <v>98814.309952003066</v>
      </c>
      <c r="J17" s="64">
        <v>480000</v>
      </c>
      <c r="K17" s="64">
        <v>0</v>
      </c>
      <c r="L17" s="64">
        <v>0</v>
      </c>
      <c r="M17" s="71"/>
    </row>
    <row r="18" spans="1:13" ht="15" customHeight="1" x14ac:dyDescent="0.25">
      <c r="A18" s="4" t="s">
        <v>93</v>
      </c>
      <c r="B18" s="59">
        <v>387000</v>
      </c>
      <c r="C18" s="45">
        <f>+INVENT2016_2017!I18</f>
        <v>48664.160188931972</v>
      </c>
      <c r="D18" s="45">
        <f>[11]MVTAOUT!$H18+[11]MVTSEPT!$I18+[11]MVTOCT!$G18+[11]MVTNOV!$G18+[11]MVTDEC!$G18+[11]MVTJANV!$G18+[11]MVTFEV!$G18+[11]MVTMARS!$G18+[11]MVTAVRIL!$G18+[11]MVTMAI!$G18+[11]MVTJUIN!$G18+[11]MVTJUIL!$G18+[11]MVTAOUT2018!$G18</f>
        <v>0</v>
      </c>
      <c r="E18" s="45">
        <f>+[11]MVTAOUT!$D18+[11]MVTSEPT!$E18+[11]MVTOCT!$C18+[11]MVTNOV!$C18+[11]MVTDEC!$C18+[11]MVTJANV!$C18+[11]MVTFEV!$C18+[11]MVTMARS!$C18+[11]MVTAVRIL!$C18+[11]MVTMAI!$C18+[11]MVTJUIN!$C18+[11]MVTJUIL!$C18</f>
        <v>16583.140217657292</v>
      </c>
      <c r="F18" s="45">
        <f t="shared" si="0"/>
        <v>65247.30040658926</v>
      </c>
      <c r="G18" s="50">
        <v>25000</v>
      </c>
      <c r="H18" s="50">
        <v>30000</v>
      </c>
      <c r="I18" s="64">
        <v>9953.7553269198543</v>
      </c>
      <c r="J18" s="64">
        <v>447000</v>
      </c>
      <c r="K18" s="64">
        <v>0</v>
      </c>
      <c r="L18" s="64">
        <v>0</v>
      </c>
      <c r="M18" s="71"/>
    </row>
    <row r="19" spans="1:13" x14ac:dyDescent="0.25">
      <c r="A19" s="1" t="s">
        <v>94</v>
      </c>
      <c r="B19" s="45">
        <f>+INVENT2016_2017!J19</f>
        <v>450000</v>
      </c>
      <c r="C19" s="45">
        <f>+INVENT2016_2017!I19</f>
        <v>1911428.9050543844</v>
      </c>
      <c r="D19" s="45">
        <f>[11]MVTAOUT!$H19+[11]MVTSEPT!$I19+[11]MVTOCT!$G19+[11]MVTNOV!$G19+[11]MVTDEC!$G19+[11]MVTJANV!$G19+[11]MVTFEV!$G19+[11]MVTMARS!$G19+[11]MVTAVRIL!$G19+[11]MVTMAI!$G19+[11]MVTJUIN!$G19+[11]MVTJUIL!$G19+[11]MVTAOUT2018!$G19</f>
        <v>1078000</v>
      </c>
      <c r="E19" s="45">
        <f>+[11]MVTAOUT!$D19+[11]MVTSEPT!$E19+[11]MVTOCT!$C19+[11]MVTNOV!$C19+[11]MVTDEC!$C19+[11]MVTJANV!$C19+[11]MVTFEV!$C19+[11]MVTMARS!$C19+[11]MVTAVRIL!$C19+[11]MVTMAI!$C19+[11]MVTJUIN!$C19+[11]MVTJUIL!$C19</f>
        <v>29469.823241101709</v>
      </c>
      <c r="F19" s="45">
        <f t="shared" si="0"/>
        <v>3018898.728295486</v>
      </c>
      <c r="G19" s="50">
        <v>25000</v>
      </c>
      <c r="H19" s="50">
        <v>30000</v>
      </c>
      <c r="I19" s="64">
        <v>2957454.0404142803</v>
      </c>
      <c r="J19" s="64">
        <v>480000</v>
      </c>
      <c r="K19" s="64">
        <v>600000</v>
      </c>
      <c r="L19" s="64">
        <v>48000</v>
      </c>
      <c r="M19" s="71">
        <v>648000</v>
      </c>
    </row>
    <row r="20" spans="1:13" x14ac:dyDescent="0.25">
      <c r="A20" s="1" t="s">
        <v>95</v>
      </c>
      <c r="B20" s="45">
        <f>+INVENT2016_2017!J20</f>
        <v>450000</v>
      </c>
      <c r="C20" s="45">
        <f>+INVENT2016_2017!I20</f>
        <v>47239.946532464717</v>
      </c>
      <c r="D20" s="45">
        <f>[11]MVTAOUT!$H20+[11]MVTSEPT!$I20+[11]MVTOCT!$G20+[11]MVTNOV!$G20+[11]MVTDEC!$G20+[11]MVTJANV!$G20+[11]MVTFEV!$G20+[11]MVTMARS!$G20+[11]MVTAVRIL!$G20+[11]MVTMAI!$G20+[11]MVTJUIN!$G20+[11]MVTJUIL!$G20+[11]MVTAOUT2018!$G20</f>
        <v>39000</v>
      </c>
      <c r="E20" s="45">
        <f>+[11]MVTAOUT!$D20+[11]MVTSEPT!$E20+[11]MVTOCT!$C20+[11]MVTNOV!$C20+[11]MVTDEC!$C20+[11]MVTJANV!$C20+[11]MVTFEV!$C20+[11]MVTMARS!$C20+[11]MVTAVRIL!$C20+[11]MVTMAI!$C20+[11]MVTJUIN!$C20+[11]MVTJUIL!$C20</f>
        <v>19803.16581064666</v>
      </c>
      <c r="F20" s="45">
        <f t="shared" si="0"/>
        <v>106043.11234311138</v>
      </c>
      <c r="G20" s="50">
        <v>25000</v>
      </c>
      <c r="H20" s="50">
        <v>30000</v>
      </c>
      <c r="I20" s="64">
        <v>47696.733169810963</v>
      </c>
      <c r="J20" s="64">
        <v>480000</v>
      </c>
      <c r="K20" s="64">
        <v>110000</v>
      </c>
      <c r="L20" s="64">
        <v>3300</v>
      </c>
      <c r="M20" s="71">
        <v>110000</v>
      </c>
    </row>
    <row r="21" spans="1:13" x14ac:dyDescent="0.25">
      <c r="A21" s="1" t="s">
        <v>96</v>
      </c>
      <c r="B21" s="45">
        <f>+INVENT2016_2017!J21</f>
        <v>450000</v>
      </c>
      <c r="C21" s="45">
        <f>+INVENT2016_2017!I21</f>
        <v>53808.893492286523</v>
      </c>
      <c r="D21" s="45">
        <f>[11]MVTAOUT!$H21+[11]MVTSEPT!$I21+[11]MVTOCT!$G21+[11]MVTNOV!$G21+[11]MVTDEC!$G21+[11]MVTJANV!$G21+[11]MVTFEV!$G21+[11]MVTMARS!$G21+[11]MVTAVRIL!$G21+[11]MVTMAI!$G21+[11]MVTJUIN!$G21+[11]MVTJUIL!$G21+[11]MVTAOUT2018!$G21</f>
        <v>39000</v>
      </c>
      <c r="E21" s="45">
        <f>+[11]MVTAOUT!$D21+[11]MVTSEPT!$E21+[11]MVTOCT!$C21+[11]MVTNOV!$C21+[11]MVTDEC!$C21+[11]MVTJANV!$C21+[11]MVTFEV!$C21+[11]MVTMARS!$C21+[11]MVTAVRIL!$C21+[11]MVTMAI!$C21+[11]MVTJUIN!$C21+[11]MVTJUIL!$C21</f>
        <v>19802.808393163788</v>
      </c>
      <c r="F21" s="45">
        <f t="shared" si="0"/>
        <v>112611.70188545031</v>
      </c>
      <c r="G21" s="50">
        <v>25000</v>
      </c>
      <c r="H21" s="50">
        <v>30000</v>
      </c>
      <c r="I21" s="64">
        <v>54265.337735674533</v>
      </c>
      <c r="J21" s="64">
        <v>480000</v>
      </c>
      <c r="K21" s="64">
        <v>700000</v>
      </c>
      <c r="L21" s="64">
        <v>70000</v>
      </c>
      <c r="M21" s="71">
        <v>770000</v>
      </c>
    </row>
    <row r="22" spans="1:13" ht="16.5" customHeight="1" x14ac:dyDescent="0.25">
      <c r="A22" s="1" t="s">
        <v>97</v>
      </c>
      <c r="B22" s="45">
        <f>+INVENT2016_2017!J22</f>
        <v>450000</v>
      </c>
      <c r="C22" s="45">
        <f>+INVENT2016_2017!I22</f>
        <v>39090.629774364417</v>
      </c>
      <c r="D22" s="45">
        <f>[11]MVTAOUT!$H22+[11]MVTSEPT!$I22+[11]MVTOCT!$G22+[11]MVTNOV!$G22+[11]MVTDEC!$G22+[11]MVTJANV!$G22+[11]MVTFEV!$G22+[11]MVTMARS!$G22+[11]MVTAVRIL!$G22+[11]MVTMAI!$G22+[11]MVTJUIN!$G22+[11]MVTJUIL!$G22+[11]MVTAOUT2018!$G22</f>
        <v>38000</v>
      </c>
      <c r="E22" s="45">
        <f>+[11]MVTAOUT!$D22+[11]MVTSEPT!$E22+[11]MVTOCT!$C22+[11]MVTNOV!$C22+[11]MVTDEC!$C22+[11]MVTJANV!$C22+[11]MVTFEV!$C22+[11]MVTMARS!$C22+[11]MVTAVRIL!$C22+[11]MVTMAI!$C22+[11]MVTJUIN!$C22+[11]MVTJUIL!$C22</f>
        <v>19797.109500169328</v>
      </c>
      <c r="F22" s="45">
        <f t="shared" si="0"/>
        <v>96887.739274533742</v>
      </c>
      <c r="G22" s="50">
        <v>25000</v>
      </c>
      <c r="H22" s="50">
        <v>30000</v>
      </c>
      <c r="I22" s="64">
        <v>38540.039120105212</v>
      </c>
      <c r="J22" s="64">
        <v>480000</v>
      </c>
      <c r="K22" s="64">
        <v>850000</v>
      </c>
      <c r="L22" s="64">
        <v>51000</v>
      </c>
      <c r="M22" s="71">
        <v>850000</v>
      </c>
    </row>
    <row r="23" spans="1:13" x14ac:dyDescent="0.25">
      <c r="A23" s="1" t="s">
        <v>98</v>
      </c>
      <c r="B23" s="45">
        <f>+INVENT2016_2017!J23</f>
        <v>450000</v>
      </c>
      <c r="C23" s="45">
        <f>+INVENT2016_2017!I23</f>
        <v>36797.235944061853</v>
      </c>
      <c r="D23" s="45">
        <f>[11]MVTAOUT!$H23+[11]MVTSEPT!$I23+[11]MVTOCT!$G23+[11]MVTNOV!$G23+[11]MVTDEC!$G23+[11]MVTJANV!$G23+[11]MVTFEV!$G23+[11]MVTMARS!$G23+[11]MVTAVRIL!$G23+[11]MVTMAI!$G23+[11]MVTJUIN!$G23+[11]MVTJUIL!$G23+[11]MVTAOUT2018!$G23</f>
        <v>39000</v>
      </c>
      <c r="E23" s="45">
        <f>+[11]MVTAOUT!$D23+[11]MVTSEPT!$E23+[11]MVTOCT!$C23+[11]MVTNOV!$C23+[11]MVTDEC!$C23+[11]MVTJANV!$C23+[11]MVTFEV!$C23+[11]MVTMARS!$C23+[11]MVTAVRIL!$C23+[11]MVTMAI!$C23+[11]MVTJUIN!$C23+[11]MVTJUIL!$C23</f>
        <v>19808.169885824143</v>
      </c>
      <c r="F23" s="45">
        <f t="shared" si="0"/>
        <v>95605.405829886004</v>
      </c>
      <c r="G23" s="50">
        <v>25000</v>
      </c>
      <c r="H23" s="50">
        <v>30000</v>
      </c>
      <c r="I23" s="64">
        <v>37258.956490552286</v>
      </c>
      <c r="J23" s="64">
        <v>480000</v>
      </c>
      <c r="K23" s="64">
        <v>150000</v>
      </c>
      <c r="L23" s="64">
        <v>18000</v>
      </c>
      <c r="M23" s="71">
        <v>168000</v>
      </c>
    </row>
    <row r="24" spans="1:13" x14ac:dyDescent="0.25">
      <c r="A24" s="1" t="s">
        <v>99</v>
      </c>
      <c r="B24" s="45">
        <f>+INVENT2016_2017!J24</f>
        <v>450000</v>
      </c>
      <c r="C24" s="45">
        <f>+INVENT2016_2017!I24</f>
        <v>47506.896495311616</v>
      </c>
      <c r="D24" s="45">
        <f>[11]MVTAOUT!$H24+[11]MVTSEPT!$I24+[11]MVTOCT!$G24+[11]MVTNOV!$G24+[11]MVTDEC!$G24+[11]MVTJANV!$G24+[11]MVTFEV!$G24+[11]MVTMARS!$G24+[11]MVTAVRIL!$G24+[11]MVTMAI!$G24+[11]MVTJUIN!$G24+[11]MVTJUIL!$G24+[11]MVTAOUT2018!$G24</f>
        <v>39000</v>
      </c>
      <c r="E24" s="45">
        <f>+[11]MVTAOUT!$D24+[11]MVTSEPT!$E24+[11]MVTOCT!$C24+[11]MVTNOV!$C24+[11]MVTDEC!$C24+[11]MVTJANV!$C24+[11]MVTFEV!$C24+[11]MVTMARS!$C24+[11]MVTAVRIL!$C24+[11]MVTMAI!$C24+[11]MVTJUIN!$C24+[11]MVTJUIL!$C24</f>
        <v>19799.955297849745</v>
      </c>
      <c r="F24" s="45">
        <f t="shared" si="0"/>
        <v>106306.85179316136</v>
      </c>
      <c r="G24" s="50">
        <v>25000</v>
      </c>
      <c r="H24" s="50">
        <v>30000</v>
      </c>
      <c r="I24" s="64">
        <v>47960.495385753471</v>
      </c>
      <c r="J24" s="64">
        <v>480000</v>
      </c>
      <c r="K24" s="64">
        <v>0</v>
      </c>
      <c r="L24" s="64">
        <v>0</v>
      </c>
      <c r="M24" s="71"/>
    </row>
    <row r="25" spans="1:13" x14ac:dyDescent="0.25">
      <c r="A25" s="1" t="s">
        <v>100</v>
      </c>
      <c r="B25" s="45">
        <f>+INVENT2016_2017!J25</f>
        <v>450000</v>
      </c>
      <c r="C25" s="45">
        <f>+INVENT2016_2017!I25</f>
        <v>47549.254632432756</v>
      </c>
      <c r="D25" s="45">
        <f>[11]MVTAOUT!$H25+[11]MVTSEPT!$I25+[11]MVTOCT!$G25+[11]MVTNOV!$G25+[11]MVTDEC!$G25+[11]MVTJANV!$G25+[11]MVTFEV!$G25+[11]MVTMARS!$G25+[11]MVTAVRIL!$G25+[11]MVTMAI!$G25+[11]MVTJUIN!$G25+[11]MVTJUIL!$G25+[11]MVTAOUT2018!$G25</f>
        <v>39000</v>
      </c>
      <c r="E25" s="45">
        <f>+[11]MVTAOUT!$D25+[11]MVTSEPT!$E25+[11]MVTOCT!$C25+[11]MVTNOV!$C25+[11]MVTDEC!$C25+[11]MVTJANV!$C25+[11]MVTFEV!$C25+[11]MVTMARS!$C25+[11]MVTAVRIL!$C25+[11]MVTMAI!$C25+[11]MVTJUIN!$C25+[11]MVTJUIL!$C25</f>
        <v>19804.481050118364</v>
      </c>
      <c r="F25" s="45">
        <f t="shared" si="0"/>
        <v>106353.73568255112</v>
      </c>
      <c r="G25" s="50">
        <v>25000</v>
      </c>
      <c r="H25" s="50">
        <v>30000</v>
      </c>
      <c r="I25" s="64">
        <v>48007.33806725427</v>
      </c>
      <c r="J25" s="64">
        <v>480000</v>
      </c>
      <c r="K25" s="64">
        <v>700000</v>
      </c>
      <c r="L25" s="64">
        <v>35000</v>
      </c>
      <c r="M25" s="71">
        <v>700000</v>
      </c>
    </row>
    <row r="26" spans="1:13" x14ac:dyDescent="0.25">
      <c r="A26" s="1" t="s">
        <v>101</v>
      </c>
      <c r="B26" s="45">
        <f>+INVENT2016_2017!J26</f>
        <v>450000</v>
      </c>
      <c r="C26" s="45">
        <f>+INVENT2016_2017!I26</f>
        <v>47476.113679677859</v>
      </c>
      <c r="D26" s="45">
        <f>[11]MVTAOUT!$H26+[11]MVTSEPT!$I26+[11]MVTOCT!$G26+[11]MVTNOV!$G26+[11]MVTDEC!$G26+[11]MVTJANV!$G26+[11]MVTFEV!$G26+[11]MVTMARS!$G26+[11]MVTAVRIL!$G26+[11]MVTMAI!$G26+[11]MVTJUIN!$G26+[11]MVTJUIL!$G26+[11]MVTAOUT2018!$G26</f>
        <v>104000</v>
      </c>
      <c r="E26" s="45">
        <f>+[11]MVTAOUT!$D26+[11]MVTSEPT!$E26+[11]MVTOCT!$C26+[11]MVTNOV!$C26+[11]MVTDEC!$C26+[11]MVTJANV!$C26+[11]MVTFEV!$C26+[11]MVTMARS!$C26+[11]MVTAVRIL!$C26+[11]MVTMAI!$C26+[11]MVTJUIN!$C26+[11]MVTJUIL!$C26</f>
        <v>20749.50043166359</v>
      </c>
      <c r="F26" s="45">
        <f t="shared" si="0"/>
        <v>172225.61411134145</v>
      </c>
      <c r="G26" s="50">
        <v>25000</v>
      </c>
      <c r="H26" s="50">
        <v>30000</v>
      </c>
      <c r="I26" s="64">
        <v>108869.86906660983</v>
      </c>
      <c r="J26" s="64">
        <v>480000</v>
      </c>
      <c r="K26" s="64">
        <v>0</v>
      </c>
      <c r="L26" s="64">
        <v>0</v>
      </c>
      <c r="M26" s="71"/>
    </row>
    <row r="27" spans="1:13" x14ac:dyDescent="0.25">
      <c r="A27" s="1" t="s">
        <v>102</v>
      </c>
      <c r="B27" s="45">
        <f>+INVENT2016_2017!J27</f>
        <v>450000</v>
      </c>
      <c r="C27" s="45">
        <f>+INVENT2016_2017!I27</f>
        <v>27680.73434003918</v>
      </c>
      <c r="D27" s="45">
        <f>[11]MVTAOUT!$H27+[11]MVTSEPT!$I27+[11]MVTOCT!$G27+[11]MVTNOV!$G27+[11]MVTDEC!$G27+[11]MVTJANV!$G27+[11]MVTFEV!$G27+[11]MVTMARS!$G27+[11]MVTAVRIL!$G27+[11]MVTMAI!$G27+[11]MVTJUIN!$G27+[11]MVTJUIL!$G27+[11]MVTAOUT2018!$G27</f>
        <v>39000</v>
      </c>
      <c r="E27" s="45">
        <f>+[11]MVTAOUT!$D27+[11]MVTSEPT!$E27+[11]MVTOCT!$C27+[11]MVTNOV!$C27+[11]MVTDEC!$C27+[11]MVTJANV!$C27+[11]MVTFEV!$C27+[11]MVTMARS!$C27+[11]MVTAVRIL!$C27+[11]MVTMAI!$C27+[11]MVTJUIN!$C27+[11]MVTJUIL!$C27</f>
        <v>19734.447121784498</v>
      </c>
      <c r="F27" s="45">
        <f t="shared" si="0"/>
        <v>86415.181461823682</v>
      </c>
      <c r="G27" s="50">
        <v>25000</v>
      </c>
      <c r="H27" s="50">
        <v>30000</v>
      </c>
      <c r="I27" s="64">
        <v>28069.686621003944</v>
      </c>
      <c r="J27" s="64">
        <v>480000</v>
      </c>
      <c r="K27" s="64">
        <v>0</v>
      </c>
      <c r="L27" s="64">
        <v>0</v>
      </c>
      <c r="M27" s="71">
        <v>1120000</v>
      </c>
    </row>
    <row r="28" spans="1:13" s="2" customFormat="1" x14ac:dyDescent="0.25">
      <c r="A28" s="1" t="s">
        <v>103</v>
      </c>
      <c r="B28" s="45">
        <f>+INVENT2016_2017!J28</f>
        <v>450000</v>
      </c>
      <c r="C28" s="45">
        <f>+INVENT2016_2017!I28</f>
        <v>47679.518159791274</v>
      </c>
      <c r="D28" s="45">
        <f>[11]MVTAOUT!$H28+[11]MVTSEPT!$I28+[11]MVTOCT!$G28+[11]MVTNOV!$G28+[11]MVTDEC!$G28+[11]MVTJANV!$G28+[11]MVTFEV!$G28+[11]MVTMARS!$G28+[11]MVTAVRIL!$G28+[11]MVTMAI!$G28+[11]MVTJUIN!$G28+[11]MVTJUIL!$G28+[11]MVTAOUT2018!$G28</f>
        <v>105500</v>
      </c>
      <c r="E28" s="45">
        <f>+[11]MVTAOUT!$D28+[11]MVTSEPT!$E28+[11]MVTOCT!$C28+[11]MVTNOV!$C28+[11]MVTDEC!$C28+[11]MVTJANV!$C28+[11]MVTFEV!$C28+[11]MVTMARS!$C28+[11]MVTAVRIL!$C28+[11]MVTMAI!$C28+[11]MVTJUIN!$C28+[11]MVTJUIL!$C28</f>
        <v>22120.769243732229</v>
      </c>
      <c r="F28" s="45">
        <f t="shared" si="0"/>
        <v>175300.28740352351</v>
      </c>
      <c r="G28" s="50">
        <v>25000</v>
      </c>
      <c r="H28" s="50">
        <v>30000</v>
      </c>
      <c r="I28" s="66">
        <v>116909.73407317098</v>
      </c>
      <c r="J28" s="64">
        <v>480000</v>
      </c>
      <c r="K28" s="64">
        <v>0</v>
      </c>
      <c r="L28" s="64">
        <v>0</v>
      </c>
      <c r="M28" s="71"/>
    </row>
    <row r="29" spans="1:13" x14ac:dyDescent="0.25">
      <c r="A29" s="46" t="s">
        <v>104</v>
      </c>
      <c r="B29" s="59">
        <v>30000</v>
      </c>
      <c r="C29" s="59">
        <f>+INVENT2016_2017!I29</f>
        <v>-4174.3496285728761</v>
      </c>
      <c r="D29" s="59">
        <f>[11]MVTAOUT!$H29+[11]MVTSEPT!$I29+[11]MVTOCT!$G29+[11]MVTNOV!$G29+[11]MVTDEC!$G29+[11]MVTJANV!$G29+[11]MVTFEV!$G29+[11]MVTMARS!$G29+[11]MVTAVRIL!$G29+[11]MVTMAI!$G29+[11]MVTJUIN!$G29+[11]MVTJUIL!$G29+[11]MVTAOUT2018!$G29</f>
        <v>0</v>
      </c>
      <c r="E29" s="59">
        <f>+[11]MVTAOUT!$D29+[11]MVTSEPT!$E29+[11]MVTOCT!$C29+[11]MVTNOV!$C29+[11]MVTDEC!$C29+[11]MVTJANV!$C29+[11]MVTFEV!$C29+[11]MVTMARS!$C29+[11]MVTAVRIL!$C29+[11]MVTMAI!$C29+[11]MVTJUIN!$C29+[11]MVTJUIL!$C29</f>
        <v>1237.5906251636579</v>
      </c>
      <c r="F29" s="59">
        <f t="shared" si="0"/>
        <v>-2936.7590034092182</v>
      </c>
      <c r="G29" s="59">
        <v>13234</v>
      </c>
      <c r="H29" s="59">
        <v>0</v>
      </c>
      <c r="I29" s="64">
        <v>0.16689103026692464</v>
      </c>
      <c r="J29" s="64">
        <v>30000</v>
      </c>
      <c r="K29" s="64">
        <v>0</v>
      </c>
      <c r="L29" s="64">
        <v>0</v>
      </c>
      <c r="M29" s="71"/>
    </row>
    <row r="30" spans="1:13" x14ac:dyDescent="0.25">
      <c r="A30" s="1" t="s">
        <v>105</v>
      </c>
      <c r="B30" s="45">
        <f>+INVENT2016_2017!J30</f>
        <v>450000</v>
      </c>
      <c r="C30" s="45">
        <f>+INVENT2016_2017!I30</f>
        <v>93205.63086682024</v>
      </c>
      <c r="D30" s="45">
        <f>[11]MVTAOUT!$H30+[11]MVTSEPT!$I30+[11]MVTOCT!$G30+[11]MVTNOV!$G30+[11]MVTDEC!$G30+[11]MVTJANV!$G30+[11]MVTFEV!$G30+[11]MVTMARS!$G30+[11]MVTAVRIL!$G30+[11]MVTMAI!$G30+[11]MVTJUIN!$G30+[11]MVTJUIL!$G30+[11]MVTAOUT2018!$G30</f>
        <v>39000</v>
      </c>
      <c r="E30" s="45">
        <f>+[11]MVTAOUT!$D30+[11]MVTSEPT!$E30+[11]MVTOCT!$C30+[11]MVTNOV!$C30+[11]MVTDEC!$C30+[11]MVTJANV!$C30+[11]MVTFEV!$C30+[11]MVTMARS!$C30+[11]MVTAVRIL!$C30+[11]MVTMAI!$C30+[11]MVTJUIN!$C30+[11]MVTJUIL!$C30</f>
        <v>19932.623691365428</v>
      </c>
      <c r="F30" s="45">
        <f t="shared" si="0"/>
        <v>152138.25455818564</v>
      </c>
      <c r="G30" s="50">
        <v>25000</v>
      </c>
      <c r="H30" s="50">
        <v>30000</v>
      </c>
      <c r="I30" s="64">
        <v>93790.059870829922</v>
      </c>
      <c r="J30" s="64">
        <v>480000</v>
      </c>
      <c r="K30" s="64">
        <v>500000</v>
      </c>
      <c r="L30" s="64">
        <v>10000</v>
      </c>
      <c r="M30" s="71">
        <v>510000</v>
      </c>
    </row>
    <row r="31" spans="1:13" x14ac:dyDescent="0.25">
      <c r="A31" s="1" t="s">
        <v>106</v>
      </c>
      <c r="B31" s="45">
        <f>+INVENT2016_2017!J31</f>
        <v>450000</v>
      </c>
      <c r="C31" s="45">
        <f>+INVENT2016_2017!I31</f>
        <v>46909.873148318322</v>
      </c>
      <c r="D31" s="45">
        <f>[11]MVTAOUT!$H31+[11]MVTSEPT!$I31+[11]MVTOCT!$G31+[11]MVTNOV!$G31+[11]MVTDEC!$G31+[11]MVTJANV!$G31+[11]MVTFEV!$G31+[11]MVTMARS!$G31+[11]MVTAVRIL!$G31+[11]MVTMAI!$G31+[11]MVTJUIN!$G31+[11]MVTJUIL!$G31+[11]MVTAOUT2018!$G31</f>
        <v>39000</v>
      </c>
      <c r="E31" s="45">
        <f>+[11]MVTAOUT!$D31+[11]MVTSEPT!$E31+[11]MVTOCT!$C31+[11]MVTNOV!$C31+[11]MVTDEC!$C31+[11]MVTJANV!$C31+[11]MVTFEV!$C31+[11]MVTMARS!$C31+[11]MVTAVRIL!$C31+[11]MVTMAI!$C31+[11]MVTJUIN!$C31+[11]MVTJUIL!$C31</f>
        <v>19779.44545784255</v>
      </c>
      <c r="F31" s="45">
        <f t="shared" si="0"/>
        <v>105689.31860616087</v>
      </c>
      <c r="G31" s="50">
        <v>25000</v>
      </c>
      <c r="H31" s="50">
        <v>30000</v>
      </c>
      <c r="I31" s="64">
        <v>47344.768200478837</v>
      </c>
      <c r="J31" s="64">
        <v>480000</v>
      </c>
      <c r="K31" s="64">
        <v>1000000</v>
      </c>
      <c r="L31" s="64">
        <v>90000</v>
      </c>
      <c r="M31" s="71">
        <v>1090000</v>
      </c>
    </row>
    <row r="32" spans="1:13" x14ac:dyDescent="0.25">
      <c r="A32" s="1" t="s">
        <v>107</v>
      </c>
      <c r="B32" s="45">
        <f>+INVENT2016_2017!J32</f>
        <v>450000</v>
      </c>
      <c r="C32" s="45">
        <f>+INVENT2016_2017!I32</f>
        <v>54313.880911556305</v>
      </c>
      <c r="D32" s="45">
        <f>[11]MVTAOUT!$H32+[11]MVTSEPT!$I32+[11]MVTOCT!$G32+[11]MVTNOV!$G32+[11]MVTDEC!$G32+[11]MVTJANV!$G32+[11]MVTFEV!$G32+[11]MVTMARS!$G32+[11]MVTAVRIL!$G32+[11]MVTMAI!$G32+[11]MVTJUIN!$G32+[11]MVTJUIL!$G32+[11]MVTAOUT2018!$G32</f>
        <v>378000</v>
      </c>
      <c r="E32" s="45">
        <f>+[11]MVTAOUT!$D32+[11]MVTSEPT!$E32+[11]MVTOCT!$C32+[11]MVTNOV!$C32+[11]MVTDEC!$C32+[11]MVTJANV!$C32+[11]MVTFEV!$C32+[11]MVTMARS!$C32+[11]MVTAVRIL!$C32+[11]MVTMAI!$C32+[11]MVTJUIN!$C32+[11]MVTJUIL!$C32</f>
        <v>27722.469576251013</v>
      </c>
      <c r="F32" s="45">
        <f t="shared" si="0"/>
        <v>460036.3504878073</v>
      </c>
      <c r="G32" s="50">
        <v>25000</v>
      </c>
      <c r="H32" s="50">
        <v>30000</v>
      </c>
      <c r="I32" s="64">
        <v>398570.30038316268</v>
      </c>
      <c r="J32" s="64">
        <v>480000</v>
      </c>
      <c r="K32" s="64">
        <v>500000</v>
      </c>
      <c r="L32" s="64">
        <v>50000</v>
      </c>
      <c r="M32" s="71">
        <v>550000</v>
      </c>
    </row>
    <row r="33" spans="1:13" x14ac:dyDescent="0.25">
      <c r="A33" s="1" t="s">
        <v>108</v>
      </c>
      <c r="B33" s="45">
        <f>+INVENT2016_2017!J33</f>
        <v>450000</v>
      </c>
      <c r="C33" s="45">
        <f>+INVENT2016_2017!I33</f>
        <v>50017.733013545163</v>
      </c>
      <c r="D33" s="45">
        <f>[11]MVTAOUT!$H33+[11]MVTSEPT!$I33+[11]MVTOCT!$G33+[11]MVTNOV!$G33+[11]MVTDEC!$G33+[11]MVTJANV!$G33+[11]MVTFEV!$G33+[11]MVTMARS!$G33+[11]MVTAVRIL!$G33+[11]MVTMAI!$G33+[11]MVTJUIN!$G33+[11]MVTJUIL!$G33+[11]MVTAOUT2018!$G33</f>
        <v>104000</v>
      </c>
      <c r="E33" s="45">
        <f>+[11]MVTAOUT!$D33+[11]MVTSEPT!$E33+[11]MVTOCT!$C33+[11]MVTNOV!$C33+[11]MVTDEC!$C33+[11]MVTJANV!$C33+[11]MVTFEV!$C33+[11]MVTMARS!$C33+[11]MVTAVRIL!$C33+[11]MVTMAI!$C33+[11]MVTJUIN!$C33+[11]MVTJUIL!$C33</f>
        <v>21092.066749094622</v>
      </c>
      <c r="F33" s="45">
        <f t="shared" si="0"/>
        <v>175109.7997626398</v>
      </c>
      <c r="G33" s="50">
        <v>25000</v>
      </c>
      <c r="H33" s="50">
        <v>30000</v>
      </c>
      <c r="I33" s="64">
        <v>106749.2504758992</v>
      </c>
      <c r="J33" s="64">
        <v>480000</v>
      </c>
      <c r="K33" s="64">
        <v>0</v>
      </c>
      <c r="L33" s="64">
        <v>0</v>
      </c>
      <c r="M33" s="71"/>
    </row>
    <row r="34" spans="1:13" x14ac:dyDescent="0.25">
      <c r="A34" s="1"/>
      <c r="B34" s="45"/>
      <c r="C34" s="45"/>
      <c r="D34" s="45"/>
      <c r="E34" s="45"/>
      <c r="F34" s="45"/>
      <c r="G34" s="50"/>
      <c r="H34" s="50"/>
      <c r="I34" s="64"/>
      <c r="J34" s="64"/>
      <c r="K34" s="64">
        <v>2000000</v>
      </c>
      <c r="L34" s="64">
        <v>140000</v>
      </c>
      <c r="M34" s="71">
        <v>1040000</v>
      </c>
    </row>
    <row r="35" spans="1:13" x14ac:dyDescent="0.25">
      <c r="A35" s="1"/>
      <c r="B35" s="45"/>
      <c r="C35" s="45"/>
      <c r="D35" s="45"/>
      <c r="E35" s="45"/>
      <c r="F35" s="45"/>
      <c r="G35" s="50"/>
      <c r="H35" s="50"/>
      <c r="I35" s="64"/>
      <c r="J35" s="64"/>
      <c r="K35" s="64">
        <v>0</v>
      </c>
      <c r="L35" s="64">
        <v>0</v>
      </c>
      <c r="M35" s="71">
        <v>84000</v>
      </c>
    </row>
    <row r="36" spans="1:13" x14ac:dyDescent="0.25">
      <c r="A36" s="1"/>
      <c r="B36" s="45"/>
      <c r="C36" s="45"/>
      <c r="D36" s="45"/>
      <c r="E36" s="45"/>
      <c r="F36" s="45"/>
      <c r="G36" s="50"/>
      <c r="H36" s="50"/>
      <c r="I36" s="64"/>
      <c r="J36" s="64"/>
      <c r="K36" s="64">
        <v>0</v>
      </c>
      <c r="L36" s="64">
        <v>0</v>
      </c>
      <c r="M36" s="71">
        <v>1120000</v>
      </c>
    </row>
    <row r="37" spans="1:13" x14ac:dyDescent="0.25">
      <c r="A37" s="1" t="s">
        <v>112</v>
      </c>
      <c r="B37" s="45">
        <f>+INVENT2016_2017!J37</f>
        <v>450000</v>
      </c>
      <c r="C37" s="45">
        <f>+INVENT2016_2017!I37</f>
        <v>47164.657594173732</v>
      </c>
      <c r="D37" s="45">
        <f>[11]MVTAOUT!$H35+[11]MVTSEPT!$I35+[11]MVTOCT!$G35+[11]MVTNOV!$G35+[11]MVTDEC!$G35+[11]MVTJANV!$G35+[11]MVTFEV!$G35+[11]MVTMARS!$G35+[11]MVTAVRIL!$G35+[11]MVTMAI!$G35+[11]MVTJUIN!$G35+[11]MVTJUIL!$G35+[11]MVTAOUT2018!$G35</f>
        <v>39000</v>
      </c>
      <c r="E37" s="45">
        <f>+[11]MVTAOUT!$D35+[11]MVTSEPT!$E35+[11]MVTOCT!$C35+[11]MVTNOV!$C35+[11]MVTDEC!$C35+[11]MVTJANV!$C35+[11]MVTFEV!$C35+[11]MVTMARS!$C35+[11]MVTAVRIL!$C35+[11]MVTMAI!$C35+[11]MVTJUIN!$C35+[11]MVTJUIL!$C35</f>
        <v>19803.637745363583</v>
      </c>
      <c r="F37" s="45">
        <f t="shared" si="0"/>
        <v>105968.29533953732</v>
      </c>
      <c r="G37" s="50">
        <v>25000</v>
      </c>
      <c r="H37" s="50">
        <v>30000</v>
      </c>
      <c r="I37" s="64">
        <v>47621.909264535017</v>
      </c>
      <c r="J37" s="64">
        <v>480000</v>
      </c>
      <c r="K37" s="64">
        <v>0</v>
      </c>
      <c r="L37" s="64">
        <v>0</v>
      </c>
      <c r="M37" s="71">
        <v>293000</v>
      </c>
    </row>
    <row r="38" spans="1:13" x14ac:dyDescent="0.25">
      <c r="A38" s="1" t="s">
        <v>113</v>
      </c>
      <c r="B38" s="45">
        <f>+INVENT2016_2017!J38</f>
        <v>450000</v>
      </c>
      <c r="C38" s="45">
        <f>+INVENT2016_2017!I38</f>
        <v>39428.86927142147</v>
      </c>
      <c r="D38" s="45">
        <f>[11]MVTAOUT!$H36+[11]MVTSEPT!$I36+[11]MVTOCT!$G36+[11]MVTNOV!$G36+[11]MVTDEC!$G36+[11]MVTJANV!$G36+[11]MVTFEV!$G36+[11]MVTMARS!$G36+[11]MVTAVRIL!$G36+[11]MVTMAI!$G36+[11]MVTJUIN!$G36+[11]MVTJUIL!$G36+[11]MVTAOUT2018!$G36</f>
        <v>39000</v>
      </c>
      <c r="E38" s="45">
        <f>+[11]MVTAOUT!$D36+[11]MVTSEPT!$E36+[11]MVTOCT!$C36+[11]MVTNOV!$C36+[11]MVTDEC!$C36+[11]MVTJANV!$C36+[11]MVTFEV!$C36+[11]MVTMARS!$C36+[11]MVTAVRIL!$C36+[11]MVTMAI!$C36+[11]MVTJUIN!$C36+[11]MVTJUIL!$C36</f>
        <v>19818.304035514146</v>
      </c>
      <c r="F38" s="45">
        <f t="shared" si="0"/>
        <v>98247.173306935612</v>
      </c>
      <c r="G38" s="50">
        <v>25000</v>
      </c>
      <c r="H38" s="50">
        <v>30000</v>
      </c>
      <c r="I38" s="64">
        <v>39900.581584462649</v>
      </c>
      <c r="J38" s="64">
        <v>480000</v>
      </c>
      <c r="K38" s="64">
        <v>287100</v>
      </c>
      <c r="L38" s="64">
        <v>23200</v>
      </c>
      <c r="M38" s="71">
        <v>287100</v>
      </c>
    </row>
    <row r="39" spans="1:13" x14ac:dyDescent="0.25">
      <c r="A39" s="46" t="s">
        <v>114</v>
      </c>
      <c r="B39" s="59">
        <v>344000</v>
      </c>
      <c r="C39" s="59">
        <f>+INVENT2016_2017!I39</f>
        <v>42886.780925128507</v>
      </c>
      <c r="D39" s="59">
        <f>[11]MVTAOUT!$H37+[11]MVTSEPT!$I37+[11]MVTOCT!$G37+[11]MVTNOV!$G37+[11]MVTDEC!$G37+[11]MVTJANV!$G37+[11]MVTFEV!$G37+[11]MVTMARS!$G37+[11]MVTAVRIL!$G37+[11]MVTMAI!$G37+[11]MVTJUIN!$G37+[11]MVTJUIL!$G37+[11]MVTAOUT2018!$G37</f>
        <v>21000</v>
      </c>
      <c r="E39" s="59">
        <f>+[11]MVTAOUT!$D37+[11]MVTSEPT!$E37+[11]MVTOCT!$C37+[11]MVTNOV!$C37+[11]MVTDEC!$C37+[11]MVTJANV!$C37+[11]MVTFEV!$C37+[11]MVTMARS!$C37+[11]MVTAVRIL!$C37+[11]MVTMAI!$C37+[11]MVTJUIN!$C37+[11]MVTJUIL!$C37</f>
        <v>18455.378671453702</v>
      </c>
      <c r="F39" s="59">
        <f t="shared" si="0"/>
        <v>82342.159596582205</v>
      </c>
      <c r="G39" s="59">
        <v>25000</v>
      </c>
      <c r="H39" s="59">
        <v>30000</v>
      </c>
      <c r="I39" s="64">
        <v>23969.540810942752</v>
      </c>
      <c r="J39" s="64">
        <v>344000</v>
      </c>
      <c r="K39" s="64">
        <v>0</v>
      </c>
      <c r="L39" s="64">
        <v>0</v>
      </c>
      <c r="M39" s="71"/>
    </row>
    <row r="40" spans="1:13" s="2" customFormat="1" x14ac:dyDescent="0.25">
      <c r="A40" s="1" t="s">
        <v>115</v>
      </c>
      <c r="B40" s="45">
        <f>+INVENT2016_2017!J40</f>
        <v>450000</v>
      </c>
      <c r="C40" s="45">
        <f>+INVENT2016_2017!I40</f>
        <v>53965.469479387291</v>
      </c>
      <c r="D40" s="45">
        <f>[11]MVTAOUT!$H38+[11]MVTSEPT!$I38+[11]MVTOCT!$G38+[11]MVTNOV!$G38+[11]MVTDEC!$G38+[11]MVTJANV!$G38+[11]MVTFEV!$G38+[11]MVTMARS!$G38+[11]MVTAVRIL!$G38+[11]MVTMAI!$G38+[11]MVTJUIN!$G38+[11]MVTJUIL!$G38+[11]MVTAOUT2018!$G38</f>
        <v>39000</v>
      </c>
      <c r="E40" s="45">
        <f>+[11]MVTAOUT!$D38+[11]MVTSEPT!$E38+[11]MVTOCT!$C38+[11]MVTNOV!$C38+[11]MVTDEC!$C38+[11]MVTJANV!$C38+[11]MVTFEV!$C38+[11]MVTMARS!$C38+[11]MVTAVRIL!$C38+[11]MVTMAI!$C38+[11]MVTJUIN!$C38+[11]MVTJUIL!$C38</f>
        <v>19811.994996173344</v>
      </c>
      <c r="F40" s="45">
        <f t="shared" si="0"/>
        <v>112777.46447556064</v>
      </c>
      <c r="G40" s="50">
        <v>25000</v>
      </c>
      <c r="H40" s="50">
        <v>30000</v>
      </c>
      <c r="I40" s="66">
        <v>54430.961217039323</v>
      </c>
      <c r="J40" s="64">
        <v>480000</v>
      </c>
      <c r="K40" s="64">
        <v>0</v>
      </c>
      <c r="L40" s="64">
        <v>0</v>
      </c>
      <c r="M40" s="71"/>
    </row>
    <row r="41" spans="1:13" x14ac:dyDescent="0.25">
      <c r="A41" s="1" t="s">
        <v>116</v>
      </c>
      <c r="B41" s="45">
        <f>+INVENT2016_2017!J41</f>
        <v>450000</v>
      </c>
      <c r="C41" s="45">
        <f>+INVENT2016_2017!I41</f>
        <v>49454.029566398589</v>
      </c>
      <c r="D41" s="45">
        <f>[11]MVTAOUT!$H39+[11]MVTSEPT!$I39+[11]MVTOCT!$G39+[11]MVTNOV!$G39+[11]MVTDEC!$G39+[11]MVTJANV!$G39+[11]MVTFEV!$G39+[11]MVTMARS!$G39+[11]MVTAVRIL!$G39+[11]MVTMAI!$G39+[11]MVTJUIN!$G39+[11]MVTJUIL!$G39+[11]MVTAOUT2018!$G39</f>
        <v>39000</v>
      </c>
      <c r="E41" s="45">
        <f>+[11]MVTAOUT!$D39+[11]MVTSEPT!$E39+[11]MVTOCT!$C39+[11]MVTNOV!$C39+[11]MVTDEC!$C39+[11]MVTJANV!$C39+[11]MVTFEV!$C39+[11]MVTMARS!$C39+[11]MVTAVRIL!$C39+[11]MVTMAI!$C39+[11]MVTJUIN!$C39+[11]MVTJUIL!$C39</f>
        <v>19810.67290649606</v>
      </c>
      <c r="F41" s="45">
        <f t="shared" si="0"/>
        <v>108264.70247289466</v>
      </c>
      <c r="G41" s="50">
        <v>25000</v>
      </c>
      <c r="H41" s="50">
        <v>30000</v>
      </c>
      <c r="I41" s="64">
        <v>49918.217752421828</v>
      </c>
      <c r="J41" s="64">
        <v>480000</v>
      </c>
      <c r="K41" s="64">
        <v>0</v>
      </c>
      <c r="L41" s="64">
        <v>0</v>
      </c>
      <c r="M41" s="71"/>
    </row>
    <row r="42" spans="1:13" x14ac:dyDescent="0.25">
      <c r="A42" s="1" t="s">
        <v>117</v>
      </c>
      <c r="B42" s="45">
        <f>+INVENT2016_2017!J42</f>
        <v>450000</v>
      </c>
      <c r="C42" s="45">
        <f>+INVENT2016_2017!I42</f>
        <v>152184.30617585612</v>
      </c>
      <c r="D42" s="45">
        <f>[11]MVTAOUT!$H40+[11]MVTSEPT!$I40+[11]MVTOCT!$G40+[11]MVTNOV!$G40+[11]MVTDEC!$G40+[11]MVTJANV!$G40+[11]MVTFEV!$G40+[11]MVTMARS!$G40+[11]MVTAVRIL!$G40+[11]MVTMAI!$G40+[11]MVTJUIN!$G40+[11]MVTJUIL!$G40+[11]MVTAOUT2018!$G40</f>
        <v>119000</v>
      </c>
      <c r="E42" s="45">
        <f>+[11]MVTAOUT!$D40+[11]MVTSEPT!$E40+[11]MVTOCT!$C40+[11]MVTNOV!$C40+[11]MVTDEC!$C40+[11]MVTJANV!$C40+[11]MVTFEV!$C40+[11]MVTMARS!$C40+[11]MVTAVRIL!$C40+[11]MVTMAI!$C40+[11]MVTJUIN!$C40+[11]MVTJUIL!$C40</f>
        <v>20955.294945149803</v>
      </c>
      <c r="F42" s="45">
        <f t="shared" si="0"/>
        <v>292139.60112100595</v>
      </c>
      <c r="G42" s="50">
        <v>25000</v>
      </c>
      <c r="H42" s="50">
        <v>30000</v>
      </c>
      <c r="I42" s="64">
        <v>218781.76436382829</v>
      </c>
      <c r="J42" s="64">
        <v>480000</v>
      </c>
      <c r="K42" s="64">
        <v>0</v>
      </c>
      <c r="L42" s="64">
        <v>0</v>
      </c>
      <c r="M42" s="71">
        <v>851500</v>
      </c>
    </row>
    <row r="43" spans="1:13" s="2" customFormat="1" x14ac:dyDescent="0.25">
      <c r="A43" s="1" t="s">
        <v>118</v>
      </c>
      <c r="B43" s="45">
        <f>+INVENT2016_2017!J43</f>
        <v>450000</v>
      </c>
      <c r="C43" s="45">
        <f>+INVENT2016_2017!I43</f>
        <v>50378.24403085652</v>
      </c>
      <c r="D43" s="45">
        <f>[11]MVTAOUT!$H41+[11]MVTSEPT!$I41+[11]MVTOCT!$G41+[11]MVTNOV!$G41+[11]MVTDEC!$G41+[11]MVTJANV!$G41+[11]MVTFEV!$G41+[11]MVTMARS!$G41+[11]MVTAVRIL!$G41+[11]MVTMAI!$G41+[11]MVTJUIN!$G41+[11]MVTJUIL!$G41+[11]MVTAOUT2018!$G41</f>
        <v>39000</v>
      </c>
      <c r="E43" s="45">
        <f>+[11]MVTAOUT!$D41+[11]MVTSEPT!$E41+[11]MVTOCT!$C41+[11]MVTNOV!$C41+[11]MVTDEC!$C41+[11]MVTJANV!$C41+[11]MVTFEV!$C41+[11]MVTMARS!$C41+[11]MVTAVRIL!$C41+[11]MVTMAI!$C41+[11]MVTJUIN!$C41+[11]MVTJUIL!$C41</f>
        <v>18511.984246124382</v>
      </c>
      <c r="F43" s="45">
        <f t="shared" si="0"/>
        <v>107890.22827698091</v>
      </c>
      <c r="G43" s="50">
        <v>25000</v>
      </c>
      <c r="H43" s="50">
        <v>30000</v>
      </c>
      <c r="I43" s="66">
        <v>49566.689852285839</v>
      </c>
      <c r="J43" s="64">
        <v>480000</v>
      </c>
      <c r="K43" s="64">
        <v>0</v>
      </c>
      <c r="L43" s="64">
        <v>0</v>
      </c>
      <c r="M43" s="71"/>
    </row>
    <row r="44" spans="1:13" x14ac:dyDescent="0.25">
      <c r="A44" s="46" t="s">
        <v>119</v>
      </c>
      <c r="B44" s="59">
        <v>50000</v>
      </c>
      <c r="C44" s="59">
        <f>+INVENT2016_2017!I44</f>
        <v>0</v>
      </c>
      <c r="D44" s="59">
        <f>[11]MVTAOUT!$H42+[11]MVTSEPT!$I42+[11]MVTOCT!$G42+[11]MVTNOV!$G42+[11]MVTDEC!$G42+[11]MVTJANV!$G42+[11]MVTFEV!$G42+[11]MVTMARS!$G42+[11]MVTAVRIL!$G42+[11]MVTMAI!$G42+[11]MVTJUIN!$G42+[11]MVTJUIL!$G42+[11]MVTAOUT2018!$G42</f>
        <v>0</v>
      </c>
      <c r="E44" s="59">
        <f>+[11]MVTAOUT!$D42+[11]MVTSEPT!$E42+[11]MVTOCT!$C42+[11]MVTNOV!$C42+[11]MVTDEC!$C42+[11]MVTJANV!$C42+[11]MVTFEV!$C42+[11]MVTMARS!$C42+[11]MVTAVRIL!$C42+[11]MVTMAI!$C42+[11]MVTJUIN!$C42+[11]MVTJUIL!$C42</f>
        <v>2156.6179161802906</v>
      </c>
      <c r="F44" s="59">
        <f t="shared" si="0"/>
        <v>2156.6179161802906</v>
      </c>
      <c r="G44" s="59">
        <v>9055</v>
      </c>
      <c r="H44" s="59">
        <v>30000</v>
      </c>
      <c r="I44" s="64">
        <v>-0.18534142136923037</v>
      </c>
      <c r="J44" s="64">
        <v>50000</v>
      </c>
      <c r="K44" s="64">
        <v>1000000</v>
      </c>
      <c r="L44" s="64">
        <v>30000</v>
      </c>
      <c r="M44" s="71">
        <v>1885600</v>
      </c>
    </row>
    <row r="45" spans="1:13" x14ac:dyDescent="0.25">
      <c r="A45" s="1" t="s">
        <v>120</v>
      </c>
      <c r="B45" s="45">
        <f>+INVENT2016_2017!J45</f>
        <v>450000</v>
      </c>
      <c r="C45" s="45">
        <f>+INVENT2016_2017!I45</f>
        <v>47556.520766033747</v>
      </c>
      <c r="D45" s="45">
        <f>[11]MVTAOUT!$H43+[11]MVTSEPT!$I43+[11]MVTOCT!$G43+[11]MVTNOV!$G43+[11]MVTDEC!$G43+[11]MVTJANV!$G43+[11]MVTFEV!$G43+[11]MVTMARS!$G43+[11]MVTAVRIL!$G43+[11]MVTMAI!$G43+[11]MVTJUIN!$G43+[11]MVTJUIL!$G43+[11]MVTAOUT2018!$G43</f>
        <v>39000</v>
      </c>
      <c r="E45" s="45">
        <f>+[11]MVTAOUT!$D43+[11]MVTSEPT!$E43+[11]MVTOCT!$C43+[11]MVTNOV!$C43+[11]MVTDEC!$C43+[11]MVTJANV!$C43+[11]MVTFEV!$C43+[11]MVTMARS!$C43+[11]MVTAVRIL!$C43+[11]MVTMAI!$C43+[11]MVTJUIN!$C43+[11]MVTJUIL!$C43</f>
        <v>19804.254263865943</v>
      </c>
      <c r="F45" s="45">
        <f t="shared" si="0"/>
        <v>106360.7750298997</v>
      </c>
      <c r="G45" s="50">
        <v>25000</v>
      </c>
      <c r="H45" s="50">
        <v>30000</v>
      </c>
      <c r="I45" s="64">
        <v>48014.380310211563</v>
      </c>
      <c r="J45" s="64">
        <v>480000</v>
      </c>
      <c r="K45" s="64">
        <v>0</v>
      </c>
      <c r="L45" s="64">
        <v>0</v>
      </c>
      <c r="M45" s="71">
        <v>0</v>
      </c>
    </row>
    <row r="46" spans="1:13" x14ac:dyDescent="0.25">
      <c r="A46" s="1" t="s">
        <v>121</v>
      </c>
      <c r="B46" s="45">
        <f>+INVENT2016_2017!J46</f>
        <v>450000</v>
      </c>
      <c r="C46" s="45">
        <f>+INVENT2016_2017!I46</f>
        <v>115459.90375955624</v>
      </c>
      <c r="D46" s="45">
        <f>[11]MVTAOUT!$H44+[11]MVTSEPT!$I44+[11]MVTOCT!$G44+[11]MVTNOV!$G44+[11]MVTDEC!$G44+[11]MVTJANV!$G44+[11]MVTFEV!$G44+[11]MVTMARS!$G44+[11]MVTAVRIL!$G44+[11]MVTMAI!$G44+[11]MVTJUIN!$G44+[11]MVTJUIL!$G44+[11]MVTAOUT2018!$G44</f>
        <v>24000</v>
      </c>
      <c r="E46" s="45">
        <f>+[11]MVTAOUT!$D44+[11]MVTSEPT!$E44+[11]MVTOCT!$C44+[11]MVTNOV!$C44+[11]MVTDEC!$C44+[11]MVTJANV!$C44+[11]MVTFEV!$C44+[11]MVTMARS!$C44+[11]MVTAVRIL!$C44+[11]MVTMAI!$C44+[11]MVTJUIN!$C44+[11]MVTJUIL!$C44</f>
        <v>19340.450643409094</v>
      </c>
      <c r="F46" s="45">
        <f t="shared" si="0"/>
        <v>158800.35440296534</v>
      </c>
      <c r="G46" s="50">
        <v>25000</v>
      </c>
      <c r="H46" s="50">
        <v>30000</v>
      </c>
      <c r="I46" s="64">
        <v>103458.85763106972</v>
      </c>
      <c r="J46" s="64">
        <v>480000</v>
      </c>
      <c r="K46" s="64">
        <v>0</v>
      </c>
      <c r="L46" s="64">
        <v>0</v>
      </c>
      <c r="M46" s="71"/>
    </row>
    <row r="47" spans="1:13" x14ac:dyDescent="0.25">
      <c r="A47" s="46" t="s">
        <v>122</v>
      </c>
      <c r="B47" s="59">
        <v>30000</v>
      </c>
      <c r="C47" s="59">
        <f>+INVENT2016_2017!I47</f>
        <v>0</v>
      </c>
      <c r="D47" s="59">
        <f>[11]MVTAOUT!$H45+[11]MVTSEPT!$I45+[11]MVTOCT!$G45+[11]MVTNOV!$G45+[11]MVTDEC!$G45+[11]MVTJANV!$G45+[11]MVTFEV!$G45+[11]MVTMARS!$G45+[11]MVTAVRIL!$G45+[11]MVTMAI!$G45+[11]MVTJUIN!$G45+[11]MVTJUIL!$G45+[11]MVTAOUT2018!$G45</f>
        <v>0</v>
      </c>
      <c r="E47" s="59">
        <f>+[11]MVTAOUT!$D45+[11]MVTSEPT!$E45+[11]MVTOCT!$C45+[11]MVTNOV!$C45+[11]MVTDEC!$C45+[11]MVTJANV!$C45+[11]MVTFEV!$C45+[11]MVTMARS!$C45+[11]MVTAVRIL!$C45+[11]MVTMAI!$C45+[11]MVTJUIN!$C45+[11]MVTJUIL!$C45</f>
        <v>1204.9540346265594</v>
      </c>
      <c r="F47" s="59">
        <f t="shared" si="0"/>
        <v>1204.9540346265594</v>
      </c>
      <c r="G47" s="59">
        <v>7540</v>
      </c>
      <c r="H47" s="59">
        <v>0</v>
      </c>
      <c r="I47" s="64">
        <v>-0.32297666614340415</v>
      </c>
      <c r="J47" s="64">
        <v>30000</v>
      </c>
      <c r="K47" s="64">
        <v>0</v>
      </c>
      <c r="L47" s="64">
        <v>0</v>
      </c>
      <c r="M47" s="71"/>
    </row>
    <row r="48" spans="1:13" s="49" customFormat="1" x14ac:dyDescent="0.25">
      <c r="A48" s="1" t="s">
        <v>123</v>
      </c>
      <c r="B48" s="45">
        <f>+INVENT2016_2017!J48</f>
        <v>450000</v>
      </c>
      <c r="C48" s="45">
        <f>+INVENT2016_2017!I48</f>
        <v>64088.864806082551</v>
      </c>
      <c r="D48" s="45">
        <f>[11]MVTAOUT!$H46+[11]MVTSEPT!$I46+[11]MVTOCT!$G46+[11]MVTNOV!$G46+[11]MVTDEC!$G46+[11]MVTJANV!$G46+[11]MVTFEV!$G46+[11]MVTMARS!$G46+[11]MVTAVRIL!$G46+[11]MVTMAI!$G46+[11]MVTJUIN!$G46+[11]MVTJUIL!$G46+[11]MVTAOUT2018!$G46</f>
        <v>36000</v>
      </c>
      <c r="E48" s="45">
        <f>+[11]MVTAOUT!$D46+[11]MVTSEPT!$E46+[11]MVTOCT!$C46+[11]MVTNOV!$C46+[11]MVTDEC!$C46+[11]MVTJANV!$C46+[11]MVTFEV!$C46+[11]MVTMARS!$C46+[11]MVTAVRIL!$C46+[11]MVTMAI!$C46+[11]MVTJUIN!$C46+[11]MVTJUIL!$C46</f>
        <v>19893.285598644401</v>
      </c>
      <c r="F48" s="45">
        <f t="shared" si="0"/>
        <v>119982.15040472696</v>
      </c>
      <c r="G48" s="50">
        <v>25000</v>
      </c>
      <c r="H48" s="50">
        <v>30000</v>
      </c>
      <c r="I48" s="65">
        <v>61634.583695258349</v>
      </c>
      <c r="J48" s="64">
        <v>480000</v>
      </c>
      <c r="K48" s="64">
        <v>1000000</v>
      </c>
      <c r="L48" s="64">
        <v>60000</v>
      </c>
      <c r="M48" s="71">
        <v>1060000</v>
      </c>
    </row>
    <row r="49" spans="1:16374" s="49" customFormat="1" x14ac:dyDescent="0.25">
      <c r="A49" s="4" t="s">
        <v>124</v>
      </c>
      <c r="B49" s="45">
        <f>+INVENT2016_2017!J49</f>
        <v>450000</v>
      </c>
      <c r="C49" s="45">
        <f>+INVENT2016_2017!I49</f>
        <v>52395.568882973399</v>
      </c>
      <c r="D49" s="45">
        <f>[11]MVTAOUT!$H47+[11]MVTSEPT!$I47+[11]MVTOCT!$G47+[11]MVTNOV!$G47+[11]MVTDEC!$G47+[11]MVTJANV!$G47+[11]MVTFEV!$G47+[11]MVTMARS!$G47+[11]MVTAVRIL!$G47+[11]MVTMAI!$G47+[11]MVTJUIN!$G47+[11]MVTJUIL!$G47+[11]MVTAOUT2018!$G47</f>
        <v>0</v>
      </c>
      <c r="E49" s="45">
        <f>+[11]MVTAOUT!$D47+[11]MVTSEPT!$E47+[11]MVTOCT!$C47+[11]MVTNOV!$C47+[11]MVTDEC!$C47+[11]MVTJANV!$C47+[11]MVTFEV!$C47+[11]MVTMARS!$C47+[11]MVTAVRIL!$C47+[11]MVTMAI!$C47+[11]MVTJUIN!$C47+[11]MVTJUIL!$C47</f>
        <v>19295.137072066729</v>
      </c>
      <c r="F49" s="45">
        <f t="shared" si="0"/>
        <v>71690.705955040132</v>
      </c>
      <c r="G49" s="50">
        <v>25000</v>
      </c>
      <c r="H49" s="50">
        <v>30000</v>
      </c>
      <c r="I49" s="65">
        <v>16349.158191342794</v>
      </c>
      <c r="J49" s="64">
        <v>480000</v>
      </c>
      <c r="K49" s="64">
        <v>0</v>
      </c>
      <c r="L49" s="64">
        <v>0</v>
      </c>
      <c r="M49" s="71"/>
    </row>
    <row r="50" spans="1:16374" x14ac:dyDescent="0.25">
      <c r="A50" s="1" t="s">
        <v>125</v>
      </c>
      <c r="B50" s="45">
        <f>+INVENT2016_2017!J50</f>
        <v>450000</v>
      </c>
      <c r="C50" s="45">
        <f>+INVENT2016_2017!I50</f>
        <v>460575.58364179294</v>
      </c>
      <c r="D50" s="45">
        <f>[11]MVTAOUT!$H48+[11]MVTSEPT!$I48+[11]MVTOCT!$G48+[11]MVTNOV!$G48+[11]MVTDEC!$G48+[11]MVTJANV!$G48+[11]MVTFEV!$G48+[11]MVTMARS!$G48+[11]MVTAVRIL!$G48+[11]MVTMAI!$G48+[11]MVTJUIN!$G48+[11]MVTJUIL!$G48+[11]MVTAOUT2018!$G48</f>
        <v>39000</v>
      </c>
      <c r="E50" s="45">
        <f>+[11]MVTAOUT!$D48+[11]MVTSEPT!$E48+[11]MVTOCT!$C48+[11]MVTNOV!$C48+[11]MVTDEC!$C48+[11]MVTJANV!$C48+[11]MVTFEV!$C48+[11]MVTMARS!$C48+[11]MVTAVRIL!$C48+[11]MVTMAI!$C48+[11]MVTJUIN!$C48+[11]MVTJUIL!$C48</f>
        <v>21144.59288881634</v>
      </c>
      <c r="F50" s="45">
        <f t="shared" si="0"/>
        <v>520720.17653060926</v>
      </c>
      <c r="G50" s="50">
        <v>25000</v>
      </c>
      <c r="H50" s="50">
        <v>30000</v>
      </c>
      <c r="I50" s="64">
        <v>462354.98787972139</v>
      </c>
      <c r="J50" s="64">
        <v>480000</v>
      </c>
      <c r="K50" s="64">
        <v>0</v>
      </c>
      <c r="L50" s="64">
        <v>0</v>
      </c>
      <c r="M50" s="71"/>
    </row>
    <row r="51" spans="1:16374" x14ac:dyDescent="0.25">
      <c r="A51" s="1" t="s">
        <v>126</v>
      </c>
      <c r="B51" s="45">
        <f>+INVENT2016_2017!J51</f>
        <v>450000</v>
      </c>
      <c r="C51" s="45">
        <f>+INVENT2016_2017!I51</f>
        <v>1205652.8231027098</v>
      </c>
      <c r="D51" s="45">
        <f>[11]MVTAOUT!$H49+[11]MVTSEPT!$I49+[11]MVTOCT!$G49+[11]MVTNOV!$G49+[11]MVTDEC!$G49+[11]MVTJANV!$G49+[11]MVTFEV!$G49+[11]MVTMARS!$G49+[11]MVTAVRIL!$G49+[11]MVTMAI!$G49+[11]MVTJUIN!$G49+[11]MVTJUIL!$G49+[11]MVTAOUT2018!$G49</f>
        <v>39000</v>
      </c>
      <c r="E51" s="45">
        <f>+[11]MVTAOUT!$D49+[11]MVTSEPT!$E49+[11]MVTOCT!$C49+[11]MVTNOV!$C49+[11]MVTDEC!$C49+[11]MVTJANV!$C49+[11]MVTFEV!$C49+[11]MVTMARS!$C49+[11]MVTAVRIL!$C49+[11]MVTMAI!$C49+[11]MVTJUIN!$C49+[11]MVTJUIL!$C49</f>
        <v>23501.827988491023</v>
      </c>
      <c r="F51" s="45">
        <f t="shared" si="0"/>
        <v>1268154.6510912008</v>
      </c>
      <c r="G51" s="50">
        <v>25000</v>
      </c>
      <c r="H51" s="50">
        <v>30000</v>
      </c>
      <c r="I51" s="15">
        <v>1209756.4277226615</v>
      </c>
      <c r="J51" s="67">
        <v>480000</v>
      </c>
      <c r="K51" s="15"/>
      <c r="L51" s="15"/>
      <c r="M51" s="16"/>
    </row>
    <row r="52" spans="1:16374" ht="18.75" thickBot="1" x14ac:dyDescent="0.3">
      <c r="A52" s="4" t="s">
        <v>127</v>
      </c>
      <c r="B52" s="50">
        <f>+INVENT2016_2017!J52</f>
        <v>450000</v>
      </c>
      <c r="C52" s="50">
        <f>+INVENT2016_2017!I52</f>
        <v>0</v>
      </c>
      <c r="D52" s="50">
        <f>[11]MVTAOUT!$H50+[11]MVTSEPT!$I50+[11]MVTOCT!$G50+[11]MVTNOV!$G50+[11]MVTDEC!$G50+[11]MVTJANV!$G50+[11]MVTFEV!$G50+[11]MVTMARS!$G50+[11]MVTAVRIL!$G50+[11]MVTMAI!$G50+[11]MVTJUIN!$G50+[11]MVTJUIL!$G50+[11]MVTAOUT2018!$G50</f>
        <v>57000</v>
      </c>
      <c r="E52" s="50">
        <f>+[11]MVTAOUT!$D50+[11]MVTSEPT!$E50+[11]MVTOCT!$C50+[11]MVTNOV!$C50+[11]MVTDEC!$C50+[11]MVTJANV!$C50+[11]MVTFEV!$C50+[11]MVTMARS!$C50+[11]MVTAVRIL!$C50+[11]MVTMAI!$C50+[11]MVTJUIN!$C50+[11]MVTJUIL!$C50</f>
        <v>88.5270055831013</v>
      </c>
      <c r="F52" s="50">
        <f t="shared" si="0"/>
        <v>57088.527005583099</v>
      </c>
      <c r="G52" s="50">
        <v>24094</v>
      </c>
      <c r="H52" s="50">
        <v>30000</v>
      </c>
      <c r="I52" s="70">
        <v>0.25930286810762482</v>
      </c>
      <c r="J52" s="70">
        <v>480000</v>
      </c>
      <c r="K52" s="70">
        <f t="shared" ref="K52:M52" si="3">SUM(K5:K51)</f>
        <v>11098472.001124464</v>
      </c>
      <c r="L52" s="70">
        <f t="shared" si="3"/>
        <v>783500</v>
      </c>
      <c r="M52" s="70">
        <f t="shared" si="3"/>
        <v>16163200</v>
      </c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3"/>
      <c r="GM52" s="53"/>
      <c r="GN52" s="53"/>
      <c r="GO52" s="53"/>
      <c r="GP52" s="53"/>
      <c r="GQ52" s="53"/>
      <c r="GR52" s="53"/>
      <c r="GS52" s="53"/>
      <c r="GT52" s="53"/>
      <c r="GU52" s="53"/>
      <c r="GV52" s="53"/>
      <c r="GW52" s="53"/>
      <c r="GX52" s="53"/>
      <c r="GY52" s="53"/>
      <c r="GZ52" s="53"/>
      <c r="HA52" s="53"/>
      <c r="HB52" s="53"/>
      <c r="HC52" s="53"/>
      <c r="HD52" s="53"/>
      <c r="HE52" s="53"/>
      <c r="HF52" s="53"/>
      <c r="HG52" s="53"/>
      <c r="HH52" s="53"/>
      <c r="HI52" s="53"/>
      <c r="HJ52" s="53"/>
      <c r="HK52" s="53"/>
      <c r="HL52" s="53"/>
      <c r="HM52" s="53"/>
      <c r="HN52" s="53"/>
      <c r="HO52" s="53"/>
      <c r="HP52" s="53"/>
      <c r="HQ52" s="53"/>
      <c r="HR52" s="53"/>
      <c r="HS52" s="53"/>
      <c r="HT52" s="53"/>
      <c r="HU52" s="53"/>
      <c r="HV52" s="53"/>
      <c r="HW52" s="53"/>
      <c r="HX52" s="53"/>
      <c r="HY52" s="53"/>
      <c r="HZ52" s="53"/>
      <c r="IA52" s="53"/>
      <c r="IB52" s="53"/>
      <c r="IC52" s="53"/>
      <c r="ID52" s="53"/>
      <c r="IE52" s="53"/>
      <c r="IF52" s="53"/>
      <c r="IG52" s="53"/>
      <c r="IH52" s="53"/>
      <c r="II52" s="53"/>
      <c r="IJ52" s="53"/>
      <c r="IK52" s="53"/>
      <c r="IL52" s="53"/>
      <c r="IM52" s="53"/>
      <c r="IN52" s="53"/>
      <c r="IO52" s="53"/>
      <c r="IP52" s="53"/>
      <c r="IQ52" s="53"/>
      <c r="IR52" s="53"/>
      <c r="IS52" s="53"/>
      <c r="IT52" s="53"/>
      <c r="IU52" s="53"/>
      <c r="IV52" s="53"/>
      <c r="IW52" s="53"/>
      <c r="IX52" s="53"/>
      <c r="IY52" s="53"/>
      <c r="IZ52" s="53"/>
      <c r="JA52" s="53"/>
      <c r="JB52" s="53"/>
      <c r="JC52" s="53"/>
      <c r="JD52" s="53"/>
      <c r="JE52" s="53"/>
      <c r="JF52" s="53"/>
      <c r="JG52" s="53"/>
      <c r="JH52" s="53"/>
      <c r="JI52" s="53"/>
      <c r="JJ52" s="53"/>
      <c r="JK52" s="53"/>
      <c r="JL52" s="53"/>
      <c r="JM52" s="53"/>
      <c r="JN52" s="53"/>
      <c r="JO52" s="53"/>
      <c r="JP52" s="53"/>
      <c r="JQ52" s="53"/>
      <c r="JR52" s="53"/>
      <c r="JS52" s="53"/>
      <c r="JT52" s="53"/>
      <c r="JU52" s="53"/>
      <c r="JV52" s="53"/>
      <c r="JW52" s="53"/>
      <c r="JX52" s="53"/>
      <c r="JY52" s="53"/>
      <c r="JZ52" s="53"/>
      <c r="KA52" s="53"/>
      <c r="KB52" s="53"/>
      <c r="KC52" s="53"/>
      <c r="KD52" s="53"/>
      <c r="KE52" s="53"/>
      <c r="KF52" s="53"/>
      <c r="KG52" s="53"/>
      <c r="KH52" s="53"/>
      <c r="KI52" s="53"/>
      <c r="KJ52" s="53"/>
      <c r="KK52" s="53"/>
      <c r="KL52" s="53"/>
      <c r="KM52" s="53"/>
      <c r="KN52" s="53"/>
      <c r="KO52" s="53"/>
      <c r="KP52" s="53"/>
      <c r="KQ52" s="53"/>
      <c r="KR52" s="53"/>
      <c r="KS52" s="53"/>
      <c r="KT52" s="53"/>
      <c r="KU52" s="53"/>
      <c r="KV52" s="53"/>
      <c r="KW52" s="53"/>
      <c r="KX52" s="53"/>
      <c r="KY52" s="53"/>
      <c r="KZ52" s="53"/>
      <c r="LA52" s="53"/>
      <c r="LB52" s="53"/>
      <c r="LC52" s="53"/>
      <c r="LD52" s="53"/>
      <c r="LE52" s="53"/>
      <c r="LF52" s="53"/>
      <c r="LG52" s="53"/>
      <c r="LH52" s="53"/>
      <c r="LI52" s="53"/>
      <c r="LJ52" s="53"/>
      <c r="LK52" s="53"/>
      <c r="LL52" s="53"/>
      <c r="LM52" s="53"/>
      <c r="LN52" s="53"/>
      <c r="LO52" s="53"/>
      <c r="LP52" s="53"/>
      <c r="LQ52" s="53"/>
      <c r="LR52" s="53"/>
      <c r="LS52" s="53"/>
      <c r="LT52" s="53"/>
      <c r="LU52" s="53"/>
      <c r="LV52" s="53"/>
      <c r="LW52" s="53"/>
      <c r="LX52" s="53"/>
      <c r="LY52" s="53"/>
      <c r="LZ52" s="53"/>
      <c r="MA52" s="53"/>
      <c r="MB52" s="53"/>
      <c r="MC52" s="53"/>
      <c r="MD52" s="53"/>
      <c r="ME52" s="53"/>
      <c r="MF52" s="53"/>
      <c r="MG52" s="53"/>
      <c r="MH52" s="53"/>
      <c r="MI52" s="53"/>
      <c r="MJ52" s="53"/>
      <c r="MK52" s="53"/>
      <c r="ML52" s="53"/>
      <c r="MM52" s="53"/>
      <c r="MN52" s="53"/>
      <c r="MO52" s="53"/>
      <c r="MP52" s="53"/>
      <c r="MQ52" s="53"/>
      <c r="MR52" s="53"/>
      <c r="MS52" s="53"/>
      <c r="MT52" s="53"/>
      <c r="MU52" s="53"/>
      <c r="MV52" s="53"/>
      <c r="MW52" s="53"/>
      <c r="MX52" s="53"/>
      <c r="MY52" s="53"/>
      <c r="MZ52" s="53"/>
      <c r="NA52" s="53"/>
      <c r="NB52" s="53"/>
      <c r="NC52" s="53"/>
      <c r="ND52" s="53"/>
      <c r="NE52" s="53"/>
      <c r="NF52" s="53"/>
      <c r="NG52" s="53"/>
      <c r="NH52" s="53"/>
      <c r="NI52" s="53"/>
      <c r="NJ52" s="53"/>
      <c r="NK52" s="53"/>
      <c r="NL52" s="53"/>
      <c r="NM52" s="53"/>
      <c r="NN52" s="53"/>
      <c r="NO52" s="53"/>
      <c r="NP52" s="53"/>
      <c r="NQ52" s="53"/>
      <c r="NR52" s="53"/>
      <c r="NS52" s="53"/>
      <c r="NT52" s="53"/>
      <c r="NU52" s="53"/>
      <c r="NV52" s="53"/>
      <c r="NW52" s="53"/>
      <c r="NX52" s="53"/>
      <c r="NY52" s="53"/>
      <c r="NZ52" s="53"/>
      <c r="OA52" s="53"/>
      <c r="OB52" s="53"/>
      <c r="OC52" s="53"/>
      <c r="OD52" s="53"/>
      <c r="OE52" s="53"/>
      <c r="OF52" s="53"/>
      <c r="OG52" s="53"/>
      <c r="OH52" s="53"/>
      <c r="OI52" s="53"/>
      <c r="OJ52" s="53"/>
      <c r="OK52" s="53"/>
      <c r="OL52" s="53"/>
      <c r="OM52" s="53"/>
      <c r="ON52" s="53"/>
      <c r="OO52" s="53"/>
      <c r="OP52" s="53"/>
      <c r="OQ52" s="53"/>
      <c r="OR52" s="53"/>
      <c r="OS52" s="53"/>
      <c r="OT52" s="53"/>
      <c r="OU52" s="53"/>
      <c r="OV52" s="53"/>
      <c r="OW52" s="53"/>
      <c r="OX52" s="53"/>
      <c r="OY52" s="53"/>
      <c r="OZ52" s="53"/>
      <c r="PA52" s="53"/>
      <c r="PB52" s="53"/>
      <c r="PC52" s="53"/>
      <c r="PD52" s="53"/>
      <c r="PE52" s="53"/>
      <c r="PF52" s="53"/>
      <c r="PG52" s="53"/>
      <c r="PH52" s="53"/>
      <c r="PI52" s="53"/>
      <c r="PJ52" s="53"/>
      <c r="PK52" s="53"/>
      <c r="PL52" s="53"/>
      <c r="PM52" s="53"/>
      <c r="PN52" s="53"/>
      <c r="PO52" s="53"/>
      <c r="PP52" s="53"/>
      <c r="PQ52" s="53"/>
      <c r="PR52" s="53"/>
      <c r="PS52" s="53"/>
      <c r="PT52" s="53"/>
      <c r="PU52" s="53"/>
      <c r="PV52" s="53"/>
      <c r="PW52" s="53"/>
      <c r="PX52" s="53"/>
      <c r="PY52" s="53"/>
      <c r="PZ52" s="53"/>
      <c r="QA52" s="53"/>
      <c r="QB52" s="53"/>
      <c r="QC52" s="53"/>
      <c r="QD52" s="53"/>
      <c r="QE52" s="53"/>
      <c r="QF52" s="53"/>
      <c r="QG52" s="53"/>
      <c r="QH52" s="53"/>
      <c r="QI52" s="53"/>
      <c r="QJ52" s="53"/>
      <c r="QK52" s="53"/>
      <c r="QL52" s="53"/>
      <c r="QM52" s="53"/>
      <c r="QN52" s="53"/>
      <c r="QO52" s="53"/>
      <c r="QP52" s="53"/>
      <c r="QQ52" s="53"/>
      <c r="QR52" s="53"/>
      <c r="QS52" s="53"/>
      <c r="QT52" s="53"/>
      <c r="QU52" s="53"/>
      <c r="QV52" s="53"/>
      <c r="QW52" s="53"/>
      <c r="QX52" s="53"/>
      <c r="QY52" s="53"/>
      <c r="QZ52" s="53"/>
      <c r="RA52" s="53"/>
      <c r="RB52" s="53"/>
      <c r="RC52" s="53"/>
      <c r="RD52" s="53"/>
      <c r="RE52" s="53"/>
      <c r="RF52" s="53"/>
      <c r="RG52" s="53"/>
      <c r="RH52" s="53"/>
      <c r="RI52" s="53"/>
      <c r="RJ52" s="53"/>
      <c r="RK52" s="53"/>
      <c r="RL52" s="53"/>
      <c r="RM52" s="53"/>
      <c r="RN52" s="53"/>
      <c r="RO52" s="53"/>
      <c r="RP52" s="53"/>
      <c r="RQ52" s="53"/>
      <c r="RR52" s="53"/>
      <c r="RS52" s="53"/>
      <c r="RT52" s="53"/>
      <c r="RU52" s="53"/>
      <c r="RV52" s="53"/>
      <c r="RW52" s="53"/>
      <c r="RX52" s="53"/>
      <c r="RY52" s="53"/>
      <c r="RZ52" s="53"/>
      <c r="SA52" s="53"/>
      <c r="SB52" s="53"/>
      <c r="SC52" s="53"/>
      <c r="SD52" s="53"/>
      <c r="SE52" s="53"/>
      <c r="SF52" s="53"/>
      <c r="SG52" s="53"/>
      <c r="SH52" s="53"/>
      <c r="SI52" s="53"/>
      <c r="SJ52" s="53"/>
      <c r="SK52" s="53"/>
      <c r="SL52" s="53"/>
      <c r="SM52" s="53"/>
      <c r="SN52" s="53"/>
      <c r="SO52" s="53"/>
      <c r="SP52" s="53"/>
      <c r="SQ52" s="53"/>
      <c r="SR52" s="53"/>
      <c r="SS52" s="53"/>
      <c r="ST52" s="53"/>
      <c r="SU52" s="53"/>
      <c r="SV52" s="53"/>
      <c r="SW52" s="53"/>
      <c r="SX52" s="53"/>
      <c r="SY52" s="53"/>
      <c r="SZ52" s="53"/>
      <c r="TA52" s="53"/>
      <c r="TB52" s="53"/>
      <c r="TC52" s="53"/>
      <c r="TD52" s="53"/>
      <c r="TE52" s="53"/>
      <c r="TF52" s="53"/>
      <c r="TG52" s="53"/>
      <c r="TH52" s="53"/>
      <c r="TI52" s="53"/>
      <c r="TJ52" s="53"/>
      <c r="TK52" s="53"/>
      <c r="TL52" s="53"/>
      <c r="TM52" s="53"/>
      <c r="TN52" s="53"/>
      <c r="TO52" s="53"/>
      <c r="TP52" s="53"/>
      <c r="TQ52" s="53"/>
      <c r="TR52" s="53"/>
      <c r="TS52" s="53"/>
      <c r="TT52" s="53"/>
      <c r="TU52" s="53"/>
      <c r="TV52" s="53"/>
      <c r="TW52" s="53"/>
      <c r="TX52" s="53"/>
      <c r="TY52" s="53"/>
      <c r="TZ52" s="53"/>
      <c r="UA52" s="53"/>
      <c r="UB52" s="53"/>
      <c r="UC52" s="53"/>
      <c r="UD52" s="53"/>
      <c r="UE52" s="53"/>
      <c r="UF52" s="53"/>
      <c r="UG52" s="53"/>
      <c r="UH52" s="53"/>
      <c r="UI52" s="53"/>
      <c r="UJ52" s="53"/>
      <c r="UK52" s="53"/>
      <c r="UL52" s="53"/>
      <c r="UM52" s="53"/>
      <c r="UN52" s="53"/>
      <c r="UO52" s="53"/>
      <c r="UP52" s="53"/>
      <c r="UQ52" s="53"/>
      <c r="UR52" s="53"/>
      <c r="US52" s="53"/>
      <c r="UT52" s="53"/>
      <c r="UU52" s="53"/>
      <c r="UV52" s="53"/>
      <c r="UW52" s="53"/>
      <c r="UX52" s="53"/>
      <c r="UY52" s="53"/>
      <c r="UZ52" s="53"/>
      <c r="VA52" s="53"/>
      <c r="VB52" s="53"/>
      <c r="VC52" s="53"/>
      <c r="VD52" s="53"/>
      <c r="VE52" s="53"/>
      <c r="VF52" s="53"/>
      <c r="VG52" s="53"/>
      <c r="VH52" s="53"/>
      <c r="VI52" s="53"/>
      <c r="VJ52" s="53"/>
      <c r="VK52" s="53"/>
      <c r="VL52" s="53"/>
      <c r="VM52" s="53"/>
      <c r="VN52" s="53"/>
      <c r="VO52" s="53"/>
      <c r="VP52" s="53"/>
      <c r="VQ52" s="53"/>
      <c r="VR52" s="53"/>
      <c r="VS52" s="53"/>
      <c r="VT52" s="53"/>
      <c r="VU52" s="53"/>
      <c r="VV52" s="53"/>
      <c r="VW52" s="53"/>
      <c r="VX52" s="53"/>
      <c r="VY52" s="53"/>
      <c r="VZ52" s="53"/>
      <c r="WA52" s="53"/>
      <c r="WB52" s="53"/>
      <c r="WC52" s="53"/>
      <c r="WD52" s="53"/>
      <c r="WE52" s="53"/>
      <c r="WF52" s="53"/>
      <c r="WG52" s="53"/>
      <c r="WH52" s="53"/>
      <c r="WI52" s="53"/>
      <c r="WJ52" s="53"/>
      <c r="WK52" s="53"/>
      <c r="WL52" s="53"/>
      <c r="WM52" s="53"/>
      <c r="WN52" s="53"/>
      <c r="WO52" s="53"/>
      <c r="WP52" s="53"/>
      <c r="WQ52" s="53"/>
      <c r="WR52" s="53"/>
      <c r="WS52" s="53"/>
      <c r="WT52" s="53"/>
      <c r="WU52" s="53"/>
      <c r="WV52" s="53"/>
      <c r="WW52" s="53"/>
      <c r="WX52" s="53"/>
      <c r="WY52" s="53"/>
      <c r="WZ52" s="53"/>
      <c r="XA52" s="53"/>
      <c r="XB52" s="53"/>
      <c r="XC52" s="53"/>
      <c r="XD52" s="53"/>
      <c r="XE52" s="53"/>
      <c r="XF52" s="53"/>
      <c r="XG52" s="53"/>
      <c r="XH52" s="53"/>
      <c r="XI52" s="53"/>
      <c r="XJ52" s="53"/>
      <c r="XK52" s="53"/>
      <c r="XL52" s="53"/>
      <c r="XM52" s="53"/>
      <c r="XN52" s="53"/>
      <c r="XO52" s="53"/>
      <c r="XP52" s="53"/>
      <c r="XQ52" s="53"/>
      <c r="XR52" s="53"/>
      <c r="XS52" s="53"/>
      <c r="XT52" s="53"/>
      <c r="XU52" s="53"/>
      <c r="XV52" s="53"/>
      <c r="XW52" s="53"/>
      <c r="XX52" s="53"/>
      <c r="XY52" s="53"/>
      <c r="XZ52" s="53"/>
      <c r="YA52" s="53"/>
      <c r="YB52" s="53"/>
      <c r="YC52" s="53"/>
      <c r="YD52" s="53"/>
      <c r="YE52" s="53"/>
      <c r="YF52" s="53"/>
      <c r="YG52" s="53"/>
      <c r="YH52" s="53"/>
      <c r="YI52" s="53"/>
      <c r="YJ52" s="53"/>
      <c r="YK52" s="53"/>
      <c r="YL52" s="53"/>
      <c r="YM52" s="53"/>
      <c r="YN52" s="53"/>
      <c r="YO52" s="53"/>
      <c r="YP52" s="53"/>
      <c r="YQ52" s="53"/>
      <c r="YR52" s="53"/>
      <c r="YS52" s="53"/>
      <c r="YT52" s="53"/>
      <c r="YU52" s="53"/>
      <c r="YV52" s="53"/>
      <c r="YW52" s="53"/>
      <c r="YX52" s="53"/>
      <c r="YY52" s="53"/>
      <c r="YZ52" s="53"/>
      <c r="ZA52" s="53"/>
      <c r="ZB52" s="53"/>
      <c r="ZC52" s="53"/>
      <c r="ZD52" s="53"/>
      <c r="ZE52" s="53"/>
      <c r="ZF52" s="53"/>
      <c r="ZG52" s="53"/>
      <c r="ZH52" s="53"/>
      <c r="ZI52" s="53"/>
      <c r="ZJ52" s="53"/>
      <c r="ZK52" s="53"/>
      <c r="ZL52" s="53"/>
      <c r="ZM52" s="53"/>
      <c r="ZN52" s="53"/>
      <c r="ZO52" s="53"/>
      <c r="ZP52" s="53"/>
      <c r="ZQ52" s="53"/>
      <c r="ZR52" s="53"/>
      <c r="ZS52" s="53"/>
      <c r="ZT52" s="53"/>
      <c r="ZU52" s="53"/>
      <c r="ZV52" s="53"/>
      <c r="ZW52" s="53"/>
      <c r="ZX52" s="53"/>
      <c r="ZY52" s="53"/>
      <c r="ZZ52" s="53"/>
      <c r="AAA52" s="53"/>
      <c r="AAB52" s="53"/>
      <c r="AAC52" s="53"/>
      <c r="AAD52" s="53"/>
      <c r="AAE52" s="53"/>
      <c r="AAF52" s="53"/>
      <c r="AAG52" s="53"/>
      <c r="AAH52" s="53"/>
      <c r="AAI52" s="53"/>
      <c r="AAJ52" s="53"/>
      <c r="AAK52" s="53"/>
      <c r="AAL52" s="53"/>
      <c r="AAM52" s="53"/>
      <c r="AAN52" s="53"/>
      <c r="AAO52" s="53"/>
      <c r="AAP52" s="53"/>
      <c r="AAQ52" s="53"/>
      <c r="AAR52" s="53"/>
      <c r="AAS52" s="53"/>
      <c r="AAT52" s="53"/>
      <c r="AAU52" s="53"/>
      <c r="AAV52" s="53"/>
      <c r="AAW52" s="53"/>
      <c r="AAX52" s="53"/>
      <c r="AAY52" s="53"/>
      <c r="AAZ52" s="53"/>
      <c r="ABA52" s="53"/>
      <c r="ABB52" s="53"/>
      <c r="ABC52" s="53"/>
      <c r="ABD52" s="53"/>
      <c r="ABE52" s="53"/>
      <c r="ABF52" s="53"/>
      <c r="ABG52" s="53"/>
      <c r="ABH52" s="53"/>
      <c r="ABI52" s="53"/>
      <c r="ABJ52" s="53"/>
      <c r="ABK52" s="53"/>
      <c r="ABL52" s="53"/>
      <c r="ABM52" s="53"/>
      <c r="ABN52" s="53"/>
      <c r="ABO52" s="53"/>
      <c r="ABP52" s="53"/>
      <c r="ABQ52" s="53"/>
      <c r="ABR52" s="53"/>
      <c r="ABS52" s="53"/>
      <c r="ABT52" s="53"/>
      <c r="ABU52" s="53"/>
      <c r="ABV52" s="53"/>
      <c r="ABW52" s="53"/>
      <c r="ABX52" s="53"/>
      <c r="ABY52" s="53"/>
      <c r="ABZ52" s="53"/>
      <c r="ACA52" s="53"/>
      <c r="ACB52" s="53"/>
      <c r="ACC52" s="53"/>
      <c r="ACD52" s="53"/>
      <c r="ACE52" s="53"/>
      <c r="ACF52" s="53"/>
      <c r="ACG52" s="53"/>
      <c r="ACH52" s="53"/>
      <c r="ACI52" s="53"/>
      <c r="ACJ52" s="53"/>
      <c r="ACK52" s="53"/>
      <c r="ACL52" s="53"/>
      <c r="ACM52" s="53"/>
      <c r="ACN52" s="53"/>
      <c r="ACO52" s="53"/>
      <c r="ACP52" s="53"/>
      <c r="ACQ52" s="53"/>
      <c r="ACR52" s="53"/>
      <c r="ACS52" s="53"/>
      <c r="ACT52" s="53"/>
      <c r="ACU52" s="53"/>
      <c r="ACV52" s="53"/>
      <c r="ACW52" s="53"/>
      <c r="ACX52" s="53"/>
      <c r="ACY52" s="53"/>
      <c r="ACZ52" s="53"/>
      <c r="ADA52" s="53"/>
      <c r="ADB52" s="53"/>
      <c r="ADC52" s="53"/>
      <c r="ADD52" s="53"/>
      <c r="ADE52" s="53"/>
      <c r="ADF52" s="53"/>
      <c r="ADG52" s="53"/>
      <c r="ADH52" s="53"/>
      <c r="ADI52" s="53"/>
      <c r="ADJ52" s="53"/>
      <c r="ADK52" s="53"/>
      <c r="ADL52" s="53"/>
      <c r="ADM52" s="53"/>
      <c r="ADN52" s="53"/>
      <c r="ADO52" s="53"/>
      <c r="ADP52" s="53"/>
      <c r="ADQ52" s="53"/>
      <c r="ADR52" s="53"/>
      <c r="ADS52" s="53"/>
      <c r="ADT52" s="53"/>
      <c r="ADU52" s="53"/>
      <c r="ADV52" s="53"/>
      <c r="ADW52" s="53"/>
      <c r="ADX52" s="53"/>
      <c r="ADY52" s="53"/>
      <c r="ADZ52" s="53"/>
      <c r="AEA52" s="53"/>
      <c r="AEB52" s="53"/>
      <c r="AEC52" s="53"/>
      <c r="AED52" s="53"/>
      <c r="AEE52" s="53"/>
      <c r="AEF52" s="53"/>
      <c r="AEG52" s="53"/>
      <c r="AEH52" s="53"/>
      <c r="AEI52" s="53"/>
      <c r="AEJ52" s="53"/>
      <c r="AEK52" s="53"/>
      <c r="AEL52" s="53"/>
      <c r="AEM52" s="53"/>
      <c r="AEN52" s="53"/>
      <c r="AEO52" s="53"/>
      <c r="AEP52" s="53"/>
      <c r="AEQ52" s="53"/>
      <c r="AER52" s="53"/>
      <c r="AES52" s="53"/>
      <c r="AET52" s="53"/>
      <c r="AEU52" s="53"/>
      <c r="AEV52" s="53"/>
      <c r="AEW52" s="53"/>
      <c r="AEX52" s="53"/>
      <c r="AEY52" s="53"/>
      <c r="AEZ52" s="53"/>
      <c r="AFA52" s="53"/>
      <c r="AFB52" s="53"/>
      <c r="AFC52" s="53"/>
      <c r="AFD52" s="53"/>
      <c r="AFE52" s="53"/>
      <c r="AFF52" s="53"/>
      <c r="AFG52" s="53"/>
      <c r="AFH52" s="53"/>
      <c r="AFI52" s="53"/>
      <c r="AFJ52" s="53"/>
      <c r="AFK52" s="53"/>
      <c r="AFL52" s="53"/>
      <c r="AFM52" s="53"/>
      <c r="AFN52" s="53"/>
      <c r="AFO52" s="53"/>
      <c r="AFP52" s="53"/>
      <c r="AFQ52" s="53"/>
      <c r="AFR52" s="53"/>
      <c r="AFS52" s="53"/>
      <c r="AFT52" s="53"/>
      <c r="AFU52" s="53"/>
      <c r="AFV52" s="53"/>
      <c r="AFW52" s="53"/>
      <c r="AFX52" s="53"/>
      <c r="AFY52" s="53"/>
      <c r="AFZ52" s="53"/>
      <c r="AGA52" s="53"/>
      <c r="AGB52" s="53"/>
      <c r="AGC52" s="53"/>
      <c r="AGD52" s="53"/>
      <c r="AGE52" s="53"/>
      <c r="AGF52" s="53"/>
      <c r="AGG52" s="53"/>
      <c r="AGH52" s="53"/>
      <c r="AGI52" s="53"/>
      <c r="AGJ52" s="53"/>
      <c r="AGK52" s="53"/>
      <c r="AGL52" s="53"/>
      <c r="AGM52" s="53"/>
      <c r="AGN52" s="53"/>
      <c r="AGO52" s="53"/>
      <c r="AGP52" s="53"/>
      <c r="AGQ52" s="53"/>
      <c r="AGR52" s="53"/>
      <c r="AGS52" s="53"/>
      <c r="AGT52" s="53"/>
      <c r="AGU52" s="53"/>
      <c r="AGV52" s="53"/>
      <c r="AGW52" s="53"/>
      <c r="AGX52" s="53"/>
      <c r="AGY52" s="53"/>
      <c r="AGZ52" s="53"/>
      <c r="AHA52" s="53"/>
      <c r="AHB52" s="53"/>
      <c r="AHC52" s="53"/>
      <c r="AHD52" s="53"/>
      <c r="AHE52" s="53"/>
      <c r="AHF52" s="53"/>
      <c r="AHG52" s="53"/>
      <c r="AHH52" s="53"/>
      <c r="AHI52" s="53"/>
      <c r="AHJ52" s="53"/>
      <c r="AHK52" s="53"/>
      <c r="AHL52" s="53"/>
      <c r="AHM52" s="53"/>
      <c r="AHN52" s="53"/>
      <c r="AHO52" s="53"/>
      <c r="AHP52" s="53"/>
      <c r="AHQ52" s="53"/>
      <c r="AHR52" s="53"/>
      <c r="AHS52" s="53"/>
      <c r="AHT52" s="53"/>
      <c r="AHU52" s="53"/>
      <c r="AHV52" s="53"/>
      <c r="AHW52" s="53"/>
      <c r="AHX52" s="53"/>
      <c r="AHY52" s="53"/>
      <c r="AHZ52" s="53"/>
      <c r="AIA52" s="53"/>
      <c r="AIB52" s="53"/>
      <c r="AIC52" s="53"/>
      <c r="AID52" s="53"/>
      <c r="AIE52" s="53"/>
      <c r="AIF52" s="53"/>
      <c r="AIG52" s="53"/>
      <c r="AIH52" s="53"/>
      <c r="AII52" s="53"/>
      <c r="AIJ52" s="53"/>
      <c r="AIK52" s="53"/>
      <c r="AIL52" s="53"/>
      <c r="AIM52" s="53"/>
      <c r="AIN52" s="53"/>
      <c r="AIO52" s="53"/>
      <c r="AIP52" s="53"/>
      <c r="AIQ52" s="53"/>
      <c r="AIR52" s="53"/>
      <c r="AIS52" s="53"/>
      <c r="AIT52" s="53"/>
      <c r="AIU52" s="53"/>
      <c r="AIV52" s="53"/>
      <c r="AIW52" s="53"/>
      <c r="AIX52" s="53"/>
      <c r="AIY52" s="53"/>
      <c r="AIZ52" s="53"/>
      <c r="AJA52" s="53"/>
      <c r="AJB52" s="53"/>
      <c r="AJC52" s="53"/>
      <c r="AJD52" s="53"/>
      <c r="AJE52" s="53"/>
      <c r="AJF52" s="53"/>
      <c r="AJG52" s="53"/>
      <c r="AJH52" s="53"/>
      <c r="AJI52" s="53"/>
      <c r="AJJ52" s="53"/>
      <c r="AJK52" s="53"/>
      <c r="AJL52" s="53"/>
      <c r="AJM52" s="53"/>
      <c r="AJN52" s="53"/>
      <c r="AJO52" s="53"/>
      <c r="AJP52" s="53"/>
      <c r="AJQ52" s="53"/>
      <c r="AJR52" s="53"/>
      <c r="AJS52" s="53"/>
      <c r="AJT52" s="53"/>
      <c r="AJU52" s="53"/>
      <c r="AJV52" s="53"/>
      <c r="AJW52" s="53"/>
      <c r="AJX52" s="53"/>
      <c r="AJY52" s="53"/>
      <c r="AJZ52" s="53"/>
      <c r="AKA52" s="53"/>
      <c r="AKB52" s="53"/>
      <c r="AKC52" s="53"/>
      <c r="AKD52" s="53"/>
      <c r="AKE52" s="53"/>
      <c r="AKF52" s="53"/>
      <c r="AKG52" s="53"/>
      <c r="AKH52" s="53"/>
      <c r="AKI52" s="53"/>
      <c r="AKJ52" s="53"/>
      <c r="AKK52" s="53"/>
      <c r="AKL52" s="53"/>
      <c r="AKM52" s="53"/>
      <c r="AKN52" s="53"/>
      <c r="AKO52" s="53"/>
      <c r="AKP52" s="53"/>
      <c r="AKQ52" s="53"/>
      <c r="AKR52" s="53"/>
      <c r="AKS52" s="53"/>
      <c r="AKT52" s="53"/>
      <c r="AKU52" s="53"/>
      <c r="AKV52" s="53"/>
      <c r="AKW52" s="53"/>
      <c r="AKX52" s="53"/>
      <c r="AKY52" s="53"/>
      <c r="AKZ52" s="53"/>
      <c r="ALA52" s="53"/>
      <c r="ALB52" s="53"/>
      <c r="ALC52" s="53"/>
      <c r="ALD52" s="53"/>
      <c r="ALE52" s="53"/>
      <c r="ALF52" s="53"/>
      <c r="ALG52" s="53"/>
      <c r="ALH52" s="53"/>
      <c r="ALI52" s="53"/>
      <c r="ALJ52" s="53"/>
      <c r="ALK52" s="53"/>
      <c r="ALL52" s="53"/>
      <c r="ALM52" s="53"/>
      <c r="ALN52" s="53"/>
      <c r="ALO52" s="53"/>
      <c r="ALP52" s="53"/>
      <c r="ALQ52" s="53"/>
      <c r="ALR52" s="53"/>
      <c r="ALS52" s="53"/>
      <c r="ALT52" s="53"/>
      <c r="ALU52" s="53"/>
      <c r="ALV52" s="53"/>
      <c r="ALW52" s="53"/>
      <c r="ALX52" s="53"/>
      <c r="ALY52" s="53"/>
      <c r="ALZ52" s="53"/>
      <c r="AMA52" s="53"/>
      <c r="AMB52" s="53"/>
      <c r="AMC52" s="53"/>
      <c r="AMD52" s="53"/>
      <c r="AME52" s="53"/>
      <c r="AMF52" s="53"/>
      <c r="AMG52" s="53"/>
      <c r="AMH52" s="53"/>
      <c r="AMI52" s="53"/>
      <c r="AMJ52" s="53"/>
      <c r="AMK52" s="53"/>
      <c r="AML52" s="53"/>
      <c r="AMM52" s="53"/>
      <c r="AMN52" s="53"/>
      <c r="AMO52" s="53"/>
      <c r="AMP52" s="53"/>
      <c r="AMQ52" s="53"/>
      <c r="AMR52" s="53"/>
      <c r="AMS52" s="53"/>
      <c r="AMT52" s="53"/>
      <c r="AMU52" s="53"/>
      <c r="AMV52" s="53"/>
      <c r="AMW52" s="53"/>
      <c r="AMX52" s="53"/>
      <c r="AMY52" s="53"/>
      <c r="AMZ52" s="53"/>
      <c r="ANA52" s="53"/>
      <c r="ANB52" s="53"/>
      <c r="ANC52" s="53"/>
      <c r="AND52" s="53"/>
      <c r="ANE52" s="53"/>
      <c r="ANF52" s="53"/>
      <c r="ANG52" s="53"/>
      <c r="ANH52" s="53"/>
      <c r="ANI52" s="53"/>
      <c r="ANJ52" s="53"/>
      <c r="ANK52" s="53"/>
      <c r="ANL52" s="53"/>
      <c r="ANM52" s="53"/>
      <c r="ANN52" s="53"/>
      <c r="ANO52" s="53"/>
      <c r="ANP52" s="53"/>
      <c r="ANQ52" s="53"/>
      <c r="ANR52" s="53"/>
      <c r="ANS52" s="53"/>
      <c r="ANT52" s="53"/>
      <c r="ANU52" s="53"/>
      <c r="ANV52" s="53"/>
      <c r="ANW52" s="53"/>
      <c r="ANX52" s="53"/>
      <c r="ANY52" s="53"/>
      <c r="ANZ52" s="53"/>
      <c r="AOA52" s="53"/>
      <c r="AOB52" s="53"/>
      <c r="AOC52" s="53"/>
      <c r="AOD52" s="53"/>
      <c r="AOE52" s="53"/>
      <c r="AOF52" s="53"/>
      <c r="AOG52" s="53"/>
      <c r="AOH52" s="53"/>
      <c r="AOI52" s="53"/>
      <c r="AOJ52" s="53"/>
      <c r="AOK52" s="53"/>
      <c r="AOL52" s="53"/>
      <c r="AOM52" s="53"/>
      <c r="AON52" s="53"/>
      <c r="AOO52" s="53"/>
      <c r="AOP52" s="53"/>
      <c r="AOQ52" s="53"/>
      <c r="AOR52" s="53"/>
      <c r="AOS52" s="53"/>
      <c r="AOT52" s="53"/>
      <c r="AOU52" s="53"/>
      <c r="AOV52" s="53"/>
      <c r="AOW52" s="53"/>
      <c r="AOX52" s="53"/>
      <c r="AOY52" s="53"/>
      <c r="AOZ52" s="53"/>
      <c r="APA52" s="53"/>
      <c r="APB52" s="53"/>
      <c r="APC52" s="53"/>
      <c r="APD52" s="53"/>
      <c r="APE52" s="53"/>
      <c r="APF52" s="53"/>
      <c r="APG52" s="53"/>
      <c r="APH52" s="53"/>
      <c r="API52" s="53"/>
      <c r="APJ52" s="53"/>
      <c r="APK52" s="53"/>
      <c r="APL52" s="53"/>
      <c r="APM52" s="53"/>
      <c r="APN52" s="53"/>
      <c r="APO52" s="53"/>
      <c r="APP52" s="53"/>
      <c r="APQ52" s="53"/>
      <c r="APR52" s="53"/>
      <c r="APS52" s="53"/>
      <c r="APT52" s="53"/>
      <c r="APU52" s="53"/>
      <c r="APV52" s="53"/>
      <c r="APW52" s="53"/>
      <c r="APX52" s="53"/>
      <c r="APY52" s="53"/>
      <c r="APZ52" s="53"/>
      <c r="AQA52" s="53"/>
      <c r="AQB52" s="53"/>
      <c r="AQC52" s="53"/>
      <c r="AQD52" s="53"/>
      <c r="AQE52" s="53"/>
      <c r="AQF52" s="53"/>
      <c r="AQG52" s="53"/>
      <c r="AQH52" s="53"/>
      <c r="AQI52" s="53"/>
      <c r="AQJ52" s="53"/>
      <c r="AQK52" s="53"/>
      <c r="AQL52" s="53"/>
      <c r="AQM52" s="53"/>
      <c r="AQN52" s="53"/>
      <c r="AQO52" s="53"/>
      <c r="AQP52" s="53"/>
      <c r="AQQ52" s="53"/>
      <c r="AQR52" s="53"/>
      <c r="AQS52" s="53"/>
      <c r="AQT52" s="53"/>
      <c r="AQU52" s="53"/>
      <c r="AQV52" s="53"/>
      <c r="AQW52" s="53"/>
      <c r="AQX52" s="53"/>
      <c r="AQY52" s="53"/>
      <c r="AQZ52" s="53"/>
      <c r="ARA52" s="53"/>
      <c r="ARB52" s="53"/>
      <c r="ARC52" s="53"/>
      <c r="ARD52" s="53"/>
      <c r="ARE52" s="53"/>
      <c r="ARF52" s="53"/>
      <c r="ARG52" s="53"/>
      <c r="ARH52" s="53"/>
      <c r="ARI52" s="53"/>
      <c r="ARJ52" s="53"/>
      <c r="ARK52" s="53"/>
      <c r="ARL52" s="53"/>
      <c r="ARM52" s="53"/>
      <c r="ARN52" s="53"/>
      <c r="ARO52" s="53"/>
      <c r="ARP52" s="53"/>
      <c r="ARQ52" s="53"/>
      <c r="ARR52" s="53"/>
      <c r="ARS52" s="53"/>
      <c r="ART52" s="53"/>
      <c r="ARU52" s="53"/>
      <c r="ARV52" s="53"/>
      <c r="ARW52" s="53"/>
      <c r="ARX52" s="53"/>
      <c r="ARY52" s="53"/>
      <c r="ARZ52" s="53"/>
      <c r="ASA52" s="53"/>
      <c r="ASB52" s="53"/>
      <c r="ASC52" s="53"/>
      <c r="ASD52" s="53"/>
      <c r="ASE52" s="53"/>
      <c r="ASF52" s="53"/>
      <c r="ASG52" s="53"/>
      <c r="ASH52" s="53"/>
      <c r="ASI52" s="53"/>
      <c r="ASJ52" s="53"/>
      <c r="ASK52" s="53"/>
      <c r="ASL52" s="53"/>
      <c r="ASM52" s="53"/>
      <c r="ASN52" s="53"/>
      <c r="ASO52" s="53"/>
      <c r="ASP52" s="53"/>
      <c r="ASQ52" s="53"/>
      <c r="ASR52" s="53"/>
      <c r="ASS52" s="53"/>
      <c r="AST52" s="53"/>
      <c r="ASU52" s="53"/>
      <c r="ASV52" s="53"/>
      <c r="ASW52" s="53"/>
      <c r="ASX52" s="53"/>
      <c r="ASY52" s="53"/>
      <c r="ASZ52" s="53"/>
      <c r="ATA52" s="53"/>
      <c r="ATB52" s="53"/>
      <c r="ATC52" s="53"/>
      <c r="ATD52" s="53"/>
      <c r="ATE52" s="53"/>
      <c r="ATF52" s="53"/>
      <c r="ATG52" s="53"/>
      <c r="ATH52" s="53"/>
      <c r="ATI52" s="53"/>
      <c r="ATJ52" s="53"/>
      <c r="ATK52" s="53"/>
      <c r="ATL52" s="53"/>
      <c r="ATM52" s="53"/>
      <c r="ATN52" s="53"/>
      <c r="ATO52" s="53"/>
      <c r="ATP52" s="53"/>
      <c r="ATQ52" s="53"/>
      <c r="ATR52" s="53"/>
      <c r="ATS52" s="53"/>
      <c r="ATT52" s="53"/>
      <c r="ATU52" s="53"/>
      <c r="ATV52" s="53"/>
      <c r="ATW52" s="53"/>
      <c r="ATX52" s="53"/>
      <c r="ATY52" s="53"/>
      <c r="ATZ52" s="53"/>
      <c r="AUA52" s="53"/>
      <c r="AUB52" s="53"/>
      <c r="AUC52" s="53"/>
      <c r="AUD52" s="53"/>
      <c r="AUE52" s="53"/>
      <c r="AUF52" s="53"/>
      <c r="AUG52" s="53"/>
      <c r="AUH52" s="53"/>
      <c r="AUI52" s="53"/>
      <c r="AUJ52" s="53"/>
      <c r="AUK52" s="53"/>
      <c r="AUL52" s="53"/>
      <c r="AUM52" s="53"/>
      <c r="AUN52" s="53"/>
      <c r="AUO52" s="53"/>
      <c r="AUP52" s="53"/>
      <c r="AUQ52" s="53"/>
      <c r="AUR52" s="53"/>
      <c r="AUS52" s="53"/>
      <c r="AUT52" s="53"/>
      <c r="AUU52" s="53"/>
      <c r="AUV52" s="53"/>
      <c r="AUW52" s="53"/>
      <c r="AUX52" s="53"/>
      <c r="AUY52" s="53"/>
      <c r="AUZ52" s="53"/>
      <c r="AVA52" s="53"/>
      <c r="AVB52" s="53"/>
      <c r="AVC52" s="53"/>
      <c r="AVD52" s="53"/>
      <c r="AVE52" s="53"/>
      <c r="AVF52" s="53"/>
      <c r="AVG52" s="53"/>
      <c r="AVH52" s="53"/>
      <c r="AVI52" s="53"/>
      <c r="AVJ52" s="53"/>
      <c r="AVK52" s="53"/>
      <c r="AVL52" s="53"/>
      <c r="AVM52" s="53"/>
      <c r="AVN52" s="53"/>
      <c r="AVO52" s="53"/>
      <c r="AVP52" s="53"/>
      <c r="AVQ52" s="53"/>
      <c r="AVR52" s="53"/>
      <c r="AVS52" s="53"/>
      <c r="AVT52" s="53"/>
      <c r="AVU52" s="53"/>
      <c r="AVV52" s="53"/>
      <c r="AVW52" s="53"/>
      <c r="AVX52" s="53"/>
      <c r="AVY52" s="53"/>
      <c r="AVZ52" s="53"/>
      <c r="AWA52" s="53"/>
      <c r="AWB52" s="53"/>
      <c r="AWC52" s="53"/>
      <c r="AWD52" s="53"/>
      <c r="AWE52" s="53"/>
      <c r="AWF52" s="53"/>
      <c r="AWG52" s="53"/>
      <c r="AWH52" s="53"/>
      <c r="AWI52" s="53"/>
      <c r="AWJ52" s="53"/>
      <c r="AWK52" s="53"/>
      <c r="AWL52" s="53"/>
      <c r="AWM52" s="53"/>
      <c r="AWN52" s="53"/>
      <c r="AWO52" s="53"/>
      <c r="AWP52" s="53"/>
      <c r="AWQ52" s="53"/>
      <c r="AWR52" s="53"/>
      <c r="AWS52" s="53"/>
      <c r="AWT52" s="53"/>
      <c r="AWU52" s="53"/>
      <c r="AWV52" s="53"/>
      <c r="AWW52" s="53"/>
      <c r="AWX52" s="53"/>
      <c r="AWY52" s="53"/>
      <c r="AWZ52" s="53"/>
      <c r="AXA52" s="53"/>
      <c r="AXB52" s="53"/>
      <c r="AXC52" s="53"/>
      <c r="AXD52" s="53"/>
      <c r="AXE52" s="53"/>
      <c r="AXF52" s="53"/>
      <c r="AXG52" s="53"/>
      <c r="AXH52" s="53"/>
      <c r="AXI52" s="53"/>
      <c r="AXJ52" s="53"/>
      <c r="AXK52" s="53"/>
      <c r="AXL52" s="53"/>
      <c r="AXM52" s="53"/>
      <c r="AXN52" s="53"/>
      <c r="AXO52" s="53"/>
      <c r="AXP52" s="53"/>
      <c r="AXQ52" s="53"/>
      <c r="AXR52" s="53"/>
      <c r="AXS52" s="53"/>
      <c r="AXT52" s="53"/>
      <c r="AXU52" s="53"/>
      <c r="AXV52" s="53"/>
      <c r="AXW52" s="53"/>
      <c r="AXX52" s="53"/>
      <c r="AXY52" s="53"/>
      <c r="AXZ52" s="53"/>
      <c r="AYA52" s="53"/>
      <c r="AYB52" s="53"/>
      <c r="AYC52" s="53"/>
      <c r="AYD52" s="53"/>
      <c r="AYE52" s="53"/>
      <c r="AYF52" s="53"/>
      <c r="AYG52" s="53"/>
      <c r="AYH52" s="53"/>
      <c r="AYI52" s="53"/>
      <c r="AYJ52" s="53"/>
      <c r="AYK52" s="53"/>
      <c r="AYL52" s="53"/>
      <c r="AYM52" s="53"/>
      <c r="AYN52" s="53"/>
      <c r="AYO52" s="53"/>
      <c r="AYP52" s="53"/>
      <c r="AYQ52" s="53"/>
      <c r="AYR52" s="53"/>
      <c r="AYS52" s="53"/>
      <c r="AYT52" s="53"/>
      <c r="AYU52" s="53"/>
      <c r="AYV52" s="53"/>
      <c r="AYW52" s="53"/>
      <c r="AYX52" s="53"/>
      <c r="AYY52" s="53"/>
      <c r="AYZ52" s="53"/>
      <c r="AZA52" s="53"/>
      <c r="AZB52" s="53"/>
      <c r="AZC52" s="53"/>
      <c r="AZD52" s="53"/>
      <c r="AZE52" s="53"/>
      <c r="AZF52" s="53"/>
      <c r="AZG52" s="53"/>
      <c r="AZH52" s="53"/>
      <c r="AZI52" s="53"/>
      <c r="AZJ52" s="53"/>
      <c r="AZK52" s="53"/>
      <c r="AZL52" s="53"/>
      <c r="AZM52" s="53"/>
      <c r="AZN52" s="53"/>
      <c r="AZO52" s="53"/>
      <c r="AZP52" s="53"/>
      <c r="AZQ52" s="53"/>
      <c r="AZR52" s="53"/>
      <c r="AZS52" s="53"/>
      <c r="AZT52" s="53"/>
      <c r="AZU52" s="53"/>
      <c r="AZV52" s="53"/>
      <c r="AZW52" s="53"/>
      <c r="AZX52" s="53"/>
      <c r="AZY52" s="53"/>
      <c r="AZZ52" s="53"/>
      <c r="BAA52" s="53"/>
      <c r="BAB52" s="53"/>
      <c r="BAC52" s="53"/>
      <c r="BAD52" s="53"/>
      <c r="BAE52" s="53"/>
      <c r="BAF52" s="53"/>
      <c r="BAG52" s="53"/>
      <c r="BAH52" s="53"/>
      <c r="BAI52" s="53"/>
      <c r="BAJ52" s="53"/>
      <c r="BAK52" s="53"/>
      <c r="BAL52" s="53"/>
      <c r="BAM52" s="53"/>
      <c r="BAN52" s="53"/>
      <c r="BAO52" s="53"/>
      <c r="BAP52" s="53"/>
      <c r="BAQ52" s="53"/>
      <c r="BAR52" s="53"/>
      <c r="BAS52" s="53"/>
      <c r="BAT52" s="53"/>
      <c r="BAU52" s="53"/>
      <c r="BAV52" s="53"/>
      <c r="BAW52" s="53"/>
      <c r="BAX52" s="53"/>
      <c r="BAY52" s="53"/>
      <c r="BAZ52" s="53"/>
      <c r="BBA52" s="53"/>
      <c r="BBB52" s="53"/>
      <c r="BBC52" s="53"/>
      <c r="BBD52" s="53"/>
      <c r="BBE52" s="53"/>
      <c r="BBF52" s="53"/>
      <c r="BBG52" s="53"/>
      <c r="BBH52" s="53"/>
      <c r="BBI52" s="53"/>
      <c r="BBJ52" s="53"/>
      <c r="BBK52" s="53"/>
      <c r="BBL52" s="53"/>
      <c r="BBM52" s="53"/>
      <c r="BBN52" s="53"/>
      <c r="BBO52" s="53"/>
      <c r="BBP52" s="53"/>
      <c r="BBQ52" s="53"/>
      <c r="BBR52" s="53"/>
      <c r="BBS52" s="53"/>
      <c r="BBT52" s="53"/>
      <c r="BBU52" s="53"/>
      <c r="BBV52" s="53"/>
      <c r="BBW52" s="53"/>
      <c r="BBX52" s="53"/>
      <c r="BBY52" s="53"/>
      <c r="BBZ52" s="53"/>
      <c r="BCA52" s="53"/>
      <c r="BCB52" s="53"/>
      <c r="BCC52" s="53"/>
      <c r="BCD52" s="53"/>
      <c r="BCE52" s="53"/>
      <c r="BCF52" s="53"/>
      <c r="BCG52" s="53"/>
      <c r="BCH52" s="53"/>
      <c r="BCI52" s="53"/>
      <c r="BCJ52" s="53"/>
      <c r="BCK52" s="53"/>
      <c r="BCL52" s="53"/>
      <c r="BCM52" s="53"/>
      <c r="BCN52" s="53"/>
      <c r="BCO52" s="53"/>
      <c r="BCP52" s="53"/>
      <c r="BCQ52" s="53"/>
      <c r="BCR52" s="53"/>
      <c r="BCS52" s="53"/>
      <c r="BCT52" s="53"/>
      <c r="BCU52" s="53"/>
      <c r="BCV52" s="53"/>
      <c r="BCW52" s="53"/>
      <c r="BCX52" s="53"/>
      <c r="BCY52" s="53"/>
      <c r="BCZ52" s="53"/>
      <c r="BDA52" s="53"/>
      <c r="BDB52" s="53"/>
      <c r="BDC52" s="53"/>
      <c r="BDD52" s="53"/>
      <c r="BDE52" s="53"/>
      <c r="BDF52" s="53"/>
      <c r="BDG52" s="53"/>
      <c r="BDH52" s="53"/>
      <c r="BDI52" s="53"/>
      <c r="BDJ52" s="53"/>
      <c r="BDK52" s="53"/>
      <c r="BDL52" s="53"/>
      <c r="BDM52" s="53"/>
      <c r="BDN52" s="53"/>
      <c r="BDO52" s="53"/>
      <c r="BDP52" s="53"/>
      <c r="BDQ52" s="53"/>
      <c r="BDR52" s="53"/>
      <c r="BDS52" s="53"/>
      <c r="BDT52" s="53"/>
      <c r="BDU52" s="53"/>
      <c r="BDV52" s="53"/>
      <c r="BDW52" s="53"/>
      <c r="BDX52" s="53"/>
      <c r="BDY52" s="53"/>
      <c r="BDZ52" s="53"/>
      <c r="BEA52" s="53"/>
      <c r="BEB52" s="53"/>
      <c r="BEC52" s="53"/>
      <c r="BED52" s="53"/>
      <c r="BEE52" s="53"/>
      <c r="BEF52" s="53"/>
      <c r="BEG52" s="53"/>
      <c r="BEH52" s="53"/>
      <c r="BEI52" s="53"/>
      <c r="BEJ52" s="53"/>
      <c r="BEK52" s="53"/>
      <c r="BEL52" s="53"/>
      <c r="BEM52" s="53"/>
      <c r="BEN52" s="53"/>
      <c r="BEO52" s="53"/>
      <c r="BEP52" s="53"/>
      <c r="BEQ52" s="53"/>
      <c r="BER52" s="53"/>
      <c r="BES52" s="53"/>
      <c r="BET52" s="53"/>
      <c r="BEU52" s="53"/>
      <c r="BEV52" s="53"/>
      <c r="BEW52" s="53"/>
      <c r="BEX52" s="53"/>
      <c r="BEY52" s="53"/>
      <c r="BEZ52" s="53"/>
      <c r="BFA52" s="53"/>
      <c r="BFB52" s="53"/>
      <c r="BFC52" s="53"/>
      <c r="BFD52" s="53"/>
      <c r="BFE52" s="53"/>
      <c r="BFF52" s="53"/>
      <c r="BFG52" s="53"/>
      <c r="BFH52" s="53"/>
      <c r="BFI52" s="53"/>
      <c r="BFJ52" s="53"/>
      <c r="BFK52" s="53"/>
      <c r="BFL52" s="53"/>
      <c r="BFM52" s="53"/>
      <c r="BFN52" s="53"/>
      <c r="BFO52" s="53"/>
      <c r="BFP52" s="53"/>
      <c r="BFQ52" s="53"/>
      <c r="BFR52" s="53"/>
      <c r="BFS52" s="53"/>
      <c r="BFT52" s="53"/>
      <c r="BFU52" s="53"/>
      <c r="BFV52" s="53"/>
      <c r="BFW52" s="53"/>
      <c r="BFX52" s="53"/>
      <c r="BFY52" s="53"/>
      <c r="BFZ52" s="53"/>
      <c r="BGA52" s="53"/>
      <c r="BGB52" s="53"/>
      <c r="BGC52" s="53"/>
      <c r="BGD52" s="53"/>
      <c r="BGE52" s="53"/>
      <c r="BGF52" s="53"/>
      <c r="BGG52" s="53"/>
      <c r="BGH52" s="53"/>
      <c r="BGI52" s="53"/>
      <c r="BGJ52" s="53"/>
      <c r="BGK52" s="53"/>
      <c r="BGL52" s="53"/>
      <c r="BGM52" s="53"/>
      <c r="BGN52" s="53"/>
      <c r="BGO52" s="53"/>
      <c r="BGP52" s="53"/>
      <c r="BGQ52" s="53"/>
      <c r="BGR52" s="53"/>
      <c r="BGS52" s="53"/>
      <c r="BGT52" s="53"/>
      <c r="BGU52" s="53"/>
      <c r="BGV52" s="53"/>
      <c r="BGW52" s="53"/>
      <c r="BGX52" s="53"/>
      <c r="BGY52" s="53"/>
      <c r="BGZ52" s="53"/>
      <c r="BHA52" s="53"/>
      <c r="BHB52" s="53"/>
      <c r="BHC52" s="53"/>
      <c r="BHD52" s="53"/>
      <c r="BHE52" s="53"/>
      <c r="BHF52" s="53"/>
      <c r="BHG52" s="53"/>
      <c r="BHH52" s="53"/>
      <c r="BHI52" s="53"/>
      <c r="BHJ52" s="53"/>
      <c r="BHK52" s="53"/>
      <c r="BHL52" s="53"/>
      <c r="BHM52" s="53"/>
      <c r="BHN52" s="53"/>
      <c r="BHO52" s="53"/>
      <c r="BHP52" s="53"/>
      <c r="BHQ52" s="53"/>
      <c r="BHR52" s="53"/>
      <c r="BHS52" s="53"/>
      <c r="BHT52" s="53"/>
      <c r="BHU52" s="53"/>
      <c r="BHV52" s="53"/>
      <c r="BHW52" s="53"/>
      <c r="BHX52" s="53"/>
      <c r="BHY52" s="53"/>
      <c r="BHZ52" s="53"/>
      <c r="BIA52" s="53"/>
      <c r="BIB52" s="53"/>
      <c r="BIC52" s="53"/>
      <c r="BID52" s="53"/>
      <c r="BIE52" s="53"/>
      <c r="BIF52" s="53"/>
      <c r="BIG52" s="53"/>
      <c r="BIH52" s="53"/>
      <c r="BII52" s="53"/>
      <c r="BIJ52" s="53"/>
      <c r="BIK52" s="53"/>
      <c r="BIL52" s="53"/>
      <c r="BIM52" s="53"/>
      <c r="BIN52" s="53"/>
      <c r="BIO52" s="53"/>
      <c r="BIP52" s="53"/>
      <c r="BIQ52" s="53"/>
      <c r="BIR52" s="53"/>
      <c r="BIS52" s="53"/>
      <c r="BIT52" s="53"/>
      <c r="BIU52" s="53"/>
      <c r="BIV52" s="53"/>
      <c r="BIW52" s="53"/>
      <c r="BIX52" s="53"/>
      <c r="BIY52" s="53"/>
      <c r="BIZ52" s="53"/>
      <c r="BJA52" s="53"/>
      <c r="BJB52" s="53"/>
      <c r="BJC52" s="53"/>
      <c r="BJD52" s="53"/>
      <c r="BJE52" s="53"/>
      <c r="BJF52" s="53"/>
      <c r="BJG52" s="53"/>
      <c r="BJH52" s="53"/>
      <c r="BJI52" s="53"/>
      <c r="BJJ52" s="53"/>
      <c r="BJK52" s="53"/>
      <c r="BJL52" s="53"/>
      <c r="BJM52" s="53"/>
      <c r="BJN52" s="53"/>
      <c r="BJO52" s="53"/>
      <c r="BJP52" s="53"/>
      <c r="BJQ52" s="53"/>
      <c r="BJR52" s="53"/>
      <c r="BJS52" s="53"/>
      <c r="BJT52" s="53"/>
      <c r="BJU52" s="53"/>
      <c r="BJV52" s="53"/>
      <c r="BJW52" s="53"/>
      <c r="BJX52" s="53"/>
      <c r="BJY52" s="53"/>
      <c r="BJZ52" s="53"/>
      <c r="BKA52" s="53"/>
      <c r="BKB52" s="53"/>
      <c r="BKC52" s="53"/>
      <c r="BKD52" s="53"/>
      <c r="BKE52" s="53"/>
      <c r="BKF52" s="53"/>
      <c r="BKG52" s="53"/>
      <c r="BKH52" s="53"/>
      <c r="BKI52" s="53"/>
      <c r="BKJ52" s="53"/>
      <c r="BKK52" s="53"/>
      <c r="BKL52" s="53"/>
      <c r="BKM52" s="53"/>
      <c r="BKN52" s="53"/>
      <c r="BKO52" s="53"/>
      <c r="BKP52" s="53"/>
      <c r="BKQ52" s="53"/>
      <c r="BKR52" s="53"/>
      <c r="BKS52" s="53"/>
      <c r="BKT52" s="53"/>
      <c r="BKU52" s="53"/>
      <c r="BKV52" s="53"/>
      <c r="BKW52" s="53"/>
      <c r="BKX52" s="53"/>
      <c r="BKY52" s="53"/>
      <c r="BKZ52" s="53"/>
      <c r="BLA52" s="53"/>
      <c r="BLB52" s="53"/>
      <c r="BLC52" s="53"/>
      <c r="BLD52" s="53"/>
      <c r="BLE52" s="53"/>
      <c r="BLF52" s="53"/>
      <c r="BLG52" s="53"/>
      <c r="BLH52" s="53"/>
      <c r="BLI52" s="53"/>
      <c r="BLJ52" s="53"/>
      <c r="BLK52" s="53"/>
      <c r="BLL52" s="53"/>
      <c r="BLM52" s="53"/>
      <c r="BLN52" s="53"/>
      <c r="BLO52" s="53"/>
      <c r="BLP52" s="53"/>
      <c r="BLQ52" s="53"/>
      <c r="BLR52" s="53"/>
      <c r="BLS52" s="53"/>
      <c r="BLT52" s="53"/>
      <c r="BLU52" s="53"/>
      <c r="BLV52" s="53"/>
      <c r="BLW52" s="53"/>
      <c r="BLX52" s="53"/>
      <c r="BLY52" s="53"/>
      <c r="BLZ52" s="53"/>
      <c r="BMA52" s="53"/>
      <c r="BMB52" s="53"/>
      <c r="BMC52" s="53"/>
      <c r="BMD52" s="53"/>
      <c r="BME52" s="53"/>
      <c r="BMF52" s="53"/>
      <c r="BMG52" s="53"/>
      <c r="BMH52" s="53"/>
      <c r="BMI52" s="53"/>
      <c r="BMJ52" s="53"/>
      <c r="BMK52" s="53"/>
      <c r="BML52" s="53"/>
      <c r="BMM52" s="53"/>
      <c r="BMN52" s="53"/>
      <c r="BMO52" s="53"/>
      <c r="BMP52" s="53"/>
      <c r="BMQ52" s="53"/>
      <c r="BMR52" s="53"/>
      <c r="BMS52" s="53"/>
      <c r="BMT52" s="53"/>
      <c r="BMU52" s="53"/>
      <c r="BMV52" s="53"/>
      <c r="BMW52" s="53"/>
      <c r="BMX52" s="53"/>
      <c r="BMY52" s="53"/>
      <c r="BMZ52" s="53"/>
      <c r="BNA52" s="53"/>
      <c r="BNB52" s="53"/>
      <c r="BNC52" s="53"/>
      <c r="BND52" s="53"/>
      <c r="BNE52" s="53"/>
      <c r="BNF52" s="53"/>
      <c r="BNG52" s="53"/>
      <c r="BNH52" s="53"/>
      <c r="BNI52" s="53"/>
      <c r="BNJ52" s="53"/>
      <c r="BNK52" s="53"/>
      <c r="BNL52" s="53"/>
      <c r="BNM52" s="53"/>
      <c r="BNN52" s="53"/>
      <c r="BNO52" s="53"/>
      <c r="BNP52" s="53"/>
      <c r="BNQ52" s="53"/>
      <c r="BNR52" s="53"/>
      <c r="BNS52" s="53"/>
      <c r="BNT52" s="53"/>
      <c r="BNU52" s="53"/>
      <c r="BNV52" s="53"/>
      <c r="BNW52" s="53"/>
      <c r="BNX52" s="53"/>
      <c r="BNY52" s="53"/>
      <c r="BNZ52" s="53"/>
      <c r="BOA52" s="53"/>
      <c r="BOB52" s="53"/>
      <c r="BOC52" s="53"/>
      <c r="BOD52" s="53"/>
      <c r="BOE52" s="53"/>
      <c r="BOF52" s="53"/>
      <c r="BOG52" s="53"/>
      <c r="BOH52" s="53"/>
      <c r="BOI52" s="53"/>
      <c r="BOJ52" s="53"/>
      <c r="BOK52" s="53"/>
      <c r="BOL52" s="53"/>
      <c r="BOM52" s="53"/>
      <c r="BON52" s="53"/>
      <c r="BOO52" s="53"/>
      <c r="BOP52" s="53"/>
      <c r="BOQ52" s="53"/>
      <c r="BOR52" s="53"/>
      <c r="BOS52" s="53"/>
      <c r="BOT52" s="53"/>
      <c r="BOU52" s="53"/>
      <c r="BOV52" s="53"/>
      <c r="BOW52" s="53"/>
      <c r="BOX52" s="53"/>
      <c r="BOY52" s="53"/>
      <c r="BOZ52" s="53"/>
      <c r="BPA52" s="53"/>
      <c r="BPB52" s="53"/>
      <c r="BPC52" s="53"/>
      <c r="BPD52" s="53"/>
      <c r="BPE52" s="53"/>
      <c r="BPF52" s="53"/>
      <c r="BPG52" s="53"/>
      <c r="BPH52" s="53"/>
      <c r="BPI52" s="53"/>
      <c r="BPJ52" s="53"/>
      <c r="BPK52" s="53"/>
      <c r="BPL52" s="53"/>
      <c r="BPM52" s="53"/>
      <c r="BPN52" s="53"/>
      <c r="BPO52" s="53"/>
      <c r="BPP52" s="53"/>
      <c r="BPQ52" s="53"/>
      <c r="BPR52" s="53"/>
      <c r="BPS52" s="53"/>
      <c r="BPT52" s="53"/>
      <c r="BPU52" s="53"/>
      <c r="BPV52" s="53"/>
      <c r="BPW52" s="53"/>
      <c r="BPX52" s="53"/>
      <c r="BPY52" s="53"/>
      <c r="BPZ52" s="53"/>
      <c r="BQA52" s="53"/>
      <c r="BQB52" s="53"/>
      <c r="BQC52" s="53"/>
      <c r="BQD52" s="53"/>
      <c r="BQE52" s="53"/>
      <c r="BQF52" s="53"/>
      <c r="BQG52" s="53"/>
      <c r="BQH52" s="53"/>
      <c r="BQI52" s="53"/>
      <c r="BQJ52" s="53"/>
      <c r="BQK52" s="53"/>
      <c r="BQL52" s="53"/>
      <c r="BQM52" s="53"/>
      <c r="BQN52" s="53"/>
      <c r="BQO52" s="53"/>
      <c r="BQP52" s="53"/>
      <c r="BQQ52" s="53"/>
      <c r="BQR52" s="53"/>
      <c r="BQS52" s="53"/>
      <c r="BQT52" s="53"/>
      <c r="BQU52" s="53"/>
      <c r="BQV52" s="53"/>
      <c r="BQW52" s="53"/>
      <c r="BQX52" s="53"/>
      <c r="BQY52" s="53"/>
      <c r="BQZ52" s="53"/>
      <c r="BRA52" s="53"/>
      <c r="BRB52" s="53"/>
      <c r="BRC52" s="53"/>
      <c r="BRD52" s="53"/>
      <c r="BRE52" s="53"/>
      <c r="BRF52" s="53"/>
      <c r="BRG52" s="53"/>
      <c r="BRH52" s="53"/>
      <c r="BRI52" s="53"/>
      <c r="BRJ52" s="53"/>
      <c r="BRK52" s="53"/>
      <c r="BRL52" s="53"/>
      <c r="BRM52" s="53"/>
      <c r="BRN52" s="53"/>
      <c r="BRO52" s="53"/>
      <c r="BRP52" s="53"/>
      <c r="BRQ52" s="53"/>
      <c r="BRR52" s="53"/>
      <c r="BRS52" s="53"/>
      <c r="BRT52" s="53"/>
      <c r="BRU52" s="53"/>
      <c r="BRV52" s="53"/>
      <c r="BRW52" s="53"/>
      <c r="BRX52" s="53"/>
      <c r="BRY52" s="53"/>
      <c r="BRZ52" s="53"/>
      <c r="BSA52" s="53"/>
      <c r="BSB52" s="53"/>
      <c r="BSC52" s="53"/>
      <c r="BSD52" s="53"/>
      <c r="BSE52" s="53"/>
      <c r="BSF52" s="53"/>
      <c r="BSG52" s="53"/>
      <c r="BSH52" s="53"/>
      <c r="BSI52" s="53"/>
      <c r="BSJ52" s="53"/>
      <c r="BSK52" s="53"/>
      <c r="BSL52" s="53"/>
      <c r="BSM52" s="53"/>
      <c r="BSN52" s="53"/>
      <c r="BSO52" s="53"/>
      <c r="BSP52" s="53"/>
      <c r="BSQ52" s="53"/>
      <c r="BSR52" s="53"/>
      <c r="BSS52" s="53"/>
      <c r="BST52" s="53"/>
      <c r="BSU52" s="53"/>
      <c r="BSV52" s="53"/>
      <c r="BSW52" s="53"/>
      <c r="BSX52" s="53"/>
      <c r="BSY52" s="53"/>
      <c r="BSZ52" s="53"/>
      <c r="BTA52" s="53"/>
      <c r="BTB52" s="53"/>
      <c r="BTC52" s="53"/>
      <c r="BTD52" s="53"/>
      <c r="BTE52" s="53"/>
      <c r="BTF52" s="53"/>
      <c r="BTG52" s="53"/>
      <c r="BTH52" s="53"/>
      <c r="BTI52" s="53"/>
      <c r="BTJ52" s="53"/>
      <c r="BTK52" s="53"/>
      <c r="BTL52" s="53"/>
      <c r="BTM52" s="53"/>
      <c r="BTN52" s="53"/>
      <c r="BTO52" s="53"/>
      <c r="BTP52" s="53"/>
      <c r="BTQ52" s="53"/>
      <c r="BTR52" s="53"/>
      <c r="BTS52" s="53"/>
      <c r="BTT52" s="53"/>
      <c r="BTU52" s="53"/>
      <c r="BTV52" s="53"/>
      <c r="BTW52" s="53"/>
      <c r="BTX52" s="53"/>
      <c r="BTY52" s="53"/>
      <c r="BTZ52" s="53"/>
      <c r="BUA52" s="53"/>
      <c r="BUB52" s="53"/>
      <c r="BUC52" s="53"/>
      <c r="BUD52" s="53"/>
      <c r="BUE52" s="53"/>
      <c r="BUF52" s="53"/>
      <c r="BUG52" s="53"/>
      <c r="BUH52" s="53"/>
      <c r="BUI52" s="53"/>
      <c r="BUJ52" s="53"/>
      <c r="BUK52" s="53"/>
      <c r="BUL52" s="53"/>
      <c r="BUM52" s="53"/>
      <c r="BUN52" s="53"/>
      <c r="BUO52" s="53"/>
      <c r="BUP52" s="53"/>
      <c r="BUQ52" s="53"/>
      <c r="BUR52" s="53"/>
      <c r="BUS52" s="53"/>
      <c r="BUT52" s="53"/>
      <c r="BUU52" s="53"/>
      <c r="BUV52" s="53"/>
      <c r="BUW52" s="53"/>
      <c r="BUX52" s="53"/>
      <c r="BUY52" s="53"/>
      <c r="BUZ52" s="53"/>
      <c r="BVA52" s="53"/>
      <c r="BVB52" s="53"/>
      <c r="BVC52" s="53"/>
      <c r="BVD52" s="53"/>
      <c r="BVE52" s="53"/>
      <c r="BVF52" s="53"/>
      <c r="BVG52" s="53"/>
      <c r="BVH52" s="53"/>
      <c r="BVI52" s="53"/>
      <c r="BVJ52" s="53"/>
      <c r="BVK52" s="53"/>
      <c r="BVL52" s="53"/>
      <c r="BVM52" s="53"/>
      <c r="BVN52" s="53"/>
      <c r="BVO52" s="53"/>
      <c r="BVP52" s="53"/>
      <c r="BVQ52" s="53"/>
      <c r="BVR52" s="53"/>
      <c r="BVS52" s="53"/>
      <c r="BVT52" s="53"/>
      <c r="BVU52" s="53"/>
      <c r="BVV52" s="53"/>
      <c r="BVW52" s="53"/>
      <c r="BVX52" s="53"/>
      <c r="BVY52" s="53"/>
      <c r="BVZ52" s="53"/>
      <c r="BWA52" s="53"/>
      <c r="BWB52" s="53"/>
      <c r="BWC52" s="53"/>
      <c r="BWD52" s="53"/>
      <c r="BWE52" s="53"/>
      <c r="BWF52" s="53"/>
      <c r="BWG52" s="53"/>
      <c r="BWH52" s="53"/>
      <c r="BWI52" s="53"/>
      <c r="BWJ52" s="53"/>
      <c r="BWK52" s="53"/>
      <c r="BWL52" s="53"/>
      <c r="BWM52" s="53"/>
      <c r="BWN52" s="53"/>
      <c r="BWO52" s="53"/>
      <c r="BWP52" s="53"/>
      <c r="BWQ52" s="53"/>
      <c r="BWR52" s="53"/>
      <c r="BWS52" s="53"/>
      <c r="BWT52" s="53"/>
      <c r="BWU52" s="53"/>
      <c r="BWV52" s="53"/>
      <c r="BWW52" s="53"/>
      <c r="BWX52" s="53"/>
      <c r="BWY52" s="53"/>
      <c r="BWZ52" s="53"/>
      <c r="BXA52" s="53"/>
      <c r="BXB52" s="53"/>
      <c r="BXC52" s="53"/>
      <c r="BXD52" s="53"/>
      <c r="BXE52" s="53"/>
      <c r="BXF52" s="53"/>
      <c r="BXG52" s="53"/>
      <c r="BXH52" s="53"/>
      <c r="BXI52" s="53"/>
      <c r="BXJ52" s="53"/>
      <c r="BXK52" s="53"/>
      <c r="BXL52" s="53"/>
      <c r="BXM52" s="53"/>
      <c r="BXN52" s="53"/>
      <c r="BXO52" s="53"/>
      <c r="BXP52" s="53"/>
      <c r="BXQ52" s="53"/>
      <c r="BXR52" s="53"/>
      <c r="BXS52" s="53"/>
      <c r="BXT52" s="53"/>
      <c r="BXU52" s="53"/>
      <c r="BXV52" s="53"/>
      <c r="BXW52" s="53"/>
      <c r="BXX52" s="53"/>
      <c r="BXY52" s="53"/>
      <c r="BXZ52" s="53"/>
      <c r="BYA52" s="53"/>
      <c r="BYB52" s="53"/>
      <c r="BYC52" s="53"/>
      <c r="BYD52" s="53"/>
      <c r="BYE52" s="53"/>
      <c r="BYF52" s="53"/>
      <c r="BYG52" s="53"/>
      <c r="BYH52" s="53"/>
      <c r="BYI52" s="53"/>
      <c r="BYJ52" s="53"/>
      <c r="BYK52" s="53"/>
      <c r="BYL52" s="53"/>
      <c r="BYM52" s="53"/>
      <c r="BYN52" s="53"/>
      <c r="BYO52" s="53"/>
      <c r="BYP52" s="53"/>
      <c r="BYQ52" s="53"/>
      <c r="BYR52" s="53"/>
      <c r="BYS52" s="53"/>
      <c r="BYT52" s="53"/>
      <c r="BYU52" s="53"/>
      <c r="BYV52" s="53"/>
      <c r="BYW52" s="53"/>
      <c r="BYX52" s="53"/>
      <c r="BYY52" s="53"/>
      <c r="BYZ52" s="53"/>
      <c r="BZA52" s="53"/>
      <c r="BZB52" s="53"/>
      <c r="BZC52" s="53"/>
      <c r="BZD52" s="53"/>
      <c r="BZE52" s="53"/>
      <c r="BZF52" s="53"/>
      <c r="BZG52" s="53"/>
      <c r="BZH52" s="53"/>
      <c r="BZI52" s="53"/>
      <c r="BZJ52" s="53"/>
      <c r="BZK52" s="53"/>
      <c r="BZL52" s="53"/>
      <c r="BZM52" s="53"/>
      <c r="BZN52" s="53"/>
      <c r="BZO52" s="53"/>
      <c r="BZP52" s="53"/>
      <c r="BZQ52" s="53"/>
      <c r="BZR52" s="53"/>
      <c r="BZS52" s="53"/>
      <c r="BZT52" s="53"/>
      <c r="BZU52" s="53"/>
      <c r="BZV52" s="53"/>
      <c r="BZW52" s="53"/>
      <c r="BZX52" s="53"/>
      <c r="BZY52" s="53"/>
      <c r="BZZ52" s="53"/>
      <c r="CAA52" s="53"/>
      <c r="CAB52" s="53"/>
      <c r="CAC52" s="53"/>
      <c r="CAD52" s="53"/>
      <c r="CAE52" s="53"/>
      <c r="CAF52" s="53"/>
      <c r="CAG52" s="53"/>
      <c r="CAH52" s="53"/>
      <c r="CAI52" s="53"/>
      <c r="CAJ52" s="53"/>
      <c r="CAK52" s="53"/>
      <c r="CAL52" s="53"/>
      <c r="CAM52" s="53"/>
      <c r="CAN52" s="53"/>
      <c r="CAO52" s="53"/>
      <c r="CAP52" s="53"/>
      <c r="CAQ52" s="53"/>
      <c r="CAR52" s="53"/>
      <c r="CAS52" s="53"/>
      <c r="CAT52" s="53"/>
      <c r="CAU52" s="53"/>
      <c r="CAV52" s="53"/>
      <c r="CAW52" s="53"/>
      <c r="CAX52" s="53"/>
      <c r="CAY52" s="53"/>
      <c r="CAZ52" s="53"/>
      <c r="CBA52" s="53"/>
      <c r="CBB52" s="53"/>
      <c r="CBC52" s="53"/>
      <c r="CBD52" s="53"/>
      <c r="CBE52" s="53"/>
      <c r="CBF52" s="53"/>
      <c r="CBG52" s="53"/>
      <c r="CBH52" s="53"/>
      <c r="CBI52" s="53"/>
      <c r="CBJ52" s="53"/>
      <c r="CBK52" s="53"/>
      <c r="CBL52" s="53"/>
      <c r="CBM52" s="53"/>
      <c r="CBN52" s="53"/>
      <c r="CBO52" s="53"/>
      <c r="CBP52" s="53"/>
      <c r="CBQ52" s="53"/>
      <c r="CBR52" s="53"/>
      <c r="CBS52" s="53"/>
      <c r="CBT52" s="53"/>
      <c r="CBU52" s="53"/>
      <c r="CBV52" s="53"/>
      <c r="CBW52" s="53"/>
      <c r="CBX52" s="53"/>
      <c r="CBY52" s="53"/>
      <c r="CBZ52" s="53"/>
      <c r="CCA52" s="53"/>
      <c r="CCB52" s="53"/>
      <c r="CCC52" s="53"/>
      <c r="CCD52" s="53"/>
      <c r="CCE52" s="53"/>
      <c r="CCF52" s="53"/>
      <c r="CCG52" s="53"/>
      <c r="CCH52" s="53"/>
      <c r="CCI52" s="53"/>
      <c r="CCJ52" s="53"/>
      <c r="CCK52" s="53"/>
      <c r="CCL52" s="53"/>
      <c r="CCM52" s="53"/>
      <c r="CCN52" s="53"/>
      <c r="CCO52" s="53"/>
      <c r="CCP52" s="53"/>
      <c r="CCQ52" s="53"/>
      <c r="CCR52" s="53"/>
      <c r="CCS52" s="53"/>
      <c r="CCT52" s="53"/>
      <c r="CCU52" s="53"/>
      <c r="CCV52" s="53"/>
      <c r="CCW52" s="53"/>
      <c r="CCX52" s="53"/>
      <c r="CCY52" s="53"/>
      <c r="CCZ52" s="53"/>
      <c r="CDA52" s="53"/>
      <c r="CDB52" s="53"/>
      <c r="CDC52" s="53"/>
      <c r="CDD52" s="53"/>
      <c r="CDE52" s="53"/>
      <c r="CDF52" s="53"/>
      <c r="CDG52" s="53"/>
      <c r="CDH52" s="53"/>
      <c r="CDI52" s="53"/>
      <c r="CDJ52" s="53"/>
      <c r="CDK52" s="53"/>
      <c r="CDL52" s="53"/>
      <c r="CDM52" s="53"/>
      <c r="CDN52" s="53"/>
      <c r="CDO52" s="53"/>
      <c r="CDP52" s="53"/>
      <c r="CDQ52" s="53"/>
      <c r="CDR52" s="53"/>
      <c r="CDS52" s="53"/>
      <c r="CDT52" s="53"/>
      <c r="CDU52" s="53"/>
      <c r="CDV52" s="53"/>
      <c r="CDW52" s="53"/>
      <c r="CDX52" s="53"/>
      <c r="CDY52" s="53"/>
      <c r="CDZ52" s="53"/>
      <c r="CEA52" s="53"/>
      <c r="CEB52" s="53"/>
      <c r="CEC52" s="53"/>
      <c r="CED52" s="53"/>
      <c r="CEE52" s="53"/>
      <c r="CEF52" s="53"/>
      <c r="CEG52" s="53"/>
      <c r="CEH52" s="53"/>
      <c r="CEI52" s="53"/>
      <c r="CEJ52" s="53"/>
      <c r="CEK52" s="53"/>
      <c r="CEL52" s="53"/>
      <c r="CEM52" s="53"/>
      <c r="CEN52" s="53"/>
      <c r="CEO52" s="53"/>
      <c r="CEP52" s="53"/>
      <c r="CEQ52" s="53"/>
      <c r="CER52" s="53"/>
      <c r="CES52" s="53"/>
      <c r="CET52" s="53"/>
      <c r="CEU52" s="53"/>
      <c r="CEV52" s="53"/>
      <c r="CEW52" s="53"/>
      <c r="CEX52" s="53"/>
      <c r="CEY52" s="53"/>
      <c r="CEZ52" s="53"/>
      <c r="CFA52" s="53"/>
      <c r="CFB52" s="53"/>
      <c r="CFC52" s="53"/>
      <c r="CFD52" s="53"/>
      <c r="CFE52" s="53"/>
      <c r="CFF52" s="53"/>
      <c r="CFG52" s="53"/>
      <c r="CFH52" s="53"/>
      <c r="CFI52" s="53"/>
      <c r="CFJ52" s="53"/>
      <c r="CFK52" s="53"/>
      <c r="CFL52" s="53"/>
      <c r="CFM52" s="53"/>
      <c r="CFN52" s="53"/>
      <c r="CFO52" s="53"/>
      <c r="CFP52" s="53"/>
      <c r="CFQ52" s="53"/>
      <c r="CFR52" s="53"/>
      <c r="CFS52" s="53"/>
      <c r="CFT52" s="53"/>
      <c r="CFU52" s="53"/>
      <c r="CFV52" s="53"/>
      <c r="CFW52" s="53"/>
      <c r="CFX52" s="53"/>
      <c r="CFY52" s="53"/>
      <c r="CFZ52" s="53"/>
      <c r="CGA52" s="53"/>
      <c r="CGB52" s="53"/>
      <c r="CGC52" s="53"/>
      <c r="CGD52" s="53"/>
      <c r="CGE52" s="53"/>
      <c r="CGF52" s="53"/>
      <c r="CGG52" s="53"/>
      <c r="CGH52" s="53"/>
      <c r="CGI52" s="53"/>
      <c r="CGJ52" s="53"/>
      <c r="CGK52" s="53"/>
      <c r="CGL52" s="53"/>
      <c r="CGM52" s="53"/>
      <c r="CGN52" s="53"/>
      <c r="CGO52" s="53"/>
      <c r="CGP52" s="53"/>
      <c r="CGQ52" s="53"/>
      <c r="CGR52" s="53"/>
      <c r="CGS52" s="53"/>
      <c r="CGT52" s="53"/>
      <c r="CGU52" s="53"/>
      <c r="CGV52" s="53"/>
      <c r="CGW52" s="53"/>
      <c r="CGX52" s="53"/>
      <c r="CGY52" s="53"/>
      <c r="CGZ52" s="53"/>
      <c r="CHA52" s="53"/>
      <c r="CHB52" s="53"/>
      <c r="CHC52" s="53"/>
      <c r="CHD52" s="53"/>
      <c r="CHE52" s="53"/>
      <c r="CHF52" s="53"/>
      <c r="CHG52" s="53"/>
      <c r="CHH52" s="53"/>
      <c r="CHI52" s="53"/>
      <c r="CHJ52" s="53"/>
      <c r="CHK52" s="53"/>
      <c r="CHL52" s="53"/>
      <c r="CHM52" s="53"/>
      <c r="CHN52" s="53"/>
      <c r="CHO52" s="53"/>
      <c r="CHP52" s="53"/>
      <c r="CHQ52" s="53"/>
      <c r="CHR52" s="53"/>
      <c r="CHS52" s="53"/>
      <c r="CHT52" s="53"/>
      <c r="CHU52" s="53"/>
      <c r="CHV52" s="53"/>
      <c r="CHW52" s="53"/>
      <c r="CHX52" s="53"/>
      <c r="CHY52" s="53"/>
      <c r="CHZ52" s="53"/>
      <c r="CIA52" s="53"/>
      <c r="CIB52" s="53"/>
      <c r="CIC52" s="53"/>
      <c r="CID52" s="53"/>
      <c r="CIE52" s="53"/>
      <c r="CIF52" s="53"/>
      <c r="CIG52" s="53"/>
      <c r="CIH52" s="53"/>
      <c r="CII52" s="53"/>
      <c r="CIJ52" s="53"/>
      <c r="CIK52" s="53"/>
      <c r="CIL52" s="53"/>
      <c r="CIM52" s="53"/>
      <c r="CIN52" s="53"/>
      <c r="CIO52" s="53"/>
      <c r="CIP52" s="53"/>
      <c r="CIQ52" s="53"/>
      <c r="CIR52" s="53"/>
      <c r="CIS52" s="53"/>
      <c r="CIT52" s="53"/>
      <c r="CIU52" s="53"/>
      <c r="CIV52" s="53"/>
      <c r="CIW52" s="53"/>
      <c r="CIX52" s="53"/>
      <c r="CIY52" s="53"/>
      <c r="CIZ52" s="53"/>
      <c r="CJA52" s="53"/>
      <c r="CJB52" s="53"/>
      <c r="CJC52" s="53"/>
      <c r="CJD52" s="53"/>
      <c r="CJE52" s="53"/>
      <c r="CJF52" s="53"/>
      <c r="CJG52" s="53"/>
      <c r="CJH52" s="53"/>
      <c r="CJI52" s="53"/>
      <c r="CJJ52" s="53"/>
      <c r="CJK52" s="53"/>
      <c r="CJL52" s="53"/>
      <c r="CJM52" s="53"/>
      <c r="CJN52" s="53"/>
      <c r="CJO52" s="53"/>
      <c r="CJP52" s="53"/>
      <c r="CJQ52" s="53"/>
      <c r="CJR52" s="53"/>
      <c r="CJS52" s="53"/>
      <c r="CJT52" s="53"/>
      <c r="CJU52" s="53"/>
      <c r="CJV52" s="53"/>
      <c r="CJW52" s="53"/>
      <c r="CJX52" s="53"/>
      <c r="CJY52" s="53"/>
      <c r="CJZ52" s="53"/>
      <c r="CKA52" s="53"/>
      <c r="CKB52" s="53"/>
      <c r="CKC52" s="53"/>
      <c r="CKD52" s="53"/>
      <c r="CKE52" s="53"/>
      <c r="CKF52" s="53"/>
      <c r="CKG52" s="53"/>
      <c r="CKH52" s="53"/>
      <c r="CKI52" s="53"/>
      <c r="CKJ52" s="53"/>
      <c r="CKK52" s="53"/>
      <c r="CKL52" s="53"/>
      <c r="CKM52" s="53"/>
      <c r="CKN52" s="53"/>
      <c r="CKO52" s="53"/>
      <c r="CKP52" s="53"/>
      <c r="CKQ52" s="53"/>
      <c r="CKR52" s="53"/>
      <c r="CKS52" s="53"/>
      <c r="CKT52" s="53"/>
      <c r="CKU52" s="53"/>
      <c r="CKV52" s="53"/>
      <c r="CKW52" s="53"/>
      <c r="CKX52" s="53"/>
      <c r="CKY52" s="53"/>
      <c r="CKZ52" s="53"/>
      <c r="CLA52" s="53"/>
      <c r="CLB52" s="53"/>
      <c r="CLC52" s="53"/>
      <c r="CLD52" s="53"/>
      <c r="CLE52" s="53"/>
      <c r="CLF52" s="53"/>
      <c r="CLG52" s="53"/>
      <c r="CLH52" s="53"/>
      <c r="CLI52" s="53"/>
      <c r="CLJ52" s="53"/>
      <c r="CLK52" s="53"/>
      <c r="CLL52" s="53"/>
      <c r="CLM52" s="53"/>
      <c r="CLN52" s="53"/>
      <c r="CLO52" s="53"/>
      <c r="CLP52" s="53"/>
      <c r="CLQ52" s="53"/>
      <c r="CLR52" s="53"/>
      <c r="CLS52" s="53"/>
      <c r="CLT52" s="53"/>
      <c r="CLU52" s="53"/>
      <c r="CLV52" s="53"/>
      <c r="CLW52" s="53"/>
      <c r="CLX52" s="53"/>
      <c r="CLY52" s="53"/>
      <c r="CLZ52" s="53"/>
      <c r="CMA52" s="53"/>
      <c r="CMB52" s="53"/>
      <c r="CMC52" s="53"/>
      <c r="CMD52" s="53"/>
      <c r="CME52" s="53"/>
      <c r="CMF52" s="53"/>
      <c r="CMG52" s="53"/>
      <c r="CMH52" s="53"/>
      <c r="CMI52" s="53"/>
      <c r="CMJ52" s="53"/>
      <c r="CMK52" s="53"/>
      <c r="CML52" s="53"/>
      <c r="CMM52" s="53"/>
      <c r="CMN52" s="53"/>
      <c r="CMO52" s="53"/>
      <c r="CMP52" s="53"/>
      <c r="CMQ52" s="53"/>
      <c r="CMR52" s="53"/>
      <c r="CMS52" s="53"/>
      <c r="CMT52" s="53"/>
      <c r="CMU52" s="53"/>
      <c r="CMV52" s="53"/>
      <c r="CMW52" s="53"/>
      <c r="CMX52" s="53"/>
      <c r="CMY52" s="53"/>
      <c r="CMZ52" s="53"/>
      <c r="CNA52" s="53"/>
      <c r="CNB52" s="53"/>
      <c r="CNC52" s="53"/>
      <c r="CND52" s="53"/>
      <c r="CNE52" s="53"/>
      <c r="CNF52" s="53"/>
      <c r="CNG52" s="53"/>
      <c r="CNH52" s="53"/>
      <c r="CNI52" s="53"/>
      <c r="CNJ52" s="53"/>
      <c r="CNK52" s="53"/>
      <c r="CNL52" s="53"/>
      <c r="CNM52" s="53"/>
      <c r="CNN52" s="53"/>
      <c r="CNO52" s="53"/>
      <c r="CNP52" s="53"/>
      <c r="CNQ52" s="53"/>
      <c r="CNR52" s="53"/>
      <c r="CNS52" s="53"/>
      <c r="CNT52" s="53"/>
      <c r="CNU52" s="53"/>
      <c r="CNV52" s="53"/>
      <c r="CNW52" s="53"/>
      <c r="CNX52" s="53"/>
      <c r="CNY52" s="53"/>
      <c r="CNZ52" s="53"/>
      <c r="COA52" s="53"/>
      <c r="COB52" s="53"/>
      <c r="COC52" s="53"/>
      <c r="COD52" s="53"/>
      <c r="COE52" s="53"/>
      <c r="COF52" s="53"/>
      <c r="COG52" s="53"/>
      <c r="COH52" s="53"/>
      <c r="COI52" s="53"/>
      <c r="COJ52" s="53"/>
      <c r="COK52" s="53"/>
      <c r="COL52" s="53"/>
      <c r="COM52" s="53"/>
      <c r="CON52" s="53"/>
      <c r="COO52" s="53"/>
      <c r="COP52" s="53"/>
      <c r="COQ52" s="53"/>
      <c r="COR52" s="53"/>
      <c r="COS52" s="53"/>
      <c r="COT52" s="53"/>
      <c r="COU52" s="53"/>
      <c r="COV52" s="53"/>
      <c r="COW52" s="53"/>
      <c r="COX52" s="53"/>
      <c r="COY52" s="53"/>
      <c r="COZ52" s="53"/>
      <c r="CPA52" s="53"/>
      <c r="CPB52" s="53"/>
      <c r="CPC52" s="53"/>
      <c r="CPD52" s="53"/>
      <c r="CPE52" s="53"/>
      <c r="CPF52" s="53"/>
      <c r="CPG52" s="53"/>
      <c r="CPH52" s="53"/>
      <c r="CPI52" s="53"/>
      <c r="CPJ52" s="53"/>
      <c r="CPK52" s="53"/>
      <c r="CPL52" s="53"/>
      <c r="CPM52" s="53"/>
      <c r="CPN52" s="53"/>
      <c r="CPO52" s="53"/>
      <c r="CPP52" s="53"/>
      <c r="CPQ52" s="53"/>
      <c r="CPR52" s="53"/>
      <c r="CPS52" s="53"/>
      <c r="CPT52" s="53"/>
      <c r="CPU52" s="53"/>
      <c r="CPV52" s="53"/>
      <c r="CPW52" s="53"/>
      <c r="CPX52" s="53"/>
      <c r="CPY52" s="53"/>
      <c r="CPZ52" s="53"/>
      <c r="CQA52" s="53"/>
      <c r="CQB52" s="53"/>
      <c r="CQC52" s="53"/>
      <c r="CQD52" s="53"/>
      <c r="CQE52" s="53"/>
      <c r="CQF52" s="53"/>
      <c r="CQG52" s="53"/>
      <c r="CQH52" s="53"/>
      <c r="CQI52" s="53"/>
      <c r="CQJ52" s="53"/>
      <c r="CQK52" s="53"/>
      <c r="CQL52" s="53"/>
      <c r="CQM52" s="53"/>
      <c r="CQN52" s="53"/>
      <c r="CQO52" s="53"/>
      <c r="CQP52" s="53"/>
      <c r="CQQ52" s="53"/>
      <c r="CQR52" s="53"/>
      <c r="CQS52" s="53"/>
      <c r="CQT52" s="53"/>
      <c r="CQU52" s="53"/>
      <c r="CQV52" s="53"/>
      <c r="CQW52" s="53"/>
      <c r="CQX52" s="53"/>
      <c r="CQY52" s="53"/>
      <c r="CQZ52" s="53"/>
      <c r="CRA52" s="53"/>
      <c r="CRB52" s="53"/>
      <c r="CRC52" s="53"/>
      <c r="CRD52" s="53"/>
      <c r="CRE52" s="53"/>
      <c r="CRF52" s="53"/>
      <c r="CRG52" s="53"/>
      <c r="CRH52" s="53"/>
      <c r="CRI52" s="53"/>
      <c r="CRJ52" s="53"/>
      <c r="CRK52" s="53"/>
      <c r="CRL52" s="53"/>
      <c r="CRM52" s="53"/>
      <c r="CRN52" s="53"/>
      <c r="CRO52" s="53"/>
      <c r="CRP52" s="53"/>
      <c r="CRQ52" s="53"/>
      <c r="CRR52" s="53"/>
      <c r="CRS52" s="53"/>
      <c r="CRT52" s="53"/>
      <c r="CRU52" s="53"/>
      <c r="CRV52" s="53"/>
      <c r="CRW52" s="53"/>
      <c r="CRX52" s="53"/>
      <c r="CRY52" s="53"/>
      <c r="CRZ52" s="53"/>
      <c r="CSA52" s="53"/>
      <c r="CSB52" s="53"/>
      <c r="CSC52" s="53"/>
      <c r="CSD52" s="53"/>
      <c r="CSE52" s="53"/>
      <c r="CSF52" s="53"/>
      <c r="CSG52" s="53"/>
      <c r="CSH52" s="53"/>
      <c r="CSI52" s="53"/>
      <c r="CSJ52" s="53"/>
      <c r="CSK52" s="53"/>
      <c r="CSL52" s="53"/>
      <c r="CSM52" s="53"/>
      <c r="CSN52" s="53"/>
      <c r="CSO52" s="53"/>
      <c r="CSP52" s="53"/>
      <c r="CSQ52" s="53"/>
      <c r="CSR52" s="53"/>
      <c r="CSS52" s="53"/>
      <c r="CST52" s="53"/>
      <c r="CSU52" s="53"/>
      <c r="CSV52" s="53"/>
      <c r="CSW52" s="53"/>
      <c r="CSX52" s="53"/>
      <c r="CSY52" s="53"/>
      <c r="CSZ52" s="53"/>
      <c r="CTA52" s="53"/>
      <c r="CTB52" s="53"/>
      <c r="CTC52" s="53"/>
      <c r="CTD52" s="53"/>
      <c r="CTE52" s="53"/>
      <c r="CTF52" s="53"/>
      <c r="CTG52" s="53"/>
      <c r="CTH52" s="53"/>
      <c r="CTI52" s="53"/>
      <c r="CTJ52" s="53"/>
      <c r="CTK52" s="53"/>
      <c r="CTL52" s="53"/>
      <c r="CTM52" s="53"/>
      <c r="CTN52" s="53"/>
      <c r="CTO52" s="53"/>
      <c r="CTP52" s="53"/>
      <c r="CTQ52" s="53"/>
      <c r="CTR52" s="53"/>
      <c r="CTS52" s="53"/>
      <c r="CTT52" s="53"/>
      <c r="CTU52" s="53"/>
      <c r="CTV52" s="53"/>
      <c r="CTW52" s="53"/>
      <c r="CTX52" s="53"/>
      <c r="CTY52" s="53"/>
      <c r="CTZ52" s="53"/>
      <c r="CUA52" s="53"/>
      <c r="CUB52" s="53"/>
      <c r="CUC52" s="53"/>
      <c r="CUD52" s="53"/>
      <c r="CUE52" s="53"/>
      <c r="CUF52" s="53"/>
      <c r="CUG52" s="53"/>
      <c r="CUH52" s="53"/>
      <c r="CUI52" s="53"/>
      <c r="CUJ52" s="53"/>
      <c r="CUK52" s="53"/>
      <c r="CUL52" s="53"/>
      <c r="CUM52" s="53"/>
      <c r="CUN52" s="53"/>
      <c r="CUO52" s="53"/>
      <c r="CUP52" s="53"/>
      <c r="CUQ52" s="53"/>
      <c r="CUR52" s="53"/>
      <c r="CUS52" s="53"/>
      <c r="CUT52" s="53"/>
      <c r="CUU52" s="53"/>
      <c r="CUV52" s="53"/>
      <c r="CUW52" s="53"/>
      <c r="CUX52" s="53"/>
      <c r="CUY52" s="53"/>
      <c r="CUZ52" s="53"/>
      <c r="CVA52" s="53"/>
      <c r="CVB52" s="53"/>
      <c r="CVC52" s="53"/>
      <c r="CVD52" s="53"/>
      <c r="CVE52" s="53"/>
      <c r="CVF52" s="53"/>
      <c r="CVG52" s="53"/>
      <c r="CVH52" s="53"/>
      <c r="CVI52" s="53"/>
      <c r="CVJ52" s="53"/>
      <c r="CVK52" s="53"/>
      <c r="CVL52" s="53"/>
      <c r="CVM52" s="53"/>
      <c r="CVN52" s="53"/>
      <c r="CVO52" s="53"/>
      <c r="CVP52" s="53"/>
      <c r="CVQ52" s="53"/>
      <c r="CVR52" s="53"/>
      <c r="CVS52" s="53"/>
      <c r="CVT52" s="53"/>
      <c r="CVU52" s="53"/>
      <c r="CVV52" s="53"/>
      <c r="CVW52" s="53"/>
      <c r="CVX52" s="53"/>
      <c r="CVY52" s="53"/>
      <c r="CVZ52" s="53"/>
      <c r="CWA52" s="53"/>
      <c r="CWB52" s="53"/>
      <c r="CWC52" s="53"/>
      <c r="CWD52" s="53"/>
      <c r="CWE52" s="53"/>
      <c r="CWF52" s="53"/>
      <c r="CWG52" s="53"/>
      <c r="CWH52" s="53"/>
      <c r="CWI52" s="53"/>
      <c r="CWJ52" s="53"/>
      <c r="CWK52" s="53"/>
      <c r="CWL52" s="53"/>
      <c r="CWM52" s="53"/>
      <c r="CWN52" s="53"/>
      <c r="CWO52" s="53"/>
      <c r="CWP52" s="53"/>
      <c r="CWQ52" s="53"/>
      <c r="CWR52" s="53"/>
      <c r="CWS52" s="53"/>
      <c r="CWT52" s="53"/>
      <c r="CWU52" s="53"/>
      <c r="CWV52" s="53"/>
      <c r="CWW52" s="53"/>
      <c r="CWX52" s="53"/>
      <c r="CWY52" s="53"/>
      <c r="CWZ52" s="53"/>
      <c r="CXA52" s="53"/>
      <c r="CXB52" s="53"/>
      <c r="CXC52" s="53"/>
      <c r="CXD52" s="53"/>
      <c r="CXE52" s="53"/>
      <c r="CXF52" s="53"/>
      <c r="CXG52" s="53"/>
      <c r="CXH52" s="53"/>
      <c r="CXI52" s="53"/>
      <c r="CXJ52" s="53"/>
      <c r="CXK52" s="53"/>
      <c r="CXL52" s="53"/>
      <c r="CXM52" s="53"/>
      <c r="CXN52" s="53"/>
      <c r="CXO52" s="53"/>
      <c r="CXP52" s="53"/>
      <c r="CXQ52" s="53"/>
      <c r="CXR52" s="53"/>
      <c r="CXS52" s="53"/>
      <c r="CXT52" s="53"/>
      <c r="CXU52" s="53"/>
      <c r="CXV52" s="53"/>
      <c r="CXW52" s="53"/>
      <c r="CXX52" s="53"/>
      <c r="CXY52" s="53"/>
      <c r="CXZ52" s="53"/>
      <c r="CYA52" s="53"/>
      <c r="CYB52" s="53"/>
      <c r="CYC52" s="53"/>
      <c r="CYD52" s="53"/>
      <c r="CYE52" s="53"/>
      <c r="CYF52" s="53"/>
      <c r="CYG52" s="53"/>
      <c r="CYH52" s="53"/>
      <c r="CYI52" s="53"/>
      <c r="CYJ52" s="53"/>
      <c r="CYK52" s="53"/>
      <c r="CYL52" s="53"/>
      <c r="CYM52" s="53"/>
      <c r="CYN52" s="53"/>
      <c r="CYO52" s="53"/>
      <c r="CYP52" s="53"/>
      <c r="CYQ52" s="53"/>
      <c r="CYR52" s="53"/>
      <c r="CYS52" s="53"/>
      <c r="CYT52" s="53"/>
      <c r="CYU52" s="53"/>
      <c r="CYV52" s="53"/>
      <c r="CYW52" s="53"/>
      <c r="CYX52" s="53"/>
      <c r="CYY52" s="53"/>
      <c r="CYZ52" s="53"/>
      <c r="CZA52" s="53"/>
      <c r="CZB52" s="53"/>
      <c r="CZC52" s="53"/>
      <c r="CZD52" s="53"/>
      <c r="CZE52" s="53"/>
      <c r="CZF52" s="53"/>
      <c r="CZG52" s="53"/>
      <c r="CZH52" s="53"/>
      <c r="CZI52" s="53"/>
      <c r="CZJ52" s="53"/>
      <c r="CZK52" s="53"/>
      <c r="CZL52" s="53"/>
      <c r="CZM52" s="53"/>
      <c r="CZN52" s="53"/>
      <c r="CZO52" s="53"/>
      <c r="CZP52" s="53"/>
      <c r="CZQ52" s="53"/>
      <c r="CZR52" s="53"/>
      <c r="CZS52" s="53"/>
      <c r="CZT52" s="53"/>
      <c r="CZU52" s="53"/>
      <c r="CZV52" s="53"/>
      <c r="CZW52" s="53"/>
      <c r="CZX52" s="53"/>
      <c r="CZY52" s="53"/>
      <c r="CZZ52" s="53"/>
      <c r="DAA52" s="53"/>
      <c r="DAB52" s="53"/>
      <c r="DAC52" s="53"/>
      <c r="DAD52" s="53"/>
      <c r="DAE52" s="53"/>
      <c r="DAF52" s="53"/>
      <c r="DAG52" s="53"/>
      <c r="DAH52" s="53"/>
      <c r="DAI52" s="53"/>
      <c r="DAJ52" s="53"/>
      <c r="DAK52" s="53"/>
      <c r="DAL52" s="53"/>
      <c r="DAM52" s="53"/>
      <c r="DAN52" s="53"/>
      <c r="DAO52" s="53"/>
      <c r="DAP52" s="53"/>
      <c r="DAQ52" s="53"/>
      <c r="DAR52" s="53"/>
      <c r="DAS52" s="53"/>
      <c r="DAT52" s="53"/>
      <c r="DAU52" s="53"/>
      <c r="DAV52" s="53"/>
      <c r="DAW52" s="53"/>
      <c r="DAX52" s="53"/>
      <c r="DAY52" s="53"/>
      <c r="DAZ52" s="53"/>
      <c r="DBA52" s="53"/>
      <c r="DBB52" s="53"/>
      <c r="DBC52" s="53"/>
      <c r="DBD52" s="53"/>
      <c r="DBE52" s="53"/>
      <c r="DBF52" s="53"/>
      <c r="DBG52" s="53"/>
      <c r="DBH52" s="53"/>
      <c r="DBI52" s="53"/>
      <c r="DBJ52" s="53"/>
      <c r="DBK52" s="53"/>
      <c r="DBL52" s="53"/>
      <c r="DBM52" s="53"/>
      <c r="DBN52" s="53"/>
      <c r="DBO52" s="53"/>
      <c r="DBP52" s="53"/>
      <c r="DBQ52" s="53"/>
      <c r="DBR52" s="53"/>
      <c r="DBS52" s="53"/>
      <c r="DBT52" s="53"/>
      <c r="DBU52" s="53"/>
      <c r="DBV52" s="53"/>
      <c r="DBW52" s="53"/>
      <c r="DBX52" s="53"/>
      <c r="DBY52" s="53"/>
      <c r="DBZ52" s="53"/>
      <c r="DCA52" s="53"/>
      <c r="DCB52" s="53"/>
      <c r="DCC52" s="53"/>
      <c r="DCD52" s="53"/>
      <c r="DCE52" s="53"/>
      <c r="DCF52" s="53"/>
      <c r="DCG52" s="53"/>
      <c r="DCH52" s="53"/>
      <c r="DCI52" s="53"/>
      <c r="DCJ52" s="53"/>
      <c r="DCK52" s="53"/>
      <c r="DCL52" s="53"/>
      <c r="DCM52" s="53"/>
      <c r="DCN52" s="53"/>
      <c r="DCO52" s="53"/>
      <c r="DCP52" s="53"/>
      <c r="DCQ52" s="53"/>
      <c r="DCR52" s="53"/>
      <c r="DCS52" s="53"/>
      <c r="DCT52" s="53"/>
      <c r="DCU52" s="53"/>
      <c r="DCV52" s="53"/>
      <c r="DCW52" s="53"/>
      <c r="DCX52" s="53"/>
      <c r="DCY52" s="53"/>
      <c r="DCZ52" s="53"/>
      <c r="DDA52" s="53"/>
      <c r="DDB52" s="53"/>
      <c r="DDC52" s="53"/>
      <c r="DDD52" s="53"/>
      <c r="DDE52" s="53"/>
      <c r="DDF52" s="53"/>
      <c r="DDG52" s="53"/>
      <c r="DDH52" s="53"/>
      <c r="DDI52" s="53"/>
      <c r="DDJ52" s="53"/>
      <c r="DDK52" s="53"/>
      <c r="DDL52" s="53"/>
      <c r="DDM52" s="53"/>
      <c r="DDN52" s="53"/>
      <c r="DDO52" s="53"/>
      <c r="DDP52" s="53"/>
      <c r="DDQ52" s="53"/>
      <c r="DDR52" s="53"/>
      <c r="DDS52" s="53"/>
      <c r="DDT52" s="53"/>
      <c r="DDU52" s="53"/>
      <c r="DDV52" s="53"/>
      <c r="DDW52" s="53"/>
      <c r="DDX52" s="53"/>
      <c r="DDY52" s="53"/>
      <c r="DDZ52" s="53"/>
      <c r="DEA52" s="53"/>
      <c r="DEB52" s="53"/>
      <c r="DEC52" s="53"/>
      <c r="DED52" s="53"/>
      <c r="DEE52" s="53"/>
      <c r="DEF52" s="53"/>
      <c r="DEG52" s="53"/>
      <c r="DEH52" s="53"/>
      <c r="DEI52" s="53"/>
      <c r="DEJ52" s="53"/>
      <c r="DEK52" s="53"/>
      <c r="DEL52" s="53"/>
      <c r="DEM52" s="53"/>
      <c r="DEN52" s="53"/>
      <c r="DEO52" s="53"/>
      <c r="DEP52" s="53"/>
      <c r="DEQ52" s="53"/>
      <c r="DER52" s="53"/>
      <c r="DES52" s="53"/>
      <c r="DET52" s="53"/>
      <c r="DEU52" s="53"/>
      <c r="DEV52" s="53"/>
      <c r="DEW52" s="53"/>
      <c r="DEX52" s="53"/>
      <c r="DEY52" s="53"/>
      <c r="DEZ52" s="53"/>
      <c r="DFA52" s="53"/>
      <c r="DFB52" s="53"/>
      <c r="DFC52" s="53"/>
      <c r="DFD52" s="53"/>
      <c r="DFE52" s="53"/>
      <c r="DFF52" s="53"/>
      <c r="DFG52" s="53"/>
      <c r="DFH52" s="53"/>
      <c r="DFI52" s="53"/>
      <c r="DFJ52" s="53"/>
      <c r="DFK52" s="53"/>
      <c r="DFL52" s="53"/>
      <c r="DFM52" s="53"/>
      <c r="DFN52" s="53"/>
      <c r="DFO52" s="53"/>
      <c r="DFP52" s="53"/>
      <c r="DFQ52" s="53"/>
      <c r="DFR52" s="53"/>
      <c r="DFS52" s="53"/>
      <c r="DFT52" s="53"/>
      <c r="DFU52" s="53"/>
      <c r="DFV52" s="53"/>
      <c r="DFW52" s="53"/>
      <c r="DFX52" s="53"/>
      <c r="DFY52" s="53"/>
      <c r="DFZ52" s="53"/>
      <c r="DGA52" s="53"/>
      <c r="DGB52" s="53"/>
      <c r="DGC52" s="53"/>
      <c r="DGD52" s="53"/>
      <c r="DGE52" s="53"/>
      <c r="DGF52" s="53"/>
      <c r="DGG52" s="53"/>
      <c r="DGH52" s="53"/>
      <c r="DGI52" s="53"/>
      <c r="DGJ52" s="53"/>
      <c r="DGK52" s="53"/>
      <c r="DGL52" s="53"/>
      <c r="DGM52" s="53"/>
      <c r="DGN52" s="53"/>
      <c r="DGO52" s="53"/>
      <c r="DGP52" s="53"/>
      <c r="DGQ52" s="53"/>
      <c r="DGR52" s="53"/>
      <c r="DGS52" s="53"/>
      <c r="DGT52" s="53"/>
      <c r="DGU52" s="53"/>
      <c r="DGV52" s="53"/>
      <c r="DGW52" s="53"/>
      <c r="DGX52" s="53"/>
      <c r="DGY52" s="53"/>
      <c r="DGZ52" s="53"/>
      <c r="DHA52" s="53"/>
      <c r="DHB52" s="53"/>
      <c r="DHC52" s="53"/>
      <c r="DHD52" s="53"/>
      <c r="DHE52" s="53"/>
      <c r="DHF52" s="53"/>
      <c r="DHG52" s="53"/>
      <c r="DHH52" s="53"/>
      <c r="DHI52" s="53"/>
      <c r="DHJ52" s="53"/>
      <c r="DHK52" s="53"/>
      <c r="DHL52" s="53"/>
      <c r="DHM52" s="53"/>
      <c r="DHN52" s="53"/>
      <c r="DHO52" s="53"/>
      <c r="DHP52" s="53"/>
      <c r="DHQ52" s="53"/>
      <c r="DHR52" s="53"/>
      <c r="DHS52" s="53"/>
      <c r="DHT52" s="53"/>
      <c r="DHU52" s="53"/>
      <c r="DHV52" s="53"/>
      <c r="DHW52" s="53"/>
      <c r="DHX52" s="53"/>
      <c r="DHY52" s="53"/>
      <c r="DHZ52" s="53"/>
      <c r="DIA52" s="53"/>
      <c r="DIB52" s="53"/>
      <c r="DIC52" s="53"/>
      <c r="DID52" s="53"/>
      <c r="DIE52" s="53"/>
      <c r="DIF52" s="53"/>
      <c r="DIG52" s="53"/>
      <c r="DIH52" s="53"/>
      <c r="DII52" s="53"/>
      <c r="DIJ52" s="53"/>
      <c r="DIK52" s="53"/>
      <c r="DIL52" s="53"/>
      <c r="DIM52" s="53"/>
      <c r="DIN52" s="53"/>
      <c r="DIO52" s="53"/>
      <c r="DIP52" s="53"/>
      <c r="DIQ52" s="53"/>
      <c r="DIR52" s="53"/>
      <c r="DIS52" s="53"/>
      <c r="DIT52" s="53"/>
      <c r="DIU52" s="53"/>
      <c r="DIV52" s="53"/>
      <c r="DIW52" s="53"/>
      <c r="DIX52" s="53"/>
      <c r="DIY52" s="53"/>
      <c r="DIZ52" s="53"/>
      <c r="DJA52" s="53"/>
      <c r="DJB52" s="53"/>
      <c r="DJC52" s="53"/>
      <c r="DJD52" s="53"/>
      <c r="DJE52" s="53"/>
      <c r="DJF52" s="53"/>
      <c r="DJG52" s="53"/>
      <c r="DJH52" s="53"/>
      <c r="DJI52" s="53"/>
      <c r="DJJ52" s="53"/>
      <c r="DJK52" s="53"/>
      <c r="DJL52" s="53"/>
      <c r="DJM52" s="53"/>
      <c r="DJN52" s="53"/>
      <c r="DJO52" s="53"/>
      <c r="DJP52" s="53"/>
      <c r="DJQ52" s="53"/>
      <c r="DJR52" s="53"/>
      <c r="DJS52" s="53"/>
      <c r="DJT52" s="53"/>
      <c r="DJU52" s="53"/>
      <c r="DJV52" s="53"/>
      <c r="DJW52" s="53"/>
      <c r="DJX52" s="53"/>
      <c r="DJY52" s="53"/>
      <c r="DJZ52" s="53"/>
      <c r="DKA52" s="53"/>
      <c r="DKB52" s="53"/>
      <c r="DKC52" s="53"/>
      <c r="DKD52" s="53"/>
      <c r="DKE52" s="53"/>
      <c r="DKF52" s="53"/>
      <c r="DKG52" s="53"/>
      <c r="DKH52" s="53"/>
      <c r="DKI52" s="53"/>
      <c r="DKJ52" s="53"/>
      <c r="DKK52" s="53"/>
      <c r="DKL52" s="53"/>
      <c r="DKM52" s="53"/>
      <c r="DKN52" s="53"/>
      <c r="DKO52" s="53"/>
      <c r="DKP52" s="53"/>
      <c r="DKQ52" s="53"/>
      <c r="DKR52" s="53"/>
      <c r="DKS52" s="53"/>
      <c r="DKT52" s="53"/>
      <c r="DKU52" s="53"/>
      <c r="DKV52" s="53"/>
      <c r="DKW52" s="53"/>
      <c r="DKX52" s="53"/>
      <c r="DKY52" s="53"/>
      <c r="DKZ52" s="53"/>
      <c r="DLA52" s="53"/>
      <c r="DLB52" s="53"/>
      <c r="DLC52" s="53"/>
      <c r="DLD52" s="53"/>
      <c r="DLE52" s="53"/>
      <c r="DLF52" s="53"/>
      <c r="DLG52" s="53"/>
      <c r="DLH52" s="53"/>
      <c r="DLI52" s="53"/>
      <c r="DLJ52" s="53"/>
      <c r="DLK52" s="53"/>
      <c r="DLL52" s="53"/>
      <c r="DLM52" s="53"/>
      <c r="DLN52" s="53"/>
      <c r="DLO52" s="53"/>
      <c r="DLP52" s="53"/>
      <c r="DLQ52" s="53"/>
      <c r="DLR52" s="53"/>
      <c r="DLS52" s="53"/>
      <c r="DLT52" s="53"/>
      <c r="DLU52" s="53"/>
      <c r="DLV52" s="53"/>
      <c r="DLW52" s="53"/>
      <c r="DLX52" s="53"/>
      <c r="DLY52" s="53"/>
      <c r="DLZ52" s="53"/>
      <c r="DMA52" s="53"/>
      <c r="DMB52" s="53"/>
      <c r="DMC52" s="53"/>
      <c r="DMD52" s="53"/>
      <c r="DME52" s="53"/>
      <c r="DMF52" s="53"/>
      <c r="DMG52" s="53"/>
      <c r="DMH52" s="53"/>
      <c r="DMI52" s="53"/>
      <c r="DMJ52" s="53"/>
      <c r="DMK52" s="53"/>
      <c r="DML52" s="53"/>
      <c r="DMM52" s="53"/>
      <c r="DMN52" s="53"/>
      <c r="DMO52" s="53"/>
      <c r="DMP52" s="53"/>
      <c r="DMQ52" s="53"/>
      <c r="DMR52" s="53"/>
      <c r="DMS52" s="53"/>
      <c r="DMT52" s="53"/>
      <c r="DMU52" s="53"/>
      <c r="DMV52" s="53"/>
      <c r="DMW52" s="53"/>
      <c r="DMX52" s="53"/>
      <c r="DMY52" s="53"/>
      <c r="DMZ52" s="53"/>
      <c r="DNA52" s="53"/>
      <c r="DNB52" s="53"/>
      <c r="DNC52" s="53"/>
      <c r="DND52" s="53"/>
      <c r="DNE52" s="53"/>
      <c r="DNF52" s="53"/>
      <c r="DNG52" s="53"/>
      <c r="DNH52" s="53"/>
      <c r="DNI52" s="53"/>
      <c r="DNJ52" s="53"/>
      <c r="DNK52" s="53"/>
      <c r="DNL52" s="53"/>
      <c r="DNM52" s="53"/>
      <c r="DNN52" s="53"/>
      <c r="DNO52" s="53"/>
      <c r="DNP52" s="53"/>
      <c r="DNQ52" s="53"/>
      <c r="DNR52" s="53"/>
      <c r="DNS52" s="53"/>
      <c r="DNT52" s="53"/>
      <c r="DNU52" s="53"/>
      <c r="DNV52" s="53"/>
      <c r="DNW52" s="53"/>
      <c r="DNX52" s="53"/>
      <c r="DNY52" s="53"/>
      <c r="DNZ52" s="53"/>
      <c r="DOA52" s="53"/>
      <c r="DOB52" s="53"/>
      <c r="DOC52" s="53"/>
      <c r="DOD52" s="53"/>
      <c r="DOE52" s="53"/>
      <c r="DOF52" s="53"/>
      <c r="DOG52" s="53"/>
      <c r="DOH52" s="53"/>
      <c r="DOI52" s="53"/>
      <c r="DOJ52" s="53"/>
      <c r="DOK52" s="53"/>
      <c r="DOL52" s="53"/>
      <c r="DOM52" s="53"/>
      <c r="DON52" s="53"/>
      <c r="DOO52" s="53"/>
      <c r="DOP52" s="53"/>
      <c r="DOQ52" s="53"/>
      <c r="DOR52" s="53"/>
      <c r="DOS52" s="53"/>
      <c r="DOT52" s="53"/>
      <c r="DOU52" s="53"/>
      <c r="DOV52" s="53"/>
      <c r="DOW52" s="53"/>
      <c r="DOX52" s="53"/>
      <c r="DOY52" s="53"/>
      <c r="DOZ52" s="53"/>
      <c r="DPA52" s="53"/>
      <c r="DPB52" s="53"/>
      <c r="DPC52" s="53"/>
      <c r="DPD52" s="53"/>
      <c r="DPE52" s="53"/>
      <c r="DPF52" s="53"/>
      <c r="DPG52" s="53"/>
      <c r="DPH52" s="53"/>
      <c r="DPI52" s="53"/>
      <c r="DPJ52" s="53"/>
      <c r="DPK52" s="53"/>
      <c r="DPL52" s="53"/>
      <c r="DPM52" s="53"/>
      <c r="DPN52" s="53"/>
      <c r="DPO52" s="53"/>
      <c r="DPP52" s="53"/>
      <c r="DPQ52" s="53"/>
      <c r="DPR52" s="53"/>
      <c r="DPS52" s="53"/>
      <c r="DPT52" s="53"/>
      <c r="DPU52" s="53"/>
      <c r="DPV52" s="53"/>
      <c r="DPW52" s="53"/>
      <c r="DPX52" s="53"/>
      <c r="DPY52" s="53"/>
      <c r="DPZ52" s="53"/>
      <c r="DQA52" s="53"/>
      <c r="DQB52" s="53"/>
      <c r="DQC52" s="53"/>
      <c r="DQD52" s="53"/>
      <c r="DQE52" s="53"/>
      <c r="DQF52" s="53"/>
      <c r="DQG52" s="53"/>
      <c r="DQH52" s="53"/>
      <c r="DQI52" s="53"/>
      <c r="DQJ52" s="53"/>
      <c r="DQK52" s="53"/>
      <c r="DQL52" s="53"/>
      <c r="DQM52" s="53"/>
      <c r="DQN52" s="53"/>
      <c r="DQO52" s="53"/>
      <c r="DQP52" s="53"/>
      <c r="DQQ52" s="53"/>
      <c r="DQR52" s="53"/>
      <c r="DQS52" s="53"/>
      <c r="DQT52" s="53"/>
      <c r="DQU52" s="53"/>
      <c r="DQV52" s="53"/>
      <c r="DQW52" s="53"/>
      <c r="DQX52" s="53"/>
      <c r="DQY52" s="53"/>
      <c r="DQZ52" s="53"/>
      <c r="DRA52" s="53"/>
      <c r="DRB52" s="53"/>
      <c r="DRC52" s="53"/>
      <c r="DRD52" s="53"/>
      <c r="DRE52" s="53"/>
      <c r="DRF52" s="53"/>
      <c r="DRG52" s="53"/>
      <c r="DRH52" s="53"/>
      <c r="DRI52" s="53"/>
      <c r="DRJ52" s="53"/>
      <c r="DRK52" s="53"/>
      <c r="DRL52" s="53"/>
      <c r="DRM52" s="53"/>
      <c r="DRN52" s="53"/>
      <c r="DRO52" s="53"/>
      <c r="DRP52" s="53"/>
      <c r="DRQ52" s="53"/>
      <c r="DRR52" s="53"/>
      <c r="DRS52" s="53"/>
      <c r="DRT52" s="53"/>
      <c r="DRU52" s="53"/>
      <c r="DRV52" s="53"/>
      <c r="DRW52" s="53"/>
      <c r="DRX52" s="53"/>
      <c r="DRY52" s="53"/>
      <c r="DRZ52" s="53"/>
      <c r="DSA52" s="53"/>
      <c r="DSB52" s="53"/>
      <c r="DSC52" s="53"/>
      <c r="DSD52" s="53"/>
      <c r="DSE52" s="53"/>
      <c r="DSF52" s="53"/>
      <c r="DSG52" s="53"/>
      <c r="DSH52" s="53"/>
      <c r="DSI52" s="53"/>
      <c r="DSJ52" s="53"/>
      <c r="DSK52" s="53"/>
      <c r="DSL52" s="53"/>
      <c r="DSM52" s="53"/>
      <c r="DSN52" s="53"/>
      <c r="DSO52" s="53"/>
      <c r="DSP52" s="53"/>
      <c r="DSQ52" s="53"/>
      <c r="DSR52" s="53"/>
      <c r="DSS52" s="53"/>
      <c r="DST52" s="53"/>
      <c r="DSU52" s="53"/>
      <c r="DSV52" s="53"/>
      <c r="DSW52" s="53"/>
      <c r="DSX52" s="53"/>
      <c r="DSY52" s="53"/>
      <c r="DSZ52" s="53"/>
      <c r="DTA52" s="53"/>
      <c r="DTB52" s="53"/>
      <c r="DTC52" s="53"/>
      <c r="DTD52" s="53"/>
      <c r="DTE52" s="53"/>
      <c r="DTF52" s="53"/>
      <c r="DTG52" s="53"/>
      <c r="DTH52" s="53"/>
      <c r="DTI52" s="53"/>
      <c r="DTJ52" s="53"/>
      <c r="DTK52" s="53"/>
      <c r="DTL52" s="53"/>
      <c r="DTM52" s="53"/>
      <c r="DTN52" s="53"/>
      <c r="DTO52" s="53"/>
      <c r="DTP52" s="53"/>
      <c r="DTQ52" s="53"/>
      <c r="DTR52" s="53"/>
      <c r="DTS52" s="53"/>
      <c r="DTT52" s="53"/>
      <c r="DTU52" s="53"/>
      <c r="DTV52" s="53"/>
      <c r="DTW52" s="53"/>
      <c r="DTX52" s="53"/>
      <c r="DTY52" s="53"/>
      <c r="DTZ52" s="53"/>
      <c r="DUA52" s="53"/>
      <c r="DUB52" s="53"/>
      <c r="DUC52" s="53"/>
      <c r="DUD52" s="53"/>
      <c r="DUE52" s="53"/>
      <c r="DUF52" s="53"/>
      <c r="DUG52" s="53"/>
      <c r="DUH52" s="53"/>
      <c r="DUI52" s="53"/>
      <c r="DUJ52" s="53"/>
      <c r="DUK52" s="53"/>
      <c r="DUL52" s="53"/>
      <c r="DUM52" s="53"/>
      <c r="DUN52" s="53"/>
      <c r="DUO52" s="53"/>
      <c r="DUP52" s="53"/>
      <c r="DUQ52" s="53"/>
      <c r="DUR52" s="53"/>
      <c r="DUS52" s="53"/>
      <c r="DUT52" s="53"/>
      <c r="DUU52" s="53"/>
      <c r="DUV52" s="53"/>
      <c r="DUW52" s="53"/>
      <c r="DUX52" s="53"/>
      <c r="DUY52" s="53"/>
      <c r="DUZ52" s="53"/>
      <c r="DVA52" s="53"/>
      <c r="DVB52" s="53"/>
      <c r="DVC52" s="53"/>
      <c r="DVD52" s="53"/>
      <c r="DVE52" s="53"/>
      <c r="DVF52" s="53"/>
      <c r="DVG52" s="53"/>
      <c r="DVH52" s="53"/>
      <c r="DVI52" s="53"/>
      <c r="DVJ52" s="53"/>
      <c r="DVK52" s="53"/>
      <c r="DVL52" s="53"/>
      <c r="DVM52" s="53"/>
      <c r="DVN52" s="53"/>
      <c r="DVO52" s="53"/>
      <c r="DVP52" s="53"/>
      <c r="DVQ52" s="53"/>
      <c r="DVR52" s="53"/>
      <c r="DVS52" s="53"/>
      <c r="DVT52" s="53"/>
      <c r="DVU52" s="53"/>
      <c r="DVV52" s="53"/>
      <c r="DVW52" s="53"/>
      <c r="DVX52" s="53"/>
      <c r="DVY52" s="53"/>
      <c r="DVZ52" s="53"/>
      <c r="DWA52" s="53"/>
      <c r="DWB52" s="53"/>
      <c r="DWC52" s="53"/>
      <c r="DWD52" s="53"/>
      <c r="DWE52" s="53"/>
      <c r="DWF52" s="53"/>
      <c r="DWG52" s="53"/>
      <c r="DWH52" s="53"/>
      <c r="DWI52" s="53"/>
      <c r="DWJ52" s="53"/>
      <c r="DWK52" s="53"/>
      <c r="DWL52" s="53"/>
      <c r="DWM52" s="53"/>
      <c r="DWN52" s="53"/>
      <c r="DWO52" s="53"/>
      <c r="DWP52" s="53"/>
      <c r="DWQ52" s="53"/>
      <c r="DWR52" s="53"/>
      <c r="DWS52" s="53"/>
      <c r="DWT52" s="53"/>
      <c r="DWU52" s="53"/>
      <c r="DWV52" s="53"/>
      <c r="DWW52" s="53"/>
      <c r="DWX52" s="53"/>
      <c r="DWY52" s="53"/>
      <c r="DWZ52" s="53"/>
      <c r="DXA52" s="53"/>
      <c r="DXB52" s="53"/>
      <c r="DXC52" s="53"/>
      <c r="DXD52" s="53"/>
      <c r="DXE52" s="53"/>
      <c r="DXF52" s="53"/>
      <c r="DXG52" s="53"/>
      <c r="DXH52" s="53"/>
      <c r="DXI52" s="53"/>
      <c r="DXJ52" s="53"/>
      <c r="DXK52" s="53"/>
      <c r="DXL52" s="53"/>
      <c r="DXM52" s="53"/>
      <c r="DXN52" s="53"/>
      <c r="DXO52" s="53"/>
      <c r="DXP52" s="53"/>
      <c r="DXQ52" s="53"/>
      <c r="DXR52" s="53"/>
      <c r="DXS52" s="53"/>
      <c r="DXT52" s="53"/>
      <c r="DXU52" s="53"/>
      <c r="DXV52" s="53"/>
      <c r="DXW52" s="53"/>
      <c r="DXX52" s="53"/>
      <c r="DXY52" s="53"/>
      <c r="DXZ52" s="53"/>
      <c r="DYA52" s="53"/>
      <c r="DYB52" s="53"/>
      <c r="DYC52" s="53"/>
      <c r="DYD52" s="53"/>
      <c r="DYE52" s="53"/>
      <c r="DYF52" s="53"/>
      <c r="DYG52" s="53"/>
      <c r="DYH52" s="53"/>
      <c r="DYI52" s="53"/>
      <c r="DYJ52" s="53"/>
      <c r="DYK52" s="53"/>
      <c r="DYL52" s="53"/>
      <c r="DYM52" s="53"/>
      <c r="DYN52" s="53"/>
      <c r="DYO52" s="53"/>
      <c r="DYP52" s="53"/>
      <c r="DYQ52" s="53"/>
      <c r="DYR52" s="53"/>
      <c r="DYS52" s="53"/>
      <c r="DYT52" s="53"/>
      <c r="DYU52" s="53"/>
      <c r="DYV52" s="53"/>
      <c r="DYW52" s="53"/>
      <c r="DYX52" s="53"/>
      <c r="DYY52" s="53"/>
      <c r="DYZ52" s="53"/>
      <c r="DZA52" s="53"/>
      <c r="DZB52" s="53"/>
      <c r="DZC52" s="53"/>
      <c r="DZD52" s="53"/>
      <c r="DZE52" s="53"/>
      <c r="DZF52" s="53"/>
      <c r="DZG52" s="53"/>
      <c r="DZH52" s="53"/>
      <c r="DZI52" s="53"/>
      <c r="DZJ52" s="53"/>
      <c r="DZK52" s="53"/>
      <c r="DZL52" s="53"/>
      <c r="DZM52" s="53"/>
      <c r="DZN52" s="53"/>
      <c r="DZO52" s="53"/>
      <c r="DZP52" s="53"/>
      <c r="DZQ52" s="53"/>
      <c r="DZR52" s="53"/>
      <c r="DZS52" s="53"/>
      <c r="DZT52" s="53"/>
      <c r="DZU52" s="53"/>
      <c r="DZV52" s="53"/>
      <c r="DZW52" s="53"/>
      <c r="DZX52" s="53"/>
      <c r="DZY52" s="53"/>
      <c r="DZZ52" s="53"/>
      <c r="EAA52" s="53"/>
      <c r="EAB52" s="53"/>
      <c r="EAC52" s="53"/>
      <c r="EAD52" s="53"/>
      <c r="EAE52" s="53"/>
      <c r="EAF52" s="53"/>
      <c r="EAG52" s="53"/>
      <c r="EAH52" s="53"/>
      <c r="EAI52" s="53"/>
      <c r="EAJ52" s="53"/>
      <c r="EAK52" s="53"/>
      <c r="EAL52" s="53"/>
      <c r="EAM52" s="53"/>
      <c r="EAN52" s="53"/>
      <c r="EAO52" s="53"/>
      <c r="EAP52" s="53"/>
      <c r="EAQ52" s="53"/>
      <c r="EAR52" s="53"/>
      <c r="EAS52" s="53"/>
      <c r="EAT52" s="53"/>
      <c r="EAU52" s="53"/>
      <c r="EAV52" s="53"/>
      <c r="EAW52" s="53"/>
      <c r="EAX52" s="53"/>
      <c r="EAY52" s="53"/>
      <c r="EAZ52" s="53"/>
      <c r="EBA52" s="53"/>
      <c r="EBB52" s="53"/>
      <c r="EBC52" s="53"/>
      <c r="EBD52" s="53"/>
      <c r="EBE52" s="53"/>
      <c r="EBF52" s="53"/>
      <c r="EBG52" s="53"/>
      <c r="EBH52" s="53"/>
      <c r="EBI52" s="53"/>
      <c r="EBJ52" s="53"/>
      <c r="EBK52" s="53"/>
      <c r="EBL52" s="53"/>
      <c r="EBM52" s="53"/>
      <c r="EBN52" s="53"/>
      <c r="EBO52" s="53"/>
      <c r="EBP52" s="53"/>
      <c r="EBQ52" s="53"/>
      <c r="EBR52" s="53"/>
      <c r="EBS52" s="53"/>
      <c r="EBT52" s="53"/>
      <c r="EBU52" s="53"/>
      <c r="EBV52" s="53"/>
      <c r="EBW52" s="53"/>
      <c r="EBX52" s="53"/>
      <c r="EBY52" s="53"/>
      <c r="EBZ52" s="53"/>
      <c r="ECA52" s="53"/>
      <c r="ECB52" s="53"/>
      <c r="ECC52" s="53"/>
      <c r="ECD52" s="53"/>
      <c r="ECE52" s="53"/>
      <c r="ECF52" s="53"/>
      <c r="ECG52" s="53"/>
      <c r="ECH52" s="53"/>
      <c r="ECI52" s="53"/>
      <c r="ECJ52" s="53"/>
      <c r="ECK52" s="53"/>
      <c r="ECL52" s="53"/>
      <c r="ECM52" s="53"/>
      <c r="ECN52" s="53"/>
      <c r="ECO52" s="53"/>
      <c r="ECP52" s="53"/>
      <c r="ECQ52" s="53"/>
      <c r="ECR52" s="53"/>
      <c r="ECS52" s="53"/>
      <c r="ECT52" s="53"/>
      <c r="ECU52" s="53"/>
      <c r="ECV52" s="53"/>
      <c r="ECW52" s="53"/>
      <c r="ECX52" s="53"/>
      <c r="ECY52" s="53"/>
      <c r="ECZ52" s="53"/>
      <c r="EDA52" s="53"/>
      <c r="EDB52" s="53"/>
      <c r="EDC52" s="53"/>
      <c r="EDD52" s="53"/>
      <c r="EDE52" s="53"/>
      <c r="EDF52" s="53"/>
      <c r="EDG52" s="53"/>
      <c r="EDH52" s="53"/>
      <c r="EDI52" s="53"/>
      <c r="EDJ52" s="53"/>
      <c r="EDK52" s="53"/>
      <c r="EDL52" s="53"/>
      <c r="EDM52" s="53"/>
      <c r="EDN52" s="53"/>
      <c r="EDO52" s="53"/>
      <c r="EDP52" s="53"/>
      <c r="EDQ52" s="53"/>
      <c r="EDR52" s="53"/>
      <c r="EDS52" s="53"/>
      <c r="EDT52" s="53"/>
      <c r="EDU52" s="53"/>
      <c r="EDV52" s="53"/>
      <c r="EDW52" s="53"/>
      <c r="EDX52" s="53"/>
      <c r="EDY52" s="53"/>
      <c r="EDZ52" s="53"/>
      <c r="EEA52" s="53"/>
      <c r="EEB52" s="53"/>
      <c r="EEC52" s="53"/>
      <c r="EED52" s="53"/>
      <c r="EEE52" s="53"/>
      <c r="EEF52" s="53"/>
      <c r="EEG52" s="53"/>
      <c r="EEH52" s="53"/>
      <c r="EEI52" s="53"/>
      <c r="EEJ52" s="53"/>
      <c r="EEK52" s="53"/>
      <c r="EEL52" s="53"/>
      <c r="EEM52" s="53"/>
      <c r="EEN52" s="53"/>
      <c r="EEO52" s="53"/>
      <c r="EEP52" s="53"/>
      <c r="EEQ52" s="53"/>
      <c r="EER52" s="53"/>
      <c r="EES52" s="53"/>
      <c r="EET52" s="53"/>
      <c r="EEU52" s="53"/>
      <c r="EEV52" s="53"/>
      <c r="EEW52" s="53"/>
      <c r="EEX52" s="53"/>
      <c r="EEY52" s="53"/>
      <c r="EEZ52" s="53"/>
      <c r="EFA52" s="53"/>
      <c r="EFB52" s="53"/>
      <c r="EFC52" s="53"/>
      <c r="EFD52" s="53"/>
      <c r="EFE52" s="53"/>
      <c r="EFF52" s="53"/>
      <c r="EFG52" s="53"/>
      <c r="EFH52" s="53"/>
      <c r="EFI52" s="53"/>
      <c r="EFJ52" s="53"/>
      <c r="EFK52" s="53"/>
      <c r="EFL52" s="53"/>
      <c r="EFM52" s="53"/>
      <c r="EFN52" s="53"/>
      <c r="EFO52" s="53"/>
      <c r="EFP52" s="53"/>
      <c r="EFQ52" s="53"/>
      <c r="EFR52" s="53"/>
      <c r="EFS52" s="53"/>
      <c r="EFT52" s="53"/>
      <c r="EFU52" s="53"/>
      <c r="EFV52" s="53"/>
      <c r="EFW52" s="53"/>
      <c r="EFX52" s="53"/>
      <c r="EFY52" s="53"/>
      <c r="EFZ52" s="53"/>
      <c r="EGA52" s="53"/>
      <c r="EGB52" s="53"/>
      <c r="EGC52" s="53"/>
      <c r="EGD52" s="53"/>
      <c r="EGE52" s="53"/>
      <c r="EGF52" s="53"/>
      <c r="EGG52" s="53"/>
      <c r="EGH52" s="53"/>
      <c r="EGI52" s="53"/>
      <c r="EGJ52" s="53"/>
      <c r="EGK52" s="53"/>
      <c r="EGL52" s="53"/>
      <c r="EGM52" s="53"/>
      <c r="EGN52" s="53"/>
      <c r="EGO52" s="53"/>
      <c r="EGP52" s="53"/>
      <c r="EGQ52" s="53"/>
      <c r="EGR52" s="53"/>
      <c r="EGS52" s="53"/>
      <c r="EGT52" s="53"/>
      <c r="EGU52" s="53"/>
      <c r="EGV52" s="53"/>
      <c r="EGW52" s="53"/>
      <c r="EGX52" s="53"/>
      <c r="EGY52" s="53"/>
      <c r="EGZ52" s="53"/>
      <c r="EHA52" s="53"/>
      <c r="EHB52" s="53"/>
      <c r="EHC52" s="53"/>
      <c r="EHD52" s="53"/>
      <c r="EHE52" s="53"/>
      <c r="EHF52" s="53"/>
      <c r="EHG52" s="53"/>
      <c r="EHH52" s="53"/>
      <c r="EHI52" s="53"/>
      <c r="EHJ52" s="53"/>
      <c r="EHK52" s="53"/>
      <c r="EHL52" s="53"/>
      <c r="EHM52" s="53"/>
      <c r="EHN52" s="53"/>
      <c r="EHO52" s="53"/>
      <c r="EHP52" s="53"/>
      <c r="EHQ52" s="53"/>
      <c r="EHR52" s="53"/>
      <c r="EHS52" s="53"/>
      <c r="EHT52" s="53"/>
      <c r="EHU52" s="53"/>
      <c r="EHV52" s="53"/>
      <c r="EHW52" s="53"/>
      <c r="EHX52" s="53"/>
      <c r="EHY52" s="53"/>
      <c r="EHZ52" s="53"/>
      <c r="EIA52" s="53"/>
      <c r="EIB52" s="53"/>
      <c r="EIC52" s="53"/>
      <c r="EID52" s="53"/>
      <c r="EIE52" s="53"/>
      <c r="EIF52" s="53"/>
      <c r="EIG52" s="53"/>
      <c r="EIH52" s="53"/>
      <c r="EII52" s="53"/>
      <c r="EIJ52" s="53"/>
      <c r="EIK52" s="53"/>
      <c r="EIL52" s="53"/>
      <c r="EIM52" s="53"/>
      <c r="EIN52" s="53"/>
      <c r="EIO52" s="53"/>
      <c r="EIP52" s="53"/>
      <c r="EIQ52" s="53"/>
      <c r="EIR52" s="53"/>
      <c r="EIS52" s="53"/>
      <c r="EIT52" s="53"/>
      <c r="EIU52" s="53"/>
      <c r="EIV52" s="53"/>
      <c r="EIW52" s="53"/>
      <c r="EIX52" s="53"/>
      <c r="EIY52" s="53"/>
      <c r="EIZ52" s="53"/>
      <c r="EJA52" s="53"/>
      <c r="EJB52" s="53"/>
      <c r="EJC52" s="53"/>
      <c r="EJD52" s="53"/>
      <c r="EJE52" s="53"/>
      <c r="EJF52" s="53"/>
      <c r="EJG52" s="53"/>
      <c r="EJH52" s="53"/>
      <c r="EJI52" s="53"/>
      <c r="EJJ52" s="53"/>
      <c r="EJK52" s="53"/>
      <c r="EJL52" s="53"/>
      <c r="EJM52" s="53"/>
      <c r="EJN52" s="53"/>
      <c r="EJO52" s="53"/>
      <c r="EJP52" s="53"/>
      <c r="EJQ52" s="53"/>
      <c r="EJR52" s="53"/>
      <c r="EJS52" s="53"/>
      <c r="EJT52" s="53"/>
      <c r="EJU52" s="53"/>
      <c r="EJV52" s="53"/>
      <c r="EJW52" s="53"/>
      <c r="EJX52" s="53"/>
      <c r="EJY52" s="53"/>
      <c r="EJZ52" s="53"/>
      <c r="EKA52" s="53"/>
      <c r="EKB52" s="53"/>
      <c r="EKC52" s="53"/>
      <c r="EKD52" s="53"/>
      <c r="EKE52" s="53"/>
      <c r="EKF52" s="53"/>
      <c r="EKG52" s="53"/>
      <c r="EKH52" s="53"/>
      <c r="EKI52" s="53"/>
      <c r="EKJ52" s="53"/>
      <c r="EKK52" s="53"/>
      <c r="EKL52" s="53"/>
      <c r="EKM52" s="53"/>
      <c r="EKN52" s="53"/>
      <c r="EKO52" s="53"/>
      <c r="EKP52" s="53"/>
      <c r="EKQ52" s="53"/>
      <c r="EKR52" s="53"/>
      <c r="EKS52" s="53"/>
      <c r="EKT52" s="53"/>
      <c r="EKU52" s="53"/>
      <c r="EKV52" s="53"/>
      <c r="EKW52" s="53"/>
      <c r="EKX52" s="53"/>
      <c r="EKY52" s="53"/>
      <c r="EKZ52" s="53"/>
      <c r="ELA52" s="53"/>
      <c r="ELB52" s="53"/>
      <c r="ELC52" s="53"/>
      <c r="ELD52" s="53"/>
      <c r="ELE52" s="53"/>
      <c r="ELF52" s="53"/>
      <c r="ELG52" s="53"/>
      <c r="ELH52" s="53"/>
      <c r="ELI52" s="53"/>
      <c r="ELJ52" s="53"/>
      <c r="ELK52" s="53"/>
      <c r="ELL52" s="53"/>
      <c r="ELM52" s="53"/>
      <c r="ELN52" s="53"/>
      <c r="ELO52" s="53"/>
      <c r="ELP52" s="53"/>
      <c r="ELQ52" s="53"/>
      <c r="ELR52" s="53"/>
      <c r="ELS52" s="53"/>
      <c r="ELT52" s="53"/>
      <c r="ELU52" s="53"/>
      <c r="ELV52" s="53"/>
      <c r="ELW52" s="53"/>
      <c r="ELX52" s="53"/>
      <c r="ELY52" s="53"/>
      <c r="ELZ52" s="53"/>
      <c r="EMA52" s="53"/>
      <c r="EMB52" s="53"/>
      <c r="EMC52" s="53"/>
      <c r="EMD52" s="53"/>
      <c r="EME52" s="53"/>
      <c r="EMF52" s="53"/>
      <c r="EMG52" s="53"/>
      <c r="EMH52" s="53"/>
      <c r="EMI52" s="53"/>
      <c r="EMJ52" s="53"/>
      <c r="EMK52" s="53"/>
      <c r="EML52" s="53"/>
      <c r="EMM52" s="53"/>
      <c r="EMN52" s="53"/>
      <c r="EMO52" s="53"/>
      <c r="EMP52" s="53"/>
      <c r="EMQ52" s="53"/>
      <c r="EMR52" s="53"/>
      <c r="EMS52" s="53"/>
      <c r="EMT52" s="53"/>
      <c r="EMU52" s="53"/>
      <c r="EMV52" s="53"/>
      <c r="EMW52" s="53"/>
      <c r="EMX52" s="53"/>
      <c r="EMY52" s="53"/>
      <c r="EMZ52" s="53"/>
      <c r="ENA52" s="53"/>
      <c r="ENB52" s="53"/>
      <c r="ENC52" s="53"/>
      <c r="END52" s="53"/>
      <c r="ENE52" s="53"/>
      <c r="ENF52" s="53"/>
      <c r="ENG52" s="53"/>
      <c r="ENH52" s="53"/>
      <c r="ENI52" s="53"/>
      <c r="ENJ52" s="53"/>
      <c r="ENK52" s="53"/>
      <c r="ENL52" s="53"/>
      <c r="ENM52" s="53"/>
      <c r="ENN52" s="53"/>
      <c r="ENO52" s="53"/>
      <c r="ENP52" s="53"/>
      <c r="ENQ52" s="53"/>
      <c r="ENR52" s="53"/>
      <c r="ENS52" s="53"/>
      <c r="ENT52" s="53"/>
      <c r="ENU52" s="53"/>
      <c r="ENV52" s="53"/>
      <c r="ENW52" s="53"/>
      <c r="ENX52" s="53"/>
      <c r="ENY52" s="53"/>
      <c r="ENZ52" s="53"/>
      <c r="EOA52" s="53"/>
      <c r="EOB52" s="53"/>
      <c r="EOC52" s="53"/>
      <c r="EOD52" s="53"/>
      <c r="EOE52" s="53"/>
      <c r="EOF52" s="53"/>
      <c r="EOG52" s="53"/>
      <c r="EOH52" s="53"/>
      <c r="EOI52" s="53"/>
      <c r="EOJ52" s="53"/>
      <c r="EOK52" s="53"/>
      <c r="EOL52" s="53"/>
      <c r="EOM52" s="53"/>
      <c r="EON52" s="53"/>
      <c r="EOO52" s="53"/>
      <c r="EOP52" s="53"/>
      <c r="EOQ52" s="53"/>
      <c r="EOR52" s="53"/>
      <c r="EOS52" s="53"/>
      <c r="EOT52" s="53"/>
      <c r="EOU52" s="53"/>
      <c r="EOV52" s="53"/>
      <c r="EOW52" s="53"/>
      <c r="EOX52" s="53"/>
      <c r="EOY52" s="53"/>
      <c r="EOZ52" s="53"/>
      <c r="EPA52" s="53"/>
      <c r="EPB52" s="53"/>
      <c r="EPC52" s="53"/>
      <c r="EPD52" s="53"/>
      <c r="EPE52" s="53"/>
      <c r="EPF52" s="53"/>
      <c r="EPG52" s="53"/>
      <c r="EPH52" s="53"/>
      <c r="EPI52" s="53"/>
      <c r="EPJ52" s="53"/>
      <c r="EPK52" s="53"/>
      <c r="EPL52" s="53"/>
      <c r="EPM52" s="53"/>
      <c r="EPN52" s="53"/>
      <c r="EPO52" s="53"/>
      <c r="EPP52" s="53"/>
      <c r="EPQ52" s="53"/>
      <c r="EPR52" s="53"/>
      <c r="EPS52" s="53"/>
      <c r="EPT52" s="53"/>
      <c r="EPU52" s="53"/>
      <c r="EPV52" s="53"/>
      <c r="EPW52" s="53"/>
      <c r="EPX52" s="53"/>
      <c r="EPY52" s="53"/>
      <c r="EPZ52" s="53"/>
      <c r="EQA52" s="53"/>
      <c r="EQB52" s="53"/>
      <c r="EQC52" s="53"/>
      <c r="EQD52" s="53"/>
      <c r="EQE52" s="53"/>
      <c r="EQF52" s="53"/>
      <c r="EQG52" s="53"/>
      <c r="EQH52" s="53"/>
      <c r="EQI52" s="53"/>
      <c r="EQJ52" s="53"/>
      <c r="EQK52" s="53"/>
      <c r="EQL52" s="53"/>
      <c r="EQM52" s="53"/>
      <c r="EQN52" s="53"/>
      <c r="EQO52" s="53"/>
      <c r="EQP52" s="53"/>
      <c r="EQQ52" s="53"/>
      <c r="EQR52" s="53"/>
      <c r="EQS52" s="53"/>
      <c r="EQT52" s="53"/>
      <c r="EQU52" s="53"/>
      <c r="EQV52" s="53"/>
      <c r="EQW52" s="53"/>
      <c r="EQX52" s="53"/>
      <c r="EQY52" s="53"/>
      <c r="EQZ52" s="53"/>
      <c r="ERA52" s="53"/>
      <c r="ERB52" s="53"/>
      <c r="ERC52" s="53"/>
      <c r="ERD52" s="53"/>
      <c r="ERE52" s="53"/>
      <c r="ERF52" s="53"/>
      <c r="ERG52" s="53"/>
      <c r="ERH52" s="53"/>
      <c r="ERI52" s="53"/>
      <c r="ERJ52" s="53"/>
      <c r="ERK52" s="53"/>
      <c r="ERL52" s="53"/>
      <c r="ERM52" s="53"/>
      <c r="ERN52" s="53"/>
      <c r="ERO52" s="53"/>
      <c r="ERP52" s="53"/>
      <c r="ERQ52" s="53"/>
      <c r="ERR52" s="53"/>
      <c r="ERS52" s="53"/>
      <c r="ERT52" s="53"/>
      <c r="ERU52" s="53"/>
      <c r="ERV52" s="53"/>
      <c r="ERW52" s="53"/>
      <c r="ERX52" s="53"/>
      <c r="ERY52" s="53"/>
      <c r="ERZ52" s="53"/>
      <c r="ESA52" s="53"/>
      <c r="ESB52" s="53"/>
      <c r="ESC52" s="53"/>
      <c r="ESD52" s="53"/>
      <c r="ESE52" s="53"/>
      <c r="ESF52" s="53"/>
      <c r="ESG52" s="53"/>
      <c r="ESH52" s="53"/>
      <c r="ESI52" s="53"/>
      <c r="ESJ52" s="53"/>
      <c r="ESK52" s="53"/>
      <c r="ESL52" s="53"/>
      <c r="ESM52" s="53"/>
      <c r="ESN52" s="53"/>
      <c r="ESO52" s="53"/>
      <c r="ESP52" s="53"/>
      <c r="ESQ52" s="53"/>
      <c r="ESR52" s="53"/>
      <c r="ESS52" s="53"/>
      <c r="EST52" s="53"/>
      <c r="ESU52" s="53"/>
      <c r="ESV52" s="53"/>
      <c r="ESW52" s="53"/>
      <c r="ESX52" s="53"/>
      <c r="ESY52" s="53"/>
      <c r="ESZ52" s="53"/>
      <c r="ETA52" s="53"/>
      <c r="ETB52" s="53"/>
      <c r="ETC52" s="53"/>
      <c r="ETD52" s="53"/>
      <c r="ETE52" s="53"/>
      <c r="ETF52" s="53"/>
      <c r="ETG52" s="53"/>
      <c r="ETH52" s="53"/>
      <c r="ETI52" s="53"/>
      <c r="ETJ52" s="53"/>
      <c r="ETK52" s="53"/>
      <c r="ETL52" s="53"/>
      <c r="ETM52" s="53"/>
      <c r="ETN52" s="53"/>
      <c r="ETO52" s="53"/>
      <c r="ETP52" s="53"/>
      <c r="ETQ52" s="53"/>
      <c r="ETR52" s="53"/>
      <c r="ETS52" s="53"/>
      <c r="ETT52" s="53"/>
      <c r="ETU52" s="53"/>
      <c r="ETV52" s="53"/>
      <c r="ETW52" s="53"/>
      <c r="ETX52" s="53"/>
      <c r="ETY52" s="53"/>
      <c r="ETZ52" s="53"/>
      <c r="EUA52" s="53"/>
      <c r="EUB52" s="53"/>
      <c r="EUC52" s="53"/>
      <c r="EUD52" s="53"/>
      <c r="EUE52" s="53"/>
      <c r="EUF52" s="53"/>
      <c r="EUG52" s="53"/>
      <c r="EUH52" s="53"/>
      <c r="EUI52" s="53"/>
      <c r="EUJ52" s="53"/>
      <c r="EUK52" s="53"/>
      <c r="EUL52" s="53"/>
      <c r="EUM52" s="53"/>
      <c r="EUN52" s="53"/>
      <c r="EUO52" s="53"/>
      <c r="EUP52" s="53"/>
      <c r="EUQ52" s="53"/>
      <c r="EUR52" s="53"/>
      <c r="EUS52" s="53"/>
      <c r="EUT52" s="53"/>
      <c r="EUU52" s="53"/>
      <c r="EUV52" s="53"/>
      <c r="EUW52" s="53"/>
      <c r="EUX52" s="53"/>
      <c r="EUY52" s="53"/>
      <c r="EUZ52" s="53"/>
      <c r="EVA52" s="53"/>
      <c r="EVB52" s="53"/>
      <c r="EVC52" s="53"/>
      <c r="EVD52" s="53"/>
      <c r="EVE52" s="53"/>
      <c r="EVF52" s="53"/>
      <c r="EVG52" s="53"/>
      <c r="EVH52" s="53"/>
      <c r="EVI52" s="53"/>
      <c r="EVJ52" s="53"/>
      <c r="EVK52" s="53"/>
      <c r="EVL52" s="53"/>
      <c r="EVM52" s="53"/>
      <c r="EVN52" s="53"/>
      <c r="EVO52" s="53"/>
      <c r="EVP52" s="53"/>
      <c r="EVQ52" s="53"/>
      <c r="EVR52" s="53"/>
      <c r="EVS52" s="53"/>
      <c r="EVT52" s="53"/>
      <c r="EVU52" s="53"/>
      <c r="EVV52" s="53"/>
      <c r="EVW52" s="53"/>
      <c r="EVX52" s="53"/>
      <c r="EVY52" s="53"/>
      <c r="EVZ52" s="53"/>
      <c r="EWA52" s="53"/>
      <c r="EWB52" s="53"/>
      <c r="EWC52" s="53"/>
      <c r="EWD52" s="53"/>
      <c r="EWE52" s="53"/>
      <c r="EWF52" s="53"/>
      <c r="EWG52" s="53"/>
      <c r="EWH52" s="53"/>
      <c r="EWI52" s="53"/>
      <c r="EWJ52" s="53"/>
      <c r="EWK52" s="53"/>
      <c r="EWL52" s="53"/>
      <c r="EWM52" s="53"/>
      <c r="EWN52" s="53"/>
      <c r="EWO52" s="53"/>
      <c r="EWP52" s="53"/>
      <c r="EWQ52" s="53"/>
      <c r="EWR52" s="53"/>
      <c r="EWS52" s="53"/>
      <c r="EWT52" s="53"/>
      <c r="EWU52" s="53"/>
      <c r="EWV52" s="53"/>
      <c r="EWW52" s="53"/>
      <c r="EWX52" s="53"/>
      <c r="EWY52" s="53"/>
      <c r="EWZ52" s="53"/>
      <c r="EXA52" s="53"/>
      <c r="EXB52" s="53"/>
      <c r="EXC52" s="53"/>
      <c r="EXD52" s="53"/>
      <c r="EXE52" s="53"/>
      <c r="EXF52" s="53"/>
      <c r="EXG52" s="53"/>
      <c r="EXH52" s="53"/>
      <c r="EXI52" s="53"/>
      <c r="EXJ52" s="53"/>
      <c r="EXK52" s="53"/>
      <c r="EXL52" s="53"/>
      <c r="EXM52" s="53"/>
      <c r="EXN52" s="53"/>
      <c r="EXO52" s="53"/>
      <c r="EXP52" s="53"/>
      <c r="EXQ52" s="53"/>
      <c r="EXR52" s="53"/>
      <c r="EXS52" s="53"/>
      <c r="EXT52" s="53"/>
      <c r="EXU52" s="53"/>
      <c r="EXV52" s="53"/>
      <c r="EXW52" s="53"/>
      <c r="EXX52" s="53"/>
      <c r="EXY52" s="53"/>
      <c r="EXZ52" s="53"/>
      <c r="EYA52" s="53"/>
      <c r="EYB52" s="53"/>
      <c r="EYC52" s="53"/>
      <c r="EYD52" s="53"/>
      <c r="EYE52" s="53"/>
      <c r="EYF52" s="53"/>
      <c r="EYG52" s="53"/>
      <c r="EYH52" s="53"/>
      <c r="EYI52" s="53"/>
      <c r="EYJ52" s="53"/>
      <c r="EYK52" s="53"/>
      <c r="EYL52" s="53"/>
      <c r="EYM52" s="53"/>
      <c r="EYN52" s="53"/>
      <c r="EYO52" s="53"/>
      <c r="EYP52" s="53"/>
      <c r="EYQ52" s="53"/>
      <c r="EYR52" s="53"/>
      <c r="EYS52" s="53"/>
      <c r="EYT52" s="53"/>
      <c r="EYU52" s="53"/>
      <c r="EYV52" s="53"/>
      <c r="EYW52" s="53"/>
      <c r="EYX52" s="53"/>
      <c r="EYY52" s="53"/>
      <c r="EYZ52" s="53"/>
      <c r="EZA52" s="53"/>
      <c r="EZB52" s="53"/>
      <c r="EZC52" s="53"/>
      <c r="EZD52" s="53"/>
      <c r="EZE52" s="53"/>
      <c r="EZF52" s="53"/>
      <c r="EZG52" s="53"/>
      <c r="EZH52" s="53"/>
      <c r="EZI52" s="53"/>
      <c r="EZJ52" s="53"/>
      <c r="EZK52" s="53"/>
      <c r="EZL52" s="53"/>
      <c r="EZM52" s="53"/>
      <c r="EZN52" s="53"/>
      <c r="EZO52" s="53"/>
      <c r="EZP52" s="53"/>
      <c r="EZQ52" s="53"/>
      <c r="EZR52" s="53"/>
      <c r="EZS52" s="53"/>
      <c r="EZT52" s="53"/>
      <c r="EZU52" s="53"/>
      <c r="EZV52" s="53"/>
      <c r="EZW52" s="53"/>
      <c r="EZX52" s="53"/>
      <c r="EZY52" s="53"/>
      <c r="EZZ52" s="53"/>
      <c r="FAA52" s="53"/>
      <c r="FAB52" s="53"/>
      <c r="FAC52" s="53"/>
      <c r="FAD52" s="53"/>
      <c r="FAE52" s="53"/>
      <c r="FAF52" s="53"/>
      <c r="FAG52" s="53"/>
      <c r="FAH52" s="53"/>
      <c r="FAI52" s="53"/>
      <c r="FAJ52" s="53"/>
      <c r="FAK52" s="53"/>
      <c r="FAL52" s="53"/>
      <c r="FAM52" s="53"/>
      <c r="FAN52" s="53"/>
      <c r="FAO52" s="53"/>
      <c r="FAP52" s="53"/>
      <c r="FAQ52" s="53"/>
      <c r="FAR52" s="53"/>
      <c r="FAS52" s="53"/>
      <c r="FAT52" s="53"/>
      <c r="FAU52" s="53"/>
      <c r="FAV52" s="53"/>
      <c r="FAW52" s="53"/>
      <c r="FAX52" s="53"/>
      <c r="FAY52" s="53"/>
      <c r="FAZ52" s="53"/>
      <c r="FBA52" s="53"/>
      <c r="FBB52" s="53"/>
      <c r="FBC52" s="53"/>
      <c r="FBD52" s="53"/>
      <c r="FBE52" s="53"/>
      <c r="FBF52" s="53"/>
      <c r="FBG52" s="53"/>
      <c r="FBH52" s="53"/>
      <c r="FBI52" s="53"/>
      <c r="FBJ52" s="53"/>
      <c r="FBK52" s="53"/>
      <c r="FBL52" s="53"/>
      <c r="FBM52" s="53"/>
      <c r="FBN52" s="53"/>
      <c r="FBO52" s="53"/>
      <c r="FBP52" s="53"/>
      <c r="FBQ52" s="53"/>
      <c r="FBR52" s="53"/>
      <c r="FBS52" s="53"/>
      <c r="FBT52" s="53"/>
      <c r="FBU52" s="53"/>
      <c r="FBV52" s="53"/>
      <c r="FBW52" s="53"/>
      <c r="FBX52" s="53"/>
      <c r="FBY52" s="53"/>
      <c r="FBZ52" s="53"/>
      <c r="FCA52" s="53"/>
      <c r="FCB52" s="53"/>
      <c r="FCC52" s="53"/>
      <c r="FCD52" s="53"/>
      <c r="FCE52" s="53"/>
      <c r="FCF52" s="53"/>
      <c r="FCG52" s="53"/>
      <c r="FCH52" s="53"/>
      <c r="FCI52" s="53"/>
      <c r="FCJ52" s="53"/>
      <c r="FCK52" s="53"/>
      <c r="FCL52" s="53"/>
      <c r="FCM52" s="53"/>
      <c r="FCN52" s="53"/>
      <c r="FCO52" s="53"/>
      <c r="FCP52" s="53"/>
      <c r="FCQ52" s="53"/>
      <c r="FCR52" s="53"/>
      <c r="FCS52" s="53"/>
      <c r="FCT52" s="53"/>
      <c r="FCU52" s="53"/>
      <c r="FCV52" s="53"/>
      <c r="FCW52" s="53"/>
      <c r="FCX52" s="53"/>
      <c r="FCY52" s="53"/>
      <c r="FCZ52" s="53"/>
      <c r="FDA52" s="53"/>
      <c r="FDB52" s="53"/>
      <c r="FDC52" s="53"/>
      <c r="FDD52" s="53"/>
      <c r="FDE52" s="53"/>
      <c r="FDF52" s="53"/>
      <c r="FDG52" s="53"/>
      <c r="FDH52" s="53"/>
      <c r="FDI52" s="53"/>
      <c r="FDJ52" s="53"/>
      <c r="FDK52" s="53"/>
      <c r="FDL52" s="53"/>
      <c r="FDM52" s="53"/>
      <c r="FDN52" s="53"/>
      <c r="FDO52" s="53"/>
      <c r="FDP52" s="53"/>
      <c r="FDQ52" s="53"/>
      <c r="FDR52" s="53"/>
      <c r="FDS52" s="53"/>
      <c r="FDT52" s="53"/>
      <c r="FDU52" s="53"/>
      <c r="FDV52" s="53"/>
      <c r="FDW52" s="53"/>
      <c r="FDX52" s="53"/>
      <c r="FDY52" s="53"/>
      <c r="FDZ52" s="53"/>
      <c r="FEA52" s="53"/>
      <c r="FEB52" s="53"/>
      <c r="FEC52" s="53"/>
      <c r="FED52" s="53"/>
      <c r="FEE52" s="53"/>
      <c r="FEF52" s="53"/>
      <c r="FEG52" s="53"/>
      <c r="FEH52" s="53"/>
      <c r="FEI52" s="53"/>
      <c r="FEJ52" s="53"/>
      <c r="FEK52" s="53"/>
      <c r="FEL52" s="53"/>
      <c r="FEM52" s="53"/>
      <c r="FEN52" s="53"/>
      <c r="FEO52" s="53"/>
      <c r="FEP52" s="53"/>
      <c r="FEQ52" s="53"/>
      <c r="FER52" s="53"/>
      <c r="FES52" s="53"/>
      <c r="FET52" s="53"/>
      <c r="FEU52" s="53"/>
      <c r="FEV52" s="53"/>
      <c r="FEW52" s="53"/>
      <c r="FEX52" s="53"/>
      <c r="FEY52" s="53"/>
      <c r="FEZ52" s="53"/>
      <c r="FFA52" s="53"/>
      <c r="FFB52" s="53"/>
      <c r="FFC52" s="53"/>
      <c r="FFD52" s="53"/>
      <c r="FFE52" s="53"/>
      <c r="FFF52" s="53"/>
      <c r="FFG52" s="53"/>
      <c r="FFH52" s="53"/>
      <c r="FFI52" s="53"/>
      <c r="FFJ52" s="53"/>
      <c r="FFK52" s="53"/>
      <c r="FFL52" s="53"/>
      <c r="FFM52" s="53"/>
      <c r="FFN52" s="53"/>
      <c r="FFO52" s="53"/>
      <c r="FFP52" s="53"/>
      <c r="FFQ52" s="53"/>
      <c r="FFR52" s="53"/>
      <c r="FFS52" s="53"/>
      <c r="FFT52" s="53"/>
      <c r="FFU52" s="53"/>
      <c r="FFV52" s="53"/>
      <c r="FFW52" s="53"/>
      <c r="FFX52" s="53"/>
      <c r="FFY52" s="53"/>
      <c r="FFZ52" s="53"/>
      <c r="FGA52" s="53"/>
      <c r="FGB52" s="53"/>
      <c r="FGC52" s="53"/>
      <c r="FGD52" s="53"/>
      <c r="FGE52" s="53"/>
      <c r="FGF52" s="53"/>
      <c r="FGG52" s="53"/>
      <c r="FGH52" s="53"/>
      <c r="FGI52" s="53"/>
      <c r="FGJ52" s="53"/>
      <c r="FGK52" s="53"/>
      <c r="FGL52" s="53"/>
      <c r="FGM52" s="53"/>
      <c r="FGN52" s="53"/>
      <c r="FGO52" s="53"/>
      <c r="FGP52" s="53"/>
      <c r="FGQ52" s="53"/>
      <c r="FGR52" s="53"/>
      <c r="FGS52" s="53"/>
      <c r="FGT52" s="53"/>
      <c r="FGU52" s="53"/>
      <c r="FGV52" s="53"/>
      <c r="FGW52" s="53"/>
      <c r="FGX52" s="53"/>
      <c r="FGY52" s="53"/>
      <c r="FGZ52" s="53"/>
      <c r="FHA52" s="53"/>
      <c r="FHB52" s="53"/>
      <c r="FHC52" s="53"/>
      <c r="FHD52" s="53"/>
      <c r="FHE52" s="53"/>
      <c r="FHF52" s="53"/>
      <c r="FHG52" s="53"/>
      <c r="FHH52" s="53"/>
      <c r="FHI52" s="53"/>
      <c r="FHJ52" s="53"/>
      <c r="FHK52" s="53"/>
      <c r="FHL52" s="53"/>
      <c r="FHM52" s="53"/>
      <c r="FHN52" s="53"/>
      <c r="FHO52" s="53"/>
      <c r="FHP52" s="53"/>
      <c r="FHQ52" s="53"/>
      <c r="FHR52" s="53"/>
      <c r="FHS52" s="53"/>
      <c r="FHT52" s="53"/>
      <c r="FHU52" s="53"/>
      <c r="FHV52" s="53"/>
      <c r="FHW52" s="53"/>
      <c r="FHX52" s="53"/>
      <c r="FHY52" s="53"/>
      <c r="FHZ52" s="53"/>
      <c r="FIA52" s="53"/>
      <c r="FIB52" s="53"/>
      <c r="FIC52" s="53"/>
      <c r="FID52" s="53"/>
      <c r="FIE52" s="53"/>
      <c r="FIF52" s="53"/>
      <c r="FIG52" s="53"/>
      <c r="FIH52" s="53"/>
      <c r="FII52" s="53"/>
      <c r="FIJ52" s="53"/>
      <c r="FIK52" s="53"/>
      <c r="FIL52" s="53"/>
      <c r="FIM52" s="53"/>
      <c r="FIN52" s="53"/>
      <c r="FIO52" s="53"/>
      <c r="FIP52" s="53"/>
      <c r="FIQ52" s="53"/>
      <c r="FIR52" s="53"/>
      <c r="FIS52" s="53"/>
      <c r="FIT52" s="53"/>
      <c r="FIU52" s="53"/>
      <c r="FIV52" s="53"/>
      <c r="FIW52" s="53"/>
      <c r="FIX52" s="53"/>
      <c r="FIY52" s="53"/>
      <c r="FIZ52" s="53"/>
      <c r="FJA52" s="53"/>
      <c r="FJB52" s="53"/>
      <c r="FJC52" s="53"/>
      <c r="FJD52" s="53"/>
      <c r="FJE52" s="53"/>
      <c r="FJF52" s="53"/>
      <c r="FJG52" s="53"/>
      <c r="FJH52" s="53"/>
      <c r="FJI52" s="53"/>
      <c r="FJJ52" s="53"/>
      <c r="FJK52" s="53"/>
      <c r="FJL52" s="53"/>
      <c r="FJM52" s="53"/>
      <c r="FJN52" s="53"/>
      <c r="FJO52" s="53"/>
      <c r="FJP52" s="53"/>
      <c r="FJQ52" s="53"/>
      <c r="FJR52" s="53"/>
      <c r="FJS52" s="53"/>
      <c r="FJT52" s="53"/>
      <c r="FJU52" s="53"/>
      <c r="FJV52" s="53"/>
      <c r="FJW52" s="53"/>
      <c r="FJX52" s="53"/>
      <c r="FJY52" s="53"/>
      <c r="FJZ52" s="53"/>
      <c r="FKA52" s="53"/>
      <c r="FKB52" s="53"/>
      <c r="FKC52" s="53"/>
      <c r="FKD52" s="53"/>
      <c r="FKE52" s="53"/>
      <c r="FKF52" s="53"/>
      <c r="FKG52" s="53"/>
      <c r="FKH52" s="53"/>
      <c r="FKI52" s="53"/>
      <c r="FKJ52" s="53"/>
      <c r="FKK52" s="53"/>
      <c r="FKL52" s="53"/>
      <c r="FKM52" s="53"/>
      <c r="FKN52" s="53"/>
      <c r="FKO52" s="53"/>
      <c r="FKP52" s="53"/>
      <c r="FKQ52" s="53"/>
      <c r="FKR52" s="53"/>
      <c r="FKS52" s="53"/>
      <c r="FKT52" s="53"/>
      <c r="FKU52" s="53"/>
      <c r="FKV52" s="53"/>
      <c r="FKW52" s="53"/>
      <c r="FKX52" s="53"/>
      <c r="FKY52" s="53"/>
      <c r="FKZ52" s="53"/>
      <c r="FLA52" s="53"/>
      <c r="FLB52" s="53"/>
      <c r="FLC52" s="53"/>
      <c r="FLD52" s="53"/>
      <c r="FLE52" s="53"/>
      <c r="FLF52" s="53"/>
      <c r="FLG52" s="53"/>
      <c r="FLH52" s="53"/>
      <c r="FLI52" s="53"/>
      <c r="FLJ52" s="53"/>
      <c r="FLK52" s="53"/>
      <c r="FLL52" s="53"/>
      <c r="FLM52" s="53"/>
      <c r="FLN52" s="53"/>
      <c r="FLO52" s="53"/>
      <c r="FLP52" s="53"/>
      <c r="FLQ52" s="53"/>
      <c r="FLR52" s="53"/>
      <c r="FLS52" s="53"/>
      <c r="FLT52" s="53"/>
      <c r="FLU52" s="53"/>
      <c r="FLV52" s="53"/>
      <c r="FLW52" s="53"/>
      <c r="FLX52" s="53"/>
      <c r="FLY52" s="53"/>
      <c r="FLZ52" s="53"/>
      <c r="FMA52" s="53"/>
      <c r="FMB52" s="53"/>
      <c r="FMC52" s="53"/>
      <c r="FMD52" s="53"/>
      <c r="FME52" s="53"/>
      <c r="FMF52" s="53"/>
      <c r="FMG52" s="53"/>
      <c r="FMH52" s="53"/>
      <c r="FMI52" s="53"/>
      <c r="FMJ52" s="53"/>
      <c r="FMK52" s="53"/>
      <c r="FML52" s="53"/>
      <c r="FMM52" s="53"/>
      <c r="FMN52" s="53"/>
      <c r="FMO52" s="53"/>
      <c r="FMP52" s="53"/>
      <c r="FMQ52" s="53"/>
      <c r="FMR52" s="53"/>
      <c r="FMS52" s="53"/>
      <c r="FMT52" s="53"/>
      <c r="FMU52" s="53"/>
      <c r="FMV52" s="53"/>
      <c r="FMW52" s="53"/>
      <c r="FMX52" s="53"/>
      <c r="FMY52" s="53"/>
      <c r="FMZ52" s="53"/>
      <c r="FNA52" s="53"/>
      <c r="FNB52" s="53"/>
      <c r="FNC52" s="53"/>
      <c r="FND52" s="53"/>
      <c r="FNE52" s="53"/>
      <c r="FNF52" s="53"/>
      <c r="FNG52" s="53"/>
      <c r="FNH52" s="53"/>
      <c r="FNI52" s="53"/>
      <c r="FNJ52" s="53"/>
      <c r="FNK52" s="53"/>
      <c r="FNL52" s="53"/>
      <c r="FNM52" s="53"/>
      <c r="FNN52" s="53"/>
      <c r="FNO52" s="53"/>
      <c r="FNP52" s="53"/>
      <c r="FNQ52" s="53"/>
      <c r="FNR52" s="53"/>
      <c r="FNS52" s="53"/>
      <c r="FNT52" s="53"/>
      <c r="FNU52" s="53"/>
      <c r="FNV52" s="53"/>
      <c r="FNW52" s="53"/>
      <c r="FNX52" s="53"/>
      <c r="FNY52" s="53"/>
      <c r="FNZ52" s="53"/>
      <c r="FOA52" s="53"/>
      <c r="FOB52" s="53"/>
      <c r="FOC52" s="53"/>
      <c r="FOD52" s="53"/>
      <c r="FOE52" s="53"/>
      <c r="FOF52" s="53"/>
      <c r="FOG52" s="53"/>
      <c r="FOH52" s="53"/>
      <c r="FOI52" s="53"/>
      <c r="FOJ52" s="53"/>
      <c r="FOK52" s="53"/>
      <c r="FOL52" s="53"/>
      <c r="FOM52" s="53"/>
      <c r="FON52" s="53"/>
      <c r="FOO52" s="53"/>
      <c r="FOP52" s="53"/>
      <c r="FOQ52" s="53"/>
      <c r="FOR52" s="53"/>
      <c r="FOS52" s="53"/>
      <c r="FOT52" s="53"/>
      <c r="FOU52" s="53"/>
      <c r="FOV52" s="53"/>
      <c r="FOW52" s="53"/>
      <c r="FOX52" s="53"/>
      <c r="FOY52" s="53"/>
      <c r="FOZ52" s="53"/>
      <c r="FPA52" s="53"/>
      <c r="FPB52" s="53"/>
      <c r="FPC52" s="53"/>
      <c r="FPD52" s="53"/>
      <c r="FPE52" s="53"/>
      <c r="FPF52" s="53"/>
      <c r="FPG52" s="53"/>
      <c r="FPH52" s="53"/>
      <c r="FPI52" s="53"/>
      <c r="FPJ52" s="53"/>
      <c r="FPK52" s="53"/>
      <c r="FPL52" s="53"/>
      <c r="FPM52" s="53"/>
      <c r="FPN52" s="53"/>
      <c r="FPO52" s="53"/>
      <c r="FPP52" s="53"/>
      <c r="FPQ52" s="53"/>
      <c r="FPR52" s="53"/>
      <c r="FPS52" s="53"/>
      <c r="FPT52" s="53"/>
      <c r="FPU52" s="53"/>
      <c r="FPV52" s="53"/>
      <c r="FPW52" s="53"/>
      <c r="FPX52" s="53"/>
      <c r="FPY52" s="53"/>
      <c r="FPZ52" s="53"/>
      <c r="FQA52" s="53"/>
      <c r="FQB52" s="53"/>
      <c r="FQC52" s="53"/>
      <c r="FQD52" s="53"/>
      <c r="FQE52" s="53"/>
      <c r="FQF52" s="53"/>
      <c r="FQG52" s="53"/>
      <c r="FQH52" s="53"/>
      <c r="FQI52" s="53"/>
      <c r="FQJ52" s="53"/>
      <c r="FQK52" s="53"/>
      <c r="FQL52" s="53"/>
      <c r="FQM52" s="53"/>
      <c r="FQN52" s="53"/>
      <c r="FQO52" s="53"/>
      <c r="FQP52" s="53"/>
      <c r="FQQ52" s="53"/>
      <c r="FQR52" s="53"/>
      <c r="FQS52" s="53"/>
      <c r="FQT52" s="53"/>
      <c r="FQU52" s="53"/>
      <c r="FQV52" s="53"/>
      <c r="FQW52" s="53"/>
      <c r="FQX52" s="53"/>
      <c r="FQY52" s="53"/>
      <c r="FQZ52" s="53"/>
      <c r="FRA52" s="53"/>
      <c r="FRB52" s="53"/>
      <c r="FRC52" s="53"/>
      <c r="FRD52" s="53"/>
      <c r="FRE52" s="53"/>
      <c r="FRF52" s="53"/>
      <c r="FRG52" s="53"/>
      <c r="FRH52" s="53"/>
      <c r="FRI52" s="53"/>
      <c r="FRJ52" s="53"/>
      <c r="FRK52" s="53"/>
      <c r="FRL52" s="53"/>
      <c r="FRM52" s="53"/>
      <c r="FRN52" s="53"/>
      <c r="FRO52" s="53"/>
      <c r="FRP52" s="53"/>
      <c r="FRQ52" s="53"/>
      <c r="FRR52" s="53"/>
      <c r="FRS52" s="53"/>
      <c r="FRT52" s="53"/>
      <c r="FRU52" s="53"/>
      <c r="FRV52" s="53"/>
      <c r="FRW52" s="53"/>
      <c r="FRX52" s="53"/>
      <c r="FRY52" s="53"/>
      <c r="FRZ52" s="53"/>
      <c r="FSA52" s="53"/>
      <c r="FSB52" s="53"/>
      <c r="FSC52" s="53"/>
      <c r="FSD52" s="53"/>
      <c r="FSE52" s="53"/>
      <c r="FSF52" s="53"/>
      <c r="FSG52" s="53"/>
      <c r="FSH52" s="53"/>
      <c r="FSI52" s="53"/>
      <c r="FSJ52" s="53"/>
      <c r="FSK52" s="53"/>
      <c r="FSL52" s="53"/>
      <c r="FSM52" s="53"/>
      <c r="FSN52" s="53"/>
      <c r="FSO52" s="53"/>
      <c r="FSP52" s="53"/>
      <c r="FSQ52" s="53"/>
      <c r="FSR52" s="53"/>
      <c r="FSS52" s="53"/>
      <c r="FST52" s="53"/>
      <c r="FSU52" s="53"/>
      <c r="FSV52" s="53"/>
      <c r="FSW52" s="53"/>
      <c r="FSX52" s="53"/>
      <c r="FSY52" s="53"/>
      <c r="FSZ52" s="53"/>
      <c r="FTA52" s="53"/>
      <c r="FTB52" s="53"/>
      <c r="FTC52" s="53"/>
      <c r="FTD52" s="53"/>
      <c r="FTE52" s="53"/>
      <c r="FTF52" s="53"/>
      <c r="FTG52" s="53"/>
      <c r="FTH52" s="53"/>
      <c r="FTI52" s="53"/>
      <c r="FTJ52" s="53"/>
      <c r="FTK52" s="53"/>
      <c r="FTL52" s="53"/>
      <c r="FTM52" s="53"/>
      <c r="FTN52" s="53"/>
      <c r="FTO52" s="53"/>
      <c r="FTP52" s="53"/>
      <c r="FTQ52" s="53"/>
      <c r="FTR52" s="53"/>
      <c r="FTS52" s="53"/>
      <c r="FTT52" s="53"/>
      <c r="FTU52" s="53"/>
      <c r="FTV52" s="53"/>
      <c r="FTW52" s="53"/>
      <c r="FTX52" s="53"/>
      <c r="FTY52" s="53"/>
      <c r="FTZ52" s="53"/>
      <c r="FUA52" s="53"/>
      <c r="FUB52" s="53"/>
      <c r="FUC52" s="53"/>
      <c r="FUD52" s="53"/>
      <c r="FUE52" s="53"/>
      <c r="FUF52" s="53"/>
      <c r="FUG52" s="53"/>
      <c r="FUH52" s="53"/>
      <c r="FUI52" s="53"/>
      <c r="FUJ52" s="53"/>
      <c r="FUK52" s="53"/>
      <c r="FUL52" s="53"/>
      <c r="FUM52" s="53"/>
      <c r="FUN52" s="53"/>
      <c r="FUO52" s="53"/>
      <c r="FUP52" s="53"/>
      <c r="FUQ52" s="53"/>
      <c r="FUR52" s="53"/>
      <c r="FUS52" s="53"/>
      <c r="FUT52" s="53"/>
      <c r="FUU52" s="53"/>
      <c r="FUV52" s="53"/>
      <c r="FUW52" s="53"/>
      <c r="FUX52" s="53"/>
      <c r="FUY52" s="53"/>
      <c r="FUZ52" s="53"/>
      <c r="FVA52" s="53"/>
      <c r="FVB52" s="53"/>
      <c r="FVC52" s="53"/>
      <c r="FVD52" s="53"/>
      <c r="FVE52" s="53"/>
      <c r="FVF52" s="53"/>
      <c r="FVG52" s="53"/>
      <c r="FVH52" s="53"/>
      <c r="FVI52" s="53"/>
      <c r="FVJ52" s="53"/>
      <c r="FVK52" s="53"/>
      <c r="FVL52" s="53"/>
      <c r="FVM52" s="53"/>
      <c r="FVN52" s="53"/>
      <c r="FVO52" s="53"/>
      <c r="FVP52" s="53"/>
      <c r="FVQ52" s="53"/>
      <c r="FVR52" s="53"/>
      <c r="FVS52" s="53"/>
      <c r="FVT52" s="53"/>
      <c r="FVU52" s="53"/>
      <c r="FVV52" s="53"/>
      <c r="FVW52" s="53"/>
      <c r="FVX52" s="53"/>
      <c r="FVY52" s="53"/>
      <c r="FVZ52" s="53"/>
      <c r="FWA52" s="53"/>
      <c r="FWB52" s="53"/>
      <c r="FWC52" s="53"/>
      <c r="FWD52" s="53"/>
      <c r="FWE52" s="53"/>
      <c r="FWF52" s="53"/>
      <c r="FWG52" s="53"/>
      <c r="FWH52" s="53"/>
      <c r="FWI52" s="53"/>
      <c r="FWJ52" s="53"/>
      <c r="FWK52" s="53"/>
      <c r="FWL52" s="53"/>
      <c r="FWM52" s="53"/>
      <c r="FWN52" s="53"/>
      <c r="FWO52" s="53"/>
      <c r="FWP52" s="53"/>
      <c r="FWQ52" s="53"/>
      <c r="FWR52" s="53"/>
      <c r="FWS52" s="53"/>
      <c r="FWT52" s="53"/>
      <c r="FWU52" s="53"/>
      <c r="FWV52" s="53"/>
      <c r="FWW52" s="53"/>
      <c r="FWX52" s="53"/>
      <c r="FWY52" s="53"/>
      <c r="FWZ52" s="53"/>
      <c r="FXA52" s="53"/>
      <c r="FXB52" s="53"/>
      <c r="FXC52" s="53"/>
      <c r="FXD52" s="53"/>
      <c r="FXE52" s="53"/>
      <c r="FXF52" s="53"/>
      <c r="FXG52" s="53"/>
      <c r="FXH52" s="53"/>
      <c r="FXI52" s="53"/>
      <c r="FXJ52" s="53"/>
      <c r="FXK52" s="53"/>
      <c r="FXL52" s="53"/>
      <c r="FXM52" s="53"/>
      <c r="FXN52" s="53"/>
      <c r="FXO52" s="53"/>
      <c r="FXP52" s="53"/>
      <c r="FXQ52" s="53"/>
      <c r="FXR52" s="53"/>
      <c r="FXS52" s="53"/>
      <c r="FXT52" s="53"/>
      <c r="FXU52" s="53"/>
      <c r="FXV52" s="53"/>
      <c r="FXW52" s="53"/>
      <c r="FXX52" s="53"/>
      <c r="FXY52" s="53"/>
      <c r="FXZ52" s="53"/>
      <c r="FYA52" s="53"/>
      <c r="FYB52" s="53"/>
      <c r="FYC52" s="53"/>
      <c r="FYD52" s="53"/>
      <c r="FYE52" s="53"/>
      <c r="FYF52" s="53"/>
      <c r="FYG52" s="53"/>
      <c r="FYH52" s="53"/>
      <c r="FYI52" s="53"/>
      <c r="FYJ52" s="53"/>
      <c r="FYK52" s="53"/>
      <c r="FYL52" s="53"/>
      <c r="FYM52" s="53"/>
      <c r="FYN52" s="53"/>
      <c r="FYO52" s="53"/>
      <c r="FYP52" s="53"/>
      <c r="FYQ52" s="53"/>
      <c r="FYR52" s="53"/>
      <c r="FYS52" s="53"/>
      <c r="FYT52" s="53"/>
      <c r="FYU52" s="53"/>
      <c r="FYV52" s="53"/>
      <c r="FYW52" s="53"/>
      <c r="FYX52" s="53"/>
      <c r="FYY52" s="53"/>
      <c r="FYZ52" s="53"/>
      <c r="FZA52" s="53"/>
      <c r="FZB52" s="53"/>
      <c r="FZC52" s="53"/>
      <c r="FZD52" s="53"/>
      <c r="FZE52" s="53"/>
      <c r="FZF52" s="53"/>
      <c r="FZG52" s="53"/>
      <c r="FZH52" s="53"/>
      <c r="FZI52" s="53"/>
      <c r="FZJ52" s="53"/>
      <c r="FZK52" s="53"/>
      <c r="FZL52" s="53"/>
      <c r="FZM52" s="53"/>
      <c r="FZN52" s="53"/>
      <c r="FZO52" s="53"/>
      <c r="FZP52" s="53"/>
      <c r="FZQ52" s="53"/>
      <c r="FZR52" s="53"/>
      <c r="FZS52" s="53"/>
      <c r="FZT52" s="53"/>
      <c r="FZU52" s="53"/>
      <c r="FZV52" s="53"/>
      <c r="FZW52" s="53"/>
      <c r="FZX52" s="53"/>
      <c r="FZY52" s="53"/>
      <c r="FZZ52" s="53"/>
      <c r="GAA52" s="53"/>
      <c r="GAB52" s="53"/>
      <c r="GAC52" s="53"/>
      <c r="GAD52" s="53"/>
      <c r="GAE52" s="53"/>
      <c r="GAF52" s="53"/>
      <c r="GAG52" s="53"/>
      <c r="GAH52" s="53"/>
      <c r="GAI52" s="53"/>
      <c r="GAJ52" s="53"/>
      <c r="GAK52" s="53"/>
      <c r="GAL52" s="53"/>
      <c r="GAM52" s="53"/>
      <c r="GAN52" s="53"/>
      <c r="GAO52" s="53"/>
      <c r="GAP52" s="53"/>
      <c r="GAQ52" s="53"/>
      <c r="GAR52" s="53"/>
      <c r="GAS52" s="53"/>
      <c r="GAT52" s="53"/>
      <c r="GAU52" s="53"/>
      <c r="GAV52" s="53"/>
      <c r="GAW52" s="53"/>
      <c r="GAX52" s="53"/>
      <c r="GAY52" s="53"/>
      <c r="GAZ52" s="53"/>
      <c r="GBA52" s="53"/>
      <c r="GBB52" s="53"/>
      <c r="GBC52" s="53"/>
      <c r="GBD52" s="53"/>
      <c r="GBE52" s="53"/>
      <c r="GBF52" s="53"/>
      <c r="GBG52" s="53"/>
      <c r="GBH52" s="53"/>
      <c r="GBI52" s="53"/>
      <c r="GBJ52" s="53"/>
      <c r="GBK52" s="53"/>
      <c r="GBL52" s="53"/>
      <c r="GBM52" s="53"/>
      <c r="GBN52" s="53"/>
      <c r="GBO52" s="53"/>
      <c r="GBP52" s="53"/>
      <c r="GBQ52" s="53"/>
      <c r="GBR52" s="53"/>
      <c r="GBS52" s="53"/>
      <c r="GBT52" s="53"/>
      <c r="GBU52" s="53"/>
      <c r="GBV52" s="53"/>
      <c r="GBW52" s="53"/>
      <c r="GBX52" s="53"/>
      <c r="GBY52" s="53"/>
      <c r="GBZ52" s="53"/>
      <c r="GCA52" s="53"/>
      <c r="GCB52" s="53"/>
      <c r="GCC52" s="53"/>
      <c r="GCD52" s="53"/>
      <c r="GCE52" s="53"/>
      <c r="GCF52" s="53"/>
      <c r="GCG52" s="53"/>
      <c r="GCH52" s="53"/>
      <c r="GCI52" s="53"/>
      <c r="GCJ52" s="53"/>
      <c r="GCK52" s="53"/>
      <c r="GCL52" s="53"/>
      <c r="GCM52" s="53"/>
      <c r="GCN52" s="53"/>
      <c r="GCO52" s="53"/>
      <c r="GCP52" s="53"/>
      <c r="GCQ52" s="53"/>
      <c r="GCR52" s="53"/>
      <c r="GCS52" s="53"/>
      <c r="GCT52" s="53"/>
      <c r="GCU52" s="53"/>
      <c r="GCV52" s="53"/>
      <c r="GCW52" s="53"/>
      <c r="GCX52" s="53"/>
      <c r="GCY52" s="53"/>
      <c r="GCZ52" s="53"/>
      <c r="GDA52" s="53"/>
      <c r="GDB52" s="53"/>
      <c r="GDC52" s="53"/>
      <c r="GDD52" s="53"/>
      <c r="GDE52" s="53"/>
      <c r="GDF52" s="53"/>
      <c r="GDG52" s="53"/>
      <c r="GDH52" s="53"/>
      <c r="GDI52" s="53"/>
      <c r="GDJ52" s="53"/>
      <c r="GDK52" s="53"/>
      <c r="GDL52" s="53"/>
      <c r="GDM52" s="53"/>
      <c r="GDN52" s="53"/>
      <c r="GDO52" s="53"/>
      <c r="GDP52" s="53"/>
      <c r="GDQ52" s="53"/>
      <c r="GDR52" s="53"/>
      <c r="GDS52" s="53"/>
      <c r="GDT52" s="53"/>
      <c r="GDU52" s="53"/>
      <c r="GDV52" s="53"/>
      <c r="GDW52" s="53"/>
      <c r="GDX52" s="53"/>
      <c r="GDY52" s="53"/>
      <c r="GDZ52" s="53"/>
      <c r="GEA52" s="53"/>
      <c r="GEB52" s="53"/>
      <c r="GEC52" s="53"/>
      <c r="GED52" s="53"/>
      <c r="GEE52" s="53"/>
      <c r="GEF52" s="53"/>
      <c r="GEG52" s="53"/>
      <c r="GEH52" s="53"/>
      <c r="GEI52" s="53"/>
      <c r="GEJ52" s="53"/>
      <c r="GEK52" s="53"/>
      <c r="GEL52" s="53"/>
      <c r="GEM52" s="53"/>
      <c r="GEN52" s="53"/>
      <c r="GEO52" s="53"/>
      <c r="GEP52" s="53"/>
      <c r="GEQ52" s="53"/>
      <c r="GER52" s="53"/>
      <c r="GES52" s="53"/>
      <c r="GET52" s="53"/>
      <c r="GEU52" s="53"/>
      <c r="GEV52" s="53"/>
      <c r="GEW52" s="53"/>
      <c r="GEX52" s="53"/>
      <c r="GEY52" s="53"/>
      <c r="GEZ52" s="53"/>
      <c r="GFA52" s="53"/>
      <c r="GFB52" s="53"/>
      <c r="GFC52" s="53"/>
      <c r="GFD52" s="53"/>
      <c r="GFE52" s="53"/>
      <c r="GFF52" s="53"/>
      <c r="GFG52" s="53"/>
      <c r="GFH52" s="53"/>
      <c r="GFI52" s="53"/>
      <c r="GFJ52" s="53"/>
      <c r="GFK52" s="53"/>
      <c r="GFL52" s="53"/>
      <c r="GFM52" s="53"/>
      <c r="GFN52" s="53"/>
      <c r="GFO52" s="53"/>
      <c r="GFP52" s="53"/>
      <c r="GFQ52" s="53"/>
      <c r="GFR52" s="53"/>
      <c r="GFS52" s="53"/>
      <c r="GFT52" s="53"/>
      <c r="GFU52" s="53"/>
      <c r="GFV52" s="53"/>
      <c r="GFW52" s="53"/>
      <c r="GFX52" s="53"/>
      <c r="GFY52" s="53"/>
      <c r="GFZ52" s="53"/>
      <c r="GGA52" s="53"/>
      <c r="GGB52" s="53"/>
      <c r="GGC52" s="53"/>
      <c r="GGD52" s="53"/>
      <c r="GGE52" s="53"/>
      <c r="GGF52" s="53"/>
      <c r="GGG52" s="53"/>
      <c r="GGH52" s="53"/>
      <c r="GGI52" s="53"/>
      <c r="GGJ52" s="53"/>
      <c r="GGK52" s="53"/>
      <c r="GGL52" s="53"/>
      <c r="GGM52" s="53"/>
      <c r="GGN52" s="53"/>
      <c r="GGO52" s="53"/>
      <c r="GGP52" s="53"/>
      <c r="GGQ52" s="53"/>
      <c r="GGR52" s="53"/>
      <c r="GGS52" s="53"/>
      <c r="GGT52" s="53"/>
      <c r="GGU52" s="53"/>
      <c r="GGV52" s="53"/>
      <c r="GGW52" s="53"/>
      <c r="GGX52" s="53"/>
      <c r="GGY52" s="53"/>
      <c r="GGZ52" s="53"/>
      <c r="GHA52" s="53"/>
      <c r="GHB52" s="53"/>
      <c r="GHC52" s="53"/>
      <c r="GHD52" s="53"/>
      <c r="GHE52" s="53"/>
      <c r="GHF52" s="53"/>
      <c r="GHG52" s="53"/>
      <c r="GHH52" s="53"/>
      <c r="GHI52" s="53"/>
      <c r="GHJ52" s="53"/>
      <c r="GHK52" s="53"/>
      <c r="GHL52" s="53"/>
      <c r="GHM52" s="53"/>
      <c r="GHN52" s="53"/>
      <c r="GHO52" s="53"/>
      <c r="GHP52" s="53"/>
      <c r="GHQ52" s="53"/>
      <c r="GHR52" s="53"/>
      <c r="GHS52" s="53"/>
      <c r="GHT52" s="53"/>
      <c r="GHU52" s="53"/>
      <c r="GHV52" s="53"/>
      <c r="GHW52" s="53"/>
      <c r="GHX52" s="53"/>
      <c r="GHY52" s="53"/>
      <c r="GHZ52" s="53"/>
      <c r="GIA52" s="53"/>
      <c r="GIB52" s="53"/>
      <c r="GIC52" s="53"/>
      <c r="GID52" s="53"/>
      <c r="GIE52" s="53"/>
      <c r="GIF52" s="53"/>
      <c r="GIG52" s="53"/>
      <c r="GIH52" s="53"/>
      <c r="GII52" s="53"/>
      <c r="GIJ52" s="53"/>
      <c r="GIK52" s="53"/>
      <c r="GIL52" s="53"/>
      <c r="GIM52" s="53"/>
      <c r="GIN52" s="53"/>
      <c r="GIO52" s="53"/>
      <c r="GIP52" s="53"/>
      <c r="GIQ52" s="53"/>
      <c r="GIR52" s="53"/>
      <c r="GIS52" s="53"/>
      <c r="GIT52" s="53"/>
      <c r="GIU52" s="53"/>
      <c r="GIV52" s="53"/>
      <c r="GIW52" s="53"/>
      <c r="GIX52" s="53"/>
      <c r="GIY52" s="53"/>
      <c r="GIZ52" s="53"/>
      <c r="GJA52" s="53"/>
      <c r="GJB52" s="53"/>
      <c r="GJC52" s="53"/>
      <c r="GJD52" s="53"/>
      <c r="GJE52" s="53"/>
      <c r="GJF52" s="53"/>
      <c r="GJG52" s="53"/>
      <c r="GJH52" s="53"/>
      <c r="GJI52" s="53"/>
      <c r="GJJ52" s="53"/>
      <c r="GJK52" s="53"/>
      <c r="GJL52" s="53"/>
      <c r="GJM52" s="53"/>
      <c r="GJN52" s="53"/>
      <c r="GJO52" s="53"/>
      <c r="GJP52" s="53"/>
      <c r="GJQ52" s="53"/>
      <c r="GJR52" s="53"/>
      <c r="GJS52" s="53"/>
      <c r="GJT52" s="53"/>
      <c r="GJU52" s="53"/>
      <c r="GJV52" s="53"/>
      <c r="GJW52" s="53"/>
      <c r="GJX52" s="53"/>
      <c r="GJY52" s="53"/>
      <c r="GJZ52" s="53"/>
      <c r="GKA52" s="53"/>
      <c r="GKB52" s="53"/>
      <c r="GKC52" s="53"/>
      <c r="GKD52" s="53"/>
      <c r="GKE52" s="53"/>
      <c r="GKF52" s="53"/>
      <c r="GKG52" s="53"/>
      <c r="GKH52" s="53"/>
      <c r="GKI52" s="53"/>
      <c r="GKJ52" s="53"/>
      <c r="GKK52" s="53"/>
      <c r="GKL52" s="53"/>
      <c r="GKM52" s="53"/>
      <c r="GKN52" s="53"/>
      <c r="GKO52" s="53"/>
      <c r="GKP52" s="53"/>
      <c r="GKQ52" s="53"/>
      <c r="GKR52" s="53"/>
      <c r="GKS52" s="53"/>
      <c r="GKT52" s="53"/>
      <c r="GKU52" s="53"/>
      <c r="GKV52" s="53"/>
      <c r="GKW52" s="53"/>
      <c r="GKX52" s="53"/>
      <c r="GKY52" s="53"/>
      <c r="GKZ52" s="53"/>
      <c r="GLA52" s="53"/>
      <c r="GLB52" s="53"/>
      <c r="GLC52" s="53"/>
      <c r="GLD52" s="53"/>
      <c r="GLE52" s="53"/>
      <c r="GLF52" s="53"/>
      <c r="GLG52" s="53"/>
      <c r="GLH52" s="53"/>
      <c r="GLI52" s="53"/>
      <c r="GLJ52" s="53"/>
      <c r="GLK52" s="53"/>
      <c r="GLL52" s="53"/>
      <c r="GLM52" s="53"/>
      <c r="GLN52" s="53"/>
      <c r="GLO52" s="53"/>
      <c r="GLP52" s="53"/>
      <c r="GLQ52" s="53"/>
      <c r="GLR52" s="53"/>
      <c r="GLS52" s="53"/>
      <c r="GLT52" s="53"/>
      <c r="GLU52" s="53"/>
      <c r="GLV52" s="53"/>
      <c r="GLW52" s="53"/>
      <c r="GLX52" s="53"/>
      <c r="GLY52" s="53"/>
      <c r="GLZ52" s="53"/>
      <c r="GMA52" s="53"/>
      <c r="GMB52" s="53"/>
      <c r="GMC52" s="53"/>
      <c r="GMD52" s="53"/>
      <c r="GME52" s="53"/>
      <c r="GMF52" s="53"/>
      <c r="GMG52" s="53"/>
      <c r="GMH52" s="53"/>
      <c r="GMI52" s="53"/>
      <c r="GMJ52" s="53"/>
      <c r="GMK52" s="53"/>
      <c r="GML52" s="53"/>
      <c r="GMM52" s="53"/>
      <c r="GMN52" s="53"/>
      <c r="GMO52" s="53"/>
      <c r="GMP52" s="53"/>
      <c r="GMQ52" s="53"/>
      <c r="GMR52" s="53"/>
      <c r="GMS52" s="53"/>
      <c r="GMT52" s="53"/>
      <c r="GMU52" s="53"/>
      <c r="GMV52" s="53"/>
      <c r="GMW52" s="53"/>
      <c r="GMX52" s="53"/>
      <c r="GMY52" s="53"/>
      <c r="GMZ52" s="53"/>
      <c r="GNA52" s="53"/>
      <c r="GNB52" s="53"/>
      <c r="GNC52" s="53"/>
      <c r="GND52" s="53"/>
      <c r="GNE52" s="53"/>
      <c r="GNF52" s="53"/>
      <c r="GNG52" s="53"/>
      <c r="GNH52" s="53"/>
      <c r="GNI52" s="53"/>
      <c r="GNJ52" s="53"/>
      <c r="GNK52" s="53"/>
      <c r="GNL52" s="53"/>
      <c r="GNM52" s="53"/>
      <c r="GNN52" s="53"/>
      <c r="GNO52" s="53"/>
      <c r="GNP52" s="53"/>
      <c r="GNQ52" s="53"/>
      <c r="GNR52" s="53"/>
      <c r="GNS52" s="53"/>
      <c r="GNT52" s="53"/>
      <c r="GNU52" s="53"/>
      <c r="GNV52" s="53"/>
      <c r="GNW52" s="53"/>
      <c r="GNX52" s="53"/>
      <c r="GNY52" s="53"/>
      <c r="GNZ52" s="53"/>
      <c r="GOA52" s="53"/>
      <c r="GOB52" s="53"/>
      <c r="GOC52" s="53"/>
      <c r="GOD52" s="53"/>
      <c r="GOE52" s="53"/>
      <c r="GOF52" s="53"/>
      <c r="GOG52" s="53"/>
      <c r="GOH52" s="53"/>
      <c r="GOI52" s="53"/>
      <c r="GOJ52" s="53"/>
      <c r="GOK52" s="53"/>
      <c r="GOL52" s="53"/>
      <c r="GOM52" s="53"/>
      <c r="GON52" s="53"/>
      <c r="GOO52" s="53"/>
      <c r="GOP52" s="53"/>
      <c r="GOQ52" s="53"/>
      <c r="GOR52" s="53"/>
      <c r="GOS52" s="53"/>
      <c r="GOT52" s="53"/>
      <c r="GOU52" s="53"/>
      <c r="GOV52" s="53"/>
      <c r="GOW52" s="53"/>
      <c r="GOX52" s="53"/>
      <c r="GOY52" s="53"/>
      <c r="GOZ52" s="53"/>
      <c r="GPA52" s="53"/>
      <c r="GPB52" s="53"/>
      <c r="GPC52" s="53"/>
      <c r="GPD52" s="53"/>
      <c r="GPE52" s="53"/>
      <c r="GPF52" s="53"/>
      <c r="GPG52" s="53"/>
      <c r="GPH52" s="53"/>
      <c r="GPI52" s="53"/>
      <c r="GPJ52" s="53"/>
      <c r="GPK52" s="53"/>
      <c r="GPL52" s="53"/>
      <c r="GPM52" s="53"/>
      <c r="GPN52" s="53"/>
      <c r="GPO52" s="53"/>
      <c r="GPP52" s="53"/>
      <c r="GPQ52" s="53"/>
      <c r="GPR52" s="53"/>
      <c r="GPS52" s="53"/>
      <c r="GPT52" s="53"/>
      <c r="GPU52" s="53"/>
      <c r="GPV52" s="53"/>
      <c r="GPW52" s="53"/>
      <c r="GPX52" s="53"/>
      <c r="GPY52" s="53"/>
      <c r="GPZ52" s="53"/>
      <c r="GQA52" s="53"/>
      <c r="GQB52" s="53"/>
      <c r="GQC52" s="53"/>
      <c r="GQD52" s="53"/>
      <c r="GQE52" s="53"/>
      <c r="GQF52" s="53"/>
      <c r="GQG52" s="53"/>
      <c r="GQH52" s="53"/>
      <c r="GQI52" s="53"/>
      <c r="GQJ52" s="53"/>
      <c r="GQK52" s="53"/>
      <c r="GQL52" s="53"/>
      <c r="GQM52" s="53"/>
      <c r="GQN52" s="53"/>
      <c r="GQO52" s="53"/>
      <c r="GQP52" s="53"/>
      <c r="GQQ52" s="53"/>
      <c r="GQR52" s="53"/>
      <c r="GQS52" s="53"/>
      <c r="GQT52" s="53"/>
      <c r="GQU52" s="53"/>
      <c r="GQV52" s="53"/>
      <c r="GQW52" s="53"/>
      <c r="GQX52" s="53"/>
      <c r="GQY52" s="53"/>
      <c r="GQZ52" s="53"/>
      <c r="GRA52" s="53"/>
      <c r="GRB52" s="53"/>
      <c r="GRC52" s="53"/>
      <c r="GRD52" s="53"/>
      <c r="GRE52" s="53"/>
      <c r="GRF52" s="53"/>
      <c r="GRG52" s="53"/>
      <c r="GRH52" s="53"/>
      <c r="GRI52" s="53"/>
      <c r="GRJ52" s="53"/>
      <c r="GRK52" s="53"/>
      <c r="GRL52" s="53"/>
      <c r="GRM52" s="53"/>
      <c r="GRN52" s="53"/>
      <c r="GRO52" s="53"/>
      <c r="GRP52" s="53"/>
      <c r="GRQ52" s="53"/>
      <c r="GRR52" s="53"/>
      <c r="GRS52" s="53"/>
      <c r="GRT52" s="53"/>
      <c r="GRU52" s="53"/>
      <c r="GRV52" s="53"/>
      <c r="GRW52" s="53"/>
      <c r="GRX52" s="53"/>
      <c r="GRY52" s="53"/>
      <c r="GRZ52" s="53"/>
      <c r="GSA52" s="53"/>
      <c r="GSB52" s="53"/>
      <c r="GSC52" s="53"/>
      <c r="GSD52" s="53"/>
      <c r="GSE52" s="53"/>
      <c r="GSF52" s="53"/>
      <c r="GSG52" s="53"/>
      <c r="GSH52" s="53"/>
      <c r="GSI52" s="53"/>
      <c r="GSJ52" s="53"/>
      <c r="GSK52" s="53"/>
      <c r="GSL52" s="53"/>
      <c r="GSM52" s="53"/>
      <c r="GSN52" s="53"/>
      <c r="GSO52" s="53"/>
      <c r="GSP52" s="53"/>
      <c r="GSQ52" s="53"/>
      <c r="GSR52" s="53"/>
      <c r="GSS52" s="53"/>
      <c r="GST52" s="53"/>
      <c r="GSU52" s="53"/>
      <c r="GSV52" s="53"/>
      <c r="GSW52" s="53"/>
      <c r="GSX52" s="53"/>
      <c r="GSY52" s="53"/>
      <c r="GSZ52" s="53"/>
      <c r="GTA52" s="53"/>
      <c r="GTB52" s="53"/>
      <c r="GTC52" s="53"/>
      <c r="GTD52" s="53"/>
      <c r="GTE52" s="53"/>
      <c r="GTF52" s="53"/>
      <c r="GTG52" s="53"/>
      <c r="GTH52" s="53"/>
      <c r="GTI52" s="53"/>
      <c r="GTJ52" s="53"/>
      <c r="GTK52" s="53"/>
      <c r="GTL52" s="53"/>
      <c r="GTM52" s="53"/>
      <c r="GTN52" s="53"/>
      <c r="GTO52" s="53"/>
      <c r="GTP52" s="53"/>
      <c r="GTQ52" s="53"/>
      <c r="GTR52" s="53"/>
      <c r="GTS52" s="53"/>
      <c r="GTT52" s="53"/>
      <c r="GTU52" s="53"/>
      <c r="GTV52" s="53"/>
      <c r="GTW52" s="53"/>
      <c r="GTX52" s="53"/>
      <c r="GTY52" s="53"/>
      <c r="GTZ52" s="53"/>
      <c r="GUA52" s="53"/>
      <c r="GUB52" s="53"/>
      <c r="GUC52" s="53"/>
      <c r="GUD52" s="53"/>
      <c r="GUE52" s="53"/>
      <c r="GUF52" s="53"/>
      <c r="GUG52" s="53"/>
      <c r="GUH52" s="53"/>
      <c r="GUI52" s="53"/>
      <c r="GUJ52" s="53"/>
      <c r="GUK52" s="53"/>
      <c r="GUL52" s="53"/>
      <c r="GUM52" s="53"/>
      <c r="GUN52" s="53"/>
      <c r="GUO52" s="53"/>
      <c r="GUP52" s="53"/>
      <c r="GUQ52" s="53"/>
      <c r="GUR52" s="53"/>
      <c r="GUS52" s="53"/>
      <c r="GUT52" s="53"/>
      <c r="GUU52" s="53"/>
      <c r="GUV52" s="53"/>
      <c r="GUW52" s="53"/>
      <c r="GUX52" s="53"/>
      <c r="GUY52" s="53"/>
      <c r="GUZ52" s="53"/>
      <c r="GVA52" s="53"/>
      <c r="GVB52" s="53"/>
      <c r="GVC52" s="53"/>
      <c r="GVD52" s="53"/>
      <c r="GVE52" s="53"/>
      <c r="GVF52" s="53"/>
      <c r="GVG52" s="53"/>
      <c r="GVH52" s="53"/>
      <c r="GVI52" s="53"/>
      <c r="GVJ52" s="53"/>
      <c r="GVK52" s="53"/>
      <c r="GVL52" s="53"/>
      <c r="GVM52" s="53"/>
      <c r="GVN52" s="53"/>
      <c r="GVO52" s="53"/>
      <c r="GVP52" s="53"/>
      <c r="GVQ52" s="53"/>
      <c r="GVR52" s="53"/>
      <c r="GVS52" s="53"/>
      <c r="GVT52" s="53"/>
      <c r="GVU52" s="53"/>
      <c r="GVV52" s="53"/>
      <c r="GVW52" s="53"/>
      <c r="GVX52" s="53"/>
      <c r="GVY52" s="53"/>
      <c r="GVZ52" s="53"/>
      <c r="GWA52" s="53"/>
      <c r="GWB52" s="53"/>
      <c r="GWC52" s="53"/>
      <c r="GWD52" s="53"/>
      <c r="GWE52" s="53"/>
      <c r="GWF52" s="53"/>
      <c r="GWG52" s="53"/>
      <c r="GWH52" s="53"/>
      <c r="GWI52" s="53"/>
      <c r="GWJ52" s="53"/>
      <c r="GWK52" s="53"/>
      <c r="GWL52" s="53"/>
      <c r="GWM52" s="53"/>
      <c r="GWN52" s="53"/>
      <c r="GWO52" s="53"/>
      <c r="GWP52" s="53"/>
      <c r="GWQ52" s="53"/>
      <c r="GWR52" s="53"/>
      <c r="GWS52" s="53"/>
      <c r="GWT52" s="53"/>
      <c r="GWU52" s="53"/>
      <c r="GWV52" s="53"/>
      <c r="GWW52" s="53"/>
      <c r="GWX52" s="53"/>
      <c r="GWY52" s="53"/>
      <c r="GWZ52" s="53"/>
      <c r="GXA52" s="53"/>
      <c r="GXB52" s="53"/>
      <c r="GXC52" s="53"/>
      <c r="GXD52" s="53"/>
      <c r="GXE52" s="53"/>
      <c r="GXF52" s="53"/>
      <c r="GXG52" s="53"/>
      <c r="GXH52" s="53"/>
      <c r="GXI52" s="53"/>
      <c r="GXJ52" s="53"/>
      <c r="GXK52" s="53"/>
      <c r="GXL52" s="53"/>
      <c r="GXM52" s="53"/>
      <c r="GXN52" s="53"/>
      <c r="GXO52" s="53"/>
      <c r="GXP52" s="53"/>
      <c r="GXQ52" s="53"/>
      <c r="GXR52" s="53"/>
      <c r="GXS52" s="53"/>
      <c r="GXT52" s="53"/>
      <c r="GXU52" s="53"/>
      <c r="GXV52" s="53"/>
      <c r="GXW52" s="53"/>
      <c r="GXX52" s="53"/>
      <c r="GXY52" s="53"/>
      <c r="GXZ52" s="53"/>
      <c r="GYA52" s="53"/>
      <c r="GYB52" s="53"/>
      <c r="GYC52" s="53"/>
      <c r="GYD52" s="53"/>
      <c r="GYE52" s="53"/>
      <c r="GYF52" s="53"/>
      <c r="GYG52" s="53"/>
      <c r="GYH52" s="53"/>
      <c r="GYI52" s="53"/>
      <c r="GYJ52" s="53"/>
      <c r="GYK52" s="53"/>
      <c r="GYL52" s="53"/>
      <c r="GYM52" s="53"/>
      <c r="GYN52" s="53"/>
      <c r="GYO52" s="53"/>
      <c r="GYP52" s="53"/>
      <c r="GYQ52" s="53"/>
      <c r="GYR52" s="53"/>
      <c r="GYS52" s="53"/>
      <c r="GYT52" s="53"/>
      <c r="GYU52" s="53"/>
      <c r="GYV52" s="53"/>
      <c r="GYW52" s="53"/>
      <c r="GYX52" s="53"/>
      <c r="GYY52" s="53"/>
      <c r="GYZ52" s="53"/>
      <c r="GZA52" s="53"/>
      <c r="GZB52" s="53"/>
      <c r="GZC52" s="53"/>
      <c r="GZD52" s="53"/>
      <c r="GZE52" s="53"/>
      <c r="GZF52" s="53"/>
      <c r="GZG52" s="53"/>
      <c r="GZH52" s="53"/>
      <c r="GZI52" s="53"/>
      <c r="GZJ52" s="53"/>
      <c r="GZK52" s="53"/>
      <c r="GZL52" s="53"/>
      <c r="GZM52" s="53"/>
      <c r="GZN52" s="53"/>
      <c r="GZO52" s="53"/>
      <c r="GZP52" s="53"/>
      <c r="GZQ52" s="53"/>
      <c r="GZR52" s="53"/>
      <c r="GZS52" s="53"/>
      <c r="GZT52" s="53"/>
      <c r="GZU52" s="53"/>
      <c r="GZV52" s="53"/>
      <c r="GZW52" s="53"/>
      <c r="GZX52" s="53"/>
      <c r="GZY52" s="53"/>
      <c r="GZZ52" s="53"/>
      <c r="HAA52" s="53"/>
      <c r="HAB52" s="53"/>
      <c r="HAC52" s="53"/>
      <c r="HAD52" s="53"/>
      <c r="HAE52" s="53"/>
      <c r="HAF52" s="53"/>
      <c r="HAG52" s="53"/>
      <c r="HAH52" s="53"/>
      <c r="HAI52" s="53"/>
      <c r="HAJ52" s="53"/>
      <c r="HAK52" s="53"/>
      <c r="HAL52" s="53"/>
      <c r="HAM52" s="53"/>
      <c r="HAN52" s="53"/>
      <c r="HAO52" s="53"/>
      <c r="HAP52" s="53"/>
      <c r="HAQ52" s="53"/>
      <c r="HAR52" s="53"/>
      <c r="HAS52" s="53"/>
      <c r="HAT52" s="53"/>
      <c r="HAU52" s="53"/>
      <c r="HAV52" s="53"/>
      <c r="HAW52" s="53"/>
      <c r="HAX52" s="53"/>
      <c r="HAY52" s="53"/>
      <c r="HAZ52" s="53"/>
      <c r="HBA52" s="53"/>
      <c r="HBB52" s="53"/>
      <c r="HBC52" s="53"/>
      <c r="HBD52" s="53"/>
      <c r="HBE52" s="53"/>
      <c r="HBF52" s="53"/>
      <c r="HBG52" s="53"/>
      <c r="HBH52" s="53"/>
      <c r="HBI52" s="53"/>
      <c r="HBJ52" s="53"/>
      <c r="HBK52" s="53"/>
      <c r="HBL52" s="53"/>
      <c r="HBM52" s="53"/>
      <c r="HBN52" s="53"/>
      <c r="HBO52" s="53"/>
      <c r="HBP52" s="53"/>
      <c r="HBQ52" s="53"/>
      <c r="HBR52" s="53"/>
      <c r="HBS52" s="53"/>
      <c r="HBT52" s="53"/>
      <c r="HBU52" s="53"/>
      <c r="HBV52" s="53"/>
      <c r="HBW52" s="53"/>
      <c r="HBX52" s="53"/>
      <c r="HBY52" s="53"/>
      <c r="HBZ52" s="53"/>
      <c r="HCA52" s="53"/>
      <c r="HCB52" s="53"/>
      <c r="HCC52" s="53"/>
      <c r="HCD52" s="53"/>
      <c r="HCE52" s="53"/>
      <c r="HCF52" s="53"/>
      <c r="HCG52" s="53"/>
      <c r="HCH52" s="53"/>
      <c r="HCI52" s="53"/>
      <c r="HCJ52" s="53"/>
      <c r="HCK52" s="53"/>
      <c r="HCL52" s="53"/>
      <c r="HCM52" s="53"/>
      <c r="HCN52" s="53"/>
      <c r="HCO52" s="53"/>
      <c r="HCP52" s="53"/>
      <c r="HCQ52" s="53"/>
      <c r="HCR52" s="53"/>
      <c r="HCS52" s="53"/>
      <c r="HCT52" s="53"/>
      <c r="HCU52" s="53"/>
      <c r="HCV52" s="53"/>
      <c r="HCW52" s="53"/>
      <c r="HCX52" s="53"/>
      <c r="HCY52" s="53"/>
      <c r="HCZ52" s="53"/>
      <c r="HDA52" s="53"/>
      <c r="HDB52" s="53"/>
      <c r="HDC52" s="53"/>
      <c r="HDD52" s="53"/>
      <c r="HDE52" s="53"/>
      <c r="HDF52" s="53"/>
      <c r="HDG52" s="53"/>
      <c r="HDH52" s="53"/>
      <c r="HDI52" s="53"/>
      <c r="HDJ52" s="53"/>
      <c r="HDK52" s="53"/>
      <c r="HDL52" s="53"/>
      <c r="HDM52" s="53"/>
      <c r="HDN52" s="53"/>
      <c r="HDO52" s="53"/>
      <c r="HDP52" s="53"/>
      <c r="HDQ52" s="53"/>
      <c r="HDR52" s="53"/>
      <c r="HDS52" s="53"/>
      <c r="HDT52" s="53"/>
      <c r="HDU52" s="53"/>
      <c r="HDV52" s="53"/>
      <c r="HDW52" s="53"/>
      <c r="HDX52" s="53"/>
      <c r="HDY52" s="53"/>
      <c r="HDZ52" s="53"/>
      <c r="HEA52" s="53"/>
      <c r="HEB52" s="53"/>
      <c r="HEC52" s="53"/>
      <c r="HED52" s="53"/>
      <c r="HEE52" s="53"/>
      <c r="HEF52" s="53"/>
      <c r="HEG52" s="53"/>
      <c r="HEH52" s="53"/>
      <c r="HEI52" s="53"/>
      <c r="HEJ52" s="53"/>
      <c r="HEK52" s="53"/>
      <c r="HEL52" s="53"/>
      <c r="HEM52" s="53"/>
      <c r="HEN52" s="53"/>
      <c r="HEO52" s="53"/>
      <c r="HEP52" s="53"/>
      <c r="HEQ52" s="53"/>
      <c r="HER52" s="53"/>
      <c r="HES52" s="53"/>
      <c r="HET52" s="53"/>
      <c r="HEU52" s="53"/>
      <c r="HEV52" s="53"/>
      <c r="HEW52" s="53"/>
      <c r="HEX52" s="53"/>
      <c r="HEY52" s="53"/>
      <c r="HEZ52" s="53"/>
      <c r="HFA52" s="53"/>
      <c r="HFB52" s="53"/>
      <c r="HFC52" s="53"/>
      <c r="HFD52" s="53"/>
      <c r="HFE52" s="53"/>
      <c r="HFF52" s="53"/>
      <c r="HFG52" s="53"/>
      <c r="HFH52" s="53"/>
      <c r="HFI52" s="53"/>
      <c r="HFJ52" s="53"/>
      <c r="HFK52" s="53"/>
      <c r="HFL52" s="53"/>
      <c r="HFM52" s="53"/>
      <c r="HFN52" s="53"/>
      <c r="HFO52" s="53"/>
      <c r="HFP52" s="53"/>
      <c r="HFQ52" s="53"/>
      <c r="HFR52" s="53"/>
      <c r="HFS52" s="53"/>
      <c r="HFT52" s="53"/>
      <c r="HFU52" s="53"/>
      <c r="HFV52" s="53"/>
      <c r="HFW52" s="53"/>
      <c r="HFX52" s="53"/>
      <c r="HFY52" s="53"/>
      <c r="HFZ52" s="53"/>
      <c r="HGA52" s="53"/>
      <c r="HGB52" s="53"/>
      <c r="HGC52" s="53"/>
      <c r="HGD52" s="53"/>
      <c r="HGE52" s="53"/>
      <c r="HGF52" s="53"/>
      <c r="HGG52" s="53"/>
      <c r="HGH52" s="53"/>
      <c r="HGI52" s="53"/>
      <c r="HGJ52" s="53"/>
      <c r="HGK52" s="53"/>
      <c r="HGL52" s="53"/>
      <c r="HGM52" s="53"/>
      <c r="HGN52" s="53"/>
      <c r="HGO52" s="53"/>
      <c r="HGP52" s="53"/>
      <c r="HGQ52" s="53"/>
      <c r="HGR52" s="53"/>
      <c r="HGS52" s="53"/>
      <c r="HGT52" s="53"/>
      <c r="HGU52" s="53"/>
      <c r="HGV52" s="53"/>
      <c r="HGW52" s="53"/>
      <c r="HGX52" s="53"/>
      <c r="HGY52" s="53"/>
      <c r="HGZ52" s="53"/>
      <c r="HHA52" s="53"/>
      <c r="HHB52" s="53"/>
      <c r="HHC52" s="53"/>
      <c r="HHD52" s="53"/>
      <c r="HHE52" s="53"/>
      <c r="HHF52" s="53"/>
      <c r="HHG52" s="53"/>
      <c r="HHH52" s="53"/>
      <c r="HHI52" s="53"/>
      <c r="HHJ52" s="53"/>
      <c r="HHK52" s="53"/>
      <c r="HHL52" s="53"/>
      <c r="HHM52" s="53"/>
      <c r="HHN52" s="53"/>
      <c r="HHO52" s="53"/>
      <c r="HHP52" s="53"/>
      <c r="HHQ52" s="53"/>
      <c r="HHR52" s="53"/>
      <c r="HHS52" s="53"/>
      <c r="HHT52" s="53"/>
      <c r="HHU52" s="53"/>
      <c r="HHV52" s="53"/>
      <c r="HHW52" s="53"/>
      <c r="HHX52" s="53"/>
      <c r="HHY52" s="53"/>
      <c r="HHZ52" s="53"/>
      <c r="HIA52" s="53"/>
      <c r="HIB52" s="53"/>
      <c r="HIC52" s="53"/>
      <c r="HID52" s="53"/>
      <c r="HIE52" s="53"/>
      <c r="HIF52" s="53"/>
      <c r="HIG52" s="53"/>
      <c r="HIH52" s="53"/>
      <c r="HII52" s="53"/>
      <c r="HIJ52" s="53"/>
      <c r="HIK52" s="53"/>
      <c r="HIL52" s="53"/>
      <c r="HIM52" s="53"/>
      <c r="HIN52" s="53"/>
      <c r="HIO52" s="53"/>
      <c r="HIP52" s="53"/>
      <c r="HIQ52" s="53"/>
      <c r="HIR52" s="53"/>
      <c r="HIS52" s="53"/>
      <c r="HIT52" s="53"/>
      <c r="HIU52" s="53"/>
      <c r="HIV52" s="53"/>
      <c r="HIW52" s="53"/>
      <c r="HIX52" s="53"/>
      <c r="HIY52" s="53"/>
      <c r="HIZ52" s="53"/>
      <c r="HJA52" s="53"/>
      <c r="HJB52" s="53"/>
      <c r="HJC52" s="53"/>
      <c r="HJD52" s="53"/>
      <c r="HJE52" s="53"/>
      <c r="HJF52" s="53"/>
      <c r="HJG52" s="53"/>
      <c r="HJH52" s="53"/>
      <c r="HJI52" s="53"/>
      <c r="HJJ52" s="53"/>
      <c r="HJK52" s="53"/>
      <c r="HJL52" s="53"/>
      <c r="HJM52" s="53"/>
      <c r="HJN52" s="53"/>
      <c r="HJO52" s="53"/>
      <c r="HJP52" s="53"/>
      <c r="HJQ52" s="53"/>
      <c r="HJR52" s="53"/>
      <c r="HJS52" s="53"/>
      <c r="HJT52" s="53"/>
      <c r="HJU52" s="53"/>
      <c r="HJV52" s="53"/>
      <c r="HJW52" s="53"/>
      <c r="HJX52" s="53"/>
      <c r="HJY52" s="53"/>
      <c r="HJZ52" s="53"/>
      <c r="HKA52" s="53"/>
      <c r="HKB52" s="53"/>
      <c r="HKC52" s="53"/>
      <c r="HKD52" s="53"/>
      <c r="HKE52" s="53"/>
      <c r="HKF52" s="53"/>
      <c r="HKG52" s="53"/>
      <c r="HKH52" s="53"/>
      <c r="HKI52" s="53"/>
      <c r="HKJ52" s="53"/>
      <c r="HKK52" s="53"/>
      <c r="HKL52" s="53"/>
      <c r="HKM52" s="53"/>
      <c r="HKN52" s="53"/>
      <c r="HKO52" s="53"/>
      <c r="HKP52" s="53"/>
      <c r="HKQ52" s="53"/>
      <c r="HKR52" s="53"/>
      <c r="HKS52" s="53"/>
      <c r="HKT52" s="53"/>
      <c r="HKU52" s="53"/>
      <c r="HKV52" s="53"/>
      <c r="HKW52" s="53"/>
      <c r="HKX52" s="53"/>
      <c r="HKY52" s="53"/>
      <c r="HKZ52" s="53"/>
      <c r="HLA52" s="53"/>
      <c r="HLB52" s="53"/>
      <c r="HLC52" s="53"/>
      <c r="HLD52" s="53"/>
      <c r="HLE52" s="53"/>
      <c r="HLF52" s="53"/>
      <c r="HLG52" s="53"/>
      <c r="HLH52" s="53"/>
      <c r="HLI52" s="53"/>
      <c r="HLJ52" s="53"/>
      <c r="HLK52" s="53"/>
      <c r="HLL52" s="53"/>
      <c r="HLM52" s="53"/>
      <c r="HLN52" s="53"/>
      <c r="HLO52" s="53"/>
      <c r="HLP52" s="53"/>
      <c r="HLQ52" s="53"/>
      <c r="HLR52" s="53"/>
      <c r="HLS52" s="53"/>
      <c r="HLT52" s="53"/>
      <c r="HLU52" s="53"/>
      <c r="HLV52" s="53"/>
      <c r="HLW52" s="53"/>
      <c r="HLX52" s="53"/>
      <c r="HLY52" s="53"/>
      <c r="HLZ52" s="53"/>
      <c r="HMA52" s="53"/>
      <c r="HMB52" s="53"/>
      <c r="HMC52" s="53"/>
      <c r="HMD52" s="53"/>
      <c r="HME52" s="53"/>
      <c r="HMF52" s="53"/>
      <c r="HMG52" s="53"/>
      <c r="HMH52" s="53"/>
      <c r="HMI52" s="53"/>
      <c r="HMJ52" s="53"/>
      <c r="HMK52" s="53"/>
      <c r="HML52" s="53"/>
      <c r="HMM52" s="53"/>
      <c r="HMN52" s="53"/>
      <c r="HMO52" s="53"/>
      <c r="HMP52" s="53"/>
      <c r="HMQ52" s="53"/>
      <c r="HMR52" s="53"/>
      <c r="HMS52" s="53"/>
      <c r="HMT52" s="53"/>
      <c r="HMU52" s="53"/>
      <c r="HMV52" s="53"/>
      <c r="HMW52" s="53"/>
      <c r="HMX52" s="53"/>
      <c r="HMY52" s="53"/>
      <c r="HMZ52" s="53"/>
      <c r="HNA52" s="53"/>
      <c r="HNB52" s="53"/>
      <c r="HNC52" s="53"/>
      <c r="HND52" s="53"/>
      <c r="HNE52" s="53"/>
      <c r="HNF52" s="53"/>
      <c r="HNG52" s="53"/>
      <c r="HNH52" s="53"/>
      <c r="HNI52" s="53"/>
      <c r="HNJ52" s="53"/>
      <c r="HNK52" s="53"/>
      <c r="HNL52" s="53"/>
      <c r="HNM52" s="53"/>
      <c r="HNN52" s="53"/>
      <c r="HNO52" s="53"/>
      <c r="HNP52" s="53"/>
      <c r="HNQ52" s="53"/>
      <c r="HNR52" s="53"/>
      <c r="HNS52" s="53"/>
      <c r="HNT52" s="53"/>
      <c r="HNU52" s="53"/>
      <c r="HNV52" s="53"/>
      <c r="HNW52" s="53"/>
      <c r="HNX52" s="53"/>
      <c r="HNY52" s="53"/>
      <c r="HNZ52" s="53"/>
      <c r="HOA52" s="53"/>
      <c r="HOB52" s="53"/>
      <c r="HOC52" s="53"/>
      <c r="HOD52" s="53"/>
      <c r="HOE52" s="53"/>
      <c r="HOF52" s="53"/>
      <c r="HOG52" s="53"/>
      <c r="HOH52" s="53"/>
      <c r="HOI52" s="53"/>
      <c r="HOJ52" s="53"/>
      <c r="HOK52" s="53"/>
      <c r="HOL52" s="53"/>
      <c r="HOM52" s="53"/>
      <c r="HON52" s="53"/>
      <c r="HOO52" s="53"/>
      <c r="HOP52" s="53"/>
      <c r="HOQ52" s="53"/>
      <c r="HOR52" s="53"/>
      <c r="HOS52" s="53"/>
      <c r="HOT52" s="53"/>
      <c r="HOU52" s="53"/>
      <c r="HOV52" s="53"/>
      <c r="HOW52" s="53"/>
      <c r="HOX52" s="53"/>
      <c r="HOY52" s="53"/>
      <c r="HOZ52" s="53"/>
      <c r="HPA52" s="53"/>
      <c r="HPB52" s="53"/>
      <c r="HPC52" s="53"/>
      <c r="HPD52" s="53"/>
      <c r="HPE52" s="53"/>
      <c r="HPF52" s="53"/>
      <c r="HPG52" s="53"/>
      <c r="HPH52" s="53"/>
      <c r="HPI52" s="53"/>
      <c r="HPJ52" s="53"/>
      <c r="HPK52" s="53"/>
      <c r="HPL52" s="53"/>
      <c r="HPM52" s="53"/>
      <c r="HPN52" s="53"/>
      <c r="HPO52" s="53"/>
      <c r="HPP52" s="53"/>
      <c r="HPQ52" s="53"/>
      <c r="HPR52" s="53"/>
      <c r="HPS52" s="53"/>
      <c r="HPT52" s="53"/>
      <c r="HPU52" s="53"/>
      <c r="HPV52" s="53"/>
      <c r="HPW52" s="53"/>
      <c r="HPX52" s="53"/>
      <c r="HPY52" s="53"/>
      <c r="HPZ52" s="53"/>
      <c r="HQA52" s="53"/>
      <c r="HQB52" s="53"/>
      <c r="HQC52" s="53"/>
      <c r="HQD52" s="53"/>
      <c r="HQE52" s="53"/>
      <c r="HQF52" s="53"/>
      <c r="HQG52" s="53"/>
      <c r="HQH52" s="53"/>
      <c r="HQI52" s="53"/>
      <c r="HQJ52" s="53"/>
      <c r="HQK52" s="53"/>
      <c r="HQL52" s="53"/>
      <c r="HQM52" s="53"/>
      <c r="HQN52" s="53"/>
      <c r="HQO52" s="53"/>
      <c r="HQP52" s="53"/>
      <c r="HQQ52" s="53"/>
      <c r="HQR52" s="53"/>
      <c r="HQS52" s="53"/>
      <c r="HQT52" s="53"/>
      <c r="HQU52" s="53"/>
      <c r="HQV52" s="53"/>
      <c r="HQW52" s="53"/>
      <c r="HQX52" s="53"/>
      <c r="HQY52" s="53"/>
      <c r="HQZ52" s="53"/>
      <c r="HRA52" s="53"/>
      <c r="HRB52" s="53"/>
      <c r="HRC52" s="53"/>
      <c r="HRD52" s="53"/>
      <c r="HRE52" s="53"/>
      <c r="HRF52" s="53"/>
      <c r="HRG52" s="53"/>
      <c r="HRH52" s="53"/>
      <c r="HRI52" s="53"/>
      <c r="HRJ52" s="53"/>
      <c r="HRK52" s="53"/>
      <c r="HRL52" s="53"/>
      <c r="HRM52" s="53"/>
      <c r="HRN52" s="53"/>
      <c r="HRO52" s="53"/>
      <c r="HRP52" s="53"/>
      <c r="HRQ52" s="53"/>
      <c r="HRR52" s="53"/>
      <c r="HRS52" s="53"/>
      <c r="HRT52" s="53"/>
      <c r="HRU52" s="53"/>
      <c r="HRV52" s="53"/>
      <c r="HRW52" s="53"/>
      <c r="HRX52" s="53"/>
      <c r="HRY52" s="53"/>
      <c r="HRZ52" s="53"/>
      <c r="HSA52" s="53"/>
      <c r="HSB52" s="53"/>
      <c r="HSC52" s="53"/>
      <c r="HSD52" s="53"/>
      <c r="HSE52" s="53"/>
      <c r="HSF52" s="53"/>
      <c r="HSG52" s="53"/>
      <c r="HSH52" s="53"/>
      <c r="HSI52" s="53"/>
      <c r="HSJ52" s="53"/>
      <c r="HSK52" s="53"/>
      <c r="HSL52" s="53"/>
      <c r="HSM52" s="53"/>
      <c r="HSN52" s="53"/>
      <c r="HSO52" s="53"/>
      <c r="HSP52" s="53"/>
      <c r="HSQ52" s="53"/>
      <c r="HSR52" s="53"/>
      <c r="HSS52" s="53"/>
      <c r="HST52" s="53"/>
      <c r="HSU52" s="53"/>
      <c r="HSV52" s="53"/>
      <c r="HSW52" s="53"/>
      <c r="HSX52" s="53"/>
      <c r="HSY52" s="53"/>
      <c r="HSZ52" s="53"/>
      <c r="HTA52" s="53"/>
      <c r="HTB52" s="53"/>
      <c r="HTC52" s="53"/>
      <c r="HTD52" s="53"/>
      <c r="HTE52" s="53"/>
      <c r="HTF52" s="53"/>
      <c r="HTG52" s="53"/>
      <c r="HTH52" s="53"/>
      <c r="HTI52" s="53"/>
      <c r="HTJ52" s="53"/>
      <c r="HTK52" s="53"/>
      <c r="HTL52" s="53"/>
      <c r="HTM52" s="53"/>
      <c r="HTN52" s="53"/>
      <c r="HTO52" s="53"/>
      <c r="HTP52" s="53"/>
      <c r="HTQ52" s="53"/>
      <c r="HTR52" s="53"/>
      <c r="HTS52" s="53"/>
      <c r="HTT52" s="53"/>
      <c r="HTU52" s="53"/>
      <c r="HTV52" s="53"/>
      <c r="HTW52" s="53"/>
      <c r="HTX52" s="53"/>
      <c r="HTY52" s="53"/>
      <c r="HTZ52" s="53"/>
      <c r="HUA52" s="53"/>
      <c r="HUB52" s="53"/>
      <c r="HUC52" s="53"/>
      <c r="HUD52" s="53"/>
      <c r="HUE52" s="53"/>
      <c r="HUF52" s="53"/>
      <c r="HUG52" s="53"/>
      <c r="HUH52" s="53"/>
      <c r="HUI52" s="53"/>
      <c r="HUJ52" s="53"/>
      <c r="HUK52" s="53"/>
      <c r="HUL52" s="53"/>
      <c r="HUM52" s="53"/>
      <c r="HUN52" s="53"/>
      <c r="HUO52" s="53"/>
      <c r="HUP52" s="53"/>
      <c r="HUQ52" s="53"/>
      <c r="HUR52" s="53"/>
      <c r="HUS52" s="53"/>
      <c r="HUT52" s="53"/>
      <c r="HUU52" s="53"/>
      <c r="HUV52" s="53"/>
      <c r="HUW52" s="53"/>
      <c r="HUX52" s="53"/>
      <c r="HUY52" s="53"/>
      <c r="HUZ52" s="53"/>
      <c r="HVA52" s="53"/>
      <c r="HVB52" s="53"/>
      <c r="HVC52" s="53"/>
      <c r="HVD52" s="53"/>
      <c r="HVE52" s="53"/>
      <c r="HVF52" s="53"/>
      <c r="HVG52" s="53"/>
      <c r="HVH52" s="53"/>
      <c r="HVI52" s="53"/>
      <c r="HVJ52" s="53"/>
      <c r="HVK52" s="53"/>
      <c r="HVL52" s="53"/>
      <c r="HVM52" s="53"/>
      <c r="HVN52" s="53"/>
      <c r="HVO52" s="53"/>
      <c r="HVP52" s="53"/>
      <c r="HVQ52" s="53"/>
      <c r="HVR52" s="53"/>
      <c r="HVS52" s="53"/>
      <c r="HVT52" s="53"/>
      <c r="HVU52" s="53"/>
      <c r="HVV52" s="53"/>
      <c r="HVW52" s="53"/>
      <c r="HVX52" s="53"/>
      <c r="HVY52" s="53"/>
      <c r="HVZ52" s="53"/>
      <c r="HWA52" s="53"/>
      <c r="HWB52" s="53"/>
      <c r="HWC52" s="53"/>
      <c r="HWD52" s="53"/>
      <c r="HWE52" s="53"/>
      <c r="HWF52" s="53"/>
      <c r="HWG52" s="53"/>
      <c r="HWH52" s="53"/>
      <c r="HWI52" s="53"/>
      <c r="HWJ52" s="53"/>
      <c r="HWK52" s="53"/>
      <c r="HWL52" s="53"/>
      <c r="HWM52" s="53"/>
      <c r="HWN52" s="53"/>
      <c r="HWO52" s="53"/>
      <c r="HWP52" s="53"/>
      <c r="HWQ52" s="53"/>
      <c r="HWR52" s="53"/>
      <c r="HWS52" s="53"/>
      <c r="HWT52" s="53"/>
      <c r="HWU52" s="53"/>
      <c r="HWV52" s="53"/>
      <c r="HWW52" s="53"/>
      <c r="HWX52" s="53"/>
      <c r="HWY52" s="53"/>
      <c r="HWZ52" s="53"/>
      <c r="HXA52" s="53"/>
      <c r="HXB52" s="53"/>
      <c r="HXC52" s="53"/>
      <c r="HXD52" s="53"/>
      <c r="HXE52" s="53"/>
      <c r="HXF52" s="53"/>
      <c r="HXG52" s="53"/>
      <c r="HXH52" s="53"/>
      <c r="HXI52" s="53"/>
      <c r="HXJ52" s="53"/>
      <c r="HXK52" s="53"/>
      <c r="HXL52" s="53"/>
      <c r="HXM52" s="53"/>
      <c r="HXN52" s="53"/>
      <c r="HXO52" s="53"/>
      <c r="HXP52" s="53"/>
      <c r="HXQ52" s="53"/>
      <c r="HXR52" s="53"/>
      <c r="HXS52" s="53"/>
      <c r="HXT52" s="53"/>
      <c r="HXU52" s="53"/>
      <c r="HXV52" s="53"/>
      <c r="HXW52" s="53"/>
      <c r="HXX52" s="53"/>
      <c r="HXY52" s="53"/>
      <c r="HXZ52" s="53"/>
      <c r="HYA52" s="53"/>
      <c r="HYB52" s="53"/>
      <c r="HYC52" s="53"/>
      <c r="HYD52" s="53"/>
      <c r="HYE52" s="53"/>
      <c r="HYF52" s="53"/>
      <c r="HYG52" s="53"/>
      <c r="HYH52" s="53"/>
      <c r="HYI52" s="53"/>
      <c r="HYJ52" s="53"/>
      <c r="HYK52" s="53"/>
      <c r="HYL52" s="53"/>
      <c r="HYM52" s="53"/>
      <c r="HYN52" s="53"/>
      <c r="HYO52" s="53"/>
      <c r="HYP52" s="53"/>
      <c r="HYQ52" s="53"/>
      <c r="HYR52" s="53"/>
      <c r="HYS52" s="53"/>
      <c r="HYT52" s="53"/>
      <c r="HYU52" s="53"/>
      <c r="HYV52" s="53"/>
      <c r="HYW52" s="53"/>
      <c r="HYX52" s="53"/>
      <c r="HYY52" s="53"/>
      <c r="HYZ52" s="53"/>
      <c r="HZA52" s="53"/>
      <c r="HZB52" s="53"/>
      <c r="HZC52" s="53"/>
      <c r="HZD52" s="53"/>
      <c r="HZE52" s="53"/>
      <c r="HZF52" s="53"/>
      <c r="HZG52" s="53"/>
      <c r="HZH52" s="53"/>
      <c r="HZI52" s="53"/>
      <c r="HZJ52" s="53"/>
      <c r="HZK52" s="53"/>
      <c r="HZL52" s="53"/>
      <c r="HZM52" s="53"/>
      <c r="HZN52" s="53"/>
      <c r="HZO52" s="53"/>
      <c r="HZP52" s="53"/>
      <c r="HZQ52" s="53"/>
      <c r="HZR52" s="53"/>
      <c r="HZS52" s="53"/>
      <c r="HZT52" s="53"/>
      <c r="HZU52" s="53"/>
      <c r="HZV52" s="53"/>
      <c r="HZW52" s="53"/>
      <c r="HZX52" s="53"/>
      <c r="HZY52" s="53"/>
      <c r="HZZ52" s="53"/>
      <c r="IAA52" s="53"/>
      <c r="IAB52" s="53"/>
      <c r="IAC52" s="53"/>
      <c r="IAD52" s="53"/>
      <c r="IAE52" s="53"/>
      <c r="IAF52" s="53"/>
      <c r="IAG52" s="53"/>
      <c r="IAH52" s="53"/>
      <c r="IAI52" s="53"/>
      <c r="IAJ52" s="53"/>
      <c r="IAK52" s="53"/>
      <c r="IAL52" s="53"/>
      <c r="IAM52" s="53"/>
      <c r="IAN52" s="53"/>
      <c r="IAO52" s="53"/>
      <c r="IAP52" s="53"/>
      <c r="IAQ52" s="53"/>
      <c r="IAR52" s="53"/>
      <c r="IAS52" s="53"/>
      <c r="IAT52" s="53"/>
      <c r="IAU52" s="53"/>
      <c r="IAV52" s="53"/>
      <c r="IAW52" s="53"/>
      <c r="IAX52" s="53"/>
      <c r="IAY52" s="53"/>
      <c r="IAZ52" s="53"/>
      <c r="IBA52" s="53"/>
      <c r="IBB52" s="53"/>
      <c r="IBC52" s="53"/>
      <c r="IBD52" s="53"/>
      <c r="IBE52" s="53"/>
      <c r="IBF52" s="53"/>
      <c r="IBG52" s="53"/>
      <c r="IBH52" s="53"/>
      <c r="IBI52" s="53"/>
      <c r="IBJ52" s="53"/>
      <c r="IBK52" s="53"/>
      <c r="IBL52" s="53"/>
      <c r="IBM52" s="53"/>
      <c r="IBN52" s="53"/>
      <c r="IBO52" s="53"/>
      <c r="IBP52" s="53"/>
      <c r="IBQ52" s="53"/>
      <c r="IBR52" s="53"/>
      <c r="IBS52" s="53"/>
      <c r="IBT52" s="53"/>
      <c r="IBU52" s="53"/>
      <c r="IBV52" s="53"/>
      <c r="IBW52" s="53"/>
      <c r="IBX52" s="53"/>
      <c r="IBY52" s="53"/>
      <c r="IBZ52" s="53"/>
      <c r="ICA52" s="53"/>
      <c r="ICB52" s="53"/>
      <c r="ICC52" s="53"/>
      <c r="ICD52" s="53"/>
      <c r="ICE52" s="53"/>
      <c r="ICF52" s="53"/>
      <c r="ICG52" s="53"/>
      <c r="ICH52" s="53"/>
      <c r="ICI52" s="53"/>
      <c r="ICJ52" s="53"/>
      <c r="ICK52" s="53"/>
      <c r="ICL52" s="53"/>
      <c r="ICM52" s="53"/>
      <c r="ICN52" s="53"/>
      <c r="ICO52" s="53"/>
      <c r="ICP52" s="53"/>
      <c r="ICQ52" s="53"/>
      <c r="ICR52" s="53"/>
      <c r="ICS52" s="53"/>
      <c r="ICT52" s="53"/>
      <c r="ICU52" s="53"/>
      <c r="ICV52" s="53"/>
      <c r="ICW52" s="53"/>
      <c r="ICX52" s="53"/>
      <c r="ICY52" s="53"/>
      <c r="ICZ52" s="53"/>
      <c r="IDA52" s="53"/>
      <c r="IDB52" s="53"/>
      <c r="IDC52" s="53"/>
      <c r="IDD52" s="53"/>
      <c r="IDE52" s="53"/>
      <c r="IDF52" s="53"/>
      <c r="IDG52" s="53"/>
      <c r="IDH52" s="53"/>
      <c r="IDI52" s="53"/>
      <c r="IDJ52" s="53"/>
      <c r="IDK52" s="53"/>
      <c r="IDL52" s="53"/>
      <c r="IDM52" s="53"/>
      <c r="IDN52" s="53"/>
      <c r="IDO52" s="53"/>
      <c r="IDP52" s="53"/>
      <c r="IDQ52" s="53"/>
      <c r="IDR52" s="53"/>
      <c r="IDS52" s="53"/>
      <c r="IDT52" s="53"/>
      <c r="IDU52" s="53"/>
      <c r="IDV52" s="53"/>
      <c r="IDW52" s="53"/>
      <c r="IDX52" s="53"/>
      <c r="IDY52" s="53"/>
      <c r="IDZ52" s="53"/>
      <c r="IEA52" s="53"/>
      <c r="IEB52" s="53"/>
      <c r="IEC52" s="53"/>
      <c r="IED52" s="53"/>
      <c r="IEE52" s="53"/>
      <c r="IEF52" s="53"/>
      <c r="IEG52" s="53"/>
      <c r="IEH52" s="53"/>
      <c r="IEI52" s="53"/>
      <c r="IEJ52" s="53"/>
      <c r="IEK52" s="53"/>
      <c r="IEL52" s="53"/>
      <c r="IEM52" s="53"/>
      <c r="IEN52" s="53"/>
      <c r="IEO52" s="53"/>
      <c r="IEP52" s="53"/>
      <c r="IEQ52" s="53"/>
      <c r="IER52" s="53"/>
      <c r="IES52" s="53"/>
      <c r="IET52" s="53"/>
      <c r="IEU52" s="53"/>
      <c r="IEV52" s="53"/>
      <c r="IEW52" s="53"/>
      <c r="IEX52" s="53"/>
      <c r="IEY52" s="53"/>
      <c r="IEZ52" s="53"/>
      <c r="IFA52" s="53"/>
      <c r="IFB52" s="53"/>
      <c r="IFC52" s="53"/>
      <c r="IFD52" s="53"/>
      <c r="IFE52" s="53"/>
      <c r="IFF52" s="53"/>
      <c r="IFG52" s="53"/>
      <c r="IFH52" s="53"/>
      <c r="IFI52" s="53"/>
      <c r="IFJ52" s="53"/>
      <c r="IFK52" s="53"/>
      <c r="IFL52" s="53"/>
      <c r="IFM52" s="53"/>
      <c r="IFN52" s="53"/>
      <c r="IFO52" s="53"/>
      <c r="IFP52" s="53"/>
      <c r="IFQ52" s="53"/>
      <c r="IFR52" s="53"/>
      <c r="IFS52" s="53"/>
      <c r="IFT52" s="53"/>
      <c r="IFU52" s="53"/>
      <c r="IFV52" s="53"/>
      <c r="IFW52" s="53"/>
      <c r="IFX52" s="53"/>
      <c r="IFY52" s="53"/>
      <c r="IFZ52" s="53"/>
      <c r="IGA52" s="53"/>
      <c r="IGB52" s="53"/>
      <c r="IGC52" s="53"/>
      <c r="IGD52" s="53"/>
      <c r="IGE52" s="53"/>
      <c r="IGF52" s="53"/>
      <c r="IGG52" s="53"/>
      <c r="IGH52" s="53"/>
      <c r="IGI52" s="53"/>
      <c r="IGJ52" s="53"/>
      <c r="IGK52" s="53"/>
      <c r="IGL52" s="53"/>
      <c r="IGM52" s="53"/>
      <c r="IGN52" s="53"/>
      <c r="IGO52" s="53"/>
      <c r="IGP52" s="53"/>
      <c r="IGQ52" s="53"/>
      <c r="IGR52" s="53"/>
      <c r="IGS52" s="53"/>
      <c r="IGT52" s="53"/>
      <c r="IGU52" s="53"/>
      <c r="IGV52" s="53"/>
      <c r="IGW52" s="53"/>
      <c r="IGX52" s="53"/>
      <c r="IGY52" s="53"/>
      <c r="IGZ52" s="53"/>
      <c r="IHA52" s="53"/>
      <c r="IHB52" s="53"/>
      <c r="IHC52" s="53"/>
      <c r="IHD52" s="53"/>
      <c r="IHE52" s="53"/>
      <c r="IHF52" s="53"/>
      <c r="IHG52" s="53"/>
      <c r="IHH52" s="53"/>
      <c r="IHI52" s="53"/>
      <c r="IHJ52" s="53"/>
      <c r="IHK52" s="53"/>
      <c r="IHL52" s="53"/>
      <c r="IHM52" s="53"/>
      <c r="IHN52" s="53"/>
      <c r="IHO52" s="53"/>
      <c r="IHP52" s="53"/>
      <c r="IHQ52" s="53"/>
      <c r="IHR52" s="53"/>
      <c r="IHS52" s="53"/>
      <c r="IHT52" s="53"/>
      <c r="IHU52" s="53"/>
      <c r="IHV52" s="53"/>
      <c r="IHW52" s="53"/>
      <c r="IHX52" s="53"/>
      <c r="IHY52" s="53"/>
      <c r="IHZ52" s="53"/>
      <c r="IIA52" s="53"/>
      <c r="IIB52" s="53"/>
      <c r="IIC52" s="53"/>
      <c r="IID52" s="53"/>
      <c r="IIE52" s="53"/>
      <c r="IIF52" s="53"/>
      <c r="IIG52" s="53"/>
      <c r="IIH52" s="53"/>
      <c r="III52" s="53"/>
      <c r="IIJ52" s="53"/>
      <c r="IIK52" s="53"/>
      <c r="IIL52" s="53"/>
      <c r="IIM52" s="53"/>
      <c r="IIN52" s="53"/>
      <c r="IIO52" s="53"/>
      <c r="IIP52" s="53"/>
      <c r="IIQ52" s="53"/>
      <c r="IIR52" s="53"/>
      <c r="IIS52" s="53"/>
      <c r="IIT52" s="53"/>
      <c r="IIU52" s="53"/>
      <c r="IIV52" s="53"/>
      <c r="IIW52" s="53"/>
      <c r="IIX52" s="53"/>
      <c r="IIY52" s="53"/>
      <c r="IIZ52" s="53"/>
      <c r="IJA52" s="53"/>
      <c r="IJB52" s="53"/>
      <c r="IJC52" s="53"/>
      <c r="IJD52" s="53"/>
      <c r="IJE52" s="53"/>
      <c r="IJF52" s="53"/>
      <c r="IJG52" s="53"/>
      <c r="IJH52" s="53"/>
      <c r="IJI52" s="53"/>
      <c r="IJJ52" s="53"/>
      <c r="IJK52" s="53"/>
      <c r="IJL52" s="53"/>
      <c r="IJM52" s="53"/>
      <c r="IJN52" s="53"/>
      <c r="IJO52" s="53"/>
      <c r="IJP52" s="53"/>
      <c r="IJQ52" s="53"/>
      <c r="IJR52" s="53"/>
      <c r="IJS52" s="53"/>
      <c r="IJT52" s="53"/>
      <c r="IJU52" s="53"/>
      <c r="IJV52" s="53"/>
      <c r="IJW52" s="53"/>
      <c r="IJX52" s="53"/>
      <c r="IJY52" s="53"/>
      <c r="IJZ52" s="53"/>
      <c r="IKA52" s="53"/>
      <c r="IKB52" s="53"/>
      <c r="IKC52" s="53"/>
      <c r="IKD52" s="53"/>
      <c r="IKE52" s="53"/>
      <c r="IKF52" s="53"/>
      <c r="IKG52" s="53"/>
      <c r="IKH52" s="53"/>
      <c r="IKI52" s="53"/>
      <c r="IKJ52" s="53"/>
      <c r="IKK52" s="53"/>
      <c r="IKL52" s="53"/>
      <c r="IKM52" s="53"/>
      <c r="IKN52" s="53"/>
      <c r="IKO52" s="53"/>
      <c r="IKP52" s="53"/>
      <c r="IKQ52" s="53"/>
      <c r="IKR52" s="53"/>
      <c r="IKS52" s="53"/>
      <c r="IKT52" s="53"/>
      <c r="IKU52" s="53"/>
      <c r="IKV52" s="53"/>
      <c r="IKW52" s="53"/>
      <c r="IKX52" s="53"/>
      <c r="IKY52" s="53"/>
      <c r="IKZ52" s="53"/>
      <c r="ILA52" s="53"/>
      <c r="ILB52" s="53"/>
      <c r="ILC52" s="53"/>
      <c r="ILD52" s="53"/>
      <c r="ILE52" s="53"/>
      <c r="ILF52" s="53"/>
      <c r="ILG52" s="53"/>
      <c r="ILH52" s="53"/>
      <c r="ILI52" s="53"/>
      <c r="ILJ52" s="53"/>
      <c r="ILK52" s="53"/>
      <c r="ILL52" s="53"/>
      <c r="ILM52" s="53"/>
      <c r="ILN52" s="53"/>
      <c r="ILO52" s="53"/>
      <c r="ILP52" s="53"/>
      <c r="ILQ52" s="53"/>
      <c r="ILR52" s="53"/>
      <c r="ILS52" s="53"/>
      <c r="ILT52" s="53"/>
      <c r="ILU52" s="53"/>
      <c r="ILV52" s="53"/>
      <c r="ILW52" s="53"/>
      <c r="ILX52" s="53"/>
      <c r="ILY52" s="53"/>
      <c r="ILZ52" s="53"/>
      <c r="IMA52" s="53"/>
      <c r="IMB52" s="53"/>
      <c r="IMC52" s="53"/>
      <c r="IMD52" s="53"/>
      <c r="IME52" s="53"/>
      <c r="IMF52" s="53"/>
      <c r="IMG52" s="53"/>
      <c r="IMH52" s="53"/>
      <c r="IMI52" s="53"/>
      <c r="IMJ52" s="53"/>
      <c r="IMK52" s="53"/>
      <c r="IML52" s="53"/>
      <c r="IMM52" s="53"/>
      <c r="IMN52" s="53"/>
      <c r="IMO52" s="53"/>
      <c r="IMP52" s="53"/>
      <c r="IMQ52" s="53"/>
      <c r="IMR52" s="53"/>
      <c r="IMS52" s="53"/>
      <c r="IMT52" s="53"/>
      <c r="IMU52" s="53"/>
      <c r="IMV52" s="53"/>
      <c r="IMW52" s="53"/>
      <c r="IMX52" s="53"/>
      <c r="IMY52" s="53"/>
      <c r="IMZ52" s="53"/>
      <c r="INA52" s="53"/>
      <c r="INB52" s="53"/>
      <c r="INC52" s="53"/>
      <c r="IND52" s="53"/>
      <c r="INE52" s="53"/>
      <c r="INF52" s="53"/>
      <c r="ING52" s="53"/>
      <c r="INH52" s="53"/>
      <c r="INI52" s="53"/>
      <c r="INJ52" s="53"/>
      <c r="INK52" s="53"/>
      <c r="INL52" s="53"/>
      <c r="INM52" s="53"/>
      <c r="INN52" s="53"/>
      <c r="INO52" s="53"/>
      <c r="INP52" s="53"/>
      <c r="INQ52" s="53"/>
      <c r="INR52" s="53"/>
      <c r="INS52" s="53"/>
      <c r="INT52" s="53"/>
      <c r="INU52" s="53"/>
      <c r="INV52" s="53"/>
      <c r="INW52" s="53"/>
      <c r="INX52" s="53"/>
      <c r="INY52" s="53"/>
      <c r="INZ52" s="53"/>
      <c r="IOA52" s="53"/>
      <c r="IOB52" s="53"/>
      <c r="IOC52" s="53"/>
      <c r="IOD52" s="53"/>
      <c r="IOE52" s="53"/>
      <c r="IOF52" s="53"/>
      <c r="IOG52" s="53"/>
      <c r="IOH52" s="53"/>
      <c r="IOI52" s="53"/>
      <c r="IOJ52" s="53"/>
      <c r="IOK52" s="53"/>
      <c r="IOL52" s="53"/>
      <c r="IOM52" s="53"/>
      <c r="ION52" s="53"/>
      <c r="IOO52" s="53"/>
      <c r="IOP52" s="53"/>
      <c r="IOQ52" s="53"/>
      <c r="IOR52" s="53"/>
      <c r="IOS52" s="53"/>
      <c r="IOT52" s="53"/>
      <c r="IOU52" s="53"/>
      <c r="IOV52" s="53"/>
      <c r="IOW52" s="53"/>
      <c r="IOX52" s="53"/>
      <c r="IOY52" s="53"/>
      <c r="IOZ52" s="53"/>
      <c r="IPA52" s="53"/>
      <c r="IPB52" s="53"/>
      <c r="IPC52" s="53"/>
      <c r="IPD52" s="53"/>
      <c r="IPE52" s="53"/>
      <c r="IPF52" s="53"/>
      <c r="IPG52" s="53"/>
      <c r="IPH52" s="53"/>
      <c r="IPI52" s="53"/>
      <c r="IPJ52" s="53"/>
      <c r="IPK52" s="53"/>
      <c r="IPL52" s="53"/>
      <c r="IPM52" s="53"/>
      <c r="IPN52" s="53"/>
      <c r="IPO52" s="53"/>
      <c r="IPP52" s="53"/>
      <c r="IPQ52" s="53"/>
      <c r="IPR52" s="53"/>
      <c r="IPS52" s="53"/>
      <c r="IPT52" s="53"/>
      <c r="IPU52" s="53"/>
      <c r="IPV52" s="53"/>
      <c r="IPW52" s="53"/>
      <c r="IPX52" s="53"/>
      <c r="IPY52" s="53"/>
      <c r="IPZ52" s="53"/>
      <c r="IQA52" s="53"/>
      <c r="IQB52" s="53"/>
      <c r="IQC52" s="53"/>
      <c r="IQD52" s="53"/>
      <c r="IQE52" s="53"/>
      <c r="IQF52" s="53"/>
      <c r="IQG52" s="53"/>
      <c r="IQH52" s="53"/>
      <c r="IQI52" s="53"/>
      <c r="IQJ52" s="53"/>
      <c r="IQK52" s="53"/>
      <c r="IQL52" s="53"/>
      <c r="IQM52" s="53"/>
      <c r="IQN52" s="53"/>
      <c r="IQO52" s="53"/>
      <c r="IQP52" s="53"/>
      <c r="IQQ52" s="53"/>
      <c r="IQR52" s="53"/>
      <c r="IQS52" s="53"/>
      <c r="IQT52" s="53"/>
      <c r="IQU52" s="53"/>
      <c r="IQV52" s="53"/>
      <c r="IQW52" s="53"/>
      <c r="IQX52" s="53"/>
      <c r="IQY52" s="53"/>
      <c r="IQZ52" s="53"/>
      <c r="IRA52" s="53"/>
      <c r="IRB52" s="53"/>
      <c r="IRC52" s="53"/>
      <c r="IRD52" s="53"/>
      <c r="IRE52" s="53"/>
      <c r="IRF52" s="53"/>
      <c r="IRG52" s="53"/>
      <c r="IRH52" s="53"/>
      <c r="IRI52" s="53"/>
      <c r="IRJ52" s="53"/>
      <c r="IRK52" s="53"/>
      <c r="IRL52" s="53"/>
      <c r="IRM52" s="53"/>
      <c r="IRN52" s="53"/>
      <c r="IRO52" s="53"/>
      <c r="IRP52" s="53"/>
      <c r="IRQ52" s="53"/>
      <c r="IRR52" s="53"/>
      <c r="IRS52" s="53"/>
      <c r="IRT52" s="53"/>
      <c r="IRU52" s="53"/>
      <c r="IRV52" s="53"/>
      <c r="IRW52" s="53"/>
      <c r="IRX52" s="53"/>
      <c r="IRY52" s="53"/>
      <c r="IRZ52" s="53"/>
      <c r="ISA52" s="53"/>
      <c r="ISB52" s="53"/>
      <c r="ISC52" s="53"/>
      <c r="ISD52" s="53"/>
      <c r="ISE52" s="53"/>
      <c r="ISF52" s="53"/>
      <c r="ISG52" s="53"/>
      <c r="ISH52" s="53"/>
      <c r="ISI52" s="53"/>
      <c r="ISJ52" s="53"/>
      <c r="ISK52" s="53"/>
      <c r="ISL52" s="53"/>
      <c r="ISM52" s="53"/>
      <c r="ISN52" s="53"/>
      <c r="ISO52" s="53"/>
      <c r="ISP52" s="53"/>
      <c r="ISQ52" s="53"/>
      <c r="ISR52" s="53"/>
      <c r="ISS52" s="53"/>
      <c r="IST52" s="53"/>
      <c r="ISU52" s="53"/>
      <c r="ISV52" s="53"/>
      <c r="ISW52" s="53"/>
      <c r="ISX52" s="53"/>
      <c r="ISY52" s="53"/>
      <c r="ISZ52" s="53"/>
      <c r="ITA52" s="53"/>
      <c r="ITB52" s="53"/>
      <c r="ITC52" s="53"/>
      <c r="ITD52" s="53"/>
      <c r="ITE52" s="53"/>
      <c r="ITF52" s="53"/>
      <c r="ITG52" s="53"/>
      <c r="ITH52" s="53"/>
      <c r="ITI52" s="53"/>
      <c r="ITJ52" s="53"/>
      <c r="ITK52" s="53"/>
      <c r="ITL52" s="53"/>
      <c r="ITM52" s="53"/>
      <c r="ITN52" s="53"/>
      <c r="ITO52" s="53"/>
      <c r="ITP52" s="53"/>
      <c r="ITQ52" s="53"/>
      <c r="ITR52" s="53"/>
      <c r="ITS52" s="53"/>
      <c r="ITT52" s="53"/>
      <c r="ITU52" s="53"/>
      <c r="ITV52" s="53"/>
      <c r="ITW52" s="53"/>
      <c r="ITX52" s="53"/>
      <c r="ITY52" s="53"/>
      <c r="ITZ52" s="53"/>
      <c r="IUA52" s="53"/>
      <c r="IUB52" s="53"/>
      <c r="IUC52" s="53"/>
      <c r="IUD52" s="53"/>
      <c r="IUE52" s="53"/>
      <c r="IUF52" s="53"/>
      <c r="IUG52" s="53"/>
      <c r="IUH52" s="53"/>
      <c r="IUI52" s="53"/>
      <c r="IUJ52" s="53"/>
      <c r="IUK52" s="53"/>
      <c r="IUL52" s="53"/>
      <c r="IUM52" s="53"/>
      <c r="IUN52" s="53"/>
      <c r="IUO52" s="53"/>
      <c r="IUP52" s="53"/>
      <c r="IUQ52" s="53"/>
      <c r="IUR52" s="53"/>
      <c r="IUS52" s="53"/>
      <c r="IUT52" s="53"/>
      <c r="IUU52" s="53"/>
      <c r="IUV52" s="53"/>
      <c r="IUW52" s="53"/>
      <c r="IUX52" s="53"/>
      <c r="IUY52" s="53"/>
      <c r="IUZ52" s="53"/>
      <c r="IVA52" s="53"/>
      <c r="IVB52" s="53"/>
      <c r="IVC52" s="53"/>
      <c r="IVD52" s="53"/>
      <c r="IVE52" s="53"/>
      <c r="IVF52" s="53"/>
      <c r="IVG52" s="53"/>
      <c r="IVH52" s="53"/>
      <c r="IVI52" s="53"/>
      <c r="IVJ52" s="53"/>
      <c r="IVK52" s="53"/>
      <c r="IVL52" s="53"/>
      <c r="IVM52" s="53"/>
      <c r="IVN52" s="53"/>
      <c r="IVO52" s="53"/>
      <c r="IVP52" s="53"/>
      <c r="IVQ52" s="53"/>
      <c r="IVR52" s="53"/>
      <c r="IVS52" s="53"/>
      <c r="IVT52" s="53"/>
      <c r="IVU52" s="53"/>
      <c r="IVV52" s="53"/>
      <c r="IVW52" s="53"/>
      <c r="IVX52" s="53"/>
      <c r="IVY52" s="53"/>
      <c r="IVZ52" s="53"/>
      <c r="IWA52" s="53"/>
      <c r="IWB52" s="53"/>
      <c r="IWC52" s="53"/>
      <c r="IWD52" s="53"/>
      <c r="IWE52" s="53"/>
      <c r="IWF52" s="53"/>
      <c r="IWG52" s="53"/>
      <c r="IWH52" s="53"/>
      <c r="IWI52" s="53"/>
      <c r="IWJ52" s="53"/>
      <c r="IWK52" s="53"/>
      <c r="IWL52" s="53"/>
      <c r="IWM52" s="53"/>
      <c r="IWN52" s="53"/>
      <c r="IWO52" s="53"/>
      <c r="IWP52" s="53"/>
      <c r="IWQ52" s="53"/>
      <c r="IWR52" s="53"/>
      <c r="IWS52" s="53"/>
      <c r="IWT52" s="53"/>
      <c r="IWU52" s="53"/>
      <c r="IWV52" s="53"/>
      <c r="IWW52" s="53"/>
      <c r="IWX52" s="53"/>
      <c r="IWY52" s="53"/>
      <c r="IWZ52" s="53"/>
      <c r="IXA52" s="53"/>
      <c r="IXB52" s="53"/>
      <c r="IXC52" s="53"/>
      <c r="IXD52" s="53"/>
      <c r="IXE52" s="53"/>
      <c r="IXF52" s="53"/>
      <c r="IXG52" s="53"/>
      <c r="IXH52" s="53"/>
      <c r="IXI52" s="53"/>
      <c r="IXJ52" s="53"/>
      <c r="IXK52" s="53"/>
      <c r="IXL52" s="53"/>
      <c r="IXM52" s="53"/>
      <c r="IXN52" s="53"/>
      <c r="IXO52" s="53"/>
      <c r="IXP52" s="53"/>
      <c r="IXQ52" s="53"/>
      <c r="IXR52" s="53"/>
      <c r="IXS52" s="53"/>
      <c r="IXT52" s="53"/>
      <c r="IXU52" s="53"/>
      <c r="IXV52" s="53"/>
      <c r="IXW52" s="53"/>
      <c r="IXX52" s="53"/>
      <c r="IXY52" s="53"/>
      <c r="IXZ52" s="53"/>
      <c r="IYA52" s="53"/>
      <c r="IYB52" s="53"/>
      <c r="IYC52" s="53"/>
      <c r="IYD52" s="53"/>
      <c r="IYE52" s="53"/>
      <c r="IYF52" s="53"/>
      <c r="IYG52" s="53"/>
      <c r="IYH52" s="53"/>
      <c r="IYI52" s="53"/>
      <c r="IYJ52" s="53"/>
      <c r="IYK52" s="53"/>
      <c r="IYL52" s="53"/>
      <c r="IYM52" s="53"/>
      <c r="IYN52" s="53"/>
      <c r="IYO52" s="53"/>
      <c r="IYP52" s="53"/>
      <c r="IYQ52" s="53"/>
      <c r="IYR52" s="53"/>
      <c r="IYS52" s="53"/>
      <c r="IYT52" s="53"/>
      <c r="IYU52" s="53"/>
      <c r="IYV52" s="53"/>
      <c r="IYW52" s="53"/>
      <c r="IYX52" s="53"/>
      <c r="IYY52" s="53"/>
      <c r="IYZ52" s="53"/>
      <c r="IZA52" s="53"/>
      <c r="IZB52" s="53"/>
      <c r="IZC52" s="53"/>
      <c r="IZD52" s="53"/>
      <c r="IZE52" s="53"/>
      <c r="IZF52" s="53"/>
      <c r="IZG52" s="53"/>
      <c r="IZH52" s="53"/>
      <c r="IZI52" s="53"/>
      <c r="IZJ52" s="53"/>
      <c r="IZK52" s="53"/>
      <c r="IZL52" s="53"/>
      <c r="IZM52" s="53"/>
      <c r="IZN52" s="53"/>
      <c r="IZO52" s="53"/>
      <c r="IZP52" s="53"/>
      <c r="IZQ52" s="53"/>
      <c r="IZR52" s="53"/>
      <c r="IZS52" s="53"/>
      <c r="IZT52" s="53"/>
      <c r="IZU52" s="53"/>
      <c r="IZV52" s="53"/>
      <c r="IZW52" s="53"/>
      <c r="IZX52" s="53"/>
      <c r="IZY52" s="53"/>
      <c r="IZZ52" s="53"/>
      <c r="JAA52" s="53"/>
      <c r="JAB52" s="53"/>
      <c r="JAC52" s="53"/>
      <c r="JAD52" s="53"/>
      <c r="JAE52" s="53"/>
      <c r="JAF52" s="53"/>
      <c r="JAG52" s="53"/>
      <c r="JAH52" s="53"/>
      <c r="JAI52" s="53"/>
      <c r="JAJ52" s="53"/>
      <c r="JAK52" s="53"/>
      <c r="JAL52" s="53"/>
      <c r="JAM52" s="53"/>
      <c r="JAN52" s="53"/>
      <c r="JAO52" s="53"/>
      <c r="JAP52" s="53"/>
      <c r="JAQ52" s="53"/>
      <c r="JAR52" s="53"/>
      <c r="JAS52" s="53"/>
      <c r="JAT52" s="53"/>
      <c r="JAU52" s="53"/>
      <c r="JAV52" s="53"/>
      <c r="JAW52" s="53"/>
      <c r="JAX52" s="53"/>
      <c r="JAY52" s="53"/>
      <c r="JAZ52" s="53"/>
      <c r="JBA52" s="53"/>
      <c r="JBB52" s="53"/>
      <c r="JBC52" s="53"/>
      <c r="JBD52" s="53"/>
      <c r="JBE52" s="53"/>
      <c r="JBF52" s="53"/>
      <c r="JBG52" s="53"/>
      <c r="JBH52" s="53"/>
      <c r="JBI52" s="53"/>
      <c r="JBJ52" s="53"/>
      <c r="JBK52" s="53"/>
      <c r="JBL52" s="53"/>
      <c r="JBM52" s="53"/>
      <c r="JBN52" s="53"/>
      <c r="JBO52" s="53"/>
      <c r="JBP52" s="53"/>
      <c r="JBQ52" s="53"/>
      <c r="JBR52" s="53"/>
      <c r="JBS52" s="53"/>
      <c r="JBT52" s="53"/>
      <c r="JBU52" s="53"/>
      <c r="JBV52" s="53"/>
      <c r="JBW52" s="53"/>
      <c r="JBX52" s="53"/>
      <c r="JBY52" s="53"/>
      <c r="JBZ52" s="53"/>
      <c r="JCA52" s="53"/>
      <c r="JCB52" s="53"/>
      <c r="JCC52" s="53"/>
      <c r="JCD52" s="53"/>
      <c r="JCE52" s="53"/>
      <c r="JCF52" s="53"/>
      <c r="JCG52" s="53"/>
      <c r="JCH52" s="53"/>
      <c r="JCI52" s="53"/>
      <c r="JCJ52" s="53"/>
      <c r="JCK52" s="53"/>
      <c r="JCL52" s="53"/>
      <c r="JCM52" s="53"/>
      <c r="JCN52" s="53"/>
      <c r="JCO52" s="53"/>
      <c r="JCP52" s="53"/>
      <c r="JCQ52" s="53"/>
      <c r="JCR52" s="53"/>
      <c r="JCS52" s="53"/>
      <c r="JCT52" s="53"/>
      <c r="JCU52" s="53"/>
      <c r="JCV52" s="53"/>
      <c r="JCW52" s="53"/>
      <c r="JCX52" s="53"/>
      <c r="JCY52" s="53"/>
      <c r="JCZ52" s="53"/>
      <c r="JDA52" s="53"/>
      <c r="JDB52" s="53"/>
      <c r="JDC52" s="53"/>
      <c r="JDD52" s="53"/>
      <c r="JDE52" s="53"/>
      <c r="JDF52" s="53"/>
      <c r="JDG52" s="53"/>
      <c r="JDH52" s="53"/>
      <c r="JDI52" s="53"/>
      <c r="JDJ52" s="53"/>
      <c r="JDK52" s="53"/>
      <c r="JDL52" s="53"/>
      <c r="JDM52" s="53"/>
      <c r="JDN52" s="53"/>
      <c r="JDO52" s="53"/>
      <c r="JDP52" s="53"/>
      <c r="JDQ52" s="53"/>
      <c r="JDR52" s="53"/>
      <c r="JDS52" s="53"/>
      <c r="JDT52" s="53"/>
      <c r="JDU52" s="53"/>
      <c r="JDV52" s="53"/>
      <c r="JDW52" s="53"/>
      <c r="JDX52" s="53"/>
      <c r="JDY52" s="53"/>
      <c r="JDZ52" s="53"/>
      <c r="JEA52" s="53"/>
      <c r="JEB52" s="53"/>
      <c r="JEC52" s="53"/>
      <c r="JED52" s="53"/>
      <c r="JEE52" s="53"/>
      <c r="JEF52" s="53"/>
      <c r="JEG52" s="53"/>
      <c r="JEH52" s="53"/>
      <c r="JEI52" s="53"/>
      <c r="JEJ52" s="53"/>
      <c r="JEK52" s="53"/>
      <c r="JEL52" s="53"/>
      <c r="JEM52" s="53"/>
      <c r="JEN52" s="53"/>
      <c r="JEO52" s="53"/>
      <c r="JEP52" s="53"/>
      <c r="JEQ52" s="53"/>
      <c r="JER52" s="53"/>
      <c r="JES52" s="53"/>
      <c r="JET52" s="53"/>
      <c r="JEU52" s="53"/>
      <c r="JEV52" s="53"/>
      <c r="JEW52" s="53"/>
      <c r="JEX52" s="53"/>
      <c r="JEY52" s="53"/>
      <c r="JEZ52" s="53"/>
      <c r="JFA52" s="53"/>
      <c r="JFB52" s="53"/>
      <c r="JFC52" s="53"/>
      <c r="JFD52" s="53"/>
      <c r="JFE52" s="53"/>
      <c r="JFF52" s="53"/>
      <c r="JFG52" s="53"/>
      <c r="JFH52" s="53"/>
      <c r="JFI52" s="53"/>
      <c r="JFJ52" s="53"/>
      <c r="JFK52" s="53"/>
      <c r="JFL52" s="53"/>
      <c r="JFM52" s="53"/>
      <c r="JFN52" s="53"/>
      <c r="JFO52" s="53"/>
      <c r="JFP52" s="53"/>
      <c r="JFQ52" s="53"/>
      <c r="JFR52" s="53"/>
      <c r="JFS52" s="53"/>
      <c r="JFT52" s="53"/>
      <c r="JFU52" s="53"/>
      <c r="JFV52" s="53"/>
      <c r="JFW52" s="53"/>
      <c r="JFX52" s="53"/>
      <c r="JFY52" s="53"/>
      <c r="JFZ52" s="53"/>
      <c r="JGA52" s="53"/>
      <c r="JGB52" s="53"/>
      <c r="JGC52" s="53"/>
      <c r="JGD52" s="53"/>
      <c r="JGE52" s="53"/>
      <c r="JGF52" s="53"/>
      <c r="JGG52" s="53"/>
      <c r="JGH52" s="53"/>
      <c r="JGI52" s="53"/>
      <c r="JGJ52" s="53"/>
      <c r="JGK52" s="53"/>
      <c r="JGL52" s="53"/>
      <c r="JGM52" s="53"/>
      <c r="JGN52" s="53"/>
      <c r="JGO52" s="53"/>
      <c r="JGP52" s="53"/>
      <c r="JGQ52" s="53"/>
      <c r="JGR52" s="53"/>
      <c r="JGS52" s="53"/>
      <c r="JGT52" s="53"/>
      <c r="JGU52" s="53"/>
      <c r="JGV52" s="53"/>
      <c r="JGW52" s="53"/>
      <c r="JGX52" s="53"/>
      <c r="JGY52" s="53"/>
      <c r="JGZ52" s="53"/>
      <c r="JHA52" s="53"/>
      <c r="JHB52" s="53"/>
      <c r="JHC52" s="53"/>
      <c r="JHD52" s="53"/>
      <c r="JHE52" s="53"/>
      <c r="JHF52" s="53"/>
      <c r="JHG52" s="53"/>
      <c r="JHH52" s="53"/>
      <c r="JHI52" s="53"/>
      <c r="JHJ52" s="53"/>
      <c r="JHK52" s="53"/>
      <c r="JHL52" s="53"/>
      <c r="JHM52" s="53"/>
      <c r="JHN52" s="53"/>
      <c r="JHO52" s="53"/>
      <c r="JHP52" s="53"/>
      <c r="JHQ52" s="53"/>
      <c r="JHR52" s="53"/>
      <c r="JHS52" s="53"/>
      <c r="JHT52" s="53"/>
      <c r="JHU52" s="53"/>
      <c r="JHV52" s="53"/>
      <c r="JHW52" s="53"/>
      <c r="JHX52" s="53"/>
      <c r="JHY52" s="53"/>
      <c r="JHZ52" s="53"/>
      <c r="JIA52" s="53"/>
      <c r="JIB52" s="53"/>
      <c r="JIC52" s="53"/>
      <c r="JID52" s="53"/>
      <c r="JIE52" s="53"/>
      <c r="JIF52" s="53"/>
      <c r="JIG52" s="53"/>
      <c r="JIH52" s="53"/>
      <c r="JII52" s="53"/>
      <c r="JIJ52" s="53"/>
      <c r="JIK52" s="53"/>
      <c r="JIL52" s="53"/>
      <c r="JIM52" s="53"/>
      <c r="JIN52" s="53"/>
      <c r="JIO52" s="53"/>
      <c r="JIP52" s="53"/>
      <c r="JIQ52" s="53"/>
      <c r="JIR52" s="53"/>
      <c r="JIS52" s="53"/>
      <c r="JIT52" s="53"/>
      <c r="JIU52" s="53"/>
      <c r="JIV52" s="53"/>
      <c r="JIW52" s="53"/>
      <c r="JIX52" s="53"/>
      <c r="JIY52" s="53"/>
      <c r="JIZ52" s="53"/>
      <c r="JJA52" s="53"/>
      <c r="JJB52" s="53"/>
      <c r="JJC52" s="53"/>
      <c r="JJD52" s="53"/>
      <c r="JJE52" s="53"/>
      <c r="JJF52" s="53"/>
      <c r="JJG52" s="53"/>
      <c r="JJH52" s="53"/>
      <c r="JJI52" s="53"/>
      <c r="JJJ52" s="53"/>
      <c r="JJK52" s="53"/>
      <c r="JJL52" s="53"/>
      <c r="JJM52" s="53"/>
      <c r="JJN52" s="53"/>
      <c r="JJO52" s="53"/>
      <c r="JJP52" s="53"/>
      <c r="JJQ52" s="53"/>
      <c r="JJR52" s="53"/>
      <c r="JJS52" s="53"/>
      <c r="JJT52" s="53"/>
      <c r="JJU52" s="53"/>
      <c r="JJV52" s="53"/>
      <c r="JJW52" s="53"/>
      <c r="JJX52" s="53"/>
      <c r="JJY52" s="53"/>
      <c r="JJZ52" s="53"/>
      <c r="JKA52" s="53"/>
      <c r="JKB52" s="53"/>
      <c r="JKC52" s="53"/>
      <c r="JKD52" s="53"/>
      <c r="JKE52" s="53"/>
      <c r="JKF52" s="53"/>
      <c r="JKG52" s="53"/>
      <c r="JKH52" s="53"/>
      <c r="JKI52" s="53"/>
      <c r="JKJ52" s="53"/>
      <c r="JKK52" s="53"/>
      <c r="JKL52" s="53"/>
      <c r="JKM52" s="53"/>
      <c r="JKN52" s="53"/>
      <c r="JKO52" s="53"/>
      <c r="JKP52" s="53"/>
      <c r="JKQ52" s="53"/>
      <c r="JKR52" s="53"/>
      <c r="JKS52" s="53"/>
      <c r="JKT52" s="53"/>
      <c r="JKU52" s="53"/>
      <c r="JKV52" s="53"/>
      <c r="JKW52" s="53"/>
      <c r="JKX52" s="53"/>
      <c r="JKY52" s="53"/>
      <c r="JKZ52" s="53"/>
      <c r="JLA52" s="53"/>
      <c r="JLB52" s="53"/>
      <c r="JLC52" s="53"/>
      <c r="JLD52" s="53"/>
      <c r="JLE52" s="53"/>
      <c r="JLF52" s="53"/>
      <c r="JLG52" s="53"/>
      <c r="JLH52" s="53"/>
      <c r="JLI52" s="53"/>
      <c r="JLJ52" s="53"/>
      <c r="JLK52" s="53"/>
      <c r="JLL52" s="53"/>
      <c r="JLM52" s="53"/>
      <c r="JLN52" s="53"/>
      <c r="JLO52" s="53"/>
      <c r="JLP52" s="53"/>
      <c r="JLQ52" s="53"/>
      <c r="JLR52" s="53"/>
      <c r="JLS52" s="53"/>
      <c r="JLT52" s="53"/>
      <c r="JLU52" s="53"/>
      <c r="JLV52" s="53"/>
      <c r="JLW52" s="53"/>
      <c r="JLX52" s="53"/>
      <c r="JLY52" s="53"/>
      <c r="JLZ52" s="53"/>
      <c r="JMA52" s="53"/>
      <c r="JMB52" s="53"/>
      <c r="JMC52" s="53"/>
      <c r="JMD52" s="53"/>
      <c r="JME52" s="53"/>
      <c r="JMF52" s="53"/>
      <c r="JMG52" s="53"/>
      <c r="JMH52" s="53"/>
      <c r="JMI52" s="53"/>
      <c r="JMJ52" s="53"/>
      <c r="JMK52" s="53"/>
      <c r="JML52" s="53"/>
      <c r="JMM52" s="53"/>
      <c r="JMN52" s="53"/>
      <c r="JMO52" s="53"/>
      <c r="JMP52" s="53"/>
      <c r="JMQ52" s="53"/>
      <c r="JMR52" s="53"/>
      <c r="JMS52" s="53"/>
      <c r="JMT52" s="53"/>
      <c r="JMU52" s="53"/>
      <c r="JMV52" s="53"/>
      <c r="JMW52" s="53"/>
      <c r="JMX52" s="53"/>
      <c r="JMY52" s="53"/>
      <c r="JMZ52" s="53"/>
      <c r="JNA52" s="53"/>
      <c r="JNB52" s="53"/>
      <c r="JNC52" s="53"/>
      <c r="JND52" s="53"/>
      <c r="JNE52" s="53"/>
      <c r="JNF52" s="53"/>
      <c r="JNG52" s="53"/>
      <c r="JNH52" s="53"/>
      <c r="JNI52" s="53"/>
      <c r="JNJ52" s="53"/>
      <c r="JNK52" s="53"/>
      <c r="JNL52" s="53"/>
      <c r="JNM52" s="53"/>
      <c r="JNN52" s="53"/>
      <c r="JNO52" s="53"/>
      <c r="JNP52" s="53"/>
      <c r="JNQ52" s="53"/>
      <c r="JNR52" s="53"/>
      <c r="JNS52" s="53"/>
      <c r="JNT52" s="53"/>
      <c r="JNU52" s="53"/>
      <c r="JNV52" s="53"/>
      <c r="JNW52" s="53"/>
      <c r="JNX52" s="53"/>
      <c r="JNY52" s="53"/>
      <c r="JNZ52" s="53"/>
      <c r="JOA52" s="53"/>
      <c r="JOB52" s="53"/>
      <c r="JOC52" s="53"/>
      <c r="JOD52" s="53"/>
      <c r="JOE52" s="53"/>
      <c r="JOF52" s="53"/>
      <c r="JOG52" s="53"/>
      <c r="JOH52" s="53"/>
      <c r="JOI52" s="53"/>
      <c r="JOJ52" s="53"/>
      <c r="JOK52" s="53"/>
      <c r="JOL52" s="53"/>
      <c r="JOM52" s="53"/>
      <c r="JON52" s="53"/>
      <c r="JOO52" s="53"/>
      <c r="JOP52" s="53"/>
      <c r="JOQ52" s="53"/>
      <c r="JOR52" s="53"/>
      <c r="JOS52" s="53"/>
      <c r="JOT52" s="53"/>
      <c r="JOU52" s="53"/>
      <c r="JOV52" s="53"/>
      <c r="JOW52" s="53"/>
      <c r="JOX52" s="53"/>
      <c r="JOY52" s="53"/>
      <c r="JOZ52" s="53"/>
      <c r="JPA52" s="53"/>
      <c r="JPB52" s="53"/>
      <c r="JPC52" s="53"/>
      <c r="JPD52" s="53"/>
      <c r="JPE52" s="53"/>
      <c r="JPF52" s="53"/>
      <c r="JPG52" s="53"/>
      <c r="JPH52" s="53"/>
      <c r="JPI52" s="53"/>
      <c r="JPJ52" s="53"/>
      <c r="JPK52" s="53"/>
      <c r="JPL52" s="53"/>
      <c r="JPM52" s="53"/>
      <c r="JPN52" s="53"/>
      <c r="JPO52" s="53"/>
      <c r="JPP52" s="53"/>
      <c r="JPQ52" s="53"/>
      <c r="JPR52" s="53"/>
      <c r="JPS52" s="53"/>
      <c r="JPT52" s="53"/>
      <c r="JPU52" s="53"/>
      <c r="JPV52" s="53"/>
      <c r="JPW52" s="53"/>
      <c r="JPX52" s="53"/>
      <c r="JPY52" s="53"/>
      <c r="JPZ52" s="53"/>
      <c r="JQA52" s="53"/>
      <c r="JQB52" s="53"/>
      <c r="JQC52" s="53"/>
      <c r="JQD52" s="53"/>
      <c r="JQE52" s="53"/>
      <c r="JQF52" s="53"/>
      <c r="JQG52" s="53"/>
      <c r="JQH52" s="53"/>
      <c r="JQI52" s="53"/>
      <c r="JQJ52" s="53"/>
      <c r="JQK52" s="53"/>
      <c r="JQL52" s="53"/>
      <c r="JQM52" s="53"/>
      <c r="JQN52" s="53"/>
      <c r="JQO52" s="53"/>
      <c r="JQP52" s="53"/>
      <c r="JQQ52" s="53"/>
      <c r="JQR52" s="53"/>
      <c r="JQS52" s="53"/>
      <c r="JQT52" s="53"/>
      <c r="JQU52" s="53"/>
      <c r="JQV52" s="53"/>
      <c r="JQW52" s="53"/>
      <c r="JQX52" s="53"/>
      <c r="JQY52" s="53"/>
      <c r="JQZ52" s="53"/>
      <c r="JRA52" s="53"/>
      <c r="JRB52" s="53"/>
      <c r="JRC52" s="53"/>
      <c r="JRD52" s="53"/>
      <c r="JRE52" s="53"/>
      <c r="JRF52" s="53"/>
      <c r="JRG52" s="53"/>
      <c r="JRH52" s="53"/>
      <c r="JRI52" s="53"/>
      <c r="JRJ52" s="53"/>
      <c r="JRK52" s="53"/>
      <c r="JRL52" s="53"/>
      <c r="JRM52" s="53"/>
      <c r="JRN52" s="53"/>
      <c r="JRO52" s="53"/>
      <c r="JRP52" s="53"/>
      <c r="JRQ52" s="53"/>
      <c r="JRR52" s="53"/>
      <c r="JRS52" s="53"/>
      <c r="JRT52" s="53"/>
      <c r="JRU52" s="53"/>
      <c r="JRV52" s="53"/>
      <c r="JRW52" s="53"/>
      <c r="JRX52" s="53"/>
      <c r="JRY52" s="53"/>
      <c r="JRZ52" s="53"/>
      <c r="JSA52" s="53"/>
      <c r="JSB52" s="53"/>
      <c r="JSC52" s="53"/>
      <c r="JSD52" s="53"/>
      <c r="JSE52" s="53"/>
      <c r="JSF52" s="53"/>
      <c r="JSG52" s="53"/>
      <c r="JSH52" s="53"/>
      <c r="JSI52" s="53"/>
      <c r="JSJ52" s="53"/>
      <c r="JSK52" s="53"/>
      <c r="JSL52" s="53"/>
      <c r="JSM52" s="53"/>
      <c r="JSN52" s="53"/>
      <c r="JSO52" s="53"/>
      <c r="JSP52" s="53"/>
      <c r="JSQ52" s="53"/>
      <c r="JSR52" s="53"/>
      <c r="JSS52" s="53"/>
      <c r="JST52" s="53"/>
      <c r="JSU52" s="53"/>
      <c r="JSV52" s="53"/>
      <c r="JSW52" s="53"/>
      <c r="JSX52" s="53"/>
      <c r="JSY52" s="53"/>
      <c r="JSZ52" s="53"/>
      <c r="JTA52" s="53"/>
      <c r="JTB52" s="53"/>
      <c r="JTC52" s="53"/>
      <c r="JTD52" s="53"/>
      <c r="JTE52" s="53"/>
      <c r="JTF52" s="53"/>
      <c r="JTG52" s="53"/>
      <c r="JTH52" s="53"/>
      <c r="JTI52" s="53"/>
      <c r="JTJ52" s="53"/>
      <c r="JTK52" s="53"/>
      <c r="JTL52" s="53"/>
      <c r="JTM52" s="53"/>
      <c r="JTN52" s="53"/>
      <c r="JTO52" s="53"/>
      <c r="JTP52" s="53"/>
      <c r="JTQ52" s="53"/>
      <c r="JTR52" s="53"/>
      <c r="JTS52" s="53"/>
      <c r="JTT52" s="53"/>
      <c r="JTU52" s="53"/>
      <c r="JTV52" s="53"/>
      <c r="JTW52" s="53"/>
      <c r="JTX52" s="53"/>
      <c r="JTY52" s="53"/>
      <c r="JTZ52" s="53"/>
      <c r="JUA52" s="53"/>
      <c r="JUB52" s="53"/>
      <c r="JUC52" s="53"/>
      <c r="JUD52" s="53"/>
      <c r="JUE52" s="53"/>
      <c r="JUF52" s="53"/>
      <c r="JUG52" s="53"/>
      <c r="JUH52" s="53"/>
      <c r="JUI52" s="53"/>
      <c r="JUJ52" s="53"/>
      <c r="JUK52" s="53"/>
      <c r="JUL52" s="53"/>
      <c r="JUM52" s="53"/>
      <c r="JUN52" s="53"/>
      <c r="JUO52" s="53"/>
      <c r="JUP52" s="53"/>
      <c r="JUQ52" s="53"/>
      <c r="JUR52" s="53"/>
      <c r="JUS52" s="53"/>
      <c r="JUT52" s="53"/>
      <c r="JUU52" s="53"/>
      <c r="JUV52" s="53"/>
      <c r="JUW52" s="53"/>
      <c r="JUX52" s="53"/>
      <c r="JUY52" s="53"/>
      <c r="JUZ52" s="53"/>
      <c r="JVA52" s="53"/>
      <c r="JVB52" s="53"/>
      <c r="JVC52" s="53"/>
      <c r="JVD52" s="53"/>
      <c r="JVE52" s="53"/>
      <c r="JVF52" s="53"/>
      <c r="JVG52" s="53"/>
      <c r="JVH52" s="53"/>
      <c r="JVI52" s="53"/>
      <c r="JVJ52" s="53"/>
      <c r="JVK52" s="53"/>
      <c r="JVL52" s="53"/>
      <c r="JVM52" s="53"/>
      <c r="JVN52" s="53"/>
      <c r="JVO52" s="53"/>
      <c r="JVP52" s="53"/>
      <c r="JVQ52" s="53"/>
      <c r="JVR52" s="53"/>
      <c r="JVS52" s="53"/>
      <c r="JVT52" s="53"/>
      <c r="JVU52" s="53"/>
      <c r="JVV52" s="53"/>
      <c r="JVW52" s="53"/>
      <c r="JVX52" s="53"/>
      <c r="JVY52" s="53"/>
      <c r="JVZ52" s="53"/>
      <c r="JWA52" s="53"/>
      <c r="JWB52" s="53"/>
      <c r="JWC52" s="53"/>
      <c r="JWD52" s="53"/>
      <c r="JWE52" s="53"/>
      <c r="JWF52" s="53"/>
      <c r="JWG52" s="53"/>
      <c r="JWH52" s="53"/>
      <c r="JWI52" s="53"/>
      <c r="JWJ52" s="53"/>
      <c r="JWK52" s="53"/>
      <c r="JWL52" s="53"/>
      <c r="JWM52" s="53"/>
      <c r="JWN52" s="53"/>
      <c r="JWO52" s="53"/>
      <c r="JWP52" s="53"/>
      <c r="JWQ52" s="53"/>
      <c r="JWR52" s="53"/>
      <c r="JWS52" s="53"/>
      <c r="JWT52" s="53"/>
      <c r="JWU52" s="53"/>
      <c r="JWV52" s="53"/>
      <c r="JWW52" s="53"/>
      <c r="JWX52" s="53"/>
      <c r="JWY52" s="53"/>
      <c r="JWZ52" s="53"/>
      <c r="JXA52" s="53"/>
      <c r="JXB52" s="53"/>
      <c r="JXC52" s="53"/>
      <c r="JXD52" s="53"/>
      <c r="JXE52" s="53"/>
      <c r="JXF52" s="53"/>
      <c r="JXG52" s="53"/>
      <c r="JXH52" s="53"/>
      <c r="JXI52" s="53"/>
      <c r="JXJ52" s="53"/>
      <c r="JXK52" s="53"/>
      <c r="JXL52" s="53"/>
      <c r="JXM52" s="53"/>
      <c r="JXN52" s="53"/>
      <c r="JXO52" s="53"/>
      <c r="JXP52" s="53"/>
      <c r="JXQ52" s="53"/>
      <c r="JXR52" s="53"/>
      <c r="JXS52" s="53"/>
      <c r="JXT52" s="53"/>
      <c r="JXU52" s="53"/>
      <c r="JXV52" s="53"/>
      <c r="JXW52" s="53"/>
      <c r="JXX52" s="53"/>
      <c r="JXY52" s="53"/>
      <c r="JXZ52" s="53"/>
      <c r="JYA52" s="53"/>
      <c r="JYB52" s="53"/>
      <c r="JYC52" s="53"/>
      <c r="JYD52" s="53"/>
      <c r="JYE52" s="53"/>
      <c r="JYF52" s="53"/>
      <c r="JYG52" s="53"/>
      <c r="JYH52" s="53"/>
      <c r="JYI52" s="53"/>
      <c r="JYJ52" s="53"/>
      <c r="JYK52" s="53"/>
      <c r="JYL52" s="53"/>
      <c r="JYM52" s="53"/>
      <c r="JYN52" s="53"/>
      <c r="JYO52" s="53"/>
      <c r="JYP52" s="53"/>
      <c r="JYQ52" s="53"/>
      <c r="JYR52" s="53"/>
      <c r="JYS52" s="53"/>
      <c r="JYT52" s="53"/>
      <c r="JYU52" s="53"/>
      <c r="JYV52" s="53"/>
      <c r="JYW52" s="53"/>
      <c r="JYX52" s="53"/>
      <c r="JYY52" s="53"/>
      <c r="JYZ52" s="53"/>
      <c r="JZA52" s="53"/>
      <c r="JZB52" s="53"/>
      <c r="JZC52" s="53"/>
      <c r="JZD52" s="53"/>
      <c r="JZE52" s="53"/>
      <c r="JZF52" s="53"/>
      <c r="JZG52" s="53"/>
      <c r="JZH52" s="53"/>
      <c r="JZI52" s="53"/>
      <c r="JZJ52" s="53"/>
      <c r="JZK52" s="53"/>
      <c r="JZL52" s="53"/>
      <c r="JZM52" s="53"/>
      <c r="JZN52" s="53"/>
      <c r="JZO52" s="53"/>
      <c r="JZP52" s="53"/>
      <c r="JZQ52" s="53"/>
      <c r="JZR52" s="53"/>
      <c r="JZS52" s="53"/>
      <c r="JZT52" s="53"/>
      <c r="JZU52" s="53"/>
      <c r="JZV52" s="53"/>
      <c r="JZW52" s="53"/>
      <c r="JZX52" s="53"/>
      <c r="JZY52" s="53"/>
      <c r="JZZ52" s="53"/>
      <c r="KAA52" s="53"/>
      <c r="KAB52" s="53"/>
      <c r="KAC52" s="53"/>
      <c r="KAD52" s="53"/>
      <c r="KAE52" s="53"/>
      <c r="KAF52" s="53"/>
      <c r="KAG52" s="53"/>
      <c r="KAH52" s="53"/>
      <c r="KAI52" s="53"/>
      <c r="KAJ52" s="53"/>
      <c r="KAK52" s="53"/>
      <c r="KAL52" s="53"/>
      <c r="KAM52" s="53"/>
      <c r="KAN52" s="53"/>
      <c r="KAO52" s="53"/>
      <c r="KAP52" s="53"/>
      <c r="KAQ52" s="53"/>
      <c r="KAR52" s="53"/>
      <c r="KAS52" s="53"/>
      <c r="KAT52" s="53"/>
      <c r="KAU52" s="53"/>
      <c r="KAV52" s="53"/>
      <c r="KAW52" s="53"/>
      <c r="KAX52" s="53"/>
      <c r="KAY52" s="53"/>
      <c r="KAZ52" s="53"/>
      <c r="KBA52" s="53"/>
      <c r="KBB52" s="53"/>
      <c r="KBC52" s="53"/>
      <c r="KBD52" s="53"/>
      <c r="KBE52" s="53"/>
      <c r="KBF52" s="53"/>
      <c r="KBG52" s="53"/>
      <c r="KBH52" s="53"/>
      <c r="KBI52" s="53"/>
      <c r="KBJ52" s="53"/>
      <c r="KBK52" s="53"/>
      <c r="KBL52" s="53"/>
      <c r="KBM52" s="53"/>
      <c r="KBN52" s="53"/>
      <c r="KBO52" s="53"/>
      <c r="KBP52" s="53"/>
      <c r="KBQ52" s="53"/>
      <c r="KBR52" s="53"/>
      <c r="KBS52" s="53"/>
      <c r="KBT52" s="53"/>
      <c r="KBU52" s="53"/>
      <c r="KBV52" s="53"/>
      <c r="KBW52" s="53"/>
      <c r="KBX52" s="53"/>
      <c r="KBY52" s="53"/>
      <c r="KBZ52" s="53"/>
      <c r="KCA52" s="53"/>
      <c r="KCB52" s="53"/>
      <c r="KCC52" s="53"/>
      <c r="KCD52" s="53"/>
      <c r="KCE52" s="53"/>
      <c r="KCF52" s="53"/>
      <c r="KCG52" s="53"/>
      <c r="KCH52" s="53"/>
      <c r="KCI52" s="53"/>
      <c r="KCJ52" s="53"/>
      <c r="KCK52" s="53"/>
      <c r="KCL52" s="53"/>
      <c r="KCM52" s="53"/>
      <c r="KCN52" s="53"/>
      <c r="KCO52" s="53"/>
      <c r="KCP52" s="53"/>
      <c r="KCQ52" s="53"/>
      <c r="KCR52" s="53"/>
      <c r="KCS52" s="53"/>
      <c r="KCT52" s="53"/>
      <c r="KCU52" s="53"/>
      <c r="KCV52" s="53"/>
      <c r="KCW52" s="53"/>
      <c r="KCX52" s="53"/>
      <c r="KCY52" s="53"/>
      <c r="KCZ52" s="53"/>
      <c r="KDA52" s="53"/>
      <c r="KDB52" s="53"/>
      <c r="KDC52" s="53"/>
      <c r="KDD52" s="53"/>
      <c r="KDE52" s="53"/>
      <c r="KDF52" s="53"/>
      <c r="KDG52" s="53"/>
      <c r="KDH52" s="53"/>
      <c r="KDI52" s="53"/>
      <c r="KDJ52" s="53"/>
      <c r="KDK52" s="53"/>
      <c r="KDL52" s="53"/>
      <c r="KDM52" s="53"/>
      <c r="KDN52" s="53"/>
      <c r="KDO52" s="53"/>
      <c r="KDP52" s="53"/>
      <c r="KDQ52" s="53"/>
      <c r="KDR52" s="53"/>
      <c r="KDS52" s="53"/>
      <c r="KDT52" s="53"/>
      <c r="KDU52" s="53"/>
      <c r="KDV52" s="53"/>
      <c r="KDW52" s="53"/>
      <c r="KDX52" s="53"/>
      <c r="KDY52" s="53"/>
      <c r="KDZ52" s="53"/>
      <c r="KEA52" s="53"/>
      <c r="KEB52" s="53"/>
      <c r="KEC52" s="53"/>
      <c r="KED52" s="53"/>
      <c r="KEE52" s="53"/>
      <c r="KEF52" s="53"/>
      <c r="KEG52" s="53"/>
      <c r="KEH52" s="53"/>
      <c r="KEI52" s="53"/>
      <c r="KEJ52" s="53"/>
      <c r="KEK52" s="53"/>
      <c r="KEL52" s="53"/>
      <c r="KEM52" s="53"/>
      <c r="KEN52" s="53"/>
      <c r="KEO52" s="53"/>
      <c r="KEP52" s="53"/>
      <c r="KEQ52" s="53"/>
      <c r="KER52" s="53"/>
      <c r="KES52" s="53"/>
      <c r="KET52" s="53"/>
      <c r="KEU52" s="53"/>
      <c r="KEV52" s="53"/>
      <c r="KEW52" s="53"/>
      <c r="KEX52" s="53"/>
      <c r="KEY52" s="53"/>
      <c r="KEZ52" s="53"/>
      <c r="KFA52" s="53"/>
      <c r="KFB52" s="53"/>
      <c r="KFC52" s="53"/>
      <c r="KFD52" s="53"/>
      <c r="KFE52" s="53"/>
      <c r="KFF52" s="53"/>
      <c r="KFG52" s="53"/>
      <c r="KFH52" s="53"/>
      <c r="KFI52" s="53"/>
      <c r="KFJ52" s="53"/>
      <c r="KFK52" s="53"/>
      <c r="KFL52" s="53"/>
      <c r="KFM52" s="53"/>
      <c r="KFN52" s="53"/>
      <c r="KFO52" s="53"/>
      <c r="KFP52" s="53"/>
      <c r="KFQ52" s="53"/>
      <c r="KFR52" s="53"/>
      <c r="KFS52" s="53"/>
      <c r="KFT52" s="53"/>
      <c r="KFU52" s="53"/>
      <c r="KFV52" s="53"/>
      <c r="KFW52" s="53"/>
      <c r="KFX52" s="53"/>
      <c r="KFY52" s="53"/>
      <c r="KFZ52" s="53"/>
      <c r="KGA52" s="53"/>
      <c r="KGB52" s="53"/>
      <c r="KGC52" s="53"/>
      <c r="KGD52" s="53"/>
      <c r="KGE52" s="53"/>
      <c r="KGF52" s="53"/>
      <c r="KGG52" s="53"/>
      <c r="KGH52" s="53"/>
      <c r="KGI52" s="53"/>
      <c r="KGJ52" s="53"/>
      <c r="KGK52" s="53"/>
      <c r="KGL52" s="53"/>
      <c r="KGM52" s="53"/>
      <c r="KGN52" s="53"/>
      <c r="KGO52" s="53"/>
      <c r="KGP52" s="53"/>
      <c r="KGQ52" s="53"/>
      <c r="KGR52" s="53"/>
      <c r="KGS52" s="53"/>
      <c r="KGT52" s="53"/>
      <c r="KGU52" s="53"/>
      <c r="KGV52" s="53"/>
      <c r="KGW52" s="53"/>
      <c r="KGX52" s="53"/>
      <c r="KGY52" s="53"/>
      <c r="KGZ52" s="53"/>
      <c r="KHA52" s="53"/>
      <c r="KHB52" s="53"/>
      <c r="KHC52" s="53"/>
      <c r="KHD52" s="53"/>
      <c r="KHE52" s="53"/>
      <c r="KHF52" s="53"/>
      <c r="KHG52" s="53"/>
      <c r="KHH52" s="53"/>
      <c r="KHI52" s="53"/>
      <c r="KHJ52" s="53"/>
      <c r="KHK52" s="53"/>
      <c r="KHL52" s="53"/>
      <c r="KHM52" s="53"/>
      <c r="KHN52" s="53"/>
      <c r="KHO52" s="53"/>
      <c r="KHP52" s="53"/>
      <c r="KHQ52" s="53"/>
      <c r="KHR52" s="53"/>
      <c r="KHS52" s="53"/>
      <c r="KHT52" s="53"/>
      <c r="KHU52" s="53"/>
      <c r="KHV52" s="53"/>
      <c r="KHW52" s="53"/>
      <c r="KHX52" s="53"/>
      <c r="KHY52" s="53"/>
      <c r="KHZ52" s="53"/>
      <c r="KIA52" s="53"/>
      <c r="KIB52" s="53"/>
      <c r="KIC52" s="53"/>
      <c r="KID52" s="53"/>
      <c r="KIE52" s="53"/>
      <c r="KIF52" s="53"/>
      <c r="KIG52" s="53"/>
      <c r="KIH52" s="53"/>
      <c r="KII52" s="53"/>
      <c r="KIJ52" s="53"/>
      <c r="KIK52" s="53"/>
      <c r="KIL52" s="53"/>
      <c r="KIM52" s="53"/>
      <c r="KIN52" s="53"/>
      <c r="KIO52" s="53"/>
      <c r="KIP52" s="53"/>
      <c r="KIQ52" s="53"/>
      <c r="KIR52" s="53"/>
      <c r="KIS52" s="53"/>
      <c r="KIT52" s="53"/>
      <c r="KIU52" s="53"/>
      <c r="KIV52" s="53"/>
      <c r="KIW52" s="53"/>
      <c r="KIX52" s="53"/>
      <c r="KIY52" s="53"/>
      <c r="KIZ52" s="53"/>
      <c r="KJA52" s="53"/>
      <c r="KJB52" s="53"/>
      <c r="KJC52" s="53"/>
      <c r="KJD52" s="53"/>
      <c r="KJE52" s="53"/>
      <c r="KJF52" s="53"/>
      <c r="KJG52" s="53"/>
      <c r="KJH52" s="53"/>
      <c r="KJI52" s="53"/>
      <c r="KJJ52" s="53"/>
      <c r="KJK52" s="53"/>
      <c r="KJL52" s="53"/>
      <c r="KJM52" s="53"/>
      <c r="KJN52" s="53"/>
      <c r="KJO52" s="53"/>
      <c r="KJP52" s="53"/>
      <c r="KJQ52" s="53"/>
      <c r="KJR52" s="53"/>
      <c r="KJS52" s="53"/>
      <c r="KJT52" s="53"/>
      <c r="KJU52" s="53"/>
      <c r="KJV52" s="53"/>
      <c r="KJW52" s="53"/>
      <c r="KJX52" s="53"/>
      <c r="KJY52" s="53"/>
      <c r="KJZ52" s="53"/>
      <c r="KKA52" s="53"/>
      <c r="KKB52" s="53"/>
      <c r="KKC52" s="53"/>
      <c r="KKD52" s="53"/>
      <c r="KKE52" s="53"/>
      <c r="KKF52" s="53"/>
      <c r="KKG52" s="53"/>
      <c r="KKH52" s="53"/>
      <c r="KKI52" s="53"/>
      <c r="KKJ52" s="53"/>
      <c r="KKK52" s="53"/>
      <c r="KKL52" s="53"/>
      <c r="KKM52" s="53"/>
      <c r="KKN52" s="53"/>
      <c r="KKO52" s="53"/>
      <c r="KKP52" s="53"/>
      <c r="KKQ52" s="53"/>
      <c r="KKR52" s="53"/>
      <c r="KKS52" s="53"/>
      <c r="KKT52" s="53"/>
      <c r="KKU52" s="53"/>
      <c r="KKV52" s="53"/>
      <c r="KKW52" s="53"/>
      <c r="KKX52" s="53"/>
      <c r="KKY52" s="53"/>
      <c r="KKZ52" s="53"/>
      <c r="KLA52" s="53"/>
      <c r="KLB52" s="53"/>
      <c r="KLC52" s="53"/>
      <c r="KLD52" s="53"/>
      <c r="KLE52" s="53"/>
      <c r="KLF52" s="53"/>
      <c r="KLG52" s="53"/>
      <c r="KLH52" s="53"/>
      <c r="KLI52" s="53"/>
      <c r="KLJ52" s="53"/>
      <c r="KLK52" s="53"/>
      <c r="KLL52" s="53"/>
      <c r="KLM52" s="53"/>
      <c r="KLN52" s="53"/>
      <c r="KLO52" s="53"/>
      <c r="KLP52" s="53"/>
      <c r="KLQ52" s="53"/>
      <c r="KLR52" s="53"/>
      <c r="KLS52" s="53"/>
      <c r="KLT52" s="53"/>
      <c r="KLU52" s="53"/>
      <c r="KLV52" s="53"/>
      <c r="KLW52" s="53"/>
      <c r="KLX52" s="53"/>
      <c r="KLY52" s="53"/>
      <c r="KLZ52" s="53"/>
      <c r="KMA52" s="53"/>
      <c r="KMB52" s="53"/>
      <c r="KMC52" s="53"/>
      <c r="KMD52" s="53"/>
      <c r="KME52" s="53"/>
      <c r="KMF52" s="53"/>
      <c r="KMG52" s="53"/>
      <c r="KMH52" s="53"/>
      <c r="KMI52" s="53"/>
      <c r="KMJ52" s="53"/>
      <c r="KMK52" s="53"/>
      <c r="KML52" s="53"/>
      <c r="KMM52" s="53"/>
      <c r="KMN52" s="53"/>
      <c r="KMO52" s="53"/>
      <c r="KMP52" s="53"/>
      <c r="KMQ52" s="53"/>
      <c r="KMR52" s="53"/>
      <c r="KMS52" s="53"/>
      <c r="KMT52" s="53"/>
      <c r="KMU52" s="53"/>
      <c r="KMV52" s="53"/>
      <c r="KMW52" s="53"/>
      <c r="KMX52" s="53"/>
      <c r="KMY52" s="53"/>
      <c r="KMZ52" s="53"/>
      <c r="KNA52" s="53"/>
      <c r="KNB52" s="53"/>
      <c r="KNC52" s="53"/>
      <c r="KND52" s="53"/>
      <c r="KNE52" s="53"/>
      <c r="KNF52" s="53"/>
      <c r="KNG52" s="53"/>
      <c r="KNH52" s="53"/>
      <c r="KNI52" s="53"/>
      <c r="KNJ52" s="53"/>
      <c r="KNK52" s="53"/>
      <c r="KNL52" s="53"/>
      <c r="KNM52" s="53"/>
      <c r="KNN52" s="53"/>
      <c r="KNO52" s="53"/>
      <c r="KNP52" s="53"/>
      <c r="KNQ52" s="53"/>
      <c r="KNR52" s="53"/>
      <c r="KNS52" s="53"/>
      <c r="KNT52" s="53"/>
      <c r="KNU52" s="53"/>
      <c r="KNV52" s="53"/>
      <c r="KNW52" s="53"/>
      <c r="KNX52" s="53"/>
      <c r="KNY52" s="53"/>
      <c r="KNZ52" s="53"/>
      <c r="KOA52" s="53"/>
      <c r="KOB52" s="53"/>
      <c r="KOC52" s="53"/>
      <c r="KOD52" s="53"/>
      <c r="KOE52" s="53"/>
      <c r="KOF52" s="53"/>
      <c r="KOG52" s="53"/>
      <c r="KOH52" s="53"/>
      <c r="KOI52" s="53"/>
      <c r="KOJ52" s="53"/>
      <c r="KOK52" s="53"/>
      <c r="KOL52" s="53"/>
      <c r="KOM52" s="53"/>
      <c r="KON52" s="53"/>
      <c r="KOO52" s="53"/>
      <c r="KOP52" s="53"/>
      <c r="KOQ52" s="53"/>
      <c r="KOR52" s="53"/>
      <c r="KOS52" s="53"/>
      <c r="KOT52" s="53"/>
      <c r="KOU52" s="53"/>
      <c r="KOV52" s="53"/>
      <c r="KOW52" s="53"/>
      <c r="KOX52" s="53"/>
      <c r="KOY52" s="53"/>
      <c r="KOZ52" s="53"/>
      <c r="KPA52" s="53"/>
      <c r="KPB52" s="53"/>
      <c r="KPC52" s="53"/>
      <c r="KPD52" s="53"/>
      <c r="KPE52" s="53"/>
      <c r="KPF52" s="53"/>
      <c r="KPG52" s="53"/>
      <c r="KPH52" s="53"/>
      <c r="KPI52" s="53"/>
      <c r="KPJ52" s="53"/>
      <c r="KPK52" s="53"/>
      <c r="KPL52" s="53"/>
      <c r="KPM52" s="53"/>
      <c r="KPN52" s="53"/>
      <c r="KPO52" s="53"/>
      <c r="KPP52" s="53"/>
      <c r="KPQ52" s="53"/>
      <c r="KPR52" s="53"/>
      <c r="KPS52" s="53"/>
      <c r="KPT52" s="53"/>
      <c r="KPU52" s="53"/>
      <c r="KPV52" s="53"/>
      <c r="KPW52" s="53"/>
      <c r="KPX52" s="53"/>
      <c r="KPY52" s="53"/>
      <c r="KPZ52" s="53"/>
      <c r="KQA52" s="53"/>
      <c r="KQB52" s="53"/>
      <c r="KQC52" s="53"/>
      <c r="KQD52" s="53"/>
      <c r="KQE52" s="53"/>
      <c r="KQF52" s="53"/>
      <c r="KQG52" s="53"/>
      <c r="KQH52" s="53"/>
      <c r="KQI52" s="53"/>
      <c r="KQJ52" s="53"/>
      <c r="KQK52" s="53"/>
      <c r="KQL52" s="53"/>
      <c r="KQM52" s="53"/>
      <c r="KQN52" s="53"/>
      <c r="KQO52" s="53"/>
      <c r="KQP52" s="53"/>
      <c r="KQQ52" s="53"/>
      <c r="KQR52" s="53"/>
      <c r="KQS52" s="53"/>
      <c r="KQT52" s="53"/>
      <c r="KQU52" s="53"/>
      <c r="KQV52" s="53"/>
      <c r="KQW52" s="53"/>
      <c r="KQX52" s="53"/>
      <c r="KQY52" s="53"/>
      <c r="KQZ52" s="53"/>
      <c r="KRA52" s="53"/>
      <c r="KRB52" s="53"/>
      <c r="KRC52" s="53"/>
      <c r="KRD52" s="53"/>
      <c r="KRE52" s="53"/>
      <c r="KRF52" s="53"/>
      <c r="KRG52" s="53"/>
      <c r="KRH52" s="53"/>
      <c r="KRI52" s="53"/>
      <c r="KRJ52" s="53"/>
      <c r="KRK52" s="53"/>
      <c r="KRL52" s="53"/>
      <c r="KRM52" s="53"/>
      <c r="KRN52" s="53"/>
      <c r="KRO52" s="53"/>
      <c r="KRP52" s="53"/>
      <c r="KRQ52" s="53"/>
      <c r="KRR52" s="53"/>
      <c r="KRS52" s="53"/>
      <c r="KRT52" s="53"/>
      <c r="KRU52" s="53"/>
      <c r="KRV52" s="53"/>
      <c r="KRW52" s="53"/>
      <c r="KRX52" s="53"/>
      <c r="KRY52" s="53"/>
      <c r="KRZ52" s="53"/>
      <c r="KSA52" s="53"/>
      <c r="KSB52" s="53"/>
      <c r="KSC52" s="53"/>
      <c r="KSD52" s="53"/>
      <c r="KSE52" s="53"/>
      <c r="KSF52" s="53"/>
      <c r="KSG52" s="53"/>
      <c r="KSH52" s="53"/>
      <c r="KSI52" s="53"/>
      <c r="KSJ52" s="53"/>
      <c r="KSK52" s="53"/>
      <c r="KSL52" s="53"/>
      <c r="KSM52" s="53"/>
      <c r="KSN52" s="53"/>
      <c r="KSO52" s="53"/>
      <c r="KSP52" s="53"/>
      <c r="KSQ52" s="53"/>
      <c r="KSR52" s="53"/>
      <c r="KSS52" s="53"/>
      <c r="KST52" s="53"/>
      <c r="KSU52" s="53"/>
      <c r="KSV52" s="53"/>
      <c r="KSW52" s="53"/>
      <c r="KSX52" s="53"/>
      <c r="KSY52" s="53"/>
      <c r="KSZ52" s="53"/>
      <c r="KTA52" s="53"/>
      <c r="KTB52" s="53"/>
      <c r="KTC52" s="53"/>
      <c r="KTD52" s="53"/>
      <c r="KTE52" s="53"/>
      <c r="KTF52" s="53"/>
      <c r="KTG52" s="53"/>
      <c r="KTH52" s="53"/>
      <c r="KTI52" s="53"/>
      <c r="KTJ52" s="53"/>
      <c r="KTK52" s="53"/>
      <c r="KTL52" s="53"/>
      <c r="KTM52" s="53"/>
      <c r="KTN52" s="53"/>
      <c r="KTO52" s="53"/>
      <c r="KTP52" s="53"/>
      <c r="KTQ52" s="53"/>
      <c r="KTR52" s="53"/>
      <c r="KTS52" s="53"/>
      <c r="KTT52" s="53"/>
      <c r="KTU52" s="53"/>
      <c r="KTV52" s="53"/>
      <c r="KTW52" s="53"/>
      <c r="KTX52" s="53"/>
      <c r="KTY52" s="53"/>
      <c r="KTZ52" s="53"/>
      <c r="KUA52" s="53"/>
      <c r="KUB52" s="53"/>
      <c r="KUC52" s="53"/>
      <c r="KUD52" s="53"/>
      <c r="KUE52" s="53"/>
      <c r="KUF52" s="53"/>
      <c r="KUG52" s="53"/>
      <c r="KUH52" s="53"/>
      <c r="KUI52" s="53"/>
      <c r="KUJ52" s="53"/>
      <c r="KUK52" s="53"/>
      <c r="KUL52" s="53"/>
      <c r="KUM52" s="53"/>
      <c r="KUN52" s="53"/>
      <c r="KUO52" s="53"/>
      <c r="KUP52" s="53"/>
      <c r="KUQ52" s="53"/>
      <c r="KUR52" s="53"/>
      <c r="KUS52" s="53"/>
      <c r="KUT52" s="53"/>
      <c r="KUU52" s="53"/>
      <c r="KUV52" s="53"/>
      <c r="KUW52" s="53"/>
      <c r="KUX52" s="53"/>
      <c r="KUY52" s="53"/>
      <c r="KUZ52" s="53"/>
      <c r="KVA52" s="53"/>
      <c r="KVB52" s="53"/>
      <c r="KVC52" s="53"/>
      <c r="KVD52" s="53"/>
      <c r="KVE52" s="53"/>
      <c r="KVF52" s="53"/>
      <c r="KVG52" s="53"/>
      <c r="KVH52" s="53"/>
      <c r="KVI52" s="53"/>
      <c r="KVJ52" s="53"/>
      <c r="KVK52" s="53"/>
      <c r="KVL52" s="53"/>
      <c r="KVM52" s="53"/>
      <c r="KVN52" s="53"/>
      <c r="KVO52" s="53"/>
      <c r="KVP52" s="53"/>
      <c r="KVQ52" s="53"/>
      <c r="KVR52" s="53"/>
      <c r="KVS52" s="53"/>
      <c r="KVT52" s="53"/>
      <c r="KVU52" s="53"/>
      <c r="KVV52" s="53"/>
      <c r="KVW52" s="53"/>
      <c r="KVX52" s="53"/>
      <c r="KVY52" s="53"/>
      <c r="KVZ52" s="53"/>
      <c r="KWA52" s="53"/>
      <c r="KWB52" s="53"/>
      <c r="KWC52" s="53"/>
      <c r="KWD52" s="53"/>
      <c r="KWE52" s="53"/>
      <c r="KWF52" s="53"/>
      <c r="KWG52" s="53"/>
      <c r="KWH52" s="53"/>
      <c r="KWI52" s="53"/>
      <c r="KWJ52" s="53"/>
      <c r="KWK52" s="53"/>
      <c r="KWL52" s="53"/>
      <c r="KWM52" s="53"/>
      <c r="KWN52" s="53"/>
      <c r="KWO52" s="53"/>
      <c r="KWP52" s="53"/>
      <c r="KWQ52" s="53"/>
      <c r="KWR52" s="53"/>
      <c r="KWS52" s="53"/>
      <c r="KWT52" s="53"/>
      <c r="KWU52" s="53"/>
      <c r="KWV52" s="53"/>
      <c r="KWW52" s="53"/>
      <c r="KWX52" s="53"/>
      <c r="KWY52" s="53"/>
      <c r="KWZ52" s="53"/>
      <c r="KXA52" s="53"/>
      <c r="KXB52" s="53"/>
      <c r="KXC52" s="53"/>
      <c r="KXD52" s="53"/>
      <c r="KXE52" s="53"/>
      <c r="KXF52" s="53"/>
      <c r="KXG52" s="53"/>
      <c r="KXH52" s="53"/>
      <c r="KXI52" s="53"/>
      <c r="KXJ52" s="53"/>
      <c r="KXK52" s="53"/>
      <c r="KXL52" s="53"/>
      <c r="KXM52" s="53"/>
      <c r="KXN52" s="53"/>
      <c r="KXO52" s="53"/>
      <c r="KXP52" s="53"/>
      <c r="KXQ52" s="53"/>
      <c r="KXR52" s="53"/>
      <c r="KXS52" s="53"/>
      <c r="KXT52" s="53"/>
      <c r="KXU52" s="53"/>
      <c r="KXV52" s="53"/>
      <c r="KXW52" s="53"/>
      <c r="KXX52" s="53"/>
      <c r="KXY52" s="53"/>
      <c r="KXZ52" s="53"/>
      <c r="KYA52" s="53"/>
      <c r="KYB52" s="53"/>
      <c r="KYC52" s="53"/>
      <c r="KYD52" s="53"/>
      <c r="KYE52" s="53"/>
      <c r="KYF52" s="53"/>
      <c r="KYG52" s="53"/>
      <c r="KYH52" s="53"/>
      <c r="KYI52" s="53"/>
      <c r="KYJ52" s="53"/>
      <c r="KYK52" s="53"/>
      <c r="KYL52" s="53"/>
      <c r="KYM52" s="53"/>
      <c r="KYN52" s="53"/>
      <c r="KYO52" s="53"/>
      <c r="KYP52" s="53"/>
      <c r="KYQ52" s="53"/>
      <c r="KYR52" s="53"/>
      <c r="KYS52" s="53"/>
      <c r="KYT52" s="53"/>
      <c r="KYU52" s="53"/>
      <c r="KYV52" s="53"/>
      <c r="KYW52" s="53"/>
      <c r="KYX52" s="53"/>
      <c r="KYY52" s="53"/>
      <c r="KYZ52" s="53"/>
      <c r="KZA52" s="53"/>
      <c r="KZB52" s="53"/>
      <c r="KZC52" s="53"/>
      <c r="KZD52" s="53"/>
      <c r="KZE52" s="53"/>
      <c r="KZF52" s="53"/>
      <c r="KZG52" s="53"/>
      <c r="KZH52" s="53"/>
      <c r="KZI52" s="53"/>
      <c r="KZJ52" s="53"/>
      <c r="KZK52" s="53"/>
      <c r="KZL52" s="53"/>
      <c r="KZM52" s="53"/>
      <c r="KZN52" s="53"/>
      <c r="KZO52" s="53"/>
      <c r="KZP52" s="53"/>
      <c r="KZQ52" s="53"/>
      <c r="KZR52" s="53"/>
      <c r="KZS52" s="53"/>
      <c r="KZT52" s="53"/>
      <c r="KZU52" s="53"/>
      <c r="KZV52" s="53"/>
      <c r="KZW52" s="53"/>
      <c r="KZX52" s="53"/>
      <c r="KZY52" s="53"/>
      <c r="KZZ52" s="53"/>
      <c r="LAA52" s="53"/>
      <c r="LAB52" s="53"/>
      <c r="LAC52" s="53"/>
      <c r="LAD52" s="53"/>
      <c r="LAE52" s="53"/>
      <c r="LAF52" s="53"/>
      <c r="LAG52" s="53"/>
      <c r="LAH52" s="53"/>
      <c r="LAI52" s="53"/>
      <c r="LAJ52" s="53"/>
      <c r="LAK52" s="53"/>
      <c r="LAL52" s="53"/>
      <c r="LAM52" s="53"/>
      <c r="LAN52" s="53"/>
      <c r="LAO52" s="53"/>
      <c r="LAP52" s="53"/>
      <c r="LAQ52" s="53"/>
      <c r="LAR52" s="53"/>
      <c r="LAS52" s="53"/>
      <c r="LAT52" s="53"/>
      <c r="LAU52" s="53"/>
      <c r="LAV52" s="53"/>
      <c r="LAW52" s="53"/>
      <c r="LAX52" s="53"/>
      <c r="LAY52" s="53"/>
      <c r="LAZ52" s="53"/>
      <c r="LBA52" s="53"/>
      <c r="LBB52" s="53"/>
      <c r="LBC52" s="53"/>
      <c r="LBD52" s="53"/>
      <c r="LBE52" s="53"/>
      <c r="LBF52" s="53"/>
      <c r="LBG52" s="53"/>
      <c r="LBH52" s="53"/>
      <c r="LBI52" s="53"/>
      <c r="LBJ52" s="53"/>
      <c r="LBK52" s="53"/>
      <c r="LBL52" s="53"/>
      <c r="LBM52" s="53"/>
      <c r="LBN52" s="53"/>
      <c r="LBO52" s="53"/>
      <c r="LBP52" s="53"/>
      <c r="LBQ52" s="53"/>
      <c r="LBR52" s="53"/>
      <c r="LBS52" s="53"/>
      <c r="LBT52" s="53"/>
      <c r="LBU52" s="53"/>
      <c r="LBV52" s="53"/>
      <c r="LBW52" s="53"/>
      <c r="LBX52" s="53"/>
      <c r="LBY52" s="53"/>
      <c r="LBZ52" s="53"/>
      <c r="LCA52" s="53"/>
      <c r="LCB52" s="53"/>
      <c r="LCC52" s="53"/>
      <c r="LCD52" s="53"/>
      <c r="LCE52" s="53"/>
      <c r="LCF52" s="53"/>
      <c r="LCG52" s="53"/>
      <c r="LCH52" s="53"/>
      <c r="LCI52" s="53"/>
      <c r="LCJ52" s="53"/>
      <c r="LCK52" s="53"/>
      <c r="LCL52" s="53"/>
      <c r="LCM52" s="53"/>
      <c r="LCN52" s="53"/>
      <c r="LCO52" s="53"/>
      <c r="LCP52" s="53"/>
      <c r="LCQ52" s="53"/>
      <c r="LCR52" s="53"/>
      <c r="LCS52" s="53"/>
      <c r="LCT52" s="53"/>
      <c r="LCU52" s="53"/>
      <c r="LCV52" s="53"/>
      <c r="LCW52" s="53"/>
      <c r="LCX52" s="53"/>
      <c r="LCY52" s="53"/>
      <c r="LCZ52" s="53"/>
      <c r="LDA52" s="53"/>
      <c r="LDB52" s="53"/>
      <c r="LDC52" s="53"/>
      <c r="LDD52" s="53"/>
      <c r="LDE52" s="53"/>
      <c r="LDF52" s="53"/>
      <c r="LDG52" s="53"/>
      <c r="LDH52" s="53"/>
      <c r="LDI52" s="53"/>
      <c r="LDJ52" s="53"/>
      <c r="LDK52" s="53"/>
      <c r="LDL52" s="53"/>
      <c r="LDM52" s="53"/>
      <c r="LDN52" s="53"/>
      <c r="LDO52" s="53"/>
      <c r="LDP52" s="53"/>
      <c r="LDQ52" s="53"/>
      <c r="LDR52" s="53"/>
      <c r="LDS52" s="53"/>
      <c r="LDT52" s="53"/>
      <c r="LDU52" s="53"/>
      <c r="LDV52" s="53"/>
      <c r="LDW52" s="53"/>
      <c r="LDX52" s="53"/>
      <c r="LDY52" s="53"/>
      <c r="LDZ52" s="53"/>
      <c r="LEA52" s="53"/>
      <c r="LEB52" s="53"/>
      <c r="LEC52" s="53"/>
      <c r="LED52" s="53"/>
      <c r="LEE52" s="53"/>
      <c r="LEF52" s="53"/>
      <c r="LEG52" s="53"/>
      <c r="LEH52" s="53"/>
      <c r="LEI52" s="53"/>
      <c r="LEJ52" s="53"/>
      <c r="LEK52" s="53"/>
      <c r="LEL52" s="53"/>
      <c r="LEM52" s="53"/>
      <c r="LEN52" s="53"/>
      <c r="LEO52" s="53"/>
      <c r="LEP52" s="53"/>
      <c r="LEQ52" s="53"/>
      <c r="LER52" s="53"/>
      <c r="LES52" s="53"/>
      <c r="LET52" s="53"/>
      <c r="LEU52" s="53"/>
      <c r="LEV52" s="53"/>
      <c r="LEW52" s="53"/>
      <c r="LEX52" s="53"/>
      <c r="LEY52" s="53"/>
      <c r="LEZ52" s="53"/>
      <c r="LFA52" s="53"/>
      <c r="LFB52" s="53"/>
      <c r="LFC52" s="53"/>
      <c r="LFD52" s="53"/>
      <c r="LFE52" s="53"/>
      <c r="LFF52" s="53"/>
      <c r="LFG52" s="53"/>
      <c r="LFH52" s="53"/>
      <c r="LFI52" s="53"/>
      <c r="LFJ52" s="53"/>
      <c r="LFK52" s="53"/>
      <c r="LFL52" s="53"/>
      <c r="LFM52" s="53"/>
      <c r="LFN52" s="53"/>
      <c r="LFO52" s="53"/>
      <c r="LFP52" s="53"/>
      <c r="LFQ52" s="53"/>
      <c r="LFR52" s="53"/>
      <c r="LFS52" s="53"/>
      <c r="LFT52" s="53"/>
      <c r="LFU52" s="53"/>
      <c r="LFV52" s="53"/>
      <c r="LFW52" s="53"/>
      <c r="LFX52" s="53"/>
      <c r="LFY52" s="53"/>
      <c r="LFZ52" s="53"/>
      <c r="LGA52" s="53"/>
      <c r="LGB52" s="53"/>
      <c r="LGC52" s="53"/>
      <c r="LGD52" s="53"/>
      <c r="LGE52" s="53"/>
      <c r="LGF52" s="53"/>
      <c r="LGG52" s="53"/>
      <c r="LGH52" s="53"/>
      <c r="LGI52" s="53"/>
      <c r="LGJ52" s="53"/>
      <c r="LGK52" s="53"/>
      <c r="LGL52" s="53"/>
      <c r="LGM52" s="53"/>
      <c r="LGN52" s="53"/>
      <c r="LGO52" s="53"/>
      <c r="LGP52" s="53"/>
      <c r="LGQ52" s="53"/>
      <c r="LGR52" s="53"/>
      <c r="LGS52" s="53"/>
      <c r="LGT52" s="53"/>
      <c r="LGU52" s="53"/>
      <c r="LGV52" s="53"/>
      <c r="LGW52" s="53"/>
      <c r="LGX52" s="53"/>
      <c r="LGY52" s="53"/>
      <c r="LGZ52" s="53"/>
      <c r="LHA52" s="53"/>
      <c r="LHB52" s="53"/>
      <c r="LHC52" s="53"/>
      <c r="LHD52" s="53"/>
      <c r="LHE52" s="53"/>
      <c r="LHF52" s="53"/>
      <c r="LHG52" s="53"/>
      <c r="LHH52" s="53"/>
      <c r="LHI52" s="53"/>
      <c r="LHJ52" s="53"/>
      <c r="LHK52" s="53"/>
      <c r="LHL52" s="53"/>
      <c r="LHM52" s="53"/>
      <c r="LHN52" s="53"/>
      <c r="LHO52" s="53"/>
      <c r="LHP52" s="53"/>
      <c r="LHQ52" s="53"/>
      <c r="LHR52" s="53"/>
      <c r="LHS52" s="53"/>
      <c r="LHT52" s="53"/>
      <c r="LHU52" s="53"/>
      <c r="LHV52" s="53"/>
      <c r="LHW52" s="53"/>
      <c r="LHX52" s="53"/>
      <c r="LHY52" s="53"/>
      <c r="LHZ52" s="53"/>
      <c r="LIA52" s="53"/>
      <c r="LIB52" s="53"/>
      <c r="LIC52" s="53"/>
      <c r="LID52" s="53"/>
      <c r="LIE52" s="53"/>
      <c r="LIF52" s="53"/>
      <c r="LIG52" s="53"/>
      <c r="LIH52" s="53"/>
      <c r="LII52" s="53"/>
      <c r="LIJ52" s="53"/>
      <c r="LIK52" s="53"/>
      <c r="LIL52" s="53"/>
      <c r="LIM52" s="53"/>
      <c r="LIN52" s="53"/>
      <c r="LIO52" s="53"/>
      <c r="LIP52" s="53"/>
      <c r="LIQ52" s="53"/>
      <c r="LIR52" s="53"/>
      <c r="LIS52" s="53"/>
      <c r="LIT52" s="53"/>
      <c r="LIU52" s="53"/>
      <c r="LIV52" s="53"/>
      <c r="LIW52" s="53"/>
      <c r="LIX52" s="53"/>
      <c r="LIY52" s="53"/>
      <c r="LIZ52" s="53"/>
      <c r="LJA52" s="53"/>
      <c r="LJB52" s="53"/>
      <c r="LJC52" s="53"/>
      <c r="LJD52" s="53"/>
      <c r="LJE52" s="53"/>
      <c r="LJF52" s="53"/>
      <c r="LJG52" s="53"/>
      <c r="LJH52" s="53"/>
      <c r="LJI52" s="53"/>
      <c r="LJJ52" s="53"/>
      <c r="LJK52" s="53"/>
      <c r="LJL52" s="53"/>
      <c r="LJM52" s="53"/>
      <c r="LJN52" s="53"/>
      <c r="LJO52" s="53"/>
      <c r="LJP52" s="53"/>
      <c r="LJQ52" s="53"/>
      <c r="LJR52" s="53"/>
      <c r="LJS52" s="53"/>
      <c r="LJT52" s="53"/>
      <c r="LJU52" s="53"/>
      <c r="LJV52" s="53"/>
      <c r="LJW52" s="53"/>
      <c r="LJX52" s="53"/>
      <c r="LJY52" s="53"/>
      <c r="LJZ52" s="53"/>
      <c r="LKA52" s="53"/>
      <c r="LKB52" s="53"/>
      <c r="LKC52" s="53"/>
      <c r="LKD52" s="53"/>
      <c r="LKE52" s="53"/>
      <c r="LKF52" s="53"/>
      <c r="LKG52" s="53"/>
      <c r="LKH52" s="53"/>
      <c r="LKI52" s="53"/>
      <c r="LKJ52" s="53"/>
      <c r="LKK52" s="53"/>
      <c r="LKL52" s="53"/>
      <c r="LKM52" s="53"/>
      <c r="LKN52" s="53"/>
      <c r="LKO52" s="53"/>
      <c r="LKP52" s="53"/>
      <c r="LKQ52" s="53"/>
      <c r="LKR52" s="53"/>
      <c r="LKS52" s="53"/>
      <c r="LKT52" s="53"/>
      <c r="LKU52" s="53"/>
      <c r="LKV52" s="53"/>
      <c r="LKW52" s="53"/>
      <c r="LKX52" s="53"/>
      <c r="LKY52" s="53"/>
      <c r="LKZ52" s="53"/>
      <c r="LLA52" s="53"/>
      <c r="LLB52" s="53"/>
      <c r="LLC52" s="53"/>
      <c r="LLD52" s="53"/>
      <c r="LLE52" s="53"/>
      <c r="LLF52" s="53"/>
      <c r="LLG52" s="53"/>
      <c r="LLH52" s="53"/>
      <c r="LLI52" s="53"/>
      <c r="LLJ52" s="53"/>
      <c r="LLK52" s="53"/>
      <c r="LLL52" s="53"/>
      <c r="LLM52" s="53"/>
      <c r="LLN52" s="53"/>
      <c r="LLO52" s="53"/>
      <c r="LLP52" s="53"/>
      <c r="LLQ52" s="53"/>
      <c r="LLR52" s="53"/>
      <c r="LLS52" s="53"/>
      <c r="LLT52" s="53"/>
      <c r="LLU52" s="53"/>
      <c r="LLV52" s="53"/>
      <c r="LLW52" s="53"/>
      <c r="LLX52" s="53"/>
      <c r="LLY52" s="53"/>
      <c r="LLZ52" s="53"/>
      <c r="LMA52" s="53"/>
      <c r="LMB52" s="53"/>
      <c r="LMC52" s="53"/>
      <c r="LMD52" s="53"/>
      <c r="LME52" s="53"/>
      <c r="LMF52" s="53"/>
      <c r="LMG52" s="53"/>
      <c r="LMH52" s="53"/>
      <c r="LMI52" s="53"/>
      <c r="LMJ52" s="53"/>
      <c r="LMK52" s="53"/>
      <c r="LML52" s="53"/>
      <c r="LMM52" s="53"/>
      <c r="LMN52" s="53"/>
      <c r="LMO52" s="53"/>
      <c r="LMP52" s="53"/>
      <c r="LMQ52" s="53"/>
      <c r="LMR52" s="53"/>
      <c r="LMS52" s="53"/>
      <c r="LMT52" s="53"/>
      <c r="LMU52" s="53"/>
      <c r="LMV52" s="53"/>
      <c r="LMW52" s="53"/>
      <c r="LMX52" s="53"/>
      <c r="LMY52" s="53"/>
      <c r="LMZ52" s="53"/>
      <c r="LNA52" s="53"/>
      <c r="LNB52" s="53"/>
      <c r="LNC52" s="53"/>
      <c r="LND52" s="53"/>
      <c r="LNE52" s="53"/>
      <c r="LNF52" s="53"/>
      <c r="LNG52" s="53"/>
      <c r="LNH52" s="53"/>
      <c r="LNI52" s="53"/>
      <c r="LNJ52" s="53"/>
      <c r="LNK52" s="53"/>
      <c r="LNL52" s="53"/>
      <c r="LNM52" s="53"/>
      <c r="LNN52" s="53"/>
      <c r="LNO52" s="53"/>
      <c r="LNP52" s="53"/>
      <c r="LNQ52" s="53"/>
      <c r="LNR52" s="53"/>
      <c r="LNS52" s="53"/>
      <c r="LNT52" s="53"/>
      <c r="LNU52" s="53"/>
      <c r="LNV52" s="53"/>
      <c r="LNW52" s="53"/>
      <c r="LNX52" s="53"/>
      <c r="LNY52" s="53"/>
      <c r="LNZ52" s="53"/>
      <c r="LOA52" s="53"/>
      <c r="LOB52" s="53"/>
      <c r="LOC52" s="53"/>
      <c r="LOD52" s="53"/>
      <c r="LOE52" s="53"/>
      <c r="LOF52" s="53"/>
      <c r="LOG52" s="53"/>
      <c r="LOH52" s="53"/>
      <c r="LOI52" s="53"/>
      <c r="LOJ52" s="53"/>
      <c r="LOK52" s="53"/>
      <c r="LOL52" s="53"/>
      <c r="LOM52" s="53"/>
      <c r="LON52" s="53"/>
      <c r="LOO52" s="53"/>
      <c r="LOP52" s="53"/>
      <c r="LOQ52" s="53"/>
      <c r="LOR52" s="53"/>
      <c r="LOS52" s="53"/>
      <c r="LOT52" s="53"/>
      <c r="LOU52" s="53"/>
      <c r="LOV52" s="53"/>
      <c r="LOW52" s="53"/>
      <c r="LOX52" s="53"/>
      <c r="LOY52" s="53"/>
      <c r="LOZ52" s="53"/>
      <c r="LPA52" s="53"/>
      <c r="LPB52" s="53"/>
      <c r="LPC52" s="53"/>
      <c r="LPD52" s="53"/>
      <c r="LPE52" s="53"/>
      <c r="LPF52" s="53"/>
      <c r="LPG52" s="53"/>
      <c r="LPH52" s="53"/>
      <c r="LPI52" s="53"/>
      <c r="LPJ52" s="53"/>
      <c r="LPK52" s="53"/>
      <c r="LPL52" s="53"/>
      <c r="LPM52" s="53"/>
      <c r="LPN52" s="53"/>
      <c r="LPO52" s="53"/>
      <c r="LPP52" s="53"/>
      <c r="LPQ52" s="53"/>
      <c r="LPR52" s="53"/>
      <c r="LPS52" s="53"/>
      <c r="LPT52" s="53"/>
      <c r="LPU52" s="53"/>
      <c r="LPV52" s="53"/>
      <c r="LPW52" s="53"/>
      <c r="LPX52" s="53"/>
      <c r="LPY52" s="53"/>
      <c r="LPZ52" s="53"/>
      <c r="LQA52" s="53"/>
      <c r="LQB52" s="53"/>
      <c r="LQC52" s="53"/>
      <c r="LQD52" s="53"/>
      <c r="LQE52" s="53"/>
      <c r="LQF52" s="53"/>
      <c r="LQG52" s="53"/>
      <c r="LQH52" s="53"/>
      <c r="LQI52" s="53"/>
      <c r="LQJ52" s="53"/>
      <c r="LQK52" s="53"/>
      <c r="LQL52" s="53"/>
      <c r="LQM52" s="53"/>
      <c r="LQN52" s="53"/>
      <c r="LQO52" s="53"/>
      <c r="LQP52" s="53"/>
      <c r="LQQ52" s="53"/>
      <c r="LQR52" s="53"/>
      <c r="LQS52" s="53"/>
      <c r="LQT52" s="53"/>
      <c r="LQU52" s="53"/>
      <c r="LQV52" s="53"/>
      <c r="LQW52" s="53"/>
      <c r="LQX52" s="53"/>
      <c r="LQY52" s="53"/>
      <c r="LQZ52" s="53"/>
      <c r="LRA52" s="53"/>
      <c r="LRB52" s="53"/>
      <c r="LRC52" s="53"/>
      <c r="LRD52" s="53"/>
      <c r="LRE52" s="53"/>
      <c r="LRF52" s="53"/>
      <c r="LRG52" s="53"/>
      <c r="LRH52" s="53"/>
      <c r="LRI52" s="53"/>
      <c r="LRJ52" s="53"/>
      <c r="LRK52" s="53"/>
      <c r="LRL52" s="53"/>
      <c r="LRM52" s="53"/>
      <c r="LRN52" s="53"/>
      <c r="LRO52" s="53"/>
      <c r="LRP52" s="53"/>
      <c r="LRQ52" s="53"/>
      <c r="LRR52" s="53"/>
      <c r="LRS52" s="53"/>
      <c r="LRT52" s="53"/>
      <c r="LRU52" s="53"/>
      <c r="LRV52" s="53"/>
      <c r="LRW52" s="53"/>
      <c r="LRX52" s="53"/>
      <c r="LRY52" s="53"/>
      <c r="LRZ52" s="53"/>
      <c r="LSA52" s="53"/>
      <c r="LSB52" s="53"/>
      <c r="LSC52" s="53"/>
      <c r="LSD52" s="53"/>
      <c r="LSE52" s="53"/>
      <c r="LSF52" s="53"/>
      <c r="LSG52" s="53"/>
      <c r="LSH52" s="53"/>
      <c r="LSI52" s="53"/>
      <c r="LSJ52" s="53"/>
      <c r="LSK52" s="53"/>
      <c r="LSL52" s="53"/>
      <c r="LSM52" s="53"/>
      <c r="LSN52" s="53"/>
      <c r="LSO52" s="53"/>
      <c r="LSP52" s="53"/>
      <c r="LSQ52" s="53"/>
      <c r="LSR52" s="53"/>
      <c r="LSS52" s="53"/>
      <c r="LST52" s="53"/>
      <c r="LSU52" s="53"/>
      <c r="LSV52" s="53"/>
      <c r="LSW52" s="53"/>
      <c r="LSX52" s="53"/>
      <c r="LSY52" s="53"/>
      <c r="LSZ52" s="53"/>
      <c r="LTA52" s="53"/>
      <c r="LTB52" s="53"/>
      <c r="LTC52" s="53"/>
      <c r="LTD52" s="53"/>
      <c r="LTE52" s="53"/>
      <c r="LTF52" s="53"/>
      <c r="LTG52" s="53"/>
      <c r="LTH52" s="53"/>
      <c r="LTI52" s="53"/>
      <c r="LTJ52" s="53"/>
      <c r="LTK52" s="53"/>
      <c r="LTL52" s="53"/>
      <c r="LTM52" s="53"/>
      <c r="LTN52" s="53"/>
      <c r="LTO52" s="53"/>
      <c r="LTP52" s="53"/>
      <c r="LTQ52" s="53"/>
      <c r="LTR52" s="53"/>
      <c r="LTS52" s="53"/>
      <c r="LTT52" s="53"/>
      <c r="LTU52" s="53"/>
      <c r="LTV52" s="53"/>
      <c r="LTW52" s="53"/>
      <c r="LTX52" s="53"/>
      <c r="LTY52" s="53"/>
      <c r="LTZ52" s="53"/>
      <c r="LUA52" s="53"/>
      <c r="LUB52" s="53"/>
      <c r="LUC52" s="53"/>
      <c r="LUD52" s="53"/>
      <c r="LUE52" s="53"/>
      <c r="LUF52" s="53"/>
      <c r="LUG52" s="53"/>
      <c r="LUH52" s="53"/>
      <c r="LUI52" s="53"/>
      <c r="LUJ52" s="53"/>
      <c r="LUK52" s="53"/>
      <c r="LUL52" s="53"/>
      <c r="LUM52" s="53"/>
      <c r="LUN52" s="53"/>
      <c r="LUO52" s="53"/>
      <c r="LUP52" s="53"/>
      <c r="LUQ52" s="53"/>
      <c r="LUR52" s="53"/>
      <c r="LUS52" s="53"/>
      <c r="LUT52" s="53"/>
      <c r="LUU52" s="53"/>
      <c r="LUV52" s="53"/>
      <c r="LUW52" s="53"/>
      <c r="LUX52" s="53"/>
      <c r="LUY52" s="53"/>
      <c r="LUZ52" s="53"/>
      <c r="LVA52" s="53"/>
      <c r="LVB52" s="53"/>
      <c r="LVC52" s="53"/>
      <c r="LVD52" s="53"/>
      <c r="LVE52" s="53"/>
      <c r="LVF52" s="53"/>
      <c r="LVG52" s="53"/>
      <c r="LVH52" s="53"/>
      <c r="LVI52" s="53"/>
      <c r="LVJ52" s="53"/>
      <c r="LVK52" s="53"/>
      <c r="LVL52" s="53"/>
      <c r="LVM52" s="53"/>
      <c r="LVN52" s="53"/>
      <c r="LVO52" s="53"/>
      <c r="LVP52" s="53"/>
      <c r="LVQ52" s="53"/>
      <c r="LVR52" s="53"/>
      <c r="LVS52" s="53"/>
      <c r="LVT52" s="53"/>
      <c r="LVU52" s="53"/>
      <c r="LVV52" s="53"/>
      <c r="LVW52" s="53"/>
      <c r="LVX52" s="53"/>
      <c r="LVY52" s="53"/>
      <c r="LVZ52" s="53"/>
      <c r="LWA52" s="53"/>
      <c r="LWB52" s="53"/>
      <c r="LWC52" s="53"/>
      <c r="LWD52" s="53"/>
      <c r="LWE52" s="53"/>
      <c r="LWF52" s="53"/>
      <c r="LWG52" s="53"/>
      <c r="LWH52" s="53"/>
      <c r="LWI52" s="53"/>
      <c r="LWJ52" s="53"/>
      <c r="LWK52" s="53"/>
      <c r="LWL52" s="53"/>
      <c r="LWM52" s="53"/>
      <c r="LWN52" s="53"/>
      <c r="LWO52" s="53"/>
      <c r="LWP52" s="53"/>
      <c r="LWQ52" s="53"/>
      <c r="LWR52" s="53"/>
      <c r="LWS52" s="53"/>
      <c r="LWT52" s="53"/>
      <c r="LWU52" s="53"/>
      <c r="LWV52" s="53"/>
      <c r="LWW52" s="53"/>
      <c r="LWX52" s="53"/>
      <c r="LWY52" s="53"/>
      <c r="LWZ52" s="53"/>
      <c r="LXA52" s="53"/>
      <c r="LXB52" s="53"/>
      <c r="LXC52" s="53"/>
      <c r="LXD52" s="53"/>
      <c r="LXE52" s="53"/>
      <c r="LXF52" s="53"/>
      <c r="LXG52" s="53"/>
      <c r="LXH52" s="53"/>
      <c r="LXI52" s="53"/>
      <c r="LXJ52" s="53"/>
      <c r="LXK52" s="53"/>
      <c r="LXL52" s="53"/>
      <c r="LXM52" s="53"/>
      <c r="LXN52" s="53"/>
      <c r="LXO52" s="53"/>
      <c r="LXP52" s="53"/>
      <c r="LXQ52" s="53"/>
      <c r="LXR52" s="53"/>
      <c r="LXS52" s="53"/>
      <c r="LXT52" s="53"/>
      <c r="LXU52" s="53"/>
      <c r="LXV52" s="53"/>
      <c r="LXW52" s="53"/>
      <c r="LXX52" s="53"/>
      <c r="LXY52" s="53"/>
      <c r="LXZ52" s="53"/>
      <c r="LYA52" s="53"/>
      <c r="LYB52" s="53"/>
      <c r="LYC52" s="53"/>
      <c r="LYD52" s="53"/>
      <c r="LYE52" s="53"/>
      <c r="LYF52" s="53"/>
      <c r="LYG52" s="53"/>
      <c r="LYH52" s="53"/>
      <c r="LYI52" s="53"/>
      <c r="LYJ52" s="53"/>
      <c r="LYK52" s="53"/>
      <c r="LYL52" s="53"/>
      <c r="LYM52" s="53"/>
      <c r="LYN52" s="53"/>
      <c r="LYO52" s="53"/>
      <c r="LYP52" s="53"/>
      <c r="LYQ52" s="53"/>
      <c r="LYR52" s="53"/>
      <c r="LYS52" s="53"/>
      <c r="LYT52" s="53"/>
      <c r="LYU52" s="53"/>
      <c r="LYV52" s="53"/>
      <c r="LYW52" s="53"/>
      <c r="LYX52" s="53"/>
      <c r="LYY52" s="53"/>
      <c r="LYZ52" s="53"/>
      <c r="LZA52" s="53"/>
      <c r="LZB52" s="53"/>
      <c r="LZC52" s="53"/>
      <c r="LZD52" s="53"/>
      <c r="LZE52" s="53"/>
      <c r="LZF52" s="53"/>
      <c r="LZG52" s="53"/>
      <c r="LZH52" s="53"/>
      <c r="LZI52" s="53"/>
      <c r="LZJ52" s="53"/>
      <c r="LZK52" s="53"/>
      <c r="LZL52" s="53"/>
      <c r="LZM52" s="53"/>
      <c r="LZN52" s="53"/>
      <c r="LZO52" s="53"/>
      <c r="LZP52" s="53"/>
      <c r="LZQ52" s="53"/>
      <c r="LZR52" s="53"/>
      <c r="LZS52" s="53"/>
      <c r="LZT52" s="53"/>
      <c r="LZU52" s="53"/>
      <c r="LZV52" s="53"/>
      <c r="LZW52" s="53"/>
      <c r="LZX52" s="53"/>
      <c r="LZY52" s="53"/>
      <c r="LZZ52" s="53"/>
      <c r="MAA52" s="53"/>
      <c r="MAB52" s="53"/>
      <c r="MAC52" s="53"/>
      <c r="MAD52" s="53"/>
      <c r="MAE52" s="53"/>
      <c r="MAF52" s="53"/>
      <c r="MAG52" s="53"/>
      <c r="MAH52" s="53"/>
      <c r="MAI52" s="53"/>
      <c r="MAJ52" s="53"/>
      <c r="MAK52" s="53"/>
      <c r="MAL52" s="53"/>
      <c r="MAM52" s="53"/>
      <c r="MAN52" s="53"/>
      <c r="MAO52" s="53"/>
      <c r="MAP52" s="53"/>
      <c r="MAQ52" s="53"/>
      <c r="MAR52" s="53"/>
      <c r="MAS52" s="53"/>
      <c r="MAT52" s="53"/>
      <c r="MAU52" s="53"/>
      <c r="MAV52" s="53"/>
      <c r="MAW52" s="53"/>
      <c r="MAX52" s="53"/>
      <c r="MAY52" s="53"/>
      <c r="MAZ52" s="53"/>
      <c r="MBA52" s="53"/>
      <c r="MBB52" s="53"/>
      <c r="MBC52" s="53"/>
      <c r="MBD52" s="53"/>
      <c r="MBE52" s="53"/>
      <c r="MBF52" s="53"/>
      <c r="MBG52" s="53"/>
      <c r="MBH52" s="53"/>
      <c r="MBI52" s="53"/>
      <c r="MBJ52" s="53"/>
      <c r="MBK52" s="53"/>
      <c r="MBL52" s="53"/>
      <c r="MBM52" s="53"/>
      <c r="MBN52" s="53"/>
      <c r="MBO52" s="53"/>
      <c r="MBP52" s="53"/>
      <c r="MBQ52" s="53"/>
      <c r="MBR52" s="53"/>
      <c r="MBS52" s="53"/>
      <c r="MBT52" s="53"/>
      <c r="MBU52" s="53"/>
      <c r="MBV52" s="53"/>
      <c r="MBW52" s="53"/>
      <c r="MBX52" s="53"/>
      <c r="MBY52" s="53"/>
      <c r="MBZ52" s="53"/>
      <c r="MCA52" s="53"/>
      <c r="MCB52" s="53"/>
      <c r="MCC52" s="53"/>
      <c r="MCD52" s="53"/>
      <c r="MCE52" s="53"/>
      <c r="MCF52" s="53"/>
      <c r="MCG52" s="53"/>
      <c r="MCH52" s="53"/>
      <c r="MCI52" s="53"/>
      <c r="MCJ52" s="53"/>
      <c r="MCK52" s="53"/>
      <c r="MCL52" s="53"/>
      <c r="MCM52" s="53"/>
      <c r="MCN52" s="53"/>
      <c r="MCO52" s="53"/>
      <c r="MCP52" s="53"/>
      <c r="MCQ52" s="53"/>
      <c r="MCR52" s="53"/>
      <c r="MCS52" s="53"/>
      <c r="MCT52" s="53"/>
      <c r="MCU52" s="53"/>
      <c r="MCV52" s="53"/>
      <c r="MCW52" s="53"/>
      <c r="MCX52" s="53"/>
      <c r="MCY52" s="53"/>
      <c r="MCZ52" s="53"/>
      <c r="MDA52" s="53"/>
      <c r="MDB52" s="53"/>
      <c r="MDC52" s="53"/>
      <c r="MDD52" s="53"/>
      <c r="MDE52" s="53"/>
      <c r="MDF52" s="53"/>
      <c r="MDG52" s="53"/>
      <c r="MDH52" s="53"/>
      <c r="MDI52" s="53"/>
      <c r="MDJ52" s="53"/>
      <c r="MDK52" s="53"/>
      <c r="MDL52" s="53"/>
      <c r="MDM52" s="53"/>
      <c r="MDN52" s="53"/>
      <c r="MDO52" s="53"/>
      <c r="MDP52" s="53"/>
      <c r="MDQ52" s="53"/>
      <c r="MDR52" s="53"/>
      <c r="MDS52" s="53"/>
      <c r="MDT52" s="53"/>
      <c r="MDU52" s="53"/>
      <c r="MDV52" s="53"/>
      <c r="MDW52" s="53"/>
      <c r="MDX52" s="53"/>
      <c r="MDY52" s="53"/>
      <c r="MDZ52" s="53"/>
      <c r="MEA52" s="53"/>
      <c r="MEB52" s="53"/>
      <c r="MEC52" s="53"/>
      <c r="MED52" s="53"/>
      <c r="MEE52" s="53"/>
      <c r="MEF52" s="53"/>
      <c r="MEG52" s="53"/>
      <c r="MEH52" s="53"/>
      <c r="MEI52" s="53"/>
      <c r="MEJ52" s="53"/>
      <c r="MEK52" s="53"/>
      <c r="MEL52" s="53"/>
      <c r="MEM52" s="53"/>
      <c r="MEN52" s="53"/>
      <c r="MEO52" s="53"/>
      <c r="MEP52" s="53"/>
      <c r="MEQ52" s="53"/>
      <c r="MER52" s="53"/>
      <c r="MES52" s="53"/>
      <c r="MET52" s="53"/>
      <c r="MEU52" s="53"/>
      <c r="MEV52" s="53"/>
      <c r="MEW52" s="53"/>
      <c r="MEX52" s="53"/>
      <c r="MEY52" s="53"/>
      <c r="MEZ52" s="53"/>
      <c r="MFA52" s="53"/>
      <c r="MFB52" s="53"/>
      <c r="MFC52" s="53"/>
      <c r="MFD52" s="53"/>
      <c r="MFE52" s="53"/>
      <c r="MFF52" s="53"/>
      <c r="MFG52" s="53"/>
      <c r="MFH52" s="53"/>
      <c r="MFI52" s="53"/>
      <c r="MFJ52" s="53"/>
      <c r="MFK52" s="53"/>
      <c r="MFL52" s="53"/>
      <c r="MFM52" s="53"/>
      <c r="MFN52" s="53"/>
      <c r="MFO52" s="53"/>
      <c r="MFP52" s="53"/>
      <c r="MFQ52" s="53"/>
      <c r="MFR52" s="53"/>
      <c r="MFS52" s="53"/>
      <c r="MFT52" s="53"/>
      <c r="MFU52" s="53"/>
      <c r="MFV52" s="53"/>
      <c r="MFW52" s="53"/>
      <c r="MFX52" s="53"/>
      <c r="MFY52" s="53"/>
      <c r="MFZ52" s="53"/>
      <c r="MGA52" s="53"/>
      <c r="MGB52" s="53"/>
      <c r="MGC52" s="53"/>
      <c r="MGD52" s="53"/>
      <c r="MGE52" s="53"/>
      <c r="MGF52" s="53"/>
      <c r="MGG52" s="53"/>
      <c r="MGH52" s="53"/>
      <c r="MGI52" s="53"/>
      <c r="MGJ52" s="53"/>
      <c r="MGK52" s="53"/>
      <c r="MGL52" s="53"/>
      <c r="MGM52" s="53"/>
      <c r="MGN52" s="53"/>
      <c r="MGO52" s="53"/>
      <c r="MGP52" s="53"/>
      <c r="MGQ52" s="53"/>
      <c r="MGR52" s="53"/>
      <c r="MGS52" s="53"/>
      <c r="MGT52" s="53"/>
      <c r="MGU52" s="53"/>
      <c r="MGV52" s="53"/>
      <c r="MGW52" s="53"/>
      <c r="MGX52" s="53"/>
      <c r="MGY52" s="53"/>
      <c r="MGZ52" s="53"/>
      <c r="MHA52" s="53"/>
      <c r="MHB52" s="53"/>
      <c r="MHC52" s="53"/>
      <c r="MHD52" s="53"/>
      <c r="MHE52" s="53"/>
      <c r="MHF52" s="53"/>
      <c r="MHG52" s="53"/>
      <c r="MHH52" s="53"/>
      <c r="MHI52" s="53"/>
      <c r="MHJ52" s="53"/>
      <c r="MHK52" s="53"/>
      <c r="MHL52" s="53"/>
      <c r="MHM52" s="53"/>
      <c r="MHN52" s="53"/>
      <c r="MHO52" s="53"/>
      <c r="MHP52" s="53"/>
      <c r="MHQ52" s="53"/>
      <c r="MHR52" s="53"/>
      <c r="MHS52" s="53"/>
      <c r="MHT52" s="53"/>
      <c r="MHU52" s="53"/>
      <c r="MHV52" s="53"/>
      <c r="MHW52" s="53"/>
      <c r="MHX52" s="53"/>
      <c r="MHY52" s="53"/>
      <c r="MHZ52" s="53"/>
      <c r="MIA52" s="53"/>
      <c r="MIB52" s="53"/>
      <c r="MIC52" s="53"/>
      <c r="MID52" s="53"/>
      <c r="MIE52" s="53"/>
      <c r="MIF52" s="53"/>
      <c r="MIG52" s="53"/>
      <c r="MIH52" s="53"/>
      <c r="MII52" s="53"/>
      <c r="MIJ52" s="53"/>
      <c r="MIK52" s="53"/>
      <c r="MIL52" s="53"/>
      <c r="MIM52" s="53"/>
      <c r="MIN52" s="53"/>
      <c r="MIO52" s="53"/>
      <c r="MIP52" s="53"/>
      <c r="MIQ52" s="53"/>
      <c r="MIR52" s="53"/>
      <c r="MIS52" s="53"/>
      <c r="MIT52" s="53"/>
      <c r="MIU52" s="53"/>
      <c r="MIV52" s="53"/>
      <c r="MIW52" s="53"/>
      <c r="MIX52" s="53"/>
      <c r="MIY52" s="53"/>
      <c r="MIZ52" s="53"/>
      <c r="MJA52" s="53"/>
      <c r="MJB52" s="53"/>
      <c r="MJC52" s="53"/>
      <c r="MJD52" s="53"/>
      <c r="MJE52" s="53"/>
      <c r="MJF52" s="53"/>
      <c r="MJG52" s="53"/>
      <c r="MJH52" s="53"/>
      <c r="MJI52" s="53"/>
      <c r="MJJ52" s="53"/>
      <c r="MJK52" s="53"/>
      <c r="MJL52" s="53"/>
      <c r="MJM52" s="53"/>
      <c r="MJN52" s="53"/>
      <c r="MJO52" s="53"/>
      <c r="MJP52" s="53"/>
      <c r="MJQ52" s="53"/>
      <c r="MJR52" s="53"/>
      <c r="MJS52" s="53"/>
      <c r="MJT52" s="53"/>
      <c r="MJU52" s="53"/>
      <c r="MJV52" s="53"/>
      <c r="MJW52" s="53"/>
      <c r="MJX52" s="53"/>
      <c r="MJY52" s="53"/>
      <c r="MJZ52" s="53"/>
      <c r="MKA52" s="53"/>
      <c r="MKB52" s="53"/>
      <c r="MKC52" s="53"/>
      <c r="MKD52" s="53"/>
      <c r="MKE52" s="53"/>
      <c r="MKF52" s="53"/>
      <c r="MKG52" s="53"/>
      <c r="MKH52" s="53"/>
      <c r="MKI52" s="53"/>
      <c r="MKJ52" s="53"/>
      <c r="MKK52" s="53"/>
      <c r="MKL52" s="53"/>
      <c r="MKM52" s="53"/>
      <c r="MKN52" s="53"/>
      <c r="MKO52" s="53"/>
      <c r="MKP52" s="53"/>
      <c r="MKQ52" s="53"/>
      <c r="MKR52" s="53"/>
      <c r="MKS52" s="53"/>
      <c r="MKT52" s="53"/>
      <c r="MKU52" s="53"/>
      <c r="MKV52" s="53"/>
      <c r="MKW52" s="53"/>
      <c r="MKX52" s="53"/>
      <c r="MKY52" s="53"/>
      <c r="MKZ52" s="53"/>
      <c r="MLA52" s="53"/>
      <c r="MLB52" s="53"/>
      <c r="MLC52" s="53"/>
      <c r="MLD52" s="53"/>
      <c r="MLE52" s="53"/>
      <c r="MLF52" s="53"/>
      <c r="MLG52" s="53"/>
      <c r="MLH52" s="53"/>
      <c r="MLI52" s="53"/>
      <c r="MLJ52" s="53"/>
      <c r="MLK52" s="53"/>
      <c r="MLL52" s="53"/>
      <c r="MLM52" s="53"/>
      <c r="MLN52" s="53"/>
      <c r="MLO52" s="53"/>
      <c r="MLP52" s="53"/>
      <c r="MLQ52" s="53"/>
      <c r="MLR52" s="53"/>
      <c r="MLS52" s="53"/>
      <c r="MLT52" s="53"/>
      <c r="MLU52" s="53"/>
      <c r="MLV52" s="53"/>
      <c r="MLW52" s="53"/>
      <c r="MLX52" s="53"/>
      <c r="MLY52" s="53"/>
      <c r="MLZ52" s="53"/>
      <c r="MMA52" s="53"/>
      <c r="MMB52" s="53"/>
      <c r="MMC52" s="53"/>
      <c r="MMD52" s="53"/>
      <c r="MME52" s="53"/>
      <c r="MMF52" s="53"/>
      <c r="MMG52" s="53"/>
      <c r="MMH52" s="53"/>
      <c r="MMI52" s="53"/>
      <c r="MMJ52" s="53"/>
      <c r="MMK52" s="53"/>
      <c r="MML52" s="53"/>
      <c r="MMM52" s="53"/>
      <c r="MMN52" s="53"/>
      <c r="MMO52" s="53"/>
      <c r="MMP52" s="53"/>
      <c r="MMQ52" s="53"/>
      <c r="MMR52" s="53"/>
      <c r="MMS52" s="53"/>
      <c r="MMT52" s="53"/>
      <c r="MMU52" s="53"/>
      <c r="MMV52" s="53"/>
      <c r="MMW52" s="53"/>
      <c r="MMX52" s="53"/>
      <c r="MMY52" s="53"/>
      <c r="MMZ52" s="53"/>
      <c r="MNA52" s="53"/>
      <c r="MNB52" s="53"/>
      <c r="MNC52" s="53"/>
      <c r="MND52" s="53"/>
      <c r="MNE52" s="53"/>
      <c r="MNF52" s="53"/>
      <c r="MNG52" s="53"/>
      <c r="MNH52" s="53"/>
      <c r="MNI52" s="53"/>
      <c r="MNJ52" s="53"/>
      <c r="MNK52" s="53"/>
      <c r="MNL52" s="53"/>
      <c r="MNM52" s="53"/>
      <c r="MNN52" s="53"/>
      <c r="MNO52" s="53"/>
      <c r="MNP52" s="53"/>
      <c r="MNQ52" s="53"/>
      <c r="MNR52" s="53"/>
      <c r="MNS52" s="53"/>
      <c r="MNT52" s="53"/>
      <c r="MNU52" s="53"/>
      <c r="MNV52" s="53"/>
      <c r="MNW52" s="53"/>
      <c r="MNX52" s="53"/>
      <c r="MNY52" s="53"/>
      <c r="MNZ52" s="53"/>
      <c r="MOA52" s="53"/>
      <c r="MOB52" s="53"/>
      <c r="MOC52" s="53"/>
      <c r="MOD52" s="53"/>
      <c r="MOE52" s="53"/>
      <c r="MOF52" s="53"/>
      <c r="MOG52" s="53"/>
      <c r="MOH52" s="53"/>
      <c r="MOI52" s="53"/>
      <c r="MOJ52" s="53"/>
      <c r="MOK52" s="53"/>
      <c r="MOL52" s="53"/>
      <c r="MOM52" s="53"/>
      <c r="MON52" s="53"/>
      <c r="MOO52" s="53"/>
      <c r="MOP52" s="53"/>
      <c r="MOQ52" s="53"/>
      <c r="MOR52" s="53"/>
      <c r="MOS52" s="53"/>
      <c r="MOT52" s="53"/>
      <c r="MOU52" s="53"/>
      <c r="MOV52" s="53"/>
      <c r="MOW52" s="53"/>
      <c r="MOX52" s="53"/>
      <c r="MOY52" s="53"/>
      <c r="MOZ52" s="53"/>
      <c r="MPA52" s="53"/>
      <c r="MPB52" s="53"/>
      <c r="MPC52" s="53"/>
      <c r="MPD52" s="53"/>
      <c r="MPE52" s="53"/>
      <c r="MPF52" s="53"/>
      <c r="MPG52" s="53"/>
      <c r="MPH52" s="53"/>
      <c r="MPI52" s="53"/>
      <c r="MPJ52" s="53"/>
      <c r="MPK52" s="53"/>
      <c r="MPL52" s="53"/>
      <c r="MPM52" s="53"/>
      <c r="MPN52" s="53"/>
      <c r="MPO52" s="53"/>
      <c r="MPP52" s="53"/>
      <c r="MPQ52" s="53"/>
      <c r="MPR52" s="53"/>
      <c r="MPS52" s="53"/>
      <c r="MPT52" s="53"/>
      <c r="MPU52" s="53"/>
      <c r="MPV52" s="53"/>
      <c r="MPW52" s="53"/>
      <c r="MPX52" s="53"/>
      <c r="MPY52" s="53"/>
      <c r="MPZ52" s="53"/>
      <c r="MQA52" s="53"/>
      <c r="MQB52" s="53"/>
      <c r="MQC52" s="53"/>
      <c r="MQD52" s="53"/>
      <c r="MQE52" s="53"/>
      <c r="MQF52" s="53"/>
      <c r="MQG52" s="53"/>
      <c r="MQH52" s="53"/>
      <c r="MQI52" s="53"/>
      <c r="MQJ52" s="53"/>
      <c r="MQK52" s="53"/>
      <c r="MQL52" s="53"/>
      <c r="MQM52" s="53"/>
      <c r="MQN52" s="53"/>
      <c r="MQO52" s="53"/>
      <c r="MQP52" s="53"/>
      <c r="MQQ52" s="53"/>
      <c r="MQR52" s="53"/>
      <c r="MQS52" s="53"/>
      <c r="MQT52" s="53"/>
      <c r="MQU52" s="53"/>
      <c r="MQV52" s="53"/>
      <c r="MQW52" s="53"/>
      <c r="MQX52" s="53"/>
      <c r="MQY52" s="53"/>
      <c r="MQZ52" s="53"/>
      <c r="MRA52" s="53"/>
      <c r="MRB52" s="53"/>
      <c r="MRC52" s="53"/>
      <c r="MRD52" s="53"/>
      <c r="MRE52" s="53"/>
      <c r="MRF52" s="53"/>
      <c r="MRG52" s="53"/>
      <c r="MRH52" s="53"/>
      <c r="MRI52" s="53"/>
      <c r="MRJ52" s="53"/>
      <c r="MRK52" s="53"/>
      <c r="MRL52" s="53"/>
      <c r="MRM52" s="53"/>
      <c r="MRN52" s="53"/>
      <c r="MRO52" s="53"/>
      <c r="MRP52" s="53"/>
      <c r="MRQ52" s="53"/>
      <c r="MRR52" s="53"/>
      <c r="MRS52" s="53"/>
      <c r="MRT52" s="53"/>
      <c r="MRU52" s="53"/>
      <c r="MRV52" s="53"/>
      <c r="MRW52" s="53"/>
      <c r="MRX52" s="53"/>
      <c r="MRY52" s="53"/>
      <c r="MRZ52" s="53"/>
      <c r="MSA52" s="53"/>
      <c r="MSB52" s="53"/>
      <c r="MSC52" s="53"/>
      <c r="MSD52" s="53"/>
      <c r="MSE52" s="53"/>
      <c r="MSF52" s="53"/>
      <c r="MSG52" s="53"/>
      <c r="MSH52" s="53"/>
      <c r="MSI52" s="53"/>
      <c r="MSJ52" s="53"/>
      <c r="MSK52" s="53"/>
      <c r="MSL52" s="53"/>
      <c r="MSM52" s="53"/>
      <c r="MSN52" s="53"/>
      <c r="MSO52" s="53"/>
      <c r="MSP52" s="53"/>
      <c r="MSQ52" s="53"/>
      <c r="MSR52" s="53"/>
      <c r="MSS52" s="53"/>
      <c r="MST52" s="53"/>
      <c r="MSU52" s="53"/>
      <c r="MSV52" s="53"/>
      <c r="MSW52" s="53"/>
      <c r="MSX52" s="53"/>
      <c r="MSY52" s="53"/>
      <c r="MSZ52" s="53"/>
      <c r="MTA52" s="53"/>
      <c r="MTB52" s="53"/>
      <c r="MTC52" s="53"/>
      <c r="MTD52" s="53"/>
      <c r="MTE52" s="53"/>
      <c r="MTF52" s="53"/>
      <c r="MTG52" s="53"/>
      <c r="MTH52" s="53"/>
      <c r="MTI52" s="53"/>
      <c r="MTJ52" s="53"/>
      <c r="MTK52" s="53"/>
      <c r="MTL52" s="53"/>
      <c r="MTM52" s="53"/>
      <c r="MTN52" s="53"/>
      <c r="MTO52" s="53"/>
      <c r="MTP52" s="53"/>
      <c r="MTQ52" s="53"/>
      <c r="MTR52" s="53"/>
      <c r="MTS52" s="53"/>
      <c r="MTT52" s="53"/>
      <c r="MTU52" s="53"/>
      <c r="MTV52" s="53"/>
      <c r="MTW52" s="53"/>
      <c r="MTX52" s="53"/>
      <c r="MTY52" s="53"/>
      <c r="MTZ52" s="53"/>
      <c r="MUA52" s="53"/>
      <c r="MUB52" s="53"/>
      <c r="MUC52" s="53"/>
      <c r="MUD52" s="53"/>
      <c r="MUE52" s="53"/>
      <c r="MUF52" s="53"/>
      <c r="MUG52" s="53"/>
      <c r="MUH52" s="53"/>
      <c r="MUI52" s="53"/>
      <c r="MUJ52" s="53"/>
      <c r="MUK52" s="53"/>
      <c r="MUL52" s="53"/>
      <c r="MUM52" s="53"/>
      <c r="MUN52" s="53"/>
      <c r="MUO52" s="53"/>
      <c r="MUP52" s="53"/>
      <c r="MUQ52" s="53"/>
      <c r="MUR52" s="53"/>
      <c r="MUS52" s="53"/>
      <c r="MUT52" s="53"/>
      <c r="MUU52" s="53"/>
      <c r="MUV52" s="53"/>
      <c r="MUW52" s="53"/>
      <c r="MUX52" s="53"/>
      <c r="MUY52" s="53"/>
      <c r="MUZ52" s="53"/>
      <c r="MVA52" s="53"/>
      <c r="MVB52" s="53"/>
      <c r="MVC52" s="53"/>
      <c r="MVD52" s="53"/>
      <c r="MVE52" s="53"/>
      <c r="MVF52" s="53"/>
      <c r="MVG52" s="53"/>
      <c r="MVH52" s="53"/>
      <c r="MVI52" s="53"/>
      <c r="MVJ52" s="53"/>
      <c r="MVK52" s="53"/>
      <c r="MVL52" s="53"/>
      <c r="MVM52" s="53"/>
      <c r="MVN52" s="53"/>
      <c r="MVO52" s="53"/>
      <c r="MVP52" s="53"/>
      <c r="MVQ52" s="53"/>
      <c r="MVR52" s="53"/>
      <c r="MVS52" s="53"/>
      <c r="MVT52" s="53"/>
      <c r="MVU52" s="53"/>
      <c r="MVV52" s="53"/>
      <c r="MVW52" s="53"/>
      <c r="MVX52" s="53"/>
      <c r="MVY52" s="53"/>
      <c r="MVZ52" s="53"/>
      <c r="MWA52" s="53"/>
      <c r="MWB52" s="53"/>
      <c r="MWC52" s="53"/>
      <c r="MWD52" s="53"/>
      <c r="MWE52" s="53"/>
      <c r="MWF52" s="53"/>
      <c r="MWG52" s="53"/>
      <c r="MWH52" s="53"/>
      <c r="MWI52" s="53"/>
      <c r="MWJ52" s="53"/>
      <c r="MWK52" s="53"/>
      <c r="MWL52" s="53"/>
      <c r="MWM52" s="53"/>
      <c r="MWN52" s="53"/>
      <c r="MWO52" s="53"/>
      <c r="MWP52" s="53"/>
      <c r="MWQ52" s="53"/>
      <c r="MWR52" s="53"/>
      <c r="MWS52" s="53"/>
      <c r="MWT52" s="53"/>
      <c r="MWU52" s="53"/>
      <c r="MWV52" s="53"/>
      <c r="MWW52" s="53"/>
      <c r="MWX52" s="53"/>
      <c r="MWY52" s="53"/>
      <c r="MWZ52" s="53"/>
      <c r="MXA52" s="53"/>
      <c r="MXB52" s="53"/>
      <c r="MXC52" s="53"/>
      <c r="MXD52" s="53"/>
      <c r="MXE52" s="53"/>
      <c r="MXF52" s="53"/>
      <c r="MXG52" s="53"/>
      <c r="MXH52" s="53"/>
      <c r="MXI52" s="53"/>
      <c r="MXJ52" s="53"/>
      <c r="MXK52" s="53"/>
      <c r="MXL52" s="53"/>
      <c r="MXM52" s="53"/>
      <c r="MXN52" s="53"/>
      <c r="MXO52" s="53"/>
      <c r="MXP52" s="53"/>
      <c r="MXQ52" s="53"/>
      <c r="MXR52" s="53"/>
      <c r="MXS52" s="53"/>
      <c r="MXT52" s="53"/>
      <c r="MXU52" s="53"/>
      <c r="MXV52" s="53"/>
      <c r="MXW52" s="53"/>
      <c r="MXX52" s="53"/>
      <c r="MXY52" s="53"/>
      <c r="MXZ52" s="53"/>
      <c r="MYA52" s="53"/>
      <c r="MYB52" s="53"/>
      <c r="MYC52" s="53"/>
      <c r="MYD52" s="53"/>
      <c r="MYE52" s="53"/>
      <c r="MYF52" s="53"/>
      <c r="MYG52" s="53"/>
      <c r="MYH52" s="53"/>
      <c r="MYI52" s="53"/>
      <c r="MYJ52" s="53"/>
      <c r="MYK52" s="53"/>
      <c r="MYL52" s="53"/>
      <c r="MYM52" s="53"/>
      <c r="MYN52" s="53"/>
      <c r="MYO52" s="53"/>
      <c r="MYP52" s="53"/>
      <c r="MYQ52" s="53"/>
      <c r="MYR52" s="53"/>
      <c r="MYS52" s="53"/>
      <c r="MYT52" s="53"/>
      <c r="MYU52" s="53"/>
      <c r="MYV52" s="53"/>
      <c r="MYW52" s="53"/>
      <c r="MYX52" s="53"/>
      <c r="MYY52" s="53"/>
      <c r="MYZ52" s="53"/>
      <c r="MZA52" s="53"/>
      <c r="MZB52" s="53"/>
      <c r="MZC52" s="53"/>
      <c r="MZD52" s="53"/>
      <c r="MZE52" s="53"/>
      <c r="MZF52" s="53"/>
      <c r="MZG52" s="53"/>
      <c r="MZH52" s="53"/>
      <c r="MZI52" s="53"/>
      <c r="MZJ52" s="53"/>
      <c r="MZK52" s="53"/>
      <c r="MZL52" s="53"/>
      <c r="MZM52" s="53"/>
      <c r="MZN52" s="53"/>
      <c r="MZO52" s="53"/>
      <c r="MZP52" s="53"/>
      <c r="MZQ52" s="53"/>
      <c r="MZR52" s="53"/>
      <c r="MZS52" s="53"/>
      <c r="MZT52" s="53"/>
      <c r="MZU52" s="53"/>
      <c r="MZV52" s="53"/>
      <c r="MZW52" s="53"/>
      <c r="MZX52" s="53"/>
      <c r="MZY52" s="53"/>
      <c r="MZZ52" s="53"/>
      <c r="NAA52" s="53"/>
      <c r="NAB52" s="53"/>
      <c r="NAC52" s="53"/>
      <c r="NAD52" s="53"/>
      <c r="NAE52" s="53"/>
      <c r="NAF52" s="53"/>
      <c r="NAG52" s="53"/>
      <c r="NAH52" s="53"/>
      <c r="NAI52" s="53"/>
      <c r="NAJ52" s="53"/>
      <c r="NAK52" s="53"/>
      <c r="NAL52" s="53"/>
      <c r="NAM52" s="53"/>
      <c r="NAN52" s="53"/>
      <c r="NAO52" s="53"/>
      <c r="NAP52" s="53"/>
      <c r="NAQ52" s="53"/>
      <c r="NAR52" s="53"/>
      <c r="NAS52" s="53"/>
      <c r="NAT52" s="53"/>
      <c r="NAU52" s="53"/>
      <c r="NAV52" s="53"/>
      <c r="NAW52" s="53"/>
      <c r="NAX52" s="53"/>
      <c r="NAY52" s="53"/>
      <c r="NAZ52" s="53"/>
      <c r="NBA52" s="53"/>
      <c r="NBB52" s="53"/>
      <c r="NBC52" s="53"/>
      <c r="NBD52" s="53"/>
      <c r="NBE52" s="53"/>
      <c r="NBF52" s="53"/>
      <c r="NBG52" s="53"/>
      <c r="NBH52" s="53"/>
      <c r="NBI52" s="53"/>
      <c r="NBJ52" s="53"/>
      <c r="NBK52" s="53"/>
      <c r="NBL52" s="53"/>
      <c r="NBM52" s="53"/>
      <c r="NBN52" s="53"/>
      <c r="NBO52" s="53"/>
      <c r="NBP52" s="53"/>
      <c r="NBQ52" s="53"/>
      <c r="NBR52" s="53"/>
      <c r="NBS52" s="53"/>
      <c r="NBT52" s="53"/>
      <c r="NBU52" s="53"/>
      <c r="NBV52" s="53"/>
      <c r="NBW52" s="53"/>
      <c r="NBX52" s="53"/>
      <c r="NBY52" s="53"/>
      <c r="NBZ52" s="53"/>
      <c r="NCA52" s="53"/>
      <c r="NCB52" s="53"/>
      <c r="NCC52" s="53"/>
      <c r="NCD52" s="53"/>
      <c r="NCE52" s="53"/>
      <c r="NCF52" s="53"/>
      <c r="NCG52" s="53"/>
      <c r="NCH52" s="53"/>
      <c r="NCI52" s="53"/>
      <c r="NCJ52" s="53"/>
      <c r="NCK52" s="53"/>
      <c r="NCL52" s="53"/>
      <c r="NCM52" s="53"/>
      <c r="NCN52" s="53"/>
      <c r="NCO52" s="53"/>
      <c r="NCP52" s="53"/>
      <c r="NCQ52" s="53"/>
      <c r="NCR52" s="53"/>
      <c r="NCS52" s="53"/>
      <c r="NCT52" s="53"/>
      <c r="NCU52" s="53"/>
      <c r="NCV52" s="53"/>
      <c r="NCW52" s="53"/>
      <c r="NCX52" s="53"/>
      <c r="NCY52" s="53"/>
      <c r="NCZ52" s="53"/>
      <c r="NDA52" s="53"/>
      <c r="NDB52" s="53"/>
      <c r="NDC52" s="53"/>
      <c r="NDD52" s="53"/>
      <c r="NDE52" s="53"/>
      <c r="NDF52" s="53"/>
      <c r="NDG52" s="53"/>
      <c r="NDH52" s="53"/>
      <c r="NDI52" s="53"/>
      <c r="NDJ52" s="53"/>
      <c r="NDK52" s="53"/>
      <c r="NDL52" s="53"/>
      <c r="NDM52" s="53"/>
      <c r="NDN52" s="53"/>
      <c r="NDO52" s="53"/>
      <c r="NDP52" s="53"/>
      <c r="NDQ52" s="53"/>
      <c r="NDR52" s="53"/>
      <c r="NDS52" s="53"/>
      <c r="NDT52" s="53"/>
      <c r="NDU52" s="53"/>
      <c r="NDV52" s="53"/>
      <c r="NDW52" s="53"/>
      <c r="NDX52" s="53"/>
      <c r="NDY52" s="53"/>
      <c r="NDZ52" s="53"/>
      <c r="NEA52" s="53"/>
      <c r="NEB52" s="53"/>
      <c r="NEC52" s="53"/>
      <c r="NED52" s="53"/>
      <c r="NEE52" s="53"/>
      <c r="NEF52" s="53"/>
      <c r="NEG52" s="53"/>
      <c r="NEH52" s="53"/>
      <c r="NEI52" s="53"/>
      <c r="NEJ52" s="53"/>
      <c r="NEK52" s="53"/>
      <c r="NEL52" s="53"/>
      <c r="NEM52" s="53"/>
      <c r="NEN52" s="53"/>
      <c r="NEO52" s="53"/>
      <c r="NEP52" s="53"/>
      <c r="NEQ52" s="53"/>
      <c r="NER52" s="53"/>
      <c r="NES52" s="53"/>
      <c r="NET52" s="53"/>
      <c r="NEU52" s="53"/>
      <c r="NEV52" s="53"/>
      <c r="NEW52" s="53"/>
      <c r="NEX52" s="53"/>
      <c r="NEY52" s="53"/>
      <c r="NEZ52" s="53"/>
      <c r="NFA52" s="53"/>
      <c r="NFB52" s="53"/>
      <c r="NFC52" s="53"/>
      <c r="NFD52" s="53"/>
      <c r="NFE52" s="53"/>
      <c r="NFF52" s="53"/>
      <c r="NFG52" s="53"/>
      <c r="NFH52" s="53"/>
      <c r="NFI52" s="53"/>
      <c r="NFJ52" s="53"/>
      <c r="NFK52" s="53"/>
      <c r="NFL52" s="53"/>
      <c r="NFM52" s="53"/>
      <c r="NFN52" s="53"/>
      <c r="NFO52" s="53"/>
      <c r="NFP52" s="53"/>
      <c r="NFQ52" s="53"/>
      <c r="NFR52" s="53"/>
      <c r="NFS52" s="53"/>
      <c r="NFT52" s="53"/>
      <c r="NFU52" s="53"/>
      <c r="NFV52" s="53"/>
      <c r="NFW52" s="53"/>
      <c r="NFX52" s="53"/>
      <c r="NFY52" s="53"/>
      <c r="NFZ52" s="53"/>
      <c r="NGA52" s="53"/>
      <c r="NGB52" s="53"/>
      <c r="NGC52" s="53"/>
      <c r="NGD52" s="53"/>
      <c r="NGE52" s="53"/>
      <c r="NGF52" s="53"/>
      <c r="NGG52" s="53"/>
      <c r="NGH52" s="53"/>
      <c r="NGI52" s="53"/>
      <c r="NGJ52" s="53"/>
      <c r="NGK52" s="53"/>
      <c r="NGL52" s="53"/>
      <c r="NGM52" s="53"/>
      <c r="NGN52" s="53"/>
      <c r="NGO52" s="53"/>
      <c r="NGP52" s="53"/>
      <c r="NGQ52" s="53"/>
      <c r="NGR52" s="53"/>
      <c r="NGS52" s="53"/>
      <c r="NGT52" s="53"/>
      <c r="NGU52" s="53"/>
      <c r="NGV52" s="53"/>
      <c r="NGW52" s="53"/>
      <c r="NGX52" s="53"/>
      <c r="NGY52" s="53"/>
      <c r="NGZ52" s="53"/>
      <c r="NHA52" s="53"/>
      <c r="NHB52" s="53"/>
      <c r="NHC52" s="53"/>
      <c r="NHD52" s="53"/>
      <c r="NHE52" s="53"/>
      <c r="NHF52" s="53"/>
      <c r="NHG52" s="53"/>
      <c r="NHH52" s="53"/>
      <c r="NHI52" s="53"/>
      <c r="NHJ52" s="53"/>
      <c r="NHK52" s="53"/>
      <c r="NHL52" s="53"/>
      <c r="NHM52" s="53"/>
      <c r="NHN52" s="53"/>
      <c r="NHO52" s="53"/>
      <c r="NHP52" s="53"/>
      <c r="NHQ52" s="53"/>
      <c r="NHR52" s="53"/>
      <c r="NHS52" s="53"/>
      <c r="NHT52" s="53"/>
      <c r="NHU52" s="53"/>
      <c r="NHV52" s="53"/>
      <c r="NHW52" s="53"/>
      <c r="NHX52" s="53"/>
      <c r="NHY52" s="53"/>
      <c r="NHZ52" s="53"/>
      <c r="NIA52" s="53"/>
      <c r="NIB52" s="53"/>
      <c r="NIC52" s="53"/>
      <c r="NID52" s="53"/>
      <c r="NIE52" s="53"/>
      <c r="NIF52" s="53"/>
      <c r="NIG52" s="53"/>
      <c r="NIH52" s="53"/>
      <c r="NII52" s="53"/>
      <c r="NIJ52" s="53"/>
      <c r="NIK52" s="53"/>
      <c r="NIL52" s="53"/>
      <c r="NIM52" s="53"/>
      <c r="NIN52" s="53"/>
      <c r="NIO52" s="53"/>
      <c r="NIP52" s="53"/>
      <c r="NIQ52" s="53"/>
      <c r="NIR52" s="53"/>
      <c r="NIS52" s="53"/>
      <c r="NIT52" s="53"/>
      <c r="NIU52" s="53"/>
      <c r="NIV52" s="53"/>
      <c r="NIW52" s="53"/>
      <c r="NIX52" s="53"/>
      <c r="NIY52" s="53"/>
      <c r="NIZ52" s="53"/>
      <c r="NJA52" s="53"/>
      <c r="NJB52" s="53"/>
      <c r="NJC52" s="53"/>
      <c r="NJD52" s="53"/>
      <c r="NJE52" s="53"/>
      <c r="NJF52" s="53"/>
      <c r="NJG52" s="53"/>
      <c r="NJH52" s="53"/>
      <c r="NJI52" s="53"/>
      <c r="NJJ52" s="53"/>
      <c r="NJK52" s="53"/>
      <c r="NJL52" s="53"/>
      <c r="NJM52" s="53"/>
      <c r="NJN52" s="53"/>
      <c r="NJO52" s="53"/>
      <c r="NJP52" s="53"/>
      <c r="NJQ52" s="53"/>
      <c r="NJR52" s="53"/>
      <c r="NJS52" s="53"/>
      <c r="NJT52" s="53"/>
      <c r="NJU52" s="53"/>
      <c r="NJV52" s="53"/>
      <c r="NJW52" s="53"/>
      <c r="NJX52" s="53"/>
      <c r="NJY52" s="53"/>
      <c r="NJZ52" s="53"/>
      <c r="NKA52" s="53"/>
      <c r="NKB52" s="53"/>
      <c r="NKC52" s="53"/>
      <c r="NKD52" s="53"/>
      <c r="NKE52" s="53"/>
      <c r="NKF52" s="53"/>
      <c r="NKG52" s="53"/>
      <c r="NKH52" s="53"/>
      <c r="NKI52" s="53"/>
      <c r="NKJ52" s="53"/>
      <c r="NKK52" s="53"/>
      <c r="NKL52" s="53"/>
      <c r="NKM52" s="53"/>
      <c r="NKN52" s="53"/>
      <c r="NKO52" s="53"/>
      <c r="NKP52" s="53"/>
      <c r="NKQ52" s="53"/>
      <c r="NKR52" s="53"/>
      <c r="NKS52" s="53"/>
      <c r="NKT52" s="53"/>
      <c r="NKU52" s="53"/>
      <c r="NKV52" s="53"/>
      <c r="NKW52" s="53"/>
      <c r="NKX52" s="53"/>
      <c r="NKY52" s="53"/>
      <c r="NKZ52" s="53"/>
      <c r="NLA52" s="53"/>
      <c r="NLB52" s="53"/>
      <c r="NLC52" s="53"/>
      <c r="NLD52" s="53"/>
      <c r="NLE52" s="53"/>
      <c r="NLF52" s="53"/>
      <c r="NLG52" s="53"/>
      <c r="NLH52" s="53"/>
      <c r="NLI52" s="53"/>
      <c r="NLJ52" s="53"/>
      <c r="NLK52" s="53"/>
      <c r="NLL52" s="53"/>
      <c r="NLM52" s="53"/>
      <c r="NLN52" s="53"/>
      <c r="NLO52" s="53"/>
      <c r="NLP52" s="53"/>
      <c r="NLQ52" s="53"/>
      <c r="NLR52" s="53"/>
      <c r="NLS52" s="53"/>
      <c r="NLT52" s="53"/>
      <c r="NLU52" s="53"/>
      <c r="NLV52" s="53"/>
      <c r="NLW52" s="53"/>
      <c r="NLX52" s="53"/>
      <c r="NLY52" s="53"/>
      <c r="NLZ52" s="53"/>
      <c r="NMA52" s="53"/>
      <c r="NMB52" s="53"/>
      <c r="NMC52" s="53"/>
      <c r="NMD52" s="53"/>
      <c r="NME52" s="53"/>
      <c r="NMF52" s="53"/>
      <c r="NMG52" s="53"/>
      <c r="NMH52" s="53"/>
      <c r="NMI52" s="53"/>
      <c r="NMJ52" s="53"/>
      <c r="NMK52" s="53"/>
      <c r="NML52" s="53"/>
      <c r="NMM52" s="53"/>
      <c r="NMN52" s="53"/>
      <c r="NMO52" s="53"/>
      <c r="NMP52" s="53"/>
      <c r="NMQ52" s="53"/>
      <c r="NMR52" s="53"/>
      <c r="NMS52" s="53"/>
      <c r="NMT52" s="53"/>
      <c r="NMU52" s="53"/>
      <c r="NMV52" s="53"/>
      <c r="NMW52" s="53"/>
      <c r="NMX52" s="53"/>
      <c r="NMY52" s="53"/>
      <c r="NMZ52" s="53"/>
      <c r="NNA52" s="53"/>
      <c r="NNB52" s="53"/>
      <c r="NNC52" s="53"/>
      <c r="NND52" s="53"/>
      <c r="NNE52" s="53"/>
      <c r="NNF52" s="53"/>
      <c r="NNG52" s="53"/>
      <c r="NNH52" s="53"/>
      <c r="NNI52" s="53"/>
      <c r="NNJ52" s="53"/>
      <c r="NNK52" s="53"/>
      <c r="NNL52" s="53"/>
      <c r="NNM52" s="53"/>
      <c r="NNN52" s="53"/>
      <c r="NNO52" s="53"/>
      <c r="NNP52" s="53"/>
      <c r="NNQ52" s="53"/>
      <c r="NNR52" s="53"/>
      <c r="NNS52" s="53"/>
      <c r="NNT52" s="53"/>
      <c r="NNU52" s="53"/>
      <c r="NNV52" s="53"/>
      <c r="NNW52" s="53"/>
      <c r="NNX52" s="53"/>
      <c r="NNY52" s="53"/>
      <c r="NNZ52" s="53"/>
      <c r="NOA52" s="53"/>
      <c r="NOB52" s="53"/>
      <c r="NOC52" s="53"/>
      <c r="NOD52" s="53"/>
      <c r="NOE52" s="53"/>
      <c r="NOF52" s="53"/>
      <c r="NOG52" s="53"/>
      <c r="NOH52" s="53"/>
      <c r="NOI52" s="53"/>
      <c r="NOJ52" s="53"/>
      <c r="NOK52" s="53"/>
      <c r="NOL52" s="53"/>
      <c r="NOM52" s="53"/>
      <c r="NON52" s="53"/>
      <c r="NOO52" s="53"/>
      <c r="NOP52" s="53"/>
      <c r="NOQ52" s="53"/>
      <c r="NOR52" s="53"/>
      <c r="NOS52" s="53"/>
      <c r="NOT52" s="53"/>
      <c r="NOU52" s="53"/>
      <c r="NOV52" s="53"/>
      <c r="NOW52" s="53"/>
      <c r="NOX52" s="53"/>
      <c r="NOY52" s="53"/>
      <c r="NOZ52" s="53"/>
      <c r="NPA52" s="53"/>
      <c r="NPB52" s="53"/>
      <c r="NPC52" s="53"/>
      <c r="NPD52" s="53"/>
      <c r="NPE52" s="53"/>
      <c r="NPF52" s="53"/>
      <c r="NPG52" s="53"/>
      <c r="NPH52" s="53"/>
      <c r="NPI52" s="53"/>
      <c r="NPJ52" s="53"/>
      <c r="NPK52" s="53"/>
      <c r="NPL52" s="53"/>
      <c r="NPM52" s="53"/>
      <c r="NPN52" s="53"/>
      <c r="NPO52" s="53"/>
      <c r="NPP52" s="53"/>
      <c r="NPQ52" s="53"/>
      <c r="NPR52" s="53"/>
      <c r="NPS52" s="53"/>
      <c r="NPT52" s="53"/>
      <c r="NPU52" s="53"/>
      <c r="NPV52" s="53"/>
      <c r="NPW52" s="53"/>
      <c r="NPX52" s="53"/>
      <c r="NPY52" s="53"/>
      <c r="NPZ52" s="53"/>
      <c r="NQA52" s="53"/>
      <c r="NQB52" s="53"/>
      <c r="NQC52" s="53"/>
      <c r="NQD52" s="53"/>
      <c r="NQE52" s="53"/>
      <c r="NQF52" s="53"/>
      <c r="NQG52" s="53"/>
      <c r="NQH52" s="53"/>
      <c r="NQI52" s="53"/>
      <c r="NQJ52" s="53"/>
      <c r="NQK52" s="53"/>
      <c r="NQL52" s="53"/>
      <c r="NQM52" s="53"/>
      <c r="NQN52" s="53"/>
      <c r="NQO52" s="53"/>
      <c r="NQP52" s="53"/>
      <c r="NQQ52" s="53"/>
      <c r="NQR52" s="53"/>
      <c r="NQS52" s="53"/>
      <c r="NQT52" s="53"/>
      <c r="NQU52" s="53"/>
      <c r="NQV52" s="53"/>
      <c r="NQW52" s="53"/>
      <c r="NQX52" s="53"/>
      <c r="NQY52" s="53"/>
      <c r="NQZ52" s="53"/>
      <c r="NRA52" s="53"/>
      <c r="NRB52" s="53"/>
      <c r="NRC52" s="53"/>
      <c r="NRD52" s="53"/>
      <c r="NRE52" s="53"/>
      <c r="NRF52" s="53"/>
      <c r="NRG52" s="53"/>
      <c r="NRH52" s="53"/>
      <c r="NRI52" s="53"/>
      <c r="NRJ52" s="53"/>
      <c r="NRK52" s="53"/>
      <c r="NRL52" s="53"/>
      <c r="NRM52" s="53"/>
      <c r="NRN52" s="53"/>
      <c r="NRO52" s="53"/>
      <c r="NRP52" s="53"/>
      <c r="NRQ52" s="53"/>
      <c r="NRR52" s="53"/>
      <c r="NRS52" s="53"/>
      <c r="NRT52" s="53"/>
      <c r="NRU52" s="53"/>
      <c r="NRV52" s="53"/>
      <c r="NRW52" s="53"/>
      <c r="NRX52" s="53"/>
      <c r="NRY52" s="53"/>
      <c r="NRZ52" s="53"/>
      <c r="NSA52" s="53"/>
      <c r="NSB52" s="53"/>
      <c r="NSC52" s="53"/>
      <c r="NSD52" s="53"/>
      <c r="NSE52" s="53"/>
      <c r="NSF52" s="53"/>
      <c r="NSG52" s="53"/>
      <c r="NSH52" s="53"/>
      <c r="NSI52" s="53"/>
      <c r="NSJ52" s="53"/>
      <c r="NSK52" s="53"/>
      <c r="NSL52" s="53"/>
      <c r="NSM52" s="53"/>
      <c r="NSN52" s="53"/>
      <c r="NSO52" s="53"/>
      <c r="NSP52" s="53"/>
      <c r="NSQ52" s="53"/>
      <c r="NSR52" s="53"/>
      <c r="NSS52" s="53"/>
      <c r="NST52" s="53"/>
      <c r="NSU52" s="53"/>
      <c r="NSV52" s="53"/>
      <c r="NSW52" s="53"/>
      <c r="NSX52" s="53"/>
      <c r="NSY52" s="53"/>
      <c r="NSZ52" s="53"/>
      <c r="NTA52" s="53"/>
      <c r="NTB52" s="53"/>
      <c r="NTC52" s="53"/>
      <c r="NTD52" s="53"/>
      <c r="NTE52" s="53"/>
      <c r="NTF52" s="53"/>
      <c r="NTG52" s="53"/>
      <c r="NTH52" s="53"/>
      <c r="NTI52" s="53"/>
      <c r="NTJ52" s="53"/>
      <c r="NTK52" s="53"/>
      <c r="NTL52" s="53"/>
      <c r="NTM52" s="53"/>
      <c r="NTN52" s="53"/>
      <c r="NTO52" s="53"/>
      <c r="NTP52" s="53"/>
      <c r="NTQ52" s="53"/>
      <c r="NTR52" s="53"/>
      <c r="NTS52" s="53"/>
      <c r="NTT52" s="53"/>
      <c r="NTU52" s="53"/>
      <c r="NTV52" s="53"/>
      <c r="NTW52" s="53"/>
      <c r="NTX52" s="53"/>
      <c r="NTY52" s="53"/>
      <c r="NTZ52" s="53"/>
      <c r="NUA52" s="53"/>
      <c r="NUB52" s="53"/>
      <c r="NUC52" s="53"/>
      <c r="NUD52" s="53"/>
      <c r="NUE52" s="53"/>
      <c r="NUF52" s="53"/>
      <c r="NUG52" s="53"/>
      <c r="NUH52" s="53"/>
      <c r="NUI52" s="53"/>
      <c r="NUJ52" s="53"/>
      <c r="NUK52" s="53"/>
      <c r="NUL52" s="53"/>
      <c r="NUM52" s="53"/>
      <c r="NUN52" s="53"/>
      <c r="NUO52" s="53"/>
      <c r="NUP52" s="53"/>
      <c r="NUQ52" s="53"/>
      <c r="NUR52" s="53"/>
      <c r="NUS52" s="53"/>
      <c r="NUT52" s="53"/>
      <c r="NUU52" s="53"/>
      <c r="NUV52" s="53"/>
      <c r="NUW52" s="53"/>
      <c r="NUX52" s="53"/>
      <c r="NUY52" s="53"/>
      <c r="NUZ52" s="53"/>
      <c r="NVA52" s="53"/>
      <c r="NVB52" s="53"/>
      <c r="NVC52" s="53"/>
      <c r="NVD52" s="53"/>
      <c r="NVE52" s="53"/>
      <c r="NVF52" s="53"/>
      <c r="NVG52" s="53"/>
      <c r="NVH52" s="53"/>
      <c r="NVI52" s="53"/>
      <c r="NVJ52" s="53"/>
      <c r="NVK52" s="53"/>
      <c r="NVL52" s="53"/>
      <c r="NVM52" s="53"/>
      <c r="NVN52" s="53"/>
      <c r="NVO52" s="53"/>
      <c r="NVP52" s="53"/>
      <c r="NVQ52" s="53"/>
      <c r="NVR52" s="53"/>
      <c r="NVS52" s="53"/>
      <c r="NVT52" s="53"/>
      <c r="NVU52" s="53"/>
      <c r="NVV52" s="53"/>
      <c r="NVW52" s="53"/>
      <c r="NVX52" s="53"/>
      <c r="NVY52" s="53"/>
      <c r="NVZ52" s="53"/>
      <c r="NWA52" s="53"/>
      <c r="NWB52" s="53"/>
      <c r="NWC52" s="53"/>
      <c r="NWD52" s="53"/>
      <c r="NWE52" s="53"/>
      <c r="NWF52" s="53"/>
      <c r="NWG52" s="53"/>
      <c r="NWH52" s="53"/>
      <c r="NWI52" s="53"/>
      <c r="NWJ52" s="53"/>
      <c r="NWK52" s="53"/>
      <c r="NWL52" s="53"/>
      <c r="NWM52" s="53"/>
      <c r="NWN52" s="53"/>
      <c r="NWO52" s="53"/>
      <c r="NWP52" s="53"/>
      <c r="NWQ52" s="53"/>
      <c r="NWR52" s="53"/>
      <c r="NWS52" s="53"/>
      <c r="NWT52" s="53"/>
      <c r="NWU52" s="53"/>
      <c r="NWV52" s="53"/>
      <c r="NWW52" s="53"/>
      <c r="NWX52" s="53"/>
      <c r="NWY52" s="53"/>
      <c r="NWZ52" s="53"/>
      <c r="NXA52" s="53"/>
      <c r="NXB52" s="53"/>
      <c r="NXC52" s="53"/>
      <c r="NXD52" s="53"/>
      <c r="NXE52" s="53"/>
      <c r="NXF52" s="53"/>
      <c r="NXG52" s="53"/>
      <c r="NXH52" s="53"/>
      <c r="NXI52" s="53"/>
      <c r="NXJ52" s="53"/>
      <c r="NXK52" s="53"/>
      <c r="NXL52" s="53"/>
      <c r="NXM52" s="53"/>
      <c r="NXN52" s="53"/>
      <c r="NXO52" s="53"/>
      <c r="NXP52" s="53"/>
      <c r="NXQ52" s="53"/>
      <c r="NXR52" s="53"/>
      <c r="NXS52" s="53"/>
      <c r="NXT52" s="53"/>
      <c r="NXU52" s="53"/>
      <c r="NXV52" s="53"/>
      <c r="NXW52" s="53"/>
      <c r="NXX52" s="53"/>
      <c r="NXY52" s="53"/>
      <c r="NXZ52" s="53"/>
      <c r="NYA52" s="53"/>
      <c r="NYB52" s="53"/>
      <c r="NYC52" s="53"/>
      <c r="NYD52" s="53"/>
      <c r="NYE52" s="53"/>
      <c r="NYF52" s="53"/>
      <c r="NYG52" s="53"/>
      <c r="NYH52" s="53"/>
      <c r="NYI52" s="53"/>
      <c r="NYJ52" s="53"/>
      <c r="NYK52" s="53"/>
      <c r="NYL52" s="53"/>
      <c r="NYM52" s="53"/>
      <c r="NYN52" s="53"/>
      <c r="NYO52" s="53"/>
      <c r="NYP52" s="53"/>
      <c r="NYQ52" s="53"/>
      <c r="NYR52" s="53"/>
      <c r="NYS52" s="53"/>
      <c r="NYT52" s="53"/>
      <c r="NYU52" s="53"/>
      <c r="NYV52" s="53"/>
      <c r="NYW52" s="53"/>
      <c r="NYX52" s="53"/>
      <c r="NYY52" s="53"/>
      <c r="NYZ52" s="53"/>
      <c r="NZA52" s="53"/>
      <c r="NZB52" s="53"/>
      <c r="NZC52" s="53"/>
      <c r="NZD52" s="53"/>
      <c r="NZE52" s="53"/>
      <c r="NZF52" s="53"/>
      <c r="NZG52" s="53"/>
      <c r="NZH52" s="53"/>
      <c r="NZI52" s="53"/>
      <c r="NZJ52" s="53"/>
      <c r="NZK52" s="53"/>
      <c r="NZL52" s="53"/>
      <c r="NZM52" s="53"/>
      <c r="NZN52" s="53"/>
      <c r="NZO52" s="53"/>
      <c r="NZP52" s="53"/>
      <c r="NZQ52" s="53"/>
      <c r="NZR52" s="53"/>
      <c r="NZS52" s="53"/>
      <c r="NZT52" s="53"/>
      <c r="NZU52" s="53"/>
      <c r="NZV52" s="53"/>
      <c r="NZW52" s="53"/>
      <c r="NZX52" s="53"/>
      <c r="NZY52" s="53"/>
      <c r="NZZ52" s="53"/>
      <c r="OAA52" s="53"/>
      <c r="OAB52" s="53"/>
      <c r="OAC52" s="53"/>
      <c r="OAD52" s="53"/>
      <c r="OAE52" s="53"/>
      <c r="OAF52" s="53"/>
      <c r="OAG52" s="53"/>
      <c r="OAH52" s="53"/>
      <c r="OAI52" s="53"/>
      <c r="OAJ52" s="53"/>
      <c r="OAK52" s="53"/>
      <c r="OAL52" s="53"/>
      <c r="OAM52" s="53"/>
      <c r="OAN52" s="53"/>
      <c r="OAO52" s="53"/>
      <c r="OAP52" s="53"/>
      <c r="OAQ52" s="53"/>
      <c r="OAR52" s="53"/>
      <c r="OAS52" s="53"/>
      <c r="OAT52" s="53"/>
      <c r="OAU52" s="53"/>
      <c r="OAV52" s="53"/>
      <c r="OAW52" s="53"/>
      <c r="OAX52" s="53"/>
      <c r="OAY52" s="53"/>
      <c r="OAZ52" s="53"/>
      <c r="OBA52" s="53"/>
      <c r="OBB52" s="53"/>
      <c r="OBC52" s="53"/>
      <c r="OBD52" s="53"/>
      <c r="OBE52" s="53"/>
      <c r="OBF52" s="53"/>
      <c r="OBG52" s="53"/>
      <c r="OBH52" s="53"/>
      <c r="OBI52" s="53"/>
      <c r="OBJ52" s="53"/>
      <c r="OBK52" s="53"/>
      <c r="OBL52" s="53"/>
      <c r="OBM52" s="53"/>
      <c r="OBN52" s="53"/>
      <c r="OBO52" s="53"/>
      <c r="OBP52" s="53"/>
      <c r="OBQ52" s="53"/>
      <c r="OBR52" s="53"/>
      <c r="OBS52" s="53"/>
      <c r="OBT52" s="53"/>
      <c r="OBU52" s="53"/>
      <c r="OBV52" s="53"/>
      <c r="OBW52" s="53"/>
      <c r="OBX52" s="53"/>
      <c r="OBY52" s="53"/>
      <c r="OBZ52" s="53"/>
      <c r="OCA52" s="53"/>
      <c r="OCB52" s="53"/>
      <c r="OCC52" s="53"/>
      <c r="OCD52" s="53"/>
      <c r="OCE52" s="53"/>
      <c r="OCF52" s="53"/>
      <c r="OCG52" s="53"/>
      <c r="OCH52" s="53"/>
      <c r="OCI52" s="53"/>
      <c r="OCJ52" s="53"/>
      <c r="OCK52" s="53"/>
      <c r="OCL52" s="53"/>
      <c r="OCM52" s="53"/>
      <c r="OCN52" s="53"/>
      <c r="OCO52" s="53"/>
      <c r="OCP52" s="53"/>
      <c r="OCQ52" s="53"/>
      <c r="OCR52" s="53"/>
      <c r="OCS52" s="53"/>
      <c r="OCT52" s="53"/>
      <c r="OCU52" s="53"/>
      <c r="OCV52" s="53"/>
      <c r="OCW52" s="53"/>
      <c r="OCX52" s="53"/>
      <c r="OCY52" s="53"/>
      <c r="OCZ52" s="53"/>
      <c r="ODA52" s="53"/>
      <c r="ODB52" s="53"/>
      <c r="ODC52" s="53"/>
      <c r="ODD52" s="53"/>
      <c r="ODE52" s="53"/>
      <c r="ODF52" s="53"/>
      <c r="ODG52" s="53"/>
      <c r="ODH52" s="53"/>
      <c r="ODI52" s="53"/>
      <c r="ODJ52" s="53"/>
      <c r="ODK52" s="53"/>
      <c r="ODL52" s="53"/>
      <c r="ODM52" s="53"/>
      <c r="ODN52" s="53"/>
      <c r="ODO52" s="53"/>
      <c r="ODP52" s="53"/>
      <c r="ODQ52" s="53"/>
      <c r="ODR52" s="53"/>
      <c r="ODS52" s="53"/>
      <c r="ODT52" s="53"/>
      <c r="ODU52" s="53"/>
      <c r="ODV52" s="53"/>
      <c r="ODW52" s="53"/>
      <c r="ODX52" s="53"/>
      <c r="ODY52" s="53"/>
      <c r="ODZ52" s="53"/>
      <c r="OEA52" s="53"/>
      <c r="OEB52" s="53"/>
      <c r="OEC52" s="53"/>
      <c r="OED52" s="53"/>
      <c r="OEE52" s="53"/>
      <c r="OEF52" s="53"/>
      <c r="OEG52" s="53"/>
      <c r="OEH52" s="53"/>
      <c r="OEI52" s="53"/>
      <c r="OEJ52" s="53"/>
      <c r="OEK52" s="53"/>
      <c r="OEL52" s="53"/>
      <c r="OEM52" s="53"/>
      <c r="OEN52" s="53"/>
      <c r="OEO52" s="53"/>
      <c r="OEP52" s="53"/>
      <c r="OEQ52" s="53"/>
      <c r="OER52" s="53"/>
      <c r="OES52" s="53"/>
      <c r="OET52" s="53"/>
      <c r="OEU52" s="53"/>
      <c r="OEV52" s="53"/>
      <c r="OEW52" s="53"/>
      <c r="OEX52" s="53"/>
      <c r="OEY52" s="53"/>
      <c r="OEZ52" s="53"/>
      <c r="OFA52" s="53"/>
      <c r="OFB52" s="53"/>
      <c r="OFC52" s="53"/>
      <c r="OFD52" s="53"/>
      <c r="OFE52" s="53"/>
      <c r="OFF52" s="53"/>
      <c r="OFG52" s="53"/>
      <c r="OFH52" s="53"/>
      <c r="OFI52" s="53"/>
      <c r="OFJ52" s="53"/>
      <c r="OFK52" s="53"/>
      <c r="OFL52" s="53"/>
      <c r="OFM52" s="53"/>
      <c r="OFN52" s="53"/>
      <c r="OFO52" s="53"/>
      <c r="OFP52" s="53"/>
      <c r="OFQ52" s="53"/>
      <c r="OFR52" s="53"/>
      <c r="OFS52" s="53"/>
      <c r="OFT52" s="53"/>
      <c r="OFU52" s="53"/>
      <c r="OFV52" s="53"/>
      <c r="OFW52" s="53"/>
      <c r="OFX52" s="53"/>
      <c r="OFY52" s="53"/>
      <c r="OFZ52" s="53"/>
      <c r="OGA52" s="53"/>
      <c r="OGB52" s="53"/>
      <c r="OGC52" s="53"/>
      <c r="OGD52" s="53"/>
      <c r="OGE52" s="53"/>
      <c r="OGF52" s="53"/>
      <c r="OGG52" s="53"/>
      <c r="OGH52" s="53"/>
      <c r="OGI52" s="53"/>
      <c r="OGJ52" s="53"/>
      <c r="OGK52" s="53"/>
      <c r="OGL52" s="53"/>
      <c r="OGM52" s="53"/>
      <c r="OGN52" s="53"/>
      <c r="OGO52" s="53"/>
      <c r="OGP52" s="53"/>
      <c r="OGQ52" s="53"/>
      <c r="OGR52" s="53"/>
      <c r="OGS52" s="53"/>
      <c r="OGT52" s="53"/>
      <c r="OGU52" s="53"/>
      <c r="OGV52" s="53"/>
      <c r="OGW52" s="53"/>
      <c r="OGX52" s="53"/>
      <c r="OGY52" s="53"/>
      <c r="OGZ52" s="53"/>
      <c r="OHA52" s="53"/>
      <c r="OHB52" s="53"/>
      <c r="OHC52" s="53"/>
      <c r="OHD52" s="53"/>
      <c r="OHE52" s="53"/>
      <c r="OHF52" s="53"/>
      <c r="OHG52" s="53"/>
      <c r="OHH52" s="53"/>
      <c r="OHI52" s="53"/>
      <c r="OHJ52" s="53"/>
      <c r="OHK52" s="53"/>
      <c r="OHL52" s="53"/>
      <c r="OHM52" s="53"/>
      <c r="OHN52" s="53"/>
      <c r="OHO52" s="53"/>
      <c r="OHP52" s="53"/>
      <c r="OHQ52" s="53"/>
      <c r="OHR52" s="53"/>
      <c r="OHS52" s="53"/>
      <c r="OHT52" s="53"/>
      <c r="OHU52" s="53"/>
      <c r="OHV52" s="53"/>
      <c r="OHW52" s="53"/>
      <c r="OHX52" s="53"/>
      <c r="OHY52" s="53"/>
      <c r="OHZ52" s="53"/>
      <c r="OIA52" s="53"/>
      <c r="OIB52" s="53"/>
      <c r="OIC52" s="53"/>
      <c r="OID52" s="53"/>
      <c r="OIE52" s="53"/>
      <c r="OIF52" s="53"/>
      <c r="OIG52" s="53"/>
      <c r="OIH52" s="53"/>
      <c r="OII52" s="53"/>
      <c r="OIJ52" s="53"/>
      <c r="OIK52" s="53"/>
      <c r="OIL52" s="53"/>
      <c r="OIM52" s="53"/>
      <c r="OIN52" s="53"/>
      <c r="OIO52" s="53"/>
      <c r="OIP52" s="53"/>
      <c r="OIQ52" s="53"/>
      <c r="OIR52" s="53"/>
      <c r="OIS52" s="53"/>
      <c r="OIT52" s="53"/>
      <c r="OIU52" s="53"/>
      <c r="OIV52" s="53"/>
      <c r="OIW52" s="53"/>
      <c r="OIX52" s="53"/>
      <c r="OIY52" s="53"/>
      <c r="OIZ52" s="53"/>
      <c r="OJA52" s="53"/>
      <c r="OJB52" s="53"/>
      <c r="OJC52" s="53"/>
      <c r="OJD52" s="53"/>
      <c r="OJE52" s="53"/>
      <c r="OJF52" s="53"/>
      <c r="OJG52" s="53"/>
      <c r="OJH52" s="53"/>
      <c r="OJI52" s="53"/>
      <c r="OJJ52" s="53"/>
      <c r="OJK52" s="53"/>
      <c r="OJL52" s="53"/>
      <c r="OJM52" s="53"/>
      <c r="OJN52" s="53"/>
      <c r="OJO52" s="53"/>
      <c r="OJP52" s="53"/>
      <c r="OJQ52" s="53"/>
      <c r="OJR52" s="53"/>
      <c r="OJS52" s="53"/>
      <c r="OJT52" s="53"/>
      <c r="OJU52" s="53"/>
      <c r="OJV52" s="53"/>
      <c r="OJW52" s="53"/>
      <c r="OJX52" s="53"/>
      <c r="OJY52" s="53"/>
      <c r="OJZ52" s="53"/>
      <c r="OKA52" s="53"/>
      <c r="OKB52" s="53"/>
      <c r="OKC52" s="53"/>
      <c r="OKD52" s="53"/>
      <c r="OKE52" s="53"/>
      <c r="OKF52" s="53"/>
      <c r="OKG52" s="53"/>
      <c r="OKH52" s="53"/>
      <c r="OKI52" s="53"/>
      <c r="OKJ52" s="53"/>
      <c r="OKK52" s="53"/>
      <c r="OKL52" s="53"/>
      <c r="OKM52" s="53"/>
      <c r="OKN52" s="53"/>
      <c r="OKO52" s="53"/>
      <c r="OKP52" s="53"/>
      <c r="OKQ52" s="53"/>
      <c r="OKR52" s="53"/>
      <c r="OKS52" s="53"/>
      <c r="OKT52" s="53"/>
      <c r="OKU52" s="53"/>
      <c r="OKV52" s="53"/>
      <c r="OKW52" s="53"/>
      <c r="OKX52" s="53"/>
      <c r="OKY52" s="53"/>
      <c r="OKZ52" s="53"/>
      <c r="OLA52" s="53"/>
      <c r="OLB52" s="53"/>
      <c r="OLC52" s="53"/>
      <c r="OLD52" s="53"/>
      <c r="OLE52" s="53"/>
      <c r="OLF52" s="53"/>
      <c r="OLG52" s="53"/>
      <c r="OLH52" s="53"/>
      <c r="OLI52" s="53"/>
      <c r="OLJ52" s="53"/>
      <c r="OLK52" s="53"/>
      <c r="OLL52" s="53"/>
      <c r="OLM52" s="53"/>
      <c r="OLN52" s="53"/>
      <c r="OLO52" s="53"/>
      <c r="OLP52" s="53"/>
      <c r="OLQ52" s="53"/>
      <c r="OLR52" s="53"/>
      <c r="OLS52" s="53"/>
      <c r="OLT52" s="53"/>
      <c r="OLU52" s="53"/>
      <c r="OLV52" s="53"/>
      <c r="OLW52" s="53"/>
      <c r="OLX52" s="53"/>
      <c r="OLY52" s="53"/>
      <c r="OLZ52" s="53"/>
      <c r="OMA52" s="53"/>
      <c r="OMB52" s="53"/>
      <c r="OMC52" s="53"/>
      <c r="OMD52" s="53"/>
      <c r="OME52" s="53"/>
      <c r="OMF52" s="53"/>
      <c r="OMG52" s="53"/>
      <c r="OMH52" s="53"/>
      <c r="OMI52" s="53"/>
      <c r="OMJ52" s="53"/>
      <c r="OMK52" s="53"/>
      <c r="OML52" s="53"/>
      <c r="OMM52" s="53"/>
      <c r="OMN52" s="53"/>
      <c r="OMO52" s="53"/>
      <c r="OMP52" s="53"/>
      <c r="OMQ52" s="53"/>
      <c r="OMR52" s="53"/>
      <c r="OMS52" s="53"/>
      <c r="OMT52" s="53"/>
      <c r="OMU52" s="53"/>
      <c r="OMV52" s="53"/>
      <c r="OMW52" s="53"/>
      <c r="OMX52" s="53"/>
      <c r="OMY52" s="53"/>
      <c r="OMZ52" s="53"/>
      <c r="ONA52" s="53"/>
      <c r="ONB52" s="53"/>
      <c r="ONC52" s="53"/>
      <c r="OND52" s="53"/>
      <c r="ONE52" s="53"/>
      <c r="ONF52" s="53"/>
      <c r="ONG52" s="53"/>
      <c r="ONH52" s="53"/>
      <c r="ONI52" s="53"/>
      <c r="ONJ52" s="53"/>
      <c r="ONK52" s="53"/>
      <c r="ONL52" s="53"/>
      <c r="ONM52" s="53"/>
      <c r="ONN52" s="53"/>
      <c r="ONO52" s="53"/>
      <c r="ONP52" s="53"/>
      <c r="ONQ52" s="53"/>
      <c r="ONR52" s="53"/>
      <c r="ONS52" s="53"/>
      <c r="ONT52" s="53"/>
      <c r="ONU52" s="53"/>
      <c r="ONV52" s="53"/>
      <c r="ONW52" s="53"/>
      <c r="ONX52" s="53"/>
      <c r="ONY52" s="53"/>
      <c r="ONZ52" s="53"/>
      <c r="OOA52" s="53"/>
      <c r="OOB52" s="53"/>
      <c r="OOC52" s="53"/>
      <c r="OOD52" s="53"/>
      <c r="OOE52" s="53"/>
      <c r="OOF52" s="53"/>
      <c r="OOG52" s="53"/>
      <c r="OOH52" s="53"/>
      <c r="OOI52" s="53"/>
      <c r="OOJ52" s="53"/>
      <c r="OOK52" s="53"/>
      <c r="OOL52" s="53"/>
      <c r="OOM52" s="53"/>
      <c r="OON52" s="53"/>
      <c r="OOO52" s="53"/>
      <c r="OOP52" s="53"/>
      <c r="OOQ52" s="53"/>
      <c r="OOR52" s="53"/>
      <c r="OOS52" s="53"/>
      <c r="OOT52" s="53"/>
      <c r="OOU52" s="53"/>
      <c r="OOV52" s="53"/>
      <c r="OOW52" s="53"/>
      <c r="OOX52" s="53"/>
      <c r="OOY52" s="53"/>
      <c r="OOZ52" s="53"/>
      <c r="OPA52" s="53"/>
      <c r="OPB52" s="53"/>
      <c r="OPC52" s="53"/>
      <c r="OPD52" s="53"/>
      <c r="OPE52" s="53"/>
      <c r="OPF52" s="53"/>
      <c r="OPG52" s="53"/>
      <c r="OPH52" s="53"/>
      <c r="OPI52" s="53"/>
      <c r="OPJ52" s="53"/>
      <c r="OPK52" s="53"/>
      <c r="OPL52" s="53"/>
      <c r="OPM52" s="53"/>
      <c r="OPN52" s="53"/>
      <c r="OPO52" s="53"/>
      <c r="OPP52" s="53"/>
      <c r="OPQ52" s="53"/>
      <c r="OPR52" s="53"/>
      <c r="OPS52" s="53"/>
      <c r="OPT52" s="53"/>
      <c r="OPU52" s="53"/>
      <c r="OPV52" s="53"/>
      <c r="OPW52" s="53"/>
      <c r="OPX52" s="53"/>
      <c r="OPY52" s="53"/>
      <c r="OPZ52" s="53"/>
      <c r="OQA52" s="53"/>
      <c r="OQB52" s="53"/>
      <c r="OQC52" s="53"/>
      <c r="OQD52" s="53"/>
      <c r="OQE52" s="53"/>
      <c r="OQF52" s="53"/>
      <c r="OQG52" s="53"/>
      <c r="OQH52" s="53"/>
      <c r="OQI52" s="53"/>
      <c r="OQJ52" s="53"/>
      <c r="OQK52" s="53"/>
      <c r="OQL52" s="53"/>
      <c r="OQM52" s="53"/>
      <c r="OQN52" s="53"/>
      <c r="OQO52" s="53"/>
      <c r="OQP52" s="53"/>
      <c r="OQQ52" s="53"/>
      <c r="OQR52" s="53"/>
      <c r="OQS52" s="53"/>
      <c r="OQT52" s="53"/>
      <c r="OQU52" s="53"/>
      <c r="OQV52" s="53"/>
      <c r="OQW52" s="53"/>
      <c r="OQX52" s="53"/>
      <c r="OQY52" s="53"/>
      <c r="OQZ52" s="53"/>
      <c r="ORA52" s="53"/>
      <c r="ORB52" s="53"/>
      <c r="ORC52" s="53"/>
      <c r="ORD52" s="53"/>
      <c r="ORE52" s="53"/>
      <c r="ORF52" s="53"/>
      <c r="ORG52" s="53"/>
      <c r="ORH52" s="53"/>
      <c r="ORI52" s="53"/>
      <c r="ORJ52" s="53"/>
      <c r="ORK52" s="53"/>
      <c r="ORL52" s="53"/>
      <c r="ORM52" s="53"/>
      <c r="ORN52" s="53"/>
      <c r="ORO52" s="53"/>
      <c r="ORP52" s="53"/>
      <c r="ORQ52" s="53"/>
      <c r="ORR52" s="53"/>
      <c r="ORS52" s="53"/>
      <c r="ORT52" s="53"/>
      <c r="ORU52" s="53"/>
      <c r="ORV52" s="53"/>
      <c r="ORW52" s="53"/>
      <c r="ORX52" s="53"/>
      <c r="ORY52" s="53"/>
      <c r="ORZ52" s="53"/>
      <c r="OSA52" s="53"/>
      <c r="OSB52" s="53"/>
      <c r="OSC52" s="53"/>
      <c r="OSD52" s="53"/>
      <c r="OSE52" s="53"/>
      <c r="OSF52" s="53"/>
      <c r="OSG52" s="53"/>
      <c r="OSH52" s="53"/>
      <c r="OSI52" s="53"/>
      <c r="OSJ52" s="53"/>
      <c r="OSK52" s="53"/>
      <c r="OSL52" s="53"/>
      <c r="OSM52" s="53"/>
      <c r="OSN52" s="53"/>
      <c r="OSO52" s="53"/>
      <c r="OSP52" s="53"/>
      <c r="OSQ52" s="53"/>
      <c r="OSR52" s="53"/>
      <c r="OSS52" s="53"/>
      <c r="OST52" s="53"/>
      <c r="OSU52" s="53"/>
      <c r="OSV52" s="53"/>
      <c r="OSW52" s="53"/>
      <c r="OSX52" s="53"/>
      <c r="OSY52" s="53"/>
      <c r="OSZ52" s="53"/>
      <c r="OTA52" s="53"/>
      <c r="OTB52" s="53"/>
      <c r="OTC52" s="53"/>
      <c r="OTD52" s="53"/>
      <c r="OTE52" s="53"/>
      <c r="OTF52" s="53"/>
      <c r="OTG52" s="53"/>
      <c r="OTH52" s="53"/>
      <c r="OTI52" s="53"/>
      <c r="OTJ52" s="53"/>
      <c r="OTK52" s="53"/>
      <c r="OTL52" s="53"/>
      <c r="OTM52" s="53"/>
      <c r="OTN52" s="53"/>
      <c r="OTO52" s="53"/>
      <c r="OTP52" s="53"/>
      <c r="OTQ52" s="53"/>
      <c r="OTR52" s="53"/>
      <c r="OTS52" s="53"/>
      <c r="OTT52" s="53"/>
      <c r="OTU52" s="53"/>
      <c r="OTV52" s="53"/>
      <c r="OTW52" s="53"/>
      <c r="OTX52" s="53"/>
      <c r="OTY52" s="53"/>
      <c r="OTZ52" s="53"/>
      <c r="OUA52" s="53"/>
      <c r="OUB52" s="53"/>
      <c r="OUC52" s="53"/>
      <c r="OUD52" s="53"/>
      <c r="OUE52" s="53"/>
      <c r="OUF52" s="53"/>
      <c r="OUG52" s="53"/>
      <c r="OUH52" s="53"/>
      <c r="OUI52" s="53"/>
      <c r="OUJ52" s="53"/>
      <c r="OUK52" s="53"/>
      <c r="OUL52" s="53"/>
      <c r="OUM52" s="53"/>
      <c r="OUN52" s="53"/>
      <c r="OUO52" s="53"/>
      <c r="OUP52" s="53"/>
      <c r="OUQ52" s="53"/>
      <c r="OUR52" s="53"/>
      <c r="OUS52" s="53"/>
      <c r="OUT52" s="53"/>
      <c r="OUU52" s="53"/>
      <c r="OUV52" s="53"/>
      <c r="OUW52" s="53"/>
      <c r="OUX52" s="53"/>
      <c r="OUY52" s="53"/>
      <c r="OUZ52" s="53"/>
      <c r="OVA52" s="53"/>
      <c r="OVB52" s="53"/>
      <c r="OVC52" s="53"/>
      <c r="OVD52" s="53"/>
      <c r="OVE52" s="53"/>
      <c r="OVF52" s="53"/>
      <c r="OVG52" s="53"/>
      <c r="OVH52" s="53"/>
      <c r="OVI52" s="53"/>
      <c r="OVJ52" s="53"/>
      <c r="OVK52" s="53"/>
      <c r="OVL52" s="53"/>
      <c r="OVM52" s="53"/>
      <c r="OVN52" s="53"/>
      <c r="OVO52" s="53"/>
      <c r="OVP52" s="53"/>
      <c r="OVQ52" s="53"/>
      <c r="OVR52" s="53"/>
      <c r="OVS52" s="53"/>
      <c r="OVT52" s="53"/>
      <c r="OVU52" s="53"/>
      <c r="OVV52" s="53"/>
      <c r="OVW52" s="53"/>
      <c r="OVX52" s="53"/>
      <c r="OVY52" s="53"/>
      <c r="OVZ52" s="53"/>
      <c r="OWA52" s="53"/>
      <c r="OWB52" s="53"/>
      <c r="OWC52" s="53"/>
      <c r="OWD52" s="53"/>
      <c r="OWE52" s="53"/>
      <c r="OWF52" s="53"/>
      <c r="OWG52" s="53"/>
      <c r="OWH52" s="53"/>
      <c r="OWI52" s="53"/>
      <c r="OWJ52" s="53"/>
      <c r="OWK52" s="53"/>
      <c r="OWL52" s="53"/>
      <c r="OWM52" s="53"/>
      <c r="OWN52" s="53"/>
      <c r="OWO52" s="53"/>
      <c r="OWP52" s="53"/>
      <c r="OWQ52" s="53"/>
      <c r="OWR52" s="53"/>
      <c r="OWS52" s="53"/>
      <c r="OWT52" s="53"/>
      <c r="OWU52" s="53"/>
      <c r="OWV52" s="53"/>
      <c r="OWW52" s="53"/>
      <c r="OWX52" s="53"/>
      <c r="OWY52" s="53"/>
      <c r="OWZ52" s="53"/>
      <c r="OXA52" s="53"/>
      <c r="OXB52" s="53"/>
      <c r="OXC52" s="53"/>
      <c r="OXD52" s="53"/>
      <c r="OXE52" s="53"/>
      <c r="OXF52" s="53"/>
      <c r="OXG52" s="53"/>
      <c r="OXH52" s="53"/>
      <c r="OXI52" s="53"/>
      <c r="OXJ52" s="53"/>
      <c r="OXK52" s="53"/>
      <c r="OXL52" s="53"/>
      <c r="OXM52" s="53"/>
      <c r="OXN52" s="53"/>
      <c r="OXO52" s="53"/>
      <c r="OXP52" s="53"/>
      <c r="OXQ52" s="53"/>
      <c r="OXR52" s="53"/>
      <c r="OXS52" s="53"/>
      <c r="OXT52" s="53"/>
      <c r="OXU52" s="53"/>
      <c r="OXV52" s="53"/>
      <c r="OXW52" s="53"/>
      <c r="OXX52" s="53"/>
      <c r="OXY52" s="53"/>
      <c r="OXZ52" s="53"/>
      <c r="OYA52" s="53"/>
      <c r="OYB52" s="53"/>
      <c r="OYC52" s="53"/>
      <c r="OYD52" s="53"/>
      <c r="OYE52" s="53"/>
      <c r="OYF52" s="53"/>
      <c r="OYG52" s="53"/>
      <c r="OYH52" s="53"/>
      <c r="OYI52" s="53"/>
      <c r="OYJ52" s="53"/>
      <c r="OYK52" s="53"/>
      <c r="OYL52" s="53"/>
      <c r="OYM52" s="53"/>
      <c r="OYN52" s="53"/>
      <c r="OYO52" s="53"/>
      <c r="OYP52" s="53"/>
      <c r="OYQ52" s="53"/>
      <c r="OYR52" s="53"/>
      <c r="OYS52" s="53"/>
      <c r="OYT52" s="53"/>
      <c r="OYU52" s="53"/>
      <c r="OYV52" s="53"/>
      <c r="OYW52" s="53"/>
      <c r="OYX52" s="53"/>
      <c r="OYY52" s="53"/>
      <c r="OYZ52" s="53"/>
      <c r="OZA52" s="53"/>
      <c r="OZB52" s="53"/>
      <c r="OZC52" s="53"/>
      <c r="OZD52" s="53"/>
      <c r="OZE52" s="53"/>
      <c r="OZF52" s="53"/>
      <c r="OZG52" s="53"/>
      <c r="OZH52" s="53"/>
      <c r="OZI52" s="53"/>
      <c r="OZJ52" s="53"/>
      <c r="OZK52" s="53"/>
      <c r="OZL52" s="53"/>
      <c r="OZM52" s="53"/>
      <c r="OZN52" s="53"/>
      <c r="OZO52" s="53"/>
      <c r="OZP52" s="53"/>
      <c r="OZQ52" s="53"/>
      <c r="OZR52" s="53"/>
      <c r="OZS52" s="53"/>
      <c r="OZT52" s="53"/>
      <c r="OZU52" s="53"/>
      <c r="OZV52" s="53"/>
      <c r="OZW52" s="53"/>
      <c r="OZX52" s="53"/>
      <c r="OZY52" s="53"/>
      <c r="OZZ52" s="53"/>
      <c r="PAA52" s="53"/>
      <c r="PAB52" s="53"/>
      <c r="PAC52" s="53"/>
      <c r="PAD52" s="53"/>
      <c r="PAE52" s="53"/>
      <c r="PAF52" s="53"/>
      <c r="PAG52" s="53"/>
      <c r="PAH52" s="53"/>
      <c r="PAI52" s="53"/>
      <c r="PAJ52" s="53"/>
      <c r="PAK52" s="53"/>
      <c r="PAL52" s="53"/>
      <c r="PAM52" s="53"/>
      <c r="PAN52" s="53"/>
      <c r="PAO52" s="53"/>
      <c r="PAP52" s="53"/>
      <c r="PAQ52" s="53"/>
      <c r="PAR52" s="53"/>
      <c r="PAS52" s="53"/>
      <c r="PAT52" s="53"/>
      <c r="PAU52" s="53"/>
      <c r="PAV52" s="53"/>
      <c r="PAW52" s="53"/>
      <c r="PAX52" s="53"/>
      <c r="PAY52" s="53"/>
      <c r="PAZ52" s="53"/>
      <c r="PBA52" s="53"/>
      <c r="PBB52" s="53"/>
      <c r="PBC52" s="53"/>
      <c r="PBD52" s="53"/>
      <c r="PBE52" s="53"/>
      <c r="PBF52" s="53"/>
      <c r="PBG52" s="53"/>
      <c r="PBH52" s="53"/>
      <c r="PBI52" s="53"/>
      <c r="PBJ52" s="53"/>
      <c r="PBK52" s="53"/>
      <c r="PBL52" s="53"/>
      <c r="PBM52" s="53"/>
      <c r="PBN52" s="53"/>
      <c r="PBO52" s="53"/>
      <c r="PBP52" s="53"/>
      <c r="PBQ52" s="53"/>
      <c r="PBR52" s="53"/>
      <c r="PBS52" s="53"/>
      <c r="PBT52" s="53"/>
      <c r="PBU52" s="53"/>
      <c r="PBV52" s="53"/>
      <c r="PBW52" s="53"/>
      <c r="PBX52" s="53"/>
      <c r="PBY52" s="53"/>
      <c r="PBZ52" s="53"/>
      <c r="PCA52" s="53"/>
      <c r="PCB52" s="53"/>
      <c r="PCC52" s="53"/>
      <c r="PCD52" s="53"/>
      <c r="PCE52" s="53"/>
      <c r="PCF52" s="53"/>
      <c r="PCG52" s="53"/>
      <c r="PCH52" s="53"/>
      <c r="PCI52" s="53"/>
      <c r="PCJ52" s="53"/>
      <c r="PCK52" s="53"/>
      <c r="PCL52" s="53"/>
      <c r="PCM52" s="53"/>
      <c r="PCN52" s="53"/>
      <c r="PCO52" s="53"/>
      <c r="PCP52" s="53"/>
      <c r="PCQ52" s="53"/>
      <c r="PCR52" s="53"/>
      <c r="PCS52" s="53"/>
      <c r="PCT52" s="53"/>
      <c r="PCU52" s="53"/>
      <c r="PCV52" s="53"/>
      <c r="PCW52" s="53"/>
      <c r="PCX52" s="53"/>
      <c r="PCY52" s="53"/>
      <c r="PCZ52" s="53"/>
      <c r="PDA52" s="53"/>
      <c r="PDB52" s="53"/>
      <c r="PDC52" s="53"/>
      <c r="PDD52" s="53"/>
      <c r="PDE52" s="53"/>
      <c r="PDF52" s="53"/>
      <c r="PDG52" s="53"/>
      <c r="PDH52" s="53"/>
      <c r="PDI52" s="53"/>
      <c r="PDJ52" s="53"/>
      <c r="PDK52" s="53"/>
      <c r="PDL52" s="53"/>
      <c r="PDM52" s="53"/>
      <c r="PDN52" s="53"/>
      <c r="PDO52" s="53"/>
      <c r="PDP52" s="53"/>
      <c r="PDQ52" s="53"/>
      <c r="PDR52" s="53"/>
      <c r="PDS52" s="53"/>
      <c r="PDT52" s="53"/>
      <c r="PDU52" s="53"/>
      <c r="PDV52" s="53"/>
      <c r="PDW52" s="53"/>
      <c r="PDX52" s="53"/>
      <c r="PDY52" s="53"/>
      <c r="PDZ52" s="53"/>
      <c r="PEA52" s="53"/>
      <c r="PEB52" s="53"/>
      <c r="PEC52" s="53"/>
      <c r="PED52" s="53"/>
      <c r="PEE52" s="53"/>
      <c r="PEF52" s="53"/>
      <c r="PEG52" s="53"/>
      <c r="PEH52" s="53"/>
      <c r="PEI52" s="53"/>
      <c r="PEJ52" s="53"/>
      <c r="PEK52" s="53"/>
      <c r="PEL52" s="53"/>
      <c r="PEM52" s="53"/>
      <c r="PEN52" s="53"/>
      <c r="PEO52" s="53"/>
      <c r="PEP52" s="53"/>
      <c r="PEQ52" s="53"/>
      <c r="PER52" s="53"/>
      <c r="PES52" s="53"/>
      <c r="PET52" s="53"/>
      <c r="PEU52" s="53"/>
      <c r="PEV52" s="53"/>
      <c r="PEW52" s="53"/>
      <c r="PEX52" s="53"/>
      <c r="PEY52" s="53"/>
      <c r="PEZ52" s="53"/>
      <c r="PFA52" s="53"/>
      <c r="PFB52" s="53"/>
      <c r="PFC52" s="53"/>
      <c r="PFD52" s="53"/>
      <c r="PFE52" s="53"/>
      <c r="PFF52" s="53"/>
      <c r="PFG52" s="53"/>
      <c r="PFH52" s="53"/>
      <c r="PFI52" s="53"/>
      <c r="PFJ52" s="53"/>
      <c r="PFK52" s="53"/>
      <c r="PFL52" s="53"/>
      <c r="PFM52" s="53"/>
      <c r="PFN52" s="53"/>
      <c r="PFO52" s="53"/>
      <c r="PFP52" s="53"/>
      <c r="PFQ52" s="53"/>
      <c r="PFR52" s="53"/>
      <c r="PFS52" s="53"/>
      <c r="PFT52" s="53"/>
      <c r="PFU52" s="53"/>
      <c r="PFV52" s="53"/>
      <c r="PFW52" s="53"/>
      <c r="PFX52" s="53"/>
      <c r="PFY52" s="53"/>
      <c r="PFZ52" s="53"/>
      <c r="PGA52" s="53"/>
      <c r="PGB52" s="53"/>
      <c r="PGC52" s="53"/>
      <c r="PGD52" s="53"/>
      <c r="PGE52" s="53"/>
      <c r="PGF52" s="53"/>
      <c r="PGG52" s="53"/>
      <c r="PGH52" s="53"/>
      <c r="PGI52" s="53"/>
      <c r="PGJ52" s="53"/>
      <c r="PGK52" s="53"/>
      <c r="PGL52" s="53"/>
      <c r="PGM52" s="53"/>
      <c r="PGN52" s="53"/>
      <c r="PGO52" s="53"/>
      <c r="PGP52" s="53"/>
      <c r="PGQ52" s="53"/>
      <c r="PGR52" s="53"/>
      <c r="PGS52" s="53"/>
      <c r="PGT52" s="53"/>
      <c r="PGU52" s="53"/>
      <c r="PGV52" s="53"/>
      <c r="PGW52" s="53"/>
      <c r="PGX52" s="53"/>
      <c r="PGY52" s="53"/>
      <c r="PGZ52" s="53"/>
      <c r="PHA52" s="53"/>
      <c r="PHB52" s="53"/>
      <c r="PHC52" s="53"/>
      <c r="PHD52" s="53"/>
      <c r="PHE52" s="53"/>
      <c r="PHF52" s="53"/>
      <c r="PHG52" s="53"/>
      <c r="PHH52" s="53"/>
      <c r="PHI52" s="53"/>
      <c r="PHJ52" s="53"/>
      <c r="PHK52" s="53"/>
      <c r="PHL52" s="53"/>
      <c r="PHM52" s="53"/>
      <c r="PHN52" s="53"/>
      <c r="PHO52" s="53"/>
      <c r="PHP52" s="53"/>
      <c r="PHQ52" s="53"/>
      <c r="PHR52" s="53"/>
      <c r="PHS52" s="53"/>
      <c r="PHT52" s="53"/>
      <c r="PHU52" s="53"/>
      <c r="PHV52" s="53"/>
      <c r="PHW52" s="53"/>
      <c r="PHX52" s="53"/>
      <c r="PHY52" s="53"/>
      <c r="PHZ52" s="53"/>
      <c r="PIA52" s="53"/>
      <c r="PIB52" s="53"/>
      <c r="PIC52" s="53"/>
      <c r="PID52" s="53"/>
      <c r="PIE52" s="53"/>
      <c r="PIF52" s="53"/>
      <c r="PIG52" s="53"/>
      <c r="PIH52" s="53"/>
      <c r="PII52" s="53"/>
      <c r="PIJ52" s="53"/>
      <c r="PIK52" s="53"/>
      <c r="PIL52" s="53"/>
      <c r="PIM52" s="53"/>
      <c r="PIN52" s="53"/>
      <c r="PIO52" s="53"/>
      <c r="PIP52" s="53"/>
      <c r="PIQ52" s="53"/>
      <c r="PIR52" s="53"/>
      <c r="PIS52" s="53"/>
      <c r="PIT52" s="53"/>
      <c r="PIU52" s="53"/>
      <c r="PIV52" s="53"/>
      <c r="PIW52" s="53"/>
      <c r="PIX52" s="53"/>
      <c r="PIY52" s="53"/>
      <c r="PIZ52" s="53"/>
      <c r="PJA52" s="53"/>
      <c r="PJB52" s="53"/>
      <c r="PJC52" s="53"/>
      <c r="PJD52" s="53"/>
      <c r="PJE52" s="53"/>
      <c r="PJF52" s="53"/>
      <c r="PJG52" s="53"/>
      <c r="PJH52" s="53"/>
      <c r="PJI52" s="53"/>
      <c r="PJJ52" s="53"/>
      <c r="PJK52" s="53"/>
      <c r="PJL52" s="53"/>
      <c r="PJM52" s="53"/>
      <c r="PJN52" s="53"/>
      <c r="PJO52" s="53"/>
      <c r="PJP52" s="53"/>
      <c r="PJQ52" s="53"/>
      <c r="PJR52" s="53"/>
      <c r="PJS52" s="53"/>
      <c r="PJT52" s="53"/>
      <c r="PJU52" s="53"/>
      <c r="PJV52" s="53"/>
      <c r="PJW52" s="53"/>
      <c r="PJX52" s="53"/>
      <c r="PJY52" s="53"/>
      <c r="PJZ52" s="53"/>
      <c r="PKA52" s="53"/>
      <c r="PKB52" s="53"/>
      <c r="PKC52" s="53"/>
      <c r="PKD52" s="53"/>
      <c r="PKE52" s="53"/>
      <c r="PKF52" s="53"/>
      <c r="PKG52" s="53"/>
      <c r="PKH52" s="53"/>
      <c r="PKI52" s="53"/>
      <c r="PKJ52" s="53"/>
      <c r="PKK52" s="53"/>
      <c r="PKL52" s="53"/>
      <c r="PKM52" s="53"/>
      <c r="PKN52" s="53"/>
      <c r="PKO52" s="53"/>
      <c r="PKP52" s="53"/>
      <c r="PKQ52" s="53"/>
      <c r="PKR52" s="53"/>
      <c r="PKS52" s="53"/>
      <c r="PKT52" s="53"/>
      <c r="PKU52" s="53"/>
      <c r="PKV52" s="53"/>
      <c r="PKW52" s="53"/>
      <c r="PKX52" s="53"/>
      <c r="PKY52" s="53"/>
      <c r="PKZ52" s="53"/>
      <c r="PLA52" s="53"/>
      <c r="PLB52" s="53"/>
      <c r="PLC52" s="53"/>
      <c r="PLD52" s="53"/>
      <c r="PLE52" s="53"/>
      <c r="PLF52" s="53"/>
      <c r="PLG52" s="53"/>
      <c r="PLH52" s="53"/>
      <c r="PLI52" s="53"/>
      <c r="PLJ52" s="53"/>
      <c r="PLK52" s="53"/>
      <c r="PLL52" s="53"/>
      <c r="PLM52" s="53"/>
      <c r="PLN52" s="53"/>
      <c r="PLO52" s="53"/>
      <c r="PLP52" s="53"/>
      <c r="PLQ52" s="53"/>
      <c r="PLR52" s="53"/>
      <c r="PLS52" s="53"/>
      <c r="PLT52" s="53"/>
      <c r="PLU52" s="53"/>
      <c r="PLV52" s="53"/>
      <c r="PLW52" s="53"/>
      <c r="PLX52" s="53"/>
      <c r="PLY52" s="53"/>
      <c r="PLZ52" s="53"/>
      <c r="PMA52" s="53"/>
      <c r="PMB52" s="53"/>
      <c r="PMC52" s="53"/>
      <c r="PMD52" s="53"/>
      <c r="PME52" s="53"/>
      <c r="PMF52" s="53"/>
      <c r="PMG52" s="53"/>
      <c r="PMH52" s="53"/>
      <c r="PMI52" s="53"/>
      <c r="PMJ52" s="53"/>
      <c r="PMK52" s="53"/>
      <c r="PML52" s="53"/>
      <c r="PMM52" s="53"/>
      <c r="PMN52" s="53"/>
      <c r="PMO52" s="53"/>
      <c r="PMP52" s="53"/>
      <c r="PMQ52" s="53"/>
      <c r="PMR52" s="53"/>
      <c r="PMS52" s="53"/>
      <c r="PMT52" s="53"/>
      <c r="PMU52" s="53"/>
      <c r="PMV52" s="53"/>
      <c r="PMW52" s="53"/>
      <c r="PMX52" s="53"/>
      <c r="PMY52" s="53"/>
      <c r="PMZ52" s="53"/>
      <c r="PNA52" s="53"/>
      <c r="PNB52" s="53"/>
      <c r="PNC52" s="53"/>
      <c r="PND52" s="53"/>
      <c r="PNE52" s="53"/>
      <c r="PNF52" s="53"/>
      <c r="PNG52" s="53"/>
      <c r="PNH52" s="53"/>
      <c r="PNI52" s="53"/>
      <c r="PNJ52" s="53"/>
      <c r="PNK52" s="53"/>
      <c r="PNL52" s="53"/>
      <c r="PNM52" s="53"/>
      <c r="PNN52" s="53"/>
      <c r="PNO52" s="53"/>
      <c r="PNP52" s="53"/>
      <c r="PNQ52" s="53"/>
      <c r="PNR52" s="53"/>
      <c r="PNS52" s="53"/>
      <c r="PNT52" s="53"/>
      <c r="PNU52" s="53"/>
      <c r="PNV52" s="53"/>
      <c r="PNW52" s="53"/>
      <c r="PNX52" s="53"/>
      <c r="PNY52" s="53"/>
      <c r="PNZ52" s="53"/>
      <c r="POA52" s="53"/>
      <c r="POB52" s="53"/>
      <c r="POC52" s="53"/>
      <c r="POD52" s="53"/>
      <c r="POE52" s="53"/>
      <c r="POF52" s="53"/>
      <c r="POG52" s="53"/>
      <c r="POH52" s="53"/>
      <c r="POI52" s="53"/>
      <c r="POJ52" s="53"/>
      <c r="POK52" s="53"/>
      <c r="POL52" s="53"/>
      <c r="POM52" s="53"/>
      <c r="PON52" s="53"/>
      <c r="POO52" s="53"/>
      <c r="POP52" s="53"/>
      <c r="POQ52" s="53"/>
      <c r="POR52" s="53"/>
      <c r="POS52" s="53"/>
      <c r="POT52" s="53"/>
      <c r="POU52" s="53"/>
      <c r="POV52" s="53"/>
      <c r="POW52" s="53"/>
      <c r="POX52" s="53"/>
      <c r="POY52" s="53"/>
      <c r="POZ52" s="53"/>
      <c r="PPA52" s="53"/>
      <c r="PPB52" s="53"/>
      <c r="PPC52" s="53"/>
      <c r="PPD52" s="53"/>
      <c r="PPE52" s="53"/>
      <c r="PPF52" s="53"/>
      <c r="PPG52" s="53"/>
      <c r="PPH52" s="53"/>
      <c r="PPI52" s="53"/>
      <c r="PPJ52" s="53"/>
      <c r="PPK52" s="53"/>
      <c r="PPL52" s="53"/>
      <c r="PPM52" s="53"/>
      <c r="PPN52" s="53"/>
      <c r="PPO52" s="53"/>
      <c r="PPP52" s="53"/>
      <c r="PPQ52" s="53"/>
      <c r="PPR52" s="53"/>
      <c r="PPS52" s="53"/>
      <c r="PPT52" s="53"/>
      <c r="PPU52" s="53"/>
      <c r="PPV52" s="53"/>
      <c r="PPW52" s="53"/>
      <c r="PPX52" s="53"/>
      <c r="PPY52" s="53"/>
      <c r="PPZ52" s="53"/>
      <c r="PQA52" s="53"/>
      <c r="PQB52" s="53"/>
      <c r="PQC52" s="53"/>
      <c r="PQD52" s="53"/>
      <c r="PQE52" s="53"/>
      <c r="PQF52" s="53"/>
      <c r="PQG52" s="53"/>
      <c r="PQH52" s="53"/>
      <c r="PQI52" s="53"/>
      <c r="PQJ52" s="53"/>
      <c r="PQK52" s="53"/>
      <c r="PQL52" s="53"/>
      <c r="PQM52" s="53"/>
      <c r="PQN52" s="53"/>
      <c r="PQO52" s="53"/>
      <c r="PQP52" s="53"/>
      <c r="PQQ52" s="53"/>
      <c r="PQR52" s="53"/>
      <c r="PQS52" s="53"/>
      <c r="PQT52" s="53"/>
      <c r="PQU52" s="53"/>
      <c r="PQV52" s="53"/>
      <c r="PQW52" s="53"/>
      <c r="PQX52" s="53"/>
      <c r="PQY52" s="53"/>
      <c r="PQZ52" s="53"/>
      <c r="PRA52" s="53"/>
      <c r="PRB52" s="53"/>
      <c r="PRC52" s="53"/>
      <c r="PRD52" s="53"/>
      <c r="PRE52" s="53"/>
      <c r="PRF52" s="53"/>
      <c r="PRG52" s="53"/>
      <c r="PRH52" s="53"/>
      <c r="PRI52" s="53"/>
      <c r="PRJ52" s="53"/>
      <c r="PRK52" s="53"/>
      <c r="PRL52" s="53"/>
      <c r="PRM52" s="53"/>
      <c r="PRN52" s="53"/>
      <c r="PRO52" s="53"/>
      <c r="PRP52" s="53"/>
      <c r="PRQ52" s="53"/>
      <c r="PRR52" s="53"/>
      <c r="PRS52" s="53"/>
      <c r="PRT52" s="53"/>
      <c r="PRU52" s="53"/>
      <c r="PRV52" s="53"/>
      <c r="PRW52" s="53"/>
      <c r="PRX52" s="53"/>
      <c r="PRY52" s="53"/>
      <c r="PRZ52" s="53"/>
      <c r="PSA52" s="53"/>
      <c r="PSB52" s="53"/>
      <c r="PSC52" s="53"/>
      <c r="PSD52" s="53"/>
      <c r="PSE52" s="53"/>
      <c r="PSF52" s="53"/>
      <c r="PSG52" s="53"/>
      <c r="PSH52" s="53"/>
      <c r="PSI52" s="53"/>
      <c r="PSJ52" s="53"/>
      <c r="PSK52" s="53"/>
      <c r="PSL52" s="53"/>
      <c r="PSM52" s="53"/>
      <c r="PSN52" s="53"/>
      <c r="PSO52" s="53"/>
      <c r="PSP52" s="53"/>
      <c r="PSQ52" s="53"/>
      <c r="PSR52" s="53"/>
      <c r="PSS52" s="53"/>
      <c r="PST52" s="53"/>
      <c r="PSU52" s="53"/>
      <c r="PSV52" s="53"/>
      <c r="PSW52" s="53"/>
      <c r="PSX52" s="53"/>
      <c r="PSY52" s="53"/>
      <c r="PSZ52" s="53"/>
      <c r="PTA52" s="53"/>
      <c r="PTB52" s="53"/>
      <c r="PTC52" s="53"/>
      <c r="PTD52" s="53"/>
      <c r="PTE52" s="53"/>
      <c r="PTF52" s="53"/>
      <c r="PTG52" s="53"/>
      <c r="PTH52" s="53"/>
      <c r="PTI52" s="53"/>
      <c r="PTJ52" s="53"/>
      <c r="PTK52" s="53"/>
      <c r="PTL52" s="53"/>
      <c r="PTM52" s="53"/>
      <c r="PTN52" s="53"/>
      <c r="PTO52" s="53"/>
      <c r="PTP52" s="53"/>
      <c r="PTQ52" s="53"/>
      <c r="PTR52" s="53"/>
      <c r="PTS52" s="53"/>
      <c r="PTT52" s="53"/>
      <c r="PTU52" s="53"/>
      <c r="PTV52" s="53"/>
      <c r="PTW52" s="53"/>
      <c r="PTX52" s="53"/>
      <c r="PTY52" s="53"/>
      <c r="PTZ52" s="53"/>
      <c r="PUA52" s="53"/>
      <c r="PUB52" s="53"/>
      <c r="PUC52" s="53"/>
      <c r="PUD52" s="53"/>
      <c r="PUE52" s="53"/>
      <c r="PUF52" s="53"/>
      <c r="PUG52" s="53"/>
      <c r="PUH52" s="53"/>
      <c r="PUI52" s="53"/>
      <c r="PUJ52" s="53"/>
      <c r="PUK52" s="53"/>
      <c r="PUL52" s="53"/>
      <c r="PUM52" s="53"/>
      <c r="PUN52" s="53"/>
      <c r="PUO52" s="53"/>
      <c r="PUP52" s="53"/>
      <c r="PUQ52" s="53"/>
      <c r="PUR52" s="53"/>
      <c r="PUS52" s="53"/>
      <c r="PUT52" s="53"/>
      <c r="PUU52" s="53"/>
      <c r="PUV52" s="53"/>
      <c r="PUW52" s="53"/>
      <c r="PUX52" s="53"/>
      <c r="PUY52" s="53"/>
      <c r="PUZ52" s="53"/>
      <c r="PVA52" s="53"/>
      <c r="PVB52" s="53"/>
      <c r="PVC52" s="53"/>
      <c r="PVD52" s="53"/>
      <c r="PVE52" s="53"/>
      <c r="PVF52" s="53"/>
      <c r="PVG52" s="53"/>
      <c r="PVH52" s="53"/>
      <c r="PVI52" s="53"/>
      <c r="PVJ52" s="53"/>
      <c r="PVK52" s="53"/>
      <c r="PVL52" s="53"/>
      <c r="PVM52" s="53"/>
      <c r="PVN52" s="53"/>
      <c r="PVO52" s="53"/>
      <c r="PVP52" s="53"/>
      <c r="PVQ52" s="53"/>
      <c r="PVR52" s="53"/>
      <c r="PVS52" s="53"/>
      <c r="PVT52" s="53"/>
      <c r="PVU52" s="53"/>
      <c r="PVV52" s="53"/>
      <c r="PVW52" s="53"/>
      <c r="PVX52" s="53"/>
      <c r="PVY52" s="53"/>
      <c r="PVZ52" s="53"/>
      <c r="PWA52" s="53"/>
      <c r="PWB52" s="53"/>
      <c r="PWC52" s="53"/>
      <c r="PWD52" s="53"/>
      <c r="PWE52" s="53"/>
      <c r="PWF52" s="53"/>
      <c r="PWG52" s="53"/>
      <c r="PWH52" s="53"/>
      <c r="PWI52" s="53"/>
      <c r="PWJ52" s="53"/>
      <c r="PWK52" s="53"/>
      <c r="PWL52" s="53"/>
      <c r="PWM52" s="53"/>
      <c r="PWN52" s="53"/>
      <c r="PWO52" s="53"/>
      <c r="PWP52" s="53"/>
      <c r="PWQ52" s="53"/>
      <c r="PWR52" s="53"/>
      <c r="PWS52" s="53"/>
      <c r="PWT52" s="53"/>
      <c r="PWU52" s="53"/>
      <c r="PWV52" s="53"/>
      <c r="PWW52" s="53"/>
      <c r="PWX52" s="53"/>
      <c r="PWY52" s="53"/>
      <c r="PWZ52" s="53"/>
      <c r="PXA52" s="53"/>
      <c r="PXB52" s="53"/>
      <c r="PXC52" s="53"/>
      <c r="PXD52" s="53"/>
      <c r="PXE52" s="53"/>
      <c r="PXF52" s="53"/>
      <c r="PXG52" s="53"/>
      <c r="PXH52" s="53"/>
      <c r="PXI52" s="53"/>
      <c r="PXJ52" s="53"/>
      <c r="PXK52" s="53"/>
      <c r="PXL52" s="53"/>
      <c r="PXM52" s="53"/>
      <c r="PXN52" s="53"/>
      <c r="PXO52" s="53"/>
      <c r="PXP52" s="53"/>
      <c r="PXQ52" s="53"/>
      <c r="PXR52" s="53"/>
      <c r="PXS52" s="53"/>
      <c r="PXT52" s="53"/>
      <c r="PXU52" s="53"/>
      <c r="PXV52" s="53"/>
      <c r="PXW52" s="53"/>
      <c r="PXX52" s="53"/>
      <c r="PXY52" s="53"/>
      <c r="PXZ52" s="53"/>
      <c r="PYA52" s="53"/>
      <c r="PYB52" s="53"/>
      <c r="PYC52" s="53"/>
      <c r="PYD52" s="53"/>
      <c r="PYE52" s="53"/>
      <c r="PYF52" s="53"/>
      <c r="PYG52" s="53"/>
      <c r="PYH52" s="53"/>
      <c r="PYI52" s="53"/>
      <c r="PYJ52" s="53"/>
      <c r="PYK52" s="53"/>
      <c r="PYL52" s="53"/>
      <c r="PYM52" s="53"/>
      <c r="PYN52" s="53"/>
      <c r="PYO52" s="53"/>
      <c r="PYP52" s="53"/>
      <c r="PYQ52" s="53"/>
      <c r="PYR52" s="53"/>
      <c r="PYS52" s="53"/>
      <c r="PYT52" s="53"/>
      <c r="PYU52" s="53"/>
      <c r="PYV52" s="53"/>
      <c r="PYW52" s="53"/>
      <c r="PYX52" s="53"/>
      <c r="PYY52" s="53"/>
      <c r="PYZ52" s="53"/>
      <c r="PZA52" s="53"/>
      <c r="PZB52" s="53"/>
      <c r="PZC52" s="53"/>
      <c r="PZD52" s="53"/>
      <c r="PZE52" s="53"/>
      <c r="PZF52" s="53"/>
      <c r="PZG52" s="53"/>
      <c r="PZH52" s="53"/>
      <c r="PZI52" s="53"/>
      <c r="PZJ52" s="53"/>
      <c r="PZK52" s="53"/>
      <c r="PZL52" s="53"/>
      <c r="PZM52" s="53"/>
      <c r="PZN52" s="53"/>
      <c r="PZO52" s="53"/>
      <c r="PZP52" s="53"/>
      <c r="PZQ52" s="53"/>
      <c r="PZR52" s="53"/>
      <c r="PZS52" s="53"/>
      <c r="PZT52" s="53"/>
      <c r="PZU52" s="53"/>
      <c r="PZV52" s="53"/>
      <c r="PZW52" s="53"/>
      <c r="PZX52" s="53"/>
      <c r="PZY52" s="53"/>
      <c r="PZZ52" s="53"/>
      <c r="QAA52" s="53"/>
      <c r="QAB52" s="53"/>
      <c r="QAC52" s="53"/>
      <c r="QAD52" s="53"/>
      <c r="QAE52" s="53"/>
      <c r="QAF52" s="53"/>
      <c r="QAG52" s="53"/>
      <c r="QAH52" s="53"/>
      <c r="QAI52" s="53"/>
      <c r="QAJ52" s="53"/>
      <c r="QAK52" s="53"/>
      <c r="QAL52" s="53"/>
      <c r="QAM52" s="53"/>
      <c r="QAN52" s="53"/>
      <c r="QAO52" s="53"/>
      <c r="QAP52" s="53"/>
      <c r="QAQ52" s="53"/>
      <c r="QAR52" s="53"/>
      <c r="QAS52" s="53"/>
      <c r="QAT52" s="53"/>
      <c r="QAU52" s="53"/>
      <c r="QAV52" s="53"/>
      <c r="QAW52" s="53"/>
      <c r="QAX52" s="53"/>
      <c r="QAY52" s="53"/>
      <c r="QAZ52" s="53"/>
      <c r="QBA52" s="53"/>
      <c r="QBB52" s="53"/>
      <c r="QBC52" s="53"/>
      <c r="QBD52" s="53"/>
      <c r="QBE52" s="53"/>
      <c r="QBF52" s="53"/>
      <c r="QBG52" s="53"/>
      <c r="QBH52" s="53"/>
      <c r="QBI52" s="53"/>
      <c r="QBJ52" s="53"/>
      <c r="QBK52" s="53"/>
      <c r="QBL52" s="53"/>
      <c r="QBM52" s="53"/>
      <c r="QBN52" s="53"/>
      <c r="QBO52" s="53"/>
      <c r="QBP52" s="53"/>
      <c r="QBQ52" s="53"/>
      <c r="QBR52" s="53"/>
      <c r="QBS52" s="53"/>
      <c r="QBT52" s="53"/>
      <c r="QBU52" s="53"/>
      <c r="QBV52" s="53"/>
      <c r="QBW52" s="53"/>
      <c r="QBX52" s="53"/>
      <c r="QBY52" s="53"/>
      <c r="QBZ52" s="53"/>
      <c r="QCA52" s="53"/>
      <c r="QCB52" s="53"/>
      <c r="QCC52" s="53"/>
      <c r="QCD52" s="53"/>
      <c r="QCE52" s="53"/>
      <c r="QCF52" s="53"/>
      <c r="QCG52" s="53"/>
      <c r="QCH52" s="53"/>
      <c r="QCI52" s="53"/>
      <c r="QCJ52" s="53"/>
      <c r="QCK52" s="53"/>
      <c r="QCL52" s="53"/>
      <c r="QCM52" s="53"/>
      <c r="QCN52" s="53"/>
      <c r="QCO52" s="53"/>
      <c r="QCP52" s="53"/>
      <c r="QCQ52" s="53"/>
      <c r="QCR52" s="53"/>
      <c r="QCS52" s="53"/>
      <c r="QCT52" s="53"/>
      <c r="QCU52" s="53"/>
      <c r="QCV52" s="53"/>
      <c r="QCW52" s="53"/>
      <c r="QCX52" s="53"/>
      <c r="QCY52" s="53"/>
      <c r="QCZ52" s="53"/>
      <c r="QDA52" s="53"/>
      <c r="QDB52" s="53"/>
      <c r="QDC52" s="53"/>
      <c r="QDD52" s="53"/>
      <c r="QDE52" s="53"/>
      <c r="QDF52" s="53"/>
      <c r="QDG52" s="53"/>
      <c r="QDH52" s="53"/>
      <c r="QDI52" s="53"/>
      <c r="QDJ52" s="53"/>
      <c r="QDK52" s="53"/>
      <c r="QDL52" s="53"/>
      <c r="QDM52" s="53"/>
      <c r="QDN52" s="53"/>
      <c r="QDO52" s="53"/>
      <c r="QDP52" s="53"/>
      <c r="QDQ52" s="53"/>
      <c r="QDR52" s="53"/>
      <c r="QDS52" s="53"/>
      <c r="QDT52" s="53"/>
      <c r="QDU52" s="53"/>
      <c r="QDV52" s="53"/>
      <c r="QDW52" s="53"/>
      <c r="QDX52" s="53"/>
      <c r="QDY52" s="53"/>
      <c r="QDZ52" s="53"/>
      <c r="QEA52" s="53"/>
      <c r="QEB52" s="53"/>
      <c r="QEC52" s="53"/>
      <c r="QED52" s="53"/>
      <c r="QEE52" s="53"/>
      <c r="QEF52" s="53"/>
      <c r="QEG52" s="53"/>
      <c r="QEH52" s="53"/>
      <c r="QEI52" s="53"/>
      <c r="QEJ52" s="53"/>
      <c r="QEK52" s="53"/>
      <c r="QEL52" s="53"/>
      <c r="QEM52" s="53"/>
      <c r="QEN52" s="53"/>
      <c r="QEO52" s="53"/>
      <c r="QEP52" s="53"/>
      <c r="QEQ52" s="53"/>
      <c r="QER52" s="53"/>
      <c r="QES52" s="53"/>
      <c r="QET52" s="53"/>
      <c r="QEU52" s="53"/>
      <c r="QEV52" s="53"/>
      <c r="QEW52" s="53"/>
      <c r="QEX52" s="53"/>
      <c r="QEY52" s="53"/>
      <c r="QEZ52" s="53"/>
      <c r="QFA52" s="53"/>
      <c r="QFB52" s="53"/>
      <c r="QFC52" s="53"/>
      <c r="QFD52" s="53"/>
      <c r="QFE52" s="53"/>
      <c r="QFF52" s="53"/>
      <c r="QFG52" s="53"/>
      <c r="QFH52" s="53"/>
      <c r="QFI52" s="53"/>
      <c r="QFJ52" s="53"/>
      <c r="QFK52" s="53"/>
      <c r="QFL52" s="53"/>
      <c r="QFM52" s="53"/>
      <c r="QFN52" s="53"/>
      <c r="QFO52" s="53"/>
      <c r="QFP52" s="53"/>
      <c r="QFQ52" s="53"/>
      <c r="QFR52" s="53"/>
      <c r="QFS52" s="53"/>
      <c r="QFT52" s="53"/>
      <c r="QFU52" s="53"/>
      <c r="QFV52" s="53"/>
      <c r="QFW52" s="53"/>
      <c r="QFX52" s="53"/>
      <c r="QFY52" s="53"/>
      <c r="QFZ52" s="53"/>
      <c r="QGA52" s="53"/>
      <c r="QGB52" s="53"/>
      <c r="QGC52" s="53"/>
      <c r="QGD52" s="53"/>
      <c r="QGE52" s="53"/>
      <c r="QGF52" s="53"/>
      <c r="QGG52" s="53"/>
      <c r="QGH52" s="53"/>
      <c r="QGI52" s="53"/>
      <c r="QGJ52" s="53"/>
      <c r="QGK52" s="53"/>
      <c r="QGL52" s="53"/>
      <c r="QGM52" s="53"/>
      <c r="QGN52" s="53"/>
      <c r="QGO52" s="53"/>
      <c r="QGP52" s="53"/>
      <c r="QGQ52" s="53"/>
      <c r="QGR52" s="53"/>
      <c r="QGS52" s="53"/>
      <c r="QGT52" s="53"/>
      <c r="QGU52" s="53"/>
      <c r="QGV52" s="53"/>
      <c r="QGW52" s="53"/>
      <c r="QGX52" s="53"/>
      <c r="QGY52" s="53"/>
      <c r="QGZ52" s="53"/>
      <c r="QHA52" s="53"/>
      <c r="QHB52" s="53"/>
      <c r="QHC52" s="53"/>
      <c r="QHD52" s="53"/>
      <c r="QHE52" s="53"/>
      <c r="QHF52" s="53"/>
      <c r="QHG52" s="53"/>
      <c r="QHH52" s="53"/>
      <c r="QHI52" s="53"/>
      <c r="QHJ52" s="53"/>
      <c r="QHK52" s="53"/>
      <c r="QHL52" s="53"/>
      <c r="QHM52" s="53"/>
      <c r="QHN52" s="53"/>
      <c r="QHO52" s="53"/>
      <c r="QHP52" s="53"/>
      <c r="QHQ52" s="53"/>
      <c r="QHR52" s="53"/>
      <c r="QHS52" s="53"/>
      <c r="QHT52" s="53"/>
      <c r="QHU52" s="53"/>
      <c r="QHV52" s="53"/>
      <c r="QHW52" s="53"/>
      <c r="QHX52" s="53"/>
      <c r="QHY52" s="53"/>
      <c r="QHZ52" s="53"/>
      <c r="QIA52" s="53"/>
      <c r="QIB52" s="53"/>
      <c r="QIC52" s="53"/>
      <c r="QID52" s="53"/>
      <c r="QIE52" s="53"/>
      <c r="QIF52" s="53"/>
      <c r="QIG52" s="53"/>
      <c r="QIH52" s="53"/>
      <c r="QII52" s="53"/>
      <c r="QIJ52" s="53"/>
      <c r="QIK52" s="53"/>
      <c r="QIL52" s="53"/>
      <c r="QIM52" s="53"/>
      <c r="QIN52" s="53"/>
      <c r="QIO52" s="53"/>
      <c r="QIP52" s="53"/>
      <c r="QIQ52" s="53"/>
      <c r="QIR52" s="53"/>
      <c r="QIS52" s="53"/>
      <c r="QIT52" s="53"/>
      <c r="QIU52" s="53"/>
      <c r="QIV52" s="53"/>
      <c r="QIW52" s="53"/>
      <c r="QIX52" s="53"/>
      <c r="QIY52" s="53"/>
      <c r="QIZ52" s="53"/>
      <c r="QJA52" s="53"/>
      <c r="QJB52" s="53"/>
      <c r="QJC52" s="53"/>
      <c r="QJD52" s="53"/>
      <c r="QJE52" s="53"/>
      <c r="QJF52" s="53"/>
      <c r="QJG52" s="53"/>
      <c r="QJH52" s="53"/>
      <c r="QJI52" s="53"/>
      <c r="QJJ52" s="53"/>
      <c r="QJK52" s="53"/>
      <c r="QJL52" s="53"/>
      <c r="QJM52" s="53"/>
      <c r="QJN52" s="53"/>
      <c r="QJO52" s="53"/>
      <c r="QJP52" s="53"/>
      <c r="QJQ52" s="53"/>
      <c r="QJR52" s="53"/>
      <c r="QJS52" s="53"/>
      <c r="QJT52" s="53"/>
      <c r="QJU52" s="53"/>
      <c r="QJV52" s="53"/>
      <c r="QJW52" s="53"/>
      <c r="QJX52" s="53"/>
      <c r="QJY52" s="53"/>
      <c r="QJZ52" s="53"/>
      <c r="QKA52" s="53"/>
      <c r="QKB52" s="53"/>
      <c r="QKC52" s="53"/>
      <c r="QKD52" s="53"/>
      <c r="QKE52" s="53"/>
      <c r="QKF52" s="53"/>
      <c r="QKG52" s="53"/>
      <c r="QKH52" s="53"/>
      <c r="QKI52" s="53"/>
      <c r="QKJ52" s="53"/>
      <c r="QKK52" s="53"/>
      <c r="QKL52" s="53"/>
      <c r="QKM52" s="53"/>
      <c r="QKN52" s="53"/>
      <c r="QKO52" s="53"/>
      <c r="QKP52" s="53"/>
      <c r="QKQ52" s="53"/>
      <c r="QKR52" s="53"/>
      <c r="QKS52" s="53"/>
      <c r="QKT52" s="53"/>
      <c r="QKU52" s="53"/>
      <c r="QKV52" s="53"/>
      <c r="QKW52" s="53"/>
      <c r="QKX52" s="53"/>
      <c r="QKY52" s="53"/>
      <c r="QKZ52" s="53"/>
      <c r="QLA52" s="53"/>
      <c r="QLB52" s="53"/>
      <c r="QLC52" s="53"/>
      <c r="QLD52" s="53"/>
      <c r="QLE52" s="53"/>
      <c r="QLF52" s="53"/>
      <c r="QLG52" s="53"/>
      <c r="QLH52" s="53"/>
      <c r="QLI52" s="53"/>
      <c r="QLJ52" s="53"/>
      <c r="QLK52" s="53"/>
      <c r="QLL52" s="53"/>
      <c r="QLM52" s="53"/>
      <c r="QLN52" s="53"/>
      <c r="QLO52" s="53"/>
      <c r="QLP52" s="53"/>
      <c r="QLQ52" s="53"/>
      <c r="QLR52" s="53"/>
      <c r="QLS52" s="53"/>
      <c r="QLT52" s="53"/>
      <c r="QLU52" s="53"/>
      <c r="QLV52" s="53"/>
      <c r="QLW52" s="53"/>
      <c r="QLX52" s="53"/>
      <c r="QLY52" s="53"/>
      <c r="QLZ52" s="53"/>
      <c r="QMA52" s="53"/>
      <c r="QMB52" s="53"/>
      <c r="QMC52" s="53"/>
      <c r="QMD52" s="53"/>
      <c r="QME52" s="53"/>
      <c r="QMF52" s="53"/>
      <c r="QMG52" s="53"/>
      <c r="QMH52" s="53"/>
      <c r="QMI52" s="53"/>
      <c r="QMJ52" s="53"/>
      <c r="QMK52" s="53"/>
      <c r="QML52" s="53"/>
      <c r="QMM52" s="53"/>
      <c r="QMN52" s="53"/>
      <c r="QMO52" s="53"/>
      <c r="QMP52" s="53"/>
      <c r="QMQ52" s="53"/>
      <c r="QMR52" s="53"/>
      <c r="QMS52" s="53"/>
      <c r="QMT52" s="53"/>
      <c r="QMU52" s="53"/>
      <c r="QMV52" s="53"/>
      <c r="QMW52" s="53"/>
      <c r="QMX52" s="53"/>
      <c r="QMY52" s="53"/>
      <c r="QMZ52" s="53"/>
      <c r="QNA52" s="53"/>
      <c r="QNB52" s="53"/>
      <c r="QNC52" s="53"/>
      <c r="QND52" s="53"/>
      <c r="QNE52" s="53"/>
      <c r="QNF52" s="53"/>
      <c r="QNG52" s="53"/>
      <c r="QNH52" s="53"/>
      <c r="QNI52" s="53"/>
      <c r="QNJ52" s="53"/>
      <c r="QNK52" s="53"/>
      <c r="QNL52" s="53"/>
      <c r="QNM52" s="53"/>
      <c r="QNN52" s="53"/>
      <c r="QNO52" s="53"/>
      <c r="QNP52" s="53"/>
      <c r="QNQ52" s="53"/>
      <c r="QNR52" s="53"/>
      <c r="QNS52" s="53"/>
      <c r="QNT52" s="53"/>
      <c r="QNU52" s="53"/>
      <c r="QNV52" s="53"/>
      <c r="QNW52" s="53"/>
      <c r="QNX52" s="53"/>
      <c r="QNY52" s="53"/>
      <c r="QNZ52" s="53"/>
      <c r="QOA52" s="53"/>
      <c r="QOB52" s="53"/>
      <c r="QOC52" s="53"/>
      <c r="QOD52" s="53"/>
      <c r="QOE52" s="53"/>
      <c r="QOF52" s="53"/>
      <c r="QOG52" s="53"/>
      <c r="QOH52" s="53"/>
      <c r="QOI52" s="53"/>
      <c r="QOJ52" s="53"/>
      <c r="QOK52" s="53"/>
      <c r="QOL52" s="53"/>
      <c r="QOM52" s="53"/>
      <c r="QON52" s="53"/>
      <c r="QOO52" s="53"/>
      <c r="QOP52" s="53"/>
      <c r="QOQ52" s="53"/>
      <c r="QOR52" s="53"/>
      <c r="QOS52" s="53"/>
      <c r="QOT52" s="53"/>
      <c r="QOU52" s="53"/>
      <c r="QOV52" s="53"/>
      <c r="QOW52" s="53"/>
      <c r="QOX52" s="53"/>
      <c r="QOY52" s="53"/>
      <c r="QOZ52" s="53"/>
      <c r="QPA52" s="53"/>
      <c r="QPB52" s="53"/>
      <c r="QPC52" s="53"/>
      <c r="QPD52" s="53"/>
      <c r="QPE52" s="53"/>
      <c r="QPF52" s="53"/>
      <c r="QPG52" s="53"/>
      <c r="QPH52" s="53"/>
      <c r="QPI52" s="53"/>
      <c r="QPJ52" s="53"/>
      <c r="QPK52" s="53"/>
      <c r="QPL52" s="53"/>
      <c r="QPM52" s="53"/>
      <c r="QPN52" s="53"/>
      <c r="QPO52" s="53"/>
      <c r="QPP52" s="53"/>
      <c r="QPQ52" s="53"/>
      <c r="QPR52" s="53"/>
      <c r="QPS52" s="53"/>
      <c r="QPT52" s="53"/>
      <c r="QPU52" s="53"/>
      <c r="QPV52" s="53"/>
      <c r="QPW52" s="53"/>
      <c r="QPX52" s="53"/>
      <c r="QPY52" s="53"/>
      <c r="QPZ52" s="53"/>
      <c r="QQA52" s="53"/>
      <c r="QQB52" s="53"/>
      <c r="QQC52" s="53"/>
      <c r="QQD52" s="53"/>
      <c r="QQE52" s="53"/>
      <c r="QQF52" s="53"/>
      <c r="QQG52" s="53"/>
      <c r="QQH52" s="53"/>
      <c r="QQI52" s="53"/>
      <c r="QQJ52" s="53"/>
      <c r="QQK52" s="53"/>
      <c r="QQL52" s="53"/>
      <c r="QQM52" s="53"/>
      <c r="QQN52" s="53"/>
      <c r="QQO52" s="53"/>
      <c r="QQP52" s="53"/>
      <c r="QQQ52" s="53"/>
      <c r="QQR52" s="53"/>
      <c r="QQS52" s="53"/>
      <c r="QQT52" s="53"/>
      <c r="QQU52" s="53"/>
      <c r="QQV52" s="53"/>
      <c r="QQW52" s="53"/>
      <c r="QQX52" s="53"/>
      <c r="QQY52" s="53"/>
      <c r="QQZ52" s="53"/>
      <c r="QRA52" s="53"/>
      <c r="QRB52" s="53"/>
      <c r="QRC52" s="53"/>
      <c r="QRD52" s="53"/>
      <c r="QRE52" s="53"/>
      <c r="QRF52" s="53"/>
      <c r="QRG52" s="53"/>
      <c r="QRH52" s="53"/>
      <c r="QRI52" s="53"/>
      <c r="QRJ52" s="53"/>
      <c r="QRK52" s="53"/>
      <c r="QRL52" s="53"/>
      <c r="QRM52" s="53"/>
      <c r="QRN52" s="53"/>
      <c r="QRO52" s="53"/>
      <c r="QRP52" s="53"/>
      <c r="QRQ52" s="53"/>
      <c r="QRR52" s="53"/>
      <c r="QRS52" s="53"/>
      <c r="QRT52" s="53"/>
      <c r="QRU52" s="53"/>
      <c r="QRV52" s="53"/>
      <c r="QRW52" s="53"/>
      <c r="QRX52" s="53"/>
      <c r="QRY52" s="53"/>
      <c r="QRZ52" s="53"/>
      <c r="QSA52" s="53"/>
      <c r="QSB52" s="53"/>
      <c r="QSC52" s="53"/>
      <c r="QSD52" s="53"/>
      <c r="QSE52" s="53"/>
      <c r="QSF52" s="53"/>
      <c r="QSG52" s="53"/>
      <c r="QSH52" s="53"/>
      <c r="QSI52" s="53"/>
      <c r="QSJ52" s="53"/>
      <c r="QSK52" s="53"/>
      <c r="QSL52" s="53"/>
      <c r="QSM52" s="53"/>
      <c r="QSN52" s="53"/>
      <c r="QSO52" s="53"/>
      <c r="QSP52" s="53"/>
      <c r="QSQ52" s="53"/>
      <c r="QSR52" s="53"/>
      <c r="QSS52" s="53"/>
      <c r="QST52" s="53"/>
      <c r="QSU52" s="53"/>
      <c r="QSV52" s="53"/>
      <c r="QSW52" s="53"/>
      <c r="QSX52" s="53"/>
      <c r="QSY52" s="53"/>
      <c r="QSZ52" s="53"/>
      <c r="QTA52" s="53"/>
      <c r="QTB52" s="53"/>
      <c r="QTC52" s="53"/>
      <c r="QTD52" s="53"/>
      <c r="QTE52" s="53"/>
      <c r="QTF52" s="53"/>
      <c r="QTG52" s="53"/>
      <c r="QTH52" s="53"/>
      <c r="QTI52" s="53"/>
      <c r="QTJ52" s="53"/>
      <c r="QTK52" s="53"/>
      <c r="QTL52" s="53"/>
      <c r="QTM52" s="53"/>
      <c r="QTN52" s="53"/>
      <c r="QTO52" s="53"/>
      <c r="QTP52" s="53"/>
      <c r="QTQ52" s="53"/>
      <c r="QTR52" s="53"/>
      <c r="QTS52" s="53"/>
      <c r="QTT52" s="53"/>
      <c r="QTU52" s="53"/>
      <c r="QTV52" s="53"/>
      <c r="QTW52" s="53"/>
      <c r="QTX52" s="53"/>
      <c r="QTY52" s="53"/>
      <c r="QTZ52" s="53"/>
      <c r="QUA52" s="53"/>
      <c r="QUB52" s="53"/>
      <c r="QUC52" s="53"/>
      <c r="QUD52" s="53"/>
      <c r="QUE52" s="53"/>
      <c r="QUF52" s="53"/>
      <c r="QUG52" s="53"/>
      <c r="QUH52" s="53"/>
      <c r="QUI52" s="53"/>
      <c r="QUJ52" s="53"/>
      <c r="QUK52" s="53"/>
      <c r="QUL52" s="53"/>
      <c r="QUM52" s="53"/>
      <c r="QUN52" s="53"/>
      <c r="QUO52" s="53"/>
      <c r="QUP52" s="53"/>
      <c r="QUQ52" s="53"/>
      <c r="QUR52" s="53"/>
      <c r="QUS52" s="53"/>
      <c r="QUT52" s="53"/>
      <c r="QUU52" s="53"/>
      <c r="QUV52" s="53"/>
      <c r="QUW52" s="53"/>
      <c r="QUX52" s="53"/>
      <c r="QUY52" s="53"/>
      <c r="QUZ52" s="53"/>
      <c r="QVA52" s="53"/>
      <c r="QVB52" s="53"/>
      <c r="QVC52" s="53"/>
      <c r="QVD52" s="53"/>
      <c r="QVE52" s="53"/>
      <c r="QVF52" s="53"/>
      <c r="QVG52" s="53"/>
      <c r="QVH52" s="53"/>
      <c r="QVI52" s="53"/>
      <c r="QVJ52" s="53"/>
      <c r="QVK52" s="53"/>
      <c r="QVL52" s="53"/>
      <c r="QVM52" s="53"/>
      <c r="QVN52" s="53"/>
      <c r="QVO52" s="53"/>
      <c r="QVP52" s="53"/>
      <c r="QVQ52" s="53"/>
      <c r="QVR52" s="53"/>
      <c r="QVS52" s="53"/>
      <c r="QVT52" s="53"/>
      <c r="QVU52" s="53"/>
      <c r="QVV52" s="53"/>
      <c r="QVW52" s="53"/>
      <c r="QVX52" s="53"/>
      <c r="QVY52" s="53"/>
      <c r="QVZ52" s="53"/>
      <c r="QWA52" s="53"/>
      <c r="QWB52" s="53"/>
      <c r="QWC52" s="53"/>
      <c r="QWD52" s="53"/>
      <c r="QWE52" s="53"/>
      <c r="QWF52" s="53"/>
      <c r="QWG52" s="53"/>
      <c r="QWH52" s="53"/>
      <c r="QWI52" s="53"/>
      <c r="QWJ52" s="53"/>
      <c r="QWK52" s="53"/>
      <c r="QWL52" s="53"/>
      <c r="QWM52" s="53"/>
      <c r="QWN52" s="53"/>
      <c r="QWO52" s="53"/>
      <c r="QWP52" s="53"/>
      <c r="QWQ52" s="53"/>
      <c r="QWR52" s="53"/>
      <c r="QWS52" s="53"/>
      <c r="QWT52" s="53"/>
      <c r="QWU52" s="53"/>
      <c r="QWV52" s="53"/>
      <c r="QWW52" s="53"/>
      <c r="QWX52" s="53"/>
      <c r="QWY52" s="53"/>
      <c r="QWZ52" s="53"/>
      <c r="QXA52" s="53"/>
      <c r="QXB52" s="53"/>
      <c r="QXC52" s="53"/>
      <c r="QXD52" s="53"/>
      <c r="QXE52" s="53"/>
      <c r="QXF52" s="53"/>
      <c r="QXG52" s="53"/>
      <c r="QXH52" s="53"/>
      <c r="QXI52" s="53"/>
      <c r="QXJ52" s="53"/>
      <c r="QXK52" s="53"/>
      <c r="QXL52" s="53"/>
      <c r="QXM52" s="53"/>
      <c r="QXN52" s="53"/>
      <c r="QXO52" s="53"/>
      <c r="QXP52" s="53"/>
      <c r="QXQ52" s="53"/>
      <c r="QXR52" s="53"/>
      <c r="QXS52" s="53"/>
      <c r="QXT52" s="53"/>
      <c r="QXU52" s="53"/>
      <c r="QXV52" s="53"/>
      <c r="QXW52" s="53"/>
      <c r="QXX52" s="53"/>
      <c r="QXY52" s="53"/>
      <c r="QXZ52" s="53"/>
      <c r="QYA52" s="53"/>
      <c r="QYB52" s="53"/>
      <c r="QYC52" s="53"/>
      <c r="QYD52" s="53"/>
      <c r="QYE52" s="53"/>
      <c r="QYF52" s="53"/>
      <c r="QYG52" s="53"/>
      <c r="QYH52" s="53"/>
      <c r="QYI52" s="53"/>
      <c r="QYJ52" s="53"/>
      <c r="QYK52" s="53"/>
      <c r="QYL52" s="53"/>
      <c r="QYM52" s="53"/>
      <c r="QYN52" s="53"/>
      <c r="QYO52" s="53"/>
      <c r="QYP52" s="53"/>
      <c r="QYQ52" s="53"/>
      <c r="QYR52" s="53"/>
      <c r="QYS52" s="53"/>
      <c r="QYT52" s="53"/>
      <c r="QYU52" s="53"/>
      <c r="QYV52" s="53"/>
      <c r="QYW52" s="53"/>
      <c r="QYX52" s="53"/>
      <c r="QYY52" s="53"/>
      <c r="QYZ52" s="53"/>
      <c r="QZA52" s="53"/>
      <c r="QZB52" s="53"/>
      <c r="QZC52" s="53"/>
      <c r="QZD52" s="53"/>
      <c r="QZE52" s="53"/>
      <c r="QZF52" s="53"/>
      <c r="QZG52" s="53"/>
      <c r="QZH52" s="53"/>
      <c r="QZI52" s="53"/>
      <c r="QZJ52" s="53"/>
      <c r="QZK52" s="53"/>
      <c r="QZL52" s="53"/>
      <c r="QZM52" s="53"/>
      <c r="QZN52" s="53"/>
      <c r="QZO52" s="53"/>
      <c r="QZP52" s="53"/>
      <c r="QZQ52" s="53"/>
      <c r="QZR52" s="53"/>
      <c r="QZS52" s="53"/>
      <c r="QZT52" s="53"/>
      <c r="QZU52" s="53"/>
      <c r="QZV52" s="53"/>
      <c r="QZW52" s="53"/>
      <c r="QZX52" s="53"/>
      <c r="QZY52" s="53"/>
      <c r="QZZ52" s="53"/>
      <c r="RAA52" s="53"/>
      <c r="RAB52" s="53"/>
      <c r="RAC52" s="53"/>
      <c r="RAD52" s="53"/>
      <c r="RAE52" s="53"/>
      <c r="RAF52" s="53"/>
      <c r="RAG52" s="53"/>
      <c r="RAH52" s="53"/>
      <c r="RAI52" s="53"/>
      <c r="RAJ52" s="53"/>
      <c r="RAK52" s="53"/>
      <c r="RAL52" s="53"/>
      <c r="RAM52" s="53"/>
      <c r="RAN52" s="53"/>
      <c r="RAO52" s="53"/>
      <c r="RAP52" s="53"/>
      <c r="RAQ52" s="53"/>
      <c r="RAR52" s="53"/>
      <c r="RAS52" s="53"/>
      <c r="RAT52" s="53"/>
      <c r="RAU52" s="53"/>
      <c r="RAV52" s="53"/>
      <c r="RAW52" s="53"/>
      <c r="RAX52" s="53"/>
      <c r="RAY52" s="53"/>
      <c r="RAZ52" s="53"/>
      <c r="RBA52" s="53"/>
      <c r="RBB52" s="53"/>
      <c r="RBC52" s="53"/>
      <c r="RBD52" s="53"/>
      <c r="RBE52" s="53"/>
      <c r="RBF52" s="53"/>
      <c r="RBG52" s="53"/>
      <c r="RBH52" s="53"/>
      <c r="RBI52" s="53"/>
      <c r="RBJ52" s="53"/>
      <c r="RBK52" s="53"/>
      <c r="RBL52" s="53"/>
      <c r="RBM52" s="53"/>
      <c r="RBN52" s="53"/>
      <c r="RBO52" s="53"/>
      <c r="RBP52" s="53"/>
      <c r="RBQ52" s="53"/>
      <c r="RBR52" s="53"/>
      <c r="RBS52" s="53"/>
      <c r="RBT52" s="53"/>
      <c r="RBU52" s="53"/>
      <c r="RBV52" s="53"/>
      <c r="RBW52" s="53"/>
      <c r="RBX52" s="53"/>
      <c r="RBY52" s="53"/>
      <c r="RBZ52" s="53"/>
      <c r="RCA52" s="53"/>
      <c r="RCB52" s="53"/>
      <c r="RCC52" s="53"/>
      <c r="RCD52" s="53"/>
      <c r="RCE52" s="53"/>
      <c r="RCF52" s="53"/>
      <c r="RCG52" s="53"/>
      <c r="RCH52" s="53"/>
      <c r="RCI52" s="53"/>
      <c r="RCJ52" s="53"/>
      <c r="RCK52" s="53"/>
      <c r="RCL52" s="53"/>
      <c r="RCM52" s="53"/>
      <c r="RCN52" s="53"/>
      <c r="RCO52" s="53"/>
      <c r="RCP52" s="53"/>
      <c r="RCQ52" s="53"/>
      <c r="RCR52" s="53"/>
      <c r="RCS52" s="53"/>
      <c r="RCT52" s="53"/>
      <c r="RCU52" s="53"/>
      <c r="RCV52" s="53"/>
      <c r="RCW52" s="53"/>
      <c r="RCX52" s="53"/>
      <c r="RCY52" s="53"/>
      <c r="RCZ52" s="53"/>
      <c r="RDA52" s="53"/>
      <c r="RDB52" s="53"/>
      <c r="RDC52" s="53"/>
      <c r="RDD52" s="53"/>
      <c r="RDE52" s="53"/>
      <c r="RDF52" s="53"/>
      <c r="RDG52" s="53"/>
      <c r="RDH52" s="53"/>
      <c r="RDI52" s="53"/>
      <c r="RDJ52" s="53"/>
      <c r="RDK52" s="53"/>
      <c r="RDL52" s="53"/>
      <c r="RDM52" s="53"/>
      <c r="RDN52" s="53"/>
      <c r="RDO52" s="53"/>
      <c r="RDP52" s="53"/>
      <c r="RDQ52" s="53"/>
      <c r="RDR52" s="53"/>
      <c r="RDS52" s="53"/>
      <c r="RDT52" s="53"/>
      <c r="RDU52" s="53"/>
      <c r="RDV52" s="53"/>
      <c r="RDW52" s="53"/>
      <c r="RDX52" s="53"/>
      <c r="RDY52" s="53"/>
      <c r="RDZ52" s="53"/>
      <c r="REA52" s="53"/>
      <c r="REB52" s="53"/>
      <c r="REC52" s="53"/>
      <c r="RED52" s="53"/>
      <c r="REE52" s="53"/>
      <c r="REF52" s="53"/>
      <c r="REG52" s="53"/>
      <c r="REH52" s="53"/>
      <c r="REI52" s="53"/>
      <c r="REJ52" s="53"/>
      <c r="REK52" s="53"/>
      <c r="REL52" s="53"/>
      <c r="REM52" s="53"/>
      <c r="REN52" s="53"/>
      <c r="REO52" s="53"/>
      <c r="REP52" s="53"/>
      <c r="REQ52" s="53"/>
      <c r="RER52" s="53"/>
      <c r="RES52" s="53"/>
      <c r="RET52" s="53"/>
      <c r="REU52" s="53"/>
      <c r="REV52" s="53"/>
      <c r="REW52" s="53"/>
      <c r="REX52" s="53"/>
      <c r="REY52" s="53"/>
      <c r="REZ52" s="53"/>
      <c r="RFA52" s="53"/>
      <c r="RFB52" s="53"/>
      <c r="RFC52" s="53"/>
      <c r="RFD52" s="53"/>
      <c r="RFE52" s="53"/>
      <c r="RFF52" s="53"/>
      <c r="RFG52" s="53"/>
      <c r="RFH52" s="53"/>
      <c r="RFI52" s="53"/>
      <c r="RFJ52" s="53"/>
      <c r="RFK52" s="53"/>
      <c r="RFL52" s="53"/>
      <c r="RFM52" s="53"/>
      <c r="RFN52" s="53"/>
      <c r="RFO52" s="53"/>
      <c r="RFP52" s="53"/>
      <c r="RFQ52" s="53"/>
      <c r="RFR52" s="53"/>
      <c r="RFS52" s="53"/>
      <c r="RFT52" s="53"/>
      <c r="RFU52" s="53"/>
      <c r="RFV52" s="53"/>
      <c r="RFW52" s="53"/>
      <c r="RFX52" s="53"/>
      <c r="RFY52" s="53"/>
      <c r="RFZ52" s="53"/>
      <c r="RGA52" s="53"/>
      <c r="RGB52" s="53"/>
      <c r="RGC52" s="53"/>
      <c r="RGD52" s="53"/>
      <c r="RGE52" s="53"/>
      <c r="RGF52" s="53"/>
      <c r="RGG52" s="53"/>
      <c r="RGH52" s="53"/>
      <c r="RGI52" s="53"/>
      <c r="RGJ52" s="53"/>
      <c r="RGK52" s="53"/>
      <c r="RGL52" s="53"/>
      <c r="RGM52" s="53"/>
      <c r="RGN52" s="53"/>
      <c r="RGO52" s="53"/>
      <c r="RGP52" s="53"/>
      <c r="RGQ52" s="53"/>
      <c r="RGR52" s="53"/>
      <c r="RGS52" s="53"/>
      <c r="RGT52" s="53"/>
      <c r="RGU52" s="53"/>
      <c r="RGV52" s="53"/>
      <c r="RGW52" s="53"/>
      <c r="RGX52" s="53"/>
      <c r="RGY52" s="53"/>
      <c r="RGZ52" s="53"/>
      <c r="RHA52" s="53"/>
      <c r="RHB52" s="53"/>
      <c r="RHC52" s="53"/>
      <c r="RHD52" s="53"/>
      <c r="RHE52" s="53"/>
      <c r="RHF52" s="53"/>
      <c r="RHG52" s="53"/>
      <c r="RHH52" s="53"/>
      <c r="RHI52" s="53"/>
      <c r="RHJ52" s="53"/>
      <c r="RHK52" s="53"/>
      <c r="RHL52" s="53"/>
      <c r="RHM52" s="53"/>
      <c r="RHN52" s="53"/>
      <c r="RHO52" s="53"/>
      <c r="RHP52" s="53"/>
      <c r="RHQ52" s="53"/>
      <c r="RHR52" s="53"/>
      <c r="RHS52" s="53"/>
      <c r="RHT52" s="53"/>
      <c r="RHU52" s="53"/>
      <c r="RHV52" s="53"/>
      <c r="RHW52" s="53"/>
      <c r="RHX52" s="53"/>
      <c r="RHY52" s="53"/>
      <c r="RHZ52" s="53"/>
      <c r="RIA52" s="53"/>
      <c r="RIB52" s="53"/>
      <c r="RIC52" s="53"/>
      <c r="RID52" s="53"/>
      <c r="RIE52" s="53"/>
      <c r="RIF52" s="53"/>
      <c r="RIG52" s="53"/>
      <c r="RIH52" s="53"/>
      <c r="RII52" s="53"/>
      <c r="RIJ52" s="53"/>
      <c r="RIK52" s="53"/>
      <c r="RIL52" s="53"/>
      <c r="RIM52" s="53"/>
      <c r="RIN52" s="53"/>
      <c r="RIO52" s="53"/>
      <c r="RIP52" s="53"/>
      <c r="RIQ52" s="53"/>
      <c r="RIR52" s="53"/>
      <c r="RIS52" s="53"/>
      <c r="RIT52" s="53"/>
      <c r="RIU52" s="53"/>
      <c r="RIV52" s="53"/>
      <c r="RIW52" s="53"/>
      <c r="RIX52" s="53"/>
      <c r="RIY52" s="53"/>
      <c r="RIZ52" s="53"/>
      <c r="RJA52" s="53"/>
      <c r="RJB52" s="53"/>
      <c r="RJC52" s="53"/>
      <c r="RJD52" s="53"/>
      <c r="RJE52" s="53"/>
      <c r="RJF52" s="53"/>
      <c r="RJG52" s="53"/>
      <c r="RJH52" s="53"/>
      <c r="RJI52" s="53"/>
      <c r="RJJ52" s="53"/>
      <c r="RJK52" s="53"/>
      <c r="RJL52" s="53"/>
      <c r="RJM52" s="53"/>
      <c r="RJN52" s="53"/>
      <c r="RJO52" s="53"/>
      <c r="RJP52" s="53"/>
      <c r="RJQ52" s="53"/>
      <c r="RJR52" s="53"/>
      <c r="RJS52" s="53"/>
      <c r="RJT52" s="53"/>
      <c r="RJU52" s="53"/>
      <c r="RJV52" s="53"/>
      <c r="RJW52" s="53"/>
      <c r="RJX52" s="53"/>
      <c r="RJY52" s="53"/>
      <c r="RJZ52" s="53"/>
      <c r="RKA52" s="53"/>
      <c r="RKB52" s="53"/>
      <c r="RKC52" s="53"/>
      <c r="RKD52" s="53"/>
      <c r="RKE52" s="53"/>
      <c r="RKF52" s="53"/>
      <c r="RKG52" s="53"/>
      <c r="RKH52" s="53"/>
      <c r="RKI52" s="53"/>
      <c r="RKJ52" s="53"/>
      <c r="RKK52" s="53"/>
      <c r="RKL52" s="53"/>
      <c r="RKM52" s="53"/>
      <c r="RKN52" s="53"/>
      <c r="RKO52" s="53"/>
      <c r="RKP52" s="53"/>
      <c r="RKQ52" s="53"/>
      <c r="RKR52" s="53"/>
      <c r="RKS52" s="53"/>
      <c r="RKT52" s="53"/>
      <c r="RKU52" s="53"/>
      <c r="RKV52" s="53"/>
      <c r="RKW52" s="53"/>
      <c r="RKX52" s="53"/>
      <c r="RKY52" s="53"/>
      <c r="RKZ52" s="53"/>
      <c r="RLA52" s="53"/>
      <c r="RLB52" s="53"/>
      <c r="RLC52" s="53"/>
      <c r="RLD52" s="53"/>
      <c r="RLE52" s="53"/>
      <c r="RLF52" s="53"/>
      <c r="RLG52" s="53"/>
      <c r="RLH52" s="53"/>
      <c r="RLI52" s="53"/>
      <c r="RLJ52" s="53"/>
      <c r="RLK52" s="53"/>
      <c r="RLL52" s="53"/>
      <c r="RLM52" s="53"/>
      <c r="RLN52" s="53"/>
      <c r="RLO52" s="53"/>
      <c r="RLP52" s="53"/>
      <c r="RLQ52" s="53"/>
      <c r="RLR52" s="53"/>
      <c r="RLS52" s="53"/>
      <c r="RLT52" s="53"/>
      <c r="RLU52" s="53"/>
      <c r="RLV52" s="53"/>
      <c r="RLW52" s="53"/>
      <c r="RLX52" s="53"/>
      <c r="RLY52" s="53"/>
      <c r="RLZ52" s="53"/>
      <c r="RMA52" s="53"/>
      <c r="RMB52" s="53"/>
      <c r="RMC52" s="53"/>
      <c r="RMD52" s="53"/>
      <c r="RME52" s="53"/>
      <c r="RMF52" s="53"/>
      <c r="RMG52" s="53"/>
      <c r="RMH52" s="53"/>
      <c r="RMI52" s="53"/>
      <c r="RMJ52" s="53"/>
      <c r="RMK52" s="53"/>
      <c r="RML52" s="53"/>
      <c r="RMM52" s="53"/>
      <c r="RMN52" s="53"/>
      <c r="RMO52" s="53"/>
      <c r="RMP52" s="53"/>
      <c r="RMQ52" s="53"/>
      <c r="RMR52" s="53"/>
      <c r="RMS52" s="53"/>
      <c r="RMT52" s="53"/>
      <c r="RMU52" s="53"/>
      <c r="RMV52" s="53"/>
      <c r="RMW52" s="53"/>
      <c r="RMX52" s="53"/>
      <c r="RMY52" s="53"/>
      <c r="RMZ52" s="53"/>
      <c r="RNA52" s="53"/>
      <c r="RNB52" s="53"/>
      <c r="RNC52" s="53"/>
      <c r="RND52" s="53"/>
      <c r="RNE52" s="53"/>
      <c r="RNF52" s="53"/>
      <c r="RNG52" s="53"/>
      <c r="RNH52" s="53"/>
      <c r="RNI52" s="53"/>
      <c r="RNJ52" s="53"/>
      <c r="RNK52" s="53"/>
      <c r="RNL52" s="53"/>
      <c r="RNM52" s="53"/>
      <c r="RNN52" s="53"/>
      <c r="RNO52" s="53"/>
      <c r="RNP52" s="53"/>
      <c r="RNQ52" s="53"/>
      <c r="RNR52" s="53"/>
      <c r="RNS52" s="53"/>
      <c r="RNT52" s="53"/>
      <c r="RNU52" s="53"/>
      <c r="RNV52" s="53"/>
      <c r="RNW52" s="53"/>
      <c r="RNX52" s="53"/>
      <c r="RNY52" s="53"/>
      <c r="RNZ52" s="53"/>
      <c r="ROA52" s="53"/>
      <c r="ROB52" s="53"/>
      <c r="ROC52" s="53"/>
      <c r="ROD52" s="53"/>
      <c r="ROE52" s="53"/>
      <c r="ROF52" s="53"/>
      <c r="ROG52" s="53"/>
      <c r="ROH52" s="53"/>
      <c r="ROI52" s="53"/>
      <c r="ROJ52" s="53"/>
      <c r="ROK52" s="53"/>
      <c r="ROL52" s="53"/>
      <c r="ROM52" s="53"/>
      <c r="RON52" s="53"/>
      <c r="ROO52" s="53"/>
      <c r="ROP52" s="53"/>
      <c r="ROQ52" s="53"/>
      <c r="ROR52" s="53"/>
      <c r="ROS52" s="53"/>
      <c r="ROT52" s="53"/>
      <c r="ROU52" s="53"/>
      <c r="ROV52" s="53"/>
      <c r="ROW52" s="53"/>
      <c r="ROX52" s="53"/>
      <c r="ROY52" s="53"/>
      <c r="ROZ52" s="53"/>
      <c r="RPA52" s="53"/>
      <c r="RPB52" s="53"/>
      <c r="RPC52" s="53"/>
      <c r="RPD52" s="53"/>
      <c r="RPE52" s="53"/>
      <c r="RPF52" s="53"/>
      <c r="RPG52" s="53"/>
      <c r="RPH52" s="53"/>
      <c r="RPI52" s="53"/>
      <c r="RPJ52" s="53"/>
      <c r="RPK52" s="53"/>
      <c r="RPL52" s="53"/>
      <c r="RPM52" s="53"/>
      <c r="RPN52" s="53"/>
      <c r="RPO52" s="53"/>
      <c r="RPP52" s="53"/>
      <c r="RPQ52" s="53"/>
      <c r="RPR52" s="53"/>
      <c r="RPS52" s="53"/>
      <c r="RPT52" s="53"/>
      <c r="RPU52" s="53"/>
      <c r="RPV52" s="53"/>
      <c r="RPW52" s="53"/>
      <c r="RPX52" s="53"/>
      <c r="RPY52" s="53"/>
      <c r="RPZ52" s="53"/>
      <c r="RQA52" s="53"/>
      <c r="RQB52" s="53"/>
      <c r="RQC52" s="53"/>
      <c r="RQD52" s="53"/>
      <c r="RQE52" s="53"/>
      <c r="RQF52" s="53"/>
      <c r="RQG52" s="53"/>
      <c r="RQH52" s="53"/>
      <c r="RQI52" s="53"/>
      <c r="RQJ52" s="53"/>
      <c r="RQK52" s="53"/>
      <c r="RQL52" s="53"/>
      <c r="RQM52" s="53"/>
      <c r="RQN52" s="53"/>
      <c r="RQO52" s="53"/>
      <c r="RQP52" s="53"/>
      <c r="RQQ52" s="53"/>
      <c r="RQR52" s="53"/>
      <c r="RQS52" s="53"/>
      <c r="RQT52" s="53"/>
      <c r="RQU52" s="53"/>
      <c r="RQV52" s="53"/>
      <c r="RQW52" s="53"/>
      <c r="RQX52" s="53"/>
      <c r="RQY52" s="53"/>
      <c r="RQZ52" s="53"/>
      <c r="RRA52" s="53"/>
      <c r="RRB52" s="53"/>
      <c r="RRC52" s="53"/>
      <c r="RRD52" s="53"/>
      <c r="RRE52" s="53"/>
      <c r="RRF52" s="53"/>
      <c r="RRG52" s="53"/>
      <c r="RRH52" s="53"/>
      <c r="RRI52" s="53"/>
      <c r="RRJ52" s="53"/>
      <c r="RRK52" s="53"/>
      <c r="RRL52" s="53"/>
      <c r="RRM52" s="53"/>
      <c r="RRN52" s="53"/>
      <c r="RRO52" s="53"/>
      <c r="RRP52" s="53"/>
      <c r="RRQ52" s="53"/>
      <c r="RRR52" s="53"/>
      <c r="RRS52" s="53"/>
      <c r="RRT52" s="53"/>
      <c r="RRU52" s="53"/>
      <c r="RRV52" s="53"/>
      <c r="RRW52" s="53"/>
      <c r="RRX52" s="53"/>
      <c r="RRY52" s="53"/>
      <c r="RRZ52" s="53"/>
      <c r="RSA52" s="53"/>
      <c r="RSB52" s="53"/>
      <c r="RSC52" s="53"/>
      <c r="RSD52" s="53"/>
      <c r="RSE52" s="53"/>
      <c r="RSF52" s="53"/>
      <c r="RSG52" s="53"/>
      <c r="RSH52" s="53"/>
      <c r="RSI52" s="53"/>
      <c r="RSJ52" s="53"/>
      <c r="RSK52" s="53"/>
      <c r="RSL52" s="53"/>
      <c r="RSM52" s="53"/>
      <c r="RSN52" s="53"/>
      <c r="RSO52" s="53"/>
      <c r="RSP52" s="53"/>
      <c r="RSQ52" s="53"/>
      <c r="RSR52" s="53"/>
      <c r="RSS52" s="53"/>
      <c r="RST52" s="53"/>
      <c r="RSU52" s="53"/>
      <c r="RSV52" s="53"/>
      <c r="RSW52" s="53"/>
      <c r="RSX52" s="53"/>
      <c r="RSY52" s="53"/>
      <c r="RSZ52" s="53"/>
      <c r="RTA52" s="53"/>
      <c r="RTB52" s="53"/>
      <c r="RTC52" s="53"/>
      <c r="RTD52" s="53"/>
      <c r="RTE52" s="53"/>
      <c r="RTF52" s="53"/>
      <c r="RTG52" s="53"/>
      <c r="RTH52" s="53"/>
      <c r="RTI52" s="53"/>
      <c r="RTJ52" s="53"/>
      <c r="RTK52" s="53"/>
      <c r="RTL52" s="53"/>
      <c r="RTM52" s="53"/>
      <c r="RTN52" s="53"/>
      <c r="RTO52" s="53"/>
      <c r="RTP52" s="53"/>
      <c r="RTQ52" s="53"/>
      <c r="RTR52" s="53"/>
      <c r="RTS52" s="53"/>
      <c r="RTT52" s="53"/>
      <c r="RTU52" s="53"/>
      <c r="RTV52" s="53"/>
      <c r="RTW52" s="53"/>
      <c r="RTX52" s="53"/>
      <c r="RTY52" s="53"/>
      <c r="RTZ52" s="53"/>
      <c r="RUA52" s="53"/>
      <c r="RUB52" s="53"/>
      <c r="RUC52" s="53"/>
      <c r="RUD52" s="53"/>
      <c r="RUE52" s="53"/>
      <c r="RUF52" s="53"/>
      <c r="RUG52" s="53"/>
      <c r="RUH52" s="53"/>
      <c r="RUI52" s="53"/>
      <c r="RUJ52" s="53"/>
      <c r="RUK52" s="53"/>
      <c r="RUL52" s="53"/>
      <c r="RUM52" s="53"/>
      <c r="RUN52" s="53"/>
      <c r="RUO52" s="53"/>
      <c r="RUP52" s="53"/>
      <c r="RUQ52" s="53"/>
      <c r="RUR52" s="53"/>
      <c r="RUS52" s="53"/>
      <c r="RUT52" s="53"/>
      <c r="RUU52" s="53"/>
      <c r="RUV52" s="53"/>
      <c r="RUW52" s="53"/>
      <c r="RUX52" s="53"/>
      <c r="RUY52" s="53"/>
      <c r="RUZ52" s="53"/>
      <c r="RVA52" s="53"/>
      <c r="RVB52" s="53"/>
      <c r="RVC52" s="53"/>
      <c r="RVD52" s="53"/>
      <c r="RVE52" s="53"/>
      <c r="RVF52" s="53"/>
      <c r="RVG52" s="53"/>
      <c r="RVH52" s="53"/>
      <c r="RVI52" s="53"/>
      <c r="RVJ52" s="53"/>
      <c r="RVK52" s="53"/>
      <c r="RVL52" s="53"/>
      <c r="RVM52" s="53"/>
      <c r="RVN52" s="53"/>
      <c r="RVO52" s="53"/>
      <c r="RVP52" s="53"/>
      <c r="RVQ52" s="53"/>
      <c r="RVR52" s="53"/>
      <c r="RVS52" s="53"/>
      <c r="RVT52" s="53"/>
      <c r="RVU52" s="53"/>
      <c r="RVV52" s="53"/>
      <c r="RVW52" s="53"/>
      <c r="RVX52" s="53"/>
      <c r="RVY52" s="53"/>
      <c r="RVZ52" s="53"/>
      <c r="RWA52" s="53"/>
      <c r="RWB52" s="53"/>
      <c r="RWC52" s="53"/>
      <c r="RWD52" s="53"/>
      <c r="RWE52" s="53"/>
      <c r="RWF52" s="53"/>
      <c r="RWG52" s="53"/>
      <c r="RWH52" s="53"/>
      <c r="RWI52" s="53"/>
      <c r="RWJ52" s="53"/>
      <c r="RWK52" s="53"/>
      <c r="RWL52" s="53"/>
      <c r="RWM52" s="53"/>
      <c r="RWN52" s="53"/>
      <c r="RWO52" s="53"/>
      <c r="RWP52" s="53"/>
      <c r="RWQ52" s="53"/>
      <c r="RWR52" s="53"/>
      <c r="RWS52" s="53"/>
      <c r="RWT52" s="53"/>
      <c r="RWU52" s="53"/>
      <c r="RWV52" s="53"/>
      <c r="RWW52" s="53"/>
      <c r="RWX52" s="53"/>
      <c r="RWY52" s="53"/>
      <c r="RWZ52" s="53"/>
      <c r="RXA52" s="53"/>
      <c r="RXB52" s="53"/>
      <c r="RXC52" s="53"/>
      <c r="RXD52" s="53"/>
      <c r="RXE52" s="53"/>
      <c r="RXF52" s="53"/>
      <c r="RXG52" s="53"/>
      <c r="RXH52" s="53"/>
      <c r="RXI52" s="53"/>
      <c r="RXJ52" s="53"/>
      <c r="RXK52" s="53"/>
      <c r="RXL52" s="53"/>
      <c r="RXM52" s="53"/>
      <c r="RXN52" s="53"/>
      <c r="RXO52" s="53"/>
      <c r="RXP52" s="53"/>
      <c r="RXQ52" s="53"/>
      <c r="RXR52" s="53"/>
      <c r="RXS52" s="53"/>
      <c r="RXT52" s="53"/>
      <c r="RXU52" s="53"/>
      <c r="RXV52" s="53"/>
      <c r="RXW52" s="53"/>
      <c r="RXX52" s="53"/>
      <c r="RXY52" s="53"/>
      <c r="RXZ52" s="53"/>
      <c r="RYA52" s="53"/>
      <c r="RYB52" s="53"/>
      <c r="RYC52" s="53"/>
      <c r="RYD52" s="53"/>
      <c r="RYE52" s="53"/>
      <c r="RYF52" s="53"/>
      <c r="RYG52" s="53"/>
      <c r="RYH52" s="53"/>
      <c r="RYI52" s="53"/>
      <c r="RYJ52" s="53"/>
      <c r="RYK52" s="53"/>
      <c r="RYL52" s="53"/>
      <c r="RYM52" s="53"/>
      <c r="RYN52" s="53"/>
      <c r="RYO52" s="53"/>
      <c r="RYP52" s="53"/>
      <c r="RYQ52" s="53"/>
      <c r="RYR52" s="53"/>
      <c r="RYS52" s="53"/>
      <c r="RYT52" s="53"/>
      <c r="RYU52" s="53"/>
      <c r="RYV52" s="53"/>
      <c r="RYW52" s="53"/>
      <c r="RYX52" s="53"/>
      <c r="RYY52" s="53"/>
      <c r="RYZ52" s="53"/>
      <c r="RZA52" s="53"/>
      <c r="RZB52" s="53"/>
      <c r="RZC52" s="53"/>
      <c r="RZD52" s="53"/>
      <c r="RZE52" s="53"/>
      <c r="RZF52" s="53"/>
      <c r="RZG52" s="53"/>
      <c r="RZH52" s="53"/>
      <c r="RZI52" s="53"/>
      <c r="RZJ52" s="53"/>
      <c r="RZK52" s="53"/>
      <c r="RZL52" s="53"/>
      <c r="RZM52" s="53"/>
      <c r="RZN52" s="53"/>
      <c r="RZO52" s="53"/>
      <c r="RZP52" s="53"/>
      <c r="RZQ52" s="53"/>
      <c r="RZR52" s="53"/>
      <c r="RZS52" s="53"/>
      <c r="RZT52" s="53"/>
      <c r="RZU52" s="53"/>
      <c r="RZV52" s="53"/>
      <c r="RZW52" s="53"/>
      <c r="RZX52" s="53"/>
      <c r="RZY52" s="53"/>
      <c r="RZZ52" s="53"/>
      <c r="SAA52" s="53"/>
      <c r="SAB52" s="53"/>
      <c r="SAC52" s="53"/>
      <c r="SAD52" s="53"/>
      <c r="SAE52" s="53"/>
      <c r="SAF52" s="53"/>
      <c r="SAG52" s="53"/>
      <c r="SAH52" s="53"/>
      <c r="SAI52" s="53"/>
      <c r="SAJ52" s="53"/>
      <c r="SAK52" s="53"/>
      <c r="SAL52" s="53"/>
      <c r="SAM52" s="53"/>
      <c r="SAN52" s="53"/>
      <c r="SAO52" s="53"/>
      <c r="SAP52" s="53"/>
      <c r="SAQ52" s="53"/>
      <c r="SAR52" s="53"/>
      <c r="SAS52" s="53"/>
      <c r="SAT52" s="53"/>
      <c r="SAU52" s="53"/>
      <c r="SAV52" s="53"/>
      <c r="SAW52" s="53"/>
      <c r="SAX52" s="53"/>
      <c r="SAY52" s="53"/>
      <c r="SAZ52" s="53"/>
      <c r="SBA52" s="53"/>
      <c r="SBB52" s="53"/>
      <c r="SBC52" s="53"/>
      <c r="SBD52" s="53"/>
      <c r="SBE52" s="53"/>
      <c r="SBF52" s="53"/>
      <c r="SBG52" s="53"/>
      <c r="SBH52" s="53"/>
      <c r="SBI52" s="53"/>
      <c r="SBJ52" s="53"/>
      <c r="SBK52" s="53"/>
      <c r="SBL52" s="53"/>
      <c r="SBM52" s="53"/>
      <c r="SBN52" s="53"/>
      <c r="SBO52" s="53"/>
      <c r="SBP52" s="53"/>
      <c r="SBQ52" s="53"/>
      <c r="SBR52" s="53"/>
      <c r="SBS52" s="53"/>
      <c r="SBT52" s="53"/>
      <c r="SBU52" s="53"/>
      <c r="SBV52" s="53"/>
      <c r="SBW52" s="53"/>
      <c r="SBX52" s="53"/>
      <c r="SBY52" s="53"/>
      <c r="SBZ52" s="53"/>
      <c r="SCA52" s="53"/>
      <c r="SCB52" s="53"/>
      <c r="SCC52" s="53"/>
      <c r="SCD52" s="53"/>
      <c r="SCE52" s="53"/>
      <c r="SCF52" s="53"/>
      <c r="SCG52" s="53"/>
      <c r="SCH52" s="53"/>
      <c r="SCI52" s="53"/>
      <c r="SCJ52" s="53"/>
      <c r="SCK52" s="53"/>
      <c r="SCL52" s="53"/>
      <c r="SCM52" s="53"/>
      <c r="SCN52" s="53"/>
      <c r="SCO52" s="53"/>
      <c r="SCP52" s="53"/>
      <c r="SCQ52" s="53"/>
      <c r="SCR52" s="53"/>
      <c r="SCS52" s="53"/>
      <c r="SCT52" s="53"/>
      <c r="SCU52" s="53"/>
      <c r="SCV52" s="53"/>
      <c r="SCW52" s="53"/>
      <c r="SCX52" s="53"/>
      <c r="SCY52" s="53"/>
      <c r="SCZ52" s="53"/>
      <c r="SDA52" s="53"/>
      <c r="SDB52" s="53"/>
      <c r="SDC52" s="53"/>
      <c r="SDD52" s="53"/>
      <c r="SDE52" s="53"/>
      <c r="SDF52" s="53"/>
      <c r="SDG52" s="53"/>
      <c r="SDH52" s="53"/>
      <c r="SDI52" s="53"/>
      <c r="SDJ52" s="53"/>
      <c r="SDK52" s="53"/>
      <c r="SDL52" s="53"/>
      <c r="SDM52" s="53"/>
      <c r="SDN52" s="53"/>
      <c r="SDO52" s="53"/>
      <c r="SDP52" s="53"/>
      <c r="SDQ52" s="53"/>
      <c r="SDR52" s="53"/>
      <c r="SDS52" s="53"/>
      <c r="SDT52" s="53"/>
      <c r="SDU52" s="53"/>
      <c r="SDV52" s="53"/>
      <c r="SDW52" s="53"/>
      <c r="SDX52" s="53"/>
      <c r="SDY52" s="53"/>
      <c r="SDZ52" s="53"/>
      <c r="SEA52" s="53"/>
      <c r="SEB52" s="53"/>
      <c r="SEC52" s="53"/>
      <c r="SED52" s="53"/>
      <c r="SEE52" s="53"/>
      <c r="SEF52" s="53"/>
      <c r="SEG52" s="53"/>
      <c r="SEH52" s="53"/>
      <c r="SEI52" s="53"/>
      <c r="SEJ52" s="53"/>
      <c r="SEK52" s="53"/>
      <c r="SEL52" s="53"/>
      <c r="SEM52" s="53"/>
      <c r="SEN52" s="53"/>
      <c r="SEO52" s="53"/>
      <c r="SEP52" s="53"/>
      <c r="SEQ52" s="53"/>
      <c r="SER52" s="53"/>
      <c r="SES52" s="53"/>
      <c r="SET52" s="53"/>
      <c r="SEU52" s="53"/>
      <c r="SEV52" s="53"/>
      <c r="SEW52" s="53"/>
      <c r="SEX52" s="53"/>
      <c r="SEY52" s="53"/>
      <c r="SEZ52" s="53"/>
      <c r="SFA52" s="53"/>
      <c r="SFB52" s="53"/>
      <c r="SFC52" s="53"/>
      <c r="SFD52" s="53"/>
      <c r="SFE52" s="53"/>
      <c r="SFF52" s="53"/>
      <c r="SFG52" s="53"/>
      <c r="SFH52" s="53"/>
      <c r="SFI52" s="53"/>
      <c r="SFJ52" s="53"/>
      <c r="SFK52" s="53"/>
      <c r="SFL52" s="53"/>
      <c r="SFM52" s="53"/>
      <c r="SFN52" s="53"/>
      <c r="SFO52" s="53"/>
      <c r="SFP52" s="53"/>
      <c r="SFQ52" s="53"/>
      <c r="SFR52" s="53"/>
      <c r="SFS52" s="53"/>
      <c r="SFT52" s="53"/>
      <c r="SFU52" s="53"/>
      <c r="SFV52" s="53"/>
      <c r="SFW52" s="53"/>
      <c r="SFX52" s="53"/>
      <c r="SFY52" s="53"/>
      <c r="SFZ52" s="53"/>
      <c r="SGA52" s="53"/>
      <c r="SGB52" s="53"/>
      <c r="SGC52" s="53"/>
      <c r="SGD52" s="53"/>
      <c r="SGE52" s="53"/>
      <c r="SGF52" s="53"/>
      <c r="SGG52" s="53"/>
      <c r="SGH52" s="53"/>
      <c r="SGI52" s="53"/>
      <c r="SGJ52" s="53"/>
      <c r="SGK52" s="53"/>
      <c r="SGL52" s="53"/>
      <c r="SGM52" s="53"/>
      <c r="SGN52" s="53"/>
      <c r="SGO52" s="53"/>
      <c r="SGP52" s="53"/>
      <c r="SGQ52" s="53"/>
      <c r="SGR52" s="53"/>
      <c r="SGS52" s="53"/>
      <c r="SGT52" s="53"/>
      <c r="SGU52" s="53"/>
      <c r="SGV52" s="53"/>
      <c r="SGW52" s="53"/>
      <c r="SGX52" s="53"/>
      <c r="SGY52" s="53"/>
      <c r="SGZ52" s="53"/>
      <c r="SHA52" s="53"/>
      <c r="SHB52" s="53"/>
      <c r="SHC52" s="53"/>
      <c r="SHD52" s="53"/>
      <c r="SHE52" s="53"/>
      <c r="SHF52" s="53"/>
      <c r="SHG52" s="53"/>
      <c r="SHH52" s="53"/>
      <c r="SHI52" s="53"/>
      <c r="SHJ52" s="53"/>
      <c r="SHK52" s="53"/>
      <c r="SHL52" s="53"/>
      <c r="SHM52" s="53"/>
      <c r="SHN52" s="53"/>
      <c r="SHO52" s="53"/>
      <c r="SHP52" s="53"/>
      <c r="SHQ52" s="53"/>
      <c r="SHR52" s="53"/>
      <c r="SHS52" s="53"/>
      <c r="SHT52" s="53"/>
      <c r="SHU52" s="53"/>
      <c r="SHV52" s="53"/>
      <c r="SHW52" s="53"/>
      <c r="SHX52" s="53"/>
      <c r="SHY52" s="53"/>
      <c r="SHZ52" s="53"/>
      <c r="SIA52" s="53"/>
      <c r="SIB52" s="53"/>
      <c r="SIC52" s="53"/>
      <c r="SID52" s="53"/>
      <c r="SIE52" s="53"/>
      <c r="SIF52" s="53"/>
      <c r="SIG52" s="53"/>
      <c r="SIH52" s="53"/>
      <c r="SII52" s="53"/>
      <c r="SIJ52" s="53"/>
      <c r="SIK52" s="53"/>
      <c r="SIL52" s="53"/>
      <c r="SIM52" s="53"/>
      <c r="SIN52" s="53"/>
      <c r="SIO52" s="53"/>
      <c r="SIP52" s="53"/>
      <c r="SIQ52" s="53"/>
      <c r="SIR52" s="53"/>
      <c r="SIS52" s="53"/>
      <c r="SIT52" s="53"/>
      <c r="SIU52" s="53"/>
      <c r="SIV52" s="53"/>
      <c r="SIW52" s="53"/>
      <c r="SIX52" s="53"/>
      <c r="SIY52" s="53"/>
      <c r="SIZ52" s="53"/>
      <c r="SJA52" s="53"/>
      <c r="SJB52" s="53"/>
      <c r="SJC52" s="53"/>
      <c r="SJD52" s="53"/>
      <c r="SJE52" s="53"/>
      <c r="SJF52" s="53"/>
      <c r="SJG52" s="53"/>
      <c r="SJH52" s="53"/>
      <c r="SJI52" s="53"/>
      <c r="SJJ52" s="53"/>
      <c r="SJK52" s="53"/>
      <c r="SJL52" s="53"/>
      <c r="SJM52" s="53"/>
      <c r="SJN52" s="53"/>
      <c r="SJO52" s="53"/>
      <c r="SJP52" s="53"/>
      <c r="SJQ52" s="53"/>
      <c r="SJR52" s="53"/>
      <c r="SJS52" s="53"/>
      <c r="SJT52" s="53"/>
      <c r="SJU52" s="53"/>
      <c r="SJV52" s="53"/>
      <c r="SJW52" s="53"/>
      <c r="SJX52" s="53"/>
      <c r="SJY52" s="53"/>
      <c r="SJZ52" s="53"/>
      <c r="SKA52" s="53"/>
      <c r="SKB52" s="53"/>
      <c r="SKC52" s="53"/>
      <c r="SKD52" s="53"/>
      <c r="SKE52" s="53"/>
      <c r="SKF52" s="53"/>
      <c r="SKG52" s="53"/>
      <c r="SKH52" s="53"/>
      <c r="SKI52" s="53"/>
      <c r="SKJ52" s="53"/>
      <c r="SKK52" s="53"/>
      <c r="SKL52" s="53"/>
      <c r="SKM52" s="53"/>
      <c r="SKN52" s="53"/>
      <c r="SKO52" s="53"/>
      <c r="SKP52" s="53"/>
      <c r="SKQ52" s="53"/>
      <c r="SKR52" s="53"/>
      <c r="SKS52" s="53"/>
      <c r="SKT52" s="53"/>
      <c r="SKU52" s="53"/>
      <c r="SKV52" s="53"/>
      <c r="SKW52" s="53"/>
      <c r="SKX52" s="53"/>
      <c r="SKY52" s="53"/>
      <c r="SKZ52" s="53"/>
      <c r="SLA52" s="53"/>
      <c r="SLB52" s="53"/>
      <c r="SLC52" s="53"/>
      <c r="SLD52" s="53"/>
      <c r="SLE52" s="53"/>
      <c r="SLF52" s="53"/>
      <c r="SLG52" s="53"/>
      <c r="SLH52" s="53"/>
      <c r="SLI52" s="53"/>
      <c r="SLJ52" s="53"/>
      <c r="SLK52" s="53"/>
      <c r="SLL52" s="53"/>
      <c r="SLM52" s="53"/>
      <c r="SLN52" s="53"/>
      <c r="SLO52" s="53"/>
      <c r="SLP52" s="53"/>
      <c r="SLQ52" s="53"/>
      <c r="SLR52" s="53"/>
      <c r="SLS52" s="53"/>
      <c r="SLT52" s="53"/>
      <c r="SLU52" s="53"/>
      <c r="SLV52" s="53"/>
      <c r="SLW52" s="53"/>
      <c r="SLX52" s="53"/>
      <c r="SLY52" s="53"/>
      <c r="SLZ52" s="53"/>
      <c r="SMA52" s="53"/>
      <c r="SMB52" s="53"/>
      <c r="SMC52" s="53"/>
      <c r="SMD52" s="53"/>
      <c r="SME52" s="53"/>
      <c r="SMF52" s="53"/>
      <c r="SMG52" s="53"/>
      <c r="SMH52" s="53"/>
      <c r="SMI52" s="53"/>
      <c r="SMJ52" s="53"/>
      <c r="SMK52" s="53"/>
      <c r="SML52" s="53"/>
      <c r="SMM52" s="53"/>
      <c r="SMN52" s="53"/>
      <c r="SMO52" s="53"/>
      <c r="SMP52" s="53"/>
      <c r="SMQ52" s="53"/>
      <c r="SMR52" s="53"/>
      <c r="SMS52" s="53"/>
      <c r="SMT52" s="53"/>
      <c r="SMU52" s="53"/>
      <c r="SMV52" s="53"/>
      <c r="SMW52" s="53"/>
      <c r="SMX52" s="53"/>
      <c r="SMY52" s="53"/>
      <c r="SMZ52" s="53"/>
      <c r="SNA52" s="53"/>
      <c r="SNB52" s="53"/>
      <c r="SNC52" s="53"/>
      <c r="SND52" s="53"/>
      <c r="SNE52" s="53"/>
      <c r="SNF52" s="53"/>
      <c r="SNG52" s="53"/>
      <c r="SNH52" s="53"/>
      <c r="SNI52" s="53"/>
      <c r="SNJ52" s="53"/>
      <c r="SNK52" s="53"/>
      <c r="SNL52" s="53"/>
      <c r="SNM52" s="53"/>
      <c r="SNN52" s="53"/>
      <c r="SNO52" s="53"/>
      <c r="SNP52" s="53"/>
      <c r="SNQ52" s="53"/>
      <c r="SNR52" s="53"/>
      <c r="SNS52" s="53"/>
      <c r="SNT52" s="53"/>
      <c r="SNU52" s="53"/>
      <c r="SNV52" s="53"/>
      <c r="SNW52" s="53"/>
      <c r="SNX52" s="53"/>
      <c r="SNY52" s="53"/>
      <c r="SNZ52" s="53"/>
      <c r="SOA52" s="53"/>
      <c r="SOB52" s="53"/>
      <c r="SOC52" s="53"/>
      <c r="SOD52" s="53"/>
      <c r="SOE52" s="53"/>
      <c r="SOF52" s="53"/>
      <c r="SOG52" s="53"/>
      <c r="SOH52" s="53"/>
      <c r="SOI52" s="53"/>
      <c r="SOJ52" s="53"/>
      <c r="SOK52" s="53"/>
      <c r="SOL52" s="53"/>
      <c r="SOM52" s="53"/>
      <c r="SON52" s="53"/>
      <c r="SOO52" s="53"/>
      <c r="SOP52" s="53"/>
      <c r="SOQ52" s="53"/>
      <c r="SOR52" s="53"/>
      <c r="SOS52" s="53"/>
      <c r="SOT52" s="53"/>
      <c r="SOU52" s="53"/>
      <c r="SOV52" s="53"/>
      <c r="SOW52" s="53"/>
      <c r="SOX52" s="53"/>
      <c r="SOY52" s="53"/>
      <c r="SOZ52" s="53"/>
      <c r="SPA52" s="53"/>
      <c r="SPB52" s="53"/>
      <c r="SPC52" s="53"/>
      <c r="SPD52" s="53"/>
      <c r="SPE52" s="53"/>
      <c r="SPF52" s="53"/>
      <c r="SPG52" s="53"/>
      <c r="SPH52" s="53"/>
      <c r="SPI52" s="53"/>
      <c r="SPJ52" s="53"/>
      <c r="SPK52" s="53"/>
      <c r="SPL52" s="53"/>
      <c r="SPM52" s="53"/>
      <c r="SPN52" s="53"/>
      <c r="SPO52" s="53"/>
      <c r="SPP52" s="53"/>
      <c r="SPQ52" s="53"/>
      <c r="SPR52" s="53"/>
      <c r="SPS52" s="53"/>
      <c r="SPT52" s="53"/>
      <c r="SPU52" s="53"/>
      <c r="SPV52" s="53"/>
      <c r="SPW52" s="53"/>
      <c r="SPX52" s="53"/>
      <c r="SPY52" s="53"/>
      <c r="SPZ52" s="53"/>
      <c r="SQA52" s="53"/>
      <c r="SQB52" s="53"/>
      <c r="SQC52" s="53"/>
      <c r="SQD52" s="53"/>
      <c r="SQE52" s="53"/>
      <c r="SQF52" s="53"/>
      <c r="SQG52" s="53"/>
      <c r="SQH52" s="53"/>
      <c r="SQI52" s="53"/>
      <c r="SQJ52" s="53"/>
      <c r="SQK52" s="53"/>
      <c r="SQL52" s="53"/>
      <c r="SQM52" s="53"/>
      <c r="SQN52" s="53"/>
      <c r="SQO52" s="53"/>
      <c r="SQP52" s="53"/>
      <c r="SQQ52" s="53"/>
      <c r="SQR52" s="53"/>
      <c r="SQS52" s="53"/>
      <c r="SQT52" s="53"/>
      <c r="SQU52" s="53"/>
      <c r="SQV52" s="53"/>
      <c r="SQW52" s="53"/>
      <c r="SQX52" s="53"/>
      <c r="SQY52" s="53"/>
      <c r="SQZ52" s="53"/>
      <c r="SRA52" s="53"/>
      <c r="SRB52" s="53"/>
      <c r="SRC52" s="53"/>
      <c r="SRD52" s="53"/>
      <c r="SRE52" s="53"/>
      <c r="SRF52" s="53"/>
      <c r="SRG52" s="53"/>
      <c r="SRH52" s="53"/>
      <c r="SRI52" s="53"/>
      <c r="SRJ52" s="53"/>
      <c r="SRK52" s="53"/>
      <c r="SRL52" s="53"/>
      <c r="SRM52" s="53"/>
      <c r="SRN52" s="53"/>
      <c r="SRO52" s="53"/>
      <c r="SRP52" s="53"/>
      <c r="SRQ52" s="53"/>
      <c r="SRR52" s="53"/>
      <c r="SRS52" s="53"/>
      <c r="SRT52" s="53"/>
      <c r="SRU52" s="53"/>
      <c r="SRV52" s="53"/>
      <c r="SRW52" s="53"/>
      <c r="SRX52" s="53"/>
      <c r="SRY52" s="53"/>
      <c r="SRZ52" s="53"/>
      <c r="SSA52" s="53"/>
      <c r="SSB52" s="53"/>
      <c r="SSC52" s="53"/>
      <c r="SSD52" s="53"/>
      <c r="SSE52" s="53"/>
      <c r="SSF52" s="53"/>
      <c r="SSG52" s="53"/>
      <c r="SSH52" s="53"/>
      <c r="SSI52" s="53"/>
      <c r="SSJ52" s="53"/>
      <c r="SSK52" s="53"/>
      <c r="SSL52" s="53"/>
      <c r="SSM52" s="53"/>
      <c r="SSN52" s="53"/>
      <c r="SSO52" s="53"/>
      <c r="SSP52" s="53"/>
      <c r="SSQ52" s="53"/>
      <c r="SSR52" s="53"/>
      <c r="SSS52" s="53"/>
      <c r="SST52" s="53"/>
      <c r="SSU52" s="53"/>
      <c r="SSV52" s="53"/>
      <c r="SSW52" s="53"/>
      <c r="SSX52" s="53"/>
      <c r="SSY52" s="53"/>
      <c r="SSZ52" s="53"/>
      <c r="STA52" s="53"/>
      <c r="STB52" s="53"/>
      <c r="STC52" s="53"/>
      <c r="STD52" s="53"/>
      <c r="STE52" s="53"/>
      <c r="STF52" s="53"/>
      <c r="STG52" s="53"/>
      <c r="STH52" s="53"/>
      <c r="STI52" s="53"/>
      <c r="STJ52" s="53"/>
      <c r="STK52" s="53"/>
      <c r="STL52" s="53"/>
      <c r="STM52" s="53"/>
      <c r="STN52" s="53"/>
      <c r="STO52" s="53"/>
      <c r="STP52" s="53"/>
      <c r="STQ52" s="53"/>
      <c r="STR52" s="53"/>
      <c r="STS52" s="53"/>
      <c r="STT52" s="53"/>
      <c r="STU52" s="53"/>
      <c r="STV52" s="53"/>
      <c r="STW52" s="53"/>
      <c r="STX52" s="53"/>
      <c r="STY52" s="53"/>
      <c r="STZ52" s="53"/>
      <c r="SUA52" s="53"/>
      <c r="SUB52" s="53"/>
      <c r="SUC52" s="53"/>
      <c r="SUD52" s="53"/>
      <c r="SUE52" s="53"/>
      <c r="SUF52" s="53"/>
      <c r="SUG52" s="53"/>
      <c r="SUH52" s="53"/>
      <c r="SUI52" s="53"/>
      <c r="SUJ52" s="53"/>
      <c r="SUK52" s="53"/>
      <c r="SUL52" s="53"/>
      <c r="SUM52" s="53"/>
      <c r="SUN52" s="53"/>
      <c r="SUO52" s="53"/>
      <c r="SUP52" s="53"/>
      <c r="SUQ52" s="53"/>
      <c r="SUR52" s="53"/>
      <c r="SUS52" s="53"/>
      <c r="SUT52" s="53"/>
      <c r="SUU52" s="53"/>
      <c r="SUV52" s="53"/>
      <c r="SUW52" s="53"/>
      <c r="SUX52" s="53"/>
      <c r="SUY52" s="53"/>
      <c r="SUZ52" s="53"/>
      <c r="SVA52" s="53"/>
      <c r="SVB52" s="53"/>
      <c r="SVC52" s="53"/>
      <c r="SVD52" s="53"/>
      <c r="SVE52" s="53"/>
      <c r="SVF52" s="53"/>
      <c r="SVG52" s="53"/>
      <c r="SVH52" s="53"/>
      <c r="SVI52" s="53"/>
      <c r="SVJ52" s="53"/>
      <c r="SVK52" s="53"/>
      <c r="SVL52" s="53"/>
      <c r="SVM52" s="53"/>
      <c r="SVN52" s="53"/>
      <c r="SVO52" s="53"/>
      <c r="SVP52" s="53"/>
      <c r="SVQ52" s="53"/>
      <c r="SVR52" s="53"/>
      <c r="SVS52" s="53"/>
      <c r="SVT52" s="53"/>
      <c r="SVU52" s="53"/>
      <c r="SVV52" s="53"/>
      <c r="SVW52" s="53"/>
      <c r="SVX52" s="53"/>
      <c r="SVY52" s="53"/>
      <c r="SVZ52" s="53"/>
      <c r="SWA52" s="53"/>
      <c r="SWB52" s="53"/>
      <c r="SWC52" s="53"/>
      <c r="SWD52" s="53"/>
      <c r="SWE52" s="53"/>
      <c r="SWF52" s="53"/>
      <c r="SWG52" s="53"/>
      <c r="SWH52" s="53"/>
      <c r="SWI52" s="53"/>
      <c r="SWJ52" s="53"/>
      <c r="SWK52" s="53"/>
      <c r="SWL52" s="53"/>
      <c r="SWM52" s="53"/>
      <c r="SWN52" s="53"/>
      <c r="SWO52" s="53"/>
      <c r="SWP52" s="53"/>
      <c r="SWQ52" s="53"/>
      <c r="SWR52" s="53"/>
      <c r="SWS52" s="53"/>
      <c r="SWT52" s="53"/>
      <c r="SWU52" s="53"/>
      <c r="SWV52" s="53"/>
      <c r="SWW52" s="53"/>
      <c r="SWX52" s="53"/>
      <c r="SWY52" s="53"/>
      <c r="SWZ52" s="53"/>
      <c r="SXA52" s="53"/>
      <c r="SXB52" s="53"/>
      <c r="SXC52" s="53"/>
      <c r="SXD52" s="53"/>
      <c r="SXE52" s="53"/>
      <c r="SXF52" s="53"/>
      <c r="SXG52" s="53"/>
      <c r="SXH52" s="53"/>
      <c r="SXI52" s="53"/>
      <c r="SXJ52" s="53"/>
      <c r="SXK52" s="53"/>
      <c r="SXL52" s="53"/>
      <c r="SXM52" s="53"/>
      <c r="SXN52" s="53"/>
      <c r="SXO52" s="53"/>
      <c r="SXP52" s="53"/>
      <c r="SXQ52" s="53"/>
      <c r="SXR52" s="53"/>
      <c r="SXS52" s="53"/>
      <c r="SXT52" s="53"/>
      <c r="SXU52" s="53"/>
      <c r="SXV52" s="53"/>
      <c r="SXW52" s="53"/>
      <c r="SXX52" s="53"/>
      <c r="SXY52" s="53"/>
      <c r="SXZ52" s="53"/>
      <c r="SYA52" s="53"/>
      <c r="SYB52" s="53"/>
      <c r="SYC52" s="53"/>
      <c r="SYD52" s="53"/>
      <c r="SYE52" s="53"/>
      <c r="SYF52" s="53"/>
      <c r="SYG52" s="53"/>
      <c r="SYH52" s="53"/>
      <c r="SYI52" s="53"/>
      <c r="SYJ52" s="53"/>
      <c r="SYK52" s="53"/>
      <c r="SYL52" s="53"/>
      <c r="SYM52" s="53"/>
      <c r="SYN52" s="53"/>
      <c r="SYO52" s="53"/>
      <c r="SYP52" s="53"/>
      <c r="SYQ52" s="53"/>
      <c r="SYR52" s="53"/>
      <c r="SYS52" s="53"/>
      <c r="SYT52" s="53"/>
      <c r="SYU52" s="53"/>
      <c r="SYV52" s="53"/>
      <c r="SYW52" s="53"/>
      <c r="SYX52" s="53"/>
      <c r="SYY52" s="53"/>
      <c r="SYZ52" s="53"/>
      <c r="SZA52" s="53"/>
      <c r="SZB52" s="53"/>
      <c r="SZC52" s="53"/>
      <c r="SZD52" s="53"/>
      <c r="SZE52" s="53"/>
      <c r="SZF52" s="53"/>
      <c r="SZG52" s="53"/>
      <c r="SZH52" s="53"/>
      <c r="SZI52" s="53"/>
      <c r="SZJ52" s="53"/>
      <c r="SZK52" s="53"/>
      <c r="SZL52" s="53"/>
      <c r="SZM52" s="53"/>
      <c r="SZN52" s="53"/>
      <c r="SZO52" s="53"/>
      <c r="SZP52" s="53"/>
      <c r="SZQ52" s="53"/>
      <c r="SZR52" s="53"/>
      <c r="SZS52" s="53"/>
      <c r="SZT52" s="53"/>
      <c r="SZU52" s="53"/>
      <c r="SZV52" s="53"/>
      <c r="SZW52" s="53"/>
      <c r="SZX52" s="53"/>
      <c r="SZY52" s="53"/>
      <c r="SZZ52" s="53"/>
      <c r="TAA52" s="53"/>
      <c r="TAB52" s="53"/>
      <c r="TAC52" s="53"/>
      <c r="TAD52" s="53"/>
      <c r="TAE52" s="53"/>
      <c r="TAF52" s="53"/>
      <c r="TAG52" s="53"/>
      <c r="TAH52" s="53"/>
      <c r="TAI52" s="53"/>
      <c r="TAJ52" s="53"/>
      <c r="TAK52" s="53"/>
      <c r="TAL52" s="53"/>
      <c r="TAM52" s="53"/>
      <c r="TAN52" s="53"/>
      <c r="TAO52" s="53"/>
      <c r="TAP52" s="53"/>
      <c r="TAQ52" s="53"/>
      <c r="TAR52" s="53"/>
      <c r="TAS52" s="53"/>
      <c r="TAT52" s="53"/>
      <c r="TAU52" s="53"/>
      <c r="TAV52" s="53"/>
      <c r="TAW52" s="53"/>
      <c r="TAX52" s="53"/>
      <c r="TAY52" s="53"/>
      <c r="TAZ52" s="53"/>
      <c r="TBA52" s="53"/>
      <c r="TBB52" s="53"/>
      <c r="TBC52" s="53"/>
      <c r="TBD52" s="53"/>
      <c r="TBE52" s="53"/>
      <c r="TBF52" s="53"/>
      <c r="TBG52" s="53"/>
      <c r="TBH52" s="53"/>
      <c r="TBI52" s="53"/>
      <c r="TBJ52" s="53"/>
      <c r="TBK52" s="53"/>
      <c r="TBL52" s="53"/>
      <c r="TBM52" s="53"/>
      <c r="TBN52" s="53"/>
      <c r="TBO52" s="53"/>
      <c r="TBP52" s="53"/>
      <c r="TBQ52" s="53"/>
      <c r="TBR52" s="53"/>
      <c r="TBS52" s="53"/>
      <c r="TBT52" s="53"/>
      <c r="TBU52" s="53"/>
      <c r="TBV52" s="53"/>
      <c r="TBW52" s="53"/>
      <c r="TBX52" s="53"/>
      <c r="TBY52" s="53"/>
      <c r="TBZ52" s="53"/>
      <c r="TCA52" s="53"/>
      <c r="TCB52" s="53"/>
      <c r="TCC52" s="53"/>
      <c r="TCD52" s="53"/>
      <c r="TCE52" s="53"/>
      <c r="TCF52" s="53"/>
      <c r="TCG52" s="53"/>
      <c r="TCH52" s="53"/>
      <c r="TCI52" s="53"/>
      <c r="TCJ52" s="53"/>
      <c r="TCK52" s="53"/>
      <c r="TCL52" s="53"/>
      <c r="TCM52" s="53"/>
      <c r="TCN52" s="53"/>
      <c r="TCO52" s="53"/>
      <c r="TCP52" s="53"/>
      <c r="TCQ52" s="53"/>
      <c r="TCR52" s="53"/>
      <c r="TCS52" s="53"/>
      <c r="TCT52" s="53"/>
      <c r="TCU52" s="53"/>
      <c r="TCV52" s="53"/>
      <c r="TCW52" s="53"/>
      <c r="TCX52" s="53"/>
      <c r="TCY52" s="53"/>
      <c r="TCZ52" s="53"/>
      <c r="TDA52" s="53"/>
      <c r="TDB52" s="53"/>
      <c r="TDC52" s="53"/>
      <c r="TDD52" s="53"/>
      <c r="TDE52" s="53"/>
      <c r="TDF52" s="53"/>
      <c r="TDG52" s="53"/>
      <c r="TDH52" s="53"/>
      <c r="TDI52" s="53"/>
      <c r="TDJ52" s="53"/>
      <c r="TDK52" s="53"/>
      <c r="TDL52" s="53"/>
      <c r="TDM52" s="53"/>
      <c r="TDN52" s="53"/>
      <c r="TDO52" s="53"/>
      <c r="TDP52" s="53"/>
      <c r="TDQ52" s="53"/>
      <c r="TDR52" s="53"/>
      <c r="TDS52" s="53"/>
      <c r="TDT52" s="53"/>
      <c r="TDU52" s="53"/>
      <c r="TDV52" s="53"/>
      <c r="TDW52" s="53"/>
      <c r="TDX52" s="53"/>
      <c r="TDY52" s="53"/>
      <c r="TDZ52" s="53"/>
      <c r="TEA52" s="53"/>
      <c r="TEB52" s="53"/>
      <c r="TEC52" s="53"/>
      <c r="TED52" s="53"/>
      <c r="TEE52" s="53"/>
      <c r="TEF52" s="53"/>
      <c r="TEG52" s="53"/>
      <c r="TEH52" s="53"/>
      <c r="TEI52" s="53"/>
      <c r="TEJ52" s="53"/>
      <c r="TEK52" s="53"/>
      <c r="TEL52" s="53"/>
      <c r="TEM52" s="53"/>
      <c r="TEN52" s="53"/>
      <c r="TEO52" s="53"/>
      <c r="TEP52" s="53"/>
      <c r="TEQ52" s="53"/>
      <c r="TER52" s="53"/>
      <c r="TES52" s="53"/>
      <c r="TET52" s="53"/>
      <c r="TEU52" s="53"/>
      <c r="TEV52" s="53"/>
      <c r="TEW52" s="53"/>
      <c r="TEX52" s="53"/>
      <c r="TEY52" s="53"/>
      <c r="TEZ52" s="53"/>
      <c r="TFA52" s="53"/>
      <c r="TFB52" s="53"/>
      <c r="TFC52" s="53"/>
      <c r="TFD52" s="53"/>
      <c r="TFE52" s="53"/>
      <c r="TFF52" s="53"/>
      <c r="TFG52" s="53"/>
      <c r="TFH52" s="53"/>
      <c r="TFI52" s="53"/>
      <c r="TFJ52" s="53"/>
      <c r="TFK52" s="53"/>
      <c r="TFL52" s="53"/>
      <c r="TFM52" s="53"/>
      <c r="TFN52" s="53"/>
      <c r="TFO52" s="53"/>
      <c r="TFP52" s="53"/>
      <c r="TFQ52" s="53"/>
      <c r="TFR52" s="53"/>
      <c r="TFS52" s="53"/>
      <c r="TFT52" s="53"/>
      <c r="TFU52" s="53"/>
      <c r="TFV52" s="53"/>
      <c r="TFW52" s="53"/>
      <c r="TFX52" s="53"/>
      <c r="TFY52" s="53"/>
      <c r="TFZ52" s="53"/>
      <c r="TGA52" s="53"/>
      <c r="TGB52" s="53"/>
      <c r="TGC52" s="53"/>
      <c r="TGD52" s="53"/>
      <c r="TGE52" s="53"/>
      <c r="TGF52" s="53"/>
      <c r="TGG52" s="53"/>
      <c r="TGH52" s="53"/>
      <c r="TGI52" s="53"/>
      <c r="TGJ52" s="53"/>
      <c r="TGK52" s="53"/>
      <c r="TGL52" s="53"/>
      <c r="TGM52" s="53"/>
      <c r="TGN52" s="53"/>
      <c r="TGO52" s="53"/>
      <c r="TGP52" s="53"/>
      <c r="TGQ52" s="53"/>
      <c r="TGR52" s="53"/>
      <c r="TGS52" s="53"/>
      <c r="TGT52" s="53"/>
      <c r="TGU52" s="53"/>
      <c r="TGV52" s="53"/>
      <c r="TGW52" s="53"/>
      <c r="TGX52" s="53"/>
      <c r="TGY52" s="53"/>
      <c r="TGZ52" s="53"/>
      <c r="THA52" s="53"/>
      <c r="THB52" s="53"/>
      <c r="THC52" s="53"/>
      <c r="THD52" s="53"/>
      <c r="THE52" s="53"/>
      <c r="THF52" s="53"/>
      <c r="THG52" s="53"/>
      <c r="THH52" s="53"/>
      <c r="THI52" s="53"/>
      <c r="THJ52" s="53"/>
      <c r="THK52" s="53"/>
      <c r="THL52" s="53"/>
      <c r="THM52" s="53"/>
      <c r="THN52" s="53"/>
      <c r="THO52" s="53"/>
      <c r="THP52" s="53"/>
      <c r="THQ52" s="53"/>
      <c r="THR52" s="53"/>
      <c r="THS52" s="53"/>
      <c r="THT52" s="53"/>
      <c r="THU52" s="53"/>
      <c r="THV52" s="53"/>
      <c r="THW52" s="53"/>
      <c r="THX52" s="53"/>
      <c r="THY52" s="53"/>
      <c r="THZ52" s="53"/>
      <c r="TIA52" s="53"/>
      <c r="TIB52" s="53"/>
      <c r="TIC52" s="53"/>
      <c r="TID52" s="53"/>
      <c r="TIE52" s="53"/>
      <c r="TIF52" s="53"/>
      <c r="TIG52" s="53"/>
      <c r="TIH52" s="53"/>
      <c r="TII52" s="53"/>
      <c r="TIJ52" s="53"/>
      <c r="TIK52" s="53"/>
      <c r="TIL52" s="53"/>
      <c r="TIM52" s="53"/>
      <c r="TIN52" s="53"/>
      <c r="TIO52" s="53"/>
      <c r="TIP52" s="53"/>
      <c r="TIQ52" s="53"/>
      <c r="TIR52" s="53"/>
      <c r="TIS52" s="53"/>
      <c r="TIT52" s="53"/>
      <c r="TIU52" s="53"/>
      <c r="TIV52" s="53"/>
      <c r="TIW52" s="53"/>
      <c r="TIX52" s="53"/>
      <c r="TIY52" s="53"/>
      <c r="TIZ52" s="53"/>
      <c r="TJA52" s="53"/>
      <c r="TJB52" s="53"/>
      <c r="TJC52" s="53"/>
      <c r="TJD52" s="53"/>
      <c r="TJE52" s="53"/>
      <c r="TJF52" s="53"/>
      <c r="TJG52" s="53"/>
      <c r="TJH52" s="53"/>
      <c r="TJI52" s="53"/>
      <c r="TJJ52" s="53"/>
      <c r="TJK52" s="53"/>
      <c r="TJL52" s="53"/>
      <c r="TJM52" s="53"/>
      <c r="TJN52" s="53"/>
      <c r="TJO52" s="53"/>
      <c r="TJP52" s="53"/>
      <c r="TJQ52" s="53"/>
      <c r="TJR52" s="53"/>
      <c r="TJS52" s="53"/>
      <c r="TJT52" s="53"/>
      <c r="TJU52" s="53"/>
      <c r="TJV52" s="53"/>
      <c r="TJW52" s="53"/>
      <c r="TJX52" s="53"/>
      <c r="TJY52" s="53"/>
      <c r="TJZ52" s="53"/>
      <c r="TKA52" s="53"/>
      <c r="TKB52" s="53"/>
      <c r="TKC52" s="53"/>
      <c r="TKD52" s="53"/>
      <c r="TKE52" s="53"/>
      <c r="TKF52" s="53"/>
      <c r="TKG52" s="53"/>
      <c r="TKH52" s="53"/>
      <c r="TKI52" s="53"/>
      <c r="TKJ52" s="53"/>
      <c r="TKK52" s="53"/>
      <c r="TKL52" s="53"/>
      <c r="TKM52" s="53"/>
      <c r="TKN52" s="53"/>
      <c r="TKO52" s="53"/>
      <c r="TKP52" s="53"/>
      <c r="TKQ52" s="53"/>
      <c r="TKR52" s="53"/>
      <c r="TKS52" s="53"/>
      <c r="TKT52" s="53"/>
      <c r="TKU52" s="53"/>
      <c r="TKV52" s="53"/>
      <c r="TKW52" s="53"/>
      <c r="TKX52" s="53"/>
      <c r="TKY52" s="53"/>
      <c r="TKZ52" s="53"/>
      <c r="TLA52" s="53"/>
      <c r="TLB52" s="53"/>
      <c r="TLC52" s="53"/>
      <c r="TLD52" s="53"/>
      <c r="TLE52" s="53"/>
      <c r="TLF52" s="53"/>
      <c r="TLG52" s="53"/>
      <c r="TLH52" s="53"/>
      <c r="TLI52" s="53"/>
      <c r="TLJ52" s="53"/>
      <c r="TLK52" s="53"/>
      <c r="TLL52" s="53"/>
      <c r="TLM52" s="53"/>
      <c r="TLN52" s="53"/>
      <c r="TLO52" s="53"/>
      <c r="TLP52" s="53"/>
      <c r="TLQ52" s="53"/>
      <c r="TLR52" s="53"/>
      <c r="TLS52" s="53"/>
      <c r="TLT52" s="53"/>
      <c r="TLU52" s="53"/>
      <c r="TLV52" s="53"/>
      <c r="TLW52" s="53"/>
      <c r="TLX52" s="53"/>
      <c r="TLY52" s="53"/>
      <c r="TLZ52" s="53"/>
      <c r="TMA52" s="53"/>
      <c r="TMB52" s="53"/>
      <c r="TMC52" s="53"/>
      <c r="TMD52" s="53"/>
      <c r="TME52" s="53"/>
      <c r="TMF52" s="53"/>
      <c r="TMG52" s="53"/>
      <c r="TMH52" s="53"/>
      <c r="TMI52" s="53"/>
      <c r="TMJ52" s="53"/>
      <c r="TMK52" s="53"/>
      <c r="TML52" s="53"/>
      <c r="TMM52" s="53"/>
      <c r="TMN52" s="53"/>
      <c r="TMO52" s="53"/>
      <c r="TMP52" s="53"/>
      <c r="TMQ52" s="53"/>
      <c r="TMR52" s="53"/>
      <c r="TMS52" s="53"/>
      <c r="TMT52" s="53"/>
      <c r="TMU52" s="53"/>
      <c r="TMV52" s="53"/>
      <c r="TMW52" s="53"/>
      <c r="TMX52" s="53"/>
      <c r="TMY52" s="53"/>
      <c r="TMZ52" s="53"/>
      <c r="TNA52" s="53"/>
      <c r="TNB52" s="53"/>
      <c r="TNC52" s="53"/>
      <c r="TND52" s="53"/>
      <c r="TNE52" s="53"/>
      <c r="TNF52" s="53"/>
      <c r="TNG52" s="53"/>
      <c r="TNH52" s="53"/>
      <c r="TNI52" s="53"/>
      <c r="TNJ52" s="53"/>
      <c r="TNK52" s="53"/>
      <c r="TNL52" s="53"/>
      <c r="TNM52" s="53"/>
      <c r="TNN52" s="53"/>
      <c r="TNO52" s="53"/>
      <c r="TNP52" s="53"/>
      <c r="TNQ52" s="53"/>
      <c r="TNR52" s="53"/>
      <c r="TNS52" s="53"/>
      <c r="TNT52" s="53"/>
      <c r="TNU52" s="53"/>
      <c r="TNV52" s="53"/>
      <c r="TNW52" s="53"/>
      <c r="TNX52" s="53"/>
      <c r="TNY52" s="53"/>
      <c r="TNZ52" s="53"/>
      <c r="TOA52" s="53"/>
      <c r="TOB52" s="53"/>
      <c r="TOC52" s="53"/>
      <c r="TOD52" s="53"/>
      <c r="TOE52" s="53"/>
      <c r="TOF52" s="53"/>
      <c r="TOG52" s="53"/>
      <c r="TOH52" s="53"/>
      <c r="TOI52" s="53"/>
      <c r="TOJ52" s="53"/>
      <c r="TOK52" s="53"/>
      <c r="TOL52" s="53"/>
      <c r="TOM52" s="53"/>
      <c r="TON52" s="53"/>
      <c r="TOO52" s="53"/>
      <c r="TOP52" s="53"/>
      <c r="TOQ52" s="53"/>
      <c r="TOR52" s="53"/>
      <c r="TOS52" s="53"/>
      <c r="TOT52" s="53"/>
      <c r="TOU52" s="53"/>
      <c r="TOV52" s="53"/>
      <c r="TOW52" s="53"/>
      <c r="TOX52" s="53"/>
      <c r="TOY52" s="53"/>
      <c r="TOZ52" s="53"/>
      <c r="TPA52" s="53"/>
      <c r="TPB52" s="53"/>
      <c r="TPC52" s="53"/>
      <c r="TPD52" s="53"/>
      <c r="TPE52" s="53"/>
      <c r="TPF52" s="53"/>
      <c r="TPG52" s="53"/>
      <c r="TPH52" s="53"/>
      <c r="TPI52" s="53"/>
      <c r="TPJ52" s="53"/>
      <c r="TPK52" s="53"/>
      <c r="TPL52" s="53"/>
      <c r="TPM52" s="53"/>
      <c r="TPN52" s="53"/>
      <c r="TPO52" s="53"/>
      <c r="TPP52" s="53"/>
      <c r="TPQ52" s="53"/>
      <c r="TPR52" s="53"/>
      <c r="TPS52" s="53"/>
      <c r="TPT52" s="53"/>
      <c r="TPU52" s="53"/>
      <c r="TPV52" s="53"/>
      <c r="TPW52" s="53"/>
      <c r="TPX52" s="53"/>
      <c r="TPY52" s="53"/>
      <c r="TPZ52" s="53"/>
      <c r="TQA52" s="53"/>
      <c r="TQB52" s="53"/>
      <c r="TQC52" s="53"/>
      <c r="TQD52" s="53"/>
      <c r="TQE52" s="53"/>
      <c r="TQF52" s="53"/>
      <c r="TQG52" s="53"/>
      <c r="TQH52" s="53"/>
      <c r="TQI52" s="53"/>
      <c r="TQJ52" s="53"/>
      <c r="TQK52" s="53"/>
      <c r="TQL52" s="53"/>
      <c r="TQM52" s="53"/>
      <c r="TQN52" s="53"/>
      <c r="TQO52" s="53"/>
      <c r="TQP52" s="53"/>
      <c r="TQQ52" s="53"/>
      <c r="TQR52" s="53"/>
      <c r="TQS52" s="53"/>
      <c r="TQT52" s="53"/>
      <c r="TQU52" s="53"/>
      <c r="TQV52" s="53"/>
      <c r="TQW52" s="53"/>
      <c r="TQX52" s="53"/>
      <c r="TQY52" s="53"/>
      <c r="TQZ52" s="53"/>
      <c r="TRA52" s="53"/>
      <c r="TRB52" s="53"/>
      <c r="TRC52" s="53"/>
      <c r="TRD52" s="53"/>
      <c r="TRE52" s="53"/>
      <c r="TRF52" s="53"/>
      <c r="TRG52" s="53"/>
      <c r="TRH52" s="53"/>
      <c r="TRI52" s="53"/>
      <c r="TRJ52" s="53"/>
      <c r="TRK52" s="53"/>
      <c r="TRL52" s="53"/>
      <c r="TRM52" s="53"/>
      <c r="TRN52" s="53"/>
      <c r="TRO52" s="53"/>
      <c r="TRP52" s="53"/>
      <c r="TRQ52" s="53"/>
      <c r="TRR52" s="53"/>
      <c r="TRS52" s="53"/>
      <c r="TRT52" s="53"/>
      <c r="TRU52" s="53"/>
      <c r="TRV52" s="53"/>
      <c r="TRW52" s="53"/>
      <c r="TRX52" s="53"/>
      <c r="TRY52" s="53"/>
      <c r="TRZ52" s="53"/>
      <c r="TSA52" s="53"/>
      <c r="TSB52" s="53"/>
      <c r="TSC52" s="53"/>
      <c r="TSD52" s="53"/>
      <c r="TSE52" s="53"/>
      <c r="TSF52" s="53"/>
      <c r="TSG52" s="53"/>
      <c r="TSH52" s="53"/>
      <c r="TSI52" s="53"/>
      <c r="TSJ52" s="53"/>
      <c r="TSK52" s="53"/>
      <c r="TSL52" s="53"/>
      <c r="TSM52" s="53"/>
      <c r="TSN52" s="53"/>
      <c r="TSO52" s="53"/>
      <c r="TSP52" s="53"/>
      <c r="TSQ52" s="53"/>
      <c r="TSR52" s="53"/>
      <c r="TSS52" s="53"/>
      <c r="TST52" s="53"/>
      <c r="TSU52" s="53"/>
      <c r="TSV52" s="53"/>
      <c r="TSW52" s="53"/>
      <c r="TSX52" s="53"/>
      <c r="TSY52" s="53"/>
      <c r="TSZ52" s="53"/>
      <c r="TTA52" s="53"/>
      <c r="TTB52" s="53"/>
      <c r="TTC52" s="53"/>
      <c r="TTD52" s="53"/>
      <c r="TTE52" s="53"/>
      <c r="TTF52" s="53"/>
      <c r="TTG52" s="53"/>
      <c r="TTH52" s="53"/>
      <c r="TTI52" s="53"/>
      <c r="TTJ52" s="53"/>
      <c r="TTK52" s="53"/>
      <c r="TTL52" s="53"/>
      <c r="TTM52" s="53"/>
      <c r="TTN52" s="53"/>
      <c r="TTO52" s="53"/>
      <c r="TTP52" s="53"/>
      <c r="TTQ52" s="53"/>
      <c r="TTR52" s="53"/>
      <c r="TTS52" s="53"/>
      <c r="TTT52" s="53"/>
      <c r="TTU52" s="53"/>
      <c r="TTV52" s="53"/>
      <c r="TTW52" s="53"/>
      <c r="TTX52" s="53"/>
      <c r="TTY52" s="53"/>
      <c r="TTZ52" s="53"/>
      <c r="TUA52" s="53"/>
      <c r="TUB52" s="53"/>
      <c r="TUC52" s="53"/>
      <c r="TUD52" s="53"/>
      <c r="TUE52" s="53"/>
      <c r="TUF52" s="53"/>
      <c r="TUG52" s="53"/>
      <c r="TUH52" s="53"/>
      <c r="TUI52" s="53"/>
      <c r="TUJ52" s="53"/>
      <c r="TUK52" s="53"/>
      <c r="TUL52" s="53"/>
      <c r="TUM52" s="53"/>
      <c r="TUN52" s="53"/>
      <c r="TUO52" s="53"/>
      <c r="TUP52" s="53"/>
      <c r="TUQ52" s="53"/>
      <c r="TUR52" s="53"/>
      <c r="TUS52" s="53"/>
      <c r="TUT52" s="53"/>
      <c r="TUU52" s="53"/>
      <c r="TUV52" s="53"/>
      <c r="TUW52" s="53"/>
      <c r="TUX52" s="53"/>
      <c r="TUY52" s="53"/>
      <c r="TUZ52" s="53"/>
      <c r="TVA52" s="53"/>
      <c r="TVB52" s="53"/>
      <c r="TVC52" s="53"/>
      <c r="TVD52" s="53"/>
      <c r="TVE52" s="53"/>
      <c r="TVF52" s="53"/>
      <c r="TVG52" s="53"/>
      <c r="TVH52" s="53"/>
      <c r="TVI52" s="53"/>
      <c r="TVJ52" s="53"/>
      <c r="TVK52" s="53"/>
      <c r="TVL52" s="53"/>
      <c r="TVM52" s="53"/>
      <c r="TVN52" s="53"/>
      <c r="TVO52" s="53"/>
      <c r="TVP52" s="53"/>
      <c r="TVQ52" s="53"/>
      <c r="TVR52" s="53"/>
      <c r="TVS52" s="53"/>
      <c r="TVT52" s="53"/>
      <c r="TVU52" s="53"/>
      <c r="TVV52" s="53"/>
      <c r="TVW52" s="53"/>
      <c r="TVX52" s="53"/>
      <c r="TVY52" s="53"/>
      <c r="TVZ52" s="53"/>
      <c r="TWA52" s="53"/>
      <c r="TWB52" s="53"/>
      <c r="TWC52" s="53"/>
      <c r="TWD52" s="53"/>
      <c r="TWE52" s="53"/>
      <c r="TWF52" s="53"/>
      <c r="TWG52" s="53"/>
      <c r="TWH52" s="53"/>
      <c r="TWI52" s="53"/>
      <c r="TWJ52" s="53"/>
      <c r="TWK52" s="53"/>
      <c r="TWL52" s="53"/>
      <c r="TWM52" s="53"/>
      <c r="TWN52" s="53"/>
      <c r="TWO52" s="53"/>
      <c r="TWP52" s="53"/>
      <c r="TWQ52" s="53"/>
      <c r="TWR52" s="53"/>
      <c r="TWS52" s="53"/>
      <c r="TWT52" s="53"/>
      <c r="TWU52" s="53"/>
      <c r="TWV52" s="53"/>
      <c r="TWW52" s="53"/>
      <c r="TWX52" s="53"/>
      <c r="TWY52" s="53"/>
      <c r="TWZ52" s="53"/>
      <c r="TXA52" s="53"/>
      <c r="TXB52" s="53"/>
      <c r="TXC52" s="53"/>
      <c r="TXD52" s="53"/>
      <c r="TXE52" s="53"/>
      <c r="TXF52" s="53"/>
      <c r="TXG52" s="53"/>
      <c r="TXH52" s="53"/>
      <c r="TXI52" s="53"/>
      <c r="TXJ52" s="53"/>
      <c r="TXK52" s="53"/>
      <c r="TXL52" s="53"/>
      <c r="TXM52" s="53"/>
      <c r="TXN52" s="53"/>
      <c r="TXO52" s="53"/>
      <c r="TXP52" s="53"/>
      <c r="TXQ52" s="53"/>
      <c r="TXR52" s="53"/>
      <c r="TXS52" s="53"/>
      <c r="TXT52" s="53"/>
      <c r="TXU52" s="53"/>
      <c r="TXV52" s="53"/>
      <c r="TXW52" s="53"/>
      <c r="TXX52" s="53"/>
      <c r="TXY52" s="53"/>
      <c r="TXZ52" s="53"/>
      <c r="TYA52" s="53"/>
      <c r="TYB52" s="53"/>
      <c r="TYC52" s="53"/>
      <c r="TYD52" s="53"/>
      <c r="TYE52" s="53"/>
      <c r="TYF52" s="53"/>
      <c r="TYG52" s="53"/>
      <c r="TYH52" s="53"/>
      <c r="TYI52" s="53"/>
      <c r="TYJ52" s="53"/>
      <c r="TYK52" s="53"/>
      <c r="TYL52" s="53"/>
      <c r="TYM52" s="53"/>
      <c r="TYN52" s="53"/>
      <c r="TYO52" s="53"/>
      <c r="TYP52" s="53"/>
      <c r="TYQ52" s="53"/>
      <c r="TYR52" s="53"/>
      <c r="TYS52" s="53"/>
      <c r="TYT52" s="53"/>
      <c r="TYU52" s="53"/>
      <c r="TYV52" s="53"/>
      <c r="TYW52" s="53"/>
      <c r="TYX52" s="53"/>
      <c r="TYY52" s="53"/>
      <c r="TYZ52" s="53"/>
      <c r="TZA52" s="53"/>
      <c r="TZB52" s="53"/>
      <c r="TZC52" s="53"/>
      <c r="TZD52" s="53"/>
      <c r="TZE52" s="53"/>
      <c r="TZF52" s="53"/>
      <c r="TZG52" s="53"/>
      <c r="TZH52" s="53"/>
      <c r="TZI52" s="53"/>
      <c r="TZJ52" s="53"/>
      <c r="TZK52" s="53"/>
      <c r="TZL52" s="53"/>
      <c r="TZM52" s="53"/>
      <c r="TZN52" s="53"/>
      <c r="TZO52" s="53"/>
      <c r="TZP52" s="53"/>
      <c r="TZQ52" s="53"/>
      <c r="TZR52" s="53"/>
      <c r="TZS52" s="53"/>
      <c r="TZT52" s="53"/>
      <c r="TZU52" s="53"/>
      <c r="TZV52" s="53"/>
      <c r="TZW52" s="53"/>
      <c r="TZX52" s="53"/>
      <c r="TZY52" s="53"/>
      <c r="TZZ52" s="53"/>
      <c r="UAA52" s="53"/>
      <c r="UAB52" s="53"/>
      <c r="UAC52" s="53"/>
      <c r="UAD52" s="53"/>
      <c r="UAE52" s="53"/>
      <c r="UAF52" s="53"/>
      <c r="UAG52" s="53"/>
      <c r="UAH52" s="53"/>
      <c r="UAI52" s="53"/>
      <c r="UAJ52" s="53"/>
      <c r="UAK52" s="53"/>
      <c r="UAL52" s="53"/>
      <c r="UAM52" s="53"/>
      <c r="UAN52" s="53"/>
      <c r="UAO52" s="53"/>
      <c r="UAP52" s="53"/>
      <c r="UAQ52" s="53"/>
      <c r="UAR52" s="53"/>
      <c r="UAS52" s="53"/>
      <c r="UAT52" s="53"/>
      <c r="UAU52" s="53"/>
      <c r="UAV52" s="53"/>
      <c r="UAW52" s="53"/>
      <c r="UAX52" s="53"/>
      <c r="UAY52" s="53"/>
      <c r="UAZ52" s="53"/>
      <c r="UBA52" s="53"/>
      <c r="UBB52" s="53"/>
      <c r="UBC52" s="53"/>
      <c r="UBD52" s="53"/>
      <c r="UBE52" s="53"/>
      <c r="UBF52" s="53"/>
      <c r="UBG52" s="53"/>
      <c r="UBH52" s="53"/>
      <c r="UBI52" s="53"/>
      <c r="UBJ52" s="53"/>
      <c r="UBK52" s="53"/>
      <c r="UBL52" s="53"/>
      <c r="UBM52" s="53"/>
      <c r="UBN52" s="53"/>
      <c r="UBO52" s="53"/>
      <c r="UBP52" s="53"/>
      <c r="UBQ52" s="53"/>
      <c r="UBR52" s="53"/>
      <c r="UBS52" s="53"/>
      <c r="UBT52" s="53"/>
      <c r="UBU52" s="53"/>
      <c r="UBV52" s="53"/>
      <c r="UBW52" s="53"/>
      <c r="UBX52" s="53"/>
      <c r="UBY52" s="53"/>
      <c r="UBZ52" s="53"/>
      <c r="UCA52" s="53"/>
      <c r="UCB52" s="53"/>
      <c r="UCC52" s="53"/>
      <c r="UCD52" s="53"/>
      <c r="UCE52" s="53"/>
      <c r="UCF52" s="53"/>
      <c r="UCG52" s="53"/>
      <c r="UCH52" s="53"/>
      <c r="UCI52" s="53"/>
      <c r="UCJ52" s="53"/>
      <c r="UCK52" s="53"/>
      <c r="UCL52" s="53"/>
      <c r="UCM52" s="53"/>
      <c r="UCN52" s="53"/>
      <c r="UCO52" s="53"/>
      <c r="UCP52" s="53"/>
      <c r="UCQ52" s="53"/>
      <c r="UCR52" s="53"/>
      <c r="UCS52" s="53"/>
      <c r="UCT52" s="53"/>
      <c r="UCU52" s="53"/>
      <c r="UCV52" s="53"/>
      <c r="UCW52" s="53"/>
      <c r="UCX52" s="53"/>
      <c r="UCY52" s="53"/>
      <c r="UCZ52" s="53"/>
      <c r="UDA52" s="53"/>
      <c r="UDB52" s="53"/>
      <c r="UDC52" s="53"/>
      <c r="UDD52" s="53"/>
      <c r="UDE52" s="53"/>
      <c r="UDF52" s="53"/>
      <c r="UDG52" s="53"/>
      <c r="UDH52" s="53"/>
      <c r="UDI52" s="53"/>
      <c r="UDJ52" s="53"/>
      <c r="UDK52" s="53"/>
      <c r="UDL52" s="53"/>
      <c r="UDM52" s="53"/>
      <c r="UDN52" s="53"/>
      <c r="UDO52" s="53"/>
      <c r="UDP52" s="53"/>
      <c r="UDQ52" s="53"/>
      <c r="UDR52" s="53"/>
      <c r="UDS52" s="53"/>
      <c r="UDT52" s="53"/>
      <c r="UDU52" s="53"/>
      <c r="UDV52" s="53"/>
      <c r="UDW52" s="53"/>
      <c r="UDX52" s="53"/>
      <c r="UDY52" s="53"/>
      <c r="UDZ52" s="53"/>
      <c r="UEA52" s="53"/>
      <c r="UEB52" s="53"/>
      <c r="UEC52" s="53"/>
      <c r="UED52" s="53"/>
      <c r="UEE52" s="53"/>
      <c r="UEF52" s="53"/>
      <c r="UEG52" s="53"/>
      <c r="UEH52" s="53"/>
      <c r="UEI52" s="53"/>
      <c r="UEJ52" s="53"/>
      <c r="UEK52" s="53"/>
      <c r="UEL52" s="53"/>
      <c r="UEM52" s="53"/>
      <c r="UEN52" s="53"/>
      <c r="UEO52" s="53"/>
      <c r="UEP52" s="53"/>
      <c r="UEQ52" s="53"/>
      <c r="UER52" s="53"/>
      <c r="UES52" s="53"/>
      <c r="UET52" s="53"/>
      <c r="UEU52" s="53"/>
      <c r="UEV52" s="53"/>
      <c r="UEW52" s="53"/>
      <c r="UEX52" s="53"/>
      <c r="UEY52" s="53"/>
      <c r="UEZ52" s="53"/>
      <c r="UFA52" s="53"/>
      <c r="UFB52" s="53"/>
      <c r="UFC52" s="53"/>
      <c r="UFD52" s="53"/>
      <c r="UFE52" s="53"/>
      <c r="UFF52" s="53"/>
      <c r="UFG52" s="53"/>
      <c r="UFH52" s="53"/>
      <c r="UFI52" s="53"/>
      <c r="UFJ52" s="53"/>
      <c r="UFK52" s="53"/>
      <c r="UFL52" s="53"/>
      <c r="UFM52" s="53"/>
      <c r="UFN52" s="53"/>
      <c r="UFO52" s="53"/>
      <c r="UFP52" s="53"/>
      <c r="UFQ52" s="53"/>
      <c r="UFR52" s="53"/>
      <c r="UFS52" s="53"/>
      <c r="UFT52" s="53"/>
      <c r="UFU52" s="53"/>
      <c r="UFV52" s="53"/>
      <c r="UFW52" s="53"/>
      <c r="UFX52" s="53"/>
      <c r="UFY52" s="53"/>
      <c r="UFZ52" s="53"/>
      <c r="UGA52" s="53"/>
      <c r="UGB52" s="53"/>
      <c r="UGC52" s="53"/>
      <c r="UGD52" s="53"/>
      <c r="UGE52" s="53"/>
      <c r="UGF52" s="53"/>
      <c r="UGG52" s="53"/>
      <c r="UGH52" s="53"/>
      <c r="UGI52" s="53"/>
      <c r="UGJ52" s="53"/>
      <c r="UGK52" s="53"/>
      <c r="UGL52" s="53"/>
      <c r="UGM52" s="53"/>
      <c r="UGN52" s="53"/>
      <c r="UGO52" s="53"/>
      <c r="UGP52" s="53"/>
      <c r="UGQ52" s="53"/>
      <c r="UGR52" s="53"/>
      <c r="UGS52" s="53"/>
      <c r="UGT52" s="53"/>
      <c r="UGU52" s="53"/>
      <c r="UGV52" s="53"/>
      <c r="UGW52" s="53"/>
      <c r="UGX52" s="53"/>
      <c r="UGY52" s="53"/>
      <c r="UGZ52" s="53"/>
      <c r="UHA52" s="53"/>
      <c r="UHB52" s="53"/>
      <c r="UHC52" s="53"/>
      <c r="UHD52" s="53"/>
      <c r="UHE52" s="53"/>
      <c r="UHF52" s="53"/>
      <c r="UHG52" s="53"/>
      <c r="UHH52" s="53"/>
      <c r="UHI52" s="53"/>
      <c r="UHJ52" s="53"/>
      <c r="UHK52" s="53"/>
      <c r="UHL52" s="53"/>
      <c r="UHM52" s="53"/>
      <c r="UHN52" s="53"/>
      <c r="UHO52" s="53"/>
      <c r="UHP52" s="53"/>
      <c r="UHQ52" s="53"/>
      <c r="UHR52" s="53"/>
      <c r="UHS52" s="53"/>
      <c r="UHT52" s="53"/>
      <c r="UHU52" s="53"/>
      <c r="UHV52" s="53"/>
      <c r="UHW52" s="53"/>
      <c r="UHX52" s="53"/>
      <c r="UHY52" s="53"/>
      <c r="UHZ52" s="53"/>
      <c r="UIA52" s="53"/>
      <c r="UIB52" s="53"/>
      <c r="UIC52" s="53"/>
      <c r="UID52" s="53"/>
      <c r="UIE52" s="53"/>
      <c r="UIF52" s="53"/>
      <c r="UIG52" s="53"/>
      <c r="UIH52" s="53"/>
      <c r="UII52" s="53"/>
      <c r="UIJ52" s="53"/>
      <c r="UIK52" s="53"/>
      <c r="UIL52" s="53"/>
      <c r="UIM52" s="53"/>
      <c r="UIN52" s="53"/>
      <c r="UIO52" s="53"/>
      <c r="UIP52" s="53"/>
      <c r="UIQ52" s="53"/>
      <c r="UIR52" s="53"/>
      <c r="UIS52" s="53"/>
      <c r="UIT52" s="53"/>
      <c r="UIU52" s="53"/>
      <c r="UIV52" s="53"/>
      <c r="UIW52" s="53"/>
      <c r="UIX52" s="53"/>
      <c r="UIY52" s="53"/>
      <c r="UIZ52" s="53"/>
      <c r="UJA52" s="53"/>
      <c r="UJB52" s="53"/>
      <c r="UJC52" s="53"/>
      <c r="UJD52" s="53"/>
      <c r="UJE52" s="53"/>
      <c r="UJF52" s="53"/>
      <c r="UJG52" s="53"/>
      <c r="UJH52" s="53"/>
      <c r="UJI52" s="53"/>
      <c r="UJJ52" s="53"/>
      <c r="UJK52" s="53"/>
      <c r="UJL52" s="53"/>
      <c r="UJM52" s="53"/>
      <c r="UJN52" s="53"/>
      <c r="UJO52" s="53"/>
      <c r="UJP52" s="53"/>
      <c r="UJQ52" s="53"/>
      <c r="UJR52" s="53"/>
      <c r="UJS52" s="53"/>
      <c r="UJT52" s="53"/>
      <c r="UJU52" s="53"/>
      <c r="UJV52" s="53"/>
      <c r="UJW52" s="53"/>
      <c r="UJX52" s="53"/>
      <c r="UJY52" s="53"/>
      <c r="UJZ52" s="53"/>
      <c r="UKA52" s="53"/>
      <c r="UKB52" s="53"/>
      <c r="UKC52" s="53"/>
      <c r="UKD52" s="53"/>
      <c r="UKE52" s="53"/>
      <c r="UKF52" s="53"/>
      <c r="UKG52" s="53"/>
      <c r="UKH52" s="53"/>
      <c r="UKI52" s="53"/>
      <c r="UKJ52" s="53"/>
      <c r="UKK52" s="53"/>
      <c r="UKL52" s="53"/>
      <c r="UKM52" s="53"/>
      <c r="UKN52" s="53"/>
      <c r="UKO52" s="53"/>
      <c r="UKP52" s="53"/>
      <c r="UKQ52" s="53"/>
      <c r="UKR52" s="53"/>
      <c r="UKS52" s="53"/>
      <c r="UKT52" s="53"/>
      <c r="UKU52" s="53"/>
      <c r="UKV52" s="53"/>
      <c r="UKW52" s="53"/>
      <c r="UKX52" s="53"/>
      <c r="UKY52" s="53"/>
      <c r="UKZ52" s="53"/>
      <c r="ULA52" s="53"/>
      <c r="ULB52" s="53"/>
      <c r="ULC52" s="53"/>
      <c r="ULD52" s="53"/>
      <c r="ULE52" s="53"/>
      <c r="ULF52" s="53"/>
      <c r="ULG52" s="53"/>
      <c r="ULH52" s="53"/>
      <c r="ULI52" s="53"/>
      <c r="ULJ52" s="53"/>
      <c r="ULK52" s="53"/>
      <c r="ULL52" s="53"/>
      <c r="ULM52" s="53"/>
      <c r="ULN52" s="53"/>
      <c r="ULO52" s="53"/>
      <c r="ULP52" s="53"/>
      <c r="ULQ52" s="53"/>
      <c r="ULR52" s="53"/>
      <c r="ULS52" s="53"/>
      <c r="ULT52" s="53"/>
      <c r="ULU52" s="53"/>
      <c r="ULV52" s="53"/>
      <c r="ULW52" s="53"/>
      <c r="ULX52" s="53"/>
      <c r="ULY52" s="53"/>
      <c r="ULZ52" s="53"/>
      <c r="UMA52" s="53"/>
      <c r="UMB52" s="53"/>
      <c r="UMC52" s="53"/>
      <c r="UMD52" s="53"/>
      <c r="UME52" s="53"/>
      <c r="UMF52" s="53"/>
      <c r="UMG52" s="53"/>
      <c r="UMH52" s="53"/>
      <c r="UMI52" s="53"/>
      <c r="UMJ52" s="53"/>
      <c r="UMK52" s="53"/>
      <c r="UML52" s="53"/>
      <c r="UMM52" s="53"/>
      <c r="UMN52" s="53"/>
      <c r="UMO52" s="53"/>
      <c r="UMP52" s="53"/>
      <c r="UMQ52" s="53"/>
      <c r="UMR52" s="53"/>
      <c r="UMS52" s="53"/>
      <c r="UMT52" s="53"/>
      <c r="UMU52" s="53"/>
      <c r="UMV52" s="53"/>
      <c r="UMW52" s="53"/>
      <c r="UMX52" s="53"/>
      <c r="UMY52" s="53"/>
      <c r="UMZ52" s="53"/>
      <c r="UNA52" s="53"/>
      <c r="UNB52" s="53"/>
      <c r="UNC52" s="53"/>
      <c r="UND52" s="53"/>
      <c r="UNE52" s="53"/>
      <c r="UNF52" s="53"/>
      <c r="UNG52" s="53"/>
      <c r="UNH52" s="53"/>
      <c r="UNI52" s="53"/>
      <c r="UNJ52" s="53"/>
      <c r="UNK52" s="53"/>
      <c r="UNL52" s="53"/>
      <c r="UNM52" s="53"/>
      <c r="UNN52" s="53"/>
      <c r="UNO52" s="53"/>
      <c r="UNP52" s="53"/>
      <c r="UNQ52" s="53"/>
      <c r="UNR52" s="53"/>
      <c r="UNS52" s="53"/>
      <c r="UNT52" s="53"/>
      <c r="UNU52" s="53"/>
      <c r="UNV52" s="53"/>
      <c r="UNW52" s="53"/>
      <c r="UNX52" s="53"/>
      <c r="UNY52" s="53"/>
      <c r="UNZ52" s="53"/>
      <c r="UOA52" s="53"/>
      <c r="UOB52" s="53"/>
      <c r="UOC52" s="53"/>
      <c r="UOD52" s="53"/>
      <c r="UOE52" s="53"/>
      <c r="UOF52" s="53"/>
      <c r="UOG52" s="53"/>
      <c r="UOH52" s="53"/>
      <c r="UOI52" s="53"/>
      <c r="UOJ52" s="53"/>
      <c r="UOK52" s="53"/>
      <c r="UOL52" s="53"/>
      <c r="UOM52" s="53"/>
      <c r="UON52" s="53"/>
      <c r="UOO52" s="53"/>
      <c r="UOP52" s="53"/>
      <c r="UOQ52" s="53"/>
      <c r="UOR52" s="53"/>
      <c r="UOS52" s="53"/>
      <c r="UOT52" s="53"/>
      <c r="UOU52" s="53"/>
      <c r="UOV52" s="53"/>
      <c r="UOW52" s="53"/>
      <c r="UOX52" s="53"/>
      <c r="UOY52" s="53"/>
      <c r="UOZ52" s="53"/>
      <c r="UPA52" s="53"/>
      <c r="UPB52" s="53"/>
      <c r="UPC52" s="53"/>
      <c r="UPD52" s="53"/>
      <c r="UPE52" s="53"/>
      <c r="UPF52" s="53"/>
      <c r="UPG52" s="53"/>
      <c r="UPH52" s="53"/>
      <c r="UPI52" s="53"/>
      <c r="UPJ52" s="53"/>
      <c r="UPK52" s="53"/>
      <c r="UPL52" s="53"/>
      <c r="UPM52" s="53"/>
      <c r="UPN52" s="53"/>
      <c r="UPO52" s="53"/>
      <c r="UPP52" s="53"/>
      <c r="UPQ52" s="53"/>
      <c r="UPR52" s="53"/>
      <c r="UPS52" s="53"/>
      <c r="UPT52" s="53"/>
      <c r="UPU52" s="53"/>
      <c r="UPV52" s="53"/>
      <c r="UPW52" s="53"/>
      <c r="UPX52" s="53"/>
      <c r="UPY52" s="53"/>
      <c r="UPZ52" s="53"/>
      <c r="UQA52" s="53"/>
      <c r="UQB52" s="53"/>
      <c r="UQC52" s="53"/>
      <c r="UQD52" s="53"/>
      <c r="UQE52" s="53"/>
      <c r="UQF52" s="53"/>
      <c r="UQG52" s="53"/>
      <c r="UQH52" s="53"/>
      <c r="UQI52" s="53"/>
      <c r="UQJ52" s="53"/>
      <c r="UQK52" s="53"/>
      <c r="UQL52" s="53"/>
      <c r="UQM52" s="53"/>
      <c r="UQN52" s="53"/>
      <c r="UQO52" s="53"/>
      <c r="UQP52" s="53"/>
      <c r="UQQ52" s="53"/>
      <c r="UQR52" s="53"/>
      <c r="UQS52" s="53"/>
      <c r="UQT52" s="53"/>
      <c r="UQU52" s="53"/>
      <c r="UQV52" s="53"/>
      <c r="UQW52" s="53"/>
      <c r="UQX52" s="53"/>
      <c r="UQY52" s="53"/>
      <c r="UQZ52" s="53"/>
      <c r="URA52" s="53"/>
      <c r="URB52" s="53"/>
      <c r="URC52" s="53"/>
      <c r="URD52" s="53"/>
      <c r="URE52" s="53"/>
      <c r="URF52" s="53"/>
      <c r="URG52" s="53"/>
      <c r="URH52" s="53"/>
      <c r="URI52" s="53"/>
      <c r="URJ52" s="53"/>
      <c r="URK52" s="53"/>
      <c r="URL52" s="53"/>
      <c r="URM52" s="53"/>
      <c r="URN52" s="53"/>
      <c r="URO52" s="53"/>
      <c r="URP52" s="53"/>
      <c r="URQ52" s="53"/>
      <c r="URR52" s="53"/>
      <c r="URS52" s="53"/>
      <c r="URT52" s="53"/>
      <c r="URU52" s="53"/>
      <c r="URV52" s="53"/>
      <c r="URW52" s="53"/>
      <c r="URX52" s="53"/>
      <c r="URY52" s="53"/>
      <c r="URZ52" s="53"/>
      <c r="USA52" s="53"/>
      <c r="USB52" s="53"/>
      <c r="USC52" s="53"/>
      <c r="USD52" s="53"/>
      <c r="USE52" s="53"/>
      <c r="USF52" s="53"/>
      <c r="USG52" s="53"/>
      <c r="USH52" s="53"/>
      <c r="USI52" s="53"/>
      <c r="USJ52" s="53"/>
      <c r="USK52" s="53"/>
      <c r="USL52" s="53"/>
      <c r="USM52" s="53"/>
      <c r="USN52" s="53"/>
      <c r="USO52" s="53"/>
      <c r="USP52" s="53"/>
      <c r="USQ52" s="53"/>
      <c r="USR52" s="53"/>
      <c r="USS52" s="53"/>
      <c r="UST52" s="53"/>
      <c r="USU52" s="53"/>
      <c r="USV52" s="53"/>
      <c r="USW52" s="53"/>
      <c r="USX52" s="53"/>
      <c r="USY52" s="53"/>
      <c r="USZ52" s="53"/>
      <c r="UTA52" s="53"/>
      <c r="UTB52" s="53"/>
      <c r="UTC52" s="53"/>
      <c r="UTD52" s="53"/>
      <c r="UTE52" s="53"/>
      <c r="UTF52" s="53"/>
      <c r="UTG52" s="53"/>
      <c r="UTH52" s="53"/>
      <c r="UTI52" s="53"/>
      <c r="UTJ52" s="53"/>
      <c r="UTK52" s="53"/>
      <c r="UTL52" s="53"/>
      <c r="UTM52" s="53"/>
      <c r="UTN52" s="53"/>
      <c r="UTO52" s="53"/>
      <c r="UTP52" s="53"/>
      <c r="UTQ52" s="53"/>
      <c r="UTR52" s="53"/>
      <c r="UTS52" s="53"/>
      <c r="UTT52" s="53"/>
      <c r="UTU52" s="53"/>
      <c r="UTV52" s="53"/>
      <c r="UTW52" s="53"/>
      <c r="UTX52" s="53"/>
      <c r="UTY52" s="53"/>
      <c r="UTZ52" s="53"/>
      <c r="UUA52" s="53"/>
      <c r="UUB52" s="53"/>
      <c r="UUC52" s="53"/>
      <c r="UUD52" s="53"/>
      <c r="UUE52" s="53"/>
      <c r="UUF52" s="53"/>
      <c r="UUG52" s="53"/>
      <c r="UUH52" s="53"/>
      <c r="UUI52" s="53"/>
      <c r="UUJ52" s="53"/>
      <c r="UUK52" s="53"/>
      <c r="UUL52" s="53"/>
      <c r="UUM52" s="53"/>
      <c r="UUN52" s="53"/>
      <c r="UUO52" s="53"/>
      <c r="UUP52" s="53"/>
      <c r="UUQ52" s="53"/>
      <c r="UUR52" s="53"/>
      <c r="UUS52" s="53"/>
      <c r="UUT52" s="53"/>
      <c r="UUU52" s="53"/>
      <c r="UUV52" s="53"/>
      <c r="UUW52" s="53"/>
      <c r="UUX52" s="53"/>
      <c r="UUY52" s="53"/>
      <c r="UUZ52" s="53"/>
      <c r="UVA52" s="53"/>
      <c r="UVB52" s="53"/>
      <c r="UVC52" s="53"/>
      <c r="UVD52" s="53"/>
      <c r="UVE52" s="53"/>
      <c r="UVF52" s="53"/>
      <c r="UVG52" s="53"/>
      <c r="UVH52" s="53"/>
      <c r="UVI52" s="53"/>
      <c r="UVJ52" s="53"/>
      <c r="UVK52" s="53"/>
      <c r="UVL52" s="53"/>
      <c r="UVM52" s="53"/>
      <c r="UVN52" s="53"/>
      <c r="UVO52" s="53"/>
      <c r="UVP52" s="53"/>
      <c r="UVQ52" s="53"/>
      <c r="UVR52" s="53"/>
      <c r="UVS52" s="53"/>
      <c r="UVT52" s="53"/>
      <c r="UVU52" s="53"/>
      <c r="UVV52" s="53"/>
      <c r="UVW52" s="53"/>
      <c r="UVX52" s="53"/>
      <c r="UVY52" s="53"/>
      <c r="UVZ52" s="53"/>
      <c r="UWA52" s="53"/>
      <c r="UWB52" s="53"/>
      <c r="UWC52" s="53"/>
      <c r="UWD52" s="53"/>
      <c r="UWE52" s="53"/>
      <c r="UWF52" s="53"/>
      <c r="UWG52" s="53"/>
      <c r="UWH52" s="53"/>
      <c r="UWI52" s="53"/>
      <c r="UWJ52" s="53"/>
      <c r="UWK52" s="53"/>
      <c r="UWL52" s="53"/>
      <c r="UWM52" s="53"/>
      <c r="UWN52" s="53"/>
      <c r="UWO52" s="53"/>
      <c r="UWP52" s="53"/>
      <c r="UWQ52" s="53"/>
      <c r="UWR52" s="53"/>
      <c r="UWS52" s="53"/>
      <c r="UWT52" s="53"/>
      <c r="UWU52" s="53"/>
      <c r="UWV52" s="53"/>
      <c r="UWW52" s="53"/>
      <c r="UWX52" s="53"/>
      <c r="UWY52" s="53"/>
      <c r="UWZ52" s="53"/>
      <c r="UXA52" s="53"/>
      <c r="UXB52" s="53"/>
      <c r="UXC52" s="53"/>
      <c r="UXD52" s="53"/>
      <c r="UXE52" s="53"/>
      <c r="UXF52" s="53"/>
      <c r="UXG52" s="53"/>
      <c r="UXH52" s="53"/>
      <c r="UXI52" s="53"/>
      <c r="UXJ52" s="53"/>
      <c r="UXK52" s="53"/>
      <c r="UXL52" s="53"/>
      <c r="UXM52" s="53"/>
      <c r="UXN52" s="53"/>
      <c r="UXO52" s="53"/>
      <c r="UXP52" s="53"/>
      <c r="UXQ52" s="53"/>
      <c r="UXR52" s="53"/>
      <c r="UXS52" s="53"/>
      <c r="UXT52" s="53"/>
      <c r="UXU52" s="53"/>
      <c r="UXV52" s="53"/>
      <c r="UXW52" s="53"/>
      <c r="UXX52" s="53"/>
      <c r="UXY52" s="53"/>
      <c r="UXZ52" s="53"/>
      <c r="UYA52" s="53"/>
      <c r="UYB52" s="53"/>
      <c r="UYC52" s="53"/>
      <c r="UYD52" s="53"/>
      <c r="UYE52" s="53"/>
      <c r="UYF52" s="53"/>
      <c r="UYG52" s="53"/>
      <c r="UYH52" s="53"/>
      <c r="UYI52" s="53"/>
      <c r="UYJ52" s="53"/>
      <c r="UYK52" s="53"/>
      <c r="UYL52" s="53"/>
      <c r="UYM52" s="53"/>
      <c r="UYN52" s="53"/>
      <c r="UYO52" s="53"/>
      <c r="UYP52" s="53"/>
      <c r="UYQ52" s="53"/>
      <c r="UYR52" s="53"/>
      <c r="UYS52" s="53"/>
      <c r="UYT52" s="53"/>
      <c r="UYU52" s="53"/>
      <c r="UYV52" s="53"/>
      <c r="UYW52" s="53"/>
      <c r="UYX52" s="53"/>
      <c r="UYY52" s="53"/>
      <c r="UYZ52" s="53"/>
      <c r="UZA52" s="53"/>
      <c r="UZB52" s="53"/>
      <c r="UZC52" s="53"/>
      <c r="UZD52" s="53"/>
      <c r="UZE52" s="53"/>
      <c r="UZF52" s="53"/>
      <c r="UZG52" s="53"/>
      <c r="UZH52" s="53"/>
      <c r="UZI52" s="53"/>
      <c r="UZJ52" s="53"/>
      <c r="UZK52" s="53"/>
      <c r="UZL52" s="53"/>
      <c r="UZM52" s="53"/>
      <c r="UZN52" s="53"/>
      <c r="UZO52" s="53"/>
      <c r="UZP52" s="53"/>
      <c r="UZQ52" s="53"/>
      <c r="UZR52" s="53"/>
      <c r="UZS52" s="53"/>
      <c r="UZT52" s="53"/>
      <c r="UZU52" s="53"/>
      <c r="UZV52" s="53"/>
      <c r="UZW52" s="53"/>
      <c r="UZX52" s="53"/>
      <c r="UZY52" s="53"/>
      <c r="UZZ52" s="53"/>
      <c r="VAA52" s="53"/>
      <c r="VAB52" s="53"/>
      <c r="VAC52" s="53"/>
      <c r="VAD52" s="53"/>
      <c r="VAE52" s="53"/>
      <c r="VAF52" s="53"/>
      <c r="VAG52" s="53"/>
      <c r="VAH52" s="53"/>
      <c r="VAI52" s="53"/>
      <c r="VAJ52" s="53"/>
      <c r="VAK52" s="53"/>
      <c r="VAL52" s="53"/>
      <c r="VAM52" s="53"/>
      <c r="VAN52" s="53"/>
      <c r="VAO52" s="53"/>
      <c r="VAP52" s="53"/>
      <c r="VAQ52" s="53"/>
      <c r="VAR52" s="53"/>
      <c r="VAS52" s="53"/>
      <c r="VAT52" s="53"/>
      <c r="VAU52" s="53"/>
      <c r="VAV52" s="53"/>
      <c r="VAW52" s="53"/>
      <c r="VAX52" s="53"/>
      <c r="VAY52" s="53"/>
      <c r="VAZ52" s="53"/>
      <c r="VBA52" s="53"/>
      <c r="VBB52" s="53"/>
      <c r="VBC52" s="53"/>
      <c r="VBD52" s="53"/>
      <c r="VBE52" s="53"/>
      <c r="VBF52" s="53"/>
      <c r="VBG52" s="53"/>
      <c r="VBH52" s="53"/>
      <c r="VBI52" s="53"/>
      <c r="VBJ52" s="53"/>
      <c r="VBK52" s="53"/>
      <c r="VBL52" s="53"/>
      <c r="VBM52" s="53"/>
      <c r="VBN52" s="53"/>
      <c r="VBO52" s="53"/>
      <c r="VBP52" s="53"/>
      <c r="VBQ52" s="53"/>
      <c r="VBR52" s="53"/>
      <c r="VBS52" s="53"/>
      <c r="VBT52" s="53"/>
      <c r="VBU52" s="53"/>
      <c r="VBV52" s="53"/>
      <c r="VBW52" s="53"/>
      <c r="VBX52" s="53"/>
      <c r="VBY52" s="53"/>
      <c r="VBZ52" s="53"/>
      <c r="VCA52" s="53"/>
      <c r="VCB52" s="53"/>
      <c r="VCC52" s="53"/>
      <c r="VCD52" s="53"/>
      <c r="VCE52" s="53"/>
      <c r="VCF52" s="53"/>
      <c r="VCG52" s="53"/>
      <c r="VCH52" s="53"/>
      <c r="VCI52" s="53"/>
      <c r="VCJ52" s="53"/>
      <c r="VCK52" s="53"/>
      <c r="VCL52" s="53"/>
      <c r="VCM52" s="53"/>
      <c r="VCN52" s="53"/>
      <c r="VCO52" s="53"/>
      <c r="VCP52" s="53"/>
      <c r="VCQ52" s="53"/>
      <c r="VCR52" s="53"/>
      <c r="VCS52" s="53"/>
      <c r="VCT52" s="53"/>
      <c r="VCU52" s="53"/>
      <c r="VCV52" s="53"/>
      <c r="VCW52" s="53"/>
      <c r="VCX52" s="53"/>
      <c r="VCY52" s="53"/>
      <c r="VCZ52" s="53"/>
      <c r="VDA52" s="53"/>
      <c r="VDB52" s="53"/>
      <c r="VDC52" s="53"/>
      <c r="VDD52" s="53"/>
      <c r="VDE52" s="53"/>
      <c r="VDF52" s="53"/>
      <c r="VDG52" s="53"/>
      <c r="VDH52" s="53"/>
      <c r="VDI52" s="53"/>
      <c r="VDJ52" s="53"/>
      <c r="VDK52" s="53"/>
      <c r="VDL52" s="53"/>
      <c r="VDM52" s="53"/>
      <c r="VDN52" s="53"/>
      <c r="VDO52" s="53"/>
      <c r="VDP52" s="53"/>
      <c r="VDQ52" s="53"/>
      <c r="VDR52" s="53"/>
      <c r="VDS52" s="53"/>
      <c r="VDT52" s="53"/>
      <c r="VDU52" s="53"/>
      <c r="VDV52" s="53"/>
      <c r="VDW52" s="53"/>
      <c r="VDX52" s="53"/>
      <c r="VDY52" s="53"/>
      <c r="VDZ52" s="53"/>
      <c r="VEA52" s="53"/>
      <c r="VEB52" s="53"/>
      <c r="VEC52" s="53"/>
      <c r="VED52" s="53"/>
      <c r="VEE52" s="53"/>
      <c r="VEF52" s="53"/>
      <c r="VEG52" s="53"/>
      <c r="VEH52" s="53"/>
      <c r="VEI52" s="53"/>
      <c r="VEJ52" s="53"/>
      <c r="VEK52" s="53"/>
      <c r="VEL52" s="53"/>
      <c r="VEM52" s="53"/>
      <c r="VEN52" s="53"/>
      <c r="VEO52" s="53"/>
      <c r="VEP52" s="53"/>
      <c r="VEQ52" s="53"/>
      <c r="VER52" s="53"/>
      <c r="VES52" s="53"/>
      <c r="VET52" s="53"/>
      <c r="VEU52" s="53"/>
      <c r="VEV52" s="53"/>
      <c r="VEW52" s="53"/>
      <c r="VEX52" s="53"/>
      <c r="VEY52" s="53"/>
      <c r="VEZ52" s="53"/>
      <c r="VFA52" s="53"/>
      <c r="VFB52" s="53"/>
      <c r="VFC52" s="53"/>
      <c r="VFD52" s="53"/>
      <c r="VFE52" s="53"/>
      <c r="VFF52" s="53"/>
      <c r="VFG52" s="53"/>
      <c r="VFH52" s="53"/>
      <c r="VFI52" s="53"/>
      <c r="VFJ52" s="53"/>
      <c r="VFK52" s="53"/>
      <c r="VFL52" s="53"/>
      <c r="VFM52" s="53"/>
      <c r="VFN52" s="53"/>
      <c r="VFO52" s="53"/>
      <c r="VFP52" s="53"/>
      <c r="VFQ52" s="53"/>
      <c r="VFR52" s="53"/>
      <c r="VFS52" s="53"/>
      <c r="VFT52" s="53"/>
      <c r="VFU52" s="53"/>
      <c r="VFV52" s="53"/>
      <c r="VFW52" s="53"/>
      <c r="VFX52" s="53"/>
      <c r="VFY52" s="53"/>
      <c r="VFZ52" s="53"/>
      <c r="VGA52" s="53"/>
      <c r="VGB52" s="53"/>
      <c r="VGC52" s="53"/>
      <c r="VGD52" s="53"/>
      <c r="VGE52" s="53"/>
      <c r="VGF52" s="53"/>
      <c r="VGG52" s="53"/>
      <c r="VGH52" s="53"/>
      <c r="VGI52" s="53"/>
      <c r="VGJ52" s="53"/>
      <c r="VGK52" s="53"/>
      <c r="VGL52" s="53"/>
      <c r="VGM52" s="53"/>
      <c r="VGN52" s="53"/>
      <c r="VGO52" s="53"/>
      <c r="VGP52" s="53"/>
      <c r="VGQ52" s="53"/>
      <c r="VGR52" s="53"/>
      <c r="VGS52" s="53"/>
      <c r="VGT52" s="53"/>
      <c r="VGU52" s="53"/>
      <c r="VGV52" s="53"/>
      <c r="VGW52" s="53"/>
      <c r="VGX52" s="53"/>
      <c r="VGY52" s="53"/>
      <c r="VGZ52" s="53"/>
      <c r="VHA52" s="53"/>
      <c r="VHB52" s="53"/>
      <c r="VHC52" s="53"/>
      <c r="VHD52" s="53"/>
      <c r="VHE52" s="53"/>
      <c r="VHF52" s="53"/>
      <c r="VHG52" s="53"/>
      <c r="VHH52" s="53"/>
      <c r="VHI52" s="53"/>
      <c r="VHJ52" s="53"/>
      <c r="VHK52" s="53"/>
      <c r="VHL52" s="53"/>
      <c r="VHM52" s="53"/>
      <c r="VHN52" s="53"/>
      <c r="VHO52" s="53"/>
      <c r="VHP52" s="53"/>
      <c r="VHQ52" s="53"/>
      <c r="VHR52" s="53"/>
      <c r="VHS52" s="53"/>
      <c r="VHT52" s="53"/>
      <c r="VHU52" s="53"/>
      <c r="VHV52" s="53"/>
      <c r="VHW52" s="53"/>
      <c r="VHX52" s="53"/>
      <c r="VHY52" s="53"/>
      <c r="VHZ52" s="53"/>
      <c r="VIA52" s="53"/>
      <c r="VIB52" s="53"/>
      <c r="VIC52" s="53"/>
      <c r="VID52" s="53"/>
      <c r="VIE52" s="53"/>
      <c r="VIF52" s="53"/>
      <c r="VIG52" s="53"/>
      <c r="VIH52" s="53"/>
      <c r="VII52" s="53"/>
      <c r="VIJ52" s="53"/>
      <c r="VIK52" s="53"/>
      <c r="VIL52" s="53"/>
      <c r="VIM52" s="53"/>
      <c r="VIN52" s="53"/>
      <c r="VIO52" s="53"/>
      <c r="VIP52" s="53"/>
      <c r="VIQ52" s="53"/>
      <c r="VIR52" s="53"/>
      <c r="VIS52" s="53"/>
      <c r="VIT52" s="53"/>
      <c r="VIU52" s="53"/>
      <c r="VIV52" s="53"/>
      <c r="VIW52" s="53"/>
      <c r="VIX52" s="53"/>
      <c r="VIY52" s="53"/>
      <c r="VIZ52" s="53"/>
      <c r="VJA52" s="53"/>
      <c r="VJB52" s="53"/>
      <c r="VJC52" s="53"/>
      <c r="VJD52" s="53"/>
      <c r="VJE52" s="53"/>
      <c r="VJF52" s="53"/>
      <c r="VJG52" s="53"/>
      <c r="VJH52" s="53"/>
      <c r="VJI52" s="53"/>
      <c r="VJJ52" s="53"/>
      <c r="VJK52" s="53"/>
      <c r="VJL52" s="53"/>
      <c r="VJM52" s="53"/>
      <c r="VJN52" s="53"/>
      <c r="VJO52" s="53"/>
      <c r="VJP52" s="53"/>
      <c r="VJQ52" s="53"/>
      <c r="VJR52" s="53"/>
      <c r="VJS52" s="53"/>
      <c r="VJT52" s="53"/>
      <c r="VJU52" s="53"/>
      <c r="VJV52" s="53"/>
      <c r="VJW52" s="53"/>
      <c r="VJX52" s="53"/>
      <c r="VJY52" s="53"/>
      <c r="VJZ52" s="53"/>
      <c r="VKA52" s="53"/>
      <c r="VKB52" s="53"/>
      <c r="VKC52" s="53"/>
      <c r="VKD52" s="53"/>
      <c r="VKE52" s="53"/>
      <c r="VKF52" s="53"/>
      <c r="VKG52" s="53"/>
      <c r="VKH52" s="53"/>
      <c r="VKI52" s="53"/>
      <c r="VKJ52" s="53"/>
      <c r="VKK52" s="53"/>
      <c r="VKL52" s="53"/>
      <c r="VKM52" s="53"/>
      <c r="VKN52" s="53"/>
      <c r="VKO52" s="53"/>
      <c r="VKP52" s="53"/>
      <c r="VKQ52" s="53"/>
      <c r="VKR52" s="53"/>
      <c r="VKS52" s="53"/>
      <c r="VKT52" s="53"/>
      <c r="VKU52" s="53"/>
      <c r="VKV52" s="53"/>
      <c r="VKW52" s="53"/>
      <c r="VKX52" s="53"/>
      <c r="VKY52" s="53"/>
      <c r="VKZ52" s="53"/>
      <c r="VLA52" s="53"/>
      <c r="VLB52" s="53"/>
      <c r="VLC52" s="53"/>
      <c r="VLD52" s="53"/>
      <c r="VLE52" s="53"/>
      <c r="VLF52" s="53"/>
      <c r="VLG52" s="53"/>
      <c r="VLH52" s="53"/>
      <c r="VLI52" s="53"/>
      <c r="VLJ52" s="53"/>
      <c r="VLK52" s="53"/>
      <c r="VLL52" s="53"/>
      <c r="VLM52" s="53"/>
      <c r="VLN52" s="53"/>
      <c r="VLO52" s="53"/>
      <c r="VLP52" s="53"/>
      <c r="VLQ52" s="53"/>
      <c r="VLR52" s="53"/>
      <c r="VLS52" s="53"/>
      <c r="VLT52" s="53"/>
      <c r="VLU52" s="53"/>
      <c r="VLV52" s="53"/>
      <c r="VLW52" s="53"/>
      <c r="VLX52" s="53"/>
      <c r="VLY52" s="53"/>
      <c r="VLZ52" s="53"/>
      <c r="VMA52" s="53"/>
      <c r="VMB52" s="53"/>
      <c r="VMC52" s="53"/>
      <c r="VMD52" s="53"/>
      <c r="VME52" s="53"/>
      <c r="VMF52" s="53"/>
      <c r="VMG52" s="53"/>
      <c r="VMH52" s="53"/>
      <c r="VMI52" s="53"/>
      <c r="VMJ52" s="53"/>
      <c r="VMK52" s="53"/>
      <c r="VML52" s="53"/>
      <c r="VMM52" s="53"/>
      <c r="VMN52" s="53"/>
      <c r="VMO52" s="53"/>
      <c r="VMP52" s="53"/>
      <c r="VMQ52" s="53"/>
      <c r="VMR52" s="53"/>
      <c r="VMS52" s="53"/>
      <c r="VMT52" s="53"/>
      <c r="VMU52" s="53"/>
      <c r="VMV52" s="53"/>
      <c r="VMW52" s="53"/>
      <c r="VMX52" s="53"/>
      <c r="VMY52" s="53"/>
      <c r="VMZ52" s="53"/>
      <c r="VNA52" s="53"/>
      <c r="VNB52" s="53"/>
      <c r="VNC52" s="53"/>
      <c r="VND52" s="53"/>
      <c r="VNE52" s="53"/>
      <c r="VNF52" s="53"/>
      <c r="VNG52" s="53"/>
      <c r="VNH52" s="53"/>
      <c r="VNI52" s="53"/>
      <c r="VNJ52" s="53"/>
      <c r="VNK52" s="53"/>
      <c r="VNL52" s="53"/>
      <c r="VNM52" s="53"/>
      <c r="VNN52" s="53"/>
      <c r="VNO52" s="53"/>
      <c r="VNP52" s="53"/>
      <c r="VNQ52" s="53"/>
      <c r="VNR52" s="53"/>
      <c r="VNS52" s="53"/>
      <c r="VNT52" s="53"/>
      <c r="VNU52" s="53"/>
      <c r="VNV52" s="53"/>
      <c r="VNW52" s="53"/>
      <c r="VNX52" s="53"/>
      <c r="VNY52" s="53"/>
      <c r="VNZ52" s="53"/>
      <c r="VOA52" s="53"/>
      <c r="VOB52" s="53"/>
      <c r="VOC52" s="53"/>
      <c r="VOD52" s="53"/>
      <c r="VOE52" s="53"/>
      <c r="VOF52" s="53"/>
      <c r="VOG52" s="53"/>
      <c r="VOH52" s="53"/>
      <c r="VOI52" s="53"/>
      <c r="VOJ52" s="53"/>
      <c r="VOK52" s="53"/>
      <c r="VOL52" s="53"/>
      <c r="VOM52" s="53"/>
      <c r="VON52" s="53"/>
      <c r="VOO52" s="53"/>
      <c r="VOP52" s="53"/>
      <c r="VOQ52" s="53"/>
      <c r="VOR52" s="53"/>
      <c r="VOS52" s="53"/>
      <c r="VOT52" s="53"/>
      <c r="VOU52" s="53"/>
      <c r="VOV52" s="53"/>
      <c r="VOW52" s="53"/>
      <c r="VOX52" s="53"/>
      <c r="VOY52" s="53"/>
      <c r="VOZ52" s="53"/>
      <c r="VPA52" s="53"/>
      <c r="VPB52" s="53"/>
      <c r="VPC52" s="53"/>
      <c r="VPD52" s="53"/>
      <c r="VPE52" s="53"/>
      <c r="VPF52" s="53"/>
      <c r="VPG52" s="53"/>
      <c r="VPH52" s="53"/>
      <c r="VPI52" s="53"/>
      <c r="VPJ52" s="53"/>
      <c r="VPK52" s="53"/>
      <c r="VPL52" s="53"/>
      <c r="VPM52" s="53"/>
      <c r="VPN52" s="53"/>
      <c r="VPO52" s="53"/>
      <c r="VPP52" s="53"/>
      <c r="VPQ52" s="53"/>
      <c r="VPR52" s="53"/>
      <c r="VPS52" s="53"/>
      <c r="VPT52" s="53"/>
      <c r="VPU52" s="53"/>
      <c r="VPV52" s="53"/>
      <c r="VPW52" s="53"/>
      <c r="VPX52" s="53"/>
      <c r="VPY52" s="53"/>
      <c r="VPZ52" s="53"/>
      <c r="VQA52" s="53"/>
      <c r="VQB52" s="53"/>
      <c r="VQC52" s="53"/>
      <c r="VQD52" s="53"/>
      <c r="VQE52" s="53"/>
      <c r="VQF52" s="53"/>
      <c r="VQG52" s="53"/>
      <c r="VQH52" s="53"/>
      <c r="VQI52" s="53"/>
      <c r="VQJ52" s="53"/>
      <c r="VQK52" s="53"/>
      <c r="VQL52" s="53"/>
      <c r="VQM52" s="53"/>
      <c r="VQN52" s="53"/>
      <c r="VQO52" s="53"/>
      <c r="VQP52" s="53"/>
      <c r="VQQ52" s="53"/>
      <c r="VQR52" s="53"/>
      <c r="VQS52" s="53"/>
      <c r="VQT52" s="53"/>
      <c r="VQU52" s="53"/>
      <c r="VQV52" s="53"/>
      <c r="VQW52" s="53"/>
      <c r="VQX52" s="53"/>
      <c r="VQY52" s="53"/>
      <c r="VQZ52" s="53"/>
      <c r="VRA52" s="53"/>
      <c r="VRB52" s="53"/>
      <c r="VRC52" s="53"/>
      <c r="VRD52" s="53"/>
      <c r="VRE52" s="53"/>
      <c r="VRF52" s="53"/>
      <c r="VRG52" s="53"/>
      <c r="VRH52" s="53"/>
      <c r="VRI52" s="53"/>
      <c r="VRJ52" s="53"/>
      <c r="VRK52" s="53"/>
      <c r="VRL52" s="53"/>
      <c r="VRM52" s="53"/>
      <c r="VRN52" s="53"/>
      <c r="VRO52" s="53"/>
      <c r="VRP52" s="53"/>
      <c r="VRQ52" s="53"/>
      <c r="VRR52" s="53"/>
      <c r="VRS52" s="53"/>
      <c r="VRT52" s="53"/>
      <c r="VRU52" s="53"/>
      <c r="VRV52" s="53"/>
      <c r="VRW52" s="53"/>
      <c r="VRX52" s="53"/>
      <c r="VRY52" s="53"/>
      <c r="VRZ52" s="53"/>
      <c r="VSA52" s="53"/>
      <c r="VSB52" s="53"/>
      <c r="VSC52" s="53"/>
      <c r="VSD52" s="53"/>
      <c r="VSE52" s="53"/>
      <c r="VSF52" s="53"/>
      <c r="VSG52" s="53"/>
      <c r="VSH52" s="53"/>
      <c r="VSI52" s="53"/>
      <c r="VSJ52" s="53"/>
      <c r="VSK52" s="53"/>
      <c r="VSL52" s="53"/>
      <c r="VSM52" s="53"/>
      <c r="VSN52" s="53"/>
      <c r="VSO52" s="53"/>
      <c r="VSP52" s="53"/>
      <c r="VSQ52" s="53"/>
      <c r="VSR52" s="53"/>
      <c r="VSS52" s="53"/>
      <c r="VST52" s="53"/>
      <c r="VSU52" s="53"/>
      <c r="VSV52" s="53"/>
      <c r="VSW52" s="53"/>
      <c r="VSX52" s="53"/>
      <c r="VSY52" s="53"/>
      <c r="VSZ52" s="53"/>
      <c r="VTA52" s="53"/>
      <c r="VTB52" s="53"/>
      <c r="VTC52" s="53"/>
      <c r="VTD52" s="53"/>
      <c r="VTE52" s="53"/>
      <c r="VTF52" s="53"/>
      <c r="VTG52" s="53"/>
      <c r="VTH52" s="53"/>
      <c r="VTI52" s="53"/>
      <c r="VTJ52" s="53"/>
      <c r="VTK52" s="53"/>
      <c r="VTL52" s="53"/>
      <c r="VTM52" s="53"/>
      <c r="VTN52" s="53"/>
      <c r="VTO52" s="53"/>
      <c r="VTP52" s="53"/>
      <c r="VTQ52" s="53"/>
      <c r="VTR52" s="53"/>
      <c r="VTS52" s="53"/>
      <c r="VTT52" s="53"/>
      <c r="VTU52" s="53"/>
      <c r="VTV52" s="53"/>
      <c r="VTW52" s="53"/>
      <c r="VTX52" s="53"/>
      <c r="VTY52" s="53"/>
      <c r="VTZ52" s="53"/>
      <c r="VUA52" s="53"/>
      <c r="VUB52" s="53"/>
      <c r="VUC52" s="53"/>
      <c r="VUD52" s="53"/>
      <c r="VUE52" s="53"/>
      <c r="VUF52" s="53"/>
      <c r="VUG52" s="53"/>
      <c r="VUH52" s="53"/>
      <c r="VUI52" s="53"/>
      <c r="VUJ52" s="53"/>
      <c r="VUK52" s="53"/>
      <c r="VUL52" s="53"/>
      <c r="VUM52" s="53"/>
      <c r="VUN52" s="53"/>
      <c r="VUO52" s="53"/>
      <c r="VUP52" s="53"/>
      <c r="VUQ52" s="53"/>
      <c r="VUR52" s="53"/>
      <c r="VUS52" s="53"/>
      <c r="VUT52" s="53"/>
      <c r="VUU52" s="53"/>
      <c r="VUV52" s="53"/>
      <c r="VUW52" s="53"/>
      <c r="VUX52" s="53"/>
      <c r="VUY52" s="53"/>
      <c r="VUZ52" s="53"/>
      <c r="VVA52" s="53"/>
      <c r="VVB52" s="53"/>
      <c r="VVC52" s="53"/>
      <c r="VVD52" s="53"/>
      <c r="VVE52" s="53"/>
      <c r="VVF52" s="53"/>
      <c r="VVG52" s="53"/>
      <c r="VVH52" s="53"/>
      <c r="VVI52" s="53"/>
      <c r="VVJ52" s="53"/>
      <c r="VVK52" s="53"/>
      <c r="VVL52" s="53"/>
      <c r="VVM52" s="53"/>
      <c r="VVN52" s="53"/>
      <c r="VVO52" s="53"/>
      <c r="VVP52" s="53"/>
      <c r="VVQ52" s="53"/>
      <c r="VVR52" s="53"/>
      <c r="VVS52" s="53"/>
      <c r="VVT52" s="53"/>
      <c r="VVU52" s="53"/>
      <c r="VVV52" s="53"/>
      <c r="VVW52" s="53"/>
      <c r="VVX52" s="53"/>
      <c r="VVY52" s="53"/>
      <c r="VVZ52" s="53"/>
      <c r="VWA52" s="53"/>
      <c r="VWB52" s="53"/>
      <c r="VWC52" s="53"/>
      <c r="VWD52" s="53"/>
      <c r="VWE52" s="53"/>
      <c r="VWF52" s="53"/>
      <c r="VWG52" s="53"/>
      <c r="VWH52" s="53"/>
      <c r="VWI52" s="53"/>
      <c r="VWJ52" s="53"/>
      <c r="VWK52" s="53"/>
      <c r="VWL52" s="53"/>
      <c r="VWM52" s="53"/>
      <c r="VWN52" s="53"/>
      <c r="VWO52" s="53"/>
      <c r="VWP52" s="53"/>
      <c r="VWQ52" s="53"/>
      <c r="VWR52" s="53"/>
      <c r="VWS52" s="53"/>
      <c r="VWT52" s="53"/>
      <c r="VWU52" s="53"/>
      <c r="VWV52" s="53"/>
      <c r="VWW52" s="53"/>
      <c r="VWX52" s="53"/>
      <c r="VWY52" s="53"/>
      <c r="VWZ52" s="53"/>
      <c r="VXA52" s="53"/>
      <c r="VXB52" s="53"/>
      <c r="VXC52" s="53"/>
      <c r="VXD52" s="53"/>
      <c r="VXE52" s="53"/>
      <c r="VXF52" s="53"/>
      <c r="VXG52" s="53"/>
      <c r="VXH52" s="53"/>
      <c r="VXI52" s="53"/>
      <c r="VXJ52" s="53"/>
      <c r="VXK52" s="53"/>
      <c r="VXL52" s="53"/>
      <c r="VXM52" s="53"/>
      <c r="VXN52" s="53"/>
      <c r="VXO52" s="53"/>
      <c r="VXP52" s="53"/>
      <c r="VXQ52" s="53"/>
      <c r="VXR52" s="53"/>
      <c r="VXS52" s="53"/>
      <c r="VXT52" s="53"/>
      <c r="VXU52" s="53"/>
      <c r="VXV52" s="53"/>
      <c r="VXW52" s="53"/>
      <c r="VXX52" s="53"/>
      <c r="VXY52" s="53"/>
      <c r="VXZ52" s="53"/>
      <c r="VYA52" s="53"/>
      <c r="VYB52" s="53"/>
      <c r="VYC52" s="53"/>
      <c r="VYD52" s="53"/>
      <c r="VYE52" s="53"/>
      <c r="VYF52" s="53"/>
      <c r="VYG52" s="53"/>
      <c r="VYH52" s="53"/>
      <c r="VYI52" s="53"/>
      <c r="VYJ52" s="53"/>
      <c r="VYK52" s="53"/>
      <c r="VYL52" s="53"/>
      <c r="VYM52" s="53"/>
      <c r="VYN52" s="53"/>
      <c r="VYO52" s="53"/>
      <c r="VYP52" s="53"/>
      <c r="VYQ52" s="53"/>
      <c r="VYR52" s="53"/>
      <c r="VYS52" s="53"/>
      <c r="VYT52" s="53"/>
      <c r="VYU52" s="53"/>
      <c r="VYV52" s="53"/>
      <c r="VYW52" s="53"/>
      <c r="VYX52" s="53"/>
      <c r="VYY52" s="53"/>
      <c r="VYZ52" s="53"/>
      <c r="VZA52" s="53"/>
      <c r="VZB52" s="53"/>
      <c r="VZC52" s="53"/>
      <c r="VZD52" s="53"/>
      <c r="VZE52" s="53"/>
      <c r="VZF52" s="53"/>
      <c r="VZG52" s="53"/>
      <c r="VZH52" s="53"/>
      <c r="VZI52" s="53"/>
      <c r="VZJ52" s="53"/>
      <c r="VZK52" s="53"/>
      <c r="VZL52" s="53"/>
      <c r="VZM52" s="53"/>
      <c r="VZN52" s="53"/>
      <c r="VZO52" s="53"/>
      <c r="VZP52" s="53"/>
      <c r="VZQ52" s="53"/>
      <c r="VZR52" s="53"/>
      <c r="VZS52" s="53"/>
      <c r="VZT52" s="53"/>
      <c r="VZU52" s="53"/>
      <c r="VZV52" s="53"/>
      <c r="VZW52" s="53"/>
      <c r="VZX52" s="53"/>
      <c r="VZY52" s="53"/>
      <c r="VZZ52" s="53"/>
      <c r="WAA52" s="53"/>
      <c r="WAB52" s="53"/>
      <c r="WAC52" s="53"/>
      <c r="WAD52" s="53"/>
      <c r="WAE52" s="53"/>
      <c r="WAF52" s="53"/>
      <c r="WAG52" s="53"/>
      <c r="WAH52" s="53"/>
      <c r="WAI52" s="53"/>
      <c r="WAJ52" s="53"/>
      <c r="WAK52" s="53"/>
      <c r="WAL52" s="53"/>
      <c r="WAM52" s="53"/>
      <c r="WAN52" s="53"/>
      <c r="WAO52" s="53"/>
      <c r="WAP52" s="53"/>
      <c r="WAQ52" s="53"/>
      <c r="WAR52" s="53"/>
      <c r="WAS52" s="53"/>
      <c r="WAT52" s="53"/>
      <c r="WAU52" s="53"/>
      <c r="WAV52" s="53"/>
      <c r="WAW52" s="53"/>
      <c r="WAX52" s="53"/>
      <c r="WAY52" s="53"/>
      <c r="WAZ52" s="53"/>
      <c r="WBA52" s="53"/>
      <c r="WBB52" s="53"/>
      <c r="WBC52" s="53"/>
      <c r="WBD52" s="53"/>
      <c r="WBE52" s="53"/>
      <c r="WBF52" s="53"/>
      <c r="WBG52" s="53"/>
      <c r="WBH52" s="53"/>
      <c r="WBI52" s="53"/>
      <c r="WBJ52" s="53"/>
      <c r="WBK52" s="53"/>
      <c r="WBL52" s="53"/>
      <c r="WBM52" s="53"/>
      <c r="WBN52" s="53"/>
      <c r="WBO52" s="53"/>
      <c r="WBP52" s="53"/>
      <c r="WBQ52" s="53"/>
      <c r="WBR52" s="53"/>
      <c r="WBS52" s="53"/>
      <c r="WBT52" s="53"/>
      <c r="WBU52" s="53"/>
      <c r="WBV52" s="53"/>
      <c r="WBW52" s="53"/>
      <c r="WBX52" s="53"/>
      <c r="WBY52" s="53"/>
      <c r="WBZ52" s="53"/>
      <c r="WCA52" s="53"/>
      <c r="WCB52" s="53"/>
      <c r="WCC52" s="53"/>
      <c r="WCD52" s="53"/>
      <c r="WCE52" s="53"/>
      <c r="WCF52" s="53"/>
      <c r="WCG52" s="53"/>
      <c r="WCH52" s="53"/>
      <c r="WCI52" s="53"/>
      <c r="WCJ52" s="53"/>
      <c r="WCK52" s="53"/>
      <c r="WCL52" s="53"/>
      <c r="WCM52" s="53"/>
      <c r="WCN52" s="53"/>
      <c r="WCO52" s="53"/>
      <c r="WCP52" s="53"/>
      <c r="WCQ52" s="53"/>
      <c r="WCR52" s="53"/>
      <c r="WCS52" s="53"/>
      <c r="WCT52" s="53"/>
      <c r="WCU52" s="53"/>
      <c r="WCV52" s="53"/>
      <c r="WCW52" s="53"/>
      <c r="WCX52" s="53"/>
      <c r="WCY52" s="53"/>
      <c r="WCZ52" s="53"/>
      <c r="WDA52" s="53"/>
      <c r="WDB52" s="53"/>
      <c r="WDC52" s="53"/>
      <c r="WDD52" s="53"/>
      <c r="WDE52" s="53"/>
      <c r="WDF52" s="53"/>
      <c r="WDG52" s="53"/>
      <c r="WDH52" s="53"/>
      <c r="WDI52" s="53"/>
      <c r="WDJ52" s="53"/>
      <c r="WDK52" s="53"/>
      <c r="WDL52" s="53"/>
      <c r="WDM52" s="53"/>
      <c r="WDN52" s="53"/>
      <c r="WDO52" s="53"/>
      <c r="WDP52" s="53"/>
      <c r="WDQ52" s="53"/>
      <c r="WDR52" s="53"/>
      <c r="WDS52" s="53"/>
      <c r="WDT52" s="53"/>
      <c r="WDU52" s="53"/>
      <c r="WDV52" s="53"/>
      <c r="WDW52" s="53"/>
      <c r="WDX52" s="53"/>
      <c r="WDY52" s="53"/>
      <c r="WDZ52" s="53"/>
      <c r="WEA52" s="53"/>
      <c r="WEB52" s="53"/>
      <c r="WEC52" s="53"/>
      <c r="WED52" s="53"/>
      <c r="WEE52" s="53"/>
      <c r="WEF52" s="53"/>
      <c r="WEG52" s="53"/>
      <c r="WEH52" s="53"/>
      <c r="WEI52" s="53"/>
      <c r="WEJ52" s="53"/>
      <c r="WEK52" s="53"/>
      <c r="WEL52" s="53"/>
      <c r="WEM52" s="53"/>
      <c r="WEN52" s="53"/>
      <c r="WEO52" s="53"/>
      <c r="WEP52" s="53"/>
      <c r="WEQ52" s="53"/>
      <c r="WER52" s="53"/>
      <c r="WES52" s="53"/>
      <c r="WET52" s="53"/>
      <c r="WEU52" s="53"/>
      <c r="WEV52" s="53"/>
      <c r="WEW52" s="53"/>
      <c r="WEX52" s="53"/>
      <c r="WEY52" s="53"/>
      <c r="WEZ52" s="53"/>
      <c r="WFA52" s="53"/>
      <c r="WFB52" s="53"/>
      <c r="WFC52" s="53"/>
      <c r="WFD52" s="53"/>
      <c r="WFE52" s="53"/>
      <c r="WFF52" s="53"/>
      <c r="WFG52" s="53"/>
      <c r="WFH52" s="53"/>
      <c r="WFI52" s="53"/>
      <c r="WFJ52" s="53"/>
      <c r="WFK52" s="53"/>
      <c r="WFL52" s="53"/>
      <c r="WFM52" s="53"/>
      <c r="WFN52" s="53"/>
      <c r="WFO52" s="53"/>
      <c r="WFP52" s="53"/>
      <c r="WFQ52" s="53"/>
      <c r="WFR52" s="53"/>
      <c r="WFS52" s="53"/>
      <c r="WFT52" s="53"/>
      <c r="WFU52" s="53"/>
      <c r="WFV52" s="53"/>
      <c r="WFW52" s="53"/>
      <c r="WFX52" s="53"/>
      <c r="WFY52" s="53"/>
      <c r="WFZ52" s="53"/>
      <c r="WGA52" s="53"/>
      <c r="WGB52" s="53"/>
      <c r="WGC52" s="53"/>
      <c r="WGD52" s="53"/>
      <c r="WGE52" s="53"/>
      <c r="WGF52" s="53"/>
      <c r="WGG52" s="53"/>
      <c r="WGH52" s="53"/>
      <c r="WGI52" s="53"/>
      <c r="WGJ52" s="53"/>
      <c r="WGK52" s="53"/>
      <c r="WGL52" s="53"/>
      <c r="WGM52" s="53"/>
      <c r="WGN52" s="53"/>
      <c r="WGO52" s="53"/>
      <c r="WGP52" s="53"/>
      <c r="WGQ52" s="53"/>
      <c r="WGR52" s="53"/>
      <c r="WGS52" s="53"/>
      <c r="WGT52" s="53"/>
      <c r="WGU52" s="53"/>
      <c r="WGV52" s="53"/>
      <c r="WGW52" s="53"/>
      <c r="WGX52" s="53"/>
      <c r="WGY52" s="53"/>
      <c r="WGZ52" s="53"/>
      <c r="WHA52" s="53"/>
      <c r="WHB52" s="53"/>
      <c r="WHC52" s="53"/>
      <c r="WHD52" s="53"/>
      <c r="WHE52" s="53"/>
      <c r="WHF52" s="53"/>
      <c r="WHG52" s="53"/>
      <c r="WHH52" s="53"/>
      <c r="WHI52" s="53"/>
      <c r="WHJ52" s="53"/>
      <c r="WHK52" s="53"/>
      <c r="WHL52" s="53"/>
      <c r="WHM52" s="53"/>
      <c r="WHN52" s="53"/>
      <c r="WHO52" s="53"/>
      <c r="WHP52" s="53"/>
      <c r="WHQ52" s="53"/>
      <c r="WHR52" s="53"/>
      <c r="WHS52" s="53"/>
      <c r="WHT52" s="53"/>
      <c r="WHU52" s="53"/>
      <c r="WHV52" s="53"/>
      <c r="WHW52" s="53"/>
      <c r="WHX52" s="53"/>
      <c r="WHY52" s="53"/>
      <c r="WHZ52" s="53"/>
      <c r="WIA52" s="53"/>
      <c r="WIB52" s="53"/>
      <c r="WIC52" s="53"/>
      <c r="WID52" s="53"/>
      <c r="WIE52" s="53"/>
      <c r="WIF52" s="53"/>
      <c r="WIG52" s="53"/>
      <c r="WIH52" s="53"/>
      <c r="WII52" s="53"/>
      <c r="WIJ52" s="53"/>
      <c r="WIK52" s="53"/>
      <c r="WIL52" s="53"/>
      <c r="WIM52" s="53"/>
      <c r="WIN52" s="53"/>
      <c r="WIO52" s="53"/>
      <c r="WIP52" s="53"/>
      <c r="WIQ52" s="53"/>
      <c r="WIR52" s="53"/>
      <c r="WIS52" s="53"/>
      <c r="WIT52" s="53"/>
      <c r="WIU52" s="53"/>
      <c r="WIV52" s="53"/>
      <c r="WIW52" s="53"/>
      <c r="WIX52" s="53"/>
      <c r="WIY52" s="53"/>
      <c r="WIZ52" s="53"/>
      <c r="WJA52" s="53"/>
      <c r="WJB52" s="53"/>
      <c r="WJC52" s="53"/>
      <c r="WJD52" s="53"/>
      <c r="WJE52" s="53"/>
      <c r="WJF52" s="53"/>
      <c r="WJG52" s="53"/>
      <c r="WJH52" s="53"/>
      <c r="WJI52" s="53"/>
      <c r="WJJ52" s="53"/>
      <c r="WJK52" s="53"/>
      <c r="WJL52" s="53"/>
      <c r="WJM52" s="53"/>
      <c r="WJN52" s="53"/>
      <c r="WJO52" s="53"/>
      <c r="WJP52" s="53"/>
      <c r="WJQ52" s="53"/>
      <c r="WJR52" s="53"/>
      <c r="WJS52" s="53"/>
      <c r="WJT52" s="53"/>
      <c r="WJU52" s="53"/>
      <c r="WJV52" s="53"/>
      <c r="WJW52" s="53"/>
      <c r="WJX52" s="53"/>
      <c r="WJY52" s="53"/>
      <c r="WJZ52" s="53"/>
      <c r="WKA52" s="53"/>
      <c r="WKB52" s="53"/>
      <c r="WKC52" s="53"/>
      <c r="WKD52" s="53"/>
      <c r="WKE52" s="53"/>
      <c r="WKF52" s="53"/>
      <c r="WKG52" s="53"/>
      <c r="WKH52" s="53"/>
      <c r="WKI52" s="53"/>
      <c r="WKJ52" s="53"/>
      <c r="WKK52" s="53"/>
      <c r="WKL52" s="53"/>
      <c r="WKM52" s="53"/>
      <c r="WKN52" s="53"/>
      <c r="WKO52" s="53"/>
      <c r="WKP52" s="53"/>
      <c r="WKQ52" s="53"/>
      <c r="WKR52" s="53"/>
      <c r="WKS52" s="53"/>
      <c r="WKT52" s="53"/>
      <c r="WKU52" s="53"/>
      <c r="WKV52" s="53"/>
      <c r="WKW52" s="53"/>
      <c r="WKX52" s="53"/>
      <c r="WKY52" s="53"/>
      <c r="WKZ52" s="53"/>
      <c r="WLA52" s="53"/>
      <c r="WLB52" s="53"/>
      <c r="WLC52" s="53"/>
      <c r="WLD52" s="53"/>
      <c r="WLE52" s="53"/>
      <c r="WLF52" s="53"/>
      <c r="WLG52" s="53"/>
      <c r="WLH52" s="53"/>
      <c r="WLI52" s="53"/>
      <c r="WLJ52" s="53"/>
      <c r="WLK52" s="53"/>
      <c r="WLL52" s="53"/>
      <c r="WLM52" s="53"/>
      <c r="WLN52" s="53"/>
      <c r="WLO52" s="53"/>
      <c r="WLP52" s="53"/>
      <c r="WLQ52" s="53"/>
      <c r="WLR52" s="53"/>
      <c r="WLS52" s="53"/>
      <c r="WLT52" s="53"/>
      <c r="WLU52" s="53"/>
      <c r="WLV52" s="53"/>
      <c r="WLW52" s="53"/>
      <c r="WLX52" s="53"/>
      <c r="WLY52" s="53"/>
      <c r="WLZ52" s="53"/>
      <c r="WMA52" s="53"/>
      <c r="WMB52" s="53"/>
      <c r="WMC52" s="53"/>
      <c r="WMD52" s="53"/>
      <c r="WME52" s="53"/>
      <c r="WMF52" s="53"/>
      <c r="WMG52" s="53"/>
      <c r="WMH52" s="53"/>
      <c r="WMI52" s="53"/>
      <c r="WMJ52" s="53"/>
      <c r="WMK52" s="53"/>
      <c r="WML52" s="53"/>
      <c r="WMM52" s="53"/>
      <c r="WMN52" s="53"/>
      <c r="WMO52" s="53"/>
      <c r="WMP52" s="53"/>
      <c r="WMQ52" s="53"/>
      <c r="WMR52" s="53"/>
      <c r="WMS52" s="53"/>
      <c r="WMT52" s="53"/>
      <c r="WMU52" s="53"/>
      <c r="WMV52" s="53"/>
      <c r="WMW52" s="53"/>
      <c r="WMX52" s="53"/>
      <c r="WMY52" s="53"/>
      <c r="WMZ52" s="53"/>
      <c r="WNA52" s="53"/>
      <c r="WNB52" s="53"/>
      <c r="WNC52" s="53"/>
      <c r="WND52" s="53"/>
      <c r="WNE52" s="53"/>
      <c r="WNF52" s="53"/>
      <c r="WNG52" s="53"/>
      <c r="WNH52" s="53"/>
      <c r="WNI52" s="53"/>
      <c r="WNJ52" s="53"/>
      <c r="WNK52" s="53"/>
      <c r="WNL52" s="53"/>
      <c r="WNM52" s="53"/>
      <c r="WNN52" s="53"/>
      <c r="WNO52" s="53"/>
      <c r="WNP52" s="53"/>
      <c r="WNQ52" s="53"/>
      <c r="WNR52" s="53"/>
      <c r="WNS52" s="53"/>
      <c r="WNT52" s="53"/>
      <c r="WNU52" s="53"/>
      <c r="WNV52" s="53"/>
      <c r="WNW52" s="53"/>
      <c r="WNX52" s="53"/>
      <c r="WNY52" s="53"/>
      <c r="WNZ52" s="53"/>
      <c r="WOA52" s="53"/>
      <c r="WOB52" s="53"/>
      <c r="WOC52" s="53"/>
      <c r="WOD52" s="53"/>
      <c r="WOE52" s="53"/>
      <c r="WOF52" s="53"/>
      <c r="WOG52" s="53"/>
      <c r="WOH52" s="53"/>
      <c r="WOI52" s="53"/>
      <c r="WOJ52" s="53"/>
      <c r="WOK52" s="53"/>
      <c r="WOL52" s="53"/>
      <c r="WOM52" s="53"/>
      <c r="WON52" s="53"/>
      <c r="WOO52" s="53"/>
      <c r="WOP52" s="53"/>
      <c r="WOQ52" s="53"/>
      <c r="WOR52" s="53"/>
      <c r="WOS52" s="53"/>
      <c r="WOT52" s="53"/>
      <c r="WOU52" s="53"/>
      <c r="WOV52" s="53"/>
      <c r="WOW52" s="53"/>
      <c r="WOX52" s="53"/>
      <c r="WOY52" s="53"/>
      <c r="WOZ52" s="53"/>
      <c r="WPA52" s="53"/>
      <c r="WPB52" s="53"/>
      <c r="WPC52" s="53"/>
      <c r="WPD52" s="53"/>
      <c r="WPE52" s="53"/>
      <c r="WPF52" s="53"/>
      <c r="WPG52" s="53"/>
      <c r="WPH52" s="53"/>
      <c r="WPI52" s="53"/>
      <c r="WPJ52" s="53"/>
      <c r="WPK52" s="53"/>
      <c r="WPL52" s="53"/>
      <c r="WPM52" s="53"/>
      <c r="WPN52" s="53"/>
      <c r="WPO52" s="53"/>
      <c r="WPP52" s="53"/>
      <c r="WPQ52" s="53"/>
      <c r="WPR52" s="53"/>
      <c r="WPS52" s="53"/>
      <c r="WPT52" s="53"/>
      <c r="WPU52" s="53"/>
      <c r="WPV52" s="53"/>
      <c r="WPW52" s="53"/>
      <c r="WPX52" s="53"/>
      <c r="WPY52" s="53"/>
      <c r="WPZ52" s="53"/>
      <c r="WQA52" s="53"/>
      <c r="WQB52" s="53"/>
      <c r="WQC52" s="53"/>
      <c r="WQD52" s="53"/>
      <c r="WQE52" s="53"/>
      <c r="WQF52" s="53"/>
      <c r="WQG52" s="53"/>
      <c r="WQH52" s="53"/>
      <c r="WQI52" s="53"/>
      <c r="WQJ52" s="53"/>
      <c r="WQK52" s="53"/>
      <c r="WQL52" s="53"/>
      <c r="WQM52" s="53"/>
      <c r="WQN52" s="53"/>
      <c r="WQO52" s="53"/>
      <c r="WQP52" s="53"/>
      <c r="WQQ52" s="53"/>
      <c r="WQR52" s="53"/>
      <c r="WQS52" s="53"/>
      <c r="WQT52" s="53"/>
      <c r="WQU52" s="53"/>
      <c r="WQV52" s="53"/>
      <c r="WQW52" s="53"/>
      <c r="WQX52" s="53"/>
      <c r="WQY52" s="53"/>
      <c r="WQZ52" s="53"/>
      <c r="WRA52" s="53"/>
      <c r="WRB52" s="53"/>
      <c r="WRC52" s="53"/>
      <c r="WRD52" s="53"/>
      <c r="WRE52" s="53"/>
      <c r="WRF52" s="53"/>
      <c r="WRG52" s="53"/>
      <c r="WRH52" s="53"/>
      <c r="WRI52" s="53"/>
      <c r="WRJ52" s="53"/>
      <c r="WRK52" s="53"/>
      <c r="WRL52" s="53"/>
      <c r="WRM52" s="53"/>
      <c r="WRN52" s="53"/>
      <c r="WRO52" s="53"/>
      <c r="WRP52" s="53"/>
      <c r="WRQ52" s="53"/>
      <c r="WRR52" s="53"/>
      <c r="WRS52" s="53"/>
      <c r="WRT52" s="53"/>
      <c r="WRU52" s="53"/>
      <c r="WRV52" s="53"/>
      <c r="WRW52" s="53"/>
      <c r="WRX52" s="53"/>
      <c r="WRY52" s="53"/>
      <c r="WRZ52" s="53"/>
      <c r="WSA52" s="53"/>
      <c r="WSB52" s="53"/>
      <c r="WSC52" s="53"/>
      <c r="WSD52" s="53"/>
      <c r="WSE52" s="53"/>
      <c r="WSF52" s="53"/>
      <c r="WSG52" s="53"/>
      <c r="WSH52" s="53"/>
      <c r="WSI52" s="53"/>
      <c r="WSJ52" s="53"/>
      <c r="WSK52" s="53"/>
      <c r="WSL52" s="53"/>
      <c r="WSM52" s="53"/>
      <c r="WSN52" s="53"/>
      <c r="WSO52" s="53"/>
      <c r="WSP52" s="53"/>
      <c r="WSQ52" s="53"/>
      <c r="WSR52" s="53"/>
      <c r="WSS52" s="53"/>
      <c r="WST52" s="53"/>
      <c r="WSU52" s="53"/>
      <c r="WSV52" s="53"/>
      <c r="WSW52" s="53"/>
      <c r="WSX52" s="53"/>
      <c r="WSY52" s="53"/>
      <c r="WSZ52" s="53"/>
      <c r="WTA52" s="53"/>
      <c r="WTB52" s="53"/>
      <c r="WTC52" s="53"/>
      <c r="WTD52" s="53"/>
      <c r="WTE52" s="53"/>
      <c r="WTF52" s="53"/>
      <c r="WTG52" s="53"/>
      <c r="WTH52" s="53"/>
      <c r="WTI52" s="53"/>
      <c r="WTJ52" s="53"/>
      <c r="WTK52" s="53"/>
      <c r="WTL52" s="53"/>
      <c r="WTM52" s="53"/>
      <c r="WTN52" s="53"/>
      <c r="WTO52" s="53"/>
      <c r="WTP52" s="53"/>
      <c r="WTQ52" s="53"/>
      <c r="WTR52" s="53"/>
      <c r="WTS52" s="53"/>
      <c r="WTT52" s="53"/>
      <c r="WTU52" s="53"/>
      <c r="WTV52" s="53"/>
      <c r="WTW52" s="53"/>
      <c r="WTX52" s="53"/>
      <c r="WTY52" s="53"/>
      <c r="WTZ52" s="53"/>
      <c r="WUA52" s="53"/>
      <c r="WUB52" s="53"/>
      <c r="WUC52" s="53"/>
      <c r="WUD52" s="53"/>
      <c r="WUE52" s="53"/>
      <c r="WUF52" s="53"/>
      <c r="WUG52" s="53"/>
      <c r="WUH52" s="53"/>
      <c r="WUI52" s="53"/>
      <c r="WUJ52" s="53"/>
      <c r="WUK52" s="53"/>
      <c r="WUL52" s="53"/>
      <c r="WUM52" s="53"/>
      <c r="WUN52" s="53"/>
      <c r="WUO52" s="53"/>
      <c r="WUP52" s="53"/>
      <c r="WUQ52" s="53"/>
      <c r="WUR52" s="53"/>
      <c r="WUS52" s="53"/>
      <c r="WUT52" s="53"/>
      <c r="WUU52" s="53"/>
      <c r="WUV52" s="53"/>
      <c r="WUW52" s="53"/>
      <c r="WUX52" s="53"/>
      <c r="WUY52" s="53"/>
      <c r="WUZ52" s="53"/>
      <c r="WVA52" s="53"/>
      <c r="WVB52" s="53"/>
      <c r="WVC52" s="53"/>
      <c r="WVD52" s="53"/>
      <c r="WVE52" s="53"/>
      <c r="WVF52" s="53"/>
      <c r="WVG52" s="53"/>
      <c r="WVH52" s="53"/>
      <c r="WVI52" s="53"/>
      <c r="WVJ52" s="53"/>
      <c r="WVK52" s="53"/>
      <c r="WVL52" s="53"/>
      <c r="WVM52" s="53"/>
      <c r="WVN52" s="53"/>
      <c r="WVO52" s="53"/>
      <c r="WVP52" s="53"/>
      <c r="WVQ52" s="53"/>
      <c r="WVR52" s="53"/>
      <c r="WVS52" s="53"/>
      <c r="WVT52" s="53"/>
      <c r="WVU52" s="53"/>
      <c r="WVV52" s="53"/>
      <c r="WVW52" s="53"/>
      <c r="WVX52" s="53"/>
      <c r="WVY52" s="53"/>
      <c r="WVZ52" s="53"/>
      <c r="WWA52" s="53"/>
      <c r="WWB52" s="53"/>
      <c r="WWC52" s="53"/>
      <c r="WWD52" s="53"/>
      <c r="WWE52" s="53"/>
      <c r="WWF52" s="53"/>
      <c r="WWG52" s="53"/>
      <c r="WWH52" s="53"/>
      <c r="WWI52" s="53"/>
      <c r="WWJ52" s="53"/>
      <c r="WWK52" s="53"/>
      <c r="WWL52" s="53"/>
      <c r="WWM52" s="53"/>
      <c r="WWN52" s="53"/>
      <c r="WWO52" s="53"/>
      <c r="WWP52" s="53"/>
      <c r="WWQ52" s="53"/>
      <c r="WWR52" s="53"/>
      <c r="WWS52" s="53"/>
      <c r="WWT52" s="53"/>
      <c r="WWU52" s="53"/>
      <c r="WWV52" s="53"/>
      <c r="WWW52" s="53"/>
      <c r="WWX52" s="53"/>
      <c r="WWY52" s="53"/>
      <c r="WWZ52" s="53"/>
      <c r="WXA52" s="53"/>
      <c r="WXB52" s="53"/>
      <c r="WXC52" s="53"/>
      <c r="WXD52" s="53"/>
      <c r="WXE52" s="53"/>
      <c r="WXF52" s="53"/>
      <c r="WXG52" s="53"/>
      <c r="WXH52" s="53"/>
      <c r="WXI52" s="53"/>
      <c r="WXJ52" s="53"/>
      <c r="WXK52" s="53"/>
      <c r="WXL52" s="53"/>
      <c r="WXM52" s="53"/>
      <c r="WXN52" s="53"/>
      <c r="WXO52" s="53"/>
      <c r="WXP52" s="53"/>
      <c r="WXQ52" s="53"/>
      <c r="WXR52" s="53"/>
      <c r="WXS52" s="53"/>
      <c r="WXT52" s="53"/>
      <c r="WXU52" s="53"/>
      <c r="WXV52" s="53"/>
      <c r="WXW52" s="53"/>
      <c r="WXX52" s="53"/>
      <c r="WXY52" s="53"/>
      <c r="WXZ52" s="53"/>
      <c r="WYA52" s="53"/>
      <c r="WYB52" s="53"/>
      <c r="WYC52" s="53"/>
      <c r="WYD52" s="53"/>
      <c r="WYE52" s="53"/>
      <c r="WYF52" s="53"/>
      <c r="WYG52" s="53"/>
      <c r="WYH52" s="53"/>
      <c r="WYI52" s="53"/>
      <c r="WYJ52" s="53"/>
      <c r="WYK52" s="53"/>
      <c r="WYL52" s="53"/>
      <c r="WYM52" s="53"/>
      <c r="WYN52" s="53"/>
      <c r="WYO52" s="53"/>
      <c r="WYP52" s="53"/>
      <c r="WYQ52" s="53"/>
      <c r="WYR52" s="53"/>
      <c r="WYS52" s="53"/>
      <c r="WYT52" s="53"/>
      <c r="WYU52" s="53"/>
      <c r="WYV52" s="53"/>
      <c r="WYW52" s="53"/>
      <c r="WYX52" s="53"/>
      <c r="WYY52" s="53"/>
      <c r="WYZ52" s="53"/>
      <c r="WZA52" s="53"/>
      <c r="WZB52" s="53"/>
      <c r="WZC52" s="53"/>
      <c r="WZD52" s="53"/>
      <c r="WZE52" s="53"/>
      <c r="WZF52" s="53"/>
      <c r="WZG52" s="53"/>
      <c r="WZH52" s="53"/>
      <c r="WZI52" s="53"/>
      <c r="WZJ52" s="53"/>
      <c r="WZK52" s="53"/>
      <c r="WZL52" s="53"/>
      <c r="WZM52" s="53"/>
      <c r="WZN52" s="53"/>
      <c r="WZO52" s="53"/>
      <c r="WZP52" s="53"/>
      <c r="WZQ52" s="53"/>
      <c r="WZR52" s="53"/>
      <c r="WZS52" s="53"/>
      <c r="WZT52" s="53"/>
      <c r="WZU52" s="53"/>
      <c r="WZV52" s="53"/>
      <c r="WZW52" s="53"/>
      <c r="WZX52" s="53"/>
      <c r="WZY52" s="53"/>
      <c r="WZZ52" s="53"/>
      <c r="XAA52" s="53"/>
      <c r="XAB52" s="53"/>
      <c r="XAC52" s="53"/>
      <c r="XAD52" s="53"/>
      <c r="XAE52" s="53"/>
      <c r="XAF52" s="53"/>
      <c r="XAG52" s="53"/>
      <c r="XAH52" s="53"/>
      <c r="XAI52" s="53"/>
      <c r="XAJ52" s="53"/>
      <c r="XAK52" s="53"/>
      <c r="XAL52" s="53"/>
      <c r="XAM52" s="53"/>
      <c r="XAN52" s="53"/>
      <c r="XAO52" s="53"/>
      <c r="XAP52" s="53"/>
      <c r="XAQ52" s="53"/>
      <c r="XAR52" s="53"/>
      <c r="XAS52" s="53"/>
      <c r="XAT52" s="53"/>
      <c r="XAU52" s="53"/>
      <c r="XAV52" s="53"/>
      <c r="XAW52" s="53"/>
      <c r="XAX52" s="53"/>
      <c r="XAY52" s="53"/>
      <c r="XAZ52" s="53"/>
      <c r="XBA52" s="53"/>
      <c r="XBB52" s="53"/>
      <c r="XBC52" s="53"/>
      <c r="XBD52" s="53"/>
      <c r="XBE52" s="53"/>
      <c r="XBF52" s="53"/>
      <c r="XBG52" s="53"/>
      <c r="XBH52" s="53"/>
      <c r="XBI52" s="53"/>
      <c r="XBJ52" s="53"/>
      <c r="XBK52" s="53"/>
      <c r="XBL52" s="53"/>
      <c r="XBM52" s="53"/>
      <c r="XBN52" s="53"/>
      <c r="XBO52" s="53"/>
      <c r="XBP52" s="53"/>
      <c r="XBQ52" s="53"/>
      <c r="XBR52" s="53"/>
      <c r="XBS52" s="53"/>
      <c r="XBT52" s="53"/>
      <c r="XBU52" s="53"/>
      <c r="XBV52" s="53"/>
      <c r="XBW52" s="53"/>
      <c r="XBX52" s="53"/>
      <c r="XBY52" s="53"/>
      <c r="XBZ52" s="53"/>
      <c r="XCA52" s="53"/>
      <c r="XCB52" s="53"/>
      <c r="XCC52" s="53"/>
      <c r="XCD52" s="53"/>
      <c r="XCE52" s="53"/>
      <c r="XCF52" s="53"/>
      <c r="XCG52" s="53"/>
      <c r="XCH52" s="53"/>
      <c r="XCI52" s="53"/>
      <c r="XCJ52" s="53"/>
      <c r="XCK52" s="53"/>
      <c r="XCL52" s="53"/>
      <c r="XCM52" s="53"/>
      <c r="XCN52" s="53"/>
      <c r="XCO52" s="53"/>
      <c r="XCP52" s="53"/>
      <c r="XCQ52" s="53"/>
      <c r="XCR52" s="53"/>
      <c r="XCS52" s="53"/>
      <c r="XCT52" s="53"/>
      <c r="XCU52" s="53"/>
      <c r="XCV52" s="53"/>
      <c r="XCW52" s="53"/>
      <c r="XCX52" s="53"/>
      <c r="XCY52" s="53"/>
      <c r="XCZ52" s="53"/>
      <c r="XDA52" s="53"/>
      <c r="XDB52" s="53"/>
      <c r="XDC52" s="53"/>
      <c r="XDD52" s="53"/>
      <c r="XDE52" s="53"/>
      <c r="XDF52" s="53"/>
      <c r="XDG52" s="53"/>
      <c r="XDH52" s="53"/>
      <c r="XDI52" s="53"/>
      <c r="XDJ52" s="53"/>
      <c r="XDK52" s="53"/>
      <c r="XDL52" s="53"/>
      <c r="XDM52" s="53"/>
      <c r="XDN52" s="53"/>
      <c r="XDO52" s="53"/>
      <c r="XDP52" s="53"/>
      <c r="XDQ52" s="53"/>
      <c r="XDR52" s="53"/>
      <c r="XDS52" s="53"/>
      <c r="XDT52" s="53"/>
      <c r="XDU52" s="53"/>
      <c r="XDV52" s="53"/>
      <c r="XDW52" s="53"/>
      <c r="XDX52" s="53"/>
      <c r="XDY52" s="53"/>
      <c r="XDZ52" s="53"/>
      <c r="XEA52" s="53"/>
      <c r="XEB52" s="53"/>
      <c r="XEC52" s="53"/>
      <c r="XED52" s="53"/>
      <c r="XEE52" s="53"/>
      <c r="XEF52" s="53"/>
      <c r="XEG52" s="53"/>
      <c r="XEH52" s="53"/>
      <c r="XEI52" s="53"/>
      <c r="XEJ52" s="53"/>
      <c r="XEK52" s="53"/>
      <c r="XEL52" s="53"/>
      <c r="XEM52" s="53"/>
      <c r="XEN52" s="53"/>
      <c r="XEO52" s="53"/>
      <c r="XEP52" s="53"/>
      <c r="XEQ52" s="53"/>
      <c r="XER52" s="53"/>
      <c r="XES52" s="53"/>
      <c r="XET52" s="53"/>
    </row>
    <row r="53" spans="1:16374" ht="15.75" thickTop="1" x14ac:dyDescent="0.25">
      <c r="A53" s="46" t="s">
        <v>128</v>
      </c>
      <c r="B53" s="59">
        <v>0</v>
      </c>
      <c r="C53" s="59">
        <f>+INVENT2016_2017!I53</f>
        <v>0</v>
      </c>
      <c r="D53" s="59">
        <f>[11]MVTAOUT!$H51+[11]MVTSEPT!$I51+[11]MVTOCT!$G51+[11]MVTNOV!$G51+[11]MVTDEC!$G51+[11]MVTJANV!$G51+[11]MVTFEV!$G51+[11]MVTMARS!$G51+[11]MVTAVRIL!$G51+[11]MVTMAI!$G51+[11]MVTJUIN!$G51+[11]MVTJUIL!$G51+[11]MVTAOUT2018!$G51</f>
        <v>27000</v>
      </c>
      <c r="E53" s="59">
        <f>+[11]MVTAOUT!$D51+[11]MVTSEPT!$E51+[11]MVTOCT!$C51+[11]MVTNOV!$C51+[11]MVTDEC!$C51+[11]MVTJANV!$C51+[11]MVTFEV!$C51+[11]MVTMARS!$C51+[11]MVTAVRIL!$C51+[11]MVTMAI!$C51+[11]MVTJUIN!$C51+[11]MVTJUIL!$C51</f>
        <v>88.5270055831013</v>
      </c>
      <c r="F53" s="59">
        <f t="shared" si="0"/>
        <v>27088.527005583102</v>
      </c>
      <c r="G53" s="59">
        <v>24094</v>
      </c>
      <c r="H53" s="59"/>
      <c r="I53">
        <v>0.25930286810762482</v>
      </c>
      <c r="J53" s="48">
        <v>0</v>
      </c>
    </row>
    <row r="54" spans="1:16374" x14ac:dyDescent="0.25">
      <c r="A54" s="1" t="s">
        <v>129</v>
      </c>
      <c r="B54" s="45">
        <f>+INVENT2016_2017!J54</f>
        <v>450000</v>
      </c>
      <c r="C54" s="45">
        <f>+INVENT2016_2017!I54</f>
        <v>0</v>
      </c>
      <c r="D54" s="45">
        <f>[11]MVTAOUT!$H52+[11]MVTSEPT!$I52+[11]MVTOCT!$G52+[11]MVTNOV!$G52+[11]MVTDEC!$G52+[11]MVTJANV!$G52+[11]MVTFEV!$G52+[11]MVTMARS!$G52+[11]MVTAVRIL!$G52+[11]MVTMAI!$G52+[11]MVTJUIN!$G52+[11]MVTJUIL!$G52+[11]MVTAOUT2018!$G52</f>
        <v>465000</v>
      </c>
      <c r="E54" s="45">
        <f>+[11]MVTAOUT!$D52+[11]MVTSEPT!$E52+[11]MVTOCT!$C52+[11]MVTNOV!$C52+[11]MVTDEC!$C52+[11]MVTJANV!$C52+[11]MVTFEV!$C52+[11]MVTMARS!$C52+[11]MVTAVRIL!$C52+[11]MVTMAI!$C52+[11]MVTJUIN!$C52+[11]MVTJUIL!$C52</f>
        <v>1596.1690040891908</v>
      </c>
      <c r="F54" s="45">
        <f t="shared" si="0"/>
        <v>466596.1690040892</v>
      </c>
      <c r="G54" s="50">
        <v>25000</v>
      </c>
      <c r="H54" s="50">
        <v>30000</v>
      </c>
      <c r="I54">
        <v>408860.3322255878</v>
      </c>
      <c r="J54" s="48">
        <v>480000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3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2</vt:i4>
      </vt:variant>
    </vt:vector>
  </HeadingPairs>
  <TitlesOfParts>
    <vt:vector size="15" baseType="lpstr">
      <vt:lpstr>BILAN 2016</vt:lpstr>
      <vt:lpstr>BILAN 2017</vt:lpstr>
      <vt:lpstr>SITFINANCIERE</vt:lpstr>
      <vt:lpstr>BILAN 2018</vt:lpstr>
      <vt:lpstr>ENTREE</vt:lpstr>
      <vt:lpstr>SORTIE</vt:lpstr>
      <vt:lpstr>SORTIEDETAILLE</vt:lpstr>
      <vt:lpstr>INVENT2016_2017</vt:lpstr>
      <vt:lpstr>INVENT2017_2018</vt:lpstr>
      <vt:lpstr>INVENT2017_2018 (4)</vt:lpstr>
      <vt:lpstr>DETTESIMOABEL</vt:lpstr>
      <vt:lpstr>INVENT2017_2018 (3)</vt:lpstr>
      <vt:lpstr>INVENT2017_2018 (2)</vt:lpstr>
      <vt:lpstr>'INVENT2017_2018 (2)'!Impression_des_titres</vt:lpstr>
      <vt:lpstr>'INVENT2017_2018 (3)'!Impression_des_titres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cp:lastPrinted>2018-08-03T12:05:54Z</cp:lastPrinted>
  <dcterms:created xsi:type="dcterms:W3CDTF">2018-07-05T07:24:12Z</dcterms:created>
  <dcterms:modified xsi:type="dcterms:W3CDTF">2020-10-23T07:27:44Z</dcterms:modified>
</cp:coreProperties>
</file>