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F38" i="49" l="1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F8" i="49"/>
  <c r="E8" i="49"/>
  <c r="F7" i="49"/>
  <c r="E7" i="49"/>
  <c r="F6" i="49"/>
  <c r="E6" i="49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F8" i="50"/>
  <c r="E8" i="50"/>
  <c r="F7" i="50"/>
  <c r="E7" i="50"/>
  <c r="F6" i="50"/>
  <c r="E6" i="50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F24" i="51"/>
  <c r="E24" i="51"/>
  <c r="F23" i="51"/>
  <c r="E23" i="51"/>
  <c r="F22" i="51"/>
  <c r="E22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F8" i="51"/>
  <c r="E8" i="51"/>
  <c r="F7" i="51"/>
  <c r="E7" i="51"/>
  <c r="F6" i="51"/>
  <c r="E6" i="51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F8" i="52"/>
  <c r="E8" i="52"/>
  <c r="F7" i="52"/>
  <c r="E7" i="52"/>
  <c r="F6" i="52"/>
  <c r="E6" i="52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F8" i="53"/>
  <c r="E8" i="53"/>
  <c r="F7" i="53"/>
  <c r="E7" i="53"/>
  <c r="F6" i="53"/>
  <c r="E6" i="53"/>
  <c r="F38" i="54"/>
  <c r="E38" i="54"/>
  <c r="F37" i="54"/>
  <c r="E37" i="54"/>
  <c r="F36" i="54"/>
  <c r="E36" i="54"/>
  <c r="F35" i="54"/>
  <c r="E35" i="54"/>
  <c r="F34" i="54"/>
  <c r="E34" i="54"/>
  <c r="F33" i="54"/>
  <c r="E33" i="54"/>
  <c r="F32" i="54"/>
  <c r="E32" i="54"/>
  <c r="F31" i="54"/>
  <c r="E31" i="54"/>
  <c r="F30" i="54"/>
  <c r="E30" i="54"/>
  <c r="F29" i="54"/>
  <c r="E29" i="54"/>
  <c r="F28" i="54"/>
  <c r="E28" i="54"/>
  <c r="F27" i="54"/>
  <c r="E27" i="54"/>
  <c r="F26" i="54"/>
  <c r="E26" i="54"/>
  <c r="F25" i="54"/>
  <c r="E25" i="54"/>
  <c r="F24" i="54"/>
  <c r="E24" i="54"/>
  <c r="F23" i="54"/>
  <c r="E23" i="54"/>
  <c r="F22" i="54"/>
  <c r="E22" i="54"/>
  <c r="F21" i="54"/>
  <c r="E21" i="54"/>
  <c r="F20" i="54"/>
  <c r="E20" i="54"/>
  <c r="F19" i="54"/>
  <c r="E19" i="54"/>
  <c r="F18" i="54"/>
  <c r="E18" i="54"/>
  <c r="F17" i="54"/>
  <c r="E17" i="54"/>
  <c r="F16" i="54"/>
  <c r="E16" i="54"/>
  <c r="F15" i="54"/>
  <c r="E15" i="54"/>
  <c r="F14" i="54"/>
  <c r="E14" i="54"/>
  <c r="F13" i="54"/>
  <c r="E13" i="54"/>
  <c r="F12" i="54"/>
  <c r="E12" i="54"/>
  <c r="F11" i="54"/>
  <c r="E11" i="54"/>
  <c r="F10" i="54"/>
  <c r="E10" i="54"/>
  <c r="F9" i="54"/>
  <c r="E9" i="54"/>
  <c r="F8" i="54"/>
  <c r="E8" i="54"/>
  <c r="F7" i="54"/>
  <c r="E7" i="54"/>
  <c r="F6" i="54"/>
  <c r="E6" i="54"/>
  <c r="F38" i="55"/>
  <c r="E38" i="55"/>
  <c r="F37" i="55"/>
  <c r="E37" i="55"/>
  <c r="F36" i="55"/>
  <c r="E36" i="55"/>
  <c r="F35" i="55"/>
  <c r="E35" i="55"/>
  <c r="F34" i="55"/>
  <c r="E34" i="55"/>
  <c r="F33" i="55"/>
  <c r="E33" i="55"/>
  <c r="F32" i="55"/>
  <c r="E32" i="55"/>
  <c r="F31" i="55"/>
  <c r="E31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F22" i="55"/>
  <c r="E22" i="55"/>
  <c r="F21" i="55"/>
  <c r="E21" i="55"/>
  <c r="F20" i="55"/>
  <c r="E20" i="55"/>
  <c r="F19" i="55"/>
  <c r="E19" i="55"/>
  <c r="F18" i="55"/>
  <c r="E18" i="55"/>
  <c r="F17" i="55"/>
  <c r="E17" i="55"/>
  <c r="F16" i="55"/>
  <c r="E16" i="55"/>
  <c r="F15" i="55"/>
  <c r="E15" i="55"/>
  <c r="F14" i="55"/>
  <c r="E14" i="55"/>
  <c r="F13" i="55"/>
  <c r="E13" i="55"/>
  <c r="F12" i="55"/>
  <c r="E12" i="55"/>
  <c r="F11" i="55"/>
  <c r="E11" i="55"/>
  <c r="F10" i="55"/>
  <c r="E10" i="55"/>
  <c r="F9" i="55"/>
  <c r="E9" i="55"/>
  <c r="F8" i="55"/>
  <c r="E8" i="55"/>
  <c r="F7" i="55"/>
  <c r="E7" i="55"/>
  <c r="F6" i="55"/>
  <c r="E6" i="55"/>
  <c r="F38" i="56"/>
  <c r="E38" i="56"/>
  <c r="F37" i="56"/>
  <c r="E37" i="56"/>
  <c r="F36" i="56"/>
  <c r="E36" i="56"/>
  <c r="F35" i="56"/>
  <c r="E35" i="56"/>
  <c r="F34" i="56"/>
  <c r="E34" i="56"/>
  <c r="F33" i="56"/>
  <c r="E33" i="56"/>
  <c r="F32" i="56"/>
  <c r="E32" i="56"/>
  <c r="F31" i="56"/>
  <c r="E31" i="56"/>
  <c r="F30" i="56"/>
  <c r="E30" i="56"/>
  <c r="F29" i="56"/>
  <c r="E29" i="56"/>
  <c r="F28" i="56"/>
  <c r="E28" i="56"/>
  <c r="F27" i="56"/>
  <c r="E27" i="56"/>
  <c r="F26" i="56"/>
  <c r="E26" i="56"/>
  <c r="F25" i="56"/>
  <c r="E25" i="56"/>
  <c r="F24" i="56"/>
  <c r="E24" i="56"/>
  <c r="F23" i="56"/>
  <c r="E23" i="56"/>
  <c r="F22" i="56"/>
  <c r="E22" i="56"/>
  <c r="F21" i="56"/>
  <c r="E21" i="56"/>
  <c r="F20" i="56"/>
  <c r="E20" i="56"/>
  <c r="F19" i="56"/>
  <c r="E19" i="56"/>
  <c r="F18" i="56"/>
  <c r="E18" i="56"/>
  <c r="F17" i="56"/>
  <c r="E17" i="56"/>
  <c r="F16" i="56"/>
  <c r="E16" i="56"/>
  <c r="F15" i="56"/>
  <c r="E15" i="56"/>
  <c r="F14" i="56"/>
  <c r="E14" i="56"/>
  <c r="F13" i="56"/>
  <c r="E13" i="56"/>
  <c r="F12" i="56"/>
  <c r="E12" i="56"/>
  <c r="F11" i="56"/>
  <c r="E11" i="56"/>
  <c r="F10" i="56"/>
  <c r="E10" i="56"/>
  <c r="F9" i="56"/>
  <c r="E9" i="56"/>
  <c r="F8" i="56"/>
  <c r="E8" i="56"/>
  <c r="F7" i="56"/>
  <c r="E7" i="56"/>
  <c r="F6" i="56"/>
  <c r="E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6" i="56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6" i="55"/>
  <c r="D7" i="54"/>
  <c r="D8" i="54"/>
  <c r="D9" i="54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6" i="54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6" i="53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6" i="52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6" i="51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6" i="50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6" i="49"/>
  <c r="AN18" i="48" l="1"/>
  <c r="AN25" i="48"/>
  <c r="E36" i="48"/>
  <c r="D26" i="48"/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1" i="57"/>
  <c r="AY30" i="57"/>
  <c r="AX30" i="57"/>
  <c r="AY29" i="57"/>
  <c r="AX29" i="57"/>
  <c r="AY28" i="57"/>
  <c r="AX28" i="57"/>
  <c r="AY27" i="57"/>
  <c r="AX27" i="57"/>
  <c r="AY26" i="57"/>
  <c r="AX26" i="57"/>
  <c r="AX25" i="57"/>
  <c r="AX24" i="57"/>
  <c r="AY23" i="57"/>
  <c r="AX23" i="57"/>
  <c r="AY22" i="57"/>
  <c r="AX22" i="57"/>
  <c r="AY21" i="57"/>
  <c r="AX21" i="57"/>
  <c r="AY20" i="57"/>
  <c r="AY19" i="57"/>
  <c r="AX19" i="57"/>
  <c r="AX18" i="57"/>
  <c r="AY17" i="57"/>
  <c r="AX17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K40" i="57" s="1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M40" i="57" s="1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L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AZ38" i="56"/>
  <c r="BD38" i="56" s="1"/>
  <c r="B38" i="56"/>
  <c r="AY37" i="56"/>
  <c r="AX37" i="56"/>
  <c r="AW37" i="56"/>
  <c r="AZ37" i="56"/>
  <c r="BD37" i="56" s="1"/>
  <c r="B37" i="56"/>
  <c r="AY36" i="56"/>
  <c r="AX36" i="56"/>
  <c r="AW36" i="56"/>
  <c r="AZ36" i="56"/>
  <c r="BD36" i="56" s="1"/>
  <c r="B36" i="56"/>
  <c r="AY35" i="56"/>
  <c r="AX35" i="56"/>
  <c r="AW35" i="56"/>
  <c r="AZ35" i="56"/>
  <c r="BD35" i="56" s="1"/>
  <c r="B35" i="56"/>
  <c r="AY34" i="56"/>
  <c r="AX34" i="56"/>
  <c r="AW34" i="56"/>
  <c r="AZ34" i="56"/>
  <c r="BD34" i="56" s="1"/>
  <c r="B34" i="56"/>
  <c r="BP33" i="56"/>
  <c r="AY33" i="56"/>
  <c r="AX33" i="56"/>
  <c r="AW33" i="56"/>
  <c r="AZ33" i="56"/>
  <c r="BD33" i="56" s="1"/>
  <c r="B33" i="56"/>
  <c r="AY32" i="56"/>
  <c r="AX32" i="56"/>
  <c r="AW32" i="56"/>
  <c r="AZ32" i="56"/>
  <c r="BD32" i="56" s="1"/>
  <c r="B32" i="56"/>
  <c r="AY31" i="56"/>
  <c r="AX31" i="56"/>
  <c r="AW31" i="56"/>
  <c r="AZ31" i="56"/>
  <c r="BD31" i="56" s="1"/>
  <c r="B31" i="56"/>
  <c r="AY30" i="56"/>
  <c r="AX30" i="56"/>
  <c r="AW30" i="56"/>
  <c r="AZ30" i="56"/>
  <c r="BD30" i="56" s="1"/>
  <c r="B30" i="56"/>
  <c r="AY29" i="56"/>
  <c r="AX29" i="56"/>
  <c r="AW29" i="56"/>
  <c r="AZ29" i="56"/>
  <c r="BD29" i="56" s="1"/>
  <c r="B29" i="56"/>
  <c r="BP28" i="56"/>
  <c r="AY28" i="56"/>
  <c r="AX28" i="56"/>
  <c r="AW28" i="56"/>
  <c r="AZ28" i="56"/>
  <c r="BD28" i="56" s="1"/>
  <c r="B28" i="56"/>
  <c r="AY27" i="56"/>
  <c r="AX27" i="56"/>
  <c r="AW27" i="56"/>
  <c r="AZ27" i="56"/>
  <c r="BD27" i="56" s="1"/>
  <c r="B27" i="56"/>
  <c r="AY26" i="56"/>
  <c r="AX26" i="56"/>
  <c r="AW26" i="56"/>
  <c r="AZ26" i="56"/>
  <c r="BD26" i="56" s="1"/>
  <c r="B26" i="56"/>
  <c r="AY25" i="56"/>
  <c r="AX25" i="56"/>
  <c r="AW25" i="56"/>
  <c r="AZ25" i="56"/>
  <c r="BD25" i="56" s="1"/>
  <c r="B25" i="56"/>
  <c r="AY24" i="56"/>
  <c r="AX24" i="56"/>
  <c r="AW24" i="56"/>
  <c r="AZ24" i="56"/>
  <c r="BD24" i="56" s="1"/>
  <c r="B24" i="56"/>
  <c r="AY23" i="56"/>
  <c r="AX23" i="56"/>
  <c r="AW23" i="56"/>
  <c r="AZ23" i="56"/>
  <c r="BD23" i="56" s="1"/>
  <c r="B23" i="56"/>
  <c r="BP22" i="56"/>
  <c r="AY22" i="56"/>
  <c r="AX22" i="56"/>
  <c r="AW22" i="56"/>
  <c r="AZ22" i="56"/>
  <c r="BD22" i="56" s="1"/>
  <c r="B22" i="56"/>
  <c r="AY21" i="56"/>
  <c r="AX21" i="56"/>
  <c r="AW21" i="56"/>
  <c r="AZ21" i="56"/>
  <c r="BD21" i="56" s="1"/>
  <c r="B21" i="56"/>
  <c r="AY20" i="56"/>
  <c r="AX20" i="56"/>
  <c r="AW20" i="56"/>
  <c r="AZ20" i="56"/>
  <c r="BD20" i="56" s="1"/>
  <c r="B20" i="56"/>
  <c r="AY19" i="56"/>
  <c r="AX19" i="56"/>
  <c r="AW19" i="56"/>
  <c r="AZ19" i="56"/>
  <c r="BD19" i="56" s="1"/>
  <c r="B19" i="56"/>
  <c r="AY18" i="56"/>
  <c r="AX18" i="56"/>
  <c r="AW18" i="56"/>
  <c r="AZ18" i="56"/>
  <c r="BD18" i="56" s="1"/>
  <c r="B18" i="56"/>
  <c r="AY17" i="56"/>
  <c r="AX17" i="56"/>
  <c r="AW17" i="56"/>
  <c r="AZ17" i="56"/>
  <c r="BD17" i="56" s="1"/>
  <c r="B17" i="56"/>
  <c r="BP16" i="56"/>
  <c r="AY16" i="56"/>
  <c r="AX16" i="56"/>
  <c r="AW16" i="56"/>
  <c r="AZ16" i="56"/>
  <c r="BD16" i="56" s="1"/>
  <c r="B16" i="56"/>
  <c r="AY15" i="56"/>
  <c r="AX15" i="56"/>
  <c r="AW15" i="56"/>
  <c r="AZ15" i="56"/>
  <c r="BD15" i="56" s="1"/>
  <c r="B15" i="56"/>
  <c r="AY14" i="56"/>
  <c r="AX14" i="56"/>
  <c r="AW14" i="56"/>
  <c r="AZ14" i="56"/>
  <c r="BD14" i="56" s="1"/>
  <c r="B14" i="56"/>
  <c r="AY13" i="56"/>
  <c r="AX13" i="56"/>
  <c r="AW13" i="56"/>
  <c r="AZ13" i="56"/>
  <c r="BD13" i="56" s="1"/>
  <c r="B13" i="56"/>
  <c r="AY12" i="56"/>
  <c r="AY40" i="56" s="1"/>
  <c r="AX12" i="56"/>
  <c r="AW12" i="56"/>
  <c r="AZ12" i="56"/>
  <c r="BD12" i="56" s="1"/>
  <c r="B12" i="56"/>
  <c r="AY11" i="56"/>
  <c r="AX11" i="56"/>
  <c r="AW11" i="56"/>
  <c r="AZ11" i="56"/>
  <c r="BD11" i="56" s="1"/>
  <c r="B11" i="56"/>
  <c r="AY10" i="56"/>
  <c r="AX10" i="56"/>
  <c r="AW10" i="56"/>
  <c r="AZ10" i="56"/>
  <c r="BD10" i="56" s="1"/>
  <c r="B10" i="56"/>
  <c r="AY9" i="56"/>
  <c r="AX9" i="56"/>
  <c r="AW9" i="56"/>
  <c r="AZ9" i="56"/>
  <c r="BD9" i="56" s="1"/>
  <c r="B9" i="56"/>
  <c r="AY8" i="56"/>
  <c r="AX8" i="56"/>
  <c r="AW8" i="56"/>
  <c r="AZ8" i="56"/>
  <c r="BD8" i="56" s="1"/>
  <c r="B8" i="56"/>
  <c r="AY7" i="56"/>
  <c r="AX7" i="56"/>
  <c r="AW7" i="56"/>
  <c r="AZ7" i="56"/>
  <c r="BD7" i="56" s="1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AZ38" i="55"/>
  <c r="BD38" i="55" s="1"/>
  <c r="B38" i="55"/>
  <c r="AY37" i="55"/>
  <c r="AX37" i="55"/>
  <c r="AW37" i="55"/>
  <c r="AZ37" i="55"/>
  <c r="BD37" i="55" s="1"/>
  <c r="B37" i="55"/>
  <c r="AY36" i="55"/>
  <c r="AX36" i="55"/>
  <c r="AW36" i="55"/>
  <c r="AZ36" i="55"/>
  <c r="BD36" i="55" s="1"/>
  <c r="B36" i="55"/>
  <c r="AY35" i="55"/>
  <c r="AX35" i="55"/>
  <c r="AW35" i="55"/>
  <c r="AZ35" i="55"/>
  <c r="BD35" i="55" s="1"/>
  <c r="B35" i="55"/>
  <c r="AY34" i="55"/>
  <c r="AX34" i="55"/>
  <c r="AW34" i="55"/>
  <c r="AZ34" i="55"/>
  <c r="BD34" i="55" s="1"/>
  <c r="B34" i="55"/>
  <c r="BP33" i="55"/>
  <c r="BP34" i="55" s="1"/>
  <c r="AY33" i="55"/>
  <c r="AX33" i="55"/>
  <c r="AW33" i="55"/>
  <c r="AZ33" i="55"/>
  <c r="BD33" i="55" s="1"/>
  <c r="B33" i="55"/>
  <c r="AY32" i="55"/>
  <c r="AX32" i="55"/>
  <c r="AW32" i="55"/>
  <c r="AZ32" i="55"/>
  <c r="BD32" i="55" s="1"/>
  <c r="B32" i="55"/>
  <c r="AY31" i="55"/>
  <c r="AX31" i="55"/>
  <c r="AW31" i="55"/>
  <c r="AZ31" i="55"/>
  <c r="BD31" i="55" s="1"/>
  <c r="B31" i="55"/>
  <c r="AY30" i="55"/>
  <c r="AX30" i="55"/>
  <c r="AW30" i="55"/>
  <c r="AZ30" i="55"/>
  <c r="BD30" i="55" s="1"/>
  <c r="B30" i="55"/>
  <c r="AY29" i="55"/>
  <c r="AX29" i="55"/>
  <c r="AW29" i="55"/>
  <c r="AZ29" i="55"/>
  <c r="BD29" i="55" s="1"/>
  <c r="B29" i="55"/>
  <c r="BP28" i="55"/>
  <c r="BI6" i="55" s="1"/>
  <c r="BI40" i="55" s="1"/>
  <c r="AY28" i="55"/>
  <c r="AX28" i="55"/>
  <c r="AW28" i="55"/>
  <c r="AZ28" i="55"/>
  <c r="BD28" i="55" s="1"/>
  <c r="B28" i="55"/>
  <c r="AY27" i="55"/>
  <c r="AX27" i="55"/>
  <c r="AW27" i="55"/>
  <c r="AZ27" i="55"/>
  <c r="BD27" i="55" s="1"/>
  <c r="B27" i="55"/>
  <c r="AY26" i="55"/>
  <c r="AX26" i="55"/>
  <c r="AW26" i="55"/>
  <c r="AZ26" i="55"/>
  <c r="BD26" i="55" s="1"/>
  <c r="B26" i="55"/>
  <c r="AY25" i="55"/>
  <c r="AX25" i="55"/>
  <c r="AW25" i="55"/>
  <c r="AZ25" i="55"/>
  <c r="BD25" i="55" s="1"/>
  <c r="B25" i="55"/>
  <c r="AY24" i="55"/>
  <c r="AX24" i="55"/>
  <c r="AW24" i="55"/>
  <c r="AZ24" i="55"/>
  <c r="BD24" i="55" s="1"/>
  <c r="B24" i="55"/>
  <c r="AY23" i="55"/>
  <c r="AX23" i="55"/>
  <c r="AW23" i="55"/>
  <c r="AZ23" i="55"/>
  <c r="BD23" i="55" s="1"/>
  <c r="B23" i="55"/>
  <c r="BP22" i="55"/>
  <c r="AY22" i="55"/>
  <c r="AX22" i="55"/>
  <c r="AW22" i="55"/>
  <c r="AZ22" i="55"/>
  <c r="BD22" i="55" s="1"/>
  <c r="B22" i="55"/>
  <c r="AY21" i="55"/>
  <c r="AX21" i="55"/>
  <c r="AW21" i="55"/>
  <c r="AZ21" i="55"/>
  <c r="BD21" i="55" s="1"/>
  <c r="B21" i="55"/>
  <c r="AY20" i="55"/>
  <c r="AX20" i="55"/>
  <c r="AW20" i="55"/>
  <c r="AZ20" i="55"/>
  <c r="BD20" i="55" s="1"/>
  <c r="B20" i="55"/>
  <c r="AY19" i="55"/>
  <c r="AX19" i="55"/>
  <c r="AW19" i="55"/>
  <c r="AZ19" i="55"/>
  <c r="BD19" i="55" s="1"/>
  <c r="B19" i="55"/>
  <c r="AY18" i="55"/>
  <c r="AX18" i="55"/>
  <c r="AW18" i="55"/>
  <c r="AZ18" i="55"/>
  <c r="BD18" i="55" s="1"/>
  <c r="B18" i="55"/>
  <c r="AY17" i="55"/>
  <c r="AX17" i="55"/>
  <c r="AW17" i="55"/>
  <c r="AZ17" i="55"/>
  <c r="BD17" i="55" s="1"/>
  <c r="B17" i="55"/>
  <c r="BP16" i="55"/>
  <c r="AY16" i="55"/>
  <c r="AX16" i="55"/>
  <c r="AW16" i="55"/>
  <c r="AZ16" i="55"/>
  <c r="BD16" i="55" s="1"/>
  <c r="B16" i="55"/>
  <c r="AY15" i="55"/>
  <c r="AX15" i="55"/>
  <c r="AW15" i="55"/>
  <c r="AZ15" i="55"/>
  <c r="BD15" i="55" s="1"/>
  <c r="B15" i="55"/>
  <c r="AY14" i="55"/>
  <c r="AX14" i="55"/>
  <c r="AW14" i="55"/>
  <c r="AZ14" i="55"/>
  <c r="BD14" i="55" s="1"/>
  <c r="B14" i="55"/>
  <c r="AY13" i="55"/>
  <c r="AX13" i="55"/>
  <c r="AW13" i="55"/>
  <c r="AZ13" i="55"/>
  <c r="BD13" i="55" s="1"/>
  <c r="B13" i="55"/>
  <c r="AY12" i="55"/>
  <c r="AX12" i="55"/>
  <c r="AW12" i="55"/>
  <c r="AZ12" i="55"/>
  <c r="BD12" i="55" s="1"/>
  <c r="B12" i="55"/>
  <c r="AY11" i="55"/>
  <c r="AX11" i="55"/>
  <c r="AW11" i="55"/>
  <c r="AZ11" i="55"/>
  <c r="BD11" i="55" s="1"/>
  <c r="B11" i="55"/>
  <c r="AY10" i="55"/>
  <c r="AX10" i="55"/>
  <c r="AW10" i="55"/>
  <c r="AZ10" i="55"/>
  <c r="BD10" i="55" s="1"/>
  <c r="B10" i="55"/>
  <c r="AY9" i="55"/>
  <c r="AX9" i="55"/>
  <c r="AW9" i="55"/>
  <c r="AZ9" i="55"/>
  <c r="BD9" i="55" s="1"/>
  <c r="B9" i="55"/>
  <c r="AY8" i="55"/>
  <c r="AX8" i="55"/>
  <c r="AW8" i="55"/>
  <c r="AZ8" i="55"/>
  <c r="BD8" i="55" s="1"/>
  <c r="B8" i="55"/>
  <c r="AY7" i="55"/>
  <c r="AX7" i="55"/>
  <c r="AW7" i="55"/>
  <c r="AZ7" i="55"/>
  <c r="BD7" i="55" s="1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AZ38" i="54"/>
  <c r="BD38" i="54" s="1"/>
  <c r="B38" i="54"/>
  <c r="AY37" i="54"/>
  <c r="AX37" i="54"/>
  <c r="AW37" i="54"/>
  <c r="AZ37" i="54"/>
  <c r="BD37" i="54" s="1"/>
  <c r="B37" i="54"/>
  <c r="AY36" i="54"/>
  <c r="AX36" i="54"/>
  <c r="AW36" i="54"/>
  <c r="AZ36" i="54"/>
  <c r="BD36" i="54" s="1"/>
  <c r="B36" i="54"/>
  <c r="AY35" i="54"/>
  <c r="AX35" i="54"/>
  <c r="AW35" i="54"/>
  <c r="AZ35" i="54"/>
  <c r="BD35" i="54" s="1"/>
  <c r="B35" i="54"/>
  <c r="BP34" i="54"/>
  <c r="AY34" i="54"/>
  <c r="AX34" i="54"/>
  <c r="AW34" i="54"/>
  <c r="AZ34" i="54"/>
  <c r="BD34" i="54" s="1"/>
  <c r="B34" i="54"/>
  <c r="BP33" i="54"/>
  <c r="AY33" i="54"/>
  <c r="AX33" i="54"/>
  <c r="AW33" i="54"/>
  <c r="AZ33" i="54"/>
  <c r="BD33" i="54" s="1"/>
  <c r="B33" i="54"/>
  <c r="AY32" i="54"/>
  <c r="AX32" i="54"/>
  <c r="AW32" i="54"/>
  <c r="AZ32" i="54"/>
  <c r="BD32" i="54" s="1"/>
  <c r="B32" i="54"/>
  <c r="AY31" i="54"/>
  <c r="AX31" i="54"/>
  <c r="AW31" i="54"/>
  <c r="AZ31" i="54"/>
  <c r="BD31" i="54" s="1"/>
  <c r="B31" i="54"/>
  <c r="AY30" i="54"/>
  <c r="AX30" i="54"/>
  <c r="AW30" i="54"/>
  <c r="AZ30" i="54"/>
  <c r="BD30" i="54" s="1"/>
  <c r="B30" i="54"/>
  <c r="AY29" i="54"/>
  <c r="AX29" i="54"/>
  <c r="AW29" i="54"/>
  <c r="AZ29" i="54"/>
  <c r="BD29" i="54" s="1"/>
  <c r="B29" i="54"/>
  <c r="BP28" i="54"/>
  <c r="AY28" i="54"/>
  <c r="AX28" i="54"/>
  <c r="AW28" i="54"/>
  <c r="AZ28" i="54"/>
  <c r="BD28" i="54" s="1"/>
  <c r="B28" i="54"/>
  <c r="AY27" i="54"/>
  <c r="AX27" i="54"/>
  <c r="AW27" i="54"/>
  <c r="AZ27" i="54"/>
  <c r="BD27" i="54" s="1"/>
  <c r="B27" i="54"/>
  <c r="AY26" i="54"/>
  <c r="AX26" i="54"/>
  <c r="AW26" i="54"/>
  <c r="AZ26" i="54"/>
  <c r="BD26" i="54" s="1"/>
  <c r="B26" i="54"/>
  <c r="AY25" i="54"/>
  <c r="AX25" i="54"/>
  <c r="AW25" i="54"/>
  <c r="AZ25" i="54"/>
  <c r="BD25" i="54" s="1"/>
  <c r="B25" i="54"/>
  <c r="AY24" i="54"/>
  <c r="AX24" i="54"/>
  <c r="AW24" i="54"/>
  <c r="AZ24" i="54"/>
  <c r="BD24" i="54" s="1"/>
  <c r="B24" i="54"/>
  <c r="AY23" i="54"/>
  <c r="AX23" i="54"/>
  <c r="AW23" i="54"/>
  <c r="AZ23" i="54"/>
  <c r="BD23" i="54" s="1"/>
  <c r="B23" i="54"/>
  <c r="BP22" i="54"/>
  <c r="AY22" i="54"/>
  <c r="AX22" i="54"/>
  <c r="AW22" i="54"/>
  <c r="AZ22" i="54"/>
  <c r="BD22" i="54" s="1"/>
  <c r="B22" i="54"/>
  <c r="AY21" i="54"/>
  <c r="AX21" i="54"/>
  <c r="AW21" i="54"/>
  <c r="AZ21" i="54"/>
  <c r="BD21" i="54" s="1"/>
  <c r="B21" i="54"/>
  <c r="AY20" i="54"/>
  <c r="AX20" i="54"/>
  <c r="AW20" i="54"/>
  <c r="AZ20" i="54"/>
  <c r="BD20" i="54" s="1"/>
  <c r="B20" i="54"/>
  <c r="AY19" i="54"/>
  <c r="AX19" i="54"/>
  <c r="AW19" i="54"/>
  <c r="AZ19" i="54"/>
  <c r="BD19" i="54" s="1"/>
  <c r="B19" i="54"/>
  <c r="AY18" i="54"/>
  <c r="AX18" i="54"/>
  <c r="AW18" i="54"/>
  <c r="AZ18" i="54"/>
  <c r="BD18" i="54" s="1"/>
  <c r="B18" i="54"/>
  <c r="AY17" i="54"/>
  <c r="AX17" i="54"/>
  <c r="AW17" i="54"/>
  <c r="AZ17" i="54"/>
  <c r="BD17" i="54" s="1"/>
  <c r="B17" i="54"/>
  <c r="BP16" i="54"/>
  <c r="AY16" i="54"/>
  <c r="AX16" i="54"/>
  <c r="AW16" i="54"/>
  <c r="AZ16" i="54"/>
  <c r="BD16" i="54" s="1"/>
  <c r="B16" i="54"/>
  <c r="AY15" i="54"/>
  <c r="AX15" i="54"/>
  <c r="AW15" i="54"/>
  <c r="AZ15" i="54"/>
  <c r="BD15" i="54" s="1"/>
  <c r="B15" i="54"/>
  <c r="AY14" i="54"/>
  <c r="AX14" i="54"/>
  <c r="AW14" i="54"/>
  <c r="AZ14" i="54"/>
  <c r="BD14" i="54" s="1"/>
  <c r="B14" i="54"/>
  <c r="AY13" i="54"/>
  <c r="AX13" i="54"/>
  <c r="AW13" i="54"/>
  <c r="AZ13" i="54"/>
  <c r="BD13" i="54" s="1"/>
  <c r="B13" i="54"/>
  <c r="AY12" i="54"/>
  <c r="AX12" i="54"/>
  <c r="AW12" i="54"/>
  <c r="AZ12" i="54"/>
  <c r="BD12" i="54" s="1"/>
  <c r="B12" i="54"/>
  <c r="AY11" i="54"/>
  <c r="AX11" i="54"/>
  <c r="AW11" i="54"/>
  <c r="AZ11" i="54"/>
  <c r="BD11" i="54" s="1"/>
  <c r="B11" i="54"/>
  <c r="AY10" i="54"/>
  <c r="AX10" i="54"/>
  <c r="AW10" i="54"/>
  <c r="AZ10" i="54"/>
  <c r="BD10" i="54" s="1"/>
  <c r="B10" i="54"/>
  <c r="AY9" i="54"/>
  <c r="AX9" i="54"/>
  <c r="AW9" i="54"/>
  <c r="AZ9" i="54"/>
  <c r="BD9" i="54" s="1"/>
  <c r="B9" i="54"/>
  <c r="AY8" i="54"/>
  <c r="AX8" i="54"/>
  <c r="AW8" i="54"/>
  <c r="AZ8" i="54"/>
  <c r="BD8" i="54" s="1"/>
  <c r="B8" i="54"/>
  <c r="AY7" i="54"/>
  <c r="AX7" i="54"/>
  <c r="AW7" i="54"/>
  <c r="AZ7" i="54"/>
  <c r="BD7" i="54" s="1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AZ38" i="53"/>
  <c r="BD38" i="53" s="1"/>
  <c r="B38" i="53"/>
  <c r="AY37" i="53"/>
  <c r="AX37" i="53"/>
  <c r="AW37" i="53"/>
  <c r="AZ37" i="53"/>
  <c r="BD37" i="53" s="1"/>
  <c r="B37" i="53"/>
  <c r="AY36" i="53"/>
  <c r="AX36" i="53"/>
  <c r="AW36" i="53"/>
  <c r="AZ36" i="53"/>
  <c r="BD36" i="53" s="1"/>
  <c r="B36" i="53"/>
  <c r="AY35" i="53"/>
  <c r="AX35" i="53"/>
  <c r="AW35" i="53"/>
  <c r="AZ35" i="53"/>
  <c r="BD35" i="53" s="1"/>
  <c r="B35" i="53"/>
  <c r="AY34" i="53"/>
  <c r="AX34" i="53"/>
  <c r="AW34" i="53"/>
  <c r="AZ34" i="53"/>
  <c r="BD34" i="53" s="1"/>
  <c r="B34" i="53"/>
  <c r="BP33" i="53"/>
  <c r="BP34" i="53" s="1"/>
  <c r="AY33" i="53"/>
  <c r="AX33" i="53"/>
  <c r="AW33" i="53"/>
  <c r="AZ33" i="53"/>
  <c r="BD33" i="53" s="1"/>
  <c r="B33" i="53"/>
  <c r="AY32" i="53"/>
  <c r="AX32" i="53"/>
  <c r="AW32" i="53"/>
  <c r="AZ32" i="53"/>
  <c r="BD32" i="53" s="1"/>
  <c r="B32" i="53"/>
  <c r="AY31" i="53"/>
  <c r="AX31" i="53"/>
  <c r="AW31" i="53"/>
  <c r="AZ31" i="53"/>
  <c r="BD31" i="53" s="1"/>
  <c r="B31" i="53"/>
  <c r="AY30" i="53"/>
  <c r="AX30" i="53"/>
  <c r="AW30" i="53"/>
  <c r="AZ30" i="53"/>
  <c r="BD30" i="53" s="1"/>
  <c r="B30" i="53"/>
  <c r="AY29" i="53"/>
  <c r="AX29" i="53"/>
  <c r="AW29" i="53"/>
  <c r="AZ29" i="53"/>
  <c r="BD29" i="53" s="1"/>
  <c r="B29" i="53"/>
  <c r="BP28" i="53"/>
  <c r="AY28" i="53"/>
  <c r="AX28" i="53"/>
  <c r="AW28" i="53"/>
  <c r="AZ28" i="53"/>
  <c r="BD28" i="53" s="1"/>
  <c r="B28" i="53"/>
  <c r="AY27" i="53"/>
  <c r="AX27" i="53"/>
  <c r="AW27" i="53"/>
  <c r="AZ27" i="53"/>
  <c r="BD27" i="53" s="1"/>
  <c r="B27" i="53"/>
  <c r="AY26" i="53"/>
  <c r="AX26" i="53"/>
  <c r="AW26" i="53"/>
  <c r="AZ26" i="53"/>
  <c r="BD26" i="53" s="1"/>
  <c r="B26" i="53"/>
  <c r="AY25" i="53"/>
  <c r="AX25" i="53"/>
  <c r="AW25" i="53"/>
  <c r="AZ25" i="53"/>
  <c r="BD25" i="53" s="1"/>
  <c r="B25" i="53"/>
  <c r="AY24" i="53"/>
  <c r="AX24" i="53"/>
  <c r="AW24" i="53"/>
  <c r="AZ24" i="53"/>
  <c r="BD24" i="53" s="1"/>
  <c r="B24" i="53"/>
  <c r="AY23" i="53"/>
  <c r="AX23" i="53"/>
  <c r="AW23" i="53"/>
  <c r="AZ23" i="53"/>
  <c r="BD23" i="53" s="1"/>
  <c r="B23" i="53"/>
  <c r="BP22" i="53"/>
  <c r="AY22" i="53"/>
  <c r="AX22" i="53"/>
  <c r="AW22" i="53"/>
  <c r="AZ22" i="53"/>
  <c r="BD22" i="53" s="1"/>
  <c r="B22" i="53"/>
  <c r="AY21" i="53"/>
  <c r="AX21" i="53"/>
  <c r="AW21" i="53"/>
  <c r="AZ21" i="53"/>
  <c r="BD21" i="53" s="1"/>
  <c r="B21" i="53"/>
  <c r="AY20" i="53"/>
  <c r="AX20" i="53"/>
  <c r="AW20" i="53"/>
  <c r="AZ20" i="53"/>
  <c r="BD20" i="53" s="1"/>
  <c r="B20" i="53"/>
  <c r="AY19" i="53"/>
  <c r="AX19" i="53"/>
  <c r="AW19" i="53"/>
  <c r="AZ19" i="53"/>
  <c r="BD19" i="53" s="1"/>
  <c r="B19" i="53"/>
  <c r="AY18" i="53"/>
  <c r="AX18" i="53"/>
  <c r="AW18" i="53"/>
  <c r="AZ18" i="53"/>
  <c r="BD18" i="53" s="1"/>
  <c r="B18" i="53"/>
  <c r="AY17" i="53"/>
  <c r="AX17" i="53"/>
  <c r="AW17" i="53"/>
  <c r="AZ17" i="53"/>
  <c r="BD17" i="53" s="1"/>
  <c r="B17" i="53"/>
  <c r="BP16" i="53"/>
  <c r="AY16" i="53"/>
  <c r="AX16" i="53"/>
  <c r="AW16" i="53"/>
  <c r="AZ16" i="53"/>
  <c r="BD16" i="53" s="1"/>
  <c r="B16" i="53"/>
  <c r="AY15" i="53"/>
  <c r="AX15" i="53"/>
  <c r="AW15" i="53"/>
  <c r="AZ15" i="53"/>
  <c r="BD15" i="53" s="1"/>
  <c r="B15" i="53"/>
  <c r="AY14" i="53"/>
  <c r="AX14" i="53"/>
  <c r="AW14" i="53"/>
  <c r="AZ14" i="53"/>
  <c r="BD14" i="53" s="1"/>
  <c r="B14" i="53"/>
  <c r="AY13" i="53"/>
  <c r="AX13" i="53"/>
  <c r="AW13" i="53"/>
  <c r="AZ13" i="53"/>
  <c r="BD13" i="53" s="1"/>
  <c r="B13" i="53"/>
  <c r="AY12" i="53"/>
  <c r="AX12" i="53"/>
  <c r="AW12" i="53"/>
  <c r="AZ12" i="53"/>
  <c r="BD12" i="53" s="1"/>
  <c r="B12" i="53"/>
  <c r="AY11" i="53"/>
  <c r="AX11" i="53"/>
  <c r="AW11" i="53"/>
  <c r="AZ11" i="53"/>
  <c r="BD11" i="53" s="1"/>
  <c r="B11" i="53"/>
  <c r="AY10" i="53"/>
  <c r="AX10" i="53"/>
  <c r="AW10" i="53"/>
  <c r="AZ10" i="53"/>
  <c r="BD10" i="53" s="1"/>
  <c r="B10" i="53"/>
  <c r="AY9" i="53"/>
  <c r="AX9" i="53"/>
  <c r="AW9" i="53"/>
  <c r="AZ9" i="53"/>
  <c r="BD9" i="53" s="1"/>
  <c r="B9" i="53"/>
  <c r="AY8" i="53"/>
  <c r="AX8" i="53"/>
  <c r="AW8" i="53"/>
  <c r="AZ8" i="53"/>
  <c r="BD8" i="53" s="1"/>
  <c r="B8" i="53"/>
  <c r="AY7" i="53"/>
  <c r="AX7" i="53"/>
  <c r="AW7" i="53"/>
  <c r="AZ7" i="53"/>
  <c r="BD7" i="53" s="1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AZ38" i="52"/>
  <c r="BD38" i="52" s="1"/>
  <c r="B38" i="52"/>
  <c r="AY37" i="52"/>
  <c r="AX37" i="52"/>
  <c r="AW37" i="52"/>
  <c r="AZ37" i="52"/>
  <c r="BD37" i="52" s="1"/>
  <c r="B37" i="52"/>
  <c r="AY36" i="52"/>
  <c r="AX36" i="52"/>
  <c r="AW36" i="52"/>
  <c r="AZ36" i="52"/>
  <c r="BD36" i="52" s="1"/>
  <c r="B36" i="52"/>
  <c r="AY35" i="52"/>
  <c r="AX35" i="52"/>
  <c r="AW35" i="52"/>
  <c r="AZ35" i="52"/>
  <c r="BD35" i="52" s="1"/>
  <c r="B35" i="52"/>
  <c r="AY34" i="52"/>
  <c r="AX34" i="52"/>
  <c r="AW34" i="52"/>
  <c r="AZ34" i="52"/>
  <c r="BD34" i="52" s="1"/>
  <c r="B34" i="52"/>
  <c r="BP33" i="52"/>
  <c r="BP34" i="52" s="1"/>
  <c r="AY33" i="52"/>
  <c r="AX33" i="52"/>
  <c r="AW33" i="52"/>
  <c r="AZ33" i="52"/>
  <c r="BD33" i="52" s="1"/>
  <c r="B33" i="52"/>
  <c r="AY32" i="52"/>
  <c r="AX32" i="52"/>
  <c r="AW32" i="52"/>
  <c r="AZ32" i="52"/>
  <c r="BD32" i="52" s="1"/>
  <c r="B32" i="52"/>
  <c r="AY31" i="52"/>
  <c r="AX31" i="52"/>
  <c r="AW31" i="52"/>
  <c r="AZ31" i="52"/>
  <c r="BD31" i="52" s="1"/>
  <c r="B31" i="52"/>
  <c r="AY30" i="52"/>
  <c r="AX30" i="52"/>
  <c r="AW30" i="52"/>
  <c r="AZ30" i="52"/>
  <c r="BD30" i="52" s="1"/>
  <c r="B30" i="52"/>
  <c r="AY29" i="52"/>
  <c r="AX29" i="52"/>
  <c r="AW29" i="52"/>
  <c r="AZ29" i="52"/>
  <c r="BD29" i="52" s="1"/>
  <c r="B29" i="52"/>
  <c r="BP28" i="52"/>
  <c r="AY28" i="52"/>
  <c r="AX28" i="52"/>
  <c r="AW28" i="52"/>
  <c r="AZ28" i="52"/>
  <c r="BD28" i="52" s="1"/>
  <c r="B28" i="52"/>
  <c r="AY27" i="52"/>
  <c r="AX27" i="52"/>
  <c r="AW27" i="52"/>
  <c r="AZ27" i="52"/>
  <c r="BD27" i="52" s="1"/>
  <c r="B27" i="52"/>
  <c r="AY26" i="52"/>
  <c r="AX26" i="52"/>
  <c r="AW26" i="52"/>
  <c r="AZ26" i="52"/>
  <c r="BD26" i="52" s="1"/>
  <c r="B26" i="52"/>
  <c r="AY25" i="52"/>
  <c r="AX25" i="52"/>
  <c r="AW25" i="52"/>
  <c r="AZ25" i="52"/>
  <c r="BD25" i="52" s="1"/>
  <c r="B25" i="52"/>
  <c r="AY24" i="52"/>
  <c r="AX24" i="52"/>
  <c r="AW24" i="52"/>
  <c r="AZ24" i="52"/>
  <c r="BD24" i="52" s="1"/>
  <c r="B24" i="52"/>
  <c r="AY23" i="52"/>
  <c r="AX23" i="52"/>
  <c r="AW23" i="52"/>
  <c r="AZ23" i="52"/>
  <c r="BD23" i="52" s="1"/>
  <c r="B23" i="52"/>
  <c r="BP22" i="52"/>
  <c r="AY22" i="52"/>
  <c r="AX22" i="52"/>
  <c r="AW22" i="52"/>
  <c r="AZ22" i="52"/>
  <c r="BD22" i="52" s="1"/>
  <c r="B22" i="52"/>
  <c r="AY21" i="52"/>
  <c r="AX21" i="52"/>
  <c r="AW21" i="52"/>
  <c r="AZ21" i="52"/>
  <c r="BD21" i="52" s="1"/>
  <c r="B21" i="52"/>
  <c r="AY20" i="52"/>
  <c r="AX20" i="52"/>
  <c r="AW20" i="52"/>
  <c r="AZ20" i="52"/>
  <c r="BD20" i="52" s="1"/>
  <c r="B20" i="52"/>
  <c r="AY19" i="52"/>
  <c r="AX19" i="52"/>
  <c r="AW19" i="52"/>
  <c r="AZ19" i="52"/>
  <c r="BD19" i="52" s="1"/>
  <c r="B19" i="52"/>
  <c r="AY18" i="52"/>
  <c r="AX18" i="52"/>
  <c r="AW18" i="52"/>
  <c r="AZ18" i="52"/>
  <c r="BD18" i="52" s="1"/>
  <c r="B18" i="52"/>
  <c r="AY17" i="52"/>
  <c r="AX17" i="52"/>
  <c r="AW17" i="52"/>
  <c r="AZ17" i="52"/>
  <c r="BD17" i="52" s="1"/>
  <c r="B17" i="52"/>
  <c r="BP16" i="52"/>
  <c r="AY16" i="52"/>
  <c r="AX16" i="52"/>
  <c r="AW16" i="52"/>
  <c r="AZ16" i="52"/>
  <c r="BD16" i="52" s="1"/>
  <c r="B16" i="52"/>
  <c r="AY15" i="52"/>
  <c r="AX15" i="52"/>
  <c r="AW15" i="52"/>
  <c r="AZ15" i="52"/>
  <c r="BD15" i="52" s="1"/>
  <c r="B15" i="52"/>
  <c r="AY14" i="52"/>
  <c r="AX14" i="52"/>
  <c r="AW14" i="52"/>
  <c r="AZ14" i="52"/>
  <c r="BD14" i="52" s="1"/>
  <c r="B14" i="52"/>
  <c r="AY13" i="52"/>
  <c r="AX13" i="52"/>
  <c r="AW13" i="52"/>
  <c r="AZ13" i="52"/>
  <c r="BD13" i="52" s="1"/>
  <c r="B13" i="52"/>
  <c r="AY12" i="52"/>
  <c r="AX12" i="52"/>
  <c r="AW12" i="52"/>
  <c r="AZ12" i="52"/>
  <c r="BD12" i="52" s="1"/>
  <c r="B12" i="52"/>
  <c r="AY11" i="52"/>
  <c r="AX11" i="52"/>
  <c r="AW11" i="52"/>
  <c r="AZ11" i="52"/>
  <c r="BD11" i="52" s="1"/>
  <c r="B11" i="52"/>
  <c r="AY10" i="52"/>
  <c r="AX10" i="52"/>
  <c r="AW10" i="52"/>
  <c r="AZ10" i="52"/>
  <c r="BD10" i="52" s="1"/>
  <c r="B10" i="52"/>
  <c r="AY9" i="52"/>
  <c r="AX9" i="52"/>
  <c r="AW9" i="52"/>
  <c r="AZ9" i="52"/>
  <c r="BD9" i="52" s="1"/>
  <c r="B9" i="52"/>
  <c r="AY8" i="52"/>
  <c r="AX8" i="52"/>
  <c r="AW8" i="52"/>
  <c r="AZ8" i="52"/>
  <c r="BD8" i="52" s="1"/>
  <c r="B8" i="52"/>
  <c r="AY7" i="52"/>
  <c r="AX7" i="52"/>
  <c r="AW7" i="52"/>
  <c r="AZ7" i="52"/>
  <c r="BD7" i="52" s="1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AZ38" i="51"/>
  <c r="BD38" i="51" s="1"/>
  <c r="B38" i="51"/>
  <c r="AY37" i="51"/>
  <c r="AX37" i="51"/>
  <c r="AW37" i="51"/>
  <c r="AZ37" i="51"/>
  <c r="BD37" i="51" s="1"/>
  <c r="B37" i="51"/>
  <c r="AY36" i="51"/>
  <c r="AX36" i="51"/>
  <c r="AW36" i="51"/>
  <c r="AZ36" i="51"/>
  <c r="BD36" i="51" s="1"/>
  <c r="B36" i="51"/>
  <c r="AY35" i="51"/>
  <c r="AX35" i="51"/>
  <c r="AW35" i="51"/>
  <c r="AZ35" i="51"/>
  <c r="BD35" i="51" s="1"/>
  <c r="B35" i="51"/>
  <c r="AY34" i="51"/>
  <c r="AX34" i="51"/>
  <c r="AW34" i="51"/>
  <c r="AZ34" i="51"/>
  <c r="BD34" i="51" s="1"/>
  <c r="B34" i="51"/>
  <c r="BP33" i="51"/>
  <c r="AY33" i="51"/>
  <c r="AX33" i="51"/>
  <c r="AW33" i="51"/>
  <c r="AZ33" i="51"/>
  <c r="BD33" i="51" s="1"/>
  <c r="B33" i="51"/>
  <c r="AY32" i="51"/>
  <c r="AX32" i="51"/>
  <c r="AW32" i="51"/>
  <c r="AZ32" i="51"/>
  <c r="BD32" i="51" s="1"/>
  <c r="B32" i="51"/>
  <c r="AY31" i="51"/>
  <c r="AX31" i="51"/>
  <c r="AW31" i="51"/>
  <c r="AZ31" i="51"/>
  <c r="BD31" i="51" s="1"/>
  <c r="B31" i="51"/>
  <c r="AY30" i="51"/>
  <c r="AX30" i="51"/>
  <c r="AW30" i="51"/>
  <c r="AZ30" i="51"/>
  <c r="BD30" i="51" s="1"/>
  <c r="B30" i="51"/>
  <c r="AY29" i="51"/>
  <c r="AX29" i="51"/>
  <c r="AW29" i="51"/>
  <c r="AZ29" i="51"/>
  <c r="BD29" i="51" s="1"/>
  <c r="B29" i="51"/>
  <c r="BP28" i="51"/>
  <c r="AY28" i="51"/>
  <c r="AX28" i="51"/>
  <c r="AW28" i="51"/>
  <c r="AZ28" i="51"/>
  <c r="BD28" i="51" s="1"/>
  <c r="B28" i="51"/>
  <c r="AY27" i="51"/>
  <c r="AX27" i="51"/>
  <c r="AW27" i="51"/>
  <c r="AZ27" i="51"/>
  <c r="BD27" i="51" s="1"/>
  <c r="B27" i="51"/>
  <c r="AY26" i="51"/>
  <c r="AX26" i="51"/>
  <c r="AW26" i="51"/>
  <c r="AZ26" i="51"/>
  <c r="BD26" i="51" s="1"/>
  <c r="B26" i="51"/>
  <c r="AY25" i="51"/>
  <c r="AX25" i="51"/>
  <c r="AW25" i="51"/>
  <c r="AZ25" i="51"/>
  <c r="BD25" i="51" s="1"/>
  <c r="B25" i="51"/>
  <c r="AY24" i="51"/>
  <c r="AX24" i="51"/>
  <c r="AW24" i="51"/>
  <c r="AZ24" i="51"/>
  <c r="BD24" i="51" s="1"/>
  <c r="B24" i="51"/>
  <c r="AY23" i="51"/>
  <c r="AX23" i="51"/>
  <c r="AW23" i="51"/>
  <c r="AZ23" i="51"/>
  <c r="BD23" i="51" s="1"/>
  <c r="B23" i="51"/>
  <c r="BP22" i="51"/>
  <c r="AY22" i="51"/>
  <c r="AX22" i="51"/>
  <c r="AW22" i="51"/>
  <c r="AZ22" i="51"/>
  <c r="BD22" i="51" s="1"/>
  <c r="B22" i="51"/>
  <c r="AY21" i="51"/>
  <c r="AX21" i="51"/>
  <c r="AW21" i="51"/>
  <c r="AZ21" i="51"/>
  <c r="BD21" i="51" s="1"/>
  <c r="B21" i="51"/>
  <c r="AY20" i="51"/>
  <c r="AX20" i="51"/>
  <c r="AW20" i="51"/>
  <c r="AZ20" i="51"/>
  <c r="BD20" i="51" s="1"/>
  <c r="B20" i="51"/>
  <c r="AY19" i="51"/>
  <c r="AX19" i="51"/>
  <c r="AW19" i="51"/>
  <c r="AZ19" i="51"/>
  <c r="BD19" i="51" s="1"/>
  <c r="B19" i="51"/>
  <c r="AY18" i="51"/>
  <c r="AX18" i="51"/>
  <c r="AW18" i="51"/>
  <c r="AZ18" i="51"/>
  <c r="BD18" i="51" s="1"/>
  <c r="B18" i="51"/>
  <c r="AY17" i="51"/>
  <c r="AX17" i="51"/>
  <c r="AW17" i="51"/>
  <c r="AZ17" i="51"/>
  <c r="BD17" i="51" s="1"/>
  <c r="B17" i="51"/>
  <c r="BP16" i="51"/>
  <c r="AY16" i="51"/>
  <c r="AX16" i="51"/>
  <c r="AW16" i="51"/>
  <c r="AZ16" i="51"/>
  <c r="BD16" i="51" s="1"/>
  <c r="B16" i="51"/>
  <c r="AY15" i="51"/>
  <c r="AX15" i="51"/>
  <c r="AW15" i="51"/>
  <c r="AZ15" i="51"/>
  <c r="BD15" i="51" s="1"/>
  <c r="B15" i="51"/>
  <c r="AY14" i="51"/>
  <c r="AX14" i="51"/>
  <c r="AW14" i="51"/>
  <c r="AZ14" i="51"/>
  <c r="BD14" i="51" s="1"/>
  <c r="B14" i="51"/>
  <c r="AY13" i="51"/>
  <c r="AX13" i="51"/>
  <c r="AW13" i="51"/>
  <c r="AZ13" i="51"/>
  <c r="BD13" i="51" s="1"/>
  <c r="B13" i="51"/>
  <c r="AY12" i="51"/>
  <c r="AX12" i="51"/>
  <c r="AW12" i="51"/>
  <c r="AZ12" i="51"/>
  <c r="BD12" i="51" s="1"/>
  <c r="B12" i="51"/>
  <c r="AY11" i="51"/>
  <c r="AX11" i="51"/>
  <c r="AW11" i="51"/>
  <c r="AZ11" i="51"/>
  <c r="BD11" i="51" s="1"/>
  <c r="B11" i="51"/>
  <c r="AY10" i="51"/>
  <c r="AX10" i="51"/>
  <c r="AW10" i="51"/>
  <c r="AZ10" i="51"/>
  <c r="BD10" i="51" s="1"/>
  <c r="B10" i="51"/>
  <c r="AY9" i="51"/>
  <c r="AX9" i="51"/>
  <c r="AW9" i="51"/>
  <c r="AZ9" i="51"/>
  <c r="BD9" i="51" s="1"/>
  <c r="B9" i="51"/>
  <c r="AY8" i="51"/>
  <c r="AX8" i="51"/>
  <c r="AW8" i="51"/>
  <c r="AZ8" i="51"/>
  <c r="BD8" i="51" s="1"/>
  <c r="B8" i="51"/>
  <c r="AY7" i="51"/>
  <c r="AX7" i="51"/>
  <c r="AW7" i="51"/>
  <c r="AZ7" i="51"/>
  <c r="BD7" i="51" s="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AZ38" i="50"/>
  <c r="BD38" i="50" s="1"/>
  <c r="B38" i="50"/>
  <c r="AY37" i="50"/>
  <c r="AX37" i="50"/>
  <c r="AW37" i="50"/>
  <c r="AZ37" i="50"/>
  <c r="BD37" i="50" s="1"/>
  <c r="B37" i="50"/>
  <c r="AY36" i="50"/>
  <c r="AX36" i="50"/>
  <c r="AW36" i="50"/>
  <c r="AZ36" i="50"/>
  <c r="BD36" i="50" s="1"/>
  <c r="B36" i="50"/>
  <c r="AY35" i="50"/>
  <c r="AX35" i="50"/>
  <c r="AW35" i="50"/>
  <c r="AZ35" i="50"/>
  <c r="BD35" i="50" s="1"/>
  <c r="B35" i="50"/>
  <c r="BP34" i="50"/>
  <c r="AY34" i="50"/>
  <c r="AX34" i="50"/>
  <c r="AW34" i="50"/>
  <c r="AZ34" i="50"/>
  <c r="BD34" i="50" s="1"/>
  <c r="B34" i="50"/>
  <c r="BP33" i="50"/>
  <c r="AY33" i="50"/>
  <c r="AX33" i="50"/>
  <c r="AW33" i="50"/>
  <c r="AZ33" i="50"/>
  <c r="BD33" i="50" s="1"/>
  <c r="B33" i="50"/>
  <c r="AY32" i="50"/>
  <c r="AX32" i="50"/>
  <c r="AW32" i="50"/>
  <c r="AZ32" i="50"/>
  <c r="BD32" i="50" s="1"/>
  <c r="B32" i="50"/>
  <c r="AY31" i="50"/>
  <c r="AX31" i="50"/>
  <c r="AW31" i="50"/>
  <c r="AZ31" i="50"/>
  <c r="BD31" i="50" s="1"/>
  <c r="B31" i="50"/>
  <c r="AY30" i="50"/>
  <c r="AX30" i="50"/>
  <c r="AW30" i="50"/>
  <c r="AZ30" i="50"/>
  <c r="BD30" i="50" s="1"/>
  <c r="B30" i="50"/>
  <c r="AY29" i="50"/>
  <c r="AX29" i="50"/>
  <c r="AW29" i="50"/>
  <c r="AZ29" i="50"/>
  <c r="BD29" i="50" s="1"/>
  <c r="B29" i="50"/>
  <c r="BP28" i="50"/>
  <c r="AY28" i="50"/>
  <c r="AX28" i="50"/>
  <c r="AW28" i="50"/>
  <c r="AZ28" i="50"/>
  <c r="BD28" i="50" s="1"/>
  <c r="B28" i="50"/>
  <c r="AY27" i="50"/>
  <c r="AX27" i="50"/>
  <c r="AW27" i="50"/>
  <c r="AZ27" i="50"/>
  <c r="BD27" i="50" s="1"/>
  <c r="B27" i="50"/>
  <c r="AY26" i="50"/>
  <c r="AX26" i="50"/>
  <c r="AW26" i="50"/>
  <c r="AZ26" i="50"/>
  <c r="BD26" i="50" s="1"/>
  <c r="B26" i="50"/>
  <c r="AY25" i="50"/>
  <c r="AX25" i="50"/>
  <c r="AW25" i="50"/>
  <c r="AZ25" i="50"/>
  <c r="BD25" i="50" s="1"/>
  <c r="B25" i="50"/>
  <c r="AY24" i="50"/>
  <c r="AX24" i="50"/>
  <c r="AW24" i="50"/>
  <c r="AZ24" i="50"/>
  <c r="BD24" i="50" s="1"/>
  <c r="B24" i="50"/>
  <c r="AY23" i="50"/>
  <c r="AX23" i="50"/>
  <c r="AW23" i="50"/>
  <c r="AZ23" i="50"/>
  <c r="BD23" i="50" s="1"/>
  <c r="B23" i="50"/>
  <c r="BP22" i="50"/>
  <c r="AY22" i="50"/>
  <c r="AX22" i="50"/>
  <c r="AW22" i="50"/>
  <c r="AZ22" i="50"/>
  <c r="BD22" i="50" s="1"/>
  <c r="B22" i="50"/>
  <c r="AY21" i="50"/>
  <c r="AX21" i="50"/>
  <c r="AW21" i="50"/>
  <c r="AZ21" i="50"/>
  <c r="BD21" i="50" s="1"/>
  <c r="B21" i="50"/>
  <c r="AY20" i="50"/>
  <c r="AX20" i="50"/>
  <c r="AW20" i="50"/>
  <c r="AZ20" i="50"/>
  <c r="BD20" i="50" s="1"/>
  <c r="B20" i="50"/>
  <c r="AY19" i="50"/>
  <c r="AX19" i="50"/>
  <c r="AW19" i="50"/>
  <c r="AZ19" i="50"/>
  <c r="BD19" i="50" s="1"/>
  <c r="B19" i="50"/>
  <c r="AY18" i="50"/>
  <c r="AX18" i="50"/>
  <c r="AW18" i="50"/>
  <c r="AZ18" i="50"/>
  <c r="BD18" i="50" s="1"/>
  <c r="B18" i="50"/>
  <c r="AY17" i="50"/>
  <c r="AX17" i="50"/>
  <c r="AW17" i="50"/>
  <c r="AZ17" i="50"/>
  <c r="BD17" i="50" s="1"/>
  <c r="B17" i="50"/>
  <c r="BP16" i="50"/>
  <c r="AY16" i="50"/>
  <c r="AX16" i="50"/>
  <c r="AW16" i="50"/>
  <c r="AZ16" i="50"/>
  <c r="BD16" i="50" s="1"/>
  <c r="B16" i="50"/>
  <c r="AY15" i="50"/>
  <c r="AX15" i="50"/>
  <c r="AW15" i="50"/>
  <c r="AZ15" i="50"/>
  <c r="BD15" i="50" s="1"/>
  <c r="B15" i="50"/>
  <c r="AY14" i="50"/>
  <c r="AX14" i="50"/>
  <c r="AW14" i="50"/>
  <c r="AZ14" i="50"/>
  <c r="BD14" i="50" s="1"/>
  <c r="B14" i="50"/>
  <c r="AY13" i="50"/>
  <c r="AX13" i="50"/>
  <c r="AW13" i="50"/>
  <c r="AZ13" i="50"/>
  <c r="BD13" i="50" s="1"/>
  <c r="B13" i="50"/>
  <c r="AY12" i="50"/>
  <c r="AX12" i="50"/>
  <c r="AW12" i="50"/>
  <c r="AZ12" i="50"/>
  <c r="BD12" i="50" s="1"/>
  <c r="B12" i="50"/>
  <c r="AY11" i="50"/>
  <c r="AX11" i="50"/>
  <c r="AW11" i="50"/>
  <c r="AZ11" i="50"/>
  <c r="BD11" i="50" s="1"/>
  <c r="B11" i="50"/>
  <c r="AY10" i="50"/>
  <c r="AX10" i="50"/>
  <c r="AW10" i="50"/>
  <c r="AZ10" i="50"/>
  <c r="BD10" i="50" s="1"/>
  <c r="B10" i="50"/>
  <c r="AY9" i="50"/>
  <c r="AX9" i="50"/>
  <c r="AW9" i="50"/>
  <c r="AZ9" i="50"/>
  <c r="BD9" i="50" s="1"/>
  <c r="B9" i="50"/>
  <c r="AY8" i="50"/>
  <c r="AX8" i="50"/>
  <c r="AW8" i="50"/>
  <c r="AZ8" i="50"/>
  <c r="BD8" i="50" s="1"/>
  <c r="B8" i="50"/>
  <c r="AY7" i="50"/>
  <c r="AX7" i="50"/>
  <c r="AW7" i="50"/>
  <c r="AZ7" i="50"/>
  <c r="BD7" i="50" s="1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/>
  <c r="BD38" i="49" s="1"/>
  <c r="B38" i="49"/>
  <c r="AY37" i="49"/>
  <c r="AX37" i="49"/>
  <c r="AW37" i="49"/>
  <c r="AZ37" i="49"/>
  <c r="BD37" i="49" s="1"/>
  <c r="B37" i="49"/>
  <c r="AY36" i="49"/>
  <c r="AX36" i="49"/>
  <c r="AW36" i="49"/>
  <c r="AZ36" i="49"/>
  <c r="BD36" i="49" s="1"/>
  <c r="B36" i="49"/>
  <c r="AY35" i="49"/>
  <c r="AX35" i="49"/>
  <c r="AW35" i="49"/>
  <c r="AZ35" i="49"/>
  <c r="BD35" i="49" s="1"/>
  <c r="B35" i="49"/>
  <c r="AY34" i="49"/>
  <c r="AX34" i="49"/>
  <c r="AW34" i="49"/>
  <c r="AZ34" i="49"/>
  <c r="BD34" i="49" s="1"/>
  <c r="B34" i="49"/>
  <c r="BP33" i="49"/>
  <c r="BP34" i="49" s="1"/>
  <c r="AY33" i="49"/>
  <c r="AX33" i="49"/>
  <c r="AW33" i="49"/>
  <c r="AZ33" i="49"/>
  <c r="BD33" i="49" s="1"/>
  <c r="B33" i="49"/>
  <c r="AY32" i="49"/>
  <c r="AX32" i="49"/>
  <c r="AW32" i="49"/>
  <c r="AZ32" i="49"/>
  <c r="BD32" i="49" s="1"/>
  <c r="B32" i="49"/>
  <c r="AY31" i="49"/>
  <c r="AX31" i="49"/>
  <c r="AW31" i="49"/>
  <c r="AZ31" i="49"/>
  <c r="BD31" i="49" s="1"/>
  <c r="B31" i="49"/>
  <c r="AY30" i="49"/>
  <c r="AX30" i="49"/>
  <c r="AW30" i="49"/>
  <c r="AZ30" i="49"/>
  <c r="BD30" i="49" s="1"/>
  <c r="B30" i="49"/>
  <c r="AY29" i="49"/>
  <c r="AX29" i="49"/>
  <c r="AW29" i="49"/>
  <c r="AZ29" i="49"/>
  <c r="BD29" i="49" s="1"/>
  <c r="B29" i="49"/>
  <c r="BP28" i="49"/>
  <c r="AY28" i="49"/>
  <c r="AX28" i="49"/>
  <c r="AW28" i="49"/>
  <c r="AZ28" i="49"/>
  <c r="BD28" i="49" s="1"/>
  <c r="B28" i="49"/>
  <c r="AY27" i="49"/>
  <c r="AX27" i="49"/>
  <c r="AW27" i="49"/>
  <c r="AZ27" i="49"/>
  <c r="BD27" i="49" s="1"/>
  <c r="B27" i="49"/>
  <c r="AY26" i="49"/>
  <c r="AX26" i="49"/>
  <c r="AW26" i="49"/>
  <c r="AZ26" i="49"/>
  <c r="BD26" i="49" s="1"/>
  <c r="B26" i="49"/>
  <c r="AY25" i="49"/>
  <c r="AX25" i="49"/>
  <c r="AW25" i="49"/>
  <c r="AZ25" i="49"/>
  <c r="BD25" i="49" s="1"/>
  <c r="B25" i="49"/>
  <c r="AY24" i="49"/>
  <c r="AX24" i="49"/>
  <c r="AW24" i="49"/>
  <c r="AZ24" i="49"/>
  <c r="BD24" i="49" s="1"/>
  <c r="B24" i="49"/>
  <c r="AY23" i="49"/>
  <c r="AX23" i="49"/>
  <c r="AW23" i="49"/>
  <c r="AZ23" i="49"/>
  <c r="BD23" i="49" s="1"/>
  <c r="B23" i="49"/>
  <c r="BP22" i="49"/>
  <c r="AY22" i="49"/>
  <c r="AX22" i="49"/>
  <c r="AW22" i="49"/>
  <c r="AZ22" i="49"/>
  <c r="BD22" i="49" s="1"/>
  <c r="B22" i="49"/>
  <c r="AY21" i="49"/>
  <c r="AX21" i="49"/>
  <c r="AW21" i="49"/>
  <c r="AZ21" i="49"/>
  <c r="BD21" i="49" s="1"/>
  <c r="B21" i="49"/>
  <c r="AY20" i="49"/>
  <c r="AX20" i="49"/>
  <c r="AW20" i="49"/>
  <c r="AZ20" i="49"/>
  <c r="BD20" i="49" s="1"/>
  <c r="B20" i="49"/>
  <c r="AY19" i="49"/>
  <c r="AX19" i="49"/>
  <c r="AW19" i="49"/>
  <c r="AZ19" i="49"/>
  <c r="BD19" i="49" s="1"/>
  <c r="B19" i="49"/>
  <c r="AY18" i="49"/>
  <c r="AX18" i="49"/>
  <c r="AW18" i="49"/>
  <c r="AZ18" i="49"/>
  <c r="BD18" i="49" s="1"/>
  <c r="B18" i="49"/>
  <c r="AY17" i="49"/>
  <c r="AX17" i="49"/>
  <c r="AW17" i="49"/>
  <c r="AZ17" i="49"/>
  <c r="BD17" i="49" s="1"/>
  <c r="B17" i="49"/>
  <c r="BP16" i="49"/>
  <c r="AY16" i="49"/>
  <c r="AX16" i="49"/>
  <c r="AW16" i="49"/>
  <c r="AZ16" i="49"/>
  <c r="BD16" i="49" s="1"/>
  <c r="B16" i="49"/>
  <c r="AY15" i="49"/>
  <c r="AX15" i="49"/>
  <c r="AW15" i="49"/>
  <c r="AZ15" i="49"/>
  <c r="BD15" i="49" s="1"/>
  <c r="B15" i="49"/>
  <c r="AY14" i="49"/>
  <c r="AX14" i="49"/>
  <c r="AW14" i="49"/>
  <c r="AZ14" i="49"/>
  <c r="BD14" i="49" s="1"/>
  <c r="B14" i="49"/>
  <c r="AY13" i="49"/>
  <c r="AX13" i="49"/>
  <c r="AW13" i="49"/>
  <c r="AZ13" i="49"/>
  <c r="BD13" i="49" s="1"/>
  <c r="B13" i="49"/>
  <c r="AY12" i="49"/>
  <c r="AX12" i="49"/>
  <c r="AW12" i="49"/>
  <c r="AZ12" i="49"/>
  <c r="BD12" i="49" s="1"/>
  <c r="B12" i="49"/>
  <c r="AY11" i="49"/>
  <c r="AX11" i="49"/>
  <c r="AW11" i="49"/>
  <c r="AZ11" i="49"/>
  <c r="BD11" i="49" s="1"/>
  <c r="B11" i="49"/>
  <c r="AY10" i="49"/>
  <c r="AX10" i="49"/>
  <c r="AW10" i="49"/>
  <c r="AZ10" i="49"/>
  <c r="BD10" i="49" s="1"/>
  <c r="B10" i="49"/>
  <c r="AY9" i="49"/>
  <c r="AX9" i="49"/>
  <c r="AW9" i="49"/>
  <c r="AZ9" i="49"/>
  <c r="BD9" i="49" s="1"/>
  <c r="B9" i="49"/>
  <c r="AY8" i="49"/>
  <c r="AX8" i="49"/>
  <c r="AW8" i="49"/>
  <c r="AZ8" i="49"/>
  <c r="BD8" i="49" s="1"/>
  <c r="B8" i="49"/>
  <c r="AY7" i="49"/>
  <c r="AX7" i="49"/>
  <c r="AW7" i="49"/>
  <c r="AW40" i="49" s="1"/>
  <c r="AZ7" i="49"/>
  <c r="BD7" i="49" s="1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F11" i="48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F19" i="48"/>
  <c r="AZ19" i="48" s="1"/>
  <c r="BD19" i="48" s="1"/>
  <c r="F20" i="48"/>
  <c r="F21" i="48"/>
  <c r="AZ21" i="48" s="1"/>
  <c r="BD21" i="48" s="1"/>
  <c r="F22" i="48"/>
  <c r="AZ22" i="48" s="1"/>
  <c r="BD22" i="48" s="1"/>
  <c r="F23" i="48"/>
  <c r="AZ23" i="48" s="1"/>
  <c r="BD23" i="48" s="1"/>
  <c r="F24" i="48"/>
  <c r="F25" i="48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F32" i="48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X32" i="57" s="1"/>
  <c r="AW32" i="48"/>
  <c r="AW32" i="57" s="1"/>
  <c r="B32" i="48"/>
  <c r="AY31" i="48"/>
  <c r="AY31" i="57" s="1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Y25" i="57" s="1"/>
  <c r="AX25" i="48"/>
  <c r="AW25" i="48"/>
  <c r="B25" i="48"/>
  <c r="AY24" i="48"/>
  <c r="AY24" i="57" s="1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X20" i="57" s="1"/>
  <c r="AW20" i="48"/>
  <c r="B20" i="48"/>
  <c r="AY19" i="48"/>
  <c r="AX19" i="48"/>
  <c r="AW19" i="48"/>
  <c r="B19" i="48"/>
  <c r="AY18" i="48"/>
  <c r="AY18" i="57" s="1"/>
  <c r="AX18" i="48"/>
  <c r="AW18" i="48"/>
  <c r="B18" i="48"/>
  <c r="AY17" i="48"/>
  <c r="AX17" i="48"/>
  <c r="AW17" i="48"/>
  <c r="B17" i="48"/>
  <c r="BP16" i="48"/>
  <c r="AY16" i="48"/>
  <c r="AY16" i="57" s="1"/>
  <c r="AX16" i="48"/>
  <c r="AW16" i="48"/>
  <c r="B16" i="48"/>
  <c r="AY15" i="48"/>
  <c r="AX15" i="48"/>
  <c r="AW15" i="48"/>
  <c r="AW15" i="57" s="1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X10" i="57" s="1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BA40" i="57" l="1"/>
  <c r="AZ18" i="48"/>
  <c r="BD18" i="48" s="1"/>
  <c r="AN40" i="57"/>
  <c r="AZ24" i="48"/>
  <c r="BD24" i="48" s="1"/>
  <c r="AZ31" i="48"/>
  <c r="BD31" i="48" s="1"/>
  <c r="AC40" i="57"/>
  <c r="AZ25" i="48"/>
  <c r="BD25" i="48" s="1"/>
  <c r="AZ32" i="48"/>
  <c r="BD32" i="48" s="1"/>
  <c r="AJ40" i="57"/>
  <c r="AZ10" i="48"/>
  <c r="BD10" i="48" s="1"/>
  <c r="AZ20" i="48"/>
  <c r="BD20" i="48" s="1"/>
  <c r="AZ11" i="48"/>
  <c r="BD11" i="48" s="1"/>
  <c r="I40" i="57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BF31" i="47" l="1"/>
  <c r="BA20" i="47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48" l="1"/>
  <c r="D28" i="48"/>
  <c r="D16" i="48"/>
  <c r="D35" i="48"/>
  <c r="D31" i="48"/>
  <c r="D23" i="48"/>
  <c r="D19" i="48"/>
  <c r="D15" i="48"/>
  <c r="D11" i="48"/>
  <c r="D7" i="48"/>
  <c r="D38" i="48"/>
  <c r="D22" i="48"/>
  <c r="D18" i="48"/>
  <c r="D34" i="48"/>
  <c r="D37" i="48"/>
  <c r="D33" i="48"/>
  <c r="D29" i="48"/>
  <c r="D25" i="48"/>
  <c r="D21" i="48"/>
  <c r="D17" i="48"/>
  <c r="D13" i="48"/>
  <c r="D9" i="48"/>
  <c r="D21" i="46"/>
  <c r="D32" i="48"/>
  <c r="D24" i="48"/>
  <c r="D20" i="48"/>
  <c r="D12" i="48"/>
  <c r="D8" i="48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37" i="54"/>
  <c r="G37" i="54"/>
  <c r="AS37" i="54"/>
  <c r="AQ37" i="54"/>
  <c r="AS17" i="48"/>
  <c r="AR13" i="55"/>
  <c r="AQ13" i="55"/>
  <c r="AS13" i="55"/>
  <c r="G13" i="55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37" i="53"/>
  <c r="AQ37" i="53"/>
  <c r="G37" i="53"/>
  <c r="AS37" i="53"/>
  <c r="AS29" i="56"/>
  <c r="G29" i="56"/>
  <c r="AR29" i="56"/>
  <c r="G21" i="49"/>
  <c r="AS21" i="49"/>
  <c r="AQ21" i="49"/>
  <c r="AR21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M20" i="47" l="1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M34" i="47"/>
  <c r="H34" i="47"/>
  <c r="K34" i="47"/>
  <c r="O34" i="47"/>
  <c r="H24" i="47"/>
  <c r="M24" i="47"/>
  <c r="K24" i="47"/>
  <c r="O24" i="47"/>
  <c r="O12" i="47"/>
  <c r="M12" i="47"/>
  <c r="H12" i="47"/>
  <c r="K12" i="47"/>
  <c r="O18" i="47"/>
  <c r="K18" i="47"/>
  <c r="H18" i="47"/>
  <c r="M18" i="47"/>
  <c r="H29" i="47"/>
  <c r="M29" i="47"/>
  <c r="O29" i="47"/>
  <c r="K29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O30" i="47" l="1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AQ18" i="47"/>
  <c r="AR18" i="47"/>
  <c r="G18" i="47"/>
  <c r="AS18" i="47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AS34" i="47"/>
  <c r="AQ34" i="47"/>
  <c r="AR34" i="47"/>
  <c r="G34" i="47"/>
  <c r="D6" i="47"/>
  <c r="G14" i="47" l="1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H7" i="46" l="1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O24" i="46" l="1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C6" i="47"/>
  <c r="D18" i="46"/>
  <c r="D31" i="46"/>
  <c r="D33" i="46"/>
  <c r="D33" i="45"/>
  <c r="D17" i="46"/>
  <c r="D29" i="45"/>
  <c r="H17" i="46" l="1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H22" i="46" l="1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O29" i="57" l="1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D34" i="57" l="1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C6" i="46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45"/>
  <c r="C34" i="45" s="1"/>
  <c r="G37" i="57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45"/>
  <c r="C9" i="45" s="1"/>
  <c r="G40" i="45"/>
  <c r="U6" i="45"/>
  <c r="G24" i="57"/>
  <c r="U24" i="45"/>
  <c r="C24" i="45" s="1"/>
  <c r="G32" i="57"/>
  <c r="U32" i="45"/>
  <c r="C32" i="45" s="1"/>
  <c r="G15" i="57"/>
  <c r="U15" i="45"/>
  <c r="C15" i="45" s="1"/>
  <c r="AS40" i="45"/>
  <c r="G12" i="57"/>
  <c r="U12" i="45"/>
  <c r="C12" i="45" s="1"/>
  <c r="G16" i="57"/>
  <c r="U16" i="45"/>
  <c r="C16" i="45" s="1"/>
  <c r="G17" i="57"/>
  <c r="U17" i="45"/>
  <c r="C17" i="45" s="1"/>
  <c r="G8" i="57"/>
  <c r="U8" i="45"/>
  <c r="C8" i="45" s="1"/>
  <c r="G21" i="57"/>
  <c r="U21" i="45"/>
  <c r="C21" i="45" s="1"/>
  <c r="U30" i="45"/>
  <c r="C30" i="45" s="1"/>
  <c r="G38" i="57"/>
  <c r="U38" i="45"/>
  <c r="C38" i="45" s="1"/>
  <c r="U10" i="45"/>
  <c r="C10" i="45" s="1"/>
  <c r="G25" i="57"/>
  <c r="U25" i="45"/>
  <c r="C25" i="45" s="1"/>
  <c r="U27" i="45"/>
  <c r="C27" i="45" s="1"/>
  <c r="AR40" i="45"/>
  <c r="G28" i="57"/>
  <c r="U28" i="45"/>
  <c r="C28" i="45" s="1"/>
  <c r="G26" i="57"/>
  <c r="U26" i="45"/>
  <c r="C26" i="45" s="1"/>
  <c r="G23" i="57"/>
  <c r="U23" i="45"/>
  <c r="C23" i="45" s="1"/>
  <c r="G11" i="57"/>
  <c r="U11" i="45"/>
  <c r="C11" i="45" s="1"/>
  <c r="G35" i="57"/>
  <c r="U35" i="45"/>
  <c r="C35" i="45" s="1"/>
  <c r="G22" i="57"/>
  <c r="U22" i="45"/>
  <c r="C22" i="45" s="1"/>
  <c r="AQ40" i="45"/>
  <c r="G36" i="57"/>
  <c r="U36" i="45"/>
  <c r="C36" i="45" s="1"/>
  <c r="U14" i="45"/>
  <c r="C14" i="45" s="1"/>
  <c r="G18" i="57"/>
  <c r="U18" i="45"/>
  <c r="C18" i="45" s="1"/>
  <c r="G20" i="57"/>
  <c r="U20" i="45"/>
  <c r="C20" i="45" s="1"/>
  <c r="G13" i="57"/>
  <c r="U13" i="45"/>
  <c r="C13" i="45" s="1"/>
  <c r="U40" i="45" l="1"/>
  <c r="C6" i="45"/>
  <c r="C40" i="45" s="1"/>
  <c r="D14" i="48" l="1"/>
  <c r="D6" i="48"/>
  <c r="D10" i="48"/>
  <c r="D27" i="48"/>
  <c r="D30" i="48"/>
  <c r="M14" i="54" l="1"/>
  <c r="O14" i="54"/>
  <c r="H14" i="54"/>
  <c r="K14" i="54"/>
  <c r="H14" i="49"/>
  <c r="M14" i="49"/>
  <c r="O14" i="49"/>
  <c r="K14" i="49"/>
  <c r="K14" i="55"/>
  <c r="O14" i="55"/>
  <c r="M14" i="55"/>
  <c r="H14" i="55"/>
  <c r="M14" i="56"/>
  <c r="O14" i="56"/>
  <c r="H14" i="56"/>
  <c r="K14" i="56"/>
  <c r="O14" i="52"/>
  <c r="M14" i="52"/>
  <c r="H14" i="52"/>
  <c r="K14" i="52"/>
  <c r="M14" i="51"/>
  <c r="H14" i="51"/>
  <c r="K14" i="51"/>
  <c r="O14" i="51"/>
  <c r="M14" i="50"/>
  <c r="H14" i="50"/>
  <c r="K14" i="50"/>
  <c r="O14" i="50"/>
  <c r="O14" i="48"/>
  <c r="K14" i="48"/>
  <c r="M14" i="48"/>
  <c r="H14" i="48"/>
  <c r="D14" i="57"/>
  <c r="K14" i="53"/>
  <c r="O14" i="53"/>
  <c r="H14" i="53"/>
  <c r="M14" i="53"/>
  <c r="M6" i="52"/>
  <c r="O6" i="52"/>
  <c r="H6" i="52"/>
  <c r="K6" i="52"/>
  <c r="K6" i="48"/>
  <c r="O6" i="48"/>
  <c r="M6" i="48"/>
  <c r="H6" i="48"/>
  <c r="D6" i="57"/>
  <c r="O6" i="55"/>
  <c r="H6" i="55"/>
  <c r="M6" i="55"/>
  <c r="K6" i="55"/>
  <c r="M6" i="56"/>
  <c r="O6" i="56"/>
  <c r="K6" i="56"/>
  <c r="H6" i="56"/>
  <c r="K6" i="53"/>
  <c r="O6" i="53"/>
  <c r="H6" i="53"/>
  <c r="M6" i="53"/>
  <c r="H6" i="50"/>
  <c r="M6" i="50"/>
  <c r="K6" i="50"/>
  <c r="O6" i="50"/>
  <c r="H6" i="49"/>
  <c r="M6" i="49"/>
  <c r="O6" i="49"/>
  <c r="K6" i="49"/>
  <c r="K6" i="51"/>
  <c r="O6" i="51"/>
  <c r="H6" i="51"/>
  <c r="M6" i="51"/>
  <c r="M6" i="54"/>
  <c r="H6" i="54"/>
  <c r="O6" i="54"/>
  <c r="K6" i="54"/>
  <c r="K10" i="53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K30" i="49"/>
  <c r="D40" i="49"/>
  <c r="M30" i="49"/>
  <c r="K30" i="50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D40" i="54"/>
  <c r="K30" i="53"/>
  <c r="D40" i="53"/>
  <c r="O30" i="53"/>
  <c r="M30" i="53"/>
  <c r="H30" i="53"/>
  <c r="K30" i="56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K30" i="55"/>
  <c r="K30" i="51"/>
  <c r="D40" i="51"/>
  <c r="M30" i="51"/>
  <c r="O30" i="51"/>
  <c r="H30" i="51"/>
  <c r="M40" i="49" l="1"/>
  <c r="M40" i="53"/>
  <c r="O40" i="55"/>
  <c r="K40" i="56"/>
  <c r="K40" i="49"/>
  <c r="O40" i="49"/>
  <c r="AR14" i="53"/>
  <c r="AS14" i="53"/>
  <c r="AQ14" i="53"/>
  <c r="G14" i="53"/>
  <c r="AS14" i="48"/>
  <c r="AR14" i="48"/>
  <c r="AQ14" i="48"/>
  <c r="G14" i="48"/>
  <c r="AR14" i="55"/>
  <c r="AQ14" i="55"/>
  <c r="G14" i="55"/>
  <c r="AS14" i="55"/>
  <c r="G14" i="52"/>
  <c r="AS14" i="52"/>
  <c r="AR14" i="52"/>
  <c r="AQ14" i="52"/>
  <c r="G14" i="56"/>
  <c r="AQ14" i="56"/>
  <c r="AR14" i="56"/>
  <c r="AS14" i="56"/>
  <c r="AR14" i="54"/>
  <c r="AS14" i="54"/>
  <c r="AQ14" i="54"/>
  <c r="G14" i="54"/>
  <c r="AR14" i="50"/>
  <c r="AS14" i="50"/>
  <c r="G14" i="50"/>
  <c r="AQ14" i="50"/>
  <c r="G14" i="51"/>
  <c r="AQ14" i="51"/>
  <c r="AS14" i="51"/>
  <c r="AR14" i="51"/>
  <c r="M14" i="57"/>
  <c r="O14" i="57"/>
  <c r="K14" i="57"/>
  <c r="AS14" i="57" s="1"/>
  <c r="G14" i="49"/>
  <c r="AS14" i="49"/>
  <c r="AQ14" i="49"/>
  <c r="AR14" i="49"/>
  <c r="G6" i="54"/>
  <c r="U6" i="54" s="1"/>
  <c r="C6" i="54" s="1"/>
  <c r="AQ6" i="54"/>
  <c r="AR6" i="54"/>
  <c r="G6" i="50"/>
  <c r="U6" i="50" s="1"/>
  <c r="C6" i="50" s="1"/>
  <c r="AQ6" i="50"/>
  <c r="AR6" i="50"/>
  <c r="AR6" i="52"/>
  <c r="AQ6" i="52"/>
  <c r="G6" i="52"/>
  <c r="U6" i="52" s="1"/>
  <c r="C6" i="52" s="1"/>
  <c r="M40" i="54"/>
  <c r="AQ6" i="49"/>
  <c r="AR6" i="49"/>
  <c r="G6" i="49"/>
  <c r="U6" i="49" s="1"/>
  <c r="C6" i="49" s="1"/>
  <c r="AQ6" i="53"/>
  <c r="G6" i="53"/>
  <c r="U6" i="53" s="1"/>
  <c r="C6" i="53" s="1"/>
  <c r="AR6" i="53"/>
  <c r="G6" i="56"/>
  <c r="U6" i="56" s="1"/>
  <c r="C6" i="56" s="1"/>
  <c r="AQ6" i="56"/>
  <c r="AR6" i="56"/>
  <c r="G6" i="51"/>
  <c r="U6" i="51" s="1"/>
  <c r="C6" i="51" s="1"/>
  <c r="AR6" i="51"/>
  <c r="AQ6" i="51"/>
  <c r="K6" i="57"/>
  <c r="O6" i="57"/>
  <c r="M6" i="57"/>
  <c r="AR6" i="55"/>
  <c r="G6" i="55"/>
  <c r="U6" i="55" s="1"/>
  <c r="C6" i="55" s="1"/>
  <c r="AQ6" i="55"/>
  <c r="AR6" i="48"/>
  <c r="AQ6" i="48"/>
  <c r="G6" i="48"/>
  <c r="K40" i="50"/>
  <c r="M40" i="55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H40" i="56"/>
  <c r="D47" i="56" s="1"/>
  <c r="AS30" i="50"/>
  <c r="AR30" i="50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R40" i="50" l="1"/>
  <c r="G14" i="57"/>
  <c r="AR40" i="56"/>
  <c r="U6" i="48"/>
  <c r="C6" i="48" s="1"/>
  <c r="G6" i="57"/>
  <c r="U6" i="57" s="1"/>
  <c r="AS40" i="53"/>
  <c r="AS40" i="48"/>
  <c r="AS40" i="52"/>
  <c r="G10" i="57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G27" i="57"/>
  <c r="AR40" i="49"/>
  <c r="AQ40" i="52"/>
  <c r="AS40" i="54"/>
  <c r="AR40" i="51"/>
  <c r="AR40" i="48"/>
  <c r="AR40" i="54"/>
  <c r="AR40" i="52"/>
  <c r="G40" i="54"/>
  <c r="G40" i="53"/>
  <c r="G40" i="48"/>
  <c r="G30" i="57"/>
  <c r="G40" i="50"/>
  <c r="G40" i="49"/>
  <c r="G40" i="55"/>
  <c r="G40" i="52"/>
  <c r="G40" i="51"/>
  <c r="AS30" i="57"/>
  <c r="AS40" i="57" s="1"/>
  <c r="K40" i="57"/>
  <c r="G40" i="56"/>
  <c r="G40" i="57" l="1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R33" i="48" l="1"/>
  <c r="R9" i="48"/>
  <c r="R18" i="48"/>
  <c r="R25" i="48"/>
  <c r="R37" i="48"/>
  <c r="R23" i="48"/>
  <c r="R17" i="48"/>
  <c r="R24" i="48"/>
  <c r="R31" i="48"/>
  <c r="R12" i="48"/>
  <c r="R20" i="48"/>
  <c r="R30" i="48"/>
  <c r="R23" i="47"/>
  <c r="R33" i="47"/>
  <c r="R31" i="47"/>
  <c r="R24" i="47"/>
  <c r="R17" i="47"/>
  <c r="R30" i="47"/>
  <c r="R12" i="47"/>
  <c r="R37" i="47"/>
  <c r="R25" i="47"/>
  <c r="R18" i="47"/>
  <c r="R9" i="47"/>
  <c r="R33" i="46" l="1"/>
  <c r="R30" i="46"/>
  <c r="R30" i="57" l="1"/>
  <c r="R33" i="57"/>
  <c r="R20" i="46"/>
  <c r="R9" i="46" l="1"/>
  <c r="R18" i="46"/>
  <c r="R25" i="46"/>
  <c r="R12" i="46"/>
  <c r="R31" i="46"/>
  <c r="R16" i="52"/>
  <c r="R16" i="55"/>
  <c r="R16" i="48"/>
  <c r="R16" i="54"/>
  <c r="R16" i="51"/>
  <c r="R16" i="50"/>
  <c r="R16" i="49"/>
  <c r="R16" i="53"/>
  <c r="R16" i="56"/>
  <c r="R16" i="47"/>
  <c r="R16" i="46"/>
  <c r="R23" i="46"/>
  <c r="R37" i="46"/>
  <c r="R17" i="46"/>
  <c r="R24" i="46"/>
  <c r="R40" i="48" l="1"/>
  <c r="R40" i="50"/>
  <c r="R40" i="55"/>
  <c r="R12" i="57"/>
  <c r="R18" i="57"/>
  <c r="R37" i="57"/>
  <c r="R16" i="57"/>
  <c r="R17" i="57"/>
  <c r="R23" i="57"/>
  <c r="R40" i="56"/>
  <c r="R40" i="51"/>
  <c r="R40" i="52"/>
  <c r="R24" i="57"/>
  <c r="R40" i="49"/>
  <c r="R40" i="53"/>
  <c r="R40" i="54"/>
  <c r="R31" i="57"/>
  <c r="R25" i="57"/>
  <c r="R40" i="46"/>
  <c r="R9" i="57"/>
  <c r="R20" i="47" l="1"/>
  <c r="R20" i="57" l="1"/>
  <c r="R40" i="47"/>
  <c r="R40" i="57" l="1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48"/>
  <c r="Q15" i="48"/>
  <c r="Q10" i="48"/>
  <c r="Q25" i="55"/>
  <c r="Q20" i="50"/>
  <c r="Q25" i="50"/>
  <c r="Q32" i="50"/>
  <c r="Q22" i="55"/>
  <c r="Q12" i="54"/>
  <c r="Q28" i="55"/>
  <c r="Q15" i="55"/>
  <c r="Q28" i="48"/>
  <c r="Q20" i="48"/>
  <c r="Q11" i="48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2" i="48"/>
  <c r="Q10" i="49"/>
  <c r="Q10" i="50"/>
  <c r="Q38" i="48"/>
  <c r="Q24" i="48"/>
  <c r="Q16" i="48"/>
  <c r="Q8" i="48"/>
  <c r="Q40" i="48" s="1"/>
  <c r="Q10" i="52"/>
  <c r="Q32" i="48"/>
  <c r="Q22" i="48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Q40" i="53" l="1"/>
  <c r="Q40" i="49"/>
  <c r="Q40" i="55"/>
  <c r="Q40" i="56"/>
  <c r="Q40" i="50"/>
  <c r="Q40" i="52"/>
  <c r="Q40" i="51"/>
  <c r="Q40" i="54"/>
  <c r="Q10" i="47" l="1"/>
  <c r="Q15" i="47"/>
  <c r="Q20" i="47"/>
  <c r="Q28" i="47"/>
  <c r="Q12" i="47"/>
  <c r="Q22" i="47"/>
  <c r="Q32" i="47"/>
  <c r="Q25" i="47"/>
  <c r="Q11" i="47"/>
  <c r="Q8" i="47"/>
  <c r="Q16" i="47"/>
  <c r="Q24" i="47"/>
  <c r="Q38" i="47"/>
  <c r="Q40" i="47" l="1"/>
  <c r="Q15" i="46" l="1"/>
  <c r="Q15" i="57" s="1"/>
  <c r="Q12" i="46"/>
  <c r="Q12" i="57" s="1"/>
  <c r="Q25" i="46"/>
  <c r="Q25" i="57" s="1"/>
  <c r="Q8" i="46"/>
  <c r="Q38" i="46"/>
  <c r="Q38" i="57" s="1"/>
  <c r="Q24" i="46"/>
  <c r="Q24" i="57" s="1"/>
  <c r="Q20" i="46"/>
  <c r="Q20" i="57" s="1"/>
  <c r="Q16" i="46"/>
  <c r="Q16" i="57" s="1"/>
  <c r="Q32" i="46"/>
  <c r="Q32" i="57" s="1"/>
  <c r="Q28" i="46"/>
  <c r="Q28" i="57" s="1"/>
  <c r="Q22" i="46"/>
  <c r="Q22" i="57" s="1"/>
  <c r="Q8" i="57" l="1"/>
  <c r="Q10" i="46" l="1"/>
  <c r="Q10" i="57" l="1"/>
  <c r="Q11" i="46"/>
  <c r="Q11" i="57" s="1"/>
  <c r="Q40" i="46" l="1"/>
  <c r="Q40" i="57"/>
  <c r="P14" i="56" l="1"/>
  <c r="U14" i="56" s="1"/>
  <c r="C14" i="56" s="1"/>
  <c r="P24" i="55"/>
  <c r="U24" i="55" s="1"/>
  <c r="C24" i="55" s="1"/>
  <c r="P23" i="54"/>
  <c r="U23" i="54" s="1"/>
  <c r="C23" i="54" s="1"/>
  <c r="P16" i="55"/>
  <c r="U16" i="55" s="1"/>
  <c r="C16" i="55" s="1"/>
  <c r="P36" i="55"/>
  <c r="U36" i="55" s="1"/>
  <c r="C36" i="55" s="1"/>
  <c r="P27" i="52"/>
  <c r="U27" i="52" s="1"/>
  <c r="C27" i="52" s="1"/>
  <c r="P22" i="56"/>
  <c r="U22" i="56" s="1"/>
  <c r="C22" i="56" s="1"/>
  <c r="P24" i="53"/>
  <c r="U24" i="53" s="1"/>
  <c r="C24" i="53" s="1"/>
  <c r="P38" i="56"/>
  <c r="U38" i="56" s="1"/>
  <c r="C38" i="56" s="1"/>
  <c r="P18" i="52"/>
  <c r="U18" i="52" s="1"/>
  <c r="C18" i="52" s="1"/>
  <c r="P27" i="56"/>
  <c r="U27" i="56" s="1"/>
  <c r="C27" i="56" s="1"/>
  <c r="P37" i="55"/>
  <c r="U37" i="55" s="1"/>
  <c r="C37" i="55" s="1"/>
  <c r="P24" i="50"/>
  <c r="U24" i="50" s="1"/>
  <c r="C24" i="50" s="1"/>
  <c r="P19" i="52"/>
  <c r="U19" i="52" s="1"/>
  <c r="C19" i="52" s="1"/>
  <c r="P19" i="54"/>
  <c r="U19" i="54" s="1"/>
  <c r="C19" i="54" s="1"/>
  <c r="P21" i="56"/>
  <c r="U21" i="56" s="1"/>
  <c r="C21" i="56" s="1"/>
  <c r="P14" i="50"/>
  <c r="U14" i="50" s="1"/>
  <c r="C14" i="50" s="1"/>
  <c r="P30" i="56"/>
  <c r="U30" i="56" s="1"/>
  <c r="C30" i="56" s="1"/>
  <c r="P25" i="53"/>
  <c r="U25" i="53" s="1"/>
  <c r="C25" i="53" s="1"/>
  <c r="P28" i="51"/>
  <c r="U28" i="51" s="1"/>
  <c r="C28" i="51" s="1"/>
  <c r="P32" i="51"/>
  <c r="U32" i="51" s="1"/>
  <c r="C32" i="51" s="1"/>
  <c r="P27" i="51"/>
  <c r="U27" i="51" s="1"/>
  <c r="C27" i="51" s="1"/>
  <c r="P37" i="56"/>
  <c r="U37" i="56" s="1"/>
  <c r="C37" i="56" s="1"/>
  <c r="P11" i="56"/>
  <c r="U11" i="56" s="1"/>
  <c r="C11" i="56" s="1"/>
  <c r="P31" i="51"/>
  <c r="U31" i="51" s="1"/>
  <c r="C31" i="51" s="1"/>
  <c r="P7" i="52"/>
  <c r="P9" i="54"/>
  <c r="U9" i="54" s="1"/>
  <c r="C9" i="54" s="1"/>
  <c r="P22" i="55"/>
  <c r="U22" i="55" s="1"/>
  <c r="C22" i="55" s="1"/>
  <c r="P17" i="50"/>
  <c r="U17" i="50" s="1"/>
  <c r="C17" i="50" s="1"/>
  <c r="P19" i="51"/>
  <c r="U19" i="51" s="1"/>
  <c r="C19" i="51" s="1"/>
  <c r="P13" i="54"/>
  <c r="U13" i="54" s="1"/>
  <c r="C13" i="54" s="1"/>
  <c r="P21" i="55"/>
  <c r="U21" i="55" s="1"/>
  <c r="C21" i="55" s="1"/>
  <c r="P20" i="55"/>
  <c r="U20" i="55" s="1"/>
  <c r="C20" i="55" s="1"/>
  <c r="P16" i="53"/>
  <c r="U16" i="53" s="1"/>
  <c r="C16" i="53" s="1"/>
  <c r="P28" i="50"/>
  <c r="U28" i="50" s="1"/>
  <c r="C28" i="50" s="1"/>
  <c r="P13" i="51"/>
  <c r="U13" i="51" s="1"/>
  <c r="C13" i="51" s="1"/>
  <c r="P8" i="50"/>
  <c r="U8" i="50" s="1"/>
  <c r="C8" i="50" s="1"/>
  <c r="P12" i="50"/>
  <c r="U12" i="50" s="1"/>
  <c r="C12" i="50" s="1"/>
  <c r="P34" i="50"/>
  <c r="U34" i="50" s="1"/>
  <c r="C34" i="50" s="1"/>
  <c r="P32" i="53"/>
  <c r="U32" i="53" s="1"/>
  <c r="C32" i="53" s="1"/>
  <c r="P9" i="56"/>
  <c r="U9" i="56" s="1"/>
  <c r="C9" i="56" s="1"/>
  <c r="P28" i="53"/>
  <c r="U28" i="53" s="1"/>
  <c r="C28" i="53" s="1"/>
  <c r="P17" i="54"/>
  <c r="U17" i="54" s="1"/>
  <c r="C17" i="54" s="1"/>
  <c r="P25" i="56"/>
  <c r="U25" i="56" s="1"/>
  <c r="C25" i="56" s="1"/>
  <c r="P22" i="53"/>
  <c r="U22" i="53" s="1"/>
  <c r="C22" i="53" s="1"/>
  <c r="P26" i="53"/>
  <c r="U26" i="53" s="1"/>
  <c r="C26" i="53" s="1"/>
  <c r="P7" i="54"/>
  <c r="P29" i="54"/>
  <c r="U29" i="54" s="1"/>
  <c r="C29" i="54" s="1"/>
  <c r="P38" i="54"/>
  <c r="U38" i="54" s="1"/>
  <c r="C38" i="54" s="1"/>
  <c r="P35" i="52"/>
  <c r="U35" i="52" s="1"/>
  <c r="C35" i="52" s="1"/>
  <c r="P25" i="51"/>
  <c r="U25" i="51" s="1"/>
  <c r="C25" i="51" s="1"/>
  <c r="P25" i="54"/>
  <c r="U25" i="54" s="1"/>
  <c r="C25" i="54" s="1"/>
  <c r="P18" i="55"/>
  <c r="U18" i="55" s="1"/>
  <c r="C18" i="55" s="1"/>
  <c r="P28" i="55"/>
  <c r="U28" i="55" s="1"/>
  <c r="C28" i="55" s="1"/>
  <c r="P32" i="55"/>
  <c r="U32" i="55" s="1"/>
  <c r="C32" i="55" s="1"/>
  <c r="P29" i="56"/>
  <c r="U29" i="56" s="1"/>
  <c r="C29" i="56" s="1"/>
  <c r="P25" i="50"/>
  <c r="U25" i="50" s="1"/>
  <c r="C25" i="50" s="1"/>
  <c r="P11" i="52"/>
  <c r="U11" i="52" s="1"/>
  <c r="C11" i="52" s="1"/>
  <c r="P35" i="54"/>
  <c r="U35" i="54" s="1"/>
  <c r="C35" i="54" s="1"/>
  <c r="P30" i="50"/>
  <c r="U30" i="50" s="1"/>
  <c r="C30" i="50" s="1"/>
  <c r="P31" i="54"/>
  <c r="U31" i="54" s="1"/>
  <c r="C31" i="54" s="1"/>
  <c r="P17" i="51"/>
  <c r="U17" i="51" s="1"/>
  <c r="C17" i="51" s="1"/>
  <c r="P10" i="51"/>
  <c r="U10" i="51" s="1"/>
  <c r="C10" i="51" s="1"/>
  <c r="P35" i="51"/>
  <c r="U35" i="51" s="1"/>
  <c r="C35" i="51" s="1"/>
  <c r="P37" i="52"/>
  <c r="U37" i="52" s="1"/>
  <c r="C37" i="52" s="1"/>
  <c r="P14" i="53"/>
  <c r="U14" i="53" s="1"/>
  <c r="C14" i="53" s="1"/>
  <c r="P33" i="56"/>
  <c r="U33" i="56" s="1"/>
  <c r="C33" i="56" s="1"/>
  <c r="P34" i="56"/>
  <c r="U34" i="56" s="1"/>
  <c r="C34" i="56" s="1"/>
  <c r="P31" i="52"/>
  <c r="U31" i="52" s="1"/>
  <c r="C31" i="52" s="1"/>
  <c r="P17" i="53"/>
  <c r="U17" i="53" s="1"/>
  <c r="C17" i="53" s="1"/>
  <c r="P29" i="55"/>
  <c r="U29" i="55" s="1"/>
  <c r="C29" i="55" s="1"/>
  <c r="P35" i="56"/>
  <c r="U35" i="56" s="1"/>
  <c r="C35" i="56" s="1"/>
  <c r="P9" i="51"/>
  <c r="U9" i="51" s="1"/>
  <c r="C9" i="51" s="1"/>
  <c r="P9" i="52"/>
  <c r="U9" i="52" s="1"/>
  <c r="C9" i="52" s="1"/>
  <c r="P15" i="52"/>
  <c r="U15" i="52" s="1"/>
  <c r="C15" i="52" s="1"/>
  <c r="P8" i="53"/>
  <c r="U8" i="53" s="1"/>
  <c r="C8" i="53" s="1"/>
  <c r="P12" i="53"/>
  <c r="U12" i="53" s="1"/>
  <c r="C12" i="53" s="1"/>
  <c r="P15" i="53"/>
  <c r="U15" i="53" s="1"/>
  <c r="C15" i="53" s="1"/>
  <c r="P29" i="53"/>
  <c r="U29" i="53" s="1"/>
  <c r="C29" i="53" s="1"/>
  <c r="P34" i="53"/>
  <c r="U34" i="53" s="1"/>
  <c r="C34" i="53" s="1"/>
  <c r="P37" i="53"/>
  <c r="U37" i="53" s="1"/>
  <c r="C37" i="53" s="1"/>
  <c r="P12" i="55"/>
  <c r="U12" i="55" s="1"/>
  <c r="C12" i="55" s="1"/>
  <c r="P33" i="55"/>
  <c r="U33" i="55" s="1"/>
  <c r="C33" i="55" s="1"/>
  <c r="P34" i="55"/>
  <c r="U34" i="55" s="1"/>
  <c r="C34" i="55" s="1"/>
  <c r="P23" i="50"/>
  <c r="U23" i="50" s="1"/>
  <c r="C23" i="50" s="1"/>
  <c r="P15" i="49"/>
  <c r="U15" i="49" s="1"/>
  <c r="C15" i="49" s="1"/>
  <c r="P26" i="52"/>
  <c r="U26" i="52" s="1"/>
  <c r="C26" i="52" s="1"/>
  <c r="P20" i="53"/>
  <c r="U20" i="53" s="1"/>
  <c r="C20" i="53" s="1"/>
  <c r="P30" i="53"/>
  <c r="U30" i="53" s="1"/>
  <c r="C30" i="53" s="1"/>
  <c r="P15" i="54"/>
  <c r="U15" i="54" s="1"/>
  <c r="C15" i="54" s="1"/>
  <c r="P13" i="55"/>
  <c r="U13" i="55" s="1"/>
  <c r="C13" i="55" s="1"/>
  <c r="P38" i="55"/>
  <c r="U38" i="55" s="1"/>
  <c r="C38" i="55" s="1"/>
  <c r="P17" i="56"/>
  <c r="U17" i="56" s="1"/>
  <c r="C17" i="56" s="1"/>
  <c r="P24" i="49"/>
  <c r="U24" i="49" s="1"/>
  <c r="C24" i="49" s="1"/>
  <c r="P28" i="49"/>
  <c r="U28" i="49" s="1"/>
  <c r="C28" i="49" s="1"/>
  <c r="P36" i="49"/>
  <c r="U36" i="49" s="1"/>
  <c r="C36" i="49" s="1"/>
  <c r="P20" i="49"/>
  <c r="U20" i="49" s="1"/>
  <c r="C20" i="49" s="1"/>
  <c r="P11" i="49"/>
  <c r="U11" i="49" s="1"/>
  <c r="C11" i="49" s="1"/>
  <c r="P23" i="49"/>
  <c r="U23" i="49" s="1"/>
  <c r="C23" i="49" s="1"/>
  <c r="P27" i="49"/>
  <c r="U27" i="49" s="1"/>
  <c r="C27" i="49" s="1"/>
  <c r="P35" i="49"/>
  <c r="U35" i="49" s="1"/>
  <c r="C35" i="49" s="1"/>
  <c r="P18" i="53"/>
  <c r="U18" i="53" s="1"/>
  <c r="C18" i="53" s="1"/>
  <c r="P33" i="54"/>
  <c r="U33" i="54" s="1"/>
  <c r="C33" i="54" s="1"/>
  <c r="P37" i="54"/>
  <c r="U37" i="54" s="1"/>
  <c r="C37" i="54" s="1"/>
  <c r="P7" i="49"/>
  <c r="P19" i="49"/>
  <c r="U19" i="49" s="1"/>
  <c r="C19" i="49" s="1"/>
  <c r="P31" i="49"/>
  <c r="U31" i="49" s="1"/>
  <c r="C31" i="49" s="1"/>
  <c r="P12" i="49"/>
  <c r="U12" i="49" s="1"/>
  <c r="C12" i="49" s="1"/>
  <c r="P32" i="49"/>
  <c r="U32" i="49" s="1"/>
  <c r="C32" i="49" s="1"/>
  <c r="P19" i="56"/>
  <c r="U19" i="56" s="1"/>
  <c r="C19" i="56" s="1"/>
  <c r="P20" i="50"/>
  <c r="U20" i="50" s="1"/>
  <c r="C20" i="50" s="1"/>
  <c r="P37" i="50"/>
  <c r="U37" i="50" s="1"/>
  <c r="C37" i="50" s="1"/>
  <c r="P8" i="51"/>
  <c r="U8" i="51" s="1"/>
  <c r="C8" i="51" s="1"/>
  <c r="P20" i="51"/>
  <c r="U20" i="51" s="1"/>
  <c r="C20" i="51" s="1"/>
  <c r="P21" i="51"/>
  <c r="U21" i="51" s="1"/>
  <c r="C21" i="51" s="1"/>
  <c r="P30" i="52"/>
  <c r="U30" i="52" s="1"/>
  <c r="C30" i="52" s="1"/>
  <c r="P21" i="54"/>
  <c r="U21" i="54" s="1"/>
  <c r="C21" i="54" s="1"/>
  <c r="P10" i="50"/>
  <c r="U10" i="50" s="1"/>
  <c r="C10" i="50" s="1"/>
  <c r="P32" i="50"/>
  <c r="U32" i="50" s="1"/>
  <c r="C32" i="50" s="1"/>
  <c r="P29" i="50"/>
  <c r="U29" i="50" s="1"/>
  <c r="C29" i="50" s="1"/>
  <c r="P33" i="51"/>
  <c r="U33" i="51" s="1"/>
  <c r="C33" i="51" s="1"/>
  <c r="P23" i="51"/>
  <c r="U23" i="51" s="1"/>
  <c r="C23" i="51" s="1"/>
  <c r="P11" i="51"/>
  <c r="U11" i="51" s="1"/>
  <c r="C11" i="51" s="1"/>
  <c r="P34" i="52"/>
  <c r="U34" i="52" s="1"/>
  <c r="C34" i="52" s="1"/>
  <c r="P23" i="52"/>
  <c r="U23" i="52" s="1"/>
  <c r="C23" i="52" s="1"/>
  <c r="P10" i="52"/>
  <c r="U10" i="52" s="1"/>
  <c r="C10" i="52" s="1"/>
  <c r="P10" i="53"/>
  <c r="U10" i="53" s="1"/>
  <c r="C10" i="53" s="1"/>
  <c r="P27" i="54"/>
  <c r="U27" i="54" s="1"/>
  <c r="C27" i="54" s="1"/>
  <c r="P24" i="51"/>
  <c r="U24" i="51" s="1"/>
  <c r="C24" i="51" s="1"/>
  <c r="P17" i="52"/>
  <c r="U17" i="52" s="1"/>
  <c r="C17" i="52" s="1"/>
  <c r="P21" i="52"/>
  <c r="U21" i="52" s="1"/>
  <c r="C21" i="52" s="1"/>
  <c r="P33" i="52"/>
  <c r="U33" i="52" s="1"/>
  <c r="C33" i="52" s="1"/>
  <c r="P27" i="53"/>
  <c r="U27" i="53" s="1"/>
  <c r="C27" i="53" s="1"/>
  <c r="P12" i="54"/>
  <c r="U12" i="54" s="1"/>
  <c r="C12" i="54" s="1"/>
  <c r="P14" i="54"/>
  <c r="U14" i="54" s="1"/>
  <c r="C14" i="54" s="1"/>
  <c r="P32" i="54"/>
  <c r="U32" i="54" s="1"/>
  <c r="C32" i="54" s="1"/>
  <c r="P36" i="54"/>
  <c r="U36" i="54" s="1"/>
  <c r="C36" i="54" s="1"/>
  <c r="P13" i="56"/>
  <c r="U13" i="56" s="1"/>
  <c r="C13" i="56" s="1"/>
  <c r="P15" i="50"/>
  <c r="U15" i="50" s="1"/>
  <c r="C15" i="50" s="1"/>
  <c r="P16" i="50"/>
  <c r="U16" i="50" s="1"/>
  <c r="C16" i="50" s="1"/>
  <c r="P22" i="50"/>
  <c r="U22" i="50" s="1"/>
  <c r="C22" i="50" s="1"/>
  <c r="P36" i="50"/>
  <c r="U36" i="50" s="1"/>
  <c r="C36" i="50" s="1"/>
  <c r="P13" i="52"/>
  <c r="U13" i="52" s="1"/>
  <c r="C13" i="52" s="1"/>
  <c r="P33" i="53"/>
  <c r="U33" i="53" s="1"/>
  <c r="C33" i="53" s="1"/>
  <c r="P30" i="49"/>
  <c r="U30" i="49" s="1"/>
  <c r="C30" i="49" s="1"/>
  <c r="P34" i="49"/>
  <c r="U34" i="49" s="1"/>
  <c r="C34" i="49" s="1"/>
  <c r="P9" i="49"/>
  <c r="U9" i="49" s="1"/>
  <c r="C9" i="49" s="1"/>
  <c r="P7" i="50"/>
  <c r="P13" i="50"/>
  <c r="U13" i="50" s="1"/>
  <c r="C13" i="50" s="1"/>
  <c r="P21" i="49"/>
  <c r="U21" i="49" s="1"/>
  <c r="C21" i="49" s="1"/>
  <c r="P29" i="49"/>
  <c r="U29" i="49" s="1"/>
  <c r="C29" i="49" s="1"/>
  <c r="P37" i="49"/>
  <c r="U37" i="49" s="1"/>
  <c r="C37" i="49" s="1"/>
  <c r="P27" i="50"/>
  <c r="U27" i="50" s="1"/>
  <c r="C27" i="50" s="1"/>
  <c r="P31" i="50"/>
  <c r="U31" i="50" s="1"/>
  <c r="C31" i="50" s="1"/>
  <c r="P33" i="50"/>
  <c r="U33" i="50" s="1"/>
  <c r="C33" i="50" s="1"/>
  <c r="P9" i="50"/>
  <c r="U9" i="50" s="1"/>
  <c r="C9" i="50" s="1"/>
  <c r="P16" i="49"/>
  <c r="U16" i="49" s="1"/>
  <c r="C16" i="49" s="1"/>
  <c r="P8" i="49"/>
  <c r="U8" i="49" s="1"/>
  <c r="C8" i="49" s="1"/>
  <c r="P22" i="52"/>
  <c r="U22" i="52" s="1"/>
  <c r="C22" i="52" s="1"/>
  <c r="P36" i="53"/>
  <c r="U36" i="53" s="1"/>
  <c r="C36" i="53" s="1"/>
  <c r="P26" i="50"/>
  <c r="U26" i="50" s="1"/>
  <c r="C26" i="50" s="1"/>
  <c r="P35" i="50"/>
  <c r="U35" i="50" s="1"/>
  <c r="C35" i="50" s="1"/>
  <c r="P38" i="50"/>
  <c r="U38" i="50" s="1"/>
  <c r="C38" i="50" s="1"/>
  <c r="P8" i="55"/>
  <c r="U8" i="55" s="1"/>
  <c r="C8" i="55" s="1"/>
  <c r="P22" i="49"/>
  <c r="U22" i="49" s="1"/>
  <c r="C22" i="49" s="1"/>
  <c r="P26" i="49"/>
  <c r="U26" i="49" s="1"/>
  <c r="C26" i="49" s="1"/>
  <c r="P38" i="49"/>
  <c r="U38" i="49" s="1"/>
  <c r="C38" i="49" s="1"/>
  <c r="P17" i="49"/>
  <c r="U17" i="49" s="1"/>
  <c r="C17" i="49" s="1"/>
  <c r="P13" i="49"/>
  <c r="U13" i="49" s="1"/>
  <c r="C13" i="49" s="1"/>
  <c r="P11" i="50"/>
  <c r="U11" i="50" s="1"/>
  <c r="C11" i="50" s="1"/>
  <c r="P19" i="50"/>
  <c r="U19" i="50" s="1"/>
  <c r="C19" i="50" s="1"/>
  <c r="P21" i="50"/>
  <c r="U21" i="50" s="1"/>
  <c r="C21" i="50" s="1"/>
  <c r="P38" i="52"/>
  <c r="U38" i="52" s="1"/>
  <c r="C38" i="52" s="1"/>
  <c r="P38" i="53"/>
  <c r="U38" i="53" s="1"/>
  <c r="C38" i="53" s="1"/>
  <c r="P25" i="49"/>
  <c r="U25" i="49" s="1"/>
  <c r="C25" i="49" s="1"/>
  <c r="P33" i="49"/>
  <c r="U33" i="49" s="1"/>
  <c r="C33" i="49" s="1"/>
  <c r="P18" i="50"/>
  <c r="U18" i="50" s="1"/>
  <c r="C18" i="50" s="1"/>
  <c r="P29" i="51"/>
  <c r="U29" i="51" s="1"/>
  <c r="C29" i="51" s="1"/>
  <c r="P11" i="53"/>
  <c r="U11" i="53" s="1"/>
  <c r="C11" i="53" s="1"/>
  <c r="P7" i="51"/>
  <c r="P15" i="51"/>
  <c r="U15" i="51" s="1"/>
  <c r="C15" i="51" s="1"/>
  <c r="P18" i="49"/>
  <c r="U18" i="49" s="1"/>
  <c r="C18" i="49" s="1"/>
  <c r="P14" i="49"/>
  <c r="U14" i="49" s="1"/>
  <c r="C14" i="49" s="1"/>
  <c r="P10" i="49"/>
  <c r="U10" i="49" s="1"/>
  <c r="C10" i="49" s="1"/>
  <c r="P12" i="51"/>
  <c r="U12" i="51" s="1"/>
  <c r="C12" i="51" s="1"/>
  <c r="P16" i="51"/>
  <c r="U16" i="51" s="1"/>
  <c r="C16" i="51" s="1"/>
  <c r="P22" i="51"/>
  <c r="U22" i="51" s="1"/>
  <c r="C22" i="51" s="1"/>
  <c r="P26" i="51"/>
  <c r="U26" i="51" s="1"/>
  <c r="C26" i="51" s="1"/>
  <c r="P34" i="51"/>
  <c r="U34" i="51" s="1"/>
  <c r="C34" i="51" s="1"/>
  <c r="P38" i="51"/>
  <c r="U38" i="51" s="1"/>
  <c r="C38" i="51" s="1"/>
  <c r="P23" i="53"/>
  <c r="U23" i="53" s="1"/>
  <c r="C23" i="53" s="1"/>
  <c r="P14" i="51"/>
  <c r="U14" i="51" s="1"/>
  <c r="C14" i="51" s="1"/>
  <c r="P18" i="51"/>
  <c r="U18" i="51" s="1"/>
  <c r="C18" i="51" s="1"/>
  <c r="P30" i="51"/>
  <c r="U30" i="51" s="1"/>
  <c r="C30" i="51" s="1"/>
  <c r="P36" i="51"/>
  <c r="U36" i="51" s="1"/>
  <c r="C36" i="51" s="1"/>
  <c r="P37" i="51"/>
  <c r="U37" i="51" s="1"/>
  <c r="C37" i="51" s="1"/>
  <c r="P14" i="52"/>
  <c r="U14" i="52" s="1"/>
  <c r="C14" i="52" s="1"/>
  <c r="P13" i="53"/>
  <c r="U13" i="53" s="1"/>
  <c r="C13" i="53" s="1"/>
  <c r="P19" i="53"/>
  <c r="U19" i="53" s="1"/>
  <c r="C19" i="53" s="1"/>
  <c r="P10" i="54"/>
  <c r="U10" i="54" s="1"/>
  <c r="C10" i="54" s="1"/>
  <c r="P16" i="54"/>
  <c r="U16" i="54" s="1"/>
  <c r="C16" i="54" s="1"/>
  <c r="P18" i="54"/>
  <c r="U18" i="54" s="1"/>
  <c r="C18" i="54" s="1"/>
  <c r="P24" i="54"/>
  <c r="U24" i="54" s="1"/>
  <c r="C24" i="54" s="1"/>
  <c r="P26" i="54"/>
  <c r="U26" i="54" s="1"/>
  <c r="C26" i="54" s="1"/>
  <c r="P17" i="55"/>
  <c r="U17" i="55" s="1"/>
  <c r="C17" i="55" s="1"/>
  <c r="P25" i="52"/>
  <c r="U25" i="52" s="1"/>
  <c r="C25" i="52" s="1"/>
  <c r="P29" i="52"/>
  <c r="U29" i="52" s="1"/>
  <c r="C29" i="52" s="1"/>
  <c r="P7" i="53"/>
  <c r="P9" i="53"/>
  <c r="U9" i="53" s="1"/>
  <c r="C9" i="53" s="1"/>
  <c r="P21" i="53"/>
  <c r="U21" i="53" s="1"/>
  <c r="C21" i="53" s="1"/>
  <c r="P31" i="53"/>
  <c r="U31" i="53" s="1"/>
  <c r="C31" i="53" s="1"/>
  <c r="P35" i="53"/>
  <c r="U35" i="53" s="1"/>
  <c r="C35" i="53" s="1"/>
  <c r="P8" i="54"/>
  <c r="U8" i="54" s="1"/>
  <c r="C8" i="54" s="1"/>
  <c r="P20" i="54"/>
  <c r="U20" i="54" s="1"/>
  <c r="C20" i="54" s="1"/>
  <c r="P30" i="54"/>
  <c r="U30" i="54" s="1"/>
  <c r="C30" i="54" s="1"/>
  <c r="P28" i="54"/>
  <c r="U28" i="54" s="1"/>
  <c r="C28" i="54" s="1"/>
  <c r="P34" i="54"/>
  <c r="U34" i="54" s="1"/>
  <c r="C34" i="54" s="1"/>
  <c r="P25" i="55"/>
  <c r="U25" i="55" s="1"/>
  <c r="C25" i="55" s="1"/>
  <c r="P7" i="56"/>
  <c r="P10" i="56"/>
  <c r="U10" i="56" s="1"/>
  <c r="C10" i="56" s="1"/>
  <c r="P15" i="56"/>
  <c r="U15" i="56" s="1"/>
  <c r="C15" i="56" s="1"/>
  <c r="P18" i="56"/>
  <c r="U18" i="56" s="1"/>
  <c r="C18" i="56" s="1"/>
  <c r="P26" i="56"/>
  <c r="U26" i="56" s="1"/>
  <c r="C26" i="56" s="1"/>
  <c r="P22" i="54"/>
  <c r="U22" i="54" s="1"/>
  <c r="C22" i="54" s="1"/>
  <c r="P9" i="55"/>
  <c r="U9" i="55" s="1"/>
  <c r="C9" i="55" s="1"/>
  <c r="P20" i="56"/>
  <c r="U20" i="56" s="1"/>
  <c r="C20" i="56" s="1"/>
  <c r="P28" i="56"/>
  <c r="U28" i="56" s="1"/>
  <c r="C28" i="56" s="1"/>
  <c r="P36" i="56"/>
  <c r="U36" i="56" s="1"/>
  <c r="C36" i="56" s="1"/>
  <c r="P23" i="56"/>
  <c r="U23" i="56" s="1"/>
  <c r="C23" i="56" s="1"/>
  <c r="P12" i="56"/>
  <c r="U12" i="56" s="1"/>
  <c r="C12" i="56" s="1"/>
  <c r="P8" i="56"/>
  <c r="U8" i="56" s="1"/>
  <c r="C8" i="56" s="1"/>
  <c r="P16" i="56"/>
  <c r="U16" i="56" s="1"/>
  <c r="C16" i="56" s="1"/>
  <c r="P24" i="56"/>
  <c r="U24" i="56" s="1"/>
  <c r="C24" i="56" s="1"/>
  <c r="P32" i="56"/>
  <c r="U32" i="56" s="1"/>
  <c r="C32" i="56" s="1"/>
  <c r="P31" i="56"/>
  <c r="U31" i="56" s="1"/>
  <c r="C31" i="56" s="1"/>
  <c r="P15" i="55"/>
  <c r="U15" i="55" s="1"/>
  <c r="C15" i="55" s="1"/>
  <c r="P23" i="55"/>
  <c r="U23" i="55" s="1"/>
  <c r="C23" i="55" s="1"/>
  <c r="P31" i="55"/>
  <c r="U31" i="55" s="1"/>
  <c r="C31" i="55" s="1"/>
  <c r="P26" i="55"/>
  <c r="U26" i="55" s="1"/>
  <c r="C26" i="55" s="1"/>
  <c r="P10" i="55"/>
  <c r="U10" i="55" s="1"/>
  <c r="C10" i="55" s="1"/>
  <c r="P11" i="55"/>
  <c r="U11" i="55" s="1"/>
  <c r="C11" i="55" s="1"/>
  <c r="P19" i="55"/>
  <c r="U19" i="55" s="1"/>
  <c r="C19" i="55" s="1"/>
  <c r="P27" i="55"/>
  <c r="U27" i="55" s="1"/>
  <c r="C27" i="55" s="1"/>
  <c r="P35" i="55"/>
  <c r="U35" i="55" s="1"/>
  <c r="C35" i="55" s="1"/>
  <c r="P30" i="55"/>
  <c r="U30" i="55" s="1"/>
  <c r="C30" i="55" s="1"/>
  <c r="P14" i="55"/>
  <c r="U14" i="55" s="1"/>
  <c r="C14" i="55" s="1"/>
  <c r="P7" i="55"/>
  <c r="P11" i="54"/>
  <c r="U11" i="54" s="1"/>
  <c r="C11" i="54" s="1"/>
  <c r="P36" i="52"/>
  <c r="U36" i="52" s="1"/>
  <c r="C36" i="52" s="1"/>
  <c r="P32" i="52"/>
  <c r="U32" i="52" s="1"/>
  <c r="C32" i="52" s="1"/>
  <c r="P28" i="52"/>
  <c r="U28" i="52" s="1"/>
  <c r="C28" i="52" s="1"/>
  <c r="P24" i="52"/>
  <c r="U24" i="52" s="1"/>
  <c r="C24" i="52" s="1"/>
  <c r="P20" i="52"/>
  <c r="U20" i="52" s="1"/>
  <c r="C20" i="52" s="1"/>
  <c r="P16" i="52"/>
  <c r="U16" i="52" s="1"/>
  <c r="C16" i="52" s="1"/>
  <c r="P12" i="52"/>
  <c r="U12" i="52" s="1"/>
  <c r="C12" i="52" s="1"/>
  <c r="P8" i="52"/>
  <c r="U8" i="52" s="1"/>
  <c r="C8" i="52" s="1"/>
  <c r="P40" i="49" l="1"/>
  <c r="U7" i="49"/>
  <c r="P40" i="54"/>
  <c r="U7" i="54"/>
  <c r="P40" i="52"/>
  <c r="U7" i="52"/>
  <c r="P40" i="56"/>
  <c r="U7" i="56"/>
  <c r="P40" i="50"/>
  <c r="U7" i="50"/>
  <c r="P40" i="55"/>
  <c r="U7" i="55"/>
  <c r="P40" i="53"/>
  <c r="U7" i="53"/>
  <c r="P40" i="51"/>
  <c r="U7" i="51"/>
  <c r="C7" i="51" l="1"/>
  <c r="C40" i="51" s="1"/>
  <c r="U40" i="51"/>
  <c r="C7" i="56"/>
  <c r="C40" i="56" s="1"/>
  <c r="U40" i="56"/>
  <c r="C7" i="50"/>
  <c r="C40" i="50" s="1"/>
  <c r="U40" i="50"/>
  <c r="C7" i="55"/>
  <c r="C40" i="55" s="1"/>
  <c r="U40" i="55"/>
  <c r="C7" i="53"/>
  <c r="C40" i="53" s="1"/>
  <c r="U40" i="53"/>
  <c r="C7" i="54"/>
  <c r="C40" i="54" s="1"/>
  <c r="U40" i="54"/>
  <c r="C7" i="49"/>
  <c r="C40" i="49" s="1"/>
  <c r="U40" i="49"/>
  <c r="C7" i="52"/>
  <c r="C40" i="52" s="1"/>
  <c r="U40" i="52"/>
  <c r="P8" i="48" l="1"/>
  <c r="U8" i="48" s="1"/>
  <c r="C8" i="48" s="1"/>
  <c r="P10" i="48"/>
  <c r="U10" i="48" s="1"/>
  <c r="C10" i="48" s="1"/>
  <c r="P11" i="48"/>
  <c r="U11" i="48" s="1"/>
  <c r="C11" i="48" s="1"/>
  <c r="P7" i="48"/>
  <c r="U7" i="48" l="1"/>
  <c r="P38" i="48"/>
  <c r="U38" i="48" s="1"/>
  <c r="C38" i="48" s="1"/>
  <c r="P30" i="48"/>
  <c r="U30" i="48" s="1"/>
  <c r="C30" i="48" s="1"/>
  <c r="P22" i="48"/>
  <c r="U22" i="48" s="1"/>
  <c r="C22" i="48" s="1"/>
  <c r="P14" i="48"/>
  <c r="U14" i="48" s="1"/>
  <c r="C14" i="48" s="1"/>
  <c r="P37" i="48"/>
  <c r="U37" i="48" s="1"/>
  <c r="C37" i="48" s="1"/>
  <c r="P29" i="48"/>
  <c r="U29" i="48" s="1"/>
  <c r="C29" i="48" s="1"/>
  <c r="P21" i="48"/>
  <c r="U21" i="48" s="1"/>
  <c r="C21" i="48" s="1"/>
  <c r="P36" i="48"/>
  <c r="U36" i="48" s="1"/>
  <c r="C36" i="48" s="1"/>
  <c r="P35" i="48"/>
  <c r="U35" i="48" s="1"/>
  <c r="C35" i="48" s="1"/>
  <c r="P31" i="48"/>
  <c r="U31" i="48" s="1"/>
  <c r="C31" i="48" s="1"/>
  <c r="P27" i="48"/>
  <c r="U27" i="48" s="1"/>
  <c r="C27" i="48" s="1"/>
  <c r="P23" i="48"/>
  <c r="U23" i="48" s="1"/>
  <c r="C23" i="48" s="1"/>
  <c r="P19" i="48"/>
  <c r="U19" i="48" s="1"/>
  <c r="C19" i="48" s="1"/>
  <c r="P15" i="48"/>
  <c r="U15" i="48" s="1"/>
  <c r="C15" i="48" s="1"/>
  <c r="P34" i="48"/>
  <c r="U34" i="48" s="1"/>
  <c r="C34" i="48" s="1"/>
  <c r="P26" i="48"/>
  <c r="U26" i="48" s="1"/>
  <c r="C26" i="48" s="1"/>
  <c r="P18" i="48"/>
  <c r="U18" i="48" s="1"/>
  <c r="C18" i="48" s="1"/>
  <c r="P33" i="48"/>
  <c r="U33" i="48" s="1"/>
  <c r="C33" i="48" s="1"/>
  <c r="P25" i="48"/>
  <c r="U25" i="48" s="1"/>
  <c r="C25" i="48" s="1"/>
  <c r="P17" i="48"/>
  <c r="U17" i="48" s="1"/>
  <c r="C17" i="48" s="1"/>
  <c r="P13" i="48"/>
  <c r="U13" i="48" s="1"/>
  <c r="C13" i="48" s="1"/>
  <c r="P9" i="48"/>
  <c r="U9" i="48" s="1"/>
  <c r="C9" i="48" s="1"/>
  <c r="P32" i="48"/>
  <c r="U32" i="48" s="1"/>
  <c r="C32" i="48" s="1"/>
  <c r="P28" i="48"/>
  <c r="U28" i="48" s="1"/>
  <c r="C28" i="48" s="1"/>
  <c r="P24" i="48"/>
  <c r="U24" i="48" s="1"/>
  <c r="C24" i="48" s="1"/>
  <c r="P20" i="48"/>
  <c r="U20" i="48" s="1"/>
  <c r="C20" i="48" s="1"/>
  <c r="P16" i="48"/>
  <c r="U16" i="48" s="1"/>
  <c r="C16" i="48" s="1"/>
  <c r="P12" i="48"/>
  <c r="U12" i="48" s="1"/>
  <c r="C12" i="48" s="1"/>
  <c r="C7" i="48" l="1"/>
  <c r="C40" i="48" s="1"/>
  <c r="U40" i="48"/>
  <c r="P40" i="48"/>
  <c r="P32" i="47" l="1"/>
  <c r="U32" i="47" s="1"/>
  <c r="C32" i="47" s="1"/>
  <c r="P36" i="47"/>
  <c r="U36" i="47" s="1"/>
  <c r="C36" i="47" s="1"/>
  <c r="P9" i="47"/>
  <c r="U9" i="47" s="1"/>
  <c r="C9" i="47" s="1"/>
  <c r="P13" i="47"/>
  <c r="U13" i="47" s="1"/>
  <c r="C13" i="47" s="1"/>
  <c r="P17" i="47"/>
  <c r="U17" i="47" s="1"/>
  <c r="C17" i="47" s="1"/>
  <c r="P20" i="47"/>
  <c r="U20" i="47" s="1"/>
  <c r="C20" i="47" s="1"/>
  <c r="P7" i="47"/>
  <c r="P11" i="47"/>
  <c r="U11" i="47" s="1"/>
  <c r="C11" i="47" s="1"/>
  <c r="P15" i="47"/>
  <c r="U15" i="47" s="1"/>
  <c r="C15" i="47" s="1"/>
  <c r="P22" i="47"/>
  <c r="U22" i="47" s="1"/>
  <c r="C22" i="47" s="1"/>
  <c r="P26" i="47"/>
  <c r="U26" i="47" s="1"/>
  <c r="C26" i="47" s="1"/>
  <c r="P30" i="47"/>
  <c r="U30" i="47" s="1"/>
  <c r="C30" i="47" s="1"/>
  <c r="P34" i="47"/>
  <c r="U34" i="47" s="1"/>
  <c r="C34" i="47" s="1"/>
  <c r="P38" i="47"/>
  <c r="U38" i="47" s="1"/>
  <c r="C38" i="47" s="1"/>
  <c r="P23" i="47"/>
  <c r="U23" i="47" s="1"/>
  <c r="C23" i="47" s="1"/>
  <c r="P27" i="47"/>
  <c r="U27" i="47" s="1"/>
  <c r="C27" i="47" s="1"/>
  <c r="P25" i="47"/>
  <c r="U25" i="47" s="1"/>
  <c r="C25" i="47" s="1"/>
  <c r="P8" i="47"/>
  <c r="U8" i="47" s="1"/>
  <c r="C8" i="47" s="1"/>
  <c r="P12" i="47"/>
  <c r="U12" i="47" s="1"/>
  <c r="C12" i="47" s="1"/>
  <c r="P16" i="47"/>
  <c r="U16" i="47" s="1"/>
  <c r="C16" i="47" s="1"/>
  <c r="P19" i="47"/>
  <c r="U19" i="47" s="1"/>
  <c r="C19" i="47" s="1"/>
  <c r="P31" i="47"/>
  <c r="U31" i="47" s="1"/>
  <c r="C31" i="47" s="1"/>
  <c r="P35" i="47"/>
  <c r="U35" i="47" s="1"/>
  <c r="C35" i="47" s="1"/>
  <c r="P24" i="47"/>
  <c r="U24" i="47" s="1"/>
  <c r="C24" i="47" s="1"/>
  <c r="P28" i="47"/>
  <c r="U28" i="47" s="1"/>
  <c r="C28" i="47" s="1"/>
  <c r="P10" i="47"/>
  <c r="U10" i="47" s="1"/>
  <c r="C10" i="47" s="1"/>
  <c r="P14" i="47"/>
  <c r="U14" i="47" s="1"/>
  <c r="C14" i="47" s="1"/>
  <c r="P18" i="47"/>
  <c r="U18" i="47" s="1"/>
  <c r="C18" i="47" s="1"/>
  <c r="P21" i="47"/>
  <c r="U21" i="47" s="1"/>
  <c r="C21" i="47" s="1"/>
  <c r="P29" i="47"/>
  <c r="U29" i="47" s="1"/>
  <c r="C29" i="47" s="1"/>
  <c r="P33" i="47"/>
  <c r="U33" i="47" s="1"/>
  <c r="C33" i="47" s="1"/>
  <c r="P37" i="47"/>
  <c r="U37" i="47" s="1"/>
  <c r="C37" i="47" s="1"/>
  <c r="P40" i="47" l="1"/>
  <c r="U7" i="47"/>
  <c r="C7" i="47" l="1"/>
  <c r="C40" i="47" s="1"/>
  <c r="U40" i="47"/>
  <c r="P19" i="46"/>
  <c r="P19" i="57" l="1"/>
  <c r="U19" i="57" s="1"/>
  <c r="U19" i="46"/>
  <c r="C19" i="46" s="1"/>
  <c r="P37" i="46" l="1"/>
  <c r="P33" i="46"/>
  <c r="P33" i="57" l="1"/>
  <c r="U33" i="57" s="1"/>
  <c r="U33" i="46"/>
  <c r="C33" i="46" s="1"/>
  <c r="P37" i="57"/>
  <c r="U37" i="57" s="1"/>
  <c r="U37" i="46"/>
  <c r="C37" i="46" s="1"/>
  <c r="P13" i="46" l="1"/>
  <c r="P21" i="46"/>
  <c r="P29" i="46"/>
  <c r="P10" i="46"/>
  <c r="P18" i="46"/>
  <c r="P26" i="46"/>
  <c r="P35" i="46"/>
  <c r="P31" i="46"/>
  <c r="P16" i="46"/>
  <c r="P32" i="46"/>
  <c r="P15" i="46"/>
  <c r="P27" i="46"/>
  <c r="P36" i="46"/>
  <c r="P12" i="46"/>
  <c r="P20" i="46"/>
  <c r="P28" i="46"/>
  <c r="P38" i="46"/>
  <c r="P11" i="46"/>
  <c r="P23" i="46"/>
  <c r="P8" i="46"/>
  <c r="P24" i="46"/>
  <c r="P9" i="46"/>
  <c r="P17" i="46"/>
  <c r="P25" i="46"/>
  <c r="P34" i="46"/>
  <c r="P14" i="46"/>
  <c r="P22" i="46"/>
  <c r="P30" i="46"/>
  <c r="P7" i="46"/>
  <c r="P14" i="57" l="1"/>
  <c r="U14" i="57" s="1"/>
  <c r="U14" i="46"/>
  <c r="C14" i="46" s="1"/>
  <c r="P8" i="57"/>
  <c r="U8" i="57" s="1"/>
  <c r="U8" i="46"/>
  <c r="C8" i="46" s="1"/>
  <c r="P27" i="57"/>
  <c r="U27" i="57" s="1"/>
  <c r="U27" i="46"/>
  <c r="C27" i="46" s="1"/>
  <c r="P31" i="57"/>
  <c r="U31" i="57" s="1"/>
  <c r="U31" i="46"/>
  <c r="C31" i="46" s="1"/>
  <c r="P26" i="57"/>
  <c r="U26" i="57" s="1"/>
  <c r="U26" i="46"/>
  <c r="C26" i="46" s="1"/>
  <c r="P10" i="57"/>
  <c r="U10" i="57" s="1"/>
  <c r="U10" i="46"/>
  <c r="C10" i="46" s="1"/>
  <c r="P21" i="57"/>
  <c r="U21" i="57" s="1"/>
  <c r="U21" i="46"/>
  <c r="C21" i="46" s="1"/>
  <c r="P30" i="57"/>
  <c r="U30" i="57" s="1"/>
  <c r="U30" i="46"/>
  <c r="C30" i="46" s="1"/>
  <c r="P9" i="57"/>
  <c r="U9" i="57" s="1"/>
  <c r="U9" i="46"/>
  <c r="C9" i="46" s="1"/>
  <c r="P11" i="57"/>
  <c r="U11" i="57" s="1"/>
  <c r="U11" i="46"/>
  <c r="C11" i="46" s="1"/>
  <c r="P12" i="57"/>
  <c r="U12" i="57" s="1"/>
  <c r="U12" i="46"/>
  <c r="C12" i="46" s="1"/>
  <c r="P22" i="57"/>
  <c r="U22" i="57" s="1"/>
  <c r="U22" i="46"/>
  <c r="C22" i="46" s="1"/>
  <c r="P17" i="57"/>
  <c r="U17" i="57" s="1"/>
  <c r="U17" i="46"/>
  <c r="C17" i="46" s="1"/>
  <c r="P23" i="57"/>
  <c r="U23" i="57" s="1"/>
  <c r="U23" i="46"/>
  <c r="C23" i="46" s="1"/>
  <c r="P20" i="57"/>
  <c r="U20" i="57" s="1"/>
  <c r="U20" i="46"/>
  <c r="C20" i="46" s="1"/>
  <c r="P35" i="57"/>
  <c r="U35" i="57" s="1"/>
  <c r="U35" i="46"/>
  <c r="C35" i="46" s="1"/>
  <c r="P18" i="57"/>
  <c r="U18" i="57" s="1"/>
  <c r="U18" i="46"/>
  <c r="C18" i="46" s="1"/>
  <c r="P29" i="57"/>
  <c r="U29" i="57" s="1"/>
  <c r="U29" i="46"/>
  <c r="C29" i="46" s="1"/>
  <c r="P13" i="57"/>
  <c r="U13" i="57" s="1"/>
  <c r="U13" i="46"/>
  <c r="C13" i="46" s="1"/>
  <c r="P25" i="57"/>
  <c r="U25" i="57" s="1"/>
  <c r="U25" i="46"/>
  <c r="C25" i="46" s="1"/>
  <c r="P28" i="57"/>
  <c r="U28" i="57" s="1"/>
  <c r="U28" i="46"/>
  <c r="C28" i="46" s="1"/>
  <c r="P32" i="57"/>
  <c r="U32" i="57" s="1"/>
  <c r="U32" i="46"/>
  <c r="C32" i="46" s="1"/>
  <c r="P7" i="57"/>
  <c r="P40" i="46"/>
  <c r="U7" i="46"/>
  <c r="P34" i="57"/>
  <c r="U34" i="57" s="1"/>
  <c r="U34" i="46"/>
  <c r="C34" i="46" s="1"/>
  <c r="P24" i="57"/>
  <c r="U24" i="57" s="1"/>
  <c r="U24" i="46"/>
  <c r="C24" i="46" s="1"/>
  <c r="P38" i="57"/>
  <c r="U38" i="57" s="1"/>
  <c r="U38" i="46"/>
  <c r="C38" i="46" s="1"/>
  <c r="P36" i="57"/>
  <c r="U36" i="57" s="1"/>
  <c r="U36" i="46"/>
  <c r="C36" i="46" s="1"/>
  <c r="P15" i="57"/>
  <c r="U15" i="57" s="1"/>
  <c r="U15" i="46"/>
  <c r="C15" i="46" s="1"/>
  <c r="P16" i="57"/>
  <c r="U16" i="57" s="1"/>
  <c r="U16" i="46"/>
  <c r="C16" i="46" s="1"/>
  <c r="C7" i="46" l="1"/>
  <c r="C40" i="46" s="1"/>
  <c r="U40" i="46"/>
  <c r="P40" i="57"/>
  <c r="U7" i="57"/>
  <c r="U40" i="57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<sst xmlns="http://schemas.openxmlformats.org/spreadsheetml/2006/main" count="4724" uniqueCount="206">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</sst>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362000</v>
          </cell>
          <cell r="F18">
            <v>362000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517000</v>
          </cell>
          <cell r="F20">
            <v>517000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5499500</v>
          </cell>
          <cell r="D40">
            <v>400000</v>
          </cell>
          <cell r="E40">
            <v>0</v>
          </cell>
          <cell r="F40">
            <v>5899500</v>
          </cell>
          <cell r="G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/>
          <cell r="E6"/>
          <cell r="F6">
            <v>0</v>
          </cell>
          <cell r="G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/>
          <cell r="E7"/>
          <cell r="F7">
            <v>0</v>
          </cell>
          <cell r="G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/>
          <cell r="E8"/>
          <cell r="F8">
            <v>0</v>
          </cell>
          <cell r="G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/>
          <cell r="E9"/>
          <cell r="F9">
            <v>0</v>
          </cell>
          <cell r="G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/>
          <cell r="E10"/>
          <cell r="F10">
            <v>0</v>
          </cell>
          <cell r="G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/>
          <cell r="E11"/>
          <cell r="F11">
            <v>0</v>
          </cell>
          <cell r="G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/>
          <cell r="E12"/>
          <cell r="F12">
            <v>0</v>
          </cell>
          <cell r="G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/>
          <cell r="E13"/>
          <cell r="F13">
            <v>0</v>
          </cell>
          <cell r="G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/>
          <cell r="E14"/>
          <cell r="F14">
            <v>0</v>
          </cell>
          <cell r="G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/>
          <cell r="E15"/>
          <cell r="F15">
            <v>0</v>
          </cell>
          <cell r="G15"/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/>
          <cell r="E16"/>
          <cell r="F16">
            <v>0</v>
          </cell>
          <cell r="G16"/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/>
          <cell r="E17"/>
          <cell r="F17">
            <v>0</v>
          </cell>
          <cell r="G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/>
          <cell r="E18"/>
          <cell r="F18">
            <v>0</v>
          </cell>
          <cell r="G18"/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/>
          <cell r="E19"/>
          <cell r="F19">
            <v>0</v>
          </cell>
          <cell r="G19"/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/>
          <cell r="E20"/>
          <cell r="F20">
            <v>0</v>
          </cell>
          <cell r="G20"/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/>
          <cell r="E21"/>
          <cell r="F21">
            <v>0</v>
          </cell>
          <cell r="G21"/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/>
          <cell r="E22"/>
          <cell r="F22">
            <v>0</v>
          </cell>
          <cell r="G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/>
          <cell r="E23"/>
          <cell r="F23">
            <v>0</v>
          </cell>
          <cell r="G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/>
          <cell r="E24"/>
          <cell r="F24">
            <v>0</v>
          </cell>
          <cell r="G24"/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/>
          <cell r="E25"/>
          <cell r="F25">
            <v>0</v>
          </cell>
          <cell r="G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/>
          <cell r="E26"/>
          <cell r="F26">
            <v>0</v>
          </cell>
          <cell r="G26"/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/>
          <cell r="E27"/>
          <cell r="F27">
            <v>0</v>
          </cell>
          <cell r="G27"/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/>
          <cell r="E28"/>
          <cell r="F28">
            <v>0</v>
          </cell>
          <cell r="G28"/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/>
          <cell r="E29"/>
          <cell r="F29">
            <v>0</v>
          </cell>
          <cell r="G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/>
          <cell r="E30"/>
          <cell r="F30">
            <v>0</v>
          </cell>
          <cell r="G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/>
          <cell r="E31"/>
          <cell r="F31">
            <v>0</v>
          </cell>
          <cell r="G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/>
          <cell r="E32"/>
          <cell r="F32">
            <v>0</v>
          </cell>
          <cell r="G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/>
          <cell r="E33"/>
          <cell r="F33">
            <v>0</v>
          </cell>
          <cell r="G33"/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/>
          <cell r="E34"/>
          <cell r="F34">
            <v>0</v>
          </cell>
          <cell r="G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/>
          <cell r="E35"/>
          <cell r="F35">
            <v>0</v>
          </cell>
          <cell r="G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/>
          <cell r="E36"/>
          <cell r="F36">
            <v>0</v>
          </cell>
          <cell r="G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/>
          <cell r="E37"/>
          <cell r="F37">
            <v>0</v>
          </cell>
          <cell r="G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/>
          <cell r="E38"/>
          <cell r="F38">
            <v>0</v>
          </cell>
          <cell r="G38"/>
        </row>
        <row r="39">
          <cell r="A39"/>
          <cell r="B39"/>
          <cell r="C39"/>
          <cell r="D39"/>
          <cell r="E39"/>
          <cell r="F39"/>
          <cell r="G39"/>
        </row>
        <row r="40">
          <cell r="A40"/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1185000</v>
          </cell>
          <cell r="P9">
            <v>15000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5000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70000</v>
          </cell>
          <cell r="G12">
            <v>1000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101000</v>
          </cell>
          <cell r="G14">
            <v>2000</v>
          </cell>
          <cell r="H14" t="str">
            <v>BANQUE</v>
          </cell>
          <cell r="I14">
            <v>0</v>
          </cell>
          <cell r="J14">
            <v>102000</v>
          </cell>
          <cell r="K14">
            <v>102000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5500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1160000</v>
          </cell>
          <cell r="P18">
            <v>40000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205000</v>
          </cell>
          <cell r="K11">
            <v>205000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71000</v>
          </cell>
          <cell r="K12">
            <v>71000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103000</v>
          </cell>
          <cell r="K14">
            <v>103000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205500</v>
          </cell>
          <cell r="K15">
            <v>205500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VLOOKUP(A6,[12]HISTOBQUESEPT24!$A$6:$G$46,3,0)</f>
        <v>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0</v>
      </c>
      <c r="F7" s="9">
        <f>VLOOKUP(A7,[12]HISTOBQUESEPT24!$A$6:$G$41,5,0)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VLOOKUP(A8,[12]HISTOBQUESEPT24!$A$6:$G$46,3,0)</f>
        <v>0</v>
      </c>
      <c r="E8" s="9">
        <f>VLOOKUP(A8,[12]HISTOBQUESEPT24!$A$6:$G$41,4,0)</f>
        <v>0</v>
      </c>
      <c r="F8" s="9">
        <f>VLOOKUP(A8,[12]HISTOBQUESEPT24!$A$6:$G$41,5,0)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</f>
        <v>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0</v>
      </c>
      <c r="F10" s="9">
        <f>VLOOKUP(A10,[12]HISTOBQUESEPT24!$A$6:$G$41,5,0)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</f>
        <v>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</f>
        <v>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</f>
        <v>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</f>
        <v>0</v>
      </c>
      <c r="E17" s="9">
        <f>VLOOKUP(A17,[12]HISTOBQUESEPT24!$A$6:$G$41,4,0)</f>
        <v>0</v>
      </c>
      <c r="F17" s="9">
        <f>VLOOKUP(A17,[12]HISTOBQUESEPT24!$A$6:$G$41,5,0)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</f>
        <v>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</f>
        <v>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</f>
        <v>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</f>
        <v>0</v>
      </c>
      <c r="E24" s="9">
        <f>VLOOKUP(A24,[12]HISTOBQUESEPT24!$A$6:$G$41,4,0)</f>
        <v>0</v>
      </c>
      <c r="F24" s="9">
        <f>VLOOKUP(A24,[12]HISTOBQUESEPT24!$A$6:$G$41,5,0)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</f>
        <v>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</f>
        <v>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</f>
        <v>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</f>
        <v>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VLOOKUP(A33,[12]HISTOBQUESEPT24!$A$6:$G$46,3,0)</f>
        <v>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VLOOKUP(A34,[12]HISTOBQUESEPT24!$A$6:$G$46,3,0)</f>
        <v>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VLOOKUP(A37,[12]HISTOBQUESEPT24!$A$6:$G$46,3,0)</f>
        <v>0</v>
      </c>
      <c r="E37" s="9">
        <f>VLOOKUP(A37,[12]HISTOBQUESEPT24!$A$6:$G$41,4,0)</f>
        <v>0</v>
      </c>
      <c r="F37" s="9">
        <f>VLOOKUP(A37,[12]HISTOBQUESEPT24!$A$6:$G$41,5,0)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VLOOKUP(A6,[12]HISTOBQUEOCT24!$A$6:$G$46,3,0)</f>
        <v>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VLOOKUP(A7,[12]HISTOBQUEOCT24!$A$6:$G$46,3,0)</f>
        <v>0</v>
      </c>
      <c r="E7" s="9">
        <f>VLOOKUP(A7,[12]HISTOBQUEOCT24!$A$6:$G$41,4,0)</f>
        <v>0</v>
      </c>
      <c r="F7" s="9">
        <f>VLOOKUP(A7,[12]HISTOBQUEOCT24!$A$6:$G$41,5,0)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VLOOKUP(A8,[12]HISTOBQUEOCT24!$A$6:$G$46,3,0)</f>
        <v>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VLOOKUP(A9,[12]HISTOBQUEOCT24!$A$6:$G$46,3,0)</f>
        <v>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VLOOKUP(A10,[12]HISTOBQUEOCT24!$A$6:$G$46,3,0)</f>
        <v>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VLOOKUP(A11,[12]HISTOBQUEOCT24!$A$6:$G$46,3,0)</f>
        <v>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VLOOKUP(A12,[12]HISTOBQUEOCT24!$A$6:$G$46,3,0)</f>
        <v>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VLOOKUP(A13,[12]HISTOBQUEOCT24!$A$6:$G$46,3,0)</f>
        <v>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VLOOKUP(A14,[12]HISTOBQUEOCT24!$A$6:$G$46,3,0)</f>
        <v>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VLOOKUP(A15,[12]HISTOBQUEOCT24!$A$6:$G$46,3,0)</f>
        <v>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VLOOKUP(A16,[12]HISTOBQUEOCT24!$A$6:$G$46,3,0)</f>
        <v>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VLOOKUP(A17,[12]HISTOBQUEOCT24!$A$6:$G$46,3,0)</f>
        <v>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VLOOKUP(A18,[12]HISTOBQUEOCT24!$A$6:$G$46,3,0)</f>
        <v>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VLOOKUP(A19,[12]HISTOBQUEOCT24!$A$6:$G$46,3,0)</f>
        <v>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VLOOKUP(A20,[12]HISTOBQUEOCT24!$A$6:$G$46,3,0)</f>
        <v>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VLOOKUP(A21,[12]HISTOBQUEOCT24!$A$6:$G$46,3,0)</f>
        <v>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VLOOKUP(A22,[12]HISTOBQUEOCT24!$A$6:$G$46,3,0)</f>
        <v>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VLOOKUP(A23,[12]HISTOBQUEOCT24!$A$6:$G$46,3,0)</f>
        <v>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VLOOKUP(A24,[12]HISTOBQUEOCT24!$A$6:$G$46,3,0)</f>
        <v>0</v>
      </c>
      <c r="E24" s="9">
        <f>VLOOKUP(A24,[12]HISTOBQUEOCT24!$A$6:$G$41,4,0)</f>
        <v>0</v>
      </c>
      <c r="F24" s="9">
        <f>VLOOKUP(A24,[12]HISTOBQUEOCT24!$A$6:$G$41,5,0)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VLOOKUP(A25,[12]HISTOBQUEOCT24!$A$6:$G$46,3,0)</f>
        <v>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VLOOKUP(A26,[12]HISTOBQUEOCT24!$A$6:$G$46,3,0)</f>
        <v>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VLOOKUP(A27,[12]HISTOBQUEOCT24!$A$6:$G$46,3,0)</f>
        <v>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VLOOKUP(A28,[12]HISTOBQUEOCT24!$A$6:$G$46,3,0)</f>
        <v>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VLOOKUP(A29,[12]HISTOBQUEOCT24!$A$6:$G$46,3,0)</f>
        <v>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VLOOKUP(A30,[12]HISTOBQUEOCT24!$A$6:$G$46,3,0)</f>
        <v>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VLOOKUP(A31,[12]HISTOBQUEOCT24!$A$6:$G$46,3,0)</f>
        <v>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VLOOKUP(A32,[12]HISTOBQUEOCT24!$A$6:$G$46,3,0)</f>
        <v>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VLOOKUP(A33,[12]HISTOBQUEOCT24!$A$6:$G$46,3,0)</f>
        <v>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VLOOKUP(A34,[12]HISTOBQUEOCT24!$A$6:$G$46,3,0)</f>
        <v>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VLOOKUP(A35,[12]HISTOBQUEOCT24!$A$6:$G$46,3,0)</f>
        <v>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VLOOKUP(A36,[12]HISTOBQUEOCT24!$A$6:$G$46,3,0)</f>
        <v>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VLOOKUP(A37,[12]HISTOBQUEOCT24!$A$6:$G$46,3,0)</f>
        <v>0</v>
      </c>
      <c r="E37" s="9">
        <f>VLOOKUP(A37,[12]HISTOBQUEOCT24!$A$6:$G$41,4,0)</f>
        <v>0</v>
      </c>
      <c r="F37" s="9">
        <f>VLOOKUP(A37,[12]HISTOBQUEOCT24!$A$6:$G$41,5,0)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VLOOKUP(A38,[12]HISTOBQUEOCT24!$A$6:$G$46,3,0)</f>
        <v>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VLOOKUP(A6,[12]HISTOBQUEDEC24!$A$6:$G$46,3,0)</f>
        <v>0</v>
      </c>
      <c r="E6" s="9">
        <f>VLOOKUP(A6,[12]HISTOBQUEDEC24!$A$6:$G$41,4,0)</f>
        <v>0</v>
      </c>
      <c r="F6" s="9">
        <f>VLOOKUP(A6,[12]HISTOBQUEDEC24!$A$6:$G$41,5,0)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VLOOKUP(A7,[12]HISTOBQUEDEC24!$A$6:$G$46,3,0)</f>
        <v>0</v>
      </c>
      <c r="E7" s="9">
        <f>VLOOKUP(A7,[12]HISTOBQUEDEC24!$A$6:$G$41,4,0)</f>
        <v>0</v>
      </c>
      <c r="F7" s="9">
        <f>VLOOKUP(A7,[12]HISTOBQUEDEC24!$A$6:$G$41,5,0)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VLOOKUP(A8,[12]HISTOBQUEDEC24!$A$6:$G$46,3,0)</f>
        <v>0</v>
      </c>
      <c r="E8" s="9">
        <f>VLOOKUP(A8,[12]HISTOBQUEDEC24!$A$6:$G$41,4,0)</f>
        <v>0</v>
      </c>
      <c r="F8" s="9">
        <f>VLOOKUP(A8,[12]HISTOBQUEDEC24!$A$6:$G$41,5,0)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VLOOKUP(A9,[12]HISTOBQUEDEC24!$A$6:$G$46,3,0)</f>
        <v>0</v>
      </c>
      <c r="E9" s="9">
        <f>VLOOKUP(A9,[12]HISTOBQUEDEC24!$A$6:$G$41,4,0)</f>
        <v>0</v>
      </c>
      <c r="F9" s="9">
        <f>VLOOKUP(A9,[12]HISTOBQUEDEC24!$A$6:$G$41,5,0)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VLOOKUP(A10,[12]HISTOBQUEDEC24!$A$6:$G$46,3,0)</f>
        <v>0</v>
      </c>
      <c r="E10" s="9">
        <f>VLOOKUP(A10,[12]HISTOBQUEDEC24!$A$6:$G$41,4,0)</f>
        <v>0</v>
      </c>
      <c r="F10" s="9">
        <f>VLOOKUP(A10,[12]HISTOBQUEDEC24!$A$6:$G$41,5,0)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VLOOKUP(A11,[12]HISTOBQUEDEC24!$A$6:$G$46,3,0)</f>
        <v>0</v>
      </c>
      <c r="E11" s="9">
        <f>VLOOKUP(A11,[12]HISTOBQUEDEC24!$A$6:$G$41,4,0)</f>
        <v>0</v>
      </c>
      <c r="F11" s="9">
        <f>VLOOKUP(A11,[12]HISTOBQUEDEC24!$A$6:$G$41,5,0)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VLOOKUP(A12,[12]HISTOBQUEDEC24!$A$6:$G$46,3,0)</f>
        <v>0</v>
      </c>
      <c r="E12" s="9">
        <f>VLOOKUP(A12,[12]HISTOBQUEDEC24!$A$6:$G$41,4,0)</f>
        <v>0</v>
      </c>
      <c r="F12" s="9">
        <f>VLOOKUP(A12,[12]HISTOBQUEDEC24!$A$6:$G$41,5,0)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VLOOKUP(A13,[12]HISTOBQUEDEC24!$A$6:$G$46,3,0)</f>
        <v>0</v>
      </c>
      <c r="E13" s="9">
        <f>VLOOKUP(A13,[12]HISTOBQUEDEC24!$A$6:$G$41,4,0)</f>
        <v>0</v>
      </c>
      <c r="F13" s="9">
        <f>VLOOKUP(A13,[12]HISTOBQUEDEC24!$A$6:$G$41,5,0)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VLOOKUP(A14,[12]HISTOBQUEDEC24!$A$6:$G$46,3,0)</f>
        <v>0</v>
      </c>
      <c r="E14" s="9">
        <f>VLOOKUP(A14,[12]HISTOBQUEDEC24!$A$6:$G$41,4,0)</f>
        <v>0</v>
      </c>
      <c r="F14" s="9">
        <f>VLOOKUP(A14,[12]HISTOBQUEDEC24!$A$6:$G$41,5,0)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VLOOKUP(A15,[12]HISTOBQUEDEC24!$A$6:$G$46,3,0)</f>
        <v>0</v>
      </c>
      <c r="E15" s="9">
        <f>VLOOKUP(A15,[12]HISTOBQUEDEC24!$A$6:$G$41,4,0)</f>
        <v>0</v>
      </c>
      <c r="F15" s="9">
        <f>VLOOKUP(A15,[12]HISTOBQUEDEC24!$A$6:$G$41,5,0)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VLOOKUP(A16,[12]HISTOBQUEDEC24!$A$6:$G$46,3,0)</f>
        <v>0</v>
      </c>
      <c r="E16" s="9">
        <f>VLOOKUP(A16,[12]HISTOBQUEDEC24!$A$6:$G$41,4,0)</f>
        <v>0</v>
      </c>
      <c r="F16" s="9">
        <f>VLOOKUP(A16,[12]HISTOBQUEDEC24!$A$6:$G$41,5,0)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VLOOKUP(A17,[12]HISTOBQUEDEC24!$A$6:$G$46,3,0)</f>
        <v>0</v>
      </c>
      <c r="E17" s="9">
        <f>VLOOKUP(A17,[12]HISTOBQUEDEC24!$A$6:$G$41,4,0)</f>
        <v>0</v>
      </c>
      <c r="F17" s="9">
        <f>VLOOKUP(A17,[12]HISTOBQUEDEC24!$A$6:$G$41,5,0)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VLOOKUP(A18,[12]HISTOBQUEDEC24!$A$6:$G$46,3,0)</f>
        <v>0</v>
      </c>
      <c r="E18" s="9">
        <f>VLOOKUP(A18,[12]HISTOBQUEDEC24!$A$6:$G$41,4,0)</f>
        <v>0</v>
      </c>
      <c r="F18" s="9">
        <f>VLOOKUP(A18,[12]HISTOBQUEDEC24!$A$6:$G$41,5,0)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VLOOKUP(A19,[12]HISTOBQUEDEC24!$A$6:$G$46,3,0)</f>
        <v>0</v>
      </c>
      <c r="E19" s="9">
        <f>VLOOKUP(A19,[12]HISTOBQUEDEC24!$A$6:$G$41,4,0)</f>
        <v>0</v>
      </c>
      <c r="F19" s="9">
        <f>VLOOKUP(A19,[12]HISTOBQUEDEC24!$A$6:$G$41,5,0)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VLOOKUP(A20,[12]HISTOBQUEDEC24!$A$6:$G$46,3,0)</f>
        <v>0</v>
      </c>
      <c r="E20" s="9">
        <f>VLOOKUP(A20,[12]HISTOBQUEDEC24!$A$6:$G$41,4,0)</f>
        <v>0</v>
      </c>
      <c r="F20" s="9">
        <f>VLOOKUP(A20,[12]HISTOBQUEDEC24!$A$6:$G$41,5,0)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VLOOKUP(A21,[12]HISTOBQUEDEC24!$A$6:$G$46,3,0)</f>
        <v>0</v>
      </c>
      <c r="E21" s="9">
        <f>VLOOKUP(A21,[12]HISTOBQUEDEC24!$A$6:$G$41,4,0)</f>
        <v>0</v>
      </c>
      <c r="F21" s="9">
        <f>VLOOKUP(A21,[12]HISTOBQUEDEC24!$A$6:$G$41,5,0)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VLOOKUP(A22,[12]HISTOBQUEDEC24!$A$6:$G$46,3,0)</f>
        <v>0</v>
      </c>
      <c r="E22" s="9">
        <f>VLOOKUP(A22,[12]HISTOBQUEDEC24!$A$6:$G$41,4,0)</f>
        <v>0</v>
      </c>
      <c r="F22" s="9">
        <f>VLOOKUP(A22,[12]HISTOBQUEDEC24!$A$6:$G$41,5,0)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VLOOKUP(A23,[12]HISTOBQUEDEC24!$A$6:$G$46,3,0)</f>
        <v>0</v>
      </c>
      <c r="E23" s="9">
        <f>VLOOKUP(A23,[12]HISTOBQUEDEC24!$A$6:$G$41,4,0)</f>
        <v>0</v>
      </c>
      <c r="F23" s="9">
        <f>VLOOKUP(A23,[12]HISTOBQUEDEC24!$A$6:$G$41,5,0)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VLOOKUP(A24,[12]HISTOBQUEDEC24!$A$6:$G$46,3,0)</f>
        <v>0</v>
      </c>
      <c r="E24" s="9">
        <f>VLOOKUP(A24,[12]HISTOBQUEDEC24!$A$6:$G$41,4,0)</f>
        <v>0</v>
      </c>
      <c r="F24" s="9">
        <f>VLOOKUP(A24,[12]HISTOBQUEDEC24!$A$6:$G$41,5,0)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VLOOKUP(A25,[12]HISTOBQUEDEC24!$A$6:$G$46,3,0)</f>
        <v>0</v>
      </c>
      <c r="E25" s="9">
        <f>VLOOKUP(A25,[12]HISTOBQUEDEC24!$A$6:$G$41,4,0)</f>
        <v>0</v>
      </c>
      <c r="F25" s="9">
        <f>VLOOKUP(A25,[12]HISTOBQUEDEC24!$A$6:$G$41,5,0)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VLOOKUP(A26,[12]HISTOBQUEDEC24!$A$6:$G$46,3,0)</f>
        <v>0</v>
      </c>
      <c r="E26" s="9">
        <f>VLOOKUP(A26,[12]HISTOBQUEDEC24!$A$6:$G$41,4,0)</f>
        <v>0</v>
      </c>
      <c r="F26" s="9">
        <f>VLOOKUP(A26,[12]HISTOBQUEDEC24!$A$6:$G$41,5,0)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VLOOKUP(A27,[12]HISTOBQUEDEC24!$A$6:$G$46,3,0)</f>
        <v>0</v>
      </c>
      <c r="E27" s="9">
        <f>VLOOKUP(A27,[12]HISTOBQUEDEC24!$A$6:$G$41,4,0)</f>
        <v>0</v>
      </c>
      <c r="F27" s="9">
        <f>VLOOKUP(A27,[12]HISTOBQUEDEC24!$A$6:$G$41,5,0)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VLOOKUP(A28,[12]HISTOBQUEDEC24!$A$6:$G$46,3,0)</f>
        <v>0</v>
      </c>
      <c r="E28" s="9">
        <f>VLOOKUP(A28,[12]HISTOBQUEDEC24!$A$6:$G$41,4,0)</f>
        <v>0</v>
      </c>
      <c r="F28" s="9">
        <f>VLOOKUP(A28,[12]HISTOBQUEDEC24!$A$6:$G$41,5,0)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VLOOKUP(A29,[12]HISTOBQUEDEC24!$A$6:$G$46,3,0)</f>
        <v>0</v>
      </c>
      <c r="E29" s="9">
        <f>VLOOKUP(A29,[12]HISTOBQUEDEC24!$A$6:$G$41,4,0)</f>
        <v>0</v>
      </c>
      <c r="F29" s="9">
        <f>VLOOKUP(A29,[12]HISTOBQUEDEC24!$A$6:$G$41,5,0)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VLOOKUP(A30,[12]HISTOBQUEDEC24!$A$6:$G$46,3,0)</f>
        <v>0</v>
      </c>
      <c r="E30" s="9">
        <f>VLOOKUP(A30,[12]HISTOBQUEDEC24!$A$6:$G$41,4,0)</f>
        <v>0</v>
      </c>
      <c r="F30" s="9">
        <f>VLOOKUP(A30,[12]HISTOBQUEDEC24!$A$6:$G$41,5,0)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VLOOKUP(A31,[12]HISTOBQUEDEC24!$A$6:$G$46,3,0)</f>
        <v>0</v>
      </c>
      <c r="E31" s="9">
        <f>VLOOKUP(A31,[12]HISTOBQUEDEC24!$A$6:$G$41,4,0)</f>
        <v>0</v>
      </c>
      <c r="F31" s="9">
        <f>VLOOKUP(A31,[12]HISTOBQUEDEC24!$A$6:$G$41,5,0)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VLOOKUP(A32,[12]HISTOBQUEDEC24!$A$6:$G$46,3,0)</f>
        <v>0</v>
      </c>
      <c r="E32" s="9">
        <f>VLOOKUP(A32,[12]HISTOBQUEDEC24!$A$6:$G$41,4,0)</f>
        <v>0</v>
      </c>
      <c r="F32" s="9">
        <f>VLOOKUP(A32,[12]HISTOBQUEDEC24!$A$6:$G$41,5,0)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VLOOKUP(A33,[12]HISTOBQUEDEC24!$A$6:$G$46,3,0)</f>
        <v>0</v>
      </c>
      <c r="E33" s="9">
        <f>VLOOKUP(A33,[12]HISTOBQUEDEC24!$A$6:$G$41,4,0)</f>
        <v>0</v>
      </c>
      <c r="F33" s="9">
        <f>VLOOKUP(A33,[12]HISTOBQUEDEC24!$A$6:$G$41,5,0)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VLOOKUP(A34,[12]HISTOBQUEDEC24!$A$6:$G$46,3,0)</f>
        <v>0</v>
      </c>
      <c r="E34" s="9">
        <f>VLOOKUP(A34,[12]HISTOBQUEDEC24!$A$6:$G$41,4,0)</f>
        <v>0</v>
      </c>
      <c r="F34" s="9">
        <f>VLOOKUP(A34,[12]HISTOBQUEDEC24!$A$6:$G$41,5,0)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VLOOKUP(A35,[12]HISTOBQUEDEC24!$A$6:$G$46,3,0)</f>
        <v>0</v>
      </c>
      <c r="E35" s="9">
        <f>VLOOKUP(A35,[12]HISTOBQUEDEC24!$A$6:$G$41,4,0)</f>
        <v>0</v>
      </c>
      <c r="F35" s="9">
        <f>VLOOKUP(A35,[12]HISTOBQUEDEC24!$A$6:$G$41,5,0)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VLOOKUP(A36,[12]HISTOBQUEDEC24!$A$6:$G$46,3,0)</f>
        <v>0</v>
      </c>
      <c r="E36" s="9">
        <f>VLOOKUP(A36,[12]HISTOBQUEDEC24!$A$6:$G$41,4,0)</f>
        <v>0</v>
      </c>
      <c r="F36" s="9">
        <f>VLOOKUP(A36,[12]HISTOBQUEDEC24!$A$6:$G$41,5,0)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VLOOKUP(A37,[12]HISTOBQUEDEC24!$A$6:$G$46,3,0)</f>
        <v>0</v>
      </c>
      <c r="E37" s="9">
        <f>VLOOKUP(A37,[12]HISTOBQUEDEC24!$A$6:$G$41,4,0)</f>
        <v>0</v>
      </c>
      <c r="F37" s="9">
        <f>VLOOKUP(A37,[12]HISTOBQUEDEC24!$A$6:$G$41,5,0)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VLOOKUP(A38,[12]HISTOBQUEDEC24!$A$6:$G$46,3,0)</f>
        <v>0</v>
      </c>
      <c r="E38" s="9">
        <f>VLOOKUP(A38,[12]HISTOBQUEDEC24!$A$6:$G$41,4,0)</f>
        <v>0</v>
      </c>
      <c r="F38" s="9">
        <f>VLOOKUP(A38,[12]HISTOBQUEDEC24!$A$6:$G$41,5,0)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13" sqref="C1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700000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111000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3000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1205000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595000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206000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429000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201500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4500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1073500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1172500</v>
      </c>
      <c r="BA10" s="9">
        <f>HISTOJANV24!BA10+HISTOFEV24!BA10+HISTOMARS24!BA10+HISTOAVRIL24!BA10+HISTOMAI24!BA10+HISTOJUIN24!BA10+HISTOJUIL24!BA10+HISTOAOUT24!BA10+HISTOSEPT24!BA10+HISTOOCT24!BA10+HISTONOV24!BA10+HISTODEC24!BA10</f>
        <v>139000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1033500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715000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408000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1627000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400000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8000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1284000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1629000</v>
      </c>
      <c r="BA11" s="9">
        <f>HISTOJANV24!BA11+HISTOFEV24!BA11+HISTOMARS24!BA11+HISTOAVRIL24!BA11+HISTOMAI24!BA11+HISTOJUIN24!BA11+HISTOJUIL24!BA11+HISTOAOUT24!BA11+HISTOSEPT24!BA11+HISTOOCT24!BA11+HISTONOV24!BA11+HISTODEC24!BA11</f>
        <v>568000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1452000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200000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150000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290000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290000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1040000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1185000</v>
      </c>
      <c r="AZ16" s="9">
        <f>HISTOJANV24!AZ16+HISTOFEV24!AZ16+HISTOMARS24!AZ16+HISTOAVRIL24!AZ16+HISTOMAI24!AZ16+HISTOJUIN24!AZ16+HISTOJUIL24!AZ16+HISTOAOUT24!AZ16+HISTOSEPT24!AZ16+HISTOOCT24!AZ16+HISTONOV24!AZ16+HISTODEC24!AZ16</f>
        <v>1473000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1473000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701000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832000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407000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587000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400000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7000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1560000</v>
      </c>
      <c r="AZ18" s="9">
        <f>HISTOJANV24!AZ18+HISTOFEV24!AZ18+HISTOMARS24!AZ18+HISTOAVRIL24!AZ18+HISTOMAI24!AZ18+HISTOJUIN24!AZ18+HISTOJUIL24!AZ18+HISTOAOUT24!AZ18+HISTOSEPT24!AZ18+HISTOOCT24!AZ18+HISTONOV24!AZ18+HISTODEC24!AZ18</f>
        <v>1847000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1847000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200000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1394000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192500</v>
      </c>
      <c r="R20" s="9">
        <f>HISTOJANV24!R20+HISTOFEV24!R20+HISTOMARS24!R20+HISTOAVRIL24!R20+HISTOMAI24!R20+HISTOJUIN24!R20+HISTOJUIL24!R20+HISTOAOUT24!R20+HISTOSEPT24!R20+HISTOOCT24!R20+HISTONOV24!R20+HISTODEC24!R20</f>
        <v>475000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891500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189000</v>
      </c>
      <c r="AK20" s="9">
        <f>HISTOJANV24!AK20+HISTOFEV24!AK20+HISTOMARS24!AK20+HISTOAVRIL24!AK20+HISTOMAI24!AK20+HISTOJUIN24!AK20+HISTOJUIL24!AK20+HISTOAOUT24!AK20+HISTOSEPT24!AK20+HISTOOCT24!AK20+HISTONOV24!AK20+HISTODEC24!AK20</f>
        <v>470000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3500</v>
      </c>
      <c r="AN20" s="9">
        <f>HISTOJANV24!AN20+HISTOFEV24!AN20+HISTOMARS24!AN20+HISTOAVRIL24!AN20+HISTOMAI24!AN20+HISTOJUIN24!AN20+HISTOJUIL24!AN20+HISTOAOUT24!AN20+HISTOSEPT24!AN20+HISTOOCT24!AN20+HISTONOV24!AN20+HISTODEC24!AN20</f>
        <v>5000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1073000</v>
      </c>
      <c r="AY20" s="9">
        <f>HISTOJANV24!AY20+HISTOFEV24!AY20+HISTOMARS24!AY20+HISTOAVRIL24!AY20+HISTOMAI24!AY20+HISTOJUIN24!AY20+HISTOJUIL24!AY20+HISTOAOUT24!AY20+HISTOSEPT24!AY20+HISTOOCT24!AY20+HISTONOV24!AY20+HISTODEC24!AY20</f>
        <v>1555000</v>
      </c>
      <c r="AZ20" s="9">
        <f>HISTOJANV24!AZ20+HISTOFEV24!AZ20+HISTOMARS24!AZ20+HISTOAVRIL24!AZ20+HISTOMAI24!AZ20+HISTOJUIN24!AZ20+HISTOJUIL24!AZ20+HISTOAOUT24!AZ20+HISTOSEPT24!AZ20+HISTOOCT24!AZ20+HISTONOV24!AZ20+HISTODEC24!AZ20</f>
        <v>2628000</v>
      </c>
      <c r="BA20" s="9">
        <f>HISTOJANV24!BA20+HISTOFEV24!BA20+HISTOMARS24!BA20+HISTOAVRIL24!BA20+HISTOMAI24!BA20+HISTOJUIN24!BA20+HISTOJUIL24!BA20+HISTOAOUT24!BA20+HISTOSEPT24!BA20+HISTOOCT24!BA20+HISTONOV24!BA20+HISTODEC24!BA20</f>
        <v>425500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2202500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200000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1242000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3000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205000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463000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201000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4000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201000</v>
      </c>
      <c r="AZ24" s="9">
        <f>HISTOJANV24!AZ24+HISTOFEV24!AZ24+HISTOMARS24!AZ24+HISTOAVRIL24!AZ24+HISTOMAI24!AZ24+HISTOJUIN24!AZ24+HISTOJUIL24!AZ24+HISTOAOUT24!AZ24+HISTOSEPT24!AZ24+HISTOOCT24!AZ24+HISTONOV24!AZ24+HISTODEC24!AZ24</f>
        <v>201000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201000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1700000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509000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885000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500000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9000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289000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1575000</v>
      </c>
      <c r="AZ25" s="9">
        <f>HISTOJANV24!AZ25+HISTOFEV24!AZ25+HISTOMARS24!AZ25+HISTOAVRIL24!AZ25+HISTOMAI24!AZ25+HISTOJUIN24!AZ25+HISTOJUIL24!AZ25+HISTOAOUT24!AZ25+HISTOSEPT24!AZ25+HISTOOCT24!AZ25+HISTONOV24!AZ25+HISTODEC24!AZ25</f>
        <v>2699000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2599000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150000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200000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744500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1000000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850000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2160000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2130000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101000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226000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100000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992500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2222000</v>
      </c>
      <c r="BA32" s="9">
        <f>HISTOJANV24!BA32+HISTOFEV24!BA32+HISTOMARS24!BA32+HISTOAVRIL24!BA32+HISTOMAI24!BA32+HISTOJUIN24!BA32+HISTOJUIL24!BA32+HISTOAOUT24!BA32+HISTOSEPT24!BA32+HISTOOCT24!BA32+HISTONOV24!BA32+HISTODEC24!BA32</f>
        <v>20000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2202000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1150000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240000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103000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3000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53000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300000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21105500</v>
      </c>
      <c r="E40" s="5">
        <f t="shared" si="7"/>
        <v>1204500</v>
      </c>
      <c r="F40" s="5">
        <f t="shared" si="7"/>
        <v>1500000</v>
      </c>
      <c r="G40" s="5">
        <f t="shared" si="7"/>
        <v>24000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907500</v>
      </c>
      <c r="R40" s="5">
        <f t="shared" si="7"/>
        <v>2238500</v>
      </c>
      <c r="S40" s="5">
        <f t="shared" si="7"/>
        <v>1750000</v>
      </c>
      <c r="T40" s="5"/>
      <c r="U40" s="5">
        <f t="shared" ref="U40:AA40" si="8">SUM(U6:U39)</f>
        <v>11102000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147500</v>
      </c>
      <c r="AD40" s="5">
        <f>SUM(AD6:AD39)</f>
        <v>192500</v>
      </c>
      <c r="AE40" s="5">
        <f>SUM(AE6:AE39)</f>
        <v>555000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890500</v>
      </c>
      <c r="AK40" s="5">
        <f t="shared" si="9"/>
        <v>2207500</v>
      </c>
      <c r="AL40" s="5">
        <f t="shared" si="9"/>
        <v>9500</v>
      </c>
      <c r="AM40" s="5">
        <f t="shared" si="9"/>
        <v>17000</v>
      </c>
      <c r="AN40" s="5">
        <f t="shared" si="9"/>
        <v>31000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3483500</v>
      </c>
      <c r="AX40" s="5">
        <f t="shared" si="9"/>
        <v>6098000</v>
      </c>
      <c r="AY40" s="5">
        <f t="shared" si="9"/>
        <v>11252500</v>
      </c>
      <c r="AZ40" s="5">
        <f t="shared" si="9"/>
        <v>24448500</v>
      </c>
      <c r="BA40" s="5">
        <f t="shared" si="9"/>
        <v>2331200</v>
      </c>
      <c r="BB40" s="5">
        <f t="shared" si="9"/>
        <v>0</v>
      </c>
      <c r="BC40" s="5">
        <f t="shared" si="9"/>
        <v>0</v>
      </c>
      <c r="BD40" s="5">
        <f t="shared" si="9"/>
        <v>22022300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24448500</v>
      </c>
      <c r="D47" s="9">
        <f>SUMIFS(D8:D40,H8:H40,"BANQUE")</f>
        <v>0</v>
      </c>
      <c r="F47" s="9">
        <f>E40</f>
        <v>1204500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47451000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2024-04-22T09:01:07Z</dcterms:modified>
</cp:coreProperties>
</file>