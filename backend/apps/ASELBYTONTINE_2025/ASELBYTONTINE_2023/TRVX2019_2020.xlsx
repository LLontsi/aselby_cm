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0" yWindow="0" windowWidth="20490" windowHeight="7020"/>
  </bookViews>
  <sheets>
    <sheet name="MVTRESUMETAB2019" sheetId="1" r:id="rId1"/>
    <sheet name="MVTRESUME20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1" hidden="1">MVTRESUME20!$A$5:$Q$39</definedName>
    <definedName name="_xlnm._FilterDatabase" localSheetId="0" hidden="1">MVTRESUMETAB2019!$A$1:$Q$44</definedName>
    <definedName name="BANQUE" localSheetId="1">#REF!</definedName>
    <definedName name="BANQUE" localSheetId="0">#REF!</definedName>
    <definedName name="MODEET30000">[1]MODEVERSEMENT!$A$1:$A$3</definedName>
    <definedName name="MODEPAID">[2]Feuil2!$A$1:$A$3</definedName>
    <definedName name="MODEPAID30000" localSheetId="1">MVTRESUME20!#REF!</definedName>
    <definedName name="MODEPAIDOK">[3]MODEVERSEMENT!$A$1:$A$4</definedName>
    <definedName name="MODEPAIDS">[1]MODEVERSEMENT!$A$1:$A$3</definedName>
    <definedName name="MODET25000">[4]MODEVERSEMENT!$A$1:$A$3</definedName>
    <definedName name="MODET3000">[1]MODEVERSEMENT!$A$1:$A$3</definedName>
    <definedName name="MODET30000" localSheetId="1">MVTRESUME20!#REF!</definedName>
    <definedName name="MODEVERSEMENT" localSheetId="1">#REF!</definedName>
    <definedName name="MODEVERSEMENT" localSheetId="0">#REF!</definedName>
    <definedName name="MODEVERSEMENTS">[5]MODEVERSEMENT!$A$1:$A$3</definedName>
    <definedName name="MODPAID" localSheetId="1">MVTRESUME20!#REF!</definedName>
    <definedName name="MODPAID" localSheetId="0">MVTRESUMETAB2019!#REF!</definedName>
    <definedName name="VALMODEPAID">[6]MODEPAID!$A$1:$A$3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5" i="1" l="1"/>
  <c r="J45" i="1"/>
  <c r="N45" i="1"/>
  <c r="R45" i="1"/>
  <c r="V45" i="1"/>
  <c r="C45" i="1"/>
  <c r="K45" i="1"/>
  <c r="O45" i="1"/>
  <c r="S45" i="1"/>
  <c r="W45" i="1"/>
  <c r="E45" i="1"/>
  <c r="I45" i="1"/>
  <c r="M45" i="1"/>
  <c r="Q45" i="1"/>
  <c r="U45" i="1"/>
  <c r="D45" i="1"/>
  <c r="H45" i="1"/>
  <c r="L45" i="1"/>
  <c r="P45" i="1"/>
  <c r="T45" i="1"/>
  <c r="Y45" i="1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O44" i="2"/>
  <c r="M44" i="2"/>
  <c r="K44" i="2"/>
  <c r="I44" i="2"/>
  <c r="G44" i="2"/>
  <c r="E44" i="2"/>
  <c r="B7" i="2"/>
  <c r="S44" i="2"/>
  <c r="R44" i="2"/>
  <c r="Q44" i="2"/>
  <c r="N44" i="2"/>
  <c r="L44" i="2"/>
  <c r="J44" i="2"/>
  <c r="H44" i="2"/>
  <c r="F44" i="2"/>
  <c r="D44" i="2"/>
  <c r="B6" i="2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G45" i="1" l="1"/>
</calcChain>
</file>

<file path=xl/comments1.xml><?xml version="1.0" encoding="utf-8"?>
<comments xmlns="http://schemas.openxmlformats.org/spreadsheetml/2006/main">
  <authors>
    <author>DJUOMBESSY</author>
  </authors>
  <commentList>
    <comment ref="G3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 1 000 000</t>
        </r>
      </text>
    </comment>
  </commentList>
</comments>
</file>

<file path=xl/sharedStrings.xml><?xml version="1.0" encoding="utf-8"?>
<sst xmlns="http://schemas.openxmlformats.org/spreadsheetml/2006/main" count="153" uniqueCount="97">
  <si>
    <t>MATRICULE</t>
  </si>
  <si>
    <t>NOM_ET_PRENOM</t>
  </si>
  <si>
    <t>FONDSCAISSE</t>
  </si>
  <si>
    <t>INTERET</t>
  </si>
  <si>
    <t>RELIQUAT</t>
  </si>
  <si>
    <t>SANCTION</t>
  </si>
  <si>
    <t>EPARGNE</t>
  </si>
  <si>
    <t>FONDS DE ROULEMENT</t>
  </si>
  <si>
    <t>FRAIS EXCEPTIONNEL</t>
  </si>
  <si>
    <t>COLLATION</t>
  </si>
  <si>
    <t>PENALITE VST ESPECES</t>
  </si>
  <si>
    <t>INSCRIPTION</t>
  </si>
  <si>
    <t>MUTUELLE</t>
  </si>
  <si>
    <t>PRÊT_FONDS</t>
  </si>
  <si>
    <t>INTERETPRET FONDS</t>
  </si>
  <si>
    <t>REMBOURSEMENTPRET FONDS</t>
  </si>
  <si>
    <t>PENALITE_PRÊT</t>
  </si>
  <si>
    <t>PENALITE FONDS</t>
  </si>
  <si>
    <t>PRÊT_FONDS_ENCOURS</t>
  </si>
  <si>
    <t>MONTANT EPARGNE+INTERET</t>
  </si>
  <si>
    <t>AVANCE</t>
  </si>
  <si>
    <t>MONTANT_MUTUELLE</t>
  </si>
  <si>
    <t>DETTE LANGWE</t>
  </si>
  <si>
    <t>NET_ A_ PAYER</t>
  </si>
  <si>
    <t>AVALISTE</t>
  </si>
  <si>
    <t>AS201648</t>
  </si>
  <si>
    <t>AS201601</t>
  </si>
  <si>
    <t>DJUOMBESSY ANTOINE</t>
  </si>
  <si>
    <t>AS201602</t>
  </si>
  <si>
    <t>AS201603</t>
  </si>
  <si>
    <t xml:space="preserve">FONDS DE CAISSES </t>
  </si>
  <si>
    <t>AS201650</t>
  </si>
  <si>
    <t>AS201604</t>
  </si>
  <si>
    <t>KOUAMO VICTOR PEGUY</t>
  </si>
  <si>
    <t>AS201605</t>
  </si>
  <si>
    <t>KOUATCHO MESSACK</t>
  </si>
  <si>
    <t>AS201608</t>
  </si>
  <si>
    <t>HOTCHO BENJAMIN</t>
  </si>
  <si>
    <t>AS201651</t>
  </si>
  <si>
    <t>AS201609</t>
  </si>
  <si>
    <t>AS201610</t>
  </si>
  <si>
    <t>AS201611</t>
  </si>
  <si>
    <t>AS201613</t>
  </si>
  <si>
    <t>AS201615</t>
  </si>
  <si>
    <t>AS201618</t>
  </si>
  <si>
    <t xml:space="preserve">DJOMO JEAN PAUL </t>
  </si>
  <si>
    <t>AS201616</t>
  </si>
  <si>
    <t>NJEPDJIO MBOUKAM DELUXE</t>
  </si>
  <si>
    <t>AS201617</t>
  </si>
  <si>
    <t>NGUIEMEGNI MATHIEU BLAISE</t>
  </si>
  <si>
    <t>AS201619</t>
  </si>
  <si>
    <t>NKEPSEU DIEUDONNE</t>
  </si>
  <si>
    <t>AS201620</t>
  </si>
  <si>
    <t>AS201649</t>
  </si>
  <si>
    <t>AS201639</t>
  </si>
  <si>
    <t>AS201621</t>
  </si>
  <si>
    <t>AS201622</t>
  </si>
  <si>
    <t>AS201652</t>
  </si>
  <si>
    <t>AS201624</t>
  </si>
  <si>
    <t>AS201625</t>
  </si>
  <si>
    <t>AS201626</t>
  </si>
  <si>
    <t>NANGUEN MARTIN</t>
  </si>
  <si>
    <t>AS201627</t>
  </si>
  <si>
    <t>AS201628</t>
  </si>
  <si>
    <t>MBOGNING TUGMA GUY</t>
  </si>
  <si>
    <t>AS201614</t>
  </si>
  <si>
    <t>AS201629</t>
  </si>
  <si>
    <t>NDJOMO ETIENNE</t>
  </si>
  <si>
    <t>AS201633</t>
  </si>
  <si>
    <t>AS201634</t>
  </si>
  <si>
    <t>AS201653</t>
  </si>
  <si>
    <t>AS201636</t>
  </si>
  <si>
    <t>FOTSO THOMAS</t>
  </si>
  <si>
    <t>AS201637</t>
  </si>
  <si>
    <t>AS201638</t>
  </si>
  <si>
    <t>AS201641</t>
  </si>
  <si>
    <t>AS201642</t>
  </si>
  <si>
    <t>AS201643</t>
  </si>
  <si>
    <t>AS201644</t>
  </si>
  <si>
    <t>AS201646</t>
  </si>
  <si>
    <t>NKAMGANG JUSTIN DEJOLIE</t>
  </si>
  <si>
    <t>AS201647</t>
  </si>
  <si>
    <t>TOTAL</t>
  </si>
  <si>
    <t>ASSOCIATION</t>
  </si>
  <si>
    <t>ASELBY</t>
  </si>
  <si>
    <t>ANNEE</t>
  </si>
  <si>
    <t>2019/2020</t>
  </si>
  <si>
    <t xml:space="preserve">TONTINE </t>
  </si>
  <si>
    <t>RECAPITULATIF 2020</t>
  </si>
  <si>
    <t>NOM ET PRENOM</t>
  </si>
  <si>
    <t>REPARTITION INTERET</t>
  </si>
  <si>
    <t>RESTE</t>
  </si>
  <si>
    <t>INSCRISPTION</t>
  </si>
  <si>
    <t>PRÊT FONDS</t>
  </si>
  <si>
    <t>NUMERO CHEQUE</t>
  </si>
  <si>
    <t>PENALITE PRET FONDS</t>
  </si>
  <si>
    <t>AS201654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</si>
</sst>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C]d\-mmm\-yy;@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b/>
      <sz val="10"/>
      <color rgb="FF000000"/>
      <name val="Arial Black"/>
      <family val="2"/>
    </font>
    <font>
      <sz val="11"/>
      <color rgb="FFFF0000"/>
      <name val="Britannic Bold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sz val="11"/>
      <color theme="1"/>
      <name val="Castella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3" fontId="3" fillId="0" borderId="0" xfId="0" applyNumberFormat="1" applyFont="1" applyAlignment="1">
      <alignment wrapText="1"/>
    </xf>
    <xf numFmtId="3" fontId="3" fillId="0" borderId="0" xfId="0" applyNumberFormat="1" applyFont="1"/>
    <xf numFmtId="0" fontId="5" fillId="0" borderId="0" xfId="0" applyFont="1"/>
    <xf numFmtId="0" fontId="6" fillId="0" borderId="0" xfId="0" applyFont="1"/>
    <xf numFmtId="0" fontId="1" fillId="0" borderId="0" xfId="0" applyFont="1"/>
    <xf numFmtId="3" fontId="7" fillId="0" borderId="0" xfId="0" applyNumberFormat="1" applyFont="1"/>
    <xf numFmtId="0" fontId="2" fillId="0" borderId="0" xfId="0" applyFont="1"/>
    <xf numFmtId="3" fontId="0" fillId="0" borderId="0" xfId="0" applyNumberFormat="1"/>
    <xf numFmtId="0" fontId="7" fillId="0" borderId="0" xfId="0" applyFont="1"/>
    <xf numFmtId="3" fontId="8" fillId="0" borderId="0" xfId="0" applyNumberFormat="1" applyFont="1"/>
    <xf numFmtId="0" fontId="0" fillId="0" borderId="0" xfId="0" applyAlignment="1">
      <alignment horizontal="center"/>
    </xf>
    <xf numFmtId="17" fontId="8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3" fillId="0" borderId="0" xfId="0" applyFont="1" applyBorder="1"/>
    <xf numFmtId="3" fontId="12" fillId="0" borderId="0" xfId="0" applyNumberFormat="1" applyFont="1"/>
    <xf numFmtId="1" fontId="3" fillId="0" borderId="0" xfId="0" applyNumberFormat="1" applyFont="1"/>
    <xf numFmtId="164" fontId="1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3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AUTREMOUVEMEN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5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10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MVTRESUME2019"/>
      <sheetName val="Feuil1"/>
      <sheetName val="MVTRESUMEEDIT2019"/>
      <sheetName val="MVTRESUMETAB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0CT"/>
      <sheetName val="TONTNOV20"/>
      <sheetName val="TONTDEC20"/>
      <sheetName val="TONTRESUME"/>
      <sheetName val="TONTOCT"/>
      <sheetName val="TONTAOUT2019"/>
      <sheetName val="TONTSEPT2019"/>
      <sheetName val="TONTOCT2019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7">
          <cell r="J27">
            <v>426500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677841881</v>
          </cell>
          <cell r="F5">
            <v>677841881</v>
          </cell>
          <cell r="G5" t="str">
            <v>NKOLBISSON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677704694</v>
          </cell>
          <cell r="F6">
            <v>677704694</v>
          </cell>
          <cell r="G6" t="str">
            <v>EMANA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677881912</v>
          </cell>
          <cell r="F7">
            <v>677881912</v>
          </cell>
          <cell r="G7" t="str">
            <v>SANTA BARBARA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677986676</v>
          </cell>
          <cell r="F8">
            <v>677986676</v>
          </cell>
          <cell r="G8" t="str">
            <v>RUE MANGUIERS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675250451</v>
          </cell>
          <cell r="F9">
            <v>675250451</v>
          </cell>
          <cell r="G9" t="str">
            <v>RUE MANGUIERS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675250451</v>
          </cell>
          <cell r="F10">
            <v>675250451</v>
          </cell>
          <cell r="G10" t="str">
            <v>RUE MANGUIERS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697103557</v>
          </cell>
          <cell r="F11">
            <v>697103557</v>
          </cell>
          <cell r="G11" t="str">
            <v>BIYEM ASSI LYCEE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677501239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699908065</v>
          </cell>
          <cell r="F13">
            <v>699908065</v>
          </cell>
          <cell r="G13" t="str">
            <v>TONGOLO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677910278</v>
          </cell>
          <cell r="F14">
            <v>677910278</v>
          </cell>
          <cell r="G14" t="str">
            <v>OYOMABANG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694468080</v>
          </cell>
          <cell r="F15">
            <v>694468080</v>
          </cell>
          <cell r="G15" t="str">
            <v>MESSASSI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675291170</v>
          </cell>
          <cell r="F16">
            <v>675291170</v>
          </cell>
          <cell r="G16" t="str">
            <v>NYOM 2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699956355</v>
          </cell>
          <cell r="F17">
            <v>699956355</v>
          </cell>
          <cell r="G17" t="str">
            <v>DAMAS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677053815</v>
          </cell>
          <cell r="F18">
            <v>677053815</v>
          </cell>
          <cell r="G18" t="str">
            <v>MESSASSI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699528700</v>
          </cell>
          <cell r="F19">
            <v>699528700</v>
          </cell>
          <cell r="G19" t="str">
            <v>SIMBOCK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699335584</v>
          </cell>
          <cell r="F20">
            <v>699335584</v>
          </cell>
          <cell r="G20" t="str">
            <v>MONTEE JOUVENCE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675836725</v>
          </cell>
          <cell r="F21">
            <v>675836725</v>
          </cell>
          <cell r="G21" t="str">
            <v>DAMAS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696564847</v>
          </cell>
          <cell r="F22">
            <v>696564847</v>
          </cell>
          <cell r="G22" t="str">
            <v>MESSASSI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677735778</v>
          </cell>
          <cell r="F23">
            <v>677735778</v>
          </cell>
          <cell r="G23" t="str">
            <v>SANTA BARBARA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 t="str">
            <v>ACTIF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693055118</v>
          </cell>
          <cell r="F25">
            <v>693055118</v>
          </cell>
          <cell r="G25" t="str">
            <v>DAMAS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677553702</v>
          </cell>
          <cell r="F26">
            <v>677553702</v>
          </cell>
          <cell r="G26" t="str">
            <v>MONTEE JOUVENCE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699358350</v>
          </cell>
          <cell r="F27">
            <v>699358350</v>
          </cell>
          <cell r="G27" t="str">
            <v>ETOUG EBE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675249207</v>
          </cell>
          <cell r="F28">
            <v>675249207</v>
          </cell>
          <cell r="G28" t="str">
            <v>CITE VERTE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677766503</v>
          </cell>
          <cell r="F29">
            <v>677766503</v>
          </cell>
          <cell r="G29" t="str">
            <v>RUE MANGUIERS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677068360</v>
          </cell>
          <cell r="F30">
            <v>677068360</v>
          </cell>
          <cell r="G30" t="str">
            <v>MONATELE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670909070</v>
          </cell>
          <cell r="F31">
            <v>670909070</v>
          </cell>
          <cell r="G31" t="str">
            <v>MENDONG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676659191</v>
          </cell>
          <cell r="F32">
            <v>676659191</v>
          </cell>
          <cell r="G32" t="str">
            <v>MENDONG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677575366</v>
          </cell>
          <cell r="F33">
            <v>677575366</v>
          </cell>
          <cell r="G33" t="str">
            <v>ESSOS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699843118</v>
          </cell>
          <cell r="F34">
            <v>699843118</v>
          </cell>
          <cell r="G34" t="str">
            <v>BIYEM ASSI LYCEE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677377251</v>
          </cell>
          <cell r="F35">
            <v>677377251</v>
          </cell>
          <cell r="G35" t="str">
            <v>MONTEE JOUVENCE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677867173</v>
          </cell>
          <cell r="F36">
            <v>677867173</v>
          </cell>
          <cell r="G36" t="str">
            <v>BIYEM ASSI LYCEE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699995086</v>
          </cell>
          <cell r="F37">
            <v>699995086</v>
          </cell>
          <cell r="G37" t="str">
            <v>EBOGO 1(SOA)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677054646</v>
          </cell>
          <cell r="F38">
            <v>677054646</v>
          </cell>
          <cell r="G38" t="str">
            <v>EMANA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699549665</v>
          </cell>
          <cell r="F39">
            <v>699549665</v>
          </cell>
          <cell r="G39" t="str">
            <v>ELEVEUR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699350133</v>
          </cell>
          <cell r="F40">
            <v>699350133</v>
          </cell>
          <cell r="G40" t="str">
            <v>DAMAS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677477649</v>
          </cell>
          <cell r="F41">
            <v>677477649</v>
          </cell>
          <cell r="G41" t="str">
            <v>PARC NATIONAL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677546060</v>
          </cell>
          <cell r="F42">
            <v>677546060</v>
          </cell>
          <cell r="G42" t="str">
            <v>OYOMABANG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677648306</v>
          </cell>
          <cell r="F43">
            <v>677648306</v>
          </cell>
          <cell r="G43" t="str">
            <v>RUE MANGUIERS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677780149</v>
          </cell>
          <cell r="F44">
            <v>677780149</v>
          </cell>
          <cell r="G44" t="str">
            <v>MESSASSI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699778906</v>
          </cell>
          <cell r="F45">
            <v>699778906</v>
          </cell>
          <cell r="G45" t="str">
            <v>MENDONG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678639806</v>
          </cell>
          <cell r="F46">
            <v>678639806</v>
          </cell>
          <cell r="G46" t="str">
            <v>MENDONG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677775940</v>
          </cell>
          <cell r="F47">
            <v>677775940</v>
          </cell>
          <cell r="G47" t="str">
            <v>NKOL FOULOU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677508603</v>
          </cell>
          <cell r="F48">
            <v>677508603</v>
          </cell>
          <cell r="G48" t="str">
            <v>BASTOS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677726329</v>
          </cell>
          <cell r="F49">
            <v>677726329</v>
          </cell>
          <cell r="G49" t="str">
            <v>BIYEM ASSI LYCEE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699663416</v>
          </cell>
          <cell r="F50">
            <v>699663416</v>
          </cell>
          <cell r="G50" t="str">
            <v>MENDONG (NKOLZIE)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677547311</v>
          </cell>
          <cell r="F51">
            <v>677547311</v>
          </cell>
          <cell r="G51" t="str">
            <v>MENDONG (GUINNESS)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 t="str">
            <v>ACTIF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694452000</v>
          </cell>
          <cell r="F53">
            <v>694452000</v>
          </cell>
          <cell r="G53" t="str">
            <v xml:space="preserve">NSIMEYONG 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 t="str">
            <v>ACTIF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 t="str">
            <v>ACTIF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 t="str">
            <v>ACTIF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 t="str">
            <v>ACTIF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45"/>
  <sheetViews>
    <sheetView tabSelected="1" workbookViewId="0">
      <pane xSplit="2" ySplit="1" topLeftCell="S5" activePane="bottomRight" state="frozen"/>
      <selection pane="topRight" activeCell="C1" sqref="C1"/>
      <selection pane="bottomLeft" activeCell="A5" sqref="A5"/>
      <selection pane="bottomRight" activeCell="A16" sqref="A16:XFD16"/>
    </sheetView>
  </sheetViews>
  <sheetFormatPr baseColWidth="10" defaultColWidth="11" defaultRowHeight="15" x14ac:dyDescent="0.25"/>
  <cols>
    <col min="1" max="1" width="13.85546875" customWidth="1"/>
    <col min="2" max="3" width="29.5703125" customWidth="1"/>
    <col min="4" max="4" width="15.28515625" customWidth="1"/>
    <col min="5" max="5" width="20.28515625" customWidth="1"/>
    <col min="6" max="6" width="16.85546875" customWidth="1"/>
    <col min="7" max="7" width="15" customWidth="1"/>
    <col min="8" max="8" width="17.5703125" style="13" customWidth="1"/>
    <col min="9" max="9" width="15.7109375" style="10" customWidth="1"/>
    <col min="10" max="10" width="15" style="10" bestFit="1" customWidth="1"/>
    <col min="11" max="12" width="12.42578125" style="10" customWidth="1"/>
    <col min="13" max="13" width="13.42578125" style="10" bestFit="1" customWidth="1"/>
    <col min="14" max="15" width="17.5703125" style="10" customWidth="1"/>
    <col min="16" max="16" width="14.85546875" customWidth="1"/>
    <col min="17" max="17" width="20.42578125" bestFit="1" customWidth="1"/>
    <col min="18" max="18" width="16.5703125" customWidth="1"/>
    <col min="20" max="21" width="16.85546875" bestFit="1" customWidth="1"/>
    <col min="22" max="25" width="16.85546875" customWidth="1"/>
    <col min="26" max="26" width="28.7109375" bestFit="1" customWidth="1"/>
  </cols>
  <sheetData>
    <row r="1" spans="1:26" ht="44.2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t="s">
        <v>13</v>
      </c>
      <c r="O1"/>
      <c r="P1" s="3" t="s">
        <v>14</v>
      </c>
      <c r="Q1" s="3" t="s">
        <v>15</v>
      </c>
      <c r="R1" t="s">
        <v>16</v>
      </c>
      <c r="S1" s="3" t="s">
        <v>17</v>
      </c>
      <c r="T1" t="s">
        <v>18</v>
      </c>
      <c r="U1" s="3" t="s">
        <v>19</v>
      </c>
      <c r="V1" s="3" t="s">
        <v>20</v>
      </c>
      <c r="W1" t="s">
        <v>21</v>
      </c>
      <c r="X1" s="3" t="s">
        <v>22</v>
      </c>
      <c r="Y1" s="3" t="s">
        <v>23</v>
      </c>
      <c r="Z1" s="3" t="s">
        <v>24</v>
      </c>
    </row>
    <row r="2" spans="1:26" ht="15.75" customHeight="1" x14ac:dyDescent="0.25">
      <c r="A2" s="1" t="s">
        <v>25</v>
      </c>
      <c r="B2" s="1" t="str">
        <f>VLOOKUP(A2,[7]LISTADHERENT!A$5:H$57,3,0)</f>
        <v>ASELBY</v>
      </c>
      <c r="C2" s="4">
        <v>394081.01108374598</v>
      </c>
      <c r="D2" s="4">
        <v>62668.935014227369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62668.935014227369</v>
      </c>
      <c r="V2" s="4">
        <v>0</v>
      </c>
      <c r="W2" s="4">
        <v>0</v>
      </c>
      <c r="X2" s="4">
        <v>0</v>
      </c>
      <c r="Y2" s="4">
        <v>62668.935014227369</v>
      </c>
      <c r="Z2" s="4">
        <v>62668.935014227369</v>
      </c>
    </row>
    <row r="3" spans="1:26" s="7" customFormat="1" x14ac:dyDescent="0.25">
      <c r="A3" s="5" t="s">
        <v>26</v>
      </c>
      <c r="B3" s="1" t="str">
        <f>VLOOKUP(A3,[7]LISTADHERENT!A$5:H$57,3,0)</f>
        <v>BAKOP ACHILLE</v>
      </c>
      <c r="C3" s="4">
        <v>480000</v>
      </c>
      <c r="D3" s="4">
        <v>0</v>
      </c>
      <c r="E3" s="4">
        <v>0.49369671277236193</v>
      </c>
      <c r="F3" s="4">
        <v>0</v>
      </c>
      <c r="G3" s="4">
        <v>2000</v>
      </c>
      <c r="H3" s="4">
        <v>1000</v>
      </c>
      <c r="I3" s="4">
        <v>2000</v>
      </c>
      <c r="J3" s="4">
        <v>5000</v>
      </c>
      <c r="K3" s="4">
        <v>1000</v>
      </c>
      <c r="L3" s="4">
        <v>0</v>
      </c>
      <c r="M3" s="4">
        <v>0</v>
      </c>
      <c r="N3" s="4">
        <v>500000</v>
      </c>
      <c r="O3" s="4">
        <v>0</v>
      </c>
      <c r="P3" s="4">
        <v>0</v>
      </c>
      <c r="Q3" s="4">
        <v>588000</v>
      </c>
      <c r="R3" s="4">
        <v>88000</v>
      </c>
      <c r="S3" s="4">
        <v>0</v>
      </c>
      <c r="T3" s="4">
        <v>0</v>
      </c>
      <c r="U3" s="4">
        <v>2000.4936967127724</v>
      </c>
      <c r="V3" s="4">
        <v>2000</v>
      </c>
      <c r="W3" s="4">
        <v>0</v>
      </c>
      <c r="X3" s="4">
        <v>0</v>
      </c>
      <c r="Y3" s="4">
        <v>2000.4936967127724</v>
      </c>
      <c r="Z3" s="6" t="s">
        <v>27</v>
      </c>
    </row>
    <row r="4" spans="1:26" x14ac:dyDescent="0.25">
      <c r="A4" s="1" t="s">
        <v>28</v>
      </c>
      <c r="B4" s="1" t="str">
        <f>VLOOKUP(A4,[7]LISTADHERENT!A$5:H$57,3,0)</f>
        <v>BOUTCHOUANG WILLIAM</v>
      </c>
      <c r="C4" s="4">
        <v>480000</v>
      </c>
      <c r="D4" s="4">
        <v>79945.737949015122</v>
      </c>
      <c r="E4" s="4">
        <v>1331.2797186755051</v>
      </c>
      <c r="F4" s="4">
        <v>0</v>
      </c>
      <c r="G4" s="4">
        <v>82000</v>
      </c>
      <c r="H4" s="4">
        <v>7000</v>
      </c>
      <c r="I4" s="4">
        <v>14000</v>
      </c>
      <c r="J4" s="4">
        <v>35000</v>
      </c>
      <c r="K4" s="4">
        <v>9000</v>
      </c>
      <c r="L4" s="4">
        <v>0</v>
      </c>
      <c r="M4" s="4">
        <v>0</v>
      </c>
      <c r="N4" s="4">
        <v>1000000</v>
      </c>
      <c r="O4" s="4">
        <v>30000</v>
      </c>
      <c r="P4" s="4">
        <v>0</v>
      </c>
      <c r="Q4" s="4">
        <v>1000000</v>
      </c>
      <c r="R4" s="4">
        <v>0</v>
      </c>
      <c r="S4" s="4">
        <v>0</v>
      </c>
      <c r="T4" s="4">
        <v>0</v>
      </c>
      <c r="U4" s="4">
        <v>163277.01766769064</v>
      </c>
      <c r="V4" s="4">
        <v>130000</v>
      </c>
      <c r="W4" s="4">
        <v>30000</v>
      </c>
      <c r="X4" s="4">
        <v>0</v>
      </c>
      <c r="Y4" s="4">
        <v>133277.01766769064</v>
      </c>
      <c r="Z4" s="9"/>
    </row>
    <row r="5" spans="1:26" s="7" customFormat="1" x14ac:dyDescent="0.25">
      <c r="A5" s="5" t="s">
        <v>29</v>
      </c>
      <c r="B5" s="1" t="str">
        <f>VLOOKUP(A5,[7]LISTADHERENT!A$5:H$57,3,0)</f>
        <v>CHINGUE FABRICE</v>
      </c>
      <c r="C5" s="4">
        <v>480000</v>
      </c>
      <c r="D5" s="4">
        <v>79896.677076385677</v>
      </c>
      <c r="E5" s="4">
        <v>3703.9516264695849</v>
      </c>
      <c r="F5" s="4">
        <v>0</v>
      </c>
      <c r="G5" s="4">
        <v>54000</v>
      </c>
      <c r="H5" s="4">
        <v>4500</v>
      </c>
      <c r="I5" s="4">
        <v>9000</v>
      </c>
      <c r="J5" s="4">
        <v>22500</v>
      </c>
      <c r="K5" s="4">
        <v>7000</v>
      </c>
      <c r="L5" s="4">
        <v>0</v>
      </c>
      <c r="M5" s="4">
        <v>0</v>
      </c>
      <c r="N5" s="4">
        <v>700000</v>
      </c>
      <c r="O5" s="4">
        <v>84000</v>
      </c>
      <c r="P5" s="4">
        <v>0</v>
      </c>
      <c r="Q5" s="4">
        <v>0</v>
      </c>
      <c r="R5" s="4">
        <v>108500</v>
      </c>
      <c r="S5" s="4">
        <v>0</v>
      </c>
      <c r="T5" s="4">
        <v>808500</v>
      </c>
      <c r="U5" s="4">
        <v>137600.62870285526</v>
      </c>
      <c r="V5" s="4">
        <v>107601</v>
      </c>
      <c r="W5" s="4">
        <v>30000</v>
      </c>
      <c r="X5" s="4">
        <v>0</v>
      </c>
      <c r="Y5" s="4">
        <v>107600.62870285526</v>
      </c>
      <c r="Z5" s="6" t="s">
        <v>30</v>
      </c>
    </row>
    <row r="6" spans="1:26" x14ac:dyDescent="0.25">
      <c r="A6" s="1" t="s">
        <v>31</v>
      </c>
      <c r="B6" s="1" t="str">
        <f>VLOOKUP(A6,[7]LISTADHERENT!A$5:H$57,3,0)</f>
        <v>DJOMO DOMO</v>
      </c>
      <c r="C6" s="4">
        <v>0</v>
      </c>
      <c r="D6" s="4">
        <v>1764.4540515245424</v>
      </c>
      <c r="E6" s="4">
        <v>2994.5270055831024</v>
      </c>
      <c r="F6" s="4">
        <v>0</v>
      </c>
      <c r="G6" s="4">
        <v>12000</v>
      </c>
      <c r="H6" s="4">
        <v>1000</v>
      </c>
      <c r="I6" s="4">
        <v>2000</v>
      </c>
      <c r="J6" s="4">
        <v>5000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16758.981057107645</v>
      </c>
      <c r="V6" s="4">
        <v>16759</v>
      </c>
      <c r="W6" s="4">
        <v>0</v>
      </c>
      <c r="X6" s="4">
        <v>0</v>
      </c>
      <c r="Y6" s="4">
        <v>16758.981057107645</v>
      </c>
      <c r="Z6" s="9"/>
    </row>
    <row r="7" spans="1:26" x14ac:dyDescent="0.25">
      <c r="A7" s="1" t="s">
        <v>32</v>
      </c>
      <c r="B7" s="1" t="str">
        <f>VLOOKUP(A7,[7]LISTADHERENT!A$5:H$57,3,0)</f>
        <v xml:space="preserve">DJOMO JEAN PAUL </v>
      </c>
      <c r="C7" s="4">
        <v>480000</v>
      </c>
      <c r="D7" s="4">
        <v>81380.868527515064</v>
      </c>
      <c r="E7" s="4">
        <v>404.48981912998715</v>
      </c>
      <c r="F7" s="4">
        <v>0</v>
      </c>
      <c r="G7" s="4">
        <v>97500</v>
      </c>
      <c r="H7" s="4">
        <v>7000</v>
      </c>
      <c r="I7" s="4">
        <v>14000</v>
      </c>
      <c r="J7" s="4">
        <v>35000</v>
      </c>
      <c r="K7" s="4">
        <v>6000</v>
      </c>
      <c r="L7" s="4">
        <v>0</v>
      </c>
      <c r="M7" s="4">
        <v>0</v>
      </c>
      <c r="N7" s="4">
        <v>2800000</v>
      </c>
      <c r="O7" s="4">
        <v>218000</v>
      </c>
      <c r="P7" s="4">
        <v>110000</v>
      </c>
      <c r="Q7" s="4">
        <v>1800000</v>
      </c>
      <c r="R7" s="4">
        <v>50000</v>
      </c>
      <c r="S7" s="4">
        <v>0</v>
      </c>
      <c r="T7" s="4">
        <v>1050000</v>
      </c>
      <c r="U7" s="4">
        <v>179285.35834664505</v>
      </c>
      <c r="V7" s="4">
        <v>146000</v>
      </c>
      <c r="W7" s="4">
        <v>30000</v>
      </c>
      <c r="X7" s="4">
        <v>0</v>
      </c>
      <c r="Y7" s="4">
        <v>149285.35834664505</v>
      </c>
      <c r="Z7" s="9" t="s">
        <v>33</v>
      </c>
    </row>
    <row r="8" spans="1:26" x14ac:dyDescent="0.25">
      <c r="A8" s="1" t="s">
        <v>34</v>
      </c>
      <c r="B8" s="1" t="str">
        <f>VLOOKUP(A8,[7]LISTADHERENT!A$5:H$57,3,0)</f>
        <v>DJOUKWE NANGUEN GUY BLAISE</v>
      </c>
      <c r="C8" s="4">
        <v>480000</v>
      </c>
      <c r="D8" s="4">
        <v>79798.878874522779</v>
      </c>
      <c r="E8" s="4">
        <v>32.581814608536661</v>
      </c>
      <c r="F8" s="4">
        <v>0</v>
      </c>
      <c r="G8" s="4">
        <v>84000</v>
      </c>
      <c r="H8" s="4">
        <v>7000</v>
      </c>
      <c r="I8" s="4">
        <v>14000</v>
      </c>
      <c r="J8" s="4">
        <v>35000</v>
      </c>
      <c r="K8" s="4">
        <v>7000</v>
      </c>
      <c r="L8" s="4">
        <v>0</v>
      </c>
      <c r="M8" s="4">
        <v>0</v>
      </c>
      <c r="N8" s="4">
        <v>1800000</v>
      </c>
      <c r="O8" s="4">
        <v>160000</v>
      </c>
      <c r="P8" s="4">
        <v>40000</v>
      </c>
      <c r="Q8" s="4">
        <v>1000000</v>
      </c>
      <c r="R8" s="4">
        <v>0</v>
      </c>
      <c r="S8" s="4">
        <v>0</v>
      </c>
      <c r="T8" s="4">
        <v>800000</v>
      </c>
      <c r="U8" s="4">
        <v>163831.46068913132</v>
      </c>
      <c r="V8" s="4">
        <v>35000</v>
      </c>
      <c r="W8" s="4">
        <v>30000</v>
      </c>
      <c r="X8" s="4">
        <v>0</v>
      </c>
      <c r="Y8" s="4">
        <v>133831.46068913132</v>
      </c>
      <c r="Z8" s="9" t="s">
        <v>35</v>
      </c>
    </row>
    <row r="9" spans="1:26" x14ac:dyDescent="0.25">
      <c r="A9" s="1" t="s">
        <v>36</v>
      </c>
      <c r="B9" s="1" t="str">
        <f>VLOOKUP(A9,[7]LISTADHERENT!A$5:H$57,3,0)</f>
        <v>DJUOMBESSY ANTOINE</v>
      </c>
      <c r="C9" s="4">
        <v>480000</v>
      </c>
      <c r="D9" s="4">
        <v>79954.051721931959</v>
      </c>
      <c r="E9" s="4">
        <v>8.234061673283577E-2</v>
      </c>
      <c r="F9" s="4">
        <v>0</v>
      </c>
      <c r="G9" s="4">
        <v>93500</v>
      </c>
      <c r="H9" s="4">
        <v>7000</v>
      </c>
      <c r="I9" s="4">
        <v>14000</v>
      </c>
      <c r="J9" s="4">
        <v>35000</v>
      </c>
      <c r="K9" s="4">
        <v>1000</v>
      </c>
      <c r="L9" s="4">
        <v>0</v>
      </c>
      <c r="M9" s="4">
        <v>0</v>
      </c>
      <c r="N9" s="4">
        <v>3000000</v>
      </c>
      <c r="O9" s="4">
        <v>160000</v>
      </c>
      <c r="P9" s="4">
        <v>50000</v>
      </c>
      <c r="Q9" s="4">
        <v>2000000</v>
      </c>
      <c r="R9" s="4">
        <v>0</v>
      </c>
      <c r="S9" s="4">
        <v>0</v>
      </c>
      <c r="T9" s="4">
        <v>1000000</v>
      </c>
      <c r="U9" s="4">
        <v>173454.13406254869</v>
      </c>
      <c r="V9" s="4">
        <v>140000</v>
      </c>
      <c r="W9" s="4">
        <v>30000</v>
      </c>
      <c r="X9" s="4">
        <v>0</v>
      </c>
      <c r="Y9" s="4">
        <v>143454.13406254869</v>
      </c>
      <c r="Z9" s="9" t="s">
        <v>37</v>
      </c>
    </row>
    <row r="10" spans="1:26" x14ac:dyDescent="0.25">
      <c r="A10" s="1" t="s">
        <v>38</v>
      </c>
      <c r="B10" s="1" t="str">
        <f>VLOOKUP(A10,[7]LISTADHERENT!A$5:H$57,3,0)</f>
        <v>DOMOU FABIEN</v>
      </c>
      <c r="C10" s="4">
        <v>441596</v>
      </c>
      <c r="D10" s="4">
        <v>73699.144246646392</v>
      </c>
      <c r="E10" s="4">
        <v>0.16900408919900656</v>
      </c>
      <c r="F10" s="4">
        <v>0</v>
      </c>
      <c r="G10" s="4">
        <v>84000</v>
      </c>
      <c r="H10" s="4">
        <v>7000</v>
      </c>
      <c r="I10" s="4">
        <v>14000</v>
      </c>
      <c r="J10" s="4">
        <v>35000</v>
      </c>
      <c r="K10" s="4">
        <v>2000</v>
      </c>
      <c r="L10" s="4">
        <v>0</v>
      </c>
      <c r="M10" s="4">
        <v>0</v>
      </c>
      <c r="N10" s="4">
        <v>2000000</v>
      </c>
      <c r="O10" s="4">
        <v>160000</v>
      </c>
      <c r="P10" s="4">
        <v>50000</v>
      </c>
      <c r="Q10" s="4">
        <v>1000000</v>
      </c>
      <c r="R10" s="4">
        <v>0</v>
      </c>
      <c r="S10" s="4">
        <v>0</v>
      </c>
      <c r="T10" s="4">
        <v>1000000</v>
      </c>
      <c r="U10" s="4">
        <v>157699.31325073558</v>
      </c>
      <c r="V10" s="4">
        <v>86000</v>
      </c>
      <c r="W10" s="4">
        <v>78406</v>
      </c>
      <c r="X10" s="4">
        <v>0</v>
      </c>
      <c r="Y10" s="4">
        <v>79293.313250735577</v>
      </c>
      <c r="Z10" s="9"/>
    </row>
    <row r="11" spans="1:26" x14ac:dyDescent="0.25">
      <c r="A11" s="1" t="s">
        <v>39</v>
      </c>
      <c r="B11" s="1" t="str">
        <f>VLOOKUP(A11,[7]LISTADHERENT!A$5:H$57,3,0)</f>
        <v>DONHOU DAVID</v>
      </c>
      <c r="C11" s="4">
        <v>480000</v>
      </c>
      <c r="D11" s="4">
        <v>97864.943592884913</v>
      </c>
      <c r="E11" s="4">
        <v>113997.13327318276</v>
      </c>
      <c r="F11" s="4">
        <v>0</v>
      </c>
      <c r="G11" s="4">
        <v>84000</v>
      </c>
      <c r="H11" s="4">
        <v>7000</v>
      </c>
      <c r="I11" s="4">
        <v>14000</v>
      </c>
      <c r="J11" s="4">
        <v>35000</v>
      </c>
      <c r="K11" s="4">
        <v>14000</v>
      </c>
      <c r="L11" s="4">
        <v>0</v>
      </c>
      <c r="M11" s="4">
        <v>0</v>
      </c>
      <c r="N11" s="4">
        <v>700000</v>
      </c>
      <c r="O11" s="4">
        <v>108500</v>
      </c>
      <c r="P11" s="4">
        <v>0</v>
      </c>
      <c r="Q11" s="4">
        <v>808500</v>
      </c>
      <c r="R11" s="4">
        <v>108500</v>
      </c>
      <c r="S11" s="4">
        <v>0</v>
      </c>
      <c r="T11" s="4">
        <v>0</v>
      </c>
      <c r="U11" s="4">
        <v>295862.07686606765</v>
      </c>
      <c r="V11" s="4">
        <v>28500</v>
      </c>
      <c r="W11" s="4">
        <v>30000</v>
      </c>
      <c r="X11" s="4">
        <v>0</v>
      </c>
      <c r="Y11" s="4">
        <v>265862.07686606765</v>
      </c>
      <c r="Z11" s="9"/>
    </row>
    <row r="12" spans="1:26" x14ac:dyDescent="0.25">
      <c r="A12" s="1" t="s">
        <v>40</v>
      </c>
      <c r="B12" s="1" t="str">
        <f>VLOOKUP(A12,[7]LISTADHERENT!A$5:H$57,3,0)</f>
        <v>FOTSO THOMAS</v>
      </c>
      <c r="C12" s="4">
        <v>480000</v>
      </c>
      <c r="D12" s="4">
        <v>80086.550029503749</v>
      </c>
      <c r="E12" s="4">
        <v>2219.5520592769026</v>
      </c>
      <c r="F12" s="4">
        <v>0</v>
      </c>
      <c r="G12" s="4">
        <v>82000</v>
      </c>
      <c r="H12" s="4">
        <v>7000</v>
      </c>
      <c r="I12" s="4">
        <v>14000</v>
      </c>
      <c r="J12" s="4">
        <v>35000</v>
      </c>
      <c r="K12" s="4">
        <v>21000</v>
      </c>
      <c r="L12" s="4">
        <v>0</v>
      </c>
      <c r="M12" s="4">
        <v>0</v>
      </c>
      <c r="N12" s="4">
        <v>2000000</v>
      </c>
      <c r="O12" s="4">
        <v>150000</v>
      </c>
      <c r="P12" s="4">
        <v>30000</v>
      </c>
      <c r="Q12" s="4">
        <v>1000000</v>
      </c>
      <c r="R12" s="4">
        <v>0</v>
      </c>
      <c r="S12" s="4">
        <v>0</v>
      </c>
      <c r="T12" s="4">
        <v>1000000</v>
      </c>
      <c r="U12" s="4">
        <v>164306.10208878067</v>
      </c>
      <c r="V12" s="4">
        <v>130000</v>
      </c>
      <c r="W12" s="4">
        <v>30000</v>
      </c>
      <c r="X12" s="4">
        <v>0</v>
      </c>
      <c r="Y12" s="4">
        <v>134306.10208878067</v>
      </c>
      <c r="Z12" s="9" t="s">
        <v>35</v>
      </c>
    </row>
    <row r="13" spans="1:26" x14ac:dyDescent="0.25">
      <c r="A13" s="1" t="s">
        <v>41</v>
      </c>
      <c r="B13" s="1" t="str">
        <f>VLOOKUP(A13,[7]LISTADHERENT!A$5:H$57,3,0)</f>
        <v>HENGUE PAUL OMER</v>
      </c>
      <c r="C13" s="4">
        <v>480000</v>
      </c>
      <c r="D13" s="4">
        <v>80427.583632271897</v>
      </c>
      <c r="E13" s="4">
        <v>3998.5841971817717</v>
      </c>
      <c r="F13" s="4">
        <v>0</v>
      </c>
      <c r="G13" s="4">
        <v>84000</v>
      </c>
      <c r="H13" s="4">
        <v>7000</v>
      </c>
      <c r="I13" s="4">
        <v>14000</v>
      </c>
      <c r="J13" s="4">
        <v>35000</v>
      </c>
      <c r="K13" s="4">
        <v>1000</v>
      </c>
      <c r="L13" s="4">
        <v>0</v>
      </c>
      <c r="M13" s="4">
        <v>0</v>
      </c>
      <c r="N13" s="4">
        <v>1000000</v>
      </c>
      <c r="O13" s="4">
        <v>120000</v>
      </c>
      <c r="P13" s="4">
        <v>120000</v>
      </c>
      <c r="Q13" s="4">
        <v>0</v>
      </c>
      <c r="R13" s="4">
        <v>0</v>
      </c>
      <c r="S13" s="4">
        <v>0</v>
      </c>
      <c r="T13" s="4">
        <v>1000000</v>
      </c>
      <c r="U13" s="4">
        <v>168426.16782945365</v>
      </c>
      <c r="V13" s="4">
        <v>35000</v>
      </c>
      <c r="W13" s="4">
        <v>30000</v>
      </c>
      <c r="X13" s="4">
        <v>0</v>
      </c>
      <c r="Y13" s="4">
        <v>138426.16782945365</v>
      </c>
      <c r="Z13" s="9"/>
    </row>
    <row r="14" spans="1:26" x14ac:dyDescent="0.25">
      <c r="A14" s="1" t="s">
        <v>42</v>
      </c>
      <c r="B14" s="1" t="str">
        <f>VLOOKUP(A14,[7]LISTADHERENT!A$5:H$57,3,0)</f>
        <v>HOTCHO BENJAMIN</v>
      </c>
      <c r="C14" s="4">
        <v>480000</v>
      </c>
      <c r="D14" s="4">
        <v>84433.275952127617</v>
      </c>
      <c r="E14" s="4">
        <v>0.44251227390486747</v>
      </c>
      <c r="F14" s="4">
        <v>0</v>
      </c>
      <c r="G14" s="4">
        <v>258500</v>
      </c>
      <c r="H14" s="4">
        <v>7000</v>
      </c>
      <c r="I14" s="4">
        <v>14000</v>
      </c>
      <c r="J14" s="4">
        <v>35000</v>
      </c>
      <c r="K14" s="4">
        <v>2000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342933.71846440155</v>
      </c>
      <c r="V14" s="4">
        <v>250000</v>
      </c>
      <c r="W14" s="4">
        <v>30000</v>
      </c>
      <c r="X14" s="4">
        <v>0</v>
      </c>
      <c r="Y14" s="4">
        <v>312933.71846440155</v>
      </c>
      <c r="Z14" s="9"/>
    </row>
    <row r="15" spans="1:26" x14ac:dyDescent="0.25">
      <c r="A15" s="1" t="s">
        <v>43</v>
      </c>
      <c r="B15" s="1" t="str">
        <f>VLOOKUP(A15,[7]LISTADHERENT!A$5:H$57,3,0)</f>
        <v>KEPSEU FRANCIS</v>
      </c>
      <c r="C15" s="4">
        <v>480000</v>
      </c>
      <c r="D15" s="4">
        <v>607034.07913233258</v>
      </c>
      <c r="E15" s="4">
        <v>2903898.728295486</v>
      </c>
      <c r="F15" s="4">
        <v>0</v>
      </c>
      <c r="G15" s="4">
        <v>1296000</v>
      </c>
      <c r="H15" s="4">
        <v>7000</v>
      </c>
      <c r="I15" s="4">
        <v>14000</v>
      </c>
      <c r="J15" s="4">
        <v>35000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4806932.807427818</v>
      </c>
      <c r="V15" s="4">
        <v>0</v>
      </c>
      <c r="W15" s="4">
        <v>30000</v>
      </c>
      <c r="X15" s="4">
        <v>0</v>
      </c>
      <c r="Y15" s="4">
        <v>4776932.807427818</v>
      </c>
      <c r="Z15" s="9"/>
    </row>
    <row r="16" spans="1:26" x14ac:dyDescent="0.25">
      <c r="A16" s="1" t="s">
        <v>44</v>
      </c>
      <c r="B16" s="1" t="str">
        <f>VLOOKUP(A16,[7]LISTADHERENT!A$5:H$57,3,0)</f>
        <v>KOUAMO VICTOR PEGUY</v>
      </c>
      <c r="C16" s="4">
        <v>480000</v>
      </c>
      <c r="D16" s="4">
        <v>79661.668675915658</v>
      </c>
      <c r="E16" s="4">
        <v>-0.26072546625800896</v>
      </c>
      <c r="F16" s="4">
        <v>0</v>
      </c>
      <c r="G16" s="4">
        <v>81000</v>
      </c>
      <c r="H16" s="4">
        <v>7000</v>
      </c>
      <c r="I16" s="4">
        <v>14000</v>
      </c>
      <c r="J16" s="4">
        <v>35000</v>
      </c>
      <c r="K16" s="4">
        <v>7000</v>
      </c>
      <c r="L16" s="4">
        <v>0</v>
      </c>
      <c r="M16" s="4">
        <v>0</v>
      </c>
      <c r="N16" s="4">
        <v>1900000</v>
      </c>
      <c r="O16" s="4">
        <v>159000</v>
      </c>
      <c r="P16" s="4">
        <v>60000</v>
      </c>
      <c r="Q16" s="4">
        <v>900000</v>
      </c>
      <c r="R16" s="4">
        <v>139500</v>
      </c>
      <c r="S16" s="4">
        <v>0</v>
      </c>
      <c r="T16" s="4">
        <v>1139500</v>
      </c>
      <c r="U16" s="4">
        <v>160661.40795044939</v>
      </c>
      <c r="V16" s="4">
        <v>0</v>
      </c>
      <c r="W16" s="4">
        <v>30000</v>
      </c>
      <c r="X16" s="4">
        <v>0</v>
      </c>
      <c r="Y16" s="4">
        <v>130661.40795044939</v>
      </c>
      <c r="Z16" s="9" t="s">
        <v>45</v>
      </c>
    </row>
    <row r="17" spans="1:26" s="7" customFormat="1" x14ac:dyDescent="0.25">
      <c r="A17" s="5" t="s">
        <v>46</v>
      </c>
      <c r="B17" s="1" t="str">
        <f>VLOOKUP(A17,[7]LISTADHERENT!A$5:H$57,3,0)</f>
        <v>KOUAMOU EMMANUEL</v>
      </c>
      <c r="C17" s="4">
        <v>480000</v>
      </c>
      <c r="D17" s="4">
        <v>78414.920478625208</v>
      </c>
      <c r="E17" s="4">
        <v>643.11234311138105</v>
      </c>
      <c r="F17" s="4">
        <v>0</v>
      </c>
      <c r="G17" s="4">
        <v>30000</v>
      </c>
      <c r="H17" s="4">
        <v>2500</v>
      </c>
      <c r="I17" s="4">
        <v>5000</v>
      </c>
      <c r="J17" s="4">
        <v>12500</v>
      </c>
      <c r="K17" s="4">
        <v>4000</v>
      </c>
      <c r="L17" s="4">
        <v>0</v>
      </c>
      <c r="M17" s="4">
        <v>0</v>
      </c>
      <c r="N17" s="4">
        <v>700000</v>
      </c>
      <c r="O17" s="4">
        <v>77000</v>
      </c>
      <c r="P17" s="4">
        <v>0</v>
      </c>
      <c r="Q17" s="4">
        <v>0</v>
      </c>
      <c r="R17" s="4">
        <v>108500</v>
      </c>
      <c r="S17" s="4">
        <v>0</v>
      </c>
      <c r="T17" s="4">
        <v>808500</v>
      </c>
      <c r="U17" s="4">
        <v>109058.03282173659</v>
      </c>
      <c r="V17" s="4">
        <v>109058</v>
      </c>
      <c r="W17" s="4">
        <v>0</v>
      </c>
      <c r="X17" s="4">
        <v>0</v>
      </c>
      <c r="Y17" s="4">
        <v>109058.03282173659</v>
      </c>
      <c r="Z17" s="6" t="s">
        <v>47</v>
      </c>
    </row>
    <row r="18" spans="1:26" x14ac:dyDescent="0.25">
      <c r="A18" s="1" t="s">
        <v>48</v>
      </c>
      <c r="B18" s="1" t="str">
        <f>VLOOKUP(A18,[7]LISTADHERENT!A$5:H$57,3,0)</f>
        <v>KOUAMOU MOISE</v>
      </c>
      <c r="C18" s="4">
        <v>480000</v>
      </c>
      <c r="D18" s="4">
        <v>80181.060176583385</v>
      </c>
      <c r="E18" s="4">
        <v>2611.7018854503112</v>
      </c>
      <c r="F18" s="4">
        <v>0</v>
      </c>
      <c r="G18" s="4">
        <v>84000</v>
      </c>
      <c r="H18" s="4">
        <v>7000</v>
      </c>
      <c r="I18" s="4">
        <v>14000</v>
      </c>
      <c r="J18" s="4">
        <v>35000</v>
      </c>
      <c r="K18" s="4">
        <v>1000</v>
      </c>
      <c r="L18" s="4">
        <v>0</v>
      </c>
      <c r="M18" s="4">
        <v>0</v>
      </c>
      <c r="N18" s="4">
        <v>1500000</v>
      </c>
      <c r="O18" s="4">
        <v>135000</v>
      </c>
      <c r="P18" s="4">
        <v>25000</v>
      </c>
      <c r="Q18" s="4">
        <v>1000000</v>
      </c>
      <c r="R18" s="4">
        <v>0</v>
      </c>
      <c r="S18" s="4">
        <v>0</v>
      </c>
      <c r="T18" s="4">
        <v>500000</v>
      </c>
      <c r="U18" s="4">
        <v>166792.7620620337</v>
      </c>
      <c r="V18" s="4">
        <v>130000</v>
      </c>
      <c r="W18" s="4">
        <v>30000</v>
      </c>
      <c r="X18" s="4">
        <v>0</v>
      </c>
      <c r="Y18" s="4">
        <v>136792.7620620337</v>
      </c>
      <c r="Z18" s="9" t="s">
        <v>49</v>
      </c>
    </row>
    <row r="19" spans="1:26" x14ac:dyDescent="0.25">
      <c r="A19" s="1" t="s">
        <v>50</v>
      </c>
      <c r="B19" s="1" t="str">
        <f>VLOOKUP(A19,[7]LISTADHERENT!A$5:H$57,3,0)</f>
        <v>KOUATCHO MESSACK</v>
      </c>
      <c r="C19" s="4">
        <v>480000</v>
      </c>
      <c r="D19" s="4">
        <v>79889.68496817023</v>
      </c>
      <c r="E19" s="4">
        <v>605.40582988600363</v>
      </c>
      <c r="F19" s="4">
        <v>0</v>
      </c>
      <c r="G19" s="4">
        <v>84000</v>
      </c>
      <c r="H19" s="4">
        <v>7000</v>
      </c>
      <c r="I19" s="4">
        <v>14000</v>
      </c>
      <c r="J19" s="4">
        <v>35000</v>
      </c>
      <c r="K19" s="4">
        <v>7000</v>
      </c>
      <c r="L19" s="4">
        <v>0</v>
      </c>
      <c r="M19" s="4">
        <v>0</v>
      </c>
      <c r="N19" s="4">
        <v>2000000</v>
      </c>
      <c r="O19" s="4">
        <v>150000</v>
      </c>
      <c r="P19" s="4">
        <v>40000</v>
      </c>
      <c r="Q19" s="4">
        <v>1000000</v>
      </c>
      <c r="R19" s="4">
        <v>0</v>
      </c>
      <c r="S19" s="4">
        <v>0</v>
      </c>
      <c r="T19" s="4">
        <v>1000000</v>
      </c>
      <c r="U19" s="4">
        <v>164495.09079805622</v>
      </c>
      <c r="V19" s="4">
        <v>120000</v>
      </c>
      <c r="W19" s="4">
        <v>30000</v>
      </c>
      <c r="X19" s="4">
        <v>0</v>
      </c>
      <c r="Y19" s="4">
        <v>134495.09079805622</v>
      </c>
      <c r="Z19" s="9" t="s">
        <v>51</v>
      </c>
    </row>
    <row r="20" spans="1:26" x14ac:dyDescent="0.25">
      <c r="A20" s="1" t="s">
        <v>52</v>
      </c>
      <c r="B20" s="1" t="str">
        <f>VLOOKUP(A20,[7]LISTADHERENT!A$5:H$57,3,0)</f>
        <v>LOWE JEAN</v>
      </c>
      <c r="C20" s="4">
        <v>480000</v>
      </c>
      <c r="D20" s="4">
        <v>79644.731049764974</v>
      </c>
      <c r="E20" s="4">
        <v>-0.14820683863945305</v>
      </c>
      <c r="F20" s="4">
        <v>0</v>
      </c>
      <c r="G20" s="4">
        <v>82000</v>
      </c>
      <c r="H20" s="4">
        <v>7000</v>
      </c>
      <c r="I20" s="4">
        <v>14000</v>
      </c>
      <c r="J20" s="4">
        <v>35000</v>
      </c>
      <c r="K20" s="4">
        <v>9000</v>
      </c>
      <c r="L20" s="4">
        <v>0</v>
      </c>
      <c r="M20" s="4">
        <v>0</v>
      </c>
      <c r="N20" s="4">
        <v>260000</v>
      </c>
      <c r="O20" s="4">
        <v>10400</v>
      </c>
      <c r="P20" s="4">
        <v>7800</v>
      </c>
      <c r="Q20" s="4">
        <v>130000</v>
      </c>
      <c r="R20" s="4">
        <v>0</v>
      </c>
      <c r="S20" s="4">
        <v>0</v>
      </c>
      <c r="T20" s="4">
        <v>130000</v>
      </c>
      <c r="U20" s="4">
        <v>161644.58284292632</v>
      </c>
      <c r="V20" s="4">
        <v>128000</v>
      </c>
      <c r="W20" s="4">
        <v>30000</v>
      </c>
      <c r="X20" s="4">
        <v>0</v>
      </c>
      <c r="Y20" s="4">
        <v>131644.58284292632</v>
      </c>
      <c r="Z20" s="9" t="s">
        <v>30</v>
      </c>
    </row>
    <row r="21" spans="1:26" x14ac:dyDescent="0.25">
      <c r="A21" s="1" t="s">
        <v>53</v>
      </c>
      <c r="B21" s="1" t="str">
        <f>VLOOKUP(A21,[7]LISTADHERENT!A$5:H$57,3,0)</f>
        <v>MBOGNING TUGMA GUY</v>
      </c>
      <c r="C21" s="4">
        <v>30000</v>
      </c>
      <c r="D21" s="4">
        <v>12025.274783900029</v>
      </c>
      <c r="E21" s="4">
        <v>2994.5270055830988</v>
      </c>
      <c r="F21" s="4">
        <v>0</v>
      </c>
      <c r="G21" s="4">
        <v>104000</v>
      </c>
      <c r="H21" s="4">
        <v>7000</v>
      </c>
      <c r="I21" s="4">
        <v>14000</v>
      </c>
      <c r="J21" s="4">
        <v>35000</v>
      </c>
      <c r="K21" s="4">
        <v>0</v>
      </c>
      <c r="L21" s="4">
        <v>0</v>
      </c>
      <c r="M21" s="4">
        <v>0</v>
      </c>
      <c r="N21" s="4">
        <v>900000</v>
      </c>
      <c r="O21" s="4">
        <v>108000</v>
      </c>
      <c r="P21" s="4">
        <v>0</v>
      </c>
      <c r="Q21" s="4">
        <v>900000</v>
      </c>
      <c r="R21" s="4">
        <v>0</v>
      </c>
      <c r="S21" s="4">
        <v>0</v>
      </c>
      <c r="T21" s="4">
        <v>0</v>
      </c>
      <c r="U21" s="4">
        <v>119019.80178948313</v>
      </c>
      <c r="V21" s="4">
        <v>88500</v>
      </c>
      <c r="W21" s="4">
        <v>30000</v>
      </c>
      <c r="X21" s="4">
        <v>0</v>
      </c>
      <c r="Y21" s="4">
        <v>89019.801789483128</v>
      </c>
      <c r="Z21" s="9" t="s">
        <v>35</v>
      </c>
    </row>
    <row r="22" spans="1:26" x14ac:dyDescent="0.25">
      <c r="A22" s="1" t="s">
        <v>54</v>
      </c>
      <c r="B22" s="1" t="str">
        <f>VLOOKUP(A22,[7]LISTADHERENT!A$5:H$57,3,0)</f>
        <v>NANGUEN MARTIN</v>
      </c>
      <c r="C22" s="4">
        <v>450000</v>
      </c>
      <c r="D22" s="4">
        <v>81837.118573991771</v>
      </c>
      <c r="E22" s="4">
        <v>12890.22827698091</v>
      </c>
      <c r="F22" s="4">
        <v>0</v>
      </c>
      <c r="G22" s="4">
        <v>94000</v>
      </c>
      <c r="H22" s="4">
        <v>7000</v>
      </c>
      <c r="I22" s="4">
        <v>14000</v>
      </c>
      <c r="J22" s="4">
        <v>35000</v>
      </c>
      <c r="K22" s="4">
        <v>0</v>
      </c>
      <c r="L22" s="4">
        <v>0</v>
      </c>
      <c r="M22" s="4">
        <v>0</v>
      </c>
      <c r="N22" s="4">
        <v>100000</v>
      </c>
      <c r="O22" s="4">
        <v>5000</v>
      </c>
      <c r="P22" s="4">
        <v>0</v>
      </c>
      <c r="Q22" s="4">
        <v>100000</v>
      </c>
      <c r="R22" s="4">
        <v>0</v>
      </c>
      <c r="S22" s="4">
        <v>0</v>
      </c>
      <c r="T22" s="4">
        <v>0</v>
      </c>
      <c r="U22" s="4">
        <v>188727.34685097268</v>
      </c>
      <c r="V22" s="4">
        <v>95000</v>
      </c>
      <c r="W22" s="4">
        <v>60000</v>
      </c>
      <c r="X22" s="4">
        <v>0</v>
      </c>
      <c r="Y22" s="4">
        <v>128727.34685097268</v>
      </c>
      <c r="Z22" s="9" t="s">
        <v>30</v>
      </c>
    </row>
    <row r="23" spans="1:26" x14ac:dyDescent="0.25">
      <c r="A23" s="1" t="s">
        <v>55</v>
      </c>
      <c r="B23" s="1" t="str">
        <f>VLOOKUP(A23,[7]LISTADHERENT!A$5:H$57,3,0)</f>
        <v>NANKAM APPOLINAIRE</v>
      </c>
      <c r="C23" s="4">
        <v>480000</v>
      </c>
      <c r="D23" s="4">
        <v>80008.312869354428</v>
      </c>
      <c r="E23" s="4">
        <v>1353.7356825511233</v>
      </c>
      <c r="F23" s="4">
        <v>0</v>
      </c>
      <c r="G23" s="4">
        <v>84000</v>
      </c>
      <c r="H23" s="4">
        <v>7000</v>
      </c>
      <c r="I23" s="4">
        <v>14000</v>
      </c>
      <c r="J23" s="4">
        <v>35000</v>
      </c>
      <c r="K23" s="4">
        <v>5000</v>
      </c>
      <c r="L23" s="4">
        <v>0</v>
      </c>
      <c r="M23" s="4">
        <v>0</v>
      </c>
      <c r="N23" s="4">
        <v>2000000</v>
      </c>
      <c r="O23" s="4">
        <v>230000</v>
      </c>
      <c r="P23" s="4">
        <v>120000</v>
      </c>
      <c r="Q23" s="4">
        <v>1000000</v>
      </c>
      <c r="R23" s="4">
        <v>0</v>
      </c>
      <c r="S23" s="4">
        <v>0</v>
      </c>
      <c r="T23" s="4">
        <v>1000000</v>
      </c>
      <c r="U23" s="4">
        <v>165362.04855190555</v>
      </c>
      <c r="V23" s="4">
        <v>130000</v>
      </c>
      <c r="W23" s="4">
        <v>30000</v>
      </c>
      <c r="X23" s="4">
        <v>0</v>
      </c>
      <c r="Y23" s="4">
        <v>135362.04855190555</v>
      </c>
      <c r="Z23" s="9"/>
    </row>
    <row r="24" spans="1:26" x14ac:dyDescent="0.25">
      <c r="A24" s="1" t="s">
        <v>56</v>
      </c>
      <c r="B24" s="1" t="str">
        <f>VLOOKUP(A24,[7]LISTADHERENT!A$5:H$57,3,0)</f>
        <v>NDJOMO ETIENNE</v>
      </c>
      <c r="C24" s="4">
        <v>480000</v>
      </c>
      <c r="D24" s="4">
        <v>91731.680250305682</v>
      </c>
      <c r="E24" s="4">
        <v>57225.614111341449</v>
      </c>
      <c r="F24" s="4">
        <v>0</v>
      </c>
      <c r="G24" s="4">
        <v>151000</v>
      </c>
      <c r="H24" s="4">
        <v>7000</v>
      </c>
      <c r="I24" s="4">
        <v>14000</v>
      </c>
      <c r="J24" s="4">
        <v>35000</v>
      </c>
      <c r="K24" s="4">
        <v>0</v>
      </c>
      <c r="L24" s="4">
        <v>0</v>
      </c>
      <c r="M24" s="4">
        <v>0</v>
      </c>
      <c r="N24" s="4">
        <v>500000</v>
      </c>
      <c r="O24" s="4">
        <v>50000</v>
      </c>
      <c r="P24" s="4">
        <v>0</v>
      </c>
      <c r="Q24" s="4">
        <v>500000</v>
      </c>
      <c r="R24" s="4">
        <v>0</v>
      </c>
      <c r="S24" s="4">
        <v>0</v>
      </c>
      <c r="T24" s="4">
        <v>0</v>
      </c>
      <c r="U24" s="4">
        <v>299957.2943616471</v>
      </c>
      <c r="V24" s="4">
        <v>240000</v>
      </c>
      <c r="W24" s="4">
        <v>30000</v>
      </c>
      <c r="X24" s="4">
        <v>0</v>
      </c>
      <c r="Y24" s="4">
        <v>269957.2943616471</v>
      </c>
      <c r="Z24" s="9"/>
    </row>
    <row r="25" spans="1:26" x14ac:dyDescent="0.25">
      <c r="A25" s="1" t="s">
        <v>57</v>
      </c>
      <c r="B25" s="1" t="str">
        <f>VLOOKUP(A25,[7]LISTADHERENT!A$5:H$57,3,0)</f>
        <v>NGANHOU JEAN</v>
      </c>
      <c r="C25" s="4">
        <v>0</v>
      </c>
      <c r="D25" s="4">
        <v>2138.4782390296004</v>
      </c>
      <c r="E25" s="4">
        <v>0.16900408919900656</v>
      </c>
      <c r="F25" s="4">
        <v>0</v>
      </c>
      <c r="G25" s="4">
        <v>30000</v>
      </c>
      <c r="H25" s="4">
        <v>2500</v>
      </c>
      <c r="I25" s="4">
        <v>5000</v>
      </c>
      <c r="J25" s="4">
        <v>12500</v>
      </c>
      <c r="K25" s="4">
        <v>2000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32138.647243118801</v>
      </c>
      <c r="V25" s="4">
        <v>2139</v>
      </c>
      <c r="W25" s="4">
        <v>30000</v>
      </c>
      <c r="X25" s="4">
        <v>0</v>
      </c>
      <c r="Y25" s="4">
        <v>2138.6472431188013</v>
      </c>
      <c r="Z25" s="9"/>
    </row>
    <row r="26" spans="1:26" s="7" customFormat="1" x14ac:dyDescent="0.25">
      <c r="A26" s="5" t="s">
        <v>58</v>
      </c>
      <c r="B26" s="1" t="str">
        <f>VLOOKUP(A26,[7]LISTADHERENT!A$5:H$57,3,0)</f>
        <v>NGONDIEP CLAUDE</v>
      </c>
      <c r="C26" s="4">
        <v>480000</v>
      </c>
      <c r="D26" s="4">
        <v>0</v>
      </c>
      <c r="E26" s="4">
        <v>0.28740352351451293</v>
      </c>
      <c r="F26" s="4">
        <v>0</v>
      </c>
      <c r="G26" s="4">
        <v>100000</v>
      </c>
      <c r="H26" s="4">
        <v>7000</v>
      </c>
      <c r="I26" s="4">
        <v>14000</v>
      </c>
      <c r="J26" s="4">
        <v>35000</v>
      </c>
      <c r="K26" s="4">
        <v>6000</v>
      </c>
      <c r="L26" s="4">
        <v>0</v>
      </c>
      <c r="M26" s="4">
        <v>0</v>
      </c>
      <c r="N26" s="4">
        <v>1176000</v>
      </c>
      <c r="O26" s="4">
        <v>0</v>
      </c>
      <c r="P26" s="4">
        <v>0</v>
      </c>
      <c r="Q26" s="4">
        <v>1305360</v>
      </c>
      <c r="R26" s="4">
        <v>129360</v>
      </c>
      <c r="S26" s="4">
        <v>0</v>
      </c>
      <c r="T26" s="4">
        <v>0</v>
      </c>
      <c r="U26" s="4">
        <v>100000.28740352351</v>
      </c>
      <c r="V26" s="4">
        <v>60000</v>
      </c>
      <c r="W26" s="4">
        <v>30000</v>
      </c>
      <c r="X26" s="4">
        <v>0</v>
      </c>
      <c r="Y26" s="4">
        <v>70000.287403523515</v>
      </c>
      <c r="Z26" s="6"/>
    </row>
    <row r="27" spans="1:26" s="7" customFormat="1" x14ac:dyDescent="0.25">
      <c r="A27" s="5" t="s">
        <v>59</v>
      </c>
      <c r="B27" s="1" t="str">
        <f>VLOOKUP(A27,[7]LISTADHERENT!A$5:H$57,3,0)</f>
        <v>NGONGANG JEAN THEODORE</v>
      </c>
      <c r="C27" s="4">
        <v>117045</v>
      </c>
      <c r="D27" s="4">
        <v>0</v>
      </c>
      <c r="E27" s="4">
        <v>22.240996590782743</v>
      </c>
      <c r="F27" s="4">
        <v>0</v>
      </c>
      <c r="G27" s="4">
        <v>84000</v>
      </c>
      <c r="H27" s="4">
        <v>7000</v>
      </c>
      <c r="I27" s="4">
        <v>14000</v>
      </c>
      <c r="J27" s="4">
        <v>35000</v>
      </c>
      <c r="K27" s="4">
        <v>3000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84022.240996590786</v>
      </c>
      <c r="V27" s="4">
        <v>54022</v>
      </c>
      <c r="W27" s="4">
        <v>30000</v>
      </c>
      <c r="X27" s="4">
        <v>0</v>
      </c>
      <c r="Y27" s="4">
        <v>54022.240996590786</v>
      </c>
      <c r="Z27" s="6"/>
    </row>
    <row r="28" spans="1:26" x14ac:dyDescent="0.25">
      <c r="A28" s="1" t="s">
        <v>60</v>
      </c>
      <c r="B28" s="1" t="str">
        <f>VLOOKUP(A28,[7]LISTADHERENT!A$5:H$57,3,0)</f>
        <v>NGUIEMEGNI MATHIEU BLAISE</v>
      </c>
      <c r="C28" s="4">
        <v>480000</v>
      </c>
      <c r="D28" s="4">
        <v>91170.310621746714</v>
      </c>
      <c r="E28" s="4">
        <v>72138.254558185639</v>
      </c>
      <c r="F28" s="4">
        <v>0</v>
      </c>
      <c r="G28" s="4">
        <v>82000</v>
      </c>
      <c r="H28" s="4">
        <v>7000</v>
      </c>
      <c r="I28" s="4">
        <v>14000</v>
      </c>
      <c r="J28" s="4">
        <v>35000</v>
      </c>
      <c r="K28" s="4">
        <v>4000</v>
      </c>
      <c r="L28" s="4">
        <v>0</v>
      </c>
      <c r="M28" s="4">
        <v>0</v>
      </c>
      <c r="N28" s="4">
        <v>1150000</v>
      </c>
      <c r="O28" s="4">
        <v>114500</v>
      </c>
      <c r="P28" s="4">
        <v>4500</v>
      </c>
      <c r="Q28" s="4">
        <v>1000000</v>
      </c>
      <c r="R28" s="4">
        <v>0</v>
      </c>
      <c r="S28" s="4">
        <v>0</v>
      </c>
      <c r="T28" s="4">
        <v>150000</v>
      </c>
      <c r="U28" s="4">
        <v>245308.56517993234</v>
      </c>
      <c r="V28" s="4">
        <v>200000</v>
      </c>
      <c r="W28" s="4">
        <v>30000</v>
      </c>
      <c r="X28" s="4">
        <v>0</v>
      </c>
      <c r="Y28" s="4">
        <v>215308.56517993234</v>
      </c>
      <c r="Z28" s="9" t="s">
        <v>61</v>
      </c>
    </row>
    <row r="29" spans="1:26" s="7" customFormat="1" x14ac:dyDescent="0.25">
      <c r="A29" s="5" t="s">
        <v>62</v>
      </c>
      <c r="B29" s="1" t="str">
        <f>VLOOKUP(A29,[7]LISTADHERENT!A$5:H$57,3,0)</f>
        <v>NJEPDJIO MBOUKAM DELUXE</v>
      </c>
      <c r="C29" s="4">
        <v>480000</v>
      </c>
      <c r="D29" s="4">
        <v>78422.245259251824</v>
      </c>
      <c r="E29" s="4">
        <v>689.31860616087215</v>
      </c>
      <c r="F29" s="4">
        <v>0</v>
      </c>
      <c r="G29" s="4">
        <v>30000</v>
      </c>
      <c r="H29" s="4">
        <v>2500</v>
      </c>
      <c r="I29" s="4">
        <v>5000</v>
      </c>
      <c r="J29" s="4">
        <v>12500</v>
      </c>
      <c r="K29" s="4">
        <v>5000</v>
      </c>
      <c r="L29" s="4">
        <v>0</v>
      </c>
      <c r="M29" s="4">
        <v>0</v>
      </c>
      <c r="N29" s="4">
        <v>700000</v>
      </c>
      <c r="O29" s="4">
        <v>84000</v>
      </c>
      <c r="P29" s="4">
        <v>0</v>
      </c>
      <c r="Q29" s="4">
        <v>0</v>
      </c>
      <c r="R29" s="4">
        <v>108500</v>
      </c>
      <c r="S29" s="4">
        <v>0</v>
      </c>
      <c r="T29" s="4">
        <v>808500</v>
      </c>
      <c r="U29" s="4">
        <v>109111.5638654127</v>
      </c>
      <c r="V29" s="4">
        <v>79112</v>
      </c>
      <c r="W29" s="4">
        <v>30000</v>
      </c>
      <c r="X29" s="4">
        <v>0</v>
      </c>
      <c r="Y29" s="4">
        <v>79111.563865412696</v>
      </c>
      <c r="Z29" s="6" t="s">
        <v>30</v>
      </c>
    </row>
    <row r="30" spans="1:26" s="11" customFormat="1" x14ac:dyDescent="0.25">
      <c r="A30" s="1" t="s">
        <v>63</v>
      </c>
      <c r="B30" s="1" t="str">
        <f>VLOOKUP(A30,[7]LISTADHERENT!A$5:H$57,3,0)</f>
        <v>NKAMGANG JUSTIN DEJOLIE</v>
      </c>
      <c r="C30" s="4">
        <v>480000</v>
      </c>
      <c r="D30" s="4">
        <v>80425.990897485564</v>
      </c>
      <c r="E30" s="4">
        <v>36.350487807299942</v>
      </c>
      <c r="F30" s="4">
        <v>0</v>
      </c>
      <c r="G30" s="4">
        <v>144000</v>
      </c>
      <c r="H30" s="4">
        <v>7000</v>
      </c>
      <c r="I30" s="4">
        <v>14000</v>
      </c>
      <c r="J30" s="4">
        <v>35000</v>
      </c>
      <c r="K30" s="4">
        <v>23000</v>
      </c>
      <c r="L30" s="4">
        <v>0</v>
      </c>
      <c r="M30" s="4">
        <v>0</v>
      </c>
      <c r="N30" s="4">
        <v>3000000</v>
      </c>
      <c r="O30" s="4">
        <v>170000</v>
      </c>
      <c r="P30" s="4">
        <v>50000</v>
      </c>
      <c r="Q30" s="4">
        <v>2000000</v>
      </c>
      <c r="R30" s="4">
        <v>0</v>
      </c>
      <c r="S30" s="4">
        <v>0</v>
      </c>
      <c r="T30" s="4">
        <v>1000000</v>
      </c>
      <c r="U30" s="4">
        <v>224462.34138529288</v>
      </c>
      <c r="V30" s="4">
        <v>120000</v>
      </c>
      <c r="W30" s="4">
        <v>30000</v>
      </c>
      <c r="X30" s="4">
        <v>0</v>
      </c>
      <c r="Y30" s="4">
        <v>194462.34138529288</v>
      </c>
      <c r="Z30" s="9" t="s">
        <v>64</v>
      </c>
    </row>
    <row r="31" spans="1:26" x14ac:dyDescent="0.25">
      <c r="A31" s="1" t="s">
        <v>65</v>
      </c>
      <c r="B31" s="1" t="str">
        <f>VLOOKUP(A31,[7]LISTADHERENT!A$5:H$57,3,0)</f>
        <v>NKEHE DAVID</v>
      </c>
      <c r="C31" s="4">
        <v>480000</v>
      </c>
      <c r="D31" s="4">
        <v>79900.26982663176</v>
      </c>
      <c r="E31" s="4">
        <v>0.30040658926009201</v>
      </c>
      <c r="F31" s="4">
        <v>0</v>
      </c>
      <c r="G31" s="4">
        <v>86500</v>
      </c>
      <c r="H31" s="4">
        <v>7000</v>
      </c>
      <c r="I31" s="4">
        <v>14000</v>
      </c>
      <c r="J31" s="4">
        <v>35000</v>
      </c>
      <c r="K31" s="4">
        <v>11000</v>
      </c>
      <c r="L31" s="4">
        <v>0</v>
      </c>
      <c r="M31" s="4">
        <v>0</v>
      </c>
      <c r="N31" s="4">
        <v>2000000</v>
      </c>
      <c r="O31" s="4">
        <v>240000</v>
      </c>
      <c r="P31" s="4">
        <v>120000</v>
      </c>
      <c r="Q31" s="4">
        <v>1000000</v>
      </c>
      <c r="R31" s="4">
        <v>0</v>
      </c>
      <c r="S31" s="4">
        <v>0</v>
      </c>
      <c r="T31" s="4">
        <v>1000000</v>
      </c>
      <c r="U31" s="4">
        <v>166400.57023322102</v>
      </c>
      <c r="V31" s="4">
        <v>133000</v>
      </c>
      <c r="W31" s="4">
        <v>30000</v>
      </c>
      <c r="X31" s="4">
        <v>0</v>
      </c>
      <c r="Y31" s="4">
        <v>136400.57023322102</v>
      </c>
      <c r="Z31" s="9" t="s">
        <v>51</v>
      </c>
    </row>
    <row r="32" spans="1:26" x14ac:dyDescent="0.25">
      <c r="A32" s="1" t="s">
        <v>66</v>
      </c>
      <c r="B32" s="1" t="str">
        <f>VLOOKUP(A32,[7]LISTADHERENT!A$5:H$57,3,0)</f>
        <v>NKEPSEU DIEUDONNE</v>
      </c>
      <c r="C32" s="4">
        <v>480000</v>
      </c>
      <c r="D32" s="4">
        <v>80218.625624560562</v>
      </c>
      <c r="E32" s="4">
        <v>109.79976263979916</v>
      </c>
      <c r="F32" s="4">
        <v>0</v>
      </c>
      <c r="G32" s="4">
        <v>94000</v>
      </c>
      <c r="H32" s="4">
        <v>7000</v>
      </c>
      <c r="I32" s="4">
        <v>14000</v>
      </c>
      <c r="J32" s="4">
        <v>35000</v>
      </c>
      <c r="K32" s="4">
        <v>7000</v>
      </c>
      <c r="L32" s="4">
        <v>0</v>
      </c>
      <c r="M32" s="4">
        <v>0</v>
      </c>
      <c r="N32" s="4">
        <v>2000000</v>
      </c>
      <c r="O32" s="4">
        <v>230000</v>
      </c>
      <c r="P32" s="4">
        <v>120000</v>
      </c>
      <c r="Q32" s="4">
        <v>1000000</v>
      </c>
      <c r="R32" s="4">
        <v>0</v>
      </c>
      <c r="S32" s="4">
        <v>0</v>
      </c>
      <c r="T32" s="4">
        <v>1000000</v>
      </c>
      <c r="U32" s="4">
        <v>174328.42538720038</v>
      </c>
      <c r="V32" s="4">
        <v>140000</v>
      </c>
      <c r="W32" s="4">
        <v>30000</v>
      </c>
      <c r="X32" s="4">
        <v>0</v>
      </c>
      <c r="Y32" s="4">
        <v>144328.42538720038</v>
      </c>
      <c r="Z32" s="9" t="s">
        <v>67</v>
      </c>
    </row>
    <row r="33" spans="1:26" x14ac:dyDescent="0.25">
      <c r="A33" s="1" t="s">
        <v>68</v>
      </c>
      <c r="B33" s="1" t="str">
        <f>VLOOKUP(A33,[7]LISTADHERENT!A$5:H$57,3,0)</f>
        <v>PATEGO NJOSSU GUSTAVE</v>
      </c>
      <c r="C33" s="4">
        <v>480000</v>
      </c>
      <c r="D33" s="4">
        <v>82325.064676950074</v>
      </c>
      <c r="E33" s="4">
        <v>15968.295339537319</v>
      </c>
      <c r="F33" s="4">
        <v>0</v>
      </c>
      <c r="G33" s="4">
        <v>84000</v>
      </c>
      <c r="H33" s="4">
        <v>7000</v>
      </c>
      <c r="I33" s="4">
        <v>14000</v>
      </c>
      <c r="J33" s="4">
        <v>35000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182293.36001648739</v>
      </c>
      <c r="V33" s="4">
        <v>3500</v>
      </c>
      <c r="W33" s="4">
        <v>30000</v>
      </c>
      <c r="X33" s="4">
        <v>0</v>
      </c>
      <c r="Y33" s="4">
        <v>152293.36001648739</v>
      </c>
      <c r="Z33" s="9"/>
    </row>
    <row r="34" spans="1:26" x14ac:dyDescent="0.25">
      <c r="A34" s="1" t="s">
        <v>69</v>
      </c>
      <c r="B34" s="1" t="str">
        <f>VLOOKUP(A34,[7]LISTADHERENT!A$5:H$57,3,0)</f>
        <v>SEUNOU RICHELOT</v>
      </c>
      <c r="C34" s="4">
        <v>480000</v>
      </c>
      <c r="D34" s="4">
        <v>79309.541006732557</v>
      </c>
      <c r="E34" s="4">
        <v>0.17330693561234511</v>
      </c>
      <c r="F34" s="4">
        <v>0</v>
      </c>
      <c r="G34" s="4">
        <v>54000</v>
      </c>
      <c r="H34" s="4">
        <v>4500</v>
      </c>
      <c r="I34" s="4">
        <v>9000</v>
      </c>
      <c r="J34" s="4">
        <v>22500</v>
      </c>
      <c r="K34" s="4">
        <v>15000</v>
      </c>
      <c r="L34" s="4">
        <v>0</v>
      </c>
      <c r="M34" s="4">
        <v>0</v>
      </c>
      <c r="N34" s="4">
        <v>1000000</v>
      </c>
      <c r="O34" s="4">
        <v>40000</v>
      </c>
      <c r="P34" s="4">
        <v>0</v>
      </c>
      <c r="Q34" s="4">
        <v>1155000</v>
      </c>
      <c r="R34" s="4">
        <v>155000</v>
      </c>
      <c r="S34" s="4">
        <v>0</v>
      </c>
      <c r="T34" s="4">
        <v>0</v>
      </c>
      <c r="U34" s="4">
        <v>133309.71431366817</v>
      </c>
      <c r="V34" s="4">
        <v>103310</v>
      </c>
      <c r="W34" s="4">
        <v>30000</v>
      </c>
      <c r="X34" s="4">
        <v>0</v>
      </c>
      <c r="Y34" s="4">
        <v>103309.71431366817</v>
      </c>
      <c r="Z34" s="9"/>
    </row>
    <row r="35" spans="1:26" x14ac:dyDescent="0.25">
      <c r="A35" s="1" t="s">
        <v>70</v>
      </c>
      <c r="B35" s="1" t="str">
        <f>VLOOKUP(A35,[7]LISTADHERENT!A$5:H$57,3,0)</f>
        <v>SIME BRICE</v>
      </c>
      <c r="C35" s="4">
        <v>0</v>
      </c>
      <c r="D35" s="4">
        <v>3376.913330814542</v>
      </c>
      <c r="E35" s="4">
        <v>0</v>
      </c>
      <c r="F35" s="4">
        <v>0</v>
      </c>
      <c r="G35" s="4">
        <v>104000</v>
      </c>
      <c r="H35" s="4">
        <v>7000</v>
      </c>
      <c r="I35" s="4">
        <v>14000</v>
      </c>
      <c r="J35" s="4">
        <v>35000</v>
      </c>
      <c r="K35" s="4">
        <v>3000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107376.91333081454</v>
      </c>
      <c r="V35" s="4">
        <v>0</v>
      </c>
      <c r="W35" s="4">
        <v>107377</v>
      </c>
      <c r="X35" s="4">
        <v>0</v>
      </c>
      <c r="Y35" s="4">
        <v>-8.6669185460777953E-2</v>
      </c>
      <c r="Z35" s="9"/>
    </row>
    <row r="36" spans="1:26" s="7" customFormat="1" x14ac:dyDescent="0.25">
      <c r="A36" s="5" t="s">
        <v>71</v>
      </c>
      <c r="B36" s="1" t="str">
        <f>VLOOKUP(A36,[7]LISTADHERENT!A$5:H$57,3,0)</f>
        <v>SIMO FONGANG ERIC</v>
      </c>
      <c r="C36" s="4">
        <v>480000</v>
      </c>
      <c r="D36" s="4">
        <v>80174.992283614876</v>
      </c>
      <c r="E36" s="4">
        <v>2777.4644755606423</v>
      </c>
      <c r="F36" s="4">
        <v>0</v>
      </c>
      <c r="G36" s="4">
        <v>82000</v>
      </c>
      <c r="H36" s="4">
        <v>7000</v>
      </c>
      <c r="I36" s="4">
        <v>14000</v>
      </c>
      <c r="J36" s="4">
        <v>35000</v>
      </c>
      <c r="K36" s="4">
        <v>13000</v>
      </c>
      <c r="L36" s="4">
        <v>0</v>
      </c>
      <c r="M36" s="4">
        <v>0</v>
      </c>
      <c r="N36" s="4">
        <v>1000000</v>
      </c>
      <c r="O36" s="4">
        <v>90000</v>
      </c>
      <c r="P36" s="4">
        <v>0</v>
      </c>
      <c r="Q36" s="4">
        <v>400000</v>
      </c>
      <c r="R36" s="4">
        <v>155000</v>
      </c>
      <c r="S36" s="4">
        <v>0</v>
      </c>
      <c r="T36" s="4">
        <v>755000</v>
      </c>
      <c r="U36" s="4">
        <v>164952.45675917552</v>
      </c>
      <c r="V36" s="4">
        <v>130000</v>
      </c>
      <c r="W36" s="4">
        <v>30000</v>
      </c>
      <c r="X36" s="4">
        <v>0</v>
      </c>
      <c r="Y36" s="4">
        <v>134952.45675917552</v>
      </c>
      <c r="Z36" s="6" t="s">
        <v>72</v>
      </c>
    </row>
    <row r="37" spans="1:26" x14ac:dyDescent="0.25">
      <c r="A37" s="1" t="s">
        <v>73</v>
      </c>
      <c r="B37" s="1" t="str">
        <f>VLOOKUP(A37,[7]LISTADHERENT!A$5:H$57,3,0)</f>
        <v>SIME MATHIEU</v>
      </c>
      <c r="C37" s="4">
        <v>480000</v>
      </c>
      <c r="D37" s="4">
        <v>79793.71388976372</v>
      </c>
      <c r="E37" s="4">
        <v>0</v>
      </c>
      <c r="F37" s="4">
        <v>0</v>
      </c>
      <c r="G37" s="4">
        <v>84000</v>
      </c>
      <c r="H37" s="4">
        <v>7000</v>
      </c>
      <c r="I37" s="4">
        <v>14000</v>
      </c>
      <c r="J37" s="4">
        <v>35000</v>
      </c>
      <c r="K37" s="4">
        <v>0</v>
      </c>
      <c r="L37" s="4">
        <v>0</v>
      </c>
      <c r="M37" s="4">
        <v>0</v>
      </c>
      <c r="N37" s="4">
        <v>184035</v>
      </c>
      <c r="O37" s="4">
        <v>20243.849999999999</v>
      </c>
      <c r="P37" s="4">
        <v>0</v>
      </c>
      <c r="Q37" s="4">
        <v>184035</v>
      </c>
      <c r="R37" s="4">
        <v>0</v>
      </c>
      <c r="S37" s="4">
        <v>0</v>
      </c>
      <c r="T37" s="4">
        <v>0</v>
      </c>
      <c r="U37" s="4">
        <v>163793.71388976372</v>
      </c>
      <c r="V37" s="4">
        <v>0</v>
      </c>
      <c r="W37" s="4">
        <v>30000</v>
      </c>
      <c r="X37" s="4">
        <v>0</v>
      </c>
      <c r="Y37" s="4">
        <v>133793.71388976372</v>
      </c>
      <c r="Z37" s="9"/>
    </row>
    <row r="38" spans="1:26" x14ac:dyDescent="0.25">
      <c r="A38" s="1" t="s">
        <v>74</v>
      </c>
      <c r="B38" s="1" t="str">
        <f>VLOOKUP(A38,[7]LISTADHERENT!A$5:H$57,3,0)</f>
        <v>SIMO PIERRE</v>
      </c>
      <c r="C38" s="4">
        <v>480000</v>
      </c>
      <c r="D38" s="4">
        <v>84611.13302311454</v>
      </c>
      <c r="E38" s="4">
        <v>-0.39887899404857308</v>
      </c>
      <c r="F38" s="4">
        <v>0</v>
      </c>
      <c r="G38" s="4">
        <v>174000</v>
      </c>
      <c r="H38" s="4">
        <v>7000</v>
      </c>
      <c r="I38" s="4">
        <v>14000</v>
      </c>
      <c r="J38" s="4">
        <v>35000</v>
      </c>
      <c r="K38" s="4">
        <v>2000</v>
      </c>
      <c r="L38" s="4">
        <v>0</v>
      </c>
      <c r="M38" s="4">
        <v>0</v>
      </c>
      <c r="N38" s="4">
        <v>1000000</v>
      </c>
      <c r="O38" s="4">
        <v>110000</v>
      </c>
      <c r="P38" s="4">
        <v>60000</v>
      </c>
      <c r="Q38" s="4">
        <v>500000</v>
      </c>
      <c r="R38" s="4">
        <v>0</v>
      </c>
      <c r="S38" s="4">
        <v>0</v>
      </c>
      <c r="T38" s="4">
        <v>500000</v>
      </c>
      <c r="U38" s="4">
        <v>258610.73414412048</v>
      </c>
      <c r="V38" s="4">
        <v>200000</v>
      </c>
      <c r="W38" s="4">
        <v>30000</v>
      </c>
      <c r="X38" s="4">
        <v>0</v>
      </c>
      <c r="Y38" s="4">
        <v>228610.73414412048</v>
      </c>
      <c r="Z38" s="9"/>
    </row>
    <row r="39" spans="1:26" x14ac:dyDescent="0.25">
      <c r="A39" s="1" t="s">
        <v>75</v>
      </c>
      <c r="B39" s="1" t="str">
        <f>VLOOKUP(A39,[7]LISTADHERENT!A$5:H$57,3,0)</f>
        <v>TCHOUAMOU MATHIEU</v>
      </c>
      <c r="C39" s="4">
        <v>480000</v>
      </c>
      <c r="D39" s="4">
        <v>95391.522236883728</v>
      </c>
      <c r="E39" s="4">
        <v>1360.775029899698</v>
      </c>
      <c r="F39" s="4">
        <v>0</v>
      </c>
      <c r="G39" s="4">
        <v>84000</v>
      </c>
      <c r="H39" s="4">
        <v>7000</v>
      </c>
      <c r="I39" s="4">
        <v>14000</v>
      </c>
      <c r="J39" s="4">
        <v>35000</v>
      </c>
      <c r="K39" s="4">
        <v>0</v>
      </c>
      <c r="L39" s="4">
        <v>0</v>
      </c>
      <c r="M39" s="4">
        <v>0</v>
      </c>
      <c r="N39" s="4">
        <v>2000000</v>
      </c>
      <c r="O39" s="4">
        <v>200000</v>
      </c>
      <c r="P39" s="4">
        <v>110000</v>
      </c>
      <c r="Q39" s="4">
        <v>1000000</v>
      </c>
      <c r="R39" s="4">
        <v>0</v>
      </c>
      <c r="S39" s="4">
        <v>0</v>
      </c>
      <c r="T39" s="4">
        <v>1000000</v>
      </c>
      <c r="U39" s="4">
        <v>180752.29726678343</v>
      </c>
      <c r="V39" s="4">
        <v>0</v>
      </c>
      <c r="W39" s="4">
        <v>30000</v>
      </c>
      <c r="X39" s="4">
        <v>0</v>
      </c>
      <c r="Y39" s="4">
        <v>150752.29726678343</v>
      </c>
      <c r="Z39" s="9" t="s">
        <v>35</v>
      </c>
    </row>
    <row r="40" spans="1:26" s="7" customFormat="1" x14ac:dyDescent="0.25">
      <c r="A40" s="5" t="s">
        <v>76</v>
      </c>
      <c r="B40" s="1" t="str">
        <f>VLOOKUP(A40,[7]LISTADHERENT!A$5:H$57,3,0)</f>
        <v>TCHOUANTE FRANCOIS</v>
      </c>
      <c r="C40" s="4">
        <v>480000</v>
      </c>
      <c r="D40" s="4">
        <v>78500.211202080493</v>
      </c>
      <c r="E40" s="4">
        <v>1225.3544029653422</v>
      </c>
      <c r="F40" s="4">
        <v>0</v>
      </c>
      <c r="G40" s="4">
        <v>30000</v>
      </c>
      <c r="H40" s="4">
        <v>2500</v>
      </c>
      <c r="I40" s="4">
        <v>5000</v>
      </c>
      <c r="J40" s="4">
        <v>12500</v>
      </c>
      <c r="K40" s="4">
        <v>4000</v>
      </c>
      <c r="L40" s="4">
        <v>0</v>
      </c>
      <c r="M40" s="4">
        <v>0</v>
      </c>
      <c r="N40" s="4">
        <v>850000</v>
      </c>
      <c r="O40" s="4">
        <v>95000</v>
      </c>
      <c r="P40" s="4">
        <v>0</v>
      </c>
      <c r="Q40" s="4">
        <v>0</v>
      </c>
      <c r="R40" s="4">
        <v>131750</v>
      </c>
      <c r="S40" s="4">
        <v>0</v>
      </c>
      <c r="T40" s="4">
        <v>981750</v>
      </c>
      <c r="U40" s="4">
        <v>109725.56560504583</v>
      </c>
      <c r="V40" s="4">
        <v>109726</v>
      </c>
      <c r="W40" s="4">
        <v>0</v>
      </c>
      <c r="X40" s="4">
        <v>0</v>
      </c>
      <c r="Y40" s="4">
        <v>109725.56560504583</v>
      </c>
      <c r="Z40" s="6" t="s">
        <v>67</v>
      </c>
    </row>
    <row r="41" spans="1:26" s="7" customFormat="1" x14ac:dyDescent="0.25">
      <c r="A41" s="5" t="s">
        <v>77</v>
      </c>
      <c r="B41" s="1" t="str">
        <f>VLOOKUP(A41,[7]LISTADHERENT!A$5:H$57,3,0)</f>
        <v>TCHOUTOU NANA CLAUDE</v>
      </c>
      <c r="C41" s="4">
        <v>30000</v>
      </c>
      <c r="D41" s="4">
        <v>0</v>
      </c>
      <c r="E41" s="4">
        <v>21.303203075842248</v>
      </c>
      <c r="F41" s="4">
        <v>0</v>
      </c>
      <c r="G41" s="4">
        <v>30000</v>
      </c>
      <c r="H41" s="4">
        <v>2500</v>
      </c>
      <c r="I41" s="4">
        <v>5000</v>
      </c>
      <c r="J41" s="4">
        <v>12500</v>
      </c>
      <c r="K41" s="4">
        <v>5500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30021.30320307584</v>
      </c>
      <c r="V41" s="4">
        <v>30021</v>
      </c>
      <c r="W41" s="4">
        <v>0</v>
      </c>
      <c r="X41" s="4">
        <v>0</v>
      </c>
      <c r="Y41" s="4">
        <v>30021.30320307584</v>
      </c>
      <c r="Z41" s="6"/>
    </row>
    <row r="42" spans="1:26" s="7" customFormat="1" x14ac:dyDescent="0.25">
      <c r="A42" s="5" t="s">
        <v>78</v>
      </c>
      <c r="B42" s="1" t="str">
        <f>VLOOKUP(A42,[7]LISTADHERENT!A$5:H$57,3,0)</f>
        <v>TIEYAM ERNEST</v>
      </c>
      <c r="C42" s="4">
        <v>480000</v>
      </c>
      <c r="D42" s="4">
        <v>77674.987774544497</v>
      </c>
      <c r="E42" s="4">
        <v>0.15040472695545759</v>
      </c>
      <c r="F42" s="4">
        <v>0</v>
      </c>
      <c r="G42" s="4">
        <v>22000</v>
      </c>
      <c r="H42" s="4">
        <v>2000</v>
      </c>
      <c r="I42" s="4">
        <v>4000</v>
      </c>
      <c r="J42" s="4">
        <v>10000</v>
      </c>
      <c r="K42" s="4">
        <v>11000</v>
      </c>
      <c r="L42" s="4">
        <v>0</v>
      </c>
      <c r="M42" s="4">
        <v>0</v>
      </c>
      <c r="N42" s="4">
        <v>2000000</v>
      </c>
      <c r="O42" s="4">
        <v>30000</v>
      </c>
      <c r="P42" s="4">
        <v>0</v>
      </c>
      <c r="Q42" s="4">
        <v>1000000</v>
      </c>
      <c r="R42" s="4">
        <v>155000</v>
      </c>
      <c r="S42" s="4">
        <v>0</v>
      </c>
      <c r="T42" s="4">
        <v>1155000</v>
      </c>
      <c r="U42" s="4">
        <v>99675.138179271453</v>
      </c>
      <c r="V42" s="4">
        <v>69675</v>
      </c>
      <c r="W42" s="4">
        <v>30000</v>
      </c>
      <c r="X42" s="4">
        <v>0</v>
      </c>
      <c r="Y42" s="4">
        <v>69675.138179271453</v>
      </c>
      <c r="Z42" s="6" t="s">
        <v>35</v>
      </c>
    </row>
    <row r="43" spans="1:26" x14ac:dyDescent="0.25">
      <c r="A43" s="1" t="s">
        <v>79</v>
      </c>
      <c r="B43" s="1" t="str">
        <f>VLOOKUP(A43,[7]LISTADHERENT!A$5:H$57,3,0)</f>
        <v>YEPMOU JEAN JACQUES</v>
      </c>
      <c r="C43" s="4">
        <v>480000</v>
      </c>
      <c r="D43" s="4">
        <v>149658.23869144428</v>
      </c>
      <c r="E43" s="4">
        <v>440720.17653060926</v>
      </c>
      <c r="F43" s="4">
        <v>0</v>
      </c>
      <c r="G43" s="4">
        <v>84000</v>
      </c>
      <c r="H43" s="4">
        <v>7000</v>
      </c>
      <c r="I43" s="4">
        <v>14000</v>
      </c>
      <c r="J43" s="4">
        <v>35000</v>
      </c>
      <c r="K43" s="4">
        <v>17000</v>
      </c>
      <c r="L43" s="4">
        <v>0</v>
      </c>
      <c r="M43" s="4">
        <v>0</v>
      </c>
      <c r="N43" s="4">
        <v>2700000</v>
      </c>
      <c r="O43" s="4">
        <v>151500</v>
      </c>
      <c r="P43" s="4">
        <v>35000</v>
      </c>
      <c r="Q43" s="4">
        <v>2037500</v>
      </c>
      <c r="R43" s="4">
        <v>37500</v>
      </c>
      <c r="S43" s="4">
        <v>0</v>
      </c>
      <c r="T43" s="4">
        <v>700000</v>
      </c>
      <c r="U43" s="4">
        <v>674378.41522205353</v>
      </c>
      <c r="V43" s="4">
        <v>0</v>
      </c>
      <c r="W43" s="4">
        <v>30000</v>
      </c>
      <c r="X43" s="4">
        <v>0</v>
      </c>
      <c r="Y43" s="4">
        <v>644378.41522205353</v>
      </c>
      <c r="Z43" s="9" t="s">
        <v>80</v>
      </c>
    </row>
    <row r="44" spans="1:26" x14ac:dyDescent="0.25">
      <c r="A44" s="1" t="s">
        <v>81</v>
      </c>
      <c r="B44" s="1" t="str">
        <f>VLOOKUP(A44,[7]LISTADHERENT!A$5:H$57,3,0)</f>
        <v>YOUMBI EMMANUEL</v>
      </c>
      <c r="C44" s="4">
        <v>480000</v>
      </c>
      <c r="D44" s="4">
        <v>317201.9797878497</v>
      </c>
      <c r="E44" s="4">
        <v>1198154.6510912008</v>
      </c>
      <c r="F44" s="4">
        <v>0</v>
      </c>
      <c r="G44" s="4">
        <v>1024000</v>
      </c>
      <c r="H44" s="4">
        <v>7000</v>
      </c>
      <c r="I44" s="4">
        <v>14000</v>
      </c>
      <c r="J44" s="4">
        <v>35000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2539356.6308790506</v>
      </c>
      <c r="V44" s="4">
        <v>0</v>
      </c>
      <c r="W44" s="4">
        <v>30000</v>
      </c>
      <c r="X44" s="4">
        <v>0</v>
      </c>
      <c r="Y44" s="4">
        <v>2509356.6308790506</v>
      </c>
      <c r="Z44" s="9"/>
    </row>
    <row r="45" spans="1:26" ht="18" x14ac:dyDescent="0.25">
      <c r="A45" s="1" t="s">
        <v>82</v>
      </c>
      <c r="B45" s="1"/>
      <c r="C45" s="12">
        <f>SUM(C2:C44)</f>
        <v>17782722.011083744</v>
      </c>
      <c r="D45" s="12">
        <f>SUM(D2:D44)</f>
        <v>3692643.8500000006</v>
      </c>
      <c r="E45" s="12">
        <f t="shared" ref="E45:Y45" si="0">SUM(E2:E44)</f>
        <v>4844130.5976969898</v>
      </c>
      <c r="F45" s="12">
        <f t="shared" si="0"/>
        <v>0</v>
      </c>
      <c r="G45" s="12">
        <f t="shared" si="0"/>
        <v>5614000</v>
      </c>
      <c r="H45" s="12">
        <f t="shared" si="0"/>
        <v>249500</v>
      </c>
      <c r="I45" s="12">
        <f t="shared" si="0"/>
        <v>499000</v>
      </c>
      <c r="J45" s="12">
        <f t="shared" si="0"/>
        <v>1247500</v>
      </c>
      <c r="K45" s="12">
        <f t="shared" si="0"/>
        <v>235500</v>
      </c>
      <c r="L45" s="12">
        <f t="shared" si="0"/>
        <v>0</v>
      </c>
      <c r="M45" s="12">
        <f t="shared" si="0"/>
        <v>0</v>
      </c>
      <c r="N45" s="12">
        <f t="shared" si="0"/>
        <v>46120035</v>
      </c>
      <c r="O45" s="12">
        <f t="shared" si="0"/>
        <v>3690143.85</v>
      </c>
      <c r="P45" s="12">
        <f t="shared" si="0"/>
        <v>1152300</v>
      </c>
      <c r="Q45" s="12">
        <f t="shared" si="0"/>
        <v>27308395</v>
      </c>
      <c r="R45" s="12">
        <f t="shared" si="0"/>
        <v>1475110</v>
      </c>
      <c r="S45" s="12">
        <f t="shared" si="0"/>
        <v>0</v>
      </c>
      <c r="T45" s="12">
        <f t="shared" si="0"/>
        <v>20286750</v>
      </c>
      <c r="U45" s="12">
        <f t="shared" si="0"/>
        <v>14150774.447696989</v>
      </c>
      <c r="V45" s="12">
        <f t="shared" si="0"/>
        <v>3581923</v>
      </c>
      <c r="W45" s="12">
        <f t="shared" si="0"/>
        <v>1265783</v>
      </c>
      <c r="X45" s="12"/>
      <c r="Y45" s="12">
        <f t="shared" si="0"/>
        <v>12884991.447696989</v>
      </c>
    </row>
  </sheetData>
  <autoFilter ref="A1:Q44">
    <sortState ref="A5:L48">
      <sortCondition ref="B5:B48"/>
    </sortState>
  </autoFilter>
  <pageMargins left="0.7" right="0.7" top="0.75" bottom="0.75" header="0.3" footer="0.3"/>
  <pageSetup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"/>
  <sheetViews>
    <sheetView workbookViewId="0">
      <pane xSplit="2" ySplit="5" topLeftCell="L9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C6" sqref="C6:S39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6.5703125" customWidth="1"/>
    <col min="4" max="4" width="15.28515625" customWidth="1"/>
    <col min="5" max="5" width="16.85546875" customWidth="1"/>
    <col min="6" max="6" width="20.7109375" customWidth="1"/>
    <col min="7" max="7" width="15" bestFit="1" customWidth="1"/>
    <col min="8" max="8" width="17.5703125" style="13" bestFit="1" customWidth="1"/>
    <col min="9" max="9" width="15.7109375" style="10" customWidth="1"/>
    <col min="10" max="12" width="12.42578125" style="10" customWidth="1"/>
    <col min="13" max="13" width="12.42578125" style="10" bestFit="1" customWidth="1"/>
    <col min="14" max="14" width="16.85546875" style="10" bestFit="1" customWidth="1"/>
    <col min="15" max="15" width="15" bestFit="1" customWidth="1"/>
    <col min="16" max="16" width="15" customWidth="1"/>
    <col min="17" max="17" width="18.140625" customWidth="1"/>
  </cols>
  <sheetData>
    <row r="1" spans="1:29" x14ac:dyDescent="0.25">
      <c r="A1" s="1" t="s">
        <v>83</v>
      </c>
      <c r="B1" s="1" t="s">
        <v>84</v>
      </c>
      <c r="C1" s="1"/>
      <c r="D1" s="1"/>
      <c r="E1" s="1"/>
      <c r="F1" s="1"/>
    </row>
    <row r="2" spans="1:29" x14ac:dyDescent="0.25">
      <c r="A2" s="1" t="s">
        <v>85</v>
      </c>
      <c r="B2" s="1" t="s">
        <v>86</v>
      </c>
      <c r="C2" s="1"/>
      <c r="D2" s="1"/>
      <c r="E2" s="1"/>
      <c r="F2" s="1"/>
    </row>
    <row r="3" spans="1:29" x14ac:dyDescent="0.25">
      <c r="A3" s="1" t="s">
        <v>87</v>
      </c>
      <c r="B3" s="4">
        <v>30000</v>
      </c>
      <c r="C3" s="4"/>
      <c r="D3" s="1"/>
      <c r="E3" s="1"/>
      <c r="F3" s="1"/>
    </row>
    <row r="4" spans="1:29" ht="26.25" x14ac:dyDescent="0.4">
      <c r="B4" s="14"/>
      <c r="C4" s="14"/>
      <c r="D4" s="19" t="s">
        <v>88</v>
      </c>
      <c r="E4" s="19"/>
      <c r="F4" s="19"/>
      <c r="G4" s="19"/>
      <c r="H4" s="15"/>
      <c r="I4" s="15"/>
      <c r="J4" s="15"/>
      <c r="K4"/>
      <c r="L4"/>
      <c r="M4"/>
      <c r="N4"/>
    </row>
    <row r="5" spans="1:29" ht="43.5" x14ac:dyDescent="0.25">
      <c r="A5" s="1" t="s">
        <v>0</v>
      </c>
      <c r="B5" s="1" t="s">
        <v>89</v>
      </c>
      <c r="C5" s="3" t="s">
        <v>2</v>
      </c>
      <c r="D5" s="3" t="s">
        <v>90</v>
      </c>
      <c r="E5" s="1" t="s">
        <v>5</v>
      </c>
      <c r="F5" s="3" t="s">
        <v>91</v>
      </c>
      <c r="G5" s="1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92</v>
      </c>
      <c r="M5" s="3" t="s">
        <v>12</v>
      </c>
      <c r="N5" s="3" t="s">
        <v>93</v>
      </c>
      <c r="O5" s="3" t="s">
        <v>14</v>
      </c>
      <c r="P5" s="3" t="s">
        <v>94</v>
      </c>
      <c r="Q5" s="3" t="s">
        <v>15</v>
      </c>
      <c r="R5" s="3" t="s">
        <v>95</v>
      </c>
      <c r="S5" s="3" t="s">
        <v>17</v>
      </c>
      <c r="T5" s="3" t="s">
        <v>24</v>
      </c>
    </row>
    <row r="6" spans="1:29" x14ac:dyDescent="0.25">
      <c r="A6" s="1" t="s">
        <v>25</v>
      </c>
      <c r="B6" s="1" t="str">
        <f>VLOOKUP(A6,[7]LISTADHERENT!A$5:H$60,3,0)</f>
        <v>ASELBY</v>
      </c>
      <c r="C6" s="18">
        <v>456750.01108374598</v>
      </c>
      <c r="D6" s="18">
        <v>27413.199725652303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4"/>
      <c r="U6" s="10"/>
      <c r="V6" s="10"/>
      <c r="W6" s="10"/>
      <c r="X6" s="10"/>
      <c r="Y6" s="10"/>
      <c r="Z6" s="10"/>
      <c r="AA6" s="10"/>
      <c r="AB6" s="10"/>
      <c r="AC6" s="10"/>
    </row>
    <row r="7" spans="1:29" x14ac:dyDescent="0.25">
      <c r="A7" s="1" t="s">
        <v>28</v>
      </c>
      <c r="B7" s="1" t="str">
        <f>VLOOKUP(A7,[7]LISTADHERENT!A$5:H$60,3,0)</f>
        <v>BOUTCHOUANG WILLIAM</v>
      </c>
      <c r="C7" s="18">
        <v>510000</v>
      </c>
      <c r="D7" s="18">
        <v>27449.441700343625</v>
      </c>
      <c r="E7" s="18">
        <v>0</v>
      </c>
      <c r="F7" s="18">
        <v>30000</v>
      </c>
      <c r="G7" s="18">
        <v>18000</v>
      </c>
      <c r="H7" s="18">
        <v>1500</v>
      </c>
      <c r="I7" s="18">
        <v>3000</v>
      </c>
      <c r="J7" s="18">
        <v>7500</v>
      </c>
      <c r="K7" s="18">
        <v>0</v>
      </c>
      <c r="L7" s="18">
        <v>0</v>
      </c>
      <c r="M7" s="18">
        <v>0</v>
      </c>
      <c r="N7" s="18">
        <v>1000000</v>
      </c>
      <c r="O7" s="18">
        <v>80000</v>
      </c>
      <c r="P7" s="18">
        <v>0</v>
      </c>
      <c r="Q7" s="18">
        <v>0</v>
      </c>
      <c r="R7" s="18">
        <v>0</v>
      </c>
      <c r="S7" s="18">
        <v>0</v>
      </c>
      <c r="T7" s="4"/>
      <c r="U7" s="10"/>
      <c r="V7" s="10"/>
      <c r="W7" s="10"/>
      <c r="X7" s="10"/>
      <c r="Y7" s="10"/>
      <c r="Z7" s="10"/>
      <c r="AA7" s="10"/>
      <c r="AB7" s="10"/>
      <c r="AC7" s="10"/>
    </row>
    <row r="8" spans="1:29" x14ac:dyDescent="0.25">
      <c r="A8" s="1" t="s">
        <v>32</v>
      </c>
      <c r="B8" s="1" t="str">
        <f>VLOOKUP(A8,[7]LISTADHERENT!A$5:H$60,3,0)</f>
        <v xml:space="preserve">DJOMO JEAN PAUL </v>
      </c>
      <c r="C8" s="18">
        <v>510000</v>
      </c>
      <c r="D8" s="18">
        <v>27166.077514249224</v>
      </c>
      <c r="E8" s="18">
        <v>0</v>
      </c>
      <c r="F8" s="18">
        <v>25000</v>
      </c>
      <c r="G8" s="18">
        <v>17000</v>
      </c>
      <c r="H8" s="18">
        <v>1000</v>
      </c>
      <c r="I8" s="18">
        <v>2000</v>
      </c>
      <c r="J8" s="18">
        <v>5000</v>
      </c>
      <c r="K8" s="18">
        <v>0</v>
      </c>
      <c r="L8" s="18">
        <v>0</v>
      </c>
      <c r="M8" s="18">
        <v>0</v>
      </c>
      <c r="N8" s="18">
        <v>1000000</v>
      </c>
      <c r="O8" s="18">
        <v>110000</v>
      </c>
      <c r="P8" s="18">
        <v>0</v>
      </c>
      <c r="Q8" s="18">
        <v>0</v>
      </c>
      <c r="R8" s="18">
        <v>0</v>
      </c>
      <c r="S8" s="18">
        <v>0</v>
      </c>
      <c r="T8" s="4"/>
      <c r="U8" s="10"/>
      <c r="V8" s="10"/>
      <c r="W8" s="10"/>
      <c r="X8" s="10"/>
      <c r="Y8" s="10"/>
      <c r="Z8" s="10"/>
      <c r="AA8" s="10"/>
      <c r="AB8" s="10"/>
      <c r="AC8" s="10"/>
    </row>
    <row r="9" spans="1:29" x14ac:dyDescent="0.25">
      <c r="A9" s="1" t="s">
        <v>96</v>
      </c>
      <c r="B9" s="1" t="str">
        <f>VLOOKUP(A9,[7]LISTADHERENT!A$5:H$60,3,0)</f>
        <v>DJOMOU TCHANDA</v>
      </c>
      <c r="C9" s="18">
        <v>0</v>
      </c>
      <c r="D9" s="18">
        <v>550.43518828013066</v>
      </c>
      <c r="E9" s="18">
        <v>0</v>
      </c>
      <c r="F9" s="18">
        <v>142000</v>
      </c>
      <c r="G9" s="18">
        <v>136000</v>
      </c>
      <c r="H9" s="18">
        <v>2000</v>
      </c>
      <c r="I9" s="18">
        <v>4000</v>
      </c>
      <c r="J9" s="18">
        <v>10000</v>
      </c>
      <c r="K9" s="18">
        <v>0</v>
      </c>
      <c r="L9" s="18">
        <v>25000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4"/>
      <c r="U9" s="10"/>
      <c r="V9" s="10"/>
      <c r="W9" s="10"/>
      <c r="X9" s="10"/>
      <c r="Y9" s="10"/>
      <c r="Z9" s="10"/>
      <c r="AA9" s="10"/>
      <c r="AB9" s="10"/>
      <c r="AC9" s="10"/>
    </row>
    <row r="10" spans="1:29" x14ac:dyDescent="0.25">
      <c r="A10" s="1" t="s">
        <v>34</v>
      </c>
      <c r="B10" s="1" t="str">
        <f>VLOOKUP(A10,[7]LISTADHERENT!A$5:H$60,3,0)</f>
        <v>DJOUKWE NANGUEN GUY BLAISE</v>
      </c>
      <c r="C10" s="18">
        <v>510000</v>
      </c>
      <c r="D10" s="18">
        <v>32492.486531300045</v>
      </c>
      <c r="E10" s="18">
        <v>0</v>
      </c>
      <c r="F10" s="18">
        <v>30000</v>
      </c>
      <c r="G10" s="18">
        <v>18000</v>
      </c>
      <c r="H10" s="18">
        <v>1500</v>
      </c>
      <c r="I10" s="18">
        <v>3000</v>
      </c>
      <c r="J10" s="18">
        <v>7500</v>
      </c>
      <c r="K10" s="18">
        <v>0</v>
      </c>
      <c r="L10" s="18">
        <v>0</v>
      </c>
      <c r="M10" s="18">
        <v>0</v>
      </c>
      <c r="N10" s="18">
        <v>800000</v>
      </c>
      <c r="O10" s="18">
        <v>40000</v>
      </c>
      <c r="P10" s="18">
        <v>0</v>
      </c>
      <c r="Q10" s="18">
        <v>0</v>
      </c>
      <c r="R10" s="18">
        <v>0</v>
      </c>
      <c r="S10" s="18">
        <v>0</v>
      </c>
      <c r="T10" s="4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x14ac:dyDescent="0.25">
      <c r="A11" s="1" t="s">
        <v>36</v>
      </c>
      <c r="B11" s="1" t="str">
        <f>VLOOKUP(A11,[7]LISTADHERENT!A$5:H$60,3,0)</f>
        <v>DJUOMBESSY ANTOINE</v>
      </c>
      <c r="C11" s="18">
        <v>510000</v>
      </c>
      <c r="D11" s="18">
        <v>27488.359362736061</v>
      </c>
      <c r="E11" s="18">
        <v>0</v>
      </c>
      <c r="F11" s="18">
        <v>34500</v>
      </c>
      <c r="G11" s="18">
        <v>22500</v>
      </c>
      <c r="H11" s="18">
        <v>1500</v>
      </c>
      <c r="I11" s="18">
        <v>3000</v>
      </c>
      <c r="J11" s="18">
        <v>7500</v>
      </c>
      <c r="K11" s="18">
        <v>0</v>
      </c>
      <c r="L11" s="18">
        <v>0</v>
      </c>
      <c r="M11" s="18">
        <v>0</v>
      </c>
      <c r="N11" s="18">
        <v>2000000</v>
      </c>
      <c r="O11" s="18">
        <v>70000</v>
      </c>
      <c r="P11" s="18">
        <v>0</v>
      </c>
      <c r="Q11" s="18">
        <v>1000000</v>
      </c>
      <c r="R11" s="18">
        <v>0</v>
      </c>
      <c r="S11" s="18">
        <v>0</v>
      </c>
      <c r="T11" s="4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x14ac:dyDescent="0.25">
      <c r="A12" s="1" t="s">
        <v>38</v>
      </c>
      <c r="B12" s="1" t="str">
        <f>VLOOKUP(A12,[7]LISTADHERENT!A$5:H$60,3,0)</f>
        <v>DOMOU FABIEN</v>
      </c>
      <c r="C12" s="18">
        <v>510000</v>
      </c>
      <c r="D12" s="18">
        <v>27276.508168945304</v>
      </c>
      <c r="E12" s="18">
        <v>0</v>
      </c>
      <c r="F12" s="18">
        <v>30000</v>
      </c>
      <c r="G12" s="18">
        <v>18000</v>
      </c>
      <c r="H12" s="18">
        <v>1500</v>
      </c>
      <c r="I12" s="18">
        <v>3000</v>
      </c>
      <c r="J12" s="18">
        <v>7500</v>
      </c>
      <c r="K12" s="18">
        <v>0</v>
      </c>
      <c r="L12" s="18">
        <v>0</v>
      </c>
      <c r="M12" s="18">
        <v>0</v>
      </c>
      <c r="N12" s="18">
        <v>1000000</v>
      </c>
      <c r="O12" s="18">
        <v>50000</v>
      </c>
      <c r="P12" s="18">
        <v>0</v>
      </c>
      <c r="Q12" s="18">
        <v>0</v>
      </c>
      <c r="R12" s="18">
        <v>0</v>
      </c>
      <c r="S12" s="18">
        <v>0</v>
      </c>
      <c r="W12" s="10"/>
      <c r="X12" s="10"/>
      <c r="Y12" s="10"/>
      <c r="Z12" s="10"/>
      <c r="AA12" s="10"/>
      <c r="AB12" s="10"/>
      <c r="AC12" s="10"/>
    </row>
    <row r="13" spans="1:29" x14ac:dyDescent="0.25">
      <c r="A13" s="1" t="s">
        <v>39</v>
      </c>
      <c r="B13" s="1" t="str">
        <f>VLOOKUP(A13,[7]LISTADHERENT!A$5:H$60,3,0)</f>
        <v>DONHOU DAVID</v>
      </c>
      <c r="C13" s="18">
        <v>510000</v>
      </c>
      <c r="D13" s="18">
        <v>39803.670456923996</v>
      </c>
      <c r="E13" s="18">
        <v>0</v>
      </c>
      <c r="F13" s="18">
        <v>30000</v>
      </c>
      <c r="G13" s="18">
        <v>18000</v>
      </c>
      <c r="H13" s="18">
        <v>1500</v>
      </c>
      <c r="I13" s="18">
        <v>3000</v>
      </c>
      <c r="J13" s="18">
        <v>7500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4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x14ac:dyDescent="0.25">
      <c r="A14" s="1" t="s">
        <v>40</v>
      </c>
      <c r="B14" s="1" t="str">
        <f>VLOOKUP(A14,[7]LISTADHERENT!A$5:H$60,3,0)</f>
        <v>FOTSO THOMAS</v>
      </c>
      <c r="C14" s="18">
        <v>510000</v>
      </c>
      <c r="D14" s="18">
        <v>27499.447593204583</v>
      </c>
      <c r="E14" s="18">
        <v>0</v>
      </c>
      <c r="F14" s="18">
        <v>20000</v>
      </c>
      <c r="G14" s="18">
        <v>12000</v>
      </c>
      <c r="H14" s="18">
        <v>1000</v>
      </c>
      <c r="I14" s="18">
        <v>2000</v>
      </c>
      <c r="J14" s="18">
        <v>5000</v>
      </c>
      <c r="K14" s="18">
        <v>3000</v>
      </c>
      <c r="L14" s="18">
        <v>0</v>
      </c>
      <c r="M14" s="18">
        <v>0</v>
      </c>
      <c r="N14" s="18">
        <v>1000000</v>
      </c>
      <c r="O14" s="18">
        <v>30000</v>
      </c>
      <c r="P14" s="18">
        <v>0</v>
      </c>
      <c r="Q14" s="18">
        <v>0</v>
      </c>
      <c r="R14" s="18">
        <v>0</v>
      </c>
      <c r="S14" s="18">
        <v>0</v>
      </c>
      <c r="T14" s="4"/>
      <c r="U14" s="10"/>
      <c r="V14" s="10"/>
      <c r="W14" s="10"/>
      <c r="X14" s="10"/>
      <c r="Y14" s="10"/>
      <c r="Z14" s="10"/>
      <c r="AA14" s="10"/>
      <c r="AB14" s="10"/>
      <c r="AC14" s="10"/>
    </row>
    <row r="15" spans="1:29" ht="14.25" customHeight="1" x14ac:dyDescent="0.25">
      <c r="A15" s="1" t="s">
        <v>41</v>
      </c>
      <c r="B15" s="1" t="str">
        <f>VLOOKUP(A15,[7]LISTADHERENT!A$5:H$60,3,0)</f>
        <v>HENGUE PAUL OMER</v>
      </c>
      <c r="C15" s="18">
        <v>510000</v>
      </c>
      <c r="D15" s="18">
        <v>32441.829040734727</v>
      </c>
      <c r="E15" s="18">
        <v>0</v>
      </c>
      <c r="F15" s="18">
        <v>25000</v>
      </c>
      <c r="G15" s="18">
        <v>13000</v>
      </c>
      <c r="H15" s="18">
        <v>1500</v>
      </c>
      <c r="I15" s="18">
        <v>3000</v>
      </c>
      <c r="J15" s="18">
        <v>7500</v>
      </c>
      <c r="K15" s="18">
        <v>0</v>
      </c>
      <c r="L15" s="18">
        <v>0</v>
      </c>
      <c r="M15" s="18">
        <v>0</v>
      </c>
      <c r="N15" s="18">
        <v>1000000</v>
      </c>
      <c r="O15" s="18">
        <v>120000</v>
      </c>
      <c r="P15" s="18">
        <v>0</v>
      </c>
      <c r="Q15" s="18">
        <v>0</v>
      </c>
      <c r="R15" s="18">
        <v>0</v>
      </c>
      <c r="S15" s="18">
        <v>0</v>
      </c>
      <c r="T15" s="4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x14ac:dyDescent="0.25">
      <c r="A16" s="1" t="s">
        <v>42</v>
      </c>
      <c r="B16" s="1" t="str">
        <f>VLOOKUP(A16,[7]LISTADHERENT!A$5:H$60,3,0)</f>
        <v>HOTCHO BENJAMIN</v>
      </c>
      <c r="C16" s="18">
        <v>510000</v>
      </c>
      <c r="D16" s="18">
        <v>31016.548609201567</v>
      </c>
      <c r="E16" s="18">
        <v>0</v>
      </c>
      <c r="F16" s="18">
        <v>33000</v>
      </c>
      <c r="G16" s="18">
        <v>21000</v>
      </c>
      <c r="H16" s="18">
        <v>1500</v>
      </c>
      <c r="I16" s="18">
        <v>3000</v>
      </c>
      <c r="J16" s="18">
        <v>7500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4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 x14ac:dyDescent="0.25">
      <c r="A17" s="1" t="s">
        <v>43</v>
      </c>
      <c r="B17" s="1" t="str">
        <f>VLOOKUP(A17,[7]LISTADHERENT!A$5:H$60,3,0)</f>
        <v>KEPSEU FRANCIS</v>
      </c>
      <c r="C17" s="18">
        <v>510000</v>
      </c>
      <c r="D17" s="18">
        <v>279584.20792434143</v>
      </c>
      <c r="E17" s="18">
        <v>0</v>
      </c>
      <c r="F17" s="18">
        <v>60000</v>
      </c>
      <c r="G17" s="18">
        <v>48000</v>
      </c>
      <c r="H17" s="18">
        <v>1500</v>
      </c>
      <c r="I17" s="18">
        <v>3000</v>
      </c>
      <c r="J17" s="18">
        <v>7500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4"/>
      <c r="U17" s="10"/>
      <c r="V17" s="10"/>
      <c r="W17" s="10"/>
      <c r="X17" s="10"/>
      <c r="Y17" s="10"/>
      <c r="Z17" s="10"/>
      <c r="AA17" s="10"/>
      <c r="AB17" s="10"/>
      <c r="AC17" s="10"/>
    </row>
    <row r="18" spans="1:29" x14ac:dyDescent="0.25">
      <c r="A18" s="1" t="s">
        <v>44</v>
      </c>
      <c r="B18" s="1" t="str">
        <f>VLOOKUP(A18,[7]LISTADHERENT!A$5:H$60,3,0)</f>
        <v>KOUAMO VICTOR PEGUY</v>
      </c>
      <c r="C18" s="18">
        <v>510000</v>
      </c>
      <c r="D18" s="18">
        <v>29930.51842719207</v>
      </c>
      <c r="E18" s="18">
        <v>0</v>
      </c>
      <c r="F18" s="18">
        <v>27000</v>
      </c>
      <c r="G18" s="18">
        <v>15000</v>
      </c>
      <c r="H18" s="18">
        <v>1500</v>
      </c>
      <c r="I18" s="18">
        <v>3000</v>
      </c>
      <c r="J18" s="18">
        <v>7500</v>
      </c>
      <c r="K18" s="18">
        <v>0</v>
      </c>
      <c r="L18" s="18">
        <v>0</v>
      </c>
      <c r="M18" s="18">
        <v>0</v>
      </c>
      <c r="N18" s="18">
        <v>1000000</v>
      </c>
      <c r="O18" s="18">
        <v>60000</v>
      </c>
      <c r="P18" s="18">
        <v>0</v>
      </c>
      <c r="Q18" s="18">
        <v>0</v>
      </c>
      <c r="R18" s="18">
        <v>0</v>
      </c>
      <c r="S18" s="18">
        <v>0</v>
      </c>
      <c r="T18" s="4"/>
      <c r="U18" s="10"/>
      <c r="V18" s="10"/>
      <c r="W18" s="10"/>
      <c r="X18" s="10"/>
      <c r="Y18" s="10"/>
      <c r="Z18" s="10"/>
      <c r="AA18" s="10"/>
      <c r="AB18" s="10"/>
      <c r="AC18" s="10"/>
    </row>
    <row r="19" spans="1:29" x14ac:dyDescent="0.25">
      <c r="A19" s="1" t="s">
        <v>48</v>
      </c>
      <c r="B19" s="1" t="str">
        <f>VLOOKUP(A19,[7]LISTADHERENT!A$5:H$60,3,0)</f>
        <v>KOUAMOU MOISE</v>
      </c>
      <c r="C19" s="18">
        <v>510000</v>
      </c>
      <c r="D19" s="18">
        <v>27634.990964556044</v>
      </c>
      <c r="E19" s="18">
        <v>0</v>
      </c>
      <c r="F19" s="18">
        <v>30000</v>
      </c>
      <c r="G19" s="18">
        <v>18000</v>
      </c>
      <c r="H19" s="18">
        <v>1500</v>
      </c>
      <c r="I19" s="18">
        <v>3000</v>
      </c>
      <c r="J19" s="18">
        <v>7500</v>
      </c>
      <c r="K19" s="18">
        <v>3000</v>
      </c>
      <c r="L19" s="18">
        <v>0</v>
      </c>
      <c r="M19" s="18">
        <v>0</v>
      </c>
      <c r="N19" s="18">
        <v>1000000</v>
      </c>
      <c r="O19" s="18">
        <v>60000</v>
      </c>
      <c r="P19" s="18">
        <v>0</v>
      </c>
      <c r="Q19" s="18">
        <v>0</v>
      </c>
      <c r="R19" s="18">
        <v>0</v>
      </c>
      <c r="S19" s="18">
        <v>0</v>
      </c>
      <c r="T19" s="4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x14ac:dyDescent="0.25">
      <c r="A20" s="1" t="s">
        <v>50</v>
      </c>
      <c r="B20" s="1" t="str">
        <f>VLOOKUP(A20,[7]LISTADHERENT!A$5:H$60,3,0)</f>
        <v>KOUATCHO MESSACK</v>
      </c>
      <c r="C20" s="18">
        <v>510000</v>
      </c>
      <c r="D20" s="18">
        <v>28041.494188166587</v>
      </c>
      <c r="E20" s="18">
        <v>0</v>
      </c>
      <c r="F20" s="18">
        <v>30000</v>
      </c>
      <c r="G20" s="18">
        <v>18000</v>
      </c>
      <c r="H20" s="18">
        <v>1500</v>
      </c>
      <c r="I20" s="18">
        <v>3000</v>
      </c>
      <c r="J20" s="18">
        <v>7500</v>
      </c>
      <c r="K20" s="18">
        <v>0</v>
      </c>
      <c r="L20" s="18">
        <v>0</v>
      </c>
      <c r="M20" s="18">
        <v>0</v>
      </c>
      <c r="N20" s="18">
        <v>2000000</v>
      </c>
      <c r="O20" s="18">
        <v>120000</v>
      </c>
      <c r="P20" s="18">
        <v>0</v>
      </c>
      <c r="Q20" s="18">
        <v>1000000</v>
      </c>
      <c r="R20" s="18">
        <v>0</v>
      </c>
      <c r="S20" s="18">
        <v>0</v>
      </c>
      <c r="T20" s="4"/>
      <c r="U20" s="10"/>
      <c r="V20" s="10"/>
      <c r="W20" s="10"/>
      <c r="X20" s="10"/>
      <c r="Y20" s="10"/>
      <c r="Z20" s="10"/>
      <c r="AA20" s="10"/>
      <c r="AB20" s="10"/>
      <c r="AC20" s="10"/>
    </row>
    <row r="21" spans="1:29" x14ac:dyDescent="0.25">
      <c r="A21" s="1" t="s">
        <v>52</v>
      </c>
      <c r="B21" s="1" t="str">
        <f>VLOOKUP(A21,[7]LISTADHERENT!A$5:H$60,3,0)</f>
        <v>LOWE JEAN</v>
      </c>
      <c r="C21" s="18">
        <v>510000</v>
      </c>
      <c r="D21" s="18">
        <v>27468.840564471757</v>
      </c>
      <c r="E21" s="18">
        <v>0</v>
      </c>
      <c r="F21" s="18">
        <v>30000</v>
      </c>
      <c r="G21" s="18">
        <v>18000</v>
      </c>
      <c r="H21" s="18">
        <v>1500</v>
      </c>
      <c r="I21" s="18">
        <v>3000</v>
      </c>
      <c r="J21" s="18">
        <v>7500</v>
      </c>
      <c r="K21" s="18">
        <v>0</v>
      </c>
      <c r="L21" s="18">
        <v>0</v>
      </c>
      <c r="M21" s="18">
        <v>0</v>
      </c>
      <c r="N21" s="18">
        <v>130000</v>
      </c>
      <c r="O21" s="18">
        <v>7800</v>
      </c>
      <c r="P21" s="18">
        <v>0</v>
      </c>
      <c r="Q21" s="18">
        <v>0</v>
      </c>
      <c r="R21" s="18">
        <v>0</v>
      </c>
      <c r="S21" s="18">
        <v>0</v>
      </c>
      <c r="T21" s="4"/>
      <c r="U21" s="10"/>
      <c r="V21" s="10"/>
      <c r="W21" s="10"/>
      <c r="X21" s="10"/>
      <c r="Y21" s="10"/>
      <c r="Z21" s="10"/>
      <c r="AA21" s="10"/>
      <c r="AB21" s="10"/>
      <c r="AC21" s="10"/>
    </row>
    <row r="22" spans="1:29" x14ac:dyDescent="0.25">
      <c r="A22" s="1" t="s">
        <v>53</v>
      </c>
      <c r="B22" s="1" t="str">
        <f>VLOOKUP(A22,[7]LISTADHERENT!A$5:H$60,3,0)</f>
        <v>MBOGNING TUGMA GUY</v>
      </c>
      <c r="C22" s="18">
        <v>510000</v>
      </c>
      <c r="D22" s="18">
        <v>27303.925041538911</v>
      </c>
      <c r="E22" s="18">
        <v>0</v>
      </c>
      <c r="F22" s="18">
        <v>30000</v>
      </c>
      <c r="G22" s="18">
        <v>18000</v>
      </c>
      <c r="H22" s="18">
        <v>1500</v>
      </c>
      <c r="I22" s="18">
        <v>3000</v>
      </c>
      <c r="J22" s="18">
        <v>7500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W22" s="10"/>
      <c r="X22" s="10"/>
      <c r="Y22" s="10"/>
      <c r="Z22" s="10"/>
      <c r="AA22" s="10"/>
      <c r="AB22" s="10"/>
      <c r="AC22" s="10"/>
    </row>
    <row r="23" spans="1:29" x14ac:dyDescent="0.25">
      <c r="A23" s="1" t="s">
        <v>54</v>
      </c>
      <c r="B23" s="1" t="str">
        <f>VLOOKUP(A23,[7]LISTADHERENT!A$5:H$60,3,0)</f>
        <v>NANGUEN MARTIN</v>
      </c>
      <c r="C23" s="18">
        <v>510000</v>
      </c>
      <c r="D23" s="18">
        <v>29056.508523539018</v>
      </c>
      <c r="E23" s="18">
        <v>0</v>
      </c>
      <c r="F23" s="18">
        <v>30000</v>
      </c>
      <c r="G23" s="18">
        <v>18000</v>
      </c>
      <c r="H23" s="18">
        <v>1500</v>
      </c>
      <c r="I23" s="18">
        <v>3000</v>
      </c>
      <c r="J23" s="18">
        <v>7500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4"/>
      <c r="U23" s="10"/>
      <c r="V23" s="10"/>
      <c r="W23" s="10"/>
      <c r="X23" s="10"/>
      <c r="Y23" s="10"/>
      <c r="Z23" s="10"/>
      <c r="AA23" s="10"/>
      <c r="AB23" s="10"/>
      <c r="AC23" s="10"/>
    </row>
    <row r="24" spans="1:29" x14ac:dyDescent="0.25">
      <c r="A24" s="1" t="s">
        <v>55</v>
      </c>
      <c r="B24" s="1" t="str">
        <f>VLOOKUP(A24,[7]LISTADHERENT!A$5:H$60,3,0)</f>
        <v>NANKAM APPOLINAIRE</v>
      </c>
      <c r="C24" s="18">
        <v>510000</v>
      </c>
      <c r="D24" s="18">
        <v>27770.589336984285</v>
      </c>
      <c r="E24" s="18">
        <v>0</v>
      </c>
      <c r="F24" s="18">
        <v>34000</v>
      </c>
      <c r="G24" s="18">
        <v>22000</v>
      </c>
      <c r="H24" s="18">
        <v>1500</v>
      </c>
      <c r="I24" s="18">
        <v>3000</v>
      </c>
      <c r="J24" s="18">
        <v>7500</v>
      </c>
      <c r="K24" s="18">
        <v>0</v>
      </c>
      <c r="L24" s="18">
        <v>0</v>
      </c>
      <c r="M24" s="18">
        <v>0</v>
      </c>
      <c r="N24" s="18">
        <v>1000000</v>
      </c>
      <c r="O24" s="18">
        <v>120000</v>
      </c>
      <c r="P24" s="18">
        <v>0</v>
      </c>
      <c r="Q24" s="18">
        <v>0</v>
      </c>
      <c r="R24" s="18">
        <v>0</v>
      </c>
      <c r="S24" s="18">
        <v>0</v>
      </c>
      <c r="T24" s="4"/>
      <c r="U24" s="10"/>
      <c r="V24" s="10"/>
      <c r="W24" s="10"/>
      <c r="X24" s="10"/>
      <c r="Y24" s="10"/>
      <c r="Z24" s="10"/>
      <c r="AA24" s="10"/>
      <c r="AB24" s="10"/>
      <c r="AC24" s="10"/>
    </row>
    <row r="25" spans="1:29" x14ac:dyDescent="0.25">
      <c r="A25" s="1" t="s">
        <v>56</v>
      </c>
      <c r="B25" s="1" t="str">
        <f>VLOOKUP(A25,[7]LISTADHERENT!A$5:H$60,3,0)</f>
        <v>NDJOMO ETIENNE</v>
      </c>
      <c r="C25" s="18">
        <v>510000</v>
      </c>
      <c r="D25" s="18">
        <v>29414.459365706709</v>
      </c>
      <c r="E25" s="18">
        <v>0</v>
      </c>
      <c r="F25" s="18">
        <v>48000</v>
      </c>
      <c r="G25" s="18">
        <v>36000</v>
      </c>
      <c r="H25" s="18">
        <v>1500</v>
      </c>
      <c r="I25" s="18">
        <v>3000</v>
      </c>
      <c r="J25" s="18">
        <v>7500</v>
      </c>
      <c r="K25" s="18">
        <v>6000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4"/>
      <c r="U25" s="10"/>
      <c r="V25" s="10"/>
      <c r="W25" s="10"/>
      <c r="X25" s="10"/>
      <c r="Y25" s="10"/>
      <c r="Z25" s="10"/>
      <c r="AA25" s="10"/>
      <c r="AB25" s="10"/>
      <c r="AC25" s="10"/>
    </row>
    <row r="26" spans="1:29" x14ac:dyDescent="0.25">
      <c r="A26" s="1" t="s">
        <v>58</v>
      </c>
      <c r="B26" s="1" t="str">
        <f>VLOOKUP(A26,[7]LISTADHERENT!A$5:H$60,3,0)</f>
        <v>NGONDIEP CLAUDE</v>
      </c>
      <c r="C26" s="18">
        <v>510000</v>
      </c>
      <c r="D26" s="18">
        <v>27877.160928251516</v>
      </c>
      <c r="E26" s="18">
        <v>0</v>
      </c>
      <c r="F26" s="18">
        <v>50000</v>
      </c>
      <c r="G26" s="18">
        <v>38000</v>
      </c>
      <c r="H26" s="18">
        <v>1500</v>
      </c>
      <c r="I26" s="18">
        <v>3000</v>
      </c>
      <c r="J26" s="18">
        <v>7500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4"/>
      <c r="U26" s="10"/>
      <c r="V26" s="10"/>
      <c r="W26" s="10"/>
      <c r="X26" s="10"/>
      <c r="Y26" s="10"/>
      <c r="Z26" s="10"/>
      <c r="AA26" s="10"/>
      <c r="AB26" s="10"/>
      <c r="AC26" s="10"/>
    </row>
    <row r="27" spans="1:29" x14ac:dyDescent="0.25">
      <c r="A27" s="1" t="s">
        <v>60</v>
      </c>
      <c r="B27" s="1" t="str">
        <f>VLOOKUP(A27,[7]LISTADHERENT!A$5:H$60,3,0)</f>
        <v>NGUIEMEGNI MATHIEU BLAISE</v>
      </c>
      <c r="C27" s="18">
        <v>510000</v>
      </c>
      <c r="D27" s="18">
        <v>28084.426653124967</v>
      </c>
      <c r="E27" s="18">
        <v>0</v>
      </c>
      <c r="F27" s="18">
        <v>30000</v>
      </c>
      <c r="G27" s="18">
        <v>18000</v>
      </c>
      <c r="H27" s="18">
        <v>1500</v>
      </c>
      <c r="I27" s="18">
        <v>3000</v>
      </c>
      <c r="J27" s="18">
        <v>7500</v>
      </c>
      <c r="K27" s="18">
        <v>3000</v>
      </c>
      <c r="L27" s="18">
        <v>0</v>
      </c>
      <c r="M27" s="18">
        <v>0</v>
      </c>
      <c r="N27" s="18">
        <v>150000</v>
      </c>
      <c r="O27" s="18">
        <v>4500</v>
      </c>
      <c r="P27" s="18">
        <v>0</v>
      </c>
      <c r="Q27" s="18">
        <v>0</v>
      </c>
      <c r="R27" s="18">
        <v>0</v>
      </c>
      <c r="S27" s="18">
        <v>0</v>
      </c>
      <c r="T27" s="4"/>
      <c r="U27" s="10"/>
      <c r="V27" s="10"/>
      <c r="W27" s="10"/>
      <c r="X27" s="10"/>
      <c r="Y27" s="10"/>
      <c r="Z27" s="10"/>
      <c r="AA27" s="10"/>
      <c r="AB27" s="10"/>
      <c r="AC27" s="10"/>
    </row>
    <row r="28" spans="1:29" x14ac:dyDescent="0.25">
      <c r="A28" s="1" t="s">
        <v>63</v>
      </c>
      <c r="B28" s="1" t="str">
        <f>VLOOKUP(A28,[7]LISTADHERENT!A$5:H$60,3,0)</f>
        <v>NKAMGANG JUSTIN DEJOLIE</v>
      </c>
      <c r="C28" s="18">
        <v>510000</v>
      </c>
      <c r="D28" s="18">
        <v>31206.365684856435</v>
      </c>
      <c r="E28" s="18">
        <v>0</v>
      </c>
      <c r="F28" s="18">
        <v>30000</v>
      </c>
      <c r="G28" s="18">
        <v>18000</v>
      </c>
      <c r="H28" s="18">
        <v>1500</v>
      </c>
      <c r="I28" s="18">
        <v>3000</v>
      </c>
      <c r="J28" s="18">
        <v>7500</v>
      </c>
      <c r="K28" s="18">
        <v>0</v>
      </c>
      <c r="L28" s="18">
        <v>0</v>
      </c>
      <c r="M28" s="18">
        <v>0</v>
      </c>
      <c r="N28" s="18">
        <v>1000000</v>
      </c>
      <c r="O28" s="18">
        <v>50000</v>
      </c>
      <c r="P28" s="18">
        <v>0</v>
      </c>
      <c r="Q28" s="18">
        <v>0</v>
      </c>
      <c r="R28" s="18">
        <v>0</v>
      </c>
      <c r="S28" s="18">
        <v>0</v>
      </c>
      <c r="T28" s="4"/>
      <c r="U28" s="10"/>
      <c r="V28" s="10"/>
      <c r="W28" s="10"/>
      <c r="X28" s="10"/>
      <c r="Y28" s="10"/>
      <c r="Z28" s="10"/>
      <c r="AA28" s="10"/>
      <c r="AB28" s="10"/>
      <c r="AC28" s="10"/>
    </row>
    <row r="29" spans="1:29" x14ac:dyDescent="0.25">
      <c r="A29" s="1" t="s">
        <v>65</v>
      </c>
      <c r="B29" s="1" t="str">
        <f>VLOOKUP(A29,[7]LISTADHERENT!A$5:H$60,3,0)</f>
        <v>NKEHE DAVID</v>
      </c>
      <c r="C29" s="18">
        <v>510000</v>
      </c>
      <c r="D29" s="18">
        <v>27455.962392707555</v>
      </c>
      <c r="E29" s="18">
        <v>0</v>
      </c>
      <c r="F29" s="18">
        <v>30000</v>
      </c>
      <c r="G29" s="18">
        <v>18000</v>
      </c>
      <c r="H29" s="18">
        <v>1500</v>
      </c>
      <c r="I29" s="18">
        <v>3000</v>
      </c>
      <c r="J29" s="18">
        <v>7500</v>
      </c>
      <c r="K29" s="18">
        <v>0</v>
      </c>
      <c r="L29" s="18">
        <v>0</v>
      </c>
      <c r="M29" s="18">
        <v>0</v>
      </c>
      <c r="N29" s="18">
        <v>1000000</v>
      </c>
      <c r="O29" s="18">
        <v>120000</v>
      </c>
      <c r="P29" s="18">
        <v>0</v>
      </c>
      <c r="Q29" s="18">
        <v>0</v>
      </c>
      <c r="R29" s="18">
        <v>0</v>
      </c>
      <c r="S29" s="18">
        <v>0</v>
      </c>
      <c r="T29" s="4"/>
      <c r="U29" s="10"/>
      <c r="V29" s="10"/>
      <c r="W29" s="10"/>
      <c r="X29" s="10"/>
      <c r="Y29" s="10"/>
      <c r="Z29" s="10"/>
      <c r="AA29" s="10"/>
      <c r="AB29" s="10"/>
      <c r="AC29" s="10"/>
    </row>
    <row r="30" spans="1:29" x14ac:dyDescent="0.25">
      <c r="A30" s="1" t="s">
        <v>66</v>
      </c>
      <c r="B30" s="1" t="str">
        <f>VLOOKUP(A30,[7]LISTADHERENT!A$5:H$60,3,0)</f>
        <v>NKEPSEU DIEUDONNE</v>
      </c>
      <c r="C30" s="18">
        <v>510000</v>
      </c>
      <c r="D30" s="18">
        <v>27512.107744882091</v>
      </c>
      <c r="E30" s="18">
        <v>0</v>
      </c>
      <c r="F30" s="18">
        <v>40000</v>
      </c>
      <c r="G30" s="18">
        <v>28000</v>
      </c>
      <c r="H30" s="18">
        <v>1500</v>
      </c>
      <c r="I30" s="18">
        <v>3000</v>
      </c>
      <c r="J30" s="18">
        <v>7500</v>
      </c>
      <c r="K30" s="18">
        <v>0</v>
      </c>
      <c r="L30" s="18">
        <v>0</v>
      </c>
      <c r="M30" s="18">
        <v>0</v>
      </c>
      <c r="N30" s="18">
        <v>1000000</v>
      </c>
      <c r="O30" s="18">
        <v>120000</v>
      </c>
      <c r="P30" s="18">
        <v>0</v>
      </c>
      <c r="Q30" s="18">
        <v>0</v>
      </c>
      <c r="R30" s="18">
        <v>0</v>
      </c>
      <c r="S30" s="18">
        <v>0</v>
      </c>
      <c r="T30" s="4"/>
      <c r="U30" s="8"/>
      <c r="V30" s="8"/>
      <c r="W30" s="10"/>
      <c r="X30" s="10"/>
      <c r="Y30" s="10"/>
      <c r="Z30" s="10"/>
      <c r="AA30" s="10"/>
      <c r="AB30" s="10"/>
      <c r="AC30" s="10"/>
    </row>
    <row r="31" spans="1:29" x14ac:dyDescent="0.25">
      <c r="A31" s="1" t="s">
        <v>68</v>
      </c>
      <c r="B31" s="1" t="str">
        <f>VLOOKUP(A31,[7]LISTADHERENT!A$5:H$60,3,0)</f>
        <v>PATEGO NJOSSU GUSTAVE</v>
      </c>
      <c r="C31" s="18">
        <v>510000</v>
      </c>
      <c r="D31" s="18">
        <v>36184.8422565859</v>
      </c>
      <c r="E31" s="18">
        <v>0</v>
      </c>
      <c r="F31" s="18">
        <v>50000</v>
      </c>
      <c r="G31" s="18">
        <v>38000</v>
      </c>
      <c r="H31" s="18">
        <v>1500</v>
      </c>
      <c r="I31" s="18">
        <v>3000</v>
      </c>
      <c r="J31" s="18">
        <v>7500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4"/>
      <c r="U31" s="10"/>
      <c r="V31" s="10"/>
      <c r="W31" s="10"/>
      <c r="X31" s="10"/>
      <c r="Y31" s="10"/>
      <c r="Z31" s="10"/>
      <c r="AA31" s="10"/>
      <c r="AB31" s="10"/>
      <c r="AC31" s="10"/>
    </row>
    <row r="32" spans="1:29" x14ac:dyDescent="0.25">
      <c r="A32" s="1" t="s">
        <v>70</v>
      </c>
      <c r="B32" s="1" t="str">
        <f>VLOOKUP(A32,[7]LISTADHERENT!A$5:H$60,3,0)</f>
        <v>SIME BRICE</v>
      </c>
      <c r="C32" s="18">
        <v>145376.91333081503</v>
      </c>
      <c r="D32" s="18">
        <v>8324.446449882942</v>
      </c>
      <c r="E32" s="18">
        <v>0</v>
      </c>
      <c r="F32" s="18">
        <v>110000</v>
      </c>
      <c r="G32" s="18">
        <v>98000</v>
      </c>
      <c r="H32" s="18">
        <v>1500</v>
      </c>
      <c r="I32" s="18">
        <v>3000</v>
      </c>
      <c r="J32" s="18">
        <v>7500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W32" s="10"/>
      <c r="X32" s="10"/>
      <c r="Y32" s="10"/>
      <c r="Z32" s="10"/>
      <c r="AA32" s="10"/>
      <c r="AB32" s="10"/>
      <c r="AC32" s="10"/>
    </row>
    <row r="33" spans="1:29" x14ac:dyDescent="0.25">
      <c r="A33" s="1" t="s">
        <v>71</v>
      </c>
      <c r="B33" s="1" t="str">
        <f>VLOOKUP(A33,[7]LISTADHERENT!A$5:H$60,3,0)</f>
        <v>SIMO FONGANG ERIC</v>
      </c>
      <c r="C33" s="18">
        <v>510000</v>
      </c>
      <c r="D33" s="18">
        <v>27537.865788044073</v>
      </c>
      <c r="E33" s="18">
        <v>0</v>
      </c>
      <c r="F33" s="18">
        <v>30000</v>
      </c>
      <c r="G33" s="18">
        <v>18000</v>
      </c>
      <c r="H33" s="18">
        <v>1500</v>
      </c>
      <c r="I33" s="18">
        <v>3000</v>
      </c>
      <c r="J33" s="18">
        <v>7500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4"/>
      <c r="U33" s="10"/>
      <c r="V33" s="10"/>
      <c r="W33" s="10"/>
      <c r="X33" s="10"/>
      <c r="Y33" s="10"/>
      <c r="Z33" s="10"/>
      <c r="AA33" s="10"/>
      <c r="AB33" s="10"/>
      <c r="AC33" s="10"/>
    </row>
    <row r="34" spans="1:29" x14ac:dyDescent="0.25">
      <c r="A34" s="1" t="s">
        <v>73</v>
      </c>
      <c r="B34" s="1" t="str">
        <f>VLOOKUP(A34,[7]LISTADHERENT!A$5:H$60,3,0)</f>
        <v>SIME MATHIEU</v>
      </c>
      <c r="C34" s="18">
        <v>510000</v>
      </c>
      <c r="D34" s="18">
        <v>34337.677656975662</v>
      </c>
      <c r="E34" s="18">
        <v>0</v>
      </c>
      <c r="F34" s="18">
        <v>30000</v>
      </c>
      <c r="G34" s="18">
        <v>18000</v>
      </c>
      <c r="H34" s="18">
        <v>1500</v>
      </c>
      <c r="I34" s="18">
        <v>3000</v>
      </c>
      <c r="J34" s="18">
        <v>7500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4"/>
      <c r="U34" s="10"/>
      <c r="V34" s="10"/>
      <c r="W34" s="10"/>
      <c r="X34" s="10"/>
      <c r="Y34" s="10"/>
      <c r="Z34" s="10"/>
      <c r="AA34" s="10"/>
      <c r="AB34" s="10"/>
      <c r="AC34" s="10"/>
    </row>
    <row r="35" spans="1:29" x14ac:dyDescent="0.25">
      <c r="A35" s="1" t="s">
        <v>74</v>
      </c>
      <c r="B35" s="1" t="str">
        <f>VLOOKUP(A35,[7]LISTADHERENT!A$5:H$60,3,0)</f>
        <v>SIMO PIERRE</v>
      </c>
      <c r="C35" s="18">
        <v>510000</v>
      </c>
      <c r="D35" s="18">
        <v>28786.470768648782</v>
      </c>
      <c r="E35" s="18">
        <v>0</v>
      </c>
      <c r="F35" s="18">
        <v>30000</v>
      </c>
      <c r="G35" s="18">
        <v>18000</v>
      </c>
      <c r="H35" s="18">
        <v>1500</v>
      </c>
      <c r="I35" s="18">
        <v>3000</v>
      </c>
      <c r="J35" s="18">
        <v>7500</v>
      </c>
      <c r="K35" s="18">
        <v>0</v>
      </c>
      <c r="L35" s="18">
        <v>0</v>
      </c>
      <c r="M35" s="18">
        <v>0</v>
      </c>
      <c r="N35" s="18">
        <v>500000</v>
      </c>
      <c r="O35" s="18">
        <v>60000</v>
      </c>
      <c r="P35" s="18">
        <v>0</v>
      </c>
      <c r="Q35" s="18">
        <v>0</v>
      </c>
      <c r="R35" s="18">
        <v>0</v>
      </c>
      <c r="S35" s="18">
        <v>0</v>
      </c>
      <c r="T35" s="4"/>
      <c r="U35" s="10"/>
      <c r="V35" s="10"/>
      <c r="W35" s="10"/>
      <c r="X35" s="10"/>
      <c r="Y35" s="10"/>
      <c r="Z35" s="10"/>
      <c r="AA35" s="10"/>
      <c r="AB35" s="10"/>
      <c r="AC35" s="10"/>
    </row>
    <row r="36" spans="1:29" x14ac:dyDescent="0.25">
      <c r="A36" s="1" t="s">
        <v>75</v>
      </c>
      <c r="B36" s="1" t="str">
        <f>VLOOKUP(A36,[7]LISTADHERENT!A$5:H$60,3,0)</f>
        <v>TCHOUAMOU MATHIEU</v>
      </c>
      <c r="C36" s="18">
        <v>510000</v>
      </c>
      <c r="D36" s="18">
        <v>35232.695131156674</v>
      </c>
      <c r="E36" s="18">
        <v>0</v>
      </c>
      <c r="F36" s="18">
        <v>30000</v>
      </c>
      <c r="G36" s="18">
        <v>18000</v>
      </c>
      <c r="H36" s="18">
        <v>1500</v>
      </c>
      <c r="I36" s="18">
        <v>3000</v>
      </c>
      <c r="J36" s="18">
        <v>7500</v>
      </c>
      <c r="K36" s="18">
        <v>0</v>
      </c>
      <c r="L36" s="18">
        <v>0</v>
      </c>
      <c r="M36" s="18">
        <v>0</v>
      </c>
      <c r="N36" s="18">
        <v>1000000</v>
      </c>
      <c r="O36" s="18">
        <v>110000</v>
      </c>
      <c r="P36" s="18">
        <v>0</v>
      </c>
      <c r="Q36" s="18">
        <v>0</v>
      </c>
      <c r="R36" s="18">
        <v>0</v>
      </c>
      <c r="S36" s="18">
        <v>0</v>
      </c>
      <c r="T36" s="4"/>
      <c r="U36" s="10"/>
      <c r="V36" s="10"/>
      <c r="W36" s="10"/>
      <c r="X36" s="10"/>
      <c r="Y36" s="10"/>
      <c r="Z36" s="10"/>
      <c r="AA36" s="10"/>
      <c r="AB36" s="10"/>
      <c r="AC36" s="10"/>
    </row>
    <row r="37" spans="1:29" x14ac:dyDescent="0.25">
      <c r="A37" s="1" t="s">
        <v>78</v>
      </c>
      <c r="B37" s="1" t="str">
        <f>VLOOKUP(A37,[7]LISTADHERENT!A$5:H$60,3,0)</f>
        <v>TIEYAM ERNEST</v>
      </c>
      <c r="C37" s="18">
        <v>510000</v>
      </c>
      <c r="D37" s="18">
        <v>27276.49892925729</v>
      </c>
      <c r="E37" s="18">
        <v>0</v>
      </c>
      <c r="F37" s="18">
        <v>30000</v>
      </c>
      <c r="G37" s="18">
        <v>18000</v>
      </c>
      <c r="H37" s="18">
        <v>1500</v>
      </c>
      <c r="I37" s="18">
        <v>3000</v>
      </c>
      <c r="J37" s="18">
        <v>7500</v>
      </c>
      <c r="K37" s="18">
        <v>27000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4"/>
      <c r="U37" s="10"/>
      <c r="V37" s="10"/>
    </row>
    <row r="38" spans="1:29" x14ac:dyDescent="0.25">
      <c r="A38" s="1" t="s">
        <v>79</v>
      </c>
      <c r="B38" s="1" t="str">
        <f>VLOOKUP(A38,[7]LISTADHERENT!A$5:H$60,3,0)</f>
        <v>YEPMOU JEAN JACQUES</v>
      </c>
      <c r="C38" s="18">
        <v>510000</v>
      </c>
      <c r="D38" s="18">
        <v>61284.635405884001</v>
      </c>
      <c r="E38" s="18">
        <v>0</v>
      </c>
      <c r="F38" s="18">
        <v>30000</v>
      </c>
      <c r="G38" s="18">
        <v>18000</v>
      </c>
      <c r="H38" s="18">
        <v>1500</v>
      </c>
      <c r="I38" s="18">
        <v>3000</v>
      </c>
      <c r="J38" s="18">
        <v>7500</v>
      </c>
      <c r="K38" s="18">
        <v>0</v>
      </c>
      <c r="L38" s="18">
        <v>0</v>
      </c>
      <c r="M38" s="18">
        <v>0</v>
      </c>
      <c r="N38" s="18">
        <v>700000</v>
      </c>
      <c r="O38" s="18">
        <v>35000</v>
      </c>
      <c r="P38" s="18">
        <v>0</v>
      </c>
      <c r="Q38" s="18">
        <v>0</v>
      </c>
      <c r="R38" s="18">
        <v>0</v>
      </c>
      <c r="S38" s="18">
        <v>0</v>
      </c>
      <c r="T38" s="4"/>
      <c r="U38" s="10"/>
      <c r="V38" s="10"/>
    </row>
    <row r="39" spans="1:29" x14ac:dyDescent="0.25">
      <c r="A39" s="1" t="s">
        <v>81</v>
      </c>
      <c r="B39" s="1" t="str">
        <f>VLOOKUP(A39,[7]LISTADHERENT!A$5:H$60,3,0)</f>
        <v>YOUMBI EMMANUEL</v>
      </c>
      <c r="C39" s="18">
        <v>510000</v>
      </c>
      <c r="D39" s="18">
        <v>159395.30598167347</v>
      </c>
      <c r="E39" s="18">
        <v>0</v>
      </c>
      <c r="F39" s="18">
        <v>20000</v>
      </c>
      <c r="G39" s="18">
        <v>12000</v>
      </c>
      <c r="H39" s="18">
        <v>1000</v>
      </c>
      <c r="I39" s="18">
        <v>2000</v>
      </c>
      <c r="J39" s="18">
        <v>5000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4"/>
      <c r="U39" s="10"/>
      <c r="V39" s="10"/>
    </row>
    <row r="40" spans="1:29" x14ac:dyDescent="0.25">
      <c r="A40" s="16"/>
      <c r="B40" s="1"/>
      <c r="C40" s="1"/>
      <c r="D40" s="4"/>
      <c r="E40" s="4"/>
      <c r="F40" s="17"/>
      <c r="G40" s="17"/>
      <c r="H40" s="17"/>
      <c r="I40" s="17"/>
      <c r="J40" s="17"/>
      <c r="K40" s="17"/>
      <c r="L40" s="17"/>
      <c r="O40" s="17"/>
      <c r="P40" s="17"/>
      <c r="Q40" s="17"/>
      <c r="R40" s="10"/>
    </row>
    <row r="41" spans="1:29" x14ac:dyDescent="0.25">
      <c r="A41" s="16"/>
      <c r="B41" s="1"/>
      <c r="C41" s="1"/>
      <c r="D41" s="4"/>
      <c r="E41" s="4"/>
      <c r="F41" s="17"/>
      <c r="G41" s="17"/>
      <c r="H41" s="17"/>
      <c r="I41" s="17"/>
      <c r="J41" s="17"/>
      <c r="K41" s="17"/>
      <c r="L41" s="17"/>
      <c r="N41" s="17"/>
      <c r="O41" s="17"/>
      <c r="P41" s="17"/>
      <c r="Q41" s="17"/>
      <c r="R41" s="10"/>
    </row>
    <row r="42" spans="1:29" x14ac:dyDescent="0.25">
      <c r="A42" s="16"/>
      <c r="B42" s="1"/>
      <c r="C42" s="1"/>
      <c r="D42" s="4"/>
      <c r="E42" s="4"/>
      <c r="F42" s="17"/>
      <c r="G42" s="17"/>
      <c r="H42" s="17"/>
      <c r="I42" s="17"/>
      <c r="J42" s="17"/>
      <c r="K42" s="17"/>
      <c r="L42" s="17"/>
      <c r="N42" s="17"/>
      <c r="O42" s="17"/>
      <c r="P42" s="17"/>
      <c r="Q42" s="17"/>
      <c r="R42" s="10"/>
    </row>
    <row r="43" spans="1:29" x14ac:dyDescent="0.25">
      <c r="A43" s="1"/>
      <c r="B43" s="1"/>
      <c r="C43" s="1"/>
      <c r="D43" s="1"/>
      <c r="E43" s="1"/>
      <c r="F43" s="1"/>
    </row>
    <row r="44" spans="1:29" ht="18" x14ac:dyDescent="0.25">
      <c r="A44" s="1" t="s">
        <v>82</v>
      </c>
      <c r="B44" s="1"/>
      <c r="C44" s="1"/>
      <c r="D44" s="12">
        <f t="shared" ref="D44:M44" si="0">SUM(D6:D40)</f>
        <v>1367299.9999999998</v>
      </c>
      <c r="E44" s="12">
        <f t="shared" si="0"/>
        <v>0</v>
      </c>
      <c r="F44" s="12">
        <f t="shared" si="0"/>
        <v>1258500</v>
      </c>
      <c r="G44" s="12">
        <f t="shared" si="0"/>
        <v>880500</v>
      </c>
      <c r="H44" s="12">
        <f t="shared" si="0"/>
        <v>48500</v>
      </c>
      <c r="I44" s="12">
        <f t="shared" si="0"/>
        <v>97000</v>
      </c>
      <c r="J44" s="12">
        <f t="shared" si="0"/>
        <v>242500</v>
      </c>
      <c r="K44" s="12">
        <f t="shared" si="0"/>
        <v>42000</v>
      </c>
      <c r="L44" s="12">
        <f t="shared" si="0"/>
        <v>25000</v>
      </c>
      <c r="M44" s="12">
        <f t="shared" si="0"/>
        <v>0</v>
      </c>
      <c r="N44" s="12">
        <f>SUM(N6:N38)</f>
        <v>18280000</v>
      </c>
      <c r="O44" s="12">
        <f>SUM(O6:O40)</f>
        <v>1367300</v>
      </c>
      <c r="P44" s="12"/>
      <c r="Q44" s="12">
        <f>SUM(Q6:Q40)</f>
        <v>2000000</v>
      </c>
      <c r="R44" s="12">
        <f>SUM(R6:R37)</f>
        <v>0</v>
      </c>
      <c r="S44" s="12">
        <f>SUM(S6:S37)</f>
        <v>0</v>
      </c>
    </row>
  </sheetData>
  <autoFilter ref="A5:Q39">
    <sortState ref="A5:L48">
      <sortCondition ref="B5:B48"/>
    </sortState>
  </autoFilter>
  <mergeCells count="1">
    <mergeCell ref="D4:G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MVTRESUMETAB2019</vt:lpstr>
      <vt:lpstr>MVTRESUME20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2020-03-21T15:17:38Z</dcterms:created>
  <dcterms:modified xsi:type="dcterms:W3CDTF">2020-06-10T11:33:48Z</dcterms:modified>
</cp:coreProperties>
</file>