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AROUESTTONTINE2023\"/>
    </mc:Choice>
  </mc:AlternateContent>
  <bookViews>
    <workbookView xWindow="0" yWindow="0" windowWidth="20490" windowHeight="7095" firstSheet="10" activeTab="13"/>
  </bookViews>
  <sheets>
    <sheet name="MODEVERSEMENT" sheetId="2" r:id="rId1"/>
    <sheet name="HISTOMVTDEPENSE" sheetId="33" r:id="rId2"/>
    <sheet name="COMPTE BANQUE" sheetId="32" r:id="rId3"/>
    <sheet name="HISTODEC21" sheetId="46" r:id="rId4"/>
    <sheet name="HISTOJANV23" sheetId="47" r:id="rId5"/>
    <sheet name="HISTOFEV23" sheetId="48" r:id="rId6"/>
    <sheet name="HISTOMARS23" sheetId="49" r:id="rId7"/>
    <sheet name="HISTOAVRIL23" sheetId="50" r:id="rId8"/>
    <sheet name="HISTOMAI23" sheetId="51" r:id="rId9"/>
    <sheet name="HISTOJUIN23" sheetId="52" r:id="rId10"/>
    <sheet name="HISTOJUIL23" sheetId="53" r:id="rId11"/>
    <sheet name="HISTOAOUT23" sheetId="54" r:id="rId12"/>
    <sheet name="HISTOSEPT23" sheetId="55" r:id="rId13"/>
    <sheet name="HISTOOCT23" sheetId="56" r:id="rId14"/>
    <sheet name="HISTONOV23" sheetId="57" r:id="rId15"/>
    <sheet name="HISTODEC23" sheetId="58" r:id="rId16"/>
    <sheet name="HISTORESUME23" sheetId="59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xlnm._FilterDatabase" localSheetId="11" hidden="1">HISTOAOUT23!$A$5:$AR$91</definedName>
    <definedName name="_xlnm._FilterDatabase" localSheetId="7" hidden="1">HISTOAVRIL23!$A$5:$AR$91</definedName>
    <definedName name="_xlnm._FilterDatabase" localSheetId="3" hidden="1">HISTODEC21!$A$5:$AR$84</definedName>
    <definedName name="_xlnm._FilterDatabase" localSheetId="15" hidden="1">HISTODEC23!$A$5:$AR$91</definedName>
    <definedName name="_xlnm._FilterDatabase" localSheetId="5" hidden="1">HISTOFEV23!$A$5:$AR$91</definedName>
    <definedName name="_xlnm._FilterDatabase" localSheetId="4" hidden="1">HISTOJANV23!$A$5:$AR$91</definedName>
    <definedName name="_xlnm._FilterDatabase" localSheetId="10" hidden="1">HISTOJUIL23!$A$5:$AR$91</definedName>
    <definedName name="_xlnm._FilterDatabase" localSheetId="9" hidden="1">HISTOJUIN23!$A$5:$AR$91</definedName>
    <definedName name="_xlnm._FilterDatabase" localSheetId="8" hidden="1">HISTOMAI23!$A$5:$AR$91</definedName>
    <definedName name="_xlnm._FilterDatabase" localSheetId="6" hidden="1">HISTOMARS23!$A$5:$AR$91</definedName>
    <definedName name="_xlnm._FilterDatabase" localSheetId="1" hidden="1">HISTOMVTDEPENSE!$A$5:$B$85</definedName>
    <definedName name="_xlnm._FilterDatabase" localSheetId="14" hidden="1">HISTONOV23!$A$5:$AR$91</definedName>
    <definedName name="_xlnm._FilterDatabase" localSheetId="13" hidden="1">HISTOOCT23!$A$5:$AR$91</definedName>
    <definedName name="_xlnm._FilterDatabase" localSheetId="16" hidden="1">HISTORESUME23!$A$5:$AR$91</definedName>
    <definedName name="_xlnm._FilterDatabase" localSheetId="12" hidden="1">HISTOSEPT23!$A$5:$AR$91</definedName>
    <definedName name="BANQUE" localSheetId="11">#REF!</definedName>
    <definedName name="BANQUE" localSheetId="7">#REF!</definedName>
    <definedName name="BANQUE" localSheetId="3">#REF!</definedName>
    <definedName name="BANQUE" localSheetId="15">#REF!</definedName>
    <definedName name="BANQUE" localSheetId="5">#REF!</definedName>
    <definedName name="BANQUE" localSheetId="4">#REF!</definedName>
    <definedName name="BANQUE" localSheetId="10">#REF!</definedName>
    <definedName name="BANQUE" localSheetId="9">#REF!</definedName>
    <definedName name="BANQUE" localSheetId="8">#REF!</definedName>
    <definedName name="BANQUE" localSheetId="6">#REF!</definedName>
    <definedName name="BANQUE" localSheetId="1">#REF!</definedName>
    <definedName name="BANQUE" localSheetId="14">#REF!</definedName>
    <definedName name="BANQUE" localSheetId="13">#REF!</definedName>
    <definedName name="BANQUE" localSheetId="16">#REF!</definedName>
    <definedName name="BANQUE" localSheetId="12">#REF!</definedName>
    <definedName name="BANQUE" localSheetId="0">#REF!</definedName>
    <definedName name="BANQUE">#REF!</definedName>
    <definedName name="MODEPAID">[1]Feuil2!$A$1:$A$3</definedName>
    <definedName name="MODET25000">[2]MODEVERSEMENT!$A$1:$A$3</definedName>
    <definedName name="MODEVERSEMENT" localSheetId="11">#REF!</definedName>
    <definedName name="MODEVERSEMENT" localSheetId="7">#REF!</definedName>
    <definedName name="MODEVERSEMENT" localSheetId="3">#REF!</definedName>
    <definedName name="MODEVERSEMENT" localSheetId="15">#REF!</definedName>
    <definedName name="MODEVERSEMENT" localSheetId="5">#REF!</definedName>
    <definedName name="MODEVERSEMENT" localSheetId="4">#REF!</definedName>
    <definedName name="MODEVERSEMENT" localSheetId="10">#REF!</definedName>
    <definedName name="MODEVERSEMENT" localSheetId="9">#REF!</definedName>
    <definedName name="MODEVERSEMENT" localSheetId="8">#REF!</definedName>
    <definedName name="MODEVERSEMENT" localSheetId="6">#REF!</definedName>
    <definedName name="MODEVERSEMENT" localSheetId="1">#REF!</definedName>
    <definedName name="MODEVERSEMENT" localSheetId="14">#REF!</definedName>
    <definedName name="MODEVERSEMENT" localSheetId="13">#REF!</definedName>
    <definedName name="MODEVERSEMENT" localSheetId="16">#REF!</definedName>
    <definedName name="MODEVERSEMENT" localSheetId="12">#REF!</definedName>
    <definedName name="MODEVERSEMENT" localSheetId="0">#REF!</definedName>
    <definedName name="MODEVERSEMENT">#REF!</definedName>
    <definedName name="MODEVERSEMENTS" localSheetId="3">[3]MODEVERSEMENT!$A$1:$A$3</definedName>
    <definedName name="MODEVERSEMENTS">MODEVERSEMENT!$A$1:$A$3</definedName>
    <definedName name="VALMODEPAID">[4]MODEPAID!$A$1:$A$3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<sst xmlns="http://schemas.openxmlformats.org/spreadsheetml/2006/main" count="3014" uniqueCount="816">
  <si>
    <t>DIBONJI</t>
  </si>
  <si>
    <t>MONTANT</t>
  </si>
  <si>
    <t>TCHUIDJASSI</t>
  </si>
  <si>
    <t>Observation</t>
  </si>
  <si>
    <t>RECONSTITUTION</t>
  </si>
  <si>
    <t>JANVIER</t>
  </si>
  <si>
    <t>FEVRIER</t>
  </si>
  <si>
    <t>DJUOMBESSY</t>
  </si>
  <si>
    <t>Taux</t>
  </si>
  <si>
    <t>Montant</t>
  </si>
  <si>
    <t>AVRIL</t>
  </si>
  <si>
    <t>MARS</t>
  </si>
  <si>
    <t>Mai</t>
  </si>
  <si>
    <t>NOMS</t>
  </si>
  <si>
    <t>JUIN</t>
  </si>
  <si>
    <t>JUILLET</t>
  </si>
  <si>
    <t>AOUT</t>
  </si>
  <si>
    <t>KAMNO</t>
  </si>
  <si>
    <t>NJIKI AZARIA</t>
  </si>
  <si>
    <t>Evénement</t>
  </si>
  <si>
    <t>TOTAL</t>
  </si>
  <si>
    <t>SOKAMTE</t>
  </si>
  <si>
    <t>N°</t>
  </si>
  <si>
    <t>NOM et PRENOM</t>
  </si>
  <si>
    <t>MGBORON Issiaka</t>
  </si>
  <si>
    <t>SOH Henri</t>
  </si>
  <si>
    <t>SEPTEMBRE</t>
  </si>
  <si>
    <t>OCTOBRE</t>
  </si>
  <si>
    <t>Total</t>
  </si>
  <si>
    <t>TATUE FOPA</t>
  </si>
  <si>
    <t>A</t>
  </si>
  <si>
    <t>B</t>
  </si>
  <si>
    <t>C</t>
  </si>
  <si>
    <t>Prime Arouest</t>
  </si>
  <si>
    <t>Ancienneté inférieure à 5 ans</t>
  </si>
  <si>
    <t>CALCUL DE LA PRIME AROUEST A PAYER A CERTAINS RETRAITE</t>
  </si>
  <si>
    <t>TOTAL AIDE</t>
  </si>
  <si>
    <t>Montant à rembouser par chaque membre</t>
  </si>
  <si>
    <t>COMPTE CHEQUE TONTINE</t>
  </si>
  <si>
    <t>Frais fixe et commissions de compte</t>
  </si>
  <si>
    <t>COMPTES EPARGNE</t>
  </si>
  <si>
    <t>Compte Principal</t>
  </si>
  <si>
    <t>Compte secondaire</t>
  </si>
  <si>
    <t>TOTAL AGIOS BANQUE</t>
  </si>
  <si>
    <t xml:space="preserve">    A-   RECAPITULATIF DES ENTREES</t>
  </si>
  <si>
    <t xml:space="preserve">Contribution Retraite </t>
  </si>
  <si>
    <t>TONTINES</t>
  </si>
  <si>
    <t>CONSTRUCTION</t>
  </si>
  <si>
    <t>ASSURANCE</t>
  </si>
  <si>
    <t>ACHAT TERRAIN</t>
  </si>
  <si>
    <t>F. AIDE</t>
  </si>
  <si>
    <t>INSCRIPTION</t>
  </si>
  <si>
    <t>F. FIXE</t>
  </si>
  <si>
    <t>REPAS</t>
  </si>
  <si>
    <t>SANCTIONS</t>
  </si>
  <si>
    <t>PRETS ASS NON REMBOURSES</t>
  </si>
  <si>
    <t>Autres dettes</t>
  </si>
  <si>
    <t>Ancienneté supérieur à 10 ans et membre de bureau</t>
  </si>
  <si>
    <t>NGOUNOU MICHEL</t>
  </si>
  <si>
    <t>TCHUENTE INGRID</t>
  </si>
  <si>
    <t>MEGAPTCHE</t>
  </si>
  <si>
    <t>KAMGA JOSEPH</t>
  </si>
  <si>
    <t>TCHI ROBERT</t>
  </si>
  <si>
    <t>KOLOKO</t>
  </si>
  <si>
    <t>NDANGA</t>
  </si>
  <si>
    <t>FOUTE</t>
  </si>
  <si>
    <t>LEBO</t>
  </si>
  <si>
    <t>DJUOMBESSY ANTOINE</t>
  </si>
  <si>
    <t>SOH HENRI</t>
  </si>
  <si>
    <t>TCHUENTE LEOPOLD</t>
  </si>
  <si>
    <t>RECAPITULATIF DES AVOIRS EPARGNE ASSURANCE</t>
  </si>
  <si>
    <t>INTERET /PART</t>
  </si>
  <si>
    <t>NOMS ET PRENOMS</t>
  </si>
  <si>
    <t>Date versement</t>
  </si>
  <si>
    <t>BELL MARTINE</t>
  </si>
  <si>
    <t>DIBONJI PAUL</t>
  </si>
  <si>
    <t>DONSTOP CATHERINE</t>
  </si>
  <si>
    <t>EWOUDOU EDITH</t>
  </si>
  <si>
    <t>FOTSO APPOLINAIRE</t>
  </si>
  <si>
    <t>GEORGES WASO TCHIO</t>
  </si>
  <si>
    <t>KAMTA ETIENNE</t>
  </si>
  <si>
    <t>KANKEU CHRETIEN</t>
  </si>
  <si>
    <t>MGBORON ISSIAKA</t>
  </si>
  <si>
    <t>MONKAM VINCENT</t>
  </si>
  <si>
    <t>NDANGA MATHIEU</t>
  </si>
  <si>
    <t>NDEFO PIERRE PAUL</t>
  </si>
  <si>
    <t>NGATAT JEAN MARIE</t>
  </si>
  <si>
    <t>NOMBO SAKIO</t>
  </si>
  <si>
    <t>SAPE MAURICE</t>
  </si>
  <si>
    <t>TCHIO ANDRE</t>
  </si>
  <si>
    <t>TCHOUTIO LEOPOLD</t>
  </si>
  <si>
    <t>TCHUIDJASSI MANFRED</t>
  </si>
  <si>
    <t>TCHUENTE PHILOTEE</t>
  </si>
  <si>
    <t>TENKAM NICOLAS</t>
  </si>
  <si>
    <t>TOMFEU JEAN PIERRE</t>
  </si>
  <si>
    <t>TSEMEU JOEL</t>
  </si>
  <si>
    <t>WETOUMDU ERNEST</t>
  </si>
  <si>
    <t>WATA BLAISE</t>
  </si>
  <si>
    <t>NANA RAYMOND</t>
  </si>
  <si>
    <t>NGANDIMOUN IDRISSOU</t>
  </si>
  <si>
    <t>NOVEMBRE</t>
  </si>
  <si>
    <t>Total Parts</t>
  </si>
  <si>
    <t>5% Arouest</t>
  </si>
  <si>
    <t>12% Bureau</t>
  </si>
  <si>
    <t>Montant A distribuer</t>
  </si>
  <si>
    <t>Nbre Part</t>
  </si>
  <si>
    <t>Interet / Membre</t>
  </si>
  <si>
    <t>Taux 150 KF</t>
  </si>
  <si>
    <t>Taux 100 KF</t>
  </si>
  <si>
    <t>Taux 50 KF</t>
  </si>
  <si>
    <t>Taux 30 KF</t>
  </si>
  <si>
    <t>Taux 20 KF</t>
  </si>
  <si>
    <t>Taux 10 KF</t>
  </si>
  <si>
    <t>PRÊT ASSURANCE</t>
  </si>
  <si>
    <t>LIBELLES</t>
  </si>
  <si>
    <t>OBSERVATIONS</t>
  </si>
  <si>
    <t>Frais Communication SG</t>
  </si>
  <si>
    <t>Frais Communication CC</t>
  </si>
  <si>
    <t>Frais Communication Trésorier</t>
  </si>
  <si>
    <t>Frais Communication SGA</t>
  </si>
  <si>
    <t>Taxi Président</t>
  </si>
  <si>
    <t>Commissions diverses</t>
  </si>
  <si>
    <t>Banque et commissions diverses</t>
  </si>
  <si>
    <t>Taxi Trésorier</t>
  </si>
  <si>
    <t>Achats Envelloppes</t>
  </si>
  <si>
    <t>Pour interet tontine</t>
  </si>
  <si>
    <t>Frais de taxi pour comité spéciale bureau</t>
  </si>
  <si>
    <t>Confection rapport Annuel</t>
  </si>
  <si>
    <t>WASO Georges</t>
  </si>
  <si>
    <t>NDEFO PP</t>
  </si>
  <si>
    <t>EMOLUMENTS DES MEMBRES DU BUREAU</t>
  </si>
  <si>
    <t>AGIOS BANCAIRE</t>
  </si>
  <si>
    <t>EpargneAssurance Déces</t>
  </si>
  <si>
    <t>Versement Fond Aide Nouveau membre</t>
  </si>
  <si>
    <t>Inscription Nouveau membre</t>
  </si>
  <si>
    <t>Versement Achat Terrain</t>
  </si>
  <si>
    <t>Reconstitution Fond Aide</t>
  </si>
  <si>
    <t>Fond Fixe Arouest Issue des Interets Tontines et Prets</t>
  </si>
  <si>
    <t>Interet Epargne Assurance Deces</t>
  </si>
  <si>
    <t>Fond Fixe Arouest Issue Tontines Arouest</t>
  </si>
  <si>
    <t>Repartition des Entrées</t>
  </si>
  <si>
    <t>FOND AROUEST</t>
  </si>
  <si>
    <t>EPARGNE ASSURANCE DECES</t>
  </si>
  <si>
    <t>FOND AIDE</t>
  </si>
  <si>
    <t>Aide Suite différents Evenements</t>
  </si>
  <si>
    <t>Retrait  Epargne Assurance</t>
  </si>
  <si>
    <t>Frais de Fonctionnement Annuel Arouest</t>
  </si>
  <si>
    <t>Retrait Contribution de Membre pour Achats Terrain</t>
  </si>
  <si>
    <t>AGIOS BANCAIRES</t>
  </si>
  <si>
    <t>Versement des Frais des retraités</t>
  </si>
  <si>
    <t>Payement des Primes Fixe au Membre Arouest</t>
  </si>
  <si>
    <t>TOTAL DES SORTIES</t>
  </si>
  <si>
    <t>Répartition des Sorties</t>
  </si>
  <si>
    <t>Agios Bancaire</t>
  </si>
  <si>
    <t xml:space="preserve">MASSE MONETAIRE </t>
  </si>
  <si>
    <t xml:space="preserve">SITUATION DE CAISSE DE AROUEST </t>
  </si>
  <si>
    <t>REPARTITION DU SOLDE THEORIQUE EN CAISSE</t>
  </si>
  <si>
    <t>ASSURANCE DECES</t>
  </si>
  <si>
    <t>COTISATION RETRAITE</t>
  </si>
  <si>
    <t xml:space="preserve"> B-   RECAPITULATIF DES SORTIES</t>
  </si>
  <si>
    <t>RETRAIT DE FONDS DANS L'ASSURANCE PAR LES MEMBRES</t>
  </si>
  <si>
    <t>RUBRIQUE AIDE</t>
  </si>
  <si>
    <t>PAYEMENT ASSURANCE / EPARGNE</t>
  </si>
  <si>
    <t>TOTAL VERSEMENT</t>
  </si>
  <si>
    <t>INTERET TONTINE ET PRET ASSURANCE/EPARGNE</t>
  </si>
  <si>
    <t>TOTAL FOND  AROUEST</t>
  </si>
  <si>
    <t>MONTANT INITIAL PAYE</t>
  </si>
  <si>
    <t>VERSEMENTS EFFECTUES</t>
  </si>
  <si>
    <t>montant total payé</t>
  </si>
  <si>
    <t>Montant de l'action actualisé</t>
  </si>
  <si>
    <t>Complément à verser</t>
  </si>
  <si>
    <t>DANGUE JEAN PIERRE</t>
  </si>
  <si>
    <t>KEMAJOU ELYSEE</t>
  </si>
  <si>
    <t xml:space="preserve">COUT DEFINITIF DU TERRAIN </t>
  </si>
  <si>
    <t>RAPPORT FINANCIER 2020</t>
  </si>
  <si>
    <t>TCHANANG SYLVAIN</t>
  </si>
  <si>
    <t>Ndefo</t>
  </si>
  <si>
    <t>Décès épouse Nzerem</t>
  </si>
  <si>
    <t>Délégation</t>
  </si>
  <si>
    <t>Décès Parent TCHUADEU Christophe</t>
  </si>
  <si>
    <t>AROUEST 2020</t>
  </si>
  <si>
    <t>NOMBO</t>
  </si>
  <si>
    <t>LEBO WOTO</t>
  </si>
  <si>
    <t>Trois verssement effectués</t>
  </si>
  <si>
    <t>TROP PERCU DANS LES TAUX DE COTISATION</t>
  </si>
  <si>
    <t>Décès maman Tchi Robert</t>
  </si>
  <si>
    <t>Décès maman Tomfeu</t>
  </si>
  <si>
    <t>Décès Maman NANA raymond</t>
  </si>
  <si>
    <t>Kamno</t>
  </si>
  <si>
    <t>versé au trésorier</t>
  </si>
  <si>
    <t>Tchoutio Leopold</t>
  </si>
  <si>
    <t>TSEMEU</t>
  </si>
  <si>
    <t xml:space="preserve">WASO </t>
  </si>
  <si>
    <t>TAKOUGOUM</t>
  </si>
  <si>
    <t>Versement en banque janvier</t>
  </si>
  <si>
    <t>TCHAPCHET DESIRE</t>
  </si>
  <si>
    <t>TONGA</t>
  </si>
  <si>
    <t>KAMGUEM LISE</t>
  </si>
  <si>
    <t>aide mariage cheizing</t>
  </si>
  <si>
    <t>Délégation (fumba et takougoum)</t>
  </si>
  <si>
    <t>NGOUNOU</t>
  </si>
  <si>
    <t>MVOLA</t>
  </si>
  <si>
    <t>WASO GEORGES</t>
  </si>
  <si>
    <t>PAYE EN AOUT 2020</t>
  </si>
  <si>
    <t>NANA</t>
  </si>
  <si>
    <t>TCHIO</t>
  </si>
  <si>
    <t>AROUEST</t>
  </si>
  <si>
    <t>NOUNKWA BIADJANG</t>
  </si>
  <si>
    <t>TAKOUGOUM JEAN CLAUDE</t>
  </si>
  <si>
    <t>Parts 2020</t>
  </si>
  <si>
    <t>Fournitures Diverses</t>
  </si>
  <si>
    <t>Impression des fiches cartonés desuivi individuel des membres</t>
  </si>
  <si>
    <t>Frais de telephone Présidente Mai 2020</t>
  </si>
  <si>
    <t xml:space="preserve">Fournitures de bureau </t>
  </si>
  <si>
    <t>Photocopie diverses</t>
  </si>
  <si>
    <t>Reunion relecture du Statut Arouest</t>
  </si>
  <si>
    <t>PAYE EN FEV 2020</t>
  </si>
  <si>
    <t>MONTANT REELLEMENT SORTIE 350 179 PLUS 50000</t>
  </si>
  <si>
    <t>reunion elaboration du Statut Arouest</t>
  </si>
  <si>
    <t>Délégation (SOH ET DEUTCHEU)</t>
  </si>
  <si>
    <t>Délégation deuil Mgboron</t>
  </si>
  <si>
    <t>DECEMBRE</t>
  </si>
  <si>
    <t>RETRAITE</t>
  </si>
  <si>
    <t>DETTE</t>
  </si>
  <si>
    <t>AVOIRS CAISSE CONSTRUCTION</t>
  </si>
  <si>
    <t>CONTRIBUTIONS ATTENDUES</t>
  </si>
  <si>
    <t>AVOIR 2021</t>
  </si>
  <si>
    <t>ITEM</t>
  </si>
  <si>
    <t>Item</t>
  </si>
  <si>
    <t xml:space="preserve">Fabrication des carnets </t>
  </si>
  <si>
    <t>FRAIS DE FONCTIONNEMENT AROUEST</t>
  </si>
  <si>
    <t>Emoluments Conseillers 2019</t>
  </si>
  <si>
    <t>Taxi pour rélevés de compte</t>
  </si>
  <si>
    <t>Interet Tontine</t>
  </si>
  <si>
    <t>Fond Aide nouveau membre</t>
  </si>
  <si>
    <t>TONTINE</t>
  </si>
  <si>
    <t>Pénalités et autres sanctions</t>
  </si>
  <si>
    <t>NOM ET PRENOM</t>
  </si>
  <si>
    <t>DZEREM ANSELME</t>
  </si>
  <si>
    <t>FUMBA LAURENT</t>
  </si>
  <si>
    <t>NOUGNIHI Jonas</t>
  </si>
  <si>
    <t>PAFOUYOUOM NSANGOU</t>
  </si>
  <si>
    <t>SANGANG  Martin</t>
  </si>
  <si>
    <t>TAKOUGOUM  JEAN CLAUDE</t>
  </si>
  <si>
    <t xml:space="preserve">TCHOUADEU  Christophe </t>
  </si>
  <si>
    <t>ECHEC</t>
  </si>
  <si>
    <t>PENALITE ET SANCTIONS DIVERSES</t>
  </si>
  <si>
    <t>CHEIZING PATRICK</t>
  </si>
  <si>
    <t>PENALITE TONTINE</t>
  </si>
  <si>
    <t>Pénalité et autres sanctions</t>
  </si>
  <si>
    <t>FUMBA ROLAND</t>
  </si>
  <si>
    <t xml:space="preserve">NGAMI DAGOBERT </t>
  </si>
  <si>
    <t>Payement aide suite Décès NGAMI</t>
  </si>
  <si>
    <t xml:space="preserve">Aide Suite décès NGAMI </t>
  </si>
  <si>
    <t>COMPTE RETRAITE</t>
  </si>
  <si>
    <t>RAPPORT AROUEST 2020</t>
  </si>
  <si>
    <t>GESTION DES DEPARTS EFFECTIFS EN RETRAITE</t>
  </si>
  <si>
    <t>NOM DU RETRAITE</t>
  </si>
  <si>
    <t>MONTANT COTISE PAR LES MEMBRES</t>
  </si>
  <si>
    <t>20% COLLATION</t>
  </si>
  <si>
    <t>CADEAU AROUEST</t>
  </si>
  <si>
    <t>MONTANT REMIS AU RETRAITE</t>
  </si>
  <si>
    <t>LAMBO ELIE</t>
  </si>
  <si>
    <t>TOTAL SORTIE</t>
  </si>
  <si>
    <t>Montant Total Cotisé</t>
  </si>
  <si>
    <t>Montant Interet</t>
  </si>
  <si>
    <t>DESIGNATION</t>
  </si>
  <si>
    <t>OBSERVATION</t>
  </si>
  <si>
    <t>Caisse epargne Principal</t>
  </si>
  <si>
    <t>Compte logé à Afriland Hypodrome</t>
  </si>
  <si>
    <t>Compte tontine</t>
  </si>
  <si>
    <t>Compte logé à Afriland Messa</t>
  </si>
  <si>
    <t xml:space="preserve">Tresorier </t>
  </si>
  <si>
    <t>Compte epargne Secondaire</t>
  </si>
  <si>
    <t>DEFICIT</t>
  </si>
  <si>
    <t>MVOLA MARIE</t>
  </si>
  <si>
    <t>Payement des interets tontines aux membres</t>
  </si>
  <si>
    <t>PERIODE</t>
  </si>
  <si>
    <t>Frais Communication Mr Tchuikwa</t>
  </si>
  <si>
    <t>AR202001</t>
  </si>
  <si>
    <t>AR202002</t>
  </si>
  <si>
    <t>AR202003</t>
  </si>
  <si>
    <t>AR202004</t>
  </si>
  <si>
    <t>AR202005</t>
  </si>
  <si>
    <t>AR202007</t>
  </si>
  <si>
    <t>AR202008</t>
  </si>
  <si>
    <t>AR202009</t>
  </si>
  <si>
    <t>AR202010</t>
  </si>
  <si>
    <t>AR202011</t>
  </si>
  <si>
    <t>AR202013</t>
  </si>
  <si>
    <t>AR202014</t>
  </si>
  <si>
    <t>AR202015</t>
  </si>
  <si>
    <t>AR202016</t>
  </si>
  <si>
    <t>AR202017</t>
  </si>
  <si>
    <t>AR202018</t>
  </si>
  <si>
    <t>AR202042</t>
  </si>
  <si>
    <t>AR202019</t>
  </si>
  <si>
    <t>AR202044</t>
  </si>
  <si>
    <t>AR202020</t>
  </si>
  <si>
    <t>AR202022</t>
  </si>
  <si>
    <t>AR202024</t>
  </si>
  <si>
    <t>AR202026</t>
  </si>
  <si>
    <t>AR202027</t>
  </si>
  <si>
    <t>AR202028</t>
  </si>
  <si>
    <t>AR202030</t>
  </si>
  <si>
    <t>AR202031</t>
  </si>
  <si>
    <t>AR202032</t>
  </si>
  <si>
    <t>AR202033</t>
  </si>
  <si>
    <t>AR202034</t>
  </si>
  <si>
    <t>AR202035</t>
  </si>
  <si>
    <t>AR202036</t>
  </si>
  <si>
    <t>AR202037</t>
  </si>
  <si>
    <t>AR202038</t>
  </si>
  <si>
    <t>AR202039</t>
  </si>
  <si>
    <t>AR202040</t>
  </si>
  <si>
    <t>AR202041</t>
  </si>
  <si>
    <t>AR202043</t>
  </si>
  <si>
    <t>AR202046</t>
  </si>
  <si>
    <t>AR202047</t>
  </si>
  <si>
    <t>AR202048</t>
  </si>
  <si>
    <t>AR202049</t>
  </si>
  <si>
    <t>AR202050</t>
  </si>
  <si>
    <t>AR202054</t>
  </si>
  <si>
    <t>AR202055</t>
  </si>
  <si>
    <t>AR202056</t>
  </si>
  <si>
    <t>AR202057</t>
  </si>
  <si>
    <t>AR202058</t>
  </si>
  <si>
    <t>AR202059</t>
  </si>
  <si>
    <t>AR202060</t>
  </si>
  <si>
    <t>AR202061</t>
  </si>
  <si>
    <t>AR202063</t>
  </si>
  <si>
    <t>AR202064</t>
  </si>
  <si>
    <t>AR202065</t>
  </si>
  <si>
    <t>AR202066</t>
  </si>
  <si>
    <t>AR202067</t>
  </si>
  <si>
    <t>AR202068</t>
  </si>
  <si>
    <t>AR202069</t>
  </si>
  <si>
    <t>AR202070</t>
  </si>
  <si>
    <t>AR202071</t>
  </si>
  <si>
    <t>AR202072</t>
  </si>
  <si>
    <t>AR202073</t>
  </si>
  <si>
    <t>AR202074</t>
  </si>
  <si>
    <t>AR202075</t>
  </si>
  <si>
    <t>AR202076</t>
  </si>
  <si>
    <t>AR202077</t>
  </si>
  <si>
    <t>MATRICULE</t>
  </si>
  <si>
    <t>OK</t>
  </si>
  <si>
    <t>NOK</t>
  </si>
  <si>
    <t>AR202092</t>
  </si>
  <si>
    <t>RAPPORT FINANCIER 2022</t>
  </si>
  <si>
    <t>ASSOCIATION</t>
  </si>
  <si>
    <t>ANNEE</t>
  </si>
  <si>
    <t xml:space="preserve">TONTINE </t>
  </si>
  <si>
    <t>AR202006</t>
  </si>
  <si>
    <t>AR202012</t>
  </si>
  <si>
    <t>AR202021</t>
  </si>
  <si>
    <t>AR202023</t>
  </si>
  <si>
    <t>AR202086</t>
  </si>
  <si>
    <t>AR202093</t>
  </si>
  <si>
    <t>AR202025</t>
  </si>
  <si>
    <t>AR202029</t>
  </si>
  <si>
    <t>AR202045</t>
  </si>
  <si>
    <t>AR202051</t>
  </si>
  <si>
    <t>AR202052</t>
  </si>
  <si>
    <t>AR202053</t>
  </si>
  <si>
    <t>AR202062</t>
  </si>
  <si>
    <t>AR202094</t>
  </si>
  <si>
    <t>AR202095</t>
  </si>
  <si>
    <t>AR202096</t>
  </si>
  <si>
    <t>AR202097</t>
  </si>
  <si>
    <t>FONDS</t>
  </si>
  <si>
    <t>DETTE ENVELOPPE</t>
  </si>
  <si>
    <t>ECHEC REMBOURSEMENT</t>
  </si>
  <si>
    <t>CREANCE DOUTEUSE</t>
  </si>
  <si>
    <t>ADHERENT</t>
  </si>
  <si>
    <t>ENCAISSE</t>
  </si>
  <si>
    <t>MONTANT RETRAITE</t>
  </si>
  <si>
    <t>NON ENCAISSE</t>
  </si>
  <si>
    <t>Prime Adhérent</t>
  </si>
  <si>
    <t>CADEAU</t>
  </si>
  <si>
    <t>AVANCE RECU</t>
  </si>
  <si>
    <t>DIBONDJI PAUL</t>
  </si>
  <si>
    <t>Ancienneté sup à 10 ans</t>
  </si>
  <si>
    <t>Ancienneté supérieur à 10 ans et membre de bureau(Comptable de taux et Secretaire Général)</t>
  </si>
  <si>
    <t>Retraite a Distribuer</t>
  </si>
  <si>
    <t>AVOIR  FIN DEC 2021</t>
  </si>
  <si>
    <t>Total Fin DEC 2022</t>
  </si>
  <si>
    <t>MAI</t>
  </si>
  <si>
    <t>TAUX</t>
  </si>
  <si>
    <t>INTERET PREVISIONNEL</t>
  </si>
  <si>
    <t>INTERET REEL</t>
  </si>
  <si>
    <t>AROUEST 5%</t>
  </si>
  <si>
    <t>BUREAU 12%</t>
  </si>
  <si>
    <t>RESTE</t>
  </si>
  <si>
    <t>MONTANT PAR ADHERENT 2021</t>
  </si>
  <si>
    <t>MONTANT PAR ADHERENT 2020</t>
  </si>
  <si>
    <t>RELIQUAT</t>
  </si>
  <si>
    <t>RETRAIT</t>
  </si>
  <si>
    <t>INTERET A DISTRIBUER</t>
  </si>
  <si>
    <t>TONTINE EN BANQUE</t>
  </si>
  <si>
    <t>BUREAU</t>
  </si>
  <si>
    <t>PART INTERET TONTINE</t>
  </si>
  <si>
    <t>T20 000</t>
  </si>
  <si>
    <t>PART INTERET PRÊT</t>
  </si>
  <si>
    <t>T30 000</t>
  </si>
  <si>
    <t>INTERET TONTINE</t>
  </si>
  <si>
    <t>INTERET ASSURANCE</t>
  </si>
  <si>
    <t>T50 000</t>
  </si>
  <si>
    <t>T100 000</t>
  </si>
  <si>
    <t>PRESIDENT</t>
  </si>
  <si>
    <t>T150 000</t>
  </si>
  <si>
    <t>SECRETAIRE</t>
  </si>
  <si>
    <t>SECRETAIRE ADJOINT</t>
  </si>
  <si>
    <t>SECRETAIRE TAUX 20 000</t>
  </si>
  <si>
    <t>SECRETAIRE TAUX 30 000</t>
  </si>
  <si>
    <t>SECRETAIRE TAUX 50 000</t>
  </si>
  <si>
    <t>SECRETAIRE TAUX 100 000</t>
  </si>
  <si>
    <t>SECRETAIRE TAUX 150 000</t>
  </si>
  <si>
    <t>COMMISAIRE AU COMPTE</t>
  </si>
  <si>
    <t>TRESORIER</t>
  </si>
  <si>
    <t>CENSEUR</t>
  </si>
  <si>
    <t>MONTANT COTISE</t>
  </si>
  <si>
    <t>TOTAL A PERCEVOIR</t>
  </si>
  <si>
    <t>CALCUL PRIME</t>
  </si>
  <si>
    <t>FUMBAN ROLAND</t>
  </si>
  <si>
    <t>TONTINE EN ATTENTE</t>
  </si>
  <si>
    <t>T150</t>
  </si>
  <si>
    <t>T100</t>
  </si>
  <si>
    <t>T50</t>
  </si>
  <si>
    <t>T30</t>
  </si>
  <si>
    <t>T20</t>
  </si>
  <si>
    <t>RETRAIT ASSURANCE PARTIELLE</t>
  </si>
  <si>
    <t>PRÊT 2022</t>
  </si>
  <si>
    <t>RECOUVREMENT RETRAITE</t>
  </si>
  <si>
    <t xml:space="preserve">RETRAITE </t>
  </si>
  <si>
    <t>REMBOURSEMENT PRÊT</t>
  </si>
  <si>
    <t>RAPPROCHEMENT BANCAIRE</t>
  </si>
  <si>
    <t>LISTE ROUGE 2022</t>
  </si>
  <si>
    <t>Noms et Prénom</t>
  </si>
  <si>
    <t>DETTES</t>
  </si>
  <si>
    <t>OBS</t>
  </si>
  <si>
    <t>BELL Martine</t>
  </si>
  <si>
    <t>CHUEKOU David</t>
  </si>
  <si>
    <t>DJEUKWA Frédéric</t>
  </si>
  <si>
    <t>KAMGAING NONO LISE</t>
  </si>
  <si>
    <t>NGAMAKO Blaise</t>
  </si>
  <si>
    <t>NGATAT Jean Marie</t>
  </si>
  <si>
    <t>POUANSI Serge Olivier</t>
  </si>
  <si>
    <t xml:space="preserve">TCHOUMBA Eps Ondja'a </t>
  </si>
  <si>
    <t>TOUSSON François P</t>
  </si>
  <si>
    <t xml:space="preserve">WOUATEDEM Anicet </t>
  </si>
  <si>
    <t>SITUATION DES DIFFERENTES DETTES AU 31 DECEMBRE 2021</t>
  </si>
  <si>
    <t>KAMGA Joseph</t>
  </si>
  <si>
    <t>ECHEC TONTINE</t>
  </si>
  <si>
    <t>LENGA RENE</t>
  </si>
  <si>
    <t>TAKOUGOUM J Claude</t>
  </si>
  <si>
    <t>V-</t>
  </si>
  <si>
    <t>AROUEST 2021</t>
  </si>
  <si>
    <t>RETENUE 2021</t>
  </si>
  <si>
    <t>Reconstitution</t>
  </si>
  <si>
    <t xml:space="preserve"> Retraite</t>
  </si>
  <si>
    <t xml:space="preserve"> Collation</t>
  </si>
  <si>
    <t xml:space="preserve"> Dettes </t>
  </si>
  <si>
    <t>Echec Tontine</t>
  </si>
  <si>
    <t>Pénalité Echec</t>
  </si>
  <si>
    <t>Entrée Tontine</t>
  </si>
  <si>
    <t>BANGU Clotide Bongeh</t>
  </si>
  <si>
    <t>CHEIZING Goufack P</t>
  </si>
  <si>
    <t>CHOUMNOU Andre Marie</t>
  </si>
  <si>
    <t xml:space="preserve">DANGUE Jean Pierre </t>
  </si>
  <si>
    <t>DEUTCHEU Jean Claude</t>
  </si>
  <si>
    <t>DIBONJI Paul</t>
  </si>
  <si>
    <t>DJUOMBESSY  A</t>
  </si>
  <si>
    <t>DONTSOP Cathérine</t>
  </si>
  <si>
    <t xml:space="preserve">EWOUDOU Edith </t>
  </si>
  <si>
    <t>FANKO Alice Shela</t>
  </si>
  <si>
    <t>FOPA Ghislain</t>
  </si>
  <si>
    <t>FOTSO Apolinaire</t>
  </si>
  <si>
    <t>FOUTE Marie Laure</t>
  </si>
  <si>
    <t>FUMBA Roland</t>
  </si>
  <si>
    <t>GEORGES Waso Tchio</t>
  </si>
  <si>
    <t>KAMGAING Epse NOAH</t>
  </si>
  <si>
    <t>KAMGUEM LISE CAROLE</t>
  </si>
  <si>
    <t>KAMGANG SAMUEL</t>
  </si>
  <si>
    <t xml:space="preserve">KAMTA Etienne </t>
  </si>
  <si>
    <t>KANKEU Chrétien</t>
  </si>
  <si>
    <t>KEMADJOU Elisée</t>
  </si>
  <si>
    <t>KENGNE BASILE</t>
  </si>
  <si>
    <t>KOLOKO Julienne</t>
  </si>
  <si>
    <t>MEGAPTCHE J Jules</t>
  </si>
  <si>
    <t>MOMENI Fidele</t>
  </si>
  <si>
    <t>MONKAM Vincent</t>
  </si>
  <si>
    <t>MVOLA Marie  A</t>
  </si>
  <si>
    <t>NANA Raymond</t>
  </si>
  <si>
    <t>NDANGA Mathieu</t>
  </si>
  <si>
    <t>NDEFO Pierre Paul</t>
  </si>
  <si>
    <t>NDEUKA Céline</t>
  </si>
  <si>
    <t>NDZEREM ANSELM</t>
  </si>
  <si>
    <t>NEWO Katou blaise</t>
  </si>
  <si>
    <t>NFANKWE Patrice</t>
  </si>
  <si>
    <t>NGUEMEN Epse SINDJOU Grace</t>
  </si>
  <si>
    <t xml:space="preserve">NGOUNOU Michel  </t>
  </si>
  <si>
    <t>NJIKI Azaria</t>
  </si>
  <si>
    <t>NOMBO Sakio</t>
  </si>
  <si>
    <t xml:space="preserve">NOUGNIHI Jonas </t>
  </si>
  <si>
    <t>NOUKIATCHOM Rodrigue</t>
  </si>
  <si>
    <t>NOUNKWA Biadjang</t>
  </si>
  <si>
    <t>POSSI Didier</t>
  </si>
  <si>
    <t>SAGANG Martin</t>
  </si>
  <si>
    <t>SAPE Maurice</t>
  </si>
  <si>
    <t>SOKAMTE Fidele</t>
  </si>
  <si>
    <t>TATUE Fopa</t>
  </si>
  <si>
    <t>TCHAMO Bernard</t>
  </si>
  <si>
    <t>TCHANANG Sylvain</t>
  </si>
  <si>
    <t>TCHAPTCHET Désirée</t>
  </si>
  <si>
    <t>TCHI Robert</t>
  </si>
  <si>
    <t>TCHIO André</t>
  </si>
  <si>
    <t>TCHOUADEU CHRISTOPHE</t>
  </si>
  <si>
    <t>TCHOUTIO Léopold</t>
  </si>
  <si>
    <t>TCHUENTE Indgrid</t>
  </si>
  <si>
    <t xml:space="preserve">TCHUENTE Philotée </t>
  </si>
  <si>
    <t>TCHUENTE Leopold</t>
  </si>
  <si>
    <t>TCHUIDJASSI  Manfred</t>
  </si>
  <si>
    <t>TCHUIKWA Kapfeu Sylvain</t>
  </si>
  <si>
    <t>TENKAM Nicolas</t>
  </si>
  <si>
    <t>TOMFEU Jean Pierre</t>
  </si>
  <si>
    <t>TONGA Calvin Jules</t>
  </si>
  <si>
    <t>TSEMEU Joél</t>
  </si>
  <si>
    <t>WATA Blaise</t>
  </si>
  <si>
    <t>WETOUMDU Ernest</t>
  </si>
  <si>
    <t>YOUMBI Léonard</t>
  </si>
  <si>
    <t>YOUALEU Michel</t>
  </si>
  <si>
    <t>page 11</t>
  </si>
  <si>
    <t>MONTANT 2021</t>
  </si>
  <si>
    <t>MONTANT 2022</t>
  </si>
  <si>
    <t>AR202078</t>
  </si>
  <si>
    <t>AR202079</t>
  </si>
  <si>
    <t>AR202080</t>
  </si>
  <si>
    <t>AR202081</t>
  </si>
  <si>
    <t>AR202082</t>
  </si>
  <si>
    <t>AR202083</t>
  </si>
  <si>
    <t>AR202084</t>
  </si>
  <si>
    <t>AR202085</t>
  </si>
  <si>
    <t>AR202087</t>
  </si>
  <si>
    <t>AR202088</t>
  </si>
  <si>
    <t>AR202089</t>
  </si>
  <si>
    <t>AR202090</t>
  </si>
  <si>
    <t>AR202091</t>
  </si>
  <si>
    <t>INTERET</t>
  </si>
  <si>
    <t>MONTANT A REMBOURSER</t>
  </si>
  <si>
    <t>MONTANT REMBOURSE</t>
  </si>
  <si>
    <t>RECONSTITUTION ET RETRAITE</t>
  </si>
  <si>
    <t>EPARGNE ASSURANCE</t>
  </si>
  <si>
    <t>SITUATION TERRAIN</t>
  </si>
  <si>
    <t>AIDE</t>
  </si>
  <si>
    <t>RECOMMANDATION</t>
  </si>
  <si>
    <t>REGISTRE MAIN COURANTE COMITE ET AG</t>
  </si>
  <si>
    <t>HISTORIQUE DATE PRECISE</t>
  </si>
  <si>
    <t>RAPPORT FINANCIER</t>
  </si>
  <si>
    <t>FRAIS DE TAXI</t>
  </si>
  <si>
    <t>PART BUREAU</t>
  </si>
  <si>
    <t>INTERET PRÊT</t>
  </si>
  <si>
    <t>INTERET 2022</t>
  </si>
  <si>
    <t>AVOIR  FIN DEC 2022</t>
  </si>
  <si>
    <t>VERSEMENT PARTICIPATION DECES</t>
  </si>
  <si>
    <t>VERSEMENT FRAIS TRANSPORT DECES</t>
  </si>
  <si>
    <t>AIDE MARIAGE</t>
  </si>
  <si>
    <t>AIDE NAISSANCE</t>
  </si>
  <si>
    <t>NATURE AIDE</t>
  </si>
  <si>
    <t xml:space="preserve">DECES EPOUSE </t>
  </si>
  <si>
    <t>DECES PÈRE</t>
  </si>
  <si>
    <t>ACHAT FOURNITURE</t>
  </si>
  <si>
    <t>COMMUNICATION</t>
  </si>
  <si>
    <t>COMMISSION</t>
  </si>
  <si>
    <t>CREDIT TELEPHONE</t>
  </si>
  <si>
    <t>PRODUCTION RAPPORT</t>
  </si>
  <si>
    <t>PHOTOCOPIE</t>
  </si>
  <si>
    <t>RETENUE 2022</t>
  </si>
  <si>
    <t>DATE</t>
  </si>
  <si>
    <t>RECONSTITUTION FONDS</t>
  </si>
  <si>
    <t>SANCTION</t>
  </si>
  <si>
    <t>DETTE ENVELOPPE 2021</t>
  </si>
  <si>
    <t>DETTE ENVELOPPE 2022</t>
  </si>
  <si>
    <t>RECONSTITUTION FONDS A PAYER</t>
  </si>
  <si>
    <t>RETRAITE A PAYER</t>
  </si>
  <si>
    <t>PRÊT NON REMBOURSE</t>
  </si>
  <si>
    <t>NETTE A PAYER AU BENEFICIAIRE DE DECEM RE 2022</t>
  </si>
  <si>
    <t>PENALITE</t>
  </si>
  <si>
    <t>Extrait deccompte</t>
  </si>
  <si>
    <t>Date</t>
  </si>
  <si>
    <t>Demande de Chequier</t>
  </si>
  <si>
    <t>TOTAUX</t>
  </si>
  <si>
    <t>TONTINE DÉJÀ BENEFICIE</t>
  </si>
  <si>
    <t>Rembourssement Prêt Accordé en Dec 2021</t>
  </si>
  <si>
    <t>Avance reconstitution  sur fond 2022</t>
  </si>
  <si>
    <t>TOTAL ENTREE 2022</t>
  </si>
  <si>
    <t>Prets Assurance Accordés en Decembre 2021</t>
  </si>
  <si>
    <t>PAYEMENT DES FRAIS DE 4 RETRAITES</t>
  </si>
  <si>
    <t>LIBELLE</t>
  </si>
  <si>
    <t>FONDS ADHERENT</t>
  </si>
  <si>
    <t>FONDS PROPRE AROUEST</t>
  </si>
  <si>
    <t>MONTANT  INTERET</t>
  </si>
  <si>
    <t>ALLOCATION RETRAITE</t>
  </si>
  <si>
    <t>PRIME FIXE RETRAITE</t>
  </si>
  <si>
    <t>EMOLUMENT BUREAUX</t>
  </si>
  <si>
    <t xml:space="preserve">FRAIS DE FONCTIONNEMENT </t>
  </si>
  <si>
    <t>AIDES</t>
  </si>
  <si>
    <t>PRÊT EPARGNE ASSURANCE</t>
  </si>
  <si>
    <t>GRATIFICATION NDEFO</t>
  </si>
  <si>
    <t>PRIME MEDAILLE</t>
  </si>
  <si>
    <t>DECES MERE</t>
  </si>
  <si>
    <t>INTERET T20</t>
  </si>
  <si>
    <t>INTERET T30</t>
  </si>
  <si>
    <t>INTERET T50</t>
  </si>
  <si>
    <t>INTERET T100</t>
  </si>
  <si>
    <t>INTERET T150</t>
  </si>
  <si>
    <t>TOTAL INTERET</t>
  </si>
  <si>
    <t>AUTRES BENEFICIAIRE</t>
  </si>
  <si>
    <t>BANGU CLOTILDE</t>
  </si>
  <si>
    <t>CHEIZING PATRIC</t>
  </si>
  <si>
    <t>CHOMNOU ANDRE</t>
  </si>
  <si>
    <t>DEUTCHEU JEAN CLAUDE</t>
  </si>
  <si>
    <t>DONTSOP  CATHERINE</t>
  </si>
  <si>
    <t>DUTCHOU FANKO  ALICE SHELA</t>
  </si>
  <si>
    <t>EWOUDOU  EDITH</t>
  </si>
  <si>
    <t>FOPA GHISLAIN</t>
  </si>
  <si>
    <t>FOTSO Appolinaire</t>
  </si>
  <si>
    <t>FOUTE MARIE LAURE</t>
  </si>
  <si>
    <t>FUMBA TAHO ROLAND</t>
  </si>
  <si>
    <t>KAMGAING ENERSTINE Epse NOAH</t>
  </si>
  <si>
    <t>KAMGANG Samuel</t>
  </si>
  <si>
    <t>KAMGUEM NONO Carole</t>
  </si>
  <si>
    <t>KANKEU FOTSING CHRETIEN</t>
  </si>
  <si>
    <t>KEMADJOU ELISEE</t>
  </si>
  <si>
    <t>KENGNE BASILE BERTIN</t>
  </si>
  <si>
    <t>KUETE KENFACK MARCELIN</t>
  </si>
  <si>
    <t>LAMBO Elie</t>
  </si>
  <si>
    <t>MOMENI FIDELE</t>
  </si>
  <si>
    <t>MVOLA ANTOINETTE NEE NJOMOU</t>
  </si>
  <si>
    <t xml:space="preserve">NANA Raymond </t>
  </si>
  <si>
    <t>NDEUKA Celine</t>
  </si>
  <si>
    <t>NEWO KATOU BLAISE</t>
  </si>
  <si>
    <t>NOUKIATCHOM SATCHE RODRIQUE</t>
  </si>
  <si>
    <t>TCHOUMBA EPSE ONDJA'A</t>
  </si>
  <si>
    <t xml:space="preserve">POSSI Didier </t>
  </si>
  <si>
    <t>SINDJOU NGUEMEN GRACE</t>
  </si>
  <si>
    <t>SOKAMTE Fidel</t>
  </si>
  <si>
    <t>TATUE FOPA Jean</t>
  </si>
  <si>
    <t>TCHAMO BERNARD</t>
  </si>
  <si>
    <t>TCHAPTCHET DESIREE</t>
  </si>
  <si>
    <t>TCHI  ROBERT</t>
  </si>
  <si>
    <t xml:space="preserve">TCHOUTIO Léopold </t>
  </si>
  <si>
    <t xml:space="preserve">TCHUENTE Ingrid </t>
  </si>
  <si>
    <t xml:space="preserve">TCHUENTE Léopold </t>
  </si>
  <si>
    <t>TCHUENTE Philotée</t>
  </si>
  <si>
    <t>TCHUIKWA SYLVAIN</t>
  </si>
  <si>
    <t>TONGA Jules Calvin</t>
  </si>
  <si>
    <t>TOUKAM ELVIS</t>
  </si>
  <si>
    <t>TSEMEU  JOEL</t>
  </si>
  <si>
    <t xml:space="preserve">WASO TCHIO GEORGES </t>
  </si>
  <si>
    <t>YOUALEU MICHEL</t>
  </si>
  <si>
    <t>YOUMBI LEONARD</t>
  </si>
  <si>
    <t>TALAK</t>
  </si>
  <si>
    <t>TODJOM INNOCENT</t>
  </si>
  <si>
    <t>NGAHA FONDJA</t>
  </si>
  <si>
    <t>IMPRVENU</t>
  </si>
  <si>
    <t>CODE ADHERENT</t>
  </si>
  <si>
    <t>Intérêt Compte épargne Principal Juin 2022</t>
  </si>
  <si>
    <t>Intérêt Compte épargne secondaire 2022</t>
  </si>
  <si>
    <t>Intérêt Compte épargne Principal Dec 2022</t>
  </si>
  <si>
    <t>Payement des Primes médaille au Membre Arouest</t>
  </si>
  <si>
    <t>Emolument du bureau Prime transport</t>
  </si>
  <si>
    <t>Gratification NDEFO</t>
  </si>
  <si>
    <t>Emolument du bureau Intérêt Prêt epargne</t>
  </si>
  <si>
    <t>Emolument du bureau Intérêt Tontine</t>
  </si>
  <si>
    <t>Distribution des intérets tontines adherent</t>
  </si>
  <si>
    <t>Distribution des intérets tontines Prêt epargne assurance</t>
  </si>
  <si>
    <t>Payement des interets Epargne assurance aux membres</t>
  </si>
  <si>
    <t>SOLDE DE DEMARRAGE 2022</t>
  </si>
  <si>
    <t>Entree 2022</t>
  </si>
  <si>
    <t>Sortie 2022</t>
  </si>
  <si>
    <t>Prets accordés en decembre 2022</t>
  </si>
  <si>
    <t>SOLDE PHYSIQUE DEMARRAGE 2022</t>
  </si>
  <si>
    <t>SOLDE Theorique DEMARRAGE 2022</t>
  </si>
  <si>
    <t>Payement Dette Enveloppe 22</t>
  </si>
  <si>
    <t>AC</t>
  </si>
  <si>
    <t>A REVOIR AVEC LE BUREAU</t>
  </si>
  <si>
    <t>Avaliste</t>
  </si>
  <si>
    <t>Vers Jan</t>
  </si>
  <si>
    <t>Dette Fin Jan</t>
  </si>
  <si>
    <t>Vers Fev</t>
  </si>
  <si>
    <t>Dette Fin Fev</t>
  </si>
  <si>
    <t>Vers Mars</t>
  </si>
  <si>
    <t>Dette Fin Mars</t>
  </si>
  <si>
    <t>Vers Avril</t>
  </si>
  <si>
    <t>Dette Fin Avril</t>
  </si>
  <si>
    <t>Vers Mai</t>
  </si>
  <si>
    <t>Dette Fin Mai</t>
  </si>
  <si>
    <t>Vers Juin</t>
  </si>
  <si>
    <t>Dette Fin Juin</t>
  </si>
  <si>
    <t>Vers Juil</t>
  </si>
  <si>
    <t>Dette Fin Juil</t>
  </si>
  <si>
    <t>Vers Aout</t>
  </si>
  <si>
    <t>Dette Fin Aout</t>
  </si>
  <si>
    <t>Vers Sept</t>
  </si>
  <si>
    <t>Dette fin Sept</t>
  </si>
  <si>
    <t>Vers Oct</t>
  </si>
  <si>
    <t>Dette Fin Oct</t>
  </si>
  <si>
    <t>Vers Nov</t>
  </si>
  <si>
    <t>Dette Fin Nov</t>
  </si>
  <si>
    <t>Vers Dec</t>
  </si>
  <si>
    <t>Dette Dec</t>
  </si>
  <si>
    <t>Interet Global</t>
  </si>
  <si>
    <t>Dette Decembre  2018</t>
  </si>
  <si>
    <t>CHUEKOU DAVID</t>
  </si>
  <si>
    <t>NGAMAKO</t>
  </si>
  <si>
    <t>DECEMBRE 2020</t>
  </si>
  <si>
    <t>FOTSO</t>
  </si>
  <si>
    <t>MVOLA Marie Antoinette</t>
  </si>
  <si>
    <t>fevrier</t>
  </si>
  <si>
    <t>FUMBA</t>
  </si>
  <si>
    <t>Djuombessy</t>
  </si>
  <si>
    <t>TCHAPTCHET Desiré</t>
  </si>
  <si>
    <t>Aout</t>
  </si>
  <si>
    <t>TCHUIKWA</t>
  </si>
  <si>
    <t xml:space="preserve">PRÊT ACCORDE </t>
  </si>
  <si>
    <t>MONTANT PAYE</t>
  </si>
  <si>
    <t>PERCU</t>
  </si>
  <si>
    <t>DETTE ENVELOPPE ENCAISSE 2021</t>
  </si>
  <si>
    <t>PRÊT  REMBOURSE</t>
  </si>
  <si>
    <t>ENTREE</t>
  </si>
  <si>
    <t>TERRAIN</t>
  </si>
  <si>
    <t>FONDS ASSURANCE ASSURANCE</t>
  </si>
  <si>
    <t>INTERET FONDS ASSURANCE</t>
  </si>
  <si>
    <t>SORTIE</t>
  </si>
  <si>
    <t>DECES</t>
  </si>
  <si>
    <t>PRIME AROUEST RETRAITE</t>
  </si>
  <si>
    <t>MONTANT 22</t>
  </si>
  <si>
    <t>MONTANT 21</t>
  </si>
  <si>
    <t>TAYO FERDINANG</t>
  </si>
  <si>
    <t>WOUATEDEM ANICET</t>
  </si>
  <si>
    <t>POUANSI SERGE OLIVIER</t>
  </si>
  <si>
    <t>TOUSSON FRANCOIS</t>
  </si>
  <si>
    <t>LENGA JEAN RENE</t>
  </si>
  <si>
    <t>MOUMO YVONNE</t>
  </si>
  <si>
    <t>SALENG MARTY</t>
  </si>
  <si>
    <t>DJEUKWA FREDERIC</t>
  </si>
  <si>
    <t>KAMGA TAMBOU</t>
  </si>
  <si>
    <t>NGAMAKO BLAISE</t>
  </si>
  <si>
    <t>MOUMI YVONNE</t>
  </si>
  <si>
    <t>MEDAILLE</t>
  </si>
  <si>
    <t>NDEFO</t>
  </si>
  <si>
    <t>FONCTIONNEMENT</t>
  </si>
  <si>
    <t>EMOLUMENT</t>
  </si>
  <si>
    <t>Ancienneté supérieur à 10 ans et membre de bureau(Sectaitaire de taux /secretaire général/President et Commissaire de compte)</t>
  </si>
  <si>
    <t>SITUATION DEPART WASO</t>
  </si>
  <si>
    <t>EPARGNE</t>
  </si>
  <si>
    <t>RETRAIT  FIN DEC 2022</t>
  </si>
  <si>
    <t>Compte logé chez le tresorier</t>
  </si>
  <si>
    <t>TOTAL MONTANT</t>
  </si>
  <si>
    <t>NUM CHEQUE</t>
  </si>
  <si>
    <t>8373048/9774829</t>
  </si>
  <si>
    <t>AMICAL DES RESSORTISSANTS  OUEST ET NORD OUEST (AROUEST)</t>
  </si>
  <si>
    <t>RAPPORT COMMISSAIRE AUX COMPTE 2021 - 2002</t>
  </si>
  <si>
    <t>Chers membres de l'AROUEST</t>
  </si>
  <si>
    <t>Le rapport qui est presenté couvre la période 20121 à 2022 et concerne toutes les activités de l'association:</t>
  </si>
  <si>
    <t>Je tiens à rappeler que le commissaire au compte n'est pas le comptable de l'association:</t>
  </si>
  <si>
    <t>Il est élu par  les membres pour authentifier les comptes et lui rendre compte.</t>
  </si>
  <si>
    <t>La méthodologie a consisté à analyser les relevés bancaires et le registres financiers afin de trcer toutes les opérations financières</t>
  </si>
  <si>
    <t>L'objectif de la mission étant de nous prononcer sur la sincérité, la fiabilté et la dsiponibilité des fonds.</t>
  </si>
  <si>
    <t xml:space="preserve">Aux termes de nos travaux, les résultats sont consignés dans les états en annexe et nous ne pourrons passer sans vous presenter nos </t>
  </si>
  <si>
    <t>observations et recommendations pour l'amélioration de nos finances.</t>
  </si>
  <si>
    <t>Nous n'avons pas le solde du compte principal hippodrome et compte epargne secondaire</t>
  </si>
  <si>
    <t>Aucun documents comptables disponibles</t>
  </si>
  <si>
    <t>Observations</t>
  </si>
  <si>
    <t>Les relevés bancaires ne nous parviennent pas à temps regulier</t>
  </si>
  <si>
    <t>l'équipe actuelle n'a aucun bilan financier, aucun document de centralisation des données</t>
  </si>
  <si>
    <t>Recommandations</t>
  </si>
  <si>
    <t>Impression mensuel des relevés bancaires tous les 30 du mois</t>
  </si>
  <si>
    <t>Tenue mensuelle du journal centralisateur des mouvements des entrées, sorties et solde des banques</t>
  </si>
  <si>
    <t>prevoir des registres pour enregistrement des données</t>
  </si>
  <si>
    <t>Sursoir le paiement des primes arouest retraite et émolution bureau</t>
  </si>
  <si>
    <t>Retrait assurance fin d'année</t>
  </si>
  <si>
    <t>SOLDE PHYSIQUE 2022</t>
  </si>
  <si>
    <t>SYNTHESE DES COMPTES</t>
  </si>
  <si>
    <t>NUMERO ORDRE</t>
  </si>
  <si>
    <t>RUBRIQUE</t>
  </si>
  <si>
    <t>ENTREES</t>
  </si>
  <si>
    <t>SORTIES</t>
  </si>
  <si>
    <t>SOLDE</t>
  </si>
  <si>
    <t>SOLDE DE DEMARRAGE</t>
  </si>
  <si>
    <t xml:space="preserve">RECONSTITUTION FONDS D'AIDE </t>
  </si>
  <si>
    <t>RECONSTITUTION RETRAITE</t>
  </si>
  <si>
    <t>RECONSTITUTION MEDAILLE</t>
  </si>
  <si>
    <t>PRIME AROUEST EMOLUMENT BUREAU</t>
  </si>
  <si>
    <t>AGIOS ET FRAIS SUIVI COMPTE</t>
  </si>
  <si>
    <t>DISPOSITION DES FONDS</t>
  </si>
  <si>
    <t>SOLDE COMPTE AFRILAND HIPPODROME AU 30/12/2022</t>
  </si>
  <si>
    <t>SOLDE COMPTE AFRILAND MESSA AU 30/12/2022</t>
  </si>
  <si>
    <t>SOLDE EPARGNE AFRILAND MESSA AU 30/12/2022</t>
  </si>
  <si>
    <t>FONDS EN CIRCULATION</t>
  </si>
  <si>
    <t>INSCRIPTION ET FOND ADHESION</t>
  </si>
  <si>
    <t>FRAIS DE FONCTONNEMENT</t>
  </si>
  <si>
    <t>COLLATION GENERAL ET COMITE</t>
  </si>
  <si>
    <t>INTERETS PRÊT ET AUTRES 5 PCENT</t>
  </si>
  <si>
    <t>INTERETS TONTINE 5 P CENT</t>
  </si>
  <si>
    <t>DETTE DOUTEUSE</t>
  </si>
  <si>
    <t>AUTRES MOUVEMENTS</t>
  </si>
  <si>
    <t>INTERETS PRÊT ET AUTRES 5 %</t>
  </si>
  <si>
    <t xml:space="preserve">INTERETS TONTINE 5 % </t>
  </si>
  <si>
    <t>SOLDE TOUT COMPTE WASO</t>
  </si>
  <si>
    <t>Creance douteuse</t>
  </si>
  <si>
    <t>INTERETS EPARGNE HIPPODROME</t>
  </si>
  <si>
    <t>INTERETS EPARGNE MESSA</t>
  </si>
  <si>
    <t>PRIME RETRAITE 2021 PAYE EN 2022</t>
  </si>
  <si>
    <t>PRIME AROUEST RETRAITE 2023 AVANCE KANKEU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</si>
</sst>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-* #,##0.00\ _€_-;\-* #,##0.00\ _€_-;_-* &quot;-&quot;??\ _€_-;_-@_-"/>
    <numFmt numFmtId="164" formatCode="_-* #,##0\ _F_C_F_A_-;\-* #,##0\ _F_C_F_A_-;_-* &quot;-&quot;\ _F_C_F_A_-;_-@_-"/>
    <numFmt numFmtId="165" formatCode="_-* #,##0\ _€_-;\-* #,##0\ _€_-;_-* &quot;-&quot;??\ _€_-;_-@_-"/>
    <numFmt numFmtId="166" formatCode="_-* #,##0.0\ _€_-;\-* #,##0.0\ _€_-;_-* &quot;-&quot;??\ _€_-;_-@_-"/>
    <numFmt numFmtId="167" formatCode="_-* #,##0\ _€_-;\-* #,##0\ _€_-;_-* &quot;-&quot;?\ _€_-;_-@_-"/>
    <numFmt numFmtId="168" formatCode="#,##0.0"/>
    <numFmt numFmtId="169" formatCode="[$-40C]mmm\-yy;@"/>
  </numFmts>
  <fonts count="7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indexed="8"/>
      <name val="Calibri"/>
      <family val="2"/>
    </font>
    <font>
      <b/>
      <sz val="12"/>
      <name val="Arial"/>
      <family val="2"/>
    </font>
    <font>
      <b/>
      <sz val="14"/>
      <color indexed="8"/>
      <name val="Calibri"/>
      <family val="2"/>
    </font>
    <font>
      <u/>
      <sz val="10"/>
      <name val="Arial"/>
      <family val="2"/>
    </font>
    <font>
      <sz val="11"/>
      <name val="Arial"/>
      <family val="2"/>
    </font>
    <font>
      <sz val="11"/>
      <color theme="0"/>
      <name val="Calibri"/>
      <family val="2"/>
      <scheme val="minor"/>
    </font>
    <font>
      <b/>
      <sz val="12"/>
      <color indexed="8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4"/>
      <color indexed="8"/>
      <name val="Sansation"/>
    </font>
    <font>
      <sz val="11"/>
      <color theme="1"/>
      <name val="Sansation"/>
    </font>
    <font>
      <sz val="12"/>
      <color theme="1"/>
      <name val="Sansation"/>
    </font>
    <font>
      <b/>
      <sz val="12"/>
      <color theme="1"/>
      <name val="Sansation"/>
    </font>
    <font>
      <b/>
      <sz val="11"/>
      <color theme="1"/>
      <name val="Sansation"/>
    </font>
    <font>
      <sz val="14"/>
      <color theme="1"/>
      <name val="Sansation"/>
    </font>
    <font>
      <b/>
      <sz val="14"/>
      <color theme="1"/>
      <name val="Sansation"/>
    </font>
    <font>
      <b/>
      <sz val="16"/>
      <color theme="1"/>
      <name val="Sansation"/>
    </font>
    <font>
      <b/>
      <sz val="12"/>
      <color indexed="8"/>
      <name val="Sansation"/>
    </font>
    <font>
      <sz val="12"/>
      <color indexed="10"/>
      <name val="Sansation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6"/>
      <name val="Britannic Bold"/>
      <family val="2"/>
    </font>
    <font>
      <sz val="11"/>
      <name val="Britannic Bold"/>
      <family val="2"/>
    </font>
    <font>
      <b/>
      <sz val="20"/>
      <color theme="1"/>
      <name val="Calibri"/>
      <family val="2"/>
      <scheme val="minor"/>
    </font>
    <font>
      <sz val="11"/>
      <color theme="1"/>
      <name val="Britannic Bold"/>
      <family val="2"/>
    </font>
    <font>
      <b/>
      <sz val="12"/>
      <color rgb="FF00B050"/>
      <name val="Calibri"/>
      <family val="2"/>
      <scheme val="minor"/>
    </font>
    <font>
      <sz val="14"/>
      <color theme="1"/>
      <name val="Britannic Bold"/>
      <family val="2"/>
    </font>
    <font>
      <sz val="14"/>
      <color rgb="FFFF0000"/>
      <name val="Britannic Bold"/>
      <family val="2"/>
    </font>
    <font>
      <sz val="14"/>
      <color rgb="FF00B050"/>
      <name val="Britannic Bold"/>
      <family val="2"/>
    </font>
    <font>
      <b/>
      <sz val="18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rgb="FF00B050"/>
      <name val="Arial"/>
      <family val="2"/>
    </font>
    <font>
      <sz val="11"/>
      <color rgb="FF00B050"/>
      <name val="Britannic Bold"/>
      <family val="2"/>
    </font>
    <font>
      <sz val="12"/>
      <color theme="1"/>
      <name val="Britannic Bold"/>
      <family val="2"/>
    </font>
    <font>
      <b/>
      <sz val="12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FF0000"/>
      <name val="Britannic Bold"/>
      <family val="2"/>
    </font>
    <font>
      <b/>
      <sz val="16"/>
      <name val="Arial"/>
      <family val="2"/>
    </font>
    <font>
      <sz val="16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0070C0"/>
      <name val="Britannic Bold"/>
      <family val="2"/>
    </font>
    <font>
      <sz val="11"/>
      <color rgb="FF0070C0"/>
      <name val="Calibri"/>
      <family val="2"/>
      <scheme val="minor"/>
    </font>
    <font>
      <sz val="11"/>
      <color theme="1"/>
      <name val="Castellar"/>
      <family val="1"/>
    </font>
    <font>
      <sz val="10"/>
      <name val="Arial"/>
      <family val="2"/>
    </font>
    <font>
      <b/>
      <sz val="14"/>
      <color rgb="FF00B050"/>
      <name val="Calibri"/>
      <family val="2"/>
      <scheme val="minor"/>
    </font>
    <font>
      <sz val="11"/>
      <color rgb="FFFF0000"/>
      <name val="Castellar"/>
      <family val="1"/>
    </font>
    <font>
      <b/>
      <sz val="14"/>
      <color rgb="FFFF0000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Britannic Bold"/>
      <family val="2"/>
    </font>
    <font>
      <sz val="18"/>
      <color theme="1"/>
      <name val="Britannic Bold"/>
      <family val="2"/>
    </font>
    <font>
      <sz val="18"/>
      <color theme="1"/>
      <name val="Calibri"/>
      <family val="2"/>
      <scheme val="minor"/>
    </font>
    <font>
      <b/>
      <sz val="14"/>
      <color theme="1"/>
      <name val="Britannic Bold"/>
      <family val="2"/>
    </font>
    <font>
      <b/>
      <sz val="12"/>
      <color rgb="FF0070C0"/>
      <name val="Sansation"/>
    </font>
    <font>
      <b/>
      <sz val="12"/>
      <color rgb="FF00B050"/>
      <name val="Sansation"/>
    </font>
    <font>
      <b/>
      <sz val="11"/>
      <color rgb="FF00B050"/>
      <name val="Arial"/>
      <family val="2"/>
    </font>
    <font>
      <b/>
      <sz val="16"/>
      <color rgb="FFFF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/>
        <bgColor indexed="64"/>
      </patternFill>
    </fill>
  </fills>
  <borders count="9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/>
      <top style="thick">
        <color indexed="64"/>
      </top>
      <bottom style="double">
        <color indexed="64"/>
      </bottom>
      <diagonal/>
    </border>
    <border>
      <left style="double">
        <color indexed="64"/>
      </left>
      <right/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double">
        <color indexed="64"/>
      </top>
      <bottom style="medium">
        <color indexed="64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auto="1"/>
      </left>
      <right/>
      <top style="double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double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 style="hair">
        <color auto="1"/>
      </top>
      <bottom/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dotted">
        <color auto="1"/>
      </left>
      <right style="dotted">
        <color auto="1"/>
      </right>
      <top/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164" fontId="9" fillId="0" borderId="0" applyFont="0" applyFill="0" applyBorder="0" applyAlignment="0" applyProtection="0"/>
  </cellStyleXfs>
  <cellXfs count="499">
    <xf numFmtId="0" fontId="0" fillId="0" borderId="0" xfId="0"/>
    <xf numFmtId="0" fontId="1" fillId="0" borderId="0" xfId="0" applyFont="1"/>
    <xf numFmtId="0" fontId="0" fillId="0" borderId="0" xfId="0" applyFill="1" applyBorder="1"/>
    <xf numFmtId="17" fontId="0" fillId="0" borderId="0" xfId="0" applyNumberFormat="1"/>
    <xf numFmtId="0" fontId="0" fillId="3" borderId="0" xfId="0" applyFill="1"/>
    <xf numFmtId="0" fontId="0" fillId="0" borderId="6" xfId="0" applyBorder="1"/>
    <xf numFmtId="0" fontId="0" fillId="0" borderId="0" xfId="0" applyBorder="1"/>
    <xf numFmtId="3" fontId="0" fillId="0" borderId="0" xfId="0" applyNumberFormat="1"/>
    <xf numFmtId="165" fontId="0" fillId="0" borderId="0" xfId="0" applyNumberFormat="1"/>
    <xf numFmtId="0" fontId="0" fillId="0" borderId="9" xfId="0" applyBorder="1"/>
    <xf numFmtId="0" fontId="11" fillId="0" borderId="0" xfId="0" applyFont="1"/>
    <xf numFmtId="0" fontId="0" fillId="0" borderId="0" xfId="0" applyAlignment="1">
      <alignment wrapText="1"/>
    </xf>
    <xf numFmtId="0" fontId="0" fillId="6" borderId="0" xfId="0" applyFill="1"/>
    <xf numFmtId="0" fontId="10" fillId="0" borderId="0" xfId="0" applyFont="1"/>
    <xf numFmtId="0" fontId="0" fillId="0" borderId="4" xfId="0" applyBorder="1"/>
    <xf numFmtId="0" fontId="0" fillId="3" borderId="6" xfId="0" applyFill="1" applyBorder="1"/>
    <xf numFmtId="0" fontId="13" fillId="0" borderId="0" xfId="0" applyFont="1"/>
    <xf numFmtId="0" fontId="1" fillId="0" borderId="0" xfId="0" applyFont="1" applyBorder="1"/>
    <xf numFmtId="0" fontId="0" fillId="0" borderId="6" xfId="0" applyBorder="1" applyAlignment="1">
      <alignment wrapText="1"/>
    </xf>
    <xf numFmtId="165" fontId="0" fillId="0" borderId="6" xfId="1" applyNumberFormat="1" applyFont="1" applyBorder="1"/>
    <xf numFmtId="165" fontId="0" fillId="0" borderId="6" xfId="0" applyNumberFormat="1" applyBorder="1"/>
    <xf numFmtId="0" fontId="10" fillId="8" borderId="6" xfId="0" applyFont="1" applyFill="1" applyBorder="1"/>
    <xf numFmtId="0" fontId="10" fillId="8" borderId="6" xfId="0" applyFont="1" applyFill="1" applyBorder="1" applyAlignment="1">
      <alignment wrapText="1"/>
    </xf>
    <xf numFmtId="0" fontId="10" fillId="0" borderId="6" xfId="0" applyFont="1" applyBorder="1" applyAlignment="1">
      <alignment wrapText="1"/>
    </xf>
    <xf numFmtId="0" fontId="0" fillId="0" borderId="13" xfId="0" applyBorder="1"/>
    <xf numFmtId="0" fontId="0" fillId="0" borderId="15" xfId="0" applyBorder="1"/>
    <xf numFmtId="0" fontId="0" fillId="0" borderId="17" xfId="0" applyBorder="1"/>
    <xf numFmtId="165" fontId="0" fillId="0" borderId="14" xfId="1" applyNumberFormat="1" applyFont="1" applyBorder="1"/>
    <xf numFmtId="165" fontId="0" fillId="0" borderId="16" xfId="1" applyNumberFormat="1" applyFont="1" applyBorder="1"/>
    <xf numFmtId="165" fontId="0" fillId="0" borderId="19" xfId="1" applyNumberFormat="1" applyFont="1" applyBorder="1"/>
    <xf numFmtId="165" fontId="1" fillId="2" borderId="6" xfId="1" applyNumberFormat="1" applyFont="1" applyFill="1" applyBorder="1"/>
    <xf numFmtId="3" fontId="15" fillId="10" borderId="5" xfId="0" applyNumberFormat="1" applyFont="1" applyFill="1" applyBorder="1"/>
    <xf numFmtId="165" fontId="0" fillId="0" borderId="6" xfId="1" applyNumberFormat="1" applyFont="1" applyBorder="1" applyAlignment="1">
      <alignment horizontal="right"/>
    </xf>
    <xf numFmtId="0" fontId="0" fillId="5" borderId="0" xfId="0" applyFill="1"/>
    <xf numFmtId="0" fontId="0" fillId="5" borderId="6" xfId="0" applyFill="1" applyBorder="1"/>
    <xf numFmtId="165" fontId="0" fillId="5" borderId="6" xfId="1" applyNumberFormat="1" applyFont="1" applyFill="1" applyBorder="1"/>
    <xf numFmtId="0" fontId="0" fillId="5" borderId="6" xfId="0" applyFill="1" applyBorder="1" applyAlignment="1">
      <alignment wrapText="1"/>
    </xf>
    <xf numFmtId="14" fontId="0" fillId="0" borderId="0" xfId="0" applyNumberFormat="1"/>
    <xf numFmtId="15" fontId="0" fillId="0" borderId="0" xfId="0" applyNumberFormat="1"/>
    <xf numFmtId="0" fontId="0" fillId="0" borderId="22" xfId="0" applyBorder="1"/>
    <xf numFmtId="165" fontId="0" fillId="0" borderId="23" xfId="1" applyNumberFormat="1" applyFont="1" applyFill="1" applyBorder="1"/>
    <xf numFmtId="0" fontId="0" fillId="0" borderId="24" xfId="0" applyFill="1" applyBorder="1"/>
    <xf numFmtId="0" fontId="0" fillId="0" borderId="15" xfId="0" applyFill="1" applyBorder="1"/>
    <xf numFmtId="165" fontId="0" fillId="0" borderId="25" xfId="1" applyNumberFormat="1" applyFont="1" applyFill="1" applyBorder="1"/>
    <xf numFmtId="165" fontId="9" fillId="0" borderId="0" xfId="1" applyNumberFormat="1" applyFont="1"/>
    <xf numFmtId="0" fontId="0" fillId="0" borderId="10" xfId="0" applyBorder="1"/>
    <xf numFmtId="0" fontId="12" fillId="0" borderId="0" xfId="0" applyFont="1"/>
    <xf numFmtId="165" fontId="4" fillId="0" borderId="19" xfId="1" applyNumberFormat="1" applyFont="1" applyBorder="1" applyAlignment="1"/>
    <xf numFmtId="0" fontId="21" fillId="0" borderId="0" xfId="0" applyFont="1"/>
    <xf numFmtId="0" fontId="10" fillId="0" borderId="6" xfId="0" applyFont="1" applyBorder="1"/>
    <xf numFmtId="165" fontId="10" fillId="0" borderId="6" xfId="1" applyNumberFormat="1" applyFont="1" applyBorder="1"/>
    <xf numFmtId="0" fontId="1" fillId="0" borderId="6" xfId="0" applyFont="1" applyBorder="1" applyAlignment="1">
      <alignment wrapText="1"/>
    </xf>
    <xf numFmtId="165" fontId="1" fillId="0" borderId="6" xfId="1" applyNumberFormat="1" applyFont="1" applyBorder="1"/>
    <xf numFmtId="0" fontId="4" fillId="6" borderId="2" xfId="0" applyFont="1" applyFill="1" applyBorder="1"/>
    <xf numFmtId="165" fontId="4" fillId="6" borderId="3" xfId="0" applyNumberFormat="1" applyFont="1" applyFill="1" applyBorder="1"/>
    <xf numFmtId="0" fontId="1" fillId="0" borderId="6" xfId="0" applyFont="1" applyBorder="1"/>
    <xf numFmtId="3" fontId="0" fillId="0" borderId="6" xfId="0" applyNumberFormat="1" applyBorder="1"/>
    <xf numFmtId="3" fontId="0" fillId="0" borderId="6" xfId="0" applyNumberFormat="1" applyBorder="1" applyAlignment="1">
      <alignment horizontal="right" vertical="center"/>
    </xf>
    <xf numFmtId="0" fontId="0" fillId="0" borderId="6" xfId="0" applyBorder="1" applyAlignment="1">
      <alignment horizontal="left" vertical="center"/>
    </xf>
    <xf numFmtId="3" fontId="4" fillId="0" borderId="0" xfId="0" applyNumberFormat="1" applyFont="1"/>
    <xf numFmtId="0" fontId="0" fillId="2" borderId="0" xfId="0" applyFont="1" applyFill="1" applyBorder="1" applyAlignment="1"/>
    <xf numFmtId="3" fontId="8" fillId="0" borderId="0" xfId="0" applyNumberFormat="1" applyFont="1"/>
    <xf numFmtId="165" fontId="4" fillId="0" borderId="0" xfId="1" applyNumberFormat="1" applyFont="1"/>
    <xf numFmtId="0" fontId="4" fillId="6" borderId="6" xfId="0" applyFont="1" applyFill="1" applyBorder="1"/>
    <xf numFmtId="0" fontId="10" fillId="0" borderId="0" xfId="0" applyFont="1" applyAlignment="1">
      <alignment horizontal="center"/>
    </xf>
    <xf numFmtId="165" fontId="20" fillId="8" borderId="6" xfId="0" applyNumberFormat="1" applyFont="1" applyFill="1" applyBorder="1"/>
    <xf numFmtId="0" fontId="24" fillId="0" borderId="0" xfId="0" applyFont="1"/>
    <xf numFmtId="0" fontId="25" fillId="0" borderId="0" xfId="0" applyFont="1"/>
    <xf numFmtId="165" fontId="25" fillId="0" borderId="6" xfId="1" applyNumberFormat="1" applyFont="1" applyBorder="1"/>
    <xf numFmtId="165" fontId="25" fillId="0" borderId="6" xfId="1" applyNumberFormat="1" applyFont="1" applyBorder="1" applyAlignment="1">
      <alignment horizontal="center"/>
    </xf>
    <xf numFmtId="165" fontId="26" fillId="5" borderId="6" xfId="0" applyNumberFormat="1" applyFont="1" applyFill="1" applyBorder="1"/>
    <xf numFmtId="0" fontId="26" fillId="0" borderId="0" xfId="0" applyFont="1"/>
    <xf numFmtId="167" fontId="27" fillId="6" borderId="0" xfId="0" applyNumberFormat="1" applyFont="1" applyFill="1"/>
    <xf numFmtId="166" fontId="25" fillId="0" borderId="6" xfId="1" applyNumberFormat="1" applyFont="1" applyBorder="1" applyAlignment="1">
      <alignment horizontal="center"/>
    </xf>
    <xf numFmtId="165" fontId="25" fillId="0" borderId="6" xfId="0" applyNumberFormat="1" applyFont="1" applyBorder="1"/>
    <xf numFmtId="3" fontId="11" fillId="0" borderId="0" xfId="0" applyNumberFormat="1" applyFont="1"/>
    <xf numFmtId="165" fontId="29" fillId="6" borderId="6" xfId="0" applyNumberFormat="1" applyFont="1" applyFill="1" applyBorder="1"/>
    <xf numFmtId="167" fontId="26" fillId="6" borderId="0" xfId="0" applyNumberFormat="1" applyFont="1" applyFill="1"/>
    <xf numFmtId="0" fontId="15" fillId="0" borderId="0" xfId="0" applyFont="1"/>
    <xf numFmtId="0" fontId="28" fillId="0" borderId="6" xfId="0" applyFont="1" applyBorder="1"/>
    <xf numFmtId="3" fontId="28" fillId="0" borderId="6" xfId="0" applyNumberFormat="1" applyFont="1" applyBorder="1"/>
    <xf numFmtId="3" fontId="25" fillId="0" borderId="6" xfId="0" applyNumberFormat="1" applyFont="1" applyBorder="1"/>
    <xf numFmtId="3" fontId="23" fillId="11" borderId="6" xfId="0" applyNumberFormat="1" applyFont="1" applyFill="1" applyBorder="1"/>
    <xf numFmtId="3" fontId="31" fillId="11" borderId="6" xfId="0" applyNumberFormat="1" applyFont="1" applyFill="1" applyBorder="1"/>
    <xf numFmtId="3" fontId="32" fillId="0" borderId="6" xfId="0" applyNumberFormat="1" applyFont="1" applyBorder="1"/>
    <xf numFmtId="3" fontId="32" fillId="0" borderId="0" xfId="0" applyNumberFormat="1" applyFont="1"/>
    <xf numFmtId="3" fontId="31" fillId="9" borderId="19" xfId="0" applyNumberFormat="1" applyFont="1" applyFill="1" applyBorder="1"/>
    <xf numFmtId="165" fontId="26" fillId="0" borderId="30" xfId="0" applyNumberFormat="1" applyFont="1" applyBorder="1"/>
    <xf numFmtId="0" fontId="30" fillId="3" borderId="0" xfId="0" applyFont="1" applyFill="1" applyBorder="1" applyAlignment="1">
      <alignment horizontal="center"/>
    </xf>
    <xf numFmtId="0" fontId="30" fillId="3" borderId="12" xfId="0" applyFont="1" applyFill="1" applyBorder="1" applyAlignment="1">
      <alignment horizontal="center"/>
    </xf>
    <xf numFmtId="0" fontId="30" fillId="3" borderId="11" xfId="0" applyFont="1" applyFill="1" applyBorder="1" applyAlignment="1">
      <alignment horizontal="center"/>
    </xf>
    <xf numFmtId="165" fontId="26" fillId="0" borderId="6" xfId="1" applyNumberFormat="1" applyFont="1" applyBorder="1"/>
    <xf numFmtId="165" fontId="26" fillId="0" borderId="6" xfId="0" applyNumberFormat="1" applyFont="1" applyBorder="1"/>
    <xf numFmtId="0" fontId="0" fillId="0" borderId="0" xfId="0" applyAlignment="1"/>
    <xf numFmtId="0" fontId="10" fillId="0" borderId="0" xfId="0" applyFont="1" applyAlignment="1"/>
    <xf numFmtId="0" fontId="33" fillId="6" borderId="31" xfId="0" applyFont="1" applyFill="1" applyBorder="1" applyAlignment="1">
      <alignment wrapText="1"/>
    </xf>
    <xf numFmtId="0" fontId="33" fillId="6" borderId="6" xfId="0" applyFont="1" applyFill="1" applyBorder="1" applyAlignment="1">
      <alignment wrapText="1"/>
    </xf>
    <xf numFmtId="0" fontId="33" fillId="0" borderId="31" xfId="0" applyFont="1" applyBorder="1"/>
    <xf numFmtId="0" fontId="33" fillId="0" borderId="6" xfId="0" applyFont="1" applyBorder="1"/>
    <xf numFmtId="0" fontId="33" fillId="0" borderId="11" xfId="0" applyFont="1" applyBorder="1"/>
    <xf numFmtId="0" fontId="18" fillId="0" borderId="0" xfId="0" applyFont="1"/>
    <xf numFmtId="0" fontId="18" fillId="0" borderId="0" xfId="0" applyFont="1" applyFill="1"/>
    <xf numFmtId="0" fontId="1" fillId="0" borderId="27" xfId="0" applyFont="1" applyFill="1" applyBorder="1"/>
    <xf numFmtId="0" fontId="0" fillId="0" borderId="27" xfId="0" applyFill="1" applyBorder="1"/>
    <xf numFmtId="0" fontId="0" fillId="0" borderId="27" xfId="0" applyFont="1" applyFill="1" applyBorder="1"/>
    <xf numFmtId="0" fontId="0" fillId="0" borderId="33" xfId="0" applyBorder="1"/>
    <xf numFmtId="0" fontId="0" fillId="0" borderId="34" xfId="0" applyBorder="1"/>
    <xf numFmtId="0" fontId="33" fillId="0" borderId="6" xfId="0" applyFont="1" applyBorder="1" applyAlignment="1">
      <alignment wrapText="1"/>
    </xf>
    <xf numFmtId="3" fontId="33" fillId="0" borderId="6" xfId="0" applyNumberFormat="1" applyFont="1" applyBorder="1"/>
    <xf numFmtId="0" fontId="0" fillId="0" borderId="6" xfId="0" applyBorder="1" applyAlignment="1">
      <alignment horizontal="left" vertical="center" wrapText="1"/>
    </xf>
    <xf numFmtId="3" fontId="0" fillId="2" borderId="0" xfId="0" applyNumberFormat="1" applyFont="1" applyFill="1" applyBorder="1" applyAlignment="1"/>
    <xf numFmtId="165" fontId="25" fillId="0" borderId="0" xfId="0" applyNumberFormat="1" applyFont="1" applyBorder="1"/>
    <xf numFmtId="0" fontId="4" fillId="0" borderId="17" xfId="0" applyFont="1" applyBorder="1" applyAlignment="1">
      <alignment horizontal="center"/>
    </xf>
    <xf numFmtId="0" fontId="4" fillId="0" borderId="27" xfId="0" applyFont="1" applyFill="1" applyBorder="1"/>
    <xf numFmtId="0" fontId="0" fillId="16" borderId="0" xfId="0" applyFill="1"/>
    <xf numFmtId="165" fontId="33" fillId="0" borderId="11" xfId="0" applyNumberFormat="1" applyFont="1" applyBorder="1"/>
    <xf numFmtId="164" fontId="33" fillId="0" borderId="6" xfId="2" applyFont="1" applyBorder="1"/>
    <xf numFmtId="1" fontId="33" fillId="0" borderId="11" xfId="0" applyNumberFormat="1" applyFont="1" applyBorder="1"/>
    <xf numFmtId="1" fontId="34" fillId="7" borderId="6" xfId="0" applyNumberFormat="1" applyFont="1" applyFill="1" applyBorder="1"/>
    <xf numFmtId="0" fontId="35" fillId="5" borderId="6" xfId="0" applyFont="1" applyFill="1" applyBorder="1"/>
    <xf numFmtId="0" fontId="5" fillId="8" borderId="35" xfId="0" applyFont="1" applyFill="1" applyBorder="1" applyAlignment="1">
      <alignment horizontal="center" vertical="center"/>
    </xf>
    <xf numFmtId="0" fontId="5" fillId="8" borderId="35" xfId="0" applyFont="1" applyFill="1" applyBorder="1" applyAlignment="1">
      <alignment horizontal="left" vertical="center"/>
    </xf>
    <xf numFmtId="0" fontId="6" fillId="8" borderId="35" xfId="0" applyFont="1" applyFill="1" applyBorder="1" applyAlignment="1">
      <alignment horizontal="center" vertical="center"/>
    </xf>
    <xf numFmtId="0" fontId="33" fillId="0" borderId="17" xfId="0" applyFont="1" applyBorder="1"/>
    <xf numFmtId="0" fontId="0" fillId="0" borderId="37" xfId="0" applyBorder="1"/>
    <xf numFmtId="0" fontId="0" fillId="0" borderId="38" xfId="0" applyBorder="1"/>
    <xf numFmtId="0" fontId="0" fillId="0" borderId="2" xfId="0" applyBorder="1" applyAlignment="1">
      <alignment vertical="center"/>
    </xf>
    <xf numFmtId="165" fontId="33" fillId="0" borderId="19" xfId="1" applyNumberFormat="1" applyFont="1" applyBorder="1"/>
    <xf numFmtId="165" fontId="0" fillId="0" borderId="39" xfId="1" applyNumberFormat="1" applyFont="1" applyFill="1" applyBorder="1"/>
    <xf numFmtId="165" fontId="0" fillId="0" borderId="19" xfId="1" applyNumberFormat="1" applyFont="1" applyFill="1" applyBorder="1"/>
    <xf numFmtId="0" fontId="4" fillId="18" borderId="17" xfId="0" applyFont="1" applyFill="1" applyBorder="1"/>
    <xf numFmtId="0" fontId="4" fillId="18" borderId="18" xfId="0" applyFont="1" applyFill="1" applyBorder="1"/>
    <xf numFmtId="0" fontId="4" fillId="18" borderId="19" xfId="0" applyFont="1" applyFill="1" applyBorder="1"/>
    <xf numFmtId="0" fontId="1" fillId="0" borderId="0" xfId="0" applyFont="1" applyBorder="1" applyAlignment="1"/>
    <xf numFmtId="0" fontId="1" fillId="0" borderId="40" xfId="0" applyFont="1" applyBorder="1" applyAlignment="1"/>
    <xf numFmtId="0" fontId="33" fillId="4" borderId="6" xfId="0" applyFont="1" applyFill="1" applyBorder="1"/>
    <xf numFmtId="3" fontId="33" fillId="4" borderId="6" xfId="0" applyNumberFormat="1" applyFont="1" applyFill="1" applyBorder="1" applyAlignment="1">
      <alignment horizontal="right" vertical="center"/>
    </xf>
    <xf numFmtId="3" fontId="33" fillId="4" borderId="6" xfId="0" applyNumberFormat="1" applyFont="1" applyFill="1" applyBorder="1"/>
    <xf numFmtId="0" fontId="10" fillId="2" borderId="0" xfId="0" applyFont="1" applyFill="1"/>
    <xf numFmtId="0" fontId="28" fillId="0" borderId="6" xfId="0" applyFont="1" applyBorder="1" applyAlignment="1">
      <alignment horizontal="left"/>
    </xf>
    <xf numFmtId="0" fontId="36" fillId="0" borderId="0" xfId="0" applyFont="1"/>
    <xf numFmtId="0" fontId="37" fillId="0" borderId="44" xfId="0" applyFont="1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3" fontId="38" fillId="0" borderId="46" xfId="0" applyNumberFormat="1" applyFont="1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37" fillId="0" borderId="52" xfId="0" applyFont="1" applyBorder="1"/>
    <xf numFmtId="0" fontId="17" fillId="0" borderId="50" xfId="0" applyFont="1" applyBorder="1"/>
    <xf numFmtId="3" fontId="17" fillId="0" borderId="51" xfId="0" applyNumberFormat="1" applyFont="1" applyBorder="1" applyAlignment="1">
      <alignment wrapText="1"/>
    </xf>
    <xf numFmtId="0" fontId="17" fillId="0" borderId="45" xfId="0" applyFont="1" applyBorder="1"/>
    <xf numFmtId="3" fontId="17" fillId="0" borderId="46" xfId="0" applyNumberFormat="1" applyFont="1" applyBorder="1"/>
    <xf numFmtId="0" fontId="7" fillId="2" borderId="41" xfId="0" applyFont="1" applyFill="1" applyBorder="1"/>
    <xf numFmtId="0" fontId="7" fillId="2" borderId="42" xfId="0" applyFont="1" applyFill="1" applyBorder="1"/>
    <xf numFmtId="3" fontId="7" fillId="2" borderId="43" xfId="0" applyNumberFormat="1" applyFont="1" applyFill="1" applyBorder="1" applyAlignment="1">
      <alignment wrapText="1"/>
    </xf>
    <xf numFmtId="3" fontId="0" fillId="4" borderId="0" xfId="0" applyNumberFormat="1" applyFill="1" applyAlignment="1">
      <alignment horizontal="right"/>
    </xf>
    <xf numFmtId="0" fontId="10" fillId="6" borderId="32" xfId="0" applyFont="1" applyFill="1" applyBorder="1" applyAlignment="1">
      <alignment wrapText="1"/>
    </xf>
    <xf numFmtId="0" fontId="26" fillId="19" borderId="0" xfId="0" applyFont="1" applyFill="1"/>
    <xf numFmtId="0" fontId="1" fillId="19" borderId="0" xfId="0" applyFont="1" applyFill="1"/>
    <xf numFmtId="0" fontId="4" fillId="6" borderId="8" xfId="0" applyFont="1" applyFill="1" applyBorder="1"/>
    <xf numFmtId="165" fontId="20" fillId="6" borderId="1" xfId="1" applyNumberFormat="1" applyFont="1" applyFill="1" applyBorder="1"/>
    <xf numFmtId="0" fontId="4" fillId="2" borderId="32" xfId="0" applyFont="1" applyFill="1" applyBorder="1"/>
    <xf numFmtId="3" fontId="12" fillId="0" borderId="0" xfId="0" applyNumberFormat="1" applyFont="1"/>
    <xf numFmtId="0" fontId="39" fillId="0" borderId="0" xfId="0" applyFont="1"/>
    <xf numFmtId="3" fontId="39" fillId="0" borderId="0" xfId="0" applyNumberFormat="1" applyFont="1"/>
    <xf numFmtId="0" fontId="37" fillId="0" borderId="0" xfId="0" applyFont="1"/>
    <xf numFmtId="165" fontId="0" fillId="0" borderId="6" xfId="1" applyNumberFormat="1" applyFont="1" applyFill="1" applyBorder="1"/>
    <xf numFmtId="0" fontId="10" fillId="8" borderId="27" xfId="0" applyFont="1" applyFill="1" applyBorder="1"/>
    <xf numFmtId="0" fontId="0" fillId="0" borderId="6" xfId="0" applyFill="1" applyBorder="1"/>
    <xf numFmtId="165" fontId="40" fillId="0" borderId="6" xfId="1" applyNumberFormat="1" applyFont="1" applyFill="1" applyBorder="1"/>
    <xf numFmtId="0" fontId="0" fillId="0" borderId="6" xfId="0" applyFill="1" applyBorder="1" applyAlignment="1">
      <alignment wrapText="1"/>
    </xf>
    <xf numFmtId="165" fontId="0" fillId="0" borderId="27" xfId="1" applyNumberFormat="1" applyFont="1" applyFill="1" applyBorder="1"/>
    <xf numFmtId="0" fontId="0" fillId="0" borderId="0" xfId="0" applyFill="1"/>
    <xf numFmtId="165" fontId="40" fillId="0" borderId="6" xfId="1" applyNumberFormat="1" applyFont="1" applyBorder="1"/>
    <xf numFmtId="0" fontId="0" fillId="0" borderId="41" xfId="0" applyBorder="1"/>
    <xf numFmtId="0" fontId="0" fillId="12" borderId="42" xfId="0" applyFill="1" applyBorder="1" applyAlignment="1">
      <alignment horizontal="right"/>
    </xf>
    <xf numFmtId="0" fontId="0" fillId="12" borderId="42" xfId="0" applyFill="1" applyBorder="1" applyAlignment="1">
      <alignment wrapText="1"/>
    </xf>
    <xf numFmtId="0" fontId="0" fillId="12" borderId="42" xfId="0" applyFill="1" applyBorder="1" applyAlignment="1">
      <alignment textRotation="90" wrapText="1"/>
    </xf>
    <xf numFmtId="0" fontId="0" fillId="12" borderId="43" xfId="0" applyFill="1" applyBorder="1" applyAlignment="1">
      <alignment horizontal="center" vertical="center" textRotation="90" wrapText="1"/>
    </xf>
    <xf numFmtId="0" fontId="39" fillId="0" borderId="45" xfId="0" applyFont="1" applyBorder="1"/>
    <xf numFmtId="165" fontId="0" fillId="0" borderId="45" xfId="0" applyNumberFormat="1" applyBorder="1"/>
    <xf numFmtId="0" fontId="0" fillId="0" borderId="45" xfId="0" applyBorder="1" applyAlignment="1">
      <alignment wrapText="1"/>
    </xf>
    <xf numFmtId="0" fontId="0" fillId="0" borderId="45" xfId="0" applyFill="1" applyBorder="1"/>
    <xf numFmtId="0" fontId="0" fillId="3" borderId="45" xfId="0" applyFill="1" applyBorder="1"/>
    <xf numFmtId="0" fontId="1" fillId="0" borderId="45" xfId="0" applyFont="1" applyBorder="1"/>
    <xf numFmtId="0" fontId="39" fillId="0" borderId="48" xfId="0" applyFont="1" applyBorder="1"/>
    <xf numFmtId="165" fontId="10" fillId="0" borderId="48" xfId="0" applyNumberFormat="1" applyFont="1" applyBorder="1"/>
    <xf numFmtId="165" fontId="10" fillId="0" borderId="49" xfId="0" applyNumberFormat="1" applyFont="1" applyBorder="1"/>
    <xf numFmtId="3" fontId="41" fillId="0" borderId="0" xfId="0" applyNumberFormat="1" applyFont="1"/>
    <xf numFmtId="3" fontId="41" fillId="0" borderId="0" xfId="0" applyNumberFormat="1" applyFont="1" applyAlignment="1">
      <alignment wrapText="1"/>
    </xf>
    <xf numFmtId="3" fontId="42" fillId="0" borderId="0" xfId="0" applyNumberFormat="1" applyFont="1"/>
    <xf numFmtId="3" fontId="43" fillId="0" borderId="0" xfId="0" applyNumberFormat="1" applyFont="1"/>
    <xf numFmtId="0" fontId="10" fillId="0" borderId="0" xfId="0" applyFont="1" applyAlignment="1">
      <alignment horizontal="center"/>
    </xf>
    <xf numFmtId="0" fontId="14" fillId="0" borderId="56" xfId="0" applyFont="1" applyBorder="1" applyAlignment="1">
      <alignment horizontal="center" vertical="center"/>
    </xf>
    <xf numFmtId="0" fontId="14" fillId="8" borderId="57" xfId="0" applyFont="1" applyFill="1" applyBorder="1" applyAlignment="1">
      <alignment horizontal="left" vertical="center"/>
    </xf>
    <xf numFmtId="0" fontId="14" fillId="8" borderId="58" xfId="0" applyFont="1" applyFill="1" applyBorder="1" applyAlignment="1">
      <alignment horizontal="center" vertical="center"/>
    </xf>
    <xf numFmtId="0" fontId="14" fillId="8" borderId="59" xfId="0" applyFont="1" applyFill="1" applyBorder="1" applyAlignment="1">
      <alignment horizontal="center" vertical="center"/>
    </xf>
    <xf numFmtId="0" fontId="45" fillId="3" borderId="60" xfId="0" applyFont="1" applyFill="1" applyBorder="1" applyAlignment="1">
      <alignment horizontal="center"/>
    </xf>
    <xf numFmtId="0" fontId="45" fillId="3" borderId="61" xfId="0" applyFont="1" applyFill="1" applyBorder="1" applyAlignment="1">
      <alignment horizontal="left"/>
    </xf>
    <xf numFmtId="0" fontId="0" fillId="3" borderId="62" xfId="0" applyFont="1" applyFill="1" applyBorder="1"/>
    <xf numFmtId="0" fontId="45" fillId="3" borderId="63" xfId="0" applyFont="1" applyFill="1" applyBorder="1" applyAlignment="1">
      <alignment horizontal="center"/>
    </xf>
    <xf numFmtId="0" fontId="45" fillId="3" borderId="1" xfId="0" applyFont="1" applyFill="1" applyBorder="1" applyAlignment="1">
      <alignment horizontal="left"/>
    </xf>
    <xf numFmtId="0" fontId="0" fillId="3" borderId="64" xfId="0" applyFont="1" applyFill="1" applyBorder="1"/>
    <xf numFmtId="0" fontId="45" fillId="3" borderId="65" xfId="0" applyFont="1" applyFill="1" applyBorder="1" applyAlignment="1">
      <alignment horizontal="center"/>
    </xf>
    <xf numFmtId="0" fontId="45" fillId="3" borderId="66" xfId="0" applyFont="1" applyFill="1" applyBorder="1" applyAlignment="1">
      <alignment horizontal="left"/>
    </xf>
    <xf numFmtId="0" fontId="0" fillId="3" borderId="67" xfId="0" applyFont="1" applyFill="1" applyBorder="1"/>
    <xf numFmtId="0" fontId="5" fillId="0" borderId="68" xfId="0" applyFont="1" applyBorder="1" applyAlignment="1">
      <alignment horizontal="center" vertical="center"/>
    </xf>
    <xf numFmtId="0" fontId="5" fillId="8" borderId="69" xfId="0" applyFont="1" applyFill="1" applyBorder="1" applyAlignment="1">
      <alignment horizontal="left" vertical="center"/>
    </xf>
    <xf numFmtId="0" fontId="6" fillId="8" borderId="70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/>
    </xf>
    <xf numFmtId="0" fontId="46" fillId="3" borderId="6" xfId="0" applyFont="1" applyFill="1" applyBorder="1" applyAlignment="1">
      <alignment horizontal="left"/>
    </xf>
    <xf numFmtId="0" fontId="12" fillId="3" borderId="1" xfId="0" applyFont="1" applyFill="1" applyBorder="1"/>
    <xf numFmtId="0" fontId="0" fillId="3" borderId="1" xfId="0" applyFill="1" applyBorder="1"/>
    <xf numFmtId="0" fontId="46" fillId="3" borderId="7" xfId="0" applyFont="1" applyFill="1" applyBorder="1" applyAlignment="1">
      <alignment horizontal="left"/>
    </xf>
    <xf numFmtId="0" fontId="5" fillId="3" borderId="7" xfId="0" applyFont="1" applyFill="1" applyBorder="1" applyAlignment="1">
      <alignment horizontal="left"/>
    </xf>
    <xf numFmtId="0" fontId="46" fillId="3" borderId="71" xfId="0" applyFont="1" applyFill="1" applyBorder="1" applyAlignment="1">
      <alignment horizontal="center"/>
    </xf>
    <xf numFmtId="0" fontId="46" fillId="3" borderId="72" xfId="0" applyFont="1" applyFill="1" applyBorder="1" applyAlignment="1">
      <alignment horizontal="left"/>
    </xf>
    <xf numFmtId="0" fontId="46" fillId="3" borderId="73" xfId="0" applyFont="1" applyFill="1" applyBorder="1" applyAlignment="1">
      <alignment horizontal="left"/>
    </xf>
    <xf numFmtId="0" fontId="5" fillId="3" borderId="26" xfId="0" applyFont="1" applyFill="1" applyBorder="1" applyAlignment="1">
      <alignment horizontal="left"/>
    </xf>
    <xf numFmtId="0" fontId="1" fillId="3" borderId="0" xfId="0" applyFont="1" applyFill="1"/>
    <xf numFmtId="0" fontId="6" fillId="0" borderId="75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/>
    </xf>
    <xf numFmtId="0" fontId="5" fillId="0" borderId="69" xfId="0" applyFont="1" applyBorder="1" applyAlignment="1">
      <alignment horizontal="left" vertical="center"/>
    </xf>
    <xf numFmtId="0" fontId="6" fillId="0" borderId="76" xfId="0" applyFont="1" applyBorder="1" applyAlignment="1">
      <alignment horizontal="center" vertical="center" wrapText="1"/>
    </xf>
    <xf numFmtId="0" fontId="5" fillId="0" borderId="77" xfId="0" applyFont="1" applyFill="1" applyBorder="1" applyAlignment="1">
      <alignment horizontal="center"/>
    </xf>
    <xf numFmtId="0" fontId="5" fillId="0" borderId="77" xfId="0" applyFont="1" applyBorder="1" applyAlignment="1">
      <alignment horizontal="left"/>
    </xf>
    <xf numFmtId="3" fontId="47" fillId="0" borderId="77" xfId="0" applyNumberFormat="1" applyFont="1" applyBorder="1" applyAlignment="1"/>
    <xf numFmtId="3" fontId="46" fillId="0" borderId="77" xfId="0" applyNumberFormat="1" applyFont="1" applyBorder="1" applyAlignment="1"/>
    <xf numFmtId="0" fontId="0" fillId="0" borderId="77" xfId="0" applyBorder="1"/>
    <xf numFmtId="0" fontId="0" fillId="3" borderId="77" xfId="0" applyFill="1" applyBorder="1"/>
    <xf numFmtId="0" fontId="5" fillId="7" borderId="77" xfId="0" applyFont="1" applyFill="1" applyBorder="1" applyAlignment="1">
      <alignment horizontal="center"/>
    </xf>
    <xf numFmtId="0" fontId="5" fillId="3" borderId="77" xfId="0" applyFont="1" applyFill="1" applyBorder="1" applyAlignment="1">
      <alignment horizontal="left"/>
    </xf>
    <xf numFmtId="0" fontId="46" fillId="3" borderId="77" xfId="0" applyFont="1" applyFill="1" applyBorder="1" applyAlignment="1"/>
    <xf numFmtId="0" fontId="5" fillId="0" borderId="77" xfId="0" applyFont="1" applyFill="1" applyBorder="1" applyAlignment="1">
      <alignment horizontal="left"/>
    </xf>
    <xf numFmtId="0" fontId="46" fillId="0" borderId="77" xfId="0" applyFont="1" applyBorder="1" applyAlignment="1"/>
    <xf numFmtId="0" fontId="5" fillId="4" borderId="77" xfId="0" applyFont="1" applyFill="1" applyBorder="1" applyAlignment="1">
      <alignment horizontal="left"/>
    </xf>
    <xf numFmtId="3" fontId="47" fillId="4" borderId="77" xfId="0" applyNumberFormat="1" applyFont="1" applyFill="1" applyBorder="1" applyAlignment="1"/>
    <xf numFmtId="0" fontId="46" fillId="7" borderId="77" xfId="0" applyFont="1" applyFill="1" applyBorder="1" applyAlignment="1"/>
    <xf numFmtId="164" fontId="0" fillId="3" borderId="77" xfId="2" applyFont="1" applyFill="1" applyBorder="1"/>
    <xf numFmtId="3" fontId="47" fillId="0" borderId="77" xfId="0" applyNumberFormat="1" applyFont="1" applyFill="1" applyBorder="1" applyAlignment="1"/>
    <xf numFmtId="0" fontId="46" fillId="0" borderId="77" xfId="0" applyFont="1" applyFill="1" applyBorder="1" applyAlignment="1"/>
    <xf numFmtId="0" fontId="45" fillId="3" borderId="77" xfId="0" applyFont="1" applyFill="1" applyBorder="1" applyAlignment="1">
      <alignment horizontal="center"/>
    </xf>
    <xf numFmtId="0" fontId="45" fillId="3" borderId="77" xfId="0" applyFont="1" applyFill="1" applyBorder="1" applyAlignment="1">
      <alignment horizontal="left"/>
    </xf>
    <xf numFmtId="3" fontId="45" fillId="3" borderId="77" xfId="0" applyNumberFormat="1" applyFont="1" applyFill="1" applyBorder="1" applyAlignment="1"/>
    <xf numFmtId="0" fontId="45" fillId="3" borderId="77" xfId="0" applyFont="1" applyFill="1" applyBorder="1" applyAlignment="1"/>
    <xf numFmtId="0" fontId="5" fillId="3" borderId="77" xfId="0" applyFont="1" applyFill="1" applyBorder="1" applyAlignment="1">
      <alignment horizontal="center"/>
    </xf>
    <xf numFmtId="3" fontId="47" fillId="3" borderId="77" xfId="0" applyNumberFormat="1" applyFont="1" applyFill="1" applyBorder="1" applyAlignment="1"/>
    <xf numFmtId="0" fontId="46" fillId="4" borderId="77" xfId="0" applyFont="1" applyFill="1" applyBorder="1" applyAlignment="1"/>
    <xf numFmtId="3" fontId="46" fillId="3" borderId="77" xfId="0" applyNumberFormat="1" applyFont="1" applyFill="1" applyBorder="1" applyAlignment="1"/>
    <xf numFmtId="164" fontId="0" fillId="0" borderId="77" xfId="2" applyFont="1" applyBorder="1"/>
    <xf numFmtId="0" fontId="5" fillId="3" borderId="77" xfId="0" applyFont="1" applyFill="1" applyBorder="1" applyAlignment="1"/>
    <xf numFmtId="0" fontId="46" fillId="3" borderId="77" xfId="0" applyFont="1" applyFill="1" applyBorder="1" applyAlignment="1">
      <alignment horizontal="left"/>
    </xf>
    <xf numFmtId="0" fontId="5" fillId="3" borderId="78" xfId="0" applyFont="1" applyFill="1" applyBorder="1" applyAlignment="1">
      <alignment horizontal="center"/>
    </xf>
    <xf numFmtId="0" fontId="5" fillId="0" borderId="79" xfId="0" applyFont="1" applyFill="1" applyBorder="1" applyAlignment="1">
      <alignment horizontal="left"/>
    </xf>
    <xf numFmtId="3" fontId="47" fillId="0" borderId="79" xfId="0" applyNumberFormat="1" applyFont="1" applyBorder="1" applyAlignment="1"/>
    <xf numFmtId="0" fontId="46" fillId="0" borderId="79" xfId="0" applyFont="1" applyBorder="1" applyAlignment="1"/>
    <xf numFmtId="0" fontId="7" fillId="0" borderId="0" xfId="0" applyFont="1" applyFill="1" applyBorder="1" applyAlignment="1">
      <alignment horizontal="left"/>
    </xf>
    <xf numFmtId="3" fontId="46" fillId="0" borderId="80" xfId="0" applyNumberFormat="1" applyFont="1" applyFill="1" applyBorder="1" applyAlignment="1"/>
    <xf numFmtId="0" fontId="5" fillId="0" borderId="0" xfId="0" applyFont="1" applyFill="1" applyBorder="1" applyAlignment="1">
      <alignment horizontal="left"/>
    </xf>
    <xf numFmtId="0" fontId="0" fillId="4" borderId="0" xfId="0" applyFill="1" applyAlignment="1">
      <alignment horizontal="right"/>
    </xf>
    <xf numFmtId="3" fontId="48" fillId="0" borderId="0" xfId="0" applyNumberFormat="1" applyFont="1"/>
    <xf numFmtId="0" fontId="42" fillId="0" borderId="0" xfId="0" applyFont="1"/>
    <xf numFmtId="3" fontId="0" fillId="3" borderId="61" xfId="0" applyNumberFormat="1" applyFont="1" applyFill="1" applyBorder="1"/>
    <xf numFmtId="3" fontId="49" fillId="0" borderId="0" xfId="0" applyNumberFormat="1" applyFont="1"/>
    <xf numFmtId="168" fontId="41" fillId="0" borderId="0" xfId="0" applyNumberFormat="1" applyFont="1"/>
    <xf numFmtId="0" fontId="10" fillId="0" borderId="0" xfId="0" applyFont="1" applyAlignment="1">
      <alignment horizontal="center"/>
    </xf>
    <xf numFmtId="0" fontId="0" fillId="0" borderId="81" xfId="0" applyBorder="1"/>
    <xf numFmtId="0" fontId="39" fillId="0" borderId="82" xfId="0" applyFont="1" applyBorder="1"/>
    <xf numFmtId="0" fontId="0" fillId="0" borderId="83" xfId="0" applyBorder="1"/>
    <xf numFmtId="0" fontId="0" fillId="12" borderId="41" xfId="0" applyFill="1" applyBorder="1" applyAlignment="1">
      <alignment horizontal="right"/>
    </xf>
    <xf numFmtId="0" fontId="0" fillId="12" borderId="43" xfId="0" applyFill="1" applyBorder="1" applyAlignment="1">
      <alignment wrapText="1"/>
    </xf>
    <xf numFmtId="165" fontId="0" fillId="0" borderId="46" xfId="0" applyNumberFormat="1" applyBorder="1"/>
    <xf numFmtId="169" fontId="0" fillId="12" borderId="42" xfId="0" applyNumberFormat="1" applyFill="1" applyBorder="1" applyAlignment="1">
      <alignment wrapText="1"/>
    </xf>
    <xf numFmtId="0" fontId="0" fillId="12" borderId="41" xfId="0" applyFill="1" applyBorder="1" applyAlignment="1">
      <alignment wrapText="1"/>
    </xf>
    <xf numFmtId="169" fontId="48" fillId="0" borderId="0" xfId="0" applyNumberFormat="1" applyFont="1"/>
    <xf numFmtId="3" fontId="50" fillId="0" borderId="0" xfId="0" applyNumberFormat="1" applyFont="1"/>
    <xf numFmtId="3" fontId="39" fillId="0" borderId="0" xfId="0" applyNumberFormat="1" applyFont="1" applyAlignment="1">
      <alignment wrapText="1"/>
    </xf>
    <xf numFmtId="3" fontId="51" fillId="0" borderId="0" xfId="0" applyNumberFormat="1" applyFont="1"/>
    <xf numFmtId="169" fontId="0" fillId="0" borderId="0" xfId="0" applyNumberFormat="1"/>
    <xf numFmtId="3" fontId="52" fillId="0" borderId="0" xfId="0" applyNumberFormat="1" applyFont="1"/>
    <xf numFmtId="3" fontId="53" fillId="0" borderId="0" xfId="0" applyNumberFormat="1" applyFont="1"/>
    <xf numFmtId="3" fontId="0" fillId="0" borderId="33" xfId="0" applyNumberFormat="1" applyBorder="1"/>
    <xf numFmtId="3" fontId="0" fillId="0" borderId="34" xfId="0" applyNumberFormat="1" applyBorder="1"/>
    <xf numFmtId="14" fontId="0" fillId="0" borderId="44" xfId="0" applyNumberFormat="1" applyBorder="1"/>
    <xf numFmtId="3" fontId="0" fillId="0" borderId="45" xfId="0" applyNumberFormat="1" applyBorder="1"/>
    <xf numFmtId="14" fontId="0" fillId="0" borderId="45" xfId="0" applyNumberFormat="1" applyBorder="1"/>
    <xf numFmtId="3" fontId="0" fillId="0" borderId="46" xfId="0" applyNumberFormat="1" applyBorder="1"/>
    <xf numFmtId="165" fontId="7" fillId="0" borderId="49" xfId="1" applyNumberFormat="1" applyFont="1" applyBorder="1"/>
    <xf numFmtId="14" fontId="0" fillId="20" borderId="41" xfId="0" applyNumberFormat="1" applyFill="1" applyBorder="1"/>
    <xf numFmtId="0" fontId="0" fillId="20" borderId="42" xfId="0" applyFill="1" applyBorder="1"/>
    <xf numFmtId="0" fontId="16" fillId="20" borderId="42" xfId="0" applyFont="1" applyFill="1" applyBorder="1"/>
    <xf numFmtId="0" fontId="0" fillId="20" borderId="43" xfId="0" applyFill="1" applyBorder="1"/>
    <xf numFmtId="165" fontId="20" fillId="8" borderId="0" xfId="0" applyNumberFormat="1" applyFont="1" applyFill="1" applyBorder="1"/>
    <xf numFmtId="169" fontId="0" fillId="0" borderId="44" xfId="0" applyNumberFormat="1" applyBorder="1"/>
    <xf numFmtId="3" fontId="10" fillId="0" borderId="46" xfId="0" applyNumberFormat="1" applyFont="1" applyBorder="1"/>
    <xf numFmtId="0" fontId="50" fillId="0" borderId="6" xfId="0" applyFont="1" applyBorder="1"/>
    <xf numFmtId="165" fontId="50" fillId="0" borderId="6" xfId="0" applyNumberFormat="1" applyFont="1" applyBorder="1"/>
    <xf numFmtId="0" fontId="39" fillId="0" borderId="86" xfId="0" applyFont="1" applyBorder="1"/>
    <xf numFmtId="0" fontId="39" fillId="0" borderId="87" xfId="0" applyFont="1" applyBorder="1"/>
    <xf numFmtId="0" fontId="0" fillId="0" borderId="87" xfId="0" applyBorder="1"/>
    <xf numFmtId="165" fontId="0" fillId="0" borderId="88" xfId="0" applyNumberFormat="1" applyBorder="1"/>
    <xf numFmtId="0" fontId="39" fillId="0" borderId="0" xfId="0" applyFont="1" applyAlignment="1">
      <alignment wrapText="1"/>
    </xf>
    <xf numFmtId="167" fontId="0" fillId="0" borderId="0" xfId="0" applyNumberFormat="1"/>
    <xf numFmtId="0" fontId="10" fillId="0" borderId="0" xfId="0" applyFont="1" applyAlignment="1">
      <alignment horizontal="center"/>
    </xf>
    <xf numFmtId="0" fontId="10" fillId="6" borderId="0" xfId="0" applyFont="1" applyFill="1" applyAlignment="1">
      <alignment horizontal="center" vertical="center" wrapText="1"/>
    </xf>
    <xf numFmtId="0" fontId="53" fillId="0" borderId="0" xfId="0" applyFont="1"/>
    <xf numFmtId="0" fontId="12" fillId="0" borderId="44" xfId="0" applyFont="1" applyBorder="1"/>
    <xf numFmtId="0" fontId="53" fillId="0" borderId="45" xfId="0" applyFont="1" applyBorder="1"/>
    <xf numFmtId="165" fontId="12" fillId="0" borderId="45" xfId="0" applyNumberFormat="1" applyFont="1" applyBorder="1"/>
    <xf numFmtId="0" fontId="12" fillId="0" borderId="45" xfId="0" applyFont="1" applyBorder="1"/>
    <xf numFmtId="165" fontId="12" fillId="0" borderId="46" xfId="0" applyNumberFormat="1" applyFont="1" applyBorder="1"/>
    <xf numFmtId="0" fontId="20" fillId="0" borderId="6" xfId="0" applyFont="1" applyBorder="1"/>
    <xf numFmtId="165" fontId="20" fillId="0" borderId="6" xfId="1" applyNumberFormat="1" applyFont="1" applyBorder="1"/>
    <xf numFmtId="0" fontId="20" fillId="3" borderId="6" xfId="0" applyFont="1" applyFill="1" applyBorder="1"/>
    <xf numFmtId="0" fontId="20" fillId="3" borderId="6" xfId="0" applyFont="1" applyFill="1" applyBorder="1" applyAlignment="1">
      <alignment wrapText="1"/>
    </xf>
    <xf numFmtId="0" fontId="20" fillId="0" borderId="6" xfId="0" applyFont="1" applyBorder="1" applyAlignment="1">
      <alignment wrapText="1"/>
    </xf>
    <xf numFmtId="0" fontId="21" fillId="0" borderId="6" xfId="0" applyFont="1" applyBorder="1"/>
    <xf numFmtId="0" fontId="20" fillId="0" borderId="84" xfId="0" applyFont="1" applyBorder="1"/>
    <xf numFmtId="0" fontId="21" fillId="0" borderId="84" xfId="0" applyFont="1" applyBorder="1"/>
    <xf numFmtId="165" fontId="21" fillId="0" borderId="84" xfId="1" applyNumberFormat="1" applyFont="1" applyBorder="1"/>
    <xf numFmtId="0" fontId="21" fillId="3" borderId="0" xfId="0" applyFont="1" applyFill="1"/>
    <xf numFmtId="165" fontId="21" fillId="0" borderId="0" xfId="0" applyNumberFormat="1" applyFont="1"/>
    <xf numFmtId="0" fontId="21" fillId="5" borderId="33" xfId="0" applyFont="1" applyFill="1" applyBorder="1"/>
    <xf numFmtId="0" fontId="21" fillId="3" borderId="6" xfId="0" applyFont="1" applyFill="1" applyBorder="1"/>
    <xf numFmtId="164" fontId="21" fillId="3" borderId="0" xfId="0" applyNumberFormat="1" applyFont="1" applyFill="1"/>
    <xf numFmtId="164" fontId="21" fillId="0" borderId="0" xfId="0" applyNumberFormat="1" applyFont="1"/>
    <xf numFmtId="165" fontId="21" fillId="5" borderId="0" xfId="0" applyNumberFormat="1" applyFont="1" applyFill="1"/>
    <xf numFmtId="165" fontId="21" fillId="3" borderId="0" xfId="0" applyNumberFormat="1" applyFont="1" applyFill="1"/>
    <xf numFmtId="0" fontId="21" fillId="0" borderId="0" xfId="0" applyFont="1" applyAlignment="1">
      <alignment horizontal="left" vertical="top"/>
    </xf>
    <xf numFmtId="0" fontId="21" fillId="4" borderId="33" xfId="0" applyFont="1" applyFill="1" applyBorder="1"/>
    <xf numFmtId="1" fontId="21" fillId="3" borderId="0" xfId="0" applyNumberFormat="1" applyFont="1" applyFill="1"/>
    <xf numFmtId="0" fontId="21" fillId="0" borderId="33" xfId="0" applyFont="1" applyBorder="1"/>
    <xf numFmtId="0" fontId="21" fillId="4" borderId="34" xfId="0" applyFont="1" applyFill="1" applyBorder="1"/>
    <xf numFmtId="0" fontId="21" fillId="5" borderId="0" xfId="0" applyFont="1" applyFill="1" applyBorder="1"/>
    <xf numFmtId="0" fontId="21" fillId="5" borderId="0" xfId="0" applyFont="1" applyFill="1"/>
    <xf numFmtId="17" fontId="20" fillId="2" borderId="5" xfId="0" applyNumberFormat="1" applyFont="1" applyFill="1" applyBorder="1"/>
    <xf numFmtId="0" fontId="54" fillId="3" borderId="0" xfId="0" applyFont="1" applyFill="1" applyBorder="1" applyAlignment="1">
      <alignment horizontal="left"/>
    </xf>
    <xf numFmtId="165" fontId="21" fillId="3" borderId="0" xfId="1" applyNumberFormat="1" applyFont="1" applyFill="1" applyBorder="1"/>
    <xf numFmtId="0" fontId="54" fillId="3" borderId="6" xfId="0" applyFont="1" applyFill="1" applyBorder="1" applyAlignment="1">
      <alignment horizontal="left"/>
    </xf>
    <xf numFmtId="17" fontId="20" fillId="2" borderId="73" xfId="0" applyNumberFormat="1" applyFont="1" applyFill="1" applyBorder="1"/>
    <xf numFmtId="0" fontId="54" fillId="3" borderId="84" xfId="0" applyFont="1" applyFill="1" applyBorder="1" applyAlignment="1">
      <alignment horizontal="left"/>
    </xf>
    <xf numFmtId="165" fontId="21" fillId="3" borderId="84" xfId="1" applyNumberFormat="1" applyFont="1" applyFill="1" applyBorder="1"/>
    <xf numFmtId="17" fontId="21" fillId="5" borderId="6" xfId="0" applyNumberFormat="1" applyFont="1" applyFill="1" applyBorder="1"/>
    <xf numFmtId="0" fontId="54" fillId="5" borderId="6" xfId="0" applyFont="1" applyFill="1" applyBorder="1" applyAlignment="1">
      <alignment horizontal="left"/>
    </xf>
    <xf numFmtId="165" fontId="21" fillId="5" borderId="6" xfId="1" applyNumberFormat="1" applyFont="1" applyFill="1" applyBorder="1"/>
    <xf numFmtId="17" fontId="21" fillId="3" borderId="6" xfId="0" applyNumberFormat="1" applyFont="1" applyFill="1" applyBorder="1"/>
    <xf numFmtId="165" fontId="21" fillId="3" borderId="6" xfId="1" applyNumberFormat="1" applyFont="1" applyFill="1" applyBorder="1"/>
    <xf numFmtId="165" fontId="21" fillId="0" borderId="0" xfId="1" applyNumberFormat="1" applyFont="1"/>
    <xf numFmtId="17" fontId="20" fillId="4" borderId="6" xfId="0" applyNumberFormat="1" applyFont="1" applyFill="1" applyBorder="1"/>
    <xf numFmtId="0" fontId="21" fillId="4" borderId="0" xfId="0" applyFont="1" applyFill="1"/>
    <xf numFmtId="165" fontId="21" fillId="4" borderId="0" xfId="1" applyNumberFormat="1" applyFont="1" applyFill="1"/>
    <xf numFmtId="165" fontId="21" fillId="5" borderId="0" xfId="1" applyNumberFormat="1" applyFont="1" applyFill="1"/>
    <xf numFmtId="17" fontId="20" fillId="2" borderId="6" xfId="0" applyNumberFormat="1" applyFont="1" applyFill="1" applyBorder="1"/>
    <xf numFmtId="165" fontId="21" fillId="3" borderId="0" xfId="1" applyNumberFormat="1" applyFont="1" applyFill="1"/>
    <xf numFmtId="0" fontId="55" fillId="3" borderId="0" xfId="0" applyFont="1" applyFill="1"/>
    <xf numFmtId="17" fontId="21" fillId="4" borderId="6" xfId="0" applyNumberFormat="1" applyFont="1" applyFill="1" applyBorder="1"/>
    <xf numFmtId="0" fontId="54" fillId="4" borderId="6" xfId="0" applyFont="1" applyFill="1" applyBorder="1" applyAlignment="1">
      <alignment horizontal="left"/>
    </xf>
    <xf numFmtId="165" fontId="21" fillId="4" borderId="6" xfId="1" applyNumberFormat="1" applyFont="1" applyFill="1" applyBorder="1"/>
    <xf numFmtId="0" fontId="20" fillId="21" borderId="0" xfId="0" applyFont="1" applyFill="1"/>
    <xf numFmtId="165" fontId="0" fillId="0" borderId="0" xfId="1" applyNumberFormat="1" applyFont="1"/>
    <xf numFmtId="0" fontId="26" fillId="12" borderId="0" xfId="0" applyFont="1" applyFill="1" applyBorder="1" applyAlignment="1">
      <alignment horizontal="left"/>
    </xf>
    <xf numFmtId="165" fontId="26" fillId="5" borderId="0" xfId="0" applyNumberFormat="1" applyFont="1" applyFill="1" applyBorder="1"/>
    <xf numFmtId="169" fontId="53" fillId="0" borderId="0" xfId="0" applyNumberFormat="1" applyFont="1"/>
    <xf numFmtId="3" fontId="56" fillId="0" borderId="0" xfId="0" applyNumberFormat="1" applyFont="1"/>
    <xf numFmtId="0" fontId="57" fillId="0" borderId="0" xfId="0" applyFont="1"/>
    <xf numFmtId="3" fontId="57" fillId="0" borderId="0" xfId="0" applyNumberFormat="1" applyFont="1"/>
    <xf numFmtId="169" fontId="57" fillId="0" borderId="0" xfId="0" applyNumberFormat="1" applyFont="1"/>
    <xf numFmtId="3" fontId="58" fillId="0" borderId="0" xfId="0" applyNumberFormat="1" applyFont="1"/>
    <xf numFmtId="0" fontId="58" fillId="0" borderId="0" xfId="0" applyFont="1"/>
    <xf numFmtId="3" fontId="25" fillId="0" borderId="12" xfId="0" applyNumberFormat="1" applyFont="1" applyBorder="1"/>
    <xf numFmtId="0" fontId="0" fillId="0" borderId="89" xfId="0" applyBorder="1"/>
    <xf numFmtId="165" fontId="0" fillId="0" borderId="87" xfId="0" applyNumberFormat="1" applyBorder="1"/>
    <xf numFmtId="0" fontId="0" fillId="0" borderId="90" xfId="0" applyFill="1" applyBorder="1"/>
    <xf numFmtId="3" fontId="59" fillId="0" borderId="0" xfId="0" applyNumberFormat="1" applyFont="1"/>
    <xf numFmtId="0" fontId="60" fillId="3" borderId="1" xfId="0" applyFont="1" applyFill="1" applyBorder="1" applyAlignment="1">
      <alignment horizontal="left"/>
    </xf>
    <xf numFmtId="0" fontId="39" fillId="0" borderId="44" xfId="0" applyFont="1" applyBorder="1"/>
    <xf numFmtId="3" fontId="40" fillId="0" borderId="0" xfId="0" applyNumberFormat="1" applyFont="1"/>
    <xf numFmtId="3" fontId="61" fillId="0" borderId="0" xfId="0" applyNumberFormat="1" applyFont="1"/>
    <xf numFmtId="3" fontId="62" fillId="0" borderId="0" xfId="0" applyNumberFormat="1" applyFont="1"/>
    <xf numFmtId="3" fontId="63" fillId="0" borderId="0" xfId="0" applyNumberFormat="1" applyFont="1"/>
    <xf numFmtId="0" fontId="4" fillId="0" borderId="0" xfId="0" applyFont="1"/>
    <xf numFmtId="0" fontId="11" fillId="0" borderId="0" xfId="0" quotePrefix="1" applyFont="1"/>
    <xf numFmtId="0" fontId="20" fillId="0" borderId="0" xfId="0" applyFont="1"/>
    <xf numFmtId="3" fontId="20" fillId="0" borderId="0" xfId="0" applyNumberFormat="1" applyFont="1"/>
    <xf numFmtId="0" fontId="4" fillId="22" borderId="41" xfId="0" applyFont="1" applyFill="1" applyBorder="1"/>
    <xf numFmtId="0" fontId="4" fillId="22" borderId="42" xfId="0" applyFont="1" applyFill="1" applyBorder="1"/>
    <xf numFmtId="0" fontId="4" fillId="22" borderId="43" xfId="0" applyFont="1" applyFill="1" applyBorder="1"/>
    <xf numFmtId="0" fontId="4" fillId="22" borderId="44" xfId="0" applyFont="1" applyFill="1" applyBorder="1"/>
    <xf numFmtId="0" fontId="4" fillId="22" borderId="45" xfId="0" applyFont="1" applyFill="1" applyBorder="1"/>
    <xf numFmtId="0" fontId="4" fillId="22" borderId="46" xfId="0" applyFont="1" applyFill="1" applyBorder="1"/>
    <xf numFmtId="0" fontId="4" fillId="0" borderId="44" xfId="0" applyFont="1" applyFill="1" applyBorder="1"/>
    <xf numFmtId="0" fontId="1" fillId="0" borderId="45" xfId="0" applyFont="1" applyFill="1" applyBorder="1"/>
    <xf numFmtId="0" fontId="4" fillId="0" borderId="45" xfId="0" applyFont="1" applyFill="1" applyBorder="1"/>
    <xf numFmtId="3" fontId="64" fillId="0" borderId="45" xfId="0" applyNumberFormat="1" applyFont="1" applyBorder="1"/>
    <xf numFmtId="3" fontId="53" fillId="0" borderId="45" xfId="0" applyNumberFormat="1" applyFont="1" applyBorder="1"/>
    <xf numFmtId="3" fontId="39" fillId="0" borderId="46" xfId="0" applyNumberFormat="1" applyFont="1" applyBorder="1"/>
    <xf numFmtId="3" fontId="39" fillId="0" borderId="87" xfId="0" applyNumberFormat="1" applyFont="1" applyBorder="1"/>
    <xf numFmtId="3" fontId="53" fillId="0" borderId="87" xfId="0" applyNumberFormat="1" applyFont="1" applyBorder="1"/>
    <xf numFmtId="3" fontId="39" fillId="0" borderId="88" xfId="0" applyNumberFormat="1" applyFont="1" applyBorder="1"/>
    <xf numFmtId="0" fontId="65" fillId="0" borderId="48" xfId="0" applyFont="1" applyBorder="1"/>
    <xf numFmtId="3" fontId="65" fillId="0" borderId="48" xfId="0" applyNumberFormat="1" applyFont="1" applyBorder="1"/>
    <xf numFmtId="3" fontId="65" fillId="0" borderId="49" xfId="0" applyNumberFormat="1" applyFont="1" applyBorder="1"/>
    <xf numFmtId="0" fontId="39" fillId="0" borderId="0" xfId="0" applyFont="1" applyBorder="1"/>
    <xf numFmtId="3" fontId="39" fillId="0" borderId="0" xfId="0" applyNumberFormat="1" applyFont="1" applyBorder="1"/>
    <xf numFmtId="3" fontId="53" fillId="0" borderId="0" xfId="0" applyNumberFormat="1" applyFont="1" applyBorder="1"/>
    <xf numFmtId="0" fontId="0" fillId="0" borderId="42" xfId="0" applyBorder="1"/>
    <xf numFmtId="3" fontId="64" fillId="0" borderId="42" xfId="0" applyNumberFormat="1" applyFont="1" applyBorder="1"/>
    <xf numFmtId="3" fontId="25" fillId="0" borderId="43" xfId="0" applyNumberFormat="1" applyFont="1" applyBorder="1"/>
    <xf numFmtId="3" fontId="25" fillId="0" borderId="46" xfId="0" applyNumberFormat="1" applyFont="1" applyBorder="1"/>
    <xf numFmtId="3" fontId="64" fillId="0" borderId="46" xfId="0" applyNumberFormat="1" applyFont="1" applyBorder="1"/>
    <xf numFmtId="3" fontId="39" fillId="0" borderId="45" xfId="0" applyNumberFormat="1" applyFont="1" applyBorder="1"/>
    <xf numFmtId="3" fontId="39" fillId="0" borderId="48" xfId="0" applyNumberFormat="1" applyFont="1" applyBorder="1"/>
    <xf numFmtId="3" fontId="12" fillId="0" borderId="0" xfId="0" applyNumberFormat="1" applyFont="1" applyBorder="1"/>
    <xf numFmtId="3" fontId="1" fillId="0" borderId="0" xfId="0" applyNumberFormat="1" applyFont="1"/>
    <xf numFmtId="3" fontId="0" fillId="0" borderId="0" xfId="0" applyNumberFormat="1" applyBorder="1"/>
    <xf numFmtId="0" fontId="12" fillId="0" borderId="0" xfId="0" applyFont="1" applyBorder="1"/>
    <xf numFmtId="3" fontId="68" fillId="0" borderId="0" xfId="0" applyNumberFormat="1" applyFont="1" applyBorder="1"/>
    <xf numFmtId="3" fontId="64" fillId="0" borderId="87" xfId="0" applyNumberFormat="1" applyFont="1" applyBorder="1"/>
    <xf numFmtId="3" fontId="70" fillId="0" borderId="43" xfId="0" applyNumberFormat="1" applyFont="1" applyBorder="1"/>
    <xf numFmtId="3" fontId="70" fillId="0" borderId="46" xfId="0" applyNumberFormat="1" applyFont="1" applyBorder="1"/>
    <xf numFmtId="3" fontId="71" fillId="0" borderId="46" xfId="0" applyNumberFormat="1" applyFont="1" applyBorder="1"/>
    <xf numFmtId="3" fontId="69" fillId="0" borderId="42" xfId="0" applyNumberFormat="1" applyFont="1" applyBorder="1"/>
    <xf numFmtId="3" fontId="69" fillId="0" borderId="45" xfId="0" applyNumberFormat="1" applyFont="1" applyBorder="1"/>
    <xf numFmtId="3" fontId="72" fillId="0" borderId="0" xfId="0" applyNumberFormat="1" applyFont="1" applyBorder="1"/>
    <xf numFmtId="165" fontId="0" fillId="0" borderId="0" xfId="0" applyNumberFormat="1" applyFill="1"/>
    <xf numFmtId="0" fontId="4" fillId="8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5" fillId="0" borderId="70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/>
    </xf>
    <xf numFmtId="0" fontId="44" fillId="8" borderId="0" xfId="0" applyFont="1" applyFill="1" applyAlignment="1">
      <alignment horizontal="center"/>
    </xf>
    <xf numFmtId="0" fontId="10" fillId="6" borderId="0" xfId="0" applyFont="1" applyFill="1" applyAlignment="1">
      <alignment horizontal="center" vertical="center" wrapText="1"/>
    </xf>
    <xf numFmtId="17" fontId="39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0" fillId="6" borderId="0" xfId="0" applyFont="1" applyFill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165" fontId="34" fillId="6" borderId="26" xfId="1" applyNumberFormat="1" applyFont="1" applyFill="1" applyBorder="1" applyAlignment="1">
      <alignment horizontal="center"/>
    </xf>
    <xf numFmtId="165" fontId="34" fillId="6" borderId="0" xfId="1" applyNumberFormat="1" applyFont="1" applyFill="1" applyBorder="1" applyAlignment="1">
      <alignment horizontal="center"/>
    </xf>
    <xf numFmtId="0" fontId="4" fillId="17" borderId="0" xfId="0" applyFont="1" applyFill="1" applyAlignment="1">
      <alignment horizontal="left"/>
    </xf>
    <xf numFmtId="1" fontId="4" fillId="4" borderId="2" xfId="0" applyNumberFormat="1" applyFont="1" applyFill="1" applyBorder="1" applyAlignment="1">
      <alignment horizontal="center"/>
    </xf>
    <xf numFmtId="1" fontId="4" fillId="4" borderId="3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 vertical="top"/>
    </xf>
    <xf numFmtId="0" fontId="4" fillId="5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9" fillId="13" borderId="0" xfId="0" applyFont="1" applyFill="1" applyAlignment="1">
      <alignment horizontal="center"/>
    </xf>
    <xf numFmtId="0" fontId="14" fillId="2" borderId="7" xfId="0" applyFont="1" applyFill="1" applyBorder="1" applyAlignment="1">
      <alignment horizontal="left" wrapText="1"/>
    </xf>
    <xf numFmtId="0" fontId="14" fillId="2" borderId="12" xfId="0" applyFont="1" applyFill="1" applyBorder="1" applyAlignment="1">
      <alignment horizontal="left" wrapText="1"/>
    </xf>
    <xf numFmtId="0" fontId="22" fillId="8" borderId="7" xfId="0" applyFont="1" applyFill="1" applyBorder="1" applyAlignment="1">
      <alignment horizontal="center"/>
    </xf>
    <xf numFmtId="0" fontId="22" fillId="8" borderId="12" xfId="0" applyFont="1" applyFill="1" applyBorder="1" applyAlignment="1">
      <alignment horizontal="center"/>
    </xf>
    <xf numFmtId="0" fontId="22" fillId="8" borderId="11" xfId="0" applyFont="1" applyFill="1" applyBorder="1" applyAlignment="1">
      <alignment horizontal="center"/>
    </xf>
    <xf numFmtId="0" fontId="7" fillId="6" borderId="7" xfId="0" applyFont="1" applyFill="1" applyBorder="1" applyAlignment="1">
      <alignment horizontal="center"/>
    </xf>
    <xf numFmtId="0" fontId="7" fillId="6" borderId="84" xfId="0" applyFont="1" applyFill="1" applyBorder="1" applyAlignment="1">
      <alignment horizontal="center"/>
    </xf>
    <xf numFmtId="0" fontId="7" fillId="6" borderId="85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6" borderId="11" xfId="0" applyFont="1" applyFill="1" applyBorder="1" applyAlignment="1">
      <alignment horizontal="center"/>
    </xf>
    <xf numFmtId="0" fontId="23" fillId="6" borderId="7" xfId="0" applyFont="1" applyFill="1" applyBorder="1" applyAlignment="1">
      <alignment horizontal="center"/>
    </xf>
    <xf numFmtId="0" fontId="23" fillId="6" borderId="12" xfId="0" applyFont="1" applyFill="1" applyBorder="1" applyAlignment="1">
      <alignment horizontal="center"/>
    </xf>
    <xf numFmtId="0" fontId="23" fillId="6" borderId="11" xfId="0" applyFont="1" applyFill="1" applyBorder="1" applyAlignment="1">
      <alignment horizontal="center"/>
    </xf>
    <xf numFmtId="0" fontId="26" fillId="12" borderId="7" xfId="0" applyFont="1" applyFill="1" applyBorder="1" applyAlignment="1">
      <alignment horizontal="left"/>
    </xf>
    <xf numFmtId="0" fontId="26" fillId="12" borderId="12" xfId="0" applyFont="1" applyFill="1" applyBorder="1" applyAlignment="1">
      <alignment horizontal="left"/>
    </xf>
    <xf numFmtId="0" fontId="26" fillId="12" borderId="11" xfId="0" applyFont="1" applyFill="1" applyBorder="1" applyAlignment="1">
      <alignment horizontal="left"/>
    </xf>
    <xf numFmtId="0" fontId="29" fillId="0" borderId="0" xfId="0" applyFont="1" applyAlignment="1">
      <alignment horizontal="left"/>
    </xf>
    <xf numFmtId="0" fontId="23" fillId="19" borderId="7" xfId="0" applyFont="1" applyFill="1" applyBorder="1" applyAlignment="1">
      <alignment horizontal="center"/>
    </xf>
    <xf numFmtId="0" fontId="23" fillId="19" borderId="12" xfId="0" applyFont="1" applyFill="1" applyBorder="1" applyAlignment="1">
      <alignment horizontal="center"/>
    </xf>
    <xf numFmtId="0" fontId="23" fillId="19" borderId="11" xfId="0" applyFont="1" applyFill="1" applyBorder="1" applyAlignment="1">
      <alignment horizontal="center"/>
    </xf>
    <xf numFmtId="0" fontId="26" fillId="0" borderId="6" xfId="0" applyFont="1" applyBorder="1" applyAlignment="1">
      <alignment horizontal="left"/>
    </xf>
    <xf numFmtId="0" fontId="26" fillId="4" borderId="2" xfId="0" applyFont="1" applyFill="1" applyBorder="1" applyAlignment="1">
      <alignment horizontal="left"/>
    </xf>
    <xf numFmtId="0" fontId="26" fillId="4" borderId="29" xfId="0" applyFont="1" applyFill="1" applyBorder="1" applyAlignment="1">
      <alignment horizontal="left"/>
    </xf>
    <xf numFmtId="0" fontId="26" fillId="0" borderId="28" xfId="0" applyFont="1" applyBorder="1" applyAlignment="1">
      <alignment horizontal="left"/>
    </xf>
    <xf numFmtId="0" fontId="26" fillId="0" borderId="20" xfId="0" applyFont="1" applyBorder="1" applyAlignment="1">
      <alignment horizontal="left"/>
    </xf>
    <xf numFmtId="0" fontId="30" fillId="14" borderId="7" xfId="0" applyFont="1" applyFill="1" applyBorder="1" applyAlignment="1">
      <alignment horizontal="center"/>
    </xf>
    <xf numFmtId="0" fontId="30" fillId="14" borderId="12" xfId="0" applyFont="1" applyFill="1" applyBorder="1" applyAlignment="1">
      <alignment horizontal="center"/>
    </xf>
    <xf numFmtId="0" fontId="30" fillId="14" borderId="11" xfId="0" applyFont="1" applyFill="1" applyBorder="1" applyAlignment="1">
      <alignment horizontal="center"/>
    </xf>
    <xf numFmtId="0" fontId="28" fillId="0" borderId="6" xfId="0" applyFont="1" applyBorder="1" applyAlignment="1">
      <alignment horizontal="left"/>
    </xf>
    <xf numFmtId="0" fontId="20" fillId="0" borderId="0" xfId="0" applyFont="1" applyAlignment="1">
      <alignment horizontal="center"/>
    </xf>
    <xf numFmtId="3" fontId="66" fillId="0" borderId="0" xfId="0" applyNumberFormat="1" applyFont="1" applyBorder="1" applyAlignment="1">
      <alignment horizontal="center"/>
    </xf>
    <xf numFmtId="0" fontId="67" fillId="0" borderId="0" xfId="0" applyFont="1" applyBorder="1" applyAlignment="1">
      <alignment horizontal="center"/>
    </xf>
    <xf numFmtId="0" fontId="10" fillId="15" borderId="0" xfId="0" applyFont="1" applyFill="1" applyAlignment="1">
      <alignment horizontal="center" wrapText="1"/>
    </xf>
    <xf numFmtId="3" fontId="10" fillId="2" borderId="0" xfId="0" applyNumberFormat="1" applyFont="1" applyFill="1" applyAlignment="1">
      <alignment horizontal="left"/>
    </xf>
    <xf numFmtId="0" fontId="10" fillId="0" borderId="0" xfId="0" applyFont="1" applyAlignment="1">
      <alignment horizontal="left"/>
    </xf>
    <xf numFmtId="0" fontId="4" fillId="4" borderId="7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164" fontId="4" fillId="5" borderId="26" xfId="2" applyFont="1" applyFill="1" applyBorder="1" applyAlignment="1">
      <alignment horizontal="center"/>
    </xf>
    <xf numFmtId="164" fontId="4" fillId="5" borderId="0" xfId="2" applyFont="1" applyFill="1" applyAlignment="1">
      <alignment horizontal="center"/>
    </xf>
    <xf numFmtId="0" fontId="0" fillId="0" borderId="21" xfId="0" applyBorder="1" applyAlignment="1">
      <alignment vertical="center"/>
    </xf>
    <xf numFmtId="0" fontId="0" fillId="0" borderId="36" xfId="0" applyBorder="1" applyAlignment="1">
      <alignment vertical="center"/>
    </xf>
    <xf numFmtId="0" fontId="10" fillId="13" borderId="0" xfId="0" applyFont="1" applyFill="1" applyAlignment="1">
      <alignment horizontal="center"/>
    </xf>
    <xf numFmtId="164" fontId="4" fillId="5" borderId="54" xfId="2" applyFont="1" applyFill="1" applyBorder="1" applyAlignment="1">
      <alignment horizontal="center"/>
    </xf>
    <xf numFmtId="164" fontId="4" fillId="5" borderId="55" xfId="2" applyFont="1" applyFill="1" applyBorder="1" applyAlignment="1">
      <alignment horizontal="center"/>
    </xf>
    <xf numFmtId="0" fontId="4" fillId="6" borderId="53" xfId="0" applyFont="1" applyFill="1" applyBorder="1" applyAlignment="1">
      <alignment horizontal="center"/>
    </xf>
    <xf numFmtId="0" fontId="4" fillId="6" borderId="54" xfId="0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165" fontId="4" fillId="0" borderId="7" xfId="1" applyNumberFormat="1" applyFont="1" applyFill="1" applyBorder="1" applyAlignment="1">
      <alignment horizontal="center"/>
    </xf>
    <xf numFmtId="165" fontId="4" fillId="0" borderId="12" xfId="1" applyNumberFormat="1" applyFont="1" applyFill="1" applyBorder="1" applyAlignment="1">
      <alignment horizontal="center"/>
    </xf>
    <xf numFmtId="165" fontId="4" fillId="0" borderId="11" xfId="1" applyNumberFormat="1" applyFont="1" applyFill="1" applyBorder="1" applyAlignment="1">
      <alignment horizontal="center"/>
    </xf>
  </cellXfs>
  <cellStyles count="3">
    <cellStyle name="Milliers" xfId="1" builtinId="3"/>
    <cellStyle name="Milliers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34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8" sqref="A8"/>
    </sheetView>
  </sheetViews>
  <sheetFormatPr baseColWidth="10" defaultColWidth="11" defaultRowHeight="15" x14ac:dyDescent="0.2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8" sqref="A8"/>
    </sheetView>
  </sheetViews>
  <sheetFormatPr baseColWidth="10" defaultColWidth="11" defaultRowHeight="15" x14ac:dyDescent="0.2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9"/>
  <sheetViews>
    <sheetView zoomScale="106" zoomScaleNormal="106" workbookViewId="0">
      <pane xSplit="5" ySplit="5" topLeftCell="F6" activePane="bottomRight" state="frozen"/>
      <selection pane="topRight" activeCell="E1" sqref="E1"/>
      <selection pane="bottomLeft" activeCell="A6" sqref="A6"/>
      <selection pane="bottomRight" activeCell="I6" sqref="I6"/>
    </sheetView>
  </sheetViews>
  <sheetFormatPr baseColWidth="10" defaultRowHeight="15.75" x14ac:dyDescent="0.25"/>
  <cols>
    <col min="1" max="1" width="13.85546875" bestFit="1" customWidth="1"/>
    <col min="2" max="2" width="35.140625" bestFit="1" customWidth="1"/>
    <col min="3" max="3" width="15.85546875" bestFit="1" customWidth="1"/>
    <col min="4" max="4" width="20" customWidth="1"/>
    <col min="5" max="5" width="17.5703125" bestFit="1" customWidth="1"/>
    <col min="6" max="8" width="17.5703125" customWidth="1"/>
    <col min="9" max="9" width="16.28515625" customWidth="1"/>
    <col min="10" max="10" width="14.140625" bestFit="1" customWidth="1"/>
    <col min="11" max="11" width="15" bestFit="1" customWidth="1"/>
    <col min="12" max="12" width="15" customWidth="1"/>
    <col min="13" max="13" width="11.28515625" customWidth="1"/>
    <col min="14" max="14" width="15" bestFit="1" customWidth="1"/>
    <col min="15" max="15" width="11.28515625" customWidth="1"/>
    <col min="16" max="16" width="15" bestFit="1" customWidth="1"/>
    <col min="17" max="18" width="16" customWidth="1"/>
    <col min="19" max="19" width="20.42578125" bestFit="1" customWidth="1"/>
    <col min="20" max="20" width="15.140625" style="35" bestFit="1" customWidth="1"/>
    <col min="21" max="21" width="16.140625" style="35" customWidth="1"/>
    <col min="22" max="22" width="20.42578125" style="35" customWidth="1"/>
    <col min="23" max="23" width="14.42578125" style="35" bestFit="1" customWidth="1"/>
    <col min="24" max="24" width="11.42578125" style="35"/>
    <col min="25" max="26" width="13.85546875" style="35" customWidth="1"/>
    <col min="27" max="27" width="16.28515625" style="35" customWidth="1"/>
    <col min="28" max="28" width="13.85546875" style="35" customWidth="1"/>
    <col min="29" max="29" width="18.28515625" style="35" bestFit="1" customWidth="1"/>
    <col min="30" max="30" width="22.5703125" style="35" customWidth="1"/>
    <col min="31" max="32" width="19" style="35" customWidth="1"/>
    <col min="33" max="34" width="16.140625" style="35" customWidth="1"/>
    <col min="35" max="35" width="11.42578125" style="35"/>
    <col min="36" max="41" width="16" style="35" customWidth="1"/>
    <col min="42" max="42" width="15.28515625" style="35" customWidth="1"/>
    <col min="43" max="45" width="11.42578125" style="35"/>
    <col min="46" max="46" width="12.42578125" style="35" bestFit="1" customWidth="1"/>
    <col min="47" max="49" width="11.42578125" style="35"/>
    <col min="50" max="52" width="15" style="35" customWidth="1"/>
    <col min="53" max="53" width="15" style="35" bestFit="1" customWidth="1"/>
    <col min="54" max="55" width="11.42578125" style="35"/>
  </cols>
  <sheetData>
    <row r="1" spans="1:55" x14ac:dyDescent="0.25">
      <c r="A1" s="1" t="s">
        <v>2</v>
      </c>
      <c r="B1" s="1" t="s">
        <v>3</v>
      </c>
      <c r="C1" s="1"/>
      <c r="D1" s="1"/>
    </row>
    <row r="2" spans="1:55" x14ac:dyDescent="0.25">
      <c r="A2" s="1" t="s">
        <v>4</v>
      </c>
      <c r="B2" s="1">
        <v>2022</v>
      </c>
      <c r="C2" s="1"/>
      <c r="D2" s="1"/>
    </row>
    <row r="3" spans="1:55" x14ac:dyDescent="0.25">
      <c r="A3" s="1">
        <v>1</v>
      </c>
      <c r="B3" s="2">
        <v>2</v>
      </c>
      <c r="C3" s="2"/>
      <c r="D3" s="1">
        <v>3</v>
      </c>
      <c r="E3" s="2">
        <v>4</v>
      </c>
      <c r="F3" s="1">
        <v>5</v>
      </c>
      <c r="G3" s="2">
        <v>6</v>
      </c>
      <c r="H3" s="1">
        <v>7</v>
      </c>
      <c r="I3" s="2">
        <v>8</v>
      </c>
      <c r="J3" s="1">
        <v>9</v>
      </c>
      <c r="K3" s="2">
        <v>10</v>
      </c>
      <c r="L3" s="1">
        <v>11</v>
      </c>
      <c r="M3" s="2">
        <v>12</v>
      </c>
      <c r="N3" s="1">
        <v>13</v>
      </c>
      <c r="O3" s="2">
        <v>14</v>
      </c>
      <c r="P3" s="1">
        <v>15</v>
      </c>
      <c r="Q3" s="2">
        <v>16</v>
      </c>
      <c r="R3" s="1">
        <v>17</v>
      </c>
      <c r="S3" s="2">
        <v>18</v>
      </c>
      <c r="T3" s="36"/>
      <c r="U3" s="37"/>
      <c r="V3" s="36"/>
      <c r="W3" s="37"/>
      <c r="X3" s="36"/>
      <c r="Y3" s="37"/>
      <c r="Z3" s="36"/>
      <c r="AA3" s="37"/>
      <c r="AB3" s="36"/>
      <c r="AC3" s="37"/>
      <c r="AD3" s="36"/>
      <c r="AE3" s="37"/>
      <c r="AF3" s="36"/>
      <c r="AG3" s="37"/>
      <c r="AH3" s="36"/>
      <c r="AI3" s="37"/>
      <c r="AJ3" s="36"/>
      <c r="AK3" s="37"/>
      <c r="AL3" s="36"/>
      <c r="AM3" s="37"/>
      <c r="AN3" s="36"/>
      <c r="AO3" s="37"/>
      <c r="AP3" s="36"/>
      <c r="AQ3" s="37"/>
      <c r="AR3" s="36"/>
      <c r="AS3" s="37"/>
      <c r="AT3" s="36"/>
      <c r="AU3" s="37"/>
      <c r="AV3" s="36"/>
      <c r="AW3" s="37"/>
      <c r="AX3" s="36"/>
      <c r="AY3" s="37"/>
      <c r="AZ3" s="36"/>
      <c r="BA3" s="37"/>
      <c r="BB3" s="36"/>
      <c r="BC3" s="37"/>
    </row>
    <row r="4" spans="1:55" ht="29.25" thickBot="1" x14ac:dyDescent="0.5">
      <c r="B4" s="90" t="s">
        <v>113</v>
      </c>
      <c r="C4" s="90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7"/>
      <c r="P4" s="7"/>
      <c r="Q4" s="7"/>
      <c r="R4" s="7"/>
      <c r="S4" s="7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J4" s="38"/>
      <c r="AK4" s="38"/>
      <c r="AL4" s="38"/>
      <c r="AM4" s="38"/>
      <c r="AN4" s="38"/>
      <c r="AO4" s="38"/>
      <c r="AP4" s="38"/>
      <c r="AX4" s="39"/>
      <c r="AY4" s="39"/>
      <c r="AZ4" s="39"/>
    </row>
    <row r="5" spans="1:55" ht="68.25" customHeight="1" thickTop="1" thickBot="1" x14ac:dyDescent="0.3">
      <c r="A5" s="49" t="s">
        <v>0</v>
      </c>
      <c r="B5" s="50" t="s">
        <v>1</v>
      </c>
      <c r="C5" s="50"/>
      <c r="D5" s="92" t="s">
        <v>114</v>
      </c>
      <c r="E5" s="93"/>
      <c r="F5" s="93"/>
      <c r="G5" s="93"/>
      <c r="H5" s="93"/>
      <c r="I5" s="93"/>
      <c r="J5" s="93"/>
      <c r="K5" s="93"/>
      <c r="L5" s="93"/>
      <c r="M5" s="92" t="s">
        <v>123</v>
      </c>
      <c r="N5" s="93"/>
      <c r="O5" s="93"/>
      <c r="P5" s="94" t="s">
        <v>126</v>
      </c>
      <c r="Q5" s="95"/>
      <c r="R5" s="94" t="s">
        <v>50</v>
      </c>
      <c r="S5" s="96"/>
      <c r="T5" s="88" t="s">
        <v>44</v>
      </c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</row>
    <row r="6" spans="1:55" ht="68.25" customHeight="1" thickTop="1" x14ac:dyDescent="0.25">
      <c r="A6" s="46"/>
      <c r="B6" s="47"/>
      <c r="C6" s="48" t="s">
        <v>131</v>
      </c>
      <c r="D6" s="48" t="s">
        <v>115</v>
      </c>
      <c r="E6" s="48" t="s">
        <v>116</v>
      </c>
      <c r="F6" s="48" t="s">
        <v>117</v>
      </c>
      <c r="G6" s="48" t="s">
        <v>132</v>
      </c>
      <c r="H6" s="48" t="s">
        <v>118</v>
      </c>
      <c r="I6" s="48" t="s">
        <v>119</v>
      </c>
      <c r="J6" s="48" t="s">
        <v>120</v>
      </c>
      <c r="K6" s="48" t="s">
        <v>121</v>
      </c>
      <c r="L6" s="48" t="s">
        <v>122</v>
      </c>
      <c r="M6" s="48" t="s">
        <v>124</v>
      </c>
      <c r="N6" s="48" t="s">
        <v>125</v>
      </c>
      <c r="O6" s="48" t="s">
        <v>130</v>
      </c>
      <c r="P6" s="48" t="s">
        <v>126</v>
      </c>
      <c r="Q6" s="48" t="s">
        <v>127</v>
      </c>
      <c r="R6" s="48" t="s">
        <v>128</v>
      </c>
      <c r="S6" s="52" t="s">
        <v>129</v>
      </c>
      <c r="T6" s="89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</row>
    <row r="7" spans="1:55" ht="18.75" x14ac:dyDescent="0.3">
      <c r="A7" s="21" t="s">
        <v>108</v>
      </c>
      <c r="B7" s="22" t="str">
        <f>VLOOKUP(A7,[5]LISTADHERENT!A$5:H$60,3,0)</f>
        <v>ASELBY</v>
      </c>
      <c r="C7" s="22"/>
      <c r="D7" s="23"/>
      <c r="E7" s="24"/>
      <c r="F7" s="24"/>
      <c r="G7" s="24"/>
      <c r="H7" s="23"/>
      <c r="I7" s="25"/>
      <c r="J7" s="26"/>
      <c r="K7" s="26"/>
      <c r="L7" s="26"/>
      <c r="M7" s="27"/>
      <c r="N7" s="26"/>
      <c r="O7" s="27"/>
      <c r="P7" s="26"/>
      <c r="Q7" s="28"/>
      <c r="R7" s="29"/>
      <c r="S7" s="51"/>
      <c r="T7" s="55">
        <f>SUM(D7:S7)</f>
        <v>0</v>
      </c>
      <c r="U7" s="41"/>
      <c r="V7" s="42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39"/>
      <c r="AS7" s="39"/>
      <c r="AT7" s="43"/>
      <c r="AW7" s="44"/>
      <c r="AX7" s="44"/>
      <c r="AY7" s="44"/>
      <c r="AZ7" s="44"/>
      <c r="BA7" s="45"/>
      <c r="BC7" s="44"/>
    </row>
    <row r="8" spans="1:55" ht="18.75" x14ac:dyDescent="0.3">
      <c r="A8" s="21" t="s">
        <v>12</v>
      </c>
      <c r="B8" s="22" t="str">
        <f>VLOOKUP(A8,[5]LISTADHERENT!A$5:H$60,3,0)</f>
        <v>BOUTCHOUANG WILLIAM</v>
      </c>
      <c r="C8" s="22"/>
      <c r="D8" s="23"/>
      <c r="E8" s="24"/>
      <c r="F8" s="24"/>
      <c r="G8" s="24"/>
      <c r="H8" s="23"/>
      <c r="I8" s="25"/>
      <c r="J8" s="26"/>
      <c r="K8" s="26"/>
      <c r="L8" s="26"/>
      <c r="M8" s="27"/>
      <c r="N8" s="26"/>
      <c r="O8" s="27"/>
      <c r="P8" s="26"/>
      <c r="Q8" s="28"/>
      <c r="R8" s="29"/>
      <c r="S8" s="51"/>
      <c r="T8" s="55">
        <f t="shared" ref="T8:T37" si="0">SUM(D8:S8)</f>
        <v>0</v>
      </c>
      <c r="U8" s="41"/>
      <c r="V8" s="42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39"/>
      <c r="AS8" s="39"/>
      <c r="AT8" s="43"/>
      <c r="AW8" s="44"/>
      <c r="AX8" s="44"/>
      <c r="AY8" s="44"/>
      <c r="AZ8" s="44"/>
      <c r="BA8" s="45"/>
      <c r="BC8" s="44"/>
    </row>
    <row r="9" spans="1:55" ht="18.75" x14ac:dyDescent="0.3">
      <c r="A9" s="21" t="s">
        <v>13</v>
      </c>
      <c r="B9" s="22" t="str">
        <f>VLOOKUP(A9,[5]LISTADHERENT!A$5:H$60,3,0)</f>
        <v xml:space="preserve">DJOMO JEAN PAUL </v>
      </c>
      <c r="C9" s="22"/>
      <c r="D9" s="23"/>
      <c r="E9" s="24"/>
      <c r="F9" s="24"/>
      <c r="G9" s="24"/>
      <c r="H9" s="23"/>
      <c r="I9" s="25"/>
      <c r="J9" s="26"/>
      <c r="K9" s="26"/>
      <c r="L9" s="26"/>
      <c r="M9" s="27"/>
      <c r="N9" s="26"/>
      <c r="O9" s="27"/>
      <c r="P9" s="26"/>
      <c r="Q9" s="28"/>
      <c r="R9" s="29"/>
      <c r="S9" s="51"/>
      <c r="T9" s="55">
        <f t="shared" si="0"/>
        <v>0</v>
      </c>
      <c r="U9" s="41"/>
      <c r="V9" s="42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J9" s="41"/>
      <c r="AK9" s="41"/>
      <c r="AL9" s="41"/>
      <c r="AM9" s="41"/>
      <c r="AN9" s="41"/>
      <c r="AO9" s="41"/>
      <c r="AP9" s="41"/>
      <c r="AQ9" s="41"/>
      <c r="AR9" s="39"/>
      <c r="AS9" s="39"/>
      <c r="AT9" s="43"/>
      <c r="AW9" s="44"/>
      <c r="AX9" s="44"/>
      <c r="AY9" s="44"/>
      <c r="AZ9" s="44"/>
      <c r="BA9" s="45"/>
      <c r="BC9" s="44"/>
    </row>
    <row r="10" spans="1:55" ht="18.75" x14ac:dyDescent="0.3">
      <c r="A10" s="21" t="s">
        <v>14</v>
      </c>
      <c r="B10" s="22" t="str">
        <f>VLOOKUP(A10,[5]LISTADHERENT!A$5:H$60,3,0)</f>
        <v>DJOMOU TCHANDA</v>
      </c>
      <c r="C10" s="22"/>
      <c r="D10" s="23"/>
      <c r="E10" s="24"/>
      <c r="F10" s="24"/>
      <c r="G10" s="24"/>
      <c r="H10" s="23"/>
      <c r="I10" s="25"/>
      <c r="J10" s="26"/>
      <c r="K10" s="26"/>
      <c r="L10" s="26"/>
      <c r="M10" s="27"/>
      <c r="N10" s="26"/>
      <c r="O10" s="27"/>
      <c r="P10" s="26"/>
      <c r="Q10" s="28"/>
      <c r="R10" s="29"/>
      <c r="S10" s="51"/>
      <c r="T10" s="55">
        <f t="shared" si="0"/>
        <v>0</v>
      </c>
      <c r="U10" s="41"/>
      <c r="V10" s="42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J10" s="41"/>
      <c r="AK10" s="41"/>
      <c r="AL10" s="41"/>
      <c r="AM10" s="41"/>
      <c r="AN10" s="41"/>
      <c r="AO10" s="41"/>
      <c r="AP10" s="41"/>
      <c r="AQ10" s="41"/>
      <c r="AR10" s="39"/>
      <c r="AS10" s="39"/>
      <c r="AT10" s="43"/>
      <c r="AW10" s="44"/>
      <c r="AX10" s="44"/>
      <c r="AY10" s="44"/>
      <c r="AZ10" s="44"/>
      <c r="BA10" s="45"/>
      <c r="BC10" s="44"/>
    </row>
    <row r="11" spans="1:55" ht="18.75" x14ac:dyDescent="0.3">
      <c r="A11" s="21" t="s">
        <v>15</v>
      </c>
      <c r="B11" s="22" t="str">
        <f>VLOOKUP(A11,[5]LISTADHERENT!A$5:H$60,3,0)</f>
        <v>DJOUKWE NANGUEN GUY BLAISE</v>
      </c>
      <c r="C11" s="22"/>
      <c r="D11" s="23"/>
      <c r="E11" s="24"/>
      <c r="F11" s="24"/>
      <c r="G11" s="24"/>
      <c r="H11" s="23"/>
      <c r="I11" s="25"/>
      <c r="J11" s="26"/>
      <c r="K11" s="26"/>
      <c r="L11" s="26"/>
      <c r="M11" s="27"/>
      <c r="N11" s="26"/>
      <c r="O11" s="27"/>
      <c r="P11" s="26"/>
      <c r="Q11" s="28"/>
      <c r="R11" s="29"/>
      <c r="S11" s="51"/>
      <c r="T11" s="55">
        <f t="shared" si="0"/>
        <v>0</v>
      </c>
      <c r="U11" s="41"/>
      <c r="V11" s="42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J11" s="41"/>
      <c r="AK11" s="41"/>
      <c r="AL11" s="41"/>
      <c r="AM11" s="41"/>
      <c r="AN11" s="41"/>
      <c r="AO11" s="41"/>
      <c r="AP11" s="41"/>
      <c r="AQ11" s="41"/>
      <c r="AR11" s="39"/>
      <c r="AS11" s="39"/>
      <c r="AT11" s="43"/>
      <c r="AW11" s="44"/>
      <c r="AX11" s="44"/>
      <c r="AY11" s="44"/>
      <c r="AZ11" s="44"/>
      <c r="BA11" s="45"/>
      <c r="BC11" s="44"/>
    </row>
    <row r="12" spans="1:55" ht="18.75" x14ac:dyDescent="0.3">
      <c r="A12" s="21" t="s">
        <v>16</v>
      </c>
      <c r="B12" s="22" t="str">
        <f>VLOOKUP(A12,[5]LISTADHERENT!A$5:H$60,3,0)</f>
        <v>DJUOMBESSY ANTOINE</v>
      </c>
      <c r="C12" s="22"/>
      <c r="D12" s="23"/>
      <c r="E12" s="24"/>
      <c r="F12" s="24"/>
      <c r="G12" s="24"/>
      <c r="H12" s="23"/>
      <c r="I12" s="25"/>
      <c r="J12" s="26"/>
      <c r="K12" s="26"/>
      <c r="L12" s="26"/>
      <c r="M12" s="27"/>
      <c r="N12" s="26"/>
      <c r="O12" s="27"/>
      <c r="P12" s="26"/>
      <c r="Q12" s="28"/>
      <c r="R12" s="29"/>
      <c r="S12" s="51"/>
      <c r="T12" s="55">
        <f t="shared" si="0"/>
        <v>0</v>
      </c>
      <c r="U12" s="41"/>
      <c r="V12" s="42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J12" s="41"/>
      <c r="AK12" s="41"/>
      <c r="AL12" s="41"/>
      <c r="AM12" s="41"/>
      <c r="AN12" s="41"/>
      <c r="AO12" s="41"/>
      <c r="AP12" s="41"/>
      <c r="AQ12" s="41"/>
      <c r="AR12" s="39"/>
      <c r="AS12" s="39"/>
      <c r="AT12" s="43"/>
      <c r="AW12" s="44"/>
      <c r="AX12" s="44"/>
      <c r="AY12" s="44"/>
      <c r="AZ12" s="44"/>
      <c r="BA12" s="45"/>
      <c r="BC12" s="44"/>
    </row>
    <row r="13" spans="1:55" ht="18.75" x14ac:dyDescent="0.3">
      <c r="A13" s="21" t="s">
        <v>17</v>
      </c>
      <c r="B13" s="22" t="str">
        <f>VLOOKUP(A13,[5]LISTADHERENT!A$5:H$60,3,0)</f>
        <v>DOMOU FABIEN</v>
      </c>
      <c r="C13" s="22"/>
      <c r="D13" s="23"/>
      <c r="E13" s="24"/>
      <c r="F13" s="24"/>
      <c r="G13" s="24"/>
      <c r="H13" s="23"/>
      <c r="I13" s="25"/>
      <c r="J13" s="26"/>
      <c r="K13" s="26"/>
      <c r="L13" s="26"/>
      <c r="M13" s="27"/>
      <c r="N13" s="26"/>
      <c r="O13" s="27"/>
      <c r="P13" s="26"/>
      <c r="Q13" s="28"/>
      <c r="R13" s="29"/>
      <c r="S13" s="51"/>
      <c r="T13" s="55">
        <f t="shared" si="0"/>
        <v>0</v>
      </c>
      <c r="U13" s="41"/>
      <c r="V13" s="42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J13" s="41"/>
      <c r="AK13" s="41"/>
      <c r="AL13" s="41"/>
      <c r="AM13" s="41"/>
      <c r="AN13" s="41"/>
      <c r="AO13" s="41"/>
      <c r="AP13" s="41"/>
      <c r="AQ13" s="41"/>
      <c r="AR13" s="39"/>
      <c r="AS13" s="39"/>
      <c r="AT13" s="43"/>
      <c r="AW13" s="44"/>
      <c r="AX13" s="44"/>
      <c r="AY13" s="44"/>
      <c r="AZ13" s="44"/>
      <c r="BA13" s="45"/>
      <c r="BC13" s="44"/>
    </row>
    <row r="14" spans="1:55" ht="18.75" x14ac:dyDescent="0.3">
      <c r="A14" s="21" t="s">
        <v>18</v>
      </c>
      <c r="B14" s="22" t="str">
        <f>VLOOKUP(A14,[5]LISTADHERENT!A$5:H$60,3,0)</f>
        <v>DONHOU DAVID</v>
      </c>
      <c r="C14" s="22"/>
      <c r="D14" s="23"/>
      <c r="E14" s="24"/>
      <c r="F14" s="24"/>
      <c r="G14" s="24"/>
      <c r="H14" s="23"/>
      <c r="I14" s="25"/>
      <c r="J14" s="26"/>
      <c r="K14" s="26"/>
      <c r="L14" s="26"/>
      <c r="M14" s="27"/>
      <c r="N14" s="26"/>
      <c r="O14" s="27"/>
      <c r="P14" s="26"/>
      <c r="Q14" s="28"/>
      <c r="R14" s="29"/>
      <c r="S14" s="51"/>
      <c r="T14" s="55">
        <f t="shared" si="0"/>
        <v>0</v>
      </c>
      <c r="U14" s="41"/>
      <c r="V14" s="42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J14" s="41"/>
      <c r="AK14" s="41"/>
      <c r="AL14" s="41"/>
      <c r="AM14" s="41"/>
      <c r="AN14" s="41"/>
      <c r="AO14" s="41"/>
      <c r="AP14" s="41"/>
      <c r="AQ14" s="41"/>
      <c r="AR14" s="39"/>
      <c r="AS14" s="39"/>
      <c r="AT14" s="43"/>
      <c r="AW14" s="44"/>
      <c r="AX14" s="44"/>
      <c r="AY14" s="44"/>
      <c r="AZ14" s="44"/>
      <c r="BA14" s="45"/>
      <c r="BC14" s="44"/>
    </row>
    <row r="15" spans="1:55" ht="18.75" x14ac:dyDescent="0.3">
      <c r="A15" s="21" t="s">
        <v>19</v>
      </c>
      <c r="B15" s="22" t="str">
        <f>VLOOKUP(A15,[5]LISTADHERENT!A$5:H$60,3,0)</f>
        <v>FOTSO THOMAS</v>
      </c>
      <c r="C15" s="22"/>
      <c r="D15" s="23"/>
      <c r="E15" s="24"/>
      <c r="F15" s="24"/>
      <c r="G15" s="24"/>
      <c r="H15" s="23"/>
      <c r="I15" s="25"/>
      <c r="J15" s="26"/>
      <c r="K15" s="26"/>
      <c r="L15" s="26"/>
      <c r="M15" s="27"/>
      <c r="N15" s="26"/>
      <c r="O15" s="27"/>
      <c r="P15" s="26"/>
      <c r="Q15" s="28"/>
      <c r="R15" s="29"/>
      <c r="S15" s="51"/>
      <c r="T15" s="55">
        <f t="shared" si="0"/>
        <v>0</v>
      </c>
      <c r="U15" s="41"/>
      <c r="V15" s="42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J15" s="41"/>
      <c r="AK15" s="41"/>
      <c r="AL15" s="41"/>
      <c r="AM15" s="41"/>
      <c r="AN15" s="41"/>
      <c r="AO15" s="41"/>
      <c r="AP15" s="41"/>
      <c r="AQ15" s="41"/>
      <c r="AR15" s="39"/>
      <c r="AS15" s="39"/>
      <c r="AT15" s="43"/>
      <c r="AW15" s="44"/>
      <c r="AX15" s="44"/>
      <c r="AY15" s="44"/>
      <c r="AZ15" s="44"/>
      <c r="BA15" s="45"/>
      <c r="BC15" s="44"/>
    </row>
    <row r="16" spans="1:55" ht="18.75" x14ac:dyDescent="0.3">
      <c r="A16" s="21" t="s">
        <v>20</v>
      </c>
      <c r="B16" s="22" t="str">
        <f>VLOOKUP(A16,[5]LISTADHERENT!A$5:H$60,3,0)</f>
        <v>HENGUE PAUL OMER</v>
      </c>
      <c r="C16" s="22"/>
      <c r="D16" s="23"/>
      <c r="E16" s="24"/>
      <c r="F16" s="24"/>
      <c r="G16" s="24"/>
      <c r="H16" s="23"/>
      <c r="I16" s="25"/>
      <c r="J16" s="26"/>
      <c r="K16" s="26"/>
      <c r="L16" s="26"/>
      <c r="M16" s="27"/>
      <c r="N16" s="26"/>
      <c r="O16" s="27"/>
      <c r="P16" s="26"/>
      <c r="Q16" s="28"/>
      <c r="R16" s="29"/>
      <c r="S16" s="51"/>
      <c r="T16" s="55">
        <f t="shared" si="0"/>
        <v>0</v>
      </c>
      <c r="U16" s="41"/>
      <c r="V16" s="42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J16" s="41"/>
      <c r="AK16" s="41"/>
      <c r="AL16" s="41"/>
      <c r="AM16" s="41"/>
      <c r="AN16" s="41"/>
      <c r="AO16" s="41"/>
      <c r="AP16" s="41"/>
      <c r="AQ16" s="41"/>
      <c r="AR16" s="39"/>
      <c r="AS16" s="39"/>
      <c r="AT16" s="43"/>
      <c r="AW16" s="44"/>
      <c r="AX16" s="44"/>
      <c r="AY16" s="44"/>
      <c r="AZ16" s="44"/>
      <c r="BA16" s="45"/>
      <c r="BC16" s="44"/>
    </row>
    <row r="17" spans="1:55" ht="18.75" x14ac:dyDescent="0.3">
      <c r="A17" s="21" t="s">
        <v>21</v>
      </c>
      <c r="B17" s="22" t="str">
        <f>VLOOKUP(A17,[5]LISTADHERENT!A$5:H$60,3,0)</f>
        <v>HOTCHO BENJAMIN</v>
      </c>
      <c r="C17" s="22"/>
      <c r="D17" s="23"/>
      <c r="E17" s="24"/>
      <c r="F17" s="24"/>
      <c r="G17" s="24"/>
      <c r="H17" s="23"/>
      <c r="I17" s="25"/>
      <c r="J17" s="26"/>
      <c r="K17" s="26"/>
      <c r="L17" s="26"/>
      <c r="M17" s="27"/>
      <c r="N17" s="26"/>
      <c r="O17" s="27"/>
      <c r="P17" s="26"/>
      <c r="Q17" s="28"/>
      <c r="R17" s="29"/>
      <c r="S17" s="51"/>
      <c r="T17" s="55">
        <f t="shared" si="0"/>
        <v>0</v>
      </c>
      <c r="U17" s="41"/>
      <c r="V17" s="42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J17" s="41"/>
      <c r="AK17" s="41"/>
      <c r="AL17" s="41"/>
      <c r="AM17" s="41"/>
      <c r="AN17" s="41"/>
      <c r="AO17" s="41"/>
      <c r="AP17" s="41"/>
      <c r="AQ17" s="41"/>
      <c r="AR17" s="39"/>
      <c r="AS17" s="39"/>
      <c r="AT17" s="43"/>
      <c r="AW17" s="44"/>
      <c r="AX17" s="44"/>
      <c r="AY17" s="44"/>
      <c r="AZ17" s="44"/>
      <c r="BA17" s="45"/>
      <c r="BC17" s="44"/>
    </row>
    <row r="18" spans="1:55" ht="18.75" x14ac:dyDescent="0.3">
      <c r="A18" s="21" t="s">
        <v>22</v>
      </c>
      <c r="B18" s="22" t="str">
        <f>VLOOKUP(A18,[5]LISTADHERENT!A$5:H$60,3,0)</f>
        <v>KOUAMOU MOISE</v>
      </c>
      <c r="C18" s="22"/>
      <c r="D18" s="23"/>
      <c r="E18" s="24"/>
      <c r="F18" s="24"/>
      <c r="G18" s="24"/>
      <c r="H18" s="23"/>
      <c r="I18" s="25"/>
      <c r="J18" s="26"/>
      <c r="K18" s="26"/>
      <c r="L18" s="26"/>
      <c r="M18" s="27"/>
      <c r="N18" s="26"/>
      <c r="O18" s="27"/>
      <c r="P18" s="26"/>
      <c r="Q18" s="28"/>
      <c r="R18" s="29"/>
      <c r="S18" s="51"/>
      <c r="T18" s="55">
        <f t="shared" si="0"/>
        <v>0</v>
      </c>
      <c r="U18" s="41"/>
      <c r="V18" s="42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J18" s="41"/>
      <c r="AK18" s="41"/>
      <c r="AL18" s="41"/>
      <c r="AM18" s="41"/>
      <c r="AN18" s="41"/>
      <c r="AO18" s="41"/>
      <c r="AP18" s="41"/>
      <c r="AQ18" s="41"/>
      <c r="AR18" s="39"/>
      <c r="AS18" s="39"/>
      <c r="AT18" s="43"/>
      <c r="AW18" s="44"/>
      <c r="AX18" s="44"/>
      <c r="AY18" s="44"/>
      <c r="AZ18" s="44"/>
      <c r="BA18" s="45"/>
      <c r="BC18" s="44"/>
    </row>
    <row r="19" spans="1:55" ht="18.75" x14ac:dyDescent="0.3">
      <c r="A19" s="21" t="s">
        <v>23</v>
      </c>
      <c r="B19" s="22" t="str">
        <f>VLOOKUP(A19,[5]LISTADHERENT!A$5:H$60,3,0)</f>
        <v>KOUATCHO MESSACK</v>
      </c>
      <c r="C19" s="22"/>
      <c r="D19" s="23"/>
      <c r="E19" s="24"/>
      <c r="F19" s="24"/>
      <c r="G19" s="24"/>
      <c r="H19" s="23"/>
      <c r="I19" s="25"/>
      <c r="J19" s="26"/>
      <c r="K19" s="26"/>
      <c r="L19" s="26"/>
      <c r="M19" s="27"/>
      <c r="N19" s="26"/>
      <c r="O19" s="27"/>
      <c r="P19" s="26"/>
      <c r="Q19" s="28"/>
      <c r="R19" s="29"/>
      <c r="S19" s="51"/>
      <c r="T19" s="55">
        <f t="shared" si="0"/>
        <v>0</v>
      </c>
      <c r="U19" s="41"/>
      <c r="V19" s="42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J19" s="41"/>
      <c r="AK19" s="41"/>
      <c r="AL19" s="41"/>
      <c r="AM19" s="41"/>
      <c r="AN19" s="41"/>
      <c r="AO19" s="41"/>
      <c r="AP19" s="41"/>
      <c r="AQ19" s="41"/>
      <c r="AR19" s="39"/>
      <c r="AS19" s="39"/>
      <c r="AT19" s="43"/>
      <c r="AW19" s="44"/>
      <c r="AX19" s="44"/>
      <c r="AY19" s="44"/>
      <c r="AZ19" s="44"/>
      <c r="BA19" s="45"/>
      <c r="BC19" s="44"/>
    </row>
    <row r="20" spans="1:55" ht="18.75" x14ac:dyDescent="0.3">
      <c r="A20" s="21" t="s">
        <v>24</v>
      </c>
      <c r="B20" s="22" t="str">
        <f>VLOOKUP(A20,[5]LISTADHERENT!A$5:H$60,3,0)</f>
        <v>LOWE JEAN</v>
      </c>
      <c r="C20" s="22"/>
      <c r="D20" s="23"/>
      <c r="E20" s="24"/>
      <c r="F20" s="24"/>
      <c r="G20" s="24"/>
      <c r="H20" s="23"/>
      <c r="I20" s="25"/>
      <c r="J20" s="26"/>
      <c r="K20" s="26"/>
      <c r="L20" s="26"/>
      <c r="M20" s="27"/>
      <c r="N20" s="26"/>
      <c r="O20" s="27"/>
      <c r="P20" s="26"/>
      <c r="Q20" s="28"/>
      <c r="R20" s="29"/>
      <c r="S20" s="51"/>
      <c r="T20" s="55">
        <f t="shared" si="0"/>
        <v>0</v>
      </c>
      <c r="U20" s="41"/>
      <c r="V20" s="42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J20" s="41"/>
      <c r="AK20" s="41"/>
      <c r="AL20" s="41"/>
      <c r="AM20" s="41"/>
      <c r="AN20" s="41"/>
      <c r="AO20" s="41"/>
      <c r="AP20" s="41"/>
      <c r="AQ20" s="41"/>
      <c r="AR20" s="39"/>
      <c r="AS20" s="39"/>
      <c r="AT20" s="43"/>
      <c r="AW20" s="44"/>
      <c r="AX20" s="44"/>
      <c r="AY20" s="44"/>
      <c r="AZ20" s="44"/>
      <c r="BA20" s="45"/>
      <c r="BC20" s="44"/>
    </row>
    <row r="21" spans="1:55" ht="18.75" x14ac:dyDescent="0.3">
      <c r="A21" s="21" t="s">
        <v>25</v>
      </c>
      <c r="B21" s="22" t="str">
        <f>VLOOKUP(A21,[5]LISTADHERENT!A$5:H$60,3,0)</f>
        <v>MBOGNING TUGMA GUY</v>
      </c>
      <c r="C21" s="22"/>
      <c r="D21" s="23"/>
      <c r="E21" s="24"/>
      <c r="F21" s="24"/>
      <c r="G21" s="24"/>
      <c r="H21" s="23"/>
      <c r="I21" s="25"/>
      <c r="J21" s="26"/>
      <c r="K21" s="26"/>
      <c r="L21" s="26"/>
      <c r="M21" s="27"/>
      <c r="N21" s="26"/>
      <c r="O21" s="27"/>
      <c r="P21" s="26"/>
      <c r="Q21" s="28"/>
      <c r="R21" s="29"/>
      <c r="S21" s="51"/>
      <c r="T21" s="55">
        <f t="shared" si="0"/>
        <v>0</v>
      </c>
      <c r="U21" s="41"/>
      <c r="V21" s="42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J21" s="41"/>
      <c r="AK21" s="41"/>
      <c r="AL21" s="41"/>
      <c r="AM21" s="41"/>
      <c r="AN21" s="41"/>
      <c r="AO21" s="41"/>
      <c r="AP21" s="41"/>
      <c r="AQ21" s="41"/>
      <c r="AR21" s="39"/>
      <c r="AS21" s="39"/>
      <c r="AT21" s="43"/>
      <c r="AW21" s="44"/>
      <c r="AX21" s="44"/>
      <c r="AY21" s="44"/>
      <c r="AZ21" s="44"/>
      <c r="BA21" s="45"/>
      <c r="BC21" s="44"/>
    </row>
    <row r="22" spans="1:55" ht="18.75" x14ac:dyDescent="0.3">
      <c r="A22" s="21" t="s">
        <v>26</v>
      </c>
      <c r="B22" s="22" t="str">
        <f>VLOOKUP(A22,[5]LISTADHERENT!A$5:H$60,3,0)</f>
        <v>NANGUEN MARTIN</v>
      </c>
      <c r="C22" s="22"/>
      <c r="D22" s="23"/>
      <c r="E22" s="24"/>
      <c r="F22" s="24"/>
      <c r="G22" s="24"/>
      <c r="H22" s="23"/>
      <c r="I22" s="25"/>
      <c r="J22" s="26"/>
      <c r="K22" s="26"/>
      <c r="L22" s="26"/>
      <c r="M22" s="27"/>
      <c r="N22" s="26"/>
      <c r="O22" s="27"/>
      <c r="P22" s="26"/>
      <c r="Q22" s="28"/>
      <c r="R22" s="29"/>
      <c r="S22" s="51"/>
      <c r="T22" s="55">
        <f t="shared" si="0"/>
        <v>0</v>
      </c>
      <c r="U22" s="41"/>
      <c r="V22" s="42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J22" s="41"/>
      <c r="AK22" s="41"/>
      <c r="AL22" s="41"/>
      <c r="AM22" s="41"/>
      <c r="AN22" s="41"/>
      <c r="AO22" s="41"/>
      <c r="AP22" s="41"/>
      <c r="AQ22" s="41"/>
      <c r="AR22" s="39"/>
      <c r="AS22" s="39"/>
      <c r="AT22" s="43"/>
      <c r="AW22" s="44"/>
      <c r="AX22" s="44"/>
      <c r="AY22" s="44"/>
      <c r="AZ22" s="44"/>
      <c r="BA22" s="45"/>
      <c r="BC22" s="44"/>
    </row>
    <row r="23" spans="1:55" ht="18.75" x14ac:dyDescent="0.3">
      <c r="A23" s="21" t="s">
        <v>27</v>
      </c>
      <c r="B23" s="22" t="str">
        <f>VLOOKUP(A23,[5]LISTADHERENT!A$5:H$60,3,0)</f>
        <v>NANKAM APPOLINAIRE</v>
      </c>
      <c r="C23" s="22"/>
      <c r="D23" s="23"/>
      <c r="E23" s="24"/>
      <c r="F23" s="24"/>
      <c r="G23" s="24"/>
      <c r="H23" s="23"/>
      <c r="I23" s="25"/>
      <c r="J23" s="26"/>
      <c r="K23" s="26"/>
      <c r="L23" s="26"/>
      <c r="M23" s="27"/>
      <c r="N23" s="26"/>
      <c r="O23" s="27"/>
      <c r="P23" s="26"/>
      <c r="Q23" s="28"/>
      <c r="R23" s="29"/>
      <c r="S23" s="51"/>
      <c r="T23" s="55">
        <f t="shared" si="0"/>
        <v>0</v>
      </c>
      <c r="U23" s="41"/>
      <c r="V23" s="42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J23" s="41"/>
      <c r="AK23" s="41"/>
      <c r="AL23" s="41"/>
      <c r="AM23" s="41"/>
      <c r="AN23" s="41"/>
      <c r="AO23" s="41"/>
      <c r="AP23" s="41"/>
      <c r="AQ23" s="41"/>
      <c r="AR23" s="39"/>
      <c r="AS23" s="39"/>
      <c r="AT23" s="43"/>
      <c r="AW23" s="44"/>
      <c r="AX23" s="44"/>
      <c r="AY23" s="44"/>
      <c r="AZ23" s="44"/>
      <c r="BA23" s="45"/>
      <c r="BC23" s="44"/>
    </row>
    <row r="24" spans="1:55" ht="18.75" x14ac:dyDescent="0.3">
      <c r="A24" s="21" t="s">
        <v>28</v>
      </c>
      <c r="B24" s="22" t="str">
        <f>VLOOKUP(A24,[5]LISTADHERENT!A$5:H$60,3,0)</f>
        <v>NDJOMO ETIENNE</v>
      </c>
      <c r="C24" s="22"/>
      <c r="D24" s="23"/>
      <c r="E24" s="24"/>
      <c r="F24" s="24"/>
      <c r="G24" s="24"/>
      <c r="H24" s="23"/>
      <c r="I24" s="25"/>
      <c r="J24" s="26"/>
      <c r="K24" s="26"/>
      <c r="L24" s="26"/>
      <c r="M24" s="27"/>
      <c r="N24" s="26"/>
      <c r="O24" s="27"/>
      <c r="P24" s="26"/>
      <c r="Q24" s="28"/>
      <c r="R24" s="29"/>
      <c r="S24" s="51"/>
      <c r="T24" s="55">
        <f t="shared" si="0"/>
        <v>0</v>
      </c>
      <c r="U24" s="41"/>
      <c r="V24" s="42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J24" s="41"/>
      <c r="AK24" s="41"/>
      <c r="AL24" s="41"/>
      <c r="AM24" s="41"/>
      <c r="AN24" s="41"/>
      <c r="AO24" s="41"/>
      <c r="AP24" s="41"/>
      <c r="AQ24" s="41"/>
      <c r="AR24" s="39"/>
      <c r="AS24" s="39"/>
      <c r="AT24" s="43"/>
      <c r="AW24" s="44"/>
      <c r="AX24" s="44"/>
      <c r="AY24" s="44"/>
      <c r="AZ24" s="44"/>
      <c r="BA24" s="45"/>
      <c r="BC24" s="44"/>
    </row>
    <row r="25" spans="1:55" ht="18.75" x14ac:dyDescent="0.3">
      <c r="A25" s="21" t="s">
        <v>29</v>
      </c>
      <c r="B25" s="22" t="str">
        <f>VLOOKUP(A25,[5]LISTADHERENT!A$5:H$60,3,0)</f>
        <v>NGONDIEP CLAUDE</v>
      </c>
      <c r="C25" s="22"/>
      <c r="D25" s="23"/>
      <c r="E25" s="24"/>
      <c r="F25" s="24"/>
      <c r="G25" s="24"/>
      <c r="H25" s="23"/>
      <c r="I25" s="25"/>
      <c r="J25" s="26"/>
      <c r="K25" s="26"/>
      <c r="L25" s="26"/>
      <c r="M25" s="27"/>
      <c r="N25" s="26"/>
      <c r="O25" s="27"/>
      <c r="P25" s="26"/>
      <c r="Q25" s="28"/>
      <c r="R25" s="29"/>
      <c r="S25" s="51"/>
      <c r="T25" s="55">
        <f t="shared" si="0"/>
        <v>0</v>
      </c>
      <c r="U25" s="41"/>
      <c r="V25" s="42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J25" s="41"/>
      <c r="AK25" s="41"/>
      <c r="AL25" s="41"/>
      <c r="AM25" s="41"/>
      <c r="AN25" s="41"/>
      <c r="AO25" s="41"/>
      <c r="AP25" s="41"/>
      <c r="AQ25" s="41"/>
      <c r="AR25" s="39"/>
      <c r="AS25" s="39"/>
      <c r="AT25" s="43"/>
      <c r="AW25" s="44"/>
      <c r="AX25" s="44"/>
      <c r="AY25" s="44"/>
      <c r="AZ25" s="44"/>
      <c r="BA25" s="45"/>
      <c r="BC25" s="44"/>
    </row>
    <row r="26" spans="1:55" ht="18.75" x14ac:dyDescent="0.3">
      <c r="A26" s="21" t="s">
        <v>30</v>
      </c>
      <c r="B26" s="22" t="str">
        <f>VLOOKUP(A26,[5]LISTADHERENT!A$5:H$60,3,0)</f>
        <v>NGUIEMEGNI MATHIEU BLAISE</v>
      </c>
      <c r="C26" s="22"/>
      <c r="D26" s="23"/>
      <c r="E26" s="24"/>
      <c r="F26" s="24"/>
      <c r="G26" s="24"/>
      <c r="H26" s="23"/>
      <c r="I26" s="25"/>
      <c r="J26" s="26"/>
      <c r="K26" s="26"/>
      <c r="L26" s="26"/>
      <c r="M26" s="27"/>
      <c r="N26" s="26"/>
      <c r="O26" s="27"/>
      <c r="P26" s="26"/>
      <c r="Q26" s="28"/>
      <c r="R26" s="29"/>
      <c r="S26" s="51"/>
      <c r="T26" s="55">
        <f t="shared" si="0"/>
        <v>0</v>
      </c>
      <c r="U26" s="41"/>
      <c r="V26" s="42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J26" s="41"/>
      <c r="AK26" s="41"/>
      <c r="AL26" s="41"/>
      <c r="AM26" s="41"/>
      <c r="AN26" s="41"/>
      <c r="AO26" s="41"/>
      <c r="AP26" s="41"/>
      <c r="AQ26" s="41"/>
      <c r="AR26" s="39"/>
      <c r="AS26" s="39"/>
      <c r="AT26" s="43"/>
      <c r="AW26" s="44"/>
      <c r="AX26" s="44"/>
      <c r="AY26" s="44"/>
      <c r="AZ26" s="44"/>
      <c r="BA26" s="45"/>
      <c r="BC26" s="44"/>
    </row>
    <row r="27" spans="1:55" ht="18.75" x14ac:dyDescent="0.3">
      <c r="A27" s="21" t="s">
        <v>31</v>
      </c>
      <c r="B27" s="22" t="str">
        <f>VLOOKUP(A27,[5]LISTADHERENT!A$5:H$60,3,0)</f>
        <v>NKAMGANG JUSTIN DEJOLIE</v>
      </c>
      <c r="C27" s="22"/>
      <c r="D27" s="23"/>
      <c r="E27" s="24"/>
      <c r="F27" s="24"/>
      <c r="G27" s="24"/>
      <c r="H27" s="23"/>
      <c r="I27" s="25"/>
      <c r="J27" s="26"/>
      <c r="K27" s="26"/>
      <c r="L27" s="26"/>
      <c r="M27" s="27"/>
      <c r="N27" s="26"/>
      <c r="O27" s="27"/>
      <c r="P27" s="26"/>
      <c r="Q27" s="28"/>
      <c r="R27" s="29"/>
      <c r="S27" s="51"/>
      <c r="T27" s="55">
        <f t="shared" si="0"/>
        <v>0</v>
      </c>
      <c r="U27" s="41"/>
      <c r="V27" s="42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J27" s="41"/>
      <c r="AK27" s="41"/>
      <c r="AL27" s="41"/>
      <c r="AM27" s="41"/>
      <c r="AN27" s="41"/>
      <c r="AO27" s="41"/>
      <c r="AP27" s="41"/>
      <c r="AQ27" s="41"/>
      <c r="AR27" s="39"/>
      <c r="AS27" s="39"/>
      <c r="AT27" s="43"/>
      <c r="AW27" s="44"/>
      <c r="AX27" s="44"/>
      <c r="AY27" s="44"/>
      <c r="AZ27" s="44"/>
      <c r="BA27" s="45"/>
      <c r="BC27" s="44"/>
    </row>
    <row r="28" spans="1:55" ht="18.75" x14ac:dyDescent="0.3">
      <c r="A28" s="21" t="s">
        <v>32</v>
      </c>
      <c r="B28" s="22" t="str">
        <f>VLOOKUP(A28,[5]LISTADHERENT!A$5:H$60,3,0)</f>
        <v>NKEHE DAVID</v>
      </c>
      <c r="C28" s="22"/>
      <c r="D28" s="23"/>
      <c r="E28" s="24"/>
      <c r="F28" s="24"/>
      <c r="G28" s="24"/>
      <c r="H28" s="23"/>
      <c r="I28" s="25"/>
      <c r="J28" s="26"/>
      <c r="K28" s="26"/>
      <c r="L28" s="26"/>
      <c r="M28" s="27"/>
      <c r="N28" s="26"/>
      <c r="O28" s="27"/>
      <c r="P28" s="26"/>
      <c r="Q28" s="28"/>
      <c r="R28" s="29"/>
      <c r="S28" s="51"/>
      <c r="T28" s="55">
        <f t="shared" si="0"/>
        <v>0</v>
      </c>
      <c r="U28" s="41"/>
      <c r="V28" s="42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J28" s="41"/>
      <c r="AK28" s="41"/>
      <c r="AL28" s="41"/>
      <c r="AM28" s="41"/>
      <c r="AN28" s="41"/>
      <c r="AO28" s="41"/>
      <c r="AP28" s="41"/>
      <c r="AQ28" s="41"/>
      <c r="AR28" s="39"/>
      <c r="AS28" s="39"/>
      <c r="AT28" s="43"/>
      <c r="AW28" s="44"/>
      <c r="AX28" s="44"/>
      <c r="AY28" s="44"/>
      <c r="AZ28" s="44"/>
      <c r="BA28" s="45"/>
      <c r="BC28" s="44"/>
    </row>
    <row r="29" spans="1:55" ht="18.75" x14ac:dyDescent="0.3">
      <c r="A29" s="21" t="s">
        <v>33</v>
      </c>
      <c r="B29" s="22" t="str">
        <f>VLOOKUP(A29,[5]LISTADHERENT!A$5:H$60,3,0)</f>
        <v>NKEPSEU DIEUDONNE</v>
      </c>
      <c r="C29" s="22"/>
      <c r="D29" s="23"/>
      <c r="E29" s="24"/>
      <c r="F29" s="24"/>
      <c r="G29" s="24"/>
      <c r="H29" s="23"/>
      <c r="I29" s="25"/>
      <c r="J29" s="26"/>
      <c r="K29" s="26"/>
      <c r="L29" s="26"/>
      <c r="M29" s="27"/>
      <c r="N29" s="26"/>
      <c r="O29" s="27"/>
      <c r="P29" s="26"/>
      <c r="Q29" s="28"/>
      <c r="R29" s="29"/>
      <c r="S29" s="51"/>
      <c r="T29" s="55">
        <f t="shared" si="0"/>
        <v>0</v>
      </c>
      <c r="U29" s="41"/>
      <c r="V29" s="42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J29" s="41"/>
      <c r="AK29" s="41"/>
      <c r="AL29" s="41"/>
      <c r="AM29" s="41"/>
      <c r="AN29" s="41"/>
      <c r="AO29" s="41"/>
      <c r="AP29" s="41"/>
      <c r="AQ29" s="41"/>
      <c r="AR29" s="39"/>
      <c r="AS29" s="39"/>
      <c r="AT29" s="43"/>
      <c r="AW29" s="44"/>
      <c r="AX29" s="44"/>
      <c r="AY29" s="44"/>
      <c r="AZ29" s="44"/>
      <c r="BA29" s="45"/>
      <c r="BC29" s="44"/>
    </row>
    <row r="30" spans="1:55" ht="18.75" x14ac:dyDescent="0.3">
      <c r="A30" s="21" t="s">
        <v>34</v>
      </c>
      <c r="B30" s="22" t="str">
        <f>VLOOKUP(A30,[5]LISTADHERENT!A$5:H$60,3,0)</f>
        <v>PATEGO NJOSSU GUSTAVE</v>
      </c>
      <c r="C30" s="22"/>
      <c r="D30" s="23"/>
      <c r="E30" s="24"/>
      <c r="F30" s="24"/>
      <c r="G30" s="24"/>
      <c r="H30" s="23"/>
      <c r="I30" s="25"/>
      <c r="J30" s="26"/>
      <c r="K30" s="26"/>
      <c r="L30" s="26"/>
      <c r="M30" s="27"/>
      <c r="N30" s="26"/>
      <c r="O30" s="27"/>
      <c r="P30" s="26"/>
      <c r="Q30" s="28"/>
      <c r="R30" s="29"/>
      <c r="S30" s="51"/>
      <c r="T30" s="55">
        <f t="shared" si="0"/>
        <v>0</v>
      </c>
      <c r="U30" s="41"/>
      <c r="V30" s="42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J30" s="41"/>
      <c r="AK30" s="41"/>
      <c r="AL30" s="41"/>
      <c r="AM30" s="41"/>
      <c r="AN30" s="41"/>
      <c r="AO30" s="41"/>
      <c r="AP30" s="41"/>
      <c r="AQ30" s="41"/>
      <c r="AR30" s="39"/>
      <c r="AS30" s="39"/>
      <c r="AT30" s="43"/>
      <c r="AW30" s="44"/>
      <c r="AX30" s="44"/>
      <c r="AY30" s="44"/>
      <c r="AZ30" s="44"/>
      <c r="BA30" s="45"/>
      <c r="BC30" s="44"/>
    </row>
    <row r="31" spans="1:55" ht="18.75" x14ac:dyDescent="0.3">
      <c r="A31" s="21" t="s">
        <v>35</v>
      </c>
      <c r="B31" s="22" t="str">
        <f>VLOOKUP(A31,[5]LISTADHERENT!A$5:H$60,3,0)</f>
        <v>SIME BRICE</v>
      </c>
      <c r="C31" s="22"/>
      <c r="D31" s="23"/>
      <c r="E31" s="24"/>
      <c r="F31" s="24"/>
      <c r="G31" s="24"/>
      <c r="H31" s="23"/>
      <c r="I31" s="25"/>
      <c r="J31" s="26"/>
      <c r="K31" s="26"/>
      <c r="L31" s="26"/>
      <c r="M31" s="27"/>
      <c r="N31" s="26"/>
      <c r="O31" s="27"/>
      <c r="P31" s="26"/>
      <c r="Q31" s="28"/>
      <c r="R31" s="29"/>
      <c r="S31" s="51"/>
      <c r="T31" s="55">
        <f t="shared" si="0"/>
        <v>0</v>
      </c>
      <c r="U31" s="41"/>
      <c r="V31" s="42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J31" s="41"/>
      <c r="AK31" s="41"/>
      <c r="AL31" s="41"/>
      <c r="AM31" s="41"/>
      <c r="AN31" s="41"/>
      <c r="AO31" s="41"/>
      <c r="AP31" s="41"/>
      <c r="AQ31" s="41"/>
      <c r="AR31" s="39"/>
      <c r="AS31" s="39"/>
      <c r="AT31" s="43"/>
      <c r="AW31" s="44"/>
      <c r="AX31" s="44"/>
      <c r="AY31" s="44"/>
      <c r="AZ31" s="44"/>
      <c r="BA31" s="45"/>
      <c r="BC31" s="44"/>
    </row>
    <row r="32" spans="1:55" ht="18.75" x14ac:dyDescent="0.3">
      <c r="A32" s="21" t="s">
        <v>36</v>
      </c>
      <c r="B32" s="22" t="str">
        <f>VLOOKUP(A32,[5]LISTADHERENT!A$5:H$60,3,0)</f>
        <v>SIMO FONGANG ERIC</v>
      </c>
      <c r="C32" s="22"/>
      <c r="D32" s="23"/>
      <c r="E32" s="24"/>
      <c r="F32" s="24"/>
      <c r="G32" s="24"/>
      <c r="H32" s="23"/>
      <c r="I32" s="25"/>
      <c r="J32" s="26"/>
      <c r="K32" s="26"/>
      <c r="L32" s="26"/>
      <c r="M32" s="27"/>
      <c r="N32" s="26"/>
      <c r="O32" s="27"/>
      <c r="P32" s="26"/>
      <c r="Q32" s="28"/>
      <c r="R32" s="29"/>
      <c r="S32" s="51"/>
      <c r="T32" s="55">
        <f t="shared" si="0"/>
        <v>0</v>
      </c>
      <c r="U32" s="41"/>
      <c r="V32" s="42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J32" s="41"/>
      <c r="AK32" s="41"/>
      <c r="AL32" s="41"/>
      <c r="AM32" s="41"/>
      <c r="AN32" s="41"/>
      <c r="AO32" s="41"/>
      <c r="AP32" s="41"/>
      <c r="AQ32" s="41"/>
      <c r="AR32" s="39"/>
      <c r="AS32" s="39"/>
      <c r="AT32" s="43"/>
      <c r="AW32" s="44"/>
      <c r="AX32" s="44"/>
      <c r="AY32" s="44"/>
      <c r="AZ32" s="44"/>
      <c r="BA32" s="45"/>
      <c r="BC32" s="44"/>
    </row>
    <row r="33" spans="1:55" ht="18.75" x14ac:dyDescent="0.3">
      <c r="A33" s="21" t="s">
        <v>37</v>
      </c>
      <c r="B33" s="22" t="str">
        <f>VLOOKUP(A33,[5]LISTADHERENT!A$5:H$60,3,0)</f>
        <v>SIMO PIERRE</v>
      </c>
      <c r="C33" s="22"/>
      <c r="D33" s="23"/>
      <c r="E33" s="24"/>
      <c r="F33" s="24"/>
      <c r="G33" s="24"/>
      <c r="H33" s="23"/>
      <c r="I33" s="25"/>
      <c r="J33" s="26"/>
      <c r="K33" s="26"/>
      <c r="L33" s="26"/>
      <c r="M33" s="27"/>
      <c r="N33" s="26"/>
      <c r="O33" s="27"/>
      <c r="P33" s="26"/>
      <c r="Q33" s="28"/>
      <c r="R33" s="29"/>
      <c r="S33" s="51"/>
      <c r="T33" s="55">
        <f t="shared" si="0"/>
        <v>0</v>
      </c>
      <c r="U33" s="41"/>
      <c r="V33" s="42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J33" s="41"/>
      <c r="AK33" s="41"/>
      <c r="AL33" s="41"/>
      <c r="AM33" s="41"/>
      <c r="AN33" s="41"/>
      <c r="AO33" s="41"/>
      <c r="AP33" s="41"/>
      <c r="AQ33" s="41"/>
      <c r="AR33" s="39"/>
      <c r="AS33" s="39"/>
      <c r="AT33" s="43"/>
      <c r="AW33" s="44"/>
      <c r="AX33" s="44"/>
      <c r="AY33" s="44"/>
      <c r="AZ33" s="44"/>
      <c r="BA33" s="45"/>
      <c r="BC33" s="44"/>
    </row>
    <row r="34" spans="1:55" ht="18.75" x14ac:dyDescent="0.3">
      <c r="A34" s="21" t="s">
        <v>38</v>
      </c>
      <c r="B34" s="22" t="str">
        <f>VLOOKUP(A34,[5]LISTADHERENT!A$5:H$60,3,0)</f>
        <v>TCHOUAMOU MATHIEU</v>
      </c>
      <c r="C34" s="22"/>
      <c r="D34" s="23"/>
      <c r="E34" s="24"/>
      <c r="F34" s="24"/>
      <c r="G34" s="24"/>
      <c r="H34" s="23"/>
      <c r="I34" s="25"/>
      <c r="J34" s="26"/>
      <c r="K34" s="26"/>
      <c r="L34" s="26"/>
      <c r="M34" s="27"/>
      <c r="N34" s="26"/>
      <c r="O34" s="27"/>
      <c r="P34" s="26"/>
      <c r="Q34" s="28"/>
      <c r="R34" s="29"/>
      <c r="S34" s="51"/>
      <c r="T34" s="55">
        <f t="shared" si="0"/>
        <v>0</v>
      </c>
      <c r="U34" s="41"/>
      <c r="V34" s="42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J34" s="41"/>
      <c r="AK34" s="41"/>
      <c r="AL34" s="41"/>
      <c r="AM34" s="41"/>
      <c r="AN34" s="41"/>
      <c r="AO34" s="41"/>
      <c r="AP34" s="41"/>
      <c r="AQ34" s="41"/>
      <c r="AR34" s="39"/>
      <c r="AS34" s="39"/>
      <c r="AT34" s="43"/>
      <c r="AW34" s="44"/>
      <c r="AX34" s="44"/>
      <c r="AY34" s="44"/>
      <c r="AZ34" s="44"/>
      <c r="BA34" s="45"/>
      <c r="BC34" s="44"/>
    </row>
    <row r="35" spans="1:55" ht="18.75" x14ac:dyDescent="0.3">
      <c r="A35" s="21" t="s">
        <v>39</v>
      </c>
      <c r="B35" s="22" t="str">
        <f>VLOOKUP(A35,[5]LISTADHERENT!A$5:H$60,3,0)</f>
        <v>TIEYAM ERNEST</v>
      </c>
      <c r="C35" s="22"/>
      <c r="D35" s="23"/>
      <c r="E35" s="24"/>
      <c r="F35" s="24"/>
      <c r="G35" s="24"/>
      <c r="H35" s="23"/>
      <c r="I35" s="25"/>
      <c r="J35" s="26"/>
      <c r="K35" s="26"/>
      <c r="L35" s="26"/>
      <c r="M35" s="27"/>
      <c r="N35" s="26"/>
      <c r="O35" s="27"/>
      <c r="P35" s="26"/>
      <c r="Q35" s="28"/>
      <c r="R35" s="29"/>
      <c r="S35" s="51"/>
      <c r="T35" s="55">
        <f t="shared" si="0"/>
        <v>0</v>
      </c>
      <c r="U35" s="41"/>
      <c r="V35" s="42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J35" s="41"/>
      <c r="AK35" s="41"/>
      <c r="AL35" s="41"/>
      <c r="AM35" s="41"/>
      <c r="AN35" s="41"/>
      <c r="AO35" s="41"/>
      <c r="AP35" s="41"/>
      <c r="AQ35" s="41"/>
      <c r="AR35" s="39"/>
      <c r="AS35" s="39"/>
      <c r="AT35" s="43"/>
      <c r="AW35" s="44"/>
      <c r="AX35" s="44"/>
      <c r="AY35" s="44"/>
      <c r="AZ35" s="44"/>
      <c r="BA35" s="45"/>
      <c r="BC35" s="44"/>
    </row>
    <row r="36" spans="1:55" ht="18.75" x14ac:dyDescent="0.3">
      <c r="A36" s="21" t="s">
        <v>40</v>
      </c>
      <c r="B36" s="22" t="str">
        <f>VLOOKUP(A36,[5]LISTADHERENT!A$5:H$60,3,0)</f>
        <v>YEPMOU JEAN JACQUES</v>
      </c>
      <c r="C36" s="22"/>
      <c r="D36" s="23"/>
      <c r="E36" s="24"/>
      <c r="F36" s="24"/>
      <c r="G36" s="24"/>
      <c r="H36" s="23"/>
      <c r="I36" s="25"/>
      <c r="J36" s="26"/>
      <c r="K36" s="26"/>
      <c r="L36" s="26"/>
      <c r="M36" s="27"/>
      <c r="N36" s="26"/>
      <c r="O36" s="27"/>
      <c r="P36" s="26"/>
      <c r="Q36" s="28"/>
      <c r="R36" s="29"/>
      <c r="S36" s="51"/>
      <c r="T36" s="55">
        <f t="shared" si="0"/>
        <v>0</v>
      </c>
      <c r="U36" s="41"/>
      <c r="V36" s="42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J36" s="41"/>
      <c r="AK36" s="41"/>
      <c r="AL36" s="41"/>
      <c r="AM36" s="41"/>
      <c r="AN36" s="41"/>
      <c r="AO36" s="41"/>
      <c r="AP36" s="41"/>
      <c r="AQ36" s="41"/>
      <c r="AR36" s="39"/>
      <c r="AS36" s="39"/>
      <c r="AT36" s="43"/>
      <c r="AW36" s="44"/>
      <c r="AX36" s="44"/>
      <c r="AY36" s="44"/>
      <c r="AZ36" s="44"/>
      <c r="BA36" s="45"/>
      <c r="BC36" s="44"/>
    </row>
    <row r="37" spans="1:55" ht="18.75" x14ac:dyDescent="0.3">
      <c r="A37" s="21" t="s">
        <v>41</v>
      </c>
      <c r="B37" s="22" t="str">
        <f>VLOOKUP(A37,[5]LISTADHERENT!A$5:H$60,3,0)</f>
        <v>YOUMBI EMMANUEL</v>
      </c>
      <c r="C37" s="22"/>
      <c r="D37" s="23"/>
      <c r="E37" s="24"/>
      <c r="F37" s="24"/>
      <c r="G37" s="24"/>
      <c r="H37" s="23"/>
      <c r="I37" s="25"/>
      <c r="J37" s="26"/>
      <c r="K37" s="26"/>
      <c r="L37" s="26"/>
      <c r="M37" s="27"/>
      <c r="N37" s="26"/>
      <c r="O37" s="27"/>
      <c r="P37" s="26"/>
      <c r="Q37" s="27"/>
      <c r="R37" s="29"/>
      <c r="S37" s="53"/>
      <c r="T37" s="55">
        <f t="shared" si="0"/>
        <v>0</v>
      </c>
      <c r="U37" s="41"/>
      <c r="V37" s="42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J37" s="41"/>
      <c r="AK37" s="41"/>
      <c r="AL37" s="41"/>
      <c r="AM37" s="41"/>
      <c r="AN37" s="41"/>
      <c r="AO37" s="41"/>
      <c r="AP37" s="41"/>
      <c r="AQ37" s="41"/>
      <c r="AR37" s="39"/>
      <c r="AS37" s="39"/>
      <c r="AT37" s="43"/>
      <c r="AW37" s="44"/>
      <c r="AX37" s="44"/>
      <c r="AY37" s="44"/>
      <c r="AZ37" s="44"/>
      <c r="BA37" s="45"/>
      <c r="BC37" s="44"/>
    </row>
    <row r="38" spans="1:55" ht="18" x14ac:dyDescent="0.25">
      <c r="A38" s="30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27"/>
      <c r="R38" s="27"/>
      <c r="S38" s="53"/>
      <c r="T38" s="55"/>
      <c r="AX38" s="44"/>
      <c r="AY38" s="44"/>
      <c r="AZ38" s="44"/>
      <c r="BA38" s="45"/>
    </row>
    <row r="39" spans="1:55" ht="18.75" thickBot="1" x14ac:dyDescent="0.3">
      <c r="A39" s="32"/>
      <c r="B39" s="33" t="s">
        <v>44</v>
      </c>
      <c r="C39" s="34">
        <f t="shared" ref="C39:H39" si="1">SUM(C8:C38)</f>
        <v>0</v>
      </c>
      <c r="D39" s="34">
        <f t="shared" si="1"/>
        <v>0</v>
      </c>
      <c r="E39" s="34">
        <f t="shared" si="1"/>
        <v>0</v>
      </c>
      <c r="F39" s="34">
        <f t="shared" si="1"/>
        <v>0</v>
      </c>
      <c r="G39" s="34">
        <f t="shared" si="1"/>
        <v>0</v>
      </c>
      <c r="H39" s="34">
        <f t="shared" si="1"/>
        <v>0</v>
      </c>
      <c r="I39" s="34"/>
      <c r="J39" s="34">
        <f t="shared" ref="J39:T39" si="2">SUM(J8:J38)</f>
        <v>0</v>
      </c>
      <c r="K39" s="34">
        <f t="shared" si="2"/>
        <v>0</v>
      </c>
      <c r="L39" s="34">
        <f t="shared" si="2"/>
        <v>0</v>
      </c>
      <c r="M39" s="34">
        <f t="shared" si="2"/>
        <v>0</v>
      </c>
      <c r="N39" s="34">
        <f t="shared" si="2"/>
        <v>0</v>
      </c>
      <c r="O39" s="34">
        <f t="shared" si="2"/>
        <v>0</v>
      </c>
      <c r="P39" s="34">
        <f t="shared" si="2"/>
        <v>0</v>
      </c>
      <c r="Q39" s="34">
        <f t="shared" si="2"/>
        <v>0</v>
      </c>
      <c r="R39" s="34">
        <f t="shared" si="2"/>
        <v>0</v>
      </c>
      <c r="S39" s="54">
        <f t="shared" si="2"/>
        <v>0</v>
      </c>
      <c r="T39" s="56">
        <f t="shared" si="2"/>
        <v>0</v>
      </c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</row>
    <row r="40" spans="1:55" ht="16.5" thickTop="1" x14ac:dyDescent="0.25">
      <c r="AX40" s="44"/>
      <c r="AY40" s="44"/>
      <c r="AZ40" s="44"/>
      <c r="BA40" s="45"/>
    </row>
    <row r="41" spans="1:55" x14ac:dyDescent="0.25">
      <c r="AX41" s="44"/>
      <c r="AY41" s="44"/>
      <c r="AZ41" s="44"/>
      <c r="BA41" s="45"/>
    </row>
    <row r="42" spans="1:55" x14ac:dyDescent="0.25">
      <c r="AX42" s="44"/>
      <c r="AY42" s="44"/>
      <c r="AZ42" s="44"/>
      <c r="BA42" s="45"/>
    </row>
    <row r="43" spans="1:55" x14ac:dyDescent="0.25">
      <c r="AX43" s="44"/>
      <c r="AY43" s="44"/>
      <c r="AZ43" s="44"/>
      <c r="BA43" s="45"/>
    </row>
    <row r="44" spans="1:55" x14ac:dyDescent="0.25">
      <c r="AX44" s="44"/>
      <c r="AY44" s="44"/>
      <c r="AZ44" s="44"/>
      <c r="BA44" s="45"/>
    </row>
    <row r="45" spans="1:55" x14ac:dyDescent="0.25">
      <c r="AX45" s="44"/>
      <c r="AY45" s="44"/>
      <c r="AZ45" s="44"/>
      <c r="BA45" s="45"/>
    </row>
    <row r="46" spans="1:55" x14ac:dyDescent="0.25">
      <c r="AX46" s="44"/>
      <c r="AY46" s="44"/>
      <c r="AZ46" s="44"/>
      <c r="BA46" s="45"/>
    </row>
    <row r="47" spans="1:55" x14ac:dyDescent="0.25">
      <c r="AX47" s="44"/>
      <c r="AY47" s="44"/>
      <c r="AZ47" s="44"/>
      <c r="BA47" s="45"/>
    </row>
    <row r="48" spans="1:55" x14ac:dyDescent="0.25">
      <c r="AX48" s="44"/>
      <c r="AY48" s="44"/>
      <c r="AZ48" s="44"/>
      <c r="BA48" s="45"/>
    </row>
    <row r="49" spans="50:53" x14ac:dyDescent="0.25">
      <c r="AX49" s="44"/>
      <c r="AY49" s="44"/>
      <c r="AZ49" s="44"/>
      <c r="BA49" s="45"/>
    </row>
    <row r="50" spans="50:53" x14ac:dyDescent="0.25">
      <c r="AX50" s="44"/>
      <c r="AY50" s="44"/>
      <c r="AZ50" s="44"/>
      <c r="BA50" s="45"/>
    </row>
    <row r="51" spans="50:53" x14ac:dyDescent="0.25">
      <c r="AX51" s="44"/>
      <c r="AY51" s="44"/>
      <c r="AZ51" s="44"/>
      <c r="BA51" s="45"/>
    </row>
    <row r="52" spans="50:53" x14ac:dyDescent="0.25">
      <c r="AX52" s="44"/>
      <c r="AY52" s="44"/>
      <c r="AZ52" s="44"/>
      <c r="BA52" s="45"/>
    </row>
    <row r="53" spans="50:53" x14ac:dyDescent="0.25">
      <c r="AX53" s="44"/>
      <c r="AY53" s="44"/>
      <c r="AZ53" s="44"/>
      <c r="BA53" s="45"/>
    </row>
    <row r="54" spans="50:53" x14ac:dyDescent="0.25">
      <c r="AX54" s="44"/>
      <c r="AY54" s="44"/>
      <c r="AZ54" s="44"/>
      <c r="BA54" s="45"/>
    </row>
    <row r="55" spans="50:53" x14ac:dyDescent="0.25">
      <c r="AX55" s="44"/>
      <c r="AY55" s="44"/>
      <c r="AZ55" s="44"/>
      <c r="BA55" s="45"/>
    </row>
    <row r="56" spans="50:53" x14ac:dyDescent="0.25">
      <c r="AX56" s="44"/>
      <c r="AY56" s="44"/>
      <c r="AZ56" s="44"/>
      <c r="BA56" s="45"/>
    </row>
    <row r="57" spans="50:53" x14ac:dyDescent="0.25">
      <c r="AX57" s="44"/>
      <c r="AY57" s="44"/>
      <c r="AZ57" s="44"/>
      <c r="BA57" s="45"/>
    </row>
    <row r="58" spans="50:53" x14ac:dyDescent="0.25">
      <c r="AX58" s="44"/>
      <c r="AY58" s="44"/>
      <c r="AZ58" s="44"/>
      <c r="BA58" s="45"/>
    </row>
    <row r="59" spans="50:53" x14ac:dyDescent="0.25">
      <c r="AX59" s="44"/>
      <c r="AY59" s="44"/>
      <c r="AZ59" s="44"/>
      <c r="BA59" s="45"/>
    </row>
    <row r="60" spans="50:53" x14ac:dyDescent="0.25">
      <c r="AX60" s="44"/>
      <c r="AY60" s="44"/>
      <c r="AZ60" s="44"/>
      <c r="BA60" s="45"/>
    </row>
    <row r="61" spans="50:53" x14ac:dyDescent="0.25">
      <c r="AX61" s="44"/>
      <c r="AY61" s="44"/>
      <c r="AZ61" s="44"/>
      <c r="BA61" s="45"/>
    </row>
    <row r="62" spans="50:53" x14ac:dyDescent="0.25">
      <c r="AX62" s="44"/>
      <c r="AY62" s="44"/>
      <c r="AZ62" s="44"/>
      <c r="BA62" s="45"/>
    </row>
    <row r="63" spans="50:53" x14ac:dyDescent="0.25">
      <c r="AX63" s="44"/>
      <c r="AY63" s="44"/>
      <c r="AZ63" s="44"/>
      <c r="BA63" s="45"/>
    </row>
    <row r="64" spans="50:53" x14ac:dyDescent="0.25">
      <c r="AX64" s="44"/>
      <c r="AY64" s="44"/>
      <c r="AZ64" s="44"/>
      <c r="BA64" s="45"/>
    </row>
    <row r="65" spans="50:53" x14ac:dyDescent="0.25">
      <c r="AX65" s="44"/>
      <c r="AY65" s="44"/>
      <c r="AZ65" s="44"/>
      <c r="BA65" s="45"/>
    </row>
    <row r="66" spans="50:53" x14ac:dyDescent="0.25">
      <c r="AX66" s="44"/>
      <c r="AY66" s="44"/>
      <c r="AZ66" s="44"/>
      <c r="BA66" s="45"/>
    </row>
    <row r="67" spans="50:53" x14ac:dyDescent="0.25">
      <c r="AX67" s="44"/>
      <c r="AY67" s="44"/>
      <c r="AZ67" s="44"/>
      <c r="BA67" s="45"/>
    </row>
    <row r="68" spans="50:53" x14ac:dyDescent="0.25">
      <c r="AX68" s="44"/>
      <c r="AY68" s="44"/>
      <c r="AZ68" s="44"/>
      <c r="BA68" s="45"/>
    </row>
    <row r="69" spans="50:53" x14ac:dyDescent="0.25">
      <c r="AX69" s="44"/>
      <c r="AY69" s="44"/>
      <c r="AZ69" s="44"/>
      <c r="BA69" s="45"/>
    </row>
    <row r="70" spans="50:53" x14ac:dyDescent="0.25">
      <c r="AX70" s="44"/>
      <c r="AY70" s="44"/>
      <c r="AZ70" s="44"/>
      <c r="BA70" s="45"/>
    </row>
    <row r="71" spans="50:53" x14ac:dyDescent="0.25">
      <c r="AX71" s="44"/>
      <c r="AY71" s="44"/>
      <c r="AZ71" s="44"/>
      <c r="BA71" s="45"/>
    </row>
    <row r="72" spans="50:53" x14ac:dyDescent="0.25">
      <c r="AX72" s="44"/>
      <c r="AY72" s="44"/>
      <c r="AZ72" s="44"/>
      <c r="BA72" s="45"/>
    </row>
    <row r="73" spans="50:53" x14ac:dyDescent="0.25">
      <c r="AX73" s="44"/>
      <c r="AY73" s="44"/>
      <c r="AZ73" s="44"/>
      <c r="BA73" s="45"/>
    </row>
    <row r="74" spans="50:53" x14ac:dyDescent="0.25">
      <c r="AX74" s="44"/>
      <c r="AY74" s="44"/>
      <c r="AZ74" s="44"/>
      <c r="BA74" s="45"/>
    </row>
    <row r="75" spans="50:53" x14ac:dyDescent="0.25">
      <c r="AX75" s="44"/>
      <c r="AY75" s="44"/>
      <c r="AZ75" s="44"/>
      <c r="BA75" s="45"/>
    </row>
    <row r="76" spans="50:53" x14ac:dyDescent="0.25">
      <c r="AX76" s="44"/>
      <c r="AY76" s="44"/>
      <c r="AZ76" s="44"/>
      <c r="BA76" s="45"/>
    </row>
    <row r="77" spans="50:53" x14ac:dyDescent="0.25">
      <c r="AX77" s="44"/>
      <c r="AY77" s="44"/>
      <c r="AZ77" s="44"/>
      <c r="BA77" s="45"/>
    </row>
    <row r="79" spans="50:53" x14ac:dyDescent="0.25">
      <c r="AX79" s="37"/>
      <c r="AY79" s="37"/>
      <c r="AZ79" s="37"/>
      <c r="BA79" s="37"/>
    </row>
  </sheetData>
  <mergeCells count="6">
    <mergeCell ref="T5:T6"/>
    <mergeCell ref="B4:N4"/>
    <mergeCell ref="D5:L5"/>
    <mergeCell ref="M5:O5"/>
    <mergeCell ref="P5:Q5"/>
    <mergeCell ref="R5:S5"/>
  </mergeCells>
  <dataValidations count="1">
    <dataValidation type="list" allowBlank="1" showInputMessage="1" showErrorMessage="1" sqref="U7:U37 AB7:AB37 AG7:AG37 AQ7:AQ37">
      <formula1>MODEVERSEMENTS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9"/>
  <sheetViews>
    <sheetView zoomScale="106" zoomScaleNormal="106" workbookViewId="0">
      <pane xSplit="5" ySplit="5" topLeftCell="F6" activePane="bottomRight" state="frozen"/>
      <selection pane="topRight" activeCell="E1" sqref="E1"/>
      <selection pane="bottomLeft" activeCell="A6" sqref="A6"/>
      <selection pane="bottomRight" activeCell="I6" sqref="I6"/>
    </sheetView>
  </sheetViews>
  <sheetFormatPr baseColWidth="10" defaultRowHeight="15.75" x14ac:dyDescent="0.25"/>
  <cols>
    <col min="1" max="1" width="13.85546875" bestFit="1" customWidth="1"/>
    <col min="2" max="2" width="35.140625" bestFit="1" customWidth="1"/>
    <col min="3" max="3" width="15.85546875" bestFit="1" customWidth="1"/>
    <col min="4" max="4" width="20" customWidth="1"/>
    <col min="5" max="5" width="17.5703125" bestFit="1" customWidth="1"/>
    <col min="6" max="8" width="17.5703125" customWidth="1"/>
    <col min="9" max="9" width="16.28515625" customWidth="1"/>
    <col min="10" max="10" width="14.140625" bestFit="1" customWidth="1"/>
    <col min="11" max="11" width="15" bestFit="1" customWidth="1"/>
    <col min="12" max="12" width="15" customWidth="1"/>
    <col min="13" max="13" width="11.28515625" customWidth="1"/>
    <col min="14" max="14" width="15" bestFit="1" customWidth="1"/>
    <col min="15" max="15" width="11.28515625" customWidth="1"/>
    <col min="16" max="16" width="15" bestFit="1" customWidth="1"/>
    <col min="17" max="18" width="16" customWidth="1"/>
    <col min="19" max="19" width="20.42578125" bestFit="1" customWidth="1"/>
    <col min="20" max="20" width="15.140625" style="35" bestFit="1" customWidth="1"/>
    <col min="21" max="21" width="16.140625" style="35" customWidth="1"/>
    <col min="22" max="22" width="20.42578125" style="35" customWidth="1"/>
    <col min="23" max="23" width="14.42578125" style="35" bestFit="1" customWidth="1"/>
    <col min="24" max="24" width="11.42578125" style="35"/>
    <col min="25" max="26" width="13.85546875" style="35" customWidth="1"/>
    <col min="27" max="27" width="16.28515625" style="35" customWidth="1"/>
    <col min="28" max="28" width="13.85546875" style="35" customWidth="1"/>
    <col min="29" max="29" width="18.28515625" style="35" bestFit="1" customWidth="1"/>
    <col min="30" max="30" width="22.5703125" style="35" customWidth="1"/>
    <col min="31" max="32" width="19" style="35" customWidth="1"/>
    <col min="33" max="34" width="16.140625" style="35" customWidth="1"/>
    <col min="35" max="35" width="11.42578125" style="35"/>
    <col min="36" max="41" width="16" style="35" customWidth="1"/>
    <col min="42" max="42" width="15.28515625" style="35" customWidth="1"/>
    <col min="43" max="45" width="11.42578125" style="35"/>
    <col min="46" max="46" width="12.42578125" style="35" bestFit="1" customWidth="1"/>
    <col min="47" max="49" width="11.42578125" style="35"/>
    <col min="50" max="52" width="15" style="35" customWidth="1"/>
    <col min="53" max="53" width="15" style="35" bestFit="1" customWidth="1"/>
    <col min="54" max="55" width="11.42578125" style="35"/>
  </cols>
  <sheetData>
    <row r="1" spans="1:55" x14ac:dyDescent="0.25">
      <c r="A1" s="1" t="s">
        <v>2</v>
      </c>
      <c r="B1" s="1" t="s">
        <v>3</v>
      </c>
      <c r="C1" s="1"/>
      <c r="D1" s="1"/>
    </row>
    <row r="2" spans="1:55" x14ac:dyDescent="0.25">
      <c r="A2" s="1" t="s">
        <v>4</v>
      </c>
      <c r="B2" s="1">
        <v>2022</v>
      </c>
      <c r="C2" s="1"/>
      <c r="D2" s="1"/>
    </row>
    <row r="3" spans="1:55" x14ac:dyDescent="0.25">
      <c r="A3" s="1">
        <v>1</v>
      </c>
      <c r="B3" s="2">
        <v>2</v>
      </c>
      <c r="C3" s="2"/>
      <c r="D3" s="1">
        <v>3</v>
      </c>
      <c r="E3" s="2">
        <v>4</v>
      </c>
      <c r="F3" s="1">
        <v>5</v>
      </c>
      <c r="G3" s="2">
        <v>6</v>
      </c>
      <c r="H3" s="1">
        <v>7</v>
      </c>
      <c r="I3" s="2">
        <v>8</v>
      </c>
      <c r="J3" s="1">
        <v>9</v>
      </c>
      <c r="K3" s="2">
        <v>10</v>
      </c>
      <c r="L3" s="1">
        <v>11</v>
      </c>
      <c r="M3" s="2">
        <v>12</v>
      </c>
      <c r="N3" s="1">
        <v>13</v>
      </c>
      <c r="O3" s="2">
        <v>14</v>
      </c>
      <c r="P3" s="1">
        <v>15</v>
      </c>
      <c r="Q3" s="2">
        <v>16</v>
      </c>
      <c r="R3" s="1">
        <v>17</v>
      </c>
      <c r="S3" s="2">
        <v>18</v>
      </c>
      <c r="T3" s="36"/>
      <c r="U3" s="37"/>
      <c r="V3" s="36"/>
      <c r="W3" s="37"/>
      <c r="X3" s="36"/>
      <c r="Y3" s="37"/>
      <c r="Z3" s="36"/>
      <c r="AA3" s="37"/>
      <c r="AB3" s="36"/>
      <c r="AC3" s="37"/>
      <c r="AD3" s="36"/>
      <c r="AE3" s="37"/>
      <c r="AF3" s="36"/>
      <c r="AG3" s="37"/>
      <c r="AH3" s="36"/>
      <c r="AI3" s="37"/>
      <c r="AJ3" s="36"/>
      <c r="AK3" s="37"/>
      <c r="AL3" s="36"/>
      <c r="AM3" s="37"/>
      <c r="AN3" s="36"/>
      <c r="AO3" s="37"/>
      <c r="AP3" s="36"/>
      <c r="AQ3" s="37"/>
      <c r="AR3" s="36"/>
      <c r="AS3" s="37"/>
      <c r="AT3" s="36"/>
      <c r="AU3" s="37"/>
      <c r="AV3" s="36"/>
      <c r="AW3" s="37"/>
      <c r="AX3" s="36"/>
      <c r="AY3" s="37"/>
      <c r="AZ3" s="36"/>
      <c r="BA3" s="37"/>
      <c r="BB3" s="36"/>
      <c r="BC3" s="37"/>
    </row>
    <row r="4" spans="1:55" ht="29.25" thickBot="1" x14ac:dyDescent="0.5">
      <c r="B4" s="90" t="s">
        <v>113</v>
      </c>
      <c r="C4" s="90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7"/>
      <c r="P4" s="7"/>
      <c r="Q4" s="7"/>
      <c r="R4" s="7"/>
      <c r="S4" s="7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J4" s="38"/>
      <c r="AK4" s="38"/>
      <c r="AL4" s="38"/>
      <c r="AM4" s="38"/>
      <c r="AN4" s="38"/>
      <c r="AO4" s="38"/>
      <c r="AP4" s="38"/>
      <c r="AX4" s="39"/>
      <c r="AY4" s="39"/>
      <c r="AZ4" s="39"/>
    </row>
    <row r="5" spans="1:55" ht="68.25" customHeight="1" thickTop="1" thickBot="1" x14ac:dyDescent="0.3">
      <c r="A5" s="49" t="s">
        <v>0</v>
      </c>
      <c r="B5" s="50" t="s">
        <v>1</v>
      </c>
      <c r="C5" s="50"/>
      <c r="D5" s="92" t="s">
        <v>114</v>
      </c>
      <c r="E5" s="93"/>
      <c r="F5" s="93"/>
      <c r="G5" s="93"/>
      <c r="H5" s="93"/>
      <c r="I5" s="93"/>
      <c r="J5" s="93"/>
      <c r="K5" s="93"/>
      <c r="L5" s="93"/>
      <c r="M5" s="92" t="s">
        <v>123</v>
      </c>
      <c r="N5" s="93"/>
      <c r="O5" s="93"/>
      <c r="P5" s="94" t="s">
        <v>126</v>
      </c>
      <c r="Q5" s="95"/>
      <c r="R5" s="94" t="s">
        <v>50</v>
      </c>
      <c r="S5" s="96"/>
      <c r="T5" s="88" t="s">
        <v>44</v>
      </c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</row>
    <row r="6" spans="1:55" ht="68.25" customHeight="1" thickTop="1" x14ac:dyDescent="0.25">
      <c r="A6" s="46"/>
      <c r="B6" s="47"/>
      <c r="C6" s="48" t="s">
        <v>131</v>
      </c>
      <c r="D6" s="48" t="s">
        <v>115</v>
      </c>
      <c r="E6" s="48" t="s">
        <v>116</v>
      </c>
      <c r="F6" s="48" t="s">
        <v>117</v>
      </c>
      <c r="G6" s="48" t="s">
        <v>132</v>
      </c>
      <c r="H6" s="48" t="s">
        <v>118</v>
      </c>
      <c r="I6" s="48" t="s">
        <v>119</v>
      </c>
      <c r="J6" s="48" t="s">
        <v>120</v>
      </c>
      <c r="K6" s="48" t="s">
        <v>121</v>
      </c>
      <c r="L6" s="48" t="s">
        <v>122</v>
      </c>
      <c r="M6" s="48" t="s">
        <v>124</v>
      </c>
      <c r="N6" s="48" t="s">
        <v>125</v>
      </c>
      <c r="O6" s="48" t="s">
        <v>130</v>
      </c>
      <c r="P6" s="48" t="s">
        <v>126</v>
      </c>
      <c r="Q6" s="48" t="s">
        <v>127</v>
      </c>
      <c r="R6" s="48" t="s">
        <v>128</v>
      </c>
      <c r="S6" s="52" t="s">
        <v>129</v>
      </c>
      <c r="T6" s="89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</row>
    <row r="7" spans="1:55" ht="18.75" x14ac:dyDescent="0.3">
      <c r="A7" s="21" t="s">
        <v>108</v>
      </c>
      <c r="B7" s="22" t="str">
        <f>VLOOKUP(A7,[5]LISTADHERENT!A$5:H$60,3,0)</f>
        <v>ASELBY</v>
      </c>
      <c r="C7" s="22"/>
      <c r="D7" s="23"/>
      <c r="E7" s="24"/>
      <c r="F7" s="24"/>
      <c r="G7" s="24"/>
      <c r="H7" s="23"/>
      <c r="I7" s="25"/>
      <c r="J7" s="26"/>
      <c r="K7" s="26"/>
      <c r="L7" s="26"/>
      <c r="M7" s="27"/>
      <c r="N7" s="26"/>
      <c r="O7" s="27"/>
      <c r="P7" s="26"/>
      <c r="Q7" s="28"/>
      <c r="R7" s="29"/>
      <c r="S7" s="51"/>
      <c r="T7" s="55">
        <f>SUM(D7:S7)</f>
        <v>0</v>
      </c>
      <c r="U7" s="41"/>
      <c r="V7" s="42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39"/>
      <c r="AS7" s="39"/>
      <c r="AT7" s="43"/>
      <c r="AW7" s="44"/>
      <c r="AX7" s="44"/>
      <c r="AY7" s="44"/>
      <c r="AZ7" s="44"/>
      <c r="BA7" s="45"/>
      <c r="BC7" s="44"/>
    </row>
    <row r="8" spans="1:55" ht="18.75" x14ac:dyDescent="0.3">
      <c r="A8" s="21" t="s">
        <v>12</v>
      </c>
      <c r="B8" s="22" t="str">
        <f>VLOOKUP(A8,[5]LISTADHERENT!A$5:H$60,3,0)</f>
        <v>BOUTCHOUANG WILLIAM</v>
      </c>
      <c r="C8" s="22"/>
      <c r="D8" s="23"/>
      <c r="E8" s="24"/>
      <c r="F8" s="24"/>
      <c r="G8" s="24"/>
      <c r="H8" s="23"/>
      <c r="I8" s="25"/>
      <c r="J8" s="26"/>
      <c r="K8" s="26"/>
      <c r="L8" s="26"/>
      <c r="M8" s="27"/>
      <c r="N8" s="26"/>
      <c r="O8" s="27"/>
      <c r="P8" s="26"/>
      <c r="Q8" s="28"/>
      <c r="R8" s="29"/>
      <c r="S8" s="51"/>
      <c r="T8" s="55">
        <f t="shared" ref="T8:T37" si="0">SUM(D8:S8)</f>
        <v>0</v>
      </c>
      <c r="U8" s="41"/>
      <c r="V8" s="42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39"/>
      <c r="AS8" s="39"/>
      <c r="AT8" s="43"/>
      <c r="AW8" s="44"/>
      <c r="AX8" s="44"/>
      <c r="AY8" s="44"/>
      <c r="AZ8" s="44"/>
      <c r="BA8" s="45"/>
      <c r="BC8" s="44"/>
    </row>
    <row r="9" spans="1:55" ht="18.75" x14ac:dyDescent="0.3">
      <c r="A9" s="21" t="s">
        <v>13</v>
      </c>
      <c r="B9" s="22" t="str">
        <f>VLOOKUP(A9,[5]LISTADHERENT!A$5:H$60,3,0)</f>
        <v xml:space="preserve">DJOMO JEAN PAUL </v>
      </c>
      <c r="C9" s="22"/>
      <c r="D9" s="23"/>
      <c r="E9" s="24"/>
      <c r="F9" s="24"/>
      <c r="G9" s="24"/>
      <c r="H9" s="23"/>
      <c r="I9" s="25"/>
      <c r="J9" s="26"/>
      <c r="K9" s="26"/>
      <c r="L9" s="26"/>
      <c r="M9" s="27"/>
      <c r="N9" s="26"/>
      <c r="O9" s="27"/>
      <c r="P9" s="26"/>
      <c r="Q9" s="28"/>
      <c r="R9" s="29"/>
      <c r="S9" s="51"/>
      <c r="T9" s="55">
        <f t="shared" si="0"/>
        <v>0</v>
      </c>
      <c r="U9" s="41"/>
      <c r="V9" s="42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J9" s="41"/>
      <c r="AK9" s="41"/>
      <c r="AL9" s="41"/>
      <c r="AM9" s="41"/>
      <c r="AN9" s="41"/>
      <c r="AO9" s="41"/>
      <c r="AP9" s="41"/>
      <c r="AQ9" s="41"/>
      <c r="AR9" s="39"/>
      <c r="AS9" s="39"/>
      <c r="AT9" s="43"/>
      <c r="AW9" s="44"/>
      <c r="AX9" s="44"/>
      <c r="AY9" s="44"/>
      <c r="AZ9" s="44"/>
      <c r="BA9" s="45"/>
      <c r="BC9" s="44"/>
    </row>
    <row r="10" spans="1:55" ht="18.75" x14ac:dyDescent="0.3">
      <c r="A10" s="21" t="s">
        <v>14</v>
      </c>
      <c r="B10" s="22" t="str">
        <f>VLOOKUP(A10,[5]LISTADHERENT!A$5:H$60,3,0)</f>
        <v>DJOMOU TCHANDA</v>
      </c>
      <c r="C10" s="22"/>
      <c r="D10" s="23"/>
      <c r="E10" s="24"/>
      <c r="F10" s="24"/>
      <c r="G10" s="24"/>
      <c r="H10" s="23"/>
      <c r="I10" s="25"/>
      <c r="J10" s="26"/>
      <c r="K10" s="26"/>
      <c r="L10" s="26"/>
      <c r="M10" s="27"/>
      <c r="N10" s="26"/>
      <c r="O10" s="27"/>
      <c r="P10" s="26"/>
      <c r="Q10" s="28"/>
      <c r="R10" s="29"/>
      <c r="S10" s="51"/>
      <c r="T10" s="55">
        <f t="shared" si="0"/>
        <v>0</v>
      </c>
      <c r="U10" s="41"/>
      <c r="V10" s="42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J10" s="41"/>
      <c r="AK10" s="41"/>
      <c r="AL10" s="41"/>
      <c r="AM10" s="41"/>
      <c r="AN10" s="41"/>
      <c r="AO10" s="41"/>
      <c r="AP10" s="41"/>
      <c r="AQ10" s="41"/>
      <c r="AR10" s="39"/>
      <c r="AS10" s="39"/>
      <c r="AT10" s="43"/>
      <c r="AW10" s="44"/>
      <c r="AX10" s="44"/>
      <c r="AY10" s="44"/>
      <c r="AZ10" s="44"/>
      <c r="BA10" s="45"/>
      <c r="BC10" s="44"/>
    </row>
    <row r="11" spans="1:55" ht="18.75" x14ac:dyDescent="0.3">
      <c r="A11" s="21" t="s">
        <v>15</v>
      </c>
      <c r="B11" s="22" t="str">
        <f>VLOOKUP(A11,[5]LISTADHERENT!A$5:H$60,3,0)</f>
        <v>DJOUKWE NANGUEN GUY BLAISE</v>
      </c>
      <c r="C11" s="22"/>
      <c r="D11" s="23"/>
      <c r="E11" s="24"/>
      <c r="F11" s="24"/>
      <c r="G11" s="24"/>
      <c r="H11" s="23"/>
      <c r="I11" s="25"/>
      <c r="J11" s="26"/>
      <c r="K11" s="26"/>
      <c r="L11" s="26"/>
      <c r="M11" s="27"/>
      <c r="N11" s="26"/>
      <c r="O11" s="27"/>
      <c r="P11" s="26"/>
      <c r="Q11" s="28"/>
      <c r="R11" s="29"/>
      <c r="S11" s="51"/>
      <c r="T11" s="55">
        <f t="shared" si="0"/>
        <v>0</v>
      </c>
      <c r="U11" s="41"/>
      <c r="V11" s="42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J11" s="41"/>
      <c r="AK11" s="41"/>
      <c r="AL11" s="41"/>
      <c r="AM11" s="41"/>
      <c r="AN11" s="41"/>
      <c r="AO11" s="41"/>
      <c r="AP11" s="41"/>
      <c r="AQ11" s="41"/>
      <c r="AR11" s="39"/>
      <c r="AS11" s="39"/>
      <c r="AT11" s="43"/>
      <c r="AW11" s="44"/>
      <c r="AX11" s="44"/>
      <c r="AY11" s="44"/>
      <c r="AZ11" s="44"/>
      <c r="BA11" s="45"/>
      <c r="BC11" s="44"/>
    </row>
    <row r="12" spans="1:55" ht="18.75" x14ac:dyDescent="0.3">
      <c r="A12" s="21" t="s">
        <v>16</v>
      </c>
      <c r="B12" s="22" t="str">
        <f>VLOOKUP(A12,[5]LISTADHERENT!A$5:H$60,3,0)</f>
        <v>DJUOMBESSY ANTOINE</v>
      </c>
      <c r="C12" s="22"/>
      <c r="D12" s="23"/>
      <c r="E12" s="24"/>
      <c r="F12" s="24"/>
      <c r="G12" s="24"/>
      <c r="H12" s="23"/>
      <c r="I12" s="25"/>
      <c r="J12" s="26"/>
      <c r="K12" s="26"/>
      <c r="L12" s="26"/>
      <c r="M12" s="27"/>
      <c r="N12" s="26"/>
      <c r="O12" s="27"/>
      <c r="P12" s="26"/>
      <c r="Q12" s="28"/>
      <c r="R12" s="29"/>
      <c r="S12" s="51"/>
      <c r="T12" s="55">
        <f t="shared" si="0"/>
        <v>0</v>
      </c>
      <c r="U12" s="41"/>
      <c r="V12" s="42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J12" s="41"/>
      <c r="AK12" s="41"/>
      <c r="AL12" s="41"/>
      <c r="AM12" s="41"/>
      <c r="AN12" s="41"/>
      <c r="AO12" s="41"/>
      <c r="AP12" s="41"/>
      <c r="AQ12" s="41"/>
      <c r="AR12" s="39"/>
      <c r="AS12" s="39"/>
      <c r="AT12" s="43"/>
      <c r="AW12" s="44"/>
      <c r="AX12" s="44"/>
      <c r="AY12" s="44"/>
      <c r="AZ12" s="44"/>
      <c r="BA12" s="45"/>
      <c r="BC12" s="44"/>
    </row>
    <row r="13" spans="1:55" ht="18.75" x14ac:dyDescent="0.3">
      <c r="A13" s="21" t="s">
        <v>17</v>
      </c>
      <c r="B13" s="22" t="str">
        <f>VLOOKUP(A13,[5]LISTADHERENT!A$5:H$60,3,0)</f>
        <v>DOMOU FABIEN</v>
      </c>
      <c r="C13" s="22"/>
      <c r="D13" s="23"/>
      <c r="E13" s="24"/>
      <c r="F13" s="24"/>
      <c r="G13" s="24"/>
      <c r="H13" s="23"/>
      <c r="I13" s="25"/>
      <c r="J13" s="26"/>
      <c r="K13" s="26"/>
      <c r="L13" s="26"/>
      <c r="M13" s="27"/>
      <c r="N13" s="26"/>
      <c r="O13" s="27"/>
      <c r="P13" s="26"/>
      <c r="Q13" s="28"/>
      <c r="R13" s="29"/>
      <c r="S13" s="51"/>
      <c r="T13" s="55">
        <f t="shared" si="0"/>
        <v>0</v>
      </c>
      <c r="U13" s="41"/>
      <c r="V13" s="42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J13" s="41"/>
      <c r="AK13" s="41"/>
      <c r="AL13" s="41"/>
      <c r="AM13" s="41"/>
      <c r="AN13" s="41"/>
      <c r="AO13" s="41"/>
      <c r="AP13" s="41"/>
      <c r="AQ13" s="41"/>
      <c r="AR13" s="39"/>
      <c r="AS13" s="39"/>
      <c r="AT13" s="43"/>
      <c r="AW13" s="44"/>
      <c r="AX13" s="44"/>
      <c r="AY13" s="44"/>
      <c r="AZ13" s="44"/>
      <c r="BA13" s="45"/>
      <c r="BC13" s="44"/>
    </row>
    <row r="14" spans="1:55" ht="18.75" x14ac:dyDescent="0.3">
      <c r="A14" s="21" t="s">
        <v>18</v>
      </c>
      <c r="B14" s="22" t="str">
        <f>VLOOKUP(A14,[5]LISTADHERENT!A$5:H$60,3,0)</f>
        <v>DONHOU DAVID</v>
      </c>
      <c r="C14" s="22"/>
      <c r="D14" s="23"/>
      <c r="E14" s="24"/>
      <c r="F14" s="24"/>
      <c r="G14" s="24"/>
      <c r="H14" s="23"/>
      <c r="I14" s="25"/>
      <c r="J14" s="26"/>
      <c r="K14" s="26"/>
      <c r="L14" s="26"/>
      <c r="M14" s="27"/>
      <c r="N14" s="26"/>
      <c r="O14" s="27"/>
      <c r="P14" s="26"/>
      <c r="Q14" s="28"/>
      <c r="R14" s="29"/>
      <c r="S14" s="51"/>
      <c r="T14" s="55">
        <f t="shared" si="0"/>
        <v>0</v>
      </c>
      <c r="U14" s="41"/>
      <c r="V14" s="42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J14" s="41"/>
      <c r="AK14" s="41"/>
      <c r="AL14" s="41"/>
      <c r="AM14" s="41"/>
      <c r="AN14" s="41"/>
      <c r="AO14" s="41"/>
      <c r="AP14" s="41"/>
      <c r="AQ14" s="41"/>
      <c r="AR14" s="39"/>
      <c r="AS14" s="39"/>
      <c r="AT14" s="43"/>
      <c r="AW14" s="44"/>
      <c r="AX14" s="44"/>
      <c r="AY14" s="44"/>
      <c r="AZ14" s="44"/>
      <c r="BA14" s="45"/>
      <c r="BC14" s="44"/>
    </row>
    <row r="15" spans="1:55" ht="18.75" x14ac:dyDescent="0.3">
      <c r="A15" s="21" t="s">
        <v>19</v>
      </c>
      <c r="B15" s="22" t="str">
        <f>VLOOKUP(A15,[5]LISTADHERENT!A$5:H$60,3,0)</f>
        <v>FOTSO THOMAS</v>
      </c>
      <c r="C15" s="22"/>
      <c r="D15" s="23"/>
      <c r="E15" s="24"/>
      <c r="F15" s="24"/>
      <c r="G15" s="24"/>
      <c r="H15" s="23"/>
      <c r="I15" s="25"/>
      <c r="J15" s="26"/>
      <c r="K15" s="26"/>
      <c r="L15" s="26"/>
      <c r="M15" s="27"/>
      <c r="N15" s="26"/>
      <c r="O15" s="27"/>
      <c r="P15" s="26"/>
      <c r="Q15" s="28"/>
      <c r="R15" s="29"/>
      <c r="S15" s="51"/>
      <c r="T15" s="55">
        <f t="shared" si="0"/>
        <v>0</v>
      </c>
      <c r="U15" s="41"/>
      <c r="V15" s="42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J15" s="41"/>
      <c r="AK15" s="41"/>
      <c r="AL15" s="41"/>
      <c r="AM15" s="41"/>
      <c r="AN15" s="41"/>
      <c r="AO15" s="41"/>
      <c r="AP15" s="41"/>
      <c r="AQ15" s="41"/>
      <c r="AR15" s="39"/>
      <c r="AS15" s="39"/>
      <c r="AT15" s="43"/>
      <c r="AW15" s="44"/>
      <c r="AX15" s="44"/>
      <c r="AY15" s="44"/>
      <c r="AZ15" s="44"/>
      <c r="BA15" s="45"/>
      <c r="BC15" s="44"/>
    </row>
    <row r="16" spans="1:55" ht="18.75" x14ac:dyDescent="0.3">
      <c r="A16" s="21" t="s">
        <v>20</v>
      </c>
      <c r="B16" s="22" t="str">
        <f>VLOOKUP(A16,[5]LISTADHERENT!A$5:H$60,3,0)</f>
        <v>HENGUE PAUL OMER</v>
      </c>
      <c r="C16" s="22"/>
      <c r="D16" s="23"/>
      <c r="E16" s="24"/>
      <c r="F16" s="24"/>
      <c r="G16" s="24"/>
      <c r="H16" s="23"/>
      <c r="I16" s="25"/>
      <c r="J16" s="26"/>
      <c r="K16" s="26"/>
      <c r="L16" s="26"/>
      <c r="M16" s="27"/>
      <c r="N16" s="26"/>
      <c r="O16" s="27"/>
      <c r="P16" s="26"/>
      <c r="Q16" s="28"/>
      <c r="R16" s="29"/>
      <c r="S16" s="51"/>
      <c r="T16" s="55">
        <f t="shared" si="0"/>
        <v>0</v>
      </c>
      <c r="U16" s="41"/>
      <c r="V16" s="42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J16" s="41"/>
      <c r="AK16" s="41"/>
      <c r="AL16" s="41"/>
      <c r="AM16" s="41"/>
      <c r="AN16" s="41"/>
      <c r="AO16" s="41"/>
      <c r="AP16" s="41"/>
      <c r="AQ16" s="41"/>
      <c r="AR16" s="39"/>
      <c r="AS16" s="39"/>
      <c r="AT16" s="43"/>
      <c r="AW16" s="44"/>
      <c r="AX16" s="44"/>
      <c r="AY16" s="44"/>
      <c r="AZ16" s="44"/>
      <c r="BA16" s="45"/>
      <c r="BC16" s="44"/>
    </row>
    <row r="17" spans="1:55" ht="18.75" x14ac:dyDescent="0.3">
      <c r="A17" s="21" t="s">
        <v>21</v>
      </c>
      <c r="B17" s="22" t="str">
        <f>VLOOKUP(A17,[5]LISTADHERENT!A$5:H$60,3,0)</f>
        <v>HOTCHO BENJAMIN</v>
      </c>
      <c r="C17" s="22"/>
      <c r="D17" s="23"/>
      <c r="E17" s="24"/>
      <c r="F17" s="24"/>
      <c r="G17" s="24"/>
      <c r="H17" s="23"/>
      <c r="I17" s="25"/>
      <c r="J17" s="26"/>
      <c r="K17" s="26"/>
      <c r="L17" s="26"/>
      <c r="M17" s="27"/>
      <c r="N17" s="26"/>
      <c r="O17" s="27"/>
      <c r="P17" s="26"/>
      <c r="Q17" s="28"/>
      <c r="R17" s="29"/>
      <c r="S17" s="51"/>
      <c r="T17" s="55">
        <f t="shared" si="0"/>
        <v>0</v>
      </c>
      <c r="U17" s="41"/>
      <c r="V17" s="42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J17" s="41"/>
      <c r="AK17" s="41"/>
      <c r="AL17" s="41"/>
      <c r="AM17" s="41"/>
      <c r="AN17" s="41"/>
      <c r="AO17" s="41"/>
      <c r="AP17" s="41"/>
      <c r="AQ17" s="41"/>
      <c r="AR17" s="39"/>
      <c r="AS17" s="39"/>
      <c r="AT17" s="43"/>
      <c r="AW17" s="44"/>
      <c r="AX17" s="44"/>
      <c r="AY17" s="44"/>
      <c r="AZ17" s="44"/>
      <c r="BA17" s="45"/>
      <c r="BC17" s="44"/>
    </row>
    <row r="18" spans="1:55" ht="18.75" x14ac:dyDescent="0.3">
      <c r="A18" s="21" t="s">
        <v>22</v>
      </c>
      <c r="B18" s="22" t="str">
        <f>VLOOKUP(A18,[5]LISTADHERENT!A$5:H$60,3,0)</f>
        <v>KOUAMOU MOISE</v>
      </c>
      <c r="C18" s="22"/>
      <c r="D18" s="23"/>
      <c r="E18" s="24"/>
      <c r="F18" s="24"/>
      <c r="G18" s="24"/>
      <c r="H18" s="23"/>
      <c r="I18" s="25"/>
      <c r="J18" s="26"/>
      <c r="K18" s="26"/>
      <c r="L18" s="26"/>
      <c r="M18" s="27"/>
      <c r="N18" s="26"/>
      <c r="O18" s="27"/>
      <c r="P18" s="26"/>
      <c r="Q18" s="28"/>
      <c r="R18" s="29"/>
      <c r="S18" s="51"/>
      <c r="T18" s="55">
        <f t="shared" si="0"/>
        <v>0</v>
      </c>
      <c r="U18" s="41"/>
      <c r="V18" s="42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J18" s="41"/>
      <c r="AK18" s="41"/>
      <c r="AL18" s="41"/>
      <c r="AM18" s="41"/>
      <c r="AN18" s="41"/>
      <c r="AO18" s="41"/>
      <c r="AP18" s="41"/>
      <c r="AQ18" s="41"/>
      <c r="AR18" s="39"/>
      <c r="AS18" s="39"/>
      <c r="AT18" s="43"/>
      <c r="AW18" s="44"/>
      <c r="AX18" s="44"/>
      <c r="AY18" s="44"/>
      <c r="AZ18" s="44"/>
      <c r="BA18" s="45"/>
      <c r="BC18" s="44"/>
    </row>
    <row r="19" spans="1:55" ht="18.75" x14ac:dyDescent="0.3">
      <c r="A19" s="21" t="s">
        <v>23</v>
      </c>
      <c r="B19" s="22" t="str">
        <f>VLOOKUP(A19,[5]LISTADHERENT!A$5:H$60,3,0)</f>
        <v>KOUATCHO MESSACK</v>
      </c>
      <c r="C19" s="22"/>
      <c r="D19" s="23"/>
      <c r="E19" s="24"/>
      <c r="F19" s="24"/>
      <c r="G19" s="24"/>
      <c r="H19" s="23"/>
      <c r="I19" s="25"/>
      <c r="J19" s="26"/>
      <c r="K19" s="26"/>
      <c r="L19" s="26"/>
      <c r="M19" s="27"/>
      <c r="N19" s="26"/>
      <c r="O19" s="27"/>
      <c r="P19" s="26"/>
      <c r="Q19" s="28"/>
      <c r="R19" s="29"/>
      <c r="S19" s="51"/>
      <c r="T19" s="55">
        <f t="shared" si="0"/>
        <v>0</v>
      </c>
      <c r="U19" s="41"/>
      <c r="V19" s="42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J19" s="41"/>
      <c r="AK19" s="41"/>
      <c r="AL19" s="41"/>
      <c r="AM19" s="41"/>
      <c r="AN19" s="41"/>
      <c r="AO19" s="41"/>
      <c r="AP19" s="41"/>
      <c r="AQ19" s="41"/>
      <c r="AR19" s="39"/>
      <c r="AS19" s="39"/>
      <c r="AT19" s="43"/>
      <c r="AW19" s="44"/>
      <c r="AX19" s="44"/>
      <c r="AY19" s="44"/>
      <c r="AZ19" s="44"/>
      <c r="BA19" s="45"/>
      <c r="BC19" s="44"/>
    </row>
    <row r="20" spans="1:55" ht="18.75" x14ac:dyDescent="0.3">
      <c r="A20" s="21" t="s">
        <v>24</v>
      </c>
      <c r="B20" s="22" t="str">
        <f>VLOOKUP(A20,[5]LISTADHERENT!A$5:H$60,3,0)</f>
        <v>LOWE JEAN</v>
      </c>
      <c r="C20" s="22"/>
      <c r="D20" s="23"/>
      <c r="E20" s="24"/>
      <c r="F20" s="24"/>
      <c r="G20" s="24"/>
      <c r="H20" s="23"/>
      <c r="I20" s="25"/>
      <c r="J20" s="26"/>
      <c r="K20" s="26"/>
      <c r="L20" s="26"/>
      <c r="M20" s="27"/>
      <c r="N20" s="26"/>
      <c r="O20" s="27"/>
      <c r="P20" s="26"/>
      <c r="Q20" s="28"/>
      <c r="R20" s="29"/>
      <c r="S20" s="51"/>
      <c r="T20" s="55">
        <f t="shared" si="0"/>
        <v>0</v>
      </c>
      <c r="U20" s="41"/>
      <c r="V20" s="42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J20" s="41"/>
      <c r="AK20" s="41"/>
      <c r="AL20" s="41"/>
      <c r="AM20" s="41"/>
      <c r="AN20" s="41"/>
      <c r="AO20" s="41"/>
      <c r="AP20" s="41"/>
      <c r="AQ20" s="41"/>
      <c r="AR20" s="39"/>
      <c r="AS20" s="39"/>
      <c r="AT20" s="43"/>
      <c r="AW20" s="44"/>
      <c r="AX20" s="44"/>
      <c r="AY20" s="44"/>
      <c r="AZ20" s="44"/>
      <c r="BA20" s="45"/>
      <c r="BC20" s="44"/>
    </row>
    <row r="21" spans="1:55" ht="18.75" x14ac:dyDescent="0.3">
      <c r="A21" s="21" t="s">
        <v>25</v>
      </c>
      <c r="B21" s="22" t="str">
        <f>VLOOKUP(A21,[5]LISTADHERENT!A$5:H$60,3,0)</f>
        <v>MBOGNING TUGMA GUY</v>
      </c>
      <c r="C21" s="22"/>
      <c r="D21" s="23"/>
      <c r="E21" s="24"/>
      <c r="F21" s="24"/>
      <c r="G21" s="24"/>
      <c r="H21" s="23"/>
      <c r="I21" s="25"/>
      <c r="J21" s="26"/>
      <c r="K21" s="26"/>
      <c r="L21" s="26"/>
      <c r="M21" s="27"/>
      <c r="N21" s="26"/>
      <c r="O21" s="27"/>
      <c r="P21" s="26"/>
      <c r="Q21" s="28"/>
      <c r="R21" s="29"/>
      <c r="S21" s="51"/>
      <c r="T21" s="55">
        <f t="shared" si="0"/>
        <v>0</v>
      </c>
      <c r="U21" s="41"/>
      <c r="V21" s="42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J21" s="41"/>
      <c r="AK21" s="41"/>
      <c r="AL21" s="41"/>
      <c r="AM21" s="41"/>
      <c r="AN21" s="41"/>
      <c r="AO21" s="41"/>
      <c r="AP21" s="41"/>
      <c r="AQ21" s="41"/>
      <c r="AR21" s="39"/>
      <c r="AS21" s="39"/>
      <c r="AT21" s="43"/>
      <c r="AW21" s="44"/>
      <c r="AX21" s="44"/>
      <c r="AY21" s="44"/>
      <c r="AZ21" s="44"/>
      <c r="BA21" s="45"/>
      <c r="BC21" s="44"/>
    </row>
    <row r="22" spans="1:55" ht="18.75" x14ac:dyDescent="0.3">
      <c r="A22" s="21" t="s">
        <v>26</v>
      </c>
      <c r="B22" s="22" t="str">
        <f>VLOOKUP(A22,[5]LISTADHERENT!A$5:H$60,3,0)</f>
        <v>NANGUEN MARTIN</v>
      </c>
      <c r="C22" s="22"/>
      <c r="D22" s="23"/>
      <c r="E22" s="24"/>
      <c r="F22" s="24"/>
      <c r="G22" s="24"/>
      <c r="H22" s="23"/>
      <c r="I22" s="25"/>
      <c r="J22" s="26"/>
      <c r="K22" s="26"/>
      <c r="L22" s="26"/>
      <c r="M22" s="27"/>
      <c r="N22" s="26"/>
      <c r="O22" s="27"/>
      <c r="P22" s="26"/>
      <c r="Q22" s="28"/>
      <c r="R22" s="29"/>
      <c r="S22" s="51"/>
      <c r="T22" s="55">
        <f t="shared" si="0"/>
        <v>0</v>
      </c>
      <c r="U22" s="41"/>
      <c r="V22" s="42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J22" s="41"/>
      <c r="AK22" s="41"/>
      <c r="AL22" s="41"/>
      <c r="AM22" s="41"/>
      <c r="AN22" s="41"/>
      <c r="AO22" s="41"/>
      <c r="AP22" s="41"/>
      <c r="AQ22" s="41"/>
      <c r="AR22" s="39"/>
      <c r="AS22" s="39"/>
      <c r="AT22" s="43"/>
      <c r="AW22" s="44"/>
      <c r="AX22" s="44"/>
      <c r="AY22" s="44"/>
      <c r="AZ22" s="44"/>
      <c r="BA22" s="45"/>
      <c r="BC22" s="44"/>
    </row>
    <row r="23" spans="1:55" ht="18.75" x14ac:dyDescent="0.3">
      <c r="A23" s="21" t="s">
        <v>27</v>
      </c>
      <c r="B23" s="22" t="str">
        <f>VLOOKUP(A23,[5]LISTADHERENT!A$5:H$60,3,0)</f>
        <v>NANKAM APPOLINAIRE</v>
      </c>
      <c r="C23" s="22"/>
      <c r="D23" s="23"/>
      <c r="E23" s="24"/>
      <c r="F23" s="24"/>
      <c r="G23" s="24"/>
      <c r="H23" s="23"/>
      <c r="I23" s="25"/>
      <c r="J23" s="26"/>
      <c r="K23" s="26"/>
      <c r="L23" s="26"/>
      <c r="M23" s="27"/>
      <c r="N23" s="26"/>
      <c r="O23" s="27"/>
      <c r="P23" s="26"/>
      <c r="Q23" s="28"/>
      <c r="R23" s="29"/>
      <c r="S23" s="51"/>
      <c r="T23" s="55">
        <f t="shared" si="0"/>
        <v>0</v>
      </c>
      <c r="U23" s="41"/>
      <c r="V23" s="42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J23" s="41"/>
      <c r="AK23" s="41"/>
      <c r="AL23" s="41"/>
      <c r="AM23" s="41"/>
      <c r="AN23" s="41"/>
      <c r="AO23" s="41"/>
      <c r="AP23" s="41"/>
      <c r="AQ23" s="41"/>
      <c r="AR23" s="39"/>
      <c r="AS23" s="39"/>
      <c r="AT23" s="43"/>
      <c r="AW23" s="44"/>
      <c r="AX23" s="44"/>
      <c r="AY23" s="44"/>
      <c r="AZ23" s="44"/>
      <c r="BA23" s="45"/>
      <c r="BC23" s="44"/>
    </row>
    <row r="24" spans="1:55" ht="18.75" x14ac:dyDescent="0.3">
      <c r="A24" s="21" t="s">
        <v>28</v>
      </c>
      <c r="B24" s="22" t="str">
        <f>VLOOKUP(A24,[5]LISTADHERENT!A$5:H$60,3,0)</f>
        <v>NDJOMO ETIENNE</v>
      </c>
      <c r="C24" s="22"/>
      <c r="D24" s="23"/>
      <c r="E24" s="24"/>
      <c r="F24" s="24"/>
      <c r="G24" s="24"/>
      <c r="H24" s="23"/>
      <c r="I24" s="25"/>
      <c r="J24" s="26"/>
      <c r="K24" s="26"/>
      <c r="L24" s="26"/>
      <c r="M24" s="27"/>
      <c r="N24" s="26"/>
      <c r="O24" s="27"/>
      <c r="P24" s="26"/>
      <c r="Q24" s="28"/>
      <c r="R24" s="29"/>
      <c r="S24" s="51"/>
      <c r="T24" s="55">
        <f t="shared" si="0"/>
        <v>0</v>
      </c>
      <c r="U24" s="41"/>
      <c r="V24" s="42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J24" s="41"/>
      <c r="AK24" s="41"/>
      <c r="AL24" s="41"/>
      <c r="AM24" s="41"/>
      <c r="AN24" s="41"/>
      <c r="AO24" s="41"/>
      <c r="AP24" s="41"/>
      <c r="AQ24" s="41"/>
      <c r="AR24" s="39"/>
      <c r="AS24" s="39"/>
      <c r="AT24" s="43"/>
      <c r="AW24" s="44"/>
      <c r="AX24" s="44"/>
      <c r="AY24" s="44"/>
      <c r="AZ24" s="44"/>
      <c r="BA24" s="45"/>
      <c r="BC24" s="44"/>
    </row>
    <row r="25" spans="1:55" ht="18.75" x14ac:dyDescent="0.3">
      <c r="A25" s="21" t="s">
        <v>29</v>
      </c>
      <c r="B25" s="22" t="str">
        <f>VLOOKUP(A25,[5]LISTADHERENT!A$5:H$60,3,0)</f>
        <v>NGONDIEP CLAUDE</v>
      </c>
      <c r="C25" s="22"/>
      <c r="D25" s="23"/>
      <c r="E25" s="24"/>
      <c r="F25" s="24"/>
      <c r="G25" s="24"/>
      <c r="H25" s="23"/>
      <c r="I25" s="25"/>
      <c r="J25" s="26"/>
      <c r="K25" s="26"/>
      <c r="L25" s="26"/>
      <c r="M25" s="27"/>
      <c r="N25" s="26"/>
      <c r="O25" s="27"/>
      <c r="P25" s="26"/>
      <c r="Q25" s="28"/>
      <c r="R25" s="29"/>
      <c r="S25" s="51"/>
      <c r="T25" s="55">
        <f t="shared" si="0"/>
        <v>0</v>
      </c>
      <c r="U25" s="41"/>
      <c r="V25" s="42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J25" s="41"/>
      <c r="AK25" s="41"/>
      <c r="AL25" s="41"/>
      <c r="AM25" s="41"/>
      <c r="AN25" s="41"/>
      <c r="AO25" s="41"/>
      <c r="AP25" s="41"/>
      <c r="AQ25" s="41"/>
      <c r="AR25" s="39"/>
      <c r="AS25" s="39"/>
      <c r="AT25" s="43"/>
      <c r="AW25" s="44"/>
      <c r="AX25" s="44"/>
      <c r="AY25" s="44"/>
      <c r="AZ25" s="44"/>
      <c r="BA25" s="45"/>
      <c r="BC25" s="44"/>
    </row>
    <row r="26" spans="1:55" ht="18.75" x14ac:dyDescent="0.3">
      <c r="A26" s="21" t="s">
        <v>30</v>
      </c>
      <c r="B26" s="22" t="str">
        <f>VLOOKUP(A26,[5]LISTADHERENT!A$5:H$60,3,0)</f>
        <v>NGUIEMEGNI MATHIEU BLAISE</v>
      </c>
      <c r="C26" s="22"/>
      <c r="D26" s="23"/>
      <c r="E26" s="24"/>
      <c r="F26" s="24"/>
      <c r="G26" s="24"/>
      <c r="H26" s="23"/>
      <c r="I26" s="25"/>
      <c r="J26" s="26"/>
      <c r="K26" s="26"/>
      <c r="L26" s="26"/>
      <c r="M26" s="27"/>
      <c r="N26" s="26"/>
      <c r="O26" s="27"/>
      <c r="P26" s="26"/>
      <c r="Q26" s="28"/>
      <c r="R26" s="29"/>
      <c r="S26" s="51"/>
      <c r="T26" s="55">
        <f t="shared" si="0"/>
        <v>0</v>
      </c>
      <c r="U26" s="41"/>
      <c r="V26" s="42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J26" s="41"/>
      <c r="AK26" s="41"/>
      <c r="AL26" s="41"/>
      <c r="AM26" s="41"/>
      <c r="AN26" s="41"/>
      <c r="AO26" s="41"/>
      <c r="AP26" s="41"/>
      <c r="AQ26" s="41"/>
      <c r="AR26" s="39"/>
      <c r="AS26" s="39"/>
      <c r="AT26" s="43"/>
      <c r="AW26" s="44"/>
      <c r="AX26" s="44"/>
      <c r="AY26" s="44"/>
      <c r="AZ26" s="44"/>
      <c r="BA26" s="45"/>
      <c r="BC26" s="44"/>
    </row>
    <row r="27" spans="1:55" ht="18.75" x14ac:dyDescent="0.3">
      <c r="A27" s="21" t="s">
        <v>31</v>
      </c>
      <c r="B27" s="22" t="str">
        <f>VLOOKUP(A27,[5]LISTADHERENT!A$5:H$60,3,0)</f>
        <v>NKAMGANG JUSTIN DEJOLIE</v>
      </c>
      <c r="C27" s="22"/>
      <c r="D27" s="23"/>
      <c r="E27" s="24"/>
      <c r="F27" s="24"/>
      <c r="G27" s="24"/>
      <c r="H27" s="23"/>
      <c r="I27" s="25"/>
      <c r="J27" s="26"/>
      <c r="K27" s="26"/>
      <c r="L27" s="26"/>
      <c r="M27" s="27"/>
      <c r="N27" s="26"/>
      <c r="O27" s="27"/>
      <c r="P27" s="26"/>
      <c r="Q27" s="28"/>
      <c r="R27" s="29"/>
      <c r="S27" s="51"/>
      <c r="T27" s="55">
        <f t="shared" si="0"/>
        <v>0</v>
      </c>
      <c r="U27" s="41"/>
      <c r="V27" s="42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J27" s="41"/>
      <c r="AK27" s="41"/>
      <c r="AL27" s="41"/>
      <c r="AM27" s="41"/>
      <c r="AN27" s="41"/>
      <c r="AO27" s="41"/>
      <c r="AP27" s="41"/>
      <c r="AQ27" s="41"/>
      <c r="AR27" s="39"/>
      <c r="AS27" s="39"/>
      <c r="AT27" s="43"/>
      <c r="AW27" s="44"/>
      <c r="AX27" s="44"/>
      <c r="AY27" s="44"/>
      <c r="AZ27" s="44"/>
      <c r="BA27" s="45"/>
      <c r="BC27" s="44"/>
    </row>
    <row r="28" spans="1:55" ht="18.75" x14ac:dyDescent="0.3">
      <c r="A28" s="21" t="s">
        <v>32</v>
      </c>
      <c r="B28" s="22" t="str">
        <f>VLOOKUP(A28,[5]LISTADHERENT!A$5:H$60,3,0)</f>
        <v>NKEHE DAVID</v>
      </c>
      <c r="C28" s="22"/>
      <c r="D28" s="23"/>
      <c r="E28" s="24"/>
      <c r="F28" s="24"/>
      <c r="G28" s="24"/>
      <c r="H28" s="23"/>
      <c r="I28" s="25"/>
      <c r="J28" s="26"/>
      <c r="K28" s="26"/>
      <c r="L28" s="26"/>
      <c r="M28" s="27"/>
      <c r="N28" s="26"/>
      <c r="O28" s="27"/>
      <c r="P28" s="26"/>
      <c r="Q28" s="28"/>
      <c r="R28" s="29"/>
      <c r="S28" s="51"/>
      <c r="T28" s="55">
        <f t="shared" si="0"/>
        <v>0</v>
      </c>
      <c r="U28" s="41"/>
      <c r="V28" s="42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J28" s="41"/>
      <c r="AK28" s="41"/>
      <c r="AL28" s="41"/>
      <c r="AM28" s="41"/>
      <c r="AN28" s="41"/>
      <c r="AO28" s="41"/>
      <c r="AP28" s="41"/>
      <c r="AQ28" s="41"/>
      <c r="AR28" s="39"/>
      <c r="AS28" s="39"/>
      <c r="AT28" s="43"/>
      <c r="AW28" s="44"/>
      <c r="AX28" s="44"/>
      <c r="AY28" s="44"/>
      <c r="AZ28" s="44"/>
      <c r="BA28" s="45"/>
      <c r="BC28" s="44"/>
    </row>
    <row r="29" spans="1:55" ht="18.75" x14ac:dyDescent="0.3">
      <c r="A29" s="21" t="s">
        <v>33</v>
      </c>
      <c r="B29" s="22" t="str">
        <f>VLOOKUP(A29,[5]LISTADHERENT!A$5:H$60,3,0)</f>
        <v>NKEPSEU DIEUDONNE</v>
      </c>
      <c r="C29" s="22"/>
      <c r="D29" s="23"/>
      <c r="E29" s="24"/>
      <c r="F29" s="24"/>
      <c r="G29" s="24"/>
      <c r="H29" s="23"/>
      <c r="I29" s="25"/>
      <c r="J29" s="26"/>
      <c r="K29" s="26"/>
      <c r="L29" s="26"/>
      <c r="M29" s="27"/>
      <c r="N29" s="26"/>
      <c r="O29" s="27"/>
      <c r="P29" s="26"/>
      <c r="Q29" s="28"/>
      <c r="R29" s="29"/>
      <c r="S29" s="51"/>
      <c r="T29" s="55">
        <f t="shared" si="0"/>
        <v>0</v>
      </c>
      <c r="U29" s="41"/>
      <c r="V29" s="42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J29" s="41"/>
      <c r="AK29" s="41"/>
      <c r="AL29" s="41"/>
      <c r="AM29" s="41"/>
      <c r="AN29" s="41"/>
      <c r="AO29" s="41"/>
      <c r="AP29" s="41"/>
      <c r="AQ29" s="41"/>
      <c r="AR29" s="39"/>
      <c r="AS29" s="39"/>
      <c r="AT29" s="43"/>
      <c r="AW29" s="44"/>
      <c r="AX29" s="44"/>
      <c r="AY29" s="44"/>
      <c r="AZ29" s="44"/>
      <c r="BA29" s="45"/>
      <c r="BC29" s="44"/>
    </row>
    <row r="30" spans="1:55" ht="18.75" x14ac:dyDescent="0.3">
      <c r="A30" s="21" t="s">
        <v>34</v>
      </c>
      <c r="B30" s="22" t="str">
        <f>VLOOKUP(A30,[5]LISTADHERENT!A$5:H$60,3,0)</f>
        <v>PATEGO NJOSSU GUSTAVE</v>
      </c>
      <c r="C30" s="22"/>
      <c r="D30" s="23"/>
      <c r="E30" s="24"/>
      <c r="F30" s="24"/>
      <c r="G30" s="24"/>
      <c r="H30" s="23"/>
      <c r="I30" s="25"/>
      <c r="J30" s="26"/>
      <c r="K30" s="26"/>
      <c r="L30" s="26"/>
      <c r="M30" s="27"/>
      <c r="N30" s="26"/>
      <c r="O30" s="27"/>
      <c r="P30" s="26"/>
      <c r="Q30" s="28"/>
      <c r="R30" s="29"/>
      <c r="S30" s="51"/>
      <c r="T30" s="55">
        <f t="shared" si="0"/>
        <v>0</v>
      </c>
      <c r="U30" s="41"/>
      <c r="V30" s="42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J30" s="41"/>
      <c r="AK30" s="41"/>
      <c r="AL30" s="41"/>
      <c r="AM30" s="41"/>
      <c r="AN30" s="41"/>
      <c r="AO30" s="41"/>
      <c r="AP30" s="41"/>
      <c r="AQ30" s="41"/>
      <c r="AR30" s="39"/>
      <c r="AS30" s="39"/>
      <c r="AT30" s="43"/>
      <c r="AW30" s="44"/>
      <c r="AX30" s="44"/>
      <c r="AY30" s="44"/>
      <c r="AZ30" s="44"/>
      <c r="BA30" s="45"/>
      <c r="BC30" s="44"/>
    </row>
    <row r="31" spans="1:55" ht="18.75" x14ac:dyDescent="0.3">
      <c r="A31" s="21" t="s">
        <v>35</v>
      </c>
      <c r="B31" s="22" t="str">
        <f>VLOOKUP(A31,[5]LISTADHERENT!A$5:H$60,3,0)</f>
        <v>SIME BRICE</v>
      </c>
      <c r="C31" s="22"/>
      <c r="D31" s="23"/>
      <c r="E31" s="24"/>
      <c r="F31" s="24"/>
      <c r="G31" s="24"/>
      <c r="H31" s="23"/>
      <c r="I31" s="25"/>
      <c r="J31" s="26"/>
      <c r="K31" s="26"/>
      <c r="L31" s="26"/>
      <c r="M31" s="27"/>
      <c r="N31" s="26"/>
      <c r="O31" s="27"/>
      <c r="P31" s="26"/>
      <c r="Q31" s="28"/>
      <c r="R31" s="29"/>
      <c r="S31" s="51"/>
      <c r="T31" s="55">
        <f t="shared" si="0"/>
        <v>0</v>
      </c>
      <c r="U31" s="41"/>
      <c r="V31" s="42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J31" s="41"/>
      <c r="AK31" s="41"/>
      <c r="AL31" s="41"/>
      <c r="AM31" s="41"/>
      <c r="AN31" s="41"/>
      <c r="AO31" s="41"/>
      <c r="AP31" s="41"/>
      <c r="AQ31" s="41"/>
      <c r="AR31" s="39"/>
      <c r="AS31" s="39"/>
      <c r="AT31" s="43"/>
      <c r="AW31" s="44"/>
      <c r="AX31" s="44"/>
      <c r="AY31" s="44"/>
      <c r="AZ31" s="44"/>
      <c r="BA31" s="45"/>
      <c r="BC31" s="44"/>
    </row>
    <row r="32" spans="1:55" ht="18.75" x14ac:dyDescent="0.3">
      <c r="A32" s="21" t="s">
        <v>36</v>
      </c>
      <c r="B32" s="22" t="str">
        <f>VLOOKUP(A32,[5]LISTADHERENT!A$5:H$60,3,0)</f>
        <v>SIMO FONGANG ERIC</v>
      </c>
      <c r="C32" s="22"/>
      <c r="D32" s="23"/>
      <c r="E32" s="24"/>
      <c r="F32" s="24"/>
      <c r="G32" s="24"/>
      <c r="H32" s="23"/>
      <c r="I32" s="25"/>
      <c r="J32" s="26"/>
      <c r="K32" s="26"/>
      <c r="L32" s="26"/>
      <c r="M32" s="27"/>
      <c r="N32" s="26"/>
      <c r="O32" s="27"/>
      <c r="P32" s="26"/>
      <c r="Q32" s="28"/>
      <c r="R32" s="29"/>
      <c r="S32" s="51"/>
      <c r="T32" s="55">
        <f t="shared" si="0"/>
        <v>0</v>
      </c>
      <c r="U32" s="41"/>
      <c r="V32" s="42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J32" s="41"/>
      <c r="AK32" s="41"/>
      <c r="AL32" s="41"/>
      <c r="AM32" s="41"/>
      <c r="AN32" s="41"/>
      <c r="AO32" s="41"/>
      <c r="AP32" s="41"/>
      <c r="AQ32" s="41"/>
      <c r="AR32" s="39"/>
      <c r="AS32" s="39"/>
      <c r="AT32" s="43"/>
      <c r="AW32" s="44"/>
      <c r="AX32" s="44"/>
      <c r="AY32" s="44"/>
      <c r="AZ32" s="44"/>
      <c r="BA32" s="45"/>
      <c r="BC32" s="44"/>
    </row>
    <row r="33" spans="1:55" ht="18.75" x14ac:dyDescent="0.3">
      <c r="A33" s="21" t="s">
        <v>37</v>
      </c>
      <c r="B33" s="22" t="str">
        <f>VLOOKUP(A33,[5]LISTADHERENT!A$5:H$60,3,0)</f>
        <v>SIMO PIERRE</v>
      </c>
      <c r="C33" s="22"/>
      <c r="D33" s="23"/>
      <c r="E33" s="24"/>
      <c r="F33" s="24"/>
      <c r="G33" s="24"/>
      <c r="H33" s="23"/>
      <c r="I33" s="25"/>
      <c r="J33" s="26"/>
      <c r="K33" s="26"/>
      <c r="L33" s="26"/>
      <c r="M33" s="27"/>
      <c r="N33" s="26"/>
      <c r="O33" s="27"/>
      <c r="P33" s="26"/>
      <c r="Q33" s="28"/>
      <c r="R33" s="29"/>
      <c r="S33" s="51"/>
      <c r="T33" s="55">
        <f t="shared" si="0"/>
        <v>0</v>
      </c>
      <c r="U33" s="41"/>
      <c r="V33" s="42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J33" s="41"/>
      <c r="AK33" s="41"/>
      <c r="AL33" s="41"/>
      <c r="AM33" s="41"/>
      <c r="AN33" s="41"/>
      <c r="AO33" s="41"/>
      <c r="AP33" s="41"/>
      <c r="AQ33" s="41"/>
      <c r="AR33" s="39"/>
      <c r="AS33" s="39"/>
      <c r="AT33" s="43"/>
      <c r="AW33" s="44"/>
      <c r="AX33" s="44"/>
      <c r="AY33" s="44"/>
      <c r="AZ33" s="44"/>
      <c r="BA33" s="45"/>
      <c r="BC33" s="44"/>
    </row>
    <row r="34" spans="1:55" ht="18.75" x14ac:dyDescent="0.3">
      <c r="A34" s="21" t="s">
        <v>38</v>
      </c>
      <c r="B34" s="22" t="str">
        <f>VLOOKUP(A34,[5]LISTADHERENT!A$5:H$60,3,0)</f>
        <v>TCHOUAMOU MATHIEU</v>
      </c>
      <c r="C34" s="22"/>
      <c r="D34" s="23"/>
      <c r="E34" s="24"/>
      <c r="F34" s="24"/>
      <c r="G34" s="24"/>
      <c r="H34" s="23"/>
      <c r="I34" s="25"/>
      <c r="J34" s="26"/>
      <c r="K34" s="26"/>
      <c r="L34" s="26"/>
      <c r="M34" s="27"/>
      <c r="N34" s="26"/>
      <c r="O34" s="27"/>
      <c r="P34" s="26"/>
      <c r="Q34" s="28"/>
      <c r="R34" s="29"/>
      <c r="S34" s="51"/>
      <c r="T34" s="55">
        <f t="shared" si="0"/>
        <v>0</v>
      </c>
      <c r="U34" s="41"/>
      <c r="V34" s="42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J34" s="41"/>
      <c r="AK34" s="41"/>
      <c r="AL34" s="41"/>
      <c r="AM34" s="41"/>
      <c r="AN34" s="41"/>
      <c r="AO34" s="41"/>
      <c r="AP34" s="41"/>
      <c r="AQ34" s="41"/>
      <c r="AR34" s="39"/>
      <c r="AS34" s="39"/>
      <c r="AT34" s="43"/>
      <c r="AW34" s="44"/>
      <c r="AX34" s="44"/>
      <c r="AY34" s="44"/>
      <c r="AZ34" s="44"/>
      <c r="BA34" s="45"/>
      <c r="BC34" s="44"/>
    </row>
    <row r="35" spans="1:55" ht="18.75" x14ac:dyDescent="0.3">
      <c r="A35" s="21" t="s">
        <v>39</v>
      </c>
      <c r="B35" s="22" t="str">
        <f>VLOOKUP(A35,[5]LISTADHERENT!A$5:H$60,3,0)</f>
        <v>TIEYAM ERNEST</v>
      </c>
      <c r="C35" s="22"/>
      <c r="D35" s="23"/>
      <c r="E35" s="24"/>
      <c r="F35" s="24"/>
      <c r="G35" s="24"/>
      <c r="H35" s="23"/>
      <c r="I35" s="25"/>
      <c r="J35" s="26"/>
      <c r="K35" s="26"/>
      <c r="L35" s="26"/>
      <c r="M35" s="27"/>
      <c r="N35" s="26"/>
      <c r="O35" s="27"/>
      <c r="P35" s="26"/>
      <c r="Q35" s="28"/>
      <c r="R35" s="29"/>
      <c r="S35" s="51"/>
      <c r="T35" s="55">
        <f t="shared" si="0"/>
        <v>0</v>
      </c>
      <c r="U35" s="41"/>
      <c r="V35" s="42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J35" s="41"/>
      <c r="AK35" s="41"/>
      <c r="AL35" s="41"/>
      <c r="AM35" s="41"/>
      <c r="AN35" s="41"/>
      <c r="AO35" s="41"/>
      <c r="AP35" s="41"/>
      <c r="AQ35" s="41"/>
      <c r="AR35" s="39"/>
      <c r="AS35" s="39"/>
      <c r="AT35" s="43"/>
      <c r="AW35" s="44"/>
      <c r="AX35" s="44"/>
      <c r="AY35" s="44"/>
      <c r="AZ35" s="44"/>
      <c r="BA35" s="45"/>
      <c r="BC35" s="44"/>
    </row>
    <row r="36" spans="1:55" ht="18.75" x14ac:dyDescent="0.3">
      <c r="A36" s="21" t="s">
        <v>40</v>
      </c>
      <c r="B36" s="22" t="str">
        <f>VLOOKUP(A36,[5]LISTADHERENT!A$5:H$60,3,0)</f>
        <v>YEPMOU JEAN JACQUES</v>
      </c>
      <c r="C36" s="22"/>
      <c r="D36" s="23"/>
      <c r="E36" s="24"/>
      <c r="F36" s="24"/>
      <c r="G36" s="24"/>
      <c r="H36" s="23"/>
      <c r="I36" s="25"/>
      <c r="J36" s="26"/>
      <c r="K36" s="26"/>
      <c r="L36" s="26"/>
      <c r="M36" s="27"/>
      <c r="N36" s="26"/>
      <c r="O36" s="27"/>
      <c r="P36" s="26"/>
      <c r="Q36" s="28"/>
      <c r="R36" s="29"/>
      <c r="S36" s="51"/>
      <c r="T36" s="55">
        <f t="shared" si="0"/>
        <v>0</v>
      </c>
      <c r="U36" s="41"/>
      <c r="V36" s="42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J36" s="41"/>
      <c r="AK36" s="41"/>
      <c r="AL36" s="41"/>
      <c r="AM36" s="41"/>
      <c r="AN36" s="41"/>
      <c r="AO36" s="41"/>
      <c r="AP36" s="41"/>
      <c r="AQ36" s="41"/>
      <c r="AR36" s="39"/>
      <c r="AS36" s="39"/>
      <c r="AT36" s="43"/>
      <c r="AW36" s="44"/>
      <c r="AX36" s="44"/>
      <c r="AY36" s="44"/>
      <c r="AZ36" s="44"/>
      <c r="BA36" s="45"/>
      <c r="BC36" s="44"/>
    </row>
    <row r="37" spans="1:55" ht="18.75" x14ac:dyDescent="0.3">
      <c r="A37" s="21" t="s">
        <v>41</v>
      </c>
      <c r="B37" s="22" t="str">
        <f>VLOOKUP(A37,[5]LISTADHERENT!A$5:H$60,3,0)</f>
        <v>YOUMBI EMMANUEL</v>
      </c>
      <c r="C37" s="22"/>
      <c r="D37" s="23"/>
      <c r="E37" s="24"/>
      <c r="F37" s="24"/>
      <c r="G37" s="24"/>
      <c r="H37" s="23"/>
      <c r="I37" s="25"/>
      <c r="J37" s="26"/>
      <c r="K37" s="26"/>
      <c r="L37" s="26"/>
      <c r="M37" s="27"/>
      <c r="N37" s="26"/>
      <c r="O37" s="27"/>
      <c r="P37" s="26"/>
      <c r="Q37" s="27"/>
      <c r="R37" s="29"/>
      <c r="S37" s="53"/>
      <c r="T37" s="55">
        <f t="shared" si="0"/>
        <v>0</v>
      </c>
      <c r="U37" s="41"/>
      <c r="V37" s="42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J37" s="41"/>
      <c r="AK37" s="41"/>
      <c r="AL37" s="41"/>
      <c r="AM37" s="41"/>
      <c r="AN37" s="41"/>
      <c r="AO37" s="41"/>
      <c r="AP37" s="41"/>
      <c r="AQ37" s="41"/>
      <c r="AR37" s="39"/>
      <c r="AS37" s="39"/>
      <c r="AT37" s="43"/>
      <c r="AW37" s="44"/>
      <c r="AX37" s="44"/>
      <c r="AY37" s="44"/>
      <c r="AZ37" s="44"/>
      <c r="BA37" s="45"/>
      <c r="BC37" s="44"/>
    </row>
    <row r="38" spans="1:55" ht="18" x14ac:dyDescent="0.25">
      <c r="A38" s="30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27"/>
      <c r="R38" s="27"/>
      <c r="S38" s="53"/>
      <c r="T38" s="55"/>
      <c r="AX38" s="44"/>
      <c r="AY38" s="44"/>
      <c r="AZ38" s="44"/>
      <c r="BA38" s="45"/>
    </row>
    <row r="39" spans="1:55" ht="18.75" thickBot="1" x14ac:dyDescent="0.3">
      <c r="A39" s="32"/>
      <c r="B39" s="33" t="s">
        <v>44</v>
      </c>
      <c r="C39" s="34">
        <f t="shared" ref="C39:H39" si="1">SUM(C8:C38)</f>
        <v>0</v>
      </c>
      <c r="D39" s="34">
        <f t="shared" si="1"/>
        <v>0</v>
      </c>
      <c r="E39" s="34">
        <f t="shared" si="1"/>
        <v>0</v>
      </c>
      <c r="F39" s="34">
        <f t="shared" si="1"/>
        <v>0</v>
      </c>
      <c r="G39" s="34">
        <f t="shared" si="1"/>
        <v>0</v>
      </c>
      <c r="H39" s="34">
        <f t="shared" si="1"/>
        <v>0</v>
      </c>
      <c r="I39" s="34"/>
      <c r="J39" s="34">
        <f t="shared" ref="J39:T39" si="2">SUM(J8:J38)</f>
        <v>0</v>
      </c>
      <c r="K39" s="34">
        <f t="shared" si="2"/>
        <v>0</v>
      </c>
      <c r="L39" s="34">
        <f t="shared" si="2"/>
        <v>0</v>
      </c>
      <c r="M39" s="34">
        <f t="shared" si="2"/>
        <v>0</v>
      </c>
      <c r="N39" s="34">
        <f t="shared" si="2"/>
        <v>0</v>
      </c>
      <c r="O39" s="34">
        <f t="shared" si="2"/>
        <v>0</v>
      </c>
      <c r="P39" s="34">
        <f t="shared" si="2"/>
        <v>0</v>
      </c>
      <c r="Q39" s="34">
        <f t="shared" si="2"/>
        <v>0</v>
      </c>
      <c r="R39" s="34">
        <f t="shared" si="2"/>
        <v>0</v>
      </c>
      <c r="S39" s="54">
        <f t="shared" si="2"/>
        <v>0</v>
      </c>
      <c r="T39" s="56">
        <f t="shared" si="2"/>
        <v>0</v>
      </c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</row>
    <row r="40" spans="1:55" ht="16.5" thickTop="1" x14ac:dyDescent="0.25">
      <c r="AX40" s="44"/>
      <c r="AY40" s="44"/>
      <c r="AZ40" s="44"/>
      <c r="BA40" s="45"/>
    </row>
    <row r="41" spans="1:55" x14ac:dyDescent="0.25">
      <c r="AX41" s="44"/>
      <c r="AY41" s="44"/>
      <c r="AZ41" s="44"/>
      <c r="BA41" s="45"/>
    </row>
    <row r="42" spans="1:55" x14ac:dyDescent="0.25">
      <c r="AX42" s="44"/>
      <c r="AY42" s="44"/>
      <c r="AZ42" s="44"/>
      <c r="BA42" s="45"/>
    </row>
    <row r="43" spans="1:55" x14ac:dyDescent="0.25">
      <c r="AX43" s="44"/>
      <c r="AY43" s="44"/>
      <c r="AZ43" s="44"/>
      <c r="BA43" s="45"/>
    </row>
    <row r="44" spans="1:55" x14ac:dyDescent="0.25">
      <c r="AX44" s="44"/>
      <c r="AY44" s="44"/>
      <c r="AZ44" s="44"/>
      <c r="BA44" s="45"/>
    </row>
    <row r="45" spans="1:55" x14ac:dyDescent="0.25">
      <c r="AX45" s="44"/>
      <c r="AY45" s="44"/>
      <c r="AZ45" s="44"/>
      <c r="BA45" s="45"/>
    </row>
    <row r="46" spans="1:55" x14ac:dyDescent="0.25">
      <c r="AX46" s="44"/>
      <c r="AY46" s="44"/>
      <c r="AZ46" s="44"/>
      <c r="BA46" s="45"/>
    </row>
    <row r="47" spans="1:55" x14ac:dyDescent="0.25">
      <c r="AX47" s="44"/>
      <c r="AY47" s="44"/>
      <c r="AZ47" s="44"/>
      <c r="BA47" s="45"/>
    </row>
    <row r="48" spans="1:55" x14ac:dyDescent="0.25">
      <c r="AX48" s="44"/>
      <c r="AY48" s="44"/>
      <c r="AZ48" s="44"/>
      <c r="BA48" s="45"/>
    </row>
    <row r="49" spans="50:53" x14ac:dyDescent="0.25">
      <c r="AX49" s="44"/>
      <c r="AY49" s="44"/>
      <c r="AZ49" s="44"/>
      <c r="BA49" s="45"/>
    </row>
    <row r="50" spans="50:53" x14ac:dyDescent="0.25">
      <c r="AX50" s="44"/>
      <c r="AY50" s="44"/>
      <c r="AZ50" s="44"/>
      <c r="BA50" s="45"/>
    </row>
    <row r="51" spans="50:53" x14ac:dyDescent="0.25">
      <c r="AX51" s="44"/>
      <c r="AY51" s="44"/>
      <c r="AZ51" s="44"/>
      <c r="BA51" s="45"/>
    </row>
    <row r="52" spans="50:53" x14ac:dyDescent="0.25">
      <c r="AX52" s="44"/>
      <c r="AY52" s="44"/>
      <c r="AZ52" s="44"/>
      <c r="BA52" s="45"/>
    </row>
    <row r="53" spans="50:53" x14ac:dyDescent="0.25">
      <c r="AX53" s="44"/>
      <c r="AY53" s="44"/>
      <c r="AZ53" s="44"/>
      <c r="BA53" s="45"/>
    </row>
    <row r="54" spans="50:53" x14ac:dyDescent="0.25">
      <c r="AX54" s="44"/>
      <c r="AY54" s="44"/>
      <c r="AZ54" s="44"/>
      <c r="BA54" s="45"/>
    </row>
    <row r="55" spans="50:53" x14ac:dyDescent="0.25">
      <c r="AX55" s="44"/>
      <c r="AY55" s="44"/>
      <c r="AZ55" s="44"/>
      <c r="BA55" s="45"/>
    </row>
    <row r="56" spans="50:53" x14ac:dyDescent="0.25">
      <c r="AX56" s="44"/>
      <c r="AY56" s="44"/>
      <c r="AZ56" s="44"/>
      <c r="BA56" s="45"/>
    </row>
    <row r="57" spans="50:53" x14ac:dyDescent="0.25">
      <c r="AX57" s="44"/>
      <c r="AY57" s="44"/>
      <c r="AZ57" s="44"/>
      <c r="BA57" s="45"/>
    </row>
    <row r="58" spans="50:53" x14ac:dyDescent="0.25">
      <c r="AX58" s="44"/>
      <c r="AY58" s="44"/>
      <c r="AZ58" s="44"/>
      <c r="BA58" s="45"/>
    </row>
    <row r="59" spans="50:53" x14ac:dyDescent="0.25">
      <c r="AX59" s="44"/>
      <c r="AY59" s="44"/>
      <c r="AZ59" s="44"/>
      <c r="BA59" s="45"/>
    </row>
    <row r="60" spans="50:53" x14ac:dyDescent="0.25">
      <c r="AX60" s="44"/>
      <c r="AY60" s="44"/>
      <c r="AZ60" s="44"/>
      <c r="BA60" s="45"/>
    </row>
    <row r="61" spans="50:53" x14ac:dyDescent="0.25">
      <c r="AX61" s="44"/>
      <c r="AY61" s="44"/>
      <c r="AZ61" s="44"/>
      <c r="BA61" s="45"/>
    </row>
    <row r="62" spans="50:53" x14ac:dyDescent="0.25">
      <c r="AX62" s="44"/>
      <c r="AY62" s="44"/>
      <c r="AZ62" s="44"/>
      <c r="BA62" s="45"/>
    </row>
    <row r="63" spans="50:53" x14ac:dyDescent="0.25">
      <c r="AX63" s="44"/>
      <c r="AY63" s="44"/>
      <c r="AZ63" s="44"/>
      <c r="BA63" s="45"/>
    </row>
    <row r="64" spans="50:53" x14ac:dyDescent="0.25">
      <c r="AX64" s="44"/>
      <c r="AY64" s="44"/>
      <c r="AZ64" s="44"/>
      <c r="BA64" s="45"/>
    </row>
    <row r="65" spans="50:53" x14ac:dyDescent="0.25">
      <c r="AX65" s="44"/>
      <c r="AY65" s="44"/>
      <c r="AZ65" s="44"/>
      <c r="BA65" s="45"/>
    </row>
    <row r="66" spans="50:53" x14ac:dyDescent="0.25">
      <c r="AX66" s="44"/>
      <c r="AY66" s="44"/>
      <c r="AZ66" s="44"/>
      <c r="BA66" s="45"/>
    </row>
    <row r="67" spans="50:53" x14ac:dyDescent="0.25">
      <c r="AX67" s="44"/>
      <c r="AY67" s="44"/>
      <c r="AZ67" s="44"/>
      <c r="BA67" s="45"/>
    </row>
    <row r="68" spans="50:53" x14ac:dyDescent="0.25">
      <c r="AX68" s="44"/>
      <c r="AY68" s="44"/>
      <c r="AZ68" s="44"/>
      <c r="BA68" s="45"/>
    </row>
    <row r="69" spans="50:53" x14ac:dyDescent="0.25">
      <c r="AX69" s="44"/>
      <c r="AY69" s="44"/>
      <c r="AZ69" s="44"/>
      <c r="BA69" s="45"/>
    </row>
    <row r="70" spans="50:53" x14ac:dyDescent="0.25">
      <c r="AX70" s="44"/>
      <c r="AY70" s="44"/>
      <c r="AZ70" s="44"/>
      <c r="BA70" s="45"/>
    </row>
    <row r="71" spans="50:53" x14ac:dyDescent="0.25">
      <c r="AX71" s="44"/>
      <c r="AY71" s="44"/>
      <c r="AZ71" s="44"/>
      <c r="BA71" s="45"/>
    </row>
    <row r="72" spans="50:53" x14ac:dyDescent="0.25">
      <c r="AX72" s="44"/>
      <c r="AY72" s="44"/>
      <c r="AZ72" s="44"/>
      <c r="BA72" s="45"/>
    </row>
    <row r="73" spans="50:53" x14ac:dyDescent="0.25">
      <c r="AX73" s="44"/>
      <c r="AY73" s="44"/>
      <c r="AZ73" s="44"/>
      <c r="BA73" s="45"/>
    </row>
    <row r="74" spans="50:53" x14ac:dyDescent="0.25">
      <c r="AX74" s="44"/>
      <c r="AY74" s="44"/>
      <c r="AZ74" s="44"/>
      <c r="BA74" s="45"/>
    </row>
    <row r="75" spans="50:53" x14ac:dyDescent="0.25">
      <c r="AX75" s="44"/>
      <c r="AY75" s="44"/>
      <c r="AZ75" s="44"/>
      <c r="BA75" s="45"/>
    </row>
    <row r="76" spans="50:53" x14ac:dyDescent="0.25">
      <c r="AX76" s="44"/>
      <c r="AY76" s="44"/>
      <c r="AZ76" s="44"/>
      <c r="BA76" s="45"/>
    </row>
    <row r="77" spans="50:53" x14ac:dyDescent="0.25">
      <c r="AX77" s="44"/>
      <c r="AY77" s="44"/>
      <c r="AZ77" s="44"/>
      <c r="BA77" s="45"/>
    </row>
    <row r="79" spans="50:53" x14ac:dyDescent="0.25">
      <c r="AX79" s="37"/>
      <c r="AY79" s="37"/>
      <c r="AZ79" s="37"/>
      <c r="BA79" s="37"/>
    </row>
  </sheetData>
  <mergeCells count="6">
    <mergeCell ref="T5:T6"/>
    <mergeCell ref="B4:N4"/>
    <mergeCell ref="D5:L5"/>
    <mergeCell ref="M5:O5"/>
    <mergeCell ref="P5:Q5"/>
    <mergeCell ref="R5:S5"/>
  </mergeCells>
  <dataValidations count="1">
    <dataValidation type="list" allowBlank="1" showInputMessage="1" showErrorMessage="1" sqref="U7:U37 AB7:AB37 AG7:AG37 AQ7:AQ37">
      <formula1>MODEVERSEMENTS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selection activeCell="C6" sqref="C6"/>
    </sheetView>
  </sheetViews>
  <sheetFormatPr baseColWidth="10" defaultRowHeight="15" x14ac:dyDescent="0.25"/>
  <cols>
    <col min="1" max="1" width="19.140625" bestFit="1" customWidth="1"/>
    <col min="2" max="2" width="19.140625" customWidth="1"/>
    <col min="3" max="3" width="16.5703125" bestFit="1" customWidth="1"/>
    <col min="4" max="4" width="15" bestFit="1" customWidth="1"/>
    <col min="5" max="5" width="16.85546875" bestFit="1" customWidth="1"/>
    <col min="7" max="7" width="15" bestFit="1" customWidth="1"/>
    <col min="9" max="9" width="17.5703125" customWidth="1"/>
  </cols>
  <sheetData>
    <row r="1" spans="1:10" ht="26.25" x14ac:dyDescent="0.4">
      <c r="C1" s="97" t="s">
        <v>88</v>
      </c>
      <c r="D1" s="91"/>
      <c r="E1" s="91"/>
      <c r="H1" s="97" t="s">
        <v>107</v>
      </c>
      <c r="I1" s="91"/>
      <c r="J1" s="91"/>
    </row>
    <row r="2" spans="1:10" ht="15.75" x14ac:dyDescent="0.25">
      <c r="A2" s="18" t="s">
        <v>4</v>
      </c>
      <c r="B2" s="18"/>
      <c r="C2" s="98">
        <v>2022</v>
      </c>
      <c r="D2" s="91"/>
      <c r="E2" s="91"/>
      <c r="H2" s="98">
        <v>2022</v>
      </c>
      <c r="I2" s="91"/>
      <c r="J2" s="91"/>
    </row>
    <row r="3" spans="1:10" ht="15.75" x14ac:dyDescent="0.25">
      <c r="A3" s="18"/>
      <c r="B3" s="18"/>
      <c r="C3" s="18"/>
      <c r="D3" s="18"/>
      <c r="E3" s="18"/>
    </row>
    <row r="4" spans="1:10" ht="15.75" x14ac:dyDescent="0.25">
      <c r="A4" s="18" t="s">
        <v>89</v>
      </c>
      <c r="B4" s="18" t="s">
        <v>90</v>
      </c>
      <c r="C4" s="18" t="s">
        <v>91</v>
      </c>
      <c r="D4" s="18" t="s">
        <v>75</v>
      </c>
      <c r="E4" s="18" t="s">
        <v>77</v>
      </c>
      <c r="G4" s="18" t="s">
        <v>106</v>
      </c>
      <c r="H4" s="18" t="s">
        <v>75</v>
      </c>
      <c r="I4" s="18" t="s">
        <v>76</v>
      </c>
      <c r="J4" s="18" t="s">
        <v>77</v>
      </c>
    </row>
    <row r="5" spans="1:10" ht="18" x14ac:dyDescent="0.25">
      <c r="A5" s="18" t="s">
        <v>92</v>
      </c>
      <c r="E5" s="19">
        <f>14283661-6017000</f>
        <v>8266661</v>
      </c>
    </row>
    <row r="6" spans="1:10" ht="18" x14ac:dyDescent="0.25">
      <c r="A6" s="18" t="s">
        <v>93</v>
      </c>
      <c r="C6" s="14" t="e">
        <f>#REF!+HISTOMVTDEPENSE!T39</f>
        <v>#REF!</v>
      </c>
      <c r="D6" s="9" t="e">
        <f>#REF!</f>
        <v>#REF!</v>
      </c>
      <c r="E6" s="19" t="e">
        <f>IF(D6=0,0,E5+D6-C6)</f>
        <v>#REF!</v>
      </c>
    </row>
    <row r="7" spans="1:10" ht="18" x14ac:dyDescent="0.25">
      <c r="A7" s="18" t="s">
        <v>94</v>
      </c>
      <c r="C7" s="14" t="e">
        <f>#REF!</f>
        <v>#REF!</v>
      </c>
      <c r="D7" s="9" t="e">
        <f>#REF!</f>
        <v>#REF!</v>
      </c>
      <c r="E7" s="19" t="e">
        <f>IF(D7=0,0,E6+D7-C7)</f>
        <v>#REF!</v>
      </c>
      <c r="G7" s="19"/>
    </row>
    <row r="8" spans="1:10" ht="18" x14ac:dyDescent="0.25">
      <c r="A8" s="18" t="s">
        <v>95</v>
      </c>
      <c r="C8" s="14" t="e">
        <f>#REF!</f>
        <v>#REF!</v>
      </c>
      <c r="D8" s="9" t="e">
        <f>#REF!</f>
        <v>#REF!</v>
      </c>
      <c r="E8" s="19" t="e">
        <f t="shared" ref="E8:E17" si="0">IF(D8=0,0,E7+D8-C8)</f>
        <v>#REF!</v>
      </c>
    </row>
    <row r="9" spans="1:10" ht="18" x14ac:dyDescent="0.25">
      <c r="A9" s="18" t="s">
        <v>96</v>
      </c>
      <c r="C9" s="14" t="e">
        <f>#REF!</f>
        <v>#REF!</v>
      </c>
      <c r="D9" s="9" t="e">
        <f>#REF!</f>
        <v>#REF!</v>
      </c>
      <c r="E9" s="19" t="e">
        <f t="shared" si="0"/>
        <v>#REF!</v>
      </c>
    </row>
    <row r="10" spans="1:10" ht="18" x14ac:dyDescent="0.25">
      <c r="A10" s="18" t="s">
        <v>97</v>
      </c>
      <c r="C10" s="14" t="e">
        <f>#REF!</f>
        <v>#REF!</v>
      </c>
      <c r="D10" s="9" t="e">
        <f>#REF!</f>
        <v>#REF!</v>
      </c>
      <c r="E10" s="19" t="e">
        <f t="shared" si="0"/>
        <v>#REF!</v>
      </c>
    </row>
    <row r="11" spans="1:10" ht="18" x14ac:dyDescent="0.25">
      <c r="A11" s="18" t="s">
        <v>98</v>
      </c>
      <c r="C11" s="14" t="e">
        <f>#REF!</f>
        <v>#REF!</v>
      </c>
      <c r="D11" s="9" t="e">
        <f>#REF!</f>
        <v>#REF!</v>
      </c>
      <c r="E11" s="19" t="e">
        <f t="shared" si="0"/>
        <v>#REF!</v>
      </c>
    </row>
    <row r="12" spans="1:10" ht="18" x14ac:dyDescent="0.25">
      <c r="A12" s="18" t="s">
        <v>99</v>
      </c>
      <c r="C12" s="14" t="e">
        <f>#REF!</f>
        <v>#REF!</v>
      </c>
      <c r="D12" s="9" t="e">
        <f>#REF!</f>
        <v>#REF!</v>
      </c>
      <c r="E12" s="19" t="e">
        <f t="shared" si="0"/>
        <v>#REF!</v>
      </c>
    </row>
    <row r="13" spans="1:10" ht="18" x14ac:dyDescent="0.25">
      <c r="A13" s="18" t="s">
        <v>100</v>
      </c>
      <c r="C13" s="14" t="e">
        <f>#REF!</f>
        <v>#REF!</v>
      </c>
      <c r="D13" s="9" t="e">
        <f>#REF!</f>
        <v>#REF!</v>
      </c>
      <c r="E13" s="19" t="e">
        <f t="shared" si="0"/>
        <v>#REF!</v>
      </c>
    </row>
    <row r="14" spans="1:10" ht="18" x14ac:dyDescent="0.25">
      <c r="A14" s="18" t="s">
        <v>101</v>
      </c>
      <c r="C14" s="14" t="e">
        <f>#REF!</f>
        <v>#REF!</v>
      </c>
      <c r="D14" s="9" t="e">
        <f>#REF!</f>
        <v>#REF!</v>
      </c>
      <c r="E14" s="19" t="e">
        <f t="shared" si="0"/>
        <v>#REF!</v>
      </c>
    </row>
    <row r="15" spans="1:10" ht="18" x14ac:dyDescent="0.25">
      <c r="A15" s="18" t="s">
        <v>102</v>
      </c>
      <c r="C15" s="14" t="e">
        <f>#REF!</f>
        <v>#REF!</v>
      </c>
      <c r="D15" s="9" t="e">
        <f>#REF!</f>
        <v>#REF!</v>
      </c>
      <c r="E15" s="19" t="e">
        <f t="shared" si="0"/>
        <v>#REF!</v>
      </c>
    </row>
    <row r="16" spans="1:10" ht="18" x14ac:dyDescent="0.25">
      <c r="A16" s="18" t="s">
        <v>103</v>
      </c>
      <c r="C16" s="14" t="e">
        <f>#REF!</f>
        <v>#REF!</v>
      </c>
      <c r="D16" s="9" t="e">
        <f>#REF!</f>
        <v>#REF!</v>
      </c>
      <c r="E16" s="19" t="e">
        <f t="shared" si="0"/>
        <v>#REF!</v>
      </c>
    </row>
    <row r="17" spans="1:5" ht="18" x14ac:dyDescent="0.25">
      <c r="A17" s="18" t="s">
        <v>104</v>
      </c>
      <c r="C17" s="14" t="e">
        <f>#REF!</f>
        <v>#REF!</v>
      </c>
      <c r="D17" s="9" t="e">
        <f>#REF!</f>
        <v>#REF!</v>
      </c>
      <c r="E17" s="19" t="e">
        <f t="shared" si="0"/>
        <v>#REF!</v>
      </c>
    </row>
    <row r="19" spans="1:5" x14ac:dyDescent="0.25">
      <c r="A19" t="s">
        <v>105</v>
      </c>
    </row>
  </sheetData>
  <mergeCells count="4">
    <mergeCell ref="C1:E1"/>
    <mergeCell ref="C2:E2"/>
    <mergeCell ref="H1:J1"/>
    <mergeCell ref="H2:J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selection activeCell="C6" sqref="C6"/>
    </sheetView>
  </sheetViews>
  <sheetFormatPr baseColWidth="10" defaultRowHeight="15" x14ac:dyDescent="0.25"/>
  <cols>
    <col min="1" max="1" width="19.140625" bestFit="1" customWidth="1"/>
    <col min="2" max="2" width="19.140625" customWidth="1"/>
    <col min="3" max="3" width="16.5703125" bestFit="1" customWidth="1"/>
    <col min="4" max="4" width="15" bestFit="1" customWidth="1"/>
    <col min="5" max="5" width="16.85546875" bestFit="1" customWidth="1"/>
    <col min="7" max="7" width="15" bestFit="1" customWidth="1"/>
    <col min="9" max="9" width="17.5703125" customWidth="1"/>
  </cols>
  <sheetData>
    <row r="1" spans="1:10" ht="26.25" x14ac:dyDescent="0.4">
      <c r="C1" s="97" t="s">
        <v>88</v>
      </c>
      <c r="D1" s="91"/>
      <c r="E1" s="91"/>
      <c r="H1" s="97" t="s">
        <v>107</v>
      </c>
      <c r="I1" s="91"/>
      <c r="J1" s="91"/>
    </row>
    <row r="2" spans="1:10" ht="15.75" x14ac:dyDescent="0.25">
      <c r="A2" s="18" t="s">
        <v>4</v>
      </c>
      <c r="B2" s="18"/>
      <c r="C2" s="98">
        <v>2022</v>
      </c>
      <c r="D2" s="91"/>
      <c r="E2" s="91"/>
      <c r="H2" s="98">
        <v>2022</v>
      </c>
      <c r="I2" s="91"/>
      <c r="J2" s="91"/>
    </row>
    <row r="3" spans="1:10" ht="15.75" x14ac:dyDescent="0.25">
      <c r="A3" s="18"/>
      <c r="B3" s="18"/>
      <c r="C3" s="18"/>
      <c r="D3" s="18"/>
      <c r="E3" s="18"/>
    </row>
    <row r="4" spans="1:10" ht="15.75" x14ac:dyDescent="0.25">
      <c r="A4" s="18" t="s">
        <v>89</v>
      </c>
      <c r="B4" s="18" t="s">
        <v>90</v>
      </c>
      <c r="C4" s="18" t="s">
        <v>91</v>
      </c>
      <c r="D4" s="18" t="s">
        <v>75</v>
      </c>
      <c r="E4" s="18" t="s">
        <v>77</v>
      </c>
      <c r="G4" s="18" t="s">
        <v>106</v>
      </c>
      <c r="H4" s="18" t="s">
        <v>75</v>
      </c>
      <c r="I4" s="18" t="s">
        <v>76</v>
      </c>
      <c r="J4" s="18" t="s">
        <v>77</v>
      </c>
    </row>
    <row r="5" spans="1:10" ht="18" x14ac:dyDescent="0.25">
      <c r="A5" s="18" t="s">
        <v>92</v>
      </c>
      <c r="E5" s="19">
        <f>14283661-6017000</f>
        <v>8266661</v>
      </c>
    </row>
    <row r="6" spans="1:10" ht="18" x14ac:dyDescent="0.25">
      <c r="A6" s="18" t="s">
        <v>93</v>
      </c>
      <c r="C6" s="14" t="e">
        <f>#REF!+HISTOMVTDEPENSE!T39</f>
        <v>#REF!</v>
      </c>
      <c r="D6" s="9" t="e">
        <f>#REF!</f>
        <v>#REF!</v>
      </c>
      <c r="E6" s="19" t="e">
        <f>IF(D6=0,0,E5+D6-C6)</f>
        <v>#REF!</v>
      </c>
    </row>
    <row r="7" spans="1:10" ht="18" x14ac:dyDescent="0.25">
      <c r="A7" s="18" t="s">
        <v>94</v>
      </c>
      <c r="C7" s="14" t="e">
        <f>#REF!</f>
        <v>#REF!</v>
      </c>
      <c r="D7" s="9" t="e">
        <f>#REF!</f>
        <v>#REF!</v>
      </c>
      <c r="E7" s="19" t="e">
        <f>IF(D7=0,0,E6+D7-C7)</f>
        <v>#REF!</v>
      </c>
      <c r="G7" s="19"/>
    </row>
    <row r="8" spans="1:10" ht="18" x14ac:dyDescent="0.25">
      <c r="A8" s="18" t="s">
        <v>95</v>
      </c>
      <c r="C8" s="14" t="e">
        <f>#REF!</f>
        <v>#REF!</v>
      </c>
      <c r="D8" s="9" t="e">
        <f>#REF!</f>
        <v>#REF!</v>
      </c>
      <c r="E8" s="19" t="e">
        <f t="shared" ref="E8:E17" si="0">IF(D8=0,0,E7+D8-C8)</f>
        <v>#REF!</v>
      </c>
    </row>
    <row r="9" spans="1:10" ht="18" x14ac:dyDescent="0.25">
      <c r="A9" s="18" t="s">
        <v>96</v>
      </c>
      <c r="C9" s="14" t="e">
        <f>#REF!</f>
        <v>#REF!</v>
      </c>
      <c r="D9" s="9" t="e">
        <f>#REF!</f>
        <v>#REF!</v>
      </c>
      <c r="E9" s="19" t="e">
        <f t="shared" si="0"/>
        <v>#REF!</v>
      </c>
    </row>
    <row r="10" spans="1:10" ht="18" x14ac:dyDescent="0.25">
      <c r="A10" s="18" t="s">
        <v>97</v>
      </c>
      <c r="C10" s="14" t="e">
        <f>#REF!</f>
        <v>#REF!</v>
      </c>
      <c r="D10" s="9" t="e">
        <f>#REF!</f>
        <v>#REF!</v>
      </c>
      <c r="E10" s="19" t="e">
        <f t="shared" si="0"/>
        <v>#REF!</v>
      </c>
    </row>
    <row r="11" spans="1:10" ht="18" x14ac:dyDescent="0.25">
      <c r="A11" s="18" t="s">
        <v>98</v>
      </c>
      <c r="C11" s="14" t="e">
        <f>#REF!</f>
        <v>#REF!</v>
      </c>
      <c r="D11" s="9" t="e">
        <f>#REF!</f>
        <v>#REF!</v>
      </c>
      <c r="E11" s="19" t="e">
        <f t="shared" si="0"/>
        <v>#REF!</v>
      </c>
    </row>
    <row r="12" spans="1:10" ht="18" x14ac:dyDescent="0.25">
      <c r="A12" s="18" t="s">
        <v>99</v>
      </c>
      <c r="C12" s="14" t="e">
        <f>#REF!</f>
        <v>#REF!</v>
      </c>
      <c r="D12" s="9" t="e">
        <f>#REF!</f>
        <v>#REF!</v>
      </c>
      <c r="E12" s="19" t="e">
        <f t="shared" si="0"/>
        <v>#REF!</v>
      </c>
    </row>
    <row r="13" spans="1:10" ht="18" x14ac:dyDescent="0.25">
      <c r="A13" s="18" t="s">
        <v>100</v>
      </c>
      <c r="C13" s="14" t="e">
        <f>#REF!</f>
        <v>#REF!</v>
      </c>
      <c r="D13" s="9" t="e">
        <f>#REF!</f>
        <v>#REF!</v>
      </c>
      <c r="E13" s="19" t="e">
        <f t="shared" si="0"/>
        <v>#REF!</v>
      </c>
    </row>
    <row r="14" spans="1:10" ht="18" x14ac:dyDescent="0.25">
      <c r="A14" s="18" t="s">
        <v>101</v>
      </c>
      <c r="C14" s="14" t="e">
        <f>#REF!</f>
        <v>#REF!</v>
      </c>
      <c r="D14" s="9" t="e">
        <f>#REF!</f>
        <v>#REF!</v>
      </c>
      <c r="E14" s="19" t="e">
        <f t="shared" si="0"/>
        <v>#REF!</v>
      </c>
    </row>
    <row r="15" spans="1:10" ht="18" x14ac:dyDescent="0.25">
      <c r="A15" s="18" t="s">
        <v>102</v>
      </c>
      <c r="C15" s="14" t="e">
        <f>#REF!</f>
        <v>#REF!</v>
      </c>
      <c r="D15" s="9" t="e">
        <f>#REF!</f>
        <v>#REF!</v>
      </c>
      <c r="E15" s="19" t="e">
        <f t="shared" si="0"/>
        <v>#REF!</v>
      </c>
    </row>
    <row r="16" spans="1:10" ht="18" x14ac:dyDescent="0.25">
      <c r="A16" s="18" t="s">
        <v>103</v>
      </c>
      <c r="C16" s="14" t="e">
        <f>#REF!</f>
        <v>#REF!</v>
      </c>
      <c r="D16" s="9" t="e">
        <f>#REF!</f>
        <v>#REF!</v>
      </c>
      <c r="E16" s="19" t="e">
        <f t="shared" si="0"/>
        <v>#REF!</v>
      </c>
    </row>
    <row r="17" spans="1:5" ht="18" x14ac:dyDescent="0.25">
      <c r="A17" s="18" t="s">
        <v>104</v>
      </c>
      <c r="C17" s="14" t="e">
        <f>#REF!</f>
        <v>#REF!</v>
      </c>
      <c r="D17" s="9" t="e">
        <f>#REF!</f>
        <v>#REF!</v>
      </c>
      <c r="E17" s="19" t="e">
        <f t="shared" si="0"/>
        <v>#REF!</v>
      </c>
    </row>
    <row r="19" spans="1:5" x14ac:dyDescent="0.25">
      <c r="A19" t="s">
        <v>105</v>
      </c>
    </row>
  </sheetData>
  <mergeCells count="4">
    <mergeCell ref="C1:E1"/>
    <mergeCell ref="C2:E2"/>
    <mergeCell ref="H1:J1"/>
    <mergeCell ref="H2:J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D6" sqref="D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 t="shared" ref="C6:C38" si="0">D6+E6+F6-U6-BB6</f>
        <v>0</v>
      </c>
      <c r="D6" s="9">
        <f>VLOOKUP(A6,[12]HISTOBQUEJANV24!$A$6:$G$46,3,0)</f>
        <v>175000</v>
      </c>
      <c r="E6" s="9">
        <f>VLOOKUP(A6,[12]HISTOBQUEJANV24!$A$6:$G$41,4,0)</f>
        <v>0</v>
      </c>
      <c r="F6" s="9">
        <f>VLOOKUP(A6,[12]HISTOBQUEJANV24!$A$6:$G$41,5,0)</f>
        <v>0</v>
      </c>
      <c r="G6" s="5">
        <f>IF(H6="ESPECES",3000,0)</f>
        <v>0</v>
      </c>
      <c r="H6" s="10" t="str">
        <f t="shared" ref="H6:H38" si="1">IF($D6&lt;&gt;0,"BANQUE",IF($E6&lt;&gt;0,"ESPECES","ECHEC"))</f>
        <v>BANQUE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2">IF($D6&lt;&gt;0,L6*75000,IF($E6&lt;&gt;0,L6*75000,0))</f>
        <v>75000</v>
      </c>
      <c r="N6" s="6">
        <v>1</v>
      </c>
      <c r="O6" s="11">
        <f t="shared" ref="O6:O38" si="3">IF($D6&lt;&gt;0,N6*100000,IF($E6&lt;&gt;0,N6*100000,0))</f>
        <v>100000</v>
      </c>
      <c r="P6" s="20"/>
      <c r="Q6" s="2"/>
      <c r="R6" s="20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4">IF(H6="ECHEC",((K6+M6+O6)*20/100),0)</f>
        <v>0</v>
      </c>
      <c r="AR6" s="8">
        <f t="shared" ref="AR6:AR38" si="5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627000</v>
      </c>
      <c r="BA6" s="58">
        <v>27000</v>
      </c>
      <c r="BB6" s="58"/>
      <c r="BC6" s="15"/>
      <c r="BD6" s="57">
        <f>IF(AZ6=0,(AZ6-BA6-BC6),(AZ6-BA6-BB6-BC6))</f>
        <v>600000</v>
      </c>
      <c r="BE6" s="82"/>
      <c r="BF6" s="29">
        <f t="shared" ref="BF6:BF38" si="6">Z6*1/100*BG6</f>
        <v>0</v>
      </c>
      <c r="BG6" s="29">
        <v>11</v>
      </c>
      <c r="BH6" s="15">
        <f>BP16</f>
        <v>27000</v>
      </c>
      <c r="BI6" s="15">
        <f>BP28</f>
        <v>500000</v>
      </c>
      <c r="BJ6" s="15">
        <f>BP33</f>
        <v>0</v>
      </c>
      <c r="BK6" s="15">
        <f>+BP40</f>
        <v>100000</v>
      </c>
      <c r="BL6" s="15"/>
      <c r="BM6" s="15">
        <f>BP22</f>
        <v>0</v>
      </c>
      <c r="BN6" t="s">
        <v>115</v>
      </c>
      <c r="BO6" t="s">
        <v>114</v>
      </c>
      <c r="BP6" s="6">
        <v>8500</v>
      </c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9">
        <f t="shared" si="0"/>
        <v>6000</v>
      </c>
      <c r="D7" s="9">
        <f>VLOOKUP(A7,[12]HISTOBQUEJANV24!$A$6:$G$46,3,0)</f>
        <v>56000</v>
      </c>
      <c r="E7" s="9">
        <f>VLOOKUP(A7,[12]HISTOBQUEJANV24!$A$6:$G$41,4,0)</f>
        <v>0</v>
      </c>
      <c r="F7" s="9">
        <f>VLOOKUP(A7,[12]HISTOBQUEJANV24!$A$6:$G$41,5,0)</f>
        <v>0</v>
      </c>
      <c r="G7" s="5">
        <f t="shared" ref="G7:G38" si="7">IF(H7="ESPECES",3000,0)</f>
        <v>0</v>
      </c>
      <c r="H7" s="10" t="str">
        <f t="shared" si="1"/>
        <v>BANQUE</v>
      </c>
      <c r="I7" s="10"/>
      <c r="J7" s="11">
        <v>1</v>
      </c>
      <c r="K7" s="11">
        <f t="shared" ref="K7:K38" si="8">IF($D7&lt;&gt;0,J7*50000,IF($E7&lt;&gt;0,J7*50000,0))</f>
        <v>50000</v>
      </c>
      <c r="L7" s="6"/>
      <c r="M7" s="11">
        <f t="shared" si="2"/>
        <v>0</v>
      </c>
      <c r="N7" s="6"/>
      <c r="O7" s="11">
        <f t="shared" si="3"/>
        <v>0</v>
      </c>
      <c r="P7" s="20"/>
      <c r="Q7" s="2"/>
      <c r="R7" s="20"/>
      <c r="S7" s="20"/>
      <c r="T7" s="12"/>
      <c r="U7" s="17">
        <f>G7+S7++R7+P7+O7+M7+I7+K7+Q7+V7+W7</f>
        <v>50000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8" si="9">IF(H7="ECHEC",0,(K7+I7-25000))</f>
        <v>25000</v>
      </c>
      <c r="AT7" s="15"/>
      <c r="AV7" s="15"/>
      <c r="AW7" s="15">
        <f t="shared" ref="AW7:AW38" si="10">IF(AC7=0,AI7,(1*25000*12)+AI7-AC7)</f>
        <v>0</v>
      </c>
      <c r="AX7" s="15">
        <f t="shared" ref="AX7:AX38" si="11">IF(AD7=0,AJ7,(1*75000*12)+(AJ7)-AD7)</f>
        <v>0</v>
      </c>
      <c r="AY7" s="15">
        <f t="shared" ref="AY7:AY38" si="12">IF(AE7=0,AK7,(1*100000*12)+(AK7)-AE7)</f>
        <v>0</v>
      </c>
      <c r="AZ7" s="16">
        <f>SUM(AV7:AY7)-BF7+Z7-F7+BH7+BI7+BJ7+BK7+BL7+BM7+6000</f>
        <v>0</v>
      </c>
      <c r="BA7" s="58"/>
      <c r="BB7" s="58"/>
      <c r="BC7" s="15"/>
      <c r="BD7" s="57">
        <f>IF(AZ7=0,(AZ7-BA7-BC7),(AZ7-BA7-BB7-BC7))+F7</f>
        <v>0</v>
      </c>
      <c r="BE7" s="82"/>
      <c r="BF7" s="29">
        <f>Z7*1/100*BG7+6000</f>
        <v>6000</v>
      </c>
      <c r="BG7" s="29">
        <v>11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5">
        <f t="shared" si="0"/>
        <v>0</v>
      </c>
      <c r="D8" s="9">
        <f>VLOOKUP(A8,[12]HISTOBQUEJANV24!$A$6:$G$46,3,0)</f>
        <v>125000</v>
      </c>
      <c r="E8" s="9">
        <f>VLOOKUP(A8,[12]HISTOBQUEJANV24!$A$6:$G$41,4,0)</f>
        <v>0</v>
      </c>
      <c r="F8" s="9">
        <f>VLOOKUP(A8,[12]HISTOBQUEJANV24!$A$6:$G$41,5,0)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0"/>
      <c r="Q8" s="2">
        <f>VLOOKUP(A8,[13]TONTJANV23!$A$7:$P$20,10,0)</f>
        <v>0</v>
      </c>
      <c r="R8" s="2"/>
      <c r="S8" s="20"/>
      <c r="T8" s="12"/>
      <c r="U8" s="17">
        <f t="shared" ref="U8:U38" si="13">G8+S8++R8+P8+O8+M8+I8+K8+Q8+V8+W8</f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9"/>
        <v>25000</v>
      </c>
      <c r="AT8" s="15"/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ref="AZ8:AZ38" si="14">SUM(AV8:AY8)-BF8+Z8-F8+BH8+BI8+BJ8+BK8+BL8+BM8</f>
        <v>0</v>
      </c>
      <c r="BA8" s="58"/>
      <c r="BB8" s="58"/>
      <c r="BC8" s="15"/>
      <c r="BD8" s="57">
        <f t="shared" ref="BD8:BD38" si="15">IF(AZ8=0,(AZ8-BA8-BC8),(AZ8-BA8-BB8-BC8))+F8</f>
        <v>0</v>
      </c>
      <c r="BE8" s="82"/>
      <c r="BF8" s="29">
        <f t="shared" si="6"/>
        <v>0</v>
      </c>
      <c r="BG8" s="29">
        <v>11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0"/>
        <v>0</v>
      </c>
      <c r="D9" s="9">
        <f>VLOOKUP(A9,[12]HISTOBQUEJANV24!$A$6:$G$46,3,0)</f>
        <v>250000</v>
      </c>
      <c r="E9" s="9">
        <f>VLOOKUP(A9,[12]HISTOBQUEJANV24!$A$6:$G$41,4,0)</f>
        <v>0</v>
      </c>
      <c r="F9" s="9">
        <f>VLOOKUP(A9,[12]HISTOBQUEJANV24!$A$6:$G$41,5,0)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8"/>
        <v>50000</v>
      </c>
      <c r="L9" s="6"/>
      <c r="M9" s="11">
        <f t="shared" si="2"/>
        <v>0</v>
      </c>
      <c r="N9" s="6">
        <v>2</v>
      </c>
      <c r="O9" s="11">
        <f t="shared" si="3"/>
        <v>200000</v>
      </c>
      <c r="P9" s="20"/>
      <c r="Q9" s="2"/>
      <c r="R9" s="20"/>
      <c r="S9" s="20"/>
      <c r="T9" s="12"/>
      <c r="U9" s="17">
        <f t="shared" si="13"/>
        <v>250000</v>
      </c>
      <c r="V9" s="12"/>
      <c r="W9" s="12"/>
      <c r="X9" s="12"/>
      <c r="Y9" s="12"/>
      <c r="Z9" s="12"/>
      <c r="AA9" s="12"/>
      <c r="AB9" s="12"/>
      <c r="AC9" s="12"/>
      <c r="AD9" s="12"/>
      <c r="AE9" s="12">
        <v>115000</v>
      </c>
      <c r="AF9" s="12" t="s">
        <v>8</v>
      </c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9"/>
        <v>25000</v>
      </c>
      <c r="AT9" s="15"/>
      <c r="AV9" s="15"/>
      <c r="AW9" s="15">
        <f t="shared" si="10"/>
        <v>0</v>
      </c>
      <c r="AX9" s="15">
        <f t="shared" si="11"/>
        <v>0</v>
      </c>
      <c r="AY9" s="15">
        <f t="shared" si="12"/>
        <v>1085000</v>
      </c>
      <c r="AZ9" s="16">
        <f t="shared" si="14"/>
        <v>1085000</v>
      </c>
      <c r="BA9" s="58">
        <v>500000</v>
      </c>
      <c r="BB9" s="58"/>
      <c r="BC9" s="15"/>
      <c r="BD9" s="57">
        <f t="shared" si="15"/>
        <v>585000</v>
      </c>
      <c r="BE9" s="82"/>
      <c r="BF9" s="29">
        <f t="shared" si="6"/>
        <v>0</v>
      </c>
      <c r="BG9" s="29">
        <v>11</v>
      </c>
      <c r="BH9" s="15"/>
      <c r="BI9" s="15"/>
      <c r="BJ9" s="15"/>
      <c r="BK9" s="15"/>
      <c r="BL9" s="61"/>
      <c r="BN9" t="s">
        <v>196</v>
      </c>
      <c r="BO9" t="s">
        <v>114</v>
      </c>
      <c r="BP9" s="6">
        <v>18500</v>
      </c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0"/>
        <v>0</v>
      </c>
      <c r="D10" s="9">
        <f>VLOOKUP(A10,[12]HISTOBQUEJANV24!$A$6:$G$46,3,0)</f>
        <v>125000</v>
      </c>
      <c r="E10" s="9">
        <f>VLOOKUP(A10,[12]HISTOBQUEJANV24!$A$6:$G$41,4,0)</f>
        <v>0</v>
      </c>
      <c r="F10" s="9">
        <f>VLOOKUP(A10,[12]HISTOBQUEJANV24!$A$6:$G$41,5,0)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8"/>
        <v>50000</v>
      </c>
      <c r="L10" s="6">
        <v>1</v>
      </c>
      <c r="M10" s="11">
        <f t="shared" si="2"/>
        <v>75000</v>
      </c>
      <c r="N10" s="6"/>
      <c r="O10" s="11">
        <f t="shared" si="3"/>
        <v>0</v>
      </c>
      <c r="P10" s="20"/>
      <c r="Q10" s="2"/>
      <c r="R10" s="20"/>
      <c r="S10" s="20"/>
      <c r="T10" s="12"/>
      <c r="U10" s="17">
        <f t="shared" si="13"/>
        <v>125000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>
        <f>50000+50000</f>
        <v>100000</v>
      </c>
      <c r="AK10" s="12"/>
      <c r="AL10" s="12"/>
      <c r="AM10" s="12">
        <v>2000</v>
      </c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9"/>
        <v>25000</v>
      </c>
      <c r="AT10" s="15"/>
      <c r="AV10" s="15"/>
      <c r="AW10" s="15">
        <f t="shared" si="10"/>
        <v>0</v>
      </c>
      <c r="AX10" s="15">
        <f t="shared" si="11"/>
        <v>100000</v>
      </c>
      <c r="AY10" s="15">
        <f t="shared" si="12"/>
        <v>0</v>
      </c>
      <c r="AZ10" s="16">
        <f t="shared" si="14"/>
        <v>100000</v>
      </c>
      <c r="BA10" s="58"/>
      <c r="BB10" s="58"/>
      <c r="BC10" s="15"/>
      <c r="BD10" s="57">
        <f t="shared" si="15"/>
        <v>100000</v>
      </c>
      <c r="BE10" s="82"/>
      <c r="BF10" s="29">
        <f t="shared" si="6"/>
        <v>0</v>
      </c>
      <c r="BG10" s="29">
        <v>11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0"/>
        <v>0</v>
      </c>
      <c r="D11" s="9">
        <f>VLOOKUP(A11,[12]HISTOBQUEJANV24!$A$6:$G$46,3,0)</f>
        <v>125000</v>
      </c>
      <c r="E11" s="9">
        <f>VLOOKUP(A11,[12]HISTOBQUEJANV24!$A$6:$G$41,4,0)</f>
        <v>0</v>
      </c>
      <c r="F11" s="9">
        <f>VLOOKUP(A11,[12]HISTOBQUEJANV24!$A$6:$G$41,5,0)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8"/>
        <v>50000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0"/>
      <c r="Q11" s="2">
        <f>VLOOKUP(A11,[13]TONTJANV23!$A$7:$P$20,10,0)</f>
        <v>0</v>
      </c>
      <c r="R11" s="20"/>
      <c r="S11" s="20"/>
      <c r="T11" s="12"/>
      <c r="U11" s="17">
        <f t="shared" si="13"/>
        <v>125000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f>50000+50000</f>
        <v>100000</v>
      </c>
      <c r="AK11" s="12"/>
      <c r="AL11" s="12"/>
      <c r="AM11" s="12">
        <v>2000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9"/>
        <v>25000</v>
      </c>
      <c r="AT11" s="15"/>
      <c r="AV11" s="15"/>
      <c r="AW11" s="15">
        <f t="shared" si="10"/>
        <v>0</v>
      </c>
      <c r="AX11" s="15">
        <f t="shared" si="11"/>
        <v>100000</v>
      </c>
      <c r="AY11" s="15">
        <f t="shared" si="12"/>
        <v>0</v>
      </c>
      <c r="AZ11" s="16">
        <f t="shared" si="14"/>
        <v>100000</v>
      </c>
      <c r="BA11" s="58">
        <v>100000</v>
      </c>
      <c r="BB11" s="58"/>
      <c r="BC11" s="15"/>
      <c r="BD11" s="57">
        <f t="shared" si="15"/>
        <v>0</v>
      </c>
      <c r="BE11" s="82"/>
      <c r="BF11" s="29">
        <f t="shared" si="6"/>
        <v>0</v>
      </c>
      <c r="BG11" s="29">
        <v>11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0"/>
        <v>0</v>
      </c>
      <c r="D12" s="9">
        <f>VLOOKUP(A12,[12]HISTOBQUEJANV24!$A$6:$G$46,3,0)</f>
        <v>330000</v>
      </c>
      <c r="E12" s="9">
        <f>VLOOKUP(A12,[12]HISTOBQUEJANV24!$A$6:$G$41,4,0)</f>
        <v>0</v>
      </c>
      <c r="F12" s="9">
        <f>VLOOKUP(A12,[12]HISTOBQUEJANV24!$A$6:$G$41,5,0)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8"/>
        <v>50000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0"/>
      <c r="Q12" s="2">
        <f>VLOOKUP(A12,[13]TONTJANV23!$A$7:$P$20,10,0)</f>
        <v>0</v>
      </c>
      <c r="R12" s="20"/>
      <c r="S12" s="20"/>
      <c r="T12" s="12"/>
      <c r="U12" s="17">
        <f t="shared" si="13"/>
        <v>330000</v>
      </c>
      <c r="V12" s="12"/>
      <c r="W12" s="12"/>
      <c r="X12" s="12"/>
      <c r="Y12" s="12"/>
      <c r="Z12" s="12"/>
      <c r="AA12" s="12"/>
      <c r="AB12" s="12"/>
      <c r="AC12" s="12"/>
      <c r="AD12" s="12">
        <v>60000</v>
      </c>
      <c r="AE12" s="12"/>
      <c r="AF12" s="12" t="s">
        <v>8</v>
      </c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9"/>
        <v>30000</v>
      </c>
      <c r="AT12" s="15"/>
      <c r="AV12" s="15"/>
      <c r="AW12" s="15">
        <f t="shared" si="10"/>
        <v>0</v>
      </c>
      <c r="AX12" s="15">
        <f t="shared" si="11"/>
        <v>840000</v>
      </c>
      <c r="AY12" s="15">
        <f t="shared" si="12"/>
        <v>0</v>
      </c>
      <c r="AZ12" s="16">
        <f t="shared" si="14"/>
        <v>840000</v>
      </c>
      <c r="BA12" s="58"/>
      <c r="BB12" s="58"/>
      <c r="BC12" s="15"/>
      <c r="BD12" s="57">
        <f t="shared" si="15"/>
        <v>840000</v>
      </c>
      <c r="BE12" s="82"/>
      <c r="BF12" s="29">
        <f t="shared" si="6"/>
        <v>0</v>
      </c>
      <c r="BG12" s="29">
        <v>11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0"/>
        <v>0</v>
      </c>
      <c r="D13" s="9">
        <f>VLOOKUP(A13,[12]HISTOBQUEJANV24!$A$6:$G$46,3,0)</f>
        <v>50000</v>
      </c>
      <c r="E13" s="9">
        <f>VLOOKUP(A13,[12]HISTOBQUEJANV24!$A$6:$G$41,4,0)</f>
        <v>0</v>
      </c>
      <c r="F13" s="9">
        <f>VLOOKUP(A13,[12]HISTOBQUEJANV24!$A$6:$G$41,5,0)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2"/>
        <v>0</v>
      </c>
      <c r="N13" s="6"/>
      <c r="O13" s="11">
        <f t="shared" si="3"/>
        <v>0</v>
      </c>
      <c r="P13" s="20"/>
      <c r="Q13" s="2"/>
      <c r="R13" s="20"/>
      <c r="S13" s="20"/>
      <c r="T13" s="12"/>
      <c r="U13" s="17">
        <f t="shared" si="13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9"/>
        <v>25000</v>
      </c>
      <c r="AT13" s="15"/>
      <c r="AV13" s="15"/>
      <c r="AW13" s="15">
        <f t="shared" si="10"/>
        <v>0</v>
      </c>
      <c r="AX13" s="15">
        <f t="shared" si="11"/>
        <v>0</v>
      </c>
      <c r="AY13" s="15">
        <f t="shared" si="12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6"/>
        <v>0</v>
      </c>
      <c r="BG13" s="29">
        <v>11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0"/>
        <v>0</v>
      </c>
      <c r="D14" s="9">
        <f>VLOOKUP(A14,[12]HISTOBQUEJANV24!$A$6:$G$46,3,0)</f>
        <v>0</v>
      </c>
      <c r="E14" s="9">
        <f>VLOOKUP(A14,[12]HISTOBQUEJANV24!$A$6:$G$41,4,0)</f>
        <v>50000</v>
      </c>
      <c r="F14" s="9">
        <f>VLOOKUP(A14,[12]HISTOBQUEJANV24!$A$6:$G$41,5,0)</f>
        <v>0</v>
      </c>
      <c r="G14" s="5">
        <f>IF(H14="ESPECES",3000,0)-3000</f>
        <v>0</v>
      </c>
      <c r="H14" s="10" t="str">
        <f t="shared" si="1"/>
        <v>ESPECES</v>
      </c>
      <c r="I14" s="10"/>
      <c r="J14" s="11">
        <v>1</v>
      </c>
      <c r="K14" s="11">
        <f t="shared" si="8"/>
        <v>50000</v>
      </c>
      <c r="L14" s="6"/>
      <c r="M14" s="11">
        <f t="shared" si="2"/>
        <v>0</v>
      </c>
      <c r="N14" s="6"/>
      <c r="O14" s="11">
        <f t="shared" si="3"/>
        <v>0</v>
      </c>
      <c r="P14" s="20"/>
      <c r="Q14" s="2"/>
      <c r="R14" s="20"/>
      <c r="S14" s="20"/>
      <c r="T14" s="12"/>
      <c r="U14" s="17">
        <f t="shared" si="13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9"/>
        <v>25000</v>
      </c>
      <c r="AT14" s="15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6"/>
        <v>0</v>
      </c>
      <c r="BG14" s="29">
        <v>11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0"/>
        <v>0</v>
      </c>
      <c r="D15" s="9">
        <f>VLOOKUP(A15,[12]HISTOBQUEJANV24!$A$6:$G$46,3,0)</f>
        <v>125000</v>
      </c>
      <c r="E15" s="9">
        <f>VLOOKUP(A15,[12]HISTOBQUEJANV24!$A$6:$G$41,4,0)</f>
        <v>0</v>
      </c>
      <c r="F15" s="9">
        <f>VLOOKUP(A15,[12]HISTOBQUEJANV24!$A$6:$G$41,5,0)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0"/>
      <c r="Q15" s="2">
        <f>VLOOKUP(A15,[13]TONTJANV23!$A$7:$P$20,10,0)</f>
        <v>0</v>
      </c>
      <c r="R15" s="20"/>
      <c r="S15" s="20"/>
      <c r="T15" s="12"/>
      <c r="U15" s="17">
        <f t="shared" si="13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9"/>
        <v>25000</v>
      </c>
      <c r="AT15" s="15"/>
      <c r="AV15" s="15"/>
      <c r="AW15" s="15">
        <f t="shared" si="10"/>
        <v>0</v>
      </c>
      <c r="AX15" s="15">
        <f t="shared" si="11"/>
        <v>0</v>
      </c>
      <c r="AY15" s="15">
        <f t="shared" si="12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6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0"/>
        <v>0</v>
      </c>
      <c r="D16" s="9">
        <f>VLOOKUP(A16,[12]HISTOBQUEJANV24!$A$6:$G$46,3,0)</f>
        <v>260000</v>
      </c>
      <c r="E16" s="9">
        <f>VLOOKUP(A16,[12]HISTOBQUEJANV24!$A$6:$G$41,4,0)</f>
        <v>0</v>
      </c>
      <c r="F16" s="9">
        <f>VLOOKUP(A16,[12]HISTOBQUEJANV24!$A$6:$G$41,5,0)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8"/>
        <v>50000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0"/>
      <c r="Q16" s="2">
        <f>VLOOKUP(A16,[13]TONTJANV23!$A$7:$P$20,10,0)</f>
        <v>0</v>
      </c>
      <c r="R16" s="20"/>
      <c r="S16" s="20"/>
      <c r="T16" s="12"/>
      <c r="U16" s="17">
        <f t="shared" si="13"/>
        <v>260000</v>
      </c>
      <c r="V16" s="12"/>
      <c r="W16" s="12"/>
      <c r="X16" s="12"/>
      <c r="Y16" s="12"/>
      <c r="Z16" s="12"/>
      <c r="AA16" s="12"/>
      <c r="AB16" s="12"/>
      <c r="AC16" s="12">
        <v>12000</v>
      </c>
      <c r="AD16" s="12"/>
      <c r="AE16" s="12"/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9"/>
        <v>60000</v>
      </c>
      <c r="AT16" s="15"/>
      <c r="AV16" s="15"/>
      <c r="AW16" s="15">
        <f t="shared" si="10"/>
        <v>288000</v>
      </c>
      <c r="AX16" s="15">
        <f t="shared" si="11"/>
        <v>0</v>
      </c>
      <c r="AY16" s="15">
        <f t="shared" si="12"/>
        <v>0</v>
      </c>
      <c r="AZ16" s="16">
        <f t="shared" si="14"/>
        <v>288000</v>
      </c>
      <c r="BA16" s="58"/>
      <c r="BB16" s="58"/>
      <c r="BC16" s="15"/>
      <c r="BD16" s="57">
        <f t="shared" si="15"/>
        <v>288000</v>
      </c>
      <c r="BE16" s="82"/>
      <c r="BF16" s="29">
        <f t="shared" si="6"/>
        <v>0</v>
      </c>
      <c r="BG16" s="29">
        <v>11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27000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0"/>
        <v>0</v>
      </c>
      <c r="D17" s="9">
        <f>VLOOKUP(A17,[12]HISTOBQUEJANV24!$A$6:$G$46,3,0)</f>
        <v>150000</v>
      </c>
      <c r="E17" s="9">
        <f>VLOOKUP(A17,[12]HISTOBQUEJANV24!$A$6:$G$41,4,0)</f>
        <v>0</v>
      </c>
      <c r="F17" s="9">
        <f>VLOOKUP(A17,[12]HISTOBQUEJANV24!$A$6:$G$41,5,0)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0"/>
      <c r="Q17" s="2"/>
      <c r="R17" s="20"/>
      <c r="S17" s="20"/>
      <c r="T17" s="12"/>
      <c r="U17" s="17">
        <f t="shared" si="13"/>
        <v>150000</v>
      </c>
      <c r="V17" s="12"/>
      <c r="W17" s="12"/>
      <c r="X17" s="12"/>
      <c r="Y17" s="12"/>
      <c r="Z17" s="12">
        <v>1000000</v>
      </c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100000</v>
      </c>
      <c r="AL17" s="12"/>
      <c r="AM17" s="12"/>
      <c r="AN17" s="12">
        <v>1000</v>
      </c>
      <c r="AO17" s="12"/>
      <c r="AP17" s="12"/>
      <c r="AQ17" s="8">
        <f t="shared" si="4"/>
        <v>0</v>
      </c>
      <c r="AR17" s="8">
        <f t="shared" si="5"/>
        <v>0</v>
      </c>
      <c r="AS17" s="13">
        <f t="shared" si="9"/>
        <v>25000</v>
      </c>
      <c r="AT17" s="15"/>
      <c r="AV17" s="15"/>
      <c r="AW17" s="15">
        <f t="shared" si="10"/>
        <v>0</v>
      </c>
      <c r="AX17" s="15">
        <f t="shared" si="11"/>
        <v>0</v>
      </c>
      <c r="AY17" s="15">
        <f t="shared" si="12"/>
        <v>100000</v>
      </c>
      <c r="AZ17" s="16">
        <f>SUM(AV17:AY17)-BF17+Z17-F17+BH17+BI17+BJ17+BK17+BL17+BM17+60000</f>
        <v>1150000</v>
      </c>
      <c r="BA17" s="58">
        <v>100000</v>
      </c>
      <c r="BB17" s="58"/>
      <c r="BC17" s="15"/>
      <c r="BD17" s="57">
        <f t="shared" si="15"/>
        <v>1050000</v>
      </c>
      <c r="BE17" s="82"/>
      <c r="BF17" s="29">
        <f t="shared" si="6"/>
        <v>110000</v>
      </c>
      <c r="BG17" s="29">
        <v>11</v>
      </c>
      <c r="BH17" s="15"/>
      <c r="BI17" s="15"/>
      <c r="BJ17" s="15"/>
      <c r="BK17" s="15">
        <v>100000</v>
      </c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0"/>
        <v>0</v>
      </c>
      <c r="D18" s="9">
        <f>VLOOKUP(A18,[12]HISTOBQUEJANV24!$A$6:$G$46,3,0)</f>
        <v>150000</v>
      </c>
      <c r="E18" s="9">
        <f>VLOOKUP(A18,[12]HISTOBQUEJANV24!$A$6:$G$41,4,0)</f>
        <v>0</v>
      </c>
      <c r="F18" s="9">
        <f>VLOOKUP(A18,[12]HISTOBQUEJANV24!$A$6:$G$41,5,0)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8"/>
        <v>50000</v>
      </c>
      <c r="L18" s="6"/>
      <c r="M18" s="11">
        <f t="shared" si="2"/>
        <v>0</v>
      </c>
      <c r="N18" s="6">
        <v>1</v>
      </c>
      <c r="O18" s="11">
        <f t="shared" si="3"/>
        <v>100000</v>
      </c>
      <c r="P18" s="20"/>
      <c r="Q18" s="2"/>
      <c r="R18" s="20"/>
      <c r="S18" s="20"/>
      <c r="T18" s="12"/>
      <c r="U18" s="17">
        <f t="shared" si="13"/>
        <v>150000</v>
      </c>
      <c r="V18" s="12"/>
      <c r="W18" s="12"/>
      <c r="X18" s="12"/>
      <c r="Y18" s="12"/>
      <c r="Z18" s="12"/>
      <c r="AA18" s="12"/>
      <c r="AB18" s="12"/>
      <c r="AC18" s="12">
        <v>13000</v>
      </c>
      <c r="AD18" s="12"/>
      <c r="AE18" s="12"/>
      <c r="AF18" s="12" t="s">
        <v>8</v>
      </c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9"/>
        <v>25000</v>
      </c>
      <c r="AT18" s="15"/>
      <c r="AV18" s="15"/>
      <c r="AW18" s="15">
        <f t="shared" si="10"/>
        <v>287000</v>
      </c>
      <c r="AX18" s="15">
        <f t="shared" si="11"/>
        <v>0</v>
      </c>
      <c r="AY18" s="15">
        <f t="shared" si="12"/>
        <v>0</v>
      </c>
      <c r="AZ18" s="16">
        <f t="shared" si="14"/>
        <v>287000</v>
      </c>
      <c r="BA18" s="58"/>
      <c r="BB18" s="58"/>
      <c r="BC18" s="15"/>
      <c r="BD18" s="57">
        <f t="shared" si="15"/>
        <v>287000</v>
      </c>
      <c r="BE18" s="82"/>
      <c r="BF18" s="29">
        <f t="shared" si="6"/>
        <v>0</v>
      </c>
      <c r="BG18" s="29">
        <v>11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ref="C19" si="16">D19+E19+F19-U19-BB19</f>
        <v>0</v>
      </c>
      <c r="D19" s="9">
        <f>VLOOKUP(A19,[12]HISTOBQUEJANV24!$A$6:$G$46,3,0)</f>
        <v>50000</v>
      </c>
      <c r="E19" s="9">
        <f>VLOOKUP(A19,[12]HISTOBQUEJANV24!$A$6:$G$41,4,0)</f>
        <v>25000</v>
      </c>
      <c r="F19" s="9">
        <f>VLOOKUP(A19,[12]HISTOBQUEJANV24!$A$6:$G$41,5,0)</f>
        <v>0</v>
      </c>
      <c r="G19" s="5">
        <f t="shared" ref="G19" si="17">IF(H19="ESPECES",3000,0)</f>
        <v>0</v>
      </c>
      <c r="H19" s="10" t="str">
        <f t="shared" si="1"/>
        <v>BANQUE</v>
      </c>
      <c r="I19" s="10"/>
      <c r="J19" s="11">
        <v>1</v>
      </c>
      <c r="K19" s="11">
        <f t="shared" ref="K19" si="18">IF($D19&lt;&gt;0,J19*50000,IF($E19&lt;&gt;0,J19*50000,0))</f>
        <v>50000</v>
      </c>
      <c r="L19" s="6"/>
      <c r="M19" s="11">
        <f t="shared" ref="M19" si="19">IF($D19&lt;&gt;0,L19*75000,IF($E19&lt;&gt;0,L19*75000,0))</f>
        <v>0</v>
      </c>
      <c r="N19" s="6"/>
      <c r="O19" s="11">
        <f t="shared" ref="O19" si="20">IF($D19&lt;&gt;0,N19*100000,IF($E19&lt;&gt;0,N19*100000,0))</f>
        <v>0</v>
      </c>
      <c r="P19" s="20"/>
      <c r="Q19" s="2"/>
      <c r="R19" s="20"/>
      <c r="S19" s="20"/>
      <c r="T19" s="12"/>
      <c r="U19" s="17">
        <f t="shared" ref="U19" si="21">G19+S19++R19+P19+O19+M19+I19+K19+Q19+V19+W19</f>
        <v>75000</v>
      </c>
      <c r="V19" s="12"/>
      <c r="W19" s="12">
        <v>25000</v>
      </c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ref="AQ19" si="22">IF(H19="ECHEC",((K19+M19+O19)*20/100),0)</f>
        <v>0</v>
      </c>
      <c r="AR19" s="8">
        <f t="shared" ref="AR19" si="23">IF(H19="ECHEC",((K19+M19+O19)*20/100),0)</f>
        <v>0</v>
      </c>
      <c r="AS19" s="13">
        <f t="shared" ref="AS19" si="24">IF(H19="ECHEC",0,(K19+I19-25000))</f>
        <v>25000</v>
      </c>
      <c r="AT19" s="15"/>
      <c r="AV19" s="15"/>
      <c r="AW19" s="15">
        <f t="shared" ref="AW19" si="25">IF(AC19=0,AI19,(1*25000*12)+AI19-AC19)</f>
        <v>0</v>
      </c>
      <c r="AX19" s="15">
        <f t="shared" ref="AX19" si="26">IF(AD19=0,AJ19,(1*75000*12)+(AJ19)-AD19)</f>
        <v>0</v>
      </c>
      <c r="AY19" s="15">
        <f t="shared" ref="AY19" si="27">IF(AE19=0,AK19,(1*100000*12)+(AK19)-AE19)</f>
        <v>0</v>
      </c>
      <c r="AZ19" s="16">
        <f t="shared" ref="AZ19" si="28">SUM(AV19:AY19)-BF19+Z19-F19+BH19+BI19+BJ19+BK19+BL19+BM19</f>
        <v>0</v>
      </c>
      <c r="BA19" s="58"/>
      <c r="BB19" s="58"/>
      <c r="BC19" s="15"/>
      <c r="BD19" s="57">
        <f t="shared" si="15"/>
        <v>0</v>
      </c>
      <c r="BE19" s="82"/>
      <c r="BF19" s="29">
        <f t="shared" ref="BF19" si="29">Z19*1/100*BG19</f>
        <v>0</v>
      </c>
      <c r="BG19" s="29">
        <v>11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0"/>
        <v>0</v>
      </c>
      <c r="D20" s="9">
        <f>VLOOKUP(A20,[12]HISTOBQUEJANV24!$A$6:$G$46,3,0)</f>
        <v>225000</v>
      </c>
      <c r="E20" s="9">
        <f>VLOOKUP(A20,[12]HISTOBQUEJANV24!$A$6:$G$41,4,0)</f>
        <v>0</v>
      </c>
      <c r="F20" s="9">
        <f>VLOOKUP(A20,[12]HISTOBQUEJANV24!$A$6:$G$41,5,0)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0"/>
      <c r="Q20" s="2">
        <f>VLOOKUP(A20,[13]TONTJANV23!$A$7:$P$20,10,0)</f>
        <v>0</v>
      </c>
      <c r="R20" s="20"/>
      <c r="S20" s="20"/>
      <c r="T20" s="12"/>
      <c r="U20" s="17">
        <f t="shared" si="13"/>
        <v>225000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>
        <v>115000</v>
      </c>
      <c r="AF20" s="12" t="s">
        <v>8</v>
      </c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4"/>
        <v>0</v>
      </c>
      <c r="AR20" s="8">
        <f t="shared" si="5"/>
        <v>0</v>
      </c>
      <c r="AS20" s="13">
        <f t="shared" si="9"/>
        <v>25000</v>
      </c>
      <c r="AT20" s="15"/>
      <c r="AV20" s="15"/>
      <c r="AW20" s="15">
        <f t="shared" si="10"/>
        <v>0</v>
      </c>
      <c r="AX20" s="15">
        <f t="shared" si="11"/>
        <v>0</v>
      </c>
      <c r="AY20" s="15">
        <f t="shared" si="12"/>
        <v>1085000</v>
      </c>
      <c r="AZ20" s="16">
        <f t="shared" si="14"/>
        <v>1085000</v>
      </c>
      <c r="BA20" s="58"/>
      <c r="BB20" s="58"/>
      <c r="BC20" s="15"/>
      <c r="BD20" s="57">
        <f t="shared" si="15"/>
        <v>1085000</v>
      </c>
      <c r="BE20" s="82"/>
      <c r="BF20" s="29">
        <f t="shared" si="6"/>
        <v>0</v>
      </c>
      <c r="BG20" s="29">
        <v>11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0"/>
        <v>0</v>
      </c>
      <c r="D21" s="9">
        <f>VLOOKUP(A21,[12]HISTOBQUEJANV24!$A$6:$G$46,3,0)</f>
        <v>50000</v>
      </c>
      <c r="E21" s="9">
        <f>VLOOKUP(A21,[12]HISTOBQUEJANV24!$A$6:$G$41,4,0)</f>
        <v>0</v>
      </c>
      <c r="F21" s="9">
        <f>VLOOKUP(A21,[12]HISTOBQUEJANV24!$A$6:$G$41,5,0)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2"/>
        <v>0</v>
      </c>
      <c r="N21" s="6"/>
      <c r="O21" s="11">
        <f t="shared" si="3"/>
        <v>0</v>
      </c>
      <c r="P21" s="20"/>
      <c r="Q21" s="2"/>
      <c r="R21" s="20"/>
      <c r="S21" s="20"/>
      <c r="T21" s="12"/>
      <c r="U21" s="17">
        <f t="shared" si="13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9"/>
        <v>25000</v>
      </c>
      <c r="AT21" s="15"/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6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0"/>
        <v>0</v>
      </c>
      <c r="D22" s="9">
        <f>VLOOKUP(A22,[12]HISTOBQUEJANV24!$A$6:$G$46,3,0)</f>
        <v>125000</v>
      </c>
      <c r="E22" s="9">
        <f>VLOOKUP(A22,[12]HISTOBQUEJANV24!$A$6:$G$41,4,0)</f>
        <v>0</v>
      </c>
      <c r="F22" s="9">
        <f>VLOOKUP(A22,[12]HISTOBQUEJANV24!$A$6:$G$41,5,0)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0"/>
      <c r="Q22" s="2">
        <f>VLOOKUP(A22,[13]TONTJANV23!$A$7:$P$20,10,0)</f>
        <v>0</v>
      </c>
      <c r="R22" s="20"/>
      <c r="S22" s="20"/>
      <c r="T22" s="12"/>
      <c r="U22" s="17">
        <f t="shared" si="13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9"/>
        <v>25000</v>
      </c>
      <c r="AT22" s="15"/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6"/>
        <v>0</v>
      </c>
      <c r="BG22" s="29">
        <v>11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0"/>
        <v>0</v>
      </c>
      <c r="D23" s="9">
        <f>VLOOKUP(A23,[12]HISTOBQUEJANV24!$A$6:$G$46,3,0)</f>
        <v>260000</v>
      </c>
      <c r="E23" s="9">
        <f>VLOOKUP(A23,[12]HISTOBQUEJANV24!$A$6:$G$41,4,0)</f>
        <v>0</v>
      </c>
      <c r="F23" s="9">
        <f>VLOOKUP(A23,[12]HISTOBQUEJANV24!$A$6:$G$41,5,0)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8"/>
        <v>50000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0"/>
      <c r="Q23" s="2"/>
      <c r="R23" s="20"/>
      <c r="S23" s="20"/>
      <c r="T23" s="12"/>
      <c r="U23" s="17">
        <f t="shared" si="13"/>
        <v>260000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9"/>
        <v>35000</v>
      </c>
      <c r="AT23" s="15"/>
      <c r="AV23" s="15"/>
      <c r="AW23" s="15">
        <f t="shared" si="10"/>
        <v>0</v>
      </c>
      <c r="AX23" s="15">
        <f t="shared" si="11"/>
        <v>0</v>
      </c>
      <c r="AY23" s="15">
        <f t="shared" si="12"/>
        <v>0</v>
      </c>
      <c r="AZ23" s="16">
        <f t="shared" si="14"/>
        <v>0</v>
      </c>
      <c r="BA23" s="58">
        <v>56000</v>
      </c>
      <c r="BB23" s="58"/>
      <c r="BC23" s="15"/>
      <c r="BD23" s="57">
        <f>IF(AZ23=0,(AZ23-BA23-BC23),(AZ23-BA23-BB23-BC23))+F23+56000</f>
        <v>0</v>
      </c>
      <c r="BE23" s="82"/>
      <c r="BF23" s="29">
        <f t="shared" si="6"/>
        <v>0</v>
      </c>
      <c r="BG23" s="29">
        <v>11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0"/>
        <v>0</v>
      </c>
      <c r="D24" s="9">
        <f>VLOOKUP(A24,[12]HISTOBQUEJANV24!$A$6:$G$46,3,0)</f>
        <v>225000</v>
      </c>
      <c r="E24" s="9">
        <f>VLOOKUP(A24,[12]HISTOBQUEJANV24!$A$6:$G$41,4,0)</f>
        <v>0</v>
      </c>
      <c r="F24" s="9">
        <f>VLOOKUP(A24,[12]HISTOBQUEJANV24!$A$6:$G$41,5,0)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8"/>
        <v>50000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0"/>
      <c r="Q24" s="2">
        <f>VLOOKUP(A24,[13]TONTJANV23!$A$7:$P$20,10,0)</f>
        <v>0</v>
      </c>
      <c r="R24" s="20"/>
      <c r="S24" s="20"/>
      <c r="T24" s="12"/>
      <c r="U24" s="17">
        <f t="shared" si="13"/>
        <v>225000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9"/>
        <v>25000</v>
      </c>
      <c r="AT24" s="15"/>
      <c r="AV24" s="15"/>
      <c r="AW24" s="15">
        <f t="shared" si="10"/>
        <v>0</v>
      </c>
      <c r="AX24" s="15">
        <f t="shared" si="11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6"/>
        <v>0</v>
      </c>
      <c r="BG24" s="29">
        <v>11</v>
      </c>
      <c r="BH24" s="15"/>
      <c r="BI24" s="15"/>
      <c r="BJ24" s="15"/>
      <c r="BK24" s="15"/>
      <c r="BL24" s="61"/>
      <c r="BN24" t="s">
        <v>197</v>
      </c>
      <c r="BO24" t="s">
        <v>143</v>
      </c>
      <c r="BP24" s="6">
        <v>200000</v>
      </c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0"/>
        <v>0</v>
      </c>
      <c r="D25" s="9">
        <f>VLOOKUP(A25,[12]HISTOBQUEJANV24!$A$6:$G$46,3,0)</f>
        <v>375000</v>
      </c>
      <c r="E25" s="9">
        <f>VLOOKUP(A25,[12]HISTOBQUEJANV24!$A$6:$G$41,4,0)</f>
        <v>0</v>
      </c>
      <c r="F25" s="9">
        <f>VLOOKUP(A25,[12]HISTOBQUEJANV24!$A$6:$G$41,5,0)</f>
        <v>0</v>
      </c>
      <c r="G25" s="5">
        <f t="shared" si="7"/>
        <v>0</v>
      </c>
      <c r="H25" s="10" t="str">
        <f t="shared" si="1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2"/>
        <v>225000</v>
      </c>
      <c r="N25" s="6">
        <v>1</v>
      </c>
      <c r="O25" s="11">
        <f t="shared" si="3"/>
        <v>100000</v>
      </c>
      <c r="P25" s="20"/>
      <c r="Q25" s="2">
        <f>VLOOKUP(A25,[13]TONTJANV23!$A$7:$P$20,10,0)</f>
        <v>0</v>
      </c>
      <c r="R25" s="20"/>
      <c r="S25" s="20"/>
      <c r="T25" s="12"/>
      <c r="U25" s="17">
        <f t="shared" si="13"/>
        <v>375000</v>
      </c>
      <c r="V25" s="12"/>
      <c r="W25" s="12"/>
      <c r="X25" s="12"/>
      <c r="Y25" s="12"/>
      <c r="Z25" s="12"/>
      <c r="AA25" s="12"/>
      <c r="AB25" s="12"/>
      <c r="AC25" s="12"/>
      <c r="AD25" s="12">
        <v>65000</v>
      </c>
      <c r="AE25" s="12">
        <v>125000</v>
      </c>
      <c r="AF25" s="12" t="s">
        <v>8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 t="shared" si="9"/>
        <v>25000</v>
      </c>
      <c r="AT25" s="15"/>
      <c r="AV25" s="15"/>
      <c r="AW25" s="15">
        <f t="shared" si="10"/>
        <v>0</v>
      </c>
      <c r="AX25" s="15">
        <f t="shared" si="11"/>
        <v>835000</v>
      </c>
      <c r="AY25" s="15">
        <f t="shared" si="12"/>
        <v>1075000</v>
      </c>
      <c r="AZ25" s="16">
        <f t="shared" si="14"/>
        <v>1910000</v>
      </c>
      <c r="BA25" s="58"/>
      <c r="BB25" s="58"/>
      <c r="BC25" s="15"/>
      <c r="BD25" s="57">
        <f t="shared" si="15"/>
        <v>1910000</v>
      </c>
      <c r="BE25" s="82"/>
      <c r="BF25" s="29">
        <f t="shared" si="6"/>
        <v>0</v>
      </c>
      <c r="BG25" s="29">
        <v>11</v>
      </c>
      <c r="BH25" s="15"/>
      <c r="BI25" s="15"/>
      <c r="BJ25" s="15"/>
      <c r="BK25" s="15"/>
      <c r="BL25" s="61"/>
      <c r="BN25" t="s">
        <v>204</v>
      </c>
      <c r="BO25" t="s">
        <v>143</v>
      </c>
      <c r="BP25" s="6">
        <v>300000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0"/>
        <v>0</v>
      </c>
      <c r="D26" s="9">
        <f>VLOOKUP(A26,[12]HISTOBQUEJANV24!$A$6:$G$46,3,0)</f>
        <v>0</v>
      </c>
      <c r="E26" s="9">
        <f>VLOOKUP(A26,[12]HISTOBQUEJANV24!$A$6:$G$41,4,0)</f>
        <v>50000</v>
      </c>
      <c r="F26" s="9">
        <f>VLOOKUP(A26,[12]HISTOBQUEJANV24!$A$6:$G$41,5,0)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8"/>
        <v>50000</v>
      </c>
      <c r="L26" s="6"/>
      <c r="M26" s="11">
        <f t="shared" si="2"/>
        <v>0</v>
      </c>
      <c r="N26" s="6"/>
      <c r="O26" s="11">
        <f t="shared" si="3"/>
        <v>0</v>
      </c>
      <c r="P26" s="20"/>
      <c r="Q26" s="2"/>
      <c r="R26" s="20"/>
      <c r="S26" s="20"/>
      <c r="T26" s="12"/>
      <c r="U26" s="17">
        <f t="shared" si="13"/>
        <v>50000</v>
      </c>
      <c r="V26" s="12"/>
      <c r="W26" s="12"/>
      <c r="X26" s="12"/>
      <c r="Y26" s="12"/>
      <c r="Z26" s="12"/>
      <c r="AA26" s="12"/>
      <c r="AB26" s="12"/>
      <c r="AC26" s="12">
        <v>13000</v>
      </c>
      <c r="AD26" s="12"/>
      <c r="AE26" s="12"/>
      <c r="AF26" s="12" t="s">
        <v>8</v>
      </c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9"/>
        <v>25000</v>
      </c>
      <c r="AT26" s="15"/>
      <c r="AV26" s="15"/>
      <c r="AW26" s="15">
        <f t="shared" si="10"/>
        <v>287000</v>
      </c>
      <c r="AX26" s="15">
        <f t="shared" si="11"/>
        <v>0</v>
      </c>
      <c r="AY26" s="15">
        <f t="shared" si="12"/>
        <v>0</v>
      </c>
      <c r="AZ26" s="16">
        <f t="shared" si="14"/>
        <v>287000</v>
      </c>
      <c r="BA26" s="58">
        <v>7000</v>
      </c>
      <c r="BB26" s="58"/>
      <c r="BC26" s="15"/>
      <c r="BD26" s="57">
        <f t="shared" si="15"/>
        <v>280000</v>
      </c>
      <c r="BE26" s="82"/>
      <c r="BF26" s="29">
        <f t="shared" si="6"/>
        <v>0</v>
      </c>
      <c r="BG26" s="29">
        <v>11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0"/>
        <v>0</v>
      </c>
      <c r="D27" s="9">
        <f>VLOOKUP(A27,[12]HISTOBQUEJANV24!$A$6:$G$46,3,0)</f>
        <v>50000</v>
      </c>
      <c r="E27" s="9">
        <f>VLOOKUP(A27,[12]HISTOBQUEJANV24!$A$6:$G$41,4,0)</f>
        <v>0</v>
      </c>
      <c r="F27" s="9">
        <f>VLOOKUP(A27,[12]HISTOBQUEJANV24!$A$6:$G$41,5,0)</f>
        <v>0</v>
      </c>
      <c r="G27" s="5">
        <f t="shared" si="7"/>
        <v>0</v>
      </c>
      <c r="H27" s="10" t="str">
        <f t="shared" si="1"/>
        <v>BANQUE</v>
      </c>
      <c r="I27" s="10"/>
      <c r="J27" s="11">
        <v>1</v>
      </c>
      <c r="K27" s="11">
        <f t="shared" si="8"/>
        <v>50000</v>
      </c>
      <c r="L27" s="6"/>
      <c r="M27" s="11">
        <f t="shared" si="2"/>
        <v>0</v>
      </c>
      <c r="N27" s="6"/>
      <c r="O27" s="11">
        <f t="shared" si="3"/>
        <v>0</v>
      </c>
      <c r="P27" s="20"/>
      <c r="Q27" s="2"/>
      <c r="R27" s="20"/>
      <c r="S27" s="20"/>
      <c r="T27" s="12"/>
      <c r="U27" s="17">
        <f t="shared" si="13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9"/>
        <v>25000</v>
      </c>
      <c r="AT27" s="15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6"/>
        <v>0</v>
      </c>
      <c r="BG27" s="29">
        <v>11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0"/>
        <v>0</v>
      </c>
      <c r="D28" s="9">
        <f>VLOOKUP(A28,[12]HISTOBQUEJANV24!$A$6:$G$46,3,0)</f>
        <v>125000</v>
      </c>
      <c r="E28" s="9">
        <f>VLOOKUP(A28,[12]HISTOBQUEJANV24!$A$6:$G$41,4,0)</f>
        <v>0</v>
      </c>
      <c r="F28" s="9">
        <f>VLOOKUP(A28,[12]HISTOBQUEJANV24!$A$6:$G$41,5,0)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0"/>
      <c r="Q28" s="2">
        <f>VLOOKUP(A28,[13]TONTJANV23!$A$7:$P$20,10,0)</f>
        <v>0</v>
      </c>
      <c r="R28" s="20"/>
      <c r="S28" s="20"/>
      <c r="T28" s="12"/>
      <c r="U28" s="17">
        <f t="shared" si="13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9"/>
        <v>25000</v>
      </c>
      <c r="AT28" s="15"/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6"/>
        <v>0</v>
      </c>
      <c r="BG28" s="29">
        <v>11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500000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0"/>
        <v>0</v>
      </c>
      <c r="D29" s="9">
        <f>VLOOKUP(A29,[12]HISTOBQUEJANV24!$A$6:$G$46,3,0)</f>
        <v>500000</v>
      </c>
      <c r="E29" s="9">
        <f>VLOOKUP(A29,[12]HISTOBQUEJANV24!$A$6:$G$41,4,0)</f>
        <v>0</v>
      </c>
      <c r="F29" s="9">
        <f>VLOOKUP(A29,[12]HISTOBQUEJANV24!$A$6:$G$41,5,0)</f>
        <v>0</v>
      </c>
      <c r="G29" s="5">
        <f t="shared" si="7"/>
        <v>0</v>
      </c>
      <c r="H29" s="10" t="str">
        <f t="shared" si="1"/>
        <v>BANQUE</v>
      </c>
      <c r="I29" s="10">
        <v>450000</v>
      </c>
      <c r="J29" s="11">
        <v>1</v>
      </c>
      <c r="K29" s="11">
        <f t="shared" si="8"/>
        <v>50000</v>
      </c>
      <c r="L29" s="6"/>
      <c r="M29" s="11">
        <f t="shared" si="2"/>
        <v>0</v>
      </c>
      <c r="N29" s="6"/>
      <c r="O29" s="11">
        <f t="shared" si="3"/>
        <v>0</v>
      </c>
      <c r="P29" s="20"/>
      <c r="Q29" s="2"/>
      <c r="R29" s="20"/>
      <c r="S29" s="20"/>
      <c r="T29" s="12"/>
      <c r="U29" s="17">
        <f t="shared" si="13"/>
        <v>500000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9"/>
        <v>475000</v>
      </c>
      <c r="AT29" s="15"/>
      <c r="AV29" s="15"/>
      <c r="AW29" s="15">
        <f t="shared" si="10"/>
        <v>0</v>
      </c>
      <c r="AX29" s="15">
        <f t="shared" si="11"/>
        <v>0</v>
      </c>
      <c r="AY29" s="15">
        <f t="shared" si="12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6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0"/>
        <v>0</v>
      </c>
      <c r="D30" s="9">
        <f>VLOOKUP(A30,[12]HISTOBQUEJANV24!$A$6:$G$46,3,0)</f>
        <v>250000</v>
      </c>
      <c r="E30" s="9">
        <f>VLOOKUP(A30,[12]HISTOBQUEJANV24!$A$6:$G$41,4,0)</f>
        <v>0</v>
      </c>
      <c r="F30" s="9">
        <f>VLOOKUP(A30,[12]HISTOBQUEJANV24!$A$6:$G$41,5,0)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8"/>
        <v>50000</v>
      </c>
      <c r="L30" s="6"/>
      <c r="M30" s="11">
        <f t="shared" si="2"/>
        <v>0</v>
      </c>
      <c r="N30" s="6">
        <v>2</v>
      </c>
      <c r="O30" s="11">
        <f t="shared" si="3"/>
        <v>200000</v>
      </c>
      <c r="P30" s="20"/>
      <c r="Q30" s="2"/>
      <c r="R30" s="20"/>
      <c r="S30" s="20"/>
      <c r="T30" s="12"/>
      <c r="U30" s="17">
        <f t="shared" si="13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9"/>
        <v>25000</v>
      </c>
      <c r="AT30" s="15"/>
      <c r="AV30" s="15"/>
      <c r="AW30" s="15">
        <f t="shared" si="10"/>
        <v>0</v>
      </c>
      <c r="AX30" s="15">
        <f t="shared" si="11"/>
        <v>0</v>
      </c>
      <c r="AY30" s="15">
        <f t="shared" si="12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6"/>
        <v>0</v>
      </c>
      <c r="BG30" s="29">
        <v>11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0"/>
        <v>0</v>
      </c>
      <c r="D31" s="9">
        <f>VLOOKUP(A31,[12]HISTOBQUEJANV24!$A$6:$G$46,3,0)</f>
        <v>150000</v>
      </c>
      <c r="E31" s="9">
        <f>VLOOKUP(A31,[12]HISTOBQUEJANV24!$A$6:$G$41,4,0)</f>
        <v>0</v>
      </c>
      <c r="F31" s="9">
        <f>VLOOKUP(A31,[12]HISTOBQUEJANV24!$A$6:$G$41,5,0)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0"/>
      <c r="Q31" s="2"/>
      <c r="R31" s="20"/>
      <c r="S31" s="20"/>
      <c r="T31" s="12"/>
      <c r="U31" s="17">
        <f t="shared" si="13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9"/>
        <v>25000</v>
      </c>
      <c r="AT31" s="15"/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6"/>
        <v>0</v>
      </c>
      <c r="BG31" s="29">
        <v>11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0"/>
        <v>0</v>
      </c>
      <c r="D32" s="9">
        <f>VLOOKUP(A32,[12]HISTOBQUEJANV24!$A$6:$G$46,3,0)</f>
        <v>125000</v>
      </c>
      <c r="E32" s="9">
        <f>VLOOKUP(A32,[12]HISTOBQUEJANV24!$A$6:$G$41,4,0)</f>
        <v>0</v>
      </c>
      <c r="F32" s="9">
        <f>VLOOKUP(A32,[12]HISTOBQUEJANV24!$A$6:$G$41,5,0)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0"/>
      <c r="Q32" s="2"/>
      <c r="R32" s="20"/>
      <c r="S32" s="20"/>
      <c r="T32" s="12"/>
      <c r="U32" s="17">
        <f t="shared" si="13"/>
        <v>125000</v>
      </c>
      <c r="V32" s="12"/>
      <c r="W32" s="12"/>
      <c r="X32" s="12"/>
      <c r="Y32" s="12"/>
      <c r="Z32" s="12">
        <v>1000000</v>
      </c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9"/>
        <v>25000</v>
      </c>
      <c r="AT32" s="15"/>
      <c r="AV32" s="15"/>
      <c r="AW32" s="15">
        <f t="shared" si="10"/>
        <v>0</v>
      </c>
      <c r="AX32" s="15">
        <f t="shared" si="11"/>
        <v>0</v>
      </c>
      <c r="AY32" s="15">
        <f t="shared" si="12"/>
        <v>0</v>
      </c>
      <c r="AZ32" s="16">
        <f t="shared" si="14"/>
        <v>940000</v>
      </c>
      <c r="BA32" s="58"/>
      <c r="BB32" s="58"/>
      <c r="BC32" s="15"/>
      <c r="BD32" s="57">
        <f t="shared" si="15"/>
        <v>940000</v>
      </c>
      <c r="BE32" s="82"/>
      <c r="BF32" s="29">
        <f t="shared" si="6"/>
        <v>60000</v>
      </c>
      <c r="BG32" s="29">
        <v>6</v>
      </c>
      <c r="BH32" s="15"/>
      <c r="BI32" s="15"/>
      <c r="BJ32" s="15"/>
      <c r="BK32" s="15"/>
      <c r="BL32" s="61"/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9">
        <f t="shared" si="0"/>
        <v>120000</v>
      </c>
      <c r="D33" s="9">
        <f>VLOOKUP(A33,[12]HISTOBQUEJANV24!$A$6:$G$46,3,0)</f>
        <v>540000</v>
      </c>
      <c r="E33" s="9">
        <f>VLOOKUP(A33,[12]HISTOBQUEJANV24!$A$6:$G$41,4,0)</f>
        <v>0</v>
      </c>
      <c r="F33" s="9">
        <f>VLOOKUP(A33,[12]HISTOBQUEJANV24!$A$6:$G$41,5,0)</f>
        <v>0</v>
      </c>
      <c r="G33" s="5">
        <f t="shared" si="7"/>
        <v>0</v>
      </c>
      <c r="H33" s="10" t="str">
        <f t="shared" si="1"/>
        <v>BANQUE</v>
      </c>
      <c r="I33" s="10">
        <v>245000</v>
      </c>
      <c r="J33" s="11">
        <v>1</v>
      </c>
      <c r="K33" s="11">
        <f t="shared" si="8"/>
        <v>50000</v>
      </c>
      <c r="L33" s="6"/>
      <c r="M33" s="11">
        <f t="shared" si="2"/>
        <v>0</v>
      </c>
      <c r="N33" s="6">
        <v>1</v>
      </c>
      <c r="O33" s="11">
        <f t="shared" si="3"/>
        <v>100000</v>
      </c>
      <c r="P33" s="20"/>
      <c r="Q33" s="2"/>
      <c r="R33" s="20"/>
      <c r="S33" s="20"/>
      <c r="T33" s="12"/>
      <c r="U33" s="17">
        <f t="shared" si="13"/>
        <v>420000</v>
      </c>
      <c r="V33" s="12"/>
      <c r="W33" s="12">
        <v>25000</v>
      </c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9"/>
        <v>270000</v>
      </c>
      <c r="AT33" s="15">
        <v>120000</v>
      </c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6"/>
        <v>0</v>
      </c>
      <c r="BG33" s="29">
        <v>11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ref="C34" si="30">D34+E34+F34-U34-BB34</f>
        <v>0</v>
      </c>
      <c r="D34" s="9">
        <f>VLOOKUP(A34,[12]HISTOBQUEJANV24!$A$6:$G$46,3,0)</f>
        <v>50000</v>
      </c>
      <c r="E34" s="9">
        <f>VLOOKUP(A34,[12]HISTOBQUEJANV24!$A$6:$G$41,4,0)</f>
        <v>0</v>
      </c>
      <c r="F34" s="9">
        <f>VLOOKUP(A34,[12]HISTOBQUEJANV24!$A$6:$G$41,5,0)</f>
        <v>0</v>
      </c>
      <c r="G34" s="5">
        <f t="shared" ref="G34" si="31">IF(H34="ESPECES",3000,0)</f>
        <v>0</v>
      </c>
      <c r="H34" s="10" t="str">
        <f t="shared" si="1"/>
        <v>BANQUE</v>
      </c>
      <c r="I34" s="10"/>
      <c r="J34" s="11">
        <v>1</v>
      </c>
      <c r="K34" s="11">
        <f t="shared" ref="K34" si="32">IF($D34&lt;&gt;0,J34*50000,IF($E34&lt;&gt;0,J34*50000,0))</f>
        <v>50000</v>
      </c>
      <c r="L34" s="6"/>
      <c r="M34" s="11">
        <f t="shared" ref="M34" si="33">IF($D34&lt;&gt;0,L34*75000,IF($E34&lt;&gt;0,L34*75000,0))</f>
        <v>0</v>
      </c>
      <c r="N34" s="6"/>
      <c r="O34" s="11">
        <f t="shared" ref="O34" si="34">IF($D34&lt;&gt;0,N34*100000,IF($E34&lt;&gt;0,N34*100000,0))</f>
        <v>0</v>
      </c>
      <c r="P34" s="20"/>
      <c r="Q34" s="2"/>
      <c r="R34" s="20"/>
      <c r="S34" s="20"/>
      <c r="T34" s="12"/>
      <c r="U34" s="17">
        <f t="shared" ref="U34" si="35">G34+S34++R34+P34+O34+M34+I34+K34+Q34+V34+W34</f>
        <v>50000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ref="AQ34" si="36">IF(H34="ECHEC",((K34+M34+O34)*20/100),0)</f>
        <v>0</v>
      </c>
      <c r="AR34" s="8">
        <f t="shared" ref="AR34" si="37">IF(H34="ECHEC",((K34+M34+O34)*20/100),0)</f>
        <v>0</v>
      </c>
      <c r="AS34" s="13">
        <f t="shared" ref="AS34" si="38">IF(H34="ECHEC",0,(K34+I34-25000))</f>
        <v>25000</v>
      </c>
      <c r="AT34" s="15"/>
      <c r="AV34" s="15"/>
      <c r="AW34" s="15">
        <f t="shared" ref="AW34" si="39">IF(AC34=0,AI34,(1*25000*12)+AI34-AC34)</f>
        <v>0</v>
      </c>
      <c r="AX34" s="15">
        <f t="shared" ref="AX34" si="40">IF(AD34=0,AJ34,(1*75000*12)+(AJ34)-AD34)</f>
        <v>0</v>
      </c>
      <c r="AY34" s="15">
        <f t="shared" ref="AY34" si="41">IF(AE34=0,AK34,(1*100000*12)+(AK34)-AE34)</f>
        <v>0</v>
      </c>
      <c r="AZ34" s="16">
        <f t="shared" ref="AZ34" si="42">SUM(AV34:AY34)-BF34+Z34-F34+BH34+BI34+BJ34+BK34+BL34+BM34</f>
        <v>0</v>
      </c>
      <c r="BA34" s="58"/>
      <c r="BB34" s="58"/>
      <c r="BC34" s="15"/>
      <c r="BD34" s="57">
        <f t="shared" ref="BD34" si="43">IF(AZ34=0,(AZ34-BA34-BC34),(AZ34-BA34-BB34-BC34))+F34</f>
        <v>0</v>
      </c>
      <c r="BE34" s="82"/>
      <c r="BF34" s="29">
        <f t="shared" ref="BF34" si="44">Z34*1/100*BG34</f>
        <v>0</v>
      </c>
      <c r="BG34" s="29">
        <v>11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0"/>
        <v>0</v>
      </c>
      <c r="D35" s="9">
        <f>VLOOKUP(A35,[12]HISTOBQUEJANV24!$A$6:$G$46,3,0)</f>
        <v>60000</v>
      </c>
      <c r="E35" s="9">
        <f>VLOOKUP(A35,[12]HISTOBQUEJANV24!$A$6:$G$41,4,0)</f>
        <v>0</v>
      </c>
      <c r="F35" s="9">
        <f>VLOOKUP(A35,[12]HISTOBQUEJANV24!$A$6:$G$41,5,0)</f>
        <v>0</v>
      </c>
      <c r="G35" s="5">
        <f t="shared" si="7"/>
        <v>0</v>
      </c>
      <c r="H35" s="10" t="str">
        <f t="shared" si="1"/>
        <v>BANQUE</v>
      </c>
      <c r="I35" s="10">
        <v>10000</v>
      </c>
      <c r="J35" s="11">
        <v>1</v>
      </c>
      <c r="K35" s="11">
        <f t="shared" si="8"/>
        <v>50000</v>
      </c>
      <c r="L35" s="6"/>
      <c r="M35" s="11">
        <f t="shared" si="2"/>
        <v>0</v>
      </c>
      <c r="N35" s="6"/>
      <c r="O35" s="11">
        <f t="shared" si="3"/>
        <v>0</v>
      </c>
      <c r="P35" s="20"/>
      <c r="Q35" s="2"/>
      <c r="R35" s="20"/>
      <c r="S35" s="20"/>
      <c r="T35" s="12"/>
      <c r="U35" s="17">
        <f t="shared" si="13"/>
        <v>60000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9"/>
        <v>35000</v>
      </c>
      <c r="AT35" s="15"/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6"/>
        <v>0</v>
      </c>
      <c r="BG35" s="29">
        <v>11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0"/>
        <v>0</v>
      </c>
      <c r="D36" s="9">
        <f>VLOOKUP(A36,[12]HISTOBQUEJANV24!$A$6:$G$46,3,0)</f>
        <v>0</v>
      </c>
      <c r="E36" s="9">
        <f>VLOOKUP(A36,[12]HISTOBQUEJANV24!$A$6:$G$41,4,0)</f>
        <v>50000</v>
      </c>
      <c r="F36" s="9">
        <f>VLOOKUP(A36,[12]HISTOBQUEJANV24!$A$6:$G$41,5,0)</f>
        <v>0</v>
      </c>
      <c r="G36" s="5">
        <f>IF(H36="ESPECES",3000,0)-3000</f>
        <v>0</v>
      </c>
      <c r="H36" s="10" t="str">
        <f t="shared" si="1"/>
        <v>ESPECES</v>
      </c>
      <c r="I36" s="10"/>
      <c r="J36" s="11">
        <v>1</v>
      </c>
      <c r="K36" s="11">
        <f t="shared" si="8"/>
        <v>50000</v>
      </c>
      <c r="L36" s="6"/>
      <c r="M36" s="11">
        <f t="shared" si="2"/>
        <v>0</v>
      </c>
      <c r="N36" s="6"/>
      <c r="O36" s="11">
        <f t="shared" si="3"/>
        <v>0</v>
      </c>
      <c r="P36" s="20"/>
      <c r="Q36" s="2"/>
      <c r="R36" s="20"/>
      <c r="S36" s="20"/>
      <c r="T36" s="12"/>
      <c r="U36" s="17">
        <f t="shared" si="13"/>
        <v>50000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4"/>
        <v>0</v>
      </c>
      <c r="AR36" s="8">
        <f t="shared" si="5"/>
        <v>0</v>
      </c>
      <c r="AS36" s="13">
        <f t="shared" si="9"/>
        <v>25000</v>
      </c>
      <c r="AT36" s="15"/>
      <c r="AV36" s="15"/>
      <c r="AW36" s="15">
        <f t="shared" si="10"/>
        <v>0</v>
      </c>
      <c r="AX36" s="15">
        <f t="shared" si="11"/>
        <v>0</v>
      </c>
      <c r="AY36" s="15">
        <f t="shared" si="12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6"/>
        <v>0</v>
      </c>
      <c r="BG36" s="29">
        <v>11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>
        <v>100000</v>
      </c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0"/>
        <v>0</v>
      </c>
      <c r="D37" s="9">
        <f>VLOOKUP(A37,[12]HISTOBQUEJANV24!$A$6:$G$46,3,0)</f>
        <v>150000</v>
      </c>
      <c r="E37" s="9">
        <f>VLOOKUP(A37,[12]HISTOBQUEJANV24!$A$6:$G$41,4,0)</f>
        <v>25000</v>
      </c>
      <c r="F37" s="9">
        <f>VLOOKUP(A37,[12]HISTOBQUEJANV24!$A$6:$G$41,5,0)</f>
        <v>0</v>
      </c>
      <c r="G37" s="5">
        <f t="shared" ref="G37" si="45">IF(H37="ESPECES",3000,0)</f>
        <v>0</v>
      </c>
      <c r="H37" s="10" t="str">
        <f t="shared" si="1"/>
        <v>BANQUE</v>
      </c>
      <c r="I37" s="10"/>
      <c r="J37" s="11">
        <v>1</v>
      </c>
      <c r="K37" s="11">
        <f t="shared" ref="K37" si="46">IF($D37&lt;&gt;0,J37*50000,IF($E37&lt;&gt;0,J37*50000,0))</f>
        <v>50000</v>
      </c>
      <c r="L37" s="6"/>
      <c r="M37" s="11">
        <f t="shared" ref="M37" si="47">IF($D37&lt;&gt;0,L37*75000,IF($E37&lt;&gt;0,L37*75000,0))</f>
        <v>0</v>
      </c>
      <c r="N37" s="6">
        <v>1</v>
      </c>
      <c r="O37" s="11">
        <f t="shared" ref="O37" si="48">IF($D37&lt;&gt;0,N37*100000,IF($E37&lt;&gt;0,N37*100000,0))</f>
        <v>100000</v>
      </c>
      <c r="P37" s="6"/>
      <c r="Q37" s="2"/>
      <c r="R37" s="6"/>
      <c r="S37" s="6"/>
      <c r="T37" s="12"/>
      <c r="U37" s="17">
        <f t="shared" ref="U37" si="49">G37+S37++R37+P37+O37+M37+I37+K37+Q37+V37+W37</f>
        <v>175000</v>
      </c>
      <c r="V37" s="12"/>
      <c r="W37" s="12">
        <v>25000</v>
      </c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ref="AQ37" si="50">IF(H37="ECHEC",((K37+M37+O37)*20/100),0)</f>
        <v>0</v>
      </c>
      <c r="AR37" s="8">
        <f t="shared" ref="AR37" si="51">IF(H37="ECHEC",((K37+M37+O37)*20/100),0)</f>
        <v>0</v>
      </c>
      <c r="AS37" s="13">
        <f t="shared" ref="AS37" si="52">IF(H37="ECHEC",0,(K37+I37-25000))</f>
        <v>25000</v>
      </c>
      <c r="AT37" s="15"/>
      <c r="AV37" s="15"/>
      <c r="AW37" s="15">
        <f t="shared" ref="AW37" si="53">IF(AC37=0,AI37,(1*25000*12)+AI37-AC37)</f>
        <v>0</v>
      </c>
      <c r="AX37" s="15">
        <f t="shared" ref="AX37" si="54">IF(AD37=0,AJ37,(1*75000*12)+(AJ37)-AD37)</f>
        <v>0</v>
      </c>
      <c r="AY37" s="15">
        <f t="shared" ref="AY37" si="55">IF(AE37=0,AK37,(1*100000*12)+(AK37)-AE37)</f>
        <v>0</v>
      </c>
      <c r="AZ37" s="16">
        <f t="shared" ref="AZ37" si="56">SUM(AV37:AY37)-BF37+Z37-F37+BH37+BI37+BJ37+BK37+BL37+BM37</f>
        <v>0</v>
      </c>
      <c r="BA37" s="58"/>
      <c r="BB37" s="58"/>
      <c r="BC37" s="15"/>
      <c r="BD37" s="57">
        <f t="shared" ref="BD37" si="57">IF(AZ37=0,(AZ37-BA37-BC37),(AZ37-BA37-BB37-BC37))+F37</f>
        <v>0</v>
      </c>
      <c r="BE37" s="82"/>
      <c r="BF37" s="29">
        <f t="shared" ref="BF37" si="58">Z37*1/100*BG37</f>
        <v>0</v>
      </c>
      <c r="BG37" s="29">
        <v>11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0"/>
        <v>0</v>
      </c>
      <c r="D38" s="9">
        <f>VLOOKUP(A38,[12]HISTOBQUEJANV24!$A$6:$G$46,3,0)</f>
        <v>125000</v>
      </c>
      <c r="E38" s="9">
        <f>VLOOKUP(A38,[12]HISTOBQUEJANV24!$A$6:$G$41,4,0)</f>
        <v>0</v>
      </c>
      <c r="F38" s="9">
        <f>VLOOKUP(A38,[12]HISTOBQUEJANV24!$A$6:$G$41,5,0)</f>
        <v>0</v>
      </c>
      <c r="G38" s="5">
        <f t="shared" si="7"/>
        <v>0</v>
      </c>
      <c r="H38" s="10" t="str">
        <f t="shared" si="1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2"/>
        <v>75000</v>
      </c>
      <c r="N38" s="6"/>
      <c r="O38" s="11">
        <f t="shared" si="3"/>
        <v>0</v>
      </c>
      <c r="P38" s="6"/>
      <c r="Q38" s="2">
        <f>VLOOKUP(A38,[13]TONTJANV23!$A$7:$P$20,10,0)</f>
        <v>0</v>
      </c>
      <c r="R38" s="6"/>
      <c r="S38" s="6"/>
      <c r="T38" s="12"/>
      <c r="U38" s="17">
        <f t="shared" si="13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4"/>
        <v>0</v>
      </c>
      <c r="AR38" s="8">
        <f t="shared" si="5"/>
        <v>0</v>
      </c>
      <c r="AS38" s="13">
        <f t="shared" si="9"/>
        <v>25000</v>
      </c>
      <c r="AT38" s="15"/>
      <c r="AV38" s="15"/>
      <c r="AW38" s="15">
        <f t="shared" si="10"/>
        <v>0</v>
      </c>
      <c r="AX38" s="15">
        <f t="shared" si="11"/>
        <v>0</v>
      </c>
      <c r="AY38" s="15">
        <f t="shared" si="12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6"/>
        <v>0</v>
      </c>
      <c r="BG38" s="29">
        <v>11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59">SUM(C6:C39)</f>
        <v>126000</v>
      </c>
      <c r="D40" s="5">
        <f t="shared" si="59"/>
        <v>5356000</v>
      </c>
      <c r="E40" s="5">
        <f t="shared" si="59"/>
        <v>200000</v>
      </c>
      <c r="F40" s="5">
        <f t="shared" si="59"/>
        <v>0</v>
      </c>
      <c r="G40" s="5">
        <f t="shared" si="59"/>
        <v>0</v>
      </c>
      <c r="H40" s="5">
        <f t="shared" si="59"/>
        <v>0</v>
      </c>
      <c r="I40" s="5">
        <f t="shared" si="59"/>
        <v>755000</v>
      </c>
      <c r="J40" s="5">
        <f t="shared" si="59"/>
        <v>32</v>
      </c>
      <c r="K40" s="5">
        <f t="shared" si="59"/>
        <v>1600000</v>
      </c>
      <c r="L40" s="5">
        <f t="shared" si="59"/>
        <v>16</v>
      </c>
      <c r="M40" s="5">
        <f t="shared" si="59"/>
        <v>1200000</v>
      </c>
      <c r="N40" s="5">
        <f t="shared" si="59"/>
        <v>18</v>
      </c>
      <c r="O40" s="5">
        <f t="shared" si="59"/>
        <v>1800000</v>
      </c>
      <c r="P40" s="5">
        <f t="shared" si="59"/>
        <v>0</v>
      </c>
      <c r="Q40" s="5">
        <f t="shared" si="59"/>
        <v>0</v>
      </c>
      <c r="R40" s="5">
        <f t="shared" si="59"/>
        <v>0</v>
      </c>
      <c r="S40" s="5">
        <f t="shared" si="59"/>
        <v>0</v>
      </c>
      <c r="T40" s="5"/>
      <c r="U40" s="5">
        <f t="shared" ref="U40:AA40" si="60">SUM(U6:U39)</f>
        <v>5430000</v>
      </c>
      <c r="V40" s="5">
        <f t="shared" si="60"/>
        <v>0</v>
      </c>
      <c r="W40" s="5">
        <f t="shared" si="60"/>
        <v>75000</v>
      </c>
      <c r="X40" s="5">
        <f t="shared" si="60"/>
        <v>0</v>
      </c>
      <c r="Y40" s="5">
        <f t="shared" si="60"/>
        <v>0</v>
      </c>
      <c r="Z40" s="5">
        <f t="shared" si="60"/>
        <v>2000000</v>
      </c>
      <c r="AA40" s="5">
        <f t="shared" si="60"/>
        <v>0</v>
      </c>
      <c r="AB40" s="5"/>
      <c r="AC40" s="5">
        <f>SUM(AC6:AC39)</f>
        <v>38000</v>
      </c>
      <c r="AD40" s="5">
        <f>SUM(AD6:AD39)</f>
        <v>125000</v>
      </c>
      <c r="AE40" s="5">
        <f>SUM(AE6:AE39)</f>
        <v>355000</v>
      </c>
      <c r="AF40" s="5">
        <f>SUM(AF6:AF39)</f>
        <v>0</v>
      </c>
      <c r="AG40" s="5">
        <f>SUM(AG6:AG39)</f>
        <v>0</v>
      </c>
      <c r="AH40" s="5"/>
      <c r="AI40" s="5">
        <f t="shared" ref="AI40:BF40" si="61">SUM(AI6:AI39)</f>
        <v>0</v>
      </c>
      <c r="AJ40" s="5">
        <f t="shared" si="61"/>
        <v>200000</v>
      </c>
      <c r="AK40" s="5">
        <f t="shared" si="61"/>
        <v>100000</v>
      </c>
      <c r="AL40" s="5">
        <f t="shared" si="61"/>
        <v>0</v>
      </c>
      <c r="AM40" s="5">
        <f t="shared" si="61"/>
        <v>4000</v>
      </c>
      <c r="AN40" s="5">
        <f t="shared" si="61"/>
        <v>1000</v>
      </c>
      <c r="AO40" s="5">
        <f t="shared" si="61"/>
        <v>0</v>
      </c>
      <c r="AP40" s="5">
        <f t="shared" si="61"/>
        <v>0</v>
      </c>
      <c r="AQ40" s="5">
        <f t="shared" si="61"/>
        <v>0</v>
      </c>
      <c r="AR40" s="5">
        <f t="shared" si="61"/>
        <v>0</v>
      </c>
      <c r="AS40" s="5">
        <f t="shared" si="61"/>
        <v>1555000</v>
      </c>
      <c r="AT40" s="5">
        <f t="shared" si="61"/>
        <v>120000</v>
      </c>
      <c r="AU40" s="5">
        <f t="shared" si="61"/>
        <v>0</v>
      </c>
      <c r="AV40" s="5">
        <f t="shared" si="61"/>
        <v>0</v>
      </c>
      <c r="AW40" s="5">
        <f t="shared" si="61"/>
        <v>862000</v>
      </c>
      <c r="AX40" s="5">
        <f t="shared" si="61"/>
        <v>1875000</v>
      </c>
      <c r="AY40" s="5">
        <f t="shared" si="61"/>
        <v>3345000</v>
      </c>
      <c r="AZ40" s="5">
        <f t="shared" si="61"/>
        <v>8699000</v>
      </c>
      <c r="BA40" s="5">
        <f t="shared" si="61"/>
        <v>790000</v>
      </c>
      <c r="BB40" s="5">
        <f t="shared" si="61"/>
        <v>0</v>
      </c>
      <c r="BC40" s="5">
        <f t="shared" si="61"/>
        <v>0</v>
      </c>
      <c r="BD40" s="5">
        <f t="shared" si="61"/>
        <v>7965000</v>
      </c>
      <c r="BE40" s="5">
        <f t="shared" si="61"/>
        <v>0</v>
      </c>
      <c r="BF40" s="5">
        <f t="shared" si="61"/>
        <v>176000</v>
      </c>
      <c r="BH40" s="5">
        <f t="shared" ref="BH40:BL40" si="62">SUM(BH6:BH39)</f>
        <v>27000</v>
      </c>
      <c r="BI40" s="5">
        <f t="shared" si="62"/>
        <v>500000</v>
      </c>
      <c r="BJ40" s="5">
        <f t="shared" si="62"/>
        <v>0</v>
      </c>
      <c r="BK40" s="5">
        <f t="shared" si="62"/>
        <v>200000</v>
      </c>
      <c r="BL40" s="5">
        <f t="shared" si="62"/>
        <v>0</v>
      </c>
      <c r="BM40" s="5">
        <f>SUM(BM6:BM39)</f>
        <v>0</v>
      </c>
      <c r="BN40" s="62" t="s">
        <v>142</v>
      </c>
      <c r="BP40" s="62">
        <f>SUM(BP36:BP38)</f>
        <v>100000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4"/>
      <c r="E44" s="84"/>
      <c r="F44" s="3" t="s">
        <v>9</v>
      </c>
      <c r="G44" s="84"/>
      <c r="H44" s="84"/>
      <c r="I44" s="84"/>
      <c r="Z44" s="12"/>
      <c r="AI44" s="5"/>
      <c r="AV44" s="3"/>
      <c r="AW44" s="84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8699000</v>
      </c>
      <c r="D47" s="9">
        <f>SUMIFS(D8:D40,H8:H40,"BANQUE")</f>
        <v>5125000</v>
      </c>
      <c r="F47" s="9">
        <f>E40</f>
        <v>200000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16771000</v>
      </c>
    </row>
  </sheetData>
  <autoFilter ref="A5:AF38"/>
  <mergeCells count="1">
    <mergeCell ref="B4:M4"/>
  </mergeCells>
  <dataValidations count="2">
    <dataValidation type="list" allowBlank="1" showInputMessage="1" showErrorMessage="1" sqref="AF6:AF38">
      <formula1>MODEVERSEMENTS</formula1>
    </dataValidation>
    <dataValidation type="list" allowBlank="1" showInputMessage="1" showErrorMessage="1" sqref="T6:T38 AA6:AA38 AP6:AP38">
      <formula1>"BANQUE,ESPECES, 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D6" sqref="D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 t="shared" ref="C6:C38" si="0">D6+E6+F6-U6-BB6</f>
        <v>0</v>
      </c>
      <c r="D6" s="9">
        <f>VLOOKUP(A6,[12]HISTOBQUEJANV24!$A$6:$G$46,3,0)</f>
        <v>175000</v>
      </c>
      <c r="E6" s="9">
        <f>VLOOKUP(A6,[12]HISTOBQUEJANV24!$A$6:$G$41,4,0)</f>
        <v>0</v>
      </c>
      <c r="F6" s="9">
        <f>VLOOKUP(A6,[12]HISTOBQUEJANV24!$A$6:$G$41,5,0)</f>
        <v>0</v>
      </c>
      <c r="G6" s="5">
        <f>IF(H6="ESPECES",3000,0)</f>
        <v>0</v>
      </c>
      <c r="H6" s="10" t="str">
        <f t="shared" ref="H6:H38" si="1">IF($D6&lt;&gt;0,"BANQUE",IF($E6&lt;&gt;0,"ESPECES","ECHEC"))</f>
        <v>BANQUE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2">IF($D6&lt;&gt;0,L6*75000,IF($E6&lt;&gt;0,L6*75000,0))</f>
        <v>75000</v>
      </c>
      <c r="N6" s="6">
        <v>1</v>
      </c>
      <c r="O6" s="11">
        <f t="shared" ref="O6:O38" si="3">IF($D6&lt;&gt;0,N6*100000,IF($E6&lt;&gt;0,N6*100000,0))</f>
        <v>100000</v>
      </c>
      <c r="P6" s="20"/>
      <c r="Q6" s="2"/>
      <c r="R6" s="20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4">IF(H6="ECHEC",((K6+M6+O6)*20/100),0)</f>
        <v>0</v>
      </c>
      <c r="AR6" s="8">
        <f t="shared" ref="AR6:AR38" si="5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627000</v>
      </c>
      <c r="BA6" s="58">
        <v>27000</v>
      </c>
      <c r="BB6" s="58"/>
      <c r="BC6" s="15"/>
      <c r="BD6" s="57">
        <f>IF(AZ6=0,(AZ6-BA6-BC6),(AZ6-BA6-BB6-BC6))</f>
        <v>600000</v>
      </c>
      <c r="BE6" s="82"/>
      <c r="BF6" s="29">
        <f t="shared" ref="BF6:BF38" si="6">Z6*1/100*BG6</f>
        <v>0</v>
      </c>
      <c r="BG6" s="29">
        <v>11</v>
      </c>
      <c r="BH6" s="15">
        <f>BP16</f>
        <v>27000</v>
      </c>
      <c r="BI6" s="15">
        <f>BP28</f>
        <v>500000</v>
      </c>
      <c r="BJ6" s="15">
        <f>BP33</f>
        <v>0</v>
      </c>
      <c r="BK6" s="15">
        <f>+BP40</f>
        <v>100000</v>
      </c>
      <c r="BL6" s="15"/>
      <c r="BM6" s="15">
        <f>BP22</f>
        <v>0</v>
      </c>
      <c r="BN6" t="s">
        <v>115</v>
      </c>
      <c r="BO6" t="s">
        <v>114</v>
      </c>
      <c r="BP6" s="6">
        <v>8500</v>
      </c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9">
        <f t="shared" si="0"/>
        <v>6000</v>
      </c>
      <c r="D7" s="9">
        <f>VLOOKUP(A7,[12]HISTOBQUEJANV24!$A$6:$G$46,3,0)</f>
        <v>56000</v>
      </c>
      <c r="E7" s="9">
        <f>VLOOKUP(A7,[12]HISTOBQUEJANV24!$A$6:$G$41,4,0)</f>
        <v>0</v>
      </c>
      <c r="F7" s="9">
        <f>VLOOKUP(A7,[12]HISTOBQUEJANV24!$A$6:$G$41,5,0)</f>
        <v>0</v>
      </c>
      <c r="G7" s="5">
        <f t="shared" ref="G7:G38" si="7">IF(H7="ESPECES",3000,0)</f>
        <v>0</v>
      </c>
      <c r="H7" s="10" t="str">
        <f t="shared" si="1"/>
        <v>BANQUE</v>
      </c>
      <c r="I7" s="10"/>
      <c r="J7" s="11">
        <v>1</v>
      </c>
      <c r="K7" s="11">
        <f t="shared" ref="K7:K38" si="8">IF($D7&lt;&gt;0,J7*50000,IF($E7&lt;&gt;0,J7*50000,0))</f>
        <v>50000</v>
      </c>
      <c r="L7" s="6"/>
      <c r="M7" s="11">
        <f t="shared" si="2"/>
        <v>0</v>
      </c>
      <c r="N7" s="6"/>
      <c r="O7" s="11">
        <f t="shared" si="3"/>
        <v>0</v>
      </c>
      <c r="P7" s="20"/>
      <c r="Q7" s="2"/>
      <c r="R7" s="20"/>
      <c r="S7" s="20"/>
      <c r="T7" s="12"/>
      <c r="U7" s="17">
        <f>G7+S7++R7+P7+O7+M7+I7+K7+Q7+V7+W7</f>
        <v>50000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8" si="9">IF(H7="ECHEC",0,(K7+I7-25000))</f>
        <v>25000</v>
      </c>
      <c r="AT7" s="15"/>
      <c r="AV7" s="15"/>
      <c r="AW7" s="15">
        <f t="shared" ref="AW7:AW38" si="10">IF(AC7=0,AI7,(1*25000*12)+AI7-AC7)</f>
        <v>0</v>
      </c>
      <c r="AX7" s="15">
        <f t="shared" ref="AX7:AX38" si="11">IF(AD7=0,AJ7,(1*75000*12)+(AJ7)-AD7)</f>
        <v>0</v>
      </c>
      <c r="AY7" s="15">
        <f t="shared" ref="AY7:AY38" si="12">IF(AE7=0,AK7,(1*100000*12)+(AK7)-AE7)</f>
        <v>0</v>
      </c>
      <c r="AZ7" s="16">
        <f>SUM(AV7:AY7)-BF7+Z7-F7+BH7+BI7+BJ7+BK7+BL7+BM7+6000</f>
        <v>0</v>
      </c>
      <c r="BA7" s="58"/>
      <c r="BB7" s="58"/>
      <c r="BC7" s="15"/>
      <c r="BD7" s="57">
        <f>IF(AZ7=0,(AZ7-BA7-BC7),(AZ7-BA7-BB7-BC7))+F7</f>
        <v>0</v>
      </c>
      <c r="BE7" s="82"/>
      <c r="BF7" s="29">
        <f>Z7*1/100*BG7+6000</f>
        <v>6000</v>
      </c>
      <c r="BG7" s="29">
        <v>11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5">
        <f t="shared" si="0"/>
        <v>0</v>
      </c>
      <c r="D8" s="9">
        <f>VLOOKUP(A8,[12]HISTOBQUEJANV24!$A$6:$G$46,3,0)</f>
        <v>125000</v>
      </c>
      <c r="E8" s="9">
        <f>VLOOKUP(A8,[12]HISTOBQUEJANV24!$A$6:$G$41,4,0)</f>
        <v>0</v>
      </c>
      <c r="F8" s="9">
        <f>VLOOKUP(A8,[12]HISTOBQUEJANV24!$A$6:$G$41,5,0)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0"/>
      <c r="Q8" s="2">
        <f>VLOOKUP(A8,[13]TONTJANV23!$A$7:$P$20,10,0)</f>
        <v>0</v>
      </c>
      <c r="R8" s="2"/>
      <c r="S8" s="20"/>
      <c r="T8" s="12"/>
      <c r="U8" s="17">
        <f t="shared" ref="U8:U38" si="13">G8+S8++R8+P8+O8+M8+I8+K8+Q8+V8+W8</f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9"/>
        <v>25000</v>
      </c>
      <c r="AT8" s="15"/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ref="AZ8:AZ38" si="14">SUM(AV8:AY8)-BF8+Z8-F8+BH8+BI8+BJ8+BK8+BL8+BM8</f>
        <v>0</v>
      </c>
      <c r="BA8" s="58"/>
      <c r="BB8" s="58"/>
      <c r="BC8" s="15"/>
      <c r="BD8" s="57">
        <f t="shared" ref="BD8:BD38" si="15">IF(AZ8=0,(AZ8-BA8-BC8),(AZ8-BA8-BB8-BC8))+F8</f>
        <v>0</v>
      </c>
      <c r="BE8" s="82"/>
      <c r="BF8" s="29">
        <f t="shared" si="6"/>
        <v>0</v>
      </c>
      <c r="BG8" s="29">
        <v>11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0"/>
        <v>0</v>
      </c>
      <c r="D9" s="9">
        <f>VLOOKUP(A9,[12]HISTOBQUEJANV24!$A$6:$G$46,3,0)</f>
        <v>250000</v>
      </c>
      <c r="E9" s="9">
        <f>VLOOKUP(A9,[12]HISTOBQUEJANV24!$A$6:$G$41,4,0)</f>
        <v>0</v>
      </c>
      <c r="F9" s="9">
        <f>VLOOKUP(A9,[12]HISTOBQUEJANV24!$A$6:$G$41,5,0)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8"/>
        <v>50000</v>
      </c>
      <c r="L9" s="6"/>
      <c r="M9" s="11">
        <f t="shared" si="2"/>
        <v>0</v>
      </c>
      <c r="N9" s="6">
        <v>2</v>
      </c>
      <c r="O9" s="11">
        <f t="shared" si="3"/>
        <v>200000</v>
      </c>
      <c r="P9" s="20"/>
      <c r="Q9" s="2"/>
      <c r="R9" s="20"/>
      <c r="S9" s="20"/>
      <c r="T9" s="12"/>
      <c r="U9" s="17">
        <f t="shared" si="13"/>
        <v>250000</v>
      </c>
      <c r="V9" s="12"/>
      <c r="W9" s="12"/>
      <c r="X9" s="12"/>
      <c r="Y9" s="12"/>
      <c r="Z9" s="12"/>
      <c r="AA9" s="12"/>
      <c r="AB9" s="12"/>
      <c r="AC9" s="12"/>
      <c r="AD9" s="12"/>
      <c r="AE9" s="12">
        <v>115000</v>
      </c>
      <c r="AF9" s="12" t="s">
        <v>8</v>
      </c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9"/>
        <v>25000</v>
      </c>
      <c r="AT9" s="15"/>
      <c r="AV9" s="15"/>
      <c r="AW9" s="15">
        <f t="shared" si="10"/>
        <v>0</v>
      </c>
      <c r="AX9" s="15">
        <f t="shared" si="11"/>
        <v>0</v>
      </c>
      <c r="AY9" s="15">
        <f t="shared" si="12"/>
        <v>1085000</v>
      </c>
      <c r="AZ9" s="16">
        <f t="shared" si="14"/>
        <v>1085000</v>
      </c>
      <c r="BA9" s="58">
        <v>500000</v>
      </c>
      <c r="BB9" s="58"/>
      <c r="BC9" s="15"/>
      <c r="BD9" s="57">
        <f t="shared" si="15"/>
        <v>585000</v>
      </c>
      <c r="BE9" s="82"/>
      <c r="BF9" s="29">
        <f t="shared" si="6"/>
        <v>0</v>
      </c>
      <c r="BG9" s="29">
        <v>11</v>
      </c>
      <c r="BH9" s="15"/>
      <c r="BI9" s="15"/>
      <c r="BJ9" s="15"/>
      <c r="BK9" s="15"/>
      <c r="BL9" s="61"/>
      <c r="BN9" t="s">
        <v>196</v>
      </c>
      <c r="BO9" t="s">
        <v>114</v>
      </c>
      <c r="BP9" s="6">
        <v>18500</v>
      </c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0"/>
        <v>0</v>
      </c>
      <c r="D10" s="9">
        <f>VLOOKUP(A10,[12]HISTOBQUEJANV24!$A$6:$G$46,3,0)</f>
        <v>125000</v>
      </c>
      <c r="E10" s="9">
        <f>VLOOKUP(A10,[12]HISTOBQUEJANV24!$A$6:$G$41,4,0)</f>
        <v>0</v>
      </c>
      <c r="F10" s="9">
        <f>VLOOKUP(A10,[12]HISTOBQUEJANV24!$A$6:$G$41,5,0)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8"/>
        <v>50000</v>
      </c>
      <c r="L10" s="6">
        <v>1</v>
      </c>
      <c r="M10" s="11">
        <f t="shared" si="2"/>
        <v>75000</v>
      </c>
      <c r="N10" s="6"/>
      <c r="O10" s="11">
        <f t="shared" si="3"/>
        <v>0</v>
      </c>
      <c r="P10" s="20"/>
      <c r="Q10" s="2"/>
      <c r="R10" s="20"/>
      <c r="S10" s="20"/>
      <c r="T10" s="12"/>
      <c r="U10" s="17">
        <f t="shared" si="13"/>
        <v>125000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>
        <f>50000+50000</f>
        <v>100000</v>
      </c>
      <c r="AK10" s="12"/>
      <c r="AL10" s="12"/>
      <c r="AM10" s="12">
        <v>2000</v>
      </c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9"/>
        <v>25000</v>
      </c>
      <c r="AT10" s="15"/>
      <c r="AV10" s="15"/>
      <c r="AW10" s="15">
        <f t="shared" si="10"/>
        <v>0</v>
      </c>
      <c r="AX10" s="15">
        <f t="shared" si="11"/>
        <v>100000</v>
      </c>
      <c r="AY10" s="15">
        <f t="shared" si="12"/>
        <v>0</v>
      </c>
      <c r="AZ10" s="16">
        <f t="shared" si="14"/>
        <v>100000</v>
      </c>
      <c r="BA10" s="58"/>
      <c r="BB10" s="58"/>
      <c r="BC10" s="15"/>
      <c r="BD10" s="57">
        <f t="shared" si="15"/>
        <v>100000</v>
      </c>
      <c r="BE10" s="82"/>
      <c r="BF10" s="29">
        <f t="shared" si="6"/>
        <v>0</v>
      </c>
      <c r="BG10" s="29">
        <v>11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0"/>
        <v>0</v>
      </c>
      <c r="D11" s="9">
        <f>VLOOKUP(A11,[12]HISTOBQUEJANV24!$A$6:$G$46,3,0)</f>
        <v>125000</v>
      </c>
      <c r="E11" s="9">
        <f>VLOOKUP(A11,[12]HISTOBQUEJANV24!$A$6:$G$41,4,0)</f>
        <v>0</v>
      </c>
      <c r="F11" s="9">
        <f>VLOOKUP(A11,[12]HISTOBQUEJANV24!$A$6:$G$41,5,0)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8"/>
        <v>50000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0"/>
      <c r="Q11" s="2">
        <f>VLOOKUP(A11,[13]TONTJANV23!$A$7:$P$20,10,0)</f>
        <v>0</v>
      </c>
      <c r="R11" s="20"/>
      <c r="S11" s="20"/>
      <c r="T11" s="12"/>
      <c r="U11" s="17">
        <f t="shared" si="13"/>
        <v>125000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f>50000+50000</f>
        <v>100000</v>
      </c>
      <c r="AK11" s="12"/>
      <c r="AL11" s="12"/>
      <c r="AM11" s="12">
        <v>2000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9"/>
        <v>25000</v>
      </c>
      <c r="AT11" s="15"/>
      <c r="AV11" s="15"/>
      <c r="AW11" s="15">
        <f t="shared" si="10"/>
        <v>0</v>
      </c>
      <c r="AX11" s="15">
        <f t="shared" si="11"/>
        <v>100000</v>
      </c>
      <c r="AY11" s="15">
        <f t="shared" si="12"/>
        <v>0</v>
      </c>
      <c r="AZ11" s="16">
        <f t="shared" si="14"/>
        <v>100000</v>
      </c>
      <c r="BA11" s="58">
        <v>100000</v>
      </c>
      <c r="BB11" s="58"/>
      <c r="BC11" s="15"/>
      <c r="BD11" s="57">
        <f t="shared" si="15"/>
        <v>0</v>
      </c>
      <c r="BE11" s="82"/>
      <c r="BF11" s="29">
        <f t="shared" si="6"/>
        <v>0</v>
      </c>
      <c r="BG11" s="29">
        <v>11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0"/>
        <v>0</v>
      </c>
      <c r="D12" s="9">
        <f>VLOOKUP(A12,[12]HISTOBQUEJANV24!$A$6:$G$46,3,0)</f>
        <v>330000</v>
      </c>
      <c r="E12" s="9">
        <f>VLOOKUP(A12,[12]HISTOBQUEJANV24!$A$6:$G$41,4,0)</f>
        <v>0</v>
      </c>
      <c r="F12" s="9">
        <f>VLOOKUP(A12,[12]HISTOBQUEJANV24!$A$6:$G$41,5,0)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8"/>
        <v>50000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0"/>
      <c r="Q12" s="2">
        <f>VLOOKUP(A12,[13]TONTJANV23!$A$7:$P$20,10,0)</f>
        <v>0</v>
      </c>
      <c r="R12" s="20"/>
      <c r="S12" s="20"/>
      <c r="T12" s="12"/>
      <c r="U12" s="17">
        <f t="shared" si="13"/>
        <v>330000</v>
      </c>
      <c r="V12" s="12"/>
      <c r="W12" s="12"/>
      <c r="X12" s="12"/>
      <c r="Y12" s="12"/>
      <c r="Z12" s="12"/>
      <c r="AA12" s="12"/>
      <c r="AB12" s="12"/>
      <c r="AC12" s="12"/>
      <c r="AD12" s="12">
        <v>60000</v>
      </c>
      <c r="AE12" s="12"/>
      <c r="AF12" s="12" t="s">
        <v>8</v>
      </c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9"/>
        <v>30000</v>
      </c>
      <c r="AT12" s="15"/>
      <c r="AV12" s="15"/>
      <c r="AW12" s="15">
        <f t="shared" si="10"/>
        <v>0</v>
      </c>
      <c r="AX12" s="15">
        <f t="shared" si="11"/>
        <v>840000</v>
      </c>
      <c r="AY12" s="15">
        <f t="shared" si="12"/>
        <v>0</v>
      </c>
      <c r="AZ12" s="16">
        <f t="shared" si="14"/>
        <v>840000</v>
      </c>
      <c r="BA12" s="58"/>
      <c r="BB12" s="58"/>
      <c r="BC12" s="15"/>
      <c r="BD12" s="57">
        <f t="shared" si="15"/>
        <v>840000</v>
      </c>
      <c r="BE12" s="82"/>
      <c r="BF12" s="29">
        <f t="shared" si="6"/>
        <v>0</v>
      </c>
      <c r="BG12" s="29">
        <v>11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0"/>
        <v>0</v>
      </c>
      <c r="D13" s="9">
        <f>VLOOKUP(A13,[12]HISTOBQUEJANV24!$A$6:$G$46,3,0)</f>
        <v>50000</v>
      </c>
      <c r="E13" s="9">
        <f>VLOOKUP(A13,[12]HISTOBQUEJANV24!$A$6:$G$41,4,0)</f>
        <v>0</v>
      </c>
      <c r="F13" s="9">
        <f>VLOOKUP(A13,[12]HISTOBQUEJANV24!$A$6:$G$41,5,0)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2"/>
        <v>0</v>
      </c>
      <c r="N13" s="6"/>
      <c r="O13" s="11">
        <f t="shared" si="3"/>
        <v>0</v>
      </c>
      <c r="P13" s="20"/>
      <c r="Q13" s="2"/>
      <c r="R13" s="20"/>
      <c r="S13" s="20"/>
      <c r="T13" s="12"/>
      <c r="U13" s="17">
        <f t="shared" si="13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9"/>
        <v>25000</v>
      </c>
      <c r="AT13" s="15"/>
      <c r="AV13" s="15"/>
      <c r="AW13" s="15">
        <f t="shared" si="10"/>
        <v>0</v>
      </c>
      <c r="AX13" s="15">
        <f t="shared" si="11"/>
        <v>0</v>
      </c>
      <c r="AY13" s="15">
        <f t="shared" si="12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6"/>
        <v>0</v>
      </c>
      <c r="BG13" s="29">
        <v>11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0"/>
        <v>0</v>
      </c>
      <c r="D14" s="9">
        <f>VLOOKUP(A14,[12]HISTOBQUEJANV24!$A$6:$G$46,3,0)</f>
        <v>0</v>
      </c>
      <c r="E14" s="9">
        <f>VLOOKUP(A14,[12]HISTOBQUEJANV24!$A$6:$G$41,4,0)</f>
        <v>50000</v>
      </c>
      <c r="F14" s="9">
        <f>VLOOKUP(A14,[12]HISTOBQUEJANV24!$A$6:$G$41,5,0)</f>
        <v>0</v>
      </c>
      <c r="G14" s="5">
        <f>IF(H14="ESPECES",3000,0)-3000</f>
        <v>0</v>
      </c>
      <c r="H14" s="10" t="str">
        <f t="shared" si="1"/>
        <v>ESPECES</v>
      </c>
      <c r="I14" s="10"/>
      <c r="J14" s="11">
        <v>1</v>
      </c>
      <c r="K14" s="11">
        <f t="shared" si="8"/>
        <v>50000</v>
      </c>
      <c r="L14" s="6"/>
      <c r="M14" s="11">
        <f t="shared" si="2"/>
        <v>0</v>
      </c>
      <c r="N14" s="6"/>
      <c r="O14" s="11">
        <f t="shared" si="3"/>
        <v>0</v>
      </c>
      <c r="P14" s="20"/>
      <c r="Q14" s="2"/>
      <c r="R14" s="20"/>
      <c r="S14" s="20"/>
      <c r="T14" s="12"/>
      <c r="U14" s="17">
        <f t="shared" si="13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9"/>
        <v>25000</v>
      </c>
      <c r="AT14" s="15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6"/>
        <v>0</v>
      </c>
      <c r="BG14" s="29">
        <v>11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0"/>
        <v>0</v>
      </c>
      <c r="D15" s="9">
        <f>VLOOKUP(A15,[12]HISTOBQUEJANV24!$A$6:$G$46,3,0)</f>
        <v>125000</v>
      </c>
      <c r="E15" s="9">
        <f>VLOOKUP(A15,[12]HISTOBQUEJANV24!$A$6:$G$41,4,0)</f>
        <v>0</v>
      </c>
      <c r="F15" s="9">
        <f>VLOOKUP(A15,[12]HISTOBQUEJANV24!$A$6:$G$41,5,0)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0"/>
      <c r="Q15" s="2">
        <f>VLOOKUP(A15,[13]TONTJANV23!$A$7:$P$20,10,0)</f>
        <v>0</v>
      </c>
      <c r="R15" s="20"/>
      <c r="S15" s="20"/>
      <c r="T15" s="12"/>
      <c r="U15" s="17">
        <f t="shared" si="13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9"/>
        <v>25000</v>
      </c>
      <c r="AT15" s="15"/>
      <c r="AV15" s="15"/>
      <c r="AW15" s="15">
        <f t="shared" si="10"/>
        <v>0</v>
      </c>
      <c r="AX15" s="15">
        <f t="shared" si="11"/>
        <v>0</v>
      </c>
      <c r="AY15" s="15">
        <f t="shared" si="12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6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0"/>
        <v>0</v>
      </c>
      <c r="D16" s="9">
        <f>VLOOKUP(A16,[12]HISTOBQUEJANV24!$A$6:$G$46,3,0)</f>
        <v>260000</v>
      </c>
      <c r="E16" s="9">
        <f>VLOOKUP(A16,[12]HISTOBQUEJANV24!$A$6:$G$41,4,0)</f>
        <v>0</v>
      </c>
      <c r="F16" s="9">
        <f>VLOOKUP(A16,[12]HISTOBQUEJANV24!$A$6:$G$41,5,0)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8"/>
        <v>50000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0"/>
      <c r="Q16" s="2">
        <f>VLOOKUP(A16,[13]TONTJANV23!$A$7:$P$20,10,0)</f>
        <v>0</v>
      </c>
      <c r="R16" s="20"/>
      <c r="S16" s="20"/>
      <c r="T16" s="12"/>
      <c r="U16" s="17">
        <f t="shared" si="13"/>
        <v>260000</v>
      </c>
      <c r="V16" s="12"/>
      <c r="W16" s="12"/>
      <c r="X16" s="12"/>
      <c r="Y16" s="12"/>
      <c r="Z16" s="12"/>
      <c r="AA16" s="12"/>
      <c r="AB16" s="12"/>
      <c r="AC16" s="12">
        <v>12000</v>
      </c>
      <c r="AD16" s="12"/>
      <c r="AE16" s="12"/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9"/>
        <v>60000</v>
      </c>
      <c r="AT16" s="15"/>
      <c r="AV16" s="15"/>
      <c r="AW16" s="15">
        <f t="shared" si="10"/>
        <v>288000</v>
      </c>
      <c r="AX16" s="15">
        <f t="shared" si="11"/>
        <v>0</v>
      </c>
      <c r="AY16" s="15">
        <f t="shared" si="12"/>
        <v>0</v>
      </c>
      <c r="AZ16" s="16">
        <f t="shared" si="14"/>
        <v>288000</v>
      </c>
      <c r="BA16" s="58"/>
      <c r="BB16" s="58"/>
      <c r="BC16" s="15"/>
      <c r="BD16" s="57">
        <f t="shared" si="15"/>
        <v>288000</v>
      </c>
      <c r="BE16" s="82"/>
      <c r="BF16" s="29">
        <f t="shared" si="6"/>
        <v>0</v>
      </c>
      <c r="BG16" s="29">
        <v>11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27000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0"/>
        <v>0</v>
      </c>
      <c r="D17" s="9">
        <f>VLOOKUP(A17,[12]HISTOBQUEJANV24!$A$6:$G$46,3,0)</f>
        <v>150000</v>
      </c>
      <c r="E17" s="9">
        <f>VLOOKUP(A17,[12]HISTOBQUEJANV24!$A$6:$G$41,4,0)</f>
        <v>0</v>
      </c>
      <c r="F17" s="9">
        <f>VLOOKUP(A17,[12]HISTOBQUEJANV24!$A$6:$G$41,5,0)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0"/>
      <c r="Q17" s="2"/>
      <c r="R17" s="20"/>
      <c r="S17" s="20"/>
      <c r="T17" s="12"/>
      <c r="U17" s="17">
        <f t="shared" si="13"/>
        <v>150000</v>
      </c>
      <c r="V17" s="12"/>
      <c r="W17" s="12"/>
      <c r="X17" s="12"/>
      <c r="Y17" s="12"/>
      <c r="Z17" s="12">
        <v>1000000</v>
      </c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100000</v>
      </c>
      <c r="AL17" s="12"/>
      <c r="AM17" s="12"/>
      <c r="AN17" s="12">
        <v>1000</v>
      </c>
      <c r="AO17" s="12"/>
      <c r="AP17" s="12"/>
      <c r="AQ17" s="8">
        <f t="shared" si="4"/>
        <v>0</v>
      </c>
      <c r="AR17" s="8">
        <f t="shared" si="5"/>
        <v>0</v>
      </c>
      <c r="AS17" s="13">
        <f t="shared" si="9"/>
        <v>25000</v>
      </c>
      <c r="AT17" s="15"/>
      <c r="AV17" s="15"/>
      <c r="AW17" s="15">
        <f t="shared" si="10"/>
        <v>0</v>
      </c>
      <c r="AX17" s="15">
        <f t="shared" si="11"/>
        <v>0</v>
      </c>
      <c r="AY17" s="15">
        <f t="shared" si="12"/>
        <v>100000</v>
      </c>
      <c r="AZ17" s="16">
        <f>SUM(AV17:AY17)-BF17+Z17-F17+BH17+BI17+BJ17+BK17+BL17+BM17+60000</f>
        <v>1150000</v>
      </c>
      <c r="BA17" s="58">
        <v>100000</v>
      </c>
      <c r="BB17" s="58"/>
      <c r="BC17" s="15"/>
      <c r="BD17" s="57">
        <f t="shared" si="15"/>
        <v>1050000</v>
      </c>
      <c r="BE17" s="82"/>
      <c r="BF17" s="29">
        <f t="shared" si="6"/>
        <v>110000</v>
      </c>
      <c r="BG17" s="29">
        <v>11</v>
      </c>
      <c r="BH17" s="15"/>
      <c r="BI17" s="15"/>
      <c r="BJ17" s="15"/>
      <c r="BK17" s="15">
        <v>100000</v>
      </c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0"/>
        <v>0</v>
      </c>
      <c r="D18" s="9">
        <f>VLOOKUP(A18,[12]HISTOBQUEJANV24!$A$6:$G$46,3,0)</f>
        <v>150000</v>
      </c>
      <c r="E18" s="9">
        <f>VLOOKUP(A18,[12]HISTOBQUEJANV24!$A$6:$G$41,4,0)</f>
        <v>0</v>
      </c>
      <c r="F18" s="9">
        <f>VLOOKUP(A18,[12]HISTOBQUEJANV24!$A$6:$G$41,5,0)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8"/>
        <v>50000</v>
      </c>
      <c r="L18" s="6"/>
      <c r="M18" s="11">
        <f t="shared" si="2"/>
        <v>0</v>
      </c>
      <c r="N18" s="6">
        <v>1</v>
      </c>
      <c r="O18" s="11">
        <f t="shared" si="3"/>
        <v>100000</v>
      </c>
      <c r="P18" s="20"/>
      <c r="Q18" s="2"/>
      <c r="R18" s="20"/>
      <c r="S18" s="20"/>
      <c r="T18" s="12"/>
      <c r="U18" s="17">
        <f t="shared" si="13"/>
        <v>150000</v>
      </c>
      <c r="V18" s="12"/>
      <c r="W18" s="12"/>
      <c r="X18" s="12"/>
      <c r="Y18" s="12"/>
      <c r="Z18" s="12"/>
      <c r="AA18" s="12"/>
      <c r="AB18" s="12"/>
      <c r="AC18" s="12">
        <v>13000</v>
      </c>
      <c r="AD18" s="12"/>
      <c r="AE18" s="12"/>
      <c r="AF18" s="12" t="s">
        <v>8</v>
      </c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9"/>
        <v>25000</v>
      </c>
      <c r="AT18" s="15"/>
      <c r="AV18" s="15"/>
      <c r="AW18" s="15">
        <f t="shared" si="10"/>
        <v>287000</v>
      </c>
      <c r="AX18" s="15">
        <f t="shared" si="11"/>
        <v>0</v>
      </c>
      <c r="AY18" s="15">
        <f t="shared" si="12"/>
        <v>0</v>
      </c>
      <c r="AZ18" s="16">
        <f t="shared" si="14"/>
        <v>287000</v>
      </c>
      <c r="BA18" s="58"/>
      <c r="BB18" s="58"/>
      <c r="BC18" s="15"/>
      <c r="BD18" s="57">
        <f t="shared" si="15"/>
        <v>287000</v>
      </c>
      <c r="BE18" s="82"/>
      <c r="BF18" s="29">
        <f t="shared" si="6"/>
        <v>0</v>
      </c>
      <c r="BG18" s="29">
        <v>11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ref="C19" si="16">D19+E19+F19-U19-BB19</f>
        <v>0</v>
      </c>
      <c r="D19" s="9">
        <f>VLOOKUP(A19,[12]HISTOBQUEJANV24!$A$6:$G$46,3,0)</f>
        <v>50000</v>
      </c>
      <c r="E19" s="9">
        <f>VLOOKUP(A19,[12]HISTOBQUEJANV24!$A$6:$G$41,4,0)</f>
        <v>25000</v>
      </c>
      <c r="F19" s="9">
        <f>VLOOKUP(A19,[12]HISTOBQUEJANV24!$A$6:$G$41,5,0)</f>
        <v>0</v>
      </c>
      <c r="G19" s="5">
        <f t="shared" ref="G19" si="17">IF(H19="ESPECES",3000,0)</f>
        <v>0</v>
      </c>
      <c r="H19" s="10" t="str">
        <f t="shared" si="1"/>
        <v>BANQUE</v>
      </c>
      <c r="I19" s="10"/>
      <c r="J19" s="11">
        <v>1</v>
      </c>
      <c r="K19" s="11">
        <f t="shared" ref="K19" si="18">IF($D19&lt;&gt;0,J19*50000,IF($E19&lt;&gt;0,J19*50000,0))</f>
        <v>50000</v>
      </c>
      <c r="L19" s="6"/>
      <c r="M19" s="11">
        <f t="shared" ref="M19" si="19">IF($D19&lt;&gt;0,L19*75000,IF($E19&lt;&gt;0,L19*75000,0))</f>
        <v>0</v>
      </c>
      <c r="N19" s="6"/>
      <c r="O19" s="11">
        <f t="shared" ref="O19" si="20">IF($D19&lt;&gt;0,N19*100000,IF($E19&lt;&gt;0,N19*100000,0))</f>
        <v>0</v>
      </c>
      <c r="P19" s="20"/>
      <c r="Q19" s="2"/>
      <c r="R19" s="20"/>
      <c r="S19" s="20"/>
      <c r="T19" s="12"/>
      <c r="U19" s="17">
        <f t="shared" ref="U19" si="21">G19+S19++R19+P19+O19+M19+I19+K19+Q19+V19+W19</f>
        <v>75000</v>
      </c>
      <c r="V19" s="12"/>
      <c r="W19" s="12">
        <v>25000</v>
      </c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ref="AQ19" si="22">IF(H19="ECHEC",((K19+M19+O19)*20/100),0)</f>
        <v>0</v>
      </c>
      <c r="AR19" s="8">
        <f t="shared" ref="AR19" si="23">IF(H19="ECHEC",((K19+M19+O19)*20/100),0)</f>
        <v>0</v>
      </c>
      <c r="AS19" s="13">
        <f t="shared" ref="AS19" si="24">IF(H19="ECHEC",0,(K19+I19-25000))</f>
        <v>25000</v>
      </c>
      <c r="AT19" s="15"/>
      <c r="AV19" s="15"/>
      <c r="AW19" s="15">
        <f t="shared" ref="AW19" si="25">IF(AC19=0,AI19,(1*25000*12)+AI19-AC19)</f>
        <v>0</v>
      </c>
      <c r="AX19" s="15">
        <f t="shared" ref="AX19" si="26">IF(AD19=0,AJ19,(1*75000*12)+(AJ19)-AD19)</f>
        <v>0</v>
      </c>
      <c r="AY19" s="15">
        <f t="shared" ref="AY19" si="27">IF(AE19=0,AK19,(1*100000*12)+(AK19)-AE19)</f>
        <v>0</v>
      </c>
      <c r="AZ19" s="16">
        <f t="shared" ref="AZ19" si="28">SUM(AV19:AY19)-BF19+Z19-F19+BH19+BI19+BJ19+BK19+BL19+BM19</f>
        <v>0</v>
      </c>
      <c r="BA19" s="58"/>
      <c r="BB19" s="58"/>
      <c r="BC19" s="15"/>
      <c r="BD19" s="57">
        <f t="shared" si="15"/>
        <v>0</v>
      </c>
      <c r="BE19" s="82"/>
      <c r="BF19" s="29">
        <f t="shared" ref="BF19" si="29">Z19*1/100*BG19</f>
        <v>0</v>
      </c>
      <c r="BG19" s="29">
        <v>11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0"/>
        <v>0</v>
      </c>
      <c r="D20" s="9">
        <f>VLOOKUP(A20,[12]HISTOBQUEJANV24!$A$6:$G$46,3,0)</f>
        <v>225000</v>
      </c>
      <c r="E20" s="9">
        <f>VLOOKUP(A20,[12]HISTOBQUEJANV24!$A$6:$G$41,4,0)</f>
        <v>0</v>
      </c>
      <c r="F20" s="9">
        <f>VLOOKUP(A20,[12]HISTOBQUEJANV24!$A$6:$G$41,5,0)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0"/>
      <c r="Q20" s="2">
        <f>VLOOKUP(A20,[13]TONTJANV23!$A$7:$P$20,10,0)</f>
        <v>0</v>
      </c>
      <c r="R20" s="20"/>
      <c r="S20" s="20"/>
      <c r="T20" s="12"/>
      <c r="U20" s="17">
        <f t="shared" si="13"/>
        <v>225000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>
        <v>115000</v>
      </c>
      <c r="AF20" s="12" t="s">
        <v>8</v>
      </c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4"/>
        <v>0</v>
      </c>
      <c r="AR20" s="8">
        <f t="shared" si="5"/>
        <v>0</v>
      </c>
      <c r="AS20" s="13">
        <f t="shared" si="9"/>
        <v>25000</v>
      </c>
      <c r="AT20" s="15"/>
      <c r="AV20" s="15"/>
      <c r="AW20" s="15">
        <f t="shared" si="10"/>
        <v>0</v>
      </c>
      <c r="AX20" s="15">
        <f t="shared" si="11"/>
        <v>0</v>
      </c>
      <c r="AY20" s="15">
        <f t="shared" si="12"/>
        <v>1085000</v>
      </c>
      <c r="AZ20" s="16">
        <f t="shared" si="14"/>
        <v>1085000</v>
      </c>
      <c r="BA20" s="58"/>
      <c r="BB20" s="58"/>
      <c r="BC20" s="15"/>
      <c r="BD20" s="57">
        <f t="shared" si="15"/>
        <v>1085000</v>
      </c>
      <c r="BE20" s="82"/>
      <c r="BF20" s="29">
        <f t="shared" si="6"/>
        <v>0</v>
      </c>
      <c r="BG20" s="29">
        <v>11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0"/>
        <v>0</v>
      </c>
      <c r="D21" s="9">
        <f>VLOOKUP(A21,[12]HISTOBQUEJANV24!$A$6:$G$46,3,0)</f>
        <v>50000</v>
      </c>
      <c r="E21" s="9">
        <f>VLOOKUP(A21,[12]HISTOBQUEJANV24!$A$6:$G$41,4,0)</f>
        <v>0</v>
      </c>
      <c r="F21" s="9">
        <f>VLOOKUP(A21,[12]HISTOBQUEJANV24!$A$6:$G$41,5,0)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2"/>
        <v>0</v>
      </c>
      <c r="N21" s="6"/>
      <c r="O21" s="11">
        <f t="shared" si="3"/>
        <v>0</v>
      </c>
      <c r="P21" s="20"/>
      <c r="Q21" s="2"/>
      <c r="R21" s="20"/>
      <c r="S21" s="20"/>
      <c r="T21" s="12"/>
      <c r="U21" s="17">
        <f t="shared" si="13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9"/>
        <v>25000</v>
      </c>
      <c r="AT21" s="15"/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6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0"/>
        <v>0</v>
      </c>
      <c r="D22" s="9">
        <f>VLOOKUP(A22,[12]HISTOBQUEJANV24!$A$6:$G$46,3,0)</f>
        <v>125000</v>
      </c>
      <c r="E22" s="9">
        <f>VLOOKUP(A22,[12]HISTOBQUEJANV24!$A$6:$G$41,4,0)</f>
        <v>0</v>
      </c>
      <c r="F22" s="9">
        <f>VLOOKUP(A22,[12]HISTOBQUEJANV24!$A$6:$G$41,5,0)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0"/>
      <c r="Q22" s="2">
        <f>VLOOKUP(A22,[13]TONTJANV23!$A$7:$P$20,10,0)</f>
        <v>0</v>
      </c>
      <c r="R22" s="20"/>
      <c r="S22" s="20"/>
      <c r="T22" s="12"/>
      <c r="U22" s="17">
        <f t="shared" si="13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9"/>
        <v>25000</v>
      </c>
      <c r="AT22" s="15"/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6"/>
        <v>0</v>
      </c>
      <c r="BG22" s="29">
        <v>11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0"/>
        <v>0</v>
      </c>
      <c r="D23" s="9">
        <f>VLOOKUP(A23,[12]HISTOBQUEJANV24!$A$6:$G$46,3,0)</f>
        <v>260000</v>
      </c>
      <c r="E23" s="9">
        <f>VLOOKUP(A23,[12]HISTOBQUEJANV24!$A$6:$G$41,4,0)</f>
        <v>0</v>
      </c>
      <c r="F23" s="9">
        <f>VLOOKUP(A23,[12]HISTOBQUEJANV24!$A$6:$G$41,5,0)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8"/>
        <v>50000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0"/>
      <c r="Q23" s="2"/>
      <c r="R23" s="20"/>
      <c r="S23" s="20"/>
      <c r="T23" s="12"/>
      <c r="U23" s="17">
        <f t="shared" si="13"/>
        <v>260000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9"/>
        <v>35000</v>
      </c>
      <c r="AT23" s="15"/>
      <c r="AV23" s="15"/>
      <c r="AW23" s="15">
        <f t="shared" si="10"/>
        <v>0</v>
      </c>
      <c r="AX23" s="15">
        <f t="shared" si="11"/>
        <v>0</v>
      </c>
      <c r="AY23" s="15">
        <f t="shared" si="12"/>
        <v>0</v>
      </c>
      <c r="AZ23" s="16">
        <f t="shared" si="14"/>
        <v>0</v>
      </c>
      <c r="BA23" s="58">
        <v>56000</v>
      </c>
      <c r="BB23" s="58"/>
      <c r="BC23" s="15"/>
      <c r="BD23" s="57">
        <f>IF(AZ23=0,(AZ23-BA23-BC23),(AZ23-BA23-BB23-BC23))+F23+56000</f>
        <v>0</v>
      </c>
      <c r="BE23" s="82"/>
      <c r="BF23" s="29">
        <f t="shared" si="6"/>
        <v>0</v>
      </c>
      <c r="BG23" s="29">
        <v>11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0"/>
        <v>0</v>
      </c>
      <c r="D24" s="9">
        <f>VLOOKUP(A24,[12]HISTOBQUEJANV24!$A$6:$G$46,3,0)</f>
        <v>225000</v>
      </c>
      <c r="E24" s="9">
        <f>VLOOKUP(A24,[12]HISTOBQUEJANV24!$A$6:$G$41,4,0)</f>
        <v>0</v>
      </c>
      <c r="F24" s="9">
        <f>VLOOKUP(A24,[12]HISTOBQUEJANV24!$A$6:$G$41,5,0)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8"/>
        <v>50000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0"/>
      <c r="Q24" s="2">
        <f>VLOOKUP(A24,[13]TONTJANV23!$A$7:$P$20,10,0)</f>
        <v>0</v>
      </c>
      <c r="R24" s="20"/>
      <c r="S24" s="20"/>
      <c r="T24" s="12"/>
      <c r="U24" s="17">
        <f t="shared" si="13"/>
        <v>225000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9"/>
        <v>25000</v>
      </c>
      <c r="AT24" s="15"/>
      <c r="AV24" s="15"/>
      <c r="AW24" s="15">
        <f t="shared" si="10"/>
        <v>0</v>
      </c>
      <c r="AX24" s="15">
        <f t="shared" si="11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6"/>
        <v>0</v>
      </c>
      <c r="BG24" s="29">
        <v>11</v>
      </c>
      <c r="BH24" s="15"/>
      <c r="BI24" s="15"/>
      <c r="BJ24" s="15"/>
      <c r="BK24" s="15"/>
      <c r="BL24" s="61"/>
      <c r="BN24" t="s">
        <v>197</v>
      </c>
      <c r="BO24" t="s">
        <v>143</v>
      </c>
      <c r="BP24" s="6">
        <v>200000</v>
      </c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0"/>
        <v>0</v>
      </c>
      <c r="D25" s="9">
        <f>VLOOKUP(A25,[12]HISTOBQUEJANV24!$A$6:$G$46,3,0)</f>
        <v>375000</v>
      </c>
      <c r="E25" s="9">
        <f>VLOOKUP(A25,[12]HISTOBQUEJANV24!$A$6:$G$41,4,0)</f>
        <v>0</v>
      </c>
      <c r="F25" s="9">
        <f>VLOOKUP(A25,[12]HISTOBQUEJANV24!$A$6:$G$41,5,0)</f>
        <v>0</v>
      </c>
      <c r="G25" s="5">
        <f t="shared" si="7"/>
        <v>0</v>
      </c>
      <c r="H25" s="10" t="str">
        <f t="shared" si="1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2"/>
        <v>225000</v>
      </c>
      <c r="N25" s="6">
        <v>1</v>
      </c>
      <c r="O25" s="11">
        <f t="shared" si="3"/>
        <v>100000</v>
      </c>
      <c r="P25" s="20"/>
      <c r="Q25" s="2">
        <f>VLOOKUP(A25,[13]TONTJANV23!$A$7:$P$20,10,0)</f>
        <v>0</v>
      </c>
      <c r="R25" s="20"/>
      <c r="S25" s="20"/>
      <c r="T25" s="12"/>
      <c r="U25" s="17">
        <f t="shared" si="13"/>
        <v>375000</v>
      </c>
      <c r="V25" s="12"/>
      <c r="W25" s="12"/>
      <c r="X25" s="12"/>
      <c r="Y25" s="12"/>
      <c r="Z25" s="12"/>
      <c r="AA25" s="12"/>
      <c r="AB25" s="12"/>
      <c r="AC25" s="12"/>
      <c r="AD25" s="12">
        <v>65000</v>
      </c>
      <c r="AE25" s="12">
        <v>125000</v>
      </c>
      <c r="AF25" s="12" t="s">
        <v>8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 t="shared" si="9"/>
        <v>25000</v>
      </c>
      <c r="AT25" s="15"/>
      <c r="AV25" s="15"/>
      <c r="AW25" s="15">
        <f t="shared" si="10"/>
        <v>0</v>
      </c>
      <c r="AX25" s="15">
        <f t="shared" si="11"/>
        <v>835000</v>
      </c>
      <c r="AY25" s="15">
        <f t="shared" si="12"/>
        <v>1075000</v>
      </c>
      <c r="AZ25" s="16">
        <f t="shared" si="14"/>
        <v>1910000</v>
      </c>
      <c r="BA25" s="58"/>
      <c r="BB25" s="58"/>
      <c r="BC25" s="15"/>
      <c r="BD25" s="57">
        <f t="shared" si="15"/>
        <v>1910000</v>
      </c>
      <c r="BE25" s="82"/>
      <c r="BF25" s="29">
        <f t="shared" si="6"/>
        <v>0</v>
      </c>
      <c r="BG25" s="29">
        <v>11</v>
      </c>
      <c r="BH25" s="15"/>
      <c r="BI25" s="15"/>
      <c r="BJ25" s="15"/>
      <c r="BK25" s="15"/>
      <c r="BL25" s="61"/>
      <c r="BN25" t="s">
        <v>204</v>
      </c>
      <c r="BO25" t="s">
        <v>143</v>
      </c>
      <c r="BP25" s="6">
        <v>300000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0"/>
        <v>0</v>
      </c>
      <c r="D26" s="9">
        <f>VLOOKUP(A26,[12]HISTOBQUEJANV24!$A$6:$G$46,3,0)</f>
        <v>0</v>
      </c>
      <c r="E26" s="9">
        <f>VLOOKUP(A26,[12]HISTOBQUEJANV24!$A$6:$G$41,4,0)</f>
        <v>50000</v>
      </c>
      <c r="F26" s="9">
        <f>VLOOKUP(A26,[12]HISTOBQUEJANV24!$A$6:$G$41,5,0)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8"/>
        <v>50000</v>
      </c>
      <c r="L26" s="6"/>
      <c r="M26" s="11">
        <f t="shared" si="2"/>
        <v>0</v>
      </c>
      <c r="N26" s="6"/>
      <c r="O26" s="11">
        <f t="shared" si="3"/>
        <v>0</v>
      </c>
      <c r="P26" s="20"/>
      <c r="Q26" s="2"/>
      <c r="R26" s="20"/>
      <c r="S26" s="20"/>
      <c r="T26" s="12"/>
      <c r="U26" s="17">
        <f t="shared" si="13"/>
        <v>50000</v>
      </c>
      <c r="V26" s="12"/>
      <c r="W26" s="12"/>
      <c r="X26" s="12"/>
      <c r="Y26" s="12"/>
      <c r="Z26" s="12"/>
      <c r="AA26" s="12"/>
      <c r="AB26" s="12"/>
      <c r="AC26" s="12">
        <v>13000</v>
      </c>
      <c r="AD26" s="12"/>
      <c r="AE26" s="12"/>
      <c r="AF26" s="12" t="s">
        <v>8</v>
      </c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9"/>
        <v>25000</v>
      </c>
      <c r="AT26" s="15"/>
      <c r="AV26" s="15"/>
      <c r="AW26" s="15">
        <f t="shared" si="10"/>
        <v>287000</v>
      </c>
      <c r="AX26" s="15">
        <f t="shared" si="11"/>
        <v>0</v>
      </c>
      <c r="AY26" s="15">
        <f t="shared" si="12"/>
        <v>0</v>
      </c>
      <c r="AZ26" s="16">
        <f t="shared" si="14"/>
        <v>287000</v>
      </c>
      <c r="BA26" s="58">
        <v>7000</v>
      </c>
      <c r="BB26" s="58"/>
      <c r="BC26" s="15"/>
      <c r="BD26" s="57">
        <f t="shared" si="15"/>
        <v>280000</v>
      </c>
      <c r="BE26" s="82"/>
      <c r="BF26" s="29">
        <f t="shared" si="6"/>
        <v>0</v>
      </c>
      <c r="BG26" s="29">
        <v>11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0"/>
        <v>0</v>
      </c>
      <c r="D27" s="9">
        <f>VLOOKUP(A27,[12]HISTOBQUEJANV24!$A$6:$G$46,3,0)</f>
        <v>50000</v>
      </c>
      <c r="E27" s="9">
        <f>VLOOKUP(A27,[12]HISTOBQUEJANV24!$A$6:$G$41,4,0)</f>
        <v>0</v>
      </c>
      <c r="F27" s="9">
        <f>VLOOKUP(A27,[12]HISTOBQUEJANV24!$A$6:$G$41,5,0)</f>
        <v>0</v>
      </c>
      <c r="G27" s="5">
        <f t="shared" si="7"/>
        <v>0</v>
      </c>
      <c r="H27" s="10" t="str">
        <f t="shared" si="1"/>
        <v>BANQUE</v>
      </c>
      <c r="I27" s="10"/>
      <c r="J27" s="11">
        <v>1</v>
      </c>
      <c r="K27" s="11">
        <f t="shared" si="8"/>
        <v>50000</v>
      </c>
      <c r="L27" s="6"/>
      <c r="M27" s="11">
        <f t="shared" si="2"/>
        <v>0</v>
      </c>
      <c r="N27" s="6"/>
      <c r="O27" s="11">
        <f t="shared" si="3"/>
        <v>0</v>
      </c>
      <c r="P27" s="20"/>
      <c r="Q27" s="2"/>
      <c r="R27" s="20"/>
      <c r="S27" s="20"/>
      <c r="T27" s="12"/>
      <c r="U27" s="17">
        <f t="shared" si="13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9"/>
        <v>25000</v>
      </c>
      <c r="AT27" s="15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6"/>
        <v>0</v>
      </c>
      <c r="BG27" s="29">
        <v>11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0"/>
        <v>0</v>
      </c>
      <c r="D28" s="9">
        <f>VLOOKUP(A28,[12]HISTOBQUEJANV24!$A$6:$G$46,3,0)</f>
        <v>125000</v>
      </c>
      <c r="E28" s="9">
        <f>VLOOKUP(A28,[12]HISTOBQUEJANV24!$A$6:$G$41,4,0)</f>
        <v>0</v>
      </c>
      <c r="F28" s="9">
        <f>VLOOKUP(A28,[12]HISTOBQUEJANV24!$A$6:$G$41,5,0)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0"/>
      <c r="Q28" s="2">
        <f>VLOOKUP(A28,[13]TONTJANV23!$A$7:$P$20,10,0)</f>
        <v>0</v>
      </c>
      <c r="R28" s="20"/>
      <c r="S28" s="20"/>
      <c r="T28" s="12"/>
      <c r="U28" s="17">
        <f t="shared" si="13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9"/>
        <v>25000</v>
      </c>
      <c r="AT28" s="15"/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6"/>
        <v>0</v>
      </c>
      <c r="BG28" s="29">
        <v>11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500000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0"/>
        <v>0</v>
      </c>
      <c r="D29" s="9">
        <f>VLOOKUP(A29,[12]HISTOBQUEJANV24!$A$6:$G$46,3,0)</f>
        <v>500000</v>
      </c>
      <c r="E29" s="9">
        <f>VLOOKUP(A29,[12]HISTOBQUEJANV24!$A$6:$G$41,4,0)</f>
        <v>0</v>
      </c>
      <c r="F29" s="9">
        <f>VLOOKUP(A29,[12]HISTOBQUEJANV24!$A$6:$G$41,5,0)</f>
        <v>0</v>
      </c>
      <c r="G29" s="5">
        <f t="shared" si="7"/>
        <v>0</v>
      </c>
      <c r="H29" s="10" t="str">
        <f t="shared" si="1"/>
        <v>BANQUE</v>
      </c>
      <c r="I29" s="10">
        <v>450000</v>
      </c>
      <c r="J29" s="11">
        <v>1</v>
      </c>
      <c r="K29" s="11">
        <f t="shared" si="8"/>
        <v>50000</v>
      </c>
      <c r="L29" s="6"/>
      <c r="M29" s="11">
        <f t="shared" si="2"/>
        <v>0</v>
      </c>
      <c r="N29" s="6"/>
      <c r="O29" s="11">
        <f t="shared" si="3"/>
        <v>0</v>
      </c>
      <c r="P29" s="20"/>
      <c r="Q29" s="2"/>
      <c r="R29" s="20"/>
      <c r="S29" s="20"/>
      <c r="T29" s="12"/>
      <c r="U29" s="17">
        <f t="shared" si="13"/>
        <v>500000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9"/>
        <v>475000</v>
      </c>
      <c r="AT29" s="15"/>
      <c r="AV29" s="15"/>
      <c r="AW29" s="15">
        <f t="shared" si="10"/>
        <v>0</v>
      </c>
      <c r="AX29" s="15">
        <f t="shared" si="11"/>
        <v>0</v>
      </c>
      <c r="AY29" s="15">
        <f t="shared" si="12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6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0"/>
        <v>0</v>
      </c>
      <c r="D30" s="9">
        <f>VLOOKUP(A30,[12]HISTOBQUEJANV24!$A$6:$G$46,3,0)</f>
        <v>250000</v>
      </c>
      <c r="E30" s="9">
        <f>VLOOKUP(A30,[12]HISTOBQUEJANV24!$A$6:$G$41,4,0)</f>
        <v>0</v>
      </c>
      <c r="F30" s="9">
        <f>VLOOKUP(A30,[12]HISTOBQUEJANV24!$A$6:$G$41,5,0)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8"/>
        <v>50000</v>
      </c>
      <c r="L30" s="6"/>
      <c r="M30" s="11">
        <f t="shared" si="2"/>
        <v>0</v>
      </c>
      <c r="N30" s="6">
        <v>2</v>
      </c>
      <c r="O30" s="11">
        <f t="shared" si="3"/>
        <v>200000</v>
      </c>
      <c r="P30" s="20"/>
      <c r="Q30" s="2"/>
      <c r="R30" s="20"/>
      <c r="S30" s="20"/>
      <c r="T30" s="12"/>
      <c r="U30" s="17">
        <f t="shared" si="13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9"/>
        <v>25000</v>
      </c>
      <c r="AT30" s="15"/>
      <c r="AV30" s="15"/>
      <c r="AW30" s="15">
        <f t="shared" si="10"/>
        <v>0</v>
      </c>
      <c r="AX30" s="15">
        <f t="shared" si="11"/>
        <v>0</v>
      </c>
      <c r="AY30" s="15">
        <f t="shared" si="12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6"/>
        <v>0</v>
      </c>
      <c r="BG30" s="29">
        <v>11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0"/>
        <v>0</v>
      </c>
      <c r="D31" s="9">
        <f>VLOOKUP(A31,[12]HISTOBQUEJANV24!$A$6:$G$46,3,0)</f>
        <v>150000</v>
      </c>
      <c r="E31" s="9">
        <f>VLOOKUP(A31,[12]HISTOBQUEJANV24!$A$6:$G$41,4,0)</f>
        <v>0</v>
      </c>
      <c r="F31" s="9">
        <f>VLOOKUP(A31,[12]HISTOBQUEJANV24!$A$6:$G$41,5,0)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0"/>
      <c r="Q31" s="2"/>
      <c r="R31" s="20"/>
      <c r="S31" s="20"/>
      <c r="T31" s="12"/>
      <c r="U31" s="17">
        <f t="shared" si="13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9"/>
        <v>25000</v>
      </c>
      <c r="AT31" s="15"/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6"/>
        <v>0</v>
      </c>
      <c r="BG31" s="29">
        <v>11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0"/>
        <v>0</v>
      </c>
      <c r="D32" s="9">
        <f>VLOOKUP(A32,[12]HISTOBQUEJANV24!$A$6:$G$46,3,0)</f>
        <v>125000</v>
      </c>
      <c r="E32" s="9">
        <f>VLOOKUP(A32,[12]HISTOBQUEJANV24!$A$6:$G$41,4,0)</f>
        <v>0</v>
      </c>
      <c r="F32" s="9">
        <f>VLOOKUP(A32,[12]HISTOBQUEJANV24!$A$6:$G$41,5,0)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0"/>
      <c r="Q32" s="2"/>
      <c r="R32" s="20"/>
      <c r="S32" s="20"/>
      <c r="T32" s="12"/>
      <c r="U32" s="17">
        <f t="shared" si="13"/>
        <v>125000</v>
      </c>
      <c r="V32" s="12"/>
      <c r="W32" s="12"/>
      <c r="X32" s="12"/>
      <c r="Y32" s="12"/>
      <c r="Z32" s="12">
        <v>1000000</v>
      </c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9"/>
        <v>25000</v>
      </c>
      <c r="AT32" s="15"/>
      <c r="AV32" s="15"/>
      <c r="AW32" s="15">
        <f t="shared" si="10"/>
        <v>0</v>
      </c>
      <c r="AX32" s="15">
        <f t="shared" si="11"/>
        <v>0</v>
      </c>
      <c r="AY32" s="15">
        <f t="shared" si="12"/>
        <v>0</v>
      </c>
      <c r="AZ32" s="16">
        <f t="shared" si="14"/>
        <v>940000</v>
      </c>
      <c r="BA32" s="58"/>
      <c r="BB32" s="58"/>
      <c r="BC32" s="15"/>
      <c r="BD32" s="57">
        <f t="shared" si="15"/>
        <v>940000</v>
      </c>
      <c r="BE32" s="82"/>
      <c r="BF32" s="29">
        <f t="shared" si="6"/>
        <v>60000</v>
      </c>
      <c r="BG32" s="29">
        <v>6</v>
      </c>
      <c r="BH32" s="15"/>
      <c r="BI32" s="15"/>
      <c r="BJ32" s="15"/>
      <c r="BK32" s="15"/>
      <c r="BL32" s="61"/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9">
        <f t="shared" si="0"/>
        <v>120000</v>
      </c>
      <c r="D33" s="9">
        <f>VLOOKUP(A33,[12]HISTOBQUEJANV24!$A$6:$G$46,3,0)</f>
        <v>540000</v>
      </c>
      <c r="E33" s="9">
        <f>VLOOKUP(A33,[12]HISTOBQUEJANV24!$A$6:$G$41,4,0)</f>
        <v>0</v>
      </c>
      <c r="F33" s="9">
        <f>VLOOKUP(A33,[12]HISTOBQUEJANV24!$A$6:$G$41,5,0)</f>
        <v>0</v>
      </c>
      <c r="G33" s="5">
        <f t="shared" si="7"/>
        <v>0</v>
      </c>
      <c r="H33" s="10" t="str">
        <f t="shared" si="1"/>
        <v>BANQUE</v>
      </c>
      <c r="I33" s="10">
        <v>245000</v>
      </c>
      <c r="J33" s="11">
        <v>1</v>
      </c>
      <c r="K33" s="11">
        <f t="shared" si="8"/>
        <v>50000</v>
      </c>
      <c r="L33" s="6"/>
      <c r="M33" s="11">
        <f t="shared" si="2"/>
        <v>0</v>
      </c>
      <c r="N33" s="6">
        <v>1</v>
      </c>
      <c r="O33" s="11">
        <f t="shared" si="3"/>
        <v>100000</v>
      </c>
      <c r="P33" s="20"/>
      <c r="Q33" s="2"/>
      <c r="R33" s="20"/>
      <c r="S33" s="20"/>
      <c r="T33" s="12"/>
      <c r="U33" s="17">
        <f t="shared" si="13"/>
        <v>420000</v>
      </c>
      <c r="V33" s="12"/>
      <c r="W33" s="12">
        <v>25000</v>
      </c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9"/>
        <v>270000</v>
      </c>
      <c r="AT33" s="15">
        <v>120000</v>
      </c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6"/>
        <v>0</v>
      </c>
      <c r="BG33" s="29">
        <v>11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ref="C34" si="30">D34+E34+F34-U34-BB34</f>
        <v>0</v>
      </c>
      <c r="D34" s="9">
        <f>VLOOKUP(A34,[12]HISTOBQUEJANV24!$A$6:$G$46,3,0)</f>
        <v>50000</v>
      </c>
      <c r="E34" s="9">
        <f>VLOOKUP(A34,[12]HISTOBQUEJANV24!$A$6:$G$41,4,0)</f>
        <v>0</v>
      </c>
      <c r="F34" s="9">
        <f>VLOOKUP(A34,[12]HISTOBQUEJANV24!$A$6:$G$41,5,0)</f>
        <v>0</v>
      </c>
      <c r="G34" s="5">
        <f t="shared" ref="G34" si="31">IF(H34="ESPECES",3000,0)</f>
        <v>0</v>
      </c>
      <c r="H34" s="10" t="str">
        <f t="shared" si="1"/>
        <v>BANQUE</v>
      </c>
      <c r="I34" s="10"/>
      <c r="J34" s="11">
        <v>1</v>
      </c>
      <c r="K34" s="11">
        <f t="shared" ref="K34" si="32">IF($D34&lt;&gt;0,J34*50000,IF($E34&lt;&gt;0,J34*50000,0))</f>
        <v>50000</v>
      </c>
      <c r="L34" s="6"/>
      <c r="M34" s="11">
        <f t="shared" ref="M34" si="33">IF($D34&lt;&gt;0,L34*75000,IF($E34&lt;&gt;0,L34*75000,0))</f>
        <v>0</v>
      </c>
      <c r="N34" s="6"/>
      <c r="O34" s="11">
        <f t="shared" ref="O34" si="34">IF($D34&lt;&gt;0,N34*100000,IF($E34&lt;&gt;0,N34*100000,0))</f>
        <v>0</v>
      </c>
      <c r="P34" s="20"/>
      <c r="Q34" s="2"/>
      <c r="R34" s="20"/>
      <c r="S34" s="20"/>
      <c r="T34" s="12"/>
      <c r="U34" s="17">
        <f t="shared" ref="U34" si="35">G34+S34++R34+P34+O34+M34+I34+K34+Q34+V34+W34</f>
        <v>50000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ref="AQ34" si="36">IF(H34="ECHEC",((K34+M34+O34)*20/100),0)</f>
        <v>0</v>
      </c>
      <c r="AR34" s="8">
        <f t="shared" ref="AR34" si="37">IF(H34="ECHEC",((K34+M34+O34)*20/100),0)</f>
        <v>0</v>
      </c>
      <c r="AS34" s="13">
        <f t="shared" ref="AS34" si="38">IF(H34="ECHEC",0,(K34+I34-25000))</f>
        <v>25000</v>
      </c>
      <c r="AT34" s="15"/>
      <c r="AV34" s="15"/>
      <c r="AW34" s="15">
        <f t="shared" ref="AW34" si="39">IF(AC34=0,AI34,(1*25000*12)+AI34-AC34)</f>
        <v>0</v>
      </c>
      <c r="AX34" s="15">
        <f t="shared" ref="AX34" si="40">IF(AD34=0,AJ34,(1*75000*12)+(AJ34)-AD34)</f>
        <v>0</v>
      </c>
      <c r="AY34" s="15">
        <f t="shared" ref="AY34" si="41">IF(AE34=0,AK34,(1*100000*12)+(AK34)-AE34)</f>
        <v>0</v>
      </c>
      <c r="AZ34" s="16">
        <f t="shared" ref="AZ34" si="42">SUM(AV34:AY34)-BF34+Z34-F34+BH34+BI34+BJ34+BK34+BL34+BM34</f>
        <v>0</v>
      </c>
      <c r="BA34" s="58"/>
      <c r="BB34" s="58"/>
      <c r="BC34" s="15"/>
      <c r="BD34" s="57">
        <f t="shared" ref="BD34" si="43">IF(AZ34=0,(AZ34-BA34-BC34),(AZ34-BA34-BB34-BC34))+F34</f>
        <v>0</v>
      </c>
      <c r="BE34" s="82"/>
      <c r="BF34" s="29">
        <f t="shared" ref="BF34" si="44">Z34*1/100*BG34</f>
        <v>0</v>
      </c>
      <c r="BG34" s="29">
        <v>11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0"/>
        <v>0</v>
      </c>
      <c r="D35" s="9">
        <f>VLOOKUP(A35,[12]HISTOBQUEJANV24!$A$6:$G$46,3,0)</f>
        <v>60000</v>
      </c>
      <c r="E35" s="9">
        <f>VLOOKUP(A35,[12]HISTOBQUEJANV24!$A$6:$G$41,4,0)</f>
        <v>0</v>
      </c>
      <c r="F35" s="9">
        <f>VLOOKUP(A35,[12]HISTOBQUEJANV24!$A$6:$G$41,5,0)</f>
        <v>0</v>
      </c>
      <c r="G35" s="5">
        <f t="shared" si="7"/>
        <v>0</v>
      </c>
      <c r="H35" s="10" t="str">
        <f t="shared" si="1"/>
        <v>BANQUE</v>
      </c>
      <c r="I35" s="10">
        <v>10000</v>
      </c>
      <c r="J35" s="11">
        <v>1</v>
      </c>
      <c r="K35" s="11">
        <f t="shared" si="8"/>
        <v>50000</v>
      </c>
      <c r="L35" s="6"/>
      <c r="M35" s="11">
        <f t="shared" si="2"/>
        <v>0</v>
      </c>
      <c r="N35" s="6"/>
      <c r="O35" s="11">
        <f t="shared" si="3"/>
        <v>0</v>
      </c>
      <c r="P35" s="20"/>
      <c r="Q35" s="2"/>
      <c r="R35" s="20"/>
      <c r="S35" s="20"/>
      <c r="T35" s="12"/>
      <c r="U35" s="17">
        <f t="shared" si="13"/>
        <v>60000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9"/>
        <v>35000</v>
      </c>
      <c r="AT35" s="15"/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6"/>
        <v>0</v>
      </c>
      <c r="BG35" s="29">
        <v>11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0"/>
        <v>0</v>
      </c>
      <c r="D36" s="9">
        <f>VLOOKUP(A36,[12]HISTOBQUEJANV24!$A$6:$G$46,3,0)</f>
        <v>0</v>
      </c>
      <c r="E36" s="9">
        <f>VLOOKUP(A36,[12]HISTOBQUEJANV24!$A$6:$G$41,4,0)</f>
        <v>50000</v>
      </c>
      <c r="F36" s="9">
        <f>VLOOKUP(A36,[12]HISTOBQUEJANV24!$A$6:$G$41,5,0)</f>
        <v>0</v>
      </c>
      <c r="G36" s="5">
        <f>IF(H36="ESPECES",3000,0)-3000</f>
        <v>0</v>
      </c>
      <c r="H36" s="10" t="str">
        <f t="shared" si="1"/>
        <v>ESPECES</v>
      </c>
      <c r="I36" s="10"/>
      <c r="J36" s="11">
        <v>1</v>
      </c>
      <c r="K36" s="11">
        <f t="shared" si="8"/>
        <v>50000</v>
      </c>
      <c r="L36" s="6"/>
      <c r="M36" s="11">
        <f t="shared" si="2"/>
        <v>0</v>
      </c>
      <c r="N36" s="6"/>
      <c r="O36" s="11">
        <f t="shared" si="3"/>
        <v>0</v>
      </c>
      <c r="P36" s="20"/>
      <c r="Q36" s="2"/>
      <c r="R36" s="20"/>
      <c r="S36" s="20"/>
      <c r="T36" s="12"/>
      <c r="U36" s="17">
        <f t="shared" si="13"/>
        <v>50000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4"/>
        <v>0</v>
      </c>
      <c r="AR36" s="8">
        <f t="shared" si="5"/>
        <v>0</v>
      </c>
      <c r="AS36" s="13">
        <f t="shared" si="9"/>
        <v>25000</v>
      </c>
      <c r="AT36" s="15"/>
      <c r="AV36" s="15"/>
      <c r="AW36" s="15">
        <f t="shared" si="10"/>
        <v>0</v>
      </c>
      <c r="AX36" s="15">
        <f t="shared" si="11"/>
        <v>0</v>
      </c>
      <c r="AY36" s="15">
        <f t="shared" si="12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6"/>
        <v>0</v>
      </c>
      <c r="BG36" s="29">
        <v>11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>
        <v>100000</v>
      </c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0"/>
        <v>0</v>
      </c>
      <c r="D37" s="9">
        <f>VLOOKUP(A37,[12]HISTOBQUEJANV24!$A$6:$G$46,3,0)</f>
        <v>150000</v>
      </c>
      <c r="E37" s="9">
        <f>VLOOKUP(A37,[12]HISTOBQUEJANV24!$A$6:$G$41,4,0)</f>
        <v>25000</v>
      </c>
      <c r="F37" s="9">
        <f>VLOOKUP(A37,[12]HISTOBQUEJANV24!$A$6:$G$41,5,0)</f>
        <v>0</v>
      </c>
      <c r="G37" s="5">
        <f t="shared" ref="G37" si="45">IF(H37="ESPECES",3000,0)</f>
        <v>0</v>
      </c>
      <c r="H37" s="10" t="str">
        <f t="shared" si="1"/>
        <v>BANQUE</v>
      </c>
      <c r="I37" s="10"/>
      <c r="J37" s="11">
        <v>1</v>
      </c>
      <c r="K37" s="11">
        <f t="shared" ref="K37" si="46">IF($D37&lt;&gt;0,J37*50000,IF($E37&lt;&gt;0,J37*50000,0))</f>
        <v>50000</v>
      </c>
      <c r="L37" s="6"/>
      <c r="M37" s="11">
        <f t="shared" ref="M37" si="47">IF($D37&lt;&gt;0,L37*75000,IF($E37&lt;&gt;0,L37*75000,0))</f>
        <v>0</v>
      </c>
      <c r="N37" s="6">
        <v>1</v>
      </c>
      <c r="O37" s="11">
        <f t="shared" ref="O37" si="48">IF($D37&lt;&gt;0,N37*100000,IF($E37&lt;&gt;0,N37*100000,0))</f>
        <v>100000</v>
      </c>
      <c r="P37" s="6"/>
      <c r="Q37" s="2"/>
      <c r="R37" s="6"/>
      <c r="S37" s="6"/>
      <c r="T37" s="12"/>
      <c r="U37" s="17">
        <f t="shared" ref="U37" si="49">G37+S37++R37+P37+O37+M37+I37+K37+Q37+V37+W37</f>
        <v>175000</v>
      </c>
      <c r="V37" s="12"/>
      <c r="W37" s="12">
        <v>25000</v>
      </c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ref="AQ37" si="50">IF(H37="ECHEC",((K37+M37+O37)*20/100),0)</f>
        <v>0</v>
      </c>
      <c r="AR37" s="8">
        <f t="shared" ref="AR37" si="51">IF(H37="ECHEC",((K37+M37+O37)*20/100),0)</f>
        <v>0</v>
      </c>
      <c r="AS37" s="13">
        <f t="shared" ref="AS37" si="52">IF(H37="ECHEC",0,(K37+I37-25000))</f>
        <v>25000</v>
      </c>
      <c r="AT37" s="15"/>
      <c r="AV37" s="15"/>
      <c r="AW37" s="15">
        <f t="shared" ref="AW37" si="53">IF(AC37=0,AI37,(1*25000*12)+AI37-AC37)</f>
        <v>0</v>
      </c>
      <c r="AX37" s="15">
        <f t="shared" ref="AX37" si="54">IF(AD37=0,AJ37,(1*75000*12)+(AJ37)-AD37)</f>
        <v>0</v>
      </c>
      <c r="AY37" s="15">
        <f t="shared" ref="AY37" si="55">IF(AE37=0,AK37,(1*100000*12)+(AK37)-AE37)</f>
        <v>0</v>
      </c>
      <c r="AZ37" s="16">
        <f t="shared" ref="AZ37" si="56">SUM(AV37:AY37)-BF37+Z37-F37+BH37+BI37+BJ37+BK37+BL37+BM37</f>
        <v>0</v>
      </c>
      <c r="BA37" s="58"/>
      <c r="BB37" s="58"/>
      <c r="BC37" s="15"/>
      <c r="BD37" s="57">
        <f t="shared" ref="BD37" si="57">IF(AZ37=0,(AZ37-BA37-BC37),(AZ37-BA37-BB37-BC37))+F37</f>
        <v>0</v>
      </c>
      <c r="BE37" s="82"/>
      <c r="BF37" s="29">
        <f t="shared" ref="BF37" si="58">Z37*1/100*BG37</f>
        <v>0</v>
      </c>
      <c r="BG37" s="29">
        <v>11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0"/>
        <v>0</v>
      </c>
      <c r="D38" s="9">
        <f>VLOOKUP(A38,[12]HISTOBQUEJANV24!$A$6:$G$46,3,0)</f>
        <v>125000</v>
      </c>
      <c r="E38" s="9">
        <f>VLOOKUP(A38,[12]HISTOBQUEJANV24!$A$6:$G$41,4,0)</f>
        <v>0</v>
      </c>
      <c r="F38" s="9">
        <f>VLOOKUP(A38,[12]HISTOBQUEJANV24!$A$6:$G$41,5,0)</f>
        <v>0</v>
      </c>
      <c r="G38" s="5">
        <f t="shared" si="7"/>
        <v>0</v>
      </c>
      <c r="H38" s="10" t="str">
        <f t="shared" si="1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2"/>
        <v>75000</v>
      </c>
      <c r="N38" s="6"/>
      <c r="O38" s="11">
        <f t="shared" si="3"/>
        <v>0</v>
      </c>
      <c r="P38" s="6"/>
      <c r="Q38" s="2">
        <f>VLOOKUP(A38,[13]TONTJANV23!$A$7:$P$20,10,0)</f>
        <v>0</v>
      </c>
      <c r="R38" s="6"/>
      <c r="S38" s="6"/>
      <c r="T38" s="12"/>
      <c r="U38" s="17">
        <f t="shared" si="13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4"/>
        <v>0</v>
      </c>
      <c r="AR38" s="8">
        <f t="shared" si="5"/>
        <v>0</v>
      </c>
      <c r="AS38" s="13">
        <f t="shared" si="9"/>
        <v>25000</v>
      </c>
      <c r="AT38" s="15"/>
      <c r="AV38" s="15"/>
      <c r="AW38" s="15">
        <f t="shared" si="10"/>
        <v>0</v>
      </c>
      <c r="AX38" s="15">
        <f t="shared" si="11"/>
        <v>0</v>
      </c>
      <c r="AY38" s="15">
        <f t="shared" si="12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6"/>
        <v>0</v>
      </c>
      <c r="BG38" s="29">
        <v>11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59">SUM(C6:C39)</f>
        <v>126000</v>
      </c>
      <c r="D40" s="5">
        <f t="shared" si="59"/>
        <v>5356000</v>
      </c>
      <c r="E40" s="5">
        <f t="shared" si="59"/>
        <v>200000</v>
      </c>
      <c r="F40" s="5">
        <f t="shared" si="59"/>
        <v>0</v>
      </c>
      <c r="G40" s="5">
        <f t="shared" si="59"/>
        <v>0</v>
      </c>
      <c r="H40" s="5">
        <f t="shared" si="59"/>
        <v>0</v>
      </c>
      <c r="I40" s="5">
        <f t="shared" si="59"/>
        <v>755000</v>
      </c>
      <c r="J40" s="5">
        <f t="shared" si="59"/>
        <v>32</v>
      </c>
      <c r="K40" s="5">
        <f t="shared" si="59"/>
        <v>1600000</v>
      </c>
      <c r="L40" s="5">
        <f t="shared" si="59"/>
        <v>16</v>
      </c>
      <c r="M40" s="5">
        <f t="shared" si="59"/>
        <v>1200000</v>
      </c>
      <c r="N40" s="5">
        <f t="shared" si="59"/>
        <v>18</v>
      </c>
      <c r="O40" s="5">
        <f t="shared" si="59"/>
        <v>1800000</v>
      </c>
      <c r="P40" s="5">
        <f t="shared" si="59"/>
        <v>0</v>
      </c>
      <c r="Q40" s="5">
        <f t="shared" si="59"/>
        <v>0</v>
      </c>
      <c r="R40" s="5">
        <f t="shared" si="59"/>
        <v>0</v>
      </c>
      <c r="S40" s="5">
        <f t="shared" si="59"/>
        <v>0</v>
      </c>
      <c r="T40" s="5"/>
      <c r="U40" s="5">
        <f t="shared" ref="U40:AA40" si="60">SUM(U6:U39)</f>
        <v>5430000</v>
      </c>
      <c r="V40" s="5">
        <f t="shared" si="60"/>
        <v>0</v>
      </c>
      <c r="W40" s="5">
        <f t="shared" si="60"/>
        <v>75000</v>
      </c>
      <c r="X40" s="5">
        <f t="shared" si="60"/>
        <v>0</v>
      </c>
      <c r="Y40" s="5">
        <f t="shared" si="60"/>
        <v>0</v>
      </c>
      <c r="Z40" s="5">
        <f t="shared" si="60"/>
        <v>2000000</v>
      </c>
      <c r="AA40" s="5">
        <f t="shared" si="60"/>
        <v>0</v>
      </c>
      <c r="AB40" s="5"/>
      <c r="AC40" s="5">
        <f>SUM(AC6:AC39)</f>
        <v>38000</v>
      </c>
      <c r="AD40" s="5">
        <f>SUM(AD6:AD39)</f>
        <v>125000</v>
      </c>
      <c r="AE40" s="5">
        <f>SUM(AE6:AE39)</f>
        <v>355000</v>
      </c>
      <c r="AF40" s="5">
        <f>SUM(AF6:AF39)</f>
        <v>0</v>
      </c>
      <c r="AG40" s="5">
        <f>SUM(AG6:AG39)</f>
        <v>0</v>
      </c>
      <c r="AH40" s="5"/>
      <c r="AI40" s="5">
        <f t="shared" ref="AI40:BF40" si="61">SUM(AI6:AI39)</f>
        <v>0</v>
      </c>
      <c r="AJ40" s="5">
        <f t="shared" si="61"/>
        <v>200000</v>
      </c>
      <c r="AK40" s="5">
        <f t="shared" si="61"/>
        <v>100000</v>
      </c>
      <c r="AL40" s="5">
        <f t="shared" si="61"/>
        <v>0</v>
      </c>
      <c r="AM40" s="5">
        <f t="shared" si="61"/>
        <v>4000</v>
      </c>
      <c r="AN40" s="5">
        <f t="shared" si="61"/>
        <v>1000</v>
      </c>
      <c r="AO40" s="5">
        <f t="shared" si="61"/>
        <v>0</v>
      </c>
      <c r="AP40" s="5">
        <f t="shared" si="61"/>
        <v>0</v>
      </c>
      <c r="AQ40" s="5">
        <f t="shared" si="61"/>
        <v>0</v>
      </c>
      <c r="AR40" s="5">
        <f t="shared" si="61"/>
        <v>0</v>
      </c>
      <c r="AS40" s="5">
        <f t="shared" si="61"/>
        <v>1555000</v>
      </c>
      <c r="AT40" s="5">
        <f t="shared" si="61"/>
        <v>120000</v>
      </c>
      <c r="AU40" s="5">
        <f t="shared" si="61"/>
        <v>0</v>
      </c>
      <c r="AV40" s="5">
        <f t="shared" si="61"/>
        <v>0</v>
      </c>
      <c r="AW40" s="5">
        <f t="shared" si="61"/>
        <v>862000</v>
      </c>
      <c r="AX40" s="5">
        <f t="shared" si="61"/>
        <v>1875000</v>
      </c>
      <c r="AY40" s="5">
        <f t="shared" si="61"/>
        <v>3345000</v>
      </c>
      <c r="AZ40" s="5">
        <f t="shared" si="61"/>
        <v>8699000</v>
      </c>
      <c r="BA40" s="5">
        <f t="shared" si="61"/>
        <v>790000</v>
      </c>
      <c r="BB40" s="5">
        <f t="shared" si="61"/>
        <v>0</v>
      </c>
      <c r="BC40" s="5">
        <f t="shared" si="61"/>
        <v>0</v>
      </c>
      <c r="BD40" s="5">
        <f t="shared" si="61"/>
        <v>7965000</v>
      </c>
      <c r="BE40" s="5">
        <f t="shared" si="61"/>
        <v>0</v>
      </c>
      <c r="BF40" s="5">
        <f t="shared" si="61"/>
        <v>176000</v>
      </c>
      <c r="BH40" s="5">
        <f t="shared" ref="BH40:BL40" si="62">SUM(BH6:BH39)</f>
        <v>27000</v>
      </c>
      <c r="BI40" s="5">
        <f t="shared" si="62"/>
        <v>500000</v>
      </c>
      <c r="BJ40" s="5">
        <f t="shared" si="62"/>
        <v>0</v>
      </c>
      <c r="BK40" s="5">
        <f t="shared" si="62"/>
        <v>200000</v>
      </c>
      <c r="BL40" s="5">
        <f t="shared" si="62"/>
        <v>0</v>
      </c>
      <c r="BM40" s="5">
        <f>SUM(BM6:BM39)</f>
        <v>0</v>
      </c>
      <c r="BN40" s="62" t="s">
        <v>142</v>
      </c>
      <c r="BP40" s="62">
        <f>SUM(BP36:BP38)</f>
        <v>100000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4"/>
      <c r="E44" s="84"/>
      <c r="F44" s="3" t="s">
        <v>9</v>
      </c>
      <c r="G44" s="84"/>
      <c r="H44" s="84"/>
      <c r="I44" s="84"/>
      <c r="Z44" s="12"/>
      <c r="AI44" s="5"/>
      <c r="AV44" s="3"/>
      <c r="AW44" s="84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8699000</v>
      </c>
      <c r="D47" s="9">
        <f>SUMIFS(D8:D40,H8:H40,"BANQUE")</f>
        <v>5125000</v>
      </c>
      <c r="F47" s="9">
        <f>E40</f>
        <v>200000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16771000</v>
      </c>
    </row>
  </sheetData>
  <autoFilter ref="A5:AF38"/>
  <mergeCells count="1">
    <mergeCell ref="B4:M4"/>
  </mergeCells>
  <dataValidations count="2">
    <dataValidation type="list" allowBlank="1" showInputMessage="1" showErrorMessage="1" sqref="AF6:AF38">
      <formula1>MODEVERSEMENTS</formula1>
    </dataValidation>
    <dataValidation type="list" allowBlank="1" showInputMessage="1" showErrorMessage="1" sqref="T6:T38 AA6:AA38 AP6:AP38">
      <formula1>"BANQUE,ESPECES, 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D6" sqref="D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 t="shared" ref="C6:C38" si="0">D6+E6+F6-U6-BB6</f>
        <v>0</v>
      </c>
      <c r="D6" s="9">
        <f>VLOOKUP(A6,[12]HISTOBQUEFEV24!$A$6:$G$46,3,0)</f>
        <v>175000</v>
      </c>
      <c r="E6" s="9">
        <f>VLOOKUP(A6,[12]HISTOBQUEFEV24!$A$6:$G$41,4,0)</f>
        <v>0</v>
      </c>
      <c r="F6" s="9">
        <f>VLOOKUP(A6,[12]HISTOBQUEFEV24!$A$6:$G$41,5,0)</f>
        <v>0</v>
      </c>
      <c r="G6" s="5">
        <f>IF(H6="ESPECES",3000,0)</f>
        <v>0</v>
      </c>
      <c r="H6" s="10" t="str">
        <f t="shared" ref="H6:H38" si="1">IF($D6&lt;&gt;0,"BANQUE",IF($E6&lt;&gt;0,"ESPECES","ECHEC"))</f>
        <v>BANQUE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2">IF($D6&lt;&gt;0,L6*75000,IF($E6&lt;&gt;0,L6*75000,0))</f>
        <v>75000</v>
      </c>
      <c r="N6" s="6">
        <v>1</v>
      </c>
      <c r="O6" s="11">
        <f t="shared" ref="O6:O38" si="3">IF($D6&lt;&gt;0,N6*100000,IF($E6&lt;&gt;0,N6*100000,0))</f>
        <v>100000</v>
      </c>
      <c r="P6" s="2"/>
      <c r="Q6" s="2"/>
      <c r="R6" s="2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4">IF(H6="ECHEC",((K6+M6+O6)*20/100),0)</f>
        <v>0</v>
      </c>
      <c r="AR6" s="8">
        <f t="shared" ref="AR6:AR38" si="5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227000</v>
      </c>
      <c r="BA6" s="58"/>
      <c r="BB6" s="58"/>
      <c r="BC6" s="15"/>
      <c r="BD6" s="57">
        <f>IF(AZ6=0,(AZ6-BA6-BC6),(AZ6-BA6-BB6-BC6))</f>
        <v>227000</v>
      </c>
      <c r="BE6" s="82"/>
      <c r="BF6" s="29">
        <f t="shared" ref="BF6:BF38" si="6">Z6*1/100*BG6</f>
        <v>0</v>
      </c>
      <c r="BG6" s="29">
        <v>10</v>
      </c>
      <c r="BH6" s="15">
        <f>BP16</f>
        <v>27000</v>
      </c>
      <c r="BI6" s="15">
        <f>BP28</f>
        <v>0</v>
      </c>
      <c r="BJ6" s="15">
        <f>BP33</f>
        <v>100000</v>
      </c>
      <c r="BK6" s="15">
        <f>+BP40</f>
        <v>100000</v>
      </c>
      <c r="BL6" s="15"/>
      <c r="BM6" s="15">
        <f>BP22</f>
        <v>0</v>
      </c>
      <c r="BN6" t="s">
        <v>115</v>
      </c>
      <c r="BO6" t="s">
        <v>114</v>
      </c>
      <c r="BP6" s="6">
        <v>3000</v>
      </c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9">
        <f t="shared" si="0"/>
        <v>6000</v>
      </c>
      <c r="D7" s="9">
        <f>VLOOKUP(A7,[12]HISTOBQUEFEV24!$A$6:$G$46,3,0)</f>
        <v>78000</v>
      </c>
      <c r="E7" s="9">
        <f>VLOOKUP(A7,[12]HISTOBQUEFEV24!$A$6:$G$41,4,0)</f>
        <v>0</v>
      </c>
      <c r="F7" s="9">
        <f>VLOOKUP(A7,[12]HISTOBQUEFEV24!$A$6:$G$41,5,0)</f>
        <v>0</v>
      </c>
      <c r="G7" s="5">
        <f t="shared" ref="G7:G38" si="7">IF(H7="ESPECES",3000,0)</f>
        <v>0</v>
      </c>
      <c r="H7" s="10" t="str">
        <f t="shared" si="1"/>
        <v>BANQUE</v>
      </c>
      <c r="I7" s="10">
        <v>22000</v>
      </c>
      <c r="J7" s="11">
        <v>1</v>
      </c>
      <c r="K7" s="11">
        <f t="shared" ref="K7:K38" si="8">IF($D7&lt;&gt;0,J7*50000,IF($E7&lt;&gt;0,J7*50000,0))</f>
        <v>50000</v>
      </c>
      <c r="L7" s="6"/>
      <c r="M7" s="11">
        <f t="shared" si="2"/>
        <v>0</v>
      </c>
      <c r="N7" s="6"/>
      <c r="O7" s="11">
        <f t="shared" si="3"/>
        <v>0</v>
      </c>
      <c r="P7" s="2">
        <f>VLOOKUP(A7,[14]TONTFEV24!$A$6:$R$39,12,0)</f>
        <v>0</v>
      </c>
      <c r="Q7" s="2"/>
      <c r="R7" s="2"/>
      <c r="S7" s="20"/>
      <c r="T7" s="12"/>
      <c r="U7" s="17">
        <f t="shared" ref="U7:U38" si="9">G7+S7++R7+P7+O7+M7+I7+K7+Q7+V7+W7</f>
        <v>72000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60000</v>
      </c>
      <c r="AJ7" s="12"/>
      <c r="AK7" s="12"/>
      <c r="AL7" s="12">
        <v>1000</v>
      </c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8" si="10">IF(H7="ECHEC",0,(K7+I7-25000))</f>
        <v>47000</v>
      </c>
      <c r="AT7" s="15"/>
      <c r="AV7" s="15"/>
      <c r="AW7" s="15">
        <f t="shared" ref="AW7:AW38" si="11">IF(AC7=0,AI7,(1*25000*12)+AI7-AC7)</f>
        <v>60000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>SUM(AV7:AY7)-BF7+Z7-F7+BH7+BI7+BJ7+BK7+BL7+BM7+6000</f>
        <v>60000</v>
      </c>
      <c r="BA7" s="58"/>
      <c r="BB7" s="58"/>
      <c r="BC7" s="15"/>
      <c r="BD7" s="57">
        <f t="shared" ref="BD7:BD38" si="14">IF(AZ7=0,(AZ7-BA7-BC7),(AZ7-BA7-BB7-BC7))</f>
        <v>60000</v>
      </c>
      <c r="BE7" s="82"/>
      <c r="BF7" s="29">
        <f>Z7*1/100*BG7+6000</f>
        <v>6000</v>
      </c>
      <c r="BG7" s="29">
        <v>10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9">
        <f t="shared" si="0"/>
        <v>3000</v>
      </c>
      <c r="D8" s="9">
        <f>VLOOKUP(A8,[12]HISTOBQUEFEV24!$A$6:$G$46,3,0)</f>
        <v>100000</v>
      </c>
      <c r="E8" s="9">
        <f>VLOOKUP(A8,[12]HISTOBQUEFEV24!$A$6:$G$41,4,0)</f>
        <v>25000</v>
      </c>
      <c r="F8" s="9">
        <f>VLOOKUP(A8,[12]HISTOBQUEFEV24!$A$6:$G$41,5,0)</f>
        <v>0</v>
      </c>
      <c r="G8" s="5">
        <f t="shared" si="7"/>
        <v>0</v>
      </c>
      <c r="H8" s="10" t="str">
        <f t="shared" si="1"/>
        <v>BANQUE</v>
      </c>
      <c r="I8" s="10">
        <v>-3000</v>
      </c>
      <c r="J8" s="11">
        <v>1</v>
      </c>
      <c r="K8" s="11">
        <f t="shared" si="8"/>
        <v>50000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VLOOKUP(A8,[14]TONTFEV24!$A$6:$R$39,12,0)</f>
        <v>0</v>
      </c>
      <c r="Q8" s="2">
        <f>VLOOKUP(A8,[15]TONTFEV24!$A$7:$P$23,10,0)</f>
        <v>0</v>
      </c>
      <c r="R8" s="2"/>
      <c r="S8" s="20"/>
      <c r="T8" s="12"/>
      <c r="U8" s="17">
        <f t="shared" si="9"/>
        <v>122000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10"/>
        <v>22000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ref="AZ8:AZ38" si="15">SUM(AV8:AY8)-BF8+Z8-F8+BH8+BI8+BJ8+BK8+BL8+BM8</f>
        <v>0</v>
      </c>
      <c r="BA8" s="58"/>
      <c r="BB8" s="58"/>
      <c r="BC8" s="15"/>
      <c r="BD8" s="57">
        <f t="shared" si="14"/>
        <v>0</v>
      </c>
      <c r="BE8" s="82"/>
      <c r="BF8" s="29">
        <f t="shared" si="6"/>
        <v>0</v>
      </c>
      <c r="BG8" s="29">
        <v>10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12000</v>
      </c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0"/>
        <v>0</v>
      </c>
      <c r="D9" s="9">
        <f>VLOOKUP(A9,[12]HISTOBQUEFEV24!$A$6:$G$46,3,0)</f>
        <v>250000</v>
      </c>
      <c r="E9" s="9">
        <f>VLOOKUP(A9,[12]HISTOBQUEFEV24!$A$6:$G$41,4,0)</f>
        <v>0</v>
      </c>
      <c r="F9" s="9">
        <f>VLOOKUP(A9,[12]HISTOBQUEFEV24!$A$6:$G$41,5,0)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8"/>
        <v>50000</v>
      </c>
      <c r="L9" s="6"/>
      <c r="M9" s="11">
        <f t="shared" si="2"/>
        <v>0</v>
      </c>
      <c r="N9" s="6">
        <v>2</v>
      </c>
      <c r="O9" s="11">
        <f t="shared" si="3"/>
        <v>200000</v>
      </c>
      <c r="P9" s="2">
        <f>VLOOKUP(A9,[14]TONTFEV24!$A$6:$R$39,12,0)</f>
        <v>0</v>
      </c>
      <c r="Q9" s="2"/>
      <c r="R9" s="2">
        <f>VLOOKUP(A9,[16]TONTFEV24!$A$7:$P$20,10,0)</f>
        <v>0</v>
      </c>
      <c r="S9" s="20"/>
      <c r="T9" s="12"/>
      <c r="U9" s="17">
        <f t="shared" si="9"/>
        <v>250000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10"/>
        <v>25000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5"/>
        <v>0</v>
      </c>
      <c r="BA9" s="58"/>
      <c r="BB9" s="58"/>
      <c r="BC9" s="15"/>
      <c r="BD9" s="57">
        <f t="shared" si="14"/>
        <v>0</v>
      </c>
      <c r="BE9" s="82"/>
      <c r="BF9" s="29">
        <f t="shared" si="6"/>
        <v>0</v>
      </c>
      <c r="BG9" s="29">
        <v>10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0"/>
        <v>0</v>
      </c>
      <c r="D10" s="9">
        <f>VLOOKUP(A10,[12]HISTOBQUEFEV24!$A$6:$G$46,3,0)</f>
        <v>125000</v>
      </c>
      <c r="E10" s="9">
        <f>VLOOKUP(A10,[12]HISTOBQUEFEV24!$A$6:$G$41,4,0)</f>
        <v>105000</v>
      </c>
      <c r="F10" s="9">
        <f>VLOOKUP(A10,[12]HISTOBQUEFEV24!$A$6:$G$41,5,0)</f>
        <v>0</v>
      </c>
      <c r="G10" s="5">
        <f>IF(H10="ESPECES",3000,0)+3000</f>
        <v>3000</v>
      </c>
      <c r="H10" s="10" t="str">
        <f t="shared" si="1"/>
        <v>BANQUE</v>
      </c>
      <c r="I10" s="10"/>
      <c r="J10" s="11">
        <v>1</v>
      </c>
      <c r="K10" s="11">
        <f t="shared" si="8"/>
        <v>50000</v>
      </c>
      <c r="L10" s="6">
        <v>1</v>
      </c>
      <c r="M10" s="11">
        <f t="shared" si="2"/>
        <v>75000</v>
      </c>
      <c r="N10" s="6"/>
      <c r="O10" s="11">
        <f t="shared" si="3"/>
        <v>0</v>
      </c>
      <c r="P10" s="2">
        <f>VLOOKUP(A10,[14]TONTFEV24!$A$6:$R$39,12,0)</f>
        <v>0</v>
      </c>
      <c r="Q10" s="2">
        <f>VLOOKUP(A10,[15]TONTFEV24!$A$7:$P$23,10,0)</f>
        <v>102000</v>
      </c>
      <c r="R10" s="2"/>
      <c r="S10" s="20"/>
      <c r="T10" s="12"/>
      <c r="U10" s="17">
        <f t="shared" si="9"/>
        <v>230000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60000</v>
      </c>
      <c r="AJ10" s="12"/>
      <c r="AK10" s="12"/>
      <c r="AL10" s="12">
        <v>1000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10"/>
        <v>25000</v>
      </c>
      <c r="AT10" s="15"/>
      <c r="AV10" s="15"/>
      <c r="AW10" s="15">
        <f t="shared" si="11"/>
        <v>60000</v>
      </c>
      <c r="AX10" s="15">
        <f t="shared" si="12"/>
        <v>0</v>
      </c>
      <c r="AY10" s="15">
        <f t="shared" si="13"/>
        <v>0</v>
      </c>
      <c r="AZ10" s="16">
        <f t="shared" si="15"/>
        <v>60000</v>
      </c>
      <c r="BA10" s="58"/>
      <c r="BB10" s="58"/>
      <c r="BC10" s="15"/>
      <c r="BD10" s="57">
        <f t="shared" si="14"/>
        <v>60000</v>
      </c>
      <c r="BE10" s="82"/>
      <c r="BF10" s="29">
        <f t="shared" si="6"/>
        <v>0</v>
      </c>
      <c r="BG10" s="29">
        <v>10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0"/>
        <v>0</v>
      </c>
      <c r="D11" s="9">
        <f>VLOOKUP(A11,[12]HISTOBQUEFEV24!$A$6:$G$46,3,0)</f>
        <v>227000</v>
      </c>
      <c r="E11" s="9">
        <f>VLOOKUP(A11,[12]HISTOBQUEFEV24!$A$6:$G$41,4,0)</f>
        <v>0</v>
      </c>
      <c r="F11" s="9">
        <f>VLOOKUP(A11,[12]HISTOBQUEFEV24!$A$6:$G$41,5,0)+1000000</f>
        <v>1000000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8"/>
        <v>50000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VLOOKUP(A11,[14]TONTFEV24!$A$6:$R$39,12,0)</f>
        <v>0</v>
      </c>
      <c r="Q11" s="2">
        <f>VLOOKUP(A11,[15]TONTFEV24!$A$7:$P$23,10,0)</f>
        <v>102000</v>
      </c>
      <c r="R11" s="2"/>
      <c r="S11" s="20">
        <v>1000000</v>
      </c>
      <c r="T11" s="12"/>
      <c r="U11" s="17">
        <f t="shared" si="9"/>
        <v>1227000</v>
      </c>
      <c r="V11" s="12"/>
      <c r="W11" s="12"/>
      <c r="X11" s="12"/>
      <c r="Y11" s="12"/>
      <c r="Z11" s="12">
        <v>1000000</v>
      </c>
      <c r="AA11" s="12"/>
      <c r="AB11" s="12"/>
      <c r="AC11" s="12">
        <v>16000</v>
      </c>
      <c r="AD11" s="12">
        <v>16000</v>
      </c>
      <c r="AE11" s="12"/>
      <c r="AF11" s="12" t="s">
        <v>8</v>
      </c>
      <c r="AG11" s="12"/>
      <c r="AH11" s="12"/>
      <c r="AI11" s="12"/>
      <c r="AJ11" s="12"/>
      <c r="AK11" s="12"/>
      <c r="AL11" s="12"/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10"/>
        <v>25000</v>
      </c>
      <c r="AT11" s="15"/>
      <c r="AV11" s="15"/>
      <c r="AW11" s="15">
        <f t="shared" si="11"/>
        <v>284000</v>
      </c>
      <c r="AX11" s="15">
        <f t="shared" si="12"/>
        <v>884000</v>
      </c>
      <c r="AY11" s="15">
        <f t="shared" si="13"/>
        <v>0</v>
      </c>
      <c r="AZ11" s="16">
        <f t="shared" si="15"/>
        <v>1148000</v>
      </c>
      <c r="BA11" s="58">
        <v>168000</v>
      </c>
      <c r="BB11" s="58"/>
      <c r="BC11" s="15"/>
      <c r="BD11" s="57">
        <f>IF(AZ11=0,(AZ11-BA11-BC11),(AZ11-BA11-BB11-BC11))-102000</f>
        <v>878000</v>
      </c>
      <c r="BE11" s="82"/>
      <c r="BF11" s="29">
        <f t="shared" si="6"/>
        <v>20000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0"/>
        <v>0</v>
      </c>
      <c r="D12" s="9">
        <f>VLOOKUP(A12,[12]HISTOBQUEFEV24!$A$6:$G$46,3,0)</f>
        <v>330000</v>
      </c>
      <c r="E12" s="9">
        <f>VLOOKUP(A12,[12]HISTOBQUEFEV24!$A$6:$G$41,4,0)</f>
        <v>0</v>
      </c>
      <c r="F12" s="9">
        <f>VLOOKUP(A12,[12]HISTOBQUEFEV24!$A$6:$G$41,5,0)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8"/>
        <v>50000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VLOOKUP(A12,[14]TONTFEV24!$A$6:$R$39,12,0)</f>
        <v>0</v>
      </c>
      <c r="Q12" s="2">
        <f>VLOOKUP(A12,[15]TONTFEV24!$A$7:$P$23,10,0)</f>
        <v>0</v>
      </c>
      <c r="R12" s="2">
        <f>VLOOKUP(A12,[16]TONTFEV24!$A$7:$P$20,10,0)</f>
        <v>0</v>
      </c>
      <c r="S12" s="20"/>
      <c r="T12" s="12"/>
      <c r="U12" s="17">
        <f t="shared" si="9"/>
        <v>330000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131000</v>
      </c>
      <c r="AL12" s="12"/>
      <c r="AM12" s="12"/>
      <c r="AN12" s="12">
        <v>1000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10"/>
        <v>30000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131000</v>
      </c>
      <c r="AZ12" s="16">
        <f t="shared" si="15"/>
        <v>131000</v>
      </c>
      <c r="BA12" s="58">
        <v>66700</v>
      </c>
      <c r="BB12" s="58"/>
      <c r="BC12" s="15"/>
      <c r="BD12" s="57">
        <f>IF(AZ12=0,(AZ12-BA12-BC12),(AZ12-BA12-BB12-BC12))+5000</f>
        <v>69300</v>
      </c>
      <c r="BE12" s="82"/>
      <c r="BF12" s="29">
        <f t="shared" si="6"/>
        <v>0</v>
      </c>
      <c r="BG12" s="29">
        <v>10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0"/>
        <v>0</v>
      </c>
      <c r="D13" s="9">
        <f>VLOOKUP(A13,[12]HISTOBQUEFEV24!$A$6:$G$46,3,0)</f>
        <v>50000</v>
      </c>
      <c r="E13" s="9">
        <f>VLOOKUP(A13,[12]HISTOBQUEFEV24!$A$6:$G$41,4,0)</f>
        <v>0</v>
      </c>
      <c r="F13" s="9">
        <f>VLOOKUP(A13,[12]HISTOBQUEFEV24!$A$6:$G$41,5,0)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VLOOKUP(A13,[14]TONTFEV24!$A$6:$R$39,12,0)</f>
        <v>0</v>
      </c>
      <c r="Q13" s="2"/>
      <c r="R13" s="2"/>
      <c r="S13" s="20"/>
      <c r="T13" s="12"/>
      <c r="U13" s="17">
        <f t="shared" si="9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10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5"/>
        <v>0</v>
      </c>
      <c r="BA13" s="58"/>
      <c r="BB13" s="58"/>
      <c r="BC13" s="15"/>
      <c r="BD13" s="57">
        <f t="shared" si="14"/>
        <v>0</v>
      </c>
      <c r="BE13" s="82"/>
      <c r="BF13" s="29">
        <f t="shared" si="6"/>
        <v>0</v>
      </c>
      <c r="BG13" s="29">
        <v>10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12000</v>
      </c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0"/>
        <v>0</v>
      </c>
      <c r="D14" s="9">
        <f>VLOOKUP(A14,[12]HISTOBQUEFEV24!$A$6:$G$46,3,0)</f>
        <v>50000</v>
      </c>
      <c r="E14" s="9">
        <f>VLOOKUP(A14,[12]HISTOBQUEFEV24!$A$6:$G$41,4,0)</f>
        <v>0</v>
      </c>
      <c r="F14" s="9">
        <f>VLOOKUP(A14,[12]HISTOBQUEFEV24!$A$6:$G$41,5,0)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8"/>
        <v>50000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VLOOKUP(A14,[14]TONTFEV24!$A$6:$R$39,12,0)</f>
        <v>0</v>
      </c>
      <c r="Q14" s="2"/>
      <c r="R14" s="2"/>
      <c r="S14" s="20"/>
      <c r="T14" s="12"/>
      <c r="U14" s="17">
        <f t="shared" si="9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10"/>
        <v>25000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5"/>
        <v>0</v>
      </c>
      <c r="BA14" s="58"/>
      <c r="BB14" s="58"/>
      <c r="BC14" s="15"/>
      <c r="BD14" s="57">
        <f t="shared" si="14"/>
        <v>0</v>
      </c>
      <c r="BE14" s="82"/>
      <c r="BF14" s="29">
        <f t="shared" si="6"/>
        <v>0</v>
      </c>
      <c r="BG14" s="29">
        <v>10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0"/>
        <v>0</v>
      </c>
      <c r="D15" s="9">
        <f>VLOOKUP(A15,[12]HISTOBQUEFEV24!$A$6:$G$46,3,0)</f>
        <v>125000</v>
      </c>
      <c r="E15" s="9">
        <f>VLOOKUP(A15,[12]HISTOBQUEFEV24!$A$6:$G$41,4,0)</f>
        <v>0</v>
      </c>
      <c r="F15" s="9">
        <f>VLOOKUP(A15,[12]HISTOBQUEFEV24!$A$6:$G$41,5,0)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VLOOKUP(A15,[14]TONTFEV24!$A$6:$R$39,12,0)</f>
        <v>0</v>
      </c>
      <c r="Q15" s="2">
        <f>VLOOKUP(A15,[15]TONTFEV24!$A$7:$P$23,10,0)</f>
        <v>0</v>
      </c>
      <c r="R15" s="2"/>
      <c r="S15" s="20"/>
      <c r="T15" s="12"/>
      <c r="U15" s="17">
        <f t="shared" si="9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10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5"/>
        <v>0</v>
      </c>
      <c r="BA15" s="58"/>
      <c r="BB15" s="58"/>
      <c r="BC15" s="15"/>
      <c r="BD15" s="57">
        <f t="shared" si="14"/>
        <v>0</v>
      </c>
      <c r="BE15" s="82"/>
      <c r="BF15" s="29">
        <f t="shared" si="6"/>
        <v>0</v>
      </c>
      <c r="BG15" s="29">
        <v>10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0"/>
        <v>0</v>
      </c>
      <c r="D16" s="9">
        <f>VLOOKUP(A16,[12]HISTOBQUEFEV24!$A$6:$G$46,3,0)</f>
        <v>260000</v>
      </c>
      <c r="E16" s="9">
        <f>VLOOKUP(A16,[12]HISTOBQUEFEV24!$A$6:$G$41,4,0)</f>
        <v>0</v>
      </c>
      <c r="F16" s="9">
        <f>VLOOKUP(A16,[12]HISTOBQUEFEV24!$A$6:$G$41,5,0)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8"/>
        <v>50000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VLOOKUP(A16,[14]TONTFEV24!$A$6:$R$39,12,0)</f>
        <v>0</v>
      </c>
      <c r="Q16" s="2">
        <f>VLOOKUP(A16,[15]TONTFEV24!$A$7:$P$23,10,0)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260000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10"/>
        <v>60000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5"/>
        <v>0</v>
      </c>
      <c r="BA16" s="58"/>
      <c r="BB16" s="58"/>
      <c r="BC16" s="15"/>
      <c r="BD16" s="57">
        <f t="shared" si="14"/>
        <v>0</v>
      </c>
      <c r="BE16" s="82"/>
      <c r="BF16" s="29">
        <f t="shared" si="6"/>
        <v>0</v>
      </c>
      <c r="BG16" s="29">
        <v>10</v>
      </c>
      <c r="BH16" s="15"/>
      <c r="BI16" s="15"/>
      <c r="BJ16" s="15"/>
      <c r="BK16" s="15"/>
      <c r="BL16" s="61"/>
      <c r="BN16" s="62" t="s">
        <v>142</v>
      </c>
      <c r="BP16" s="62">
        <f>SUM(BP6:BP15)</f>
        <v>27000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0"/>
        <v>0</v>
      </c>
      <c r="D17" s="9">
        <f>VLOOKUP(A17,[12]HISTOBQUEFEV24!$A$6:$G$46,3,0)</f>
        <v>251000</v>
      </c>
      <c r="E17" s="9">
        <f>VLOOKUP(A17,[12]HISTOBQUEFEV24!$A$6:$G$41,4,0)</f>
        <v>0</v>
      </c>
      <c r="F17" s="9">
        <f>VLOOKUP(A17,[12]HISTOBQUEFEV24!$A$6:$G$41,5,0)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VLOOKUP(A17,[14]TONTFEV24!$A$6:$R$39,12,0)</f>
        <v>0</v>
      </c>
      <c r="Q17" s="2"/>
      <c r="R17" s="2">
        <f>VLOOKUP(A17,[16]TONTFEV24!$A$7:$P$20,10,0)</f>
        <v>101000</v>
      </c>
      <c r="S17" s="20"/>
      <c r="T17" s="12"/>
      <c r="U17" s="17">
        <f t="shared" si="9"/>
        <v>251000</v>
      </c>
      <c r="V17" s="12"/>
      <c r="W17" s="12"/>
      <c r="X17" s="12"/>
      <c r="Y17" s="12"/>
      <c r="Z17" s="12"/>
      <c r="AA17" s="12"/>
      <c r="AB17" s="12"/>
      <c r="AC17" s="12">
        <v>17000</v>
      </c>
      <c r="AD17" s="12"/>
      <c r="AE17" s="12"/>
      <c r="AF17" s="12" t="s">
        <v>8</v>
      </c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10"/>
        <v>25000</v>
      </c>
      <c r="AT17" s="15"/>
      <c r="AV17" s="15"/>
      <c r="AW17" s="15">
        <f t="shared" si="11"/>
        <v>283000</v>
      </c>
      <c r="AX17" s="15">
        <f t="shared" si="12"/>
        <v>0</v>
      </c>
      <c r="AY17" s="15">
        <f t="shared" si="13"/>
        <v>0</v>
      </c>
      <c r="AZ17" s="16">
        <f t="shared" si="15"/>
        <v>283000</v>
      </c>
      <c r="BA17" s="58"/>
      <c r="BB17" s="58"/>
      <c r="BC17" s="15"/>
      <c r="BD17" s="57">
        <f t="shared" si="14"/>
        <v>283000</v>
      </c>
      <c r="BE17" s="82"/>
      <c r="BF17" s="29">
        <f t="shared" si="6"/>
        <v>0</v>
      </c>
      <c r="BG17" s="29">
        <v>10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0"/>
        <v>0</v>
      </c>
      <c r="D18" s="9">
        <f>VLOOKUP(A18,[12]HISTOBQUEFEV24!$A$6:$G$46,3,0)</f>
        <v>160000</v>
      </c>
      <c r="E18" s="9">
        <f>VLOOKUP(A18,[12]HISTOBQUEFEV24!$A$6:$G$41,4,0)</f>
        <v>0</v>
      </c>
      <c r="F18" s="9">
        <f>VLOOKUP(A18,[12]HISTOBQUEFEV24!$A$6:$G$41,5,0)</f>
        <v>0</v>
      </c>
      <c r="G18" s="5">
        <f t="shared" si="7"/>
        <v>0</v>
      </c>
      <c r="H18" s="10" t="str">
        <f t="shared" si="1"/>
        <v>BANQUE</v>
      </c>
      <c r="I18" s="10">
        <v>10000</v>
      </c>
      <c r="J18" s="11">
        <v>1</v>
      </c>
      <c r="K18" s="11">
        <f t="shared" si="8"/>
        <v>50000</v>
      </c>
      <c r="L18" s="6"/>
      <c r="M18" s="11">
        <f t="shared" si="2"/>
        <v>0</v>
      </c>
      <c r="N18" s="6">
        <v>1</v>
      </c>
      <c r="O18" s="11">
        <f t="shared" si="3"/>
        <v>100000</v>
      </c>
      <c r="P18" s="2">
        <f>VLOOKUP(A18,[14]TONTFEV24!$A$6:$R$39,12,0)</f>
        <v>0</v>
      </c>
      <c r="Q18" s="2"/>
      <c r="R18" s="2">
        <f>VLOOKUP(A18,[16]TONTFEV24!$A$7:$P$20,10,0)</f>
        <v>0</v>
      </c>
      <c r="S18" s="20"/>
      <c r="T18" s="12"/>
      <c r="U18" s="17">
        <f t="shared" si="9"/>
        <v>160000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>
        <v>40000</v>
      </c>
      <c r="AF18" s="12" t="s">
        <v>8</v>
      </c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10"/>
        <v>35000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1160000</v>
      </c>
      <c r="AZ18" s="16">
        <f t="shared" si="15"/>
        <v>1160000</v>
      </c>
      <c r="BA18" s="58"/>
      <c r="BB18" s="58"/>
      <c r="BC18" s="15"/>
      <c r="BD18" s="57">
        <f t="shared" si="14"/>
        <v>1160000</v>
      </c>
      <c r="BE18" s="82"/>
      <c r="BF18" s="29">
        <f t="shared" si="6"/>
        <v>0</v>
      </c>
      <c r="BG18" s="29">
        <v>10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0"/>
        <v>0</v>
      </c>
      <c r="D19" s="9">
        <f>VLOOKUP(A19,[12]HISTOBQUEFEV24!$A$6:$G$46,3,0)</f>
        <v>50000</v>
      </c>
      <c r="E19" s="9">
        <f>VLOOKUP(A19,[12]HISTOBQUEFEV24!$A$6:$G$41,4,0)</f>
        <v>0</v>
      </c>
      <c r="F19" s="9">
        <f>VLOOKUP(A19,[12]HISTOBQUEFEV24!$A$6:$G$41,5,0)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8"/>
        <v>50000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VLOOKUP(A19,[14]TONTFEV24!$A$6:$R$39,12,0)</f>
        <v>0</v>
      </c>
      <c r="Q19" s="2"/>
      <c r="R19" s="2"/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10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5"/>
        <v>0</v>
      </c>
      <c r="BA19" s="58"/>
      <c r="BB19" s="58"/>
      <c r="BC19" s="15"/>
      <c r="BD19" s="57">
        <f t="shared" si="14"/>
        <v>0</v>
      </c>
      <c r="BE19" s="82"/>
      <c r="BF19" s="29">
        <f t="shared" si="6"/>
        <v>0</v>
      </c>
      <c r="BG19" s="29">
        <v>10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0"/>
        <v>0</v>
      </c>
      <c r="D20" s="9">
        <f>VLOOKUP(A20,[12]HISTOBQUEFEV24!$A$6:$G$46,3,0)</f>
        <v>225000</v>
      </c>
      <c r="E20" s="9">
        <f>VLOOKUP(A20,[12]HISTOBQUEFEV24!$A$6:$G$41,4,0)</f>
        <v>0</v>
      </c>
      <c r="F20" s="9">
        <f>VLOOKUP(A20,[12]HISTOBQUEFEV24!$A$6:$G$41,5,0)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VLOOKUP(A20,[14]TONTFEV24!$A$6:$R$39,12,0)</f>
        <v>0</v>
      </c>
      <c r="Q20" s="2">
        <f>VLOOKUP(A20,[15]TONTFEV24!$A$7:$P$23,10,0)</f>
        <v>0</v>
      </c>
      <c r="R20" s="2">
        <f>VLOOKUP(A20,[16]TONTFEV24!$A$7:$P$20,10,0)</f>
        <v>0</v>
      </c>
      <c r="S20" s="20"/>
      <c r="T20" s="12"/>
      <c r="U20" s="17">
        <f t="shared" si="9"/>
        <v>225000</v>
      </c>
      <c r="V20" s="12"/>
      <c r="W20" s="12"/>
      <c r="X20" s="12"/>
      <c r="Y20" s="12"/>
      <c r="Z20" s="12"/>
      <c r="AA20" s="12"/>
      <c r="AB20" s="12"/>
      <c r="AC20" s="12"/>
      <c r="AD20" s="12">
        <v>16000</v>
      </c>
      <c r="AE20" s="12"/>
      <c r="AF20" s="12" t="s">
        <v>8</v>
      </c>
      <c r="AG20" s="12"/>
      <c r="AH20" s="12"/>
      <c r="AI20" s="12"/>
      <c r="AJ20" s="12"/>
      <c r="AK20" s="12">
        <f>100000+100000</f>
        <v>200000</v>
      </c>
      <c r="AL20" s="12"/>
      <c r="AM20" s="12"/>
      <c r="AN20" s="12">
        <f>1000+1000</f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10"/>
        <v>25000</v>
      </c>
      <c r="AT20" s="15"/>
      <c r="AV20" s="15"/>
      <c r="AW20" s="15">
        <f t="shared" si="11"/>
        <v>0</v>
      </c>
      <c r="AX20" s="15">
        <f t="shared" si="12"/>
        <v>884000</v>
      </c>
      <c r="AY20" s="15">
        <f t="shared" si="13"/>
        <v>200000</v>
      </c>
      <c r="AZ20" s="16">
        <f t="shared" si="15"/>
        <v>1084000</v>
      </c>
      <c r="BA20" s="58">
        <v>200000</v>
      </c>
      <c r="BB20" s="58"/>
      <c r="BC20" s="15"/>
      <c r="BD20" s="57">
        <f t="shared" si="14"/>
        <v>884000</v>
      </c>
      <c r="BE20" s="82"/>
      <c r="BF20" s="29">
        <f t="shared" si="6"/>
        <v>0</v>
      </c>
      <c r="BG20" s="29">
        <v>10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0"/>
        <v>0</v>
      </c>
      <c r="D21" s="9">
        <f>VLOOKUP(A21,[12]HISTOBQUEFEV24!$A$6:$G$46,3,0)</f>
        <v>50000</v>
      </c>
      <c r="E21" s="9">
        <f>VLOOKUP(A21,[12]HISTOBQUEFEV24!$A$6:$G$41,4,0)</f>
        <v>0</v>
      </c>
      <c r="F21" s="9">
        <f>VLOOKUP(A21,[12]HISTOBQUEFEV24!$A$6:$G$41,5,0)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VLOOKUP(A21,[14]TONTFEV24!$A$6:$R$39,12,0)</f>
        <v>0</v>
      </c>
      <c r="Q21" s="2"/>
      <c r="R21" s="2"/>
      <c r="S21" s="20"/>
      <c r="T21" s="12"/>
      <c r="U21" s="17">
        <f t="shared" si="9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10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5"/>
        <v>0</v>
      </c>
      <c r="BA21" s="58"/>
      <c r="BB21" s="58"/>
      <c r="BC21" s="15"/>
      <c r="BD21" s="57">
        <f t="shared" si="14"/>
        <v>0</v>
      </c>
      <c r="BE21" s="82"/>
      <c r="BF21" s="29">
        <f t="shared" si="6"/>
        <v>0</v>
      </c>
      <c r="BG21" s="29">
        <v>10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0"/>
        <v>0</v>
      </c>
      <c r="D22" s="9">
        <f>VLOOKUP(A22,[12]HISTOBQUEFEV24!$A$6:$G$46,3,0)</f>
        <v>125000</v>
      </c>
      <c r="E22" s="9">
        <f>VLOOKUP(A22,[12]HISTOBQUEFEV24!$A$6:$G$41,4,0)</f>
        <v>0</v>
      </c>
      <c r="F22" s="9">
        <f>VLOOKUP(A22,[12]HISTOBQUEFEV24!$A$6:$G$41,5,0)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VLOOKUP(A22,[14]TONTFEV24!$A$6:$R$39,12,0)</f>
        <v>0</v>
      </c>
      <c r="Q22" s="2">
        <f>VLOOKUP(A22,[15]TONTFEV24!$A$7:$P$23,10,0)</f>
        <v>0</v>
      </c>
      <c r="R22" s="2"/>
      <c r="S22" s="20"/>
      <c r="T22" s="12"/>
      <c r="U22" s="17">
        <f t="shared" si="9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10"/>
        <v>25000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5"/>
        <v>0</v>
      </c>
      <c r="BA22" s="58"/>
      <c r="BB22" s="58"/>
      <c r="BC22" s="15"/>
      <c r="BD22" s="57">
        <f t="shared" si="14"/>
        <v>0</v>
      </c>
      <c r="BE22" s="82"/>
      <c r="BF22" s="29">
        <f t="shared" si="6"/>
        <v>0</v>
      </c>
      <c r="BG22" s="29">
        <v>10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0"/>
        <v>0</v>
      </c>
      <c r="D23" s="9">
        <f>VLOOKUP(A23,[12]HISTOBQUEFEV24!$A$6:$G$46,3,0)</f>
        <v>260000</v>
      </c>
      <c r="E23" s="9">
        <f>VLOOKUP(A23,[12]HISTOBQUEFEV24!$A$6:$G$41,4,0)</f>
        <v>0</v>
      </c>
      <c r="F23" s="9">
        <f>VLOOKUP(A23,[12]HISTOBQUEFEV24!$A$6:$G$41,5,0)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8"/>
        <v>50000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VLOOKUP(A23,[14]TONTFEV24!$A$6:$R$39,12,0)</f>
        <v>0</v>
      </c>
      <c r="Q23" s="2"/>
      <c r="R23" s="2">
        <f>VLOOKUP(A23,[16]TONTFEV24!$A$7:$P$20,10,0)</f>
        <v>0</v>
      </c>
      <c r="S23" s="20"/>
      <c r="T23" s="12"/>
      <c r="U23" s="17">
        <f t="shared" si="9"/>
        <v>260000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10"/>
        <v>35000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5"/>
        <v>0</v>
      </c>
      <c r="BA23" s="58"/>
      <c r="BB23" s="58"/>
      <c r="BC23" s="15"/>
      <c r="BD23" s="57">
        <f t="shared" si="14"/>
        <v>0</v>
      </c>
      <c r="BE23" s="82"/>
      <c r="BF23" s="29">
        <f t="shared" si="6"/>
        <v>0</v>
      </c>
      <c r="BG23" s="29">
        <v>10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0"/>
        <v>0</v>
      </c>
      <c r="D24" s="9">
        <f>VLOOKUP(A24,[12]HISTOBQUEFEV24!$A$6:$G$46,3,0)</f>
        <v>240000</v>
      </c>
      <c r="E24" s="9">
        <f>VLOOKUP(A24,[12]HISTOBQUEFEV24!$A$6:$G$41,4,0)</f>
        <v>0</v>
      </c>
      <c r="F24" s="9">
        <f>VLOOKUP(A24,[12]HISTOBQUEFEV24!$A$6:$G$41,5,0)</f>
        <v>0</v>
      </c>
      <c r="G24" s="5">
        <f t="shared" si="7"/>
        <v>0</v>
      </c>
      <c r="H24" s="10" t="str">
        <f t="shared" si="1"/>
        <v>BANQUE</v>
      </c>
      <c r="I24" s="10">
        <v>15000</v>
      </c>
      <c r="J24" s="11">
        <v>1</v>
      </c>
      <c r="K24" s="11">
        <f t="shared" si="8"/>
        <v>50000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VLOOKUP(A24,[14]TONTFEV24!$A$6:$R$39,12,0)</f>
        <v>0</v>
      </c>
      <c r="Q24" s="2">
        <f>VLOOKUP(A24,[15]TONTFEV24!$A$7:$P$23,10,0)</f>
        <v>0</v>
      </c>
      <c r="R24" s="2">
        <f>VLOOKUP(A24,[16]TONTFEV24!$A$7:$P$20,10,0)</f>
        <v>0</v>
      </c>
      <c r="S24" s="20"/>
      <c r="T24" s="12"/>
      <c r="U24" s="17">
        <f t="shared" si="9"/>
        <v>240000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10"/>
        <v>40000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5"/>
        <v>0</v>
      </c>
      <c r="BA24" s="58"/>
      <c r="BB24" s="58"/>
      <c r="BC24" s="15"/>
      <c r="BD24" s="57">
        <f t="shared" si="14"/>
        <v>0</v>
      </c>
      <c r="BE24" s="82"/>
      <c r="BF24" s="29">
        <f t="shared" si="6"/>
        <v>0</v>
      </c>
      <c r="BG24" s="29">
        <v>10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0"/>
        <v>0</v>
      </c>
      <c r="D25" s="9">
        <f>VLOOKUP(A25,[12]HISTOBQUEFEV24!$A$6:$G$46,3,0)</f>
        <v>375000</v>
      </c>
      <c r="E25" s="9">
        <f>VLOOKUP(A25,[12]HISTOBQUEFEV24!$A$6:$G$41,4,0)</f>
        <v>0</v>
      </c>
      <c r="F25" s="9">
        <f>VLOOKUP(A25,[12]HISTOBQUEFEV24!$A$6:$G$41,5,0)</f>
        <v>0</v>
      </c>
      <c r="G25" s="5">
        <f t="shared" si="7"/>
        <v>0</v>
      </c>
      <c r="H25" s="10" t="str">
        <f t="shared" si="1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2"/>
        <v>225000</v>
      </c>
      <c r="N25" s="6">
        <v>1</v>
      </c>
      <c r="O25" s="11">
        <f t="shared" si="3"/>
        <v>100000</v>
      </c>
      <c r="P25" s="2">
        <f>VLOOKUP(A25,[14]TONTFEV24!$A$6:$R$39,12,0)</f>
        <v>0</v>
      </c>
      <c r="Q25" s="2">
        <f>VLOOKUP(A25,[15]TONTFEV24!$A$7:$P$23,10,0)</f>
        <v>0</v>
      </c>
      <c r="R25" s="2">
        <f>VLOOKUP(A25,[16]TONTFEV24!$A$7:$P$20,10,0)</f>
        <v>0</v>
      </c>
      <c r="S25" s="20"/>
      <c r="T25" s="12"/>
      <c r="U25" s="17">
        <f t="shared" si="9"/>
        <v>375000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100000</v>
      </c>
      <c r="AL25" s="12"/>
      <c r="AM25" s="12"/>
      <c r="AN25" s="12">
        <v>1500</v>
      </c>
      <c r="AO25" s="12"/>
      <c r="AP25" s="12"/>
      <c r="AQ25" s="8">
        <f t="shared" si="4"/>
        <v>0</v>
      </c>
      <c r="AR25" s="8">
        <f t="shared" si="5"/>
        <v>0</v>
      </c>
      <c r="AS25" s="13">
        <f t="shared" si="10"/>
        <v>25000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100000</v>
      </c>
      <c r="AZ25" s="16">
        <f t="shared" si="15"/>
        <v>100000</v>
      </c>
      <c r="BA25" s="58">
        <v>100000</v>
      </c>
      <c r="BB25" s="58"/>
      <c r="BC25" s="15"/>
      <c r="BD25" s="57">
        <f t="shared" si="14"/>
        <v>0</v>
      </c>
      <c r="BE25" s="82"/>
      <c r="BF25" s="29">
        <f t="shared" si="6"/>
        <v>0</v>
      </c>
      <c r="BG25" s="29">
        <v>10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0"/>
        <v>0</v>
      </c>
      <c r="D26" s="9">
        <f>VLOOKUP(A26,[12]HISTOBQUEFEV24!$A$6:$G$46,3,0)</f>
        <v>50000</v>
      </c>
      <c r="E26" s="9">
        <f>VLOOKUP(A26,[12]HISTOBQUEFEV24!$A$6:$G$41,4,0)</f>
        <v>0</v>
      </c>
      <c r="F26" s="9">
        <f>VLOOKUP(A26,[12]HISTOBQUEFEV24!$A$6:$G$41,5,0)</f>
        <v>0</v>
      </c>
      <c r="G26" s="5">
        <f t="shared" si="7"/>
        <v>0</v>
      </c>
      <c r="H26" s="10" t="str">
        <f t="shared" si="1"/>
        <v>BANQUE</v>
      </c>
      <c r="I26" s="10"/>
      <c r="J26" s="11">
        <v>1</v>
      </c>
      <c r="K26" s="11">
        <f t="shared" si="8"/>
        <v>50000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VLOOKUP(A26,[14]TONTFEV24!$A$6:$R$39,12,0)</f>
        <v>0</v>
      </c>
      <c r="Q26" s="2"/>
      <c r="R26" s="2"/>
      <c r="S26" s="20"/>
      <c r="T26" s="12"/>
      <c r="U26" s="17">
        <f t="shared" si="9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10"/>
        <v>25000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5"/>
        <v>0</v>
      </c>
      <c r="BA26" s="58"/>
      <c r="BB26" s="58"/>
      <c r="BC26" s="15"/>
      <c r="BD26" s="57">
        <f t="shared" si="14"/>
        <v>0</v>
      </c>
      <c r="BE26" s="82"/>
      <c r="BF26" s="29">
        <f t="shared" si="6"/>
        <v>0</v>
      </c>
      <c r="BG26" s="29">
        <v>10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0"/>
        <v>0</v>
      </c>
      <c r="D27" s="9">
        <f>VLOOKUP(A27,[12]HISTOBQUEFEV24!$A$6:$G$46,3,0)</f>
        <v>50000</v>
      </c>
      <c r="E27" s="9">
        <f>VLOOKUP(A27,[12]HISTOBQUEFEV24!$A$6:$G$41,4,0)</f>
        <v>0</v>
      </c>
      <c r="F27" s="9">
        <f>VLOOKUP(A27,[12]HISTOBQUEFEV24!$A$6:$G$41,5,0)</f>
        <v>0</v>
      </c>
      <c r="G27" s="5">
        <f t="shared" si="7"/>
        <v>0</v>
      </c>
      <c r="H27" s="10" t="str">
        <f t="shared" si="1"/>
        <v>BANQUE</v>
      </c>
      <c r="I27" s="10"/>
      <c r="J27" s="11">
        <v>1</v>
      </c>
      <c r="K27" s="11">
        <f t="shared" si="8"/>
        <v>50000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VLOOKUP(A27,[14]TONTFEV24!$A$6:$R$39,12,0)</f>
        <v>0</v>
      </c>
      <c r="Q27" s="2"/>
      <c r="R27" s="2"/>
      <c r="S27" s="20"/>
      <c r="T27" s="12"/>
      <c r="U27" s="17">
        <f t="shared" si="9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10"/>
        <v>25000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5"/>
        <v>0</v>
      </c>
      <c r="BA27" s="58"/>
      <c r="BB27" s="58"/>
      <c r="BC27" s="15"/>
      <c r="BD27" s="57">
        <f t="shared" si="14"/>
        <v>0</v>
      </c>
      <c r="BE27" s="82"/>
      <c r="BF27" s="29">
        <f t="shared" si="6"/>
        <v>0</v>
      </c>
      <c r="BG27" s="29">
        <v>10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0"/>
        <v>0</v>
      </c>
      <c r="D28" s="9">
        <f>VLOOKUP(A28,[12]HISTOBQUEFEV24!$A$6:$G$46,3,0)</f>
        <v>125000</v>
      </c>
      <c r="E28" s="9">
        <f>VLOOKUP(A28,[12]HISTOBQUEFEV24!$A$6:$G$41,4,0)</f>
        <v>0</v>
      </c>
      <c r="F28" s="9">
        <f>VLOOKUP(A28,[12]HISTOBQUEFEV24!$A$6:$G$41,5,0)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VLOOKUP(A28,[14]TONTFEV24!$A$6:$R$39,12,0)</f>
        <v>0</v>
      </c>
      <c r="Q28" s="2">
        <f>VLOOKUP(A28,[15]TONTFEV24!$A$7:$P$23,10,0)</f>
        <v>0</v>
      </c>
      <c r="R28" s="2"/>
      <c r="S28" s="20"/>
      <c r="T28" s="12"/>
      <c r="U28" s="17">
        <f t="shared" si="9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10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5"/>
        <v>0</v>
      </c>
      <c r="BA28" s="58"/>
      <c r="BB28" s="58"/>
      <c r="BC28" s="15"/>
      <c r="BD28" s="57">
        <f t="shared" si="14"/>
        <v>0</v>
      </c>
      <c r="BE28" s="82"/>
      <c r="BF28" s="29">
        <f t="shared" si="6"/>
        <v>0</v>
      </c>
      <c r="BG28" s="29">
        <v>10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0"/>
        <v>0</v>
      </c>
      <c r="D29" s="9">
        <f>VLOOKUP(A29,[12]HISTOBQUEFEV24!$A$6:$G$46,3,0)</f>
        <v>50000</v>
      </c>
      <c r="E29" s="9">
        <f>VLOOKUP(A29,[12]HISTOBQUEFEV24!$A$6:$G$41,4,0)</f>
        <v>0</v>
      </c>
      <c r="F29" s="9">
        <f>VLOOKUP(A29,[12]HISTOBQUEFEV24!$A$6:$G$41,5,0)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8"/>
        <v>50000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VLOOKUP(A29,[14]TONTFEV24!$A$6:$R$39,12,0)</f>
        <v>0</v>
      </c>
      <c r="Q29" s="2"/>
      <c r="R29" s="2"/>
      <c r="S29" s="20"/>
      <c r="T29" s="12"/>
      <c r="U29" s="17">
        <f t="shared" si="9"/>
        <v>50000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>
        <v>51000</v>
      </c>
      <c r="AJ29" s="12"/>
      <c r="AK29" s="12"/>
      <c r="AL29" s="12">
        <v>1000</v>
      </c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10"/>
        <v>25000</v>
      </c>
      <c r="AT29" s="15"/>
      <c r="AV29" s="15"/>
      <c r="AW29" s="15">
        <f t="shared" si="11"/>
        <v>51000</v>
      </c>
      <c r="AX29" s="15">
        <f t="shared" si="12"/>
        <v>0</v>
      </c>
      <c r="AY29" s="15">
        <f t="shared" si="13"/>
        <v>0</v>
      </c>
      <c r="AZ29" s="16">
        <f t="shared" si="15"/>
        <v>51000</v>
      </c>
      <c r="BA29" s="58"/>
      <c r="BB29" s="58"/>
      <c r="BC29" s="15"/>
      <c r="BD29" s="57">
        <f t="shared" si="14"/>
        <v>51000</v>
      </c>
      <c r="BE29" s="82"/>
      <c r="BF29" s="29">
        <f t="shared" si="6"/>
        <v>0</v>
      </c>
      <c r="BG29" s="29">
        <v>10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0"/>
        <v>0</v>
      </c>
      <c r="D30" s="9">
        <f>VLOOKUP(A30,[12]HISTOBQUEFEV24!$A$6:$G$46,3,0)</f>
        <v>250000</v>
      </c>
      <c r="E30" s="9">
        <f>VLOOKUP(A30,[12]HISTOBQUEFEV24!$A$6:$G$41,4,0)</f>
        <v>0</v>
      </c>
      <c r="F30" s="9">
        <f>VLOOKUP(A30,[12]HISTOBQUEFEV24!$A$6:$G$41,5,0)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8"/>
        <v>50000</v>
      </c>
      <c r="L30" s="6"/>
      <c r="M30" s="11">
        <f t="shared" si="2"/>
        <v>0</v>
      </c>
      <c r="N30" s="6">
        <v>2</v>
      </c>
      <c r="O30" s="11">
        <f t="shared" si="3"/>
        <v>200000</v>
      </c>
      <c r="P30" s="2">
        <f>VLOOKUP(A30,[14]TONTFEV24!$A$6:$R$39,12,0)</f>
        <v>0</v>
      </c>
      <c r="Q30" s="2"/>
      <c r="R30" s="2">
        <f>VLOOKUP(A30,[16]TONTFEV24!$A$7:$P$20,10,0)</f>
        <v>0</v>
      </c>
      <c r="S30" s="20"/>
      <c r="T30" s="12"/>
      <c r="U30" s="17">
        <f t="shared" si="9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>
        <v>35000</v>
      </c>
      <c r="AF30" s="12" t="s">
        <v>8</v>
      </c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10"/>
        <v>25000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1165000</v>
      </c>
      <c r="AZ30" s="16">
        <f t="shared" si="15"/>
        <v>1165000</v>
      </c>
      <c r="BA30" s="58"/>
      <c r="BB30" s="58"/>
      <c r="BC30" s="15"/>
      <c r="BD30" s="57">
        <f t="shared" si="14"/>
        <v>1165000</v>
      </c>
      <c r="BE30" s="82"/>
      <c r="BF30" s="29">
        <f t="shared" si="6"/>
        <v>0</v>
      </c>
      <c r="BG30" s="29">
        <v>10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0"/>
        <v>0</v>
      </c>
      <c r="D31" s="9">
        <f>VLOOKUP(A31,[12]HISTOBQUEFEV24!$A$6:$G$46,3,0)</f>
        <v>150000</v>
      </c>
      <c r="E31" s="9">
        <f>VLOOKUP(A31,[12]HISTOBQUEFEV24!$A$6:$G$41,4,0)</f>
        <v>0</v>
      </c>
      <c r="F31" s="9">
        <f>VLOOKUP(A31,[12]HISTOBQUEFEV24!$A$6:$G$41,5,0)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VLOOKUP(A31,[14]TONTFEV24!$A$6:$R$39,12,0)</f>
        <v>0</v>
      </c>
      <c r="Q31" s="2"/>
      <c r="R31" s="2">
        <f>VLOOKUP(A31,[16]TONTFEV24!$A$7:$P$20,10,0)</f>
        <v>0</v>
      </c>
      <c r="S31" s="20"/>
      <c r="T31" s="12"/>
      <c r="U31" s="17">
        <f t="shared" si="9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10"/>
        <v>25000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5"/>
        <v>0</v>
      </c>
      <c r="BA31" s="58"/>
      <c r="BB31" s="58"/>
      <c r="BC31" s="15"/>
      <c r="BD31" s="57">
        <f t="shared" si="14"/>
        <v>0</v>
      </c>
      <c r="BE31" s="82"/>
      <c r="BF31" s="29">
        <f t="shared" si="6"/>
        <v>0</v>
      </c>
      <c r="BG31" s="29">
        <v>10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0"/>
        <v>0</v>
      </c>
      <c r="D32" s="9">
        <f>VLOOKUP(A32,[12]HISTOBQUEFEV24!$A$6:$G$46,3,0)</f>
        <v>125000</v>
      </c>
      <c r="E32" s="9">
        <f>VLOOKUP(A32,[12]HISTOBQUEFEV24!$A$6:$G$41,4,0)</f>
        <v>0</v>
      </c>
      <c r="F32" s="9">
        <f>VLOOKUP(A32,[12]HISTOBQUEFEV24!$A$6:$G$41,5,0)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VLOOKUP(A32,[14]TONTFEV24!$A$6:$R$39,12,0)</f>
        <v>0</v>
      </c>
      <c r="Q32" s="2">
        <f>VLOOKUP(A32,[15]TONTFEV24!$A$7:$P$23,10,0)</f>
        <v>0</v>
      </c>
      <c r="R32" s="2"/>
      <c r="S32" s="20"/>
      <c r="T32" s="12"/>
      <c r="U32" s="17">
        <f t="shared" si="9"/>
        <v>125000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10"/>
        <v>25000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5"/>
        <v>0</v>
      </c>
      <c r="BA32" s="58"/>
      <c r="BB32" s="58"/>
      <c r="BC32" s="15"/>
      <c r="BD32" s="57">
        <f t="shared" si="14"/>
        <v>0</v>
      </c>
      <c r="BE32" s="82"/>
      <c r="BF32" s="29">
        <f t="shared" si="6"/>
        <v>0</v>
      </c>
      <c r="BG32" s="29">
        <v>10</v>
      </c>
      <c r="BH32" s="15"/>
      <c r="BI32" s="15"/>
      <c r="BJ32" s="15"/>
      <c r="BK32" s="15"/>
      <c r="BL32" s="61"/>
      <c r="BN32" t="s">
        <v>203</v>
      </c>
      <c r="BP32" s="6">
        <v>100000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0"/>
        <v>0</v>
      </c>
      <c r="D33" s="9">
        <f>VLOOKUP(A33,[12]HISTOBQUEFEV24!$A$6:$G$46,3,0)</f>
        <v>180000</v>
      </c>
      <c r="E33" s="9">
        <f>VLOOKUP(A33,[12]HISTOBQUEFEV24!$A$6:$G$41,4,0)</f>
        <v>0</v>
      </c>
      <c r="F33" s="9">
        <f>VLOOKUP(A33,[12]HISTOBQUEFEV24!$A$6:$G$41,5,0)</f>
        <v>0</v>
      </c>
      <c r="G33" s="5">
        <f t="shared" si="7"/>
        <v>0</v>
      </c>
      <c r="H33" s="10" t="str">
        <f t="shared" si="1"/>
        <v>BANQUE</v>
      </c>
      <c r="I33" s="10">
        <v>30000</v>
      </c>
      <c r="J33" s="11">
        <v>1</v>
      </c>
      <c r="K33" s="11">
        <f t="shared" si="8"/>
        <v>50000</v>
      </c>
      <c r="L33" s="6"/>
      <c r="M33" s="11">
        <f t="shared" si="2"/>
        <v>0</v>
      </c>
      <c r="N33" s="6">
        <v>1</v>
      </c>
      <c r="O33" s="11">
        <f t="shared" si="3"/>
        <v>100000</v>
      </c>
      <c r="P33" s="2">
        <f>VLOOKUP(A33,[14]TONTFEV24!$A$6:$R$39,12,0)</f>
        <v>0</v>
      </c>
      <c r="Q33" s="2"/>
      <c r="R33" s="2">
        <f>VLOOKUP(A33,[16]TONTFEV24!$A$7:$P$20,10,0)</f>
        <v>0</v>
      </c>
      <c r="S33" s="20"/>
      <c r="T33" s="12"/>
      <c r="U33" s="17">
        <f t="shared" si="9"/>
        <v>180000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10"/>
        <v>55000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5"/>
        <v>0</v>
      </c>
      <c r="BA33" s="58"/>
      <c r="BB33" s="58"/>
      <c r="BC33" s="15"/>
      <c r="BD33" s="57">
        <f t="shared" si="14"/>
        <v>0</v>
      </c>
      <c r="BE33" s="82"/>
      <c r="BF33" s="29">
        <f t="shared" si="6"/>
        <v>0</v>
      </c>
      <c r="BG33" s="29">
        <v>10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100000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0"/>
        <v>0</v>
      </c>
      <c r="D34" s="9">
        <f>VLOOKUP(A34,[12]HISTOBQUEFEV24!$A$6:$G$46,3,0)</f>
        <v>50000</v>
      </c>
      <c r="E34" s="9">
        <f>VLOOKUP(A34,[12]HISTOBQUEFEV24!$A$6:$G$41,4,0)</f>
        <v>0</v>
      </c>
      <c r="F34" s="9">
        <f>VLOOKUP(A34,[12]HISTOBQUEFEV24!$A$6:$G$41,5,0)</f>
        <v>0</v>
      </c>
      <c r="G34" s="5">
        <f t="shared" si="7"/>
        <v>0</v>
      </c>
      <c r="H34" s="10" t="str">
        <f t="shared" si="1"/>
        <v>BANQUE</v>
      </c>
      <c r="I34" s="10"/>
      <c r="J34" s="11">
        <v>1</v>
      </c>
      <c r="K34" s="11">
        <f t="shared" si="8"/>
        <v>50000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VLOOKUP(A34,[14]TONTFEV24!$A$6:$R$39,12,0)</f>
        <v>0</v>
      </c>
      <c r="Q34" s="2"/>
      <c r="R34" s="2"/>
      <c r="S34" s="20"/>
      <c r="T34" s="12"/>
      <c r="U34" s="17">
        <f t="shared" si="9"/>
        <v>50000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10"/>
        <v>25000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5"/>
        <v>0</v>
      </c>
      <c r="BA34" s="58"/>
      <c r="BB34" s="58"/>
      <c r="BC34" s="15"/>
      <c r="BD34" s="57">
        <f t="shared" si="14"/>
        <v>0</v>
      </c>
      <c r="BE34" s="82"/>
      <c r="BF34" s="29">
        <f t="shared" si="6"/>
        <v>0</v>
      </c>
      <c r="BG34" s="29">
        <v>10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200000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0"/>
        <v>0</v>
      </c>
      <c r="D35" s="9">
        <f>VLOOKUP(A35,[12]HISTOBQUEFEV24!$A$6:$G$46,3,0)</f>
        <v>60000</v>
      </c>
      <c r="E35" s="9">
        <f>VLOOKUP(A35,[12]HISTOBQUEFEV24!$A$6:$G$41,4,0)</f>
        <v>0</v>
      </c>
      <c r="F35" s="9">
        <f>VLOOKUP(A35,[12]HISTOBQUEFEV24!$A$6:$G$41,5,0)</f>
        <v>0</v>
      </c>
      <c r="G35" s="5">
        <f t="shared" si="7"/>
        <v>0</v>
      </c>
      <c r="H35" s="10" t="str">
        <f t="shared" si="1"/>
        <v>BANQUE</v>
      </c>
      <c r="I35" s="10">
        <v>10000</v>
      </c>
      <c r="J35" s="11">
        <v>1</v>
      </c>
      <c r="K35" s="11">
        <f t="shared" si="8"/>
        <v>50000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VLOOKUP(A35,[14]TONTFEV24!$A$6:$R$39,12,0)</f>
        <v>0</v>
      </c>
      <c r="Q35" s="2"/>
      <c r="R35" s="2"/>
      <c r="S35" s="20"/>
      <c r="T35" s="12"/>
      <c r="U35" s="17">
        <f t="shared" si="9"/>
        <v>60000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10"/>
        <v>35000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5"/>
        <v>0</v>
      </c>
      <c r="BA35" s="58"/>
      <c r="BB35" s="58"/>
      <c r="BC35" s="15"/>
      <c r="BD35" s="57">
        <f t="shared" si="14"/>
        <v>0</v>
      </c>
      <c r="BE35" s="82"/>
      <c r="BF35" s="29">
        <f t="shared" si="6"/>
        <v>0</v>
      </c>
      <c r="BG35" s="29">
        <v>10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0"/>
        <v>0</v>
      </c>
      <c r="D36" s="9">
        <f>VLOOKUP(A36,[12]HISTOBQUEFEV24!$A$6:$G$46,3,0)</f>
        <v>50000</v>
      </c>
      <c r="E36" s="9">
        <f>VLOOKUP(A36,[12]HISTOBQUEFEV24!$A$6:$G$41,4,0)</f>
        <v>0</v>
      </c>
      <c r="F36" s="9">
        <f>VLOOKUP(A36,[12]HISTOBQUEFEV24!$A$6:$G$41,5,0)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8"/>
        <v>50000</v>
      </c>
      <c r="L36" s="6"/>
      <c r="M36" s="11">
        <f t="shared" si="2"/>
        <v>0</v>
      </c>
      <c r="N36" s="6"/>
      <c r="O36" s="11">
        <f t="shared" si="3"/>
        <v>0</v>
      </c>
      <c r="P36" s="2">
        <f>VLOOKUP(A36,[14]TONTFEV24!$A$6:$R$39,12,0)</f>
        <v>0</v>
      </c>
      <c r="Q36" s="2"/>
      <c r="R36" s="2"/>
      <c r="S36" s="20"/>
      <c r="T36" s="12"/>
      <c r="U36" s="17">
        <f t="shared" si="9"/>
        <v>50000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4"/>
        <v>0</v>
      </c>
      <c r="AR36" s="8">
        <f t="shared" si="5"/>
        <v>0</v>
      </c>
      <c r="AS36" s="13">
        <f t="shared" si="10"/>
        <v>25000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5"/>
        <v>0</v>
      </c>
      <c r="BA36" s="58"/>
      <c r="BB36" s="58"/>
      <c r="BC36" s="15"/>
      <c r="BD36" s="57">
        <f t="shared" si="14"/>
        <v>0</v>
      </c>
      <c r="BE36" s="82"/>
      <c r="BF36" s="29">
        <f t="shared" si="6"/>
        <v>0</v>
      </c>
      <c r="BG36" s="29">
        <v>10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>
        <v>100000</v>
      </c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0"/>
        <v>0</v>
      </c>
      <c r="D37" s="9">
        <f>VLOOKUP(A37,[12]HISTOBQUEFEV24!$A$6:$G$46,3,0)</f>
        <v>0</v>
      </c>
      <c r="E37" s="9">
        <f>VLOOKUP(A37,[12]HISTOBQUEFEV24!$A$6:$G$41,4,0)</f>
        <v>153000</v>
      </c>
      <c r="F37" s="9">
        <f>VLOOKUP(A37,[12]HISTOBQUEFEV24!$A$6:$G$41,5,0)</f>
        <v>0</v>
      </c>
      <c r="G37" s="5">
        <f t="shared" si="7"/>
        <v>3000</v>
      </c>
      <c r="H37" s="10" t="str">
        <f t="shared" si="1"/>
        <v>ESPECES</v>
      </c>
      <c r="I37" s="10"/>
      <c r="J37" s="11">
        <v>1</v>
      </c>
      <c r="K37" s="11">
        <f t="shared" si="8"/>
        <v>50000</v>
      </c>
      <c r="L37" s="6"/>
      <c r="M37" s="11">
        <f t="shared" si="2"/>
        <v>0</v>
      </c>
      <c r="N37" s="6">
        <v>1</v>
      </c>
      <c r="O37" s="11">
        <f t="shared" si="3"/>
        <v>100000</v>
      </c>
      <c r="P37" s="2">
        <f>VLOOKUP(A37,[14]TONTFEV24!$A$6:$R$39,12,0)</f>
        <v>0</v>
      </c>
      <c r="Q37" s="2"/>
      <c r="R37" s="2">
        <f>VLOOKUP(A37,[16]TONTFEV24!$A$7:$P$20,10,0)</f>
        <v>0</v>
      </c>
      <c r="S37" s="6"/>
      <c r="T37" s="12"/>
      <c r="U37" s="17">
        <f t="shared" si="9"/>
        <v>153000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4"/>
        <v>0</v>
      </c>
      <c r="AR37" s="8">
        <f t="shared" si="5"/>
        <v>0</v>
      </c>
      <c r="AS37" s="13">
        <f t="shared" si="10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5"/>
        <v>0</v>
      </c>
      <c r="BA37" s="58"/>
      <c r="BB37" s="58"/>
      <c r="BC37" s="15"/>
      <c r="BD37" s="57">
        <f t="shared" si="14"/>
        <v>0</v>
      </c>
      <c r="BE37" s="82"/>
      <c r="BF37" s="29">
        <f t="shared" si="6"/>
        <v>0</v>
      </c>
      <c r="BG37" s="29">
        <v>10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0"/>
        <v>0</v>
      </c>
      <c r="D38" s="9">
        <f>VLOOKUP(A38,[12]HISTOBQUEFEV24!$A$6:$G$46,3,0)</f>
        <v>125000</v>
      </c>
      <c r="E38" s="9">
        <f>VLOOKUP(A38,[12]HISTOBQUEFEV24!$A$6:$G$41,4,0)</f>
        <v>0</v>
      </c>
      <c r="F38" s="9">
        <f>VLOOKUP(A38,[12]HISTOBQUEFEV24!$A$6:$G$41,5,0)</f>
        <v>0</v>
      </c>
      <c r="G38" s="5">
        <f t="shared" si="7"/>
        <v>0</v>
      </c>
      <c r="H38" s="10" t="str">
        <f t="shared" si="1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2"/>
        <v>75000</v>
      </c>
      <c r="N38" s="6"/>
      <c r="O38" s="11">
        <f t="shared" si="3"/>
        <v>0</v>
      </c>
      <c r="P38" s="2">
        <f>VLOOKUP(A38,[14]TONTFEV24!$A$6:$R$39,12,0)</f>
        <v>0</v>
      </c>
      <c r="Q38" s="2">
        <f>VLOOKUP(A38,[15]TONTFEV24!$A$7:$P$23,10,0)</f>
        <v>0</v>
      </c>
      <c r="R38" s="2"/>
      <c r="S38" s="6"/>
      <c r="T38" s="12"/>
      <c r="U38" s="17">
        <f t="shared" si="9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4"/>
        <v>0</v>
      </c>
      <c r="AR38" s="8">
        <f t="shared" si="5"/>
        <v>0</v>
      </c>
      <c r="AS38" s="13">
        <f t="shared" si="10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5"/>
        <v>0</v>
      </c>
      <c r="BA38" s="58"/>
      <c r="BB38" s="58"/>
      <c r="BC38" s="15"/>
      <c r="BD38" s="57">
        <f t="shared" si="14"/>
        <v>0</v>
      </c>
      <c r="BE38" s="82"/>
      <c r="BF38" s="29">
        <f t="shared" si="6"/>
        <v>0</v>
      </c>
      <c r="BG38" s="29">
        <v>10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>SUM(C6:C39)</f>
        <v>9000</v>
      </c>
      <c r="D40" s="5">
        <f>SUM(D6:D39)</f>
        <v>4771000</v>
      </c>
      <c r="E40" s="5">
        <f>SUM(E6:E39)+251700</f>
        <v>534700</v>
      </c>
      <c r="F40" s="5">
        <f t="shared" ref="F40:S40" si="16">SUM(F6:F39)</f>
        <v>1000000</v>
      </c>
      <c r="G40" s="5">
        <f t="shared" si="16"/>
        <v>6000</v>
      </c>
      <c r="H40" s="5">
        <f t="shared" si="16"/>
        <v>0</v>
      </c>
      <c r="I40" s="5">
        <f t="shared" si="16"/>
        <v>134000</v>
      </c>
      <c r="J40" s="5">
        <f t="shared" si="16"/>
        <v>32</v>
      </c>
      <c r="K40" s="5">
        <f t="shared" si="16"/>
        <v>1600000</v>
      </c>
      <c r="L40" s="5">
        <f t="shared" si="16"/>
        <v>16</v>
      </c>
      <c r="M40" s="5">
        <f t="shared" si="16"/>
        <v>1200000</v>
      </c>
      <c r="N40" s="5">
        <f t="shared" si="16"/>
        <v>18</v>
      </c>
      <c r="O40" s="5">
        <f t="shared" si="16"/>
        <v>1800000</v>
      </c>
      <c r="P40" s="5">
        <f t="shared" si="16"/>
        <v>0</v>
      </c>
      <c r="Q40" s="5">
        <f t="shared" si="16"/>
        <v>204000</v>
      </c>
      <c r="R40" s="5">
        <f t="shared" si="16"/>
        <v>101000</v>
      </c>
      <c r="S40" s="5">
        <f t="shared" si="16"/>
        <v>1000000</v>
      </c>
      <c r="T40" s="5"/>
      <c r="U40" s="5">
        <f t="shared" ref="U40:AA40" si="17">SUM(U6:U39)</f>
        <v>6045000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1000000</v>
      </c>
      <c r="AA40" s="5">
        <f t="shared" si="17"/>
        <v>0</v>
      </c>
      <c r="AB40" s="5"/>
      <c r="AC40" s="5">
        <f>SUM(AC6:AC39)</f>
        <v>33000</v>
      </c>
      <c r="AD40" s="5">
        <f>SUM(AD6:AD39)</f>
        <v>32000</v>
      </c>
      <c r="AE40" s="5">
        <f>SUM(AE6:AE39)</f>
        <v>75000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171000</v>
      </c>
      <c r="AJ40" s="5">
        <f t="shared" si="18"/>
        <v>0</v>
      </c>
      <c r="AK40" s="5">
        <f t="shared" si="18"/>
        <v>431000</v>
      </c>
      <c r="AL40" s="5">
        <f t="shared" si="18"/>
        <v>3000</v>
      </c>
      <c r="AM40" s="5">
        <f t="shared" si="18"/>
        <v>0</v>
      </c>
      <c r="AN40" s="5">
        <f t="shared" si="18"/>
        <v>4500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934000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738000</v>
      </c>
      <c r="AX40" s="5">
        <f t="shared" si="18"/>
        <v>1768000</v>
      </c>
      <c r="AY40" s="5">
        <f t="shared" si="18"/>
        <v>2756000</v>
      </c>
      <c r="AZ40" s="5">
        <f t="shared" si="18"/>
        <v>5469000</v>
      </c>
      <c r="BA40" s="5">
        <f t="shared" si="18"/>
        <v>534700</v>
      </c>
      <c r="BB40" s="5">
        <f t="shared" si="18"/>
        <v>0</v>
      </c>
      <c r="BC40" s="5">
        <f t="shared" si="18"/>
        <v>0</v>
      </c>
      <c r="BD40" s="5">
        <f t="shared" si="18"/>
        <v>4837300</v>
      </c>
      <c r="BE40" s="5">
        <f t="shared" si="18"/>
        <v>0</v>
      </c>
      <c r="BF40" s="5">
        <f t="shared" si="18"/>
        <v>26000</v>
      </c>
      <c r="BH40" s="5">
        <f t="shared" ref="BH40:BL40" si="19">SUM(BH6:BH39)</f>
        <v>27000</v>
      </c>
      <c r="BI40" s="5">
        <f t="shared" si="19"/>
        <v>0</v>
      </c>
      <c r="BJ40" s="5">
        <f t="shared" si="19"/>
        <v>100000</v>
      </c>
      <c r="BK40" s="5">
        <f t="shared" si="19"/>
        <v>100000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100000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5"/>
      <c r="E44" s="85"/>
      <c r="F44" s="3" t="s">
        <v>9</v>
      </c>
      <c r="G44" s="85"/>
      <c r="H44" s="85"/>
      <c r="I44" s="85"/>
      <c r="Z44" s="12"/>
      <c r="AI44" s="5"/>
      <c r="AV44" s="3"/>
      <c r="AW44" s="85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5469000</v>
      </c>
      <c r="D47" s="9">
        <f>SUMIFS(D8:D40,H8:H40,"BANQUE")</f>
        <v>4518000</v>
      </c>
      <c r="F47" s="9">
        <f>E40</f>
        <v>534700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10651000</v>
      </c>
    </row>
  </sheetData>
  <autoFilter ref="A5:AF38"/>
  <mergeCells count="1">
    <mergeCell ref="B4:M4"/>
  </mergeCells>
  <dataValidations count="2">
    <dataValidation type="list" allowBlank="1" showInputMessage="1" showErrorMessage="1" sqref="T6:T38 AP6:AP38 AF6:AF38">
      <formula1>MODEVERSEMENTS</formula1>
    </dataValidation>
    <dataValidation type="list" allowBlank="1" showInputMessage="1" showErrorMessage="1" sqref="AA6:AA38">
      <formula1>"BANQUE,ESPECES, 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D6" sqref="D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 t="shared" ref="C6:C38" si="0">D6+E6+F6-U6-BB6</f>
        <v>0</v>
      </c>
      <c r="D6" s="9">
        <f>VLOOKUP(A6,[12]HISTOBQUEFEV24!$A$6:$G$46,3,0)</f>
        <v>175000</v>
      </c>
      <c r="E6" s="9">
        <f>VLOOKUP(A6,[12]HISTOBQUEFEV24!$A$6:$G$41,4,0)</f>
        <v>0</v>
      </c>
      <c r="F6" s="9">
        <f>VLOOKUP(A6,[12]HISTOBQUEFEV24!$A$6:$G$41,5,0)</f>
        <v>0</v>
      </c>
      <c r="G6" s="5">
        <f>IF(H6="ESPECES",3000,0)</f>
        <v>0</v>
      </c>
      <c r="H6" s="10" t="str">
        <f t="shared" ref="H6:H38" si="1">IF($D6&lt;&gt;0,"BANQUE",IF($E6&lt;&gt;0,"ESPECES","ECHEC"))</f>
        <v>BANQUE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2">IF($D6&lt;&gt;0,L6*75000,IF($E6&lt;&gt;0,L6*75000,0))</f>
        <v>75000</v>
      </c>
      <c r="N6" s="6">
        <v>1</v>
      </c>
      <c r="O6" s="11">
        <f t="shared" ref="O6:O38" si="3">IF($D6&lt;&gt;0,N6*100000,IF($E6&lt;&gt;0,N6*100000,0))</f>
        <v>100000</v>
      </c>
      <c r="P6" s="2"/>
      <c r="Q6" s="2"/>
      <c r="R6" s="2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4">IF(H6="ECHEC",((K6+M6+O6)*20/100),0)</f>
        <v>0</v>
      </c>
      <c r="AR6" s="8">
        <f t="shared" ref="AR6:AR38" si="5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227000</v>
      </c>
      <c r="BA6" s="58"/>
      <c r="BB6" s="58"/>
      <c r="BC6" s="15"/>
      <c r="BD6" s="57">
        <f>IF(AZ6=0,(AZ6-BA6-BC6),(AZ6-BA6-BB6-BC6))</f>
        <v>227000</v>
      </c>
      <c r="BE6" s="82"/>
      <c r="BF6" s="29">
        <f t="shared" ref="BF6:BF38" si="6">Z6*1/100*BG6</f>
        <v>0</v>
      </c>
      <c r="BG6" s="29">
        <v>10</v>
      </c>
      <c r="BH6" s="15">
        <f>BP16</f>
        <v>27000</v>
      </c>
      <c r="BI6" s="15">
        <f>BP28</f>
        <v>0</v>
      </c>
      <c r="BJ6" s="15">
        <f>BP33</f>
        <v>100000</v>
      </c>
      <c r="BK6" s="15">
        <f>+BP40</f>
        <v>100000</v>
      </c>
      <c r="BL6" s="15"/>
      <c r="BM6" s="15">
        <f>BP22</f>
        <v>0</v>
      </c>
      <c r="BN6" t="s">
        <v>115</v>
      </c>
      <c r="BO6" t="s">
        <v>114</v>
      </c>
      <c r="BP6" s="6">
        <v>3000</v>
      </c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9">
        <f t="shared" si="0"/>
        <v>6000</v>
      </c>
      <c r="D7" s="9">
        <f>VLOOKUP(A7,[12]HISTOBQUEFEV24!$A$6:$G$46,3,0)</f>
        <v>78000</v>
      </c>
      <c r="E7" s="9">
        <f>VLOOKUP(A7,[12]HISTOBQUEFEV24!$A$6:$G$41,4,0)</f>
        <v>0</v>
      </c>
      <c r="F7" s="9">
        <f>VLOOKUP(A7,[12]HISTOBQUEFEV24!$A$6:$G$41,5,0)</f>
        <v>0</v>
      </c>
      <c r="G7" s="5">
        <f t="shared" ref="G7:G38" si="7">IF(H7="ESPECES",3000,0)</f>
        <v>0</v>
      </c>
      <c r="H7" s="10" t="str">
        <f t="shared" si="1"/>
        <v>BANQUE</v>
      </c>
      <c r="I7" s="10">
        <v>22000</v>
      </c>
      <c r="J7" s="11">
        <v>1</v>
      </c>
      <c r="K7" s="11">
        <f t="shared" ref="K7:K38" si="8">IF($D7&lt;&gt;0,J7*50000,IF($E7&lt;&gt;0,J7*50000,0))</f>
        <v>50000</v>
      </c>
      <c r="L7" s="6"/>
      <c r="M7" s="11">
        <f t="shared" si="2"/>
        <v>0</v>
      </c>
      <c r="N7" s="6"/>
      <c r="O7" s="11">
        <f t="shared" si="3"/>
        <v>0</v>
      </c>
      <c r="P7" s="2">
        <f>VLOOKUP(A7,[14]TONTFEV24!$A$6:$R$39,12,0)</f>
        <v>0</v>
      </c>
      <c r="Q7" s="2"/>
      <c r="R7" s="2"/>
      <c r="S7" s="20"/>
      <c r="T7" s="12"/>
      <c r="U7" s="17">
        <f t="shared" ref="U7:U38" si="9">G7+S7++R7+P7+O7+M7+I7+K7+Q7+V7+W7</f>
        <v>72000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60000</v>
      </c>
      <c r="AJ7" s="12"/>
      <c r="AK7" s="12"/>
      <c r="AL7" s="12">
        <v>1000</v>
      </c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8" si="10">IF(H7="ECHEC",0,(K7+I7-25000))</f>
        <v>47000</v>
      </c>
      <c r="AT7" s="15"/>
      <c r="AV7" s="15"/>
      <c r="AW7" s="15">
        <f t="shared" ref="AW7:AW38" si="11">IF(AC7=0,AI7,(1*25000*12)+AI7-AC7)</f>
        <v>60000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>SUM(AV7:AY7)-BF7+Z7-F7+BH7+BI7+BJ7+BK7+BL7+BM7+6000</f>
        <v>60000</v>
      </c>
      <c r="BA7" s="58"/>
      <c r="BB7" s="58"/>
      <c r="BC7" s="15"/>
      <c r="BD7" s="57">
        <f t="shared" ref="BD7:BD38" si="14">IF(AZ7=0,(AZ7-BA7-BC7),(AZ7-BA7-BB7-BC7))</f>
        <v>60000</v>
      </c>
      <c r="BE7" s="82"/>
      <c r="BF7" s="29">
        <f>Z7*1/100*BG7+6000</f>
        <v>6000</v>
      </c>
      <c r="BG7" s="29">
        <v>10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9">
        <f t="shared" si="0"/>
        <v>3000</v>
      </c>
      <c r="D8" s="9">
        <f>VLOOKUP(A8,[12]HISTOBQUEFEV24!$A$6:$G$46,3,0)</f>
        <v>100000</v>
      </c>
      <c r="E8" s="9">
        <f>VLOOKUP(A8,[12]HISTOBQUEFEV24!$A$6:$G$41,4,0)</f>
        <v>25000</v>
      </c>
      <c r="F8" s="9">
        <f>VLOOKUP(A8,[12]HISTOBQUEFEV24!$A$6:$G$41,5,0)</f>
        <v>0</v>
      </c>
      <c r="G8" s="5">
        <f t="shared" si="7"/>
        <v>0</v>
      </c>
      <c r="H8" s="10" t="str">
        <f t="shared" si="1"/>
        <v>BANQUE</v>
      </c>
      <c r="I8" s="10">
        <v>-3000</v>
      </c>
      <c r="J8" s="11">
        <v>1</v>
      </c>
      <c r="K8" s="11">
        <f t="shared" si="8"/>
        <v>50000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VLOOKUP(A8,[14]TONTFEV24!$A$6:$R$39,12,0)</f>
        <v>0</v>
      </c>
      <c r="Q8" s="2">
        <f>VLOOKUP(A8,[15]TONTFEV24!$A$7:$P$23,10,0)</f>
        <v>0</v>
      </c>
      <c r="R8" s="2"/>
      <c r="S8" s="20"/>
      <c r="T8" s="12"/>
      <c r="U8" s="17">
        <f t="shared" si="9"/>
        <v>122000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10"/>
        <v>22000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ref="AZ8:AZ38" si="15">SUM(AV8:AY8)-BF8+Z8-F8+BH8+BI8+BJ8+BK8+BL8+BM8</f>
        <v>0</v>
      </c>
      <c r="BA8" s="58"/>
      <c r="BB8" s="58"/>
      <c r="BC8" s="15"/>
      <c r="BD8" s="57">
        <f t="shared" si="14"/>
        <v>0</v>
      </c>
      <c r="BE8" s="82"/>
      <c r="BF8" s="29">
        <f t="shared" si="6"/>
        <v>0</v>
      </c>
      <c r="BG8" s="29">
        <v>10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12000</v>
      </c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0"/>
        <v>0</v>
      </c>
      <c r="D9" s="9">
        <f>VLOOKUP(A9,[12]HISTOBQUEFEV24!$A$6:$G$46,3,0)</f>
        <v>250000</v>
      </c>
      <c r="E9" s="9">
        <f>VLOOKUP(A9,[12]HISTOBQUEFEV24!$A$6:$G$41,4,0)</f>
        <v>0</v>
      </c>
      <c r="F9" s="9">
        <f>VLOOKUP(A9,[12]HISTOBQUEFEV24!$A$6:$G$41,5,0)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8"/>
        <v>50000</v>
      </c>
      <c r="L9" s="6"/>
      <c r="M9" s="11">
        <f t="shared" si="2"/>
        <v>0</v>
      </c>
      <c r="N9" s="6">
        <v>2</v>
      </c>
      <c r="O9" s="11">
        <f t="shared" si="3"/>
        <v>200000</v>
      </c>
      <c r="P9" s="2">
        <f>VLOOKUP(A9,[14]TONTFEV24!$A$6:$R$39,12,0)</f>
        <v>0</v>
      </c>
      <c r="Q9" s="2"/>
      <c r="R9" s="2">
        <f>VLOOKUP(A9,[16]TONTFEV24!$A$7:$P$20,10,0)</f>
        <v>0</v>
      </c>
      <c r="S9" s="20"/>
      <c r="T9" s="12"/>
      <c r="U9" s="17">
        <f t="shared" si="9"/>
        <v>250000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10"/>
        <v>25000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5"/>
        <v>0</v>
      </c>
      <c r="BA9" s="58"/>
      <c r="BB9" s="58"/>
      <c r="BC9" s="15"/>
      <c r="BD9" s="57">
        <f t="shared" si="14"/>
        <v>0</v>
      </c>
      <c r="BE9" s="82"/>
      <c r="BF9" s="29">
        <f t="shared" si="6"/>
        <v>0</v>
      </c>
      <c r="BG9" s="29">
        <v>10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0"/>
        <v>0</v>
      </c>
      <c r="D10" s="9">
        <f>VLOOKUP(A10,[12]HISTOBQUEFEV24!$A$6:$G$46,3,0)</f>
        <v>125000</v>
      </c>
      <c r="E10" s="9">
        <f>VLOOKUP(A10,[12]HISTOBQUEFEV24!$A$6:$G$41,4,0)</f>
        <v>105000</v>
      </c>
      <c r="F10" s="9">
        <f>VLOOKUP(A10,[12]HISTOBQUEFEV24!$A$6:$G$41,5,0)</f>
        <v>0</v>
      </c>
      <c r="G10" s="5">
        <f>IF(H10="ESPECES",3000,0)+3000</f>
        <v>3000</v>
      </c>
      <c r="H10" s="10" t="str">
        <f t="shared" si="1"/>
        <v>BANQUE</v>
      </c>
      <c r="I10" s="10"/>
      <c r="J10" s="11">
        <v>1</v>
      </c>
      <c r="K10" s="11">
        <f t="shared" si="8"/>
        <v>50000</v>
      </c>
      <c r="L10" s="6">
        <v>1</v>
      </c>
      <c r="M10" s="11">
        <f t="shared" si="2"/>
        <v>75000</v>
      </c>
      <c r="N10" s="6"/>
      <c r="O10" s="11">
        <f t="shared" si="3"/>
        <v>0</v>
      </c>
      <c r="P10" s="2">
        <f>VLOOKUP(A10,[14]TONTFEV24!$A$6:$R$39,12,0)</f>
        <v>0</v>
      </c>
      <c r="Q10" s="2">
        <f>VLOOKUP(A10,[15]TONTFEV24!$A$7:$P$23,10,0)</f>
        <v>102000</v>
      </c>
      <c r="R10" s="2"/>
      <c r="S10" s="20"/>
      <c r="T10" s="12"/>
      <c r="U10" s="17">
        <f t="shared" si="9"/>
        <v>230000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60000</v>
      </c>
      <c r="AJ10" s="12"/>
      <c r="AK10" s="12"/>
      <c r="AL10" s="12">
        <v>1000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10"/>
        <v>25000</v>
      </c>
      <c r="AT10" s="15"/>
      <c r="AV10" s="15"/>
      <c r="AW10" s="15">
        <f t="shared" si="11"/>
        <v>60000</v>
      </c>
      <c r="AX10" s="15">
        <f t="shared" si="12"/>
        <v>0</v>
      </c>
      <c r="AY10" s="15">
        <f t="shared" si="13"/>
        <v>0</v>
      </c>
      <c r="AZ10" s="16">
        <f t="shared" si="15"/>
        <v>60000</v>
      </c>
      <c r="BA10" s="58"/>
      <c r="BB10" s="58"/>
      <c r="BC10" s="15"/>
      <c r="BD10" s="57">
        <f t="shared" si="14"/>
        <v>60000</v>
      </c>
      <c r="BE10" s="82"/>
      <c r="BF10" s="29">
        <f t="shared" si="6"/>
        <v>0</v>
      </c>
      <c r="BG10" s="29">
        <v>10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0"/>
        <v>0</v>
      </c>
      <c r="D11" s="9">
        <f>VLOOKUP(A11,[12]HISTOBQUEFEV24!$A$6:$G$46,3,0)</f>
        <v>227000</v>
      </c>
      <c r="E11" s="9">
        <f>VLOOKUP(A11,[12]HISTOBQUEFEV24!$A$6:$G$41,4,0)</f>
        <v>0</v>
      </c>
      <c r="F11" s="9">
        <f>VLOOKUP(A11,[12]HISTOBQUEFEV24!$A$6:$G$41,5,0)+1000000</f>
        <v>1000000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8"/>
        <v>50000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VLOOKUP(A11,[14]TONTFEV24!$A$6:$R$39,12,0)</f>
        <v>0</v>
      </c>
      <c r="Q11" s="2">
        <f>VLOOKUP(A11,[15]TONTFEV24!$A$7:$P$23,10,0)</f>
        <v>102000</v>
      </c>
      <c r="R11" s="2"/>
      <c r="S11" s="20">
        <v>1000000</v>
      </c>
      <c r="T11" s="12"/>
      <c r="U11" s="17">
        <f t="shared" si="9"/>
        <v>1227000</v>
      </c>
      <c r="V11" s="12"/>
      <c r="W11" s="12"/>
      <c r="X11" s="12"/>
      <c r="Y11" s="12"/>
      <c r="Z11" s="12">
        <v>1000000</v>
      </c>
      <c r="AA11" s="12"/>
      <c r="AB11" s="12"/>
      <c r="AC11" s="12">
        <v>16000</v>
      </c>
      <c r="AD11" s="12">
        <v>16000</v>
      </c>
      <c r="AE11" s="12"/>
      <c r="AF11" s="12" t="s">
        <v>8</v>
      </c>
      <c r="AG11" s="12"/>
      <c r="AH11" s="12"/>
      <c r="AI11" s="12"/>
      <c r="AJ11" s="12"/>
      <c r="AK11" s="12"/>
      <c r="AL11" s="12"/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10"/>
        <v>25000</v>
      </c>
      <c r="AT11" s="15"/>
      <c r="AV11" s="15"/>
      <c r="AW11" s="15">
        <f t="shared" si="11"/>
        <v>284000</v>
      </c>
      <c r="AX11" s="15">
        <f t="shared" si="12"/>
        <v>884000</v>
      </c>
      <c r="AY11" s="15">
        <f t="shared" si="13"/>
        <v>0</v>
      </c>
      <c r="AZ11" s="16">
        <f t="shared" si="15"/>
        <v>1148000</v>
      </c>
      <c r="BA11" s="58">
        <v>168000</v>
      </c>
      <c r="BB11" s="58"/>
      <c r="BC11" s="15"/>
      <c r="BD11" s="57">
        <f>IF(AZ11=0,(AZ11-BA11-BC11),(AZ11-BA11-BB11-BC11))-102000</f>
        <v>878000</v>
      </c>
      <c r="BE11" s="82"/>
      <c r="BF11" s="29">
        <f t="shared" si="6"/>
        <v>20000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0"/>
        <v>0</v>
      </c>
      <c r="D12" s="9">
        <f>VLOOKUP(A12,[12]HISTOBQUEFEV24!$A$6:$G$46,3,0)</f>
        <v>330000</v>
      </c>
      <c r="E12" s="9">
        <f>VLOOKUP(A12,[12]HISTOBQUEFEV24!$A$6:$G$41,4,0)</f>
        <v>0</v>
      </c>
      <c r="F12" s="9">
        <f>VLOOKUP(A12,[12]HISTOBQUEFEV24!$A$6:$G$41,5,0)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8"/>
        <v>50000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VLOOKUP(A12,[14]TONTFEV24!$A$6:$R$39,12,0)</f>
        <v>0</v>
      </c>
      <c r="Q12" s="2">
        <f>VLOOKUP(A12,[15]TONTFEV24!$A$7:$P$23,10,0)</f>
        <v>0</v>
      </c>
      <c r="R12" s="2">
        <f>VLOOKUP(A12,[16]TONTFEV24!$A$7:$P$20,10,0)</f>
        <v>0</v>
      </c>
      <c r="S12" s="20"/>
      <c r="T12" s="12"/>
      <c r="U12" s="17">
        <f t="shared" si="9"/>
        <v>330000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131000</v>
      </c>
      <c r="AL12" s="12"/>
      <c r="AM12" s="12"/>
      <c r="AN12" s="12">
        <v>1000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10"/>
        <v>30000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131000</v>
      </c>
      <c r="AZ12" s="16">
        <f t="shared" si="15"/>
        <v>131000</v>
      </c>
      <c r="BA12" s="58">
        <v>66700</v>
      </c>
      <c r="BB12" s="58"/>
      <c r="BC12" s="15"/>
      <c r="BD12" s="57">
        <f>IF(AZ12=0,(AZ12-BA12-BC12),(AZ12-BA12-BB12-BC12))+5000</f>
        <v>69300</v>
      </c>
      <c r="BE12" s="82"/>
      <c r="BF12" s="29">
        <f t="shared" si="6"/>
        <v>0</v>
      </c>
      <c r="BG12" s="29">
        <v>10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0"/>
        <v>0</v>
      </c>
      <c r="D13" s="9">
        <f>VLOOKUP(A13,[12]HISTOBQUEFEV24!$A$6:$G$46,3,0)</f>
        <v>50000</v>
      </c>
      <c r="E13" s="9">
        <f>VLOOKUP(A13,[12]HISTOBQUEFEV24!$A$6:$G$41,4,0)</f>
        <v>0</v>
      </c>
      <c r="F13" s="9">
        <f>VLOOKUP(A13,[12]HISTOBQUEFEV24!$A$6:$G$41,5,0)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VLOOKUP(A13,[14]TONTFEV24!$A$6:$R$39,12,0)</f>
        <v>0</v>
      </c>
      <c r="Q13" s="2"/>
      <c r="R13" s="2"/>
      <c r="S13" s="20"/>
      <c r="T13" s="12"/>
      <c r="U13" s="17">
        <f t="shared" si="9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10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5"/>
        <v>0</v>
      </c>
      <c r="BA13" s="58"/>
      <c r="BB13" s="58"/>
      <c r="BC13" s="15"/>
      <c r="BD13" s="57">
        <f t="shared" si="14"/>
        <v>0</v>
      </c>
      <c r="BE13" s="82"/>
      <c r="BF13" s="29">
        <f t="shared" si="6"/>
        <v>0</v>
      </c>
      <c r="BG13" s="29">
        <v>10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12000</v>
      </c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0"/>
        <v>0</v>
      </c>
      <c r="D14" s="9">
        <f>VLOOKUP(A14,[12]HISTOBQUEFEV24!$A$6:$G$46,3,0)</f>
        <v>50000</v>
      </c>
      <c r="E14" s="9">
        <f>VLOOKUP(A14,[12]HISTOBQUEFEV24!$A$6:$G$41,4,0)</f>
        <v>0</v>
      </c>
      <c r="F14" s="9">
        <f>VLOOKUP(A14,[12]HISTOBQUEFEV24!$A$6:$G$41,5,0)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8"/>
        <v>50000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VLOOKUP(A14,[14]TONTFEV24!$A$6:$R$39,12,0)</f>
        <v>0</v>
      </c>
      <c r="Q14" s="2"/>
      <c r="R14" s="2"/>
      <c r="S14" s="20"/>
      <c r="T14" s="12"/>
      <c r="U14" s="17">
        <f t="shared" si="9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10"/>
        <v>25000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5"/>
        <v>0</v>
      </c>
      <c r="BA14" s="58"/>
      <c r="BB14" s="58"/>
      <c r="BC14" s="15"/>
      <c r="BD14" s="57">
        <f t="shared" si="14"/>
        <v>0</v>
      </c>
      <c r="BE14" s="82"/>
      <c r="BF14" s="29">
        <f t="shared" si="6"/>
        <v>0</v>
      </c>
      <c r="BG14" s="29">
        <v>10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0"/>
        <v>0</v>
      </c>
      <c r="D15" s="9">
        <f>VLOOKUP(A15,[12]HISTOBQUEFEV24!$A$6:$G$46,3,0)</f>
        <v>125000</v>
      </c>
      <c r="E15" s="9">
        <f>VLOOKUP(A15,[12]HISTOBQUEFEV24!$A$6:$G$41,4,0)</f>
        <v>0</v>
      </c>
      <c r="F15" s="9">
        <f>VLOOKUP(A15,[12]HISTOBQUEFEV24!$A$6:$G$41,5,0)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VLOOKUP(A15,[14]TONTFEV24!$A$6:$R$39,12,0)</f>
        <v>0</v>
      </c>
      <c r="Q15" s="2">
        <f>VLOOKUP(A15,[15]TONTFEV24!$A$7:$P$23,10,0)</f>
        <v>0</v>
      </c>
      <c r="R15" s="2"/>
      <c r="S15" s="20"/>
      <c r="T15" s="12"/>
      <c r="U15" s="17">
        <f t="shared" si="9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10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5"/>
        <v>0</v>
      </c>
      <c r="BA15" s="58"/>
      <c r="BB15" s="58"/>
      <c r="BC15" s="15"/>
      <c r="BD15" s="57">
        <f t="shared" si="14"/>
        <v>0</v>
      </c>
      <c r="BE15" s="82"/>
      <c r="BF15" s="29">
        <f t="shared" si="6"/>
        <v>0</v>
      </c>
      <c r="BG15" s="29">
        <v>10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0"/>
        <v>0</v>
      </c>
      <c r="D16" s="9">
        <f>VLOOKUP(A16,[12]HISTOBQUEFEV24!$A$6:$G$46,3,0)</f>
        <v>260000</v>
      </c>
      <c r="E16" s="9">
        <f>VLOOKUP(A16,[12]HISTOBQUEFEV24!$A$6:$G$41,4,0)</f>
        <v>0</v>
      </c>
      <c r="F16" s="9">
        <f>VLOOKUP(A16,[12]HISTOBQUEFEV24!$A$6:$G$41,5,0)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8"/>
        <v>50000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VLOOKUP(A16,[14]TONTFEV24!$A$6:$R$39,12,0)</f>
        <v>0</v>
      </c>
      <c r="Q16" s="2">
        <f>VLOOKUP(A16,[15]TONTFEV24!$A$7:$P$23,10,0)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260000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10"/>
        <v>60000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5"/>
        <v>0</v>
      </c>
      <c r="BA16" s="58"/>
      <c r="BB16" s="58"/>
      <c r="BC16" s="15"/>
      <c r="BD16" s="57">
        <f t="shared" si="14"/>
        <v>0</v>
      </c>
      <c r="BE16" s="82"/>
      <c r="BF16" s="29">
        <f t="shared" si="6"/>
        <v>0</v>
      </c>
      <c r="BG16" s="29">
        <v>10</v>
      </c>
      <c r="BH16" s="15"/>
      <c r="BI16" s="15"/>
      <c r="BJ16" s="15"/>
      <c r="BK16" s="15"/>
      <c r="BL16" s="61"/>
      <c r="BN16" s="62" t="s">
        <v>142</v>
      </c>
      <c r="BP16" s="62">
        <f>SUM(BP6:BP15)</f>
        <v>27000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0"/>
        <v>0</v>
      </c>
      <c r="D17" s="9">
        <f>VLOOKUP(A17,[12]HISTOBQUEFEV24!$A$6:$G$46,3,0)</f>
        <v>251000</v>
      </c>
      <c r="E17" s="9">
        <f>VLOOKUP(A17,[12]HISTOBQUEFEV24!$A$6:$G$41,4,0)</f>
        <v>0</v>
      </c>
      <c r="F17" s="9">
        <f>VLOOKUP(A17,[12]HISTOBQUEFEV24!$A$6:$G$41,5,0)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VLOOKUP(A17,[14]TONTFEV24!$A$6:$R$39,12,0)</f>
        <v>0</v>
      </c>
      <c r="Q17" s="2"/>
      <c r="R17" s="2">
        <f>VLOOKUP(A17,[16]TONTFEV24!$A$7:$P$20,10,0)</f>
        <v>101000</v>
      </c>
      <c r="S17" s="20"/>
      <c r="T17" s="12"/>
      <c r="U17" s="17">
        <f t="shared" si="9"/>
        <v>251000</v>
      </c>
      <c r="V17" s="12"/>
      <c r="W17" s="12"/>
      <c r="X17" s="12"/>
      <c r="Y17" s="12"/>
      <c r="Z17" s="12"/>
      <c r="AA17" s="12"/>
      <c r="AB17" s="12"/>
      <c r="AC17" s="12">
        <v>17000</v>
      </c>
      <c r="AD17" s="12"/>
      <c r="AE17" s="12"/>
      <c r="AF17" s="12" t="s">
        <v>8</v>
      </c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10"/>
        <v>25000</v>
      </c>
      <c r="AT17" s="15"/>
      <c r="AV17" s="15"/>
      <c r="AW17" s="15">
        <f t="shared" si="11"/>
        <v>283000</v>
      </c>
      <c r="AX17" s="15">
        <f t="shared" si="12"/>
        <v>0</v>
      </c>
      <c r="AY17" s="15">
        <f t="shared" si="13"/>
        <v>0</v>
      </c>
      <c r="AZ17" s="16">
        <f t="shared" si="15"/>
        <v>283000</v>
      </c>
      <c r="BA17" s="58"/>
      <c r="BB17" s="58"/>
      <c r="BC17" s="15"/>
      <c r="BD17" s="57">
        <f t="shared" si="14"/>
        <v>283000</v>
      </c>
      <c r="BE17" s="82"/>
      <c r="BF17" s="29">
        <f t="shared" si="6"/>
        <v>0</v>
      </c>
      <c r="BG17" s="29">
        <v>10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0"/>
        <v>0</v>
      </c>
      <c r="D18" s="9">
        <f>VLOOKUP(A18,[12]HISTOBQUEFEV24!$A$6:$G$46,3,0)</f>
        <v>160000</v>
      </c>
      <c r="E18" s="9">
        <f>VLOOKUP(A18,[12]HISTOBQUEFEV24!$A$6:$G$41,4,0)</f>
        <v>0</v>
      </c>
      <c r="F18" s="9">
        <f>VLOOKUP(A18,[12]HISTOBQUEFEV24!$A$6:$G$41,5,0)</f>
        <v>0</v>
      </c>
      <c r="G18" s="5">
        <f t="shared" si="7"/>
        <v>0</v>
      </c>
      <c r="H18" s="10" t="str">
        <f t="shared" si="1"/>
        <v>BANQUE</v>
      </c>
      <c r="I18" s="10">
        <v>10000</v>
      </c>
      <c r="J18" s="11">
        <v>1</v>
      </c>
      <c r="K18" s="11">
        <f t="shared" si="8"/>
        <v>50000</v>
      </c>
      <c r="L18" s="6"/>
      <c r="M18" s="11">
        <f t="shared" si="2"/>
        <v>0</v>
      </c>
      <c r="N18" s="6">
        <v>1</v>
      </c>
      <c r="O18" s="11">
        <f t="shared" si="3"/>
        <v>100000</v>
      </c>
      <c r="P18" s="2">
        <f>VLOOKUP(A18,[14]TONTFEV24!$A$6:$R$39,12,0)</f>
        <v>0</v>
      </c>
      <c r="Q18" s="2"/>
      <c r="R18" s="2">
        <f>VLOOKUP(A18,[16]TONTFEV24!$A$7:$P$20,10,0)</f>
        <v>0</v>
      </c>
      <c r="S18" s="20"/>
      <c r="T18" s="12"/>
      <c r="U18" s="17">
        <f t="shared" si="9"/>
        <v>160000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>
        <v>40000</v>
      </c>
      <c r="AF18" s="12" t="s">
        <v>8</v>
      </c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10"/>
        <v>35000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1160000</v>
      </c>
      <c r="AZ18" s="16">
        <f t="shared" si="15"/>
        <v>1160000</v>
      </c>
      <c r="BA18" s="58"/>
      <c r="BB18" s="58"/>
      <c r="BC18" s="15"/>
      <c r="BD18" s="57">
        <f t="shared" si="14"/>
        <v>1160000</v>
      </c>
      <c r="BE18" s="82"/>
      <c r="BF18" s="29">
        <f t="shared" si="6"/>
        <v>0</v>
      </c>
      <c r="BG18" s="29">
        <v>10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0"/>
        <v>0</v>
      </c>
      <c r="D19" s="9">
        <f>VLOOKUP(A19,[12]HISTOBQUEFEV24!$A$6:$G$46,3,0)</f>
        <v>50000</v>
      </c>
      <c r="E19" s="9">
        <f>VLOOKUP(A19,[12]HISTOBQUEFEV24!$A$6:$G$41,4,0)</f>
        <v>0</v>
      </c>
      <c r="F19" s="9">
        <f>VLOOKUP(A19,[12]HISTOBQUEFEV24!$A$6:$G$41,5,0)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8"/>
        <v>50000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VLOOKUP(A19,[14]TONTFEV24!$A$6:$R$39,12,0)</f>
        <v>0</v>
      </c>
      <c r="Q19" s="2"/>
      <c r="R19" s="2"/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10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5"/>
        <v>0</v>
      </c>
      <c r="BA19" s="58"/>
      <c r="BB19" s="58"/>
      <c r="BC19" s="15"/>
      <c r="BD19" s="57">
        <f t="shared" si="14"/>
        <v>0</v>
      </c>
      <c r="BE19" s="82"/>
      <c r="BF19" s="29">
        <f t="shared" si="6"/>
        <v>0</v>
      </c>
      <c r="BG19" s="29">
        <v>10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0"/>
        <v>0</v>
      </c>
      <c r="D20" s="9">
        <f>VLOOKUP(A20,[12]HISTOBQUEFEV24!$A$6:$G$46,3,0)</f>
        <v>225000</v>
      </c>
      <c r="E20" s="9">
        <f>VLOOKUP(A20,[12]HISTOBQUEFEV24!$A$6:$G$41,4,0)</f>
        <v>0</v>
      </c>
      <c r="F20" s="9">
        <f>VLOOKUP(A20,[12]HISTOBQUEFEV24!$A$6:$G$41,5,0)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VLOOKUP(A20,[14]TONTFEV24!$A$6:$R$39,12,0)</f>
        <v>0</v>
      </c>
      <c r="Q20" s="2">
        <f>VLOOKUP(A20,[15]TONTFEV24!$A$7:$P$23,10,0)</f>
        <v>0</v>
      </c>
      <c r="R20" s="2">
        <f>VLOOKUP(A20,[16]TONTFEV24!$A$7:$P$20,10,0)</f>
        <v>0</v>
      </c>
      <c r="S20" s="20"/>
      <c r="T20" s="12"/>
      <c r="U20" s="17">
        <f t="shared" si="9"/>
        <v>225000</v>
      </c>
      <c r="V20" s="12"/>
      <c r="W20" s="12"/>
      <c r="X20" s="12"/>
      <c r="Y20" s="12"/>
      <c r="Z20" s="12"/>
      <c r="AA20" s="12"/>
      <c r="AB20" s="12"/>
      <c r="AC20" s="12"/>
      <c r="AD20" s="12">
        <v>16000</v>
      </c>
      <c r="AE20" s="12"/>
      <c r="AF20" s="12" t="s">
        <v>8</v>
      </c>
      <c r="AG20" s="12"/>
      <c r="AH20" s="12"/>
      <c r="AI20" s="12"/>
      <c r="AJ20" s="12"/>
      <c r="AK20" s="12">
        <f>100000+100000</f>
        <v>200000</v>
      </c>
      <c r="AL20" s="12"/>
      <c r="AM20" s="12"/>
      <c r="AN20" s="12">
        <f>1000+1000</f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10"/>
        <v>25000</v>
      </c>
      <c r="AT20" s="15"/>
      <c r="AV20" s="15"/>
      <c r="AW20" s="15">
        <f t="shared" si="11"/>
        <v>0</v>
      </c>
      <c r="AX20" s="15">
        <f t="shared" si="12"/>
        <v>884000</v>
      </c>
      <c r="AY20" s="15">
        <f t="shared" si="13"/>
        <v>200000</v>
      </c>
      <c r="AZ20" s="16">
        <f t="shared" si="15"/>
        <v>1084000</v>
      </c>
      <c r="BA20" s="58">
        <v>200000</v>
      </c>
      <c r="BB20" s="58"/>
      <c r="BC20" s="15"/>
      <c r="BD20" s="57">
        <f t="shared" si="14"/>
        <v>884000</v>
      </c>
      <c r="BE20" s="82"/>
      <c r="BF20" s="29">
        <f t="shared" si="6"/>
        <v>0</v>
      </c>
      <c r="BG20" s="29">
        <v>10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0"/>
        <v>0</v>
      </c>
      <c r="D21" s="9">
        <f>VLOOKUP(A21,[12]HISTOBQUEFEV24!$A$6:$G$46,3,0)</f>
        <v>50000</v>
      </c>
      <c r="E21" s="9">
        <f>VLOOKUP(A21,[12]HISTOBQUEFEV24!$A$6:$G$41,4,0)</f>
        <v>0</v>
      </c>
      <c r="F21" s="9">
        <f>VLOOKUP(A21,[12]HISTOBQUEFEV24!$A$6:$G$41,5,0)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VLOOKUP(A21,[14]TONTFEV24!$A$6:$R$39,12,0)</f>
        <v>0</v>
      </c>
      <c r="Q21" s="2"/>
      <c r="R21" s="2"/>
      <c r="S21" s="20"/>
      <c r="T21" s="12"/>
      <c r="U21" s="17">
        <f t="shared" si="9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10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5"/>
        <v>0</v>
      </c>
      <c r="BA21" s="58"/>
      <c r="BB21" s="58"/>
      <c r="BC21" s="15"/>
      <c r="BD21" s="57">
        <f t="shared" si="14"/>
        <v>0</v>
      </c>
      <c r="BE21" s="82"/>
      <c r="BF21" s="29">
        <f t="shared" si="6"/>
        <v>0</v>
      </c>
      <c r="BG21" s="29">
        <v>10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0"/>
        <v>0</v>
      </c>
      <c r="D22" s="9">
        <f>VLOOKUP(A22,[12]HISTOBQUEFEV24!$A$6:$G$46,3,0)</f>
        <v>125000</v>
      </c>
      <c r="E22" s="9">
        <f>VLOOKUP(A22,[12]HISTOBQUEFEV24!$A$6:$G$41,4,0)</f>
        <v>0</v>
      </c>
      <c r="F22" s="9">
        <f>VLOOKUP(A22,[12]HISTOBQUEFEV24!$A$6:$G$41,5,0)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VLOOKUP(A22,[14]TONTFEV24!$A$6:$R$39,12,0)</f>
        <v>0</v>
      </c>
      <c r="Q22" s="2">
        <f>VLOOKUP(A22,[15]TONTFEV24!$A$7:$P$23,10,0)</f>
        <v>0</v>
      </c>
      <c r="R22" s="2"/>
      <c r="S22" s="20"/>
      <c r="T22" s="12"/>
      <c r="U22" s="17">
        <f t="shared" si="9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10"/>
        <v>25000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5"/>
        <v>0</v>
      </c>
      <c r="BA22" s="58"/>
      <c r="BB22" s="58"/>
      <c r="BC22" s="15"/>
      <c r="BD22" s="57">
        <f t="shared" si="14"/>
        <v>0</v>
      </c>
      <c r="BE22" s="82"/>
      <c r="BF22" s="29">
        <f t="shared" si="6"/>
        <v>0</v>
      </c>
      <c r="BG22" s="29">
        <v>10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0"/>
        <v>0</v>
      </c>
      <c r="D23" s="9">
        <f>VLOOKUP(A23,[12]HISTOBQUEFEV24!$A$6:$G$46,3,0)</f>
        <v>260000</v>
      </c>
      <c r="E23" s="9">
        <f>VLOOKUP(A23,[12]HISTOBQUEFEV24!$A$6:$G$41,4,0)</f>
        <v>0</v>
      </c>
      <c r="F23" s="9">
        <f>VLOOKUP(A23,[12]HISTOBQUEFEV24!$A$6:$G$41,5,0)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8"/>
        <v>50000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VLOOKUP(A23,[14]TONTFEV24!$A$6:$R$39,12,0)</f>
        <v>0</v>
      </c>
      <c r="Q23" s="2"/>
      <c r="R23" s="2">
        <f>VLOOKUP(A23,[16]TONTFEV24!$A$7:$P$20,10,0)</f>
        <v>0</v>
      </c>
      <c r="S23" s="20"/>
      <c r="T23" s="12"/>
      <c r="U23" s="17">
        <f t="shared" si="9"/>
        <v>260000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10"/>
        <v>35000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5"/>
        <v>0</v>
      </c>
      <c r="BA23" s="58"/>
      <c r="BB23" s="58"/>
      <c r="BC23" s="15"/>
      <c r="BD23" s="57">
        <f t="shared" si="14"/>
        <v>0</v>
      </c>
      <c r="BE23" s="82"/>
      <c r="BF23" s="29">
        <f t="shared" si="6"/>
        <v>0</v>
      </c>
      <c r="BG23" s="29">
        <v>10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0"/>
        <v>0</v>
      </c>
      <c r="D24" s="9">
        <f>VLOOKUP(A24,[12]HISTOBQUEFEV24!$A$6:$G$46,3,0)</f>
        <v>240000</v>
      </c>
      <c r="E24" s="9">
        <f>VLOOKUP(A24,[12]HISTOBQUEFEV24!$A$6:$G$41,4,0)</f>
        <v>0</v>
      </c>
      <c r="F24" s="9">
        <f>VLOOKUP(A24,[12]HISTOBQUEFEV24!$A$6:$G$41,5,0)</f>
        <v>0</v>
      </c>
      <c r="G24" s="5">
        <f t="shared" si="7"/>
        <v>0</v>
      </c>
      <c r="H24" s="10" t="str">
        <f t="shared" si="1"/>
        <v>BANQUE</v>
      </c>
      <c r="I24" s="10">
        <v>15000</v>
      </c>
      <c r="J24" s="11">
        <v>1</v>
      </c>
      <c r="K24" s="11">
        <f t="shared" si="8"/>
        <v>50000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VLOOKUP(A24,[14]TONTFEV24!$A$6:$R$39,12,0)</f>
        <v>0</v>
      </c>
      <c r="Q24" s="2">
        <f>VLOOKUP(A24,[15]TONTFEV24!$A$7:$P$23,10,0)</f>
        <v>0</v>
      </c>
      <c r="R24" s="2">
        <f>VLOOKUP(A24,[16]TONTFEV24!$A$7:$P$20,10,0)</f>
        <v>0</v>
      </c>
      <c r="S24" s="20"/>
      <c r="T24" s="12"/>
      <c r="U24" s="17">
        <f t="shared" si="9"/>
        <v>240000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10"/>
        <v>40000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5"/>
        <v>0</v>
      </c>
      <c r="BA24" s="58"/>
      <c r="BB24" s="58"/>
      <c r="BC24" s="15"/>
      <c r="BD24" s="57">
        <f t="shared" si="14"/>
        <v>0</v>
      </c>
      <c r="BE24" s="82"/>
      <c r="BF24" s="29">
        <f t="shared" si="6"/>
        <v>0</v>
      </c>
      <c r="BG24" s="29">
        <v>10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0"/>
        <v>0</v>
      </c>
      <c r="D25" s="9">
        <f>VLOOKUP(A25,[12]HISTOBQUEFEV24!$A$6:$G$46,3,0)</f>
        <v>375000</v>
      </c>
      <c r="E25" s="9">
        <f>VLOOKUP(A25,[12]HISTOBQUEFEV24!$A$6:$G$41,4,0)</f>
        <v>0</v>
      </c>
      <c r="F25" s="9">
        <f>VLOOKUP(A25,[12]HISTOBQUEFEV24!$A$6:$G$41,5,0)</f>
        <v>0</v>
      </c>
      <c r="G25" s="5">
        <f t="shared" si="7"/>
        <v>0</v>
      </c>
      <c r="H25" s="10" t="str">
        <f t="shared" si="1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2"/>
        <v>225000</v>
      </c>
      <c r="N25" s="6">
        <v>1</v>
      </c>
      <c r="O25" s="11">
        <f t="shared" si="3"/>
        <v>100000</v>
      </c>
      <c r="P25" s="2">
        <f>VLOOKUP(A25,[14]TONTFEV24!$A$6:$R$39,12,0)</f>
        <v>0</v>
      </c>
      <c r="Q25" s="2">
        <f>VLOOKUP(A25,[15]TONTFEV24!$A$7:$P$23,10,0)</f>
        <v>0</v>
      </c>
      <c r="R25" s="2">
        <f>VLOOKUP(A25,[16]TONTFEV24!$A$7:$P$20,10,0)</f>
        <v>0</v>
      </c>
      <c r="S25" s="20"/>
      <c r="T25" s="12"/>
      <c r="U25" s="17">
        <f t="shared" si="9"/>
        <v>375000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100000</v>
      </c>
      <c r="AL25" s="12"/>
      <c r="AM25" s="12"/>
      <c r="AN25" s="12">
        <v>1500</v>
      </c>
      <c r="AO25" s="12"/>
      <c r="AP25" s="12"/>
      <c r="AQ25" s="8">
        <f t="shared" si="4"/>
        <v>0</v>
      </c>
      <c r="AR25" s="8">
        <f t="shared" si="5"/>
        <v>0</v>
      </c>
      <c r="AS25" s="13">
        <f t="shared" si="10"/>
        <v>25000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100000</v>
      </c>
      <c r="AZ25" s="16">
        <f t="shared" si="15"/>
        <v>100000</v>
      </c>
      <c r="BA25" s="58">
        <v>100000</v>
      </c>
      <c r="BB25" s="58"/>
      <c r="BC25" s="15"/>
      <c r="BD25" s="57">
        <f t="shared" si="14"/>
        <v>0</v>
      </c>
      <c r="BE25" s="82"/>
      <c r="BF25" s="29">
        <f t="shared" si="6"/>
        <v>0</v>
      </c>
      <c r="BG25" s="29">
        <v>10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0"/>
        <v>0</v>
      </c>
      <c r="D26" s="9">
        <f>VLOOKUP(A26,[12]HISTOBQUEFEV24!$A$6:$G$46,3,0)</f>
        <v>50000</v>
      </c>
      <c r="E26" s="9">
        <f>VLOOKUP(A26,[12]HISTOBQUEFEV24!$A$6:$G$41,4,0)</f>
        <v>0</v>
      </c>
      <c r="F26" s="9">
        <f>VLOOKUP(A26,[12]HISTOBQUEFEV24!$A$6:$G$41,5,0)</f>
        <v>0</v>
      </c>
      <c r="G26" s="5">
        <f t="shared" si="7"/>
        <v>0</v>
      </c>
      <c r="H26" s="10" t="str">
        <f t="shared" si="1"/>
        <v>BANQUE</v>
      </c>
      <c r="I26" s="10"/>
      <c r="J26" s="11">
        <v>1</v>
      </c>
      <c r="K26" s="11">
        <f t="shared" si="8"/>
        <v>50000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VLOOKUP(A26,[14]TONTFEV24!$A$6:$R$39,12,0)</f>
        <v>0</v>
      </c>
      <c r="Q26" s="2"/>
      <c r="R26" s="2"/>
      <c r="S26" s="20"/>
      <c r="T26" s="12"/>
      <c r="U26" s="17">
        <f t="shared" si="9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10"/>
        <v>25000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5"/>
        <v>0</v>
      </c>
      <c r="BA26" s="58"/>
      <c r="BB26" s="58"/>
      <c r="BC26" s="15"/>
      <c r="BD26" s="57">
        <f t="shared" si="14"/>
        <v>0</v>
      </c>
      <c r="BE26" s="82"/>
      <c r="BF26" s="29">
        <f t="shared" si="6"/>
        <v>0</v>
      </c>
      <c r="BG26" s="29">
        <v>10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0"/>
        <v>0</v>
      </c>
      <c r="D27" s="9">
        <f>VLOOKUP(A27,[12]HISTOBQUEFEV24!$A$6:$G$46,3,0)</f>
        <v>50000</v>
      </c>
      <c r="E27" s="9">
        <f>VLOOKUP(A27,[12]HISTOBQUEFEV24!$A$6:$G$41,4,0)</f>
        <v>0</v>
      </c>
      <c r="F27" s="9">
        <f>VLOOKUP(A27,[12]HISTOBQUEFEV24!$A$6:$G$41,5,0)</f>
        <v>0</v>
      </c>
      <c r="G27" s="5">
        <f t="shared" si="7"/>
        <v>0</v>
      </c>
      <c r="H27" s="10" t="str">
        <f t="shared" si="1"/>
        <v>BANQUE</v>
      </c>
      <c r="I27" s="10"/>
      <c r="J27" s="11">
        <v>1</v>
      </c>
      <c r="K27" s="11">
        <f t="shared" si="8"/>
        <v>50000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VLOOKUP(A27,[14]TONTFEV24!$A$6:$R$39,12,0)</f>
        <v>0</v>
      </c>
      <c r="Q27" s="2"/>
      <c r="R27" s="2"/>
      <c r="S27" s="20"/>
      <c r="T27" s="12"/>
      <c r="U27" s="17">
        <f t="shared" si="9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10"/>
        <v>25000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5"/>
        <v>0</v>
      </c>
      <c r="BA27" s="58"/>
      <c r="BB27" s="58"/>
      <c r="BC27" s="15"/>
      <c r="BD27" s="57">
        <f t="shared" si="14"/>
        <v>0</v>
      </c>
      <c r="BE27" s="82"/>
      <c r="BF27" s="29">
        <f t="shared" si="6"/>
        <v>0</v>
      </c>
      <c r="BG27" s="29">
        <v>10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0"/>
        <v>0</v>
      </c>
      <c r="D28" s="9">
        <f>VLOOKUP(A28,[12]HISTOBQUEFEV24!$A$6:$G$46,3,0)</f>
        <v>125000</v>
      </c>
      <c r="E28" s="9">
        <f>VLOOKUP(A28,[12]HISTOBQUEFEV24!$A$6:$G$41,4,0)</f>
        <v>0</v>
      </c>
      <c r="F28" s="9">
        <f>VLOOKUP(A28,[12]HISTOBQUEFEV24!$A$6:$G$41,5,0)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VLOOKUP(A28,[14]TONTFEV24!$A$6:$R$39,12,0)</f>
        <v>0</v>
      </c>
      <c r="Q28" s="2">
        <f>VLOOKUP(A28,[15]TONTFEV24!$A$7:$P$23,10,0)</f>
        <v>0</v>
      </c>
      <c r="R28" s="2"/>
      <c r="S28" s="20"/>
      <c r="T28" s="12"/>
      <c r="U28" s="17">
        <f t="shared" si="9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10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5"/>
        <v>0</v>
      </c>
      <c r="BA28" s="58"/>
      <c r="BB28" s="58"/>
      <c r="BC28" s="15"/>
      <c r="BD28" s="57">
        <f t="shared" si="14"/>
        <v>0</v>
      </c>
      <c r="BE28" s="82"/>
      <c r="BF28" s="29">
        <f t="shared" si="6"/>
        <v>0</v>
      </c>
      <c r="BG28" s="29">
        <v>10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0"/>
        <v>0</v>
      </c>
      <c r="D29" s="9">
        <f>VLOOKUP(A29,[12]HISTOBQUEFEV24!$A$6:$G$46,3,0)</f>
        <v>50000</v>
      </c>
      <c r="E29" s="9">
        <f>VLOOKUP(A29,[12]HISTOBQUEFEV24!$A$6:$G$41,4,0)</f>
        <v>0</v>
      </c>
      <c r="F29" s="9">
        <f>VLOOKUP(A29,[12]HISTOBQUEFEV24!$A$6:$G$41,5,0)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8"/>
        <v>50000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VLOOKUP(A29,[14]TONTFEV24!$A$6:$R$39,12,0)</f>
        <v>0</v>
      </c>
      <c r="Q29" s="2"/>
      <c r="R29" s="2"/>
      <c r="S29" s="20"/>
      <c r="T29" s="12"/>
      <c r="U29" s="17">
        <f t="shared" si="9"/>
        <v>50000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>
        <v>51000</v>
      </c>
      <c r="AJ29" s="12"/>
      <c r="AK29" s="12"/>
      <c r="AL29" s="12">
        <v>1000</v>
      </c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10"/>
        <v>25000</v>
      </c>
      <c r="AT29" s="15"/>
      <c r="AV29" s="15"/>
      <c r="AW29" s="15">
        <f t="shared" si="11"/>
        <v>51000</v>
      </c>
      <c r="AX29" s="15">
        <f t="shared" si="12"/>
        <v>0</v>
      </c>
      <c r="AY29" s="15">
        <f t="shared" si="13"/>
        <v>0</v>
      </c>
      <c r="AZ29" s="16">
        <f t="shared" si="15"/>
        <v>51000</v>
      </c>
      <c r="BA29" s="58"/>
      <c r="BB29" s="58"/>
      <c r="BC29" s="15"/>
      <c r="BD29" s="57">
        <f t="shared" si="14"/>
        <v>51000</v>
      </c>
      <c r="BE29" s="82"/>
      <c r="BF29" s="29">
        <f t="shared" si="6"/>
        <v>0</v>
      </c>
      <c r="BG29" s="29">
        <v>10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0"/>
        <v>0</v>
      </c>
      <c r="D30" s="9">
        <f>VLOOKUP(A30,[12]HISTOBQUEFEV24!$A$6:$G$46,3,0)</f>
        <v>250000</v>
      </c>
      <c r="E30" s="9">
        <f>VLOOKUP(A30,[12]HISTOBQUEFEV24!$A$6:$G$41,4,0)</f>
        <v>0</v>
      </c>
      <c r="F30" s="9">
        <f>VLOOKUP(A30,[12]HISTOBQUEFEV24!$A$6:$G$41,5,0)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8"/>
        <v>50000</v>
      </c>
      <c r="L30" s="6"/>
      <c r="M30" s="11">
        <f t="shared" si="2"/>
        <v>0</v>
      </c>
      <c r="N30" s="6">
        <v>2</v>
      </c>
      <c r="O30" s="11">
        <f t="shared" si="3"/>
        <v>200000</v>
      </c>
      <c r="P30" s="2">
        <f>VLOOKUP(A30,[14]TONTFEV24!$A$6:$R$39,12,0)</f>
        <v>0</v>
      </c>
      <c r="Q30" s="2"/>
      <c r="R30" s="2">
        <f>VLOOKUP(A30,[16]TONTFEV24!$A$7:$P$20,10,0)</f>
        <v>0</v>
      </c>
      <c r="S30" s="20"/>
      <c r="T30" s="12"/>
      <c r="U30" s="17">
        <f t="shared" si="9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>
        <v>35000</v>
      </c>
      <c r="AF30" s="12" t="s">
        <v>8</v>
      </c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10"/>
        <v>25000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1165000</v>
      </c>
      <c r="AZ30" s="16">
        <f t="shared" si="15"/>
        <v>1165000</v>
      </c>
      <c r="BA30" s="58"/>
      <c r="BB30" s="58"/>
      <c r="BC30" s="15"/>
      <c r="BD30" s="57">
        <f t="shared" si="14"/>
        <v>1165000</v>
      </c>
      <c r="BE30" s="82"/>
      <c r="BF30" s="29">
        <f t="shared" si="6"/>
        <v>0</v>
      </c>
      <c r="BG30" s="29">
        <v>10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0"/>
        <v>0</v>
      </c>
      <c r="D31" s="9">
        <f>VLOOKUP(A31,[12]HISTOBQUEFEV24!$A$6:$G$46,3,0)</f>
        <v>150000</v>
      </c>
      <c r="E31" s="9">
        <f>VLOOKUP(A31,[12]HISTOBQUEFEV24!$A$6:$G$41,4,0)</f>
        <v>0</v>
      </c>
      <c r="F31" s="9">
        <f>VLOOKUP(A31,[12]HISTOBQUEFEV24!$A$6:$G$41,5,0)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VLOOKUP(A31,[14]TONTFEV24!$A$6:$R$39,12,0)</f>
        <v>0</v>
      </c>
      <c r="Q31" s="2"/>
      <c r="R31" s="2">
        <f>VLOOKUP(A31,[16]TONTFEV24!$A$7:$P$20,10,0)</f>
        <v>0</v>
      </c>
      <c r="S31" s="20"/>
      <c r="T31" s="12"/>
      <c r="U31" s="17">
        <f t="shared" si="9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10"/>
        <v>25000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5"/>
        <v>0</v>
      </c>
      <c r="BA31" s="58"/>
      <c r="BB31" s="58"/>
      <c r="BC31" s="15"/>
      <c r="BD31" s="57">
        <f t="shared" si="14"/>
        <v>0</v>
      </c>
      <c r="BE31" s="82"/>
      <c r="BF31" s="29">
        <f t="shared" si="6"/>
        <v>0</v>
      </c>
      <c r="BG31" s="29">
        <v>10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0"/>
        <v>0</v>
      </c>
      <c r="D32" s="9">
        <f>VLOOKUP(A32,[12]HISTOBQUEFEV24!$A$6:$G$46,3,0)</f>
        <v>125000</v>
      </c>
      <c r="E32" s="9">
        <f>VLOOKUP(A32,[12]HISTOBQUEFEV24!$A$6:$G$41,4,0)</f>
        <v>0</v>
      </c>
      <c r="F32" s="9">
        <f>VLOOKUP(A32,[12]HISTOBQUEFEV24!$A$6:$G$41,5,0)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VLOOKUP(A32,[14]TONTFEV24!$A$6:$R$39,12,0)</f>
        <v>0</v>
      </c>
      <c r="Q32" s="2">
        <f>VLOOKUP(A32,[15]TONTFEV24!$A$7:$P$23,10,0)</f>
        <v>0</v>
      </c>
      <c r="R32" s="2"/>
      <c r="S32" s="20"/>
      <c r="T32" s="12"/>
      <c r="U32" s="17">
        <f t="shared" si="9"/>
        <v>125000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10"/>
        <v>25000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5"/>
        <v>0</v>
      </c>
      <c r="BA32" s="58"/>
      <c r="BB32" s="58"/>
      <c r="BC32" s="15"/>
      <c r="BD32" s="57">
        <f t="shared" si="14"/>
        <v>0</v>
      </c>
      <c r="BE32" s="82"/>
      <c r="BF32" s="29">
        <f t="shared" si="6"/>
        <v>0</v>
      </c>
      <c r="BG32" s="29">
        <v>10</v>
      </c>
      <c r="BH32" s="15"/>
      <c r="BI32" s="15"/>
      <c r="BJ32" s="15"/>
      <c r="BK32" s="15"/>
      <c r="BL32" s="61"/>
      <c r="BN32" t="s">
        <v>203</v>
      </c>
      <c r="BP32" s="6">
        <v>100000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0"/>
        <v>0</v>
      </c>
      <c r="D33" s="9">
        <f>VLOOKUP(A33,[12]HISTOBQUEFEV24!$A$6:$G$46,3,0)</f>
        <v>180000</v>
      </c>
      <c r="E33" s="9">
        <f>VLOOKUP(A33,[12]HISTOBQUEFEV24!$A$6:$G$41,4,0)</f>
        <v>0</v>
      </c>
      <c r="F33" s="9">
        <f>VLOOKUP(A33,[12]HISTOBQUEFEV24!$A$6:$G$41,5,0)</f>
        <v>0</v>
      </c>
      <c r="G33" s="5">
        <f t="shared" si="7"/>
        <v>0</v>
      </c>
      <c r="H33" s="10" t="str">
        <f t="shared" si="1"/>
        <v>BANQUE</v>
      </c>
      <c r="I33" s="10">
        <v>30000</v>
      </c>
      <c r="J33" s="11">
        <v>1</v>
      </c>
      <c r="K33" s="11">
        <f t="shared" si="8"/>
        <v>50000</v>
      </c>
      <c r="L33" s="6"/>
      <c r="M33" s="11">
        <f t="shared" si="2"/>
        <v>0</v>
      </c>
      <c r="N33" s="6">
        <v>1</v>
      </c>
      <c r="O33" s="11">
        <f t="shared" si="3"/>
        <v>100000</v>
      </c>
      <c r="P33" s="2">
        <f>VLOOKUP(A33,[14]TONTFEV24!$A$6:$R$39,12,0)</f>
        <v>0</v>
      </c>
      <c r="Q33" s="2"/>
      <c r="R33" s="2">
        <f>VLOOKUP(A33,[16]TONTFEV24!$A$7:$P$20,10,0)</f>
        <v>0</v>
      </c>
      <c r="S33" s="20"/>
      <c r="T33" s="12"/>
      <c r="U33" s="17">
        <f t="shared" si="9"/>
        <v>180000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10"/>
        <v>55000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5"/>
        <v>0</v>
      </c>
      <c r="BA33" s="58"/>
      <c r="BB33" s="58"/>
      <c r="BC33" s="15"/>
      <c r="BD33" s="57">
        <f t="shared" si="14"/>
        <v>0</v>
      </c>
      <c r="BE33" s="82"/>
      <c r="BF33" s="29">
        <f t="shared" si="6"/>
        <v>0</v>
      </c>
      <c r="BG33" s="29">
        <v>10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100000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0"/>
        <v>0</v>
      </c>
      <c r="D34" s="9">
        <f>VLOOKUP(A34,[12]HISTOBQUEFEV24!$A$6:$G$46,3,0)</f>
        <v>50000</v>
      </c>
      <c r="E34" s="9">
        <f>VLOOKUP(A34,[12]HISTOBQUEFEV24!$A$6:$G$41,4,0)</f>
        <v>0</v>
      </c>
      <c r="F34" s="9">
        <f>VLOOKUP(A34,[12]HISTOBQUEFEV24!$A$6:$G$41,5,0)</f>
        <v>0</v>
      </c>
      <c r="G34" s="5">
        <f t="shared" si="7"/>
        <v>0</v>
      </c>
      <c r="H34" s="10" t="str">
        <f t="shared" si="1"/>
        <v>BANQUE</v>
      </c>
      <c r="I34" s="10"/>
      <c r="J34" s="11">
        <v>1</v>
      </c>
      <c r="K34" s="11">
        <f t="shared" si="8"/>
        <v>50000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VLOOKUP(A34,[14]TONTFEV24!$A$6:$R$39,12,0)</f>
        <v>0</v>
      </c>
      <c r="Q34" s="2"/>
      <c r="R34" s="2"/>
      <c r="S34" s="20"/>
      <c r="T34" s="12"/>
      <c r="U34" s="17">
        <f t="shared" si="9"/>
        <v>50000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10"/>
        <v>25000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5"/>
        <v>0</v>
      </c>
      <c r="BA34" s="58"/>
      <c r="BB34" s="58"/>
      <c r="BC34" s="15"/>
      <c r="BD34" s="57">
        <f t="shared" si="14"/>
        <v>0</v>
      </c>
      <c r="BE34" s="82"/>
      <c r="BF34" s="29">
        <f t="shared" si="6"/>
        <v>0</v>
      </c>
      <c r="BG34" s="29">
        <v>10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200000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0"/>
        <v>0</v>
      </c>
      <c r="D35" s="9">
        <f>VLOOKUP(A35,[12]HISTOBQUEFEV24!$A$6:$G$46,3,0)</f>
        <v>60000</v>
      </c>
      <c r="E35" s="9">
        <f>VLOOKUP(A35,[12]HISTOBQUEFEV24!$A$6:$G$41,4,0)</f>
        <v>0</v>
      </c>
      <c r="F35" s="9">
        <f>VLOOKUP(A35,[12]HISTOBQUEFEV24!$A$6:$G$41,5,0)</f>
        <v>0</v>
      </c>
      <c r="G35" s="5">
        <f t="shared" si="7"/>
        <v>0</v>
      </c>
      <c r="H35" s="10" t="str">
        <f t="shared" si="1"/>
        <v>BANQUE</v>
      </c>
      <c r="I35" s="10">
        <v>10000</v>
      </c>
      <c r="J35" s="11">
        <v>1</v>
      </c>
      <c r="K35" s="11">
        <f t="shared" si="8"/>
        <v>50000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VLOOKUP(A35,[14]TONTFEV24!$A$6:$R$39,12,0)</f>
        <v>0</v>
      </c>
      <c r="Q35" s="2"/>
      <c r="R35" s="2"/>
      <c r="S35" s="20"/>
      <c r="T35" s="12"/>
      <c r="U35" s="17">
        <f t="shared" si="9"/>
        <v>60000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10"/>
        <v>35000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5"/>
        <v>0</v>
      </c>
      <c r="BA35" s="58"/>
      <c r="BB35" s="58"/>
      <c r="BC35" s="15"/>
      <c r="BD35" s="57">
        <f t="shared" si="14"/>
        <v>0</v>
      </c>
      <c r="BE35" s="82"/>
      <c r="BF35" s="29">
        <f t="shared" si="6"/>
        <v>0</v>
      </c>
      <c r="BG35" s="29">
        <v>10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0"/>
        <v>0</v>
      </c>
      <c r="D36" s="9">
        <f>VLOOKUP(A36,[12]HISTOBQUEFEV24!$A$6:$G$46,3,0)</f>
        <v>50000</v>
      </c>
      <c r="E36" s="9">
        <f>VLOOKUP(A36,[12]HISTOBQUEFEV24!$A$6:$G$41,4,0)</f>
        <v>0</v>
      </c>
      <c r="F36" s="9">
        <f>VLOOKUP(A36,[12]HISTOBQUEFEV24!$A$6:$G$41,5,0)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8"/>
        <v>50000</v>
      </c>
      <c r="L36" s="6"/>
      <c r="M36" s="11">
        <f t="shared" si="2"/>
        <v>0</v>
      </c>
      <c r="N36" s="6"/>
      <c r="O36" s="11">
        <f t="shared" si="3"/>
        <v>0</v>
      </c>
      <c r="P36" s="2">
        <f>VLOOKUP(A36,[14]TONTFEV24!$A$6:$R$39,12,0)</f>
        <v>0</v>
      </c>
      <c r="Q36" s="2"/>
      <c r="R36" s="2"/>
      <c r="S36" s="20"/>
      <c r="T36" s="12"/>
      <c r="U36" s="17">
        <f t="shared" si="9"/>
        <v>50000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4"/>
        <v>0</v>
      </c>
      <c r="AR36" s="8">
        <f t="shared" si="5"/>
        <v>0</v>
      </c>
      <c r="AS36" s="13">
        <f t="shared" si="10"/>
        <v>25000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5"/>
        <v>0</v>
      </c>
      <c r="BA36" s="58"/>
      <c r="BB36" s="58"/>
      <c r="BC36" s="15"/>
      <c r="BD36" s="57">
        <f t="shared" si="14"/>
        <v>0</v>
      </c>
      <c r="BE36" s="82"/>
      <c r="BF36" s="29">
        <f t="shared" si="6"/>
        <v>0</v>
      </c>
      <c r="BG36" s="29">
        <v>10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>
        <v>100000</v>
      </c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0"/>
        <v>0</v>
      </c>
      <c r="D37" s="9">
        <f>VLOOKUP(A37,[12]HISTOBQUEFEV24!$A$6:$G$46,3,0)</f>
        <v>0</v>
      </c>
      <c r="E37" s="9">
        <f>VLOOKUP(A37,[12]HISTOBQUEFEV24!$A$6:$G$41,4,0)</f>
        <v>153000</v>
      </c>
      <c r="F37" s="9">
        <f>VLOOKUP(A37,[12]HISTOBQUEFEV24!$A$6:$G$41,5,0)</f>
        <v>0</v>
      </c>
      <c r="G37" s="5">
        <f t="shared" si="7"/>
        <v>3000</v>
      </c>
      <c r="H37" s="10" t="str">
        <f t="shared" si="1"/>
        <v>ESPECES</v>
      </c>
      <c r="I37" s="10"/>
      <c r="J37" s="11">
        <v>1</v>
      </c>
      <c r="K37" s="11">
        <f t="shared" si="8"/>
        <v>50000</v>
      </c>
      <c r="L37" s="6"/>
      <c r="M37" s="11">
        <f t="shared" si="2"/>
        <v>0</v>
      </c>
      <c r="N37" s="6">
        <v>1</v>
      </c>
      <c r="O37" s="11">
        <f t="shared" si="3"/>
        <v>100000</v>
      </c>
      <c r="P37" s="2">
        <f>VLOOKUP(A37,[14]TONTFEV24!$A$6:$R$39,12,0)</f>
        <v>0</v>
      </c>
      <c r="Q37" s="2"/>
      <c r="R37" s="2">
        <f>VLOOKUP(A37,[16]TONTFEV24!$A$7:$P$20,10,0)</f>
        <v>0</v>
      </c>
      <c r="S37" s="6"/>
      <c r="T37" s="12"/>
      <c r="U37" s="17">
        <f t="shared" si="9"/>
        <v>153000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4"/>
        <v>0</v>
      </c>
      <c r="AR37" s="8">
        <f t="shared" si="5"/>
        <v>0</v>
      </c>
      <c r="AS37" s="13">
        <f t="shared" si="10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5"/>
        <v>0</v>
      </c>
      <c r="BA37" s="58"/>
      <c r="BB37" s="58"/>
      <c r="BC37" s="15"/>
      <c r="BD37" s="57">
        <f t="shared" si="14"/>
        <v>0</v>
      </c>
      <c r="BE37" s="82"/>
      <c r="BF37" s="29">
        <f t="shared" si="6"/>
        <v>0</v>
      </c>
      <c r="BG37" s="29">
        <v>10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0"/>
        <v>0</v>
      </c>
      <c r="D38" s="9">
        <f>VLOOKUP(A38,[12]HISTOBQUEFEV24!$A$6:$G$46,3,0)</f>
        <v>125000</v>
      </c>
      <c r="E38" s="9">
        <f>VLOOKUP(A38,[12]HISTOBQUEFEV24!$A$6:$G$41,4,0)</f>
        <v>0</v>
      </c>
      <c r="F38" s="9">
        <f>VLOOKUP(A38,[12]HISTOBQUEFEV24!$A$6:$G$41,5,0)</f>
        <v>0</v>
      </c>
      <c r="G38" s="5">
        <f t="shared" si="7"/>
        <v>0</v>
      </c>
      <c r="H38" s="10" t="str">
        <f t="shared" si="1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2"/>
        <v>75000</v>
      </c>
      <c r="N38" s="6"/>
      <c r="O38" s="11">
        <f t="shared" si="3"/>
        <v>0</v>
      </c>
      <c r="P38" s="2">
        <f>VLOOKUP(A38,[14]TONTFEV24!$A$6:$R$39,12,0)</f>
        <v>0</v>
      </c>
      <c r="Q38" s="2">
        <f>VLOOKUP(A38,[15]TONTFEV24!$A$7:$P$23,10,0)</f>
        <v>0</v>
      </c>
      <c r="R38" s="2"/>
      <c r="S38" s="6"/>
      <c r="T38" s="12"/>
      <c r="U38" s="17">
        <f t="shared" si="9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4"/>
        <v>0</v>
      </c>
      <c r="AR38" s="8">
        <f t="shared" si="5"/>
        <v>0</v>
      </c>
      <c r="AS38" s="13">
        <f t="shared" si="10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5"/>
        <v>0</v>
      </c>
      <c r="BA38" s="58"/>
      <c r="BB38" s="58"/>
      <c r="BC38" s="15"/>
      <c r="BD38" s="57">
        <f t="shared" si="14"/>
        <v>0</v>
      </c>
      <c r="BE38" s="82"/>
      <c r="BF38" s="29">
        <f t="shared" si="6"/>
        <v>0</v>
      </c>
      <c r="BG38" s="29">
        <v>10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>SUM(C6:C39)</f>
        <v>9000</v>
      </c>
      <c r="D40" s="5">
        <f>SUM(D6:D39)</f>
        <v>4771000</v>
      </c>
      <c r="E40" s="5">
        <f>SUM(E6:E39)+251700</f>
        <v>534700</v>
      </c>
      <c r="F40" s="5">
        <f t="shared" ref="F40:S40" si="16">SUM(F6:F39)</f>
        <v>1000000</v>
      </c>
      <c r="G40" s="5">
        <f t="shared" si="16"/>
        <v>6000</v>
      </c>
      <c r="H40" s="5">
        <f t="shared" si="16"/>
        <v>0</v>
      </c>
      <c r="I40" s="5">
        <f t="shared" si="16"/>
        <v>134000</v>
      </c>
      <c r="J40" s="5">
        <f t="shared" si="16"/>
        <v>32</v>
      </c>
      <c r="K40" s="5">
        <f t="shared" si="16"/>
        <v>1600000</v>
      </c>
      <c r="L40" s="5">
        <f t="shared" si="16"/>
        <v>16</v>
      </c>
      <c r="M40" s="5">
        <f t="shared" si="16"/>
        <v>1200000</v>
      </c>
      <c r="N40" s="5">
        <f t="shared" si="16"/>
        <v>18</v>
      </c>
      <c r="O40" s="5">
        <f t="shared" si="16"/>
        <v>1800000</v>
      </c>
      <c r="P40" s="5">
        <f t="shared" si="16"/>
        <v>0</v>
      </c>
      <c r="Q40" s="5">
        <f t="shared" si="16"/>
        <v>204000</v>
      </c>
      <c r="R40" s="5">
        <f t="shared" si="16"/>
        <v>101000</v>
      </c>
      <c r="S40" s="5">
        <f t="shared" si="16"/>
        <v>1000000</v>
      </c>
      <c r="T40" s="5"/>
      <c r="U40" s="5">
        <f t="shared" ref="U40:AA40" si="17">SUM(U6:U39)</f>
        <v>6045000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1000000</v>
      </c>
      <c r="AA40" s="5">
        <f t="shared" si="17"/>
        <v>0</v>
      </c>
      <c r="AB40" s="5"/>
      <c r="AC40" s="5">
        <f>SUM(AC6:AC39)</f>
        <v>33000</v>
      </c>
      <c r="AD40" s="5">
        <f>SUM(AD6:AD39)</f>
        <v>32000</v>
      </c>
      <c r="AE40" s="5">
        <f>SUM(AE6:AE39)</f>
        <v>75000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171000</v>
      </c>
      <c r="AJ40" s="5">
        <f t="shared" si="18"/>
        <v>0</v>
      </c>
      <c r="AK40" s="5">
        <f t="shared" si="18"/>
        <v>431000</v>
      </c>
      <c r="AL40" s="5">
        <f t="shared" si="18"/>
        <v>3000</v>
      </c>
      <c r="AM40" s="5">
        <f t="shared" si="18"/>
        <v>0</v>
      </c>
      <c r="AN40" s="5">
        <f t="shared" si="18"/>
        <v>4500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934000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738000</v>
      </c>
      <c r="AX40" s="5">
        <f t="shared" si="18"/>
        <v>1768000</v>
      </c>
      <c r="AY40" s="5">
        <f t="shared" si="18"/>
        <v>2756000</v>
      </c>
      <c r="AZ40" s="5">
        <f t="shared" si="18"/>
        <v>5469000</v>
      </c>
      <c r="BA40" s="5">
        <f t="shared" si="18"/>
        <v>534700</v>
      </c>
      <c r="BB40" s="5">
        <f t="shared" si="18"/>
        <v>0</v>
      </c>
      <c r="BC40" s="5">
        <f t="shared" si="18"/>
        <v>0</v>
      </c>
      <c r="BD40" s="5">
        <f t="shared" si="18"/>
        <v>4837300</v>
      </c>
      <c r="BE40" s="5">
        <f t="shared" si="18"/>
        <v>0</v>
      </c>
      <c r="BF40" s="5">
        <f t="shared" si="18"/>
        <v>26000</v>
      </c>
      <c r="BH40" s="5">
        <f t="shared" ref="BH40:BL40" si="19">SUM(BH6:BH39)</f>
        <v>27000</v>
      </c>
      <c r="BI40" s="5">
        <f t="shared" si="19"/>
        <v>0</v>
      </c>
      <c r="BJ40" s="5">
        <f t="shared" si="19"/>
        <v>100000</v>
      </c>
      <c r="BK40" s="5">
        <f t="shared" si="19"/>
        <v>100000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100000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5"/>
      <c r="E44" s="85"/>
      <c r="F44" s="3" t="s">
        <v>9</v>
      </c>
      <c r="G44" s="85"/>
      <c r="H44" s="85"/>
      <c r="I44" s="85"/>
      <c r="Z44" s="12"/>
      <c r="AI44" s="5"/>
      <c r="AV44" s="3"/>
      <c r="AW44" s="85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5469000</v>
      </c>
      <c r="D47" s="9">
        <f>SUMIFS(D8:D40,H8:H40,"BANQUE")</f>
        <v>4518000</v>
      </c>
      <c r="F47" s="9">
        <f>E40</f>
        <v>534700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10651000</v>
      </c>
    </row>
  </sheetData>
  <autoFilter ref="A5:AF38"/>
  <mergeCells count="1">
    <mergeCell ref="B4:M4"/>
  </mergeCells>
  <dataValidations count="2">
    <dataValidation type="list" allowBlank="1" showInputMessage="1" showErrorMessage="1" sqref="T6:T38 AP6:AP38 AF6:AF38">
      <formula1>MODEVERSEMENTS</formula1>
    </dataValidation>
    <dataValidation type="list" allowBlank="1" showInputMessage="1" showErrorMessage="1" sqref="AA6:AA38">
      <formula1>"BANQUE,ESPECES, 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D6" sqref="D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VLOOKUP(A6,[12]HISTOBQUEMARS24!$A$6:$G$46,3,0)</f>
        <v>175000</v>
      </c>
      <c r="E6" s="9">
        <f>VLOOKUP(A6,[12]HISTOBQUEMARS24!$A$6:$G$41,4,0)</f>
        <v>0</v>
      </c>
      <c r="F6" s="9">
        <f>VLOOKUP(A6,[12]HISTOBQUEMARS24!$A$6:$G$41,5,0)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BANQUE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75000</v>
      </c>
      <c r="N6" s="6">
        <v>1</v>
      </c>
      <c r="O6" s="11">
        <f t="shared" ref="O6:O38" si="2">IF($D6&lt;&gt;0,N6*100000,IF($E6&lt;&gt;0,N6*100000,0))</f>
        <v>100000</v>
      </c>
      <c r="P6" s="2"/>
      <c r="Q6" s="2"/>
      <c r="R6" s="2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248000</v>
      </c>
      <c r="BA6" s="58"/>
      <c r="BB6" s="58"/>
      <c r="BC6" s="15"/>
      <c r="BD6" s="57">
        <f>IF(AZ6=0,(AZ6-BA6-BC6),(AZ6-BA6-BB6-BC6))</f>
        <v>248000</v>
      </c>
      <c r="BE6" s="82"/>
      <c r="BF6" s="29">
        <f t="shared" ref="BF6:BF38" si="5">Z6*1/100*BG6</f>
        <v>0</v>
      </c>
      <c r="BG6" s="29">
        <v>9</v>
      </c>
      <c r="BH6" s="15">
        <f>BP16</f>
        <v>48000</v>
      </c>
      <c r="BI6" s="15">
        <f>BP28</f>
        <v>0</v>
      </c>
      <c r="BJ6" s="15">
        <f>BP33</f>
        <v>100000</v>
      </c>
      <c r="BK6" s="15">
        <f>+BP40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6000</v>
      </c>
      <c r="D7" s="9">
        <f>VLOOKUP(A7,[12]HISTOBQUEMARS24!$A$6:$G$46,3,0)</f>
        <v>56000</v>
      </c>
      <c r="E7" s="9">
        <f>VLOOKUP(A7,[12]HISTOBQUEMARS24!$A$6:$G$41,4,0)</f>
        <v>61000</v>
      </c>
      <c r="F7" s="9">
        <f>VLOOKUP(A7,[12]HISTOBQUEMARS24!$A$6:$G$41,5,0)</f>
        <v>0</v>
      </c>
      <c r="G7" s="5">
        <f t="shared" ref="G7:G38" si="7">IF(H7="ESPECES",3000,0)</f>
        <v>0</v>
      </c>
      <c r="H7" s="10" t="str">
        <f t="shared" si="0"/>
        <v>BANQUE</v>
      </c>
      <c r="I7" s="10"/>
      <c r="J7" s="11">
        <v>1</v>
      </c>
      <c r="K7" s="11">
        <f t="shared" ref="K7:K38" si="8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VLOOKUP(A7,[14]TONTMARS24!$A$6:$R$39,12,0)</f>
        <v>61000</v>
      </c>
      <c r="Q7" s="2"/>
      <c r="R7" s="2"/>
      <c r="S7" s="20"/>
      <c r="T7" s="12"/>
      <c r="U7" s="17">
        <f t="shared" ref="U7:U38" si="9">G7+S7++R7+P7+O7+M7+I7+K7+Q7+V7+W7</f>
        <v>111000</v>
      </c>
      <c r="V7" s="12"/>
      <c r="W7" s="12"/>
      <c r="X7" s="12"/>
      <c r="Y7" s="12"/>
      <c r="Z7" s="12"/>
      <c r="AA7" s="12"/>
      <c r="AB7" s="12"/>
      <c r="AC7" s="12">
        <v>10000</v>
      </c>
      <c r="AD7" s="12"/>
      <c r="AE7" s="12"/>
      <c r="AF7" s="12" t="s">
        <v>8</v>
      </c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25000</v>
      </c>
      <c r="AT7" s="15"/>
      <c r="AV7" s="15"/>
      <c r="AW7" s="15">
        <f t="shared" ref="AW7:AW38" si="11">IF(AC7=0,AI7,(1*25000*12)+AI7-AC7)</f>
        <v>290000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284000</v>
      </c>
      <c r="BA7" s="58"/>
      <c r="BB7" s="58"/>
      <c r="BC7" s="15"/>
      <c r="BD7" s="57">
        <f>IF(AZ7=0,(AZ7-BA7-BC7),(AZ7-BA7-BB7-BC7))+6000</f>
        <v>290000</v>
      </c>
      <c r="BE7" s="82">
        <v>2889015</v>
      </c>
      <c r="BF7" s="29">
        <f>Z7*1/100*BG7+6000</f>
        <v>6000</v>
      </c>
      <c r="BG7" s="29">
        <v>9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25000</v>
      </c>
      <c r="D8" s="9">
        <f>VLOOKUP(A8,[12]HISTOBQUEMARS24!$A$6:$G$46,3,0)</f>
        <v>150000</v>
      </c>
      <c r="E8" s="9">
        <f>VLOOKUP(A8,[12]HISTOBQUEMARS24!$A$6:$G$41,4,0)</f>
        <v>0</v>
      </c>
      <c r="F8" s="9">
        <f>VLOOKUP(A8,[12]HISTOBQUEMARS24!$A$6:$G$41,5,0)</f>
        <v>0</v>
      </c>
      <c r="G8" s="5">
        <f t="shared" si="7"/>
        <v>0</v>
      </c>
      <c r="H8" s="10" t="str">
        <f t="shared" si="0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VLOOKUP(A8,[14]TONTMARS24!$A$6:$R$39,12,0)</f>
        <v>0</v>
      </c>
      <c r="Q8" s="2">
        <f>VLOOKUP(A8,[15]TONTMARS24!$A$7:$P$23,10,0)</f>
        <v>0</v>
      </c>
      <c r="R8" s="2"/>
      <c r="S8" s="20"/>
      <c r="T8" s="12"/>
      <c r="U8" s="17">
        <f t="shared" si="9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25000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>SUM(AV8:AY8)-BF8+Z8-F8+BH8+BI8+BJ8+BK8+BL8+BM8+25000</f>
        <v>0</v>
      </c>
      <c r="BA8" s="58"/>
      <c r="BB8" s="58"/>
      <c r="BC8" s="15"/>
      <c r="BD8" s="57">
        <f>IF(AZ8=0,(AZ8-BA8-BC8),(AZ8-BA8-BB8-BC8))</f>
        <v>0</v>
      </c>
      <c r="BE8" s="82"/>
      <c r="BF8" s="29">
        <f>Z8*1/100*BG8+25000</f>
        <v>25000</v>
      </c>
      <c r="BG8" s="29">
        <v>9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VLOOKUP(A9,[12]HISTOBQUEMARS24!$A$6:$G$46,3,0)</f>
        <v>250000</v>
      </c>
      <c r="E9" s="9">
        <f>VLOOKUP(A9,[12]HISTOBQUEMARS24!$A$6:$G$41,4,0)</f>
        <v>0</v>
      </c>
      <c r="F9" s="9">
        <f>VLOOKUP(A9,[12]HISTOBQUEMARS24!$A$6:$G$41,5,0)</f>
        <v>0</v>
      </c>
      <c r="G9" s="5">
        <f t="shared" si="7"/>
        <v>0</v>
      </c>
      <c r="H9" s="10" t="str">
        <f t="shared" si="0"/>
        <v>BANQUE</v>
      </c>
      <c r="I9" s="10"/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VLOOKUP(A9,[14]TONTMARS24!$A$6:$R$39,12,0)</f>
        <v>0</v>
      </c>
      <c r="Q9" s="2"/>
      <c r="R9" s="2">
        <f>VLOOKUP(A9,[16]TONTMARS24!$A$7:$P$20,10,0)</f>
        <v>0</v>
      </c>
      <c r="S9" s="20"/>
      <c r="T9" s="12"/>
      <c r="U9" s="17">
        <f t="shared" si="9"/>
        <v>250000</v>
      </c>
      <c r="V9" s="12"/>
      <c r="W9" s="12"/>
      <c r="X9" s="12"/>
      <c r="Y9" s="12"/>
      <c r="Z9" s="12"/>
      <c r="AA9" s="12"/>
      <c r="AB9" s="12"/>
      <c r="AC9" s="12">
        <v>18000</v>
      </c>
      <c r="AD9" s="12"/>
      <c r="AE9" s="12"/>
      <c r="AF9" s="12" t="s">
        <v>8</v>
      </c>
      <c r="AG9" s="12"/>
      <c r="AH9" s="12"/>
      <c r="AI9" s="12"/>
      <c r="AJ9" s="12"/>
      <c r="AK9" s="12">
        <v>205500</v>
      </c>
      <c r="AL9" s="12"/>
      <c r="AM9" s="12"/>
      <c r="AN9" s="12">
        <v>2000</v>
      </c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25000</v>
      </c>
      <c r="AT9" s="15"/>
      <c r="AV9" s="15"/>
      <c r="AW9" s="15">
        <f t="shared" si="11"/>
        <v>282000</v>
      </c>
      <c r="AX9" s="15">
        <f t="shared" si="12"/>
        <v>0</v>
      </c>
      <c r="AY9" s="15">
        <f t="shared" si="13"/>
        <v>205500</v>
      </c>
      <c r="AZ9" s="16">
        <f t="shared" si="14"/>
        <v>487500</v>
      </c>
      <c r="BA9" s="58">
        <v>282000</v>
      </c>
      <c r="BB9" s="58"/>
      <c r="BC9" s="15"/>
      <c r="BD9" s="57">
        <f t="shared" ref="BD9:BD38" si="15">IF(AZ9=0,(AZ9-BA9-BC9),(AZ9-BA9-BB9-BC9))</f>
        <v>205500</v>
      </c>
      <c r="BE9" s="82">
        <v>2889015</v>
      </c>
      <c r="BF9" s="29">
        <f t="shared" si="5"/>
        <v>0</v>
      </c>
      <c r="BG9" s="29">
        <v>9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VLOOKUP(A10,[12]HISTOBQUEMARS24!$A$6:$G$46,3,0)</f>
        <v>180000</v>
      </c>
      <c r="E10" s="9">
        <f>VLOOKUP(A10,[12]HISTOBQUEMARS24!$A$6:$G$41,4,0)</f>
        <v>0</v>
      </c>
      <c r="F10" s="9">
        <f>VLOOKUP(A10,[12]HISTOBQUEMARS24!$A$6:$G$41,5,0)</f>
        <v>0</v>
      </c>
      <c r="G10" s="5">
        <f t="shared" si="7"/>
        <v>0</v>
      </c>
      <c r="H10" s="10" t="str">
        <f t="shared" si="0"/>
        <v>BANQUE</v>
      </c>
      <c r="I10" s="10">
        <v>-6000</v>
      </c>
      <c r="J10" s="11">
        <v>1</v>
      </c>
      <c r="K10" s="11">
        <f t="shared" si="8"/>
        <v>50000</v>
      </c>
      <c r="L10" s="6">
        <v>1</v>
      </c>
      <c r="M10" s="11">
        <f t="shared" si="1"/>
        <v>75000</v>
      </c>
      <c r="N10" s="6"/>
      <c r="O10" s="11">
        <f t="shared" si="2"/>
        <v>0</v>
      </c>
      <c r="P10" s="2">
        <f>VLOOKUP(A10,[14]TONTMARS24!$A$6:$R$39,12,0)</f>
        <v>61000</v>
      </c>
      <c r="Q10" s="2">
        <f>VLOOKUP(A10,[15]TONTMARS24!$A$7:$P$23,10,0)</f>
        <v>0</v>
      </c>
      <c r="R10" s="2"/>
      <c r="S10" s="20"/>
      <c r="T10" s="12"/>
      <c r="U10" s="17">
        <f t="shared" si="9"/>
        <v>180000</v>
      </c>
      <c r="V10" s="12"/>
      <c r="W10" s="12"/>
      <c r="X10" s="12"/>
      <c r="Y10" s="12"/>
      <c r="Z10" s="12"/>
      <c r="AA10" s="12"/>
      <c r="AB10" s="12"/>
      <c r="AC10" s="12"/>
      <c r="AD10" s="12">
        <v>28000</v>
      </c>
      <c r="AE10" s="12"/>
      <c r="AF10" s="12" t="s">
        <v>8</v>
      </c>
      <c r="AG10" s="12"/>
      <c r="AH10" s="12"/>
      <c r="AI10" s="12">
        <v>39000</v>
      </c>
      <c r="AJ10" s="12"/>
      <c r="AK10" s="12"/>
      <c r="AL10" s="12">
        <v>1000</v>
      </c>
      <c r="AM10" s="12"/>
      <c r="AN10" s="12"/>
      <c r="AO10" s="12"/>
      <c r="AP10" s="12" t="s">
        <v>8</v>
      </c>
      <c r="AQ10" s="8">
        <f t="shared" si="3"/>
        <v>0</v>
      </c>
      <c r="AR10" s="8">
        <f t="shared" si="4"/>
        <v>0</v>
      </c>
      <c r="AS10" s="13">
        <f t="shared" si="10"/>
        <v>19000</v>
      </c>
      <c r="AT10" s="15"/>
      <c r="AV10" s="15"/>
      <c r="AW10" s="15">
        <f t="shared" si="11"/>
        <v>39000</v>
      </c>
      <c r="AX10" s="15">
        <f t="shared" si="12"/>
        <v>872000</v>
      </c>
      <c r="AY10" s="15">
        <f t="shared" si="13"/>
        <v>0</v>
      </c>
      <c r="AZ10" s="16">
        <f t="shared" si="14"/>
        <v>911000</v>
      </c>
      <c r="BA10" s="58">
        <v>39000</v>
      </c>
      <c r="BB10" s="58"/>
      <c r="BC10" s="15"/>
      <c r="BD10" s="57">
        <f t="shared" si="15"/>
        <v>872000</v>
      </c>
      <c r="BE10" s="82">
        <v>2889015</v>
      </c>
      <c r="BF10" s="29">
        <f t="shared" si="5"/>
        <v>0</v>
      </c>
      <c r="BG10" s="29">
        <v>9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VLOOKUP(A11,[12]HISTOBQUEMARS24!$A$6:$G$46,3,0)</f>
        <v>125000</v>
      </c>
      <c r="E11" s="9">
        <f>VLOOKUP(A11,[12]HISTOBQUEMARS24!$A$6:$G$41,4,0)</f>
        <v>0</v>
      </c>
      <c r="F11" s="9">
        <f>VLOOKUP(A11,[12]HISTOBQUEMARS24!$A$6:$G$41,5,0)</f>
        <v>0</v>
      </c>
      <c r="G11" s="5">
        <f t="shared" si="7"/>
        <v>0</v>
      </c>
      <c r="H11" s="10" t="str">
        <f t="shared" si="0"/>
        <v>BANQUE</v>
      </c>
      <c r="I11" s="10"/>
      <c r="J11" s="11">
        <v>1</v>
      </c>
      <c r="K11" s="11">
        <f t="shared" si="8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f>VLOOKUP(A11,[14]TONTMARS24!$A$6:$R$39,12,0)</f>
        <v>0</v>
      </c>
      <c r="Q11" s="2">
        <f>VLOOKUP(A11,[15]TONTMARS24!$A$7:$P$23,10,0)</f>
        <v>0</v>
      </c>
      <c r="R11" s="2"/>
      <c r="S11" s="20"/>
      <c r="T11" s="12"/>
      <c r="U11" s="17">
        <f t="shared" si="9"/>
        <v>125000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40000</v>
      </c>
      <c r="AJ11" s="12">
        <v>100000</v>
      </c>
      <c r="AK11" s="12"/>
      <c r="AL11" s="12">
        <v>1000</v>
      </c>
      <c r="AM11" s="12">
        <v>3000</v>
      </c>
      <c r="AN11" s="12"/>
      <c r="AO11" s="12"/>
      <c r="AP11" s="12" t="s">
        <v>8</v>
      </c>
      <c r="AQ11" s="8">
        <f t="shared" si="3"/>
        <v>0</v>
      </c>
      <c r="AR11" s="8">
        <f t="shared" si="4"/>
        <v>0</v>
      </c>
      <c r="AS11" s="13">
        <f t="shared" si="10"/>
        <v>25000</v>
      </c>
      <c r="AT11" s="15"/>
      <c r="AV11" s="15"/>
      <c r="AW11" s="15">
        <f t="shared" si="11"/>
        <v>40000</v>
      </c>
      <c r="AX11" s="15">
        <f t="shared" si="12"/>
        <v>100000</v>
      </c>
      <c r="AY11" s="15">
        <f t="shared" si="13"/>
        <v>0</v>
      </c>
      <c r="AZ11" s="16">
        <f t="shared" si="14"/>
        <v>140000</v>
      </c>
      <c r="BA11" s="58">
        <v>100000</v>
      </c>
      <c r="BB11" s="58"/>
      <c r="BC11" s="15"/>
      <c r="BD11" s="57">
        <f t="shared" si="15"/>
        <v>40000</v>
      </c>
      <c r="BE11" s="82">
        <v>2889015</v>
      </c>
      <c r="BF11" s="29">
        <f t="shared" si="5"/>
        <v>0</v>
      </c>
      <c r="BG11" s="29">
        <v>9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>
        <v>30000</v>
      </c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VLOOKUP(A12,[12]HISTOBQUEMARS24!$A$6:$G$46,3,0)</f>
        <v>462000</v>
      </c>
      <c r="E12" s="9">
        <f>VLOOKUP(A12,[12]HISTOBQUEMARS24!$A$6:$G$41,4,0)</f>
        <v>0</v>
      </c>
      <c r="F12" s="9">
        <f>VLOOKUP(A12,[12]HISTOBQUEMARS24!$A$6:$G$41,5,0)</f>
        <v>0</v>
      </c>
      <c r="G12" s="5">
        <f t="shared" si="7"/>
        <v>0</v>
      </c>
      <c r="H12" s="10" t="str">
        <f t="shared" si="0"/>
        <v>BANQUE</v>
      </c>
      <c r="I12" s="10">
        <v>5000</v>
      </c>
      <c r="J12" s="11">
        <v>1</v>
      </c>
      <c r="K12" s="11">
        <f t="shared" si="8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f>VLOOKUP(A12,[14]TONTMARS24!$A$6:$R$39,12,0)</f>
        <v>0</v>
      </c>
      <c r="Q12" s="2">
        <f>VLOOKUP(A12,[15]TONTMARS24!$A$7:$P$23,10,0)</f>
        <v>0</v>
      </c>
      <c r="R12" s="2">
        <f>VLOOKUP(A12,[16]TONTMARS24!$A$7:$P$20,10,0)</f>
        <v>132000</v>
      </c>
      <c r="S12" s="20"/>
      <c r="T12" s="12"/>
      <c r="U12" s="17">
        <f t="shared" si="9"/>
        <v>462000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 t="s">
        <v>8</v>
      </c>
      <c r="AQ12" s="8">
        <f t="shared" si="3"/>
        <v>0</v>
      </c>
      <c r="AR12" s="8">
        <f t="shared" si="4"/>
        <v>0</v>
      </c>
      <c r="AS12" s="13">
        <f t="shared" si="10"/>
        <v>30000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9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VLOOKUP(A13,[12]HISTOBQUEMARS24!$A$6:$G$46,3,0)</f>
        <v>50000</v>
      </c>
      <c r="E13" s="9">
        <f>VLOOKUP(A13,[12]HISTOBQUEMARS24!$A$6:$G$41,4,0)</f>
        <v>0</v>
      </c>
      <c r="F13" s="9">
        <f>VLOOKUP(A13,[12]HISTOBQUEMARS24!$A$6:$G$41,5,0)</f>
        <v>0</v>
      </c>
      <c r="G13" s="5">
        <f t="shared" si="7"/>
        <v>0</v>
      </c>
      <c r="H13" s="10" t="str">
        <f t="shared" si="0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VLOOKUP(A13,[14]TONTMARS24!$A$6:$R$39,12,0)</f>
        <v>0</v>
      </c>
      <c r="Q13" s="2"/>
      <c r="R13" s="2"/>
      <c r="S13" s="20"/>
      <c r="T13" s="12"/>
      <c r="U13" s="17">
        <f t="shared" si="9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9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18000</v>
      </c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VLOOKUP(A14,[12]HISTOBQUEMARS24!$A$6:$G$46,3,0)</f>
        <v>50000</v>
      </c>
      <c r="E14" s="9">
        <f>VLOOKUP(A14,[12]HISTOBQUEMARS24!$A$6:$G$41,4,0)</f>
        <v>0</v>
      </c>
      <c r="F14" s="9">
        <f>VLOOKUP(A14,[12]HISTOBQUEMARS24!$A$6:$G$41,5,0)</f>
        <v>0</v>
      </c>
      <c r="G14" s="5">
        <f t="shared" si="7"/>
        <v>0</v>
      </c>
      <c r="H14" s="10" t="str">
        <f t="shared" si="0"/>
        <v>BANQUE</v>
      </c>
      <c r="I14" s="10"/>
      <c r="J14" s="11">
        <v>1</v>
      </c>
      <c r="K14" s="11">
        <f t="shared" si="8"/>
        <v>50000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VLOOKUP(A14,[14]TONTMARS24!$A$6:$R$39,12,0)</f>
        <v>0</v>
      </c>
      <c r="Q14" s="2"/>
      <c r="R14" s="2"/>
      <c r="S14" s="20"/>
      <c r="T14" s="12"/>
      <c r="U14" s="17">
        <f t="shared" si="9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25000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9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VLOOKUP(A15,[12]HISTOBQUEMARS24!$A$6:$G$46,3,0)</f>
        <v>125000</v>
      </c>
      <c r="E15" s="9">
        <f>VLOOKUP(A15,[12]HISTOBQUEMARS24!$A$6:$G$41,4,0)</f>
        <v>0</v>
      </c>
      <c r="F15" s="9">
        <f>VLOOKUP(A15,[12]HISTOBQUEMARS24!$A$6:$G$41,5,0)</f>
        <v>0</v>
      </c>
      <c r="G15" s="5">
        <f t="shared" si="7"/>
        <v>0</v>
      </c>
      <c r="H15" s="10" t="str">
        <f t="shared" si="0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f>VLOOKUP(A15,[14]TONTMARS24!$A$6:$R$39,12,0)</f>
        <v>0</v>
      </c>
      <c r="Q15" s="2">
        <f>VLOOKUP(A15,[15]TONTMARS24!$A$7:$P$23,10,0)</f>
        <v>0</v>
      </c>
      <c r="R15" s="2"/>
      <c r="S15" s="20"/>
      <c r="T15" s="12"/>
      <c r="U15" s="17">
        <f t="shared" si="9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9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VLOOKUP(A16,[12]HISTOBQUEMARS24!$A$6:$G$46,3,0)</f>
        <v>260000</v>
      </c>
      <c r="E16" s="9">
        <f>VLOOKUP(A16,[12]HISTOBQUEMARS24!$A$6:$G$41,4,0)</f>
        <v>0</v>
      </c>
      <c r="F16" s="9">
        <f>VLOOKUP(A16,[12]HISTOBQUEMARS24!$A$6:$G$41,5,0)</f>
        <v>0</v>
      </c>
      <c r="G16" s="5">
        <f t="shared" si="7"/>
        <v>0</v>
      </c>
      <c r="H16" s="10" t="str">
        <f t="shared" si="0"/>
        <v>BANQUE</v>
      </c>
      <c r="I16" s="10">
        <v>35000</v>
      </c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f>VLOOKUP(A16,[14]TONTMARS24!$A$6:$R$39,12,0)</f>
        <v>0</v>
      </c>
      <c r="Q16" s="2">
        <f>VLOOKUP(A16,[15]TONTMARS24!$A$7:$P$23,10,0)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260000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60000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9</v>
      </c>
      <c r="BH16" s="15"/>
      <c r="BI16" s="15"/>
      <c r="BJ16" s="15"/>
      <c r="BK16" s="15"/>
      <c r="BL16" s="61"/>
      <c r="BN16" s="62" t="s">
        <v>142</v>
      </c>
      <c r="BP16" s="62">
        <f>SUM(BP6:BP15)</f>
        <v>48000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VLOOKUP(A17,[12]HISTOBQUEMARS24!$A$6:$G$46,3,0)</f>
        <v>150000</v>
      </c>
      <c r="E17" s="9">
        <f>VLOOKUP(A17,[12]HISTOBQUEMARS24!$A$6:$G$41,4,0)</f>
        <v>0</v>
      </c>
      <c r="F17" s="9">
        <f>VLOOKUP(A17,[12]HISTOBQUEMARS24!$A$6:$G$41,5,0)</f>
        <v>500000</v>
      </c>
      <c r="G17" s="5">
        <f t="shared" si="7"/>
        <v>0</v>
      </c>
      <c r="H17" s="10" t="str">
        <f t="shared" si="0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f>VLOOKUP(A17,[14]TONTMARS24!$A$6:$R$39,12,0)</f>
        <v>0</v>
      </c>
      <c r="Q17" s="2"/>
      <c r="R17" s="2">
        <f>VLOOKUP(A17,[16]TONTMARS24!$A$7:$P$20,10,0)</f>
        <v>0</v>
      </c>
      <c r="S17" s="20">
        <v>500000</v>
      </c>
      <c r="T17" s="12" t="s">
        <v>8</v>
      </c>
      <c r="U17" s="17">
        <f t="shared" si="9"/>
        <v>650000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>
        <v>70000</v>
      </c>
      <c r="AF17" s="12" t="s">
        <v>8</v>
      </c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25000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1130000</v>
      </c>
      <c r="AZ17" s="16">
        <f t="shared" si="14"/>
        <v>630000</v>
      </c>
      <c r="BA17" s="58"/>
      <c r="BB17" s="58"/>
      <c r="BC17" s="15"/>
      <c r="BD17" s="57">
        <f t="shared" si="15"/>
        <v>630000</v>
      </c>
      <c r="BE17" s="82">
        <v>2889015</v>
      </c>
      <c r="BF17" s="29">
        <f t="shared" si="5"/>
        <v>0</v>
      </c>
      <c r="BG17" s="29">
        <v>9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VLOOKUP(A18,[12]HISTOBQUEMARS24!$A$6:$G$46,3,0)</f>
        <v>160000</v>
      </c>
      <c r="E18" s="9">
        <f>VLOOKUP(A18,[12]HISTOBQUEMARS24!$A$6:$G$41,4,0)</f>
        <v>0</v>
      </c>
      <c r="F18" s="9">
        <f>VLOOKUP(A18,[12]HISTOBQUEMARS24!$A$6:$G$41,5,0)</f>
        <v>0</v>
      </c>
      <c r="G18" s="5">
        <f t="shared" si="7"/>
        <v>0</v>
      </c>
      <c r="H18" s="10" t="str">
        <f t="shared" si="0"/>
        <v>BANQUE</v>
      </c>
      <c r="I18" s="10">
        <v>10000</v>
      </c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VLOOKUP(A18,[14]TONTMARS24!$A$6:$R$39,12,0)</f>
        <v>0</v>
      </c>
      <c r="Q18" s="2"/>
      <c r="R18" s="2">
        <f>VLOOKUP(A18,[16]TONTMARS24!$A$7:$P$20,10,0)</f>
        <v>0</v>
      </c>
      <c r="S18" s="20"/>
      <c r="T18" s="12"/>
      <c r="U18" s="17">
        <f t="shared" si="9"/>
        <v>160000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200000</v>
      </c>
      <c r="AL18" s="12"/>
      <c r="AM18" s="12"/>
      <c r="AN18" s="12">
        <v>2000</v>
      </c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35000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200000</v>
      </c>
      <c r="AZ18" s="16">
        <f t="shared" si="14"/>
        <v>200000</v>
      </c>
      <c r="BA18" s="58"/>
      <c r="BB18" s="58"/>
      <c r="BC18" s="15"/>
      <c r="BD18" s="57">
        <f t="shared" si="15"/>
        <v>200000</v>
      </c>
      <c r="BE18" s="82">
        <v>2889015</v>
      </c>
      <c r="BF18" s="29">
        <f t="shared" si="5"/>
        <v>0</v>
      </c>
      <c r="BG18" s="29">
        <v>9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VLOOKUP(A19,[12]HISTOBQUEMARS24!$A$6:$G$46,3,0)</f>
        <v>50000</v>
      </c>
      <c r="E19" s="9">
        <f>VLOOKUP(A19,[12]HISTOBQUEMARS24!$A$6:$G$41,4,0)</f>
        <v>0</v>
      </c>
      <c r="F19" s="9">
        <f>VLOOKUP(A19,[12]HISTOBQUEMARS24!$A$6:$G$41,5,0)</f>
        <v>0</v>
      </c>
      <c r="G19" s="5">
        <f t="shared" si="7"/>
        <v>0</v>
      </c>
      <c r="H19" s="10" t="str">
        <f t="shared" si="0"/>
        <v>BANQUE</v>
      </c>
      <c r="I19" s="10"/>
      <c r="J19" s="11">
        <v>1</v>
      </c>
      <c r="K19" s="11">
        <f t="shared" si="8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VLOOKUP(A19,[14]TONTMARS24!$A$6:$R$39,12,0)</f>
        <v>0</v>
      </c>
      <c r="Q19" s="2"/>
      <c r="R19" s="2"/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9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VLOOKUP(A20,[12]HISTOBQUEMARS24!$A$6:$G$46,3,0)</f>
        <v>427000</v>
      </c>
      <c r="E20" s="9">
        <f>VLOOKUP(A20,[12]HISTOBQUEMARS24!$A$6:$G$41,4,0)</f>
        <v>0</v>
      </c>
      <c r="F20" s="9">
        <f>VLOOKUP(A20,[12]HISTOBQUEMARS24!$A$6:$G$41,5,0)</f>
        <v>0</v>
      </c>
      <c r="G20" s="5">
        <f t="shared" si="7"/>
        <v>0</v>
      </c>
      <c r="H20" s="10" t="str">
        <f t="shared" si="0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f>VLOOKUP(A20,[14]TONTMARS24!$A$6:$R$39,12,0)</f>
        <v>0</v>
      </c>
      <c r="Q20" s="2">
        <f>VLOOKUP(A20,[15]TONTMARS24!$A$7:$P$23,10,0)</f>
        <v>0</v>
      </c>
      <c r="R20" s="2">
        <f>VLOOKUP(A20,[16]TONTMARS24!$A$7:$P$20,10,0)</f>
        <v>202000</v>
      </c>
      <c r="S20" s="20"/>
      <c r="T20" s="12"/>
      <c r="U20" s="17">
        <f t="shared" si="9"/>
        <v>427000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89000</v>
      </c>
      <c r="AK20" s="12">
        <v>200000</v>
      </c>
      <c r="AL20" s="12"/>
      <c r="AM20" s="12">
        <v>2000</v>
      </c>
      <c r="AN20" s="12">
        <v>2000</v>
      </c>
      <c r="AO20" s="12"/>
      <c r="AP20" s="12" t="s">
        <v>8</v>
      </c>
      <c r="AQ20" s="8">
        <f t="shared" si="3"/>
        <v>0</v>
      </c>
      <c r="AR20" s="8">
        <f t="shared" si="4"/>
        <v>0</v>
      </c>
      <c r="AS20" s="13">
        <f t="shared" si="10"/>
        <v>25000</v>
      </c>
      <c r="AT20" s="15"/>
      <c r="AV20" s="15"/>
      <c r="AW20" s="15">
        <f t="shared" si="11"/>
        <v>0</v>
      </c>
      <c r="AX20" s="15">
        <f t="shared" si="12"/>
        <v>89000</v>
      </c>
      <c r="AY20" s="15">
        <f t="shared" si="13"/>
        <v>200000</v>
      </c>
      <c r="AZ20" s="16">
        <f t="shared" si="14"/>
        <v>289000</v>
      </c>
      <c r="BA20" s="58">
        <f>89000+56500</f>
        <v>145500</v>
      </c>
      <c r="BB20" s="58"/>
      <c r="BC20" s="15"/>
      <c r="BD20" s="57">
        <f t="shared" si="15"/>
        <v>143500</v>
      </c>
      <c r="BE20" s="82">
        <v>2889015</v>
      </c>
      <c r="BF20" s="29">
        <f t="shared" si="5"/>
        <v>0</v>
      </c>
      <c r="BG20" s="29">
        <v>9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VLOOKUP(A21,[12]HISTOBQUEMARS24!$A$6:$G$46,3,0)</f>
        <v>50000</v>
      </c>
      <c r="E21" s="9">
        <f>VLOOKUP(A21,[12]HISTOBQUEMARS24!$A$6:$G$41,4,0)</f>
        <v>0</v>
      </c>
      <c r="F21" s="9">
        <f>VLOOKUP(A21,[12]HISTOBQUEMARS24!$A$6:$G$41,5,0)</f>
        <v>0</v>
      </c>
      <c r="G21" s="5">
        <f t="shared" si="7"/>
        <v>0</v>
      </c>
      <c r="H21" s="10" t="str">
        <f t="shared" si="0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VLOOKUP(A21,[14]TONTMARS24!$A$6:$R$39,12,0)</f>
        <v>0</v>
      </c>
      <c r="Q21" s="2"/>
      <c r="R21" s="2"/>
      <c r="S21" s="20"/>
      <c r="T21" s="12"/>
      <c r="U21" s="17">
        <f t="shared" si="9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9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VLOOKUP(A22,[12]HISTOBQUEMARS24!$A$6:$G$46,3,0)</f>
        <v>125000</v>
      </c>
      <c r="E22" s="9">
        <f>VLOOKUP(A22,[12]HISTOBQUEMARS24!$A$6:$G$41,4,0)</f>
        <v>0</v>
      </c>
      <c r="F22" s="9">
        <f>VLOOKUP(A22,[12]HISTOBQUEMARS24!$A$6:$G$41,5,0)</f>
        <v>0</v>
      </c>
      <c r="G22" s="5">
        <f t="shared" si="7"/>
        <v>0</v>
      </c>
      <c r="H22" s="10" t="str">
        <f t="shared" si="0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f>VLOOKUP(A22,[14]TONTMARS24!$A$6:$R$39,12,0)</f>
        <v>0</v>
      </c>
      <c r="Q22" s="2">
        <f>VLOOKUP(A22,[15]TONTMARS24!$A$7:$P$23,10,0)</f>
        <v>0</v>
      </c>
      <c r="R22" s="2"/>
      <c r="S22" s="20"/>
      <c r="T22" s="12"/>
      <c r="U22" s="17">
        <f t="shared" si="9"/>
        <v>125000</v>
      </c>
      <c r="V22" s="12"/>
      <c r="W22" s="12"/>
      <c r="X22" s="12"/>
      <c r="Y22" s="12"/>
      <c r="Z22" s="12"/>
      <c r="AA22" s="12"/>
      <c r="AB22" s="12"/>
      <c r="AC22" s="12">
        <v>17000</v>
      </c>
      <c r="AD22" s="12"/>
      <c r="AE22" s="12"/>
      <c r="AF22" s="12" t="s">
        <v>8</v>
      </c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25000</v>
      </c>
      <c r="AT22" s="15"/>
      <c r="AV22" s="15"/>
      <c r="AW22" s="15">
        <f t="shared" si="11"/>
        <v>283000</v>
      </c>
      <c r="AX22" s="15">
        <f t="shared" si="12"/>
        <v>0</v>
      </c>
      <c r="AY22" s="15">
        <f t="shared" si="13"/>
        <v>0</v>
      </c>
      <c r="AZ22" s="16">
        <f t="shared" si="14"/>
        <v>283000</v>
      </c>
      <c r="BA22" s="58"/>
      <c r="BB22" s="58"/>
      <c r="BC22" s="15"/>
      <c r="BD22" s="57">
        <f t="shared" si="15"/>
        <v>283000</v>
      </c>
      <c r="BE22" s="82">
        <v>2889015</v>
      </c>
      <c r="BF22" s="29">
        <f t="shared" si="5"/>
        <v>0</v>
      </c>
      <c r="BG22" s="29">
        <v>9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VLOOKUP(A23,[12]HISTOBQUEMARS24!$A$6:$G$46,3,0)</f>
        <v>260000</v>
      </c>
      <c r="E23" s="9">
        <f>VLOOKUP(A23,[12]HISTOBQUEMARS24!$A$6:$G$41,4,0)</f>
        <v>0</v>
      </c>
      <c r="F23" s="9">
        <f>VLOOKUP(A23,[12]HISTOBQUEMARS24!$A$6:$G$41,5,0)</f>
        <v>0</v>
      </c>
      <c r="G23" s="5">
        <f t="shared" si="7"/>
        <v>0</v>
      </c>
      <c r="H23" s="10" t="str">
        <f t="shared" si="0"/>
        <v>BANQUE</v>
      </c>
      <c r="I23" s="10">
        <v>10000</v>
      </c>
      <c r="J23" s="11">
        <v>1</v>
      </c>
      <c r="K23" s="11">
        <f t="shared" si="8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f>VLOOKUP(A23,[14]TONTMARS24!$A$6:$R$39,12,0)</f>
        <v>0</v>
      </c>
      <c r="Q23" s="2"/>
      <c r="R23" s="2">
        <f>VLOOKUP(A23,[16]TONTMARS24!$A$7:$P$20,10,0)</f>
        <v>0</v>
      </c>
      <c r="S23" s="20"/>
      <c r="T23" s="12"/>
      <c r="U23" s="17">
        <f t="shared" si="9"/>
        <v>260000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35000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200000</v>
      </c>
      <c r="AZ23" s="16">
        <f t="shared" si="14"/>
        <v>200000</v>
      </c>
      <c r="BA23" s="58"/>
      <c r="BB23" s="58"/>
      <c r="BC23" s="15"/>
      <c r="BD23" s="57">
        <f>IF(AZ23=0,(AZ23-BA23-BC23),(AZ23-BA23-BB23-BC23))-30000</f>
        <v>170000</v>
      </c>
      <c r="BE23" s="82">
        <v>2889015</v>
      </c>
      <c r="BF23" s="29">
        <f t="shared" si="5"/>
        <v>0</v>
      </c>
      <c r="BG23" s="29">
        <v>9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VLOOKUP(A24,[12]HISTOBQUEMARS24!$A$6:$G$46,3,0)</f>
        <v>240000</v>
      </c>
      <c r="E24" s="9">
        <f>VLOOKUP(A24,[12]HISTOBQUEMARS24!$A$6:$G$41,4,0)</f>
        <v>0</v>
      </c>
      <c r="F24" s="9">
        <f>VLOOKUP(A24,[12]HISTOBQUEMARS24!$A$6:$G$41,5,0)</f>
        <v>0</v>
      </c>
      <c r="G24" s="5">
        <f t="shared" si="7"/>
        <v>0</v>
      </c>
      <c r="H24" s="10" t="str">
        <f t="shared" si="0"/>
        <v>BANQUE</v>
      </c>
      <c r="I24" s="10">
        <v>15000</v>
      </c>
      <c r="J24" s="11">
        <v>1</v>
      </c>
      <c r="K24" s="11">
        <f t="shared" si="8"/>
        <v>50000</v>
      </c>
      <c r="L24" s="6">
        <v>1</v>
      </c>
      <c r="M24" s="11">
        <f t="shared" si="1"/>
        <v>75000</v>
      </c>
      <c r="N24" s="6">
        <v>1</v>
      </c>
      <c r="O24" s="11">
        <f t="shared" si="2"/>
        <v>100000</v>
      </c>
      <c r="P24" s="2">
        <f>VLOOKUP(A24,[14]TONTMARS24!$A$6:$R$39,12,0)</f>
        <v>0</v>
      </c>
      <c r="Q24" s="2">
        <f>VLOOKUP(A24,[15]TONTMARS24!$A$7:$P$23,10,0)</f>
        <v>0</v>
      </c>
      <c r="R24" s="2">
        <f>VLOOKUP(A24,[16]TONTMARS24!$A$7:$P$20,10,0)</f>
        <v>0</v>
      </c>
      <c r="S24" s="20"/>
      <c r="T24" s="12"/>
      <c r="U24" s="17">
        <f t="shared" si="9"/>
        <v>240000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100000</v>
      </c>
      <c r="AL24" s="12"/>
      <c r="AM24" s="12"/>
      <c r="AN24" s="12">
        <v>2000</v>
      </c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40000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100000</v>
      </c>
      <c r="AZ24" s="16">
        <f t="shared" si="14"/>
        <v>100000</v>
      </c>
      <c r="BA24" s="58"/>
      <c r="BB24" s="58"/>
      <c r="BC24" s="15"/>
      <c r="BD24" s="57">
        <f t="shared" si="15"/>
        <v>100000</v>
      </c>
      <c r="BE24" s="82"/>
      <c r="BF24" s="29">
        <f t="shared" si="5"/>
        <v>0</v>
      </c>
      <c r="BG24" s="29">
        <v>9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VLOOKUP(A25,[12]HISTOBQUEMARS24!$A$6:$G$46,3,0)</f>
        <v>375000</v>
      </c>
      <c r="E25" s="9">
        <f>VLOOKUP(A25,[12]HISTOBQUEMARS24!$A$6:$G$41,4,0)</f>
        <v>104500</v>
      </c>
      <c r="F25" s="9">
        <f>VLOOKUP(A25,[12]HISTOBQUEMARS24!$A$6:$G$41,5,0)</f>
        <v>0</v>
      </c>
      <c r="G25" s="5">
        <f>IF(H25="ESPECES",3000,0)+3000</f>
        <v>3000</v>
      </c>
      <c r="H25" s="10" t="str">
        <f t="shared" si="0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f>VLOOKUP(A25,[14]TONTMARS24!$A$6:$R$39,12,0)</f>
        <v>0</v>
      </c>
      <c r="Q25" s="2">
        <f>VLOOKUP(A25,[15]TONTMARS24!$A$7:$P$23,10,0)</f>
        <v>0</v>
      </c>
      <c r="R25" s="2">
        <f>VLOOKUP(A25,[16]TONTMARS24!$A$7:$P$20,10,0)</f>
        <v>101500</v>
      </c>
      <c r="S25" s="20"/>
      <c r="T25" s="12"/>
      <c r="U25" s="17">
        <f t="shared" si="9"/>
        <v>479500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3"/>
        <v>0</v>
      </c>
      <c r="AR25" s="8">
        <f t="shared" si="4"/>
        <v>0</v>
      </c>
      <c r="AS25" s="13">
        <f t="shared" si="10"/>
        <v>25000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200000</v>
      </c>
      <c r="AZ25" s="16">
        <f t="shared" si="14"/>
        <v>200000</v>
      </c>
      <c r="BA25" s="58"/>
      <c r="BB25" s="58"/>
      <c r="BC25" s="15"/>
      <c r="BD25" s="57">
        <f t="shared" si="15"/>
        <v>200000</v>
      </c>
      <c r="BE25" s="82">
        <v>2889015</v>
      </c>
      <c r="BF25" s="29">
        <f t="shared" si="5"/>
        <v>0</v>
      </c>
      <c r="BG25" s="29">
        <v>9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VLOOKUP(A26,[12]HISTOBQUEMARS24!$A$6:$G$46,3,0)</f>
        <v>50000</v>
      </c>
      <c r="E26" s="9">
        <f>VLOOKUP(A26,[12]HISTOBQUEMARS24!$A$6:$G$41,4,0)</f>
        <v>0</v>
      </c>
      <c r="F26" s="9">
        <f>VLOOKUP(A26,[12]HISTOBQUEMARS24!$A$6:$G$41,5,0)</f>
        <v>0</v>
      </c>
      <c r="G26" s="5">
        <f t="shared" si="7"/>
        <v>0</v>
      </c>
      <c r="H26" s="10" t="str">
        <f t="shared" si="0"/>
        <v>BANQUE</v>
      </c>
      <c r="I26" s="10"/>
      <c r="J26" s="11">
        <v>1</v>
      </c>
      <c r="K26" s="11">
        <f t="shared" si="8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VLOOKUP(A26,[14]TONTMARS24!$A$6:$R$39,12,0)</f>
        <v>0</v>
      </c>
      <c r="Q26" s="2"/>
      <c r="R26" s="2"/>
      <c r="S26" s="20"/>
      <c r="T26" s="12"/>
      <c r="U26" s="17">
        <f t="shared" si="9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25000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>SUM(AV26:AY26)-BF26+Z26-F26+BH26+BI26+BJ26+BK26+BL26+BM26+30000</f>
        <v>0</v>
      </c>
      <c r="BA26" s="58"/>
      <c r="BB26" s="58"/>
      <c r="BC26" s="15"/>
      <c r="BD26" s="57">
        <f>IF(AZ26=0,(AZ26-BA26-BC26),(AZ26-BA26-BB26-BC26))</f>
        <v>0</v>
      </c>
      <c r="BE26" s="82"/>
      <c r="BF26" s="29">
        <f>Z26*1/100*BG26+30000</f>
        <v>30000</v>
      </c>
      <c r="BG26" s="29">
        <v>9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VLOOKUP(A27,[12]HISTOBQUEMARS24!$A$6:$G$46,3,0)</f>
        <v>50000</v>
      </c>
      <c r="E27" s="9">
        <f>VLOOKUP(A27,[12]HISTOBQUEMARS24!$A$6:$G$41,4,0)</f>
        <v>0</v>
      </c>
      <c r="F27" s="9">
        <f>VLOOKUP(A27,[12]HISTOBQUEMARS24!$A$6:$G$41,5,0)</f>
        <v>0</v>
      </c>
      <c r="G27" s="5">
        <f t="shared" si="7"/>
        <v>0</v>
      </c>
      <c r="H27" s="10" t="str">
        <f t="shared" si="0"/>
        <v>BANQUE</v>
      </c>
      <c r="I27" s="10"/>
      <c r="J27" s="11">
        <v>1</v>
      </c>
      <c r="K27" s="11">
        <f t="shared" si="8"/>
        <v>50000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VLOOKUP(A27,[14]TONTMARS24!$A$6:$R$39,12,0)</f>
        <v>0</v>
      </c>
      <c r="Q27" s="2"/>
      <c r="R27" s="2"/>
      <c r="S27" s="20"/>
      <c r="T27" s="12"/>
      <c r="U27" s="17">
        <f t="shared" si="9"/>
        <v>50000</v>
      </c>
      <c r="V27" s="12"/>
      <c r="W27" s="12"/>
      <c r="X27" s="12"/>
      <c r="Y27" s="12"/>
      <c r="Z27" s="12">
        <v>50000</v>
      </c>
      <c r="AA27" s="12" t="s">
        <v>8</v>
      </c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25000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48500</v>
      </c>
      <c r="BA27" s="58"/>
      <c r="BB27" s="58"/>
      <c r="BC27" s="15"/>
      <c r="BD27" s="57">
        <f t="shared" si="15"/>
        <v>48500</v>
      </c>
      <c r="BE27" s="82">
        <v>2889015</v>
      </c>
      <c r="BF27" s="29">
        <f t="shared" si="5"/>
        <v>1500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VLOOKUP(A28,[12]HISTOBQUEMARS24!$A$6:$G$46,3,0)</f>
        <v>125000</v>
      </c>
      <c r="E28" s="9">
        <f>VLOOKUP(A28,[12]HISTOBQUEMARS24!$A$6:$G$41,4,0)</f>
        <v>0</v>
      </c>
      <c r="F28" s="9">
        <f>VLOOKUP(A28,[12]HISTOBQUEMARS24!$A$6:$G$41,5,0)</f>
        <v>0</v>
      </c>
      <c r="G28" s="5">
        <f t="shared" si="7"/>
        <v>0</v>
      </c>
      <c r="H28" s="10" t="str">
        <f t="shared" si="0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f>VLOOKUP(A28,[14]TONTMARS24!$A$6:$R$39,12,0)</f>
        <v>0</v>
      </c>
      <c r="Q28" s="2">
        <f>VLOOKUP(A28,[15]TONTMARS24!$A$7:$P$23,10,0)</f>
        <v>0</v>
      </c>
      <c r="R28" s="2"/>
      <c r="S28" s="20"/>
      <c r="T28" s="12"/>
      <c r="U28" s="17">
        <f t="shared" si="9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9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VLOOKUP(A29,[12]HISTOBQUEMARS24!$A$6:$G$46,3,0)</f>
        <v>102000</v>
      </c>
      <c r="E29" s="9">
        <f>VLOOKUP(A29,[12]HISTOBQUEMARS24!$A$6:$G$41,4,0)</f>
        <v>0</v>
      </c>
      <c r="F29" s="9">
        <f>VLOOKUP(A29,[12]HISTOBQUEMARS24!$A$6:$G$41,5,0)</f>
        <v>0</v>
      </c>
      <c r="G29" s="5">
        <f t="shared" si="7"/>
        <v>0</v>
      </c>
      <c r="H29" s="10" t="str">
        <f t="shared" si="0"/>
        <v>BANQUE</v>
      </c>
      <c r="I29" s="10"/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VLOOKUP(A29,[14]TONTMARS24!$A$6:$R$39,12,0)</f>
        <v>52000</v>
      </c>
      <c r="Q29" s="2"/>
      <c r="R29" s="2"/>
      <c r="S29" s="20"/>
      <c r="T29" s="12"/>
      <c r="U29" s="17">
        <f t="shared" si="9"/>
        <v>102000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>
        <v>40000</v>
      </c>
      <c r="AJ29" s="12"/>
      <c r="AK29" s="12"/>
      <c r="AL29" s="12">
        <v>2500</v>
      </c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25000</v>
      </c>
      <c r="AT29" s="15"/>
      <c r="AV29" s="15"/>
      <c r="AW29" s="15">
        <f t="shared" si="11"/>
        <v>40000</v>
      </c>
      <c r="AX29" s="15">
        <f t="shared" si="12"/>
        <v>0</v>
      </c>
      <c r="AY29" s="15">
        <f t="shared" si="13"/>
        <v>0</v>
      </c>
      <c r="AZ29" s="16">
        <f t="shared" si="14"/>
        <v>40000</v>
      </c>
      <c r="BA29" s="58">
        <v>40000</v>
      </c>
      <c r="BB29" s="58"/>
      <c r="BC29" s="15"/>
      <c r="BD29" s="57">
        <f t="shared" si="15"/>
        <v>0</v>
      </c>
      <c r="BE29" s="82">
        <v>2889015</v>
      </c>
      <c r="BF29" s="29">
        <f t="shared" si="5"/>
        <v>0</v>
      </c>
      <c r="BG29" s="29">
        <v>9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VLOOKUP(A30,[12]HISTOBQUEMARS24!$A$6:$G$46,3,0)</f>
        <v>250000</v>
      </c>
      <c r="E30" s="9">
        <f>VLOOKUP(A30,[12]HISTOBQUEMARS24!$A$6:$G$41,4,0)</f>
        <v>0</v>
      </c>
      <c r="F30" s="9">
        <f>VLOOKUP(A30,[12]HISTOBQUEMARS24!$A$6:$G$41,5,0)</f>
        <v>0</v>
      </c>
      <c r="G30" s="5">
        <f t="shared" si="7"/>
        <v>0</v>
      </c>
      <c r="H30" s="10" t="str">
        <f t="shared" si="0"/>
        <v>BANQUE</v>
      </c>
      <c r="I30" s="10"/>
      <c r="J30" s="11">
        <v>1</v>
      </c>
      <c r="K30" s="11">
        <f t="shared" si="8"/>
        <v>50000</v>
      </c>
      <c r="L30" s="6"/>
      <c r="M30" s="11">
        <f t="shared" si="1"/>
        <v>0</v>
      </c>
      <c r="N30" s="6">
        <v>2</v>
      </c>
      <c r="O30" s="11">
        <f t="shared" si="2"/>
        <v>200000</v>
      </c>
      <c r="P30" s="2">
        <f>VLOOKUP(A30,[14]TONTMARS24!$A$6:$R$39,12,0)</f>
        <v>0</v>
      </c>
      <c r="Q30" s="2"/>
      <c r="R30" s="2">
        <f>VLOOKUP(A30,[16]TONTMARS24!$A$7:$P$20,10,0)</f>
        <v>0</v>
      </c>
      <c r="S30" s="20"/>
      <c r="T30" s="12"/>
      <c r="U30" s="17">
        <f t="shared" si="9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25000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9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VLOOKUP(A31,[12]HISTOBQUEMARS24!$A$6:$G$46,3,0)+250000</f>
        <v>400000</v>
      </c>
      <c r="E31" s="9">
        <f>VLOOKUP(A31,[12]HISTOBQUEMARS24!$A$6:$G$41,4,0)</f>
        <v>0</v>
      </c>
      <c r="F31" s="9">
        <f>VLOOKUP(A31,[12]HISTOBQUEMARS24!$A$6:$G$41,5,0)</f>
        <v>0</v>
      </c>
      <c r="G31" s="5">
        <f t="shared" si="7"/>
        <v>0</v>
      </c>
      <c r="H31" s="10" t="str">
        <f t="shared" si="0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f>VLOOKUP(A31,[14]TONTMARS24!$A$6:$R$39,12,0)</f>
        <v>0</v>
      </c>
      <c r="Q31" s="2"/>
      <c r="R31" s="2">
        <f>VLOOKUP(A31,[16]TONTMARS24!$A$7:$P$20,10,0)</f>
        <v>0</v>
      </c>
      <c r="S31" s="20">
        <v>250000</v>
      </c>
      <c r="T31" s="12"/>
      <c r="U31" s="17">
        <f t="shared" si="9"/>
        <v>400000</v>
      </c>
      <c r="V31" s="12"/>
      <c r="W31" s="12"/>
      <c r="X31" s="12"/>
      <c r="Y31" s="12"/>
      <c r="Z31" s="12">
        <v>1000000</v>
      </c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25000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>SUM(AV31:AY31)-BF31+Z31-F31+BH31+BI31+BJ31+BK31+BL31+BM31+30000</f>
        <v>1000000</v>
      </c>
      <c r="BA31" s="58"/>
      <c r="BB31" s="58"/>
      <c r="BC31" s="15"/>
      <c r="BD31" s="57">
        <f>IF(AZ31=0,(AZ31-BA31-BC31),(AZ31-BA31-BB31-BC31))-30000</f>
        <v>970000</v>
      </c>
      <c r="BE31" s="82">
        <v>2889015</v>
      </c>
      <c r="BF31" s="29">
        <f>Z31*1/100*BG31</f>
        <v>30000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VLOOKUP(A32,[12]HISTOBQUEMARS24!$A$6:$G$46,3,0)</f>
        <v>125000</v>
      </c>
      <c r="E32" s="9">
        <f>VLOOKUP(A32,[12]HISTOBQUEMARS24!$A$6:$G$41,4,0)</f>
        <v>0</v>
      </c>
      <c r="F32" s="9">
        <f>VLOOKUP(A32,[12]HISTOBQUEMARS24!$A$6:$G$41,5,0)</f>
        <v>0</v>
      </c>
      <c r="G32" s="5">
        <f t="shared" si="7"/>
        <v>0</v>
      </c>
      <c r="H32" s="10" t="str">
        <f t="shared" si="0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f>VLOOKUP(A32,[14]TONTMARS24!$A$6:$R$39,12,0)</f>
        <v>0</v>
      </c>
      <c r="Q32" s="2">
        <f>VLOOKUP(A32,[15]TONTMARS24!$A$7:$P$23,10,0)</f>
        <v>0</v>
      </c>
      <c r="R32" s="2"/>
      <c r="S32" s="20"/>
      <c r="T32" s="12"/>
      <c r="U32" s="17">
        <f t="shared" si="9"/>
        <v>125000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25000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9</v>
      </c>
      <c r="BH32" s="15"/>
      <c r="BI32" s="15"/>
      <c r="BJ32" s="15"/>
      <c r="BK32" s="15"/>
      <c r="BL32" s="61"/>
      <c r="BN32" t="s">
        <v>203</v>
      </c>
      <c r="BP32">
        <v>100000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VLOOKUP(A33,[12]HISTOBQUEMARS24!$A$6:$G$46,3,0)</f>
        <v>200000</v>
      </c>
      <c r="E33" s="9">
        <f>VLOOKUP(A33,[12]HISTOBQUEMARS24!$A$6:$G$41,4,0)</f>
        <v>0</v>
      </c>
      <c r="F33" s="9">
        <f>VLOOKUP(A33,[12]HISTOBQUEMARS24!$A$6:$G$41,5,0)</f>
        <v>0</v>
      </c>
      <c r="G33" s="5">
        <f t="shared" si="7"/>
        <v>0</v>
      </c>
      <c r="H33" s="10" t="str">
        <f t="shared" si="0"/>
        <v>BANQUE</v>
      </c>
      <c r="I33" s="10">
        <v>50000</v>
      </c>
      <c r="J33" s="11">
        <v>1</v>
      </c>
      <c r="K33" s="11">
        <f t="shared" si="8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f>VLOOKUP(A33,[14]TONTMARS24!$A$6:$R$39,12,0)</f>
        <v>0</v>
      </c>
      <c r="Q33" s="2"/>
      <c r="R33" s="2">
        <f>VLOOKUP(A33,[16]TONTMARS24!$A$7:$P$20,10,0)</f>
        <v>0</v>
      </c>
      <c r="S33" s="20"/>
      <c r="T33" s="12"/>
      <c r="U33" s="17">
        <f t="shared" si="9"/>
        <v>200000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75000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9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100000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VLOOKUP(A34,[12]HISTOBQUEMARS24!$A$6:$G$46,3,0)</f>
        <v>50000</v>
      </c>
      <c r="E34" s="9">
        <f>VLOOKUP(A34,[12]HISTOBQUEMARS24!$A$6:$G$41,4,0)</f>
        <v>0</v>
      </c>
      <c r="F34" s="9">
        <f>VLOOKUP(A34,[12]HISTOBQUEMARS24!$A$6:$G$41,5,0)</f>
        <v>0</v>
      </c>
      <c r="G34" s="5">
        <f t="shared" si="7"/>
        <v>0</v>
      </c>
      <c r="H34" s="10" t="str">
        <f t="shared" si="0"/>
        <v>BANQUE</v>
      </c>
      <c r="I34" s="10"/>
      <c r="J34" s="11">
        <v>1</v>
      </c>
      <c r="K34" s="11">
        <f t="shared" si="8"/>
        <v>50000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VLOOKUP(A34,[14]TONTMARS24!$A$6:$R$39,12,0)</f>
        <v>0</v>
      </c>
      <c r="Q34" s="2"/>
      <c r="R34" s="2"/>
      <c r="S34" s="20"/>
      <c r="T34" s="12"/>
      <c r="U34" s="17">
        <f t="shared" si="9"/>
        <v>50000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25000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9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200000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VLOOKUP(A35,[12]HISTOBQUEMARS24!$A$6:$G$46,3,0)</f>
        <v>60000</v>
      </c>
      <c r="E35" s="9">
        <f>VLOOKUP(A35,[12]HISTOBQUEMARS24!$A$6:$G$41,4,0)</f>
        <v>0</v>
      </c>
      <c r="F35" s="9">
        <f>VLOOKUP(A35,[12]HISTOBQUEMARS24!$A$6:$G$41,5,0)</f>
        <v>0</v>
      </c>
      <c r="G35" s="5">
        <f t="shared" si="7"/>
        <v>0</v>
      </c>
      <c r="H35" s="10" t="str">
        <f t="shared" si="0"/>
        <v>BANQUE</v>
      </c>
      <c r="I35" s="10">
        <v>10000</v>
      </c>
      <c r="J35" s="11">
        <v>1</v>
      </c>
      <c r="K35" s="11">
        <f t="shared" si="8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VLOOKUP(A35,[14]TONTMARS24!$A$6:$R$39,12,0)</f>
        <v>0</v>
      </c>
      <c r="Q35" s="2"/>
      <c r="R35" s="2"/>
      <c r="S35" s="20"/>
      <c r="T35" s="12"/>
      <c r="U35" s="17">
        <f t="shared" si="9"/>
        <v>60000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35000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9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VLOOKUP(A36,[12]HISTOBQUEMARS24!$A$6:$G$46,3,0)</f>
        <v>50000</v>
      </c>
      <c r="E36" s="9">
        <f>VLOOKUP(A36,[12]HISTOBQUEMARS24!$A$6:$G$41,4,0)</f>
        <v>0</v>
      </c>
      <c r="F36" s="9">
        <f>VLOOKUP(A36,[12]HISTOBQUEMARS24!$A$6:$G$41,5,0)</f>
        <v>0</v>
      </c>
      <c r="G36" s="5">
        <f t="shared" si="7"/>
        <v>0</v>
      </c>
      <c r="H36" s="10" t="str">
        <f t="shared" si="0"/>
        <v>BANQUE</v>
      </c>
      <c r="I36" s="10"/>
      <c r="J36" s="11">
        <v>1</v>
      </c>
      <c r="K36" s="11">
        <f t="shared" si="8"/>
        <v>50000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VLOOKUP(A36,[14]TONTMARS24!$A$6:$R$39,12,0)</f>
        <v>0</v>
      </c>
      <c r="Q36" s="2"/>
      <c r="R36" s="2"/>
      <c r="S36" s="20"/>
      <c r="T36" s="12"/>
      <c r="U36" s="17">
        <f t="shared" si="9"/>
        <v>50000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25000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9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>
        <v>100000</v>
      </c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VLOOKUP(A37,[12]HISTOBQUEMARS24!$A$6:$G$46,3,0)</f>
        <v>0</v>
      </c>
      <c r="E37" s="9">
        <f>VLOOKUP(A37,[12]HISTOBQUEMARS24!$A$6:$G$41,4,0)</f>
        <v>153000</v>
      </c>
      <c r="F37" s="9">
        <f>VLOOKUP(A37,[12]HISTOBQUEMARS24!$A$6:$G$41,5,0)</f>
        <v>0</v>
      </c>
      <c r="G37" s="5">
        <f t="shared" si="7"/>
        <v>3000</v>
      </c>
      <c r="H37" s="10" t="str">
        <f t="shared" si="0"/>
        <v>ESPECES</v>
      </c>
      <c r="I37" s="10"/>
      <c r="J37" s="11">
        <v>1</v>
      </c>
      <c r="K37" s="11">
        <f t="shared" si="8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f>VLOOKUP(A37,[14]TONTMARS24!$A$6:$R$39,12,0)</f>
        <v>0</v>
      </c>
      <c r="Q37" s="2"/>
      <c r="R37" s="2">
        <f>VLOOKUP(A37,[16]TONTMARS24!$A$7:$P$20,10,0)</f>
        <v>0</v>
      </c>
      <c r="S37" s="6"/>
      <c r="T37" s="12"/>
      <c r="U37" s="17">
        <f t="shared" si="9"/>
        <v>153000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9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VLOOKUP(A38,[12]HISTOBQUEMARS24!$A$6:$G$46,3,0)</f>
        <v>125000</v>
      </c>
      <c r="E38" s="9">
        <f>VLOOKUP(A38,[12]HISTOBQUEMARS24!$A$6:$G$41,4,0)</f>
        <v>0</v>
      </c>
      <c r="F38" s="9">
        <f>VLOOKUP(A38,[12]HISTOBQUEMARS24!$A$6:$G$41,5,0)</f>
        <v>0</v>
      </c>
      <c r="G38" s="5">
        <f t="shared" si="7"/>
        <v>0</v>
      </c>
      <c r="H38" s="10" t="str">
        <f t="shared" si="0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f>VLOOKUP(A38,[14]TONTMARS24!$A$6:$R$39,12,0)</f>
        <v>0</v>
      </c>
      <c r="Q38" s="2">
        <f>VLOOKUP(A38,[15]TONTMARS24!$A$7:$P$23,10,0)</f>
        <v>0</v>
      </c>
      <c r="R38" s="2"/>
      <c r="S38" s="6"/>
      <c r="T38" s="12"/>
      <c r="U38" s="17">
        <f t="shared" si="9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9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31000</v>
      </c>
      <c r="D40" s="5">
        <f t="shared" si="16"/>
        <v>5307000</v>
      </c>
      <c r="E40" s="5">
        <f t="shared" si="16"/>
        <v>318500</v>
      </c>
      <c r="F40" s="5">
        <f t="shared" si="16"/>
        <v>500000</v>
      </c>
      <c r="G40" s="5">
        <f t="shared" si="16"/>
        <v>6000</v>
      </c>
      <c r="H40" s="5">
        <f t="shared" si="16"/>
        <v>0</v>
      </c>
      <c r="I40" s="5">
        <f t="shared" si="16"/>
        <v>129000</v>
      </c>
      <c r="J40" s="5">
        <f t="shared" si="16"/>
        <v>32</v>
      </c>
      <c r="K40" s="5">
        <f t="shared" si="16"/>
        <v>1600000</v>
      </c>
      <c r="L40" s="5">
        <f t="shared" si="16"/>
        <v>16</v>
      </c>
      <c r="M40" s="5">
        <f t="shared" si="16"/>
        <v>1200000</v>
      </c>
      <c r="N40" s="5">
        <f t="shared" si="16"/>
        <v>18</v>
      </c>
      <c r="O40" s="5">
        <f t="shared" si="16"/>
        <v>1800000</v>
      </c>
      <c r="P40" s="5">
        <f t="shared" si="16"/>
        <v>174000</v>
      </c>
      <c r="Q40" s="5">
        <f t="shared" si="16"/>
        <v>0</v>
      </c>
      <c r="R40" s="5">
        <f t="shared" si="16"/>
        <v>435500</v>
      </c>
      <c r="S40" s="5">
        <f t="shared" si="16"/>
        <v>750000</v>
      </c>
      <c r="T40" s="5"/>
      <c r="U40" s="5">
        <f t="shared" ref="U40:AA40" si="17">SUM(U6:U39)</f>
        <v>6094500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1050000</v>
      </c>
      <c r="AA40" s="5">
        <f t="shared" si="17"/>
        <v>0</v>
      </c>
      <c r="AB40" s="5"/>
      <c r="AC40" s="5">
        <f>SUM(AC6:AC39)</f>
        <v>45000</v>
      </c>
      <c r="AD40" s="5">
        <f>SUM(AD6:AD39)</f>
        <v>28000</v>
      </c>
      <c r="AE40" s="5">
        <f>SUM(AE6:AE39)</f>
        <v>70000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119000</v>
      </c>
      <c r="AJ40" s="5">
        <f t="shared" si="18"/>
        <v>189000</v>
      </c>
      <c r="AK40" s="5">
        <f t="shared" si="18"/>
        <v>1105500</v>
      </c>
      <c r="AL40" s="5">
        <f t="shared" si="18"/>
        <v>4500</v>
      </c>
      <c r="AM40" s="5">
        <f t="shared" si="18"/>
        <v>5000</v>
      </c>
      <c r="AN40" s="5">
        <f t="shared" si="18"/>
        <v>12000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929000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974000</v>
      </c>
      <c r="AX40" s="5">
        <f t="shared" si="18"/>
        <v>1061000</v>
      </c>
      <c r="AY40" s="5">
        <f t="shared" si="18"/>
        <v>2235500</v>
      </c>
      <c r="AZ40" s="5">
        <f t="shared" si="18"/>
        <v>5061000</v>
      </c>
      <c r="BA40" s="5">
        <f t="shared" si="18"/>
        <v>606500</v>
      </c>
      <c r="BB40" s="5">
        <f t="shared" si="18"/>
        <v>0</v>
      </c>
      <c r="BC40" s="5">
        <f t="shared" si="18"/>
        <v>0</v>
      </c>
      <c r="BD40" s="5">
        <f t="shared" si="18"/>
        <v>4400500</v>
      </c>
      <c r="BE40" s="5">
        <f t="shared" si="18"/>
        <v>37557195</v>
      </c>
      <c r="BF40" s="5">
        <f t="shared" si="18"/>
        <v>92500</v>
      </c>
      <c r="BH40" s="5">
        <f t="shared" ref="BH40:BL40" si="19">SUM(BH6:BH39)</f>
        <v>48000</v>
      </c>
      <c r="BI40" s="5">
        <f t="shared" si="19"/>
        <v>0</v>
      </c>
      <c r="BJ40" s="5">
        <f t="shared" si="19"/>
        <v>100000</v>
      </c>
      <c r="BK40" s="5">
        <f t="shared" si="19"/>
        <v>100000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100000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6"/>
      <c r="E44" s="86"/>
      <c r="F44" s="3" t="s">
        <v>9</v>
      </c>
      <c r="G44" s="86"/>
      <c r="H44" s="86"/>
      <c r="I44" s="86"/>
      <c r="Z44" s="12"/>
      <c r="AI44" s="5"/>
      <c r="AV44" s="3"/>
      <c r="AW44" s="86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5061000</v>
      </c>
      <c r="D47" s="9">
        <f>SUMIFS(D8:D40,H8:H40,"BANQUE")</f>
        <v>5076000</v>
      </c>
      <c r="F47" s="9">
        <f>E40</f>
        <v>318500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9590000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D6" sqref="D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VLOOKUP(A6,[12]HISTOBQUEMARS24!$A$6:$G$46,3,0)</f>
        <v>175000</v>
      </c>
      <c r="E6" s="9">
        <f>VLOOKUP(A6,[12]HISTOBQUEMARS24!$A$6:$G$41,4,0)</f>
        <v>0</v>
      </c>
      <c r="F6" s="9">
        <f>VLOOKUP(A6,[12]HISTOBQUEMARS24!$A$6:$G$41,5,0)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BANQUE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75000</v>
      </c>
      <c r="N6" s="6">
        <v>1</v>
      </c>
      <c r="O6" s="11">
        <f t="shared" ref="O6:O38" si="2">IF($D6&lt;&gt;0,N6*100000,IF($E6&lt;&gt;0,N6*100000,0))</f>
        <v>100000</v>
      </c>
      <c r="P6" s="2"/>
      <c r="Q6" s="2"/>
      <c r="R6" s="2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248000</v>
      </c>
      <c r="BA6" s="58"/>
      <c r="BB6" s="58"/>
      <c r="BC6" s="15"/>
      <c r="BD6" s="57">
        <f>IF(AZ6=0,(AZ6-BA6-BC6),(AZ6-BA6-BB6-BC6))</f>
        <v>248000</v>
      </c>
      <c r="BE6" s="82"/>
      <c r="BF6" s="29">
        <f t="shared" ref="BF6:BF38" si="5">Z6*1/100*BG6</f>
        <v>0</v>
      </c>
      <c r="BG6" s="29">
        <v>9</v>
      </c>
      <c r="BH6" s="15">
        <f>BP16</f>
        <v>48000</v>
      </c>
      <c r="BI6" s="15">
        <f>BP28</f>
        <v>0</v>
      </c>
      <c r="BJ6" s="15">
        <f>BP33</f>
        <v>100000</v>
      </c>
      <c r="BK6" s="15">
        <f>+BP40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6000</v>
      </c>
      <c r="D7" s="9">
        <f>VLOOKUP(A7,[12]HISTOBQUEMARS24!$A$6:$G$46,3,0)</f>
        <v>56000</v>
      </c>
      <c r="E7" s="9">
        <f>VLOOKUP(A7,[12]HISTOBQUEMARS24!$A$6:$G$41,4,0)</f>
        <v>61000</v>
      </c>
      <c r="F7" s="9">
        <f>VLOOKUP(A7,[12]HISTOBQUEMARS24!$A$6:$G$41,5,0)</f>
        <v>0</v>
      </c>
      <c r="G7" s="5">
        <f t="shared" ref="G7:G38" si="7">IF(H7="ESPECES",3000,0)</f>
        <v>0</v>
      </c>
      <c r="H7" s="10" t="str">
        <f t="shared" si="0"/>
        <v>BANQUE</v>
      </c>
      <c r="I7" s="10"/>
      <c r="J7" s="11">
        <v>1</v>
      </c>
      <c r="K7" s="11">
        <f t="shared" ref="K7:K38" si="8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VLOOKUP(A7,[14]TONTMARS24!$A$6:$R$39,12,0)</f>
        <v>61000</v>
      </c>
      <c r="Q7" s="2"/>
      <c r="R7" s="2"/>
      <c r="S7" s="20"/>
      <c r="T7" s="12"/>
      <c r="U7" s="17">
        <f t="shared" ref="U7:U38" si="9">G7+S7++R7+P7+O7+M7+I7+K7+Q7+V7+W7</f>
        <v>111000</v>
      </c>
      <c r="V7" s="12"/>
      <c r="W7" s="12"/>
      <c r="X7" s="12"/>
      <c r="Y7" s="12"/>
      <c r="Z7" s="12"/>
      <c r="AA7" s="12"/>
      <c r="AB7" s="12"/>
      <c r="AC7" s="12">
        <v>10000</v>
      </c>
      <c r="AD7" s="12"/>
      <c r="AE7" s="12"/>
      <c r="AF7" s="12" t="s">
        <v>8</v>
      </c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25000</v>
      </c>
      <c r="AT7" s="15"/>
      <c r="AV7" s="15"/>
      <c r="AW7" s="15">
        <f t="shared" ref="AW7:AW38" si="11">IF(AC7=0,AI7,(1*25000*12)+AI7-AC7)</f>
        <v>290000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284000</v>
      </c>
      <c r="BA7" s="58"/>
      <c r="BB7" s="58"/>
      <c r="BC7" s="15"/>
      <c r="BD7" s="57">
        <f>IF(AZ7=0,(AZ7-BA7-BC7),(AZ7-BA7-BB7-BC7))+6000</f>
        <v>290000</v>
      </c>
      <c r="BE7" s="82">
        <v>2889015</v>
      </c>
      <c r="BF7" s="29">
        <f>Z7*1/100*BG7+6000</f>
        <v>6000</v>
      </c>
      <c r="BG7" s="29">
        <v>9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25000</v>
      </c>
      <c r="D8" s="9">
        <f>VLOOKUP(A8,[12]HISTOBQUEMARS24!$A$6:$G$46,3,0)</f>
        <v>150000</v>
      </c>
      <c r="E8" s="9">
        <f>VLOOKUP(A8,[12]HISTOBQUEMARS24!$A$6:$G$41,4,0)</f>
        <v>0</v>
      </c>
      <c r="F8" s="9">
        <f>VLOOKUP(A8,[12]HISTOBQUEMARS24!$A$6:$G$41,5,0)</f>
        <v>0</v>
      </c>
      <c r="G8" s="5">
        <f t="shared" si="7"/>
        <v>0</v>
      </c>
      <c r="H8" s="10" t="str">
        <f t="shared" si="0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VLOOKUP(A8,[14]TONTMARS24!$A$6:$R$39,12,0)</f>
        <v>0</v>
      </c>
      <c r="Q8" s="2">
        <f>VLOOKUP(A8,[15]TONTMARS24!$A$7:$P$23,10,0)</f>
        <v>0</v>
      </c>
      <c r="R8" s="2"/>
      <c r="S8" s="20"/>
      <c r="T8" s="12"/>
      <c r="U8" s="17">
        <f t="shared" si="9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25000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>SUM(AV8:AY8)-BF8+Z8-F8+BH8+BI8+BJ8+BK8+BL8+BM8+25000</f>
        <v>0</v>
      </c>
      <c r="BA8" s="58"/>
      <c r="BB8" s="58"/>
      <c r="BC8" s="15"/>
      <c r="BD8" s="57">
        <f>IF(AZ8=0,(AZ8-BA8-BC8),(AZ8-BA8-BB8-BC8))</f>
        <v>0</v>
      </c>
      <c r="BE8" s="82"/>
      <c r="BF8" s="29">
        <f>Z8*1/100*BG8+25000</f>
        <v>25000</v>
      </c>
      <c r="BG8" s="29">
        <v>9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VLOOKUP(A9,[12]HISTOBQUEMARS24!$A$6:$G$46,3,0)</f>
        <v>250000</v>
      </c>
      <c r="E9" s="9">
        <f>VLOOKUP(A9,[12]HISTOBQUEMARS24!$A$6:$G$41,4,0)</f>
        <v>0</v>
      </c>
      <c r="F9" s="9">
        <f>VLOOKUP(A9,[12]HISTOBQUEMARS24!$A$6:$G$41,5,0)</f>
        <v>0</v>
      </c>
      <c r="G9" s="5">
        <f t="shared" si="7"/>
        <v>0</v>
      </c>
      <c r="H9" s="10" t="str">
        <f t="shared" si="0"/>
        <v>BANQUE</v>
      </c>
      <c r="I9" s="10"/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VLOOKUP(A9,[14]TONTMARS24!$A$6:$R$39,12,0)</f>
        <v>0</v>
      </c>
      <c r="Q9" s="2"/>
      <c r="R9" s="2">
        <f>VLOOKUP(A9,[16]TONTMARS24!$A$7:$P$20,10,0)</f>
        <v>0</v>
      </c>
      <c r="S9" s="20"/>
      <c r="T9" s="12"/>
      <c r="U9" s="17">
        <f t="shared" si="9"/>
        <v>250000</v>
      </c>
      <c r="V9" s="12"/>
      <c r="W9" s="12"/>
      <c r="X9" s="12"/>
      <c r="Y9" s="12"/>
      <c r="Z9" s="12"/>
      <c r="AA9" s="12"/>
      <c r="AB9" s="12"/>
      <c r="AC9" s="12">
        <v>18000</v>
      </c>
      <c r="AD9" s="12"/>
      <c r="AE9" s="12"/>
      <c r="AF9" s="12" t="s">
        <v>8</v>
      </c>
      <c r="AG9" s="12"/>
      <c r="AH9" s="12"/>
      <c r="AI9" s="12"/>
      <c r="AJ9" s="12"/>
      <c r="AK9" s="12">
        <v>205500</v>
      </c>
      <c r="AL9" s="12"/>
      <c r="AM9" s="12"/>
      <c r="AN9" s="12">
        <v>2000</v>
      </c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25000</v>
      </c>
      <c r="AT9" s="15"/>
      <c r="AV9" s="15"/>
      <c r="AW9" s="15">
        <f t="shared" si="11"/>
        <v>282000</v>
      </c>
      <c r="AX9" s="15">
        <f t="shared" si="12"/>
        <v>0</v>
      </c>
      <c r="AY9" s="15">
        <f t="shared" si="13"/>
        <v>205500</v>
      </c>
      <c r="AZ9" s="16">
        <f t="shared" si="14"/>
        <v>487500</v>
      </c>
      <c r="BA9" s="58">
        <v>282000</v>
      </c>
      <c r="BB9" s="58"/>
      <c r="BC9" s="15"/>
      <c r="BD9" s="57">
        <f t="shared" ref="BD9:BD38" si="15">IF(AZ9=0,(AZ9-BA9-BC9),(AZ9-BA9-BB9-BC9))</f>
        <v>205500</v>
      </c>
      <c r="BE9" s="82">
        <v>2889015</v>
      </c>
      <c r="BF9" s="29">
        <f t="shared" si="5"/>
        <v>0</v>
      </c>
      <c r="BG9" s="29">
        <v>9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VLOOKUP(A10,[12]HISTOBQUEMARS24!$A$6:$G$46,3,0)</f>
        <v>180000</v>
      </c>
      <c r="E10" s="9">
        <f>VLOOKUP(A10,[12]HISTOBQUEMARS24!$A$6:$G$41,4,0)</f>
        <v>0</v>
      </c>
      <c r="F10" s="9">
        <f>VLOOKUP(A10,[12]HISTOBQUEMARS24!$A$6:$G$41,5,0)</f>
        <v>0</v>
      </c>
      <c r="G10" s="5">
        <f t="shared" si="7"/>
        <v>0</v>
      </c>
      <c r="H10" s="10" t="str">
        <f t="shared" si="0"/>
        <v>BANQUE</v>
      </c>
      <c r="I10" s="10">
        <v>-6000</v>
      </c>
      <c r="J10" s="11">
        <v>1</v>
      </c>
      <c r="K10" s="11">
        <f t="shared" si="8"/>
        <v>50000</v>
      </c>
      <c r="L10" s="6">
        <v>1</v>
      </c>
      <c r="M10" s="11">
        <f t="shared" si="1"/>
        <v>75000</v>
      </c>
      <c r="N10" s="6"/>
      <c r="O10" s="11">
        <f t="shared" si="2"/>
        <v>0</v>
      </c>
      <c r="P10" s="2">
        <f>VLOOKUP(A10,[14]TONTMARS24!$A$6:$R$39,12,0)</f>
        <v>61000</v>
      </c>
      <c r="Q10" s="2">
        <f>VLOOKUP(A10,[15]TONTMARS24!$A$7:$P$23,10,0)</f>
        <v>0</v>
      </c>
      <c r="R10" s="2"/>
      <c r="S10" s="20"/>
      <c r="T10" s="12"/>
      <c r="U10" s="17">
        <f t="shared" si="9"/>
        <v>180000</v>
      </c>
      <c r="V10" s="12"/>
      <c r="W10" s="12"/>
      <c r="X10" s="12"/>
      <c r="Y10" s="12"/>
      <c r="Z10" s="12"/>
      <c r="AA10" s="12"/>
      <c r="AB10" s="12"/>
      <c r="AC10" s="12"/>
      <c r="AD10" s="12">
        <v>28000</v>
      </c>
      <c r="AE10" s="12"/>
      <c r="AF10" s="12" t="s">
        <v>8</v>
      </c>
      <c r="AG10" s="12"/>
      <c r="AH10" s="12"/>
      <c r="AI10" s="12">
        <v>39000</v>
      </c>
      <c r="AJ10" s="12"/>
      <c r="AK10" s="12"/>
      <c r="AL10" s="12">
        <v>1000</v>
      </c>
      <c r="AM10" s="12"/>
      <c r="AN10" s="12"/>
      <c r="AO10" s="12"/>
      <c r="AP10" s="12" t="s">
        <v>8</v>
      </c>
      <c r="AQ10" s="8">
        <f t="shared" si="3"/>
        <v>0</v>
      </c>
      <c r="AR10" s="8">
        <f t="shared" si="4"/>
        <v>0</v>
      </c>
      <c r="AS10" s="13">
        <f t="shared" si="10"/>
        <v>19000</v>
      </c>
      <c r="AT10" s="15"/>
      <c r="AV10" s="15"/>
      <c r="AW10" s="15">
        <f t="shared" si="11"/>
        <v>39000</v>
      </c>
      <c r="AX10" s="15">
        <f t="shared" si="12"/>
        <v>872000</v>
      </c>
      <c r="AY10" s="15">
        <f t="shared" si="13"/>
        <v>0</v>
      </c>
      <c r="AZ10" s="16">
        <f t="shared" si="14"/>
        <v>911000</v>
      </c>
      <c r="BA10" s="58">
        <v>39000</v>
      </c>
      <c r="BB10" s="58"/>
      <c r="BC10" s="15"/>
      <c r="BD10" s="57">
        <f t="shared" si="15"/>
        <v>872000</v>
      </c>
      <c r="BE10" s="82">
        <v>2889015</v>
      </c>
      <c r="BF10" s="29">
        <f t="shared" si="5"/>
        <v>0</v>
      </c>
      <c r="BG10" s="29">
        <v>9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VLOOKUP(A11,[12]HISTOBQUEMARS24!$A$6:$G$46,3,0)</f>
        <v>125000</v>
      </c>
      <c r="E11" s="9">
        <f>VLOOKUP(A11,[12]HISTOBQUEMARS24!$A$6:$G$41,4,0)</f>
        <v>0</v>
      </c>
      <c r="F11" s="9">
        <f>VLOOKUP(A11,[12]HISTOBQUEMARS24!$A$6:$G$41,5,0)</f>
        <v>0</v>
      </c>
      <c r="G11" s="5">
        <f t="shared" si="7"/>
        <v>0</v>
      </c>
      <c r="H11" s="10" t="str">
        <f t="shared" si="0"/>
        <v>BANQUE</v>
      </c>
      <c r="I11" s="10"/>
      <c r="J11" s="11">
        <v>1</v>
      </c>
      <c r="K11" s="11">
        <f t="shared" si="8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f>VLOOKUP(A11,[14]TONTMARS24!$A$6:$R$39,12,0)</f>
        <v>0</v>
      </c>
      <c r="Q11" s="2">
        <f>VLOOKUP(A11,[15]TONTMARS24!$A$7:$P$23,10,0)</f>
        <v>0</v>
      </c>
      <c r="R11" s="2"/>
      <c r="S11" s="20"/>
      <c r="T11" s="12"/>
      <c r="U11" s="17">
        <f t="shared" si="9"/>
        <v>125000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40000</v>
      </c>
      <c r="AJ11" s="12">
        <v>100000</v>
      </c>
      <c r="AK11" s="12"/>
      <c r="AL11" s="12">
        <v>1000</v>
      </c>
      <c r="AM11" s="12">
        <v>3000</v>
      </c>
      <c r="AN11" s="12"/>
      <c r="AO11" s="12"/>
      <c r="AP11" s="12" t="s">
        <v>8</v>
      </c>
      <c r="AQ11" s="8">
        <f t="shared" si="3"/>
        <v>0</v>
      </c>
      <c r="AR11" s="8">
        <f t="shared" si="4"/>
        <v>0</v>
      </c>
      <c r="AS11" s="13">
        <f t="shared" si="10"/>
        <v>25000</v>
      </c>
      <c r="AT11" s="15"/>
      <c r="AV11" s="15"/>
      <c r="AW11" s="15">
        <f t="shared" si="11"/>
        <v>40000</v>
      </c>
      <c r="AX11" s="15">
        <f t="shared" si="12"/>
        <v>100000</v>
      </c>
      <c r="AY11" s="15">
        <f t="shared" si="13"/>
        <v>0</v>
      </c>
      <c r="AZ11" s="16">
        <f t="shared" si="14"/>
        <v>140000</v>
      </c>
      <c r="BA11" s="58">
        <v>100000</v>
      </c>
      <c r="BB11" s="58"/>
      <c r="BC11" s="15"/>
      <c r="BD11" s="57">
        <f t="shared" si="15"/>
        <v>40000</v>
      </c>
      <c r="BE11" s="82">
        <v>2889015</v>
      </c>
      <c r="BF11" s="29">
        <f t="shared" si="5"/>
        <v>0</v>
      </c>
      <c r="BG11" s="29">
        <v>9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>
        <v>30000</v>
      </c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VLOOKUP(A12,[12]HISTOBQUEMARS24!$A$6:$G$46,3,0)</f>
        <v>462000</v>
      </c>
      <c r="E12" s="9">
        <f>VLOOKUP(A12,[12]HISTOBQUEMARS24!$A$6:$G$41,4,0)</f>
        <v>0</v>
      </c>
      <c r="F12" s="9">
        <f>VLOOKUP(A12,[12]HISTOBQUEMARS24!$A$6:$G$41,5,0)</f>
        <v>0</v>
      </c>
      <c r="G12" s="5">
        <f t="shared" si="7"/>
        <v>0</v>
      </c>
      <c r="H12" s="10" t="str">
        <f t="shared" si="0"/>
        <v>BANQUE</v>
      </c>
      <c r="I12" s="10">
        <v>5000</v>
      </c>
      <c r="J12" s="11">
        <v>1</v>
      </c>
      <c r="K12" s="11">
        <f t="shared" si="8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f>VLOOKUP(A12,[14]TONTMARS24!$A$6:$R$39,12,0)</f>
        <v>0</v>
      </c>
      <c r="Q12" s="2">
        <f>VLOOKUP(A12,[15]TONTMARS24!$A$7:$P$23,10,0)</f>
        <v>0</v>
      </c>
      <c r="R12" s="2">
        <f>VLOOKUP(A12,[16]TONTMARS24!$A$7:$P$20,10,0)</f>
        <v>132000</v>
      </c>
      <c r="S12" s="20"/>
      <c r="T12" s="12"/>
      <c r="U12" s="17">
        <f t="shared" si="9"/>
        <v>462000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 t="s">
        <v>8</v>
      </c>
      <c r="AQ12" s="8">
        <f t="shared" si="3"/>
        <v>0</v>
      </c>
      <c r="AR12" s="8">
        <f t="shared" si="4"/>
        <v>0</v>
      </c>
      <c r="AS12" s="13">
        <f t="shared" si="10"/>
        <v>30000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9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VLOOKUP(A13,[12]HISTOBQUEMARS24!$A$6:$G$46,3,0)</f>
        <v>50000</v>
      </c>
      <c r="E13" s="9">
        <f>VLOOKUP(A13,[12]HISTOBQUEMARS24!$A$6:$G$41,4,0)</f>
        <v>0</v>
      </c>
      <c r="F13" s="9">
        <f>VLOOKUP(A13,[12]HISTOBQUEMARS24!$A$6:$G$41,5,0)</f>
        <v>0</v>
      </c>
      <c r="G13" s="5">
        <f t="shared" si="7"/>
        <v>0</v>
      </c>
      <c r="H13" s="10" t="str">
        <f t="shared" si="0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VLOOKUP(A13,[14]TONTMARS24!$A$6:$R$39,12,0)</f>
        <v>0</v>
      </c>
      <c r="Q13" s="2"/>
      <c r="R13" s="2"/>
      <c r="S13" s="20"/>
      <c r="T13" s="12"/>
      <c r="U13" s="17">
        <f t="shared" si="9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9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18000</v>
      </c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VLOOKUP(A14,[12]HISTOBQUEMARS24!$A$6:$G$46,3,0)</f>
        <v>50000</v>
      </c>
      <c r="E14" s="9">
        <f>VLOOKUP(A14,[12]HISTOBQUEMARS24!$A$6:$G$41,4,0)</f>
        <v>0</v>
      </c>
      <c r="F14" s="9">
        <f>VLOOKUP(A14,[12]HISTOBQUEMARS24!$A$6:$G$41,5,0)</f>
        <v>0</v>
      </c>
      <c r="G14" s="5">
        <f t="shared" si="7"/>
        <v>0</v>
      </c>
      <c r="H14" s="10" t="str">
        <f t="shared" si="0"/>
        <v>BANQUE</v>
      </c>
      <c r="I14" s="10"/>
      <c r="J14" s="11">
        <v>1</v>
      </c>
      <c r="K14" s="11">
        <f t="shared" si="8"/>
        <v>50000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VLOOKUP(A14,[14]TONTMARS24!$A$6:$R$39,12,0)</f>
        <v>0</v>
      </c>
      <c r="Q14" s="2"/>
      <c r="R14" s="2"/>
      <c r="S14" s="20"/>
      <c r="T14" s="12"/>
      <c r="U14" s="17">
        <f t="shared" si="9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25000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9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VLOOKUP(A15,[12]HISTOBQUEMARS24!$A$6:$G$46,3,0)</f>
        <v>125000</v>
      </c>
      <c r="E15" s="9">
        <f>VLOOKUP(A15,[12]HISTOBQUEMARS24!$A$6:$G$41,4,0)</f>
        <v>0</v>
      </c>
      <c r="F15" s="9">
        <f>VLOOKUP(A15,[12]HISTOBQUEMARS24!$A$6:$G$41,5,0)</f>
        <v>0</v>
      </c>
      <c r="G15" s="5">
        <f t="shared" si="7"/>
        <v>0</v>
      </c>
      <c r="H15" s="10" t="str">
        <f t="shared" si="0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f>VLOOKUP(A15,[14]TONTMARS24!$A$6:$R$39,12,0)</f>
        <v>0</v>
      </c>
      <c r="Q15" s="2">
        <f>VLOOKUP(A15,[15]TONTMARS24!$A$7:$P$23,10,0)</f>
        <v>0</v>
      </c>
      <c r="R15" s="2"/>
      <c r="S15" s="20"/>
      <c r="T15" s="12"/>
      <c r="U15" s="17">
        <f t="shared" si="9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9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VLOOKUP(A16,[12]HISTOBQUEMARS24!$A$6:$G$46,3,0)</f>
        <v>260000</v>
      </c>
      <c r="E16" s="9">
        <f>VLOOKUP(A16,[12]HISTOBQUEMARS24!$A$6:$G$41,4,0)</f>
        <v>0</v>
      </c>
      <c r="F16" s="9">
        <f>VLOOKUP(A16,[12]HISTOBQUEMARS24!$A$6:$G$41,5,0)</f>
        <v>0</v>
      </c>
      <c r="G16" s="5">
        <f t="shared" si="7"/>
        <v>0</v>
      </c>
      <c r="H16" s="10" t="str">
        <f t="shared" si="0"/>
        <v>BANQUE</v>
      </c>
      <c r="I16" s="10">
        <v>35000</v>
      </c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f>VLOOKUP(A16,[14]TONTMARS24!$A$6:$R$39,12,0)</f>
        <v>0</v>
      </c>
      <c r="Q16" s="2">
        <f>VLOOKUP(A16,[15]TONTMARS24!$A$7:$P$23,10,0)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260000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60000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9</v>
      </c>
      <c r="BH16" s="15"/>
      <c r="BI16" s="15"/>
      <c r="BJ16" s="15"/>
      <c r="BK16" s="15"/>
      <c r="BL16" s="61"/>
      <c r="BN16" s="62" t="s">
        <v>142</v>
      </c>
      <c r="BP16" s="62">
        <f>SUM(BP6:BP15)</f>
        <v>48000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VLOOKUP(A17,[12]HISTOBQUEMARS24!$A$6:$G$46,3,0)</f>
        <v>150000</v>
      </c>
      <c r="E17" s="9">
        <f>VLOOKUP(A17,[12]HISTOBQUEMARS24!$A$6:$G$41,4,0)</f>
        <v>0</v>
      </c>
      <c r="F17" s="9">
        <f>VLOOKUP(A17,[12]HISTOBQUEMARS24!$A$6:$G$41,5,0)</f>
        <v>500000</v>
      </c>
      <c r="G17" s="5">
        <f t="shared" si="7"/>
        <v>0</v>
      </c>
      <c r="H17" s="10" t="str">
        <f t="shared" si="0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f>VLOOKUP(A17,[14]TONTMARS24!$A$6:$R$39,12,0)</f>
        <v>0</v>
      </c>
      <c r="Q17" s="2"/>
      <c r="R17" s="2">
        <f>VLOOKUP(A17,[16]TONTMARS24!$A$7:$P$20,10,0)</f>
        <v>0</v>
      </c>
      <c r="S17" s="20">
        <v>500000</v>
      </c>
      <c r="T17" s="12" t="s">
        <v>8</v>
      </c>
      <c r="U17" s="17">
        <f t="shared" si="9"/>
        <v>650000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>
        <v>70000</v>
      </c>
      <c r="AF17" s="12" t="s">
        <v>8</v>
      </c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25000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1130000</v>
      </c>
      <c r="AZ17" s="16">
        <f t="shared" si="14"/>
        <v>630000</v>
      </c>
      <c r="BA17" s="58"/>
      <c r="BB17" s="58"/>
      <c r="BC17" s="15"/>
      <c r="BD17" s="57">
        <f t="shared" si="15"/>
        <v>630000</v>
      </c>
      <c r="BE17" s="82">
        <v>2889015</v>
      </c>
      <c r="BF17" s="29">
        <f t="shared" si="5"/>
        <v>0</v>
      </c>
      <c r="BG17" s="29">
        <v>9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VLOOKUP(A18,[12]HISTOBQUEMARS24!$A$6:$G$46,3,0)</f>
        <v>160000</v>
      </c>
      <c r="E18" s="9">
        <f>VLOOKUP(A18,[12]HISTOBQUEMARS24!$A$6:$G$41,4,0)</f>
        <v>0</v>
      </c>
      <c r="F18" s="9">
        <f>VLOOKUP(A18,[12]HISTOBQUEMARS24!$A$6:$G$41,5,0)</f>
        <v>0</v>
      </c>
      <c r="G18" s="5">
        <f t="shared" si="7"/>
        <v>0</v>
      </c>
      <c r="H18" s="10" t="str">
        <f t="shared" si="0"/>
        <v>BANQUE</v>
      </c>
      <c r="I18" s="10">
        <v>10000</v>
      </c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VLOOKUP(A18,[14]TONTMARS24!$A$6:$R$39,12,0)</f>
        <v>0</v>
      </c>
      <c r="Q18" s="2"/>
      <c r="R18" s="2">
        <f>VLOOKUP(A18,[16]TONTMARS24!$A$7:$P$20,10,0)</f>
        <v>0</v>
      </c>
      <c r="S18" s="20"/>
      <c r="T18" s="12"/>
      <c r="U18" s="17">
        <f t="shared" si="9"/>
        <v>160000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200000</v>
      </c>
      <c r="AL18" s="12"/>
      <c r="AM18" s="12"/>
      <c r="AN18" s="12">
        <v>2000</v>
      </c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35000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200000</v>
      </c>
      <c r="AZ18" s="16">
        <f t="shared" si="14"/>
        <v>200000</v>
      </c>
      <c r="BA18" s="58"/>
      <c r="BB18" s="58"/>
      <c r="BC18" s="15"/>
      <c r="BD18" s="57">
        <f t="shared" si="15"/>
        <v>200000</v>
      </c>
      <c r="BE18" s="82">
        <v>2889015</v>
      </c>
      <c r="BF18" s="29">
        <f t="shared" si="5"/>
        <v>0</v>
      </c>
      <c r="BG18" s="29">
        <v>9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VLOOKUP(A19,[12]HISTOBQUEMARS24!$A$6:$G$46,3,0)</f>
        <v>50000</v>
      </c>
      <c r="E19" s="9">
        <f>VLOOKUP(A19,[12]HISTOBQUEMARS24!$A$6:$G$41,4,0)</f>
        <v>0</v>
      </c>
      <c r="F19" s="9">
        <f>VLOOKUP(A19,[12]HISTOBQUEMARS24!$A$6:$G$41,5,0)</f>
        <v>0</v>
      </c>
      <c r="G19" s="5">
        <f t="shared" si="7"/>
        <v>0</v>
      </c>
      <c r="H19" s="10" t="str">
        <f t="shared" si="0"/>
        <v>BANQUE</v>
      </c>
      <c r="I19" s="10"/>
      <c r="J19" s="11">
        <v>1</v>
      </c>
      <c r="K19" s="11">
        <f t="shared" si="8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VLOOKUP(A19,[14]TONTMARS24!$A$6:$R$39,12,0)</f>
        <v>0</v>
      </c>
      <c r="Q19" s="2"/>
      <c r="R19" s="2"/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9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VLOOKUP(A20,[12]HISTOBQUEMARS24!$A$6:$G$46,3,0)</f>
        <v>427000</v>
      </c>
      <c r="E20" s="9">
        <f>VLOOKUP(A20,[12]HISTOBQUEMARS24!$A$6:$G$41,4,0)</f>
        <v>0</v>
      </c>
      <c r="F20" s="9">
        <f>VLOOKUP(A20,[12]HISTOBQUEMARS24!$A$6:$G$41,5,0)</f>
        <v>0</v>
      </c>
      <c r="G20" s="5">
        <f t="shared" si="7"/>
        <v>0</v>
      </c>
      <c r="H20" s="10" t="str">
        <f t="shared" si="0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f>VLOOKUP(A20,[14]TONTMARS24!$A$6:$R$39,12,0)</f>
        <v>0</v>
      </c>
      <c r="Q20" s="2">
        <f>VLOOKUP(A20,[15]TONTMARS24!$A$7:$P$23,10,0)</f>
        <v>0</v>
      </c>
      <c r="R20" s="2">
        <f>VLOOKUP(A20,[16]TONTMARS24!$A$7:$P$20,10,0)</f>
        <v>202000</v>
      </c>
      <c r="S20" s="20"/>
      <c r="T20" s="12"/>
      <c r="U20" s="17">
        <f t="shared" si="9"/>
        <v>427000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89000</v>
      </c>
      <c r="AK20" s="12">
        <v>200000</v>
      </c>
      <c r="AL20" s="12"/>
      <c r="AM20" s="12">
        <v>2000</v>
      </c>
      <c r="AN20" s="12">
        <v>2000</v>
      </c>
      <c r="AO20" s="12"/>
      <c r="AP20" s="12" t="s">
        <v>8</v>
      </c>
      <c r="AQ20" s="8">
        <f t="shared" si="3"/>
        <v>0</v>
      </c>
      <c r="AR20" s="8">
        <f t="shared" si="4"/>
        <v>0</v>
      </c>
      <c r="AS20" s="13">
        <f t="shared" si="10"/>
        <v>25000</v>
      </c>
      <c r="AT20" s="15"/>
      <c r="AV20" s="15"/>
      <c r="AW20" s="15">
        <f t="shared" si="11"/>
        <v>0</v>
      </c>
      <c r="AX20" s="15">
        <f t="shared" si="12"/>
        <v>89000</v>
      </c>
      <c r="AY20" s="15">
        <f t="shared" si="13"/>
        <v>200000</v>
      </c>
      <c r="AZ20" s="16">
        <f t="shared" si="14"/>
        <v>289000</v>
      </c>
      <c r="BA20" s="58">
        <f>89000+56500</f>
        <v>145500</v>
      </c>
      <c r="BB20" s="58"/>
      <c r="BC20" s="15"/>
      <c r="BD20" s="57">
        <f t="shared" si="15"/>
        <v>143500</v>
      </c>
      <c r="BE20" s="82">
        <v>2889015</v>
      </c>
      <c r="BF20" s="29">
        <f t="shared" si="5"/>
        <v>0</v>
      </c>
      <c r="BG20" s="29">
        <v>9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VLOOKUP(A21,[12]HISTOBQUEMARS24!$A$6:$G$46,3,0)</f>
        <v>50000</v>
      </c>
      <c r="E21" s="9">
        <f>VLOOKUP(A21,[12]HISTOBQUEMARS24!$A$6:$G$41,4,0)</f>
        <v>0</v>
      </c>
      <c r="F21" s="9">
        <f>VLOOKUP(A21,[12]HISTOBQUEMARS24!$A$6:$G$41,5,0)</f>
        <v>0</v>
      </c>
      <c r="G21" s="5">
        <f t="shared" si="7"/>
        <v>0</v>
      </c>
      <c r="H21" s="10" t="str">
        <f t="shared" si="0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VLOOKUP(A21,[14]TONTMARS24!$A$6:$R$39,12,0)</f>
        <v>0</v>
      </c>
      <c r="Q21" s="2"/>
      <c r="R21" s="2"/>
      <c r="S21" s="20"/>
      <c r="T21" s="12"/>
      <c r="U21" s="17">
        <f t="shared" si="9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9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VLOOKUP(A22,[12]HISTOBQUEMARS24!$A$6:$G$46,3,0)</f>
        <v>125000</v>
      </c>
      <c r="E22" s="9">
        <f>VLOOKUP(A22,[12]HISTOBQUEMARS24!$A$6:$G$41,4,0)</f>
        <v>0</v>
      </c>
      <c r="F22" s="9">
        <f>VLOOKUP(A22,[12]HISTOBQUEMARS24!$A$6:$G$41,5,0)</f>
        <v>0</v>
      </c>
      <c r="G22" s="5">
        <f t="shared" si="7"/>
        <v>0</v>
      </c>
      <c r="H22" s="10" t="str">
        <f t="shared" si="0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f>VLOOKUP(A22,[14]TONTMARS24!$A$6:$R$39,12,0)</f>
        <v>0</v>
      </c>
      <c r="Q22" s="2">
        <f>VLOOKUP(A22,[15]TONTMARS24!$A$7:$P$23,10,0)</f>
        <v>0</v>
      </c>
      <c r="R22" s="2"/>
      <c r="S22" s="20"/>
      <c r="T22" s="12"/>
      <c r="U22" s="17">
        <f t="shared" si="9"/>
        <v>125000</v>
      </c>
      <c r="V22" s="12"/>
      <c r="W22" s="12"/>
      <c r="X22" s="12"/>
      <c r="Y22" s="12"/>
      <c r="Z22" s="12"/>
      <c r="AA22" s="12"/>
      <c r="AB22" s="12"/>
      <c r="AC22" s="12">
        <v>17000</v>
      </c>
      <c r="AD22" s="12"/>
      <c r="AE22" s="12"/>
      <c r="AF22" s="12" t="s">
        <v>8</v>
      </c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25000</v>
      </c>
      <c r="AT22" s="15"/>
      <c r="AV22" s="15"/>
      <c r="AW22" s="15">
        <f t="shared" si="11"/>
        <v>283000</v>
      </c>
      <c r="AX22" s="15">
        <f t="shared" si="12"/>
        <v>0</v>
      </c>
      <c r="AY22" s="15">
        <f t="shared" si="13"/>
        <v>0</v>
      </c>
      <c r="AZ22" s="16">
        <f t="shared" si="14"/>
        <v>283000</v>
      </c>
      <c r="BA22" s="58"/>
      <c r="BB22" s="58"/>
      <c r="BC22" s="15"/>
      <c r="BD22" s="57">
        <f t="shared" si="15"/>
        <v>283000</v>
      </c>
      <c r="BE22" s="82">
        <v>2889015</v>
      </c>
      <c r="BF22" s="29">
        <f t="shared" si="5"/>
        <v>0</v>
      </c>
      <c r="BG22" s="29">
        <v>9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VLOOKUP(A23,[12]HISTOBQUEMARS24!$A$6:$G$46,3,0)</f>
        <v>260000</v>
      </c>
      <c r="E23" s="9">
        <f>VLOOKUP(A23,[12]HISTOBQUEMARS24!$A$6:$G$41,4,0)</f>
        <v>0</v>
      </c>
      <c r="F23" s="9">
        <f>VLOOKUP(A23,[12]HISTOBQUEMARS24!$A$6:$G$41,5,0)</f>
        <v>0</v>
      </c>
      <c r="G23" s="5">
        <f t="shared" si="7"/>
        <v>0</v>
      </c>
      <c r="H23" s="10" t="str">
        <f t="shared" si="0"/>
        <v>BANQUE</v>
      </c>
      <c r="I23" s="10">
        <v>10000</v>
      </c>
      <c r="J23" s="11">
        <v>1</v>
      </c>
      <c r="K23" s="11">
        <f t="shared" si="8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f>VLOOKUP(A23,[14]TONTMARS24!$A$6:$R$39,12,0)</f>
        <v>0</v>
      </c>
      <c r="Q23" s="2"/>
      <c r="R23" s="2">
        <f>VLOOKUP(A23,[16]TONTMARS24!$A$7:$P$20,10,0)</f>
        <v>0</v>
      </c>
      <c r="S23" s="20"/>
      <c r="T23" s="12"/>
      <c r="U23" s="17">
        <f t="shared" si="9"/>
        <v>260000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35000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200000</v>
      </c>
      <c r="AZ23" s="16">
        <f t="shared" si="14"/>
        <v>200000</v>
      </c>
      <c r="BA23" s="58"/>
      <c r="BB23" s="58"/>
      <c r="BC23" s="15"/>
      <c r="BD23" s="57">
        <f>IF(AZ23=0,(AZ23-BA23-BC23),(AZ23-BA23-BB23-BC23))-30000</f>
        <v>170000</v>
      </c>
      <c r="BE23" s="82">
        <v>2889015</v>
      </c>
      <c r="BF23" s="29">
        <f t="shared" si="5"/>
        <v>0</v>
      </c>
      <c r="BG23" s="29">
        <v>9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VLOOKUP(A24,[12]HISTOBQUEMARS24!$A$6:$G$46,3,0)</f>
        <v>240000</v>
      </c>
      <c r="E24" s="9">
        <f>VLOOKUP(A24,[12]HISTOBQUEMARS24!$A$6:$G$41,4,0)</f>
        <v>0</v>
      </c>
      <c r="F24" s="9">
        <f>VLOOKUP(A24,[12]HISTOBQUEMARS24!$A$6:$G$41,5,0)</f>
        <v>0</v>
      </c>
      <c r="G24" s="5">
        <f t="shared" si="7"/>
        <v>0</v>
      </c>
      <c r="H24" s="10" t="str">
        <f t="shared" si="0"/>
        <v>BANQUE</v>
      </c>
      <c r="I24" s="10">
        <v>15000</v>
      </c>
      <c r="J24" s="11">
        <v>1</v>
      </c>
      <c r="K24" s="11">
        <f t="shared" si="8"/>
        <v>50000</v>
      </c>
      <c r="L24" s="6">
        <v>1</v>
      </c>
      <c r="M24" s="11">
        <f t="shared" si="1"/>
        <v>75000</v>
      </c>
      <c r="N24" s="6">
        <v>1</v>
      </c>
      <c r="O24" s="11">
        <f t="shared" si="2"/>
        <v>100000</v>
      </c>
      <c r="P24" s="2">
        <f>VLOOKUP(A24,[14]TONTMARS24!$A$6:$R$39,12,0)</f>
        <v>0</v>
      </c>
      <c r="Q24" s="2">
        <f>VLOOKUP(A24,[15]TONTMARS24!$A$7:$P$23,10,0)</f>
        <v>0</v>
      </c>
      <c r="R24" s="2">
        <f>VLOOKUP(A24,[16]TONTMARS24!$A$7:$P$20,10,0)</f>
        <v>0</v>
      </c>
      <c r="S24" s="20"/>
      <c r="T24" s="12"/>
      <c r="U24" s="17">
        <f t="shared" si="9"/>
        <v>240000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100000</v>
      </c>
      <c r="AL24" s="12"/>
      <c r="AM24" s="12"/>
      <c r="AN24" s="12">
        <v>2000</v>
      </c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40000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100000</v>
      </c>
      <c r="AZ24" s="16">
        <f t="shared" si="14"/>
        <v>100000</v>
      </c>
      <c r="BA24" s="58"/>
      <c r="BB24" s="58"/>
      <c r="BC24" s="15"/>
      <c r="BD24" s="57">
        <f t="shared" si="15"/>
        <v>100000</v>
      </c>
      <c r="BE24" s="82"/>
      <c r="BF24" s="29">
        <f t="shared" si="5"/>
        <v>0</v>
      </c>
      <c r="BG24" s="29">
        <v>9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VLOOKUP(A25,[12]HISTOBQUEMARS24!$A$6:$G$46,3,0)</f>
        <v>375000</v>
      </c>
      <c r="E25" s="9">
        <f>VLOOKUP(A25,[12]HISTOBQUEMARS24!$A$6:$G$41,4,0)</f>
        <v>104500</v>
      </c>
      <c r="F25" s="9">
        <f>VLOOKUP(A25,[12]HISTOBQUEMARS24!$A$6:$G$41,5,0)</f>
        <v>0</v>
      </c>
      <c r="G25" s="5">
        <f>IF(H25="ESPECES",3000,0)+3000</f>
        <v>3000</v>
      </c>
      <c r="H25" s="10" t="str">
        <f t="shared" si="0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f>VLOOKUP(A25,[14]TONTMARS24!$A$6:$R$39,12,0)</f>
        <v>0</v>
      </c>
      <c r="Q25" s="2">
        <f>VLOOKUP(A25,[15]TONTMARS24!$A$7:$P$23,10,0)</f>
        <v>0</v>
      </c>
      <c r="R25" s="2">
        <f>VLOOKUP(A25,[16]TONTMARS24!$A$7:$P$20,10,0)</f>
        <v>101500</v>
      </c>
      <c r="S25" s="20"/>
      <c r="T25" s="12"/>
      <c r="U25" s="17">
        <f t="shared" si="9"/>
        <v>479500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3"/>
        <v>0</v>
      </c>
      <c r="AR25" s="8">
        <f t="shared" si="4"/>
        <v>0</v>
      </c>
      <c r="AS25" s="13">
        <f t="shared" si="10"/>
        <v>25000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200000</v>
      </c>
      <c r="AZ25" s="16">
        <f t="shared" si="14"/>
        <v>200000</v>
      </c>
      <c r="BA25" s="58"/>
      <c r="BB25" s="58"/>
      <c r="BC25" s="15"/>
      <c r="BD25" s="57">
        <f t="shared" si="15"/>
        <v>200000</v>
      </c>
      <c r="BE25" s="82">
        <v>2889015</v>
      </c>
      <c r="BF25" s="29">
        <f t="shared" si="5"/>
        <v>0</v>
      </c>
      <c r="BG25" s="29">
        <v>9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VLOOKUP(A26,[12]HISTOBQUEMARS24!$A$6:$G$46,3,0)</f>
        <v>50000</v>
      </c>
      <c r="E26" s="9">
        <f>VLOOKUP(A26,[12]HISTOBQUEMARS24!$A$6:$G$41,4,0)</f>
        <v>0</v>
      </c>
      <c r="F26" s="9">
        <f>VLOOKUP(A26,[12]HISTOBQUEMARS24!$A$6:$G$41,5,0)</f>
        <v>0</v>
      </c>
      <c r="G26" s="5">
        <f t="shared" si="7"/>
        <v>0</v>
      </c>
      <c r="H26" s="10" t="str">
        <f t="shared" si="0"/>
        <v>BANQUE</v>
      </c>
      <c r="I26" s="10"/>
      <c r="J26" s="11">
        <v>1</v>
      </c>
      <c r="K26" s="11">
        <f t="shared" si="8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VLOOKUP(A26,[14]TONTMARS24!$A$6:$R$39,12,0)</f>
        <v>0</v>
      </c>
      <c r="Q26" s="2"/>
      <c r="R26" s="2"/>
      <c r="S26" s="20"/>
      <c r="T26" s="12"/>
      <c r="U26" s="17">
        <f t="shared" si="9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25000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>SUM(AV26:AY26)-BF26+Z26-F26+BH26+BI26+BJ26+BK26+BL26+BM26+30000</f>
        <v>0</v>
      </c>
      <c r="BA26" s="58"/>
      <c r="BB26" s="58"/>
      <c r="BC26" s="15"/>
      <c r="BD26" s="57">
        <f>IF(AZ26=0,(AZ26-BA26-BC26),(AZ26-BA26-BB26-BC26))</f>
        <v>0</v>
      </c>
      <c r="BE26" s="82"/>
      <c r="BF26" s="29">
        <f>Z26*1/100*BG26+30000</f>
        <v>30000</v>
      </c>
      <c r="BG26" s="29">
        <v>9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VLOOKUP(A27,[12]HISTOBQUEMARS24!$A$6:$G$46,3,0)</f>
        <v>50000</v>
      </c>
      <c r="E27" s="9">
        <f>VLOOKUP(A27,[12]HISTOBQUEMARS24!$A$6:$G$41,4,0)</f>
        <v>0</v>
      </c>
      <c r="F27" s="9">
        <f>VLOOKUP(A27,[12]HISTOBQUEMARS24!$A$6:$G$41,5,0)</f>
        <v>0</v>
      </c>
      <c r="G27" s="5">
        <f t="shared" si="7"/>
        <v>0</v>
      </c>
      <c r="H27" s="10" t="str">
        <f t="shared" si="0"/>
        <v>BANQUE</v>
      </c>
      <c r="I27" s="10"/>
      <c r="J27" s="11">
        <v>1</v>
      </c>
      <c r="K27" s="11">
        <f t="shared" si="8"/>
        <v>50000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VLOOKUP(A27,[14]TONTMARS24!$A$6:$R$39,12,0)</f>
        <v>0</v>
      </c>
      <c r="Q27" s="2"/>
      <c r="R27" s="2"/>
      <c r="S27" s="20"/>
      <c r="T27" s="12"/>
      <c r="U27" s="17">
        <f t="shared" si="9"/>
        <v>50000</v>
      </c>
      <c r="V27" s="12"/>
      <c r="W27" s="12"/>
      <c r="X27" s="12"/>
      <c r="Y27" s="12"/>
      <c r="Z27" s="12">
        <v>50000</v>
      </c>
      <c r="AA27" s="12" t="s">
        <v>8</v>
      </c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25000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48500</v>
      </c>
      <c r="BA27" s="58"/>
      <c r="BB27" s="58"/>
      <c r="BC27" s="15"/>
      <c r="BD27" s="57">
        <f t="shared" si="15"/>
        <v>48500</v>
      </c>
      <c r="BE27" s="82">
        <v>2889015</v>
      </c>
      <c r="BF27" s="29">
        <f t="shared" si="5"/>
        <v>1500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VLOOKUP(A28,[12]HISTOBQUEMARS24!$A$6:$G$46,3,0)</f>
        <v>125000</v>
      </c>
      <c r="E28" s="9">
        <f>VLOOKUP(A28,[12]HISTOBQUEMARS24!$A$6:$G$41,4,0)</f>
        <v>0</v>
      </c>
      <c r="F28" s="9">
        <f>VLOOKUP(A28,[12]HISTOBQUEMARS24!$A$6:$G$41,5,0)</f>
        <v>0</v>
      </c>
      <c r="G28" s="5">
        <f t="shared" si="7"/>
        <v>0</v>
      </c>
      <c r="H28" s="10" t="str">
        <f t="shared" si="0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f>VLOOKUP(A28,[14]TONTMARS24!$A$6:$R$39,12,0)</f>
        <v>0</v>
      </c>
      <c r="Q28" s="2">
        <f>VLOOKUP(A28,[15]TONTMARS24!$A$7:$P$23,10,0)</f>
        <v>0</v>
      </c>
      <c r="R28" s="2"/>
      <c r="S28" s="20"/>
      <c r="T28" s="12"/>
      <c r="U28" s="17">
        <f t="shared" si="9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9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VLOOKUP(A29,[12]HISTOBQUEMARS24!$A$6:$G$46,3,0)</f>
        <v>102000</v>
      </c>
      <c r="E29" s="9">
        <f>VLOOKUP(A29,[12]HISTOBQUEMARS24!$A$6:$G$41,4,0)</f>
        <v>0</v>
      </c>
      <c r="F29" s="9">
        <f>VLOOKUP(A29,[12]HISTOBQUEMARS24!$A$6:$G$41,5,0)</f>
        <v>0</v>
      </c>
      <c r="G29" s="5">
        <f t="shared" si="7"/>
        <v>0</v>
      </c>
      <c r="H29" s="10" t="str">
        <f t="shared" si="0"/>
        <v>BANQUE</v>
      </c>
      <c r="I29" s="10"/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VLOOKUP(A29,[14]TONTMARS24!$A$6:$R$39,12,0)</f>
        <v>52000</v>
      </c>
      <c r="Q29" s="2"/>
      <c r="R29" s="2"/>
      <c r="S29" s="20"/>
      <c r="T29" s="12"/>
      <c r="U29" s="17">
        <f t="shared" si="9"/>
        <v>102000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>
        <v>40000</v>
      </c>
      <c r="AJ29" s="12"/>
      <c r="AK29" s="12"/>
      <c r="AL29" s="12">
        <v>2500</v>
      </c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25000</v>
      </c>
      <c r="AT29" s="15"/>
      <c r="AV29" s="15"/>
      <c r="AW29" s="15">
        <f t="shared" si="11"/>
        <v>40000</v>
      </c>
      <c r="AX29" s="15">
        <f t="shared" si="12"/>
        <v>0</v>
      </c>
      <c r="AY29" s="15">
        <f t="shared" si="13"/>
        <v>0</v>
      </c>
      <c r="AZ29" s="16">
        <f t="shared" si="14"/>
        <v>40000</v>
      </c>
      <c r="BA29" s="58">
        <v>40000</v>
      </c>
      <c r="BB29" s="58"/>
      <c r="BC29" s="15"/>
      <c r="BD29" s="57">
        <f t="shared" si="15"/>
        <v>0</v>
      </c>
      <c r="BE29" s="82">
        <v>2889015</v>
      </c>
      <c r="BF29" s="29">
        <f t="shared" si="5"/>
        <v>0</v>
      </c>
      <c r="BG29" s="29">
        <v>9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VLOOKUP(A30,[12]HISTOBQUEMARS24!$A$6:$G$46,3,0)</f>
        <v>250000</v>
      </c>
      <c r="E30" s="9">
        <f>VLOOKUP(A30,[12]HISTOBQUEMARS24!$A$6:$G$41,4,0)</f>
        <v>0</v>
      </c>
      <c r="F30" s="9">
        <f>VLOOKUP(A30,[12]HISTOBQUEMARS24!$A$6:$G$41,5,0)</f>
        <v>0</v>
      </c>
      <c r="G30" s="5">
        <f t="shared" si="7"/>
        <v>0</v>
      </c>
      <c r="H30" s="10" t="str">
        <f t="shared" si="0"/>
        <v>BANQUE</v>
      </c>
      <c r="I30" s="10"/>
      <c r="J30" s="11">
        <v>1</v>
      </c>
      <c r="K30" s="11">
        <f t="shared" si="8"/>
        <v>50000</v>
      </c>
      <c r="L30" s="6"/>
      <c r="M30" s="11">
        <f t="shared" si="1"/>
        <v>0</v>
      </c>
      <c r="N30" s="6">
        <v>2</v>
      </c>
      <c r="O30" s="11">
        <f t="shared" si="2"/>
        <v>200000</v>
      </c>
      <c r="P30" s="2">
        <f>VLOOKUP(A30,[14]TONTMARS24!$A$6:$R$39,12,0)</f>
        <v>0</v>
      </c>
      <c r="Q30" s="2"/>
      <c r="R30" s="2">
        <f>VLOOKUP(A30,[16]TONTMARS24!$A$7:$P$20,10,0)</f>
        <v>0</v>
      </c>
      <c r="S30" s="20"/>
      <c r="T30" s="12"/>
      <c r="U30" s="17">
        <f t="shared" si="9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25000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9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VLOOKUP(A31,[12]HISTOBQUEMARS24!$A$6:$G$46,3,0)+250000</f>
        <v>400000</v>
      </c>
      <c r="E31" s="9">
        <f>VLOOKUP(A31,[12]HISTOBQUEMARS24!$A$6:$G$41,4,0)</f>
        <v>0</v>
      </c>
      <c r="F31" s="9">
        <f>VLOOKUP(A31,[12]HISTOBQUEMARS24!$A$6:$G$41,5,0)</f>
        <v>0</v>
      </c>
      <c r="G31" s="5">
        <f t="shared" si="7"/>
        <v>0</v>
      </c>
      <c r="H31" s="10" t="str">
        <f t="shared" si="0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f>VLOOKUP(A31,[14]TONTMARS24!$A$6:$R$39,12,0)</f>
        <v>0</v>
      </c>
      <c r="Q31" s="2"/>
      <c r="R31" s="2">
        <f>VLOOKUP(A31,[16]TONTMARS24!$A$7:$P$20,10,0)</f>
        <v>0</v>
      </c>
      <c r="S31" s="20">
        <v>250000</v>
      </c>
      <c r="T31" s="12"/>
      <c r="U31" s="17">
        <f t="shared" si="9"/>
        <v>400000</v>
      </c>
      <c r="V31" s="12"/>
      <c r="W31" s="12"/>
      <c r="X31" s="12"/>
      <c r="Y31" s="12"/>
      <c r="Z31" s="12">
        <v>1000000</v>
      </c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25000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>SUM(AV31:AY31)-BF31+Z31-F31+BH31+BI31+BJ31+BK31+BL31+BM31+30000</f>
        <v>1000000</v>
      </c>
      <c r="BA31" s="58"/>
      <c r="BB31" s="58"/>
      <c r="BC31" s="15"/>
      <c r="BD31" s="57">
        <f>IF(AZ31=0,(AZ31-BA31-BC31),(AZ31-BA31-BB31-BC31))-30000</f>
        <v>970000</v>
      </c>
      <c r="BE31" s="82">
        <v>2889015</v>
      </c>
      <c r="BF31" s="29">
        <f>Z31*1/100*BG31</f>
        <v>30000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VLOOKUP(A32,[12]HISTOBQUEMARS24!$A$6:$G$46,3,0)</f>
        <v>125000</v>
      </c>
      <c r="E32" s="9">
        <f>VLOOKUP(A32,[12]HISTOBQUEMARS24!$A$6:$G$41,4,0)</f>
        <v>0</v>
      </c>
      <c r="F32" s="9">
        <f>VLOOKUP(A32,[12]HISTOBQUEMARS24!$A$6:$G$41,5,0)</f>
        <v>0</v>
      </c>
      <c r="G32" s="5">
        <f t="shared" si="7"/>
        <v>0</v>
      </c>
      <c r="H32" s="10" t="str">
        <f t="shared" si="0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f>VLOOKUP(A32,[14]TONTMARS24!$A$6:$R$39,12,0)</f>
        <v>0</v>
      </c>
      <c r="Q32" s="2">
        <f>VLOOKUP(A32,[15]TONTMARS24!$A$7:$P$23,10,0)</f>
        <v>0</v>
      </c>
      <c r="R32" s="2"/>
      <c r="S32" s="20"/>
      <c r="T32" s="12"/>
      <c r="U32" s="17">
        <f t="shared" si="9"/>
        <v>125000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25000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9</v>
      </c>
      <c r="BH32" s="15"/>
      <c r="BI32" s="15"/>
      <c r="BJ32" s="15"/>
      <c r="BK32" s="15"/>
      <c r="BL32" s="61"/>
      <c r="BN32" t="s">
        <v>203</v>
      </c>
      <c r="BP32">
        <v>100000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VLOOKUP(A33,[12]HISTOBQUEMARS24!$A$6:$G$46,3,0)</f>
        <v>200000</v>
      </c>
      <c r="E33" s="9">
        <f>VLOOKUP(A33,[12]HISTOBQUEMARS24!$A$6:$G$41,4,0)</f>
        <v>0</v>
      </c>
      <c r="F33" s="9">
        <f>VLOOKUP(A33,[12]HISTOBQUEMARS24!$A$6:$G$41,5,0)</f>
        <v>0</v>
      </c>
      <c r="G33" s="5">
        <f t="shared" si="7"/>
        <v>0</v>
      </c>
      <c r="H33" s="10" t="str">
        <f t="shared" si="0"/>
        <v>BANQUE</v>
      </c>
      <c r="I33" s="10">
        <v>50000</v>
      </c>
      <c r="J33" s="11">
        <v>1</v>
      </c>
      <c r="K33" s="11">
        <f t="shared" si="8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f>VLOOKUP(A33,[14]TONTMARS24!$A$6:$R$39,12,0)</f>
        <v>0</v>
      </c>
      <c r="Q33" s="2"/>
      <c r="R33" s="2">
        <f>VLOOKUP(A33,[16]TONTMARS24!$A$7:$P$20,10,0)</f>
        <v>0</v>
      </c>
      <c r="S33" s="20"/>
      <c r="T33" s="12"/>
      <c r="U33" s="17">
        <f t="shared" si="9"/>
        <v>200000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75000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9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100000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VLOOKUP(A34,[12]HISTOBQUEMARS24!$A$6:$G$46,3,0)</f>
        <v>50000</v>
      </c>
      <c r="E34" s="9">
        <f>VLOOKUP(A34,[12]HISTOBQUEMARS24!$A$6:$G$41,4,0)</f>
        <v>0</v>
      </c>
      <c r="F34" s="9">
        <f>VLOOKUP(A34,[12]HISTOBQUEMARS24!$A$6:$G$41,5,0)</f>
        <v>0</v>
      </c>
      <c r="G34" s="5">
        <f t="shared" si="7"/>
        <v>0</v>
      </c>
      <c r="H34" s="10" t="str">
        <f t="shared" si="0"/>
        <v>BANQUE</v>
      </c>
      <c r="I34" s="10"/>
      <c r="J34" s="11">
        <v>1</v>
      </c>
      <c r="K34" s="11">
        <f t="shared" si="8"/>
        <v>50000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VLOOKUP(A34,[14]TONTMARS24!$A$6:$R$39,12,0)</f>
        <v>0</v>
      </c>
      <c r="Q34" s="2"/>
      <c r="R34" s="2"/>
      <c r="S34" s="20"/>
      <c r="T34" s="12"/>
      <c r="U34" s="17">
        <f t="shared" si="9"/>
        <v>50000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25000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9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200000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VLOOKUP(A35,[12]HISTOBQUEMARS24!$A$6:$G$46,3,0)</f>
        <v>60000</v>
      </c>
      <c r="E35" s="9">
        <f>VLOOKUP(A35,[12]HISTOBQUEMARS24!$A$6:$G$41,4,0)</f>
        <v>0</v>
      </c>
      <c r="F35" s="9">
        <f>VLOOKUP(A35,[12]HISTOBQUEMARS24!$A$6:$G$41,5,0)</f>
        <v>0</v>
      </c>
      <c r="G35" s="5">
        <f t="shared" si="7"/>
        <v>0</v>
      </c>
      <c r="H35" s="10" t="str">
        <f t="shared" si="0"/>
        <v>BANQUE</v>
      </c>
      <c r="I35" s="10">
        <v>10000</v>
      </c>
      <c r="J35" s="11">
        <v>1</v>
      </c>
      <c r="K35" s="11">
        <f t="shared" si="8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VLOOKUP(A35,[14]TONTMARS24!$A$6:$R$39,12,0)</f>
        <v>0</v>
      </c>
      <c r="Q35" s="2"/>
      <c r="R35" s="2"/>
      <c r="S35" s="20"/>
      <c r="T35" s="12"/>
      <c r="U35" s="17">
        <f t="shared" si="9"/>
        <v>60000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35000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9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VLOOKUP(A36,[12]HISTOBQUEMARS24!$A$6:$G$46,3,0)</f>
        <v>50000</v>
      </c>
      <c r="E36" s="9">
        <f>VLOOKUP(A36,[12]HISTOBQUEMARS24!$A$6:$G$41,4,0)</f>
        <v>0</v>
      </c>
      <c r="F36" s="9">
        <f>VLOOKUP(A36,[12]HISTOBQUEMARS24!$A$6:$G$41,5,0)</f>
        <v>0</v>
      </c>
      <c r="G36" s="5">
        <f t="shared" si="7"/>
        <v>0</v>
      </c>
      <c r="H36" s="10" t="str">
        <f t="shared" si="0"/>
        <v>BANQUE</v>
      </c>
      <c r="I36" s="10"/>
      <c r="J36" s="11">
        <v>1</v>
      </c>
      <c r="K36" s="11">
        <f t="shared" si="8"/>
        <v>50000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VLOOKUP(A36,[14]TONTMARS24!$A$6:$R$39,12,0)</f>
        <v>0</v>
      </c>
      <c r="Q36" s="2"/>
      <c r="R36" s="2"/>
      <c r="S36" s="20"/>
      <c r="T36" s="12"/>
      <c r="U36" s="17">
        <f t="shared" si="9"/>
        <v>50000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25000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9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>
        <v>100000</v>
      </c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VLOOKUP(A37,[12]HISTOBQUEMARS24!$A$6:$G$46,3,0)</f>
        <v>0</v>
      </c>
      <c r="E37" s="9">
        <f>VLOOKUP(A37,[12]HISTOBQUEMARS24!$A$6:$G$41,4,0)</f>
        <v>153000</v>
      </c>
      <c r="F37" s="9">
        <f>VLOOKUP(A37,[12]HISTOBQUEMARS24!$A$6:$G$41,5,0)</f>
        <v>0</v>
      </c>
      <c r="G37" s="5">
        <f t="shared" si="7"/>
        <v>3000</v>
      </c>
      <c r="H37" s="10" t="str">
        <f t="shared" si="0"/>
        <v>ESPECES</v>
      </c>
      <c r="I37" s="10"/>
      <c r="J37" s="11">
        <v>1</v>
      </c>
      <c r="K37" s="11">
        <f t="shared" si="8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f>VLOOKUP(A37,[14]TONTMARS24!$A$6:$R$39,12,0)</f>
        <v>0</v>
      </c>
      <c r="Q37" s="2"/>
      <c r="R37" s="2">
        <f>VLOOKUP(A37,[16]TONTMARS24!$A$7:$P$20,10,0)</f>
        <v>0</v>
      </c>
      <c r="S37" s="6"/>
      <c r="T37" s="12"/>
      <c r="U37" s="17">
        <f t="shared" si="9"/>
        <v>153000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9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VLOOKUP(A38,[12]HISTOBQUEMARS24!$A$6:$G$46,3,0)</f>
        <v>125000</v>
      </c>
      <c r="E38" s="9">
        <f>VLOOKUP(A38,[12]HISTOBQUEMARS24!$A$6:$G$41,4,0)</f>
        <v>0</v>
      </c>
      <c r="F38" s="9">
        <f>VLOOKUP(A38,[12]HISTOBQUEMARS24!$A$6:$G$41,5,0)</f>
        <v>0</v>
      </c>
      <c r="G38" s="5">
        <f t="shared" si="7"/>
        <v>0</v>
      </c>
      <c r="H38" s="10" t="str">
        <f t="shared" si="0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f>VLOOKUP(A38,[14]TONTMARS24!$A$6:$R$39,12,0)</f>
        <v>0</v>
      </c>
      <c r="Q38" s="2">
        <f>VLOOKUP(A38,[15]TONTMARS24!$A$7:$P$23,10,0)</f>
        <v>0</v>
      </c>
      <c r="R38" s="2"/>
      <c r="S38" s="6"/>
      <c r="T38" s="12"/>
      <c r="U38" s="17">
        <f t="shared" si="9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9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31000</v>
      </c>
      <c r="D40" s="5">
        <f t="shared" si="16"/>
        <v>5307000</v>
      </c>
      <c r="E40" s="5">
        <f t="shared" si="16"/>
        <v>318500</v>
      </c>
      <c r="F40" s="5">
        <f t="shared" si="16"/>
        <v>500000</v>
      </c>
      <c r="G40" s="5">
        <f t="shared" si="16"/>
        <v>6000</v>
      </c>
      <c r="H40" s="5">
        <f t="shared" si="16"/>
        <v>0</v>
      </c>
      <c r="I40" s="5">
        <f t="shared" si="16"/>
        <v>129000</v>
      </c>
      <c r="J40" s="5">
        <f t="shared" si="16"/>
        <v>32</v>
      </c>
      <c r="K40" s="5">
        <f t="shared" si="16"/>
        <v>1600000</v>
      </c>
      <c r="L40" s="5">
        <f t="shared" si="16"/>
        <v>16</v>
      </c>
      <c r="M40" s="5">
        <f t="shared" si="16"/>
        <v>1200000</v>
      </c>
      <c r="N40" s="5">
        <f t="shared" si="16"/>
        <v>18</v>
      </c>
      <c r="O40" s="5">
        <f t="shared" si="16"/>
        <v>1800000</v>
      </c>
      <c r="P40" s="5">
        <f t="shared" si="16"/>
        <v>174000</v>
      </c>
      <c r="Q40" s="5">
        <f t="shared" si="16"/>
        <v>0</v>
      </c>
      <c r="R40" s="5">
        <f t="shared" si="16"/>
        <v>435500</v>
      </c>
      <c r="S40" s="5">
        <f t="shared" si="16"/>
        <v>750000</v>
      </c>
      <c r="T40" s="5"/>
      <c r="U40" s="5">
        <f t="shared" ref="U40:AA40" si="17">SUM(U6:U39)</f>
        <v>6094500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1050000</v>
      </c>
      <c r="AA40" s="5">
        <f t="shared" si="17"/>
        <v>0</v>
      </c>
      <c r="AB40" s="5"/>
      <c r="AC40" s="5">
        <f>SUM(AC6:AC39)</f>
        <v>45000</v>
      </c>
      <c r="AD40" s="5">
        <f>SUM(AD6:AD39)</f>
        <v>28000</v>
      </c>
      <c r="AE40" s="5">
        <f>SUM(AE6:AE39)</f>
        <v>70000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119000</v>
      </c>
      <c r="AJ40" s="5">
        <f t="shared" si="18"/>
        <v>189000</v>
      </c>
      <c r="AK40" s="5">
        <f t="shared" si="18"/>
        <v>1105500</v>
      </c>
      <c r="AL40" s="5">
        <f t="shared" si="18"/>
        <v>4500</v>
      </c>
      <c r="AM40" s="5">
        <f t="shared" si="18"/>
        <v>5000</v>
      </c>
      <c r="AN40" s="5">
        <f t="shared" si="18"/>
        <v>12000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929000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974000</v>
      </c>
      <c r="AX40" s="5">
        <f t="shared" si="18"/>
        <v>1061000</v>
      </c>
      <c r="AY40" s="5">
        <f t="shared" si="18"/>
        <v>2235500</v>
      </c>
      <c r="AZ40" s="5">
        <f t="shared" si="18"/>
        <v>5061000</v>
      </c>
      <c r="BA40" s="5">
        <f t="shared" si="18"/>
        <v>606500</v>
      </c>
      <c r="BB40" s="5">
        <f t="shared" si="18"/>
        <v>0</v>
      </c>
      <c r="BC40" s="5">
        <f t="shared" si="18"/>
        <v>0</v>
      </c>
      <c r="BD40" s="5">
        <f t="shared" si="18"/>
        <v>4400500</v>
      </c>
      <c r="BE40" s="5">
        <f t="shared" si="18"/>
        <v>37557195</v>
      </c>
      <c r="BF40" s="5">
        <f t="shared" si="18"/>
        <v>92500</v>
      </c>
      <c r="BH40" s="5">
        <f t="shared" ref="BH40:BL40" si="19">SUM(BH6:BH39)</f>
        <v>48000</v>
      </c>
      <c r="BI40" s="5">
        <f t="shared" si="19"/>
        <v>0</v>
      </c>
      <c r="BJ40" s="5">
        <f t="shared" si="19"/>
        <v>100000</v>
      </c>
      <c r="BK40" s="5">
        <f t="shared" si="19"/>
        <v>100000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100000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6"/>
      <c r="E44" s="86"/>
      <c r="F44" s="3" t="s">
        <v>9</v>
      </c>
      <c r="G44" s="86"/>
      <c r="H44" s="86"/>
      <c r="I44" s="86"/>
      <c r="Z44" s="12"/>
      <c r="AI44" s="5"/>
      <c r="AV44" s="3"/>
      <c r="AW44" s="86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5061000</v>
      </c>
      <c r="D47" s="9">
        <f>SUMIFS(D8:D40,H8:H40,"BANQUE")</f>
        <v>5076000</v>
      </c>
      <c r="F47" s="9">
        <f>E40</f>
        <v>318500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9590000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10" sqref="E10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175000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BANQUE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75000</v>
      </c>
      <c r="N6" s="6">
        <v>1</v>
      </c>
      <c r="O6" s="11">
        <f t="shared" ref="O6:O38" si="2">IF($D6&lt;&gt;0,N6*100000,IF($E6&lt;&gt;0,N6*100000,0))</f>
        <v>100000</v>
      </c>
      <c r="P6" s="2"/>
      <c r="Q6" s="2"/>
      <c r="R6" s="2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8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5">
        <f t="shared" ref="C7:C38" si="6">D7+E7+F7-U7-BB7</f>
        <v>0</v>
      </c>
      <c r="D7" s="9">
        <f>VLOOKUP(A7,[12]HISTOBQUEAVRIL24!$A$6:$G$46,3,0)</f>
        <v>0</v>
      </c>
      <c r="E7" s="9">
        <f>VLOOKUP(A7,[12]HISTOBQUEAVRIL24!$A$6:$G$41,4,0)</f>
        <v>50000</v>
      </c>
      <c r="F7" s="9">
        <f>VLOOKUP(A7,[12]HISTOBQUEAVRIL24!$A$6:$G$41,5,0)</f>
        <v>0</v>
      </c>
      <c r="G7" s="5">
        <f t="shared" ref="G7:G38" si="7">IF(H7="ESPECES",3000,0)</f>
        <v>3000</v>
      </c>
      <c r="H7" s="10" t="str">
        <f t="shared" si="0"/>
        <v>ESPECES</v>
      </c>
      <c r="I7" s="10">
        <v>-3000</v>
      </c>
      <c r="J7" s="11">
        <v>1</v>
      </c>
      <c r="K7" s="11">
        <f t="shared" ref="K7:K38" si="8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VLOOKUP(A7,[14]TONTAVRIL24!$A$6:$R$39,12,0)</f>
        <v>0</v>
      </c>
      <c r="Q7" s="2"/>
      <c r="R7" s="2"/>
      <c r="S7" s="20"/>
      <c r="T7" s="12"/>
      <c r="U7" s="17">
        <f t="shared" ref="U7:U38" si="9">G7+S7++R7+P7+O7+M7+I7+K7+Q7+V7+W7</f>
        <v>50000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22000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8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5">
        <f t="shared" si="6"/>
        <v>0</v>
      </c>
      <c r="D8" s="9">
        <f>VLOOKUP(A8,[12]HISTOBQUEAVRIL24!$A$6:$G$46,3,0)</f>
        <v>125000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VLOOKUP(A8,[14]TONTAVRIL24!$A$6:$R$39,12,0)</f>
        <v>0</v>
      </c>
      <c r="Q8" s="2">
        <f>VLOOKUP(A8,[15]TONTAVRIL24!$A$7:$P$23,10,0)</f>
        <v>0</v>
      </c>
      <c r="R8" s="2"/>
      <c r="S8" s="20"/>
      <c r="T8" s="12"/>
      <c r="U8" s="17">
        <f t="shared" si="9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25000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8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VLOOKUP(A9,[12]HISTOBQUEAVRIL24!$A$6:$G$46,3,0)</f>
        <v>455000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BANQUE</v>
      </c>
      <c r="I9" s="10">
        <v>-2500</v>
      </c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VLOOKUP(A9,[14]TONTAVRIL24!$A$6:$R$39,12,0)</f>
        <v>0</v>
      </c>
      <c r="Q9" s="2"/>
      <c r="R9" s="2">
        <f>VLOOKUP(A9,[16]TONTAVRIL24!$A$7:$P$20,10,0)</f>
        <v>207500</v>
      </c>
      <c r="S9" s="20"/>
      <c r="T9" s="12"/>
      <c r="U9" s="17">
        <f t="shared" si="9"/>
        <v>455000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3"/>
        <v>0</v>
      </c>
      <c r="AR9" s="8">
        <f t="shared" si="4"/>
        <v>0</v>
      </c>
      <c r="AS9" s="13">
        <f t="shared" si="10"/>
        <v>22500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8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VLOOKUP(A10,[12]HISTOBQUEAVRIL24!$A$6:$G$46,3,0)</f>
        <v>165000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BANQUE</v>
      </c>
      <c r="I10" s="10"/>
      <c r="J10" s="11">
        <v>1</v>
      </c>
      <c r="K10" s="11">
        <f t="shared" si="8"/>
        <v>50000</v>
      </c>
      <c r="L10" s="6">
        <v>1</v>
      </c>
      <c r="M10" s="11">
        <f t="shared" si="1"/>
        <v>75000</v>
      </c>
      <c r="N10" s="6"/>
      <c r="O10" s="11">
        <f t="shared" si="2"/>
        <v>0</v>
      </c>
      <c r="P10" s="2">
        <f>VLOOKUP(A10,[14]TONTAVRIL24!$A$6:$R$39,12,0)</f>
        <v>40000</v>
      </c>
      <c r="Q10" s="2">
        <f>VLOOKUP(A10,[15]TONTAVRIL24!$A$7:$P$23,10,0)</f>
        <v>0</v>
      </c>
      <c r="R10" s="2"/>
      <c r="S10" s="20"/>
      <c r="T10" s="12"/>
      <c r="U10" s="17">
        <f t="shared" si="9"/>
        <v>165000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>
        <v>101500</v>
      </c>
      <c r="AK10" s="12"/>
      <c r="AL10" s="12"/>
      <c r="AM10" s="12">
        <v>2500</v>
      </c>
      <c r="AN10" s="12"/>
      <c r="AO10" s="12"/>
      <c r="AP10" s="12" t="s">
        <v>8</v>
      </c>
      <c r="AQ10" s="8">
        <f t="shared" si="3"/>
        <v>0</v>
      </c>
      <c r="AR10" s="8">
        <f t="shared" si="4"/>
        <v>0</v>
      </c>
      <c r="AS10" s="13">
        <f t="shared" si="10"/>
        <v>25000</v>
      </c>
      <c r="AT10" s="15"/>
      <c r="AV10" s="15"/>
      <c r="AW10" s="15">
        <f t="shared" si="11"/>
        <v>0</v>
      </c>
      <c r="AX10" s="15">
        <f t="shared" si="12"/>
        <v>101500</v>
      </c>
      <c r="AY10" s="15">
        <f t="shared" si="13"/>
        <v>0</v>
      </c>
      <c r="AZ10" s="16">
        <f t="shared" si="14"/>
        <v>101500</v>
      </c>
      <c r="BA10" s="58">
        <v>100000</v>
      </c>
      <c r="BB10" s="58"/>
      <c r="BC10" s="15"/>
      <c r="BD10" s="57">
        <f t="shared" si="15"/>
        <v>1500</v>
      </c>
      <c r="BE10" s="82"/>
      <c r="BF10" s="29">
        <f t="shared" si="5"/>
        <v>0</v>
      </c>
      <c r="BG10" s="29">
        <v>8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14">
        <f t="shared" si="6"/>
        <v>-41000</v>
      </c>
      <c r="D11" s="9">
        <f>VLOOKUP(A11,[12]HISTOBQUEAVRIL24!$A$6:$G$46,3,0)</f>
        <v>238000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BANQUE</v>
      </c>
      <c r="I11" s="10">
        <v>10000</v>
      </c>
      <c r="J11" s="11">
        <v>1</v>
      </c>
      <c r="K11" s="11">
        <f t="shared" si="8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f>VLOOKUP(A11,[14]TONTAVRIL24!$A$6:$R$39,12,0)</f>
        <v>41000</v>
      </c>
      <c r="Q11" s="2">
        <f>VLOOKUP(A11,[15]TONTAVRIL24!$A$7:$P$23,10,0)</f>
        <v>103000</v>
      </c>
      <c r="R11" s="2"/>
      <c r="S11" s="20"/>
      <c r="T11" s="12"/>
      <c r="U11" s="17">
        <f t="shared" si="9"/>
        <v>279000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41000</v>
      </c>
      <c r="AJ11" s="12">
        <v>200000</v>
      </c>
      <c r="AK11" s="12"/>
      <c r="AL11" s="12">
        <v>2000</v>
      </c>
      <c r="AM11" s="12">
        <v>3000</v>
      </c>
      <c r="AN11" s="12"/>
      <c r="AO11" s="12"/>
      <c r="AP11" s="12" t="s">
        <v>8</v>
      </c>
      <c r="AQ11" s="8">
        <f t="shared" si="3"/>
        <v>0</v>
      </c>
      <c r="AR11" s="8">
        <f t="shared" si="4"/>
        <v>0</v>
      </c>
      <c r="AS11" s="13">
        <f t="shared" si="10"/>
        <v>35000</v>
      </c>
      <c r="AT11" s="15"/>
      <c r="AV11" s="15"/>
      <c r="AW11" s="15">
        <f t="shared" si="11"/>
        <v>41000</v>
      </c>
      <c r="AX11" s="15">
        <f t="shared" si="12"/>
        <v>200000</v>
      </c>
      <c r="AY11" s="15">
        <f t="shared" si="13"/>
        <v>0</v>
      </c>
      <c r="AZ11" s="16">
        <f t="shared" si="14"/>
        <v>241000</v>
      </c>
      <c r="BA11" s="58">
        <v>200000</v>
      </c>
      <c r="BB11" s="58"/>
      <c r="BC11" s="15"/>
      <c r="BD11" s="57">
        <f t="shared" si="15"/>
        <v>41000</v>
      </c>
      <c r="BE11" s="82"/>
      <c r="BF11" s="29">
        <f t="shared" si="5"/>
        <v>0</v>
      </c>
      <c r="BG11" s="29">
        <v>8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VLOOKUP(A12,[12]HISTOBQUEAVRIL24!$A$6:$G$46,3,0)</f>
        <v>330000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BANQUE</v>
      </c>
      <c r="I12" s="10">
        <v>5000</v>
      </c>
      <c r="J12" s="11">
        <v>1</v>
      </c>
      <c r="K12" s="11">
        <f t="shared" si="8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f>VLOOKUP(A12,[14]TONTAVRIL24!$A$6:$R$39,12,0)</f>
        <v>0</v>
      </c>
      <c r="Q12" s="2">
        <f>VLOOKUP(A12,[15]TONTAVRIL24!$A$7:$P$23,10,0)</f>
        <v>0</v>
      </c>
      <c r="R12" s="2">
        <f>VLOOKUP(A12,[16]TONTAVRIL24!$A$7:$P$20,10,0)</f>
        <v>0</v>
      </c>
      <c r="S12" s="20"/>
      <c r="T12" s="12"/>
      <c r="U12" s="17">
        <f t="shared" si="9"/>
        <v>330000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30000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8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50000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VLOOKUP(A13,[14]TONTAVRIL24!$A$6:$R$39,12,0)</f>
        <v>0</v>
      </c>
      <c r="Q13" s="2"/>
      <c r="R13" s="2"/>
      <c r="S13" s="20"/>
      <c r="T13" s="12"/>
      <c r="U13" s="17">
        <f t="shared" si="9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8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50000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BANQUE</v>
      </c>
      <c r="I14" s="10"/>
      <c r="J14" s="11">
        <v>1</v>
      </c>
      <c r="K14" s="11">
        <f t="shared" si="8"/>
        <v>50000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VLOOKUP(A14,[14]TONTAVRIL24!$A$6:$R$39,12,0)</f>
        <v>0</v>
      </c>
      <c r="Q14" s="2"/>
      <c r="R14" s="2"/>
      <c r="S14" s="20"/>
      <c r="T14" s="12"/>
      <c r="U14" s="17">
        <f t="shared" si="9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25000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8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125000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f>VLOOKUP(A15,[14]TONTAVRIL24!$A$6:$R$39,12,0)</f>
        <v>0</v>
      </c>
      <c r="Q15" s="2">
        <f>VLOOKUP(A15,[15]TONTAVRIL24!$A$7:$P$23,10,0)</f>
        <v>0</v>
      </c>
      <c r="R15" s="2"/>
      <c r="S15" s="20"/>
      <c r="T15" s="12"/>
      <c r="U15" s="17">
        <f t="shared" si="9"/>
        <v>125000</v>
      </c>
      <c r="V15" s="12"/>
      <c r="W15" s="12"/>
      <c r="X15" s="12"/>
      <c r="Y15" s="12"/>
      <c r="Z15" s="12"/>
      <c r="AA15" s="12"/>
      <c r="AB15" s="12"/>
      <c r="AC15" s="12">
        <v>10000</v>
      </c>
      <c r="AD15" s="12"/>
      <c r="AE15" s="12"/>
      <c r="AF15" s="12" t="s">
        <v>8</v>
      </c>
      <c r="AG15" s="12"/>
      <c r="AH15" s="12"/>
      <c r="AI15" s="12"/>
      <c r="AJ15" s="12"/>
      <c r="AK15" s="12"/>
      <c r="AL15" s="12"/>
      <c r="AM15" s="12"/>
      <c r="AN15" s="12"/>
      <c r="AO15" s="12"/>
      <c r="AP15" s="12" t="s">
        <v>8</v>
      </c>
      <c r="AQ15" s="8">
        <f t="shared" si="3"/>
        <v>0</v>
      </c>
      <c r="AR15" s="8">
        <f t="shared" si="4"/>
        <v>0</v>
      </c>
      <c r="AS15" s="13">
        <f t="shared" si="10"/>
        <v>25000</v>
      </c>
      <c r="AT15" s="15"/>
      <c r="AV15" s="15"/>
      <c r="AW15" s="15">
        <f t="shared" si="11"/>
        <v>290000</v>
      </c>
      <c r="AX15" s="15">
        <f t="shared" si="12"/>
        <v>0</v>
      </c>
      <c r="AY15" s="15">
        <f t="shared" si="13"/>
        <v>0</v>
      </c>
      <c r="AZ15" s="16">
        <f t="shared" si="14"/>
        <v>290000</v>
      </c>
      <c r="BA15" s="58"/>
      <c r="BB15" s="58"/>
      <c r="BC15" s="15"/>
      <c r="BD15" s="57">
        <f t="shared" si="15"/>
        <v>290000</v>
      </c>
      <c r="BE15" s="82"/>
      <c r="BF15" s="29">
        <f t="shared" si="5"/>
        <v>0</v>
      </c>
      <c r="BG15" s="29">
        <v>8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VLOOKUP(A16,[12]HISTOBQUEAVRIL24!$A$6:$G$46,3,0)</f>
        <v>260000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BANQUE</v>
      </c>
      <c r="I16" s="10">
        <v>35000</v>
      </c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f>VLOOKUP(A16,[14]TONTAVRIL24!$A$6:$R$39,12,0)</f>
        <v>0</v>
      </c>
      <c r="Q16" s="2">
        <f>VLOOKUP(A16,[15]TONTAVRIL24!$A$7:$P$23,10,0)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260000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>
        <v>15000</v>
      </c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 t="s">
        <v>8</v>
      </c>
      <c r="AQ16" s="8">
        <f t="shared" si="3"/>
        <v>0</v>
      </c>
      <c r="AR16" s="8">
        <f t="shared" si="4"/>
        <v>0</v>
      </c>
      <c r="AS16" s="13">
        <f t="shared" si="10"/>
        <v>60000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1185000</v>
      </c>
      <c r="AZ16" s="16">
        <f t="shared" si="14"/>
        <v>1185000</v>
      </c>
      <c r="BA16" s="58"/>
      <c r="BB16" s="58"/>
      <c r="BC16" s="15"/>
      <c r="BD16" s="57">
        <f t="shared" si="15"/>
        <v>1185000</v>
      </c>
      <c r="BE16" s="82"/>
      <c r="BF16" s="29">
        <f t="shared" si="5"/>
        <v>0</v>
      </c>
      <c r="BG16" s="29">
        <v>8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150000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f>VLOOKUP(A17,[14]TONTAVRIL24!$A$6:$R$39,12,0)</f>
        <v>0</v>
      </c>
      <c r="Q17" s="2"/>
      <c r="R17" s="2">
        <f>VLOOKUP(A17,[16]TONTAVRIL24!$A$7:$P$20,10,0)</f>
        <v>0</v>
      </c>
      <c r="S17" s="20"/>
      <c r="T17" s="12"/>
      <c r="U17" s="17">
        <f t="shared" si="9"/>
        <v>150000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25000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8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VLOOKUP(A18,[12]HISTOBQUEAVRIL24!$A$6:$G$46,3,0)</f>
        <v>362000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BANQUE</v>
      </c>
      <c r="I18" s="10">
        <v>10000</v>
      </c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VLOOKUP(A18,[14]TONTAVRIL24!$A$6:$R$39,12,0)</f>
        <v>0</v>
      </c>
      <c r="Q18" s="2"/>
      <c r="R18" s="2">
        <f>VLOOKUP(A18,[16]TONTAVRIL24!$A$7:$P$20,10,0)</f>
        <v>202000</v>
      </c>
      <c r="S18" s="20"/>
      <c r="T18" s="12"/>
      <c r="U18" s="17">
        <f t="shared" si="9"/>
        <v>362000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200000</v>
      </c>
      <c r="AL18" s="12"/>
      <c r="AM18" s="12"/>
      <c r="AN18" s="12">
        <f>2500+2500</f>
        <v>5000</v>
      </c>
      <c r="AO18" s="12"/>
      <c r="AP18" s="12" t="s">
        <v>8</v>
      </c>
      <c r="AQ18" s="8">
        <f t="shared" si="3"/>
        <v>0</v>
      </c>
      <c r="AR18" s="8">
        <f t="shared" si="4"/>
        <v>0</v>
      </c>
      <c r="AS18" s="13">
        <f t="shared" si="10"/>
        <v>35000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200000</v>
      </c>
      <c r="AZ18" s="16">
        <f t="shared" si="14"/>
        <v>200000</v>
      </c>
      <c r="BA18" s="58"/>
      <c r="BB18" s="58"/>
      <c r="BC18" s="15"/>
      <c r="BD18" s="57">
        <f t="shared" si="15"/>
        <v>200000</v>
      </c>
      <c r="BE18" s="82"/>
      <c r="BF18" s="29">
        <f t="shared" si="5"/>
        <v>0</v>
      </c>
      <c r="BG18" s="29">
        <v>8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50000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BANQUE</v>
      </c>
      <c r="I19" s="10"/>
      <c r="J19" s="11">
        <v>1</v>
      </c>
      <c r="K19" s="11">
        <f t="shared" si="8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VLOOKUP(A19,[14]TONTAVRIL24!$A$6:$R$39,12,0)</f>
        <v>0</v>
      </c>
      <c r="Q19" s="2"/>
      <c r="R19" s="2"/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8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VLOOKUP(A20,[12]HISTOBQUEAVRIL24!$A$6:$G$46,3,0)</f>
        <v>517000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BANQUE</v>
      </c>
      <c r="I20" s="10">
        <v>-1000</v>
      </c>
      <c r="J20" s="11">
        <v>1</v>
      </c>
      <c r="K20" s="11">
        <f t="shared" si="8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f>VLOOKUP(A20,[14]TONTAVRIL24!$A$6:$R$39,12,0)</f>
        <v>0</v>
      </c>
      <c r="Q20" s="2">
        <f>VLOOKUP(A20,[15]TONTAVRIL24!$A$7:$P$23,10,0)</f>
        <v>91000</v>
      </c>
      <c r="R20" s="2">
        <f>VLOOKUP(A20,[16]TONTAVRIL24!$A$7:$P$20,10,0)</f>
        <v>202000</v>
      </c>
      <c r="S20" s="20"/>
      <c r="T20" s="12"/>
      <c r="U20" s="17">
        <f t="shared" si="9"/>
        <v>517000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100000</v>
      </c>
      <c r="AK20" s="12">
        <v>70000</v>
      </c>
      <c r="AL20" s="12"/>
      <c r="AM20" s="12">
        <v>1500</v>
      </c>
      <c r="AN20" s="12">
        <v>1000</v>
      </c>
      <c r="AO20" s="12"/>
      <c r="AP20" s="12" t="s">
        <v>8</v>
      </c>
      <c r="AQ20" s="8">
        <f t="shared" si="3"/>
        <v>0</v>
      </c>
      <c r="AR20" s="8">
        <f t="shared" si="4"/>
        <v>0</v>
      </c>
      <c r="AS20" s="13">
        <f t="shared" si="10"/>
        <v>24000</v>
      </c>
      <c r="AT20" s="15"/>
      <c r="AV20" s="15"/>
      <c r="AW20" s="15">
        <f t="shared" si="11"/>
        <v>0</v>
      </c>
      <c r="AX20" s="15">
        <f t="shared" si="12"/>
        <v>100000</v>
      </c>
      <c r="AY20" s="15">
        <f t="shared" si="13"/>
        <v>70000</v>
      </c>
      <c r="AZ20" s="16">
        <f t="shared" si="14"/>
        <v>170000</v>
      </c>
      <c r="BA20" s="58">
        <v>80000</v>
      </c>
      <c r="BB20" s="58"/>
      <c r="BC20" s="15"/>
      <c r="BD20" s="57">
        <f t="shared" si="15"/>
        <v>90000</v>
      </c>
      <c r="BE20" s="82"/>
      <c r="BF20" s="29">
        <f t="shared" si="5"/>
        <v>0</v>
      </c>
      <c r="BG20" s="29">
        <v>8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50000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VLOOKUP(A21,[14]TONTAVRIL24!$A$6:$R$39,12,0)</f>
        <v>0</v>
      </c>
      <c r="Q21" s="2"/>
      <c r="R21" s="2"/>
      <c r="S21" s="20"/>
      <c r="T21" s="12"/>
      <c r="U21" s="17">
        <f t="shared" si="9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8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125000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f>VLOOKUP(A22,[14]TONTAVRIL24!$A$6:$R$39,12,0)</f>
        <v>0</v>
      </c>
      <c r="Q22" s="2">
        <f>VLOOKUP(A22,[15]TONTAVRIL24!$A$7:$P$23,10,0)</f>
        <v>0</v>
      </c>
      <c r="R22" s="2"/>
      <c r="S22" s="20"/>
      <c r="T22" s="12"/>
      <c r="U22" s="17">
        <f t="shared" si="9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25000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8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VLOOKUP(A23,[12]HISTOBQUEAVRIL24!$A$6:$G$46,3,0)</f>
        <v>462000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BANQUE</v>
      </c>
      <c r="I23" s="10">
        <v>10000</v>
      </c>
      <c r="J23" s="11">
        <v>1</v>
      </c>
      <c r="K23" s="11">
        <f t="shared" si="8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f>VLOOKUP(A23,[14]TONTAVRIL24!$A$6:$R$39,12,0)</f>
        <v>0</v>
      </c>
      <c r="Q23" s="2"/>
      <c r="R23" s="2">
        <f>VLOOKUP(A23,[16]TONTAVRIL24!$A$7:$P$20,10,0)</f>
        <v>202000</v>
      </c>
      <c r="S23" s="20"/>
      <c r="T23" s="12"/>
      <c r="U23" s="17">
        <f t="shared" si="9"/>
        <v>462000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3"/>
        <v>0</v>
      </c>
      <c r="AR23" s="8">
        <f t="shared" si="4"/>
        <v>0</v>
      </c>
      <c r="AS23" s="13">
        <f t="shared" si="10"/>
        <v>35000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8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-80000</v>
      </c>
      <c r="D24" s="9">
        <f>VLOOKUP(A24,[12]HISTOBQUEAVRIL24!$A$6:$G$46,3,0)</f>
        <v>0</v>
      </c>
      <c r="E24" s="9">
        <f>VLOOKUP(A24,[12]HISTOBQUEAVRIL24!$A$6:$G$41,4,0)</f>
        <v>250000</v>
      </c>
      <c r="F24" s="9">
        <f>VLOOKUP(A24,[12]HISTOBQUEAVRIL24!$A$6:$G$41,5,0)</f>
        <v>0</v>
      </c>
      <c r="G24" s="5">
        <f t="shared" si="7"/>
        <v>3000</v>
      </c>
      <c r="H24" s="10" t="str">
        <f t="shared" si="0"/>
        <v>ESPECES</v>
      </c>
      <c r="I24" s="10"/>
      <c r="J24" s="11">
        <v>1</v>
      </c>
      <c r="K24" s="11">
        <f t="shared" si="8"/>
        <v>50000</v>
      </c>
      <c r="L24" s="6">
        <v>1</v>
      </c>
      <c r="M24" s="11">
        <f t="shared" si="1"/>
        <v>75000</v>
      </c>
      <c r="N24" s="6">
        <v>1</v>
      </c>
      <c r="O24" s="11">
        <f t="shared" si="2"/>
        <v>100000</v>
      </c>
      <c r="P24" s="2">
        <f>VLOOKUP(A24,[14]TONTAVRIL24!$A$6:$R$39,12,0)</f>
        <v>0</v>
      </c>
      <c r="Q24" s="2">
        <f>VLOOKUP(A24,[15]TONTAVRIL24!$A$7:$P$23,10,0)</f>
        <v>0</v>
      </c>
      <c r="R24" s="2">
        <f>VLOOKUP(A24,[16]TONTAVRIL24!$A$7:$P$20,10,0)</f>
        <v>102000</v>
      </c>
      <c r="S24" s="20"/>
      <c r="T24" s="12"/>
      <c r="U24" s="17">
        <f t="shared" si="9"/>
        <v>330000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101000</v>
      </c>
      <c r="AL24" s="12"/>
      <c r="AM24" s="12"/>
      <c r="AN24" s="12">
        <v>2000</v>
      </c>
      <c r="AO24" s="12"/>
      <c r="AP24" s="12" t="s">
        <v>8</v>
      </c>
      <c r="AQ24" s="8">
        <f t="shared" si="3"/>
        <v>0</v>
      </c>
      <c r="AR24" s="8">
        <f t="shared" si="4"/>
        <v>0</v>
      </c>
      <c r="AS24" s="13">
        <f t="shared" si="10"/>
        <v>25000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101000</v>
      </c>
      <c r="AZ24" s="16">
        <f t="shared" si="14"/>
        <v>101000</v>
      </c>
      <c r="BA24" s="58"/>
      <c r="BB24" s="58"/>
      <c r="BC24" s="15"/>
      <c r="BD24" s="57">
        <f t="shared" si="15"/>
        <v>101000</v>
      </c>
      <c r="BE24" s="82"/>
      <c r="BF24" s="29">
        <f t="shared" si="5"/>
        <v>0</v>
      </c>
      <c r="BG24" s="29">
        <v>8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VLOOKUP(A25,[12]HISTOBQUEAVRIL24!$A$6:$G$46,3,0)</f>
        <v>575000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BANQUE</v>
      </c>
      <c r="I25" s="10">
        <v>-2000</v>
      </c>
      <c r="J25" s="11">
        <v>1</v>
      </c>
      <c r="K25" s="11">
        <f t="shared" si="8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f>VLOOKUP(A25,[14]TONTAVRIL24!$A$6:$R$39,12,0)</f>
        <v>0</v>
      </c>
      <c r="Q25" s="2">
        <f>VLOOKUP(A25,[15]TONTAVRIL24!$A$7:$P$23,10,0)</f>
        <v>0</v>
      </c>
      <c r="R25" s="2">
        <f>VLOOKUP(A25,[16]TONTAVRIL24!$A$7:$P$20,10,0)</f>
        <v>202000</v>
      </c>
      <c r="S25" s="20"/>
      <c r="T25" s="12"/>
      <c r="U25" s="17">
        <f t="shared" si="9"/>
        <v>575000</v>
      </c>
      <c r="V25" s="12"/>
      <c r="W25" s="12"/>
      <c r="X25" s="12"/>
      <c r="Y25" s="12"/>
      <c r="Z25" s="12"/>
      <c r="AA25" s="12"/>
      <c r="AB25" s="12"/>
      <c r="AC25" s="12">
        <v>11000</v>
      </c>
      <c r="AD25" s="12"/>
      <c r="AE25" s="12"/>
      <c r="AF25" s="12" t="s">
        <v>8</v>
      </c>
      <c r="AG25" s="12"/>
      <c r="AH25" s="12"/>
      <c r="AI25" s="12"/>
      <c r="AJ25" s="12"/>
      <c r="AK25" s="12">
        <v>200000</v>
      </c>
      <c r="AL25" s="12"/>
      <c r="AM25" s="12"/>
      <c r="AN25" s="12">
        <f>3000+2500</f>
        <v>5500</v>
      </c>
      <c r="AO25" s="12"/>
      <c r="AP25" s="12" t="s">
        <v>8</v>
      </c>
      <c r="AQ25" s="8">
        <f t="shared" si="3"/>
        <v>0</v>
      </c>
      <c r="AR25" s="8">
        <f t="shared" si="4"/>
        <v>0</v>
      </c>
      <c r="AS25" s="13">
        <f t="shared" si="10"/>
        <v>23000</v>
      </c>
      <c r="AT25" s="15"/>
      <c r="AV25" s="15"/>
      <c r="AW25" s="15">
        <f t="shared" si="11"/>
        <v>289000</v>
      </c>
      <c r="AX25" s="15">
        <f t="shared" si="12"/>
        <v>0</v>
      </c>
      <c r="AY25" s="15">
        <f t="shared" si="13"/>
        <v>200000</v>
      </c>
      <c r="AZ25" s="16">
        <f t="shared" si="14"/>
        <v>489000</v>
      </c>
      <c r="BA25" s="58"/>
      <c r="BB25" s="58"/>
      <c r="BC25" s="15"/>
      <c r="BD25" s="57">
        <f t="shared" si="15"/>
        <v>489000</v>
      </c>
      <c r="BE25" s="82"/>
      <c r="BF25" s="29">
        <f t="shared" si="5"/>
        <v>0</v>
      </c>
      <c r="BG25" s="29">
        <v>8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VLOOKUP(A26,[12]HISTOBQUEAVRIL24!$A$6:$G$46,3,0)-3000</f>
        <v>50000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BANQUE</v>
      </c>
      <c r="I26" s="10"/>
      <c r="J26" s="11">
        <v>1</v>
      </c>
      <c r="K26" s="11">
        <f t="shared" si="8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VLOOKUP(A26,[14]TONTAVRIL24!$A$6:$R$39,12,0)</f>
        <v>0</v>
      </c>
      <c r="Q26" s="2"/>
      <c r="R26" s="2"/>
      <c r="S26" s="20"/>
      <c r="T26" s="12"/>
      <c r="U26" s="17">
        <f t="shared" si="9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25000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8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50000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BANQUE</v>
      </c>
      <c r="I27" s="10"/>
      <c r="J27" s="11">
        <v>1</v>
      </c>
      <c r="K27" s="11">
        <f t="shared" si="8"/>
        <v>50000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VLOOKUP(A27,[14]TONTAVRIL24!$A$6:$R$39,12,0)</f>
        <v>0</v>
      </c>
      <c r="Q27" s="2"/>
      <c r="R27" s="2"/>
      <c r="S27" s="20"/>
      <c r="T27" s="12"/>
      <c r="U27" s="17">
        <f t="shared" si="9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25000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8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125000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f>VLOOKUP(A28,[14]TONTAVRIL24!$A$6:$R$39,12,0)</f>
        <v>0</v>
      </c>
      <c r="Q28" s="2">
        <f>VLOOKUP(A28,[15]TONTAVRIL24!$A$7:$P$23,10,0)</f>
        <v>0</v>
      </c>
      <c r="R28" s="2"/>
      <c r="S28" s="20"/>
      <c r="T28" s="12"/>
      <c r="U28" s="17">
        <f t="shared" si="9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8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VLOOKUP(A29,[12]HISTOBQUEAVRIL24!$A$6:$G$46,3,0)</f>
        <v>92500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BANQUE</v>
      </c>
      <c r="I29" s="10"/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VLOOKUP(A29,[14]TONTAVRIL24!$A$6:$R$39,12,0)</f>
        <v>42500</v>
      </c>
      <c r="Q29" s="2"/>
      <c r="R29" s="2"/>
      <c r="S29" s="20"/>
      <c r="T29" s="12"/>
      <c r="U29" s="17">
        <f t="shared" si="9"/>
        <v>92500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25000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8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250000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BANQUE</v>
      </c>
      <c r="I30" s="10"/>
      <c r="J30" s="11">
        <v>1</v>
      </c>
      <c r="K30" s="11">
        <f t="shared" si="8"/>
        <v>50000</v>
      </c>
      <c r="L30" s="6"/>
      <c r="M30" s="11">
        <f t="shared" si="1"/>
        <v>0</v>
      </c>
      <c r="N30" s="6">
        <v>2</v>
      </c>
      <c r="O30" s="11">
        <f t="shared" si="2"/>
        <v>200000</v>
      </c>
      <c r="P30" s="2">
        <f>VLOOKUP(A30,[14]TONTAVRIL24!$A$6:$R$39,12,0)</f>
        <v>0</v>
      </c>
      <c r="Q30" s="2"/>
      <c r="R30" s="2">
        <f>VLOOKUP(A30,[16]TONTAVRIL24!$A$7:$P$20,10,0)</f>
        <v>0</v>
      </c>
      <c r="S30" s="20"/>
      <c r="T30" s="12"/>
      <c r="U30" s="17">
        <f t="shared" si="9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25000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8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150000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f>VLOOKUP(A31,[14]TONTAVRIL24!$A$6:$R$39,12,0)</f>
        <v>0</v>
      </c>
      <c r="Q31" s="2"/>
      <c r="R31" s="2">
        <f>VLOOKUP(A31,[16]TONTAVRIL24!$A$7:$P$20,10,0)</f>
        <v>0</v>
      </c>
      <c r="S31" s="20"/>
      <c r="T31" s="12"/>
      <c r="U31" s="17">
        <f t="shared" si="9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>
        <v>40000</v>
      </c>
      <c r="AF31" s="12" t="s">
        <v>8</v>
      </c>
      <c r="AG31" s="12"/>
      <c r="AH31" s="12"/>
      <c r="AI31" s="12"/>
      <c r="AJ31" s="12"/>
      <c r="AK31" s="12"/>
      <c r="AL31" s="12"/>
      <c r="AM31" s="12"/>
      <c r="AN31" s="12"/>
      <c r="AO31" s="12"/>
      <c r="AP31" s="12" t="s">
        <v>8</v>
      </c>
      <c r="AQ31" s="8">
        <f t="shared" si="3"/>
        <v>0</v>
      </c>
      <c r="AR31" s="8">
        <f t="shared" si="4"/>
        <v>0</v>
      </c>
      <c r="AS31" s="13">
        <f t="shared" si="10"/>
        <v>25000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1160000</v>
      </c>
      <c r="AZ31" s="16">
        <f t="shared" si="14"/>
        <v>1160000</v>
      </c>
      <c r="BA31" s="58"/>
      <c r="BB31" s="58"/>
      <c r="BC31" s="15"/>
      <c r="BD31" s="57">
        <f t="shared" si="15"/>
        <v>1160000</v>
      </c>
      <c r="BE31" s="82"/>
      <c r="BF31" s="29">
        <f t="shared" si="5"/>
        <v>0</v>
      </c>
      <c r="BG31" s="29">
        <v>8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125000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f>VLOOKUP(A32,[14]TONTAVRIL24!$A$6:$R$39,12,0)</f>
        <v>0</v>
      </c>
      <c r="Q32" s="2">
        <f>VLOOKUP(A32,[15]TONTAVRIL24!$A$7:$P$23,10,0)</f>
        <v>0</v>
      </c>
      <c r="R32" s="2"/>
      <c r="S32" s="20"/>
      <c r="T32" s="12"/>
      <c r="U32" s="17">
        <f t="shared" si="9"/>
        <v>125000</v>
      </c>
      <c r="V32" s="12"/>
      <c r="W32" s="12"/>
      <c r="X32" s="12"/>
      <c r="Y32" s="12"/>
      <c r="Z32" s="12"/>
      <c r="AA32" s="12"/>
      <c r="AB32" s="12"/>
      <c r="AC32" s="12">
        <v>10500</v>
      </c>
      <c r="AD32" s="12">
        <v>7500</v>
      </c>
      <c r="AE32" s="12"/>
      <c r="AF32" s="12" t="s">
        <v>8</v>
      </c>
      <c r="AG32" s="12"/>
      <c r="AH32" s="12"/>
      <c r="AI32" s="12"/>
      <c r="AJ32" s="12">
        <v>100000</v>
      </c>
      <c r="AK32" s="12"/>
      <c r="AL32" s="12"/>
      <c r="AM32" s="12">
        <v>1000</v>
      </c>
      <c r="AN32" s="12"/>
      <c r="AO32" s="12"/>
      <c r="AP32" s="12" t="s">
        <v>8</v>
      </c>
      <c r="AQ32" s="8">
        <f t="shared" si="3"/>
        <v>0</v>
      </c>
      <c r="AR32" s="8">
        <f t="shared" si="4"/>
        <v>0</v>
      </c>
      <c r="AS32" s="13">
        <f t="shared" si="10"/>
        <v>25000</v>
      </c>
      <c r="AT32" s="15"/>
      <c r="AV32" s="15"/>
      <c r="AW32" s="15">
        <f t="shared" si="11"/>
        <v>289500</v>
      </c>
      <c r="AX32" s="15">
        <f t="shared" si="12"/>
        <v>992500</v>
      </c>
      <c r="AY32" s="15">
        <f t="shared" si="13"/>
        <v>0</v>
      </c>
      <c r="AZ32" s="16">
        <f t="shared" si="14"/>
        <v>1282000</v>
      </c>
      <c r="BA32" s="58">
        <v>20000</v>
      </c>
      <c r="BB32" s="58"/>
      <c r="BC32" s="15"/>
      <c r="BD32" s="57">
        <f t="shared" si="15"/>
        <v>1262000</v>
      </c>
      <c r="BE32" s="82"/>
      <c r="BF32" s="29">
        <f t="shared" si="5"/>
        <v>0</v>
      </c>
      <c r="BG32" s="29">
        <v>8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VLOOKUP(A33,[12]HISTOBQUEAVRIL24!$A$6:$G$46,3,0)</f>
        <v>230000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BANQUE</v>
      </c>
      <c r="I33" s="10">
        <v>80000</v>
      </c>
      <c r="J33" s="11">
        <v>1</v>
      </c>
      <c r="K33" s="11">
        <f t="shared" si="8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f>VLOOKUP(A33,[14]TONTAVRIL24!$A$6:$R$39,12,0)</f>
        <v>0</v>
      </c>
      <c r="Q33" s="2"/>
      <c r="R33" s="2">
        <f>VLOOKUP(A33,[16]TONTAVRIL24!$A$7:$P$20,10,0)</f>
        <v>0</v>
      </c>
      <c r="S33" s="20"/>
      <c r="T33" s="12"/>
      <c r="U33" s="17">
        <f t="shared" si="9"/>
        <v>230000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105000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8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VLOOKUP(A34,[12]HISTOBQUEAVRIL24!$A$6:$G$46,3,0)</f>
        <v>0</v>
      </c>
      <c r="E34" s="9">
        <f>VLOOKUP(A34,[12]HISTOBQUEAVRIL24!$A$6:$G$41,4,0)</f>
        <v>50000</v>
      </c>
      <c r="F34" s="9">
        <f>VLOOKUP(A34,[12]HISTOBQUEAVRIL24!$A$6:$G$41,5,0)</f>
        <v>0</v>
      </c>
      <c r="G34" s="5">
        <f t="shared" si="7"/>
        <v>3000</v>
      </c>
      <c r="H34" s="10" t="str">
        <f t="shared" si="0"/>
        <v>ESPECES</v>
      </c>
      <c r="I34" s="10">
        <v>-3000</v>
      </c>
      <c r="J34" s="11">
        <v>1</v>
      </c>
      <c r="K34" s="11">
        <f t="shared" si="8"/>
        <v>50000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VLOOKUP(A34,[14]TONTAVRIL24!$A$6:$R$39,12,0)</f>
        <v>0</v>
      </c>
      <c r="Q34" s="2"/>
      <c r="R34" s="2"/>
      <c r="S34" s="20"/>
      <c r="T34" s="12"/>
      <c r="U34" s="17">
        <f t="shared" si="9"/>
        <v>50000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22000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8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VLOOKUP(A35,[12]HISTOBQUEAVRIL24!$A$6:$G$46,3,0)</f>
        <v>60000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BANQUE</v>
      </c>
      <c r="I35" s="10">
        <v>10000</v>
      </c>
      <c r="J35" s="11">
        <v>1</v>
      </c>
      <c r="K35" s="11">
        <f t="shared" si="8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VLOOKUP(A35,[14]TONTAVRIL24!$A$6:$R$39,12,0)</f>
        <v>0</v>
      </c>
      <c r="Q35" s="2"/>
      <c r="R35" s="2"/>
      <c r="S35" s="20"/>
      <c r="T35" s="12"/>
      <c r="U35" s="17">
        <f t="shared" si="9"/>
        <v>60000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35000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8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VLOOKUP(A36,[12]HISTOBQUEAVRIL24!$A$6:$G$46,3,0)</f>
        <v>0</v>
      </c>
      <c r="E36" s="9">
        <f>VLOOKUP(A36,[12]HISTOBQUEAVRIL24!$A$6:$G$41,4,0)+3000</f>
        <v>53000</v>
      </c>
      <c r="F36" s="9">
        <f>VLOOKUP(A36,[12]HISTOBQUEAVRIL24!$A$6:$G$41,5,0)</f>
        <v>0</v>
      </c>
      <c r="G36" s="5">
        <f t="shared" si="7"/>
        <v>3000</v>
      </c>
      <c r="H36" s="10" t="str">
        <f t="shared" si="0"/>
        <v>ESPECES</v>
      </c>
      <c r="I36" s="10"/>
      <c r="J36" s="11">
        <v>1</v>
      </c>
      <c r="K36" s="11">
        <f t="shared" si="8"/>
        <v>50000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VLOOKUP(A36,[14]TONTAVRIL24!$A$6:$R$39,12,0)</f>
        <v>0</v>
      </c>
      <c r="Q36" s="2"/>
      <c r="R36" s="2"/>
      <c r="S36" s="20"/>
      <c r="T36" s="12"/>
      <c r="U36" s="17">
        <f t="shared" si="9"/>
        <v>53000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25000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8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150000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BANQUE</v>
      </c>
      <c r="I37" s="10"/>
      <c r="J37" s="11">
        <v>1</v>
      </c>
      <c r="K37" s="11">
        <f t="shared" si="8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f>VLOOKUP(A37,[14]TONTAVRIL24!$A$6:$R$39,12,0)</f>
        <v>0</v>
      </c>
      <c r="Q37" s="2"/>
      <c r="R37" s="2">
        <f>VLOOKUP(A37,[16]TONTAVRIL24!$A$7:$P$20,10,0)</f>
        <v>0</v>
      </c>
      <c r="S37" s="6"/>
      <c r="T37" s="12"/>
      <c r="U37" s="17">
        <f t="shared" si="9"/>
        <v>150000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8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125000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f>VLOOKUP(A38,[14]TONTAVRIL24!$A$6:$R$39,12,0)</f>
        <v>0</v>
      </c>
      <c r="Q38" s="2">
        <f>VLOOKUP(A38,[15]TONTAVRIL24!$A$7:$P$23,10,0)</f>
        <v>0</v>
      </c>
      <c r="R38" s="2"/>
      <c r="S38" s="6"/>
      <c r="T38" s="12"/>
      <c r="U38" s="17">
        <f t="shared" si="9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8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-121000</v>
      </c>
      <c r="D40" s="5">
        <f t="shared" si="16"/>
        <v>5671500</v>
      </c>
      <c r="E40" s="5">
        <f t="shared" si="16"/>
        <v>403000</v>
      </c>
      <c r="F40" s="5">
        <f t="shared" si="16"/>
        <v>0</v>
      </c>
      <c r="G40" s="5">
        <f t="shared" si="16"/>
        <v>12000</v>
      </c>
      <c r="H40" s="5">
        <f t="shared" si="16"/>
        <v>0</v>
      </c>
      <c r="I40" s="5">
        <f t="shared" si="16"/>
        <v>148500</v>
      </c>
      <c r="J40" s="5">
        <f t="shared" si="16"/>
        <v>32</v>
      </c>
      <c r="K40" s="5">
        <f t="shared" si="16"/>
        <v>1600000</v>
      </c>
      <c r="L40" s="5">
        <f t="shared" si="16"/>
        <v>16</v>
      </c>
      <c r="M40" s="5">
        <f t="shared" si="16"/>
        <v>1200000</v>
      </c>
      <c r="N40" s="5">
        <f t="shared" si="16"/>
        <v>18</v>
      </c>
      <c r="O40" s="5">
        <f t="shared" si="16"/>
        <v>1800000</v>
      </c>
      <c r="P40" s="5">
        <f t="shared" si="16"/>
        <v>123500</v>
      </c>
      <c r="Q40" s="5">
        <f t="shared" si="16"/>
        <v>194000</v>
      </c>
      <c r="R40" s="5">
        <f t="shared" si="16"/>
        <v>1117500</v>
      </c>
      <c r="S40" s="5">
        <f t="shared" si="16"/>
        <v>0</v>
      </c>
      <c r="T40" s="5"/>
      <c r="U40" s="5">
        <f t="shared" ref="U40:AA40" si="17">SUM(U6:U39)</f>
        <v>6195500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31500</v>
      </c>
      <c r="AD40" s="5">
        <f>SUM(AD6:AD39)</f>
        <v>7500</v>
      </c>
      <c r="AE40" s="5">
        <f>SUM(AE6:AE39)</f>
        <v>55000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41000</v>
      </c>
      <c r="AJ40" s="5">
        <f t="shared" si="18"/>
        <v>501500</v>
      </c>
      <c r="AK40" s="5">
        <f t="shared" si="18"/>
        <v>571000</v>
      </c>
      <c r="AL40" s="5">
        <f t="shared" si="18"/>
        <v>2000</v>
      </c>
      <c r="AM40" s="5">
        <f t="shared" si="18"/>
        <v>8000</v>
      </c>
      <c r="AN40" s="5">
        <f t="shared" si="18"/>
        <v>13500</v>
      </c>
      <c r="AO40" s="5">
        <f t="shared" si="18"/>
        <v>0</v>
      </c>
      <c r="AP40" s="5"/>
      <c r="AQ40" s="5">
        <f t="shared" si="18"/>
        <v>0</v>
      </c>
      <c r="AR40" s="5">
        <f t="shared" si="18"/>
        <v>0</v>
      </c>
      <c r="AS40" s="5">
        <f t="shared" si="18"/>
        <v>948500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909500</v>
      </c>
      <c r="AX40" s="5">
        <f t="shared" si="18"/>
        <v>1394000</v>
      </c>
      <c r="AY40" s="5">
        <f t="shared" si="18"/>
        <v>2916000</v>
      </c>
      <c r="AZ40" s="5">
        <f t="shared" si="18"/>
        <v>5219500</v>
      </c>
      <c r="BA40" s="5">
        <f t="shared" si="18"/>
        <v>400000</v>
      </c>
      <c r="BB40" s="5">
        <f t="shared" si="18"/>
        <v>0</v>
      </c>
      <c r="BC40" s="5">
        <f t="shared" si="18"/>
        <v>0</v>
      </c>
      <c r="BD40" s="5">
        <f t="shared" si="18"/>
        <v>4819500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5219500</v>
      </c>
      <c r="D47" s="9">
        <f>SUMIFS(D8:D40,H8:H40,"BANQUE")</f>
        <v>5496500</v>
      </c>
      <c r="F47" s="9">
        <f>E40</f>
        <v>403000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10439000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10" sqref="E10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175000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BANQUE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75000</v>
      </c>
      <c r="N6" s="6">
        <v>1</v>
      </c>
      <c r="O6" s="11">
        <f t="shared" ref="O6:O38" si="2">IF($D6&lt;&gt;0,N6*100000,IF($E6&lt;&gt;0,N6*100000,0))</f>
        <v>100000</v>
      </c>
      <c r="P6" s="2"/>
      <c r="Q6" s="2"/>
      <c r="R6" s="2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8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5">
        <f t="shared" ref="C7:C38" si="6">D7+E7+F7-U7-BB7</f>
        <v>0</v>
      </c>
      <c r="D7" s="9">
        <f>VLOOKUP(A7,[12]HISTOBQUEAVRIL24!$A$6:$G$46,3,0)</f>
        <v>0</v>
      </c>
      <c r="E7" s="9">
        <f>VLOOKUP(A7,[12]HISTOBQUEAVRIL24!$A$6:$G$41,4,0)</f>
        <v>50000</v>
      </c>
      <c r="F7" s="9">
        <f>VLOOKUP(A7,[12]HISTOBQUEAVRIL24!$A$6:$G$41,5,0)</f>
        <v>0</v>
      </c>
      <c r="G7" s="5">
        <f t="shared" ref="G7:G38" si="7">IF(H7="ESPECES",3000,0)</f>
        <v>3000</v>
      </c>
      <c r="H7" s="10" t="str">
        <f t="shared" si="0"/>
        <v>ESPECES</v>
      </c>
      <c r="I7" s="10">
        <v>-3000</v>
      </c>
      <c r="J7" s="11">
        <v>1</v>
      </c>
      <c r="K7" s="11">
        <f t="shared" ref="K7:K38" si="8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VLOOKUP(A7,[14]TONTAVRIL24!$A$6:$R$39,12,0)</f>
        <v>0</v>
      </c>
      <c r="Q7" s="2"/>
      <c r="R7" s="2"/>
      <c r="S7" s="20"/>
      <c r="T7" s="12"/>
      <c r="U7" s="17">
        <f t="shared" ref="U7:U38" si="9">G7+S7++R7+P7+O7+M7+I7+K7+Q7+V7+W7</f>
        <v>50000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22000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8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5">
        <f t="shared" si="6"/>
        <v>0</v>
      </c>
      <c r="D8" s="9">
        <f>VLOOKUP(A8,[12]HISTOBQUEAVRIL24!$A$6:$G$46,3,0)</f>
        <v>125000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VLOOKUP(A8,[14]TONTAVRIL24!$A$6:$R$39,12,0)</f>
        <v>0</v>
      </c>
      <c r="Q8" s="2">
        <f>VLOOKUP(A8,[15]TONTAVRIL24!$A$7:$P$23,10,0)</f>
        <v>0</v>
      </c>
      <c r="R8" s="2"/>
      <c r="S8" s="20"/>
      <c r="T8" s="12"/>
      <c r="U8" s="17">
        <f t="shared" si="9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25000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8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VLOOKUP(A9,[12]HISTOBQUEAVRIL24!$A$6:$G$46,3,0)</f>
        <v>455000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BANQUE</v>
      </c>
      <c r="I9" s="10">
        <v>-2500</v>
      </c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VLOOKUP(A9,[14]TONTAVRIL24!$A$6:$R$39,12,0)</f>
        <v>0</v>
      </c>
      <c r="Q9" s="2"/>
      <c r="R9" s="2">
        <f>VLOOKUP(A9,[16]TONTAVRIL24!$A$7:$P$20,10,0)</f>
        <v>207500</v>
      </c>
      <c r="S9" s="20"/>
      <c r="T9" s="12"/>
      <c r="U9" s="17">
        <f t="shared" si="9"/>
        <v>455000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3"/>
        <v>0</v>
      </c>
      <c r="AR9" s="8">
        <f t="shared" si="4"/>
        <v>0</v>
      </c>
      <c r="AS9" s="13">
        <f t="shared" si="10"/>
        <v>22500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8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VLOOKUP(A10,[12]HISTOBQUEAVRIL24!$A$6:$G$46,3,0)</f>
        <v>165000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BANQUE</v>
      </c>
      <c r="I10" s="10"/>
      <c r="J10" s="11">
        <v>1</v>
      </c>
      <c r="K10" s="11">
        <f t="shared" si="8"/>
        <v>50000</v>
      </c>
      <c r="L10" s="6">
        <v>1</v>
      </c>
      <c r="M10" s="11">
        <f t="shared" si="1"/>
        <v>75000</v>
      </c>
      <c r="N10" s="6"/>
      <c r="O10" s="11">
        <f t="shared" si="2"/>
        <v>0</v>
      </c>
      <c r="P10" s="2">
        <f>VLOOKUP(A10,[14]TONTAVRIL24!$A$6:$R$39,12,0)</f>
        <v>40000</v>
      </c>
      <c r="Q10" s="2">
        <f>VLOOKUP(A10,[15]TONTAVRIL24!$A$7:$P$23,10,0)</f>
        <v>0</v>
      </c>
      <c r="R10" s="2"/>
      <c r="S10" s="20"/>
      <c r="T10" s="12"/>
      <c r="U10" s="17">
        <f t="shared" si="9"/>
        <v>165000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>
        <v>101500</v>
      </c>
      <c r="AK10" s="12"/>
      <c r="AL10" s="12"/>
      <c r="AM10" s="12">
        <v>2500</v>
      </c>
      <c r="AN10" s="12"/>
      <c r="AO10" s="12"/>
      <c r="AP10" s="12" t="s">
        <v>8</v>
      </c>
      <c r="AQ10" s="8">
        <f t="shared" si="3"/>
        <v>0</v>
      </c>
      <c r="AR10" s="8">
        <f t="shared" si="4"/>
        <v>0</v>
      </c>
      <c r="AS10" s="13">
        <f t="shared" si="10"/>
        <v>25000</v>
      </c>
      <c r="AT10" s="15"/>
      <c r="AV10" s="15"/>
      <c r="AW10" s="15">
        <f t="shared" si="11"/>
        <v>0</v>
      </c>
      <c r="AX10" s="15">
        <f t="shared" si="12"/>
        <v>101500</v>
      </c>
      <c r="AY10" s="15">
        <f t="shared" si="13"/>
        <v>0</v>
      </c>
      <c r="AZ10" s="16">
        <f t="shared" si="14"/>
        <v>101500</v>
      </c>
      <c r="BA10" s="58">
        <v>100000</v>
      </c>
      <c r="BB10" s="58"/>
      <c r="BC10" s="15"/>
      <c r="BD10" s="57">
        <f t="shared" si="15"/>
        <v>1500</v>
      </c>
      <c r="BE10" s="82"/>
      <c r="BF10" s="29">
        <f t="shared" si="5"/>
        <v>0</v>
      </c>
      <c r="BG10" s="29">
        <v>8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14">
        <f t="shared" si="6"/>
        <v>-41000</v>
      </c>
      <c r="D11" s="9">
        <f>VLOOKUP(A11,[12]HISTOBQUEAVRIL24!$A$6:$G$46,3,0)</f>
        <v>238000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BANQUE</v>
      </c>
      <c r="I11" s="10">
        <v>10000</v>
      </c>
      <c r="J11" s="11">
        <v>1</v>
      </c>
      <c r="K11" s="11">
        <f t="shared" si="8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f>VLOOKUP(A11,[14]TONTAVRIL24!$A$6:$R$39,12,0)</f>
        <v>41000</v>
      </c>
      <c r="Q11" s="2">
        <f>VLOOKUP(A11,[15]TONTAVRIL24!$A$7:$P$23,10,0)</f>
        <v>103000</v>
      </c>
      <c r="R11" s="2"/>
      <c r="S11" s="20"/>
      <c r="T11" s="12"/>
      <c r="U11" s="17">
        <f t="shared" si="9"/>
        <v>279000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41000</v>
      </c>
      <c r="AJ11" s="12">
        <v>200000</v>
      </c>
      <c r="AK11" s="12"/>
      <c r="AL11" s="12">
        <v>2000</v>
      </c>
      <c r="AM11" s="12">
        <v>3000</v>
      </c>
      <c r="AN11" s="12"/>
      <c r="AO11" s="12"/>
      <c r="AP11" s="12" t="s">
        <v>8</v>
      </c>
      <c r="AQ11" s="8">
        <f t="shared" si="3"/>
        <v>0</v>
      </c>
      <c r="AR11" s="8">
        <f t="shared" si="4"/>
        <v>0</v>
      </c>
      <c r="AS11" s="13">
        <f t="shared" si="10"/>
        <v>35000</v>
      </c>
      <c r="AT11" s="15"/>
      <c r="AV11" s="15"/>
      <c r="AW11" s="15">
        <f t="shared" si="11"/>
        <v>41000</v>
      </c>
      <c r="AX11" s="15">
        <f t="shared" si="12"/>
        <v>200000</v>
      </c>
      <c r="AY11" s="15">
        <f t="shared" si="13"/>
        <v>0</v>
      </c>
      <c r="AZ11" s="16">
        <f t="shared" si="14"/>
        <v>241000</v>
      </c>
      <c r="BA11" s="58">
        <v>200000</v>
      </c>
      <c r="BB11" s="58"/>
      <c r="BC11" s="15"/>
      <c r="BD11" s="57">
        <f t="shared" si="15"/>
        <v>41000</v>
      </c>
      <c r="BE11" s="82"/>
      <c r="BF11" s="29">
        <f t="shared" si="5"/>
        <v>0</v>
      </c>
      <c r="BG11" s="29">
        <v>8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VLOOKUP(A12,[12]HISTOBQUEAVRIL24!$A$6:$G$46,3,0)</f>
        <v>330000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BANQUE</v>
      </c>
      <c r="I12" s="10">
        <v>5000</v>
      </c>
      <c r="J12" s="11">
        <v>1</v>
      </c>
      <c r="K12" s="11">
        <f t="shared" si="8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f>VLOOKUP(A12,[14]TONTAVRIL24!$A$6:$R$39,12,0)</f>
        <v>0</v>
      </c>
      <c r="Q12" s="2">
        <f>VLOOKUP(A12,[15]TONTAVRIL24!$A$7:$P$23,10,0)</f>
        <v>0</v>
      </c>
      <c r="R12" s="2">
        <f>VLOOKUP(A12,[16]TONTAVRIL24!$A$7:$P$20,10,0)</f>
        <v>0</v>
      </c>
      <c r="S12" s="20"/>
      <c r="T12" s="12"/>
      <c r="U12" s="17">
        <f t="shared" si="9"/>
        <v>330000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30000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8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50000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VLOOKUP(A13,[14]TONTAVRIL24!$A$6:$R$39,12,0)</f>
        <v>0</v>
      </c>
      <c r="Q13" s="2"/>
      <c r="R13" s="2"/>
      <c r="S13" s="20"/>
      <c r="T13" s="12"/>
      <c r="U13" s="17">
        <f t="shared" si="9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8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50000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BANQUE</v>
      </c>
      <c r="I14" s="10"/>
      <c r="J14" s="11">
        <v>1</v>
      </c>
      <c r="K14" s="11">
        <f t="shared" si="8"/>
        <v>50000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VLOOKUP(A14,[14]TONTAVRIL24!$A$6:$R$39,12,0)</f>
        <v>0</v>
      </c>
      <c r="Q14" s="2"/>
      <c r="R14" s="2"/>
      <c r="S14" s="20"/>
      <c r="T14" s="12"/>
      <c r="U14" s="17">
        <f t="shared" si="9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25000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8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125000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f>VLOOKUP(A15,[14]TONTAVRIL24!$A$6:$R$39,12,0)</f>
        <v>0</v>
      </c>
      <c r="Q15" s="2">
        <f>VLOOKUP(A15,[15]TONTAVRIL24!$A$7:$P$23,10,0)</f>
        <v>0</v>
      </c>
      <c r="R15" s="2"/>
      <c r="S15" s="20"/>
      <c r="T15" s="12"/>
      <c r="U15" s="17">
        <f t="shared" si="9"/>
        <v>125000</v>
      </c>
      <c r="V15" s="12"/>
      <c r="W15" s="12"/>
      <c r="X15" s="12"/>
      <c r="Y15" s="12"/>
      <c r="Z15" s="12"/>
      <c r="AA15" s="12"/>
      <c r="AB15" s="12"/>
      <c r="AC15" s="12">
        <v>10000</v>
      </c>
      <c r="AD15" s="12"/>
      <c r="AE15" s="12"/>
      <c r="AF15" s="12" t="s">
        <v>8</v>
      </c>
      <c r="AG15" s="12"/>
      <c r="AH15" s="12"/>
      <c r="AI15" s="12"/>
      <c r="AJ15" s="12"/>
      <c r="AK15" s="12"/>
      <c r="AL15" s="12"/>
      <c r="AM15" s="12"/>
      <c r="AN15" s="12"/>
      <c r="AO15" s="12"/>
      <c r="AP15" s="12" t="s">
        <v>8</v>
      </c>
      <c r="AQ15" s="8">
        <f t="shared" si="3"/>
        <v>0</v>
      </c>
      <c r="AR15" s="8">
        <f t="shared" si="4"/>
        <v>0</v>
      </c>
      <c r="AS15" s="13">
        <f t="shared" si="10"/>
        <v>25000</v>
      </c>
      <c r="AT15" s="15"/>
      <c r="AV15" s="15"/>
      <c r="AW15" s="15">
        <f t="shared" si="11"/>
        <v>290000</v>
      </c>
      <c r="AX15" s="15">
        <f t="shared" si="12"/>
        <v>0</v>
      </c>
      <c r="AY15" s="15">
        <f t="shared" si="13"/>
        <v>0</v>
      </c>
      <c r="AZ15" s="16">
        <f t="shared" si="14"/>
        <v>290000</v>
      </c>
      <c r="BA15" s="58"/>
      <c r="BB15" s="58"/>
      <c r="BC15" s="15"/>
      <c r="BD15" s="57">
        <f t="shared" si="15"/>
        <v>290000</v>
      </c>
      <c r="BE15" s="82"/>
      <c r="BF15" s="29">
        <f t="shared" si="5"/>
        <v>0</v>
      </c>
      <c r="BG15" s="29">
        <v>8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VLOOKUP(A16,[12]HISTOBQUEAVRIL24!$A$6:$G$46,3,0)</f>
        <v>260000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BANQUE</v>
      </c>
      <c r="I16" s="10">
        <v>35000</v>
      </c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f>VLOOKUP(A16,[14]TONTAVRIL24!$A$6:$R$39,12,0)</f>
        <v>0</v>
      </c>
      <c r="Q16" s="2">
        <f>VLOOKUP(A16,[15]TONTAVRIL24!$A$7:$P$23,10,0)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260000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>
        <v>15000</v>
      </c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 t="s">
        <v>8</v>
      </c>
      <c r="AQ16" s="8">
        <f t="shared" si="3"/>
        <v>0</v>
      </c>
      <c r="AR16" s="8">
        <f t="shared" si="4"/>
        <v>0</v>
      </c>
      <c r="AS16" s="13">
        <f t="shared" si="10"/>
        <v>60000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1185000</v>
      </c>
      <c r="AZ16" s="16">
        <f t="shared" si="14"/>
        <v>1185000</v>
      </c>
      <c r="BA16" s="58"/>
      <c r="BB16" s="58"/>
      <c r="BC16" s="15"/>
      <c r="BD16" s="57">
        <f t="shared" si="15"/>
        <v>1185000</v>
      </c>
      <c r="BE16" s="82"/>
      <c r="BF16" s="29">
        <f t="shared" si="5"/>
        <v>0</v>
      </c>
      <c r="BG16" s="29">
        <v>8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150000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f>VLOOKUP(A17,[14]TONTAVRIL24!$A$6:$R$39,12,0)</f>
        <v>0</v>
      </c>
      <c r="Q17" s="2"/>
      <c r="R17" s="2">
        <f>VLOOKUP(A17,[16]TONTAVRIL24!$A$7:$P$20,10,0)</f>
        <v>0</v>
      </c>
      <c r="S17" s="20"/>
      <c r="T17" s="12"/>
      <c r="U17" s="17">
        <f t="shared" si="9"/>
        <v>150000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25000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8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VLOOKUP(A18,[12]HISTOBQUEAVRIL24!$A$6:$G$46,3,0)</f>
        <v>362000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BANQUE</v>
      </c>
      <c r="I18" s="10">
        <v>10000</v>
      </c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VLOOKUP(A18,[14]TONTAVRIL24!$A$6:$R$39,12,0)</f>
        <v>0</v>
      </c>
      <c r="Q18" s="2"/>
      <c r="R18" s="2">
        <f>VLOOKUP(A18,[16]TONTAVRIL24!$A$7:$P$20,10,0)</f>
        <v>202000</v>
      </c>
      <c r="S18" s="20"/>
      <c r="T18" s="12"/>
      <c r="U18" s="17">
        <f t="shared" si="9"/>
        <v>362000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200000</v>
      </c>
      <c r="AL18" s="12"/>
      <c r="AM18" s="12"/>
      <c r="AN18" s="12">
        <f>2500+2500</f>
        <v>5000</v>
      </c>
      <c r="AO18" s="12"/>
      <c r="AP18" s="12" t="s">
        <v>8</v>
      </c>
      <c r="AQ18" s="8">
        <f t="shared" si="3"/>
        <v>0</v>
      </c>
      <c r="AR18" s="8">
        <f t="shared" si="4"/>
        <v>0</v>
      </c>
      <c r="AS18" s="13">
        <f t="shared" si="10"/>
        <v>35000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200000</v>
      </c>
      <c r="AZ18" s="16">
        <f t="shared" si="14"/>
        <v>200000</v>
      </c>
      <c r="BA18" s="58"/>
      <c r="BB18" s="58"/>
      <c r="BC18" s="15"/>
      <c r="BD18" s="57">
        <f t="shared" si="15"/>
        <v>200000</v>
      </c>
      <c r="BE18" s="82"/>
      <c r="BF18" s="29">
        <f t="shared" si="5"/>
        <v>0</v>
      </c>
      <c r="BG18" s="29">
        <v>8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50000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BANQUE</v>
      </c>
      <c r="I19" s="10"/>
      <c r="J19" s="11">
        <v>1</v>
      </c>
      <c r="K19" s="11">
        <f t="shared" si="8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VLOOKUP(A19,[14]TONTAVRIL24!$A$6:$R$39,12,0)</f>
        <v>0</v>
      </c>
      <c r="Q19" s="2"/>
      <c r="R19" s="2"/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8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VLOOKUP(A20,[12]HISTOBQUEAVRIL24!$A$6:$G$46,3,0)</f>
        <v>517000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BANQUE</v>
      </c>
      <c r="I20" s="10">
        <v>-1000</v>
      </c>
      <c r="J20" s="11">
        <v>1</v>
      </c>
      <c r="K20" s="11">
        <f t="shared" si="8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f>VLOOKUP(A20,[14]TONTAVRIL24!$A$6:$R$39,12,0)</f>
        <v>0</v>
      </c>
      <c r="Q20" s="2">
        <f>VLOOKUP(A20,[15]TONTAVRIL24!$A$7:$P$23,10,0)</f>
        <v>91000</v>
      </c>
      <c r="R20" s="2">
        <f>VLOOKUP(A20,[16]TONTAVRIL24!$A$7:$P$20,10,0)</f>
        <v>202000</v>
      </c>
      <c r="S20" s="20"/>
      <c r="T20" s="12"/>
      <c r="U20" s="17">
        <f t="shared" si="9"/>
        <v>517000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100000</v>
      </c>
      <c r="AK20" s="12">
        <v>70000</v>
      </c>
      <c r="AL20" s="12"/>
      <c r="AM20" s="12">
        <v>1500</v>
      </c>
      <c r="AN20" s="12">
        <v>1000</v>
      </c>
      <c r="AO20" s="12"/>
      <c r="AP20" s="12" t="s">
        <v>8</v>
      </c>
      <c r="AQ20" s="8">
        <f t="shared" si="3"/>
        <v>0</v>
      </c>
      <c r="AR20" s="8">
        <f t="shared" si="4"/>
        <v>0</v>
      </c>
      <c r="AS20" s="13">
        <f t="shared" si="10"/>
        <v>24000</v>
      </c>
      <c r="AT20" s="15"/>
      <c r="AV20" s="15"/>
      <c r="AW20" s="15">
        <f t="shared" si="11"/>
        <v>0</v>
      </c>
      <c r="AX20" s="15">
        <f t="shared" si="12"/>
        <v>100000</v>
      </c>
      <c r="AY20" s="15">
        <f t="shared" si="13"/>
        <v>70000</v>
      </c>
      <c r="AZ20" s="16">
        <f t="shared" si="14"/>
        <v>170000</v>
      </c>
      <c r="BA20" s="58">
        <v>80000</v>
      </c>
      <c r="BB20" s="58"/>
      <c r="BC20" s="15"/>
      <c r="BD20" s="57">
        <f t="shared" si="15"/>
        <v>90000</v>
      </c>
      <c r="BE20" s="82"/>
      <c r="BF20" s="29">
        <f t="shared" si="5"/>
        <v>0</v>
      </c>
      <c r="BG20" s="29">
        <v>8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50000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VLOOKUP(A21,[14]TONTAVRIL24!$A$6:$R$39,12,0)</f>
        <v>0</v>
      </c>
      <c r="Q21" s="2"/>
      <c r="R21" s="2"/>
      <c r="S21" s="20"/>
      <c r="T21" s="12"/>
      <c r="U21" s="17">
        <f t="shared" si="9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8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125000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f>VLOOKUP(A22,[14]TONTAVRIL24!$A$6:$R$39,12,0)</f>
        <v>0</v>
      </c>
      <c r="Q22" s="2">
        <f>VLOOKUP(A22,[15]TONTAVRIL24!$A$7:$P$23,10,0)</f>
        <v>0</v>
      </c>
      <c r="R22" s="2"/>
      <c r="S22" s="20"/>
      <c r="T22" s="12"/>
      <c r="U22" s="17">
        <f t="shared" si="9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25000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8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VLOOKUP(A23,[12]HISTOBQUEAVRIL24!$A$6:$G$46,3,0)</f>
        <v>462000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BANQUE</v>
      </c>
      <c r="I23" s="10">
        <v>10000</v>
      </c>
      <c r="J23" s="11">
        <v>1</v>
      </c>
      <c r="K23" s="11">
        <f t="shared" si="8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f>VLOOKUP(A23,[14]TONTAVRIL24!$A$6:$R$39,12,0)</f>
        <v>0</v>
      </c>
      <c r="Q23" s="2"/>
      <c r="R23" s="2">
        <f>VLOOKUP(A23,[16]TONTAVRIL24!$A$7:$P$20,10,0)</f>
        <v>202000</v>
      </c>
      <c r="S23" s="20"/>
      <c r="T23" s="12"/>
      <c r="U23" s="17">
        <f t="shared" si="9"/>
        <v>462000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3"/>
        <v>0</v>
      </c>
      <c r="AR23" s="8">
        <f t="shared" si="4"/>
        <v>0</v>
      </c>
      <c r="AS23" s="13">
        <f t="shared" si="10"/>
        <v>35000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8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-80000</v>
      </c>
      <c r="D24" s="9">
        <f>VLOOKUP(A24,[12]HISTOBQUEAVRIL24!$A$6:$G$46,3,0)</f>
        <v>0</v>
      </c>
      <c r="E24" s="9">
        <f>VLOOKUP(A24,[12]HISTOBQUEAVRIL24!$A$6:$G$41,4,0)</f>
        <v>250000</v>
      </c>
      <c r="F24" s="9">
        <f>VLOOKUP(A24,[12]HISTOBQUEAVRIL24!$A$6:$G$41,5,0)</f>
        <v>0</v>
      </c>
      <c r="G24" s="5">
        <f t="shared" si="7"/>
        <v>3000</v>
      </c>
      <c r="H24" s="10" t="str">
        <f t="shared" si="0"/>
        <v>ESPECES</v>
      </c>
      <c r="I24" s="10"/>
      <c r="J24" s="11">
        <v>1</v>
      </c>
      <c r="K24" s="11">
        <f t="shared" si="8"/>
        <v>50000</v>
      </c>
      <c r="L24" s="6">
        <v>1</v>
      </c>
      <c r="M24" s="11">
        <f t="shared" si="1"/>
        <v>75000</v>
      </c>
      <c r="N24" s="6">
        <v>1</v>
      </c>
      <c r="O24" s="11">
        <f t="shared" si="2"/>
        <v>100000</v>
      </c>
      <c r="P24" s="2">
        <f>VLOOKUP(A24,[14]TONTAVRIL24!$A$6:$R$39,12,0)</f>
        <v>0</v>
      </c>
      <c r="Q24" s="2">
        <f>VLOOKUP(A24,[15]TONTAVRIL24!$A$7:$P$23,10,0)</f>
        <v>0</v>
      </c>
      <c r="R24" s="2">
        <f>VLOOKUP(A24,[16]TONTAVRIL24!$A$7:$P$20,10,0)</f>
        <v>102000</v>
      </c>
      <c r="S24" s="20"/>
      <c r="T24" s="12"/>
      <c r="U24" s="17">
        <f t="shared" si="9"/>
        <v>330000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101000</v>
      </c>
      <c r="AL24" s="12"/>
      <c r="AM24" s="12"/>
      <c r="AN24" s="12">
        <v>2000</v>
      </c>
      <c r="AO24" s="12"/>
      <c r="AP24" s="12" t="s">
        <v>8</v>
      </c>
      <c r="AQ24" s="8">
        <f t="shared" si="3"/>
        <v>0</v>
      </c>
      <c r="AR24" s="8">
        <f t="shared" si="4"/>
        <v>0</v>
      </c>
      <c r="AS24" s="13">
        <f t="shared" si="10"/>
        <v>25000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101000</v>
      </c>
      <c r="AZ24" s="16">
        <f t="shared" si="14"/>
        <v>101000</v>
      </c>
      <c r="BA24" s="58"/>
      <c r="BB24" s="58"/>
      <c r="BC24" s="15"/>
      <c r="BD24" s="57">
        <f t="shared" si="15"/>
        <v>101000</v>
      </c>
      <c r="BE24" s="82"/>
      <c r="BF24" s="29">
        <f t="shared" si="5"/>
        <v>0</v>
      </c>
      <c r="BG24" s="29">
        <v>8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VLOOKUP(A25,[12]HISTOBQUEAVRIL24!$A$6:$G$46,3,0)</f>
        <v>575000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BANQUE</v>
      </c>
      <c r="I25" s="10">
        <v>-2000</v>
      </c>
      <c r="J25" s="11">
        <v>1</v>
      </c>
      <c r="K25" s="11">
        <f t="shared" si="8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f>VLOOKUP(A25,[14]TONTAVRIL24!$A$6:$R$39,12,0)</f>
        <v>0</v>
      </c>
      <c r="Q25" s="2">
        <f>VLOOKUP(A25,[15]TONTAVRIL24!$A$7:$P$23,10,0)</f>
        <v>0</v>
      </c>
      <c r="R25" s="2">
        <f>VLOOKUP(A25,[16]TONTAVRIL24!$A$7:$P$20,10,0)</f>
        <v>202000</v>
      </c>
      <c r="S25" s="20"/>
      <c r="T25" s="12"/>
      <c r="U25" s="17">
        <f t="shared" si="9"/>
        <v>575000</v>
      </c>
      <c r="V25" s="12"/>
      <c r="W25" s="12"/>
      <c r="X25" s="12"/>
      <c r="Y25" s="12"/>
      <c r="Z25" s="12"/>
      <c r="AA25" s="12"/>
      <c r="AB25" s="12"/>
      <c r="AC25" s="12">
        <v>11000</v>
      </c>
      <c r="AD25" s="12"/>
      <c r="AE25" s="12"/>
      <c r="AF25" s="12" t="s">
        <v>8</v>
      </c>
      <c r="AG25" s="12"/>
      <c r="AH25" s="12"/>
      <c r="AI25" s="12"/>
      <c r="AJ25" s="12"/>
      <c r="AK25" s="12">
        <v>200000</v>
      </c>
      <c r="AL25" s="12"/>
      <c r="AM25" s="12"/>
      <c r="AN25" s="12">
        <f>3000+2500</f>
        <v>5500</v>
      </c>
      <c r="AO25" s="12"/>
      <c r="AP25" s="12" t="s">
        <v>8</v>
      </c>
      <c r="AQ25" s="8">
        <f t="shared" si="3"/>
        <v>0</v>
      </c>
      <c r="AR25" s="8">
        <f t="shared" si="4"/>
        <v>0</v>
      </c>
      <c r="AS25" s="13">
        <f t="shared" si="10"/>
        <v>23000</v>
      </c>
      <c r="AT25" s="15"/>
      <c r="AV25" s="15"/>
      <c r="AW25" s="15">
        <f t="shared" si="11"/>
        <v>289000</v>
      </c>
      <c r="AX25" s="15">
        <f t="shared" si="12"/>
        <v>0</v>
      </c>
      <c r="AY25" s="15">
        <f t="shared" si="13"/>
        <v>200000</v>
      </c>
      <c r="AZ25" s="16">
        <f t="shared" si="14"/>
        <v>489000</v>
      </c>
      <c r="BA25" s="58"/>
      <c r="BB25" s="58"/>
      <c r="BC25" s="15"/>
      <c r="BD25" s="57">
        <f t="shared" si="15"/>
        <v>489000</v>
      </c>
      <c r="BE25" s="82"/>
      <c r="BF25" s="29">
        <f t="shared" si="5"/>
        <v>0</v>
      </c>
      <c r="BG25" s="29">
        <v>8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VLOOKUP(A26,[12]HISTOBQUEAVRIL24!$A$6:$G$46,3,0)-3000</f>
        <v>50000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BANQUE</v>
      </c>
      <c r="I26" s="10"/>
      <c r="J26" s="11">
        <v>1</v>
      </c>
      <c r="K26" s="11">
        <f t="shared" si="8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VLOOKUP(A26,[14]TONTAVRIL24!$A$6:$R$39,12,0)</f>
        <v>0</v>
      </c>
      <c r="Q26" s="2"/>
      <c r="R26" s="2"/>
      <c r="S26" s="20"/>
      <c r="T26" s="12"/>
      <c r="U26" s="17">
        <f t="shared" si="9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25000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8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50000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BANQUE</v>
      </c>
      <c r="I27" s="10"/>
      <c r="J27" s="11">
        <v>1</v>
      </c>
      <c r="K27" s="11">
        <f t="shared" si="8"/>
        <v>50000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VLOOKUP(A27,[14]TONTAVRIL24!$A$6:$R$39,12,0)</f>
        <v>0</v>
      </c>
      <c r="Q27" s="2"/>
      <c r="R27" s="2"/>
      <c r="S27" s="20"/>
      <c r="T27" s="12"/>
      <c r="U27" s="17">
        <f t="shared" si="9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25000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8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125000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f>VLOOKUP(A28,[14]TONTAVRIL24!$A$6:$R$39,12,0)</f>
        <v>0</v>
      </c>
      <c r="Q28" s="2">
        <f>VLOOKUP(A28,[15]TONTAVRIL24!$A$7:$P$23,10,0)</f>
        <v>0</v>
      </c>
      <c r="R28" s="2"/>
      <c r="S28" s="20"/>
      <c r="T28" s="12"/>
      <c r="U28" s="17">
        <f t="shared" si="9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8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VLOOKUP(A29,[12]HISTOBQUEAVRIL24!$A$6:$G$46,3,0)</f>
        <v>92500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BANQUE</v>
      </c>
      <c r="I29" s="10"/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VLOOKUP(A29,[14]TONTAVRIL24!$A$6:$R$39,12,0)</f>
        <v>42500</v>
      </c>
      <c r="Q29" s="2"/>
      <c r="R29" s="2"/>
      <c r="S29" s="20"/>
      <c r="T29" s="12"/>
      <c r="U29" s="17">
        <f t="shared" si="9"/>
        <v>92500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25000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8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250000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BANQUE</v>
      </c>
      <c r="I30" s="10"/>
      <c r="J30" s="11">
        <v>1</v>
      </c>
      <c r="K30" s="11">
        <f t="shared" si="8"/>
        <v>50000</v>
      </c>
      <c r="L30" s="6"/>
      <c r="M30" s="11">
        <f t="shared" si="1"/>
        <v>0</v>
      </c>
      <c r="N30" s="6">
        <v>2</v>
      </c>
      <c r="O30" s="11">
        <f t="shared" si="2"/>
        <v>200000</v>
      </c>
      <c r="P30" s="2">
        <f>VLOOKUP(A30,[14]TONTAVRIL24!$A$6:$R$39,12,0)</f>
        <v>0</v>
      </c>
      <c r="Q30" s="2"/>
      <c r="R30" s="2">
        <f>VLOOKUP(A30,[16]TONTAVRIL24!$A$7:$P$20,10,0)</f>
        <v>0</v>
      </c>
      <c r="S30" s="20"/>
      <c r="T30" s="12"/>
      <c r="U30" s="17">
        <f t="shared" si="9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25000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8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150000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f>VLOOKUP(A31,[14]TONTAVRIL24!$A$6:$R$39,12,0)</f>
        <v>0</v>
      </c>
      <c r="Q31" s="2"/>
      <c r="R31" s="2">
        <f>VLOOKUP(A31,[16]TONTAVRIL24!$A$7:$P$20,10,0)</f>
        <v>0</v>
      </c>
      <c r="S31" s="20"/>
      <c r="T31" s="12"/>
      <c r="U31" s="17">
        <f t="shared" si="9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>
        <v>40000</v>
      </c>
      <c r="AF31" s="12" t="s">
        <v>8</v>
      </c>
      <c r="AG31" s="12"/>
      <c r="AH31" s="12"/>
      <c r="AI31" s="12"/>
      <c r="AJ31" s="12"/>
      <c r="AK31" s="12"/>
      <c r="AL31" s="12"/>
      <c r="AM31" s="12"/>
      <c r="AN31" s="12"/>
      <c r="AO31" s="12"/>
      <c r="AP31" s="12" t="s">
        <v>8</v>
      </c>
      <c r="AQ31" s="8">
        <f t="shared" si="3"/>
        <v>0</v>
      </c>
      <c r="AR31" s="8">
        <f t="shared" si="4"/>
        <v>0</v>
      </c>
      <c r="AS31" s="13">
        <f t="shared" si="10"/>
        <v>25000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1160000</v>
      </c>
      <c r="AZ31" s="16">
        <f t="shared" si="14"/>
        <v>1160000</v>
      </c>
      <c r="BA31" s="58"/>
      <c r="BB31" s="58"/>
      <c r="BC31" s="15"/>
      <c r="BD31" s="57">
        <f t="shared" si="15"/>
        <v>1160000</v>
      </c>
      <c r="BE31" s="82"/>
      <c r="BF31" s="29">
        <f t="shared" si="5"/>
        <v>0</v>
      </c>
      <c r="BG31" s="29">
        <v>8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125000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f>VLOOKUP(A32,[14]TONTAVRIL24!$A$6:$R$39,12,0)</f>
        <v>0</v>
      </c>
      <c r="Q32" s="2">
        <f>VLOOKUP(A32,[15]TONTAVRIL24!$A$7:$P$23,10,0)</f>
        <v>0</v>
      </c>
      <c r="R32" s="2"/>
      <c r="S32" s="20"/>
      <c r="T32" s="12"/>
      <c r="U32" s="17">
        <f t="shared" si="9"/>
        <v>125000</v>
      </c>
      <c r="V32" s="12"/>
      <c r="W32" s="12"/>
      <c r="X32" s="12"/>
      <c r="Y32" s="12"/>
      <c r="Z32" s="12"/>
      <c r="AA32" s="12"/>
      <c r="AB32" s="12"/>
      <c r="AC32" s="12">
        <v>10500</v>
      </c>
      <c r="AD32" s="12">
        <v>7500</v>
      </c>
      <c r="AE32" s="12"/>
      <c r="AF32" s="12" t="s">
        <v>8</v>
      </c>
      <c r="AG32" s="12"/>
      <c r="AH32" s="12"/>
      <c r="AI32" s="12"/>
      <c r="AJ32" s="12">
        <v>100000</v>
      </c>
      <c r="AK32" s="12"/>
      <c r="AL32" s="12"/>
      <c r="AM32" s="12">
        <v>1000</v>
      </c>
      <c r="AN32" s="12"/>
      <c r="AO32" s="12"/>
      <c r="AP32" s="12" t="s">
        <v>8</v>
      </c>
      <c r="AQ32" s="8">
        <f t="shared" si="3"/>
        <v>0</v>
      </c>
      <c r="AR32" s="8">
        <f t="shared" si="4"/>
        <v>0</v>
      </c>
      <c r="AS32" s="13">
        <f t="shared" si="10"/>
        <v>25000</v>
      </c>
      <c r="AT32" s="15"/>
      <c r="AV32" s="15"/>
      <c r="AW32" s="15">
        <f t="shared" si="11"/>
        <v>289500</v>
      </c>
      <c r="AX32" s="15">
        <f t="shared" si="12"/>
        <v>992500</v>
      </c>
      <c r="AY32" s="15">
        <f t="shared" si="13"/>
        <v>0</v>
      </c>
      <c r="AZ32" s="16">
        <f t="shared" si="14"/>
        <v>1282000</v>
      </c>
      <c r="BA32" s="58">
        <v>20000</v>
      </c>
      <c r="BB32" s="58"/>
      <c r="BC32" s="15"/>
      <c r="BD32" s="57">
        <f t="shared" si="15"/>
        <v>1262000</v>
      </c>
      <c r="BE32" s="82"/>
      <c r="BF32" s="29">
        <f t="shared" si="5"/>
        <v>0</v>
      </c>
      <c r="BG32" s="29">
        <v>8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VLOOKUP(A33,[12]HISTOBQUEAVRIL24!$A$6:$G$46,3,0)</f>
        <v>230000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BANQUE</v>
      </c>
      <c r="I33" s="10">
        <v>80000</v>
      </c>
      <c r="J33" s="11">
        <v>1</v>
      </c>
      <c r="K33" s="11">
        <f t="shared" si="8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f>VLOOKUP(A33,[14]TONTAVRIL24!$A$6:$R$39,12,0)</f>
        <v>0</v>
      </c>
      <c r="Q33" s="2"/>
      <c r="R33" s="2">
        <f>VLOOKUP(A33,[16]TONTAVRIL24!$A$7:$P$20,10,0)</f>
        <v>0</v>
      </c>
      <c r="S33" s="20"/>
      <c r="T33" s="12"/>
      <c r="U33" s="17">
        <f t="shared" si="9"/>
        <v>230000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105000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8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VLOOKUP(A34,[12]HISTOBQUEAVRIL24!$A$6:$G$46,3,0)</f>
        <v>0</v>
      </c>
      <c r="E34" s="9">
        <f>VLOOKUP(A34,[12]HISTOBQUEAVRIL24!$A$6:$G$41,4,0)</f>
        <v>50000</v>
      </c>
      <c r="F34" s="9">
        <f>VLOOKUP(A34,[12]HISTOBQUEAVRIL24!$A$6:$G$41,5,0)</f>
        <v>0</v>
      </c>
      <c r="G34" s="5">
        <f t="shared" si="7"/>
        <v>3000</v>
      </c>
      <c r="H34" s="10" t="str">
        <f t="shared" si="0"/>
        <v>ESPECES</v>
      </c>
      <c r="I34" s="10">
        <v>-3000</v>
      </c>
      <c r="J34" s="11">
        <v>1</v>
      </c>
      <c r="K34" s="11">
        <f t="shared" si="8"/>
        <v>50000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VLOOKUP(A34,[14]TONTAVRIL24!$A$6:$R$39,12,0)</f>
        <v>0</v>
      </c>
      <c r="Q34" s="2"/>
      <c r="R34" s="2"/>
      <c r="S34" s="20"/>
      <c r="T34" s="12"/>
      <c r="U34" s="17">
        <f t="shared" si="9"/>
        <v>50000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22000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8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VLOOKUP(A35,[12]HISTOBQUEAVRIL24!$A$6:$G$46,3,0)</f>
        <v>60000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BANQUE</v>
      </c>
      <c r="I35" s="10">
        <v>10000</v>
      </c>
      <c r="J35" s="11">
        <v>1</v>
      </c>
      <c r="K35" s="11">
        <f t="shared" si="8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VLOOKUP(A35,[14]TONTAVRIL24!$A$6:$R$39,12,0)</f>
        <v>0</v>
      </c>
      <c r="Q35" s="2"/>
      <c r="R35" s="2"/>
      <c r="S35" s="20"/>
      <c r="T35" s="12"/>
      <c r="U35" s="17">
        <f t="shared" si="9"/>
        <v>60000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35000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8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VLOOKUP(A36,[12]HISTOBQUEAVRIL24!$A$6:$G$46,3,0)</f>
        <v>0</v>
      </c>
      <c r="E36" s="9">
        <f>VLOOKUP(A36,[12]HISTOBQUEAVRIL24!$A$6:$G$41,4,0)+3000</f>
        <v>53000</v>
      </c>
      <c r="F36" s="9">
        <f>VLOOKUP(A36,[12]HISTOBQUEAVRIL24!$A$6:$G$41,5,0)</f>
        <v>0</v>
      </c>
      <c r="G36" s="5">
        <f t="shared" si="7"/>
        <v>3000</v>
      </c>
      <c r="H36" s="10" t="str">
        <f t="shared" si="0"/>
        <v>ESPECES</v>
      </c>
      <c r="I36" s="10"/>
      <c r="J36" s="11">
        <v>1</v>
      </c>
      <c r="K36" s="11">
        <f t="shared" si="8"/>
        <v>50000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VLOOKUP(A36,[14]TONTAVRIL24!$A$6:$R$39,12,0)</f>
        <v>0</v>
      </c>
      <c r="Q36" s="2"/>
      <c r="R36" s="2"/>
      <c r="S36" s="20"/>
      <c r="T36" s="12"/>
      <c r="U36" s="17">
        <f t="shared" si="9"/>
        <v>53000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25000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8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150000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BANQUE</v>
      </c>
      <c r="I37" s="10"/>
      <c r="J37" s="11">
        <v>1</v>
      </c>
      <c r="K37" s="11">
        <f t="shared" si="8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f>VLOOKUP(A37,[14]TONTAVRIL24!$A$6:$R$39,12,0)</f>
        <v>0</v>
      </c>
      <c r="Q37" s="2"/>
      <c r="R37" s="2">
        <f>VLOOKUP(A37,[16]TONTAVRIL24!$A$7:$P$20,10,0)</f>
        <v>0</v>
      </c>
      <c r="S37" s="6"/>
      <c r="T37" s="12"/>
      <c r="U37" s="17">
        <f t="shared" si="9"/>
        <v>150000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8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125000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f>VLOOKUP(A38,[14]TONTAVRIL24!$A$6:$R$39,12,0)</f>
        <v>0</v>
      </c>
      <c r="Q38" s="2">
        <f>VLOOKUP(A38,[15]TONTAVRIL24!$A$7:$P$23,10,0)</f>
        <v>0</v>
      </c>
      <c r="R38" s="2"/>
      <c r="S38" s="6"/>
      <c r="T38" s="12"/>
      <c r="U38" s="17">
        <f t="shared" si="9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8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-121000</v>
      </c>
      <c r="D40" s="5">
        <f t="shared" si="16"/>
        <v>5671500</v>
      </c>
      <c r="E40" s="5">
        <f t="shared" si="16"/>
        <v>403000</v>
      </c>
      <c r="F40" s="5">
        <f t="shared" si="16"/>
        <v>0</v>
      </c>
      <c r="G40" s="5">
        <f t="shared" si="16"/>
        <v>12000</v>
      </c>
      <c r="H40" s="5">
        <f t="shared" si="16"/>
        <v>0</v>
      </c>
      <c r="I40" s="5">
        <f t="shared" si="16"/>
        <v>148500</v>
      </c>
      <c r="J40" s="5">
        <f t="shared" si="16"/>
        <v>32</v>
      </c>
      <c r="K40" s="5">
        <f t="shared" si="16"/>
        <v>1600000</v>
      </c>
      <c r="L40" s="5">
        <f t="shared" si="16"/>
        <v>16</v>
      </c>
      <c r="M40" s="5">
        <f t="shared" si="16"/>
        <v>1200000</v>
      </c>
      <c r="N40" s="5">
        <f t="shared" si="16"/>
        <v>18</v>
      </c>
      <c r="O40" s="5">
        <f t="shared" si="16"/>
        <v>1800000</v>
      </c>
      <c r="P40" s="5">
        <f t="shared" si="16"/>
        <v>123500</v>
      </c>
      <c r="Q40" s="5">
        <f t="shared" si="16"/>
        <v>194000</v>
      </c>
      <c r="R40" s="5">
        <f t="shared" si="16"/>
        <v>1117500</v>
      </c>
      <c r="S40" s="5">
        <f t="shared" si="16"/>
        <v>0</v>
      </c>
      <c r="T40" s="5"/>
      <c r="U40" s="5">
        <f t="shared" ref="U40:AA40" si="17">SUM(U6:U39)</f>
        <v>6195500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31500</v>
      </c>
      <c r="AD40" s="5">
        <f>SUM(AD6:AD39)</f>
        <v>7500</v>
      </c>
      <c r="AE40" s="5">
        <f>SUM(AE6:AE39)</f>
        <v>55000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41000</v>
      </c>
      <c r="AJ40" s="5">
        <f t="shared" si="18"/>
        <v>501500</v>
      </c>
      <c r="AK40" s="5">
        <f t="shared" si="18"/>
        <v>571000</v>
      </c>
      <c r="AL40" s="5">
        <f t="shared" si="18"/>
        <v>2000</v>
      </c>
      <c r="AM40" s="5">
        <f t="shared" si="18"/>
        <v>8000</v>
      </c>
      <c r="AN40" s="5">
        <f t="shared" si="18"/>
        <v>13500</v>
      </c>
      <c r="AO40" s="5">
        <f t="shared" si="18"/>
        <v>0</v>
      </c>
      <c r="AP40" s="5"/>
      <c r="AQ40" s="5">
        <f t="shared" si="18"/>
        <v>0</v>
      </c>
      <c r="AR40" s="5">
        <f t="shared" si="18"/>
        <v>0</v>
      </c>
      <c r="AS40" s="5">
        <f t="shared" si="18"/>
        <v>948500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909500</v>
      </c>
      <c r="AX40" s="5">
        <f t="shared" si="18"/>
        <v>1394000</v>
      </c>
      <c r="AY40" s="5">
        <f t="shared" si="18"/>
        <v>2916000</v>
      </c>
      <c r="AZ40" s="5">
        <f t="shared" si="18"/>
        <v>5219500</v>
      </c>
      <c r="BA40" s="5">
        <f t="shared" si="18"/>
        <v>400000</v>
      </c>
      <c r="BB40" s="5">
        <f t="shared" si="18"/>
        <v>0</v>
      </c>
      <c r="BC40" s="5">
        <f t="shared" si="18"/>
        <v>0</v>
      </c>
      <c r="BD40" s="5">
        <f t="shared" si="18"/>
        <v>4819500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5219500</v>
      </c>
      <c r="D47" s="9">
        <f>SUMIFS(D8:D40,H8:H40,"BANQUE")</f>
        <v>5496500</v>
      </c>
      <c r="F47" s="9">
        <f>E40</f>
        <v>403000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10439000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tabSelected="1" zoomScaleNormal="100" workbookViewId="0">
      <pane xSplit="4" ySplit="5" topLeftCell="N6" activePane="bottomRight" state="frozen"/>
      <selection pane="topRight" activeCell="E1" sqref="E1"/>
      <selection pane="bottomLeft" activeCell="A6" sqref="A6"/>
      <selection pane="bottomRight" activeCell="Q11" sqref="Q11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VLOOKUP(A6,[12]HISTOBQUEMAI24!$A$6:$G$46,3,0)</f>
        <v>0</v>
      </c>
      <c r="E6" s="9">
        <f>VLOOKUP(A6,[12]HISTOBQUEMAI24!$A$6:$G$41,4,0)</f>
        <v>0</v>
      </c>
      <c r="F6" s="9">
        <f>VLOOKUP(A6,[12]HISTOBQUEMAI24!$A$6:$G$41,5,0)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7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VLOOKUP(A7,[12]HISTOBQUEMAI24!$A$6:$G$46,3,0)</f>
        <v>0</v>
      </c>
      <c r="E7" s="9">
        <f>VLOOKUP(A7,[12]HISTOBQUEMAI24!$A$6:$G$41,4,0)</f>
        <v>0</v>
      </c>
      <c r="F7" s="9">
        <f>VLOOKUP(A7,[12]HISTOBQUEMAI24!$A$6:$G$41,5,0)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VLOOKUP(A7,[14]TONTMAI24!$A$6:$R$39,12,0)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7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VLOOKUP(A8,[12]HISTOBQUEMAI24!$A$6:$G$46,3,0)</f>
        <v>0</v>
      </c>
      <c r="E8" s="9">
        <f>VLOOKUP(A8,[12]HISTOBQUEMAI24!$A$6:$G$41,4,0)</f>
        <v>0</v>
      </c>
      <c r="F8" s="9">
        <f>VLOOKUP(A8,[12]HISTOBQUEMAI24!$A$6:$G$41,5,0)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VLOOKUP(A8,[14]TONTMAI24!$A$6:$R$39,12,0)</f>
        <v>0</v>
      </c>
      <c r="Q8" s="2">
        <f>VLOOKUP(A8,[15]TONTMAI24!$A$7:$P$23,10,0)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7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VLOOKUP(A9,[12]HISTOBQUEMAI24!$A$6:$G$46,3,0)</f>
        <v>0</v>
      </c>
      <c r="E9" s="9">
        <f>VLOOKUP(A9,[12]HISTOBQUEMAI24!$A$6:$G$41,4,0)</f>
        <v>0</v>
      </c>
      <c r="F9" s="9">
        <f>VLOOKUP(A9,[12]HISTOBQUEMAI24!$A$6:$G$41,5,0)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VLOOKUP(A9,[14]TONTMAI24!$A$6:$R$39,12,0)</f>
        <v>0</v>
      </c>
      <c r="Q9" s="2"/>
      <c r="R9" s="2">
        <f>VLOOKUP(A9,[16]TONTMAI24!$A$7:$P$20,10,0)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7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-104000</v>
      </c>
      <c r="D10" s="9">
        <f>VLOOKUP(A10,[12]HISTOBQUEMAI24!$A$6:$G$46,3,0)</f>
        <v>0</v>
      </c>
      <c r="E10" s="9">
        <f>VLOOKUP(A10,[12]HISTOBQUEMAI24!$A$6:$G$41,4,0)</f>
        <v>0</v>
      </c>
      <c r="F10" s="9">
        <f>VLOOKUP(A10,[12]HISTOBQUEMAI24!$A$6:$G$41,5,0)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VLOOKUP(A10,[14]TONTMAI24!$A$6:$R$39,12,0)</f>
        <v>0</v>
      </c>
      <c r="Q10" s="2">
        <f>VLOOKUP(A10,[15]TONTMAI24!$A$7:$P$23,10,0)</f>
        <v>104000</v>
      </c>
      <c r="R10" s="2"/>
      <c r="S10" s="20"/>
      <c r="T10" s="12"/>
      <c r="U10" s="17">
        <f t="shared" si="9"/>
        <v>104000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7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-246000</v>
      </c>
      <c r="D11" s="9">
        <f>VLOOKUP(A11,[12]HISTOBQUEMAI24!$A$6:$G$46,3,0)</f>
        <v>0</v>
      </c>
      <c r="E11" s="9">
        <f>VLOOKUP(A11,[12]HISTOBQUEMAI24!$A$6:$G$41,4,0)</f>
        <v>0</v>
      </c>
      <c r="F11" s="9">
        <f>VLOOKUP(A11,[12]HISTOBQUEMAI24!$A$6:$G$41,5,0)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VLOOKUP(A11,[14]TONTMAI24!$A$6:$R$39,12,0)</f>
        <v>43000</v>
      </c>
      <c r="Q11" s="2">
        <f>VLOOKUP(A11,[15]TONTMAI24!$A$7:$P$23,10,0)</f>
        <v>203000</v>
      </c>
      <c r="R11" s="2"/>
      <c r="S11" s="20"/>
      <c r="T11" s="12"/>
      <c r="U11" s="17">
        <f t="shared" si="9"/>
        <v>246000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7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VLOOKUP(A12,[12]HISTOBQUEMAI24!$A$6:$G$46,3,0)</f>
        <v>0</v>
      </c>
      <c r="E12" s="9">
        <f>VLOOKUP(A12,[12]HISTOBQUEMAI24!$A$6:$G$41,4,0)</f>
        <v>0</v>
      </c>
      <c r="F12" s="9">
        <f>VLOOKUP(A12,[12]HISTOBQUEMAI24!$A$6:$G$41,5,0)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VLOOKUP(A12,[14]TONTMAI24!$A$6:$R$39,12,0)</f>
        <v>0</v>
      </c>
      <c r="Q12" s="2">
        <f>VLOOKUP(A12,[15]TONTMAI24!$A$7:$P$23,10,0)</f>
        <v>0</v>
      </c>
      <c r="R12" s="2">
        <f>VLOOKUP(A12,[16]TONTMAI24!$A$7:$P$20,10,0)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7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VLOOKUP(A13,[12]HISTOBQUEMAI24!$A$6:$G$46,3,0)</f>
        <v>0</v>
      </c>
      <c r="E13" s="9">
        <f>VLOOKUP(A13,[12]HISTOBQUEMAI24!$A$6:$G$41,4,0)</f>
        <v>0</v>
      </c>
      <c r="F13" s="9">
        <f>VLOOKUP(A13,[12]HISTOBQUEMAI24!$A$6:$G$41,5,0)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VLOOKUP(A13,[14]TONTMAI24!$A$6:$R$39,12,0)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7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VLOOKUP(A14,[12]HISTOBQUEMAI24!$A$6:$G$46,3,0)</f>
        <v>0</v>
      </c>
      <c r="E14" s="9">
        <f>VLOOKUP(A14,[12]HISTOBQUEMAI24!$A$6:$G$41,4,0)</f>
        <v>0</v>
      </c>
      <c r="F14" s="9">
        <f>VLOOKUP(A14,[12]HISTOBQUEMAI24!$A$6:$G$41,5,0)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VLOOKUP(A14,[14]TONTMAI24!$A$6:$R$39,12,0)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7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VLOOKUP(A15,[12]HISTOBQUEMAI24!$A$6:$G$46,3,0)</f>
        <v>0</v>
      </c>
      <c r="E15" s="9">
        <f>VLOOKUP(A15,[12]HISTOBQUEMAI24!$A$6:$G$41,4,0)</f>
        <v>0</v>
      </c>
      <c r="F15" s="9">
        <f>VLOOKUP(A15,[12]HISTOBQUEMAI24!$A$6:$G$41,5,0)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VLOOKUP(A15,[14]TONTMAI24!$A$6:$R$39,12,0)</f>
        <v>0</v>
      </c>
      <c r="Q15" s="2">
        <f>VLOOKUP(A15,[15]TONTMAI24!$A$7:$P$23,10,0)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7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VLOOKUP(A16,[12]HISTOBQUEMAI24!$A$6:$G$46,3,0)</f>
        <v>0</v>
      </c>
      <c r="E16" s="9">
        <f>VLOOKUP(A16,[12]HISTOBQUEMAI24!$A$6:$G$41,4,0)</f>
        <v>0</v>
      </c>
      <c r="F16" s="9">
        <f>VLOOKUP(A16,[12]HISTOBQUEMAI24!$A$6:$G$41,5,0)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VLOOKUP(A16,[14]TONTMAI24!$A$6:$R$39,12,0)</f>
        <v>0</v>
      </c>
      <c r="Q16" s="2">
        <f>VLOOKUP(A16,[15]TONTMAI24!$A$7:$P$23,10,0)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7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VLOOKUP(A17,[12]HISTOBQUEMAI24!$A$6:$G$46,3,0)</f>
        <v>0</v>
      </c>
      <c r="E17" s="9">
        <f>VLOOKUP(A17,[12]HISTOBQUEMAI24!$A$6:$G$41,4,0)</f>
        <v>0</v>
      </c>
      <c r="F17" s="9">
        <f>VLOOKUP(A17,[12]HISTOBQUEMAI24!$A$6:$G$41,5,0)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VLOOKUP(A17,[14]TONTMAI24!$A$6:$R$39,12,0)</f>
        <v>0</v>
      </c>
      <c r="Q17" s="2"/>
      <c r="R17" s="2">
        <f>VLOOKUP(A17,[16]TONTMAI24!$A$7:$P$20,10,0)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7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-205000</v>
      </c>
      <c r="D18" s="9">
        <f>VLOOKUP(A18,[12]HISTOBQUEMAI24!$A$6:$G$46,3,0)</f>
        <v>0</v>
      </c>
      <c r="E18" s="9">
        <f>VLOOKUP(A18,[12]HISTOBQUEMAI24!$A$6:$G$41,4,0)</f>
        <v>0</v>
      </c>
      <c r="F18" s="9">
        <f>VLOOKUP(A18,[12]HISTOBQUEMAI24!$A$6:$G$41,5,0)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VLOOKUP(A18,[14]TONTMAI24!$A$6:$R$39,12,0)</f>
        <v>0</v>
      </c>
      <c r="Q18" s="2"/>
      <c r="R18" s="2">
        <f>VLOOKUP(A18,[16]TONTMAI24!$A$7:$P$20,10,0)</f>
        <v>205000</v>
      </c>
      <c r="S18" s="20"/>
      <c r="T18" s="12"/>
      <c r="U18" s="17">
        <f t="shared" si="9"/>
        <v>205000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7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VLOOKUP(A19,[12]HISTOBQUEMAI24!$A$6:$G$46,3,0)</f>
        <v>0</v>
      </c>
      <c r="E19" s="9">
        <f>VLOOKUP(A19,[12]HISTOBQUEMAI24!$A$6:$G$41,4,0)</f>
        <v>0</v>
      </c>
      <c r="F19" s="9">
        <f>VLOOKUP(A19,[12]HISTOBQUEMAI24!$A$6:$G$41,5,0)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VLOOKUP(A19,[14]TONTMAI24!$A$6:$R$39,12,0)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7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-172500</v>
      </c>
      <c r="D20" s="9">
        <f>VLOOKUP(A20,[12]HISTOBQUEMAI24!$A$6:$G$46,3,0)</f>
        <v>0</v>
      </c>
      <c r="E20" s="9">
        <f>VLOOKUP(A20,[12]HISTOBQUEMAI24!$A$6:$G$41,4,0)</f>
        <v>0</v>
      </c>
      <c r="F20" s="9">
        <f>VLOOKUP(A20,[12]HISTOBQUEMAI24!$A$6:$G$41,5,0)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VLOOKUP(A20,[14]TONTMAI24!$A$6:$R$39,12,0)</f>
        <v>0</v>
      </c>
      <c r="Q20" s="2">
        <f>VLOOKUP(A20,[15]TONTMAI24!$A$7:$P$23,10,0)</f>
        <v>101500</v>
      </c>
      <c r="R20" s="2">
        <f>VLOOKUP(A20,[16]TONTMAI24!$A$7:$P$20,10,0)</f>
        <v>71000</v>
      </c>
      <c r="S20" s="20"/>
      <c r="T20" s="12"/>
      <c r="U20" s="17">
        <f t="shared" si="9"/>
        <v>172500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7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VLOOKUP(A21,[12]HISTOBQUEMAI24!$A$6:$G$46,3,0)</f>
        <v>0</v>
      </c>
      <c r="E21" s="9">
        <f>VLOOKUP(A21,[12]HISTOBQUEMAI24!$A$6:$G$41,4,0)</f>
        <v>0</v>
      </c>
      <c r="F21" s="9">
        <f>VLOOKUP(A21,[12]HISTOBQUEMAI24!$A$6:$G$41,5,0)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VLOOKUP(A21,[14]TONTMAI24!$A$6:$R$39,12,0)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7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VLOOKUP(A22,[12]HISTOBQUEMAI24!$A$6:$G$46,3,0)</f>
        <v>0</v>
      </c>
      <c r="E22" s="9">
        <f>VLOOKUP(A22,[12]HISTOBQUEMAI24!$A$6:$G$41,4,0)</f>
        <v>0</v>
      </c>
      <c r="F22" s="9">
        <f>VLOOKUP(A22,[12]HISTOBQUEMAI24!$A$6:$G$41,5,0)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VLOOKUP(A22,[14]TONTMAI24!$A$6:$R$39,12,0)</f>
        <v>0</v>
      </c>
      <c r="Q22" s="2">
        <f>VLOOKUP(A22,[15]TONTMAI24!$A$7:$P$23,10,0)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7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VLOOKUP(A23,[12]HISTOBQUEMAI24!$A$6:$G$46,3,0)</f>
        <v>0</v>
      </c>
      <c r="E23" s="9">
        <f>VLOOKUP(A23,[12]HISTOBQUEMAI24!$A$6:$G$41,4,0)</f>
        <v>0</v>
      </c>
      <c r="F23" s="9">
        <f>VLOOKUP(A23,[12]HISTOBQUEMAI24!$A$6:$G$41,5,0)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VLOOKUP(A23,[14]TONTMAI24!$A$6:$R$39,12,0)</f>
        <v>0</v>
      </c>
      <c r="Q23" s="2"/>
      <c r="R23" s="2">
        <f>VLOOKUP(A23,[16]TONTMAI24!$A$7:$P$20,10,0)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7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-103000</v>
      </c>
      <c r="D24" s="9">
        <f>VLOOKUP(A24,[12]HISTOBQUEMAI24!$A$6:$G$46,3,0)</f>
        <v>0</v>
      </c>
      <c r="E24" s="9">
        <f>VLOOKUP(A24,[12]HISTOBQUEMAI24!$A$6:$G$41,4,0)</f>
        <v>0</v>
      </c>
      <c r="F24" s="9">
        <f>VLOOKUP(A24,[12]HISTOBQUEMAI24!$A$6:$G$41,5,0)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VLOOKUP(A24,[14]TONTMAI24!$A$6:$R$39,12,0)</f>
        <v>0</v>
      </c>
      <c r="Q24" s="2">
        <f>VLOOKUP(A24,[15]TONTMAI24!$A$7:$P$23,10,0)</f>
        <v>0</v>
      </c>
      <c r="R24" s="2">
        <f>VLOOKUP(A24,[16]TONTMAI24!$A$7:$P$20,10,0)</f>
        <v>103000</v>
      </c>
      <c r="S24" s="20"/>
      <c r="T24" s="12"/>
      <c r="U24" s="17">
        <f t="shared" si="9"/>
        <v>103000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7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-205500</v>
      </c>
      <c r="D25" s="9">
        <f>VLOOKUP(A25,[12]HISTOBQUEMAI24!$A$6:$G$46,3,0)</f>
        <v>0</v>
      </c>
      <c r="E25" s="9">
        <f>VLOOKUP(A25,[12]HISTOBQUEMAI24!$A$6:$G$41,4,0)</f>
        <v>0</v>
      </c>
      <c r="F25" s="9">
        <f>VLOOKUP(A25,[12]HISTOBQUEMAI24!$A$6:$G$41,5,0)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VLOOKUP(A25,[14]TONTMAI24!$A$6:$R$39,12,0)</f>
        <v>0</v>
      </c>
      <c r="Q25" s="2">
        <f>VLOOKUP(A25,[15]TONTMAI24!$A$7:$P$23,10,0)</f>
        <v>0</v>
      </c>
      <c r="R25" s="2">
        <f>VLOOKUP(A25,[16]TONTMAI24!$A$7:$P$20,10,0)</f>
        <v>205500</v>
      </c>
      <c r="S25" s="20"/>
      <c r="T25" s="12"/>
      <c r="U25" s="17">
        <f t="shared" si="9"/>
        <v>205500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7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VLOOKUP(A26,[12]HISTOBQUEMAI24!$A$6:$G$46,3,0)</f>
        <v>0</v>
      </c>
      <c r="E26" s="9">
        <f>VLOOKUP(A26,[12]HISTOBQUEMAI24!$A$6:$G$41,4,0)</f>
        <v>0</v>
      </c>
      <c r="F26" s="9">
        <f>VLOOKUP(A26,[12]HISTOBQUEMAI24!$A$6:$G$41,5,0)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VLOOKUP(A26,[14]TONTMAI24!$A$6:$R$39,12,0)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7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VLOOKUP(A27,[12]HISTOBQUEMAI24!$A$6:$G$46,3,0)</f>
        <v>0</v>
      </c>
      <c r="E27" s="9">
        <f>VLOOKUP(A27,[12]HISTOBQUEMAI24!$A$6:$G$41,4,0)</f>
        <v>0</v>
      </c>
      <c r="F27" s="9">
        <f>VLOOKUP(A27,[12]HISTOBQUEMAI24!$A$6:$G$41,5,0)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VLOOKUP(A27,[14]TONTMAI24!$A$6:$R$39,12,0)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7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VLOOKUP(A28,[12]HISTOBQUEMAI24!$A$6:$G$46,3,0)</f>
        <v>0</v>
      </c>
      <c r="E28" s="9">
        <f>VLOOKUP(A28,[12]HISTOBQUEMAI24!$A$6:$G$41,4,0)</f>
        <v>0</v>
      </c>
      <c r="F28" s="9">
        <f>VLOOKUP(A28,[12]HISTOBQUEMAI24!$A$6:$G$41,5,0)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VLOOKUP(A28,[14]TONTMAI24!$A$6:$R$39,12,0)</f>
        <v>0</v>
      </c>
      <c r="Q28" s="2">
        <f>VLOOKUP(A28,[15]TONTMAI24!$A$7:$P$23,10,0)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7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VLOOKUP(A29,[12]HISTOBQUEMAI24!$A$6:$G$46,3,0)</f>
        <v>0</v>
      </c>
      <c r="E29" s="9">
        <f>VLOOKUP(A29,[12]HISTOBQUEMAI24!$A$6:$G$41,4,0)</f>
        <v>0</v>
      </c>
      <c r="F29" s="9">
        <f>VLOOKUP(A29,[12]HISTOBQUEMAI24!$A$6:$G$41,5,0)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VLOOKUP(A29,[14]TONTMAI24!$A$6:$R$39,12,0)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7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VLOOKUP(A30,[12]HISTOBQUEMAI24!$A$6:$G$46,3,0)</f>
        <v>0</v>
      </c>
      <c r="E30" s="9">
        <f>VLOOKUP(A30,[12]HISTOBQUEMAI24!$A$6:$G$41,4,0)</f>
        <v>0</v>
      </c>
      <c r="F30" s="9">
        <f>VLOOKUP(A30,[12]HISTOBQUEMAI24!$A$6:$G$41,5,0)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VLOOKUP(A30,[14]TONTMAI24!$A$6:$R$39,12,0)</f>
        <v>0</v>
      </c>
      <c r="Q30" s="2"/>
      <c r="R30" s="2">
        <f>VLOOKUP(A30,[16]TONTMAI24!$A$7:$P$20,10,0)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7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VLOOKUP(A31,[12]HISTOBQUEMAI24!$A$6:$G$46,3,0)</f>
        <v>0</v>
      </c>
      <c r="E31" s="9">
        <f>VLOOKUP(A31,[12]HISTOBQUEMAI24!$A$6:$G$41,4,0)</f>
        <v>0</v>
      </c>
      <c r="F31" s="9">
        <f>VLOOKUP(A31,[12]HISTOBQUEMAI24!$A$6:$G$41,5,0)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VLOOKUP(A31,[14]TONTMAI24!$A$6:$R$39,12,0)</f>
        <v>0</v>
      </c>
      <c r="Q31" s="2"/>
      <c r="R31" s="2">
        <f>VLOOKUP(A31,[16]TONTMAI24!$A$7:$P$20,10,0)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7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-101000</v>
      </c>
      <c r="D32" s="9">
        <f>VLOOKUP(A32,[12]HISTOBQUEMAI24!$A$6:$G$46,3,0)</f>
        <v>0</v>
      </c>
      <c r="E32" s="9">
        <f>VLOOKUP(A32,[12]HISTOBQUEMAI24!$A$6:$G$41,4,0)</f>
        <v>0</v>
      </c>
      <c r="F32" s="9">
        <f>VLOOKUP(A32,[12]HISTOBQUEMAI24!$A$6:$G$41,5,0)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VLOOKUP(A32,[14]TONTMAI24!$A$6:$R$39,12,0)</f>
        <v>0</v>
      </c>
      <c r="Q32" s="2">
        <f>VLOOKUP(A32,[15]TONTMAI24!$A$7:$P$23,10,0)</f>
        <v>101000</v>
      </c>
      <c r="R32" s="2"/>
      <c r="S32" s="20"/>
      <c r="T32" s="12"/>
      <c r="U32" s="17">
        <f t="shared" si="9"/>
        <v>101000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7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VLOOKUP(A33,[12]HISTOBQUEMAI24!$A$6:$G$46,3,0)</f>
        <v>0</v>
      </c>
      <c r="E33" s="9">
        <f>VLOOKUP(A33,[12]HISTOBQUEMAI24!$A$6:$G$41,4,0)</f>
        <v>0</v>
      </c>
      <c r="F33" s="9">
        <f>VLOOKUP(A33,[12]HISTOBQUEMAI24!$A$6:$G$41,5,0)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VLOOKUP(A33,[14]TONTMAI24!$A$6:$R$39,12,0)</f>
        <v>0</v>
      </c>
      <c r="Q33" s="2"/>
      <c r="R33" s="2">
        <f>VLOOKUP(A33,[16]TONTMAI24!$A$7:$P$20,10,0)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7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VLOOKUP(A34,[12]HISTOBQUEMAI24!$A$6:$G$46,3,0)</f>
        <v>0</v>
      </c>
      <c r="E34" s="9">
        <f>VLOOKUP(A34,[12]HISTOBQUEMAI24!$A$6:$G$41,4,0)</f>
        <v>0</v>
      </c>
      <c r="F34" s="9">
        <f>VLOOKUP(A34,[12]HISTOBQUEMAI24!$A$6:$G$41,5,0)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VLOOKUP(A34,[14]TONTMAI24!$A$6:$R$39,12,0)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7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VLOOKUP(A35,[12]HISTOBQUEMAI24!$A$6:$G$46,3,0)</f>
        <v>0</v>
      </c>
      <c r="E35" s="9">
        <f>VLOOKUP(A35,[12]HISTOBQUEMAI24!$A$6:$G$41,4,0)</f>
        <v>0</v>
      </c>
      <c r="F35" s="9">
        <f>VLOOKUP(A35,[12]HISTOBQUEMAI24!$A$6:$G$41,5,0)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VLOOKUP(A35,[14]TONTMAI24!$A$6:$R$39,12,0)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7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VLOOKUP(A36,[12]HISTOBQUEMAI24!$A$6:$G$46,3,0)</f>
        <v>0</v>
      </c>
      <c r="E36" s="9">
        <f>VLOOKUP(A36,[12]HISTOBQUEMAI24!$A$6:$G$41,4,0)</f>
        <v>0</v>
      </c>
      <c r="F36" s="9">
        <f>VLOOKUP(A36,[12]HISTOBQUEMAI24!$A$6:$G$41,5,0)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VLOOKUP(A36,[14]TONTMAI24!$A$6:$R$39,12,0)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7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VLOOKUP(A37,[12]HISTOBQUEMAI24!$A$6:$G$46,3,0)</f>
        <v>0</v>
      </c>
      <c r="E37" s="9">
        <f>VLOOKUP(A37,[12]HISTOBQUEMAI24!$A$6:$G$41,4,0)</f>
        <v>0</v>
      </c>
      <c r="F37" s="9">
        <f>VLOOKUP(A37,[12]HISTOBQUEMAI24!$A$6:$G$41,5,0)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VLOOKUP(A37,[14]TONTMAI24!$A$6:$R$39,12,0)</f>
        <v>0</v>
      </c>
      <c r="Q37" s="2"/>
      <c r="R37" s="2">
        <f>VLOOKUP(A37,[16]TONTMAI24!$A$7:$P$20,10,0)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7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VLOOKUP(A38,[12]HISTOBQUEMAI24!$A$6:$G$46,3,0)</f>
        <v>0</v>
      </c>
      <c r="E38" s="9">
        <f>VLOOKUP(A38,[12]HISTOBQUEMAI24!$A$6:$G$41,4,0)</f>
        <v>0</v>
      </c>
      <c r="F38" s="9">
        <f>VLOOKUP(A38,[12]HISTOBQUEMAI24!$A$6:$G$41,5,0)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VLOOKUP(A38,[14]TONTMAI24!$A$6:$R$39,12,0)</f>
        <v>0</v>
      </c>
      <c r="Q38" s="2">
        <f>VLOOKUP(A38,[15]TONTMAI24!$A$7:$P$23,10,0)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7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-1137000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43000</v>
      </c>
      <c r="Q40" s="5">
        <f t="shared" si="16"/>
        <v>509500</v>
      </c>
      <c r="R40" s="5">
        <f t="shared" si="16"/>
        <v>584500</v>
      </c>
      <c r="S40" s="5">
        <f t="shared" si="16"/>
        <v>0</v>
      </c>
      <c r="T40" s="5"/>
      <c r="U40" s="5">
        <f t="shared" ref="U40:AA40" si="17">SUM(U6:U39)</f>
        <v>1137000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F6" sqref="E6:G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VLOOKUP(A6,[12]HISTOBQUEJUIN24!$A$6:$G$46,3,0)</f>
        <v>0</v>
      </c>
      <c r="E6" s="9">
        <f>VLOOKUP(A6,[12]HISTOBQUEJUIN24!$A$6:$G$41,4,0)</f>
        <v>0</v>
      </c>
      <c r="F6" s="9">
        <f>VLOOKUP(A6,[12]HISTOBQUEJUIN24!$A$6:$G$41,5,0)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6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VLOOKUP(A7,[12]HISTOBQUEJUIN24!$A$6:$G$46,3,0)</f>
        <v>0</v>
      </c>
      <c r="E7" s="9">
        <f>VLOOKUP(A7,[12]HISTOBQUEJUIN24!$A$6:$G$41,4,0)</f>
        <v>0</v>
      </c>
      <c r="F7" s="9">
        <f>VLOOKUP(A7,[12]HISTOBQUEJUIN24!$A$6:$G$41,5,0)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VLOOKUP(A7,[14]TONTJUIN24!$A$6:$R$39,12,0)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6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VLOOKUP(A8,[12]HISTOBQUEJUIN24!$A$6:$G$46,3,0)</f>
        <v>0</v>
      </c>
      <c r="E8" s="9">
        <f>VLOOKUP(A8,[12]HISTOBQUEJUIN24!$A$6:$G$41,4,0)</f>
        <v>0</v>
      </c>
      <c r="F8" s="9">
        <f>VLOOKUP(A8,[12]HISTOBQUEJUIN24!$A$6:$G$41,5,0)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VLOOKUP(A8,[14]TONTJUIN24!$A$6:$R$39,12,0)</f>
        <v>0</v>
      </c>
      <c r="Q8" s="2">
        <f>VLOOKUP(A8,[15]TONTJUIN24!$A$7:$P$23,10,0)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6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VLOOKUP(A9,[12]HISTOBQUEJUIN24!$A$6:$G$46,3,0)</f>
        <v>0</v>
      </c>
      <c r="E9" s="9">
        <f>VLOOKUP(A9,[12]HISTOBQUEJUIN24!$A$6:$G$41,4,0)</f>
        <v>0</v>
      </c>
      <c r="F9" s="9">
        <f>VLOOKUP(A9,[12]HISTOBQUEJUIN24!$A$6:$G$41,5,0)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VLOOKUP(A9,[14]TONTJUIN24!$A$6:$R$39,12,0)</f>
        <v>0</v>
      </c>
      <c r="Q9" s="2"/>
      <c r="R9" s="2">
        <f>VLOOKUP(A9,[16]TONTJUIN24!$A$7:$P$20,10,0)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6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VLOOKUP(A10,[12]HISTOBQUEJUIN24!$A$6:$G$46,3,0)</f>
        <v>0</v>
      </c>
      <c r="E10" s="9">
        <f>VLOOKUP(A10,[12]HISTOBQUEJUIN24!$A$6:$G$41,4,0)</f>
        <v>0</v>
      </c>
      <c r="F10" s="9">
        <f>VLOOKUP(A10,[12]HISTOBQUEJUIN24!$A$6:$G$41,5,0)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VLOOKUP(A10,[14]TONTJUIN24!$A$6:$R$39,12,0)</f>
        <v>0</v>
      </c>
      <c r="Q10" s="2">
        <f>VLOOKUP(A10,[15]TONTJUIN24!$A$7:$P$23,10,0)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6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VLOOKUP(A11,[12]HISTOBQUEJUIN24!$A$6:$G$46,3,0)</f>
        <v>0</v>
      </c>
      <c r="E11" s="9">
        <f>VLOOKUP(A11,[12]HISTOBQUEJUIN24!$A$6:$G$41,4,0)</f>
        <v>0</v>
      </c>
      <c r="F11" s="9">
        <f>VLOOKUP(A11,[12]HISTOBQUEJUIN24!$A$6:$G$41,5,0)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VLOOKUP(A11,[14]TONTJUIN24!$A$6:$R$39,12,0)</f>
        <v>0</v>
      </c>
      <c r="Q11" s="2">
        <f>VLOOKUP(A11,[15]TONTJUIN24!$A$7:$P$23,10,0)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6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VLOOKUP(A12,[12]HISTOBQUEJUIN24!$A$6:$G$46,3,0)</f>
        <v>0</v>
      </c>
      <c r="E12" s="9">
        <f>VLOOKUP(A12,[12]HISTOBQUEJUIN24!$A$6:$G$41,4,0)</f>
        <v>0</v>
      </c>
      <c r="F12" s="9">
        <f>VLOOKUP(A12,[12]HISTOBQUEJUIN24!$A$6:$G$41,5,0)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VLOOKUP(A12,[14]TONTJUIN24!$A$6:$R$39,12,0)</f>
        <v>0</v>
      </c>
      <c r="Q12" s="2">
        <f>VLOOKUP(A12,[15]TONTJUIN24!$A$7:$P$23,10,0)</f>
        <v>0</v>
      </c>
      <c r="R12" s="2">
        <f>VLOOKUP(A12,[16]TONTJUIN24!$A$7:$P$20,10,0)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6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VLOOKUP(A13,[12]HISTOBQUEJUIN24!$A$6:$G$46,3,0)</f>
        <v>0</v>
      </c>
      <c r="E13" s="9">
        <f>VLOOKUP(A13,[12]HISTOBQUEJUIN24!$A$6:$G$41,4,0)</f>
        <v>0</v>
      </c>
      <c r="F13" s="9">
        <f>VLOOKUP(A13,[12]HISTOBQUEJUIN24!$A$6:$G$41,5,0)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VLOOKUP(A13,[14]TONTJUIN24!$A$6:$R$39,12,0)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6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VLOOKUP(A14,[12]HISTOBQUEJUIN24!$A$6:$G$46,3,0)</f>
        <v>0</v>
      </c>
      <c r="E14" s="9">
        <f>VLOOKUP(A14,[12]HISTOBQUEJUIN24!$A$6:$G$41,4,0)</f>
        <v>0</v>
      </c>
      <c r="F14" s="9">
        <f>VLOOKUP(A14,[12]HISTOBQUEJUIN24!$A$6:$G$41,5,0)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VLOOKUP(A14,[14]TONTJUIN24!$A$6:$R$39,12,0)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6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VLOOKUP(A15,[12]HISTOBQUEJUIN24!$A$6:$G$46,3,0)</f>
        <v>0</v>
      </c>
      <c r="E15" s="9">
        <f>VLOOKUP(A15,[12]HISTOBQUEJUIN24!$A$6:$G$41,4,0)</f>
        <v>0</v>
      </c>
      <c r="F15" s="9">
        <f>VLOOKUP(A15,[12]HISTOBQUEJUIN24!$A$6:$G$41,5,0)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VLOOKUP(A15,[14]TONTJUIN24!$A$6:$R$39,12,0)</f>
        <v>0</v>
      </c>
      <c r="Q15" s="2">
        <f>VLOOKUP(A15,[15]TONTJUIN24!$A$7:$P$23,10,0)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6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VLOOKUP(A16,[12]HISTOBQUEJUIN24!$A$6:$G$46,3,0)</f>
        <v>0</v>
      </c>
      <c r="E16" s="9">
        <f>VLOOKUP(A16,[12]HISTOBQUEJUIN24!$A$6:$G$41,4,0)</f>
        <v>0</v>
      </c>
      <c r="F16" s="9">
        <f>VLOOKUP(A16,[12]HISTOBQUEJUIN24!$A$6:$G$41,5,0)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VLOOKUP(A16,[14]TONTJUIN24!$A$6:$R$39,12,0)</f>
        <v>0</v>
      </c>
      <c r="Q16" s="2">
        <f>VLOOKUP(A16,[15]TONTJUIN24!$A$7:$P$23,10,0)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6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VLOOKUP(A17,[12]HISTOBQUEJUIN24!$A$6:$G$46,3,0)</f>
        <v>0</v>
      </c>
      <c r="E17" s="9">
        <f>VLOOKUP(A17,[12]HISTOBQUEJUIN24!$A$6:$G$41,4,0)</f>
        <v>0</v>
      </c>
      <c r="F17" s="9">
        <f>VLOOKUP(A17,[12]HISTOBQUEJUIN24!$A$6:$G$41,5,0)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VLOOKUP(A17,[14]TONTJUIN24!$A$6:$R$39,12,0)</f>
        <v>0</v>
      </c>
      <c r="Q17" s="2"/>
      <c r="R17" s="2">
        <f>VLOOKUP(A17,[16]TONTJUIN24!$A$7:$P$20,10,0)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6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VLOOKUP(A18,[12]HISTOBQUEJUIN24!$A$6:$G$46,3,0)</f>
        <v>0</v>
      </c>
      <c r="E18" s="9">
        <f>VLOOKUP(A18,[12]HISTOBQUEJUIN24!$A$6:$G$41,4,0)</f>
        <v>0</v>
      </c>
      <c r="F18" s="9">
        <f>VLOOKUP(A18,[12]HISTOBQUEJUIN24!$A$6:$G$41,5,0)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VLOOKUP(A18,[14]TONTJUIN24!$A$6:$R$39,12,0)</f>
        <v>0</v>
      </c>
      <c r="Q18" s="2"/>
      <c r="R18" s="2">
        <f>VLOOKUP(A18,[16]TONTJUIN24!$A$7:$P$20,10,0)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6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VLOOKUP(A19,[12]HISTOBQUEJUIN24!$A$6:$G$46,3,0)</f>
        <v>0</v>
      </c>
      <c r="E19" s="9">
        <f>VLOOKUP(A19,[12]HISTOBQUEJUIN24!$A$6:$G$41,4,0)</f>
        <v>0</v>
      </c>
      <c r="F19" s="9">
        <f>VLOOKUP(A19,[12]HISTOBQUEJUIN24!$A$6:$G$41,5,0)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VLOOKUP(A19,[14]TONTJUIN24!$A$6:$R$39,12,0)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6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VLOOKUP(A20,[12]HISTOBQUEJUIN24!$A$6:$G$46,3,0)</f>
        <v>0</v>
      </c>
      <c r="E20" s="9">
        <f>VLOOKUP(A20,[12]HISTOBQUEJUIN24!$A$6:$G$41,4,0)</f>
        <v>0</v>
      </c>
      <c r="F20" s="9">
        <f>VLOOKUP(A20,[12]HISTOBQUEJUIN24!$A$6:$G$41,5,0)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VLOOKUP(A20,[14]TONTJUIN24!$A$6:$R$39,12,0)</f>
        <v>0</v>
      </c>
      <c r="Q20" s="2">
        <f>VLOOKUP(A20,[15]TONTJUIN24!$A$7:$P$23,10,0)</f>
        <v>0</v>
      </c>
      <c r="R20" s="2">
        <f>VLOOKUP(A20,[16]TONTJUIN24!$A$7:$P$20,10,0)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6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VLOOKUP(A21,[12]HISTOBQUEJUIN24!$A$6:$G$46,3,0)</f>
        <v>0</v>
      </c>
      <c r="E21" s="9">
        <f>VLOOKUP(A21,[12]HISTOBQUEJUIN24!$A$6:$G$41,4,0)</f>
        <v>0</v>
      </c>
      <c r="F21" s="9">
        <f>VLOOKUP(A21,[12]HISTOBQUEJUIN24!$A$6:$G$41,5,0)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VLOOKUP(A21,[14]TONTJUIN24!$A$6:$R$39,12,0)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6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VLOOKUP(A22,[12]HISTOBQUEJUIN24!$A$6:$G$46,3,0)</f>
        <v>0</v>
      </c>
      <c r="E22" s="9">
        <f>VLOOKUP(A22,[12]HISTOBQUEJUIN24!$A$6:$G$41,4,0)</f>
        <v>0</v>
      </c>
      <c r="F22" s="9">
        <f>VLOOKUP(A22,[12]HISTOBQUEJUIN24!$A$6:$G$41,5,0)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VLOOKUP(A22,[14]TONTJUIN24!$A$6:$R$39,12,0)</f>
        <v>0</v>
      </c>
      <c r="Q22" s="2">
        <f>VLOOKUP(A22,[15]TONTJUIN24!$A$7:$P$23,10,0)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6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VLOOKUP(A23,[12]HISTOBQUEJUIN24!$A$6:$G$46,3,0)</f>
        <v>0</v>
      </c>
      <c r="E23" s="9">
        <f>VLOOKUP(A23,[12]HISTOBQUEJUIN24!$A$6:$G$41,4,0)</f>
        <v>0</v>
      </c>
      <c r="F23" s="9">
        <f>VLOOKUP(A23,[12]HISTOBQUEJUIN24!$A$6:$G$41,5,0)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VLOOKUP(A23,[14]TONTJUIN24!$A$6:$R$39,12,0)</f>
        <v>0</v>
      </c>
      <c r="Q23" s="2"/>
      <c r="R23" s="2">
        <f>VLOOKUP(A23,[16]TONTJUIN24!$A$7:$P$20,10,0)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6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VLOOKUP(A24,[12]HISTOBQUEJUIN24!$A$6:$G$46,3,0)</f>
        <v>0</v>
      </c>
      <c r="E24" s="9">
        <f>VLOOKUP(A24,[12]HISTOBQUEJUIN24!$A$6:$G$41,4,0)</f>
        <v>0</v>
      </c>
      <c r="F24" s="9">
        <f>VLOOKUP(A24,[12]HISTOBQUEJUIN24!$A$6:$G$41,5,0)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VLOOKUP(A24,[14]TONTJUIN24!$A$6:$R$39,12,0)</f>
        <v>0</v>
      </c>
      <c r="Q24" s="2">
        <f>VLOOKUP(A24,[15]TONTJUIN24!$A$7:$P$23,10,0)</f>
        <v>0</v>
      </c>
      <c r="R24" s="2">
        <f>VLOOKUP(A24,[16]TONTJUIN24!$A$7:$P$20,10,0)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6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VLOOKUP(A25,[12]HISTOBQUEJUIN24!$A$6:$G$46,3,0)</f>
        <v>0</v>
      </c>
      <c r="E25" s="9">
        <f>VLOOKUP(A25,[12]HISTOBQUEJUIN24!$A$6:$G$41,4,0)</f>
        <v>0</v>
      </c>
      <c r="F25" s="9">
        <f>VLOOKUP(A25,[12]HISTOBQUEJUIN24!$A$6:$G$41,5,0)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VLOOKUP(A25,[14]TONTJUIN24!$A$6:$R$39,12,0)</f>
        <v>0</v>
      </c>
      <c r="Q25" s="2">
        <f>VLOOKUP(A25,[15]TONTJUIN24!$A$7:$P$23,10,0)</f>
        <v>0</v>
      </c>
      <c r="R25" s="2">
        <f>VLOOKUP(A25,[16]TONTJUIN24!$A$7:$P$20,10,0)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6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VLOOKUP(A26,[12]HISTOBQUEJUIN24!$A$6:$G$46,3,0)</f>
        <v>0</v>
      </c>
      <c r="E26" s="9">
        <f>VLOOKUP(A26,[12]HISTOBQUEJUIN24!$A$6:$G$41,4,0)</f>
        <v>0</v>
      </c>
      <c r="F26" s="9">
        <f>VLOOKUP(A26,[12]HISTOBQUEJUIN24!$A$6:$G$41,5,0)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VLOOKUP(A26,[14]TONTJUIN24!$A$6:$R$39,12,0)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6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VLOOKUP(A27,[12]HISTOBQUEJUIN24!$A$6:$G$46,3,0)</f>
        <v>0</v>
      </c>
      <c r="E27" s="9">
        <f>VLOOKUP(A27,[12]HISTOBQUEJUIN24!$A$6:$G$41,4,0)</f>
        <v>0</v>
      </c>
      <c r="F27" s="9">
        <f>VLOOKUP(A27,[12]HISTOBQUEJUIN24!$A$6:$G$41,5,0)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VLOOKUP(A27,[14]TONTJUIN24!$A$6:$R$39,12,0)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6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VLOOKUP(A28,[12]HISTOBQUEJUIN24!$A$6:$G$46,3,0)</f>
        <v>0</v>
      </c>
      <c r="E28" s="9">
        <f>VLOOKUP(A28,[12]HISTOBQUEJUIN24!$A$6:$G$41,4,0)</f>
        <v>0</v>
      </c>
      <c r="F28" s="9">
        <f>VLOOKUP(A28,[12]HISTOBQUEJUIN24!$A$6:$G$41,5,0)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VLOOKUP(A28,[14]TONTJUIN24!$A$6:$R$39,12,0)</f>
        <v>0</v>
      </c>
      <c r="Q28" s="2">
        <f>VLOOKUP(A28,[15]TONTJUIN24!$A$7:$P$23,10,0)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6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VLOOKUP(A29,[12]HISTOBQUEJUIN24!$A$6:$G$46,3,0)</f>
        <v>0</v>
      </c>
      <c r="E29" s="9">
        <f>VLOOKUP(A29,[12]HISTOBQUEJUIN24!$A$6:$G$41,4,0)</f>
        <v>0</v>
      </c>
      <c r="F29" s="9">
        <f>VLOOKUP(A29,[12]HISTOBQUEJUIN24!$A$6:$G$41,5,0)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VLOOKUP(A29,[14]TONTJUIN24!$A$6:$R$39,12,0)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6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VLOOKUP(A30,[12]HISTOBQUEJUIN24!$A$6:$G$46,3,0)</f>
        <v>0</v>
      </c>
      <c r="E30" s="9">
        <f>VLOOKUP(A30,[12]HISTOBQUEJUIN24!$A$6:$G$41,4,0)</f>
        <v>0</v>
      </c>
      <c r="F30" s="9">
        <f>VLOOKUP(A30,[12]HISTOBQUEJUIN24!$A$6:$G$41,5,0)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VLOOKUP(A30,[14]TONTJUIN24!$A$6:$R$39,12,0)</f>
        <v>0</v>
      </c>
      <c r="Q30" s="2"/>
      <c r="R30" s="2">
        <f>VLOOKUP(A30,[16]TONTJUIN24!$A$7:$P$20,10,0)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6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VLOOKUP(A31,[12]HISTOBQUEJUIN24!$A$6:$G$46,3,0)</f>
        <v>0</v>
      </c>
      <c r="E31" s="9">
        <f>VLOOKUP(A31,[12]HISTOBQUEJUIN24!$A$6:$G$41,4,0)</f>
        <v>0</v>
      </c>
      <c r="F31" s="9">
        <f>VLOOKUP(A31,[12]HISTOBQUEJUIN24!$A$6:$G$41,5,0)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VLOOKUP(A31,[14]TONTJUIN24!$A$6:$R$39,12,0)</f>
        <v>0</v>
      </c>
      <c r="Q31" s="2"/>
      <c r="R31" s="2">
        <f>VLOOKUP(A31,[16]TONTJUIN24!$A$7:$P$20,10,0)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6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VLOOKUP(A32,[12]HISTOBQUEJUIN24!$A$6:$G$46,3,0)</f>
        <v>0</v>
      </c>
      <c r="E32" s="9">
        <f>VLOOKUP(A32,[12]HISTOBQUEJUIN24!$A$6:$G$41,4,0)</f>
        <v>0</v>
      </c>
      <c r="F32" s="9">
        <f>VLOOKUP(A32,[12]HISTOBQUEJUIN24!$A$6:$G$41,5,0)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VLOOKUP(A32,[14]TONTJUIN24!$A$6:$R$39,12,0)</f>
        <v>0</v>
      </c>
      <c r="Q32" s="2">
        <f>VLOOKUP(A32,[15]TONTJUIN24!$A$7:$P$23,10,0)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6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VLOOKUP(A33,[12]HISTOBQUEJUIN24!$A$6:$G$46,3,0)</f>
        <v>0</v>
      </c>
      <c r="E33" s="9">
        <f>VLOOKUP(A33,[12]HISTOBQUEJUIN24!$A$6:$G$41,4,0)</f>
        <v>0</v>
      </c>
      <c r="F33" s="9">
        <f>VLOOKUP(A33,[12]HISTOBQUEJUIN24!$A$6:$G$41,5,0)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VLOOKUP(A33,[14]TONTJUIN24!$A$6:$R$39,12,0)</f>
        <v>0</v>
      </c>
      <c r="Q33" s="2"/>
      <c r="R33" s="2">
        <f>VLOOKUP(A33,[16]TONTJUIN24!$A$7:$P$20,10,0)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6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VLOOKUP(A34,[12]HISTOBQUEJUIN24!$A$6:$G$46,3,0)</f>
        <v>0</v>
      </c>
      <c r="E34" s="9">
        <f>VLOOKUP(A34,[12]HISTOBQUEJUIN24!$A$6:$G$41,4,0)</f>
        <v>0</v>
      </c>
      <c r="F34" s="9">
        <f>VLOOKUP(A34,[12]HISTOBQUEJUIN24!$A$6:$G$41,5,0)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VLOOKUP(A34,[14]TONTJUIN24!$A$6:$R$39,12,0)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6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VLOOKUP(A35,[12]HISTOBQUEJUIN24!$A$6:$G$46,3,0)</f>
        <v>0</v>
      </c>
      <c r="E35" s="9">
        <f>VLOOKUP(A35,[12]HISTOBQUEJUIN24!$A$6:$G$41,4,0)</f>
        <v>0</v>
      </c>
      <c r="F35" s="9">
        <f>VLOOKUP(A35,[12]HISTOBQUEJUIN24!$A$6:$G$41,5,0)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VLOOKUP(A35,[14]TONTJUIN24!$A$6:$R$39,12,0)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6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VLOOKUP(A36,[12]HISTOBQUEJUIN24!$A$6:$G$46,3,0)</f>
        <v>0</v>
      </c>
      <c r="E36" s="9">
        <f>VLOOKUP(A36,[12]HISTOBQUEJUIN24!$A$6:$G$41,4,0)</f>
        <v>0</v>
      </c>
      <c r="F36" s="9">
        <f>VLOOKUP(A36,[12]HISTOBQUEJUIN24!$A$6:$G$41,5,0)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VLOOKUP(A36,[14]TONTJUIN24!$A$6:$R$39,12,0)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6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VLOOKUP(A37,[12]HISTOBQUEJUIN24!$A$6:$G$46,3,0)</f>
        <v>0</v>
      </c>
      <c r="E37" s="9">
        <f>VLOOKUP(A37,[12]HISTOBQUEJUIN24!$A$6:$G$41,4,0)</f>
        <v>0</v>
      </c>
      <c r="F37" s="9">
        <f>VLOOKUP(A37,[12]HISTOBQUEJUIN24!$A$6:$G$41,5,0)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VLOOKUP(A37,[14]TONTJUIN24!$A$6:$R$39,12,0)</f>
        <v>0</v>
      </c>
      <c r="Q37" s="2"/>
      <c r="R37" s="2">
        <f>VLOOKUP(A37,[16]TONTJUIN24!$A$7:$P$20,10,0)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6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VLOOKUP(A38,[12]HISTOBQUEJUIN24!$A$6:$G$46,3,0)</f>
        <v>0</v>
      </c>
      <c r="E38" s="9">
        <f>VLOOKUP(A38,[12]HISTOBQUEJUIN24!$A$6:$G$41,4,0)</f>
        <v>0</v>
      </c>
      <c r="F38" s="9">
        <f>VLOOKUP(A38,[12]HISTOBQUEJUIN24!$A$6:$G$41,5,0)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VLOOKUP(A38,[14]TONTJUIN24!$A$6:$R$39,12,0)</f>
        <v>0</v>
      </c>
      <c r="Q38" s="2">
        <f>VLOOKUP(A38,[15]TONTJUIN24!$A$7:$P$23,10,0)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6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F6" sqref="E6:G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VLOOKUP(A6,[12]HISTOBQUEJUIL24!$A$6:$G$46,3,0)</f>
        <v>0</v>
      </c>
      <c r="E6" s="9">
        <f>VLOOKUP(A6,[12]HISTOBQUEJUIL24!$A$6:$G$41,4,0)</f>
        <v>0</v>
      </c>
      <c r="F6" s="9">
        <f>VLOOKUP(A6,[12]HISTOBQUEJUIL24!$A$6:$G$41,5,0)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5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VLOOKUP(A7,[12]HISTOBQUEJUIL24!$A$6:$G$46,3,0)</f>
        <v>0</v>
      </c>
      <c r="E7" s="9">
        <f>VLOOKUP(A7,[12]HISTOBQUEJUIL24!$A$6:$G$41,4,0)</f>
        <v>0</v>
      </c>
      <c r="F7" s="9">
        <f>VLOOKUP(A7,[12]HISTOBQUEJUIL24!$A$6:$G$41,5,0)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VLOOKUP(A7,[14]TONTJUIL24!$A$6:$R$39,12,0)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5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VLOOKUP(A8,[12]HISTOBQUEJUIL24!$A$6:$G$46,3,0)</f>
        <v>0</v>
      </c>
      <c r="E8" s="9">
        <f>VLOOKUP(A8,[12]HISTOBQUEJUIL24!$A$6:$G$41,4,0)</f>
        <v>0</v>
      </c>
      <c r="F8" s="9">
        <f>VLOOKUP(A8,[12]HISTOBQUEJUIL24!$A$6:$G$41,5,0)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VLOOKUP(A8,[14]TONTJUIL24!$A$6:$R$39,12,0)</f>
        <v>0</v>
      </c>
      <c r="Q8" s="2">
        <f>VLOOKUP(A8,[15]TONTJUIL24!$A$7:$P$23,10,0)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5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VLOOKUP(A9,[12]HISTOBQUEJUIL24!$A$6:$G$46,3,0)</f>
        <v>0</v>
      </c>
      <c r="E9" s="9">
        <f>VLOOKUP(A9,[12]HISTOBQUEJUIL24!$A$6:$G$41,4,0)</f>
        <v>0</v>
      </c>
      <c r="F9" s="9">
        <f>VLOOKUP(A9,[12]HISTOBQUEJUIL24!$A$6:$G$41,5,0)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VLOOKUP(A9,[14]TONTJUIL24!$A$6:$R$39,12,0)</f>
        <v>0</v>
      </c>
      <c r="Q9" s="2"/>
      <c r="R9" s="2">
        <f>VLOOKUP(A9,[16]TONTJUIL24!$A$7:$P$20,10,0)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5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VLOOKUP(A10,[12]HISTOBQUEJUIL24!$A$6:$G$46,3,0)</f>
        <v>0</v>
      </c>
      <c r="E10" s="9">
        <f>VLOOKUP(A10,[12]HISTOBQUEJUIL24!$A$6:$G$41,4,0)</f>
        <v>0</v>
      </c>
      <c r="F10" s="9">
        <f>VLOOKUP(A10,[12]HISTOBQUEJUIL24!$A$6:$G$41,5,0)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VLOOKUP(A10,[14]TONTJUIL24!$A$6:$R$39,12,0)</f>
        <v>0</v>
      </c>
      <c r="Q10" s="2">
        <f>VLOOKUP(A10,[15]TONTJUIL24!$A$7:$P$23,10,0)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5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VLOOKUP(A11,[12]HISTOBQUEJUIL24!$A$6:$G$46,3,0)</f>
        <v>0</v>
      </c>
      <c r="E11" s="9">
        <f>VLOOKUP(A11,[12]HISTOBQUEJUIL24!$A$6:$G$41,4,0)</f>
        <v>0</v>
      </c>
      <c r="F11" s="9">
        <f>VLOOKUP(A11,[12]HISTOBQUEJUIL24!$A$6:$G$41,5,0)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VLOOKUP(A11,[14]TONTJUIL24!$A$6:$R$39,12,0)</f>
        <v>0</v>
      </c>
      <c r="Q11" s="2">
        <f>VLOOKUP(A11,[15]TONTJUIL24!$A$7:$P$23,10,0)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5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VLOOKUP(A12,[12]HISTOBQUEJUIL24!$A$6:$G$46,3,0)</f>
        <v>0</v>
      </c>
      <c r="E12" s="9">
        <f>VLOOKUP(A12,[12]HISTOBQUEJUIL24!$A$6:$G$41,4,0)</f>
        <v>0</v>
      </c>
      <c r="F12" s="9">
        <f>VLOOKUP(A12,[12]HISTOBQUEJUIL24!$A$6:$G$41,5,0)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VLOOKUP(A12,[14]TONTJUIL24!$A$6:$R$39,12,0)</f>
        <v>0</v>
      </c>
      <c r="Q12" s="2">
        <f>VLOOKUP(A12,[15]TONTJUIL24!$A$7:$P$23,10,0)</f>
        <v>0</v>
      </c>
      <c r="R12" s="2">
        <f>VLOOKUP(A12,[16]TONTJUIL24!$A$7:$P$20,10,0)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5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VLOOKUP(A13,[12]HISTOBQUEJUIL24!$A$6:$G$46,3,0)</f>
        <v>0</v>
      </c>
      <c r="E13" s="9">
        <f>VLOOKUP(A13,[12]HISTOBQUEJUIL24!$A$6:$G$41,4,0)</f>
        <v>0</v>
      </c>
      <c r="F13" s="9">
        <f>VLOOKUP(A13,[12]HISTOBQUEJUIL24!$A$6:$G$41,5,0)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VLOOKUP(A13,[14]TONTJUIL24!$A$6:$R$39,12,0)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5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VLOOKUP(A14,[12]HISTOBQUEJUIL24!$A$6:$G$46,3,0)</f>
        <v>0</v>
      </c>
      <c r="E14" s="9">
        <f>VLOOKUP(A14,[12]HISTOBQUEJUIL24!$A$6:$G$41,4,0)</f>
        <v>0</v>
      </c>
      <c r="F14" s="9">
        <f>VLOOKUP(A14,[12]HISTOBQUEJUIL24!$A$6:$G$41,5,0)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VLOOKUP(A14,[14]TONTJUIL24!$A$6:$R$39,12,0)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5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VLOOKUP(A15,[12]HISTOBQUEJUIL24!$A$6:$G$46,3,0)</f>
        <v>0</v>
      </c>
      <c r="E15" s="9">
        <f>VLOOKUP(A15,[12]HISTOBQUEJUIL24!$A$6:$G$41,4,0)</f>
        <v>0</v>
      </c>
      <c r="F15" s="9">
        <f>VLOOKUP(A15,[12]HISTOBQUEJUIL24!$A$6:$G$41,5,0)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VLOOKUP(A15,[14]TONTJUIL24!$A$6:$R$39,12,0)</f>
        <v>0</v>
      </c>
      <c r="Q15" s="2">
        <f>VLOOKUP(A15,[15]TONTJUIL24!$A$7:$P$23,10,0)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5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VLOOKUP(A16,[12]HISTOBQUEJUIL24!$A$6:$G$46,3,0)</f>
        <v>0</v>
      </c>
      <c r="E16" s="9">
        <f>VLOOKUP(A16,[12]HISTOBQUEJUIL24!$A$6:$G$41,4,0)</f>
        <v>0</v>
      </c>
      <c r="F16" s="9">
        <f>VLOOKUP(A16,[12]HISTOBQUEJUIL24!$A$6:$G$41,5,0)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VLOOKUP(A16,[14]TONTJUIL24!$A$6:$R$39,12,0)</f>
        <v>0</v>
      </c>
      <c r="Q16" s="2">
        <f>VLOOKUP(A16,[15]TONTJUIL24!$A$7:$P$23,10,0)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5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VLOOKUP(A17,[12]HISTOBQUEJUIL24!$A$6:$G$46,3,0)</f>
        <v>0</v>
      </c>
      <c r="E17" s="9">
        <f>VLOOKUP(A17,[12]HISTOBQUEJUIL24!$A$6:$G$41,4,0)</f>
        <v>0</v>
      </c>
      <c r="F17" s="9">
        <f>VLOOKUP(A17,[12]HISTOBQUEJUIL24!$A$6:$G$41,5,0)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VLOOKUP(A17,[14]TONTJUIL24!$A$6:$R$39,12,0)</f>
        <v>0</v>
      </c>
      <c r="Q17" s="2"/>
      <c r="R17" s="2">
        <f>VLOOKUP(A17,[16]TONTJUIL24!$A$7:$P$20,10,0)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5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VLOOKUP(A18,[12]HISTOBQUEJUIL24!$A$6:$G$46,3,0)</f>
        <v>0</v>
      </c>
      <c r="E18" s="9">
        <f>VLOOKUP(A18,[12]HISTOBQUEJUIL24!$A$6:$G$41,4,0)</f>
        <v>0</v>
      </c>
      <c r="F18" s="9">
        <f>VLOOKUP(A18,[12]HISTOBQUEJUIL24!$A$6:$G$41,5,0)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VLOOKUP(A18,[14]TONTJUIL24!$A$6:$R$39,12,0)</f>
        <v>0</v>
      </c>
      <c r="Q18" s="2"/>
      <c r="R18" s="2">
        <f>VLOOKUP(A18,[16]TONTJUIL24!$A$7:$P$20,10,0)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5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VLOOKUP(A19,[12]HISTOBQUEJUIL24!$A$6:$G$46,3,0)</f>
        <v>0</v>
      </c>
      <c r="E19" s="9">
        <f>VLOOKUP(A19,[12]HISTOBQUEJUIL24!$A$6:$G$41,4,0)</f>
        <v>0</v>
      </c>
      <c r="F19" s="9">
        <f>VLOOKUP(A19,[12]HISTOBQUEJUIL24!$A$6:$G$41,5,0)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VLOOKUP(A19,[14]TONTJUIL24!$A$6:$R$39,12,0)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5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VLOOKUP(A20,[12]HISTOBQUEJUIL24!$A$6:$G$46,3,0)</f>
        <v>0</v>
      </c>
      <c r="E20" s="9">
        <f>VLOOKUP(A20,[12]HISTOBQUEJUIL24!$A$6:$G$41,4,0)</f>
        <v>0</v>
      </c>
      <c r="F20" s="9">
        <f>VLOOKUP(A20,[12]HISTOBQUEJUIL24!$A$6:$G$41,5,0)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VLOOKUP(A20,[14]TONTJUIL24!$A$6:$R$39,12,0)</f>
        <v>0</v>
      </c>
      <c r="Q20" s="2">
        <f>VLOOKUP(A20,[15]TONTJUIL24!$A$7:$P$23,10,0)</f>
        <v>0</v>
      </c>
      <c r="R20" s="2">
        <f>VLOOKUP(A20,[16]TONTJUIL24!$A$7:$P$20,10,0)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5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VLOOKUP(A21,[12]HISTOBQUEJUIL24!$A$6:$G$46,3,0)</f>
        <v>0</v>
      </c>
      <c r="E21" s="9">
        <f>VLOOKUP(A21,[12]HISTOBQUEJUIL24!$A$6:$G$41,4,0)</f>
        <v>0</v>
      </c>
      <c r="F21" s="9">
        <f>VLOOKUP(A21,[12]HISTOBQUEJUIL24!$A$6:$G$41,5,0)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VLOOKUP(A21,[14]TONTJUIL24!$A$6:$R$39,12,0)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5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VLOOKUP(A22,[12]HISTOBQUEJUIL24!$A$6:$G$46,3,0)</f>
        <v>0</v>
      </c>
      <c r="E22" s="9">
        <f>VLOOKUP(A22,[12]HISTOBQUEJUIL24!$A$6:$G$41,4,0)</f>
        <v>0</v>
      </c>
      <c r="F22" s="9">
        <f>VLOOKUP(A22,[12]HISTOBQUEJUIL24!$A$6:$G$41,5,0)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VLOOKUP(A22,[14]TONTJUIL24!$A$6:$R$39,12,0)</f>
        <v>0</v>
      </c>
      <c r="Q22" s="2">
        <f>VLOOKUP(A22,[15]TONTJUIL24!$A$7:$P$23,10,0)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5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VLOOKUP(A23,[12]HISTOBQUEJUIL24!$A$6:$G$46,3,0)</f>
        <v>0</v>
      </c>
      <c r="E23" s="9">
        <f>VLOOKUP(A23,[12]HISTOBQUEJUIL24!$A$6:$G$41,4,0)</f>
        <v>0</v>
      </c>
      <c r="F23" s="9">
        <f>VLOOKUP(A23,[12]HISTOBQUEJUIL24!$A$6:$G$41,5,0)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VLOOKUP(A23,[14]TONTJUIL24!$A$6:$R$39,12,0)</f>
        <v>0</v>
      </c>
      <c r="Q23" s="2"/>
      <c r="R23" s="2">
        <f>VLOOKUP(A23,[16]TONTJUIL24!$A$7:$P$20,10,0)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5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VLOOKUP(A24,[12]HISTOBQUEJUIL24!$A$6:$G$46,3,0)</f>
        <v>0</v>
      </c>
      <c r="E24" s="9">
        <f>VLOOKUP(A24,[12]HISTOBQUEJUIL24!$A$6:$G$41,4,0)</f>
        <v>0</v>
      </c>
      <c r="F24" s="9">
        <f>VLOOKUP(A24,[12]HISTOBQUEJUIL24!$A$6:$G$41,5,0)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VLOOKUP(A24,[14]TONTJUIL24!$A$6:$R$39,12,0)</f>
        <v>0</v>
      </c>
      <c r="Q24" s="2">
        <f>VLOOKUP(A24,[15]TONTJUIL24!$A$7:$P$23,10,0)</f>
        <v>0</v>
      </c>
      <c r="R24" s="2">
        <f>VLOOKUP(A24,[16]TONTJUIL24!$A$7:$P$20,10,0)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5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VLOOKUP(A25,[12]HISTOBQUEJUIL24!$A$6:$G$46,3,0)</f>
        <v>0</v>
      </c>
      <c r="E25" s="9">
        <f>VLOOKUP(A25,[12]HISTOBQUEJUIL24!$A$6:$G$41,4,0)</f>
        <v>0</v>
      </c>
      <c r="F25" s="9">
        <f>VLOOKUP(A25,[12]HISTOBQUEJUIL24!$A$6:$G$41,5,0)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VLOOKUP(A25,[14]TONTJUIL24!$A$6:$R$39,12,0)</f>
        <v>0</v>
      </c>
      <c r="Q25" s="2">
        <f>VLOOKUP(A25,[15]TONTJUIL24!$A$7:$P$23,10,0)</f>
        <v>0</v>
      </c>
      <c r="R25" s="2">
        <f>VLOOKUP(A25,[16]TONTJUIL24!$A$7:$P$20,10,0)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5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VLOOKUP(A26,[12]HISTOBQUEJUIL24!$A$6:$G$46,3,0)</f>
        <v>0</v>
      </c>
      <c r="E26" s="9">
        <f>VLOOKUP(A26,[12]HISTOBQUEJUIL24!$A$6:$G$41,4,0)</f>
        <v>0</v>
      </c>
      <c r="F26" s="9">
        <f>VLOOKUP(A26,[12]HISTOBQUEJUIL24!$A$6:$G$41,5,0)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VLOOKUP(A26,[14]TONTJUIL24!$A$6:$R$39,12,0)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5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VLOOKUP(A27,[12]HISTOBQUEJUIL24!$A$6:$G$46,3,0)</f>
        <v>0</v>
      </c>
      <c r="E27" s="9">
        <f>VLOOKUP(A27,[12]HISTOBQUEJUIL24!$A$6:$G$41,4,0)</f>
        <v>0</v>
      </c>
      <c r="F27" s="9">
        <f>VLOOKUP(A27,[12]HISTOBQUEJUIL24!$A$6:$G$41,5,0)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VLOOKUP(A27,[14]TONTJUIL24!$A$6:$R$39,12,0)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5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VLOOKUP(A28,[12]HISTOBQUEJUIL24!$A$6:$G$46,3,0)</f>
        <v>0</v>
      </c>
      <c r="E28" s="9">
        <f>VLOOKUP(A28,[12]HISTOBQUEJUIL24!$A$6:$G$41,4,0)</f>
        <v>0</v>
      </c>
      <c r="F28" s="9">
        <f>VLOOKUP(A28,[12]HISTOBQUEJUIL24!$A$6:$G$41,5,0)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VLOOKUP(A28,[14]TONTJUIL24!$A$6:$R$39,12,0)</f>
        <v>0</v>
      </c>
      <c r="Q28" s="2">
        <f>VLOOKUP(A28,[15]TONTJUIL24!$A$7:$P$23,10,0)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5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VLOOKUP(A29,[12]HISTOBQUEJUIL24!$A$6:$G$46,3,0)</f>
        <v>0</v>
      </c>
      <c r="E29" s="9">
        <f>VLOOKUP(A29,[12]HISTOBQUEJUIL24!$A$6:$G$41,4,0)</f>
        <v>0</v>
      </c>
      <c r="F29" s="9">
        <f>VLOOKUP(A29,[12]HISTOBQUEJUIL24!$A$6:$G$41,5,0)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VLOOKUP(A29,[14]TONTJUIL24!$A$6:$R$39,12,0)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5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VLOOKUP(A30,[12]HISTOBQUEJUIL24!$A$6:$G$46,3,0)</f>
        <v>0</v>
      </c>
      <c r="E30" s="9">
        <f>VLOOKUP(A30,[12]HISTOBQUEJUIL24!$A$6:$G$41,4,0)</f>
        <v>0</v>
      </c>
      <c r="F30" s="9">
        <f>VLOOKUP(A30,[12]HISTOBQUEJUIL24!$A$6:$G$41,5,0)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VLOOKUP(A30,[14]TONTJUIL24!$A$6:$R$39,12,0)</f>
        <v>0</v>
      </c>
      <c r="Q30" s="2"/>
      <c r="R30" s="2">
        <f>VLOOKUP(A30,[16]TONTJUIL24!$A$7:$P$20,10,0)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5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VLOOKUP(A31,[12]HISTOBQUEJUIL24!$A$6:$G$46,3,0)</f>
        <v>0</v>
      </c>
      <c r="E31" s="9">
        <f>VLOOKUP(A31,[12]HISTOBQUEJUIL24!$A$6:$G$41,4,0)</f>
        <v>0</v>
      </c>
      <c r="F31" s="9">
        <f>VLOOKUP(A31,[12]HISTOBQUEJUIL24!$A$6:$G$41,5,0)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VLOOKUP(A31,[14]TONTJUIL24!$A$6:$R$39,12,0)</f>
        <v>0</v>
      </c>
      <c r="Q31" s="2"/>
      <c r="R31" s="2">
        <f>VLOOKUP(A31,[16]TONTJUIL24!$A$7:$P$20,10,0)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5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VLOOKUP(A32,[12]HISTOBQUEJUIL24!$A$6:$G$46,3,0)</f>
        <v>0</v>
      </c>
      <c r="E32" s="9">
        <f>VLOOKUP(A32,[12]HISTOBQUEJUIL24!$A$6:$G$41,4,0)</f>
        <v>0</v>
      </c>
      <c r="F32" s="9">
        <f>VLOOKUP(A32,[12]HISTOBQUEJUIL24!$A$6:$G$41,5,0)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VLOOKUP(A32,[14]TONTJUIL24!$A$6:$R$39,12,0)</f>
        <v>0</v>
      </c>
      <c r="Q32" s="2">
        <f>VLOOKUP(A32,[15]TONTJUIL24!$A$7:$P$23,10,0)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5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VLOOKUP(A33,[12]HISTOBQUEJUIL24!$A$6:$G$46,3,0)</f>
        <v>0</v>
      </c>
      <c r="E33" s="9">
        <f>VLOOKUP(A33,[12]HISTOBQUEJUIL24!$A$6:$G$41,4,0)</f>
        <v>0</v>
      </c>
      <c r="F33" s="9">
        <f>VLOOKUP(A33,[12]HISTOBQUEJUIL24!$A$6:$G$41,5,0)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VLOOKUP(A33,[14]TONTJUIL24!$A$6:$R$39,12,0)</f>
        <v>0</v>
      </c>
      <c r="Q33" s="2"/>
      <c r="R33" s="2">
        <f>VLOOKUP(A33,[16]TONTJUIL24!$A$7:$P$20,10,0)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5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VLOOKUP(A34,[12]HISTOBQUEJUIL24!$A$6:$G$46,3,0)</f>
        <v>0</v>
      </c>
      <c r="E34" s="9">
        <f>VLOOKUP(A34,[12]HISTOBQUEJUIL24!$A$6:$G$41,4,0)</f>
        <v>0</v>
      </c>
      <c r="F34" s="9">
        <f>VLOOKUP(A34,[12]HISTOBQUEJUIL24!$A$6:$G$41,5,0)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VLOOKUP(A34,[14]TONTJUIL24!$A$6:$R$39,12,0)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5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VLOOKUP(A35,[12]HISTOBQUEJUIL24!$A$6:$G$46,3,0)</f>
        <v>0</v>
      </c>
      <c r="E35" s="9">
        <f>VLOOKUP(A35,[12]HISTOBQUEJUIL24!$A$6:$G$41,4,0)</f>
        <v>0</v>
      </c>
      <c r="F35" s="9">
        <f>VLOOKUP(A35,[12]HISTOBQUEJUIL24!$A$6:$G$41,5,0)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VLOOKUP(A35,[14]TONTJUIL24!$A$6:$R$39,12,0)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5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VLOOKUP(A36,[12]HISTOBQUEJUIL24!$A$6:$G$46,3,0)</f>
        <v>0</v>
      </c>
      <c r="E36" s="9">
        <f>VLOOKUP(A36,[12]HISTOBQUEJUIL24!$A$6:$G$41,4,0)</f>
        <v>0</v>
      </c>
      <c r="F36" s="9">
        <f>VLOOKUP(A36,[12]HISTOBQUEJUIL24!$A$6:$G$41,5,0)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VLOOKUP(A36,[14]TONTJUIL24!$A$6:$R$39,12,0)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5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VLOOKUP(A37,[12]HISTOBQUEJUIL24!$A$6:$G$46,3,0)</f>
        <v>0</v>
      </c>
      <c r="E37" s="9">
        <f>VLOOKUP(A37,[12]HISTOBQUEJUIL24!$A$6:$G$41,4,0)</f>
        <v>0</v>
      </c>
      <c r="F37" s="9">
        <f>VLOOKUP(A37,[12]HISTOBQUEJUIL24!$A$6:$G$41,5,0)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VLOOKUP(A37,[14]TONTJUIL24!$A$6:$R$39,12,0)</f>
        <v>0</v>
      </c>
      <c r="Q37" s="2"/>
      <c r="R37" s="2">
        <f>VLOOKUP(A37,[16]TONTJUIL24!$A$7:$P$20,10,0)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5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VLOOKUP(A38,[12]HISTOBQUEJUIL24!$A$6:$G$46,3,0)</f>
        <v>0</v>
      </c>
      <c r="E38" s="9">
        <f>VLOOKUP(A38,[12]HISTOBQUEJUIL24!$A$6:$G$41,4,0)</f>
        <v>0</v>
      </c>
      <c r="F38" s="9">
        <f>VLOOKUP(A38,[12]HISTOBQUEJUIL24!$A$6:$G$41,5,0)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VLOOKUP(A38,[14]TONTJUIL24!$A$6:$R$39,12,0)</f>
        <v>0</v>
      </c>
      <c r="Q38" s="2">
        <f>VLOOKUP(A38,[15]TONTJUIL24!$A$7:$P$23,10,0)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5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F6" sqref="E6:G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VLOOKUP(A6,[12]HISTOBQUEAOUT24!$A$6:$G$46,3,0)</f>
        <v>0</v>
      </c>
      <c r="E6" s="9">
        <f>VLOOKUP(A6,[12]HISTOBQUEAOUT24!$A$6:$G$41,4,0)</f>
        <v>0</v>
      </c>
      <c r="F6" s="9">
        <f>VLOOKUP(A6,[12]HISTOBQUEAOUT24!$A$6:$G$41,5,0)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4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VLOOKUP(A7,[12]HISTOBQUEAOUT24!$A$6:$G$46,3,0)</f>
        <v>0</v>
      </c>
      <c r="E7" s="9">
        <f>VLOOKUP(A7,[12]HISTOBQUEAOUT24!$A$6:$G$41,4,0)</f>
        <v>0</v>
      </c>
      <c r="F7" s="9">
        <f>VLOOKUP(A7,[12]HISTOBQUEAOUT24!$A$6:$G$41,5,0)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VLOOKUP(A7,[14]TONTAOUT24!$A$6:$R$39,12,0)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4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VLOOKUP(A8,[12]HISTOBQUEAOUT24!$A$6:$G$46,3,0)</f>
        <v>0</v>
      </c>
      <c r="E8" s="9">
        <f>VLOOKUP(A8,[12]HISTOBQUEAOUT24!$A$6:$G$41,4,0)</f>
        <v>0</v>
      </c>
      <c r="F8" s="9">
        <f>VLOOKUP(A8,[12]HISTOBQUEAOUT24!$A$6:$G$41,5,0)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VLOOKUP(A8,[14]TONTAOUT24!$A$6:$R$39,12,0)</f>
        <v>0</v>
      </c>
      <c r="Q8" s="2">
        <f>VLOOKUP(A8,[15]TONTAOUT24!$A$7:$P$23,10,0)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4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VLOOKUP(A9,[12]HISTOBQUEAOUT24!$A$6:$G$46,3,0)</f>
        <v>0</v>
      </c>
      <c r="E9" s="9">
        <f>VLOOKUP(A9,[12]HISTOBQUEAOUT24!$A$6:$G$41,4,0)</f>
        <v>0</v>
      </c>
      <c r="F9" s="9">
        <f>VLOOKUP(A9,[12]HISTOBQUEAOUT24!$A$6:$G$41,5,0)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VLOOKUP(A9,[14]TONTAOUT24!$A$6:$R$39,12,0)</f>
        <v>0</v>
      </c>
      <c r="Q9" s="2"/>
      <c r="R9" s="2">
        <f>VLOOKUP(A9,[16]TONTAOUT24!$A$7:$P$20,10,0)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4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VLOOKUP(A10,[12]HISTOBQUEAOUT24!$A$6:$G$46,3,0)</f>
        <v>0</v>
      </c>
      <c r="E10" s="9">
        <f>VLOOKUP(A10,[12]HISTOBQUEAOUT24!$A$6:$G$41,4,0)</f>
        <v>0</v>
      </c>
      <c r="F10" s="9">
        <f>VLOOKUP(A10,[12]HISTOBQUEAOUT24!$A$6:$G$41,5,0)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VLOOKUP(A10,[14]TONTAOUT24!$A$6:$R$39,12,0)</f>
        <v>0</v>
      </c>
      <c r="Q10" s="2">
        <f>VLOOKUP(A10,[15]TONTAOUT24!$A$7:$P$23,10,0)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4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VLOOKUP(A11,[12]HISTOBQUEAOUT24!$A$6:$G$46,3,0)</f>
        <v>0</v>
      </c>
      <c r="E11" s="9">
        <f>VLOOKUP(A11,[12]HISTOBQUEAOUT24!$A$6:$G$41,4,0)</f>
        <v>0</v>
      </c>
      <c r="F11" s="9">
        <f>VLOOKUP(A11,[12]HISTOBQUEAOUT24!$A$6:$G$41,5,0)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VLOOKUP(A11,[14]TONTAOUT24!$A$6:$R$39,12,0)</f>
        <v>0</v>
      </c>
      <c r="Q11" s="2">
        <f>VLOOKUP(A11,[15]TONTAOUT24!$A$7:$P$23,10,0)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4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VLOOKUP(A12,[12]HISTOBQUEAOUT24!$A$6:$G$46,3,0)</f>
        <v>0</v>
      </c>
      <c r="E12" s="9">
        <f>VLOOKUP(A12,[12]HISTOBQUEAOUT24!$A$6:$G$41,4,0)</f>
        <v>0</v>
      </c>
      <c r="F12" s="9">
        <f>VLOOKUP(A12,[12]HISTOBQUEAOUT24!$A$6:$G$41,5,0)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VLOOKUP(A12,[14]TONTAOUT24!$A$6:$R$39,12,0)</f>
        <v>0</v>
      </c>
      <c r="Q12" s="2">
        <f>VLOOKUP(A12,[15]TONTAOUT24!$A$7:$P$23,10,0)</f>
        <v>0</v>
      </c>
      <c r="R12" s="2">
        <f>VLOOKUP(A12,[16]TONTAOUT24!$A$7:$P$20,10,0)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4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VLOOKUP(A13,[12]HISTOBQUEAOUT24!$A$6:$G$46,3,0)</f>
        <v>0</v>
      </c>
      <c r="E13" s="9">
        <f>VLOOKUP(A13,[12]HISTOBQUEAOUT24!$A$6:$G$41,4,0)</f>
        <v>0</v>
      </c>
      <c r="F13" s="9">
        <f>VLOOKUP(A13,[12]HISTOBQUEAOUT24!$A$6:$G$41,5,0)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VLOOKUP(A13,[14]TONTAOUT24!$A$6:$R$39,12,0)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4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VLOOKUP(A14,[12]HISTOBQUEAOUT24!$A$6:$G$46,3,0)</f>
        <v>0</v>
      </c>
      <c r="E14" s="9">
        <f>VLOOKUP(A14,[12]HISTOBQUEAOUT24!$A$6:$G$41,4,0)</f>
        <v>0</v>
      </c>
      <c r="F14" s="9">
        <f>VLOOKUP(A14,[12]HISTOBQUEAOUT24!$A$6:$G$41,5,0)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VLOOKUP(A14,[14]TONTAOUT24!$A$6:$R$39,12,0)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4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VLOOKUP(A15,[12]HISTOBQUEAOUT24!$A$6:$G$46,3,0)</f>
        <v>0</v>
      </c>
      <c r="E15" s="9">
        <f>VLOOKUP(A15,[12]HISTOBQUEAOUT24!$A$6:$G$41,4,0)</f>
        <v>0</v>
      </c>
      <c r="F15" s="9">
        <f>VLOOKUP(A15,[12]HISTOBQUEAOUT24!$A$6:$G$41,5,0)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VLOOKUP(A15,[14]TONTAOUT24!$A$6:$R$39,12,0)</f>
        <v>0</v>
      </c>
      <c r="Q15" s="2">
        <f>VLOOKUP(A15,[15]TONTAOUT24!$A$7:$P$23,10,0)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4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VLOOKUP(A16,[12]HISTOBQUEAOUT24!$A$6:$G$46,3,0)</f>
        <v>0</v>
      </c>
      <c r="E16" s="9">
        <f>VLOOKUP(A16,[12]HISTOBQUEAOUT24!$A$6:$G$41,4,0)</f>
        <v>0</v>
      </c>
      <c r="F16" s="9">
        <f>VLOOKUP(A16,[12]HISTOBQUEAOUT24!$A$6:$G$41,5,0)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VLOOKUP(A16,[14]TONTAOUT24!$A$6:$R$39,12,0)</f>
        <v>0</v>
      </c>
      <c r="Q16" s="2">
        <f>VLOOKUP(A16,[15]TONTAOUT24!$A$7:$P$23,10,0)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4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VLOOKUP(A17,[12]HISTOBQUEAOUT24!$A$6:$G$46,3,0)</f>
        <v>0</v>
      </c>
      <c r="E17" s="9">
        <f>VLOOKUP(A17,[12]HISTOBQUEAOUT24!$A$6:$G$41,4,0)</f>
        <v>0</v>
      </c>
      <c r="F17" s="9">
        <f>VLOOKUP(A17,[12]HISTOBQUEAOUT24!$A$6:$G$41,5,0)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VLOOKUP(A17,[14]TONTAOUT24!$A$6:$R$39,12,0)</f>
        <v>0</v>
      </c>
      <c r="Q17" s="2"/>
      <c r="R17" s="2">
        <f>VLOOKUP(A17,[16]TONTAOUT24!$A$7:$P$20,10,0)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4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VLOOKUP(A18,[12]HISTOBQUEAOUT24!$A$6:$G$46,3,0)</f>
        <v>0</v>
      </c>
      <c r="E18" s="9">
        <f>VLOOKUP(A18,[12]HISTOBQUEAOUT24!$A$6:$G$41,4,0)</f>
        <v>0</v>
      </c>
      <c r="F18" s="9">
        <f>VLOOKUP(A18,[12]HISTOBQUEAOUT24!$A$6:$G$41,5,0)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VLOOKUP(A18,[14]TONTAOUT24!$A$6:$R$39,12,0)</f>
        <v>0</v>
      </c>
      <c r="Q18" s="2"/>
      <c r="R18" s="2">
        <f>VLOOKUP(A18,[16]TONTAOUT24!$A$7:$P$20,10,0)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4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VLOOKUP(A19,[12]HISTOBQUEAOUT24!$A$6:$G$46,3,0)</f>
        <v>0</v>
      </c>
      <c r="E19" s="9">
        <f>VLOOKUP(A19,[12]HISTOBQUEAOUT24!$A$6:$G$41,4,0)</f>
        <v>0</v>
      </c>
      <c r="F19" s="9">
        <f>VLOOKUP(A19,[12]HISTOBQUEAOUT24!$A$6:$G$41,5,0)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VLOOKUP(A19,[14]TONTAOUT24!$A$6:$R$39,12,0)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4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VLOOKUP(A20,[12]HISTOBQUEAOUT24!$A$6:$G$46,3,0)</f>
        <v>0</v>
      </c>
      <c r="E20" s="9">
        <f>VLOOKUP(A20,[12]HISTOBQUEAOUT24!$A$6:$G$41,4,0)</f>
        <v>0</v>
      </c>
      <c r="F20" s="9">
        <f>VLOOKUP(A20,[12]HISTOBQUEAOUT24!$A$6:$G$41,5,0)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VLOOKUP(A20,[14]TONTAOUT24!$A$6:$R$39,12,0)</f>
        <v>0</v>
      </c>
      <c r="Q20" s="2">
        <f>VLOOKUP(A20,[15]TONTAOUT24!$A$7:$P$23,10,0)</f>
        <v>0</v>
      </c>
      <c r="R20" s="2">
        <f>VLOOKUP(A20,[16]TONTAOUT24!$A$7:$P$20,10,0)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4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VLOOKUP(A21,[12]HISTOBQUEAOUT24!$A$6:$G$46,3,0)</f>
        <v>0</v>
      </c>
      <c r="E21" s="9">
        <f>VLOOKUP(A21,[12]HISTOBQUEAOUT24!$A$6:$G$41,4,0)</f>
        <v>0</v>
      </c>
      <c r="F21" s="9">
        <f>VLOOKUP(A21,[12]HISTOBQUEAOUT24!$A$6:$G$41,5,0)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VLOOKUP(A21,[14]TONTAOUT24!$A$6:$R$39,12,0)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4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VLOOKUP(A22,[12]HISTOBQUEAOUT24!$A$6:$G$46,3,0)</f>
        <v>0</v>
      </c>
      <c r="E22" s="9">
        <f>VLOOKUP(A22,[12]HISTOBQUEAOUT24!$A$6:$G$41,4,0)</f>
        <v>0</v>
      </c>
      <c r="F22" s="9">
        <f>VLOOKUP(A22,[12]HISTOBQUEAOUT24!$A$6:$G$41,5,0)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VLOOKUP(A22,[14]TONTAOUT24!$A$6:$R$39,12,0)</f>
        <v>0</v>
      </c>
      <c r="Q22" s="2">
        <f>VLOOKUP(A22,[15]TONTAOUT24!$A$7:$P$23,10,0)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4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VLOOKUP(A23,[12]HISTOBQUEAOUT24!$A$6:$G$46,3,0)</f>
        <v>0</v>
      </c>
      <c r="E23" s="9">
        <f>VLOOKUP(A23,[12]HISTOBQUEAOUT24!$A$6:$G$41,4,0)</f>
        <v>0</v>
      </c>
      <c r="F23" s="9">
        <f>VLOOKUP(A23,[12]HISTOBQUEAOUT24!$A$6:$G$41,5,0)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VLOOKUP(A23,[14]TONTAOUT24!$A$6:$R$39,12,0)</f>
        <v>0</v>
      </c>
      <c r="Q23" s="2"/>
      <c r="R23" s="2">
        <f>VLOOKUP(A23,[16]TONTAOUT24!$A$7:$P$20,10,0)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4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VLOOKUP(A24,[12]HISTOBQUEAOUT24!$A$6:$G$46,3,0)</f>
        <v>0</v>
      </c>
      <c r="E24" s="9">
        <f>VLOOKUP(A24,[12]HISTOBQUEAOUT24!$A$6:$G$41,4,0)</f>
        <v>0</v>
      </c>
      <c r="F24" s="9">
        <f>VLOOKUP(A24,[12]HISTOBQUEAOUT24!$A$6:$G$41,5,0)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VLOOKUP(A24,[14]TONTAOUT24!$A$6:$R$39,12,0)</f>
        <v>0</v>
      </c>
      <c r="Q24" s="2">
        <f>VLOOKUP(A24,[15]TONTAOUT24!$A$7:$P$23,10,0)</f>
        <v>0</v>
      </c>
      <c r="R24" s="2">
        <f>VLOOKUP(A24,[16]TONTAOUT24!$A$7:$P$20,10,0)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4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VLOOKUP(A25,[12]HISTOBQUEAOUT24!$A$6:$G$46,3,0)</f>
        <v>0</v>
      </c>
      <c r="E25" s="9">
        <f>VLOOKUP(A25,[12]HISTOBQUEAOUT24!$A$6:$G$41,4,0)</f>
        <v>0</v>
      </c>
      <c r="F25" s="9">
        <f>VLOOKUP(A25,[12]HISTOBQUEAOUT24!$A$6:$G$41,5,0)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VLOOKUP(A25,[14]TONTAOUT24!$A$6:$R$39,12,0)</f>
        <v>0</v>
      </c>
      <c r="Q25" s="2">
        <f>VLOOKUP(A25,[15]TONTAOUT24!$A$7:$P$23,10,0)</f>
        <v>0</v>
      </c>
      <c r="R25" s="2">
        <f>VLOOKUP(A25,[16]TONTAOUT24!$A$7:$P$20,10,0)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4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VLOOKUP(A26,[12]HISTOBQUEAOUT24!$A$6:$G$46,3,0)</f>
        <v>0</v>
      </c>
      <c r="E26" s="9">
        <f>VLOOKUP(A26,[12]HISTOBQUEAOUT24!$A$6:$G$41,4,0)</f>
        <v>0</v>
      </c>
      <c r="F26" s="9">
        <f>VLOOKUP(A26,[12]HISTOBQUEAOUT24!$A$6:$G$41,5,0)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VLOOKUP(A26,[14]TONTAOUT24!$A$6:$R$39,12,0)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4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VLOOKUP(A27,[12]HISTOBQUEAOUT24!$A$6:$G$46,3,0)</f>
        <v>0</v>
      </c>
      <c r="E27" s="9">
        <f>VLOOKUP(A27,[12]HISTOBQUEAOUT24!$A$6:$G$41,4,0)</f>
        <v>0</v>
      </c>
      <c r="F27" s="9">
        <f>VLOOKUP(A27,[12]HISTOBQUEAOUT24!$A$6:$G$41,5,0)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VLOOKUP(A27,[14]TONTAOUT24!$A$6:$R$39,12,0)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4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VLOOKUP(A28,[12]HISTOBQUEAOUT24!$A$6:$G$46,3,0)</f>
        <v>0</v>
      </c>
      <c r="E28" s="9">
        <f>VLOOKUP(A28,[12]HISTOBQUEAOUT24!$A$6:$G$41,4,0)</f>
        <v>0</v>
      </c>
      <c r="F28" s="9">
        <f>VLOOKUP(A28,[12]HISTOBQUEAOUT24!$A$6:$G$41,5,0)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VLOOKUP(A28,[14]TONTAOUT24!$A$6:$R$39,12,0)</f>
        <v>0</v>
      </c>
      <c r="Q28" s="2">
        <f>VLOOKUP(A28,[15]TONTAOUT24!$A$7:$P$23,10,0)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4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VLOOKUP(A29,[12]HISTOBQUEAOUT24!$A$6:$G$46,3,0)</f>
        <v>0</v>
      </c>
      <c r="E29" s="9">
        <f>VLOOKUP(A29,[12]HISTOBQUEAOUT24!$A$6:$G$41,4,0)</f>
        <v>0</v>
      </c>
      <c r="F29" s="9">
        <f>VLOOKUP(A29,[12]HISTOBQUEAOUT24!$A$6:$G$41,5,0)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VLOOKUP(A29,[14]TONTAOUT24!$A$6:$R$39,12,0)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4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VLOOKUP(A30,[12]HISTOBQUEAOUT24!$A$6:$G$46,3,0)</f>
        <v>0</v>
      </c>
      <c r="E30" s="9">
        <f>VLOOKUP(A30,[12]HISTOBQUEAOUT24!$A$6:$G$41,4,0)</f>
        <v>0</v>
      </c>
      <c r="F30" s="9">
        <f>VLOOKUP(A30,[12]HISTOBQUEAOUT24!$A$6:$G$41,5,0)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VLOOKUP(A30,[14]TONTAOUT24!$A$6:$R$39,12,0)</f>
        <v>0</v>
      </c>
      <c r="Q30" s="2"/>
      <c r="R30" s="2">
        <f>VLOOKUP(A30,[16]TONTAOUT24!$A$7:$P$20,10,0)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4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VLOOKUP(A31,[12]HISTOBQUEAOUT24!$A$6:$G$46,3,0)</f>
        <v>0</v>
      </c>
      <c r="E31" s="9">
        <f>VLOOKUP(A31,[12]HISTOBQUEAOUT24!$A$6:$G$41,4,0)</f>
        <v>0</v>
      </c>
      <c r="F31" s="9">
        <f>VLOOKUP(A31,[12]HISTOBQUEAOUT24!$A$6:$G$41,5,0)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VLOOKUP(A31,[14]TONTAOUT24!$A$6:$R$39,12,0)</f>
        <v>0</v>
      </c>
      <c r="Q31" s="2"/>
      <c r="R31" s="2">
        <f>VLOOKUP(A31,[16]TONTAOUT24!$A$7:$P$20,10,0)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4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VLOOKUP(A32,[12]HISTOBQUEAOUT24!$A$6:$G$46,3,0)</f>
        <v>0</v>
      </c>
      <c r="E32" s="9">
        <f>VLOOKUP(A32,[12]HISTOBQUEAOUT24!$A$6:$G$41,4,0)</f>
        <v>0</v>
      </c>
      <c r="F32" s="9">
        <f>VLOOKUP(A32,[12]HISTOBQUEAOUT24!$A$6:$G$41,5,0)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VLOOKUP(A32,[14]TONTAOUT24!$A$6:$R$39,12,0)</f>
        <v>0</v>
      </c>
      <c r="Q32" s="2">
        <f>VLOOKUP(A32,[15]TONTAOUT24!$A$7:$P$23,10,0)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4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VLOOKUP(A33,[12]HISTOBQUEAOUT24!$A$6:$G$46,3,0)</f>
        <v>0</v>
      </c>
      <c r="E33" s="9">
        <f>VLOOKUP(A33,[12]HISTOBQUEAOUT24!$A$6:$G$41,4,0)</f>
        <v>0</v>
      </c>
      <c r="F33" s="9">
        <f>VLOOKUP(A33,[12]HISTOBQUEAOUT24!$A$6:$G$41,5,0)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VLOOKUP(A33,[14]TONTAOUT24!$A$6:$R$39,12,0)</f>
        <v>0</v>
      </c>
      <c r="Q33" s="2"/>
      <c r="R33" s="2">
        <f>VLOOKUP(A33,[16]TONTAOUT24!$A$7:$P$20,10,0)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4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VLOOKUP(A34,[12]HISTOBQUEAOUT24!$A$6:$G$46,3,0)</f>
        <v>0</v>
      </c>
      <c r="E34" s="9">
        <f>VLOOKUP(A34,[12]HISTOBQUEAOUT24!$A$6:$G$41,4,0)</f>
        <v>0</v>
      </c>
      <c r="F34" s="9">
        <f>VLOOKUP(A34,[12]HISTOBQUEAOUT24!$A$6:$G$41,5,0)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VLOOKUP(A34,[14]TONTAOUT24!$A$6:$R$39,12,0)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4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VLOOKUP(A35,[12]HISTOBQUEAOUT24!$A$6:$G$46,3,0)</f>
        <v>0</v>
      </c>
      <c r="E35" s="9">
        <f>VLOOKUP(A35,[12]HISTOBQUEAOUT24!$A$6:$G$41,4,0)</f>
        <v>0</v>
      </c>
      <c r="F35" s="9">
        <f>VLOOKUP(A35,[12]HISTOBQUEAOUT24!$A$6:$G$41,5,0)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VLOOKUP(A35,[14]TONTAOUT24!$A$6:$R$39,12,0)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4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VLOOKUP(A36,[12]HISTOBQUEAOUT24!$A$6:$G$46,3,0)</f>
        <v>0</v>
      </c>
      <c r="E36" s="9">
        <f>VLOOKUP(A36,[12]HISTOBQUEAOUT24!$A$6:$G$41,4,0)</f>
        <v>0</v>
      </c>
      <c r="F36" s="9">
        <f>VLOOKUP(A36,[12]HISTOBQUEAOUT24!$A$6:$G$41,5,0)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VLOOKUP(A36,[14]TONTAOUT24!$A$6:$R$39,12,0)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4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VLOOKUP(A37,[12]HISTOBQUEAOUT24!$A$6:$G$46,3,0)</f>
        <v>0</v>
      </c>
      <c r="E37" s="9">
        <f>VLOOKUP(A37,[12]HISTOBQUEAOUT24!$A$6:$G$41,4,0)</f>
        <v>0</v>
      </c>
      <c r="F37" s="9">
        <f>VLOOKUP(A37,[12]HISTOBQUEAOUT24!$A$6:$G$41,5,0)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VLOOKUP(A37,[14]TONTAOUT24!$A$6:$R$39,12,0)</f>
        <v>0</v>
      </c>
      <c r="Q37" s="2"/>
      <c r="R37" s="2">
        <f>VLOOKUP(A37,[16]TONTAOUT24!$A$7:$P$20,10,0)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4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VLOOKUP(A38,[12]HISTOBQUEAOUT24!$A$6:$G$46,3,0)</f>
        <v>0</v>
      </c>
      <c r="E38" s="9">
        <f>VLOOKUP(A38,[12]HISTOBQUEAOUT24!$A$6:$G$41,4,0)</f>
        <v>0</v>
      </c>
      <c r="F38" s="9">
        <f>VLOOKUP(A38,[12]HISTOBQUEAOUT24!$A$6:$G$41,5,0)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VLOOKUP(A38,[14]TONTAOUT24!$A$6:$R$39,12,0)</f>
        <v>0</v>
      </c>
      <c r="Q38" s="2">
        <f>VLOOKUP(A38,[15]TONTAOUT24!$A$7:$P$23,10,0)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4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F6" sqref="E6:G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VLOOKUP(A6,[12]HISTOBQUESEPT24!$A$6:$G$46,3,0)</f>
        <v>0</v>
      </c>
      <c r="E6" s="9">
        <f>VLOOKUP(A6,[12]HISTOBQUESEPT24!$A$6:$G$41,4,0)</f>
        <v>0</v>
      </c>
      <c r="F6" s="9">
        <f>VLOOKUP(A6,[12]HISTOBQUESEPT24!$A$6:$G$41,5,0)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3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VLOOKUP(A7,[12]HISTOBQUESEPT24!$A$6:$G$46,3,0)</f>
        <v>0</v>
      </c>
      <c r="E7" s="9">
        <f>VLOOKUP(A7,[12]HISTOBQUESEPT24!$A$6:$G$41,4,0)</f>
        <v>0</v>
      </c>
      <c r="F7" s="9">
        <f>VLOOKUP(A7,[12]HISTOBQUESEPT24!$A$6:$G$41,5,0)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VLOOKUP(A7,[14]TONTSEPT24!$A$6:$R$39,12,0)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3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VLOOKUP(A8,[12]HISTOBQUESEPT24!$A$6:$G$46,3,0)</f>
        <v>0</v>
      </c>
      <c r="E8" s="9">
        <f>VLOOKUP(A8,[12]HISTOBQUESEPT24!$A$6:$G$41,4,0)</f>
        <v>0</v>
      </c>
      <c r="F8" s="9">
        <f>VLOOKUP(A8,[12]HISTOBQUESEPT24!$A$6:$G$41,5,0)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VLOOKUP(A8,[14]TONTSEPT24!$A$6:$R$39,12,0)</f>
        <v>0</v>
      </c>
      <c r="Q8" s="2">
        <f>VLOOKUP(A8,[15]TONTSEPT24!$A$7:$P$23,10,0)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VLOOKUP(A9,[12]HISTOBQUESEPT24!$A$6:$G$46,3,0)</f>
        <v>0</v>
      </c>
      <c r="E9" s="9">
        <f>VLOOKUP(A9,[12]HISTOBQUESEPT24!$A$6:$G$41,4,0)</f>
        <v>0</v>
      </c>
      <c r="F9" s="9">
        <f>VLOOKUP(A9,[12]HISTOBQUESEPT24!$A$6:$G$41,5,0)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VLOOKUP(A9,[14]TONTSEPT24!$A$6:$R$39,12,0)</f>
        <v>0</v>
      </c>
      <c r="Q9" s="2"/>
      <c r="R9" s="2">
        <f>VLOOKUP(A9,[16]TONTSEPT24!$A$7:$P$20,10,0)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3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VLOOKUP(A10,[12]HISTOBQUESEPT24!$A$6:$G$46,3,0)</f>
        <v>0</v>
      </c>
      <c r="E10" s="9">
        <f>VLOOKUP(A10,[12]HISTOBQUESEPT24!$A$6:$G$41,4,0)</f>
        <v>0</v>
      </c>
      <c r="F10" s="9">
        <f>VLOOKUP(A10,[12]HISTOBQUESEPT24!$A$6:$G$41,5,0)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VLOOKUP(A10,[14]TONTSEPT24!$A$6:$R$39,12,0)</f>
        <v>0</v>
      </c>
      <c r="Q10" s="2">
        <f>VLOOKUP(A10,[15]TONTSEPT24!$A$7:$P$23,10,0)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3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VLOOKUP(A11,[12]HISTOBQUESEPT24!$A$6:$G$46,3,0)</f>
        <v>0</v>
      </c>
      <c r="E11" s="9">
        <f>VLOOKUP(A11,[12]HISTOBQUESEPT24!$A$6:$G$41,4,0)</f>
        <v>0</v>
      </c>
      <c r="F11" s="9">
        <f>VLOOKUP(A11,[12]HISTOBQUESEPT24!$A$6:$G$41,5,0)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VLOOKUP(A11,[14]TONTSEPT24!$A$6:$R$39,12,0)</f>
        <v>0</v>
      </c>
      <c r="Q11" s="2">
        <f>VLOOKUP(A11,[15]TONTSEPT24!$A$7:$P$23,10,0)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3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VLOOKUP(A12,[12]HISTOBQUESEPT24!$A$6:$G$46,3,0)</f>
        <v>0</v>
      </c>
      <c r="E12" s="9">
        <f>VLOOKUP(A12,[12]HISTOBQUESEPT24!$A$6:$G$41,4,0)</f>
        <v>0</v>
      </c>
      <c r="F12" s="9">
        <f>VLOOKUP(A12,[12]HISTOBQUESEPT24!$A$6:$G$41,5,0)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VLOOKUP(A12,[14]TONTSEPT24!$A$6:$R$39,12,0)</f>
        <v>0</v>
      </c>
      <c r="Q12" s="2">
        <f>VLOOKUP(A12,[15]TONTSEPT24!$A$7:$P$23,10,0)</f>
        <v>0</v>
      </c>
      <c r="R12" s="2">
        <f>VLOOKUP(A12,[16]TONTSEPT24!$A$7:$P$20,10,0)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3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VLOOKUP(A13,[12]HISTOBQUESEPT24!$A$6:$G$46,3,0)</f>
        <v>0</v>
      </c>
      <c r="E13" s="9">
        <f>VLOOKUP(A13,[12]HISTOBQUESEPT24!$A$6:$G$41,4,0)</f>
        <v>0</v>
      </c>
      <c r="F13" s="9">
        <f>VLOOKUP(A13,[12]HISTOBQUESEPT24!$A$6:$G$41,5,0)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VLOOKUP(A13,[14]TONTSEPT24!$A$6:$R$39,12,0)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3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VLOOKUP(A14,[12]HISTOBQUESEPT24!$A$6:$G$46,3,0)</f>
        <v>0</v>
      </c>
      <c r="E14" s="9">
        <f>VLOOKUP(A14,[12]HISTOBQUESEPT24!$A$6:$G$41,4,0)</f>
        <v>0</v>
      </c>
      <c r="F14" s="9">
        <f>VLOOKUP(A14,[12]HISTOBQUESEPT24!$A$6:$G$41,5,0)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VLOOKUP(A14,[14]TONTSEPT24!$A$6:$R$39,12,0)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3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VLOOKUP(A15,[12]HISTOBQUESEPT24!$A$6:$G$46,3,0)</f>
        <v>0</v>
      </c>
      <c r="E15" s="9">
        <f>VLOOKUP(A15,[12]HISTOBQUESEPT24!$A$6:$G$41,4,0)</f>
        <v>0</v>
      </c>
      <c r="F15" s="9">
        <f>VLOOKUP(A15,[12]HISTOBQUESEPT24!$A$6:$G$41,5,0)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VLOOKUP(A15,[14]TONTSEPT24!$A$6:$R$39,12,0)</f>
        <v>0</v>
      </c>
      <c r="Q15" s="2">
        <f>VLOOKUP(A15,[15]TONTSEPT24!$A$7:$P$23,10,0)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3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VLOOKUP(A16,[12]HISTOBQUESEPT24!$A$6:$G$46,3,0)</f>
        <v>0</v>
      </c>
      <c r="E16" s="9">
        <f>VLOOKUP(A16,[12]HISTOBQUESEPT24!$A$6:$G$41,4,0)</f>
        <v>0</v>
      </c>
      <c r="F16" s="9">
        <f>VLOOKUP(A16,[12]HISTOBQUESEPT24!$A$6:$G$41,5,0)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VLOOKUP(A16,[14]TONTSEPT24!$A$6:$R$39,12,0)</f>
        <v>0</v>
      </c>
      <c r="Q16" s="2">
        <f>VLOOKUP(A16,[15]TONTSEPT24!$A$7:$P$23,10,0)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3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VLOOKUP(A17,[12]HISTOBQUESEPT24!$A$6:$G$46,3,0)</f>
        <v>0</v>
      </c>
      <c r="E17" s="9">
        <f>VLOOKUP(A17,[12]HISTOBQUESEPT24!$A$6:$G$41,4,0)</f>
        <v>0</v>
      </c>
      <c r="F17" s="9">
        <f>VLOOKUP(A17,[12]HISTOBQUESEPT24!$A$6:$G$41,5,0)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VLOOKUP(A17,[14]TONTSEPT24!$A$6:$R$39,12,0)</f>
        <v>0</v>
      </c>
      <c r="Q17" s="2"/>
      <c r="R17" s="2">
        <f>VLOOKUP(A17,[16]TONTSEPT24!$A$7:$P$20,10,0)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3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VLOOKUP(A18,[12]HISTOBQUESEPT24!$A$6:$G$46,3,0)</f>
        <v>0</v>
      </c>
      <c r="E18" s="9">
        <f>VLOOKUP(A18,[12]HISTOBQUESEPT24!$A$6:$G$41,4,0)</f>
        <v>0</v>
      </c>
      <c r="F18" s="9">
        <f>VLOOKUP(A18,[12]HISTOBQUESEPT24!$A$6:$G$41,5,0)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VLOOKUP(A18,[14]TONTSEPT24!$A$6:$R$39,12,0)</f>
        <v>0</v>
      </c>
      <c r="Q18" s="2"/>
      <c r="R18" s="2">
        <f>VLOOKUP(A18,[16]TONTSEPT24!$A$7:$P$20,10,0)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3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VLOOKUP(A19,[12]HISTOBQUESEPT24!$A$6:$G$46,3,0)</f>
        <v>0</v>
      </c>
      <c r="E19" s="9">
        <f>VLOOKUP(A19,[12]HISTOBQUESEPT24!$A$6:$G$41,4,0)</f>
        <v>0</v>
      </c>
      <c r="F19" s="9">
        <f>VLOOKUP(A19,[12]HISTOBQUESEPT24!$A$6:$G$41,5,0)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VLOOKUP(A19,[14]TONTSEPT24!$A$6:$R$39,12,0)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3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VLOOKUP(A20,[12]HISTOBQUESEPT24!$A$6:$G$46,3,0)</f>
        <v>0</v>
      </c>
      <c r="E20" s="9">
        <f>VLOOKUP(A20,[12]HISTOBQUESEPT24!$A$6:$G$41,4,0)</f>
        <v>0</v>
      </c>
      <c r="F20" s="9">
        <f>VLOOKUP(A20,[12]HISTOBQUESEPT24!$A$6:$G$41,5,0)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VLOOKUP(A20,[14]TONTSEPT24!$A$6:$R$39,12,0)</f>
        <v>0</v>
      </c>
      <c r="Q20" s="2">
        <f>VLOOKUP(A20,[15]TONTSEPT24!$A$7:$P$23,10,0)</f>
        <v>0</v>
      </c>
      <c r="R20" s="2">
        <f>VLOOKUP(A20,[16]TONTSEPT24!$A$7:$P$20,10,0)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3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VLOOKUP(A21,[12]HISTOBQUESEPT24!$A$6:$G$46,3,0)</f>
        <v>0</v>
      </c>
      <c r="E21" s="9">
        <f>VLOOKUP(A21,[12]HISTOBQUESEPT24!$A$6:$G$41,4,0)</f>
        <v>0</v>
      </c>
      <c r="F21" s="9">
        <f>VLOOKUP(A21,[12]HISTOBQUESEPT24!$A$6:$G$41,5,0)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VLOOKUP(A21,[14]TONTSEPT24!$A$6:$R$39,12,0)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3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VLOOKUP(A22,[12]HISTOBQUESEPT24!$A$6:$G$46,3,0)</f>
        <v>0</v>
      </c>
      <c r="E22" s="9">
        <f>VLOOKUP(A22,[12]HISTOBQUESEPT24!$A$6:$G$41,4,0)</f>
        <v>0</v>
      </c>
      <c r="F22" s="9">
        <f>VLOOKUP(A22,[12]HISTOBQUESEPT24!$A$6:$G$41,5,0)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VLOOKUP(A22,[14]TONTSEPT24!$A$6:$R$39,12,0)</f>
        <v>0</v>
      </c>
      <c r="Q22" s="2">
        <f>VLOOKUP(A22,[15]TONTSEPT24!$A$7:$P$23,10,0)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3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VLOOKUP(A23,[12]HISTOBQUESEPT24!$A$6:$G$46,3,0)</f>
        <v>0</v>
      </c>
      <c r="E23" s="9">
        <f>VLOOKUP(A23,[12]HISTOBQUESEPT24!$A$6:$G$41,4,0)</f>
        <v>0</v>
      </c>
      <c r="F23" s="9">
        <f>VLOOKUP(A23,[12]HISTOBQUESEPT24!$A$6:$G$41,5,0)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VLOOKUP(A23,[14]TONTSEPT24!$A$6:$R$39,12,0)</f>
        <v>0</v>
      </c>
      <c r="Q23" s="2"/>
      <c r="R23" s="2">
        <f>VLOOKUP(A23,[16]TONTSEPT24!$A$7:$P$20,10,0)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3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VLOOKUP(A24,[12]HISTOBQUESEPT24!$A$6:$G$46,3,0)</f>
        <v>0</v>
      </c>
      <c r="E24" s="9">
        <f>VLOOKUP(A24,[12]HISTOBQUESEPT24!$A$6:$G$41,4,0)</f>
        <v>0</v>
      </c>
      <c r="F24" s="9">
        <f>VLOOKUP(A24,[12]HISTOBQUESEPT24!$A$6:$G$41,5,0)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VLOOKUP(A24,[14]TONTSEPT24!$A$6:$R$39,12,0)</f>
        <v>0</v>
      </c>
      <c r="Q24" s="2">
        <f>VLOOKUP(A24,[15]TONTSEPT24!$A$7:$P$23,10,0)</f>
        <v>0</v>
      </c>
      <c r="R24" s="2">
        <f>VLOOKUP(A24,[16]TONTSEPT24!$A$7:$P$20,10,0)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3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VLOOKUP(A25,[12]HISTOBQUESEPT24!$A$6:$G$46,3,0)</f>
        <v>0</v>
      </c>
      <c r="E25" s="9">
        <f>VLOOKUP(A25,[12]HISTOBQUESEPT24!$A$6:$G$41,4,0)</f>
        <v>0</v>
      </c>
      <c r="F25" s="9">
        <f>VLOOKUP(A25,[12]HISTOBQUESEPT24!$A$6:$G$41,5,0)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VLOOKUP(A25,[14]TONTSEPT24!$A$6:$R$39,12,0)</f>
        <v>0</v>
      </c>
      <c r="Q25" s="2">
        <f>VLOOKUP(A25,[15]TONTSEPT24!$A$7:$P$23,10,0)</f>
        <v>0</v>
      </c>
      <c r="R25" s="2">
        <f>VLOOKUP(A25,[16]TONTSEPT24!$A$7:$P$20,10,0)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3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VLOOKUP(A26,[12]HISTOBQUESEPT24!$A$6:$G$46,3,0)</f>
        <v>0</v>
      </c>
      <c r="E26" s="9">
        <f>VLOOKUP(A26,[12]HISTOBQUESEPT24!$A$6:$G$41,4,0)</f>
        <v>0</v>
      </c>
      <c r="F26" s="9">
        <f>VLOOKUP(A26,[12]HISTOBQUESEPT24!$A$6:$G$41,5,0)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VLOOKUP(A26,[14]TONTSEPT24!$A$6:$R$39,12,0)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VLOOKUP(A27,[12]HISTOBQUESEPT24!$A$6:$G$46,3,0)</f>
        <v>0</v>
      </c>
      <c r="E27" s="9">
        <f>VLOOKUP(A27,[12]HISTOBQUESEPT24!$A$6:$G$41,4,0)</f>
        <v>0</v>
      </c>
      <c r="F27" s="9">
        <f>VLOOKUP(A27,[12]HISTOBQUESEPT24!$A$6:$G$41,5,0)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VLOOKUP(A27,[14]TONTSEPT24!$A$6:$R$39,12,0)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VLOOKUP(A28,[12]HISTOBQUESEPT24!$A$6:$G$46,3,0)</f>
        <v>0</v>
      </c>
      <c r="E28" s="9">
        <f>VLOOKUP(A28,[12]HISTOBQUESEPT24!$A$6:$G$41,4,0)</f>
        <v>0</v>
      </c>
      <c r="F28" s="9">
        <f>VLOOKUP(A28,[12]HISTOBQUESEPT24!$A$6:$G$41,5,0)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VLOOKUP(A28,[14]TONTSEPT24!$A$6:$R$39,12,0)</f>
        <v>0</v>
      </c>
      <c r="Q28" s="2">
        <f>VLOOKUP(A28,[15]TONTSEPT24!$A$7:$P$23,10,0)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3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VLOOKUP(A29,[12]HISTOBQUESEPT24!$A$6:$G$46,3,0)</f>
        <v>0</v>
      </c>
      <c r="E29" s="9">
        <f>VLOOKUP(A29,[12]HISTOBQUESEPT24!$A$6:$G$41,4,0)</f>
        <v>0</v>
      </c>
      <c r="F29" s="9">
        <f>VLOOKUP(A29,[12]HISTOBQUESEPT24!$A$6:$G$41,5,0)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VLOOKUP(A29,[14]TONTSEPT24!$A$6:$R$39,12,0)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3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VLOOKUP(A30,[12]HISTOBQUESEPT24!$A$6:$G$46,3,0)</f>
        <v>0</v>
      </c>
      <c r="E30" s="9">
        <f>VLOOKUP(A30,[12]HISTOBQUESEPT24!$A$6:$G$41,4,0)</f>
        <v>0</v>
      </c>
      <c r="F30" s="9">
        <f>VLOOKUP(A30,[12]HISTOBQUESEPT24!$A$6:$G$41,5,0)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VLOOKUP(A30,[14]TONTSEPT24!$A$6:$R$39,12,0)</f>
        <v>0</v>
      </c>
      <c r="Q30" s="2"/>
      <c r="R30" s="2">
        <f>VLOOKUP(A30,[16]TONTSEPT24!$A$7:$P$20,10,0)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3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VLOOKUP(A31,[12]HISTOBQUESEPT24!$A$6:$G$46,3,0)</f>
        <v>0</v>
      </c>
      <c r="E31" s="9">
        <f>VLOOKUP(A31,[12]HISTOBQUESEPT24!$A$6:$G$41,4,0)</f>
        <v>0</v>
      </c>
      <c r="F31" s="9">
        <f>VLOOKUP(A31,[12]HISTOBQUESEPT24!$A$6:$G$41,5,0)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VLOOKUP(A31,[14]TONTSEPT24!$A$6:$R$39,12,0)</f>
        <v>0</v>
      </c>
      <c r="Q31" s="2"/>
      <c r="R31" s="2">
        <f>VLOOKUP(A31,[16]TONTSEPT24!$A$7:$P$20,10,0)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VLOOKUP(A32,[12]HISTOBQUESEPT24!$A$6:$G$46,3,0)</f>
        <v>0</v>
      </c>
      <c r="E32" s="9">
        <f>VLOOKUP(A32,[12]HISTOBQUESEPT24!$A$6:$G$41,4,0)</f>
        <v>0</v>
      </c>
      <c r="F32" s="9">
        <f>VLOOKUP(A32,[12]HISTOBQUESEPT24!$A$6:$G$41,5,0)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VLOOKUP(A32,[14]TONTSEPT24!$A$6:$R$39,12,0)</f>
        <v>0</v>
      </c>
      <c r="Q32" s="2">
        <f>VLOOKUP(A32,[15]TONTSEPT24!$A$7:$P$23,10,0)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3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VLOOKUP(A33,[12]HISTOBQUESEPT24!$A$6:$G$46,3,0)</f>
        <v>0</v>
      </c>
      <c r="E33" s="9">
        <f>VLOOKUP(A33,[12]HISTOBQUESEPT24!$A$6:$G$41,4,0)</f>
        <v>0</v>
      </c>
      <c r="F33" s="9">
        <f>VLOOKUP(A33,[12]HISTOBQUESEPT24!$A$6:$G$41,5,0)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VLOOKUP(A33,[14]TONTSEPT24!$A$6:$R$39,12,0)</f>
        <v>0</v>
      </c>
      <c r="Q33" s="2"/>
      <c r="R33" s="2">
        <f>VLOOKUP(A33,[16]TONTSEPT24!$A$7:$P$20,10,0)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3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VLOOKUP(A34,[12]HISTOBQUESEPT24!$A$6:$G$46,3,0)</f>
        <v>0</v>
      </c>
      <c r="E34" s="9">
        <f>VLOOKUP(A34,[12]HISTOBQUESEPT24!$A$6:$G$41,4,0)</f>
        <v>0</v>
      </c>
      <c r="F34" s="9">
        <f>VLOOKUP(A34,[12]HISTOBQUESEPT24!$A$6:$G$41,5,0)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VLOOKUP(A34,[14]TONTSEPT24!$A$6:$R$39,12,0)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3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VLOOKUP(A35,[12]HISTOBQUESEPT24!$A$6:$G$46,3,0)</f>
        <v>0</v>
      </c>
      <c r="E35" s="9">
        <f>VLOOKUP(A35,[12]HISTOBQUESEPT24!$A$6:$G$41,4,0)</f>
        <v>0</v>
      </c>
      <c r="F35" s="9">
        <f>VLOOKUP(A35,[12]HISTOBQUESEPT24!$A$6:$G$41,5,0)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VLOOKUP(A35,[14]TONTSEPT24!$A$6:$R$39,12,0)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3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VLOOKUP(A36,[12]HISTOBQUESEPT24!$A$6:$G$46,3,0)</f>
        <v>0</v>
      </c>
      <c r="E36" s="9">
        <f>VLOOKUP(A36,[12]HISTOBQUESEPT24!$A$6:$G$41,4,0)</f>
        <v>0</v>
      </c>
      <c r="F36" s="9">
        <f>VLOOKUP(A36,[12]HISTOBQUESEPT24!$A$6:$G$41,5,0)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VLOOKUP(A36,[14]TONTSEPT24!$A$6:$R$39,12,0)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3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VLOOKUP(A37,[12]HISTOBQUESEPT24!$A$6:$G$46,3,0)</f>
        <v>0</v>
      </c>
      <c r="E37" s="9">
        <f>VLOOKUP(A37,[12]HISTOBQUESEPT24!$A$6:$G$41,4,0)</f>
        <v>0</v>
      </c>
      <c r="F37" s="9">
        <f>VLOOKUP(A37,[12]HISTOBQUESEPT24!$A$6:$G$41,5,0)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VLOOKUP(A37,[14]TONTSEPT24!$A$6:$R$39,12,0)</f>
        <v>0</v>
      </c>
      <c r="Q37" s="2"/>
      <c r="R37" s="2">
        <f>VLOOKUP(A37,[16]TONTSEPT24!$A$7:$P$20,10,0)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3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VLOOKUP(A38,[12]HISTOBQUESEPT24!$A$6:$G$46,3,0)</f>
        <v>0</v>
      </c>
      <c r="E38" s="9">
        <f>VLOOKUP(A38,[12]HISTOBQUESEPT24!$A$6:$G$41,4,0)</f>
        <v>0</v>
      </c>
      <c r="F38" s="9">
        <f>VLOOKUP(A38,[12]HISTOBQUESEPT24!$A$6:$G$41,5,0)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VLOOKUP(A38,[14]TONTSEPT24!$A$6:$R$39,12,0)</f>
        <v>0</v>
      </c>
      <c r="Q38" s="2">
        <f>VLOOKUP(A38,[15]TONTSEPT24!$A$7:$P$23,10,0)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3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F6" sqref="E6:G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VLOOKUP(A6,[12]HISTOBQUEOCT24!$A$6:$G$46,3,0)</f>
        <v>0</v>
      </c>
      <c r="E6" s="9">
        <f>VLOOKUP(A6,[12]HISTOBQUEOCT24!$A$6:$G$41,4,0)</f>
        <v>0</v>
      </c>
      <c r="F6" s="9">
        <f>VLOOKUP(A6,[12]HISTOBQUEOCT24!$A$6:$G$41,5,0)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2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VLOOKUP(A7,[12]HISTOBQUEOCT24!$A$6:$G$46,3,0)</f>
        <v>0</v>
      </c>
      <c r="E7" s="9">
        <f>VLOOKUP(A7,[12]HISTOBQUEOCT24!$A$6:$G$41,4,0)</f>
        <v>0</v>
      </c>
      <c r="F7" s="9">
        <f>VLOOKUP(A7,[12]HISTOBQUEOCT24!$A$6:$G$41,5,0)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VLOOKUP(A7,[14]TONTOCT24!$A$6:$R$39,12,0)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2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VLOOKUP(A8,[12]HISTOBQUEOCT24!$A$6:$G$46,3,0)</f>
        <v>0</v>
      </c>
      <c r="E8" s="9">
        <f>VLOOKUP(A8,[12]HISTOBQUEOCT24!$A$6:$G$41,4,0)</f>
        <v>0</v>
      </c>
      <c r="F8" s="9">
        <f>VLOOKUP(A8,[12]HISTOBQUEOCT24!$A$6:$G$41,5,0)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VLOOKUP(A8,[14]TONTOCT24!$A$6:$R$39,12,0)</f>
        <v>0</v>
      </c>
      <c r="Q8" s="2">
        <f>VLOOKUP(A8,[15]TONTOCT24!$A$7:$P$23,10,0)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VLOOKUP(A9,[12]HISTOBQUEOCT24!$A$6:$G$46,3,0)</f>
        <v>0</v>
      </c>
      <c r="E9" s="9">
        <f>VLOOKUP(A9,[12]HISTOBQUEOCT24!$A$6:$G$41,4,0)</f>
        <v>0</v>
      </c>
      <c r="F9" s="9">
        <f>VLOOKUP(A9,[12]HISTOBQUEOCT24!$A$6:$G$41,5,0)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VLOOKUP(A9,[14]TONTOCT24!$A$6:$R$39,12,0)</f>
        <v>0</v>
      </c>
      <c r="Q9" s="2"/>
      <c r="R9" s="2">
        <f>VLOOKUP(A9,[16]TONTOCT24!$A$7:$P$20,10,0)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2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VLOOKUP(A10,[12]HISTOBQUEOCT24!$A$6:$G$46,3,0)</f>
        <v>0</v>
      </c>
      <c r="E10" s="9">
        <f>VLOOKUP(A10,[12]HISTOBQUEOCT24!$A$6:$G$41,4,0)</f>
        <v>0</v>
      </c>
      <c r="F10" s="9">
        <f>VLOOKUP(A10,[12]HISTOBQUEOCT24!$A$6:$G$41,5,0)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VLOOKUP(A10,[14]TONTOCT24!$A$6:$R$39,12,0)</f>
        <v>0</v>
      </c>
      <c r="Q10" s="2">
        <f>VLOOKUP(A10,[15]TONTOCT24!$A$7:$P$23,10,0)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VLOOKUP(A11,[12]HISTOBQUEOCT24!$A$6:$G$46,3,0)</f>
        <v>0</v>
      </c>
      <c r="E11" s="9">
        <f>VLOOKUP(A11,[12]HISTOBQUEOCT24!$A$6:$G$41,4,0)</f>
        <v>0</v>
      </c>
      <c r="F11" s="9">
        <f>VLOOKUP(A11,[12]HISTOBQUEOCT24!$A$6:$G$41,5,0)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VLOOKUP(A11,[14]TONTOCT24!$A$6:$R$39,12,0)</f>
        <v>0</v>
      </c>
      <c r="Q11" s="2">
        <f>VLOOKUP(A11,[15]TONTOCT24!$A$7:$P$23,10,0)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VLOOKUP(A12,[12]HISTOBQUEOCT24!$A$6:$G$46,3,0)</f>
        <v>0</v>
      </c>
      <c r="E12" s="9">
        <f>VLOOKUP(A12,[12]HISTOBQUEOCT24!$A$6:$G$41,4,0)</f>
        <v>0</v>
      </c>
      <c r="F12" s="9">
        <f>VLOOKUP(A12,[12]HISTOBQUEOCT24!$A$6:$G$41,5,0)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VLOOKUP(A12,[14]TONTOCT24!$A$6:$R$39,12,0)</f>
        <v>0</v>
      </c>
      <c r="Q12" s="2">
        <f>VLOOKUP(A12,[15]TONTOCT24!$A$7:$P$23,10,0)</f>
        <v>0</v>
      </c>
      <c r="R12" s="2">
        <f>VLOOKUP(A12,[16]TONTOCT24!$A$7:$P$20,10,0)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2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VLOOKUP(A13,[12]HISTOBQUEOCT24!$A$6:$G$46,3,0)</f>
        <v>0</v>
      </c>
      <c r="E13" s="9">
        <f>VLOOKUP(A13,[12]HISTOBQUEOCT24!$A$6:$G$41,4,0)</f>
        <v>0</v>
      </c>
      <c r="F13" s="9">
        <f>VLOOKUP(A13,[12]HISTOBQUEOCT24!$A$6:$G$41,5,0)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VLOOKUP(A13,[14]TONTOCT24!$A$6:$R$39,12,0)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VLOOKUP(A14,[12]HISTOBQUEOCT24!$A$6:$G$46,3,0)</f>
        <v>0</v>
      </c>
      <c r="E14" s="9">
        <f>VLOOKUP(A14,[12]HISTOBQUEOCT24!$A$6:$G$41,4,0)</f>
        <v>0</v>
      </c>
      <c r="F14" s="9">
        <f>VLOOKUP(A14,[12]HISTOBQUEOCT24!$A$6:$G$41,5,0)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VLOOKUP(A14,[14]TONTOCT24!$A$6:$R$39,12,0)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VLOOKUP(A15,[12]HISTOBQUEOCT24!$A$6:$G$46,3,0)</f>
        <v>0</v>
      </c>
      <c r="E15" s="9">
        <f>VLOOKUP(A15,[12]HISTOBQUEOCT24!$A$6:$G$41,4,0)</f>
        <v>0</v>
      </c>
      <c r="F15" s="9">
        <f>VLOOKUP(A15,[12]HISTOBQUEOCT24!$A$6:$G$41,5,0)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VLOOKUP(A15,[14]TONTOCT24!$A$6:$R$39,12,0)</f>
        <v>0</v>
      </c>
      <c r="Q15" s="2">
        <f>VLOOKUP(A15,[15]TONTOCT24!$A$7:$P$23,10,0)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VLOOKUP(A16,[12]HISTOBQUEOCT24!$A$6:$G$46,3,0)</f>
        <v>0</v>
      </c>
      <c r="E16" s="9">
        <f>VLOOKUP(A16,[12]HISTOBQUEOCT24!$A$6:$G$41,4,0)</f>
        <v>0</v>
      </c>
      <c r="F16" s="9">
        <f>VLOOKUP(A16,[12]HISTOBQUEOCT24!$A$6:$G$41,5,0)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VLOOKUP(A16,[14]TONTOCT24!$A$6:$R$39,12,0)</f>
        <v>0</v>
      </c>
      <c r="Q16" s="2">
        <f>VLOOKUP(A16,[15]TONTOCT24!$A$7:$P$23,10,0)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2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VLOOKUP(A17,[12]HISTOBQUEOCT24!$A$6:$G$46,3,0)</f>
        <v>0</v>
      </c>
      <c r="E17" s="9">
        <f>VLOOKUP(A17,[12]HISTOBQUEOCT24!$A$6:$G$41,4,0)</f>
        <v>0</v>
      </c>
      <c r="F17" s="9">
        <f>VLOOKUP(A17,[12]HISTOBQUEOCT24!$A$6:$G$41,5,0)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VLOOKUP(A17,[14]TONTOCT24!$A$6:$R$39,12,0)</f>
        <v>0</v>
      </c>
      <c r="Q17" s="2"/>
      <c r="R17" s="2">
        <f>VLOOKUP(A17,[16]TONTOCT24!$A$7:$P$20,10,0)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VLOOKUP(A18,[12]HISTOBQUEOCT24!$A$6:$G$46,3,0)</f>
        <v>0</v>
      </c>
      <c r="E18" s="9">
        <f>VLOOKUP(A18,[12]HISTOBQUEOCT24!$A$6:$G$41,4,0)</f>
        <v>0</v>
      </c>
      <c r="F18" s="9">
        <f>VLOOKUP(A18,[12]HISTOBQUEOCT24!$A$6:$G$41,5,0)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VLOOKUP(A18,[14]TONTOCT24!$A$6:$R$39,12,0)</f>
        <v>0</v>
      </c>
      <c r="Q18" s="2"/>
      <c r="R18" s="2">
        <f>VLOOKUP(A18,[16]TONTOCT24!$A$7:$P$20,10,0)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2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VLOOKUP(A19,[12]HISTOBQUEOCT24!$A$6:$G$46,3,0)</f>
        <v>0</v>
      </c>
      <c r="E19" s="9">
        <f>VLOOKUP(A19,[12]HISTOBQUEOCT24!$A$6:$G$41,4,0)</f>
        <v>0</v>
      </c>
      <c r="F19" s="9">
        <f>VLOOKUP(A19,[12]HISTOBQUEOCT24!$A$6:$G$41,5,0)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VLOOKUP(A19,[14]TONTOCT24!$A$6:$R$39,12,0)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2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VLOOKUP(A20,[12]HISTOBQUEOCT24!$A$6:$G$46,3,0)</f>
        <v>0</v>
      </c>
      <c r="E20" s="9">
        <f>VLOOKUP(A20,[12]HISTOBQUEOCT24!$A$6:$G$41,4,0)</f>
        <v>0</v>
      </c>
      <c r="F20" s="9">
        <f>VLOOKUP(A20,[12]HISTOBQUEOCT24!$A$6:$G$41,5,0)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VLOOKUP(A20,[14]TONTOCT24!$A$6:$R$39,12,0)</f>
        <v>0</v>
      </c>
      <c r="Q20" s="2">
        <f>VLOOKUP(A20,[15]TONTOCT24!$A$7:$P$23,10,0)</f>
        <v>0</v>
      </c>
      <c r="R20" s="2">
        <f>VLOOKUP(A20,[16]TONTOCT24!$A$7:$P$20,10,0)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2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VLOOKUP(A21,[12]HISTOBQUEOCT24!$A$6:$G$46,3,0)</f>
        <v>0</v>
      </c>
      <c r="E21" s="9">
        <f>VLOOKUP(A21,[12]HISTOBQUEOCT24!$A$6:$G$41,4,0)</f>
        <v>0</v>
      </c>
      <c r="F21" s="9">
        <f>VLOOKUP(A21,[12]HISTOBQUEOCT24!$A$6:$G$41,5,0)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VLOOKUP(A21,[14]TONTOCT24!$A$6:$R$39,12,0)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2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VLOOKUP(A22,[12]HISTOBQUEOCT24!$A$6:$G$46,3,0)</f>
        <v>0</v>
      </c>
      <c r="E22" s="9">
        <f>VLOOKUP(A22,[12]HISTOBQUEOCT24!$A$6:$G$41,4,0)</f>
        <v>0</v>
      </c>
      <c r="F22" s="9">
        <f>VLOOKUP(A22,[12]HISTOBQUEOCT24!$A$6:$G$41,5,0)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VLOOKUP(A22,[14]TONTOCT24!$A$6:$R$39,12,0)</f>
        <v>0</v>
      </c>
      <c r="Q22" s="2">
        <f>VLOOKUP(A22,[15]TONTOCT24!$A$7:$P$23,10,0)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VLOOKUP(A23,[12]HISTOBQUEOCT24!$A$6:$G$46,3,0)</f>
        <v>0</v>
      </c>
      <c r="E23" s="9">
        <f>VLOOKUP(A23,[12]HISTOBQUEOCT24!$A$6:$G$41,4,0)</f>
        <v>0</v>
      </c>
      <c r="F23" s="9">
        <f>VLOOKUP(A23,[12]HISTOBQUEOCT24!$A$6:$G$41,5,0)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VLOOKUP(A23,[14]TONTOCT24!$A$6:$R$39,12,0)</f>
        <v>0</v>
      </c>
      <c r="Q23" s="2"/>
      <c r="R23" s="2">
        <f>VLOOKUP(A23,[16]TONTOCT24!$A$7:$P$20,10,0)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2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VLOOKUP(A24,[12]HISTOBQUEOCT24!$A$6:$G$46,3,0)</f>
        <v>0</v>
      </c>
      <c r="E24" s="9">
        <f>VLOOKUP(A24,[12]HISTOBQUEOCT24!$A$6:$G$41,4,0)</f>
        <v>0</v>
      </c>
      <c r="F24" s="9">
        <f>VLOOKUP(A24,[12]HISTOBQUEOCT24!$A$6:$G$41,5,0)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VLOOKUP(A24,[14]TONTOCT24!$A$6:$R$39,12,0)</f>
        <v>0</v>
      </c>
      <c r="Q24" s="2">
        <f>VLOOKUP(A24,[15]TONTOCT24!$A$7:$P$23,10,0)</f>
        <v>0</v>
      </c>
      <c r="R24" s="2">
        <f>VLOOKUP(A24,[16]TONTOCT24!$A$7:$P$20,10,0)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2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VLOOKUP(A25,[12]HISTOBQUEOCT24!$A$6:$G$46,3,0)</f>
        <v>0</v>
      </c>
      <c r="E25" s="9">
        <f>VLOOKUP(A25,[12]HISTOBQUEOCT24!$A$6:$G$41,4,0)</f>
        <v>0</v>
      </c>
      <c r="F25" s="9">
        <f>VLOOKUP(A25,[12]HISTOBQUEOCT24!$A$6:$G$41,5,0)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VLOOKUP(A25,[14]TONTOCT24!$A$6:$R$39,12,0)</f>
        <v>0</v>
      </c>
      <c r="Q25" s="2">
        <f>VLOOKUP(A25,[15]TONTOCT24!$A$7:$P$23,10,0)</f>
        <v>0</v>
      </c>
      <c r="R25" s="2">
        <f>VLOOKUP(A25,[16]TONTOCT24!$A$7:$P$20,10,0)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2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VLOOKUP(A26,[12]HISTOBQUEOCT24!$A$6:$G$46,3,0)</f>
        <v>0</v>
      </c>
      <c r="E26" s="9">
        <f>VLOOKUP(A26,[12]HISTOBQUEOCT24!$A$6:$G$41,4,0)</f>
        <v>0</v>
      </c>
      <c r="F26" s="9">
        <f>VLOOKUP(A26,[12]HISTOBQUEOCT24!$A$6:$G$41,5,0)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VLOOKUP(A26,[14]TONTOCT24!$A$6:$R$39,12,0)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2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VLOOKUP(A27,[12]HISTOBQUEOCT24!$A$6:$G$46,3,0)</f>
        <v>0</v>
      </c>
      <c r="E27" s="9">
        <f>VLOOKUP(A27,[12]HISTOBQUEOCT24!$A$6:$G$41,4,0)</f>
        <v>0</v>
      </c>
      <c r="F27" s="9">
        <f>VLOOKUP(A27,[12]HISTOBQUEOCT24!$A$6:$G$41,5,0)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VLOOKUP(A27,[14]TONTOCT24!$A$6:$R$39,12,0)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VLOOKUP(A28,[12]HISTOBQUEOCT24!$A$6:$G$46,3,0)</f>
        <v>0</v>
      </c>
      <c r="E28" s="9">
        <f>VLOOKUP(A28,[12]HISTOBQUEOCT24!$A$6:$G$41,4,0)</f>
        <v>0</v>
      </c>
      <c r="F28" s="9">
        <f>VLOOKUP(A28,[12]HISTOBQUEOCT24!$A$6:$G$41,5,0)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VLOOKUP(A28,[14]TONTOCT24!$A$6:$R$39,12,0)</f>
        <v>0</v>
      </c>
      <c r="Q28" s="2">
        <f>VLOOKUP(A28,[15]TONTOCT24!$A$7:$P$23,10,0)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2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VLOOKUP(A29,[12]HISTOBQUEOCT24!$A$6:$G$46,3,0)</f>
        <v>0</v>
      </c>
      <c r="E29" s="9">
        <f>VLOOKUP(A29,[12]HISTOBQUEOCT24!$A$6:$G$41,4,0)</f>
        <v>0</v>
      </c>
      <c r="F29" s="9">
        <f>VLOOKUP(A29,[12]HISTOBQUEOCT24!$A$6:$G$41,5,0)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VLOOKUP(A29,[14]TONTOCT24!$A$6:$R$39,12,0)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VLOOKUP(A30,[12]HISTOBQUEOCT24!$A$6:$G$46,3,0)</f>
        <v>0</v>
      </c>
      <c r="E30" s="9">
        <f>VLOOKUP(A30,[12]HISTOBQUEOCT24!$A$6:$G$41,4,0)</f>
        <v>0</v>
      </c>
      <c r="F30" s="9">
        <f>VLOOKUP(A30,[12]HISTOBQUEOCT24!$A$6:$G$41,5,0)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VLOOKUP(A30,[14]TONTOCT24!$A$6:$R$39,12,0)</f>
        <v>0</v>
      </c>
      <c r="Q30" s="2"/>
      <c r="R30" s="2">
        <f>VLOOKUP(A30,[16]TONTOCT24!$A$7:$P$20,10,0)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2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VLOOKUP(A31,[12]HISTOBQUEOCT24!$A$6:$G$46,3,0)</f>
        <v>0</v>
      </c>
      <c r="E31" s="9">
        <f>VLOOKUP(A31,[12]HISTOBQUEOCT24!$A$6:$G$41,4,0)</f>
        <v>0</v>
      </c>
      <c r="F31" s="9">
        <f>VLOOKUP(A31,[12]HISTOBQUEOCT24!$A$6:$G$41,5,0)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VLOOKUP(A31,[14]TONTOCT24!$A$6:$R$39,12,0)</f>
        <v>0</v>
      </c>
      <c r="Q31" s="2"/>
      <c r="R31" s="2">
        <f>VLOOKUP(A31,[16]TONTOCT24!$A$7:$P$20,10,0)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2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VLOOKUP(A32,[12]HISTOBQUEOCT24!$A$6:$G$46,3,0)</f>
        <v>0</v>
      </c>
      <c r="E32" s="9">
        <f>VLOOKUP(A32,[12]HISTOBQUEOCT24!$A$6:$G$41,4,0)</f>
        <v>0</v>
      </c>
      <c r="F32" s="9">
        <f>VLOOKUP(A32,[12]HISTOBQUEOCT24!$A$6:$G$41,5,0)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VLOOKUP(A32,[14]TONTOCT24!$A$6:$R$39,12,0)</f>
        <v>0</v>
      </c>
      <c r="Q32" s="2">
        <f>VLOOKUP(A32,[15]TONTOCT24!$A$7:$P$23,10,0)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2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VLOOKUP(A33,[12]HISTOBQUEOCT24!$A$6:$G$46,3,0)</f>
        <v>0</v>
      </c>
      <c r="E33" s="9">
        <f>VLOOKUP(A33,[12]HISTOBQUEOCT24!$A$6:$G$41,4,0)</f>
        <v>0</v>
      </c>
      <c r="F33" s="9">
        <f>VLOOKUP(A33,[12]HISTOBQUEOCT24!$A$6:$G$41,5,0)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VLOOKUP(A33,[14]TONTOCT24!$A$6:$R$39,12,0)</f>
        <v>0</v>
      </c>
      <c r="Q33" s="2"/>
      <c r="R33" s="2">
        <f>VLOOKUP(A33,[16]TONTOCT24!$A$7:$P$20,10,0)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VLOOKUP(A34,[12]HISTOBQUEOCT24!$A$6:$G$46,3,0)</f>
        <v>0</v>
      </c>
      <c r="E34" s="9">
        <f>VLOOKUP(A34,[12]HISTOBQUEOCT24!$A$6:$G$41,4,0)</f>
        <v>0</v>
      </c>
      <c r="F34" s="9">
        <f>VLOOKUP(A34,[12]HISTOBQUEOCT24!$A$6:$G$41,5,0)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VLOOKUP(A34,[14]TONTOCT24!$A$6:$R$39,12,0)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2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VLOOKUP(A35,[12]HISTOBQUEOCT24!$A$6:$G$46,3,0)</f>
        <v>0</v>
      </c>
      <c r="E35" s="9">
        <f>VLOOKUP(A35,[12]HISTOBQUEOCT24!$A$6:$G$41,4,0)</f>
        <v>0</v>
      </c>
      <c r="F35" s="9">
        <f>VLOOKUP(A35,[12]HISTOBQUEOCT24!$A$6:$G$41,5,0)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VLOOKUP(A35,[14]TONTOCT24!$A$6:$R$39,12,0)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2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VLOOKUP(A36,[12]HISTOBQUEOCT24!$A$6:$G$46,3,0)</f>
        <v>0</v>
      </c>
      <c r="E36" s="9">
        <f>VLOOKUP(A36,[12]HISTOBQUEOCT24!$A$6:$G$41,4,0)</f>
        <v>0</v>
      </c>
      <c r="F36" s="9">
        <f>VLOOKUP(A36,[12]HISTOBQUEOCT24!$A$6:$G$41,5,0)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VLOOKUP(A36,[14]TONTOCT24!$A$6:$R$39,12,0)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2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VLOOKUP(A37,[12]HISTOBQUEOCT24!$A$6:$G$46,3,0)</f>
        <v>0</v>
      </c>
      <c r="E37" s="9">
        <f>VLOOKUP(A37,[12]HISTOBQUEOCT24!$A$6:$G$41,4,0)</f>
        <v>0</v>
      </c>
      <c r="F37" s="9">
        <f>VLOOKUP(A37,[12]HISTOBQUEOCT24!$A$6:$G$41,5,0)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VLOOKUP(A37,[14]TONTOCT24!$A$6:$R$39,12,0)</f>
        <v>0</v>
      </c>
      <c r="Q37" s="2"/>
      <c r="R37" s="2">
        <f>VLOOKUP(A37,[16]TONTOCT24!$A$7:$P$20,10,0)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2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VLOOKUP(A38,[12]HISTOBQUEOCT24!$A$6:$G$46,3,0)</f>
        <v>0</v>
      </c>
      <c r="E38" s="9">
        <f>VLOOKUP(A38,[12]HISTOBQUEOCT24!$A$6:$G$41,4,0)</f>
        <v>0</v>
      </c>
      <c r="F38" s="9">
        <f>VLOOKUP(A38,[12]HISTOBQUEOCT24!$A$6:$G$41,5,0)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VLOOKUP(A38,[14]TONTOCT24!$A$6:$R$39,12,0)</f>
        <v>0</v>
      </c>
      <c r="Q38" s="2">
        <f>VLOOKUP(A38,[15]TONTOCT24!$A$7:$P$23,10,0)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2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F6" sqref="E6:G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VLOOKUP(A6,[12]HISTOBQUENOV24!$A$6:$G$46,3,0)</f>
        <v>0</v>
      </c>
      <c r="E6" s="9">
        <f>VLOOKUP(A6,[12]HISTOBQUENOV24!$A$6:$G$41,4,0)</f>
        <v>0</v>
      </c>
      <c r="F6" s="9">
        <f>VLOOKUP(A6,[12]HISTOBQUENOV24!$A$6:$G$41,5,0)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1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VLOOKUP(A7,[12]HISTOBQUENOV24!$A$6:$G$46,3,0)</f>
        <v>0</v>
      </c>
      <c r="E7" s="9">
        <f>VLOOKUP(A7,[12]HISTOBQUENOV24!$A$6:$G$41,4,0)</f>
        <v>0</v>
      </c>
      <c r="F7" s="9">
        <f>VLOOKUP(A7,[12]HISTOBQUENOV24!$A$6:$G$41,5,0)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VLOOKUP(A7,[14]TONTNOV24!$A$6:$R$39,12,0)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1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VLOOKUP(A8,[12]HISTOBQUENOV24!$A$6:$G$46,3,0)</f>
        <v>0</v>
      </c>
      <c r="E8" s="9">
        <f>VLOOKUP(A8,[12]HISTOBQUENOV24!$A$6:$G$41,4,0)</f>
        <v>0</v>
      </c>
      <c r="F8" s="9">
        <f>VLOOKUP(A8,[12]HISTOBQUENOV24!$A$6:$G$41,5,0)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VLOOKUP(A8,[14]TONTNOV24!$A$6:$R$39,12,0)</f>
        <v>0</v>
      </c>
      <c r="Q8" s="2">
        <f>VLOOKUP(A8,[15]TONTNOV24!$A$7:$P$23,10,0)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VLOOKUP(A9,[12]HISTOBQUENOV24!$A$6:$G$46,3,0)</f>
        <v>0</v>
      </c>
      <c r="E9" s="9">
        <f>VLOOKUP(A9,[12]HISTOBQUENOV24!$A$6:$G$41,4,0)</f>
        <v>0</v>
      </c>
      <c r="F9" s="9">
        <f>VLOOKUP(A9,[12]HISTOBQUENOV24!$A$6:$G$41,5,0)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VLOOKUP(A9,[14]TONTNOV24!$A$6:$R$39,12,0)</f>
        <v>0</v>
      </c>
      <c r="Q9" s="2"/>
      <c r="R9" s="2">
        <f>VLOOKUP(A9,[16]TONTNOV24!$A$7:$P$20,10,0)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1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VLOOKUP(A10,[12]HISTOBQUENOV24!$A$6:$G$46,3,0)</f>
        <v>0</v>
      </c>
      <c r="E10" s="9">
        <f>VLOOKUP(A10,[12]HISTOBQUENOV24!$A$6:$G$41,4,0)</f>
        <v>0</v>
      </c>
      <c r="F10" s="9">
        <f>VLOOKUP(A10,[12]HISTOBQUENOV24!$A$6:$G$41,5,0)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VLOOKUP(A10,[14]TONTNOV24!$A$6:$R$39,12,0)</f>
        <v>0</v>
      </c>
      <c r="Q10" s="2">
        <f>VLOOKUP(A10,[15]TONTNOV24!$A$7:$P$23,10,0)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VLOOKUP(A11,[12]HISTOBQUENOV24!$A$6:$G$46,3,0)</f>
        <v>0</v>
      </c>
      <c r="E11" s="9">
        <f>VLOOKUP(A11,[12]HISTOBQUENOV24!$A$6:$G$41,4,0)</f>
        <v>0</v>
      </c>
      <c r="F11" s="9">
        <f>VLOOKUP(A11,[12]HISTOBQUENOV24!$A$6:$G$41,5,0)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VLOOKUP(A11,[14]TONTNOV24!$A$6:$R$39,12,0)</f>
        <v>0</v>
      </c>
      <c r="Q11" s="2">
        <f>VLOOKUP(A11,[15]TONTNOV24!$A$7:$P$23,10,0)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VLOOKUP(A12,[12]HISTOBQUENOV24!$A$6:$G$46,3,0)</f>
        <v>0</v>
      </c>
      <c r="E12" s="9">
        <f>VLOOKUP(A12,[12]HISTOBQUENOV24!$A$6:$G$41,4,0)</f>
        <v>0</v>
      </c>
      <c r="F12" s="9">
        <f>VLOOKUP(A12,[12]HISTOBQUENOV24!$A$6:$G$41,5,0)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VLOOKUP(A12,[14]TONTNOV24!$A$6:$R$39,12,0)</f>
        <v>0</v>
      </c>
      <c r="Q12" s="2">
        <f>VLOOKUP(A12,[15]TONTNOV24!$A$7:$P$23,10,0)</f>
        <v>0</v>
      </c>
      <c r="R12" s="2">
        <f>VLOOKUP(A12,[16]TONTNOV24!$A$7:$P$20,10,0)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VLOOKUP(A13,[12]HISTOBQUENOV24!$A$6:$G$46,3,0)</f>
        <v>0</v>
      </c>
      <c r="E13" s="9">
        <f>VLOOKUP(A13,[12]HISTOBQUENOV24!$A$6:$G$41,4,0)</f>
        <v>0</v>
      </c>
      <c r="F13" s="9">
        <f>VLOOKUP(A13,[12]HISTOBQUENOV24!$A$6:$G$41,5,0)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VLOOKUP(A13,[14]TONTNOV24!$A$6:$R$39,12,0)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VLOOKUP(A14,[12]HISTOBQUENOV24!$A$6:$G$46,3,0)</f>
        <v>0</v>
      </c>
      <c r="E14" s="9">
        <f>VLOOKUP(A14,[12]HISTOBQUENOV24!$A$6:$G$41,4,0)</f>
        <v>0</v>
      </c>
      <c r="F14" s="9">
        <f>VLOOKUP(A14,[12]HISTOBQUENOV24!$A$6:$G$41,5,0)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VLOOKUP(A14,[14]TONTNOV24!$A$6:$R$39,12,0)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VLOOKUP(A15,[12]HISTOBQUENOV24!$A$6:$G$46,3,0)</f>
        <v>0</v>
      </c>
      <c r="E15" s="9">
        <f>VLOOKUP(A15,[12]HISTOBQUENOV24!$A$6:$G$41,4,0)</f>
        <v>0</v>
      </c>
      <c r="F15" s="9">
        <f>VLOOKUP(A15,[12]HISTOBQUENOV24!$A$6:$G$41,5,0)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VLOOKUP(A15,[14]TONTNOV24!$A$6:$R$39,12,0)</f>
        <v>0</v>
      </c>
      <c r="Q15" s="2">
        <f>VLOOKUP(A15,[15]TONTNOV24!$A$7:$P$23,10,0)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VLOOKUP(A16,[12]HISTOBQUENOV24!$A$6:$G$46,3,0)</f>
        <v>0</v>
      </c>
      <c r="E16" s="9">
        <f>VLOOKUP(A16,[12]HISTOBQUENOV24!$A$6:$G$41,4,0)</f>
        <v>0</v>
      </c>
      <c r="F16" s="9">
        <f>VLOOKUP(A16,[12]HISTOBQUENOV24!$A$6:$G$41,5,0)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VLOOKUP(A16,[14]TONTNOV24!$A$6:$R$39,12,0)</f>
        <v>0</v>
      </c>
      <c r="Q16" s="2">
        <f>VLOOKUP(A16,[15]TONTNOV24!$A$7:$P$23,10,0)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VLOOKUP(A17,[12]HISTOBQUENOV24!$A$6:$G$46,3,0)</f>
        <v>0</v>
      </c>
      <c r="E17" s="9">
        <f>VLOOKUP(A17,[12]HISTOBQUENOV24!$A$6:$G$41,4,0)</f>
        <v>0</v>
      </c>
      <c r="F17" s="9">
        <f>VLOOKUP(A17,[12]HISTOBQUENOV24!$A$6:$G$41,5,0)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VLOOKUP(A17,[14]TONTNOV24!$A$6:$R$39,12,0)</f>
        <v>0</v>
      </c>
      <c r="Q17" s="2"/>
      <c r="R17" s="2">
        <f>VLOOKUP(A17,[16]TONTNOV24!$A$7:$P$20,10,0)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VLOOKUP(A18,[12]HISTOBQUENOV24!$A$6:$G$46,3,0)</f>
        <v>0</v>
      </c>
      <c r="E18" s="9">
        <f>VLOOKUP(A18,[12]HISTOBQUENOV24!$A$6:$G$41,4,0)</f>
        <v>0</v>
      </c>
      <c r="F18" s="9">
        <f>VLOOKUP(A18,[12]HISTOBQUENOV24!$A$6:$G$41,5,0)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VLOOKUP(A18,[14]TONTNOV24!$A$6:$R$39,12,0)</f>
        <v>0</v>
      </c>
      <c r="Q18" s="2"/>
      <c r="R18" s="2">
        <f>VLOOKUP(A18,[16]TONTNOV24!$A$7:$P$20,10,0)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VLOOKUP(A19,[12]HISTOBQUENOV24!$A$6:$G$46,3,0)</f>
        <v>0</v>
      </c>
      <c r="E19" s="9">
        <f>VLOOKUP(A19,[12]HISTOBQUENOV24!$A$6:$G$41,4,0)</f>
        <v>0</v>
      </c>
      <c r="F19" s="9">
        <f>VLOOKUP(A19,[12]HISTOBQUENOV24!$A$6:$G$41,5,0)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VLOOKUP(A19,[14]TONTNOV24!$A$6:$R$39,12,0)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1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VLOOKUP(A20,[12]HISTOBQUENOV24!$A$6:$G$46,3,0)</f>
        <v>0</v>
      </c>
      <c r="E20" s="9">
        <f>VLOOKUP(A20,[12]HISTOBQUENOV24!$A$6:$G$41,4,0)</f>
        <v>0</v>
      </c>
      <c r="F20" s="9">
        <f>VLOOKUP(A20,[12]HISTOBQUENOV24!$A$6:$G$41,5,0)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VLOOKUP(A20,[14]TONTNOV24!$A$6:$R$39,12,0)</f>
        <v>0</v>
      </c>
      <c r="Q20" s="2">
        <f>VLOOKUP(A20,[15]TONTNOV24!$A$7:$P$23,10,0)</f>
        <v>0</v>
      </c>
      <c r="R20" s="2">
        <f>VLOOKUP(A20,[16]TONTNOV24!$A$7:$P$20,10,0)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VLOOKUP(A21,[12]HISTOBQUENOV24!$A$6:$G$46,3,0)</f>
        <v>0</v>
      </c>
      <c r="E21" s="9">
        <f>VLOOKUP(A21,[12]HISTOBQUENOV24!$A$6:$G$41,4,0)</f>
        <v>0</v>
      </c>
      <c r="F21" s="9">
        <f>VLOOKUP(A21,[12]HISTOBQUENOV24!$A$6:$G$41,5,0)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VLOOKUP(A21,[14]TONTNOV24!$A$6:$R$39,12,0)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VLOOKUP(A22,[12]HISTOBQUENOV24!$A$6:$G$46,3,0)</f>
        <v>0</v>
      </c>
      <c r="E22" s="9">
        <f>VLOOKUP(A22,[12]HISTOBQUENOV24!$A$6:$G$41,4,0)</f>
        <v>0</v>
      </c>
      <c r="F22" s="9">
        <f>VLOOKUP(A22,[12]HISTOBQUENOV24!$A$6:$G$41,5,0)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VLOOKUP(A22,[14]TONTNOV24!$A$6:$R$39,12,0)</f>
        <v>0</v>
      </c>
      <c r="Q22" s="2">
        <f>VLOOKUP(A22,[15]TONTNOV24!$A$7:$P$23,10,0)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VLOOKUP(A23,[12]HISTOBQUENOV24!$A$6:$G$46,3,0)</f>
        <v>0</v>
      </c>
      <c r="E23" s="9">
        <f>VLOOKUP(A23,[12]HISTOBQUENOV24!$A$6:$G$41,4,0)</f>
        <v>0</v>
      </c>
      <c r="F23" s="9">
        <f>VLOOKUP(A23,[12]HISTOBQUENOV24!$A$6:$G$41,5,0)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VLOOKUP(A23,[14]TONTNOV24!$A$6:$R$39,12,0)</f>
        <v>0</v>
      </c>
      <c r="Q23" s="2"/>
      <c r="R23" s="2">
        <f>VLOOKUP(A23,[16]TONTNOV24!$A$7:$P$20,10,0)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VLOOKUP(A24,[12]HISTOBQUENOV24!$A$6:$G$46,3,0)</f>
        <v>0</v>
      </c>
      <c r="E24" s="9">
        <f>VLOOKUP(A24,[12]HISTOBQUENOV24!$A$6:$G$41,4,0)</f>
        <v>0</v>
      </c>
      <c r="F24" s="9">
        <f>VLOOKUP(A24,[12]HISTOBQUENOV24!$A$6:$G$41,5,0)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VLOOKUP(A24,[14]TONTNOV24!$A$6:$R$39,12,0)</f>
        <v>0</v>
      </c>
      <c r="Q24" s="2">
        <f>VLOOKUP(A24,[15]TONTNOV24!$A$7:$P$23,10,0)</f>
        <v>0</v>
      </c>
      <c r="R24" s="2">
        <f>VLOOKUP(A24,[16]TONTNOV24!$A$7:$P$20,10,0)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VLOOKUP(A25,[12]HISTOBQUENOV24!$A$6:$G$46,3,0)</f>
        <v>0</v>
      </c>
      <c r="E25" s="9">
        <f>VLOOKUP(A25,[12]HISTOBQUENOV24!$A$6:$G$41,4,0)</f>
        <v>0</v>
      </c>
      <c r="F25" s="9">
        <f>VLOOKUP(A25,[12]HISTOBQUENOV24!$A$6:$G$41,5,0)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VLOOKUP(A25,[14]TONTNOV24!$A$6:$R$39,12,0)</f>
        <v>0</v>
      </c>
      <c r="Q25" s="2">
        <f>VLOOKUP(A25,[15]TONTNOV24!$A$7:$P$23,10,0)</f>
        <v>0</v>
      </c>
      <c r="R25" s="2">
        <f>VLOOKUP(A25,[16]TONTNOV24!$A$7:$P$20,10,0)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VLOOKUP(A26,[12]HISTOBQUENOV24!$A$6:$G$46,3,0)</f>
        <v>0</v>
      </c>
      <c r="E26" s="9">
        <f>VLOOKUP(A26,[12]HISTOBQUENOV24!$A$6:$G$41,4,0)</f>
        <v>0</v>
      </c>
      <c r="F26" s="9">
        <f>VLOOKUP(A26,[12]HISTOBQUENOV24!$A$6:$G$41,5,0)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VLOOKUP(A26,[14]TONTNOV24!$A$6:$R$39,12,0)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VLOOKUP(A27,[12]HISTOBQUENOV24!$A$6:$G$46,3,0)</f>
        <v>0</v>
      </c>
      <c r="E27" s="9">
        <f>VLOOKUP(A27,[12]HISTOBQUENOV24!$A$6:$G$41,4,0)</f>
        <v>0</v>
      </c>
      <c r="F27" s="9">
        <f>VLOOKUP(A27,[12]HISTOBQUENOV24!$A$6:$G$41,5,0)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VLOOKUP(A27,[14]TONTNOV24!$A$6:$R$39,12,0)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1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VLOOKUP(A28,[12]HISTOBQUENOV24!$A$6:$G$46,3,0)</f>
        <v>0</v>
      </c>
      <c r="E28" s="9">
        <f>VLOOKUP(A28,[12]HISTOBQUENOV24!$A$6:$G$41,4,0)</f>
        <v>0</v>
      </c>
      <c r="F28" s="9">
        <f>VLOOKUP(A28,[12]HISTOBQUENOV24!$A$6:$G$41,5,0)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VLOOKUP(A28,[14]TONTNOV24!$A$6:$R$39,12,0)</f>
        <v>0</v>
      </c>
      <c r="Q28" s="2">
        <f>VLOOKUP(A28,[15]TONTNOV24!$A$7:$P$23,10,0)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VLOOKUP(A29,[12]HISTOBQUENOV24!$A$6:$G$46,3,0)</f>
        <v>0</v>
      </c>
      <c r="E29" s="9">
        <f>VLOOKUP(A29,[12]HISTOBQUENOV24!$A$6:$G$41,4,0)</f>
        <v>0</v>
      </c>
      <c r="F29" s="9">
        <f>VLOOKUP(A29,[12]HISTOBQUENOV24!$A$6:$G$41,5,0)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VLOOKUP(A29,[14]TONTNOV24!$A$6:$R$39,12,0)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VLOOKUP(A30,[12]HISTOBQUENOV24!$A$6:$G$46,3,0)</f>
        <v>0</v>
      </c>
      <c r="E30" s="9">
        <f>VLOOKUP(A30,[12]HISTOBQUENOV24!$A$6:$G$41,4,0)</f>
        <v>0</v>
      </c>
      <c r="F30" s="9">
        <f>VLOOKUP(A30,[12]HISTOBQUENOV24!$A$6:$G$41,5,0)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VLOOKUP(A30,[14]TONTNOV24!$A$6:$R$39,12,0)</f>
        <v>0</v>
      </c>
      <c r="Q30" s="2"/>
      <c r="R30" s="2">
        <f>VLOOKUP(A30,[16]TONTNOV24!$A$7:$P$20,10,0)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VLOOKUP(A31,[12]HISTOBQUENOV24!$A$6:$G$46,3,0)</f>
        <v>0</v>
      </c>
      <c r="E31" s="9">
        <f>VLOOKUP(A31,[12]HISTOBQUENOV24!$A$6:$G$41,4,0)</f>
        <v>0</v>
      </c>
      <c r="F31" s="9">
        <f>VLOOKUP(A31,[12]HISTOBQUENOV24!$A$6:$G$41,5,0)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VLOOKUP(A31,[14]TONTNOV24!$A$6:$R$39,12,0)</f>
        <v>0</v>
      </c>
      <c r="Q31" s="2"/>
      <c r="R31" s="2">
        <f>VLOOKUP(A31,[16]TONTNOV24!$A$7:$P$20,10,0)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VLOOKUP(A32,[12]HISTOBQUENOV24!$A$6:$G$46,3,0)</f>
        <v>0</v>
      </c>
      <c r="E32" s="9">
        <f>VLOOKUP(A32,[12]HISTOBQUENOV24!$A$6:$G$41,4,0)</f>
        <v>0</v>
      </c>
      <c r="F32" s="9">
        <f>VLOOKUP(A32,[12]HISTOBQUENOV24!$A$6:$G$41,5,0)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VLOOKUP(A32,[14]TONTNOV24!$A$6:$R$39,12,0)</f>
        <v>0</v>
      </c>
      <c r="Q32" s="2">
        <f>VLOOKUP(A32,[15]TONTNOV24!$A$7:$P$23,10,0)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1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VLOOKUP(A33,[12]HISTOBQUENOV24!$A$6:$G$46,3,0)</f>
        <v>0</v>
      </c>
      <c r="E33" s="9">
        <f>VLOOKUP(A33,[12]HISTOBQUENOV24!$A$6:$G$41,4,0)</f>
        <v>0</v>
      </c>
      <c r="F33" s="9">
        <f>VLOOKUP(A33,[12]HISTOBQUENOV24!$A$6:$G$41,5,0)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VLOOKUP(A33,[14]TONTNOV24!$A$6:$R$39,12,0)</f>
        <v>0</v>
      </c>
      <c r="Q33" s="2"/>
      <c r="R33" s="2">
        <f>VLOOKUP(A33,[16]TONTNOV24!$A$7:$P$20,10,0)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VLOOKUP(A34,[12]HISTOBQUENOV24!$A$6:$G$46,3,0)</f>
        <v>0</v>
      </c>
      <c r="E34" s="9">
        <f>VLOOKUP(A34,[12]HISTOBQUENOV24!$A$6:$G$41,4,0)</f>
        <v>0</v>
      </c>
      <c r="F34" s="9">
        <f>VLOOKUP(A34,[12]HISTOBQUENOV24!$A$6:$G$41,5,0)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VLOOKUP(A34,[14]TONTNOV24!$A$6:$R$39,12,0)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1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VLOOKUP(A35,[12]HISTOBQUENOV24!$A$6:$G$46,3,0)</f>
        <v>0</v>
      </c>
      <c r="E35" s="9">
        <f>VLOOKUP(A35,[12]HISTOBQUENOV24!$A$6:$G$41,4,0)</f>
        <v>0</v>
      </c>
      <c r="F35" s="9">
        <f>VLOOKUP(A35,[12]HISTOBQUENOV24!$A$6:$G$41,5,0)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VLOOKUP(A35,[14]TONTNOV24!$A$6:$R$39,12,0)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1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VLOOKUP(A36,[12]HISTOBQUENOV24!$A$6:$G$46,3,0)</f>
        <v>0</v>
      </c>
      <c r="E36" s="9">
        <f>VLOOKUP(A36,[12]HISTOBQUENOV24!$A$6:$G$41,4,0)</f>
        <v>0</v>
      </c>
      <c r="F36" s="9">
        <f>VLOOKUP(A36,[12]HISTOBQUENOV24!$A$6:$G$41,5,0)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VLOOKUP(A36,[14]TONTNOV24!$A$6:$R$39,12,0)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1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VLOOKUP(A37,[12]HISTOBQUENOV24!$A$6:$G$46,3,0)</f>
        <v>0</v>
      </c>
      <c r="E37" s="9">
        <f>VLOOKUP(A37,[12]HISTOBQUENOV24!$A$6:$G$41,4,0)</f>
        <v>0</v>
      </c>
      <c r="F37" s="9">
        <f>VLOOKUP(A37,[12]HISTOBQUENOV24!$A$6:$G$41,5,0)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VLOOKUP(A37,[14]TONTNOV24!$A$6:$R$39,12,0)</f>
        <v>0</v>
      </c>
      <c r="Q37" s="2"/>
      <c r="R37" s="2">
        <f>VLOOKUP(A37,[16]TONTNOV24!$A$7:$P$20,10,0)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1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VLOOKUP(A38,[12]HISTOBQUENOV24!$A$6:$G$46,3,0)</f>
        <v>0</v>
      </c>
      <c r="E38" s="9">
        <f>VLOOKUP(A38,[12]HISTOBQUENOV24!$A$6:$G$41,4,0)</f>
        <v>0</v>
      </c>
      <c r="F38" s="9">
        <f>VLOOKUP(A38,[12]HISTOBQUENOV24!$A$6:$G$41,5,0)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VLOOKUP(A38,[14]TONTNOV24!$A$6:$R$39,12,0)</f>
        <v>0</v>
      </c>
      <c r="Q38" s="2">
        <f>VLOOKUP(A38,[15]TONTNOV24!$A$7:$P$23,10,0)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1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F6" sqref="E6:G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VLOOKUP(A6,[12]HISTOBQUENOV24!$A$6:$G$46,3,0)</f>
        <v>0</v>
      </c>
      <c r="E6" s="9">
        <f>VLOOKUP(A6,[12]HISTOBQUENOV24!$A$6:$G$41,4,0)</f>
        <v>0</v>
      </c>
      <c r="F6" s="9">
        <f>VLOOKUP(A6,[12]HISTOBQUENOV24!$A$6:$G$41,5,0)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1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VLOOKUP(A7,[12]HISTOBQUENOV24!$A$6:$G$46,3,0)</f>
        <v>0</v>
      </c>
      <c r="E7" s="9">
        <f>VLOOKUP(A7,[12]HISTOBQUENOV24!$A$6:$G$41,4,0)</f>
        <v>0</v>
      </c>
      <c r="F7" s="9">
        <f>VLOOKUP(A7,[12]HISTOBQUENOV24!$A$6:$G$41,5,0)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VLOOKUP(A7,[14]TONTNOV24!$A$6:$R$39,12,0)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1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VLOOKUP(A8,[12]HISTOBQUENOV24!$A$6:$G$46,3,0)</f>
        <v>0</v>
      </c>
      <c r="E8" s="9">
        <f>VLOOKUP(A8,[12]HISTOBQUENOV24!$A$6:$G$41,4,0)</f>
        <v>0</v>
      </c>
      <c r="F8" s="9">
        <f>VLOOKUP(A8,[12]HISTOBQUENOV24!$A$6:$G$41,5,0)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VLOOKUP(A8,[14]TONTNOV24!$A$6:$R$39,12,0)</f>
        <v>0</v>
      </c>
      <c r="Q8" s="2">
        <f>VLOOKUP(A8,[15]TONTNOV24!$A$7:$P$23,10,0)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VLOOKUP(A9,[12]HISTOBQUENOV24!$A$6:$G$46,3,0)</f>
        <v>0</v>
      </c>
      <c r="E9" s="9">
        <f>VLOOKUP(A9,[12]HISTOBQUENOV24!$A$6:$G$41,4,0)</f>
        <v>0</v>
      </c>
      <c r="F9" s="9">
        <f>VLOOKUP(A9,[12]HISTOBQUENOV24!$A$6:$G$41,5,0)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VLOOKUP(A9,[14]TONTNOV24!$A$6:$R$39,12,0)</f>
        <v>0</v>
      </c>
      <c r="Q9" s="2"/>
      <c r="R9" s="2">
        <f>VLOOKUP(A9,[16]TONTNOV24!$A$7:$P$20,10,0)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1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VLOOKUP(A10,[12]HISTOBQUENOV24!$A$6:$G$46,3,0)</f>
        <v>0</v>
      </c>
      <c r="E10" s="9">
        <f>VLOOKUP(A10,[12]HISTOBQUENOV24!$A$6:$G$41,4,0)</f>
        <v>0</v>
      </c>
      <c r="F10" s="9">
        <f>VLOOKUP(A10,[12]HISTOBQUENOV24!$A$6:$G$41,5,0)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VLOOKUP(A10,[14]TONTNOV24!$A$6:$R$39,12,0)</f>
        <v>0</v>
      </c>
      <c r="Q10" s="2">
        <f>VLOOKUP(A10,[15]TONTNOV24!$A$7:$P$23,10,0)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VLOOKUP(A11,[12]HISTOBQUENOV24!$A$6:$G$46,3,0)</f>
        <v>0</v>
      </c>
      <c r="E11" s="9">
        <f>VLOOKUP(A11,[12]HISTOBQUENOV24!$A$6:$G$41,4,0)</f>
        <v>0</v>
      </c>
      <c r="F11" s="9">
        <f>VLOOKUP(A11,[12]HISTOBQUENOV24!$A$6:$G$41,5,0)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VLOOKUP(A11,[14]TONTNOV24!$A$6:$R$39,12,0)</f>
        <v>0</v>
      </c>
      <c r="Q11" s="2">
        <f>VLOOKUP(A11,[15]TONTNOV24!$A$7:$P$23,10,0)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VLOOKUP(A12,[12]HISTOBQUENOV24!$A$6:$G$46,3,0)</f>
        <v>0</v>
      </c>
      <c r="E12" s="9">
        <f>VLOOKUP(A12,[12]HISTOBQUENOV24!$A$6:$G$41,4,0)</f>
        <v>0</v>
      </c>
      <c r="F12" s="9">
        <f>VLOOKUP(A12,[12]HISTOBQUENOV24!$A$6:$G$41,5,0)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VLOOKUP(A12,[14]TONTNOV24!$A$6:$R$39,12,0)</f>
        <v>0</v>
      </c>
      <c r="Q12" s="2">
        <f>VLOOKUP(A12,[15]TONTNOV24!$A$7:$P$23,10,0)</f>
        <v>0</v>
      </c>
      <c r="R12" s="2">
        <f>VLOOKUP(A12,[16]TONTNOV24!$A$7:$P$20,10,0)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VLOOKUP(A13,[12]HISTOBQUENOV24!$A$6:$G$46,3,0)</f>
        <v>0</v>
      </c>
      <c r="E13" s="9">
        <f>VLOOKUP(A13,[12]HISTOBQUENOV24!$A$6:$G$41,4,0)</f>
        <v>0</v>
      </c>
      <c r="F13" s="9">
        <f>VLOOKUP(A13,[12]HISTOBQUENOV24!$A$6:$G$41,5,0)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VLOOKUP(A13,[14]TONTNOV24!$A$6:$R$39,12,0)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VLOOKUP(A14,[12]HISTOBQUENOV24!$A$6:$G$46,3,0)</f>
        <v>0</v>
      </c>
      <c r="E14" s="9">
        <f>VLOOKUP(A14,[12]HISTOBQUENOV24!$A$6:$G$41,4,0)</f>
        <v>0</v>
      </c>
      <c r="F14" s="9">
        <f>VLOOKUP(A14,[12]HISTOBQUENOV24!$A$6:$G$41,5,0)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VLOOKUP(A14,[14]TONTNOV24!$A$6:$R$39,12,0)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VLOOKUP(A15,[12]HISTOBQUENOV24!$A$6:$G$46,3,0)</f>
        <v>0</v>
      </c>
      <c r="E15" s="9">
        <f>VLOOKUP(A15,[12]HISTOBQUENOV24!$A$6:$G$41,4,0)</f>
        <v>0</v>
      </c>
      <c r="F15" s="9">
        <f>VLOOKUP(A15,[12]HISTOBQUENOV24!$A$6:$G$41,5,0)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VLOOKUP(A15,[14]TONTNOV24!$A$6:$R$39,12,0)</f>
        <v>0</v>
      </c>
      <c r="Q15" s="2">
        <f>VLOOKUP(A15,[15]TONTNOV24!$A$7:$P$23,10,0)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VLOOKUP(A16,[12]HISTOBQUENOV24!$A$6:$G$46,3,0)</f>
        <v>0</v>
      </c>
      <c r="E16" s="9">
        <f>VLOOKUP(A16,[12]HISTOBQUENOV24!$A$6:$G$41,4,0)</f>
        <v>0</v>
      </c>
      <c r="F16" s="9">
        <f>VLOOKUP(A16,[12]HISTOBQUENOV24!$A$6:$G$41,5,0)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VLOOKUP(A16,[14]TONTNOV24!$A$6:$R$39,12,0)</f>
        <v>0</v>
      </c>
      <c r="Q16" s="2">
        <f>VLOOKUP(A16,[15]TONTNOV24!$A$7:$P$23,10,0)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VLOOKUP(A17,[12]HISTOBQUENOV24!$A$6:$G$46,3,0)</f>
        <v>0</v>
      </c>
      <c r="E17" s="9">
        <f>VLOOKUP(A17,[12]HISTOBQUENOV24!$A$6:$G$41,4,0)</f>
        <v>0</v>
      </c>
      <c r="F17" s="9">
        <f>VLOOKUP(A17,[12]HISTOBQUENOV24!$A$6:$G$41,5,0)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VLOOKUP(A17,[14]TONTNOV24!$A$6:$R$39,12,0)</f>
        <v>0</v>
      </c>
      <c r="Q17" s="2"/>
      <c r="R17" s="2">
        <f>VLOOKUP(A17,[16]TONTNOV24!$A$7:$P$20,10,0)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VLOOKUP(A18,[12]HISTOBQUENOV24!$A$6:$G$46,3,0)</f>
        <v>0</v>
      </c>
      <c r="E18" s="9">
        <f>VLOOKUP(A18,[12]HISTOBQUENOV24!$A$6:$G$41,4,0)</f>
        <v>0</v>
      </c>
      <c r="F18" s="9">
        <f>VLOOKUP(A18,[12]HISTOBQUENOV24!$A$6:$G$41,5,0)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VLOOKUP(A18,[14]TONTNOV24!$A$6:$R$39,12,0)</f>
        <v>0</v>
      </c>
      <c r="Q18" s="2"/>
      <c r="R18" s="2">
        <f>VLOOKUP(A18,[16]TONTNOV24!$A$7:$P$20,10,0)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VLOOKUP(A19,[12]HISTOBQUENOV24!$A$6:$G$46,3,0)</f>
        <v>0</v>
      </c>
      <c r="E19" s="9">
        <f>VLOOKUP(A19,[12]HISTOBQUENOV24!$A$6:$G$41,4,0)</f>
        <v>0</v>
      </c>
      <c r="F19" s="9">
        <f>VLOOKUP(A19,[12]HISTOBQUENOV24!$A$6:$G$41,5,0)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VLOOKUP(A19,[14]TONTNOV24!$A$6:$R$39,12,0)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1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VLOOKUP(A20,[12]HISTOBQUENOV24!$A$6:$G$46,3,0)</f>
        <v>0</v>
      </c>
      <c r="E20" s="9">
        <f>VLOOKUP(A20,[12]HISTOBQUENOV24!$A$6:$G$41,4,0)</f>
        <v>0</v>
      </c>
      <c r="F20" s="9">
        <f>VLOOKUP(A20,[12]HISTOBQUENOV24!$A$6:$G$41,5,0)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VLOOKUP(A20,[14]TONTNOV24!$A$6:$R$39,12,0)</f>
        <v>0</v>
      </c>
      <c r="Q20" s="2">
        <f>VLOOKUP(A20,[15]TONTNOV24!$A$7:$P$23,10,0)</f>
        <v>0</v>
      </c>
      <c r="R20" s="2">
        <f>VLOOKUP(A20,[16]TONTNOV24!$A$7:$P$20,10,0)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VLOOKUP(A21,[12]HISTOBQUENOV24!$A$6:$G$46,3,0)</f>
        <v>0</v>
      </c>
      <c r="E21" s="9">
        <f>VLOOKUP(A21,[12]HISTOBQUENOV24!$A$6:$G$41,4,0)</f>
        <v>0</v>
      </c>
      <c r="F21" s="9">
        <f>VLOOKUP(A21,[12]HISTOBQUENOV24!$A$6:$G$41,5,0)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VLOOKUP(A21,[14]TONTNOV24!$A$6:$R$39,12,0)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VLOOKUP(A22,[12]HISTOBQUENOV24!$A$6:$G$46,3,0)</f>
        <v>0</v>
      </c>
      <c r="E22" s="9">
        <f>VLOOKUP(A22,[12]HISTOBQUENOV24!$A$6:$G$41,4,0)</f>
        <v>0</v>
      </c>
      <c r="F22" s="9">
        <f>VLOOKUP(A22,[12]HISTOBQUENOV24!$A$6:$G$41,5,0)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VLOOKUP(A22,[14]TONTNOV24!$A$6:$R$39,12,0)</f>
        <v>0</v>
      </c>
      <c r="Q22" s="2">
        <f>VLOOKUP(A22,[15]TONTNOV24!$A$7:$P$23,10,0)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VLOOKUP(A23,[12]HISTOBQUENOV24!$A$6:$G$46,3,0)</f>
        <v>0</v>
      </c>
      <c r="E23" s="9">
        <f>VLOOKUP(A23,[12]HISTOBQUENOV24!$A$6:$G$41,4,0)</f>
        <v>0</v>
      </c>
      <c r="F23" s="9">
        <f>VLOOKUP(A23,[12]HISTOBQUENOV24!$A$6:$G$41,5,0)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VLOOKUP(A23,[14]TONTNOV24!$A$6:$R$39,12,0)</f>
        <v>0</v>
      </c>
      <c r="Q23" s="2"/>
      <c r="R23" s="2">
        <f>VLOOKUP(A23,[16]TONTNOV24!$A$7:$P$20,10,0)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VLOOKUP(A24,[12]HISTOBQUENOV24!$A$6:$G$46,3,0)</f>
        <v>0</v>
      </c>
      <c r="E24" s="9">
        <f>VLOOKUP(A24,[12]HISTOBQUENOV24!$A$6:$G$41,4,0)</f>
        <v>0</v>
      </c>
      <c r="F24" s="9">
        <f>VLOOKUP(A24,[12]HISTOBQUENOV24!$A$6:$G$41,5,0)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VLOOKUP(A24,[14]TONTNOV24!$A$6:$R$39,12,0)</f>
        <v>0</v>
      </c>
      <c r="Q24" s="2">
        <f>VLOOKUP(A24,[15]TONTNOV24!$A$7:$P$23,10,0)</f>
        <v>0</v>
      </c>
      <c r="R24" s="2">
        <f>VLOOKUP(A24,[16]TONTNOV24!$A$7:$P$20,10,0)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VLOOKUP(A25,[12]HISTOBQUENOV24!$A$6:$G$46,3,0)</f>
        <v>0</v>
      </c>
      <c r="E25" s="9">
        <f>VLOOKUP(A25,[12]HISTOBQUENOV24!$A$6:$G$41,4,0)</f>
        <v>0</v>
      </c>
      <c r="F25" s="9">
        <f>VLOOKUP(A25,[12]HISTOBQUENOV24!$A$6:$G$41,5,0)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VLOOKUP(A25,[14]TONTNOV24!$A$6:$R$39,12,0)</f>
        <v>0</v>
      </c>
      <c r="Q25" s="2">
        <f>VLOOKUP(A25,[15]TONTNOV24!$A$7:$P$23,10,0)</f>
        <v>0</v>
      </c>
      <c r="R25" s="2">
        <f>VLOOKUP(A25,[16]TONTNOV24!$A$7:$P$20,10,0)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VLOOKUP(A26,[12]HISTOBQUENOV24!$A$6:$G$46,3,0)</f>
        <v>0</v>
      </c>
      <c r="E26" s="9">
        <f>VLOOKUP(A26,[12]HISTOBQUENOV24!$A$6:$G$41,4,0)</f>
        <v>0</v>
      </c>
      <c r="F26" s="9">
        <f>VLOOKUP(A26,[12]HISTOBQUENOV24!$A$6:$G$41,5,0)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VLOOKUP(A26,[14]TONTNOV24!$A$6:$R$39,12,0)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VLOOKUP(A27,[12]HISTOBQUENOV24!$A$6:$G$46,3,0)</f>
        <v>0</v>
      </c>
      <c r="E27" s="9">
        <f>VLOOKUP(A27,[12]HISTOBQUENOV24!$A$6:$G$41,4,0)</f>
        <v>0</v>
      </c>
      <c r="F27" s="9">
        <f>VLOOKUP(A27,[12]HISTOBQUENOV24!$A$6:$G$41,5,0)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VLOOKUP(A27,[14]TONTNOV24!$A$6:$R$39,12,0)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1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VLOOKUP(A28,[12]HISTOBQUENOV24!$A$6:$G$46,3,0)</f>
        <v>0</v>
      </c>
      <c r="E28" s="9">
        <f>VLOOKUP(A28,[12]HISTOBQUENOV24!$A$6:$G$41,4,0)</f>
        <v>0</v>
      </c>
      <c r="F28" s="9">
        <f>VLOOKUP(A28,[12]HISTOBQUENOV24!$A$6:$G$41,5,0)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VLOOKUP(A28,[14]TONTNOV24!$A$6:$R$39,12,0)</f>
        <v>0</v>
      </c>
      <c r="Q28" s="2">
        <f>VLOOKUP(A28,[15]TONTNOV24!$A$7:$P$23,10,0)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VLOOKUP(A29,[12]HISTOBQUENOV24!$A$6:$G$46,3,0)</f>
        <v>0</v>
      </c>
      <c r="E29" s="9">
        <f>VLOOKUP(A29,[12]HISTOBQUENOV24!$A$6:$G$41,4,0)</f>
        <v>0</v>
      </c>
      <c r="F29" s="9">
        <f>VLOOKUP(A29,[12]HISTOBQUENOV24!$A$6:$G$41,5,0)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VLOOKUP(A29,[14]TONTNOV24!$A$6:$R$39,12,0)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VLOOKUP(A30,[12]HISTOBQUENOV24!$A$6:$G$46,3,0)</f>
        <v>0</v>
      </c>
      <c r="E30" s="9">
        <f>VLOOKUP(A30,[12]HISTOBQUENOV24!$A$6:$G$41,4,0)</f>
        <v>0</v>
      </c>
      <c r="F30" s="9">
        <f>VLOOKUP(A30,[12]HISTOBQUENOV24!$A$6:$G$41,5,0)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VLOOKUP(A30,[14]TONTNOV24!$A$6:$R$39,12,0)</f>
        <v>0</v>
      </c>
      <c r="Q30" s="2"/>
      <c r="R30" s="2">
        <f>VLOOKUP(A30,[16]TONTNOV24!$A$7:$P$20,10,0)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VLOOKUP(A31,[12]HISTOBQUENOV24!$A$6:$G$46,3,0)</f>
        <v>0</v>
      </c>
      <c r="E31" s="9">
        <f>VLOOKUP(A31,[12]HISTOBQUENOV24!$A$6:$G$41,4,0)</f>
        <v>0</v>
      </c>
      <c r="F31" s="9">
        <f>VLOOKUP(A31,[12]HISTOBQUENOV24!$A$6:$G$41,5,0)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VLOOKUP(A31,[14]TONTNOV24!$A$6:$R$39,12,0)</f>
        <v>0</v>
      </c>
      <c r="Q31" s="2"/>
      <c r="R31" s="2">
        <f>VLOOKUP(A31,[16]TONTNOV24!$A$7:$P$20,10,0)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VLOOKUP(A32,[12]HISTOBQUENOV24!$A$6:$G$46,3,0)</f>
        <v>0</v>
      </c>
      <c r="E32" s="9">
        <f>VLOOKUP(A32,[12]HISTOBQUENOV24!$A$6:$G$41,4,0)</f>
        <v>0</v>
      </c>
      <c r="F32" s="9">
        <f>VLOOKUP(A32,[12]HISTOBQUENOV24!$A$6:$G$41,5,0)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VLOOKUP(A32,[14]TONTNOV24!$A$6:$R$39,12,0)</f>
        <v>0</v>
      </c>
      <c r="Q32" s="2">
        <f>VLOOKUP(A32,[15]TONTNOV24!$A$7:$P$23,10,0)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1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VLOOKUP(A33,[12]HISTOBQUENOV24!$A$6:$G$46,3,0)</f>
        <v>0</v>
      </c>
      <c r="E33" s="9">
        <f>VLOOKUP(A33,[12]HISTOBQUENOV24!$A$6:$G$41,4,0)</f>
        <v>0</v>
      </c>
      <c r="F33" s="9">
        <f>VLOOKUP(A33,[12]HISTOBQUENOV24!$A$6:$G$41,5,0)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VLOOKUP(A33,[14]TONTNOV24!$A$6:$R$39,12,0)</f>
        <v>0</v>
      </c>
      <c r="Q33" s="2"/>
      <c r="R33" s="2">
        <f>VLOOKUP(A33,[16]TONTNOV24!$A$7:$P$20,10,0)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VLOOKUP(A34,[12]HISTOBQUENOV24!$A$6:$G$46,3,0)</f>
        <v>0</v>
      </c>
      <c r="E34" s="9">
        <f>VLOOKUP(A34,[12]HISTOBQUENOV24!$A$6:$G$41,4,0)</f>
        <v>0</v>
      </c>
      <c r="F34" s="9">
        <f>VLOOKUP(A34,[12]HISTOBQUENOV24!$A$6:$G$41,5,0)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VLOOKUP(A34,[14]TONTNOV24!$A$6:$R$39,12,0)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1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VLOOKUP(A35,[12]HISTOBQUENOV24!$A$6:$G$46,3,0)</f>
        <v>0</v>
      </c>
      <c r="E35" s="9">
        <f>VLOOKUP(A35,[12]HISTOBQUENOV24!$A$6:$G$41,4,0)</f>
        <v>0</v>
      </c>
      <c r="F35" s="9">
        <f>VLOOKUP(A35,[12]HISTOBQUENOV24!$A$6:$G$41,5,0)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VLOOKUP(A35,[14]TONTNOV24!$A$6:$R$39,12,0)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1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VLOOKUP(A36,[12]HISTOBQUENOV24!$A$6:$G$46,3,0)</f>
        <v>0</v>
      </c>
      <c r="E36" s="9">
        <f>VLOOKUP(A36,[12]HISTOBQUENOV24!$A$6:$G$41,4,0)</f>
        <v>0</v>
      </c>
      <c r="F36" s="9">
        <f>VLOOKUP(A36,[12]HISTOBQUENOV24!$A$6:$G$41,5,0)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VLOOKUP(A36,[14]TONTNOV24!$A$6:$R$39,12,0)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1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VLOOKUP(A37,[12]HISTOBQUENOV24!$A$6:$G$46,3,0)</f>
        <v>0</v>
      </c>
      <c r="E37" s="9">
        <f>VLOOKUP(A37,[12]HISTOBQUENOV24!$A$6:$G$41,4,0)</f>
        <v>0</v>
      </c>
      <c r="F37" s="9">
        <f>VLOOKUP(A37,[12]HISTOBQUENOV24!$A$6:$G$41,5,0)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VLOOKUP(A37,[14]TONTNOV24!$A$6:$R$39,12,0)</f>
        <v>0</v>
      </c>
      <c r="Q37" s="2"/>
      <c r="R37" s="2">
        <f>VLOOKUP(A37,[16]TONTNOV24!$A$7:$P$20,10,0)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1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VLOOKUP(A38,[12]HISTOBQUENOV24!$A$6:$G$46,3,0)</f>
        <v>0</v>
      </c>
      <c r="E38" s="9">
        <f>VLOOKUP(A38,[12]HISTOBQUENOV24!$A$6:$G$41,4,0)</f>
        <v>0</v>
      </c>
      <c r="F38" s="9">
        <f>VLOOKUP(A38,[12]HISTOBQUENOV24!$A$6:$G$41,5,0)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VLOOKUP(A38,[14]TONTNOV24!$A$6:$R$39,12,0)</f>
        <v>0</v>
      </c>
      <c r="Q38" s="2">
        <f>VLOOKUP(A38,[15]TONTNOV24!$A$7:$P$23,10,0)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1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3"/>
  <sheetViews>
    <sheetView topLeftCell="A79" workbookViewId="0">
      <selection activeCell="E7" sqref="E7"/>
    </sheetView>
  </sheetViews>
  <sheetFormatPr baseColWidth="10" defaultRowHeight="15"/>
  <cols>
    <col min="1" max="1" width="22.28515625" customWidth="1"/>
    <col min="2" max="2" width="34.42578125" bestFit="1" customWidth="1"/>
    <col min="3" max="3" width="18.140625" customWidth="1"/>
    <col min="4" max="4" width="16" bestFit="1" customWidth="1"/>
    <col min="5" max="5" width="15.5703125" bestFit="1" customWidth="1"/>
  </cols>
  <sheetData>
    <row r="1" spans="1:6" ht="15.75">
      <c r="A1" s="428" t="s">
        <v>349</v>
      </c>
      <c r="B1" s="428"/>
      <c r="C1" s="428"/>
      <c r="D1" s="428"/>
    </row>
    <row r="2" spans="1:6">
      <c r="A2" s="93"/>
      <c r="B2" s="93"/>
    </row>
    <row r="3" spans="1:6" ht="27" customHeight="1">
      <c r="A3" s="165" t="s">
        <v>350</v>
      </c>
      <c r="B3" s="165" t="s">
        <v>206</v>
      </c>
    </row>
    <row r="4" spans="1:6" ht="24.95" customHeight="1">
      <c r="A4" s="165" t="s">
        <v>351</v>
      </c>
      <c r="B4" s="165">
        <v>2022</v>
      </c>
    </row>
    <row r="5" spans="1:6" ht="24.95" customHeight="1">
      <c r="A5" s="165" t="s">
        <v>352</v>
      </c>
      <c r="B5" s="166"/>
    </row>
    <row r="6" spans="1:6" ht="33.6" customHeight="1">
      <c r="A6" s="432" t="s">
        <v>371</v>
      </c>
      <c r="B6" s="432"/>
      <c r="C6" s="432"/>
      <c r="D6" s="432"/>
      <c r="E6" s="432"/>
      <c r="F6" s="94"/>
    </row>
    <row r="7" spans="1:6" ht="24.95" customHeight="1">
      <c r="A7" s="165" t="s">
        <v>345</v>
      </c>
      <c r="B7" s="165" t="s">
        <v>237</v>
      </c>
      <c r="C7" s="165" t="s">
        <v>533</v>
      </c>
      <c r="D7" s="165" t="s">
        <v>534</v>
      </c>
      <c r="E7" s="165" t="s">
        <v>726</v>
      </c>
    </row>
    <row r="8" spans="1:6" ht="24.95" customHeight="1">
      <c r="A8" s="165" t="s">
        <v>279</v>
      </c>
      <c r="B8" s="165" t="str">
        <f>VLOOKUP(A8,[15]LISTADHERENT!A$5:H$101,3,0)</f>
        <v>AROUEST</v>
      </c>
      <c r="E8" s="262">
        <f>'Prepa Dette Enveloppe 22'!AM8</f>
        <v>0</v>
      </c>
    </row>
    <row r="9" spans="1:6" ht="24.95" customHeight="1">
      <c r="A9" s="165" t="s">
        <v>280</v>
      </c>
      <c r="B9" s="165" t="str">
        <f>VLOOKUP(A9,[15]LISTADHERENT!A$5:H$101,3,0)</f>
        <v>BANGU CLOTILDE</v>
      </c>
      <c r="C9" s="262">
        <f>VLOOKUP(A9,[7]MVTRESUME22!$A$6:$AU$89,45,0)</f>
        <v>0</v>
      </c>
      <c r="D9" s="262">
        <f>VLOOKUP(A9,[7]MVTRESUME22!$A$6:$AW$89,46,0)</f>
        <v>0</v>
      </c>
      <c r="E9" s="262">
        <f>'Prepa Dette Enveloppe 22'!AM9</f>
        <v>0</v>
      </c>
    </row>
    <row r="10" spans="1:6">
      <c r="A10" s="167" t="s">
        <v>281</v>
      </c>
      <c r="B10" s="165" t="str">
        <f>VLOOKUP(A10,[15]LISTADHERENT!A$5:H$101,3,0)</f>
        <v>BELL Martine</v>
      </c>
      <c r="C10" s="262">
        <f>VLOOKUP(A10,[7]MVTRESUME22!$A$6:$AU$89,45,0)</f>
        <v>753131</v>
      </c>
      <c r="D10" s="262">
        <f>VLOOKUP(A10,[7]MVTRESUME22!$A$6:$AW$89,46,0)</f>
        <v>753131</v>
      </c>
      <c r="E10" s="262">
        <f>'Prepa Dette Enveloppe 22'!AM10</f>
        <v>-515131</v>
      </c>
    </row>
    <row r="11" spans="1:6">
      <c r="A11" s="167" t="s">
        <v>282</v>
      </c>
      <c r="B11" s="165" t="str">
        <f>VLOOKUP(A11,[15]LISTADHERENT!A$5:H$101,3,0)</f>
        <v>CHEIZING PATRIC</v>
      </c>
      <c r="C11" s="262">
        <f>VLOOKUP(A11,[7]MVTRESUME22!$A$6:$AU$89,45,0)</f>
        <v>0</v>
      </c>
      <c r="D11" s="262">
        <f>VLOOKUP(A11,[7]MVTRESUME22!$A$6:$AW$89,46,0)</f>
        <v>0</v>
      </c>
      <c r="E11" s="262">
        <f>'Prepa Dette Enveloppe 22'!AM11</f>
        <v>-100475.60975609756</v>
      </c>
    </row>
    <row r="12" spans="1:6">
      <c r="A12" s="165" t="s">
        <v>283</v>
      </c>
      <c r="B12" s="165" t="str">
        <f>VLOOKUP(A12,[15]LISTADHERENT!A$5:H$101,3,0)</f>
        <v>CHOMNOU ANDRE</v>
      </c>
      <c r="C12" s="262">
        <f>VLOOKUP(A12,[7]MVTRESUME22!$A$6:$AU$89,45,0)</f>
        <v>0</v>
      </c>
      <c r="D12" s="262">
        <f>VLOOKUP(A12,[7]MVTRESUME22!$A$6:$AW$89,46,0)</f>
        <v>0</v>
      </c>
      <c r="E12" s="262">
        <f>'Prepa Dette Enveloppe 22'!AM12</f>
        <v>0</v>
      </c>
    </row>
    <row r="13" spans="1:6">
      <c r="A13" s="165" t="s">
        <v>353</v>
      </c>
      <c r="B13" s="165" t="str">
        <f>VLOOKUP(A13,[15]LISTADHERENT!A$5:H$101,3,0)</f>
        <v>DANGUE JEAN PIERRE</v>
      </c>
      <c r="C13" s="262">
        <f>VLOOKUP(A13,[7]MVTRESUME22!$A$6:$AU$89,45,0)</f>
        <v>827</v>
      </c>
      <c r="D13" s="262">
        <f>VLOOKUP(A13,[7]MVTRESUME22!$A$6:$AW$89,46,0)</f>
        <v>827</v>
      </c>
      <c r="E13" s="262">
        <f>'Prepa Dette Enveloppe 22'!AM13</f>
        <v>-49320.846153846011</v>
      </c>
    </row>
    <row r="14" spans="1:6">
      <c r="A14" s="165" t="s">
        <v>284</v>
      </c>
      <c r="B14" s="165" t="str">
        <f>VLOOKUP(A14,[15]LISTADHERENT!A$5:H$101,3,0)</f>
        <v>DEUTCHEU JEAN CLAUDE</v>
      </c>
      <c r="C14" s="262">
        <f>VLOOKUP(A14,[7]MVTRESUME22!$A$6:$AU$89,45,0)</f>
        <v>0</v>
      </c>
      <c r="D14" s="262">
        <f>VLOOKUP(A14,[7]MVTRESUME22!$A$6:$AW$89,46,0)</f>
        <v>0</v>
      </c>
      <c r="E14" s="262">
        <f>'Prepa Dette Enveloppe 22'!AM14</f>
        <v>0</v>
      </c>
    </row>
    <row r="15" spans="1:6">
      <c r="A15" s="167" t="s">
        <v>285</v>
      </c>
      <c r="B15" s="165" t="str">
        <f>VLOOKUP(A15,[15]LISTADHERENT!A$5:H$101,3,0)</f>
        <v>DIBONJI PAUL</v>
      </c>
      <c r="C15" s="262">
        <f>VLOOKUP(A15,[7]MVTRESUME22!$A$6:$AU$89,45,0)</f>
        <v>187514</v>
      </c>
      <c r="D15" s="262">
        <f>VLOOKUP(A15,[7]MVTRESUME22!$A$6:$AW$89,46,0)</f>
        <v>14</v>
      </c>
      <c r="E15" s="262">
        <f>'Prepa Dette Enveloppe 22'!AM15</f>
        <v>0</v>
      </c>
    </row>
    <row r="16" spans="1:6">
      <c r="A16" s="165" t="s">
        <v>286</v>
      </c>
      <c r="B16" s="165" t="str">
        <f>VLOOKUP(A16,[15]LISTADHERENT!A$5:H$101,3,0)</f>
        <v>DJUOMBESSY ANTOINE</v>
      </c>
      <c r="C16" s="262">
        <f>VLOOKUP(A16,[7]MVTRESUME22!$A$6:$AU$89,45,0)</f>
        <v>0</v>
      </c>
      <c r="D16" s="262">
        <f>VLOOKUP(A16,[7]MVTRESUME22!$A$6:$AW$89,46,0)</f>
        <v>0</v>
      </c>
      <c r="E16" s="262">
        <f>'Prepa Dette Enveloppe 22'!AM16</f>
        <v>0</v>
      </c>
    </row>
    <row r="17" spans="1:5">
      <c r="A17" s="165" t="s">
        <v>287</v>
      </c>
      <c r="B17" s="165" t="str">
        <f>VLOOKUP(A17,[15]LISTADHERENT!A$5:H$101,3,0)</f>
        <v>DONTSOP  CATHERINE</v>
      </c>
      <c r="C17" s="262">
        <f>VLOOKUP(A17,[7]MVTRESUME22!$A$6:$AU$89,45,0)</f>
        <v>13706</v>
      </c>
      <c r="D17" s="262">
        <f>VLOOKUP(A17,[7]MVTRESUME22!$A$6:$AW$89,46,0)</f>
        <v>13706</v>
      </c>
      <c r="E17" s="262">
        <f>'Prepa Dette Enveloppe 22'!AM17</f>
        <v>-11681.609756097561</v>
      </c>
    </row>
    <row r="18" spans="1:5">
      <c r="A18" s="165" t="s">
        <v>288</v>
      </c>
      <c r="B18" s="165" t="str">
        <f>VLOOKUP(A18,[15]LISTADHERENT!A$5:H$101,3,0)</f>
        <v>DUTCHOU FANKO  ALICE SHELA</v>
      </c>
      <c r="C18" s="262">
        <f>VLOOKUP(A18,[7]MVTRESUME22!$A$6:$AU$89,45,0)</f>
        <v>14208</v>
      </c>
      <c r="D18" s="262">
        <f>VLOOKUP(A18,[7]MVTRESUME22!$A$6:$AW$89,46,0)</f>
        <v>14208</v>
      </c>
      <c r="E18" s="262">
        <f>'Prepa Dette Enveloppe 22'!AM18</f>
        <v>14208</v>
      </c>
    </row>
    <row r="19" spans="1:5">
      <c r="A19" s="165" t="s">
        <v>354</v>
      </c>
      <c r="B19" s="165" t="str">
        <f>VLOOKUP(A19,[15]LISTADHERENT!A$5:H$101,3,0)</f>
        <v>DZEREM ANSELME</v>
      </c>
      <c r="C19" s="262">
        <f>VLOOKUP(A19,[7]MVTRESUME22!$A$6:$AU$89,45,0)</f>
        <v>1550</v>
      </c>
      <c r="D19" s="262">
        <f>VLOOKUP(A19,[7]MVTRESUME22!$A$6:$AW$89,46,0)</f>
        <v>0</v>
      </c>
      <c r="E19" s="262">
        <f>'Prepa Dette Enveloppe 22'!AM19</f>
        <v>1550</v>
      </c>
    </row>
    <row r="20" spans="1:5">
      <c r="A20" s="165" t="s">
        <v>289</v>
      </c>
      <c r="B20" s="165" t="str">
        <f>VLOOKUP(A20,[15]LISTADHERENT!A$5:H$101,3,0)</f>
        <v>EWOUDOU  EDITH</v>
      </c>
      <c r="C20" s="262">
        <f>VLOOKUP(A20,[7]MVTRESUME22!$A$6:$AU$89,45,0)</f>
        <v>3708</v>
      </c>
      <c r="D20" s="262">
        <f>VLOOKUP(A20,[7]MVTRESUME22!$A$6:$AW$89,46,0)</f>
        <v>0</v>
      </c>
      <c r="E20" s="262">
        <f>'Prepa Dette Enveloppe 22'!AM20</f>
        <v>5732.3902439024387</v>
      </c>
    </row>
    <row r="21" spans="1:5">
      <c r="A21" s="165" t="s">
        <v>290</v>
      </c>
      <c r="B21" s="165" t="str">
        <f>VLOOKUP(A21,[15]LISTADHERENT!A$5:H$101,3,0)</f>
        <v>FOPA GHISLAIN</v>
      </c>
      <c r="C21" s="262">
        <f>VLOOKUP(A21,[7]MVTRESUME22!$A$6:$AU$89,45,0)</f>
        <v>0</v>
      </c>
      <c r="D21" s="262">
        <f>VLOOKUP(A21,[7]MVTRESUME22!$A$6:$AW$89,46,0)</f>
        <v>0</v>
      </c>
      <c r="E21" s="262">
        <f>'Prepa Dette Enveloppe 22'!AM21</f>
        <v>0</v>
      </c>
    </row>
    <row r="22" spans="1:5">
      <c r="A22" s="165" t="s">
        <v>291</v>
      </c>
      <c r="B22" s="165" t="str">
        <f>VLOOKUP(A22,[15]LISTADHERENT!A$5:H$101,3,0)</f>
        <v>FOTSO Appolinaire</v>
      </c>
      <c r="C22" s="262">
        <f>VLOOKUP(A22,[7]MVTRESUME22!$A$6:$AU$89,45,0)</f>
        <v>0</v>
      </c>
      <c r="D22" s="262">
        <f>VLOOKUP(A22,[7]MVTRESUME22!$A$6:$AW$89,46,0)</f>
        <v>0</v>
      </c>
      <c r="E22" s="262">
        <f>'Prepa Dette Enveloppe 22'!AM22</f>
        <v>0</v>
      </c>
    </row>
    <row r="23" spans="1:5">
      <c r="A23" s="165" t="s">
        <v>292</v>
      </c>
      <c r="B23" s="165" t="str">
        <f>VLOOKUP(A23,[15]LISTADHERENT!A$5:H$101,3,0)</f>
        <v>FOUTE MARIE LAURE</v>
      </c>
      <c r="C23" s="262">
        <f>VLOOKUP(A23,[7]MVTRESUME22!$A$6:$AU$89,45,0)</f>
        <v>0</v>
      </c>
      <c r="D23" s="262">
        <f>VLOOKUP(A23,[7]MVTRESUME22!$A$6:$AW$89,46,0)</f>
        <v>0</v>
      </c>
      <c r="E23" s="262">
        <f>'Prepa Dette Enveloppe 22'!AM23</f>
        <v>0</v>
      </c>
    </row>
    <row r="24" spans="1:5">
      <c r="A24" s="165" t="s">
        <v>293</v>
      </c>
      <c r="B24" s="165" t="str">
        <f>VLOOKUP(A24,[15]LISTADHERENT!A$5:H$101,3,0)</f>
        <v>FUMBA TAHO ROLAND</v>
      </c>
      <c r="C24" s="262">
        <f>VLOOKUP(A24,[7]MVTRESUME22!$A$6:$AU$89,45,0)</f>
        <v>3967</v>
      </c>
      <c r="D24" s="262">
        <f>VLOOKUP(A24,[7]MVTRESUME22!$A$6:$AW$89,46,0)</f>
        <v>3967</v>
      </c>
      <c r="E24" s="262">
        <f>'Prepa Dette Enveloppe 22'!AM24</f>
        <v>-304317</v>
      </c>
    </row>
    <row r="25" spans="1:5">
      <c r="A25" s="165" t="s">
        <v>294</v>
      </c>
      <c r="B25" s="165" t="str">
        <f>VLOOKUP(A25,[15]LISTADHERENT!A$5:H$101,3,0)</f>
        <v>KAMGA JOSEPH</v>
      </c>
      <c r="C25" s="262">
        <f>VLOOKUP(A25,[7]MVTRESUME22!$A$6:$AU$89,45,0)</f>
        <v>1956989</v>
      </c>
      <c r="D25" s="262">
        <f>VLOOKUP(A25,[7]MVTRESUME22!$A$6:$AW$89,46,0)</f>
        <v>1046689</v>
      </c>
      <c r="E25" s="262">
        <f>'Prepa Dette Enveloppe 22'!AM25</f>
        <v>-1145189</v>
      </c>
    </row>
    <row r="26" spans="1:5">
      <c r="A26" s="165" t="s">
        <v>295</v>
      </c>
      <c r="B26" s="165" t="str">
        <f>VLOOKUP(A26,[15]LISTADHERENT!A$5:H$101,3,0)</f>
        <v>KAMGAING ENERSTINE Epse NOAH</v>
      </c>
      <c r="C26" s="262">
        <f>VLOOKUP(A26,[7]MVTRESUME22!$A$6:$AU$89,45,0)</f>
        <v>22017</v>
      </c>
      <c r="D26" s="262">
        <f>VLOOKUP(A26,[7]MVTRESUME22!$A$6:$AW$89,46,0)</f>
        <v>17867</v>
      </c>
      <c r="E26" s="262">
        <f>'Prepa Dette Enveloppe 22'!AM26</f>
        <v>8300</v>
      </c>
    </row>
    <row r="27" spans="1:5">
      <c r="A27" s="165" t="s">
        <v>296</v>
      </c>
      <c r="B27" s="165" t="str">
        <f>VLOOKUP(A27,[15]LISTADHERENT!A$5:H$101,3,0)</f>
        <v>KAMGANG Samuel</v>
      </c>
      <c r="C27" s="262">
        <f>VLOOKUP(A27,[7]MVTRESUME22!$A$6:$AU$89,45,0)</f>
        <v>5967</v>
      </c>
      <c r="D27" s="262">
        <f>VLOOKUP(A27,[7]MVTRESUME22!$A$6:$AW$89,46,0)</f>
        <v>5967</v>
      </c>
      <c r="E27" s="262">
        <f>'Prepa Dette Enveloppe 22'!AM27</f>
        <v>0</v>
      </c>
    </row>
    <row r="28" spans="1:5">
      <c r="A28" s="165" t="s">
        <v>297</v>
      </c>
      <c r="B28" s="165" t="str">
        <f>VLOOKUP(A28,[15]LISTADHERENT!A$5:H$101,3,0)</f>
        <v>KAMGUEM NONO Carole</v>
      </c>
      <c r="C28" s="262">
        <f>VLOOKUP(A28,[7]MVTRESUME22!$A$6:$AU$89,45,0)</f>
        <v>35467</v>
      </c>
      <c r="D28" s="262">
        <f>VLOOKUP(A28,[7]MVTRESUME22!$A$6:$AW$89,46,0)</f>
        <v>0</v>
      </c>
      <c r="E28" s="262">
        <f>'Prepa Dette Enveloppe 22'!AM28</f>
        <v>35467</v>
      </c>
    </row>
    <row r="29" spans="1:5">
      <c r="A29" s="165" t="s">
        <v>298</v>
      </c>
      <c r="B29" s="165" t="str">
        <f>VLOOKUP(A29,[15]LISTADHERENT!A$5:H$101,3,0)</f>
        <v>KAMNO</v>
      </c>
      <c r="C29" s="262">
        <f>VLOOKUP(A29,[7]MVTRESUME22!$A$6:$AU$89,45,0)</f>
        <v>0</v>
      </c>
      <c r="D29" s="262">
        <f>VLOOKUP(A29,[7]MVTRESUME22!$A$6:$AW$89,46,0)</f>
        <v>0</v>
      </c>
      <c r="E29" s="262">
        <f>'Prepa Dette Enveloppe 22'!AM29</f>
        <v>0</v>
      </c>
    </row>
    <row r="30" spans="1:5">
      <c r="A30" s="165" t="s">
        <v>355</v>
      </c>
      <c r="B30" s="165" t="str">
        <f>VLOOKUP(A30,[15]LISTADHERENT!A$5:H$101,3,0)</f>
        <v>KAMTA ETIENNE</v>
      </c>
      <c r="C30" s="262">
        <f>VLOOKUP(A30,[7]MVTRESUME22!$A$6:$AU$89,45,0)</f>
        <v>0</v>
      </c>
      <c r="D30" s="262">
        <f>VLOOKUP(A30,[7]MVTRESUME22!$A$6:$AW$89,46,0)</f>
        <v>0</v>
      </c>
      <c r="E30" s="262">
        <f>'Prepa Dette Enveloppe 22'!AM30</f>
        <v>24000</v>
      </c>
    </row>
    <row r="31" spans="1:5">
      <c r="A31" s="165" t="s">
        <v>299</v>
      </c>
      <c r="B31" s="165" t="str">
        <f>VLOOKUP(A31,[15]LISTADHERENT!A$5:H$101,3,0)</f>
        <v>KANKEU FOTSING CHRETIEN</v>
      </c>
      <c r="C31" s="262">
        <f>VLOOKUP(A31,[7]MVTRESUME22!$A$6:$AU$89,45,0)</f>
        <v>159</v>
      </c>
      <c r="D31" s="262">
        <f>VLOOKUP(A31,[7]MVTRESUME22!$A$6:$AW$89,46,0)</f>
        <v>159</v>
      </c>
      <c r="E31" s="262">
        <f>'Prepa Dette Enveloppe 22'!AM31</f>
        <v>159</v>
      </c>
    </row>
    <row r="32" spans="1:5">
      <c r="A32" s="165" t="s">
        <v>356</v>
      </c>
      <c r="B32" s="165" t="str">
        <f>VLOOKUP(A32,[15]LISTADHERENT!A$5:H$101,3,0)</f>
        <v>KEMADJOU ELISEE</v>
      </c>
      <c r="C32" s="262">
        <f>VLOOKUP(A32,[7]MVTRESUME22!$A$6:$AU$89,45,0)</f>
        <v>66525</v>
      </c>
      <c r="D32" s="262">
        <f>VLOOKUP(A32,[7]MVTRESUME22!$A$6:$AW$89,46,0)</f>
        <v>0</v>
      </c>
      <c r="E32" s="262">
        <f>'Prepa Dette Enveloppe 22'!AM32</f>
        <v>66525</v>
      </c>
    </row>
    <row r="33" spans="1:5">
      <c r="A33" s="165" t="s">
        <v>357</v>
      </c>
      <c r="B33" s="165" t="str">
        <f>VLOOKUP(A33,[15]LISTADHERENT!A$5:H$101,3,0)</f>
        <v>KENGNE BASILE BERTIN</v>
      </c>
      <c r="C33" s="262">
        <f>VLOOKUP(A33,[7]MVTRESUME22!$A$6:$AU$89,45,0)</f>
        <v>0</v>
      </c>
      <c r="D33" s="262">
        <f>VLOOKUP(A33,[7]MVTRESUME22!$A$6:$AW$89,46,0)</f>
        <v>0</v>
      </c>
      <c r="E33" s="262">
        <f>'Prepa Dette Enveloppe 22'!AM33</f>
        <v>0</v>
      </c>
    </row>
    <row r="34" spans="1:5">
      <c r="A34" s="165" t="s">
        <v>300</v>
      </c>
      <c r="B34" s="165" t="str">
        <f>VLOOKUP(A34,[15]LISTADHERENT!A$5:H$101,3,0)</f>
        <v>KOLOKO Julienne</v>
      </c>
      <c r="C34" s="262">
        <f>VLOOKUP(A34,[7]MVTRESUME22!$A$6:$AU$89,45,0)</f>
        <v>0</v>
      </c>
      <c r="D34" s="262">
        <f>VLOOKUP(A34,[7]MVTRESUME22!$A$6:$AW$89,46,0)</f>
        <v>0</v>
      </c>
      <c r="E34" s="262">
        <f>'Prepa Dette Enveloppe 22'!AM34</f>
        <v>0</v>
      </c>
    </row>
    <row r="35" spans="1:5">
      <c r="A35" s="165" t="s">
        <v>358</v>
      </c>
      <c r="B35" s="165" t="str">
        <f>VLOOKUP(A35,[15]LISTADHERENT!A$5:H$101,3,0)</f>
        <v>KUETE KENFACK MARCELIN</v>
      </c>
      <c r="C35" s="262">
        <f>VLOOKUP(A35,[7]MVTRESUME22!$A$6:$AU$89,45,0)</f>
        <v>0</v>
      </c>
      <c r="D35" s="262">
        <f>VLOOKUP(A35,[7]MVTRESUME22!$A$6:$AW$89,46,0)</f>
        <v>0</v>
      </c>
      <c r="E35" s="262">
        <f>'Prepa Dette Enveloppe 22'!AM35</f>
        <v>0</v>
      </c>
    </row>
    <row r="36" spans="1:5">
      <c r="A36" s="165" t="s">
        <v>359</v>
      </c>
      <c r="B36" s="165" t="str">
        <f>VLOOKUP(A36,[15]LISTADHERENT!A$5:H$101,3,0)</f>
        <v>LAMBO Elie</v>
      </c>
      <c r="C36" s="262">
        <f>VLOOKUP(A36,[7]MVTRESUME22!$A$6:$AU$89,45,0)</f>
        <v>0</v>
      </c>
      <c r="D36" s="262">
        <f>VLOOKUP(A36,[7]MVTRESUME22!$A$6:$AW$89,46,0)</f>
        <v>0</v>
      </c>
      <c r="E36" s="262">
        <f>'Prepa Dette Enveloppe 22'!AM36</f>
        <v>0</v>
      </c>
    </row>
    <row r="37" spans="1:5">
      <c r="A37" s="167" t="s">
        <v>301</v>
      </c>
      <c r="B37" s="165" t="str">
        <f>VLOOKUP(A37,[15]LISTADHERENT!A$5:H$101,3,0)</f>
        <v>LEBO WOTO</v>
      </c>
      <c r="C37" s="262">
        <f>VLOOKUP(A37,[7]MVTRESUME22!$A$6:$AU$89,45,0)</f>
        <v>3250</v>
      </c>
      <c r="D37" s="262">
        <f>VLOOKUP(A37,[7]MVTRESUME22!$A$6:$AW$89,46,0)</f>
        <v>3250</v>
      </c>
      <c r="E37" s="262">
        <f>'Prepa Dette Enveloppe 22'!AM37</f>
        <v>3250</v>
      </c>
    </row>
    <row r="38" spans="1:5">
      <c r="A38" s="165" t="s">
        <v>302</v>
      </c>
      <c r="B38" s="165" t="str">
        <f>VLOOKUP(A38,[15]LISTADHERENT!A$5:H$101,3,0)</f>
        <v>MEGAPTCHE J Jules</v>
      </c>
      <c r="C38" s="262">
        <f>VLOOKUP(A38,[7]MVTRESUME22!$A$6:$AU$89,45,0)</f>
        <v>0</v>
      </c>
      <c r="D38" s="262">
        <f>VLOOKUP(A38,[7]MVTRESUME22!$A$6:$AW$89,46,0)</f>
        <v>0</v>
      </c>
      <c r="E38" s="262">
        <f>'Prepa Dette Enveloppe 22'!AM38</f>
        <v>0</v>
      </c>
    </row>
    <row r="39" spans="1:5">
      <c r="A39" s="165" t="s">
        <v>303</v>
      </c>
      <c r="B39" s="165" t="str">
        <f>VLOOKUP(A39,[15]LISTADHERENT!A$5:H$101,3,0)</f>
        <v>MGBORON ISSIAKA</v>
      </c>
      <c r="C39" s="262">
        <f>VLOOKUP(A39,[7]MVTRESUME22!$A$6:$AU$89,45,0)</f>
        <v>0</v>
      </c>
      <c r="D39" s="262">
        <f>VLOOKUP(A39,[7]MVTRESUME22!$A$6:$AW$89,46,0)</f>
        <v>0</v>
      </c>
      <c r="E39" s="262">
        <f>'Prepa Dette Enveloppe 22'!AM39</f>
        <v>0</v>
      </c>
    </row>
    <row r="40" spans="1:5">
      <c r="A40" s="165" t="s">
        <v>360</v>
      </c>
      <c r="B40" s="165" t="str">
        <f>VLOOKUP(A40,[15]LISTADHERENT!A$5:H$101,3,0)</f>
        <v>MOMENI FIDELE</v>
      </c>
      <c r="C40" s="262">
        <f>VLOOKUP(A40,[7]MVTRESUME22!$A$6:$AU$89,45,0)</f>
        <v>0</v>
      </c>
      <c r="D40" s="262">
        <f>VLOOKUP(A40,[7]MVTRESUME22!$A$6:$AW$89,46,0)</f>
        <v>0</v>
      </c>
      <c r="E40" s="262">
        <f>'Prepa Dette Enveloppe 22'!AM40</f>
        <v>0</v>
      </c>
    </row>
    <row r="41" spans="1:5">
      <c r="A41" s="165" t="s">
        <v>304</v>
      </c>
      <c r="B41" s="165" t="str">
        <f>VLOOKUP(A41,[15]LISTADHERENT!A$5:H$101,3,0)</f>
        <v>MONKAM VINCENT</v>
      </c>
      <c r="C41" s="262">
        <f>VLOOKUP(A41,[7]MVTRESUME22!$A$6:$AU$89,45,0)</f>
        <v>0</v>
      </c>
      <c r="D41" s="262">
        <f>VLOOKUP(A41,[7]MVTRESUME22!$A$6:$AW$89,46,0)</f>
        <v>0</v>
      </c>
      <c r="E41" s="262">
        <f>'Prepa Dette Enveloppe 22'!AM41</f>
        <v>0</v>
      </c>
    </row>
    <row r="42" spans="1:5">
      <c r="A42" s="165" t="s">
        <v>305</v>
      </c>
      <c r="B42" s="165" t="str">
        <f>VLOOKUP(A42,[15]LISTADHERENT!A$5:H$101,3,0)</f>
        <v>MVOLA ANTOINETTE NEE NJOMOU</v>
      </c>
      <c r="C42" s="262">
        <f>VLOOKUP(A42,[7]MVTRESUME22!$A$6:$AU$89,45,0)</f>
        <v>0</v>
      </c>
      <c r="D42" s="262">
        <f>VLOOKUP(A42,[7]MVTRESUME22!$A$6:$AW$89,46,0)</f>
        <v>0</v>
      </c>
      <c r="E42" s="262">
        <f>'Prepa Dette Enveloppe 22'!AM42</f>
        <v>0</v>
      </c>
    </row>
    <row r="43" spans="1:5">
      <c r="A43" s="165" t="s">
        <v>306</v>
      </c>
      <c r="B43" s="165" t="str">
        <f>VLOOKUP(A43,[15]LISTADHERENT!A$5:H$101,3,0)</f>
        <v xml:space="preserve">NANA Raymond </v>
      </c>
      <c r="C43" s="262">
        <f>VLOOKUP(A43,[7]MVTRESUME22!$A$6:$AU$89,45,0)</f>
        <v>0</v>
      </c>
      <c r="D43" s="262">
        <f>VLOOKUP(A43,[7]MVTRESUME22!$A$6:$AW$89,46,0)</f>
        <v>0</v>
      </c>
      <c r="E43" s="262">
        <f>'Prepa Dette Enveloppe 22'!AM43</f>
        <v>0</v>
      </c>
    </row>
    <row r="44" spans="1:5">
      <c r="A44" s="165" t="s">
        <v>307</v>
      </c>
      <c r="B44" s="165" t="str">
        <f>VLOOKUP(A44,[15]LISTADHERENT!A$5:H$101,3,0)</f>
        <v>NDANGA MATHIEU</v>
      </c>
      <c r="C44" s="262">
        <f>VLOOKUP(A44,[7]MVTRESUME22!$A$6:$AU$89,45,0)</f>
        <v>0</v>
      </c>
      <c r="D44" s="262">
        <f>VLOOKUP(A44,[7]MVTRESUME22!$A$6:$AW$89,46,0)</f>
        <v>0</v>
      </c>
      <c r="E44" s="262">
        <f>'Prepa Dette Enveloppe 22'!AM44</f>
        <v>0</v>
      </c>
    </row>
    <row r="45" spans="1:5">
      <c r="A45" s="165" t="s">
        <v>308</v>
      </c>
      <c r="B45" s="165" t="str">
        <f>VLOOKUP(A45,[15]LISTADHERENT!A$5:H$101,3,0)</f>
        <v>NDEFO Pierre Paul</v>
      </c>
      <c r="C45" s="262">
        <f>VLOOKUP(A45,[7]MVTRESUME22!$A$6:$AU$89,45,0)</f>
        <v>0</v>
      </c>
      <c r="D45" s="262">
        <f>VLOOKUP(A45,[7]MVTRESUME22!$A$6:$AW$89,46,0)</f>
        <v>0</v>
      </c>
      <c r="E45" s="262">
        <f>'Prepa Dette Enveloppe 22'!AM45</f>
        <v>0</v>
      </c>
    </row>
    <row r="46" spans="1:5">
      <c r="A46" s="165" t="s">
        <v>309</v>
      </c>
      <c r="B46" s="165" t="str">
        <f>VLOOKUP(A46,[15]LISTADHERENT!A$5:H$101,3,0)</f>
        <v>NDEUKA Celine</v>
      </c>
      <c r="C46" s="262">
        <f>VLOOKUP(A46,[7]MVTRESUME22!$A$6:$AU$89,45,0)</f>
        <v>0</v>
      </c>
      <c r="D46" s="262">
        <f>VLOOKUP(A46,[7]MVTRESUME22!$A$6:$AW$89,46,0)</f>
        <v>0</v>
      </c>
      <c r="E46" s="262">
        <f>'Prepa Dette Enveloppe 22'!AM46</f>
        <v>0</v>
      </c>
    </row>
    <row r="47" spans="1:5">
      <c r="A47" s="165" t="s">
        <v>310</v>
      </c>
      <c r="B47" s="165" t="str">
        <f>VLOOKUP(A47,[15]LISTADHERENT!A$5:H$101,3,0)</f>
        <v>NEWO KATOU BLAISE</v>
      </c>
      <c r="C47" s="262">
        <f>VLOOKUP(A47,[7]MVTRESUME22!$A$6:$AU$89,45,0)</f>
        <v>0</v>
      </c>
      <c r="D47" s="262">
        <f>VLOOKUP(A47,[7]MVTRESUME22!$A$6:$AW$89,46,0)</f>
        <v>0</v>
      </c>
      <c r="E47" s="262">
        <f>'Prepa Dette Enveloppe 22'!AM47</f>
        <v>0</v>
      </c>
    </row>
    <row r="48" spans="1:5">
      <c r="A48" s="165" t="s">
        <v>311</v>
      </c>
      <c r="B48" s="165" t="str">
        <f>VLOOKUP(A48,[15]LISTADHERENT!A$5:H$101,3,0)</f>
        <v>NFANKWE Patrice</v>
      </c>
      <c r="C48" s="262">
        <f>VLOOKUP(A48,[7]MVTRESUME22!$A$6:$AU$89,45,0)</f>
        <v>0</v>
      </c>
      <c r="D48" s="262">
        <f>VLOOKUP(A48,[7]MVTRESUME22!$A$6:$AW$89,46,0)</f>
        <v>0</v>
      </c>
      <c r="E48" s="262">
        <f>'Prepa Dette Enveloppe 22'!AM48</f>
        <v>0</v>
      </c>
    </row>
    <row r="49" spans="1:5">
      <c r="A49" s="167" t="s">
        <v>312</v>
      </c>
      <c r="B49" s="165" t="str">
        <f>VLOOKUP(A49,[15]LISTADHERENT!A$5:H$101,3,0)</f>
        <v>NGANDIMOUN IDRISSOU</v>
      </c>
      <c r="C49" s="262">
        <f>VLOOKUP(A49,[7]MVTRESUME22!$A$6:$AU$89,45,0)</f>
        <v>3250</v>
      </c>
      <c r="D49" s="262">
        <f>VLOOKUP(A49,[7]MVTRESUME22!$A$6:$AW$89,46,0)</f>
        <v>3250</v>
      </c>
      <c r="E49" s="262">
        <f>'Prepa Dette Enveloppe 22'!AM49</f>
        <v>3250</v>
      </c>
    </row>
    <row r="50" spans="1:5">
      <c r="A50" s="165" t="s">
        <v>313</v>
      </c>
      <c r="B50" s="165" t="str">
        <f>VLOOKUP(A50,[15]LISTADHERENT!A$5:H$101,3,0)</f>
        <v>NGATAT JEAN MARIE</v>
      </c>
      <c r="C50" s="262">
        <f>VLOOKUP(A50,[7]MVTRESUME22!$A$6:$AU$89,45,0)</f>
        <v>52908</v>
      </c>
      <c r="D50" s="262">
        <f>VLOOKUP(A50,[7]MVTRESUME22!$A$6:$AW$89,46,0)</f>
        <v>52908</v>
      </c>
      <c r="E50" s="262">
        <f>'Prepa Dette Enveloppe 22'!AM50</f>
        <v>0</v>
      </c>
    </row>
    <row r="51" spans="1:5">
      <c r="A51" s="165" t="s">
        <v>314</v>
      </c>
      <c r="B51" s="165" t="str">
        <f>VLOOKUP(A51,[15]LISTADHERENT!A$5:H$101,3,0)</f>
        <v>NGOUNOU MICHEL</v>
      </c>
      <c r="C51" s="262">
        <f>VLOOKUP(A51,[7]MVTRESUME22!$A$6:$AU$89,45,0)</f>
        <v>21363</v>
      </c>
      <c r="D51" s="262">
        <f>VLOOKUP(A51,[7]MVTRESUME22!$A$6:$AW$89,46,0)</f>
        <v>17213</v>
      </c>
      <c r="E51" s="262">
        <f>'Prepa Dette Enveloppe 22'!AM51</f>
        <v>21363</v>
      </c>
    </row>
    <row r="52" spans="1:5">
      <c r="A52" s="165" t="s">
        <v>315</v>
      </c>
      <c r="B52" s="165" t="str">
        <f>VLOOKUP(A52,[15]LISTADHERENT!A$5:H$101,3,0)</f>
        <v>NJIKI Azaria</v>
      </c>
      <c r="C52" s="262">
        <f>VLOOKUP(A52,[7]MVTRESUME22!$A$6:$AU$89,45,0)</f>
        <v>59999.856202531599</v>
      </c>
      <c r="D52" s="262">
        <f>VLOOKUP(A52,[7]MVTRESUME22!$A$6:$AW$89,46,0)</f>
        <v>-0.14379746840131702</v>
      </c>
      <c r="E52" s="262">
        <f>'Prepa Dette Enveloppe 22'!AM52</f>
        <v>0</v>
      </c>
    </row>
    <row r="53" spans="1:5">
      <c r="A53" s="165" t="s">
        <v>316</v>
      </c>
      <c r="B53" s="165" t="str">
        <f>VLOOKUP(A53,[15]LISTADHERENT!A$5:H$101,3,0)</f>
        <v>NOMBO Sakio</v>
      </c>
      <c r="C53" s="262">
        <f>VLOOKUP(A53,[7]MVTRESUME22!$A$6:$AU$89,45,0)</f>
        <v>0</v>
      </c>
      <c r="D53" s="262">
        <f>VLOOKUP(A53,[7]MVTRESUME22!$A$6:$AW$89,46,0)</f>
        <v>0</v>
      </c>
      <c r="E53" s="262">
        <f>'Prepa Dette Enveloppe 22'!AM53</f>
        <v>0</v>
      </c>
    </row>
    <row r="54" spans="1:5">
      <c r="A54" s="165" t="s">
        <v>361</v>
      </c>
      <c r="B54" s="165" t="str">
        <f>VLOOKUP(A54,[15]LISTADHERENT!A$5:H$101,3,0)</f>
        <v>NOUGNIHI Jonas</v>
      </c>
      <c r="C54" s="262">
        <f>VLOOKUP(A54,[7]MVTRESUME22!$A$6:$AU$89,45,0)</f>
        <v>2827</v>
      </c>
      <c r="D54" s="262">
        <f>VLOOKUP(A54,[7]MVTRESUME22!$A$6:$AW$89,46,0)</f>
        <v>-1323</v>
      </c>
      <c r="E54" s="262">
        <f>'Prepa Dette Enveloppe 22'!AM54</f>
        <v>2827</v>
      </c>
    </row>
    <row r="55" spans="1:5">
      <c r="A55" s="165" t="s">
        <v>317</v>
      </c>
      <c r="B55" s="165" t="str">
        <f>VLOOKUP(A55,[15]LISTADHERENT!A$5:H$101,3,0)</f>
        <v>NOUKIATCHOM SATCHE RODRIQUE</v>
      </c>
      <c r="C55" s="262">
        <f>VLOOKUP(A55,[7]MVTRESUME22!$A$6:$AU$89,45,0)</f>
        <v>3687</v>
      </c>
      <c r="D55" s="262">
        <f>VLOOKUP(A55,[7]MVTRESUME22!$A$6:$AW$89,46,0)</f>
        <v>0</v>
      </c>
      <c r="E55" s="262">
        <f>'Prepa Dette Enveloppe 22'!AM55</f>
        <v>3687</v>
      </c>
    </row>
    <row r="56" spans="1:5">
      <c r="A56" s="167" t="s">
        <v>318</v>
      </c>
      <c r="B56" s="165" t="str">
        <f>VLOOKUP(A56,[15]LISTADHERENT!A$5:H$101,3,0)</f>
        <v>NOUNKWA BIADJANG</v>
      </c>
      <c r="C56" s="262">
        <f>VLOOKUP(A56,[7]MVTRESUME22!$A$6:$AU$89,45,0)</f>
        <v>158967</v>
      </c>
      <c r="D56" s="262">
        <f>VLOOKUP(A56,[7]MVTRESUME22!$A$6:$AW$89,46,0)</f>
        <v>158967</v>
      </c>
      <c r="E56" s="262">
        <f>'Prepa Dette Enveloppe 22'!AM56</f>
        <v>0</v>
      </c>
    </row>
    <row r="57" spans="1:5">
      <c r="A57" s="167" t="s">
        <v>319</v>
      </c>
      <c r="B57" s="165" t="str">
        <f>VLOOKUP(A57,[15]LISTADHERENT!A$5:H$101,3,0)</f>
        <v>TCHOUMBA EPSE ONDJA'A</v>
      </c>
      <c r="C57" s="262">
        <f>VLOOKUP(A57,[7]MVTRESUME22!$A$6:$AU$89,45,0)</f>
        <v>207500</v>
      </c>
      <c r="D57" s="262">
        <f>VLOOKUP(A57,[7]MVTRESUME22!$A$6:$AW$89,46,0)</f>
        <v>207500</v>
      </c>
      <c r="E57" s="262">
        <f>'Prepa Dette Enveloppe 22'!AM57</f>
        <v>0</v>
      </c>
    </row>
    <row r="58" spans="1:5">
      <c r="A58" s="167" t="s">
        <v>320</v>
      </c>
      <c r="B58" s="165" t="str">
        <f>VLOOKUP(A58,[15]LISTADHERENT!A$5:H$101,3,0)</f>
        <v>PAFOUYOUOM NSANGOU</v>
      </c>
      <c r="C58" s="262">
        <f>VLOOKUP(A58,[7]MVTRESUME22!$A$6:$AU$89,45,0)</f>
        <v>3250</v>
      </c>
      <c r="D58" s="262">
        <f>VLOOKUP(A58,[7]MVTRESUME22!$A$6:$AW$89,46,0)</f>
        <v>3250</v>
      </c>
      <c r="E58" s="262">
        <f>'Prepa Dette Enveloppe 22'!AM58</f>
        <v>3250</v>
      </c>
    </row>
    <row r="59" spans="1:5">
      <c r="A59" s="165" t="s">
        <v>321</v>
      </c>
      <c r="B59" s="165" t="str">
        <f>VLOOKUP(A59,[15]LISTADHERENT!A$5:H$101,3,0)</f>
        <v xml:space="preserve">POSSI Didier </v>
      </c>
      <c r="C59" s="262">
        <f>VLOOKUP(A59,[7]MVTRESUME22!$A$6:$AU$89,45,0)</f>
        <v>0</v>
      </c>
      <c r="D59" s="262">
        <f>VLOOKUP(A59,[7]MVTRESUME22!$A$6:$AW$89,46,0)</f>
        <v>0</v>
      </c>
      <c r="E59" s="262">
        <f>'Prepa Dette Enveloppe 22'!AM59</f>
        <v>0</v>
      </c>
    </row>
    <row r="60" spans="1:5">
      <c r="A60" s="165" t="s">
        <v>362</v>
      </c>
      <c r="B60" s="165" t="str">
        <f>VLOOKUP(A60,[15]LISTADHERENT!A$5:H$101,3,0)</f>
        <v>SANGANG  Martin</v>
      </c>
      <c r="C60" s="262">
        <f>VLOOKUP(A60,[7]MVTRESUME22!$A$6:$AU$89,45,0)</f>
        <v>0</v>
      </c>
      <c r="D60" s="262">
        <f>VLOOKUP(A60,[7]MVTRESUME22!$A$6:$AW$89,46,0)</f>
        <v>0</v>
      </c>
      <c r="E60" s="262">
        <f>'Prepa Dette Enveloppe 22'!AM60</f>
        <v>0</v>
      </c>
    </row>
    <row r="61" spans="1:5">
      <c r="A61" s="165" t="s">
        <v>363</v>
      </c>
      <c r="B61" s="165" t="str">
        <f>VLOOKUP(A61,[15]LISTADHERENT!A$5:H$101,3,0)</f>
        <v>SAPE MAURICE</v>
      </c>
      <c r="C61" s="262">
        <f>VLOOKUP(A61,[7]MVTRESUME22!$A$6:$AU$89,45,0)</f>
        <v>1377</v>
      </c>
      <c r="D61" s="262">
        <f>VLOOKUP(A61,[7]MVTRESUME22!$A$6:$AW$89,46,0)</f>
        <v>1377</v>
      </c>
      <c r="E61" s="262">
        <f>'Prepa Dette Enveloppe 22'!AM61</f>
        <v>1377</v>
      </c>
    </row>
    <row r="62" spans="1:5">
      <c r="A62" s="165" t="s">
        <v>364</v>
      </c>
      <c r="B62" s="165" t="str">
        <f>VLOOKUP(A62,[15]LISTADHERENT!A$5:H$101,3,0)</f>
        <v>SINDJOU NGUEMEN GRACE</v>
      </c>
      <c r="C62" s="262">
        <f>VLOOKUP(A62,[7]MVTRESUME22!$A$6:$AU$89,45,0)</f>
        <v>3250</v>
      </c>
      <c r="D62" s="262">
        <f>VLOOKUP(A62,[7]MVTRESUME22!$A$6:$AW$89,46,0)</f>
        <v>0</v>
      </c>
      <c r="E62" s="262">
        <f>'Prepa Dette Enveloppe 22'!AM62</f>
        <v>3250</v>
      </c>
    </row>
    <row r="63" spans="1:5">
      <c r="A63" s="165" t="s">
        <v>322</v>
      </c>
      <c r="B63" s="165" t="str">
        <f>VLOOKUP(A63,[15]LISTADHERENT!A$5:H$101,3,0)</f>
        <v>SOH HENRI</v>
      </c>
      <c r="C63" s="262">
        <f>VLOOKUP(A63,[7]MVTRESUME22!$A$6:$AU$89,45,0)</f>
        <v>528775.85620253161</v>
      </c>
      <c r="D63" s="262">
        <f>VLOOKUP(A63,[7]MVTRESUME22!$A$6:$AW$89,46,0)</f>
        <v>428775.85620253161</v>
      </c>
      <c r="E63" s="262">
        <f>'Prepa Dette Enveloppe 22'!AM63</f>
        <v>-238751.46595862915</v>
      </c>
    </row>
    <row r="64" spans="1:5">
      <c r="A64" s="165" t="s">
        <v>323</v>
      </c>
      <c r="B64" s="165" t="str">
        <f>VLOOKUP(A64,[15]LISTADHERENT!A$5:H$101,3,0)</f>
        <v>SOKAMTE Fidel</v>
      </c>
      <c r="C64" s="262">
        <f>VLOOKUP(A64,[7]MVTRESUME22!$A$6:$AU$89,45,0)</f>
        <v>0</v>
      </c>
      <c r="D64" s="262">
        <f>VLOOKUP(A64,[7]MVTRESUME22!$A$6:$AW$89,46,0)</f>
        <v>0</v>
      </c>
      <c r="E64" s="262">
        <f>'Prepa Dette Enveloppe 22'!AM64</f>
        <v>0</v>
      </c>
    </row>
    <row r="65" spans="1:5">
      <c r="A65" s="165" t="s">
        <v>324</v>
      </c>
      <c r="B65" s="165" t="str">
        <f>VLOOKUP(A65,[15]LISTADHERENT!A$5:H$101,3,0)</f>
        <v>TAKOUGOUM  JEAN CLAUDE</v>
      </c>
      <c r="C65" s="262">
        <f>VLOOKUP(A65,[7]MVTRESUME22!$A$6:$AU$89,45,0)</f>
        <v>0</v>
      </c>
      <c r="D65" s="262">
        <f>VLOOKUP(A65,[7]MVTRESUME22!$A$6:$AW$89,46,0)</f>
        <v>0</v>
      </c>
      <c r="E65" s="262">
        <f>'Prepa Dette Enveloppe 22'!AM65</f>
        <v>0</v>
      </c>
    </row>
    <row r="66" spans="1:5">
      <c r="A66" s="165" t="s">
        <v>325</v>
      </c>
      <c r="B66" s="165" t="str">
        <f>VLOOKUP(A66,[15]LISTADHERENT!A$5:H$101,3,0)</f>
        <v>TATUE FOPA Jean</v>
      </c>
      <c r="C66" s="262">
        <f>VLOOKUP(A66,[7]MVTRESUME22!$A$6:$AU$89,45,0)</f>
        <v>0</v>
      </c>
      <c r="D66" s="262">
        <f>VLOOKUP(A66,[7]MVTRESUME22!$A$6:$AW$89,46,0)</f>
        <v>0</v>
      </c>
      <c r="E66" s="262">
        <f>'Prepa Dette Enveloppe 22'!AM66</f>
        <v>0</v>
      </c>
    </row>
    <row r="67" spans="1:5">
      <c r="A67" s="165" t="s">
        <v>348</v>
      </c>
      <c r="B67" s="165" t="str">
        <f>VLOOKUP(A67,[15]LISTADHERENT!A$5:H$101,3,0)</f>
        <v>TCHAMO BERNARD</v>
      </c>
      <c r="C67" s="262">
        <f>VLOOKUP(A67,[7]MVTRESUME22!$A$6:$AU$89,45,0)</f>
        <v>3458</v>
      </c>
      <c r="D67" s="262">
        <f>VLOOKUP(A67,[7]MVTRESUME22!$A$6:$AW$89,46,0)</f>
        <v>0</v>
      </c>
      <c r="E67" s="262">
        <f>'Prepa Dette Enveloppe 22'!AM67</f>
        <v>3458</v>
      </c>
    </row>
    <row r="68" spans="1:5">
      <c r="A68" s="165" t="s">
        <v>326</v>
      </c>
      <c r="B68" s="165" t="str">
        <f>VLOOKUP(A68,[15]LISTADHERENT!A$5:H$101,3,0)</f>
        <v>TCHANANG SYLVAIN</v>
      </c>
      <c r="C68" s="262">
        <f>VLOOKUP(A68,[7]MVTRESUME22!$A$6:$AU$89,45,0)</f>
        <v>0</v>
      </c>
      <c r="D68" s="262">
        <f>VLOOKUP(A68,[7]MVTRESUME22!$A$6:$AW$89,46,0)</f>
        <v>0</v>
      </c>
      <c r="E68" s="262">
        <f>'Prepa Dette Enveloppe 22'!AM68</f>
        <v>0</v>
      </c>
    </row>
    <row r="69" spans="1:5">
      <c r="A69" s="165" t="s">
        <v>327</v>
      </c>
      <c r="B69" s="165" t="str">
        <f>VLOOKUP(A69,[15]LISTADHERENT!A$5:H$101,3,0)</f>
        <v>TCHAPTCHET DESIREE</v>
      </c>
      <c r="C69" s="262">
        <f>VLOOKUP(A69,[7]MVTRESUME22!$A$6:$AU$89,45,0)</f>
        <v>4068</v>
      </c>
      <c r="D69" s="262">
        <f>VLOOKUP(A69,[7]MVTRESUME22!$A$6:$AW$89,46,0)</f>
        <v>0</v>
      </c>
      <c r="E69" s="262">
        <f>'Prepa Dette Enveloppe 22'!AM69</f>
        <v>4068</v>
      </c>
    </row>
    <row r="70" spans="1:5">
      <c r="A70" s="165" t="s">
        <v>328</v>
      </c>
      <c r="B70" s="165" t="str">
        <f>VLOOKUP(A70,[15]LISTADHERENT!A$5:H$101,3,0)</f>
        <v>TCHI  ROBERT</v>
      </c>
      <c r="C70" s="262">
        <f>VLOOKUP(A70,[7]MVTRESUME22!$A$6:$AU$89,45,0)</f>
        <v>0</v>
      </c>
      <c r="D70" s="262">
        <f>VLOOKUP(A70,[7]MVTRESUME22!$A$6:$AW$89,46,0)</f>
        <v>0</v>
      </c>
      <c r="E70" s="262">
        <f>'Prepa Dette Enveloppe 22'!AM70</f>
        <v>0</v>
      </c>
    </row>
    <row r="71" spans="1:5">
      <c r="A71" s="165" t="s">
        <v>329</v>
      </c>
      <c r="B71" s="165" t="str">
        <f>VLOOKUP(A71,[15]LISTADHERENT!A$5:H$101,3,0)</f>
        <v>TCHIO André</v>
      </c>
      <c r="C71" s="262">
        <f>VLOOKUP(A71,[7]MVTRESUME22!$A$6:$AU$89,45,0)</f>
        <v>12820</v>
      </c>
      <c r="D71" s="262">
        <f>VLOOKUP(A71,[7]MVTRESUME22!$A$6:$AW$89,46,0)</f>
        <v>12820</v>
      </c>
      <c r="E71" s="262">
        <f>'Prepa Dette Enveloppe 22'!AM71</f>
        <v>4150</v>
      </c>
    </row>
    <row r="72" spans="1:5">
      <c r="A72" s="167" t="s">
        <v>365</v>
      </c>
      <c r="B72" s="165" t="str">
        <f>VLOOKUP(A72,[15]LISTADHERENT!A$5:H$101,3,0)</f>
        <v xml:space="preserve">TCHOUADEU  Christophe </v>
      </c>
      <c r="C72" s="262">
        <f>VLOOKUP(A72,[7]MVTRESUME22!$A$6:$AU$89,45,0)</f>
        <v>5667</v>
      </c>
      <c r="D72" s="262">
        <f>VLOOKUP(A72,[7]MVTRESUME22!$A$6:$AW$89,46,0)</f>
        <v>5667</v>
      </c>
      <c r="E72" s="262">
        <f>'Prepa Dette Enveloppe 22'!AM72</f>
        <v>5667</v>
      </c>
    </row>
    <row r="73" spans="1:5">
      <c r="A73" s="165" t="s">
        <v>330</v>
      </c>
      <c r="B73" s="165" t="str">
        <f>VLOOKUP(A73,[15]LISTADHERENT!A$5:H$101,3,0)</f>
        <v xml:space="preserve">TCHOUTIO Léopold </v>
      </c>
      <c r="C73" s="262">
        <f>VLOOKUP(A73,[7]MVTRESUME22!$A$6:$AU$89,45,0)</f>
        <v>0</v>
      </c>
      <c r="D73" s="262">
        <f>VLOOKUP(A73,[7]MVTRESUME22!$A$6:$AW$89,46,0)</f>
        <v>0</v>
      </c>
      <c r="E73" s="262">
        <f>'Prepa Dette Enveloppe 22'!AM73</f>
        <v>0</v>
      </c>
    </row>
    <row r="74" spans="1:5">
      <c r="A74" s="165" t="s">
        <v>331</v>
      </c>
      <c r="B74" s="165" t="str">
        <f>VLOOKUP(A74,[15]LISTADHERENT!A$5:H$101,3,0)</f>
        <v xml:space="preserve">TCHUENTE Ingrid </v>
      </c>
      <c r="C74" s="262">
        <f>VLOOKUP(A74,[7]MVTRESUME22!$A$6:$AU$89,45,0)</f>
        <v>19998.856202531646</v>
      </c>
      <c r="D74" s="262">
        <f>VLOOKUP(A74,[7]MVTRESUME22!$A$6:$AW$89,46,0)</f>
        <v>0</v>
      </c>
      <c r="E74" s="262">
        <f>'Prepa Dette Enveloppe 22'!AM74</f>
        <v>19998.856202531646</v>
      </c>
    </row>
    <row r="75" spans="1:5">
      <c r="A75" s="165" t="s">
        <v>332</v>
      </c>
      <c r="B75" s="165" t="str">
        <f>VLOOKUP(A75,[15]LISTADHERENT!A$5:H$101,3,0)</f>
        <v xml:space="preserve">TCHUENTE Léopold </v>
      </c>
      <c r="C75" s="262">
        <f>VLOOKUP(A75,[7]MVTRESUME22!$A$6:$AU$89,45,0)</f>
        <v>0</v>
      </c>
      <c r="D75" s="262">
        <f>VLOOKUP(A75,[7]MVTRESUME22!$A$6:$AW$89,46,0)</f>
        <v>0</v>
      </c>
      <c r="E75" s="262">
        <f>'Prepa Dette Enveloppe 22'!AM75</f>
        <v>0</v>
      </c>
    </row>
    <row r="76" spans="1:5">
      <c r="A76" s="165" t="s">
        <v>333</v>
      </c>
      <c r="B76" s="165" t="str">
        <f>VLOOKUP(A76,[15]LISTADHERENT!A$5:H$101,3,0)</f>
        <v>TCHUENTE Philotée</v>
      </c>
      <c r="C76" s="262">
        <f>VLOOKUP(A76,[7]MVTRESUME22!$A$6:$AU$89,45,0)</f>
        <v>2050</v>
      </c>
      <c r="D76" s="262">
        <f>VLOOKUP(A76,[7]MVTRESUME22!$A$6:$AW$89,46,0)</f>
        <v>-2050</v>
      </c>
      <c r="E76" s="262">
        <f>'Prepa Dette Enveloppe 22'!AM76</f>
        <v>2050</v>
      </c>
    </row>
    <row r="77" spans="1:5">
      <c r="A77" s="165" t="s">
        <v>334</v>
      </c>
      <c r="B77" s="165" t="str">
        <f>VLOOKUP(A77,[15]LISTADHERENT!A$5:H$101,3,0)</f>
        <v>TCHUIDJASSI MANFRED</v>
      </c>
      <c r="C77" s="262">
        <f>VLOOKUP(A77,[7]MVTRESUME22!$A$6:$AU$89,45,0)</f>
        <v>0</v>
      </c>
      <c r="D77" s="262">
        <f>VLOOKUP(A77,[7]MVTRESUME22!$A$6:$AW$89,46,0)</f>
        <v>0</v>
      </c>
      <c r="E77" s="262">
        <f>'Prepa Dette Enveloppe 22'!AM77</f>
        <v>0</v>
      </c>
    </row>
    <row r="78" spans="1:5">
      <c r="A78" s="165" t="s">
        <v>335</v>
      </c>
      <c r="B78" s="165" t="str">
        <f>VLOOKUP(A78,[15]LISTADHERENT!A$5:H$101,3,0)</f>
        <v>TCHUIKWA SYLVAIN</v>
      </c>
      <c r="C78" s="262">
        <f>VLOOKUP(A78,[7]MVTRESUME22!$A$6:$AU$89,45,0)</f>
        <v>0</v>
      </c>
      <c r="D78" s="262">
        <f>VLOOKUP(A78,[7]MVTRESUME22!$A$6:$AW$89,46,0)</f>
        <v>0</v>
      </c>
      <c r="E78" s="262">
        <f>'Prepa Dette Enveloppe 22'!AM78</f>
        <v>0</v>
      </c>
    </row>
    <row r="79" spans="1:5">
      <c r="A79" s="165" t="s">
        <v>336</v>
      </c>
      <c r="B79" s="165" t="str">
        <f>VLOOKUP(A79,[15]LISTADHERENT!A$5:H$101,3,0)</f>
        <v>TENKAM Nicolas</v>
      </c>
      <c r="C79" s="262">
        <f>VLOOKUP(A79,[7]MVTRESUME22!$A$6:$AU$89,45,0)</f>
        <v>6834</v>
      </c>
      <c r="D79" s="262">
        <f>VLOOKUP(A79,[7]MVTRESUME22!$A$6:$AW$89,46,0)</f>
        <v>6834</v>
      </c>
      <c r="E79" s="262">
        <f>'Prepa Dette Enveloppe 22'!AM79</f>
        <v>6834</v>
      </c>
    </row>
    <row r="80" spans="1:5">
      <c r="A80" s="167" t="s">
        <v>337</v>
      </c>
      <c r="B80" s="165" t="str">
        <f>VLOOKUP(A80,[15]LISTADHERENT!A$5:H$101,3,0)</f>
        <v>TOMFEU JEAN PIERRE</v>
      </c>
      <c r="C80" s="262">
        <f>VLOOKUP(A80,[7]MVTRESUME22!$A$6:$AU$89,45,0)</f>
        <v>5653</v>
      </c>
      <c r="D80" s="262">
        <f>VLOOKUP(A80,[7]MVTRESUME22!$A$6:$AW$89,46,0)</f>
        <v>5653</v>
      </c>
      <c r="E80" s="262">
        <f>'Prepa Dette Enveloppe 22'!AM80</f>
        <v>5653</v>
      </c>
    </row>
    <row r="81" spans="1:5">
      <c r="A81" s="165" t="s">
        <v>338</v>
      </c>
      <c r="B81" s="165" t="str">
        <f>VLOOKUP(A81,[15]LISTADHERENT!A$5:H$101,3,0)</f>
        <v>TONGA Jules Calvin</v>
      </c>
      <c r="C81" s="262">
        <f>VLOOKUP(A81,[7]MVTRESUME22!$A$6:$AU$89,45,0)</f>
        <v>13644</v>
      </c>
      <c r="D81" s="262">
        <f>VLOOKUP(A81,[7]MVTRESUME22!$A$6:$AW$89,46,0)</f>
        <v>13644</v>
      </c>
      <c r="E81" s="262">
        <f>'Prepa Dette Enveloppe 22'!AM81</f>
        <v>13644</v>
      </c>
    </row>
    <row r="82" spans="1:5">
      <c r="A82" s="165" t="s">
        <v>366</v>
      </c>
      <c r="B82" s="165" t="str">
        <f>VLOOKUP(A82,[15]LISTADHERENT!A$5:H$101,3,0)</f>
        <v>TOUKAM ELVIS</v>
      </c>
      <c r="C82" s="262">
        <f>VLOOKUP(A82,[7]MVTRESUME22!$A$6:$AU$89,45,0)</f>
        <v>0</v>
      </c>
      <c r="D82" s="262">
        <f>VLOOKUP(A82,[7]MVTRESUME22!$A$6:$AW$89,46,0)</f>
        <v>0</v>
      </c>
      <c r="E82" s="262">
        <f>'Prepa Dette Enveloppe 22'!AM82</f>
        <v>0</v>
      </c>
    </row>
    <row r="83" spans="1:5">
      <c r="A83" s="165" t="s">
        <v>339</v>
      </c>
      <c r="B83" s="165" t="str">
        <f>VLOOKUP(A83,[15]LISTADHERENT!A$5:H$101,3,0)</f>
        <v>TSEMEU  JOEL</v>
      </c>
      <c r="C83" s="262">
        <f>VLOOKUP(A83,[7]MVTRESUME22!$A$6:$AU$89,45,0)</f>
        <v>0</v>
      </c>
      <c r="D83" s="262">
        <f>VLOOKUP(A83,[7]MVTRESUME22!$A$6:$AW$89,46,0)</f>
        <v>0</v>
      </c>
      <c r="E83" s="262">
        <f>'Prepa Dette Enveloppe 22'!AM83</f>
        <v>0</v>
      </c>
    </row>
    <row r="84" spans="1:5">
      <c r="A84" s="165" t="s">
        <v>340</v>
      </c>
      <c r="B84" s="165" t="str">
        <f>VLOOKUP(A84,[15]LISTADHERENT!A$5:H$101,3,0)</f>
        <v xml:space="preserve">WASO TCHIO GEORGES </v>
      </c>
      <c r="C84" s="262">
        <f>VLOOKUP(A84,[7]MVTRESUME22!$A$6:$AU$89,45,0)</f>
        <v>20550</v>
      </c>
      <c r="D84" s="262">
        <f>VLOOKUP(A84,[7]MVTRESUME22!$A$6:$AW$89,46,0)</f>
        <v>0</v>
      </c>
      <c r="E84" s="262">
        <f>'Prepa Dette Enveloppe 22'!AM84</f>
        <v>20550</v>
      </c>
    </row>
    <row r="85" spans="1:5">
      <c r="A85" s="165" t="s">
        <v>341</v>
      </c>
      <c r="B85" s="165" t="str">
        <f>VLOOKUP(A85,[15]LISTADHERENT!A$5:H$101,3,0)</f>
        <v>WATA Blaise</v>
      </c>
      <c r="C85" s="262">
        <f>VLOOKUP(A85,[7]MVTRESUME22!$A$6:$AU$89,45,0)</f>
        <v>5967</v>
      </c>
      <c r="D85" s="262">
        <f>VLOOKUP(A85,[7]MVTRESUME22!$A$6:$AW$89,46,0)</f>
        <v>2</v>
      </c>
      <c r="E85" s="262">
        <f>'Prepa Dette Enveloppe 22'!AM85</f>
        <v>5967</v>
      </c>
    </row>
    <row r="86" spans="1:5">
      <c r="A86" s="165" t="s">
        <v>342</v>
      </c>
      <c r="B86" s="165" t="str">
        <f>VLOOKUP(A86,[15]LISTADHERENT!A$5:H$101,3,0)</f>
        <v>WETOUMDU ERNEST</v>
      </c>
      <c r="C86" s="262">
        <f>VLOOKUP(A86,[7]MVTRESUME22!$A$6:$AU$89,45,0)</f>
        <v>3467</v>
      </c>
      <c r="D86" s="262">
        <f>VLOOKUP(A86,[7]MVTRESUME22!$A$6:$AW$89,46,0)</f>
        <v>3467</v>
      </c>
      <c r="E86" s="262">
        <f>'Prepa Dette Enveloppe 22'!AM86</f>
        <v>3467</v>
      </c>
    </row>
    <row r="87" spans="1:5">
      <c r="A87" s="165" t="s">
        <v>343</v>
      </c>
      <c r="B87" s="165" t="str">
        <f>VLOOKUP(A87,[15]LISTADHERENT!A$5:H$101,3,0)</f>
        <v>YOUALEU MICHEL</v>
      </c>
      <c r="C87" s="262">
        <f>VLOOKUP(A87,[7]MVTRESUME22!$A$6:$AU$89,45,0)</f>
        <v>0</v>
      </c>
      <c r="D87" s="262">
        <f>VLOOKUP(A87,[7]MVTRESUME22!$A$6:$AW$89,46,0)</f>
        <v>0</v>
      </c>
      <c r="E87" s="262">
        <f>'Prepa Dette Enveloppe 22'!AM87</f>
        <v>0</v>
      </c>
    </row>
    <row r="88" spans="1:5">
      <c r="A88" s="165" t="s">
        <v>344</v>
      </c>
      <c r="B88" s="165" t="str">
        <f>VLOOKUP(A88,[15]LISTADHERENT!A$5:H$101,3,0)</f>
        <v>YOUMBI LEONARD</v>
      </c>
      <c r="C88" s="262">
        <f>VLOOKUP(A88,[7]MVTRESUME22!$A$6:$AU$89,45,0)</f>
        <v>0</v>
      </c>
      <c r="D88" s="262">
        <f>VLOOKUP(A88,[7]MVTRESUME22!$A$6:$AW$89,46,0)</f>
        <v>0</v>
      </c>
      <c r="E88" s="262">
        <f>'Prepa Dette Enveloppe 22'!AM88</f>
        <v>0</v>
      </c>
    </row>
    <row r="89" spans="1:5">
      <c r="A89" s="165" t="s">
        <v>367</v>
      </c>
      <c r="B89" s="165" t="str">
        <f>VLOOKUP(A89,[15]LISTADHERENT!A$5:H$101,3,0)</f>
        <v>TALAK</v>
      </c>
      <c r="C89" s="262">
        <f>VLOOKUP(A89,[7]MVTRESUME22!$A$6:$AU$89,45,0)</f>
        <v>0</v>
      </c>
      <c r="D89" s="262">
        <f>VLOOKUP(A89,[7]MVTRESUME22!$A$6:$AW$89,46,0)</f>
        <v>0</v>
      </c>
      <c r="E89" s="262">
        <f>'Prepa Dette Enveloppe 22'!AM89</f>
        <v>0</v>
      </c>
    </row>
    <row r="90" spans="1:5">
      <c r="A90" s="165" t="s">
        <v>368</v>
      </c>
      <c r="B90" s="165" t="str">
        <f>VLOOKUP(A90,[15]LISTADHERENT!A$5:H$101,3,0)</f>
        <v>TODJOM INNOCENT</v>
      </c>
      <c r="C90" s="262">
        <f>VLOOKUP(A90,[7]MVTRESUME22!$A$6:$AU$89,45,0)</f>
        <v>0</v>
      </c>
      <c r="D90" s="262">
        <f>VLOOKUP(A90,[7]MVTRESUME22!$A$6:$AW$89,46,0)</f>
        <v>0</v>
      </c>
      <c r="E90" s="262">
        <f>'Prepa Dette Enveloppe 22'!AM90</f>
        <v>0</v>
      </c>
    </row>
    <row r="91" spans="1:5">
      <c r="A91" s="165" t="s">
        <v>369</v>
      </c>
      <c r="B91" s="165" t="str">
        <f>VLOOKUP(A91,[15]LISTADHERENT!A$5:H$101,3,0)</f>
        <v>NGAHA FONDJA</v>
      </c>
      <c r="C91" s="262">
        <f>VLOOKUP(A91,[7]MVTRESUME22!$A$6:$AU$89,45,0)</f>
        <v>0</v>
      </c>
      <c r="D91" s="262">
        <f>VLOOKUP(A91,[7]MVTRESUME22!$A$6:$AW$89,46,0)</f>
        <v>0</v>
      </c>
      <c r="E91" s="262">
        <f>'Prepa Dette Enveloppe 22'!AM91</f>
        <v>0</v>
      </c>
    </row>
    <row r="92" spans="1:5">
      <c r="A92" s="165"/>
      <c r="B92" s="165"/>
    </row>
    <row r="93" spans="1:5" ht="18">
      <c r="A93" s="263" t="s">
        <v>20</v>
      </c>
      <c r="B93" s="263"/>
      <c r="C93" s="192">
        <f>SUM(C8:C92)</f>
        <v>4220316.5686075948</v>
      </c>
      <c r="D93" s="192">
        <f>SUM(D8:D92)</f>
        <v>2777739.7124050632</v>
      </c>
      <c r="E93" s="192">
        <f>SUM(E8:E92)</f>
        <v>-2071164.2851782362</v>
      </c>
    </row>
  </sheetData>
  <mergeCells count="2">
    <mergeCell ref="A1:D1"/>
    <mergeCell ref="A6:E6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F93"/>
  <sheetViews>
    <sheetView topLeftCell="A70" workbookViewId="0">
      <selection activeCell="C9" sqref="C9"/>
    </sheetView>
  </sheetViews>
  <sheetFormatPr baseColWidth="10" defaultRowHeight="15"/>
  <cols>
    <col min="1" max="1" width="22.28515625" customWidth="1"/>
    <col min="2" max="2" width="34.42578125" bestFit="1" customWidth="1"/>
    <col min="3" max="3" width="18.140625" customWidth="1"/>
  </cols>
  <sheetData>
    <row r="1" spans="1:6" ht="15.75">
      <c r="A1" s="428" t="s">
        <v>349</v>
      </c>
      <c r="B1" s="428"/>
      <c r="C1" s="428"/>
      <c r="D1" s="428"/>
    </row>
    <row r="2" spans="1:6">
      <c r="A2" s="93"/>
      <c r="B2" s="93"/>
    </row>
    <row r="3" spans="1:6" ht="27" customHeight="1">
      <c r="A3" s="165" t="s">
        <v>350</v>
      </c>
      <c r="B3" s="165" t="s">
        <v>206</v>
      </c>
    </row>
    <row r="4" spans="1:6" ht="24.95" customHeight="1">
      <c r="A4" s="165" t="s">
        <v>351</v>
      </c>
      <c r="B4" s="165">
        <v>2022</v>
      </c>
    </row>
    <row r="5" spans="1:6" ht="24.95" customHeight="1">
      <c r="A5" s="165" t="s">
        <v>352</v>
      </c>
      <c r="B5" s="166"/>
    </row>
    <row r="6" spans="1:6" ht="33.6" customHeight="1">
      <c r="A6" s="432" t="s">
        <v>372</v>
      </c>
      <c r="B6" s="432"/>
      <c r="C6" s="432"/>
      <c r="D6" s="432"/>
      <c r="E6" s="432"/>
      <c r="F6" s="94"/>
    </row>
    <row r="7" spans="1:6" ht="24.95" customHeight="1">
      <c r="A7" s="165" t="s">
        <v>345</v>
      </c>
      <c r="B7" s="165" t="s">
        <v>237</v>
      </c>
      <c r="C7" s="165" t="s">
        <v>1</v>
      </c>
      <c r="D7" s="165"/>
    </row>
    <row r="8" spans="1:6" ht="24.95" customHeight="1">
      <c r="A8" s="165" t="s">
        <v>279</v>
      </c>
      <c r="B8" s="165" t="str">
        <f>VLOOKUP(A8,[15]LISTADHERENT!A$5:H$101,3,0)</f>
        <v>AROUEST</v>
      </c>
      <c r="C8" s="262">
        <f>VLOOKUP(A8,[7]MVTRESUME22!$A$6:$AU$89,21,0)</f>
        <v>0</v>
      </c>
    </row>
    <row r="9" spans="1:6" ht="24.95" customHeight="1">
      <c r="A9" s="165" t="s">
        <v>280</v>
      </c>
      <c r="B9" s="165" t="str">
        <f>VLOOKUP(A9,[15]LISTADHERENT!A$5:H$101,3,0)</f>
        <v>BANGU CLOTILDE</v>
      </c>
      <c r="C9" s="262">
        <f>VLOOKUP(A9,[7]MVTRESUME22!$A$6:$AU$89,21,0)</f>
        <v>0</v>
      </c>
    </row>
    <row r="10" spans="1:6">
      <c r="A10" s="167" t="s">
        <v>281</v>
      </c>
      <c r="B10" s="165" t="str">
        <f>VLOOKUP(A10,[15]LISTADHERENT!A$5:H$101,3,0)</f>
        <v>BELL Martine</v>
      </c>
      <c r="C10" s="262">
        <f>VLOOKUP(A10,[7]MVTRESUME22!$A$6:$AU$89,21,0)</f>
        <v>0</v>
      </c>
    </row>
    <row r="11" spans="1:6">
      <c r="A11" s="167" t="s">
        <v>282</v>
      </c>
      <c r="B11" s="165" t="str">
        <f>VLOOKUP(A11,[15]LISTADHERENT!A$5:H$101,3,0)</f>
        <v>CHEIZING PATRIC</v>
      </c>
      <c r="C11" s="262">
        <f>VLOOKUP(A11,[7]MVTRESUME22!$A$6:$AU$89,21,0)</f>
        <v>102500</v>
      </c>
    </row>
    <row r="12" spans="1:6">
      <c r="A12" s="165" t="s">
        <v>283</v>
      </c>
      <c r="B12" s="165" t="str">
        <f>VLOOKUP(A12,[15]LISTADHERENT!A$5:H$101,3,0)</f>
        <v>CHOMNOU ANDRE</v>
      </c>
      <c r="C12" s="262">
        <f>VLOOKUP(A12,[7]MVTRESUME22!$A$6:$AU$89,21,0)</f>
        <v>0</v>
      </c>
    </row>
    <row r="13" spans="1:6">
      <c r="A13" s="165" t="s">
        <v>353</v>
      </c>
      <c r="B13" s="165" t="str">
        <f>VLOOKUP(A13,[15]LISTADHERENT!A$5:H$101,3,0)</f>
        <v>DANGUE JEAN PIERRE</v>
      </c>
      <c r="C13" s="262">
        <f>VLOOKUP(A13,[7]MVTRESUME22!$A$6:$AU$89,21,0)</f>
        <v>0</v>
      </c>
    </row>
    <row r="14" spans="1:6">
      <c r="A14" s="165" t="s">
        <v>284</v>
      </c>
      <c r="B14" s="165" t="str">
        <f>VLOOKUP(A14,[15]LISTADHERENT!A$5:H$101,3,0)</f>
        <v>DEUTCHEU JEAN CLAUDE</v>
      </c>
      <c r="C14" s="262">
        <f>VLOOKUP(A14,[7]MVTRESUME22!$A$6:$AU$89,21,0)</f>
        <v>0</v>
      </c>
    </row>
    <row r="15" spans="1:6">
      <c r="A15" s="167" t="s">
        <v>285</v>
      </c>
      <c r="B15" s="165" t="str">
        <f>VLOOKUP(A15,[15]LISTADHERENT!A$5:H$101,3,0)</f>
        <v>DIBONJI PAUL</v>
      </c>
      <c r="C15" s="262">
        <f>VLOOKUP(A15,[7]MVTRESUME22!$A$6:$AU$89,21,0)</f>
        <v>0</v>
      </c>
    </row>
    <row r="16" spans="1:6">
      <c r="A16" s="165" t="s">
        <v>286</v>
      </c>
      <c r="B16" s="165" t="str">
        <f>VLOOKUP(A16,[15]LISTADHERENT!A$5:H$101,3,0)</f>
        <v>DJUOMBESSY ANTOINE</v>
      </c>
      <c r="C16" s="262">
        <f>VLOOKUP(A16,[7]MVTRESUME22!$A$6:$AU$89,21,0)</f>
        <v>0</v>
      </c>
    </row>
    <row r="17" spans="1:3">
      <c r="A17" s="165" t="s">
        <v>287</v>
      </c>
      <c r="B17" s="165" t="str">
        <f>VLOOKUP(A17,[15]LISTADHERENT!A$5:H$101,3,0)</f>
        <v>DONTSOP  CATHERINE</v>
      </c>
      <c r="C17" s="262">
        <f>VLOOKUP(A17,[7]MVTRESUME22!$A$6:$AU$89,21,0)</f>
        <v>0</v>
      </c>
    </row>
    <row r="18" spans="1:3">
      <c r="A18" s="165" t="s">
        <v>288</v>
      </c>
      <c r="B18" s="165" t="str">
        <f>VLOOKUP(A18,[15]LISTADHERENT!A$5:H$101,3,0)</f>
        <v>DUTCHOU FANKO  ALICE SHELA</v>
      </c>
      <c r="C18" s="262">
        <f>VLOOKUP(A18,[7]MVTRESUME22!$A$6:$AU$89,21,0)</f>
        <v>0</v>
      </c>
    </row>
    <row r="19" spans="1:3">
      <c r="A19" s="165" t="s">
        <v>354</v>
      </c>
      <c r="B19" s="165" t="str">
        <f>VLOOKUP(A19,[15]LISTADHERENT!A$5:H$101,3,0)</f>
        <v>DZEREM ANSELME</v>
      </c>
      <c r="C19" s="262">
        <f>VLOOKUP(A19,[7]MVTRESUME22!$A$6:$AU$89,21,0)</f>
        <v>0</v>
      </c>
    </row>
    <row r="20" spans="1:3">
      <c r="A20" s="165" t="s">
        <v>289</v>
      </c>
      <c r="B20" s="165" t="str">
        <f>VLOOKUP(A20,[15]LISTADHERENT!A$5:H$101,3,0)</f>
        <v>EWOUDOU  EDITH</v>
      </c>
      <c r="C20" s="262">
        <f>VLOOKUP(A20,[7]MVTRESUME22!$A$6:$AU$89,21,0)</f>
        <v>0</v>
      </c>
    </row>
    <row r="21" spans="1:3">
      <c r="A21" s="165" t="s">
        <v>290</v>
      </c>
      <c r="B21" s="165" t="str">
        <f>VLOOKUP(A21,[15]LISTADHERENT!A$5:H$101,3,0)</f>
        <v>FOPA GHISLAIN</v>
      </c>
      <c r="C21" s="262">
        <f>VLOOKUP(A21,[7]MVTRESUME22!$A$6:$AU$89,21,0)</f>
        <v>0</v>
      </c>
    </row>
    <row r="22" spans="1:3">
      <c r="A22" s="165" t="s">
        <v>291</v>
      </c>
      <c r="B22" s="165" t="str">
        <f>VLOOKUP(A22,[15]LISTADHERENT!A$5:H$101,3,0)</f>
        <v>FOTSO Appolinaire</v>
      </c>
      <c r="C22" s="262">
        <f>VLOOKUP(A22,[7]MVTRESUME22!$A$6:$AU$89,21,0)</f>
        <v>0</v>
      </c>
    </row>
    <row r="23" spans="1:3">
      <c r="A23" s="165" t="s">
        <v>292</v>
      </c>
      <c r="B23" s="165" t="str">
        <f>VLOOKUP(A23,[15]LISTADHERENT!A$5:H$101,3,0)</f>
        <v>FOUTE MARIE LAURE</v>
      </c>
      <c r="C23" s="262">
        <f>VLOOKUP(A23,[7]MVTRESUME22!$A$6:$AU$89,21,0)</f>
        <v>0</v>
      </c>
    </row>
    <row r="24" spans="1:3">
      <c r="A24" s="165" t="s">
        <v>293</v>
      </c>
      <c r="B24" s="165" t="str">
        <f>VLOOKUP(A24,[15]LISTADHERENT!A$5:H$101,3,0)</f>
        <v>FUMBA TAHO ROLAND</v>
      </c>
      <c r="C24" s="262">
        <f>VLOOKUP(A24,[7]MVTRESUME22!$A$6:$AU$89,21,0)</f>
        <v>496000</v>
      </c>
    </row>
    <row r="25" spans="1:3">
      <c r="A25" s="165" t="s">
        <v>294</v>
      </c>
      <c r="B25" s="165" t="str">
        <f>VLOOKUP(A25,[15]LISTADHERENT!A$5:H$101,3,0)</f>
        <v>KAMGA JOSEPH</v>
      </c>
      <c r="C25" s="262">
        <f>VLOOKUP(A25,[7]MVTRESUME22!$A$6:$AU$89,21,0)</f>
        <v>0</v>
      </c>
    </row>
    <row r="26" spans="1:3">
      <c r="A26" s="165" t="s">
        <v>295</v>
      </c>
      <c r="B26" s="165" t="str">
        <f>VLOOKUP(A26,[15]LISTADHERENT!A$5:H$101,3,0)</f>
        <v>KAMGAING ENERSTINE Epse NOAH</v>
      </c>
      <c r="C26" s="262">
        <f>VLOOKUP(A26,[7]MVTRESUME22!$A$6:$AU$89,21,0)</f>
        <v>0</v>
      </c>
    </row>
    <row r="27" spans="1:3">
      <c r="A27" s="165" t="s">
        <v>296</v>
      </c>
      <c r="B27" s="165" t="str">
        <f>VLOOKUP(A27,[15]LISTADHERENT!A$5:H$101,3,0)</f>
        <v>KAMGANG Samuel</v>
      </c>
      <c r="C27" s="262">
        <f>VLOOKUP(A27,[7]MVTRESUME22!$A$6:$AU$89,21,0)</f>
        <v>0</v>
      </c>
    </row>
    <row r="28" spans="1:3">
      <c r="A28" s="165" t="s">
        <v>297</v>
      </c>
      <c r="B28" s="165" t="str">
        <f>VLOOKUP(A28,[15]LISTADHERENT!A$5:H$101,3,0)</f>
        <v>KAMGUEM NONO Carole</v>
      </c>
      <c r="C28" s="262">
        <f>VLOOKUP(A28,[7]MVTRESUME22!$A$6:$AU$89,21,0)</f>
        <v>0</v>
      </c>
    </row>
    <row r="29" spans="1:3">
      <c r="A29" s="165" t="s">
        <v>298</v>
      </c>
      <c r="B29" s="165" t="str">
        <f>VLOOKUP(A29,[15]LISTADHERENT!A$5:H$101,3,0)</f>
        <v>KAMNO</v>
      </c>
      <c r="C29" s="262">
        <f>VLOOKUP(A29,[7]MVTRESUME22!$A$6:$AU$89,21,0)</f>
        <v>0</v>
      </c>
    </row>
    <row r="30" spans="1:3">
      <c r="A30" s="165" t="s">
        <v>355</v>
      </c>
      <c r="B30" s="165" t="str">
        <f>VLOOKUP(A30,[15]LISTADHERENT!A$5:H$101,3,0)</f>
        <v>KAMTA ETIENNE</v>
      </c>
      <c r="C30" s="262">
        <f>VLOOKUP(A30,[7]MVTRESUME22!$A$6:$AU$89,21,0)</f>
        <v>0</v>
      </c>
    </row>
    <row r="31" spans="1:3">
      <c r="A31" s="165" t="s">
        <v>299</v>
      </c>
      <c r="B31" s="165" t="str">
        <f>VLOOKUP(A31,[15]LISTADHERENT!A$5:H$101,3,0)</f>
        <v>KANKEU FOTSING CHRETIEN</v>
      </c>
      <c r="C31" s="262">
        <f>VLOOKUP(A31,[7]MVTRESUME22!$A$6:$AU$89,21,0)</f>
        <v>0</v>
      </c>
    </row>
    <row r="32" spans="1:3">
      <c r="A32" s="165" t="s">
        <v>356</v>
      </c>
      <c r="B32" s="165" t="str">
        <f>VLOOKUP(A32,[15]LISTADHERENT!A$5:H$101,3,0)</f>
        <v>KEMADJOU ELISEE</v>
      </c>
      <c r="C32" s="262">
        <f>VLOOKUP(A32,[7]MVTRESUME22!$A$6:$AU$89,21,0)</f>
        <v>0</v>
      </c>
    </row>
    <row r="33" spans="1:3">
      <c r="A33" s="165" t="s">
        <v>357</v>
      </c>
      <c r="B33" s="165" t="str">
        <f>VLOOKUP(A33,[15]LISTADHERENT!A$5:H$101,3,0)</f>
        <v>KENGNE BASILE BERTIN</v>
      </c>
      <c r="C33" s="262">
        <f>VLOOKUP(A33,[7]MVTRESUME22!$A$6:$AU$89,21,0)</f>
        <v>0</v>
      </c>
    </row>
    <row r="34" spans="1:3">
      <c r="A34" s="165" t="s">
        <v>300</v>
      </c>
      <c r="B34" s="165" t="str">
        <f>VLOOKUP(A34,[15]LISTADHERENT!A$5:H$101,3,0)</f>
        <v>KOLOKO Julienne</v>
      </c>
      <c r="C34" s="262">
        <f>VLOOKUP(A34,[7]MVTRESUME22!$A$6:$AU$89,21,0)</f>
        <v>0</v>
      </c>
    </row>
    <row r="35" spans="1:3">
      <c r="A35" s="165" t="s">
        <v>358</v>
      </c>
      <c r="B35" s="165" t="str">
        <f>VLOOKUP(A35,[15]LISTADHERENT!A$5:H$101,3,0)</f>
        <v>KUETE KENFACK MARCELIN</v>
      </c>
      <c r="C35" s="262">
        <f>VLOOKUP(A35,[7]MVTRESUME22!$A$6:$AU$89,21,0)</f>
        <v>0</v>
      </c>
    </row>
    <row r="36" spans="1:3">
      <c r="A36" s="165" t="s">
        <v>359</v>
      </c>
      <c r="B36" s="165" t="str">
        <f>VLOOKUP(A36,[15]LISTADHERENT!A$5:H$101,3,0)</f>
        <v>LAMBO Elie</v>
      </c>
      <c r="C36" s="262">
        <f>VLOOKUP(A36,[7]MVTRESUME22!$A$6:$AU$89,21,0)</f>
        <v>0</v>
      </c>
    </row>
    <row r="37" spans="1:3">
      <c r="A37" s="167" t="s">
        <v>301</v>
      </c>
      <c r="B37" s="165" t="str">
        <f>VLOOKUP(A37,[15]LISTADHERENT!A$5:H$101,3,0)</f>
        <v>LEBO WOTO</v>
      </c>
      <c r="C37" s="262">
        <f>VLOOKUP(A37,[7]MVTRESUME22!$A$6:$AU$89,21,0)</f>
        <v>0</v>
      </c>
    </row>
    <row r="38" spans="1:3">
      <c r="A38" s="165" t="s">
        <v>302</v>
      </c>
      <c r="B38" s="165" t="str">
        <f>VLOOKUP(A38,[15]LISTADHERENT!A$5:H$101,3,0)</f>
        <v>MEGAPTCHE J Jules</v>
      </c>
      <c r="C38" s="262">
        <f>VLOOKUP(A38,[7]MVTRESUME22!$A$6:$AU$89,21,0)</f>
        <v>0</v>
      </c>
    </row>
    <row r="39" spans="1:3">
      <c r="A39" s="165" t="s">
        <v>303</v>
      </c>
      <c r="B39" s="165" t="str">
        <f>VLOOKUP(A39,[15]LISTADHERENT!A$5:H$101,3,0)</f>
        <v>MGBORON ISSIAKA</v>
      </c>
      <c r="C39" s="262">
        <f>VLOOKUP(A39,[7]MVTRESUME22!$A$6:$AU$89,21,0)</f>
        <v>0</v>
      </c>
    </row>
    <row r="40" spans="1:3">
      <c r="A40" s="165" t="s">
        <v>360</v>
      </c>
      <c r="B40" s="165" t="str">
        <f>VLOOKUP(A40,[15]LISTADHERENT!A$5:H$101,3,0)</f>
        <v>MOMENI FIDELE</v>
      </c>
      <c r="C40" s="262">
        <f>VLOOKUP(A40,[7]MVTRESUME22!$A$6:$AU$89,21,0)</f>
        <v>0</v>
      </c>
    </row>
    <row r="41" spans="1:3">
      <c r="A41" s="165" t="s">
        <v>304</v>
      </c>
      <c r="B41" s="165" t="str">
        <f>VLOOKUP(A41,[15]LISTADHERENT!A$5:H$101,3,0)</f>
        <v>MONKAM VINCENT</v>
      </c>
      <c r="C41" s="262">
        <f>VLOOKUP(A41,[7]MVTRESUME22!$A$6:$AU$89,21,0)</f>
        <v>0</v>
      </c>
    </row>
    <row r="42" spans="1:3">
      <c r="A42" s="165" t="s">
        <v>305</v>
      </c>
      <c r="B42" s="165" t="str">
        <f>VLOOKUP(A42,[15]LISTADHERENT!A$5:H$101,3,0)</f>
        <v>MVOLA ANTOINETTE NEE NJOMOU</v>
      </c>
      <c r="C42" s="262">
        <f>VLOOKUP(A42,[7]MVTRESUME22!$A$6:$AU$89,21,0)</f>
        <v>0</v>
      </c>
    </row>
    <row r="43" spans="1:3">
      <c r="A43" s="165" t="s">
        <v>306</v>
      </c>
      <c r="B43" s="165" t="str">
        <f>VLOOKUP(A43,[15]LISTADHERENT!A$5:H$101,3,0)</f>
        <v xml:space="preserve">NANA Raymond </v>
      </c>
      <c r="C43" s="262">
        <f>VLOOKUP(A43,[7]MVTRESUME22!$A$6:$AU$89,21,0)</f>
        <v>0</v>
      </c>
    </row>
    <row r="44" spans="1:3">
      <c r="A44" s="165" t="s">
        <v>307</v>
      </c>
      <c r="B44" s="165" t="str">
        <f>VLOOKUP(A44,[15]LISTADHERENT!A$5:H$101,3,0)</f>
        <v>NDANGA MATHIEU</v>
      </c>
      <c r="C44" s="262">
        <f>VLOOKUP(A44,[7]MVTRESUME22!$A$6:$AU$89,21,0)</f>
        <v>0</v>
      </c>
    </row>
    <row r="45" spans="1:3">
      <c r="A45" s="165" t="s">
        <v>308</v>
      </c>
      <c r="B45" s="165" t="str">
        <f>VLOOKUP(A45,[15]LISTADHERENT!A$5:H$101,3,0)</f>
        <v>NDEFO Pierre Paul</v>
      </c>
      <c r="C45" s="262">
        <f>VLOOKUP(A45,[7]MVTRESUME22!$A$6:$AU$89,21,0)</f>
        <v>0</v>
      </c>
    </row>
    <row r="46" spans="1:3">
      <c r="A46" s="165" t="s">
        <v>309</v>
      </c>
      <c r="B46" s="165" t="str">
        <f>VLOOKUP(A46,[15]LISTADHERENT!A$5:H$101,3,0)</f>
        <v>NDEUKA Celine</v>
      </c>
      <c r="C46" s="262">
        <f>VLOOKUP(A46,[7]MVTRESUME22!$A$6:$AU$89,21,0)</f>
        <v>0</v>
      </c>
    </row>
    <row r="47" spans="1:3">
      <c r="A47" s="165" t="s">
        <v>310</v>
      </c>
      <c r="B47" s="165" t="str">
        <f>VLOOKUP(A47,[15]LISTADHERENT!A$5:H$101,3,0)</f>
        <v>NEWO KATOU BLAISE</v>
      </c>
      <c r="C47" s="262">
        <f>VLOOKUP(A47,[7]MVTRESUME22!$A$6:$AU$89,21,0)</f>
        <v>0</v>
      </c>
    </row>
    <row r="48" spans="1:3">
      <c r="A48" s="165" t="s">
        <v>311</v>
      </c>
      <c r="B48" s="165" t="str">
        <f>VLOOKUP(A48,[15]LISTADHERENT!A$5:H$101,3,0)</f>
        <v>NFANKWE Patrice</v>
      </c>
      <c r="C48" s="262">
        <f>VLOOKUP(A48,[7]MVTRESUME22!$A$6:$AU$89,21,0)</f>
        <v>0</v>
      </c>
    </row>
    <row r="49" spans="1:3">
      <c r="A49" s="167" t="s">
        <v>312</v>
      </c>
      <c r="B49" s="165" t="str">
        <f>VLOOKUP(A49,[15]LISTADHERENT!A$5:H$101,3,0)</f>
        <v>NGANDIMOUN IDRISSOU</v>
      </c>
      <c r="C49" s="262">
        <f>VLOOKUP(A49,[7]MVTRESUME22!$A$6:$AU$89,21,0)</f>
        <v>0</v>
      </c>
    </row>
    <row r="50" spans="1:3">
      <c r="A50" s="165" t="s">
        <v>313</v>
      </c>
      <c r="B50" s="165" t="str">
        <f>VLOOKUP(A50,[15]LISTADHERENT!A$5:H$101,3,0)</f>
        <v>NGATAT JEAN MARIE</v>
      </c>
      <c r="C50" s="262">
        <f>VLOOKUP(A50,[7]MVTRESUME22!$A$6:$AU$89,21,0)</f>
        <v>0</v>
      </c>
    </row>
    <row r="51" spans="1:3">
      <c r="A51" s="165" t="s">
        <v>314</v>
      </c>
      <c r="B51" s="165" t="str">
        <f>VLOOKUP(A51,[15]LISTADHERENT!A$5:H$101,3,0)</f>
        <v>NGOUNOU MICHEL</v>
      </c>
      <c r="C51" s="262">
        <f>VLOOKUP(A51,[7]MVTRESUME22!$A$6:$AU$89,21,0)</f>
        <v>0</v>
      </c>
    </row>
    <row r="52" spans="1:3">
      <c r="A52" s="165" t="s">
        <v>315</v>
      </c>
      <c r="B52" s="165" t="str">
        <f>VLOOKUP(A52,[15]LISTADHERENT!A$5:H$101,3,0)</f>
        <v>NJIKI Azaria</v>
      </c>
      <c r="C52" s="262">
        <f>VLOOKUP(A52,[7]MVTRESUME22!$A$6:$AU$89,21,0)</f>
        <v>0</v>
      </c>
    </row>
    <row r="53" spans="1:3">
      <c r="A53" s="165" t="s">
        <v>316</v>
      </c>
      <c r="B53" s="165" t="str">
        <f>VLOOKUP(A53,[15]LISTADHERENT!A$5:H$101,3,0)</f>
        <v>NOMBO Sakio</v>
      </c>
      <c r="C53" s="262">
        <f>VLOOKUP(A53,[7]MVTRESUME22!$A$6:$AU$89,21,0)</f>
        <v>0</v>
      </c>
    </row>
    <row r="54" spans="1:3">
      <c r="A54" s="165" t="s">
        <v>361</v>
      </c>
      <c r="B54" s="165" t="str">
        <f>VLOOKUP(A54,[15]LISTADHERENT!A$5:H$101,3,0)</f>
        <v>NOUGNIHI Jonas</v>
      </c>
      <c r="C54" s="262">
        <f>VLOOKUP(A54,[7]MVTRESUME22!$A$6:$AU$89,21,0)</f>
        <v>0</v>
      </c>
    </row>
    <row r="55" spans="1:3">
      <c r="A55" s="165" t="s">
        <v>317</v>
      </c>
      <c r="B55" s="165" t="str">
        <f>VLOOKUP(A55,[15]LISTADHERENT!A$5:H$101,3,0)</f>
        <v>NOUKIATCHOM SATCHE RODRIQUE</v>
      </c>
      <c r="C55" s="262">
        <f>VLOOKUP(A55,[7]MVTRESUME22!$A$6:$AU$89,21,0)</f>
        <v>0</v>
      </c>
    </row>
    <row r="56" spans="1:3">
      <c r="A56" s="167" t="s">
        <v>318</v>
      </c>
      <c r="B56" s="165" t="str">
        <f>VLOOKUP(A56,[15]LISTADHERENT!A$5:H$101,3,0)</f>
        <v>NOUNKWA BIADJANG</v>
      </c>
      <c r="C56" s="262">
        <f>VLOOKUP(A56,[7]MVTRESUME22!$A$6:$AU$89,21,0)</f>
        <v>0</v>
      </c>
    </row>
    <row r="57" spans="1:3">
      <c r="A57" s="167" t="s">
        <v>319</v>
      </c>
      <c r="B57" s="165" t="str">
        <f>VLOOKUP(A57,[15]LISTADHERENT!A$5:H$101,3,0)</f>
        <v>TCHOUMBA EPSE ONDJA'A</v>
      </c>
      <c r="C57" s="262">
        <f>VLOOKUP(A57,[7]MVTRESUME22!$A$6:$AU$89,21,0)</f>
        <v>0</v>
      </c>
    </row>
    <row r="58" spans="1:3">
      <c r="A58" s="167" t="s">
        <v>320</v>
      </c>
      <c r="B58" s="165" t="str">
        <f>VLOOKUP(A58,[15]LISTADHERENT!A$5:H$101,3,0)</f>
        <v>PAFOUYOUOM NSANGOU</v>
      </c>
      <c r="C58" s="262">
        <f>VLOOKUP(A58,[7]MVTRESUME22!$A$6:$AU$89,21,0)</f>
        <v>0</v>
      </c>
    </row>
    <row r="59" spans="1:3">
      <c r="A59" s="165" t="s">
        <v>321</v>
      </c>
      <c r="B59" s="165" t="str">
        <f>VLOOKUP(A59,[15]LISTADHERENT!A$5:H$101,3,0)</f>
        <v xml:space="preserve">POSSI Didier </v>
      </c>
      <c r="C59" s="262">
        <f>VLOOKUP(A59,[7]MVTRESUME22!$A$6:$AU$89,21,0)</f>
        <v>0</v>
      </c>
    </row>
    <row r="60" spans="1:3">
      <c r="A60" s="165" t="s">
        <v>362</v>
      </c>
      <c r="B60" s="165" t="str">
        <f>VLOOKUP(A60,[15]LISTADHERENT!A$5:H$101,3,0)</f>
        <v>SANGANG  Martin</v>
      </c>
      <c r="C60" s="262">
        <f>VLOOKUP(A60,[7]MVTRESUME22!$A$6:$AU$89,21,0)</f>
        <v>0</v>
      </c>
    </row>
    <row r="61" spans="1:3">
      <c r="A61" s="165" t="s">
        <v>363</v>
      </c>
      <c r="B61" s="165" t="str">
        <f>VLOOKUP(A61,[15]LISTADHERENT!A$5:H$101,3,0)</f>
        <v>SAPE MAURICE</v>
      </c>
      <c r="C61" s="262">
        <f>VLOOKUP(A61,[7]MVTRESUME22!$A$6:$AU$89,21,0)</f>
        <v>0</v>
      </c>
    </row>
    <row r="62" spans="1:3">
      <c r="A62" s="165" t="s">
        <v>364</v>
      </c>
      <c r="B62" s="165" t="str">
        <f>VLOOKUP(A62,[15]LISTADHERENT!A$5:H$101,3,0)</f>
        <v>SINDJOU NGUEMEN GRACE</v>
      </c>
      <c r="C62" s="262">
        <f>VLOOKUP(A62,[7]MVTRESUME22!$A$6:$AU$89,21,0)</f>
        <v>0</v>
      </c>
    </row>
    <row r="63" spans="1:3">
      <c r="A63" s="165" t="s">
        <v>322</v>
      </c>
      <c r="B63" s="165" t="str">
        <f>VLOOKUP(A63,[15]LISTADHERENT!A$5:H$101,3,0)</f>
        <v>SOH HENRI</v>
      </c>
      <c r="C63" s="262">
        <f>VLOOKUP(A63,[7]MVTRESUME22!$A$6:$AU$89,21,0)</f>
        <v>0</v>
      </c>
    </row>
    <row r="64" spans="1:3">
      <c r="A64" s="165" t="s">
        <v>323</v>
      </c>
      <c r="B64" s="165" t="str">
        <f>VLOOKUP(A64,[15]LISTADHERENT!A$5:H$101,3,0)</f>
        <v>SOKAMTE Fidel</v>
      </c>
      <c r="C64" s="262">
        <f>VLOOKUP(A64,[7]MVTRESUME22!$A$6:$AU$89,21,0)</f>
        <v>0</v>
      </c>
    </row>
    <row r="65" spans="1:3">
      <c r="A65" s="165" t="s">
        <v>324</v>
      </c>
      <c r="B65" s="165" t="str">
        <f>VLOOKUP(A65,[15]LISTADHERENT!A$5:H$101,3,0)</f>
        <v>TAKOUGOUM  JEAN CLAUDE</v>
      </c>
      <c r="C65" s="262">
        <f>VLOOKUP(A65,[7]MVTRESUME22!$A$6:$AU$89,21,0)</f>
        <v>0</v>
      </c>
    </row>
    <row r="66" spans="1:3">
      <c r="A66" s="165" t="s">
        <v>325</v>
      </c>
      <c r="B66" s="165" t="str">
        <f>VLOOKUP(A66,[15]LISTADHERENT!A$5:H$101,3,0)</f>
        <v>TATUE FOPA Jean</v>
      </c>
      <c r="C66" s="262">
        <f>VLOOKUP(A66,[7]MVTRESUME22!$A$6:$AU$89,21,0)</f>
        <v>0</v>
      </c>
    </row>
    <row r="67" spans="1:3">
      <c r="A67" s="165" t="s">
        <v>348</v>
      </c>
      <c r="B67" s="165" t="str">
        <f>VLOOKUP(A67,[15]LISTADHERENT!A$5:H$101,3,0)</f>
        <v>TCHAMO BERNARD</v>
      </c>
      <c r="C67" s="262">
        <f>VLOOKUP(A67,[7]MVTRESUME22!$A$6:$AU$89,21,0)</f>
        <v>0</v>
      </c>
    </row>
    <row r="68" spans="1:3">
      <c r="A68" s="165" t="s">
        <v>326</v>
      </c>
      <c r="B68" s="165" t="str">
        <f>VLOOKUP(A68,[15]LISTADHERENT!A$5:H$101,3,0)</f>
        <v>TCHANANG SYLVAIN</v>
      </c>
      <c r="C68" s="262">
        <f>VLOOKUP(A68,[7]MVTRESUME22!$A$6:$AU$89,21,0)</f>
        <v>0</v>
      </c>
    </row>
    <row r="69" spans="1:3">
      <c r="A69" s="165" t="s">
        <v>327</v>
      </c>
      <c r="B69" s="165" t="str">
        <f>VLOOKUP(A69,[15]LISTADHERENT!A$5:H$101,3,0)</f>
        <v>TCHAPTCHET DESIREE</v>
      </c>
      <c r="C69" s="262">
        <f>VLOOKUP(A69,[7]MVTRESUME22!$A$6:$AU$89,21,0)</f>
        <v>0</v>
      </c>
    </row>
    <row r="70" spans="1:3">
      <c r="A70" s="165" t="s">
        <v>328</v>
      </c>
      <c r="B70" s="165" t="str">
        <f>VLOOKUP(A70,[15]LISTADHERENT!A$5:H$101,3,0)</f>
        <v>TCHI  ROBERT</v>
      </c>
      <c r="C70" s="262">
        <f>VLOOKUP(A70,[7]MVTRESUME22!$A$6:$AU$89,21,0)</f>
        <v>0</v>
      </c>
    </row>
    <row r="71" spans="1:3">
      <c r="A71" s="165" t="s">
        <v>329</v>
      </c>
      <c r="B71" s="165" t="str">
        <f>VLOOKUP(A71,[15]LISTADHERENT!A$5:H$101,3,0)</f>
        <v>TCHIO André</v>
      </c>
      <c r="C71" s="262">
        <f>VLOOKUP(A71,[7]MVTRESUME22!$A$6:$AU$89,21,0)</f>
        <v>0</v>
      </c>
    </row>
    <row r="72" spans="1:3">
      <c r="A72" s="167" t="s">
        <v>365</v>
      </c>
      <c r="B72" s="165" t="str">
        <f>VLOOKUP(A72,[15]LISTADHERENT!A$5:H$101,3,0)</f>
        <v xml:space="preserve">TCHOUADEU  Christophe </v>
      </c>
      <c r="C72" s="262">
        <f>VLOOKUP(A72,[7]MVTRESUME22!$A$6:$AU$89,21,0)</f>
        <v>0</v>
      </c>
    </row>
    <row r="73" spans="1:3">
      <c r="A73" s="165" t="s">
        <v>330</v>
      </c>
      <c r="B73" s="165" t="str">
        <f>VLOOKUP(A73,[15]LISTADHERENT!A$5:H$101,3,0)</f>
        <v xml:space="preserve">TCHOUTIO Léopold </v>
      </c>
      <c r="C73" s="262">
        <f>VLOOKUP(A73,[7]MVTRESUME22!$A$6:$AU$89,21,0)</f>
        <v>0</v>
      </c>
    </row>
    <row r="74" spans="1:3">
      <c r="A74" s="165" t="s">
        <v>331</v>
      </c>
      <c r="B74" s="165" t="str">
        <f>VLOOKUP(A74,[15]LISTADHERENT!A$5:H$101,3,0)</f>
        <v xml:space="preserve">TCHUENTE Ingrid </v>
      </c>
      <c r="C74" s="262">
        <f>VLOOKUP(A74,[7]MVTRESUME22!$A$6:$AU$89,21,0)</f>
        <v>0</v>
      </c>
    </row>
    <row r="75" spans="1:3">
      <c r="A75" s="165" t="s">
        <v>332</v>
      </c>
      <c r="B75" s="165" t="str">
        <f>VLOOKUP(A75,[15]LISTADHERENT!A$5:H$101,3,0)</f>
        <v xml:space="preserve">TCHUENTE Léopold </v>
      </c>
      <c r="C75" s="262">
        <f>VLOOKUP(A75,[7]MVTRESUME22!$A$6:$AU$89,21,0)</f>
        <v>0</v>
      </c>
    </row>
    <row r="76" spans="1:3">
      <c r="A76" s="165" t="s">
        <v>333</v>
      </c>
      <c r="B76" s="165" t="str">
        <f>VLOOKUP(A76,[15]LISTADHERENT!A$5:H$101,3,0)</f>
        <v>TCHUENTE Philotée</v>
      </c>
      <c r="C76" s="262">
        <f>VLOOKUP(A76,[7]MVTRESUME22!$A$6:$AU$89,21,0)</f>
        <v>0</v>
      </c>
    </row>
    <row r="77" spans="1:3">
      <c r="A77" s="165" t="s">
        <v>334</v>
      </c>
      <c r="B77" s="165" t="str">
        <f>VLOOKUP(A77,[15]LISTADHERENT!A$5:H$101,3,0)</f>
        <v>TCHUIDJASSI MANFRED</v>
      </c>
      <c r="C77" s="262">
        <f>VLOOKUP(A77,[7]MVTRESUME22!$A$6:$AU$89,21,0)</f>
        <v>0</v>
      </c>
    </row>
    <row r="78" spans="1:3">
      <c r="A78" s="165" t="s">
        <v>335</v>
      </c>
      <c r="B78" s="165" t="str">
        <f>VLOOKUP(A78,[15]LISTADHERENT!A$5:H$101,3,0)</f>
        <v>TCHUIKWA SYLVAIN</v>
      </c>
      <c r="C78" s="262">
        <f>VLOOKUP(A78,[7]MVTRESUME22!$A$6:$AU$89,21,0)</f>
        <v>0</v>
      </c>
    </row>
    <row r="79" spans="1:3">
      <c r="A79" s="165" t="s">
        <v>336</v>
      </c>
      <c r="B79" s="165" t="str">
        <f>VLOOKUP(A79,[15]LISTADHERENT!A$5:H$101,3,0)</f>
        <v>TENKAM Nicolas</v>
      </c>
      <c r="C79" s="262">
        <f>VLOOKUP(A79,[7]MVTRESUME22!$A$6:$AU$89,21,0)</f>
        <v>0</v>
      </c>
    </row>
    <row r="80" spans="1:3">
      <c r="A80" s="167" t="s">
        <v>337</v>
      </c>
      <c r="B80" s="165" t="str">
        <f>VLOOKUP(A80,[15]LISTADHERENT!A$5:H$101,3,0)</f>
        <v>TOMFEU JEAN PIERRE</v>
      </c>
      <c r="C80" s="262">
        <f>VLOOKUP(A80,[7]MVTRESUME22!$A$6:$AU$89,21,0)</f>
        <v>0</v>
      </c>
    </row>
    <row r="81" spans="1:3">
      <c r="A81" s="165" t="s">
        <v>338</v>
      </c>
      <c r="B81" s="165" t="str">
        <f>VLOOKUP(A81,[15]LISTADHERENT!A$5:H$101,3,0)</f>
        <v>TONGA Jules Calvin</v>
      </c>
      <c r="C81" s="262">
        <f>VLOOKUP(A81,[7]MVTRESUME22!$A$6:$AU$89,21,0)</f>
        <v>0</v>
      </c>
    </row>
    <row r="82" spans="1:3">
      <c r="A82" s="165" t="s">
        <v>366</v>
      </c>
      <c r="B82" s="165" t="str">
        <f>VLOOKUP(A82,[15]LISTADHERENT!A$5:H$101,3,0)</f>
        <v>TOUKAM ELVIS</v>
      </c>
      <c r="C82" s="262">
        <f>VLOOKUP(A82,[7]MVTRESUME22!$A$6:$AU$89,21,0)</f>
        <v>0</v>
      </c>
    </row>
    <row r="83" spans="1:3">
      <c r="A83" s="165" t="s">
        <v>339</v>
      </c>
      <c r="B83" s="165" t="str">
        <f>VLOOKUP(A83,[15]LISTADHERENT!A$5:H$101,3,0)</f>
        <v>TSEMEU  JOEL</v>
      </c>
      <c r="C83" s="262">
        <f>VLOOKUP(A83,[7]MVTRESUME22!$A$6:$AU$89,21,0)</f>
        <v>0</v>
      </c>
    </row>
    <row r="84" spans="1:3">
      <c r="A84" s="165" t="s">
        <v>340</v>
      </c>
      <c r="B84" s="165" t="str">
        <f>VLOOKUP(A84,[15]LISTADHERENT!A$5:H$101,3,0)</f>
        <v xml:space="preserve">WASO TCHIO GEORGES </v>
      </c>
      <c r="C84" s="262">
        <f>VLOOKUP(A84,[7]MVTRESUME22!$A$6:$AU$89,21,0)</f>
        <v>0</v>
      </c>
    </row>
    <row r="85" spans="1:3">
      <c r="A85" s="165" t="s">
        <v>341</v>
      </c>
      <c r="B85" s="165" t="str">
        <f>VLOOKUP(A85,[15]LISTADHERENT!A$5:H$101,3,0)</f>
        <v>WATA Blaise</v>
      </c>
      <c r="C85" s="262">
        <f>VLOOKUP(A85,[7]MVTRESUME22!$A$6:$AU$89,21,0)</f>
        <v>18500</v>
      </c>
    </row>
    <row r="86" spans="1:3">
      <c r="A86" s="165" t="s">
        <v>342</v>
      </c>
      <c r="B86" s="165" t="str">
        <f>VLOOKUP(A86,[15]LISTADHERENT!A$5:H$101,3,0)</f>
        <v>WETOUMDU ERNEST</v>
      </c>
      <c r="C86" s="262">
        <f>VLOOKUP(A86,[7]MVTRESUME22!$A$6:$AU$89,21,0)</f>
        <v>0</v>
      </c>
    </row>
    <row r="87" spans="1:3">
      <c r="A87" s="165" t="s">
        <v>343</v>
      </c>
      <c r="B87" s="165" t="str">
        <f>VLOOKUP(A87,[15]LISTADHERENT!A$5:H$101,3,0)</f>
        <v>YOUALEU MICHEL</v>
      </c>
      <c r="C87" s="262">
        <f>VLOOKUP(A87,[7]MVTRESUME22!$A$6:$AU$89,21,0)</f>
        <v>0</v>
      </c>
    </row>
    <row r="88" spans="1:3">
      <c r="A88" s="165" t="s">
        <v>344</v>
      </c>
      <c r="B88" s="165" t="str">
        <f>VLOOKUP(A88,[15]LISTADHERENT!A$5:H$101,3,0)</f>
        <v>YOUMBI LEONARD</v>
      </c>
      <c r="C88" s="262">
        <f>VLOOKUP(A88,[7]MVTRESUME22!$A$6:$AU$89,21,0)</f>
        <v>0</v>
      </c>
    </row>
    <row r="89" spans="1:3">
      <c r="A89" s="165" t="s">
        <v>367</v>
      </c>
      <c r="B89" s="165" t="str">
        <f>VLOOKUP(A89,[15]LISTADHERENT!A$5:H$101,3,0)</f>
        <v>TALAK</v>
      </c>
      <c r="C89" s="262">
        <f>VLOOKUP(A89,[7]MVTRESUME22!$A$6:$AU$89,21,0)</f>
        <v>0</v>
      </c>
    </row>
    <row r="90" spans="1:3">
      <c r="A90" s="165" t="s">
        <v>368</v>
      </c>
      <c r="B90" s="165" t="str">
        <f>VLOOKUP(A90,[15]LISTADHERENT!A$5:H$101,3,0)</f>
        <v>TODJOM INNOCENT</v>
      </c>
      <c r="C90" s="262">
        <f>VLOOKUP(A90,[7]MVTRESUME22!$A$6:$AU$89,21,0)</f>
        <v>0</v>
      </c>
    </row>
    <row r="91" spans="1:3">
      <c r="A91" s="165" t="s">
        <v>369</v>
      </c>
      <c r="B91" s="165" t="str">
        <f>VLOOKUP(A91,[15]LISTADHERENT!A$5:H$101,3,0)</f>
        <v>NGAHA FONDJA</v>
      </c>
      <c r="C91" s="262">
        <f>VLOOKUP(A91,[7]MVTRESUME22!$A$6:$AU$89,21,0)</f>
        <v>0</v>
      </c>
    </row>
    <row r="92" spans="1:3">
      <c r="A92" s="165"/>
      <c r="B92" s="165"/>
    </row>
    <row r="93" spans="1:3" ht="18">
      <c r="A93" s="263" t="s">
        <v>20</v>
      </c>
      <c r="B93" s="263"/>
      <c r="C93" s="192">
        <f>SUM(C8:C92)</f>
        <v>617000</v>
      </c>
    </row>
  </sheetData>
  <mergeCells count="2">
    <mergeCell ref="A1:D1"/>
    <mergeCell ref="A6:E6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V83"/>
  <sheetViews>
    <sheetView zoomScaleNormal="100" workbookViewId="0">
      <pane xSplit="4" ySplit="5" topLeftCell="V18" activePane="bottomRight" state="frozen"/>
      <selection pane="topRight" activeCell="E1" sqref="E1"/>
      <selection pane="bottomLeft" activeCell="A6" sqref="A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9" x14ac:dyDescent="0.25">
      <c r="A1" s="1" t="s">
        <v>2</v>
      </c>
      <c r="B1" s="1" t="s">
        <v>3</v>
      </c>
      <c r="C1" s="1"/>
    </row>
    <row r="2" spans="1:69" x14ac:dyDescent="0.25">
      <c r="A2" s="1" t="s">
        <v>4</v>
      </c>
      <c r="B2" s="1">
        <v>2023</v>
      </c>
      <c r="C2" s="1"/>
    </row>
    <row r="3" spans="1:69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9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9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VLOOKUP(A6,[18]HISTOBQUEJANV23!$A$6:$G$44,3,0)</f>
        <v>175000</v>
      </c>
      <c r="E6" s="9">
        <f>VLOOKUP(A6,[18]HISTOBQUEJANV23!$A$6:$G$39,4,0)</f>
        <v>0</v>
      </c>
      <c r="F6" s="9">
        <f>VLOOKUP(A6,[18]HISTOBQUEJANV23!$A$6:$G$39,5,0)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0"/>
      <c r="Q6" s="2"/>
      <c r="R6" s="20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106000</v>
      </c>
      <c r="BF6" s="29">
        <f t="shared" ref="BF6:BF36" si="6">Z6*1/100*BG6</f>
        <v>0</v>
      </c>
      <c r="BG6" s="29">
        <v>11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9" ht="18.75" x14ac:dyDescent="0.3">
      <c r="A7" s="1" t="s">
        <v>161</v>
      </c>
      <c r="B7" s="1" t="str">
        <f>VLOOKUP(A7,[17]LISTADHERENT!A$5:H$39,3,0)</f>
        <v>BAKOP ACHILLE</v>
      </c>
      <c r="C7" s="9">
        <f t="shared" si="0"/>
        <v>0</v>
      </c>
      <c r="D7" s="9">
        <f>VLOOKUP(A7,[18]HISTOBQUEJANV23!$A$6:$G$44,3,0)</f>
        <v>0</v>
      </c>
      <c r="E7" s="9">
        <f>VLOOKUP(A7,[18]HISTOBQUEJANV23!$A$6:$G$39,4,0)</f>
        <v>104000</v>
      </c>
      <c r="F7" s="9">
        <f>VLOOKUP(A7,[18]HISTOBQUEJANV23!$A$6:$G$39,5,0)</f>
        <v>0</v>
      </c>
      <c r="G7" s="5">
        <f>IF(H7="ESPECES",3000,0)-3000</f>
        <v>0</v>
      </c>
      <c r="H7" s="10" t="str">
        <f t="shared" si="1"/>
        <v>ESPECES</v>
      </c>
      <c r="I7" s="10">
        <v>64000</v>
      </c>
      <c r="J7" s="11">
        <v>1</v>
      </c>
      <c r="K7" s="11">
        <f>IF($D7&lt;&gt;0,J7*40000,IF($E7&lt;&gt;0,J7*40000,0))</f>
        <v>40000</v>
      </c>
      <c r="L7" s="6"/>
      <c r="M7" s="11">
        <f t="shared" ref="M7" si="7">IF($D7&lt;&gt;0,L7*75000,IF($E7&lt;&gt;0,L7*75000,0))</f>
        <v>0</v>
      </c>
      <c r="N7" s="6"/>
      <c r="O7" s="11">
        <f t="shared" ref="O7" si="8">IF($D7&lt;&gt;0,N7*100000,IF($E7&lt;&gt;0,N7*100000,0))</f>
        <v>0</v>
      </c>
      <c r="P7" s="20"/>
      <c r="Q7" s="2"/>
      <c r="R7" s="20"/>
      <c r="S7" s="20"/>
      <c r="T7" s="12"/>
      <c r="U7" s="17">
        <f>G7+S7++R7+P7+O7+M7+I7+K7+Q7+V7+W7</f>
        <v>104000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9">IF(H7="ECHEC",0,(K7+I7-25000))</f>
        <v>79000</v>
      </c>
      <c r="AT7" s="15"/>
      <c r="AV7" s="15"/>
      <c r="AW7" s="15">
        <f t="shared" ref="AW7:AW36" si="10">IF(AC7=0,AI7,(1*25000*12)+AI7-AC7)</f>
        <v>0</v>
      </c>
      <c r="AX7" s="15">
        <f t="shared" ref="AX7:AX36" si="11">IF(AD7=0,AJ7,(1*75000*12)+(AJ7)-AD7)</f>
        <v>0</v>
      </c>
      <c r="AY7" s="15">
        <f t="shared" ref="AY7:AY36" si="12">IF(AE7=0,AK7,(1*100000*12)+(AK7)-AE7)</f>
        <v>0</v>
      </c>
      <c r="AZ7" s="16">
        <f t="shared" ref="AZ7:AZ36" si="13">SUM(AV7:AY7)-BF7+Z7-F7+BH7+BI7+BJ7+BK7+BL7+BM7</f>
        <v>0</v>
      </c>
      <c r="BA7" s="58"/>
      <c r="BB7" s="58"/>
      <c r="BC7" s="15"/>
      <c r="BD7" s="57">
        <f t="shared" ref="BD7:BD36" si="14">IF(AZ7=0,(AZ7-BA7-BC7),(AZ7-BA7-BB7-BC7))+F7</f>
        <v>0</v>
      </c>
      <c r="BE7" s="82"/>
      <c r="BF7" s="29">
        <f t="shared" si="6"/>
        <v>0</v>
      </c>
      <c r="BG7" s="29">
        <v>11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9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VLOOKUP(A8,[18]HISTOBQUEJANV23!$A$6:$G$44,3,0)</f>
        <v>105000</v>
      </c>
      <c r="E8" s="9">
        <f>VLOOKUP(A8,[18]HISTOBQUEJANV23!$A$6:$G$39,4,0)</f>
        <v>10000</v>
      </c>
      <c r="F8" s="9">
        <f>VLOOKUP(A8,[18]HISTOBQUEJANV23!$A$6:$G$39,5,0)</f>
        <v>0</v>
      </c>
      <c r="G8" s="5">
        <f t="shared" ref="G8:G36" si="15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6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0"/>
      <c r="Q8" s="2">
        <f>VLOOKUP(A8,[13]TONTJANV23!$A$7:$P$20,10,0)</f>
        <v>0</v>
      </c>
      <c r="R8" s="2"/>
      <c r="S8" s="20"/>
      <c r="T8" s="12"/>
      <c r="U8" s="17">
        <f t="shared" ref="U8:U36" si="17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9"/>
        <v>15000</v>
      </c>
      <c r="AT8" s="15"/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si="13"/>
        <v>0</v>
      </c>
      <c r="BA8" s="58"/>
      <c r="BB8" s="58"/>
      <c r="BC8" s="15"/>
      <c r="BD8" s="57">
        <f t="shared" si="14"/>
        <v>0</v>
      </c>
      <c r="BE8" s="82"/>
      <c r="BF8" s="29">
        <f t="shared" si="6"/>
        <v>0</v>
      </c>
      <c r="BG8" s="29">
        <v>11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9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VLOOKUP(A9,[18]HISTOBQUEJANV23!$A$6:$G$44,3,0)</f>
        <v>160000</v>
      </c>
      <c r="E9" s="9">
        <f>VLOOKUP(A9,[18]HISTOBQUEJANV23!$A$6:$G$39,4,0)</f>
        <v>0</v>
      </c>
      <c r="F9" s="9">
        <f>VLOOKUP(A9,[18]HISTOBQUEJANV23!$A$6:$G$39,5,0)+140000</f>
        <v>140000</v>
      </c>
      <c r="G9" s="5">
        <f t="shared" si="15"/>
        <v>0</v>
      </c>
      <c r="H9" s="10" t="str">
        <f t="shared" si="1"/>
        <v>BANQUE</v>
      </c>
      <c r="I9" s="10">
        <v>20000</v>
      </c>
      <c r="J9" s="11">
        <v>1</v>
      </c>
      <c r="K9" s="11">
        <f t="shared" si="16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0"/>
      <c r="Q9" s="2"/>
      <c r="R9" s="20"/>
      <c r="S9" s="20"/>
      <c r="T9" s="12"/>
      <c r="U9" s="17">
        <f t="shared" si="17"/>
        <v>160000</v>
      </c>
      <c r="V9" s="12"/>
      <c r="W9" s="12"/>
      <c r="X9" s="12"/>
      <c r="Y9" s="12"/>
      <c r="Z9" s="12"/>
      <c r="AA9" s="12"/>
      <c r="AB9" s="12"/>
      <c r="AC9" s="12">
        <v>45000</v>
      </c>
      <c r="AD9" s="12"/>
      <c r="AE9" s="12"/>
      <c r="AF9" s="12" t="s">
        <v>8</v>
      </c>
      <c r="AG9" s="12"/>
      <c r="AH9" s="12"/>
      <c r="AI9" s="12"/>
      <c r="AJ9" s="12"/>
      <c r="AK9" s="12">
        <v>50000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9"/>
        <v>35000</v>
      </c>
      <c r="AT9" s="15"/>
      <c r="AV9" s="15"/>
      <c r="AW9" s="15">
        <f t="shared" si="10"/>
        <v>255000</v>
      </c>
      <c r="AX9" s="15">
        <f t="shared" si="11"/>
        <v>0</v>
      </c>
      <c r="AY9" s="15">
        <f t="shared" si="12"/>
        <v>50000</v>
      </c>
      <c r="AZ9" s="16">
        <f t="shared" si="13"/>
        <v>165000</v>
      </c>
      <c r="BA9" s="58">
        <v>50000</v>
      </c>
      <c r="BB9" s="58">
        <v>140000</v>
      </c>
      <c r="BC9" s="15"/>
      <c r="BD9" s="57">
        <f t="shared" si="14"/>
        <v>115000</v>
      </c>
      <c r="BE9" s="82">
        <v>115000</v>
      </c>
      <c r="BF9" s="29">
        <f t="shared" si="6"/>
        <v>0</v>
      </c>
      <c r="BG9" s="29">
        <v>11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  <c r="BQ9">
        <v>115000</v>
      </c>
    </row>
    <row r="10" spans="1:69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VLOOKUP(A10,[18]HISTOBQUEJANV23!$A$6:$G$44,3,0)</f>
        <v>40000</v>
      </c>
      <c r="E10" s="9">
        <f>VLOOKUP(A10,[18]HISTOBQUEJANV23!$A$6:$G$39,4,0)</f>
        <v>0</v>
      </c>
      <c r="F10" s="9">
        <f>VLOOKUP(A10,[18]HISTOBQUEJANV23!$A$6:$G$39,5,0)</f>
        <v>0</v>
      </c>
      <c r="G10" s="5">
        <f t="shared" si="15"/>
        <v>0</v>
      </c>
      <c r="H10" s="10" t="str">
        <f t="shared" si="1"/>
        <v>BANQUE</v>
      </c>
      <c r="I10" s="10"/>
      <c r="J10" s="11">
        <v>1</v>
      </c>
      <c r="K10" s="11">
        <f t="shared" si="16"/>
        <v>40000</v>
      </c>
      <c r="L10" s="6"/>
      <c r="M10" s="11">
        <f t="shared" si="2"/>
        <v>0</v>
      </c>
      <c r="N10" s="6"/>
      <c r="O10" s="11">
        <f t="shared" si="3"/>
        <v>0</v>
      </c>
      <c r="P10" s="20"/>
      <c r="Q10" s="2"/>
      <c r="R10" s="20"/>
      <c r="S10" s="20"/>
      <c r="T10" s="12"/>
      <c r="U10" s="17">
        <f t="shared" si="17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60000</v>
      </c>
      <c r="AJ10" s="12"/>
      <c r="AK10" s="12"/>
      <c r="AL10" s="12">
        <v>3000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9"/>
        <v>15000</v>
      </c>
      <c r="AT10" s="15"/>
      <c r="AV10" s="15"/>
      <c r="AW10" s="15">
        <f t="shared" si="10"/>
        <v>60000</v>
      </c>
      <c r="AX10" s="15">
        <f t="shared" si="11"/>
        <v>0</v>
      </c>
      <c r="AY10" s="15">
        <f t="shared" si="12"/>
        <v>0</v>
      </c>
      <c r="AZ10" s="16">
        <f t="shared" si="13"/>
        <v>60000</v>
      </c>
      <c r="BA10" s="58">
        <v>60000</v>
      </c>
      <c r="BB10" s="58"/>
      <c r="BC10" s="15"/>
      <c r="BD10" s="57">
        <f t="shared" si="14"/>
        <v>0</v>
      </c>
      <c r="BE10" s="82"/>
      <c r="BF10" s="29">
        <f t="shared" si="6"/>
        <v>0</v>
      </c>
      <c r="BG10" s="29">
        <v>11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9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VLOOKUP(A11,[18]HISTOBQUEJANV23!$A$6:$G$44,3,0)</f>
        <v>115000</v>
      </c>
      <c r="E11" s="9">
        <f>VLOOKUP(A11,[18]HISTOBQUEJANV23!$A$6:$G$39,4,0)</f>
        <v>0</v>
      </c>
      <c r="F11" s="9">
        <f>VLOOKUP(A11,[18]HISTOBQUEJANV23!$A$6:$G$39,5,0)</f>
        <v>0</v>
      </c>
      <c r="G11" s="5">
        <f t="shared" si="15"/>
        <v>0</v>
      </c>
      <c r="H11" s="10" t="str">
        <f t="shared" si="1"/>
        <v>BANQUE</v>
      </c>
      <c r="I11" s="10"/>
      <c r="J11" s="11">
        <v>1</v>
      </c>
      <c r="K11" s="11">
        <f t="shared" si="16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0"/>
      <c r="Q11" s="2">
        <f>VLOOKUP(A11,[13]TONTJANV23!$A$7:$P$20,10,0)</f>
        <v>0</v>
      </c>
      <c r="R11" s="20"/>
      <c r="S11" s="20"/>
      <c r="T11" s="12"/>
      <c r="U11" s="17">
        <f t="shared" si="17"/>
        <v>115000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60000</v>
      </c>
      <c r="AJ11" s="12"/>
      <c r="AK11" s="12"/>
      <c r="AL11" s="12">
        <v>2000</v>
      </c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9"/>
        <v>15000</v>
      </c>
      <c r="AT11" s="15"/>
      <c r="AV11" s="15"/>
      <c r="AW11" s="15">
        <f t="shared" si="10"/>
        <v>60000</v>
      </c>
      <c r="AX11" s="15">
        <f t="shared" si="11"/>
        <v>0</v>
      </c>
      <c r="AY11" s="15">
        <f t="shared" si="12"/>
        <v>0</v>
      </c>
      <c r="AZ11" s="16">
        <f t="shared" si="13"/>
        <v>60000</v>
      </c>
      <c r="BA11" s="58">
        <v>60000</v>
      </c>
      <c r="BB11" s="58"/>
      <c r="BC11" s="15"/>
      <c r="BD11" s="57">
        <f t="shared" si="14"/>
        <v>0</v>
      </c>
      <c r="BE11" s="82"/>
      <c r="BF11" s="29">
        <f t="shared" si="6"/>
        <v>0</v>
      </c>
      <c r="BG11" s="29">
        <v>11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9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VLOOKUP(A12,[18]HISTOBQUEJANV23!$A$6:$G$44,3,0)</f>
        <v>320000</v>
      </c>
      <c r="E12" s="9">
        <f>VLOOKUP(A12,[18]HISTOBQUEJANV23!$A$6:$G$39,4,0)</f>
        <v>0</v>
      </c>
      <c r="F12" s="9">
        <f>VLOOKUP(A12,[18]HISTOBQUEJANV23!$A$6:$G$39,5,0)</f>
        <v>0</v>
      </c>
      <c r="G12" s="5">
        <f t="shared" si="15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6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0"/>
      <c r="Q12" s="2">
        <f>VLOOKUP(A12,[13]TONTJANV23!$A$7:$P$20,10,0)</f>
        <v>0</v>
      </c>
      <c r="R12" s="20"/>
      <c r="S12" s="20"/>
      <c r="T12" s="12"/>
      <c r="U12" s="17">
        <f t="shared" si="17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9"/>
        <v>20000</v>
      </c>
      <c r="AT12" s="15"/>
      <c r="AV12" s="15"/>
      <c r="AW12" s="15">
        <f t="shared" si="10"/>
        <v>0</v>
      </c>
      <c r="AX12" s="15">
        <f t="shared" si="11"/>
        <v>0</v>
      </c>
      <c r="AY12" s="15">
        <f t="shared" si="12"/>
        <v>0</v>
      </c>
      <c r="AZ12" s="16">
        <f t="shared" si="13"/>
        <v>0</v>
      </c>
      <c r="BA12" s="58"/>
      <c r="BB12" s="58"/>
      <c r="BC12" s="15"/>
      <c r="BD12" s="57">
        <f t="shared" si="14"/>
        <v>0</v>
      </c>
      <c r="BE12" s="82"/>
      <c r="BF12" s="29">
        <f t="shared" si="6"/>
        <v>0</v>
      </c>
      <c r="BG12" s="29">
        <v>11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9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VLOOKUP(A13,[18]HISTOBQUEJANV23!$A$6:$G$44,3,0)</f>
        <v>40000</v>
      </c>
      <c r="E13" s="9">
        <f>VLOOKUP(A13,[18]HISTOBQUEJANV23!$A$6:$G$39,4,0)</f>
        <v>0</v>
      </c>
      <c r="F13" s="9">
        <f>VLOOKUP(A13,[18]HISTOBQUEJANV23!$A$6:$G$39,5,0)</f>
        <v>0</v>
      </c>
      <c r="G13" s="5">
        <f t="shared" si="15"/>
        <v>0</v>
      </c>
      <c r="H13" s="10" t="str">
        <f t="shared" si="1"/>
        <v>BANQUE</v>
      </c>
      <c r="I13" s="10"/>
      <c r="J13" s="11">
        <v>1</v>
      </c>
      <c r="K13" s="11">
        <f t="shared" si="16"/>
        <v>40000</v>
      </c>
      <c r="L13" s="6"/>
      <c r="M13" s="11">
        <f t="shared" si="2"/>
        <v>0</v>
      </c>
      <c r="N13" s="6"/>
      <c r="O13" s="11">
        <f t="shared" si="3"/>
        <v>0</v>
      </c>
      <c r="P13" s="20"/>
      <c r="Q13" s="2"/>
      <c r="R13" s="20"/>
      <c r="S13" s="20"/>
      <c r="T13" s="12"/>
      <c r="U13" s="17">
        <f t="shared" si="17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9"/>
        <v>15000</v>
      </c>
      <c r="AT13" s="15"/>
      <c r="AV13" s="15"/>
      <c r="AW13" s="15">
        <f t="shared" si="10"/>
        <v>0</v>
      </c>
      <c r="AX13" s="15">
        <f t="shared" si="11"/>
        <v>0</v>
      </c>
      <c r="AY13" s="15">
        <f t="shared" si="12"/>
        <v>0</v>
      </c>
      <c r="AZ13" s="16">
        <f t="shared" si="13"/>
        <v>0</v>
      </c>
      <c r="BA13" s="58"/>
      <c r="BB13" s="58"/>
      <c r="BC13" s="15"/>
      <c r="BD13" s="57">
        <f t="shared" si="14"/>
        <v>0</v>
      </c>
      <c r="BE13" s="82"/>
      <c r="BF13" s="29">
        <f t="shared" si="6"/>
        <v>0</v>
      </c>
      <c r="BG13" s="29">
        <v>11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9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VLOOKUP(A14,[18]HISTOBQUEJANV23!$A$6:$G$44,3,0)</f>
        <v>40000</v>
      </c>
      <c r="E14" s="9">
        <f>VLOOKUP(A14,[18]HISTOBQUEJANV23!$A$6:$G$39,4,0)</f>
        <v>0</v>
      </c>
      <c r="F14" s="9">
        <f>VLOOKUP(A14,[18]HISTOBQUEJANV23!$A$6:$G$39,5,0)</f>
        <v>0</v>
      </c>
      <c r="G14" s="5">
        <f t="shared" si="15"/>
        <v>0</v>
      </c>
      <c r="H14" s="10" t="str">
        <f t="shared" si="1"/>
        <v>BANQUE</v>
      </c>
      <c r="I14" s="10"/>
      <c r="J14" s="11">
        <v>1</v>
      </c>
      <c r="K14" s="11">
        <f t="shared" si="16"/>
        <v>40000</v>
      </c>
      <c r="L14" s="6"/>
      <c r="M14" s="11">
        <f t="shared" si="2"/>
        <v>0</v>
      </c>
      <c r="N14" s="6"/>
      <c r="O14" s="11">
        <f t="shared" si="3"/>
        <v>0</v>
      </c>
      <c r="P14" s="20"/>
      <c r="Q14" s="2"/>
      <c r="R14" s="20"/>
      <c r="S14" s="20"/>
      <c r="T14" s="12"/>
      <c r="U14" s="17">
        <f t="shared" si="1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9"/>
        <v>15000</v>
      </c>
      <c r="AT14" s="15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3"/>
        <v>0</v>
      </c>
      <c r="BA14" s="58"/>
      <c r="BB14" s="58"/>
      <c r="BC14" s="15"/>
      <c r="BD14" s="57">
        <f t="shared" si="14"/>
        <v>0</v>
      </c>
      <c r="BE14" s="82"/>
      <c r="BF14" s="29">
        <f t="shared" si="6"/>
        <v>0</v>
      </c>
      <c r="BG14" s="29">
        <v>11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9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VLOOKUP(A15,[18]HISTOBQUEJANV23!$A$6:$G$44,3,0)</f>
        <v>115000</v>
      </c>
      <c r="E15" s="9">
        <f>VLOOKUP(A15,[18]HISTOBQUEJANV23!$A$6:$G$39,4,0)</f>
        <v>0</v>
      </c>
      <c r="F15" s="9">
        <f>VLOOKUP(A15,[18]HISTOBQUEJANV23!$A$6:$G$39,5,0)</f>
        <v>0</v>
      </c>
      <c r="G15" s="5">
        <f t="shared" si="15"/>
        <v>0</v>
      </c>
      <c r="H15" s="10" t="str">
        <f t="shared" si="1"/>
        <v>BANQUE</v>
      </c>
      <c r="I15" s="10"/>
      <c r="J15" s="11">
        <v>1</v>
      </c>
      <c r="K15" s="11">
        <f t="shared" si="16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0"/>
      <c r="Q15" s="2">
        <f>VLOOKUP(A15,[13]TONTJANV23!$A$7:$P$20,10,0)</f>
        <v>0</v>
      </c>
      <c r="R15" s="20"/>
      <c r="S15" s="20"/>
      <c r="T15" s="12"/>
      <c r="U15" s="17">
        <f t="shared" si="17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9"/>
        <v>15000</v>
      </c>
      <c r="AT15" s="15"/>
      <c r="AV15" s="15"/>
      <c r="AW15" s="15">
        <f t="shared" si="10"/>
        <v>0</v>
      </c>
      <c r="AX15" s="15">
        <f t="shared" si="11"/>
        <v>0</v>
      </c>
      <c r="AY15" s="15">
        <f t="shared" si="12"/>
        <v>0</v>
      </c>
      <c r="AZ15" s="16">
        <f t="shared" si="13"/>
        <v>0</v>
      </c>
      <c r="BA15" s="58"/>
      <c r="BB15" s="58"/>
      <c r="BC15" s="15"/>
      <c r="BD15" s="57">
        <f t="shared" si="14"/>
        <v>0</v>
      </c>
      <c r="BE15" s="82"/>
      <c r="BF15" s="29">
        <f t="shared" si="6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9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VLOOKUP(A16,[18]HISTOBQUEJANV23!$A$6:$G$44,3,0)</f>
        <v>250000</v>
      </c>
      <c r="E16" s="9">
        <f>VLOOKUP(A16,[18]HISTOBQUEJANV23!$A$6:$G$39,4,0)</f>
        <v>0</v>
      </c>
      <c r="F16" s="9">
        <f>VLOOKUP(A16,[18]HISTOBQUEJANV23!$A$6:$G$39,5,0)</f>
        <v>0</v>
      </c>
      <c r="G16" s="5">
        <f t="shared" si="15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6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0"/>
      <c r="Q16" s="2">
        <f>VLOOKUP(A16,[13]TONTJANV23!$A$7:$P$20,10,0)</f>
        <v>0</v>
      </c>
      <c r="R16" s="20"/>
      <c r="S16" s="20"/>
      <c r="T16" s="12"/>
      <c r="U16" s="17">
        <f t="shared" si="17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9"/>
        <v>50000</v>
      </c>
      <c r="AT16" s="15"/>
      <c r="AV16" s="15"/>
      <c r="AW16" s="15">
        <f t="shared" si="10"/>
        <v>0</v>
      </c>
      <c r="AX16" s="15">
        <f t="shared" si="11"/>
        <v>0</v>
      </c>
      <c r="AY16" s="15">
        <f t="shared" si="12"/>
        <v>0</v>
      </c>
      <c r="AZ16" s="16">
        <f t="shared" si="13"/>
        <v>0</v>
      </c>
      <c r="BA16" s="58"/>
      <c r="BB16" s="58"/>
      <c r="BC16" s="15"/>
      <c r="BD16" s="57">
        <f t="shared" si="14"/>
        <v>0</v>
      </c>
      <c r="BE16" s="82"/>
      <c r="BF16" s="29">
        <f t="shared" si="6"/>
        <v>0</v>
      </c>
      <c r="BG16" s="29">
        <v>11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74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VLOOKUP(A17,[18]HISTOBQUEJANV23!$A$6:$G$44,3,0)</f>
        <v>140000</v>
      </c>
      <c r="E17" s="9">
        <f>VLOOKUP(A17,[18]HISTOBQUEJANV23!$A$6:$G$39,4,0)</f>
        <v>0</v>
      </c>
      <c r="F17" s="9">
        <f>VLOOKUP(A17,[18]HISTOBQUEJANV23!$A$6:$G$39,5,0)</f>
        <v>0</v>
      </c>
      <c r="G17" s="5">
        <f t="shared" si="15"/>
        <v>0</v>
      </c>
      <c r="H17" s="10" t="str">
        <f t="shared" si="1"/>
        <v>BANQUE</v>
      </c>
      <c r="I17" s="10"/>
      <c r="J17" s="11">
        <v>1</v>
      </c>
      <c r="K17" s="11">
        <f t="shared" si="16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0"/>
      <c r="Q17" s="2"/>
      <c r="R17" s="20"/>
      <c r="S17" s="20"/>
      <c r="T17" s="12"/>
      <c r="U17" s="17">
        <f t="shared" si="17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9"/>
        <v>15000</v>
      </c>
      <c r="AT17" s="15"/>
      <c r="AV17" s="15"/>
      <c r="AW17" s="15">
        <f t="shared" si="10"/>
        <v>0</v>
      </c>
      <c r="AX17" s="15">
        <f t="shared" si="11"/>
        <v>0</v>
      </c>
      <c r="AY17" s="15">
        <f t="shared" si="12"/>
        <v>0</v>
      </c>
      <c r="AZ17" s="16">
        <f t="shared" si="13"/>
        <v>0</v>
      </c>
      <c r="BA17" s="58"/>
      <c r="BB17" s="58"/>
      <c r="BC17" s="15"/>
      <c r="BD17" s="57">
        <f t="shared" si="14"/>
        <v>0</v>
      </c>
      <c r="BE17" s="82"/>
      <c r="BF17" s="29">
        <f t="shared" si="6"/>
        <v>0</v>
      </c>
      <c r="BG17" s="29">
        <v>11</v>
      </c>
      <c r="BH17" s="15"/>
      <c r="BI17" s="15"/>
      <c r="BJ17" s="15"/>
      <c r="BK17" s="15"/>
      <c r="BL17" s="61"/>
      <c r="BN17" s="62"/>
      <c r="BP17" s="6"/>
    </row>
    <row r="18" spans="1:74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VLOOKUP(A18,[18]HISTOBQUEJANV23!$A$6:$G$44,3,0)</f>
        <v>180000</v>
      </c>
      <c r="E18" s="9">
        <f>VLOOKUP(A18,[18]HISTOBQUEJANV23!$A$6:$G$39,4,0)</f>
        <v>35000</v>
      </c>
      <c r="F18" s="9">
        <f>VLOOKUP(A18,[18]HISTOBQUEJANV23!$A$6:$G$39,5,0)+70000</f>
        <v>70000</v>
      </c>
      <c r="G18" s="5">
        <f t="shared" si="15"/>
        <v>0</v>
      </c>
      <c r="H18" s="10" t="str">
        <f t="shared" si="1"/>
        <v>BANQUE</v>
      </c>
      <c r="I18" s="10"/>
      <c r="J18" s="11">
        <v>1</v>
      </c>
      <c r="K18" s="11">
        <f t="shared" si="16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0"/>
      <c r="Q18" s="2">
        <f>VLOOKUP(A18,[13]TONTJANV23!$A$7:$P$20,10,0)</f>
        <v>0</v>
      </c>
      <c r="R18" s="20"/>
      <c r="S18" s="20"/>
      <c r="T18" s="12"/>
      <c r="U18" s="17">
        <f t="shared" si="17"/>
        <v>215000</v>
      </c>
      <c r="V18" s="12"/>
      <c r="W18" s="12"/>
      <c r="X18" s="12"/>
      <c r="Y18" s="12"/>
      <c r="Z18" s="12"/>
      <c r="AA18" s="12"/>
      <c r="AB18" s="12"/>
      <c r="AC18" s="12">
        <v>40000</v>
      </c>
      <c r="AD18" s="12"/>
      <c r="AE18" s="12">
        <v>125000</v>
      </c>
      <c r="AF18" s="12" t="s">
        <v>8</v>
      </c>
      <c r="AG18" s="12"/>
      <c r="AH18" s="12"/>
      <c r="AI18" s="12"/>
      <c r="AJ18" s="12">
        <f>50000+50000</f>
        <v>100000</v>
      </c>
      <c r="AK18" s="12"/>
      <c r="AL18" s="12"/>
      <c r="AM18" s="12">
        <f>1000+1000</f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9"/>
        <v>15000</v>
      </c>
      <c r="AT18" s="15"/>
      <c r="AV18" s="15"/>
      <c r="AW18" s="15">
        <f t="shared" si="10"/>
        <v>260000</v>
      </c>
      <c r="AX18" s="15">
        <f t="shared" si="11"/>
        <v>100000</v>
      </c>
      <c r="AY18" s="15">
        <f t="shared" si="12"/>
        <v>1075000</v>
      </c>
      <c r="AZ18" s="16">
        <f t="shared" si="13"/>
        <v>1365000</v>
      </c>
      <c r="BA18" s="58"/>
      <c r="BB18" s="58">
        <v>70000</v>
      </c>
      <c r="BC18" s="15"/>
      <c r="BD18" s="57">
        <f t="shared" si="14"/>
        <v>1365000</v>
      </c>
      <c r="BE18" s="82">
        <f>1075000+100000+190000</f>
        <v>1365000</v>
      </c>
      <c r="BF18" s="29">
        <f t="shared" si="6"/>
        <v>0</v>
      </c>
      <c r="BG18" s="29">
        <v>11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  <c r="BQ18">
        <v>1075000</v>
      </c>
      <c r="BS18">
        <v>100000</v>
      </c>
      <c r="BT18" t="s">
        <v>126</v>
      </c>
      <c r="BU18">
        <v>257000</v>
      </c>
      <c r="BV18" t="s">
        <v>176</v>
      </c>
    </row>
    <row r="19" spans="1:74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VLOOKUP(A19,[18]HISTOBQUEJANV23!$A$6:$G$44,3,0)</f>
        <v>40000</v>
      </c>
      <c r="E19" s="9">
        <f>VLOOKUP(A19,[18]HISTOBQUEJANV23!$A$6:$G$39,4,0)</f>
        <v>0</v>
      </c>
      <c r="F19" s="9">
        <f>VLOOKUP(A19,[18]HISTOBQUEJANV23!$A$6:$G$39,5,0)</f>
        <v>0</v>
      </c>
      <c r="G19" s="5">
        <f t="shared" si="15"/>
        <v>0</v>
      </c>
      <c r="H19" s="10" t="str">
        <f t="shared" si="1"/>
        <v>BANQUE</v>
      </c>
      <c r="I19" s="10"/>
      <c r="J19" s="11">
        <v>1</v>
      </c>
      <c r="K19" s="11">
        <f t="shared" si="16"/>
        <v>40000</v>
      </c>
      <c r="L19" s="6"/>
      <c r="M19" s="11">
        <f t="shared" si="2"/>
        <v>0</v>
      </c>
      <c r="N19" s="6"/>
      <c r="O19" s="11">
        <f t="shared" si="3"/>
        <v>0</v>
      </c>
      <c r="P19" s="20"/>
      <c r="Q19" s="2"/>
      <c r="R19" s="20"/>
      <c r="S19" s="20"/>
      <c r="T19" s="12"/>
      <c r="U19" s="17">
        <f t="shared" si="17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9"/>
        <v>15000</v>
      </c>
      <c r="AT19" s="15"/>
      <c r="AV19" s="15"/>
      <c r="AW19" s="15">
        <f t="shared" si="10"/>
        <v>0</v>
      </c>
      <c r="AX19" s="15">
        <f t="shared" si="11"/>
        <v>0</v>
      </c>
      <c r="AY19" s="15">
        <f t="shared" si="12"/>
        <v>0</v>
      </c>
      <c r="AZ19" s="16">
        <f t="shared" si="13"/>
        <v>0</v>
      </c>
      <c r="BA19" s="58"/>
      <c r="BB19" s="58"/>
      <c r="BC19" s="15"/>
      <c r="BD19" s="57">
        <f t="shared" si="14"/>
        <v>0</v>
      </c>
      <c r="BE19" s="82"/>
      <c r="BF19" s="29">
        <f t="shared" si="6"/>
        <v>0</v>
      </c>
      <c r="BG19" s="29">
        <v>11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  <c r="BQ19">
        <v>100000</v>
      </c>
      <c r="BR19" t="s">
        <v>173</v>
      </c>
    </row>
    <row r="20" spans="1:74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VLOOKUP(A20,[18]HISTOBQUEJANV23!$A$6:$G$44,3,0)</f>
        <v>215000</v>
      </c>
      <c r="E20" s="9">
        <f>VLOOKUP(A20,[18]HISTOBQUEJANV23!$A$6:$G$39,4,0)</f>
        <v>0</v>
      </c>
      <c r="F20" s="9">
        <f>VLOOKUP(A20,[18]HISTOBQUEJANV23!$A$6:$G$39,5,0)</f>
        <v>0</v>
      </c>
      <c r="G20" s="5">
        <f t="shared" si="15"/>
        <v>0</v>
      </c>
      <c r="H20" s="10" t="str">
        <f t="shared" si="1"/>
        <v>BANQUE</v>
      </c>
      <c r="I20" s="10"/>
      <c r="J20" s="11">
        <v>1</v>
      </c>
      <c r="K20" s="11">
        <f t="shared" si="16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0"/>
      <c r="Q20" s="2">
        <f>VLOOKUP(A20,[13]TONTJANV23!$A$7:$P$20,10,0)</f>
        <v>0</v>
      </c>
      <c r="R20" s="20"/>
      <c r="S20" s="20"/>
      <c r="T20" s="12"/>
      <c r="U20" s="17">
        <f t="shared" si="17"/>
        <v>215000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>
        <v>125000</v>
      </c>
      <c r="AF20" s="12" t="s">
        <v>8</v>
      </c>
      <c r="AG20" s="12"/>
      <c r="AH20" s="12"/>
      <c r="AI20" s="12"/>
      <c r="AJ20" s="12">
        <f>50000+55000</f>
        <v>105000</v>
      </c>
      <c r="AK20" s="12"/>
      <c r="AL20" s="12"/>
      <c r="AM20" s="12">
        <f>1000+1000</f>
        <v>2000</v>
      </c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9"/>
        <v>15000</v>
      </c>
      <c r="AT20" s="15"/>
      <c r="AV20" s="15"/>
      <c r="AW20" s="15">
        <f t="shared" si="10"/>
        <v>0</v>
      </c>
      <c r="AX20" s="15">
        <f t="shared" si="11"/>
        <v>105000</v>
      </c>
      <c r="AY20" s="15">
        <f t="shared" si="12"/>
        <v>1075000</v>
      </c>
      <c r="AZ20" s="16">
        <f t="shared" si="13"/>
        <v>1180000</v>
      </c>
      <c r="BA20" s="58">
        <v>55000</v>
      </c>
      <c r="BB20" s="58"/>
      <c r="BC20" s="15"/>
      <c r="BD20" s="71">
        <f t="shared" si="14"/>
        <v>1125000</v>
      </c>
      <c r="BE20" s="82">
        <v>986000</v>
      </c>
      <c r="BF20" s="29">
        <f t="shared" si="6"/>
        <v>0</v>
      </c>
      <c r="BG20" s="29">
        <v>11</v>
      </c>
      <c r="BH20" s="15"/>
      <c r="BI20" s="15"/>
      <c r="BJ20" s="15"/>
      <c r="BK20" s="15"/>
      <c r="BL20" s="61"/>
      <c r="BP20" s="6"/>
      <c r="BQ20">
        <v>190000</v>
      </c>
      <c r="BR20" t="s">
        <v>175</v>
      </c>
      <c r="BS20">
        <v>986000</v>
      </c>
      <c r="BT20" t="s">
        <v>172</v>
      </c>
    </row>
    <row r="21" spans="1:74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VLOOKUP(A21,[18]HISTOBQUEJANV23!$A$6:$G$44,3,0)</f>
        <v>40000</v>
      </c>
      <c r="E21" s="9">
        <f>VLOOKUP(A21,[18]HISTOBQUEJANV23!$A$6:$G$39,4,0)</f>
        <v>0</v>
      </c>
      <c r="F21" s="9">
        <f>VLOOKUP(A21,[18]HISTOBQUEJANV23!$A$6:$G$39,5,0)</f>
        <v>0</v>
      </c>
      <c r="G21" s="5">
        <f t="shared" si="15"/>
        <v>0</v>
      </c>
      <c r="H21" s="10" t="str">
        <f t="shared" si="1"/>
        <v>BANQUE</v>
      </c>
      <c r="I21" s="10"/>
      <c r="J21" s="11">
        <v>1</v>
      </c>
      <c r="K21" s="11">
        <f t="shared" si="16"/>
        <v>40000</v>
      </c>
      <c r="L21" s="6"/>
      <c r="M21" s="11">
        <f t="shared" si="2"/>
        <v>0</v>
      </c>
      <c r="N21" s="6"/>
      <c r="O21" s="11">
        <f t="shared" si="3"/>
        <v>0</v>
      </c>
      <c r="P21" s="20"/>
      <c r="Q21" s="2"/>
      <c r="R21" s="20"/>
      <c r="S21" s="20"/>
      <c r="T21" s="12"/>
      <c r="U21" s="17">
        <f t="shared" si="17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9"/>
        <v>15000</v>
      </c>
      <c r="AT21" s="15"/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3"/>
        <v>0</v>
      </c>
      <c r="BA21" s="58"/>
      <c r="BB21" s="58"/>
      <c r="BC21" s="15"/>
      <c r="BD21" s="57">
        <f>IF(AZ21=0,(AZ21-BA21-BC21),(AZ21-BA21-BB21-BC21))+F21</f>
        <v>0</v>
      </c>
      <c r="BE21" s="82">
        <f>BD20-BE20</f>
        <v>139000</v>
      </c>
      <c r="BF21" s="29">
        <f t="shared" si="6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74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VLOOKUP(A22,[18]HISTOBQUEJANV23!$A$6:$G$44,3,0)</f>
        <v>115000</v>
      </c>
      <c r="E22" s="9">
        <f>VLOOKUP(A22,[18]HISTOBQUEJANV23!$A$6:$G$39,4,0)</f>
        <v>0</v>
      </c>
      <c r="F22" s="9">
        <f>VLOOKUP(A22,[18]HISTOBQUEJANV23!$A$6:$G$39,5,0)</f>
        <v>0</v>
      </c>
      <c r="G22" s="5">
        <f t="shared" si="15"/>
        <v>0</v>
      </c>
      <c r="H22" s="10" t="str">
        <f t="shared" si="1"/>
        <v>BANQUE</v>
      </c>
      <c r="I22" s="10"/>
      <c r="J22" s="11">
        <v>1</v>
      </c>
      <c r="K22" s="11">
        <f t="shared" si="16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0"/>
      <c r="Q22" s="2">
        <f>VLOOKUP(A22,[13]TONTJANV23!$A$7:$P$20,10,0)</f>
        <v>0</v>
      </c>
      <c r="R22" s="20"/>
      <c r="S22" s="20"/>
      <c r="T22" s="12"/>
      <c r="U22" s="17">
        <f t="shared" si="17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9"/>
        <v>15000</v>
      </c>
      <c r="AT22" s="15"/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 t="shared" si="13"/>
        <v>0</v>
      </c>
      <c r="BA22" s="58"/>
      <c r="BB22" s="58"/>
      <c r="BC22" s="15"/>
      <c r="BD22" s="57">
        <f t="shared" si="14"/>
        <v>0</v>
      </c>
      <c r="BE22" s="82"/>
      <c r="BF22" s="29">
        <f t="shared" si="6"/>
        <v>0</v>
      </c>
      <c r="BG22" s="29">
        <v>11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74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VLOOKUP(A23,[18]HISTOBQUEJANV23!$A$6:$G$44,3,0)</f>
        <v>250000</v>
      </c>
      <c r="E23" s="9">
        <f>VLOOKUP(A23,[18]HISTOBQUEJANV23!$A$6:$G$39,4,0)</f>
        <v>0</v>
      </c>
      <c r="F23" s="9">
        <f>VLOOKUP(A23,[18]HISTOBQUEJANV23!$A$6:$G$39,5,0)</f>
        <v>0</v>
      </c>
      <c r="G23" s="5">
        <f t="shared" si="15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6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0"/>
      <c r="Q23" s="2"/>
      <c r="R23" s="20"/>
      <c r="S23" s="20"/>
      <c r="T23" s="12"/>
      <c r="U23" s="17">
        <f t="shared" si="17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9"/>
        <v>25000</v>
      </c>
      <c r="AT23" s="15"/>
      <c r="AV23" s="15"/>
      <c r="AW23" s="15">
        <f t="shared" si="10"/>
        <v>0</v>
      </c>
      <c r="AX23" s="15">
        <f t="shared" si="11"/>
        <v>0</v>
      </c>
      <c r="AY23" s="15">
        <f t="shared" si="12"/>
        <v>0</v>
      </c>
      <c r="AZ23" s="16">
        <f t="shared" si="13"/>
        <v>0</v>
      </c>
      <c r="BA23" s="58"/>
      <c r="BB23" s="58"/>
      <c r="BC23" s="15"/>
      <c r="BD23" s="57">
        <f t="shared" si="14"/>
        <v>0</v>
      </c>
      <c r="BE23" s="82"/>
      <c r="BF23" s="29">
        <f t="shared" si="6"/>
        <v>0</v>
      </c>
      <c r="BG23" s="29">
        <v>11</v>
      </c>
      <c r="BH23" s="15"/>
      <c r="BI23" s="15"/>
      <c r="BJ23" s="15"/>
      <c r="BK23" s="15"/>
      <c r="BL23" s="61"/>
    </row>
    <row r="24" spans="1:74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VLOOKUP(A24,[18]HISTOBQUEJANV23!$A$6:$G$44,3,0)</f>
        <v>210000</v>
      </c>
      <c r="E24" s="9">
        <f>VLOOKUP(A24,[18]HISTOBQUEJANV23!$A$6:$G$39,4,0)</f>
        <v>5000</v>
      </c>
      <c r="F24" s="9">
        <f>VLOOKUP(A24,[18]HISTOBQUEJANV23!$A$6:$G$39,5,0)</f>
        <v>0</v>
      </c>
      <c r="G24" s="5">
        <f t="shared" si="15"/>
        <v>0</v>
      </c>
      <c r="H24" s="10" t="str">
        <f t="shared" si="1"/>
        <v>BANQUE</v>
      </c>
      <c r="I24" s="10"/>
      <c r="J24" s="11">
        <v>1</v>
      </c>
      <c r="K24" s="11">
        <f t="shared" si="16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0"/>
      <c r="Q24" s="2">
        <f>VLOOKUP(A24,[13]TONTJANV23!$A$7:$P$20,10,0)</f>
        <v>0</v>
      </c>
      <c r="R24" s="20"/>
      <c r="S24" s="20"/>
      <c r="T24" s="12"/>
      <c r="U24" s="17">
        <f t="shared" si="17"/>
        <v>215000</v>
      </c>
      <c r="V24" s="12"/>
      <c r="W24" s="12"/>
      <c r="X24" s="12"/>
      <c r="Y24" s="12"/>
      <c r="Z24" s="12"/>
      <c r="AA24" s="12"/>
      <c r="AB24" s="12"/>
      <c r="AC24" s="12"/>
      <c r="AD24" s="12">
        <v>105000</v>
      </c>
      <c r="AE24" s="12">
        <v>125000</v>
      </c>
      <c r="AF24" s="12" t="s">
        <v>8</v>
      </c>
      <c r="AG24" s="12"/>
      <c r="AH24" s="12"/>
      <c r="AI24" s="12">
        <v>25000</v>
      </c>
      <c r="AJ24" s="12">
        <f>50000+50000</f>
        <v>100000</v>
      </c>
      <c r="AK24" s="12">
        <v>200000</v>
      </c>
      <c r="AL24" s="12">
        <v>1000</v>
      </c>
      <c r="AM24" s="12">
        <v>2000</v>
      </c>
      <c r="AN24" s="12">
        <v>8000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9"/>
        <v>15000</v>
      </c>
      <c r="AT24" s="15"/>
      <c r="AV24" s="15"/>
      <c r="AW24" s="15">
        <f t="shared" si="10"/>
        <v>25000</v>
      </c>
      <c r="AX24" s="15">
        <f t="shared" si="11"/>
        <v>895000</v>
      </c>
      <c r="AY24" s="15">
        <f>IF(AE24=0,AK24,(1*100000*12)+(AK24)-AE24)</f>
        <v>1275000</v>
      </c>
      <c r="AZ24" s="16">
        <f t="shared" si="13"/>
        <v>2195000</v>
      </c>
      <c r="BA24" s="58"/>
      <c r="BB24" s="58"/>
      <c r="BC24" s="15"/>
      <c r="BD24" s="57">
        <f t="shared" si="14"/>
        <v>2195000</v>
      </c>
      <c r="BE24" s="82">
        <f>1075000+200000+795000+100000+25000</f>
        <v>2195000</v>
      </c>
      <c r="BF24" s="29">
        <f t="shared" si="6"/>
        <v>0</v>
      </c>
      <c r="BG24" s="29">
        <v>11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  <c r="BQ24">
        <v>1075000</v>
      </c>
    </row>
    <row r="25" spans="1:74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VLOOKUP(A25,[18]HISTOBQUEJANV23!$A$6:$G$44,3,0)</f>
        <v>280000</v>
      </c>
      <c r="E25" s="9">
        <f>VLOOKUP(A25,[18]HISTOBQUEJANV23!$A$6:$G$39,4,0)</f>
        <v>10000</v>
      </c>
      <c r="F25" s="9">
        <f>VLOOKUP(A25,[18]HISTOBQUEJANV23!$A$6:$G$39,5,0)</f>
        <v>0</v>
      </c>
      <c r="G25" s="5">
        <f t="shared" si="15"/>
        <v>0</v>
      </c>
      <c r="H25" s="10" t="str">
        <f t="shared" si="1"/>
        <v>BANQUE</v>
      </c>
      <c r="I25" s="10"/>
      <c r="J25" s="11">
        <v>1</v>
      </c>
      <c r="K25" s="11">
        <f t="shared" si="16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0"/>
      <c r="Q25" s="2">
        <f>VLOOKUP(A25,[13]TONTJANV23!$A$7:$P$20,10,0)</f>
        <v>0</v>
      </c>
      <c r="R25" s="20"/>
      <c r="S25" s="20"/>
      <c r="T25" s="12"/>
      <c r="U25" s="17">
        <f t="shared" si="17"/>
        <v>290000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>
        <v>30000</v>
      </c>
      <c r="AJ25" s="12">
        <f>50000+50000</f>
        <v>100000</v>
      </c>
      <c r="AK25" s="12">
        <f>25000+50000</f>
        <v>75000</v>
      </c>
      <c r="AL25" s="12">
        <v>1000</v>
      </c>
      <c r="AM25" s="12">
        <f>1000+1000</f>
        <v>2000</v>
      </c>
      <c r="AN25" s="12">
        <v>3000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9"/>
        <v>15000</v>
      </c>
      <c r="AT25" s="15"/>
      <c r="AV25" s="15"/>
      <c r="AW25" s="15">
        <f t="shared" si="10"/>
        <v>30000</v>
      </c>
      <c r="AX25" s="15">
        <f t="shared" si="11"/>
        <v>100000</v>
      </c>
      <c r="AY25" s="15">
        <f t="shared" si="12"/>
        <v>75000</v>
      </c>
      <c r="AZ25" s="16">
        <f t="shared" si="13"/>
        <v>205000</v>
      </c>
      <c r="BA25" s="58">
        <f>25000+50000+50000+50000+30000</f>
        <v>205000</v>
      </c>
      <c r="BB25" s="58"/>
      <c r="BC25" s="15"/>
      <c r="BD25" s="57">
        <f t="shared" si="14"/>
        <v>0</v>
      </c>
      <c r="BE25" s="82"/>
      <c r="BF25" s="29">
        <f t="shared" si="6"/>
        <v>0</v>
      </c>
      <c r="BG25" s="29">
        <v>11</v>
      </c>
      <c r="BH25" s="15"/>
      <c r="BI25" s="15"/>
      <c r="BJ25" s="15"/>
      <c r="BK25" s="15"/>
      <c r="BL25" s="61"/>
      <c r="BN25" t="s">
        <v>125</v>
      </c>
      <c r="BO25" t="s">
        <v>143</v>
      </c>
      <c r="BQ25">
        <v>200000</v>
      </c>
      <c r="BR25" t="s">
        <v>172</v>
      </c>
    </row>
    <row r="26" spans="1:74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VLOOKUP(A26,[18]HISTOBQUEJANV23!$A$6:$G$44,3,0)</f>
        <v>0</v>
      </c>
      <c r="E26" s="9">
        <f>VLOOKUP(A26,[18]HISTOBQUEJANV23!$A$6:$G$39,4,0)</f>
        <v>40000</v>
      </c>
      <c r="F26" s="9">
        <f>VLOOKUP(A26,[18]HISTOBQUEJANV23!$A$6:$G$39,5,0)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6"/>
        <v>40000</v>
      </c>
      <c r="L26" s="6"/>
      <c r="M26" s="11">
        <f t="shared" si="2"/>
        <v>0</v>
      </c>
      <c r="N26" s="6"/>
      <c r="O26" s="11">
        <f t="shared" si="3"/>
        <v>0</v>
      </c>
      <c r="P26" s="20"/>
      <c r="Q26" s="2"/>
      <c r="R26" s="20"/>
      <c r="S26" s="20"/>
      <c r="T26" s="12"/>
      <c r="U26" s="17">
        <f t="shared" si="17"/>
        <v>40000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2000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9"/>
        <v>15000</v>
      </c>
      <c r="AT26" s="15"/>
      <c r="AV26" s="15"/>
      <c r="AW26" s="15">
        <f t="shared" si="10"/>
        <v>60000</v>
      </c>
      <c r="AX26" s="15">
        <f t="shared" si="11"/>
        <v>0</v>
      </c>
      <c r="AY26" s="15">
        <f t="shared" si="12"/>
        <v>0</v>
      </c>
      <c r="AZ26" s="16">
        <f t="shared" si="13"/>
        <v>60000</v>
      </c>
      <c r="BA26" s="58">
        <v>60000</v>
      </c>
      <c r="BB26" s="58"/>
      <c r="BC26" s="15"/>
      <c r="BD26" s="57">
        <f t="shared" si="14"/>
        <v>0</v>
      </c>
      <c r="BE26" s="82"/>
      <c r="BF26" s="29">
        <f t="shared" si="6"/>
        <v>0</v>
      </c>
      <c r="BG26" s="29">
        <v>11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  <c r="BQ26">
        <v>795000</v>
      </c>
      <c r="BR26" t="s">
        <v>173</v>
      </c>
    </row>
    <row r="27" spans="1:74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VLOOKUP(A27,[18]HISTOBQUEJANV23!$A$6:$G$44,3,0)</f>
        <v>0</v>
      </c>
      <c r="E27" s="9">
        <f>VLOOKUP(A27,[18]HISTOBQUEJANV23!$A$6:$G$39,4,0)</f>
        <v>65000</v>
      </c>
      <c r="F27" s="9">
        <f>VLOOKUP(A27,[18]HISTOBQUEJANV23!$A$6:$G$39,5,0)</f>
        <v>0</v>
      </c>
      <c r="G27" s="5">
        <f t="shared" si="15"/>
        <v>0</v>
      </c>
      <c r="H27" s="10" t="s">
        <v>8</v>
      </c>
      <c r="I27" s="10"/>
      <c r="J27" s="11">
        <v>1</v>
      </c>
      <c r="K27" s="11">
        <f t="shared" ref="K27" si="18">IF($D27&lt;&gt;0,J27*40000,IF($E27&lt;&gt;0,J27*40000,0))</f>
        <v>40000</v>
      </c>
      <c r="L27" s="6"/>
      <c r="M27" s="11">
        <f t="shared" ref="M27" si="19">IF($D27&lt;&gt;0,L27*75000,IF($E27&lt;&gt;0,L27*75000,0))</f>
        <v>0</v>
      </c>
      <c r="N27" s="6"/>
      <c r="O27" s="11">
        <f t="shared" ref="O27" si="20">IF($D27&lt;&gt;0,N27*100000,IF($E27&lt;&gt;0,N27*100000,0))</f>
        <v>0</v>
      </c>
      <c r="P27" s="20"/>
      <c r="Q27" s="2"/>
      <c r="R27" s="20"/>
      <c r="S27" s="20"/>
      <c r="T27" s="12"/>
      <c r="U27" s="17">
        <f t="shared" si="17"/>
        <v>65000</v>
      </c>
      <c r="V27" s="12"/>
      <c r="W27" s="12">
        <v>25000</v>
      </c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9"/>
        <v>15000</v>
      </c>
      <c r="AT27" s="15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3"/>
        <v>0</v>
      </c>
      <c r="BA27" s="58"/>
      <c r="BB27" s="58"/>
      <c r="BC27" s="15"/>
      <c r="BD27" s="57">
        <f t="shared" si="14"/>
        <v>0</v>
      </c>
      <c r="BE27" s="82"/>
      <c r="BF27" s="29">
        <f t="shared" si="6"/>
        <v>0</v>
      </c>
      <c r="BG27" s="29">
        <v>11</v>
      </c>
      <c r="BH27" s="15"/>
      <c r="BI27" s="15"/>
      <c r="BJ27" s="15"/>
      <c r="BK27" s="15"/>
      <c r="BL27" s="61"/>
      <c r="BP27" s="6"/>
      <c r="BQ27">
        <v>25000</v>
      </c>
      <c r="BR27" t="s">
        <v>174</v>
      </c>
    </row>
    <row r="28" spans="1:74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VLOOKUP(A28,[18]HISTOBQUEJANV23!$A$6:$G$44,3,0)</f>
        <v>115000</v>
      </c>
      <c r="E28" s="9">
        <f>VLOOKUP(A28,[18]HISTOBQUEJANV23!$A$6:$G$39,4,0)</f>
        <v>0</v>
      </c>
      <c r="F28" s="9">
        <f>VLOOKUP(A28,[18]HISTOBQUEJANV23!$A$6:$G$39,5,0)</f>
        <v>0</v>
      </c>
      <c r="G28" s="5">
        <f t="shared" si="15"/>
        <v>0</v>
      </c>
      <c r="H28" s="10" t="str">
        <f t="shared" si="1"/>
        <v>BANQUE</v>
      </c>
      <c r="I28" s="10"/>
      <c r="J28" s="11">
        <v>1</v>
      </c>
      <c r="K28" s="11">
        <f t="shared" si="16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0"/>
      <c r="Q28" s="2">
        <f>VLOOKUP(A28,[13]TONTJANV23!$A$7:$P$20,10,0)</f>
        <v>0</v>
      </c>
      <c r="R28" s="20"/>
      <c r="S28" s="20"/>
      <c r="T28" s="12"/>
      <c r="U28" s="17">
        <f t="shared" si="1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9"/>
        <v>15000</v>
      </c>
      <c r="AT28" s="15"/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3"/>
        <v>0</v>
      </c>
      <c r="BA28" s="58"/>
      <c r="BB28" s="58"/>
      <c r="BC28" s="15"/>
      <c r="BD28" s="57">
        <f t="shared" si="14"/>
        <v>0</v>
      </c>
      <c r="BE28" s="82"/>
      <c r="BF28" s="29">
        <f t="shared" si="6"/>
        <v>0</v>
      </c>
      <c r="BG28" s="29">
        <v>11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74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VLOOKUP(A29,[18]HISTOBQUEJANV23!$A$6:$G$44,3,0)</f>
        <v>0</v>
      </c>
      <c r="E29" s="9">
        <f>VLOOKUP(A29,[18]HISTOBQUEJANV23!$A$6:$G$39,4,0)</f>
        <v>65000</v>
      </c>
      <c r="F29" s="9">
        <f>VLOOKUP(A29,[18]HISTOBQUEJANV23!$A$6:$G$39,5,0)</f>
        <v>0</v>
      </c>
      <c r="G29" s="5">
        <f t="shared" si="15"/>
        <v>0</v>
      </c>
      <c r="H29" s="10" t="s">
        <v>8</v>
      </c>
      <c r="I29" s="10"/>
      <c r="J29" s="11">
        <v>1</v>
      </c>
      <c r="K29" s="11">
        <f t="shared" si="16"/>
        <v>40000</v>
      </c>
      <c r="L29" s="6"/>
      <c r="M29" s="11">
        <f t="shared" si="2"/>
        <v>0</v>
      </c>
      <c r="N29" s="6"/>
      <c r="O29" s="11">
        <f t="shared" si="3"/>
        <v>0</v>
      </c>
      <c r="P29" s="20"/>
      <c r="Q29" s="2"/>
      <c r="R29" s="20"/>
      <c r="S29" s="20"/>
      <c r="T29" s="12"/>
      <c r="U29" s="17">
        <f t="shared" si="17"/>
        <v>65000</v>
      </c>
      <c r="V29" s="12"/>
      <c r="W29" s="12">
        <v>25000</v>
      </c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9"/>
        <v>15000</v>
      </c>
      <c r="AT29" s="15"/>
      <c r="AV29" s="15"/>
      <c r="AW29" s="15">
        <f t="shared" si="10"/>
        <v>0</v>
      </c>
      <c r="AX29" s="15">
        <f t="shared" si="11"/>
        <v>0</v>
      </c>
      <c r="AY29" s="15">
        <f t="shared" si="12"/>
        <v>0</v>
      </c>
      <c r="AZ29" s="16">
        <f t="shared" si="13"/>
        <v>0</v>
      </c>
      <c r="BA29" s="58"/>
      <c r="BB29" s="58"/>
      <c r="BC29" s="15"/>
      <c r="BD29" s="57">
        <f t="shared" si="14"/>
        <v>0</v>
      </c>
      <c r="BE29" s="82"/>
      <c r="BF29" s="29">
        <f t="shared" si="6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74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VLOOKUP(A30,[18]HISTOBQUEJANV23!$A$6:$G$44,3,0)</f>
        <v>0</v>
      </c>
      <c r="E30" s="9">
        <f>VLOOKUP(A30,[18]HISTOBQUEJANV23!$A$6:$G$39,4,0)</f>
        <v>115000</v>
      </c>
      <c r="F30" s="9">
        <f>VLOOKUP(A30,[18]HISTOBQUEJANV23!$A$6:$G$39,5,0)</f>
        <v>0</v>
      </c>
      <c r="G30" s="5">
        <f>IF(H30="ESPECES",3000,0)-3000</f>
        <v>0</v>
      </c>
      <c r="H30" s="10" t="str">
        <f t="shared" si="1"/>
        <v>ESPECES</v>
      </c>
      <c r="I30" s="10"/>
      <c r="J30" s="11">
        <v>1</v>
      </c>
      <c r="K30" s="11">
        <f t="shared" si="16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0"/>
      <c r="Q30" s="2">
        <f>VLOOKUP(A30,[13]TONTJANV23!$A$7:$P$20,10,0)</f>
        <v>0</v>
      </c>
      <c r="R30" s="20"/>
      <c r="S30" s="20"/>
      <c r="T30" s="12"/>
      <c r="U30" s="17">
        <f t="shared" si="17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9"/>
        <v>15000</v>
      </c>
      <c r="AT30" s="15"/>
      <c r="AV30" s="15"/>
      <c r="AW30" s="15">
        <f t="shared" si="10"/>
        <v>0</v>
      </c>
      <c r="AX30" s="15">
        <f t="shared" si="11"/>
        <v>0</v>
      </c>
      <c r="AY30" s="15">
        <f t="shared" si="12"/>
        <v>0</v>
      </c>
      <c r="AZ30" s="16">
        <f t="shared" si="13"/>
        <v>0</v>
      </c>
      <c r="BA30" s="58"/>
      <c r="BB30" s="58"/>
      <c r="BC30" s="15"/>
      <c r="BD30" s="57">
        <f t="shared" si="14"/>
        <v>0</v>
      </c>
      <c r="BE30" s="82"/>
      <c r="BF30" s="29">
        <f t="shared" si="6"/>
        <v>0</v>
      </c>
      <c r="BG30" s="29">
        <v>11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74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VLOOKUP(A31,[18]HISTOBQUEJANV23!$A$6:$G$44,3,0)</f>
        <v>250000</v>
      </c>
      <c r="E31" s="9">
        <f>VLOOKUP(A31,[18]HISTOBQUEJANV23!$A$6:$G$39,4,0)</f>
        <v>0</v>
      </c>
      <c r="F31" s="9">
        <f>VLOOKUP(A31,[18]HISTOBQUEJANV23!$A$6:$G$39,5,0)</f>
        <v>0</v>
      </c>
      <c r="G31" s="5">
        <f t="shared" si="15"/>
        <v>0</v>
      </c>
      <c r="H31" s="10" t="str">
        <f t="shared" si="1"/>
        <v>BANQUE</v>
      </c>
      <c r="I31" s="10">
        <v>110000</v>
      </c>
      <c r="J31" s="11">
        <v>1</v>
      </c>
      <c r="K31" s="11">
        <f t="shared" si="16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0"/>
      <c r="Q31" s="2"/>
      <c r="R31" s="20"/>
      <c r="S31" s="20"/>
      <c r="T31" s="12"/>
      <c r="U31" s="17">
        <f t="shared" si="17"/>
        <v>250000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9"/>
        <v>125000</v>
      </c>
      <c r="AT31" s="15"/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3"/>
        <v>0</v>
      </c>
      <c r="BA31" s="58"/>
      <c r="BB31" s="58"/>
      <c r="BC31" s="15"/>
      <c r="BD31" s="57">
        <f t="shared" si="14"/>
        <v>0</v>
      </c>
      <c r="BE31" s="82"/>
      <c r="BF31" s="29">
        <f t="shared" si="6"/>
        <v>0</v>
      </c>
      <c r="BG31" s="29">
        <v>11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74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VLOOKUP(A32,[18]HISTOBQUEJANV23!$A$6:$G$44,3,0)</f>
        <v>115000</v>
      </c>
      <c r="E32" s="9">
        <f>VLOOKUP(A32,[18]HISTOBQUEJANV23!$A$6:$G$39,4,0)</f>
        <v>0</v>
      </c>
      <c r="F32" s="9">
        <f>VLOOKUP(A32,[18]HISTOBQUEJANV23!$A$6:$G$39,5,0)</f>
        <v>0</v>
      </c>
      <c r="G32" s="5">
        <f t="shared" si="15"/>
        <v>0</v>
      </c>
      <c r="H32" s="10" t="str">
        <f t="shared" si="1"/>
        <v>BANQUE</v>
      </c>
      <c r="I32" s="10"/>
      <c r="J32" s="11">
        <v>1</v>
      </c>
      <c r="K32" s="11">
        <f t="shared" si="16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0"/>
      <c r="Q32" s="2"/>
      <c r="R32" s="20"/>
      <c r="S32" s="20"/>
      <c r="T32" s="12"/>
      <c r="U32" s="17">
        <f t="shared" si="17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9"/>
        <v>15000</v>
      </c>
      <c r="AT32" s="15"/>
      <c r="AV32" s="15"/>
      <c r="AW32" s="15">
        <f t="shared" si="10"/>
        <v>0</v>
      </c>
      <c r="AX32" s="15">
        <f t="shared" si="11"/>
        <v>0</v>
      </c>
      <c r="AY32" s="15">
        <f t="shared" si="12"/>
        <v>0</v>
      </c>
      <c r="AZ32" s="16">
        <f t="shared" si="13"/>
        <v>0</v>
      </c>
      <c r="BA32" s="58"/>
      <c r="BB32" s="58"/>
      <c r="BC32" s="15"/>
      <c r="BD32" s="57">
        <f t="shared" si="14"/>
        <v>0</v>
      </c>
      <c r="BE32" s="82"/>
      <c r="BF32" s="29">
        <f t="shared" si="6"/>
        <v>0</v>
      </c>
      <c r="BG32" s="29">
        <v>11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VLOOKUP(A33,[18]HISTOBQUEJANV23!$A$6:$G$44,3,0)</f>
        <v>0</v>
      </c>
      <c r="E33" s="9">
        <f>VLOOKUP(A33,[18]HISTOBQUEJANV23!$A$6:$G$39,4,0)</f>
        <v>40000</v>
      </c>
      <c r="F33" s="9">
        <f>VLOOKUP(A33,[18]HISTOBQUEJANV23!$A$6:$G$39,5,0)</f>
        <v>0</v>
      </c>
      <c r="G33" s="5">
        <f>IF(H33="ESPECES",3000,0)-3000</f>
        <v>0</v>
      </c>
      <c r="H33" s="10" t="str">
        <f t="shared" si="1"/>
        <v>ESPECES</v>
      </c>
      <c r="I33" s="10"/>
      <c r="J33" s="11">
        <v>1</v>
      </c>
      <c r="K33" s="11">
        <f t="shared" ref="K33" si="21">IF($D33&lt;&gt;0,J33*40000,IF($E33&lt;&gt;0,J33*40000,0))</f>
        <v>40000</v>
      </c>
      <c r="L33" s="6"/>
      <c r="M33" s="11">
        <f t="shared" ref="M33" si="22">IF($D33&lt;&gt;0,L33*75000,IF($E33&lt;&gt;0,L33*75000,0))</f>
        <v>0</v>
      </c>
      <c r="N33" s="6"/>
      <c r="O33" s="11">
        <f t="shared" ref="O33" si="23">IF($D33&lt;&gt;0,N33*100000,IF($E33&lt;&gt;0,N33*100000,0))</f>
        <v>0</v>
      </c>
      <c r="P33" s="20"/>
      <c r="Q33" s="2"/>
      <c r="R33" s="20"/>
      <c r="S33" s="20"/>
      <c r="T33" s="12"/>
      <c r="U33" s="17">
        <f t="shared" si="17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9"/>
        <v>15000</v>
      </c>
      <c r="AT33" s="15"/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3"/>
        <v>0</v>
      </c>
      <c r="BA33" s="58"/>
      <c r="BB33" s="58"/>
      <c r="BC33" s="15"/>
      <c r="BD33" s="57">
        <f t="shared" si="14"/>
        <v>0</v>
      </c>
      <c r="BE33" s="82"/>
      <c r="BF33" s="29">
        <f t="shared" si="6"/>
        <v>0</v>
      </c>
      <c r="BG33" s="29">
        <v>11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69">
        <f t="shared" si="0"/>
        <v>35000</v>
      </c>
      <c r="D34" s="9">
        <f>VLOOKUP(A34,[18]HISTOBQUEJANV23!$A$6:$G$44,3,0)</f>
        <v>0</v>
      </c>
      <c r="E34" s="9">
        <f>VLOOKUP(A34,[18]HISTOBQUEJANV23!$A$6:$G$39,4,0)</f>
        <v>100000</v>
      </c>
      <c r="F34" s="9">
        <f>VLOOKUP(A34,[18]HISTOBQUEJANV23!$A$6:$G$39,5,0)</f>
        <v>0</v>
      </c>
      <c r="G34" s="5">
        <f>IF(H34="ESPECES",3000,0)-3000</f>
        <v>0</v>
      </c>
      <c r="H34" s="10" t="str">
        <f t="shared" si="1"/>
        <v>ESPECES</v>
      </c>
      <c r="I34" s="10"/>
      <c r="J34" s="11">
        <v>1</v>
      </c>
      <c r="K34" s="11">
        <f t="shared" ref="K34" si="24">IF($D34&lt;&gt;0,J34*40000,IF($E34&lt;&gt;0,J34*40000,0))</f>
        <v>40000</v>
      </c>
      <c r="L34" s="6"/>
      <c r="M34" s="11">
        <f t="shared" ref="M34" si="25">IF($D34&lt;&gt;0,L34*75000,IF($E34&lt;&gt;0,L34*75000,0))</f>
        <v>0</v>
      </c>
      <c r="N34" s="6"/>
      <c r="O34" s="11">
        <f t="shared" ref="O34" si="26">IF($D34&lt;&gt;0,N34*100000,IF($E34&lt;&gt;0,N34*100000,0))</f>
        <v>0</v>
      </c>
      <c r="P34" s="20"/>
      <c r="Q34" s="2"/>
      <c r="R34" s="20"/>
      <c r="S34" s="20"/>
      <c r="T34" s="12"/>
      <c r="U34" s="17">
        <f t="shared" si="17"/>
        <v>65000</v>
      </c>
      <c r="V34" s="12"/>
      <c r="W34" s="12">
        <v>25000</v>
      </c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9"/>
        <v>15000</v>
      </c>
      <c r="AT34" s="15">
        <v>35000</v>
      </c>
      <c r="AV34" s="15"/>
      <c r="AW34" s="15">
        <f t="shared" si="10"/>
        <v>0</v>
      </c>
      <c r="AX34" s="15">
        <f t="shared" si="11"/>
        <v>0</v>
      </c>
      <c r="AY34" s="15">
        <f t="shared" si="12"/>
        <v>0</v>
      </c>
      <c r="AZ34" s="16">
        <f t="shared" si="13"/>
        <v>0</v>
      </c>
      <c r="BA34" s="58"/>
      <c r="BB34" s="58"/>
      <c r="BC34" s="15"/>
      <c r="BD34" s="57">
        <f t="shared" si="14"/>
        <v>0</v>
      </c>
      <c r="BE34" s="82"/>
      <c r="BF34" s="29">
        <f t="shared" si="6"/>
        <v>0</v>
      </c>
      <c r="BG34" s="29">
        <v>11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VLOOKUP(A35,[18]HISTOBQUEJANV23!$A$6:$G$44,3,0)</f>
        <v>40000</v>
      </c>
      <c r="E35" s="9">
        <f>VLOOKUP(A35,[18]HISTOBQUEJANV23!$A$6:$G$39,4,0)</f>
        <v>0</v>
      </c>
      <c r="F35" s="9">
        <f>VLOOKUP(A35,[18]HISTOBQUEJANV23!$A$6:$G$39,5,0)</f>
        <v>0</v>
      </c>
      <c r="G35" s="5">
        <f t="shared" si="15"/>
        <v>0</v>
      </c>
      <c r="H35" s="10" t="str">
        <f t="shared" si="1"/>
        <v>BANQUE</v>
      </c>
      <c r="I35" s="10"/>
      <c r="J35" s="11">
        <v>1</v>
      </c>
      <c r="K35" s="11">
        <f t="shared" si="16"/>
        <v>40000</v>
      </c>
      <c r="L35" s="6"/>
      <c r="M35" s="11">
        <f t="shared" si="2"/>
        <v>0</v>
      </c>
      <c r="N35" s="6"/>
      <c r="O35" s="11">
        <f t="shared" si="3"/>
        <v>0</v>
      </c>
      <c r="P35" s="20"/>
      <c r="Q35" s="2"/>
      <c r="R35" s="20"/>
      <c r="S35" s="20"/>
      <c r="T35" s="12"/>
      <c r="U35" s="17">
        <f t="shared" si="17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9"/>
        <v>15000</v>
      </c>
      <c r="AT35" s="15"/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3"/>
        <v>0</v>
      </c>
      <c r="BA35" s="58"/>
      <c r="BB35" s="58"/>
      <c r="BC35" s="15"/>
      <c r="BD35" s="57">
        <f t="shared" si="14"/>
        <v>0</v>
      </c>
      <c r="BE35" s="82"/>
      <c r="BF35" s="29">
        <f t="shared" si="6"/>
        <v>0</v>
      </c>
      <c r="BG35" s="29">
        <v>11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VLOOKUP(A36,[18]HISTOBQUEJANV23!$A$6:$G$44,3,0)</f>
        <v>290000</v>
      </c>
      <c r="E36" s="9">
        <f>VLOOKUP(A36,[18]HISTOBQUEJANV23!$A$6:$G$39,4,0)</f>
        <v>0</v>
      </c>
      <c r="F36" s="9">
        <f>VLOOKUP(A36,[18]HISTOBQUEJANV23!$A$6:$G$39,5,0)</f>
        <v>0</v>
      </c>
      <c r="G36" s="5">
        <f t="shared" si="15"/>
        <v>0</v>
      </c>
      <c r="H36" s="10" t="str">
        <f t="shared" si="1"/>
        <v>BANQUE</v>
      </c>
      <c r="I36" s="10"/>
      <c r="J36" s="11">
        <v>1</v>
      </c>
      <c r="K36" s="11">
        <f t="shared" si="16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6"/>
      <c r="Q36" s="2">
        <f>VLOOKUP(A36,[13]TONTJANV23!$A$7:$P$20,10,0)</f>
        <v>0</v>
      </c>
      <c r="R36" s="6"/>
      <c r="S36" s="6"/>
      <c r="T36" s="12"/>
      <c r="U36" s="17">
        <f t="shared" si="17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9"/>
        <v>15000</v>
      </c>
      <c r="AT36" s="15"/>
      <c r="AV36" s="15"/>
      <c r="AW36" s="15">
        <f t="shared" si="10"/>
        <v>0</v>
      </c>
      <c r="AX36" s="15">
        <f t="shared" si="11"/>
        <v>0</v>
      </c>
      <c r="AY36" s="15">
        <f t="shared" si="12"/>
        <v>0</v>
      </c>
      <c r="AZ36" s="16">
        <f t="shared" si="13"/>
        <v>0</v>
      </c>
      <c r="BA36" s="58"/>
      <c r="BB36" s="58"/>
      <c r="BC36" s="15"/>
      <c r="BD36" s="57">
        <f t="shared" si="14"/>
        <v>0</v>
      </c>
      <c r="BE36" s="82"/>
      <c r="BF36" s="29">
        <f t="shared" si="6"/>
        <v>0</v>
      </c>
      <c r="BG36" s="29">
        <v>11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27">SUM(C6:C37)</f>
        <v>35000</v>
      </c>
      <c r="D38" s="5">
        <f t="shared" si="27"/>
        <v>3640000</v>
      </c>
      <c r="E38" s="5">
        <f t="shared" si="27"/>
        <v>589000</v>
      </c>
      <c r="F38" s="5">
        <f t="shared" si="27"/>
        <v>210000</v>
      </c>
      <c r="G38" s="5">
        <f t="shared" si="27"/>
        <v>0</v>
      </c>
      <c r="H38" s="5">
        <f t="shared" si="27"/>
        <v>0</v>
      </c>
      <c r="I38" s="5">
        <f t="shared" si="27"/>
        <v>244000</v>
      </c>
      <c r="J38" s="5">
        <f t="shared" si="27"/>
        <v>30</v>
      </c>
      <c r="K38" s="5">
        <f t="shared" si="27"/>
        <v>1200000</v>
      </c>
      <c r="L38" s="5">
        <f t="shared" si="27"/>
        <v>17</v>
      </c>
      <c r="M38" s="5">
        <f t="shared" si="27"/>
        <v>1275000</v>
      </c>
      <c r="N38" s="5">
        <f t="shared" si="27"/>
        <v>14</v>
      </c>
      <c r="O38" s="5">
        <f t="shared" si="27"/>
        <v>1400000</v>
      </c>
      <c r="P38" s="5">
        <f t="shared" si="27"/>
        <v>0</v>
      </c>
      <c r="Q38" s="5">
        <f t="shared" si="27"/>
        <v>0</v>
      </c>
      <c r="R38" s="5">
        <f t="shared" si="27"/>
        <v>0</v>
      </c>
      <c r="S38" s="5">
        <f t="shared" si="27"/>
        <v>0</v>
      </c>
      <c r="T38" s="5"/>
      <c r="U38" s="5">
        <f t="shared" ref="U38:AA38" si="28">SUM(U6:U37)</f>
        <v>4194000</v>
      </c>
      <c r="V38" s="5">
        <f t="shared" si="28"/>
        <v>0</v>
      </c>
      <c r="W38" s="5">
        <f t="shared" si="28"/>
        <v>75000</v>
      </c>
      <c r="X38" s="5">
        <f t="shared" si="28"/>
        <v>0</v>
      </c>
      <c r="Y38" s="5">
        <f t="shared" si="28"/>
        <v>0</v>
      </c>
      <c r="Z38" s="5">
        <f t="shared" si="28"/>
        <v>0</v>
      </c>
      <c r="AA38" s="5">
        <f t="shared" si="28"/>
        <v>0</v>
      </c>
      <c r="AB38" s="5"/>
      <c r="AC38" s="5">
        <f>SUM(AC6:AC37)</f>
        <v>85000</v>
      </c>
      <c r="AD38" s="5">
        <f>SUM(AD6:AD37)</f>
        <v>105000</v>
      </c>
      <c r="AE38" s="5">
        <f>SUM(AE6:AE37)</f>
        <v>375000</v>
      </c>
      <c r="AF38" s="5">
        <f>SUM(AF6:AF37)</f>
        <v>0</v>
      </c>
      <c r="AG38" s="5">
        <f>SUM(AG6:AG37)</f>
        <v>0</v>
      </c>
      <c r="AH38" s="5"/>
      <c r="AI38" s="5">
        <f t="shared" ref="AI38:BE38" si="29">SUM(AI6:AI37)</f>
        <v>235000</v>
      </c>
      <c r="AJ38" s="5">
        <f t="shared" si="29"/>
        <v>405000</v>
      </c>
      <c r="AK38" s="5">
        <f t="shared" si="29"/>
        <v>325000</v>
      </c>
      <c r="AL38" s="5">
        <f t="shared" si="29"/>
        <v>9000</v>
      </c>
      <c r="AM38" s="5">
        <f t="shared" si="29"/>
        <v>8000</v>
      </c>
      <c r="AN38" s="5">
        <f t="shared" si="29"/>
        <v>13000</v>
      </c>
      <c r="AO38" s="5">
        <f t="shared" si="29"/>
        <v>0</v>
      </c>
      <c r="AP38" s="5">
        <f t="shared" si="29"/>
        <v>0</v>
      </c>
      <c r="AQ38" s="5">
        <f t="shared" si="29"/>
        <v>0</v>
      </c>
      <c r="AR38" s="5">
        <f t="shared" si="29"/>
        <v>0</v>
      </c>
      <c r="AS38" s="5">
        <f t="shared" si="29"/>
        <v>694000</v>
      </c>
      <c r="AT38" s="5">
        <f t="shared" si="29"/>
        <v>35000</v>
      </c>
      <c r="AU38" s="5">
        <f t="shared" si="29"/>
        <v>0</v>
      </c>
      <c r="AV38" s="5">
        <f t="shared" si="29"/>
        <v>0</v>
      </c>
      <c r="AW38" s="5">
        <f t="shared" si="29"/>
        <v>750000</v>
      </c>
      <c r="AX38" s="5">
        <f t="shared" si="29"/>
        <v>1200000</v>
      </c>
      <c r="AY38" s="5">
        <f t="shared" si="29"/>
        <v>3550000</v>
      </c>
      <c r="AZ38" s="5">
        <f t="shared" si="29"/>
        <v>5396000</v>
      </c>
      <c r="BA38" s="5">
        <f t="shared" si="29"/>
        <v>490000</v>
      </c>
      <c r="BB38" s="5">
        <f t="shared" si="29"/>
        <v>210000</v>
      </c>
      <c r="BC38" s="5">
        <f t="shared" si="29"/>
        <v>0</v>
      </c>
      <c r="BD38" s="5">
        <f t="shared" si="29"/>
        <v>4906000</v>
      </c>
      <c r="BE38" s="5">
        <f t="shared" si="29"/>
        <v>4906000</v>
      </c>
      <c r="BF38" s="5">
        <f>SUM(BF6:BF37)</f>
        <v>0</v>
      </c>
      <c r="BH38" s="5">
        <f t="shared" ref="BH38:BL38" si="30">SUM(BH6:BH37)</f>
        <v>6000</v>
      </c>
      <c r="BI38" s="5">
        <f t="shared" si="30"/>
        <v>0</v>
      </c>
      <c r="BJ38" s="5">
        <f t="shared" si="30"/>
        <v>0</v>
      </c>
      <c r="BK38" s="5">
        <f t="shared" si="30"/>
        <v>100000</v>
      </c>
      <c r="BL38" s="5">
        <f t="shared" si="30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Y40" t="s">
        <v>134</v>
      </c>
      <c r="Z40" s="12">
        <v>428899</v>
      </c>
      <c r="AW40" s="15"/>
      <c r="AX40" s="15"/>
      <c r="AY40" s="15"/>
      <c r="AZ40" s="16"/>
      <c r="BA40">
        <v>619000</v>
      </c>
      <c r="BD40" t="s">
        <v>177</v>
      </c>
      <c r="BE40">
        <v>5024000</v>
      </c>
    </row>
    <row r="41" spans="1:68" ht="18.75" x14ac:dyDescent="0.3">
      <c r="B41" s="21" t="s">
        <v>157</v>
      </c>
      <c r="H41" s="1"/>
      <c r="I41" s="1"/>
      <c r="Y41" t="s">
        <v>135</v>
      </c>
      <c r="Z41" s="12">
        <v>805000</v>
      </c>
      <c r="AW41" s="15"/>
      <c r="AX41" s="15"/>
      <c r="AY41" s="15"/>
      <c r="AZ41" s="16">
        <v>5024000</v>
      </c>
      <c r="BC41" t="s">
        <v>179</v>
      </c>
      <c r="BD41" s="70">
        <v>257000</v>
      </c>
      <c r="BE41" s="6">
        <f>+BE40-BE38</f>
        <v>118000</v>
      </c>
      <c r="BN41" t="s">
        <v>129</v>
      </c>
      <c r="BO41" t="s">
        <v>50</v>
      </c>
    </row>
    <row r="42" spans="1:68" ht="18.75" x14ac:dyDescent="0.3">
      <c r="C42" s="3" t="s">
        <v>8</v>
      </c>
      <c r="D42" s="63"/>
      <c r="E42" s="63"/>
      <c r="F42" s="3" t="s">
        <v>9</v>
      </c>
      <c r="G42" s="63"/>
      <c r="H42" s="63"/>
      <c r="I42" s="64"/>
      <c r="Y42" t="s">
        <v>136</v>
      </c>
      <c r="Z42" s="12">
        <v>243805</v>
      </c>
      <c r="AI42" s="5"/>
      <c r="AV42" s="3"/>
      <c r="AW42" s="63"/>
      <c r="AX42" s="15"/>
      <c r="AY42" s="15"/>
      <c r="AZ42" s="16"/>
      <c r="BN42" t="s">
        <v>171</v>
      </c>
      <c r="BP42">
        <v>257000</v>
      </c>
    </row>
    <row r="43" spans="1:68" ht="18.75" x14ac:dyDescent="0.3">
      <c r="B43" s="1" t="s">
        <v>74</v>
      </c>
      <c r="C43" s="1" t="s">
        <v>76</v>
      </c>
      <c r="D43" s="1" t="s">
        <v>75</v>
      </c>
      <c r="E43" s="1" t="s">
        <v>77</v>
      </c>
      <c r="F43" s="1" t="s">
        <v>75</v>
      </c>
      <c r="G43" s="1" t="s">
        <v>76</v>
      </c>
      <c r="H43" s="1" t="s">
        <v>77</v>
      </c>
      <c r="I43" s="1"/>
      <c r="J43" s="1"/>
      <c r="K43" s="1"/>
      <c r="Y43" t="s">
        <v>137</v>
      </c>
      <c r="Z43" s="12">
        <v>51454</v>
      </c>
      <c r="AI43" s="5"/>
      <c r="AW43" s="15"/>
      <c r="AX43" s="15"/>
      <c r="AY43" s="15"/>
      <c r="AZ43" s="16"/>
      <c r="BN43" s="62" t="s">
        <v>142</v>
      </c>
      <c r="BP43" s="62">
        <f>SUM(BP40:BP42)</f>
        <v>257000</v>
      </c>
    </row>
    <row r="44" spans="1:68" ht="18.75" x14ac:dyDescent="0.3">
      <c r="B44" s="1" t="s">
        <v>78</v>
      </c>
      <c r="AW44" s="15"/>
      <c r="AX44" s="15"/>
      <c r="AY44" s="15"/>
      <c r="AZ44" s="16"/>
    </row>
    <row r="45" spans="1:68" ht="18.75" x14ac:dyDescent="0.3">
      <c r="B45" s="1" t="s">
        <v>79</v>
      </c>
      <c r="C45" s="14">
        <f>AZ38</f>
        <v>5396000</v>
      </c>
      <c r="D45" s="9">
        <f>SUMIFS(D8:D38,H8:H38,"BANQUE")</f>
        <v>3465000</v>
      </c>
      <c r="F45" s="9">
        <f>E38</f>
        <v>589000</v>
      </c>
      <c r="G45" s="14"/>
      <c r="J45" s="5"/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3" spans="49:52" ht="18" x14ac:dyDescent="0.25">
      <c r="AW83" s="5"/>
      <c r="AX83" s="5"/>
      <c r="AY83" s="5"/>
      <c r="AZ83" s="5">
        <f>SUM(AZ8:AZ82)</f>
        <v>15710000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V83"/>
  <sheetViews>
    <sheetView zoomScaleNormal="100" workbookViewId="0">
      <pane xSplit="4" ySplit="5" topLeftCell="V18" activePane="bottomRight" state="frozen"/>
      <selection pane="topRight" activeCell="E1" sqref="E1"/>
      <selection pane="bottomLeft" activeCell="A6" sqref="A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9" x14ac:dyDescent="0.25">
      <c r="A1" s="1" t="s">
        <v>2</v>
      </c>
      <c r="B1" s="1" t="s">
        <v>3</v>
      </c>
      <c r="C1" s="1"/>
    </row>
    <row r="2" spans="1:69" x14ac:dyDescent="0.25">
      <c r="A2" s="1" t="s">
        <v>4</v>
      </c>
      <c r="B2" s="1">
        <v>2023</v>
      </c>
      <c r="C2" s="1"/>
    </row>
    <row r="3" spans="1:69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9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9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VLOOKUP(A6,[18]HISTOBQUEJANV23!$A$6:$G$44,3,0)</f>
        <v>175000</v>
      </c>
      <c r="E6" s="9">
        <f>VLOOKUP(A6,[18]HISTOBQUEJANV23!$A$6:$G$39,4,0)</f>
        <v>0</v>
      </c>
      <c r="F6" s="9">
        <f>VLOOKUP(A6,[18]HISTOBQUEJANV23!$A$6:$G$39,5,0)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0"/>
      <c r="Q6" s="2"/>
      <c r="R6" s="20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106000</v>
      </c>
      <c r="BF6" s="29">
        <f t="shared" ref="BF6:BF36" si="6">Z6*1/100*BG6</f>
        <v>0</v>
      </c>
      <c r="BG6" s="29">
        <v>11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9" ht="18.75" x14ac:dyDescent="0.3">
      <c r="A7" s="1" t="s">
        <v>161</v>
      </c>
      <c r="B7" s="1" t="str">
        <f>VLOOKUP(A7,[17]LISTADHERENT!A$5:H$39,3,0)</f>
        <v>BAKOP ACHILLE</v>
      </c>
      <c r="C7" s="9">
        <f t="shared" si="0"/>
        <v>0</v>
      </c>
      <c r="D7" s="9">
        <f>VLOOKUP(A7,[18]HISTOBQUEJANV23!$A$6:$G$44,3,0)</f>
        <v>0</v>
      </c>
      <c r="E7" s="9">
        <f>VLOOKUP(A7,[18]HISTOBQUEJANV23!$A$6:$G$39,4,0)</f>
        <v>104000</v>
      </c>
      <c r="F7" s="9">
        <f>VLOOKUP(A7,[18]HISTOBQUEJANV23!$A$6:$G$39,5,0)</f>
        <v>0</v>
      </c>
      <c r="G7" s="5">
        <f>IF(H7="ESPECES",3000,0)-3000</f>
        <v>0</v>
      </c>
      <c r="H7" s="10" t="str">
        <f t="shared" si="1"/>
        <v>ESPECES</v>
      </c>
      <c r="I7" s="10">
        <v>64000</v>
      </c>
      <c r="J7" s="11">
        <v>1</v>
      </c>
      <c r="K7" s="11">
        <f>IF($D7&lt;&gt;0,J7*40000,IF($E7&lt;&gt;0,J7*40000,0))</f>
        <v>40000</v>
      </c>
      <c r="L7" s="6"/>
      <c r="M7" s="11">
        <f t="shared" ref="M7" si="7">IF($D7&lt;&gt;0,L7*75000,IF($E7&lt;&gt;0,L7*75000,0))</f>
        <v>0</v>
      </c>
      <c r="N7" s="6"/>
      <c r="O7" s="11">
        <f t="shared" ref="O7" si="8">IF($D7&lt;&gt;0,N7*100000,IF($E7&lt;&gt;0,N7*100000,0))</f>
        <v>0</v>
      </c>
      <c r="P7" s="20"/>
      <c r="Q7" s="2"/>
      <c r="R7" s="20"/>
      <c r="S7" s="20"/>
      <c r="T7" s="12"/>
      <c r="U7" s="17">
        <f>G7+S7++R7+P7+O7+M7+I7+K7+Q7+V7+W7</f>
        <v>104000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9">IF(H7="ECHEC",0,(K7+I7-25000))</f>
        <v>79000</v>
      </c>
      <c r="AT7" s="15"/>
      <c r="AV7" s="15"/>
      <c r="AW7" s="15">
        <f t="shared" ref="AW7:AW36" si="10">IF(AC7=0,AI7,(1*25000*12)+AI7-AC7)</f>
        <v>0</v>
      </c>
      <c r="AX7" s="15">
        <f t="shared" ref="AX7:AX36" si="11">IF(AD7=0,AJ7,(1*75000*12)+(AJ7)-AD7)</f>
        <v>0</v>
      </c>
      <c r="AY7" s="15">
        <f t="shared" ref="AY7:AY36" si="12">IF(AE7=0,AK7,(1*100000*12)+(AK7)-AE7)</f>
        <v>0</v>
      </c>
      <c r="AZ7" s="16">
        <f t="shared" ref="AZ7:AZ36" si="13">SUM(AV7:AY7)-BF7+Z7-F7+BH7+BI7+BJ7+BK7+BL7+BM7</f>
        <v>0</v>
      </c>
      <c r="BA7" s="58"/>
      <c r="BB7" s="58"/>
      <c r="BC7" s="15"/>
      <c r="BD7" s="57">
        <f t="shared" ref="BD7:BD36" si="14">IF(AZ7=0,(AZ7-BA7-BC7),(AZ7-BA7-BB7-BC7))+F7</f>
        <v>0</v>
      </c>
      <c r="BE7" s="82"/>
      <c r="BF7" s="29">
        <f t="shared" si="6"/>
        <v>0</v>
      </c>
      <c r="BG7" s="29">
        <v>11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9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VLOOKUP(A8,[18]HISTOBQUEJANV23!$A$6:$G$44,3,0)</f>
        <v>105000</v>
      </c>
      <c r="E8" s="9">
        <f>VLOOKUP(A8,[18]HISTOBQUEJANV23!$A$6:$G$39,4,0)</f>
        <v>10000</v>
      </c>
      <c r="F8" s="9">
        <f>VLOOKUP(A8,[18]HISTOBQUEJANV23!$A$6:$G$39,5,0)</f>
        <v>0</v>
      </c>
      <c r="G8" s="5">
        <f t="shared" ref="G8:G36" si="15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6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0"/>
      <c r="Q8" s="2">
        <f>VLOOKUP(A8,[13]TONTJANV23!$A$7:$P$20,10,0)</f>
        <v>0</v>
      </c>
      <c r="R8" s="2"/>
      <c r="S8" s="20"/>
      <c r="T8" s="12"/>
      <c r="U8" s="17">
        <f t="shared" ref="U8:U36" si="17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9"/>
        <v>15000</v>
      </c>
      <c r="AT8" s="15"/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si="13"/>
        <v>0</v>
      </c>
      <c r="BA8" s="58"/>
      <c r="BB8" s="58"/>
      <c r="BC8" s="15"/>
      <c r="BD8" s="57">
        <f t="shared" si="14"/>
        <v>0</v>
      </c>
      <c r="BE8" s="82"/>
      <c r="BF8" s="29">
        <f t="shared" si="6"/>
        <v>0</v>
      </c>
      <c r="BG8" s="29">
        <v>11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9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VLOOKUP(A9,[18]HISTOBQUEJANV23!$A$6:$G$44,3,0)</f>
        <v>160000</v>
      </c>
      <c r="E9" s="9">
        <f>VLOOKUP(A9,[18]HISTOBQUEJANV23!$A$6:$G$39,4,0)</f>
        <v>0</v>
      </c>
      <c r="F9" s="9">
        <f>VLOOKUP(A9,[18]HISTOBQUEJANV23!$A$6:$G$39,5,0)+140000</f>
        <v>140000</v>
      </c>
      <c r="G9" s="5">
        <f t="shared" si="15"/>
        <v>0</v>
      </c>
      <c r="H9" s="10" t="str">
        <f t="shared" si="1"/>
        <v>BANQUE</v>
      </c>
      <c r="I9" s="10">
        <v>20000</v>
      </c>
      <c r="J9" s="11">
        <v>1</v>
      </c>
      <c r="K9" s="11">
        <f t="shared" si="16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0"/>
      <c r="Q9" s="2"/>
      <c r="R9" s="20"/>
      <c r="S9" s="20"/>
      <c r="T9" s="12"/>
      <c r="U9" s="17">
        <f t="shared" si="17"/>
        <v>160000</v>
      </c>
      <c r="V9" s="12"/>
      <c r="W9" s="12"/>
      <c r="X9" s="12"/>
      <c r="Y9" s="12"/>
      <c r="Z9" s="12"/>
      <c r="AA9" s="12"/>
      <c r="AB9" s="12"/>
      <c r="AC9" s="12">
        <v>45000</v>
      </c>
      <c r="AD9" s="12"/>
      <c r="AE9" s="12"/>
      <c r="AF9" s="12" t="s">
        <v>8</v>
      </c>
      <c r="AG9" s="12"/>
      <c r="AH9" s="12"/>
      <c r="AI9" s="12"/>
      <c r="AJ9" s="12"/>
      <c r="AK9" s="12">
        <v>50000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9"/>
        <v>35000</v>
      </c>
      <c r="AT9" s="15"/>
      <c r="AV9" s="15"/>
      <c r="AW9" s="15">
        <f t="shared" si="10"/>
        <v>255000</v>
      </c>
      <c r="AX9" s="15">
        <f t="shared" si="11"/>
        <v>0</v>
      </c>
      <c r="AY9" s="15">
        <f t="shared" si="12"/>
        <v>50000</v>
      </c>
      <c r="AZ9" s="16">
        <f t="shared" si="13"/>
        <v>165000</v>
      </c>
      <c r="BA9" s="58">
        <v>50000</v>
      </c>
      <c r="BB9" s="58">
        <v>140000</v>
      </c>
      <c r="BC9" s="15"/>
      <c r="BD9" s="57">
        <f t="shared" si="14"/>
        <v>115000</v>
      </c>
      <c r="BE9" s="82">
        <v>115000</v>
      </c>
      <c r="BF9" s="29">
        <f t="shared" si="6"/>
        <v>0</v>
      </c>
      <c r="BG9" s="29">
        <v>11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  <c r="BQ9">
        <v>115000</v>
      </c>
    </row>
    <row r="10" spans="1:69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VLOOKUP(A10,[18]HISTOBQUEJANV23!$A$6:$G$44,3,0)</f>
        <v>40000</v>
      </c>
      <c r="E10" s="9">
        <f>VLOOKUP(A10,[18]HISTOBQUEJANV23!$A$6:$G$39,4,0)</f>
        <v>0</v>
      </c>
      <c r="F10" s="9">
        <f>VLOOKUP(A10,[18]HISTOBQUEJANV23!$A$6:$G$39,5,0)</f>
        <v>0</v>
      </c>
      <c r="G10" s="5">
        <f t="shared" si="15"/>
        <v>0</v>
      </c>
      <c r="H10" s="10" t="str">
        <f t="shared" si="1"/>
        <v>BANQUE</v>
      </c>
      <c r="I10" s="10"/>
      <c r="J10" s="11">
        <v>1</v>
      </c>
      <c r="K10" s="11">
        <f t="shared" si="16"/>
        <v>40000</v>
      </c>
      <c r="L10" s="6"/>
      <c r="M10" s="11">
        <f t="shared" si="2"/>
        <v>0</v>
      </c>
      <c r="N10" s="6"/>
      <c r="O10" s="11">
        <f t="shared" si="3"/>
        <v>0</v>
      </c>
      <c r="P10" s="20"/>
      <c r="Q10" s="2"/>
      <c r="R10" s="20"/>
      <c r="S10" s="20"/>
      <c r="T10" s="12"/>
      <c r="U10" s="17">
        <f t="shared" si="17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60000</v>
      </c>
      <c r="AJ10" s="12"/>
      <c r="AK10" s="12"/>
      <c r="AL10" s="12">
        <v>3000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9"/>
        <v>15000</v>
      </c>
      <c r="AT10" s="15"/>
      <c r="AV10" s="15"/>
      <c r="AW10" s="15">
        <f t="shared" si="10"/>
        <v>60000</v>
      </c>
      <c r="AX10" s="15">
        <f t="shared" si="11"/>
        <v>0</v>
      </c>
      <c r="AY10" s="15">
        <f t="shared" si="12"/>
        <v>0</v>
      </c>
      <c r="AZ10" s="16">
        <f t="shared" si="13"/>
        <v>60000</v>
      </c>
      <c r="BA10" s="58">
        <v>60000</v>
      </c>
      <c r="BB10" s="58"/>
      <c r="BC10" s="15"/>
      <c r="BD10" s="57">
        <f t="shared" si="14"/>
        <v>0</v>
      </c>
      <c r="BE10" s="82"/>
      <c r="BF10" s="29">
        <f t="shared" si="6"/>
        <v>0</v>
      </c>
      <c r="BG10" s="29">
        <v>11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9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VLOOKUP(A11,[18]HISTOBQUEJANV23!$A$6:$G$44,3,0)</f>
        <v>115000</v>
      </c>
      <c r="E11" s="9">
        <f>VLOOKUP(A11,[18]HISTOBQUEJANV23!$A$6:$G$39,4,0)</f>
        <v>0</v>
      </c>
      <c r="F11" s="9">
        <f>VLOOKUP(A11,[18]HISTOBQUEJANV23!$A$6:$G$39,5,0)</f>
        <v>0</v>
      </c>
      <c r="G11" s="5">
        <f t="shared" si="15"/>
        <v>0</v>
      </c>
      <c r="H11" s="10" t="str">
        <f t="shared" si="1"/>
        <v>BANQUE</v>
      </c>
      <c r="I11" s="10"/>
      <c r="J11" s="11">
        <v>1</v>
      </c>
      <c r="K11" s="11">
        <f t="shared" si="16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0"/>
      <c r="Q11" s="2">
        <f>VLOOKUP(A11,[13]TONTJANV23!$A$7:$P$20,10,0)</f>
        <v>0</v>
      </c>
      <c r="R11" s="20"/>
      <c r="S11" s="20"/>
      <c r="T11" s="12"/>
      <c r="U11" s="17">
        <f t="shared" si="17"/>
        <v>115000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60000</v>
      </c>
      <c r="AJ11" s="12"/>
      <c r="AK11" s="12"/>
      <c r="AL11" s="12">
        <v>2000</v>
      </c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9"/>
        <v>15000</v>
      </c>
      <c r="AT11" s="15"/>
      <c r="AV11" s="15"/>
      <c r="AW11" s="15">
        <f t="shared" si="10"/>
        <v>60000</v>
      </c>
      <c r="AX11" s="15">
        <f t="shared" si="11"/>
        <v>0</v>
      </c>
      <c r="AY11" s="15">
        <f t="shared" si="12"/>
        <v>0</v>
      </c>
      <c r="AZ11" s="16">
        <f t="shared" si="13"/>
        <v>60000</v>
      </c>
      <c r="BA11" s="58">
        <v>60000</v>
      </c>
      <c r="BB11" s="58"/>
      <c r="BC11" s="15"/>
      <c r="BD11" s="57">
        <f t="shared" si="14"/>
        <v>0</v>
      </c>
      <c r="BE11" s="82"/>
      <c r="BF11" s="29">
        <f t="shared" si="6"/>
        <v>0</v>
      </c>
      <c r="BG11" s="29">
        <v>11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9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VLOOKUP(A12,[18]HISTOBQUEJANV23!$A$6:$G$44,3,0)</f>
        <v>320000</v>
      </c>
      <c r="E12" s="9">
        <f>VLOOKUP(A12,[18]HISTOBQUEJANV23!$A$6:$G$39,4,0)</f>
        <v>0</v>
      </c>
      <c r="F12" s="9">
        <f>VLOOKUP(A12,[18]HISTOBQUEJANV23!$A$6:$G$39,5,0)</f>
        <v>0</v>
      </c>
      <c r="G12" s="5">
        <f t="shared" si="15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6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0"/>
      <c r="Q12" s="2">
        <f>VLOOKUP(A12,[13]TONTJANV23!$A$7:$P$20,10,0)</f>
        <v>0</v>
      </c>
      <c r="R12" s="20"/>
      <c r="S12" s="20"/>
      <c r="T12" s="12"/>
      <c r="U12" s="17">
        <f t="shared" si="17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9"/>
        <v>20000</v>
      </c>
      <c r="AT12" s="15"/>
      <c r="AV12" s="15"/>
      <c r="AW12" s="15">
        <f t="shared" si="10"/>
        <v>0</v>
      </c>
      <c r="AX12" s="15">
        <f t="shared" si="11"/>
        <v>0</v>
      </c>
      <c r="AY12" s="15">
        <f t="shared" si="12"/>
        <v>0</v>
      </c>
      <c r="AZ12" s="16">
        <f t="shared" si="13"/>
        <v>0</v>
      </c>
      <c r="BA12" s="58"/>
      <c r="BB12" s="58"/>
      <c r="BC12" s="15"/>
      <c r="BD12" s="57">
        <f t="shared" si="14"/>
        <v>0</v>
      </c>
      <c r="BE12" s="82"/>
      <c r="BF12" s="29">
        <f t="shared" si="6"/>
        <v>0</v>
      </c>
      <c r="BG12" s="29">
        <v>11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9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VLOOKUP(A13,[18]HISTOBQUEJANV23!$A$6:$G$44,3,0)</f>
        <v>40000</v>
      </c>
      <c r="E13" s="9">
        <f>VLOOKUP(A13,[18]HISTOBQUEJANV23!$A$6:$G$39,4,0)</f>
        <v>0</v>
      </c>
      <c r="F13" s="9">
        <f>VLOOKUP(A13,[18]HISTOBQUEJANV23!$A$6:$G$39,5,0)</f>
        <v>0</v>
      </c>
      <c r="G13" s="5">
        <f t="shared" si="15"/>
        <v>0</v>
      </c>
      <c r="H13" s="10" t="str">
        <f t="shared" si="1"/>
        <v>BANQUE</v>
      </c>
      <c r="I13" s="10"/>
      <c r="J13" s="11">
        <v>1</v>
      </c>
      <c r="K13" s="11">
        <f t="shared" si="16"/>
        <v>40000</v>
      </c>
      <c r="L13" s="6"/>
      <c r="M13" s="11">
        <f t="shared" si="2"/>
        <v>0</v>
      </c>
      <c r="N13" s="6"/>
      <c r="O13" s="11">
        <f t="shared" si="3"/>
        <v>0</v>
      </c>
      <c r="P13" s="20"/>
      <c r="Q13" s="2"/>
      <c r="R13" s="20"/>
      <c r="S13" s="20"/>
      <c r="T13" s="12"/>
      <c r="U13" s="17">
        <f t="shared" si="17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9"/>
        <v>15000</v>
      </c>
      <c r="AT13" s="15"/>
      <c r="AV13" s="15"/>
      <c r="AW13" s="15">
        <f t="shared" si="10"/>
        <v>0</v>
      </c>
      <c r="AX13" s="15">
        <f t="shared" si="11"/>
        <v>0</v>
      </c>
      <c r="AY13" s="15">
        <f t="shared" si="12"/>
        <v>0</v>
      </c>
      <c r="AZ13" s="16">
        <f t="shared" si="13"/>
        <v>0</v>
      </c>
      <c r="BA13" s="58"/>
      <c r="BB13" s="58"/>
      <c r="BC13" s="15"/>
      <c r="BD13" s="57">
        <f t="shared" si="14"/>
        <v>0</v>
      </c>
      <c r="BE13" s="82"/>
      <c r="BF13" s="29">
        <f t="shared" si="6"/>
        <v>0</v>
      </c>
      <c r="BG13" s="29">
        <v>11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9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VLOOKUP(A14,[18]HISTOBQUEJANV23!$A$6:$G$44,3,0)</f>
        <v>40000</v>
      </c>
      <c r="E14" s="9">
        <f>VLOOKUP(A14,[18]HISTOBQUEJANV23!$A$6:$G$39,4,0)</f>
        <v>0</v>
      </c>
      <c r="F14" s="9">
        <f>VLOOKUP(A14,[18]HISTOBQUEJANV23!$A$6:$G$39,5,0)</f>
        <v>0</v>
      </c>
      <c r="G14" s="5">
        <f t="shared" si="15"/>
        <v>0</v>
      </c>
      <c r="H14" s="10" t="str">
        <f t="shared" si="1"/>
        <v>BANQUE</v>
      </c>
      <c r="I14" s="10"/>
      <c r="J14" s="11">
        <v>1</v>
      </c>
      <c r="K14" s="11">
        <f t="shared" si="16"/>
        <v>40000</v>
      </c>
      <c r="L14" s="6"/>
      <c r="M14" s="11">
        <f t="shared" si="2"/>
        <v>0</v>
      </c>
      <c r="N14" s="6"/>
      <c r="O14" s="11">
        <f t="shared" si="3"/>
        <v>0</v>
      </c>
      <c r="P14" s="20"/>
      <c r="Q14" s="2"/>
      <c r="R14" s="20"/>
      <c r="S14" s="20"/>
      <c r="T14" s="12"/>
      <c r="U14" s="17">
        <f t="shared" si="1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9"/>
        <v>15000</v>
      </c>
      <c r="AT14" s="15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3"/>
        <v>0</v>
      </c>
      <c r="BA14" s="58"/>
      <c r="BB14" s="58"/>
      <c r="BC14" s="15"/>
      <c r="BD14" s="57">
        <f t="shared" si="14"/>
        <v>0</v>
      </c>
      <c r="BE14" s="82"/>
      <c r="BF14" s="29">
        <f t="shared" si="6"/>
        <v>0</v>
      </c>
      <c r="BG14" s="29">
        <v>11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9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VLOOKUP(A15,[18]HISTOBQUEJANV23!$A$6:$G$44,3,0)</f>
        <v>115000</v>
      </c>
      <c r="E15" s="9">
        <f>VLOOKUP(A15,[18]HISTOBQUEJANV23!$A$6:$G$39,4,0)</f>
        <v>0</v>
      </c>
      <c r="F15" s="9">
        <f>VLOOKUP(A15,[18]HISTOBQUEJANV23!$A$6:$G$39,5,0)</f>
        <v>0</v>
      </c>
      <c r="G15" s="5">
        <f t="shared" si="15"/>
        <v>0</v>
      </c>
      <c r="H15" s="10" t="str">
        <f t="shared" si="1"/>
        <v>BANQUE</v>
      </c>
      <c r="I15" s="10"/>
      <c r="J15" s="11">
        <v>1</v>
      </c>
      <c r="K15" s="11">
        <f t="shared" si="16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0"/>
      <c r="Q15" s="2">
        <f>VLOOKUP(A15,[13]TONTJANV23!$A$7:$P$20,10,0)</f>
        <v>0</v>
      </c>
      <c r="R15" s="20"/>
      <c r="S15" s="20"/>
      <c r="T15" s="12"/>
      <c r="U15" s="17">
        <f t="shared" si="17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9"/>
        <v>15000</v>
      </c>
      <c r="AT15" s="15"/>
      <c r="AV15" s="15"/>
      <c r="AW15" s="15">
        <f t="shared" si="10"/>
        <v>0</v>
      </c>
      <c r="AX15" s="15">
        <f t="shared" si="11"/>
        <v>0</v>
      </c>
      <c r="AY15" s="15">
        <f t="shared" si="12"/>
        <v>0</v>
      </c>
      <c r="AZ15" s="16">
        <f t="shared" si="13"/>
        <v>0</v>
      </c>
      <c r="BA15" s="58"/>
      <c r="BB15" s="58"/>
      <c r="BC15" s="15"/>
      <c r="BD15" s="57">
        <f t="shared" si="14"/>
        <v>0</v>
      </c>
      <c r="BE15" s="82"/>
      <c r="BF15" s="29">
        <f t="shared" si="6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9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VLOOKUP(A16,[18]HISTOBQUEJANV23!$A$6:$G$44,3,0)</f>
        <v>250000</v>
      </c>
      <c r="E16" s="9">
        <f>VLOOKUP(A16,[18]HISTOBQUEJANV23!$A$6:$G$39,4,0)</f>
        <v>0</v>
      </c>
      <c r="F16" s="9">
        <f>VLOOKUP(A16,[18]HISTOBQUEJANV23!$A$6:$G$39,5,0)</f>
        <v>0</v>
      </c>
      <c r="G16" s="5">
        <f t="shared" si="15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6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0"/>
      <c r="Q16" s="2">
        <f>VLOOKUP(A16,[13]TONTJANV23!$A$7:$P$20,10,0)</f>
        <v>0</v>
      </c>
      <c r="R16" s="20"/>
      <c r="S16" s="20"/>
      <c r="T16" s="12"/>
      <c r="U16" s="17">
        <f t="shared" si="17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9"/>
        <v>50000</v>
      </c>
      <c r="AT16" s="15"/>
      <c r="AV16" s="15"/>
      <c r="AW16" s="15">
        <f t="shared" si="10"/>
        <v>0</v>
      </c>
      <c r="AX16" s="15">
        <f t="shared" si="11"/>
        <v>0</v>
      </c>
      <c r="AY16" s="15">
        <f t="shared" si="12"/>
        <v>0</v>
      </c>
      <c r="AZ16" s="16">
        <f t="shared" si="13"/>
        <v>0</v>
      </c>
      <c r="BA16" s="58"/>
      <c r="BB16" s="58"/>
      <c r="BC16" s="15"/>
      <c r="BD16" s="57">
        <f t="shared" si="14"/>
        <v>0</v>
      </c>
      <c r="BE16" s="82"/>
      <c r="BF16" s="29">
        <f t="shared" si="6"/>
        <v>0</v>
      </c>
      <c r="BG16" s="29">
        <v>11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74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VLOOKUP(A17,[18]HISTOBQUEJANV23!$A$6:$G$44,3,0)</f>
        <v>140000</v>
      </c>
      <c r="E17" s="9">
        <f>VLOOKUP(A17,[18]HISTOBQUEJANV23!$A$6:$G$39,4,0)</f>
        <v>0</v>
      </c>
      <c r="F17" s="9">
        <f>VLOOKUP(A17,[18]HISTOBQUEJANV23!$A$6:$G$39,5,0)</f>
        <v>0</v>
      </c>
      <c r="G17" s="5">
        <f t="shared" si="15"/>
        <v>0</v>
      </c>
      <c r="H17" s="10" t="str">
        <f t="shared" si="1"/>
        <v>BANQUE</v>
      </c>
      <c r="I17" s="10"/>
      <c r="J17" s="11">
        <v>1</v>
      </c>
      <c r="K17" s="11">
        <f t="shared" si="16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0"/>
      <c r="Q17" s="2"/>
      <c r="R17" s="20"/>
      <c r="S17" s="20"/>
      <c r="T17" s="12"/>
      <c r="U17" s="17">
        <f t="shared" si="17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9"/>
        <v>15000</v>
      </c>
      <c r="AT17" s="15"/>
      <c r="AV17" s="15"/>
      <c r="AW17" s="15">
        <f t="shared" si="10"/>
        <v>0</v>
      </c>
      <c r="AX17" s="15">
        <f t="shared" si="11"/>
        <v>0</v>
      </c>
      <c r="AY17" s="15">
        <f t="shared" si="12"/>
        <v>0</v>
      </c>
      <c r="AZ17" s="16">
        <f t="shared" si="13"/>
        <v>0</v>
      </c>
      <c r="BA17" s="58"/>
      <c r="BB17" s="58"/>
      <c r="BC17" s="15"/>
      <c r="BD17" s="57">
        <f t="shared" si="14"/>
        <v>0</v>
      </c>
      <c r="BE17" s="82"/>
      <c r="BF17" s="29">
        <f t="shared" si="6"/>
        <v>0</v>
      </c>
      <c r="BG17" s="29">
        <v>11</v>
      </c>
      <c r="BH17" s="15"/>
      <c r="BI17" s="15"/>
      <c r="BJ17" s="15"/>
      <c r="BK17" s="15"/>
      <c r="BL17" s="61"/>
      <c r="BN17" s="62"/>
      <c r="BP17" s="6"/>
    </row>
    <row r="18" spans="1:74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VLOOKUP(A18,[18]HISTOBQUEJANV23!$A$6:$G$44,3,0)</f>
        <v>180000</v>
      </c>
      <c r="E18" s="9">
        <f>VLOOKUP(A18,[18]HISTOBQUEJANV23!$A$6:$G$39,4,0)</f>
        <v>35000</v>
      </c>
      <c r="F18" s="9">
        <f>VLOOKUP(A18,[18]HISTOBQUEJANV23!$A$6:$G$39,5,0)+70000</f>
        <v>70000</v>
      </c>
      <c r="G18" s="5">
        <f t="shared" si="15"/>
        <v>0</v>
      </c>
      <c r="H18" s="10" t="str">
        <f t="shared" si="1"/>
        <v>BANQUE</v>
      </c>
      <c r="I18" s="10"/>
      <c r="J18" s="11">
        <v>1</v>
      </c>
      <c r="K18" s="11">
        <f t="shared" si="16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0"/>
      <c r="Q18" s="2">
        <f>VLOOKUP(A18,[13]TONTJANV23!$A$7:$P$20,10,0)</f>
        <v>0</v>
      </c>
      <c r="R18" s="20"/>
      <c r="S18" s="20"/>
      <c r="T18" s="12"/>
      <c r="U18" s="17">
        <f t="shared" si="17"/>
        <v>215000</v>
      </c>
      <c r="V18" s="12"/>
      <c r="W18" s="12"/>
      <c r="X18" s="12"/>
      <c r="Y18" s="12"/>
      <c r="Z18" s="12"/>
      <c r="AA18" s="12"/>
      <c r="AB18" s="12"/>
      <c r="AC18" s="12">
        <v>40000</v>
      </c>
      <c r="AD18" s="12"/>
      <c r="AE18" s="12">
        <v>125000</v>
      </c>
      <c r="AF18" s="12" t="s">
        <v>8</v>
      </c>
      <c r="AG18" s="12"/>
      <c r="AH18" s="12"/>
      <c r="AI18" s="12"/>
      <c r="AJ18" s="12">
        <f>50000+50000</f>
        <v>100000</v>
      </c>
      <c r="AK18" s="12"/>
      <c r="AL18" s="12"/>
      <c r="AM18" s="12">
        <f>1000+1000</f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9"/>
        <v>15000</v>
      </c>
      <c r="AT18" s="15"/>
      <c r="AV18" s="15"/>
      <c r="AW18" s="15">
        <f t="shared" si="10"/>
        <v>260000</v>
      </c>
      <c r="AX18" s="15">
        <f t="shared" si="11"/>
        <v>100000</v>
      </c>
      <c r="AY18" s="15">
        <f t="shared" si="12"/>
        <v>1075000</v>
      </c>
      <c r="AZ18" s="16">
        <f t="shared" si="13"/>
        <v>1365000</v>
      </c>
      <c r="BA18" s="58"/>
      <c r="BB18" s="58">
        <v>70000</v>
      </c>
      <c r="BC18" s="15"/>
      <c r="BD18" s="57">
        <f t="shared" si="14"/>
        <v>1365000</v>
      </c>
      <c r="BE18" s="82">
        <f>1075000+100000+190000</f>
        <v>1365000</v>
      </c>
      <c r="BF18" s="29">
        <f t="shared" si="6"/>
        <v>0</v>
      </c>
      <c r="BG18" s="29">
        <v>11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  <c r="BQ18">
        <v>1075000</v>
      </c>
      <c r="BS18">
        <v>100000</v>
      </c>
      <c r="BT18" t="s">
        <v>126</v>
      </c>
      <c r="BU18">
        <v>257000</v>
      </c>
      <c r="BV18" t="s">
        <v>176</v>
      </c>
    </row>
    <row r="19" spans="1:74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VLOOKUP(A19,[18]HISTOBQUEJANV23!$A$6:$G$44,3,0)</f>
        <v>40000</v>
      </c>
      <c r="E19" s="9">
        <f>VLOOKUP(A19,[18]HISTOBQUEJANV23!$A$6:$G$39,4,0)</f>
        <v>0</v>
      </c>
      <c r="F19" s="9">
        <f>VLOOKUP(A19,[18]HISTOBQUEJANV23!$A$6:$G$39,5,0)</f>
        <v>0</v>
      </c>
      <c r="G19" s="5">
        <f t="shared" si="15"/>
        <v>0</v>
      </c>
      <c r="H19" s="10" t="str">
        <f t="shared" si="1"/>
        <v>BANQUE</v>
      </c>
      <c r="I19" s="10"/>
      <c r="J19" s="11">
        <v>1</v>
      </c>
      <c r="K19" s="11">
        <f t="shared" si="16"/>
        <v>40000</v>
      </c>
      <c r="L19" s="6"/>
      <c r="M19" s="11">
        <f t="shared" si="2"/>
        <v>0</v>
      </c>
      <c r="N19" s="6"/>
      <c r="O19" s="11">
        <f t="shared" si="3"/>
        <v>0</v>
      </c>
      <c r="P19" s="20"/>
      <c r="Q19" s="2"/>
      <c r="R19" s="20"/>
      <c r="S19" s="20"/>
      <c r="T19" s="12"/>
      <c r="U19" s="17">
        <f t="shared" si="17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9"/>
        <v>15000</v>
      </c>
      <c r="AT19" s="15"/>
      <c r="AV19" s="15"/>
      <c r="AW19" s="15">
        <f t="shared" si="10"/>
        <v>0</v>
      </c>
      <c r="AX19" s="15">
        <f t="shared" si="11"/>
        <v>0</v>
      </c>
      <c r="AY19" s="15">
        <f t="shared" si="12"/>
        <v>0</v>
      </c>
      <c r="AZ19" s="16">
        <f t="shared" si="13"/>
        <v>0</v>
      </c>
      <c r="BA19" s="58"/>
      <c r="BB19" s="58"/>
      <c r="BC19" s="15"/>
      <c r="BD19" s="57">
        <f t="shared" si="14"/>
        <v>0</v>
      </c>
      <c r="BE19" s="82"/>
      <c r="BF19" s="29">
        <f t="shared" si="6"/>
        <v>0</v>
      </c>
      <c r="BG19" s="29">
        <v>11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  <c r="BQ19">
        <v>100000</v>
      </c>
      <c r="BR19" t="s">
        <v>173</v>
      </c>
    </row>
    <row r="20" spans="1:74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VLOOKUP(A20,[18]HISTOBQUEJANV23!$A$6:$G$44,3,0)</f>
        <v>215000</v>
      </c>
      <c r="E20" s="9">
        <f>VLOOKUP(A20,[18]HISTOBQUEJANV23!$A$6:$G$39,4,0)</f>
        <v>0</v>
      </c>
      <c r="F20" s="9">
        <f>VLOOKUP(A20,[18]HISTOBQUEJANV23!$A$6:$G$39,5,0)</f>
        <v>0</v>
      </c>
      <c r="G20" s="5">
        <f t="shared" si="15"/>
        <v>0</v>
      </c>
      <c r="H20" s="10" t="str">
        <f t="shared" si="1"/>
        <v>BANQUE</v>
      </c>
      <c r="I20" s="10"/>
      <c r="J20" s="11">
        <v>1</v>
      </c>
      <c r="K20" s="11">
        <f t="shared" si="16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0"/>
      <c r="Q20" s="2">
        <f>VLOOKUP(A20,[13]TONTJANV23!$A$7:$P$20,10,0)</f>
        <v>0</v>
      </c>
      <c r="R20" s="20"/>
      <c r="S20" s="20"/>
      <c r="T20" s="12"/>
      <c r="U20" s="17">
        <f t="shared" si="17"/>
        <v>215000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>
        <v>125000</v>
      </c>
      <c r="AF20" s="12" t="s">
        <v>8</v>
      </c>
      <c r="AG20" s="12"/>
      <c r="AH20" s="12"/>
      <c r="AI20" s="12"/>
      <c r="AJ20" s="12">
        <f>50000+55000</f>
        <v>105000</v>
      </c>
      <c r="AK20" s="12"/>
      <c r="AL20" s="12"/>
      <c r="AM20" s="12">
        <f>1000+1000</f>
        <v>2000</v>
      </c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9"/>
        <v>15000</v>
      </c>
      <c r="AT20" s="15"/>
      <c r="AV20" s="15"/>
      <c r="AW20" s="15">
        <f t="shared" si="10"/>
        <v>0</v>
      </c>
      <c r="AX20" s="15">
        <f t="shared" si="11"/>
        <v>105000</v>
      </c>
      <c r="AY20" s="15">
        <f t="shared" si="12"/>
        <v>1075000</v>
      </c>
      <c r="AZ20" s="16">
        <f t="shared" si="13"/>
        <v>1180000</v>
      </c>
      <c r="BA20" s="58">
        <v>55000</v>
      </c>
      <c r="BB20" s="58"/>
      <c r="BC20" s="15"/>
      <c r="BD20" s="71">
        <f t="shared" si="14"/>
        <v>1125000</v>
      </c>
      <c r="BE20" s="82">
        <v>986000</v>
      </c>
      <c r="BF20" s="29">
        <f t="shared" si="6"/>
        <v>0</v>
      </c>
      <c r="BG20" s="29">
        <v>11</v>
      </c>
      <c r="BH20" s="15"/>
      <c r="BI20" s="15"/>
      <c r="BJ20" s="15"/>
      <c r="BK20" s="15"/>
      <c r="BL20" s="61"/>
      <c r="BP20" s="6"/>
      <c r="BQ20">
        <v>190000</v>
      </c>
      <c r="BR20" t="s">
        <v>175</v>
      </c>
      <c r="BS20">
        <v>986000</v>
      </c>
      <c r="BT20" t="s">
        <v>172</v>
      </c>
    </row>
    <row r="21" spans="1:74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VLOOKUP(A21,[18]HISTOBQUEJANV23!$A$6:$G$44,3,0)</f>
        <v>40000</v>
      </c>
      <c r="E21" s="9">
        <f>VLOOKUP(A21,[18]HISTOBQUEJANV23!$A$6:$G$39,4,0)</f>
        <v>0</v>
      </c>
      <c r="F21" s="9">
        <f>VLOOKUP(A21,[18]HISTOBQUEJANV23!$A$6:$G$39,5,0)</f>
        <v>0</v>
      </c>
      <c r="G21" s="5">
        <f t="shared" si="15"/>
        <v>0</v>
      </c>
      <c r="H21" s="10" t="str">
        <f t="shared" si="1"/>
        <v>BANQUE</v>
      </c>
      <c r="I21" s="10"/>
      <c r="J21" s="11">
        <v>1</v>
      </c>
      <c r="K21" s="11">
        <f t="shared" si="16"/>
        <v>40000</v>
      </c>
      <c r="L21" s="6"/>
      <c r="M21" s="11">
        <f t="shared" si="2"/>
        <v>0</v>
      </c>
      <c r="N21" s="6"/>
      <c r="O21" s="11">
        <f t="shared" si="3"/>
        <v>0</v>
      </c>
      <c r="P21" s="20"/>
      <c r="Q21" s="2"/>
      <c r="R21" s="20"/>
      <c r="S21" s="20"/>
      <c r="T21" s="12"/>
      <c r="U21" s="17">
        <f t="shared" si="17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9"/>
        <v>15000</v>
      </c>
      <c r="AT21" s="15"/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3"/>
        <v>0</v>
      </c>
      <c r="BA21" s="58"/>
      <c r="BB21" s="58"/>
      <c r="BC21" s="15"/>
      <c r="BD21" s="57">
        <f>IF(AZ21=0,(AZ21-BA21-BC21),(AZ21-BA21-BB21-BC21))+F21</f>
        <v>0</v>
      </c>
      <c r="BE21" s="82">
        <f>BD20-BE20</f>
        <v>139000</v>
      </c>
      <c r="BF21" s="29">
        <f t="shared" si="6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74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VLOOKUP(A22,[18]HISTOBQUEJANV23!$A$6:$G$44,3,0)</f>
        <v>115000</v>
      </c>
      <c r="E22" s="9">
        <f>VLOOKUP(A22,[18]HISTOBQUEJANV23!$A$6:$G$39,4,0)</f>
        <v>0</v>
      </c>
      <c r="F22" s="9">
        <f>VLOOKUP(A22,[18]HISTOBQUEJANV23!$A$6:$G$39,5,0)</f>
        <v>0</v>
      </c>
      <c r="G22" s="5">
        <f t="shared" si="15"/>
        <v>0</v>
      </c>
      <c r="H22" s="10" t="str">
        <f t="shared" si="1"/>
        <v>BANQUE</v>
      </c>
      <c r="I22" s="10"/>
      <c r="J22" s="11">
        <v>1</v>
      </c>
      <c r="K22" s="11">
        <f t="shared" si="16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0"/>
      <c r="Q22" s="2">
        <f>VLOOKUP(A22,[13]TONTJANV23!$A$7:$P$20,10,0)</f>
        <v>0</v>
      </c>
      <c r="R22" s="20"/>
      <c r="S22" s="20"/>
      <c r="T22" s="12"/>
      <c r="U22" s="17">
        <f t="shared" si="17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9"/>
        <v>15000</v>
      </c>
      <c r="AT22" s="15"/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 t="shared" si="13"/>
        <v>0</v>
      </c>
      <c r="BA22" s="58"/>
      <c r="BB22" s="58"/>
      <c r="BC22" s="15"/>
      <c r="BD22" s="57">
        <f t="shared" si="14"/>
        <v>0</v>
      </c>
      <c r="BE22" s="82"/>
      <c r="BF22" s="29">
        <f t="shared" si="6"/>
        <v>0</v>
      </c>
      <c r="BG22" s="29">
        <v>11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74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VLOOKUP(A23,[18]HISTOBQUEJANV23!$A$6:$G$44,3,0)</f>
        <v>250000</v>
      </c>
      <c r="E23" s="9">
        <f>VLOOKUP(A23,[18]HISTOBQUEJANV23!$A$6:$G$39,4,0)</f>
        <v>0</v>
      </c>
      <c r="F23" s="9">
        <f>VLOOKUP(A23,[18]HISTOBQUEJANV23!$A$6:$G$39,5,0)</f>
        <v>0</v>
      </c>
      <c r="G23" s="5">
        <f t="shared" si="15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6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0"/>
      <c r="Q23" s="2"/>
      <c r="R23" s="20"/>
      <c r="S23" s="20"/>
      <c r="T23" s="12"/>
      <c r="U23" s="17">
        <f t="shared" si="17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9"/>
        <v>25000</v>
      </c>
      <c r="AT23" s="15"/>
      <c r="AV23" s="15"/>
      <c r="AW23" s="15">
        <f t="shared" si="10"/>
        <v>0</v>
      </c>
      <c r="AX23" s="15">
        <f t="shared" si="11"/>
        <v>0</v>
      </c>
      <c r="AY23" s="15">
        <f t="shared" si="12"/>
        <v>0</v>
      </c>
      <c r="AZ23" s="16">
        <f t="shared" si="13"/>
        <v>0</v>
      </c>
      <c r="BA23" s="58"/>
      <c r="BB23" s="58"/>
      <c r="BC23" s="15"/>
      <c r="BD23" s="57">
        <f t="shared" si="14"/>
        <v>0</v>
      </c>
      <c r="BE23" s="82"/>
      <c r="BF23" s="29">
        <f t="shared" si="6"/>
        <v>0</v>
      </c>
      <c r="BG23" s="29">
        <v>11</v>
      </c>
      <c r="BH23" s="15"/>
      <c r="BI23" s="15"/>
      <c r="BJ23" s="15"/>
      <c r="BK23" s="15"/>
      <c r="BL23" s="61"/>
    </row>
    <row r="24" spans="1:74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VLOOKUP(A24,[18]HISTOBQUEJANV23!$A$6:$G$44,3,0)</f>
        <v>210000</v>
      </c>
      <c r="E24" s="9">
        <f>VLOOKUP(A24,[18]HISTOBQUEJANV23!$A$6:$G$39,4,0)</f>
        <v>5000</v>
      </c>
      <c r="F24" s="9">
        <f>VLOOKUP(A24,[18]HISTOBQUEJANV23!$A$6:$G$39,5,0)</f>
        <v>0</v>
      </c>
      <c r="G24" s="5">
        <f t="shared" si="15"/>
        <v>0</v>
      </c>
      <c r="H24" s="10" t="str">
        <f t="shared" si="1"/>
        <v>BANQUE</v>
      </c>
      <c r="I24" s="10"/>
      <c r="J24" s="11">
        <v>1</v>
      </c>
      <c r="K24" s="11">
        <f t="shared" si="16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0"/>
      <c r="Q24" s="2">
        <f>VLOOKUP(A24,[13]TONTJANV23!$A$7:$P$20,10,0)</f>
        <v>0</v>
      </c>
      <c r="R24" s="20"/>
      <c r="S24" s="20"/>
      <c r="T24" s="12"/>
      <c r="U24" s="17">
        <f t="shared" si="17"/>
        <v>215000</v>
      </c>
      <c r="V24" s="12"/>
      <c r="W24" s="12"/>
      <c r="X24" s="12"/>
      <c r="Y24" s="12"/>
      <c r="Z24" s="12"/>
      <c r="AA24" s="12"/>
      <c r="AB24" s="12"/>
      <c r="AC24" s="12"/>
      <c r="AD24" s="12">
        <v>105000</v>
      </c>
      <c r="AE24" s="12">
        <v>125000</v>
      </c>
      <c r="AF24" s="12" t="s">
        <v>8</v>
      </c>
      <c r="AG24" s="12"/>
      <c r="AH24" s="12"/>
      <c r="AI24" s="12">
        <v>25000</v>
      </c>
      <c r="AJ24" s="12">
        <f>50000+50000</f>
        <v>100000</v>
      </c>
      <c r="AK24" s="12">
        <v>200000</v>
      </c>
      <c r="AL24" s="12">
        <v>1000</v>
      </c>
      <c r="AM24" s="12">
        <v>2000</v>
      </c>
      <c r="AN24" s="12">
        <v>8000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9"/>
        <v>15000</v>
      </c>
      <c r="AT24" s="15"/>
      <c r="AV24" s="15"/>
      <c r="AW24" s="15">
        <f t="shared" si="10"/>
        <v>25000</v>
      </c>
      <c r="AX24" s="15">
        <f t="shared" si="11"/>
        <v>895000</v>
      </c>
      <c r="AY24" s="15">
        <f>IF(AE24=0,AK24,(1*100000*12)+(AK24)-AE24)</f>
        <v>1275000</v>
      </c>
      <c r="AZ24" s="16">
        <f t="shared" si="13"/>
        <v>2195000</v>
      </c>
      <c r="BA24" s="58"/>
      <c r="BB24" s="58"/>
      <c r="BC24" s="15"/>
      <c r="BD24" s="57">
        <f t="shared" si="14"/>
        <v>2195000</v>
      </c>
      <c r="BE24" s="82">
        <f>1075000+200000+795000+100000+25000</f>
        <v>2195000</v>
      </c>
      <c r="BF24" s="29">
        <f t="shared" si="6"/>
        <v>0</v>
      </c>
      <c r="BG24" s="29">
        <v>11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  <c r="BQ24">
        <v>1075000</v>
      </c>
    </row>
    <row r="25" spans="1:74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VLOOKUP(A25,[18]HISTOBQUEJANV23!$A$6:$G$44,3,0)</f>
        <v>280000</v>
      </c>
      <c r="E25" s="9">
        <f>VLOOKUP(A25,[18]HISTOBQUEJANV23!$A$6:$G$39,4,0)</f>
        <v>10000</v>
      </c>
      <c r="F25" s="9">
        <f>VLOOKUP(A25,[18]HISTOBQUEJANV23!$A$6:$G$39,5,0)</f>
        <v>0</v>
      </c>
      <c r="G25" s="5">
        <f t="shared" si="15"/>
        <v>0</v>
      </c>
      <c r="H25" s="10" t="str">
        <f t="shared" si="1"/>
        <v>BANQUE</v>
      </c>
      <c r="I25" s="10"/>
      <c r="J25" s="11">
        <v>1</v>
      </c>
      <c r="K25" s="11">
        <f t="shared" si="16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0"/>
      <c r="Q25" s="2">
        <f>VLOOKUP(A25,[13]TONTJANV23!$A$7:$P$20,10,0)</f>
        <v>0</v>
      </c>
      <c r="R25" s="20"/>
      <c r="S25" s="20"/>
      <c r="T25" s="12"/>
      <c r="U25" s="17">
        <f t="shared" si="17"/>
        <v>290000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>
        <v>30000</v>
      </c>
      <c r="AJ25" s="12">
        <f>50000+50000</f>
        <v>100000</v>
      </c>
      <c r="AK25" s="12">
        <f>25000+50000</f>
        <v>75000</v>
      </c>
      <c r="AL25" s="12">
        <v>1000</v>
      </c>
      <c r="AM25" s="12">
        <f>1000+1000</f>
        <v>2000</v>
      </c>
      <c r="AN25" s="12">
        <v>3000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9"/>
        <v>15000</v>
      </c>
      <c r="AT25" s="15"/>
      <c r="AV25" s="15"/>
      <c r="AW25" s="15">
        <f t="shared" si="10"/>
        <v>30000</v>
      </c>
      <c r="AX25" s="15">
        <f t="shared" si="11"/>
        <v>100000</v>
      </c>
      <c r="AY25" s="15">
        <f t="shared" si="12"/>
        <v>75000</v>
      </c>
      <c r="AZ25" s="16">
        <f t="shared" si="13"/>
        <v>205000</v>
      </c>
      <c r="BA25" s="58">
        <f>25000+50000+50000+50000+30000</f>
        <v>205000</v>
      </c>
      <c r="BB25" s="58"/>
      <c r="BC25" s="15"/>
      <c r="BD25" s="57">
        <f t="shared" si="14"/>
        <v>0</v>
      </c>
      <c r="BE25" s="82"/>
      <c r="BF25" s="29">
        <f t="shared" si="6"/>
        <v>0</v>
      </c>
      <c r="BG25" s="29">
        <v>11</v>
      </c>
      <c r="BH25" s="15"/>
      <c r="BI25" s="15"/>
      <c r="BJ25" s="15"/>
      <c r="BK25" s="15"/>
      <c r="BL25" s="61"/>
      <c r="BN25" t="s">
        <v>125</v>
      </c>
      <c r="BO25" t="s">
        <v>143</v>
      </c>
      <c r="BQ25">
        <v>200000</v>
      </c>
      <c r="BR25" t="s">
        <v>172</v>
      </c>
    </row>
    <row r="26" spans="1:74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VLOOKUP(A26,[18]HISTOBQUEJANV23!$A$6:$G$44,3,0)</f>
        <v>0</v>
      </c>
      <c r="E26" s="9">
        <f>VLOOKUP(A26,[18]HISTOBQUEJANV23!$A$6:$G$39,4,0)</f>
        <v>40000</v>
      </c>
      <c r="F26" s="9">
        <f>VLOOKUP(A26,[18]HISTOBQUEJANV23!$A$6:$G$39,5,0)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6"/>
        <v>40000</v>
      </c>
      <c r="L26" s="6"/>
      <c r="M26" s="11">
        <f t="shared" si="2"/>
        <v>0</v>
      </c>
      <c r="N26" s="6"/>
      <c r="O26" s="11">
        <f t="shared" si="3"/>
        <v>0</v>
      </c>
      <c r="P26" s="20"/>
      <c r="Q26" s="2"/>
      <c r="R26" s="20"/>
      <c r="S26" s="20"/>
      <c r="T26" s="12"/>
      <c r="U26" s="17">
        <f t="shared" si="17"/>
        <v>40000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2000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9"/>
        <v>15000</v>
      </c>
      <c r="AT26" s="15"/>
      <c r="AV26" s="15"/>
      <c r="AW26" s="15">
        <f t="shared" si="10"/>
        <v>60000</v>
      </c>
      <c r="AX26" s="15">
        <f t="shared" si="11"/>
        <v>0</v>
      </c>
      <c r="AY26" s="15">
        <f t="shared" si="12"/>
        <v>0</v>
      </c>
      <c r="AZ26" s="16">
        <f t="shared" si="13"/>
        <v>60000</v>
      </c>
      <c r="BA26" s="58">
        <v>60000</v>
      </c>
      <c r="BB26" s="58"/>
      <c r="BC26" s="15"/>
      <c r="BD26" s="57">
        <f t="shared" si="14"/>
        <v>0</v>
      </c>
      <c r="BE26" s="82"/>
      <c r="BF26" s="29">
        <f t="shared" si="6"/>
        <v>0</v>
      </c>
      <c r="BG26" s="29">
        <v>11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  <c r="BQ26">
        <v>795000</v>
      </c>
      <c r="BR26" t="s">
        <v>173</v>
      </c>
    </row>
    <row r="27" spans="1:74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VLOOKUP(A27,[18]HISTOBQUEJANV23!$A$6:$G$44,3,0)</f>
        <v>0</v>
      </c>
      <c r="E27" s="9">
        <f>VLOOKUP(A27,[18]HISTOBQUEJANV23!$A$6:$G$39,4,0)</f>
        <v>65000</v>
      </c>
      <c r="F27" s="9">
        <f>VLOOKUP(A27,[18]HISTOBQUEJANV23!$A$6:$G$39,5,0)</f>
        <v>0</v>
      </c>
      <c r="G27" s="5">
        <f t="shared" si="15"/>
        <v>0</v>
      </c>
      <c r="H27" s="10" t="s">
        <v>8</v>
      </c>
      <c r="I27" s="10"/>
      <c r="J27" s="11">
        <v>1</v>
      </c>
      <c r="K27" s="11">
        <f t="shared" ref="K27" si="18">IF($D27&lt;&gt;0,J27*40000,IF($E27&lt;&gt;0,J27*40000,0))</f>
        <v>40000</v>
      </c>
      <c r="L27" s="6"/>
      <c r="M27" s="11">
        <f t="shared" ref="M27" si="19">IF($D27&lt;&gt;0,L27*75000,IF($E27&lt;&gt;0,L27*75000,0))</f>
        <v>0</v>
      </c>
      <c r="N27" s="6"/>
      <c r="O27" s="11">
        <f t="shared" ref="O27" si="20">IF($D27&lt;&gt;0,N27*100000,IF($E27&lt;&gt;0,N27*100000,0))</f>
        <v>0</v>
      </c>
      <c r="P27" s="20"/>
      <c r="Q27" s="2"/>
      <c r="R27" s="20"/>
      <c r="S27" s="20"/>
      <c r="T27" s="12"/>
      <c r="U27" s="17">
        <f t="shared" si="17"/>
        <v>65000</v>
      </c>
      <c r="V27" s="12"/>
      <c r="W27" s="12">
        <v>25000</v>
      </c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9"/>
        <v>15000</v>
      </c>
      <c r="AT27" s="15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3"/>
        <v>0</v>
      </c>
      <c r="BA27" s="58"/>
      <c r="BB27" s="58"/>
      <c r="BC27" s="15"/>
      <c r="BD27" s="57">
        <f t="shared" si="14"/>
        <v>0</v>
      </c>
      <c r="BE27" s="82"/>
      <c r="BF27" s="29">
        <f t="shared" si="6"/>
        <v>0</v>
      </c>
      <c r="BG27" s="29">
        <v>11</v>
      </c>
      <c r="BH27" s="15"/>
      <c r="BI27" s="15"/>
      <c r="BJ27" s="15"/>
      <c r="BK27" s="15"/>
      <c r="BL27" s="61"/>
      <c r="BP27" s="6"/>
      <c r="BQ27">
        <v>25000</v>
      </c>
      <c r="BR27" t="s">
        <v>174</v>
      </c>
    </row>
    <row r="28" spans="1:74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VLOOKUP(A28,[18]HISTOBQUEJANV23!$A$6:$G$44,3,0)</f>
        <v>115000</v>
      </c>
      <c r="E28" s="9">
        <f>VLOOKUP(A28,[18]HISTOBQUEJANV23!$A$6:$G$39,4,0)</f>
        <v>0</v>
      </c>
      <c r="F28" s="9">
        <f>VLOOKUP(A28,[18]HISTOBQUEJANV23!$A$6:$G$39,5,0)</f>
        <v>0</v>
      </c>
      <c r="G28" s="5">
        <f t="shared" si="15"/>
        <v>0</v>
      </c>
      <c r="H28" s="10" t="str">
        <f t="shared" si="1"/>
        <v>BANQUE</v>
      </c>
      <c r="I28" s="10"/>
      <c r="J28" s="11">
        <v>1</v>
      </c>
      <c r="K28" s="11">
        <f t="shared" si="16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0"/>
      <c r="Q28" s="2">
        <f>VLOOKUP(A28,[13]TONTJANV23!$A$7:$P$20,10,0)</f>
        <v>0</v>
      </c>
      <c r="R28" s="20"/>
      <c r="S28" s="20"/>
      <c r="T28" s="12"/>
      <c r="U28" s="17">
        <f t="shared" si="1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9"/>
        <v>15000</v>
      </c>
      <c r="AT28" s="15"/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3"/>
        <v>0</v>
      </c>
      <c r="BA28" s="58"/>
      <c r="BB28" s="58"/>
      <c r="BC28" s="15"/>
      <c r="BD28" s="57">
        <f t="shared" si="14"/>
        <v>0</v>
      </c>
      <c r="BE28" s="82"/>
      <c r="BF28" s="29">
        <f t="shared" si="6"/>
        <v>0</v>
      </c>
      <c r="BG28" s="29">
        <v>11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74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VLOOKUP(A29,[18]HISTOBQUEJANV23!$A$6:$G$44,3,0)</f>
        <v>0</v>
      </c>
      <c r="E29" s="9">
        <f>VLOOKUP(A29,[18]HISTOBQUEJANV23!$A$6:$G$39,4,0)</f>
        <v>65000</v>
      </c>
      <c r="F29" s="9">
        <f>VLOOKUP(A29,[18]HISTOBQUEJANV23!$A$6:$G$39,5,0)</f>
        <v>0</v>
      </c>
      <c r="G29" s="5">
        <f t="shared" si="15"/>
        <v>0</v>
      </c>
      <c r="H29" s="10" t="s">
        <v>8</v>
      </c>
      <c r="I29" s="10"/>
      <c r="J29" s="11">
        <v>1</v>
      </c>
      <c r="K29" s="11">
        <f t="shared" si="16"/>
        <v>40000</v>
      </c>
      <c r="L29" s="6"/>
      <c r="M29" s="11">
        <f t="shared" si="2"/>
        <v>0</v>
      </c>
      <c r="N29" s="6"/>
      <c r="O29" s="11">
        <f t="shared" si="3"/>
        <v>0</v>
      </c>
      <c r="P29" s="20"/>
      <c r="Q29" s="2"/>
      <c r="R29" s="20"/>
      <c r="S29" s="20"/>
      <c r="T29" s="12"/>
      <c r="U29" s="17">
        <f t="shared" si="17"/>
        <v>65000</v>
      </c>
      <c r="V29" s="12"/>
      <c r="W29" s="12">
        <v>25000</v>
      </c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9"/>
        <v>15000</v>
      </c>
      <c r="AT29" s="15"/>
      <c r="AV29" s="15"/>
      <c r="AW29" s="15">
        <f t="shared" si="10"/>
        <v>0</v>
      </c>
      <c r="AX29" s="15">
        <f t="shared" si="11"/>
        <v>0</v>
      </c>
      <c r="AY29" s="15">
        <f t="shared" si="12"/>
        <v>0</v>
      </c>
      <c r="AZ29" s="16">
        <f t="shared" si="13"/>
        <v>0</v>
      </c>
      <c r="BA29" s="58"/>
      <c r="BB29" s="58"/>
      <c r="BC29" s="15"/>
      <c r="BD29" s="57">
        <f t="shared" si="14"/>
        <v>0</v>
      </c>
      <c r="BE29" s="82"/>
      <c r="BF29" s="29">
        <f t="shared" si="6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74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VLOOKUP(A30,[18]HISTOBQUEJANV23!$A$6:$G$44,3,0)</f>
        <v>0</v>
      </c>
      <c r="E30" s="9">
        <f>VLOOKUP(A30,[18]HISTOBQUEJANV23!$A$6:$G$39,4,0)</f>
        <v>115000</v>
      </c>
      <c r="F30" s="9">
        <f>VLOOKUP(A30,[18]HISTOBQUEJANV23!$A$6:$G$39,5,0)</f>
        <v>0</v>
      </c>
      <c r="G30" s="5">
        <f>IF(H30="ESPECES",3000,0)-3000</f>
        <v>0</v>
      </c>
      <c r="H30" s="10" t="str">
        <f t="shared" si="1"/>
        <v>ESPECES</v>
      </c>
      <c r="I30" s="10"/>
      <c r="J30" s="11">
        <v>1</v>
      </c>
      <c r="K30" s="11">
        <f t="shared" si="16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0"/>
      <c r="Q30" s="2">
        <f>VLOOKUP(A30,[13]TONTJANV23!$A$7:$P$20,10,0)</f>
        <v>0</v>
      </c>
      <c r="R30" s="20"/>
      <c r="S30" s="20"/>
      <c r="T30" s="12"/>
      <c r="U30" s="17">
        <f t="shared" si="17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9"/>
        <v>15000</v>
      </c>
      <c r="AT30" s="15"/>
      <c r="AV30" s="15"/>
      <c r="AW30" s="15">
        <f t="shared" si="10"/>
        <v>0</v>
      </c>
      <c r="AX30" s="15">
        <f t="shared" si="11"/>
        <v>0</v>
      </c>
      <c r="AY30" s="15">
        <f t="shared" si="12"/>
        <v>0</v>
      </c>
      <c r="AZ30" s="16">
        <f t="shared" si="13"/>
        <v>0</v>
      </c>
      <c r="BA30" s="58"/>
      <c r="BB30" s="58"/>
      <c r="BC30" s="15"/>
      <c r="BD30" s="57">
        <f t="shared" si="14"/>
        <v>0</v>
      </c>
      <c r="BE30" s="82"/>
      <c r="BF30" s="29">
        <f t="shared" si="6"/>
        <v>0</v>
      </c>
      <c r="BG30" s="29">
        <v>11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74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VLOOKUP(A31,[18]HISTOBQUEJANV23!$A$6:$G$44,3,0)</f>
        <v>250000</v>
      </c>
      <c r="E31" s="9">
        <f>VLOOKUP(A31,[18]HISTOBQUEJANV23!$A$6:$G$39,4,0)</f>
        <v>0</v>
      </c>
      <c r="F31" s="9">
        <f>VLOOKUP(A31,[18]HISTOBQUEJANV23!$A$6:$G$39,5,0)</f>
        <v>0</v>
      </c>
      <c r="G31" s="5">
        <f t="shared" si="15"/>
        <v>0</v>
      </c>
      <c r="H31" s="10" t="str">
        <f t="shared" si="1"/>
        <v>BANQUE</v>
      </c>
      <c r="I31" s="10">
        <v>110000</v>
      </c>
      <c r="J31" s="11">
        <v>1</v>
      </c>
      <c r="K31" s="11">
        <f t="shared" si="16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0"/>
      <c r="Q31" s="2"/>
      <c r="R31" s="20"/>
      <c r="S31" s="20"/>
      <c r="T31" s="12"/>
      <c r="U31" s="17">
        <f t="shared" si="17"/>
        <v>250000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9"/>
        <v>125000</v>
      </c>
      <c r="AT31" s="15"/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3"/>
        <v>0</v>
      </c>
      <c r="BA31" s="58"/>
      <c r="BB31" s="58"/>
      <c r="BC31" s="15"/>
      <c r="BD31" s="57">
        <f t="shared" si="14"/>
        <v>0</v>
      </c>
      <c r="BE31" s="82"/>
      <c r="BF31" s="29">
        <f t="shared" si="6"/>
        <v>0</v>
      </c>
      <c r="BG31" s="29">
        <v>11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74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VLOOKUP(A32,[18]HISTOBQUEJANV23!$A$6:$G$44,3,0)</f>
        <v>115000</v>
      </c>
      <c r="E32" s="9">
        <f>VLOOKUP(A32,[18]HISTOBQUEJANV23!$A$6:$G$39,4,0)</f>
        <v>0</v>
      </c>
      <c r="F32" s="9">
        <f>VLOOKUP(A32,[18]HISTOBQUEJANV23!$A$6:$G$39,5,0)</f>
        <v>0</v>
      </c>
      <c r="G32" s="5">
        <f t="shared" si="15"/>
        <v>0</v>
      </c>
      <c r="H32" s="10" t="str">
        <f t="shared" si="1"/>
        <v>BANQUE</v>
      </c>
      <c r="I32" s="10"/>
      <c r="J32" s="11">
        <v>1</v>
      </c>
      <c r="K32" s="11">
        <f t="shared" si="16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0"/>
      <c r="Q32" s="2"/>
      <c r="R32" s="20"/>
      <c r="S32" s="20"/>
      <c r="T32" s="12"/>
      <c r="U32" s="17">
        <f t="shared" si="17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9"/>
        <v>15000</v>
      </c>
      <c r="AT32" s="15"/>
      <c r="AV32" s="15"/>
      <c r="AW32" s="15">
        <f t="shared" si="10"/>
        <v>0</v>
      </c>
      <c r="AX32" s="15">
        <f t="shared" si="11"/>
        <v>0</v>
      </c>
      <c r="AY32" s="15">
        <f t="shared" si="12"/>
        <v>0</v>
      </c>
      <c r="AZ32" s="16">
        <f t="shared" si="13"/>
        <v>0</v>
      </c>
      <c r="BA32" s="58"/>
      <c r="BB32" s="58"/>
      <c r="BC32" s="15"/>
      <c r="BD32" s="57">
        <f t="shared" si="14"/>
        <v>0</v>
      </c>
      <c r="BE32" s="82"/>
      <c r="BF32" s="29">
        <f t="shared" si="6"/>
        <v>0</v>
      </c>
      <c r="BG32" s="29">
        <v>11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VLOOKUP(A33,[18]HISTOBQUEJANV23!$A$6:$G$44,3,0)</f>
        <v>0</v>
      </c>
      <c r="E33" s="9">
        <f>VLOOKUP(A33,[18]HISTOBQUEJANV23!$A$6:$G$39,4,0)</f>
        <v>40000</v>
      </c>
      <c r="F33" s="9">
        <f>VLOOKUP(A33,[18]HISTOBQUEJANV23!$A$6:$G$39,5,0)</f>
        <v>0</v>
      </c>
      <c r="G33" s="5">
        <f>IF(H33="ESPECES",3000,0)-3000</f>
        <v>0</v>
      </c>
      <c r="H33" s="10" t="str">
        <f t="shared" si="1"/>
        <v>ESPECES</v>
      </c>
      <c r="I33" s="10"/>
      <c r="J33" s="11">
        <v>1</v>
      </c>
      <c r="K33" s="11">
        <f t="shared" ref="K33" si="21">IF($D33&lt;&gt;0,J33*40000,IF($E33&lt;&gt;0,J33*40000,0))</f>
        <v>40000</v>
      </c>
      <c r="L33" s="6"/>
      <c r="M33" s="11">
        <f t="shared" ref="M33" si="22">IF($D33&lt;&gt;0,L33*75000,IF($E33&lt;&gt;0,L33*75000,0))</f>
        <v>0</v>
      </c>
      <c r="N33" s="6"/>
      <c r="O33" s="11">
        <f t="shared" ref="O33" si="23">IF($D33&lt;&gt;0,N33*100000,IF($E33&lt;&gt;0,N33*100000,0))</f>
        <v>0</v>
      </c>
      <c r="P33" s="20"/>
      <c r="Q33" s="2"/>
      <c r="R33" s="20"/>
      <c r="S33" s="20"/>
      <c r="T33" s="12"/>
      <c r="U33" s="17">
        <f t="shared" si="17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9"/>
        <v>15000</v>
      </c>
      <c r="AT33" s="15"/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3"/>
        <v>0</v>
      </c>
      <c r="BA33" s="58"/>
      <c r="BB33" s="58"/>
      <c r="BC33" s="15"/>
      <c r="BD33" s="57">
        <f t="shared" si="14"/>
        <v>0</v>
      </c>
      <c r="BE33" s="82"/>
      <c r="BF33" s="29">
        <f t="shared" si="6"/>
        <v>0</v>
      </c>
      <c r="BG33" s="29">
        <v>11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69">
        <f t="shared" si="0"/>
        <v>35000</v>
      </c>
      <c r="D34" s="9">
        <f>VLOOKUP(A34,[18]HISTOBQUEJANV23!$A$6:$G$44,3,0)</f>
        <v>0</v>
      </c>
      <c r="E34" s="9">
        <f>VLOOKUP(A34,[18]HISTOBQUEJANV23!$A$6:$G$39,4,0)</f>
        <v>100000</v>
      </c>
      <c r="F34" s="9">
        <f>VLOOKUP(A34,[18]HISTOBQUEJANV23!$A$6:$G$39,5,0)</f>
        <v>0</v>
      </c>
      <c r="G34" s="5">
        <f>IF(H34="ESPECES",3000,0)-3000</f>
        <v>0</v>
      </c>
      <c r="H34" s="10" t="str">
        <f t="shared" si="1"/>
        <v>ESPECES</v>
      </c>
      <c r="I34" s="10"/>
      <c r="J34" s="11">
        <v>1</v>
      </c>
      <c r="K34" s="11">
        <f t="shared" ref="K34" si="24">IF($D34&lt;&gt;0,J34*40000,IF($E34&lt;&gt;0,J34*40000,0))</f>
        <v>40000</v>
      </c>
      <c r="L34" s="6"/>
      <c r="M34" s="11">
        <f t="shared" ref="M34" si="25">IF($D34&lt;&gt;0,L34*75000,IF($E34&lt;&gt;0,L34*75000,0))</f>
        <v>0</v>
      </c>
      <c r="N34" s="6"/>
      <c r="O34" s="11">
        <f t="shared" ref="O34" si="26">IF($D34&lt;&gt;0,N34*100000,IF($E34&lt;&gt;0,N34*100000,0))</f>
        <v>0</v>
      </c>
      <c r="P34" s="20"/>
      <c r="Q34" s="2"/>
      <c r="R34" s="20"/>
      <c r="S34" s="20"/>
      <c r="T34" s="12"/>
      <c r="U34" s="17">
        <f t="shared" si="17"/>
        <v>65000</v>
      </c>
      <c r="V34" s="12"/>
      <c r="W34" s="12">
        <v>25000</v>
      </c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9"/>
        <v>15000</v>
      </c>
      <c r="AT34" s="15">
        <v>35000</v>
      </c>
      <c r="AV34" s="15"/>
      <c r="AW34" s="15">
        <f t="shared" si="10"/>
        <v>0</v>
      </c>
      <c r="AX34" s="15">
        <f t="shared" si="11"/>
        <v>0</v>
      </c>
      <c r="AY34" s="15">
        <f t="shared" si="12"/>
        <v>0</v>
      </c>
      <c r="AZ34" s="16">
        <f t="shared" si="13"/>
        <v>0</v>
      </c>
      <c r="BA34" s="58"/>
      <c r="BB34" s="58"/>
      <c r="BC34" s="15"/>
      <c r="BD34" s="57">
        <f t="shared" si="14"/>
        <v>0</v>
      </c>
      <c r="BE34" s="82"/>
      <c r="BF34" s="29">
        <f t="shared" si="6"/>
        <v>0</v>
      </c>
      <c r="BG34" s="29">
        <v>11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VLOOKUP(A35,[18]HISTOBQUEJANV23!$A$6:$G$44,3,0)</f>
        <v>40000</v>
      </c>
      <c r="E35" s="9">
        <f>VLOOKUP(A35,[18]HISTOBQUEJANV23!$A$6:$G$39,4,0)</f>
        <v>0</v>
      </c>
      <c r="F35" s="9">
        <f>VLOOKUP(A35,[18]HISTOBQUEJANV23!$A$6:$G$39,5,0)</f>
        <v>0</v>
      </c>
      <c r="G35" s="5">
        <f t="shared" si="15"/>
        <v>0</v>
      </c>
      <c r="H35" s="10" t="str">
        <f t="shared" si="1"/>
        <v>BANQUE</v>
      </c>
      <c r="I35" s="10"/>
      <c r="J35" s="11">
        <v>1</v>
      </c>
      <c r="K35" s="11">
        <f t="shared" si="16"/>
        <v>40000</v>
      </c>
      <c r="L35" s="6"/>
      <c r="M35" s="11">
        <f t="shared" si="2"/>
        <v>0</v>
      </c>
      <c r="N35" s="6"/>
      <c r="O35" s="11">
        <f t="shared" si="3"/>
        <v>0</v>
      </c>
      <c r="P35" s="20"/>
      <c r="Q35" s="2"/>
      <c r="R35" s="20"/>
      <c r="S35" s="20"/>
      <c r="T35" s="12"/>
      <c r="U35" s="17">
        <f t="shared" si="17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9"/>
        <v>15000</v>
      </c>
      <c r="AT35" s="15"/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3"/>
        <v>0</v>
      </c>
      <c r="BA35" s="58"/>
      <c r="BB35" s="58"/>
      <c r="BC35" s="15"/>
      <c r="BD35" s="57">
        <f t="shared" si="14"/>
        <v>0</v>
      </c>
      <c r="BE35" s="82"/>
      <c r="BF35" s="29">
        <f t="shared" si="6"/>
        <v>0</v>
      </c>
      <c r="BG35" s="29">
        <v>11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VLOOKUP(A36,[18]HISTOBQUEJANV23!$A$6:$G$44,3,0)</f>
        <v>290000</v>
      </c>
      <c r="E36" s="9">
        <f>VLOOKUP(A36,[18]HISTOBQUEJANV23!$A$6:$G$39,4,0)</f>
        <v>0</v>
      </c>
      <c r="F36" s="9">
        <f>VLOOKUP(A36,[18]HISTOBQUEJANV23!$A$6:$G$39,5,0)</f>
        <v>0</v>
      </c>
      <c r="G36" s="5">
        <f t="shared" si="15"/>
        <v>0</v>
      </c>
      <c r="H36" s="10" t="str">
        <f t="shared" si="1"/>
        <v>BANQUE</v>
      </c>
      <c r="I36" s="10"/>
      <c r="J36" s="11">
        <v>1</v>
      </c>
      <c r="K36" s="11">
        <f t="shared" si="16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6"/>
      <c r="Q36" s="2">
        <f>VLOOKUP(A36,[13]TONTJANV23!$A$7:$P$20,10,0)</f>
        <v>0</v>
      </c>
      <c r="R36" s="6"/>
      <c r="S36" s="6"/>
      <c r="T36" s="12"/>
      <c r="U36" s="17">
        <f t="shared" si="17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9"/>
        <v>15000</v>
      </c>
      <c r="AT36" s="15"/>
      <c r="AV36" s="15"/>
      <c r="AW36" s="15">
        <f t="shared" si="10"/>
        <v>0</v>
      </c>
      <c r="AX36" s="15">
        <f t="shared" si="11"/>
        <v>0</v>
      </c>
      <c r="AY36" s="15">
        <f t="shared" si="12"/>
        <v>0</v>
      </c>
      <c r="AZ36" s="16">
        <f t="shared" si="13"/>
        <v>0</v>
      </c>
      <c r="BA36" s="58"/>
      <c r="BB36" s="58"/>
      <c r="BC36" s="15"/>
      <c r="BD36" s="57">
        <f t="shared" si="14"/>
        <v>0</v>
      </c>
      <c r="BE36" s="82"/>
      <c r="BF36" s="29">
        <f t="shared" si="6"/>
        <v>0</v>
      </c>
      <c r="BG36" s="29">
        <v>11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27">SUM(C6:C37)</f>
        <v>35000</v>
      </c>
      <c r="D38" s="5">
        <f t="shared" si="27"/>
        <v>3640000</v>
      </c>
      <c r="E38" s="5">
        <f t="shared" si="27"/>
        <v>589000</v>
      </c>
      <c r="F38" s="5">
        <f t="shared" si="27"/>
        <v>210000</v>
      </c>
      <c r="G38" s="5">
        <f t="shared" si="27"/>
        <v>0</v>
      </c>
      <c r="H38" s="5">
        <f t="shared" si="27"/>
        <v>0</v>
      </c>
      <c r="I38" s="5">
        <f t="shared" si="27"/>
        <v>244000</v>
      </c>
      <c r="J38" s="5">
        <f t="shared" si="27"/>
        <v>30</v>
      </c>
      <c r="K38" s="5">
        <f t="shared" si="27"/>
        <v>1200000</v>
      </c>
      <c r="L38" s="5">
        <f t="shared" si="27"/>
        <v>17</v>
      </c>
      <c r="M38" s="5">
        <f t="shared" si="27"/>
        <v>1275000</v>
      </c>
      <c r="N38" s="5">
        <f t="shared" si="27"/>
        <v>14</v>
      </c>
      <c r="O38" s="5">
        <f t="shared" si="27"/>
        <v>1400000</v>
      </c>
      <c r="P38" s="5">
        <f t="shared" si="27"/>
        <v>0</v>
      </c>
      <c r="Q38" s="5">
        <f t="shared" si="27"/>
        <v>0</v>
      </c>
      <c r="R38" s="5">
        <f t="shared" si="27"/>
        <v>0</v>
      </c>
      <c r="S38" s="5">
        <f t="shared" si="27"/>
        <v>0</v>
      </c>
      <c r="T38" s="5"/>
      <c r="U38" s="5">
        <f t="shared" ref="U38:AA38" si="28">SUM(U6:U37)</f>
        <v>4194000</v>
      </c>
      <c r="V38" s="5">
        <f t="shared" si="28"/>
        <v>0</v>
      </c>
      <c r="W38" s="5">
        <f t="shared" si="28"/>
        <v>75000</v>
      </c>
      <c r="X38" s="5">
        <f t="shared" si="28"/>
        <v>0</v>
      </c>
      <c r="Y38" s="5">
        <f t="shared" si="28"/>
        <v>0</v>
      </c>
      <c r="Z38" s="5">
        <f t="shared" si="28"/>
        <v>0</v>
      </c>
      <c r="AA38" s="5">
        <f t="shared" si="28"/>
        <v>0</v>
      </c>
      <c r="AB38" s="5"/>
      <c r="AC38" s="5">
        <f>SUM(AC6:AC37)</f>
        <v>85000</v>
      </c>
      <c r="AD38" s="5">
        <f>SUM(AD6:AD37)</f>
        <v>105000</v>
      </c>
      <c r="AE38" s="5">
        <f>SUM(AE6:AE37)</f>
        <v>375000</v>
      </c>
      <c r="AF38" s="5">
        <f>SUM(AF6:AF37)</f>
        <v>0</v>
      </c>
      <c r="AG38" s="5">
        <f>SUM(AG6:AG37)</f>
        <v>0</v>
      </c>
      <c r="AH38" s="5"/>
      <c r="AI38" s="5">
        <f t="shared" ref="AI38:BE38" si="29">SUM(AI6:AI37)</f>
        <v>235000</v>
      </c>
      <c r="AJ38" s="5">
        <f t="shared" si="29"/>
        <v>405000</v>
      </c>
      <c r="AK38" s="5">
        <f t="shared" si="29"/>
        <v>325000</v>
      </c>
      <c r="AL38" s="5">
        <f t="shared" si="29"/>
        <v>9000</v>
      </c>
      <c r="AM38" s="5">
        <f t="shared" si="29"/>
        <v>8000</v>
      </c>
      <c r="AN38" s="5">
        <f t="shared" si="29"/>
        <v>13000</v>
      </c>
      <c r="AO38" s="5">
        <f t="shared" si="29"/>
        <v>0</v>
      </c>
      <c r="AP38" s="5">
        <f t="shared" si="29"/>
        <v>0</v>
      </c>
      <c r="AQ38" s="5">
        <f t="shared" si="29"/>
        <v>0</v>
      </c>
      <c r="AR38" s="5">
        <f t="shared" si="29"/>
        <v>0</v>
      </c>
      <c r="AS38" s="5">
        <f t="shared" si="29"/>
        <v>694000</v>
      </c>
      <c r="AT38" s="5">
        <f t="shared" si="29"/>
        <v>35000</v>
      </c>
      <c r="AU38" s="5">
        <f t="shared" si="29"/>
        <v>0</v>
      </c>
      <c r="AV38" s="5">
        <f t="shared" si="29"/>
        <v>0</v>
      </c>
      <c r="AW38" s="5">
        <f t="shared" si="29"/>
        <v>750000</v>
      </c>
      <c r="AX38" s="5">
        <f t="shared" si="29"/>
        <v>1200000</v>
      </c>
      <c r="AY38" s="5">
        <f t="shared" si="29"/>
        <v>3550000</v>
      </c>
      <c r="AZ38" s="5">
        <f t="shared" si="29"/>
        <v>5396000</v>
      </c>
      <c r="BA38" s="5">
        <f t="shared" si="29"/>
        <v>490000</v>
      </c>
      <c r="BB38" s="5">
        <f t="shared" si="29"/>
        <v>210000</v>
      </c>
      <c r="BC38" s="5">
        <f t="shared" si="29"/>
        <v>0</v>
      </c>
      <c r="BD38" s="5">
        <f t="shared" si="29"/>
        <v>4906000</v>
      </c>
      <c r="BE38" s="5">
        <f t="shared" si="29"/>
        <v>4906000</v>
      </c>
      <c r="BF38" s="5">
        <f>SUM(BF6:BF37)</f>
        <v>0</v>
      </c>
      <c r="BH38" s="5">
        <f t="shared" ref="BH38:BL38" si="30">SUM(BH6:BH37)</f>
        <v>6000</v>
      </c>
      <c r="BI38" s="5">
        <f t="shared" si="30"/>
        <v>0</v>
      </c>
      <c r="BJ38" s="5">
        <f t="shared" si="30"/>
        <v>0</v>
      </c>
      <c r="BK38" s="5">
        <f t="shared" si="30"/>
        <v>100000</v>
      </c>
      <c r="BL38" s="5">
        <f t="shared" si="30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Y40" t="s">
        <v>134</v>
      </c>
      <c r="Z40" s="12">
        <v>428899</v>
      </c>
      <c r="AW40" s="15"/>
      <c r="AX40" s="15"/>
      <c r="AY40" s="15"/>
      <c r="AZ40" s="16"/>
      <c r="BA40">
        <v>619000</v>
      </c>
      <c r="BD40" t="s">
        <v>177</v>
      </c>
      <c r="BE40">
        <v>5024000</v>
      </c>
    </row>
    <row r="41" spans="1:68" ht="18.75" x14ac:dyDescent="0.3">
      <c r="B41" s="21" t="s">
        <v>157</v>
      </c>
      <c r="H41" s="1"/>
      <c r="I41" s="1"/>
      <c r="Y41" t="s">
        <v>135</v>
      </c>
      <c r="Z41" s="12">
        <v>805000</v>
      </c>
      <c r="AW41" s="15"/>
      <c r="AX41" s="15"/>
      <c r="AY41" s="15"/>
      <c r="AZ41" s="16">
        <v>5024000</v>
      </c>
      <c r="BC41" t="s">
        <v>179</v>
      </c>
      <c r="BD41" s="70">
        <v>257000</v>
      </c>
      <c r="BE41" s="6">
        <f>+BE40-BE38</f>
        <v>118000</v>
      </c>
      <c r="BN41" t="s">
        <v>129</v>
      </c>
      <c r="BO41" t="s">
        <v>50</v>
      </c>
    </row>
    <row r="42" spans="1:68" ht="18.75" x14ac:dyDescent="0.3">
      <c r="C42" s="3" t="s">
        <v>8</v>
      </c>
      <c r="D42" s="63"/>
      <c r="E42" s="63"/>
      <c r="F42" s="3" t="s">
        <v>9</v>
      </c>
      <c r="G42" s="63"/>
      <c r="H42" s="63"/>
      <c r="I42" s="64"/>
      <c r="Y42" t="s">
        <v>136</v>
      </c>
      <c r="Z42" s="12">
        <v>243805</v>
      </c>
      <c r="AI42" s="5"/>
      <c r="AV42" s="3"/>
      <c r="AW42" s="63"/>
      <c r="AX42" s="15"/>
      <c r="AY42" s="15"/>
      <c r="AZ42" s="16"/>
      <c r="BN42" t="s">
        <v>171</v>
      </c>
      <c r="BP42">
        <v>257000</v>
      </c>
    </row>
    <row r="43" spans="1:68" ht="18.75" x14ac:dyDescent="0.3">
      <c r="B43" s="1" t="s">
        <v>74</v>
      </c>
      <c r="C43" s="1" t="s">
        <v>76</v>
      </c>
      <c r="D43" s="1" t="s">
        <v>75</v>
      </c>
      <c r="E43" s="1" t="s">
        <v>77</v>
      </c>
      <c r="F43" s="1" t="s">
        <v>75</v>
      </c>
      <c r="G43" s="1" t="s">
        <v>76</v>
      </c>
      <c r="H43" s="1" t="s">
        <v>77</v>
      </c>
      <c r="I43" s="1"/>
      <c r="J43" s="1"/>
      <c r="K43" s="1"/>
      <c r="Y43" t="s">
        <v>137</v>
      </c>
      <c r="Z43" s="12">
        <v>51454</v>
      </c>
      <c r="AI43" s="5"/>
      <c r="AW43" s="15"/>
      <c r="AX43" s="15"/>
      <c r="AY43" s="15"/>
      <c r="AZ43" s="16"/>
      <c r="BN43" s="62" t="s">
        <v>142</v>
      </c>
      <c r="BP43" s="62">
        <f>SUM(BP40:BP42)</f>
        <v>257000</v>
      </c>
    </row>
    <row r="44" spans="1:68" ht="18.75" x14ac:dyDescent="0.3">
      <c r="B44" s="1" t="s">
        <v>78</v>
      </c>
      <c r="AW44" s="15"/>
      <c r="AX44" s="15"/>
      <c r="AY44" s="15"/>
      <c r="AZ44" s="16"/>
    </row>
    <row r="45" spans="1:68" ht="18.75" x14ac:dyDescent="0.3">
      <c r="B45" s="1" t="s">
        <v>79</v>
      </c>
      <c r="C45" s="14">
        <f>AZ38</f>
        <v>5396000</v>
      </c>
      <c r="D45" s="9">
        <f>SUMIFS(D8:D38,H8:H38,"BANQUE")</f>
        <v>3465000</v>
      </c>
      <c r="F45" s="9">
        <f>E38</f>
        <v>589000</v>
      </c>
      <c r="G45" s="14"/>
      <c r="J45" s="5"/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3" spans="49:52" ht="18" x14ac:dyDescent="0.25">
      <c r="AW83" s="5"/>
      <c r="AX83" s="5"/>
      <c r="AY83" s="5"/>
      <c r="AZ83" s="5">
        <f>SUM(AZ8:AZ82)</f>
        <v>15710000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81"/>
  <sheetViews>
    <sheetView zoomScaleNormal="100" workbookViewId="0">
      <pane xSplit="4" ySplit="5" topLeftCell="O6" activePane="bottomRight" state="frozen"/>
      <selection pane="topRight" activeCell="E1" sqref="E1"/>
      <selection pane="bottomLeft" activeCell="A6" sqref="A6"/>
      <selection pane="bottomRight" activeCell="Q8" sqref="Q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7.7109375" customWidth="1"/>
    <col min="58" max="58" width="15" bestFit="1" customWidth="1"/>
    <col min="62" max="62" width="15" bestFit="1" customWidth="1"/>
    <col min="64" max="64" width="12.42578125" bestFit="1" customWidth="1"/>
    <col min="65" max="65" width="14.85546875" customWidth="1"/>
    <col min="66" max="66" width="27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185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VLOOKUP(A6,[18]HISTOBQUEFEV23!$A$6:$G$44,3,0)</f>
        <v>175000</v>
      </c>
      <c r="E6" s="9">
        <f>VLOOKUP(A6,[18]HISTOBQUEFEV23!$A$6:$G$39,4,0)</f>
        <v>0</v>
      </c>
      <c r="F6" s="9">
        <f>VLOOKUP(A6,[18]HISTOBQUEFEV23!$A$6:$G$39,5,0)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VLOOKUP($A6,[13]TONTFEV23!$A$6:$P$20,10,0)</f>
        <v>0</v>
      </c>
      <c r="R6" s="2">
        <f>VLOOKUP($A6,[19]TONTFEV23!$A$6:$P$21,10,0)</f>
        <v>0</v>
      </c>
      <c r="S6" s="20"/>
      <c r="T6" s="12"/>
      <c r="U6" s="17">
        <f>G6+S6+R6+P6+O6+M6+I6+K6+Q6+V6+W6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828500</v>
      </c>
      <c r="BA6" s="58">
        <v>262500</v>
      </c>
      <c r="BB6" s="58"/>
      <c r="BC6" s="15"/>
      <c r="BD6" s="57">
        <f>IF(AZ6=0,(AZ6-BA6-BC6),(AZ6-BA6-BB6-BC6))+F6</f>
        <v>566000</v>
      </c>
      <c r="BE6" s="82">
        <v>1206700</v>
      </c>
      <c r="BF6" s="29">
        <f t="shared" ref="BF6:BF36" si="6">Z6*1/100*BG6</f>
        <v>0</v>
      </c>
      <c r="BG6" s="29">
        <v>10</v>
      </c>
      <c r="BH6" s="15">
        <f>BP16</f>
        <v>68500</v>
      </c>
      <c r="BI6" s="15">
        <f>BP28</f>
        <v>0</v>
      </c>
      <c r="BJ6" s="15">
        <f>BP33</f>
        <v>560000</v>
      </c>
      <c r="BK6" s="15"/>
      <c r="BL6" s="15"/>
      <c r="BM6" s="15">
        <f>BP22</f>
        <v>200000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VLOOKUP(A7,[18]HISTOBQUEFEV23!$A$6:$G$44,3,0)</f>
        <v>0</v>
      </c>
      <c r="E7" s="9">
        <f>VLOOKUP(A7,[18]HISTOBQUEFEV23!$A$6:$G$39,4,0)</f>
        <v>40000</v>
      </c>
      <c r="F7" s="9">
        <f>VLOOKUP(A7,[18]HISTOBQUEFEV23!$A$6:$G$39,5,0)</f>
        <v>0</v>
      </c>
      <c r="G7" s="5">
        <f>IF(H7="ESPECES",3000,0)-3000</f>
        <v>0</v>
      </c>
      <c r="H7" s="10" t="str">
        <f t="shared" si="1"/>
        <v>ESPECES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VLOOKUP($A7,[20]TONTFEV23!$A$6:$P$35,12,0)</f>
        <v>0</v>
      </c>
      <c r="Q7" s="2"/>
      <c r="R7" s="2"/>
      <c r="S7" s="20"/>
      <c r="T7" s="12"/>
      <c r="U7" s="17">
        <f t="shared" ref="U7:U36" si="7">G7+S7+R7+P7+O7+M7+I7+K7+Q7+V7+W7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10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VLOOKUP(A8,[18]HISTOBQUEFEV23!$A$6:$G$44,3,0)</f>
        <v>615000</v>
      </c>
      <c r="E8" s="9">
        <f>VLOOKUP(A8,[18]HISTOBQUEFEV23!$A$6:$G$39,4,0)</f>
        <v>0</v>
      </c>
      <c r="F8" s="9">
        <f>VLOOKUP(A8,[18]HISTOBQUEFEV23!$A$6:$G$39,5,0)</f>
        <v>0</v>
      </c>
      <c r="G8" s="5">
        <f t="shared" ref="G8:G36" si="14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5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VLOOKUP($A8,[20]TONTFEV23!$A$6:$P$35,12,0)</f>
        <v>0</v>
      </c>
      <c r="Q8" s="2">
        <f>VLOOKUP($A8,[13]TONTFEV23!$A$7:$P$20,10,0)</f>
        <v>0</v>
      </c>
      <c r="R8" s="2"/>
      <c r="S8" s="20">
        <v>500000</v>
      </c>
      <c r="T8" s="12" t="s">
        <v>8</v>
      </c>
      <c r="U8" s="17">
        <f t="shared" si="7"/>
        <v>615000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10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27500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VLOOKUP(A9,[18]HISTOBQUEFEV23!$A$6:$G$44,3,0)</f>
        <v>120000</v>
      </c>
      <c r="E9" s="9">
        <f>VLOOKUP(A9,[18]HISTOBQUEFEV23!$A$6:$G$39,4,0)</f>
        <v>80000</v>
      </c>
      <c r="F9" s="9">
        <f>VLOOKUP(A9,[18]HISTOBQUEFEV23!$A$6:$G$39,5,0)</f>
        <v>0</v>
      </c>
      <c r="G9" s="5">
        <f t="shared" si="14"/>
        <v>0</v>
      </c>
      <c r="H9" s="10" t="str">
        <f t="shared" si="1"/>
        <v>BANQUE</v>
      </c>
      <c r="I9" s="10">
        <v>8000</v>
      </c>
      <c r="J9" s="11">
        <v>1</v>
      </c>
      <c r="K9" s="11">
        <f t="shared" si="15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VLOOKUP($A9,[20]TONTFEV23!$A$6:$P$35,12,0)</f>
        <v>0</v>
      </c>
      <c r="Q9" s="2"/>
      <c r="R9" s="2">
        <f>VLOOKUP($A9,[19]TONTFEV23!$A$6:$P$21,10,0)</f>
        <v>52000</v>
      </c>
      <c r="S9" s="20"/>
      <c r="T9" s="12"/>
      <c r="U9" s="17">
        <f t="shared" si="7"/>
        <v>200000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23000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2"/>
        <v>0</v>
      </c>
      <c r="BA9" s="58"/>
      <c r="BB9" s="58"/>
      <c r="BC9" s="15"/>
      <c r="BD9" s="57">
        <f t="shared" si="13"/>
        <v>0</v>
      </c>
      <c r="BE9" s="82"/>
      <c r="BF9" s="29">
        <f t="shared" si="6"/>
        <v>0</v>
      </c>
      <c r="BG9" s="29">
        <v>10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VLOOKUP(A10,[18]HISTOBQUEFEV23!$A$6:$G$44,3,0)</f>
        <v>103000</v>
      </c>
      <c r="E10" s="9">
        <f>VLOOKUP(A10,[18]HISTOBQUEFEV23!$A$6:$G$39,4,0)</f>
        <v>0</v>
      </c>
      <c r="F10" s="9">
        <f>VLOOKUP(A10,[18]HISTOBQUEFEV23!$A$6:$G$39,5,0)</f>
        <v>0</v>
      </c>
      <c r="G10" s="5">
        <f t="shared" si="14"/>
        <v>0</v>
      </c>
      <c r="H10" s="10" t="str">
        <f t="shared" si="1"/>
        <v>BANQUE</v>
      </c>
      <c r="I10" s="10"/>
      <c r="J10" s="11">
        <v>1</v>
      </c>
      <c r="K10" s="11">
        <f t="shared" si="15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VLOOKUP($A10,[20]TONTFEV23!$A$6:$P$35,12,0)</f>
        <v>63000</v>
      </c>
      <c r="Q10" s="2"/>
      <c r="R10" s="2"/>
      <c r="S10" s="20"/>
      <c r="T10" s="12"/>
      <c r="U10" s="17">
        <f t="shared" si="7"/>
        <v>103000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40000</v>
      </c>
      <c r="AJ10" s="12"/>
      <c r="AK10" s="12"/>
      <c r="AL10" s="12">
        <v>1000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40000</v>
      </c>
      <c r="AX10" s="15">
        <f t="shared" si="10"/>
        <v>0</v>
      </c>
      <c r="AY10" s="15">
        <f t="shared" si="11"/>
        <v>0</v>
      </c>
      <c r="AZ10" s="16">
        <f t="shared" si="12"/>
        <v>40000</v>
      </c>
      <c r="BA10" s="58">
        <v>40000</v>
      </c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10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VLOOKUP(A11,[18]HISTOBQUEFEV23!$A$6:$G$44,3,0)</f>
        <v>177000</v>
      </c>
      <c r="E11" s="9">
        <f>VLOOKUP(A11,[18]HISTOBQUEFEV23!$A$6:$G$39,4,0)</f>
        <v>0</v>
      </c>
      <c r="F11" s="9">
        <f>VLOOKUP(A11,[18]HISTOBQUEFEV23!$A$6:$G$39,5,0)</f>
        <v>0</v>
      </c>
      <c r="G11" s="5">
        <f t="shared" si="14"/>
        <v>0</v>
      </c>
      <c r="H11" s="10" t="str">
        <f t="shared" si="1"/>
        <v>BANQUE</v>
      </c>
      <c r="I11" s="10"/>
      <c r="J11" s="11">
        <v>1</v>
      </c>
      <c r="K11" s="11">
        <f t="shared" si="15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VLOOKUP($A11,[20]TONTFEV23!$A$6:$P$35,12,0)</f>
        <v>62000</v>
      </c>
      <c r="Q11" s="2">
        <f>VLOOKUP($A11,[13]TONTFEV23!$A$7:$P$20,10,0)</f>
        <v>0</v>
      </c>
      <c r="R11" s="2"/>
      <c r="S11" s="20"/>
      <c r="T11" s="12"/>
      <c r="U11" s="17">
        <f t="shared" si="7"/>
        <v>177000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0</v>
      </c>
      <c r="AY11" s="15">
        <f t="shared" si="11"/>
        <v>0</v>
      </c>
      <c r="AZ11" s="16">
        <f t="shared" si="12"/>
        <v>0</v>
      </c>
      <c r="BA11" s="58"/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10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>
        <v>35000</v>
      </c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VLOOKUP(A12,[18]HISTOBQUEFEV23!$A$6:$G$44,3,0)</f>
        <v>320000</v>
      </c>
      <c r="E12" s="9">
        <f>VLOOKUP(A12,[18]HISTOBQUEFEV23!$A$6:$G$39,4,0)</f>
        <v>0</v>
      </c>
      <c r="F12" s="9">
        <f>VLOOKUP(A12,[18]HISTOBQUEFEV23!$A$6:$G$39,5,0)</f>
        <v>0</v>
      </c>
      <c r="G12" s="5">
        <f t="shared" si="14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5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VLOOKUP($A12,[20]TONTFEV23!$A$6:$P$35,12,0)</f>
        <v>0</v>
      </c>
      <c r="Q12" s="2">
        <f>VLOOKUP($A12,[13]TONTFEV23!$A$7:$P$20,10,0)</f>
        <v>0</v>
      </c>
      <c r="R12" s="2">
        <f>VLOOKUP($A12,[19]TONTFEV23!$A$6:$P$21,10,0)</f>
        <v>0</v>
      </c>
      <c r="S12" s="20"/>
      <c r="T12" s="12"/>
      <c r="U12" s="17">
        <f t="shared" si="7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0</v>
      </c>
      <c r="BA12" s="58"/>
      <c r="BB12" s="58"/>
      <c r="BC12" s="15"/>
      <c r="BD12" s="57">
        <f t="shared" si="13"/>
        <v>0</v>
      </c>
      <c r="BE12" s="82"/>
      <c r="BF12" s="29">
        <f t="shared" si="6"/>
        <v>0</v>
      </c>
      <c r="BG12" s="29">
        <v>10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VLOOKUP(A13,[18]HISTOBQUEFEV23!$A$6:$G$44,3,0)</f>
        <v>0</v>
      </c>
      <c r="E13" s="9">
        <f>VLOOKUP(A13,[18]HISTOBQUEFEV23!$A$6:$G$39,4,0)</f>
        <v>40000</v>
      </c>
      <c r="F13" s="9">
        <f>VLOOKUP(A13,[18]HISTOBQUEFEV23!$A$6:$G$39,5,0)</f>
        <v>0</v>
      </c>
      <c r="G13" s="5">
        <f>IF(H13="ESPECES",3000,0)-3000</f>
        <v>0</v>
      </c>
      <c r="H13" s="10" t="str">
        <f t="shared" si="1"/>
        <v>ESPECES</v>
      </c>
      <c r="I13" s="10"/>
      <c r="J13" s="11">
        <v>1</v>
      </c>
      <c r="K13" s="11">
        <f t="shared" si="15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VLOOKUP($A13,[20]TONTFEV23!$A$6:$P$35,12,0)</f>
        <v>0</v>
      </c>
      <c r="Q13" s="2"/>
      <c r="R13" s="2"/>
      <c r="S13" s="20"/>
      <c r="T13" s="12"/>
      <c r="U13" s="17">
        <f t="shared" si="7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10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VLOOKUP(A14,[18]HISTOBQUEFEV23!$A$6:$G$44,3,0)</f>
        <v>40000</v>
      </c>
      <c r="E14" s="9">
        <f>VLOOKUP(A14,[18]HISTOBQUEFEV23!$A$6:$G$39,4,0)</f>
        <v>0</v>
      </c>
      <c r="F14" s="9">
        <f>VLOOKUP(A14,[18]HISTOBQUEFEV23!$A$6:$G$39,5,0)</f>
        <v>0</v>
      </c>
      <c r="G14" s="5">
        <f t="shared" si="14"/>
        <v>0</v>
      </c>
      <c r="H14" s="10" t="str">
        <f t="shared" si="1"/>
        <v>BANQUE</v>
      </c>
      <c r="I14" s="10"/>
      <c r="J14" s="11">
        <v>1</v>
      </c>
      <c r="K14" s="11">
        <f t="shared" si="15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VLOOKUP($A14,[20]TONTFEV23!$A$6:$P$35,12,0)</f>
        <v>0</v>
      </c>
      <c r="Q14" s="2"/>
      <c r="R14" s="2"/>
      <c r="S14" s="20"/>
      <c r="T14" s="12"/>
      <c r="U14" s="17">
        <f t="shared" si="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10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VLOOKUP(A15,[18]HISTOBQUEFEV23!$A$6:$G$44,3,0)</f>
        <v>115000</v>
      </c>
      <c r="E15" s="9">
        <f>VLOOKUP(A15,[18]HISTOBQUEFEV23!$A$6:$G$39,4,0)</f>
        <v>0</v>
      </c>
      <c r="F15" s="9">
        <f>VLOOKUP(A15,[18]HISTOBQUEFEV23!$A$6:$G$39,5,0)</f>
        <v>0</v>
      </c>
      <c r="G15" s="5">
        <f t="shared" si="14"/>
        <v>0</v>
      </c>
      <c r="H15" s="10" t="str">
        <f t="shared" si="1"/>
        <v>BANQUE</v>
      </c>
      <c r="I15" s="10"/>
      <c r="J15" s="11">
        <v>1</v>
      </c>
      <c r="K15" s="11">
        <f t="shared" si="15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VLOOKUP($A15,[20]TONTFEV23!$A$6:$P$35,12,0)</f>
        <v>0</v>
      </c>
      <c r="Q15" s="2">
        <f>VLOOKUP($A15,[13]TONTFEV23!$A$7:$P$20,10,0)</f>
        <v>0</v>
      </c>
      <c r="R15" s="2"/>
      <c r="S15" s="20"/>
      <c r="T15" s="12"/>
      <c r="U15" s="17">
        <f t="shared" si="7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10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VLOOKUP(A16,[18]HISTOBQUEFEV23!$A$6:$G$44,3,0)</f>
        <v>250000</v>
      </c>
      <c r="E16" s="9">
        <f>VLOOKUP(A16,[18]HISTOBQUEFEV23!$A$6:$G$39,4,0)</f>
        <v>0</v>
      </c>
      <c r="F16" s="9">
        <f>VLOOKUP(A16,[18]HISTOBQUEFEV23!$A$6:$G$39,5,0)</f>
        <v>1000000</v>
      </c>
      <c r="G16" s="5">
        <f t="shared" si="14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5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VLOOKUP($A16,[20]TONTFEV23!$A$6:$P$35,12,0)</f>
        <v>0</v>
      </c>
      <c r="Q16" s="2">
        <f>VLOOKUP($A16,[13]TONTFEV23!$A$7:$P$20,10,0)</f>
        <v>0</v>
      </c>
      <c r="R16" s="2">
        <f>VLOOKUP($A16,[19]TONTFEV23!$A$6:$P$21,10,0)</f>
        <v>0</v>
      </c>
      <c r="S16" s="20">
        <v>1000000</v>
      </c>
      <c r="T16" s="12" t="s">
        <v>8</v>
      </c>
      <c r="U16" s="17">
        <f t="shared" si="7"/>
        <v>1250000</v>
      </c>
      <c r="V16" s="12"/>
      <c r="W16" s="12"/>
      <c r="X16" s="12"/>
      <c r="Y16" s="12"/>
      <c r="Z16" s="12"/>
      <c r="AA16" s="12"/>
      <c r="AB16" s="12"/>
      <c r="AC16" s="12"/>
      <c r="AD16" s="12">
        <v>20000</v>
      </c>
      <c r="AE16" s="12">
        <v>28000</v>
      </c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880000</v>
      </c>
      <c r="AY16" s="15">
        <f t="shared" si="11"/>
        <v>1172000</v>
      </c>
      <c r="AZ16" s="16">
        <f t="shared" si="12"/>
        <v>1052000</v>
      </c>
      <c r="BA16" s="58"/>
      <c r="BB16" s="58"/>
      <c r="BC16" s="15"/>
      <c r="BD16" s="57">
        <f>IF(AZ16=0,(AZ16-BA16-BC16),(AZ16-BA16-BB16-BC16))</f>
        <v>1052000</v>
      </c>
      <c r="BE16" s="82">
        <f>880000+172000</f>
        <v>1052000</v>
      </c>
      <c r="BF16" s="29">
        <f t="shared" si="6"/>
        <v>0</v>
      </c>
      <c r="BG16" s="29">
        <v>10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68500</v>
      </c>
    </row>
    <row r="17" spans="1:69" ht="18.75" x14ac:dyDescent="0.3">
      <c r="A17" s="1" t="s">
        <v>22</v>
      </c>
      <c r="B17" s="1" t="str">
        <f>VLOOKUP(A17,[17]LISTADHERENT!A$5:H$39,3,0)</f>
        <v>KOUAMOU MOISE</v>
      </c>
      <c r="C17" s="9">
        <f t="shared" si="0"/>
        <v>-70000</v>
      </c>
      <c r="D17" s="9">
        <f>VLOOKUP(A17,[18]HISTOBQUEFEV23!$A$6:$G$44,3,0)</f>
        <v>140000</v>
      </c>
      <c r="E17" s="9">
        <f>VLOOKUP(A17,[18]HISTOBQUEFEV23!$A$6:$G$39,4,0)</f>
        <v>0</v>
      </c>
      <c r="F17" s="9">
        <f>VLOOKUP(A17,[18]HISTOBQUEFEV23!$A$6:$G$39,5,0)</f>
        <v>0</v>
      </c>
      <c r="G17" s="5">
        <f t="shared" si="14"/>
        <v>0</v>
      </c>
      <c r="H17" s="10" t="str">
        <f t="shared" si="1"/>
        <v>BANQUE</v>
      </c>
      <c r="I17" s="10"/>
      <c r="J17" s="11">
        <v>1</v>
      </c>
      <c r="K17" s="11">
        <f t="shared" si="15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VLOOKUP($A17,[20]TONTFEV23!$A$6:$P$35,12,0)</f>
        <v>0</v>
      </c>
      <c r="Q17" s="2"/>
      <c r="R17" s="2">
        <f>VLOOKUP($A17,[19]TONTFEV23!$A$6:$P$21,10,0)</f>
        <v>0</v>
      </c>
      <c r="S17" s="20"/>
      <c r="T17" s="12"/>
      <c r="U17" s="17">
        <f t="shared" si="7"/>
        <v>140000</v>
      </c>
      <c r="V17" s="12"/>
      <c r="W17" s="12"/>
      <c r="X17" s="12"/>
      <c r="Y17" s="12"/>
      <c r="Z17" s="12"/>
      <c r="AA17" s="12"/>
      <c r="AB17" s="12"/>
      <c r="AC17" s="12">
        <v>6500</v>
      </c>
      <c r="AD17" s="12"/>
      <c r="AE17" s="12">
        <v>28000</v>
      </c>
      <c r="AF17" s="12" t="s">
        <v>8</v>
      </c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293500</v>
      </c>
      <c r="AX17" s="15">
        <f t="shared" si="10"/>
        <v>0</v>
      </c>
      <c r="AY17" s="15">
        <f t="shared" si="11"/>
        <v>1172000</v>
      </c>
      <c r="AZ17" s="16">
        <f t="shared" si="12"/>
        <v>1465500</v>
      </c>
      <c r="BA17" s="58">
        <v>64500</v>
      </c>
      <c r="BB17" s="58">
        <v>70000</v>
      </c>
      <c r="BC17" s="15"/>
      <c r="BD17" s="57">
        <f t="shared" si="13"/>
        <v>1331000</v>
      </c>
      <c r="BE17" s="82">
        <f>159000+1172000</f>
        <v>1331000</v>
      </c>
      <c r="BF17" s="29">
        <f t="shared" si="6"/>
        <v>0</v>
      </c>
      <c r="BG17" s="29">
        <v>10</v>
      </c>
      <c r="BH17" s="15"/>
      <c r="BI17" s="15"/>
      <c r="BJ17" s="15"/>
      <c r="BK17" s="15"/>
      <c r="BL17" s="61"/>
      <c r="BN17" s="62"/>
      <c r="BP17" s="6"/>
    </row>
    <row r="18" spans="1:69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VLOOKUP(A18,[18]HISTOBQUEFEV23!$A$6:$G$44,3,0)</f>
        <v>51000</v>
      </c>
      <c r="E18" s="9">
        <f>VLOOKUP(A18,[18]HISTOBQUEFEV23!$A$6:$G$39,4,0)</f>
        <v>266000</v>
      </c>
      <c r="F18" s="9">
        <f>VLOOKUP(A18,[18]HISTOBQUEFEV23!$A$6:$G$39,5,0)</f>
        <v>0</v>
      </c>
      <c r="G18" s="5">
        <f t="shared" si="14"/>
        <v>0</v>
      </c>
      <c r="H18" s="10" t="str">
        <f t="shared" si="1"/>
        <v>BANQUE</v>
      </c>
      <c r="I18" s="10"/>
      <c r="J18" s="11">
        <v>1</v>
      </c>
      <c r="K18" s="11">
        <f t="shared" si="15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VLOOKUP($A18,[20]TONTFEV23!$A$6:$P$35,12,0)</f>
        <v>0</v>
      </c>
      <c r="Q18" s="2">
        <f>VLOOKUP($A18,[13]TONTFEV23!$A$7:$P$20,10,0)</f>
        <v>102000</v>
      </c>
      <c r="R18" s="2">
        <f>VLOOKUP($A18,[19]TONTFEV23!$A$6:$P$21,10,0)</f>
        <v>0</v>
      </c>
      <c r="S18" s="20"/>
      <c r="T18" s="12"/>
      <c r="U18" s="17">
        <f t="shared" si="7"/>
        <v>317000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3"/>
        <v>0</v>
      </c>
      <c r="BE18" s="82"/>
      <c r="BF18" s="29">
        <f t="shared" si="6"/>
        <v>0</v>
      </c>
      <c r="BG18" s="29">
        <v>10</v>
      </c>
      <c r="BH18" s="15"/>
      <c r="BI18" s="15"/>
      <c r="BJ18" s="15"/>
      <c r="BK18" s="15"/>
      <c r="BL18" s="61"/>
      <c r="BN18" t="s">
        <v>187</v>
      </c>
      <c r="BO18" t="s">
        <v>45</v>
      </c>
      <c r="BP18" s="6">
        <v>200000</v>
      </c>
    </row>
    <row r="19" spans="1:69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VLOOKUP(A19,[18]HISTOBQUEFEV23!$A$6:$G$44,3,0)</f>
        <v>0</v>
      </c>
      <c r="E19" s="9">
        <f>VLOOKUP(A19,[18]HISTOBQUEFEV23!$A$6:$G$39,4,0)</f>
        <v>40000</v>
      </c>
      <c r="F19" s="9">
        <f>VLOOKUP(A19,[18]HISTOBQUEFEV23!$A$6:$G$39,5,0)</f>
        <v>0</v>
      </c>
      <c r="G19" s="5">
        <f>IF(H19="ESPECES",3000,0)-3000</f>
        <v>0</v>
      </c>
      <c r="H19" s="10" t="str">
        <f t="shared" si="1"/>
        <v>ESPECES</v>
      </c>
      <c r="I19" s="10"/>
      <c r="J19" s="11">
        <v>1</v>
      </c>
      <c r="K19" s="11">
        <f t="shared" si="15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VLOOKUP($A19,[20]TONTFEV23!$A$6:$P$35,12,0)</f>
        <v>0</v>
      </c>
      <c r="Q19" s="2"/>
      <c r="R19" s="2"/>
      <c r="S19" s="20"/>
      <c r="T19" s="12"/>
      <c r="U19" s="17">
        <f t="shared" si="7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10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9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VLOOKUP(A20,[18]HISTOBQUEFEV23!$A$6:$G$44,3,0)</f>
        <v>107000</v>
      </c>
      <c r="E20" s="9">
        <f>VLOOKUP(A20,[18]HISTOBQUEFEV23!$A$6:$G$39,4,0)</f>
        <v>215000</v>
      </c>
      <c r="F20" s="9">
        <f>VLOOKUP(A20,[18]HISTOBQUEFEV23!$A$6:$G$39,5,0)</f>
        <v>0</v>
      </c>
      <c r="G20" s="5">
        <f>IF(H20="ESPECES",3000,0)</f>
        <v>0</v>
      </c>
      <c r="H20" s="10" t="str">
        <f t="shared" si="1"/>
        <v>BANQUE</v>
      </c>
      <c r="I20" s="10"/>
      <c r="J20" s="11">
        <v>1</v>
      </c>
      <c r="K20" s="11">
        <f t="shared" si="15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VLOOKUP($A20,[20]TONTFEV23!$A$6:$P$35,12,0)</f>
        <v>0</v>
      </c>
      <c r="Q20" s="2">
        <f>VLOOKUP($A20,[13]TONTFEV23!$A$7:$P$20,10,0)</f>
        <v>107000</v>
      </c>
      <c r="R20" s="2">
        <f>VLOOKUP($A20,[19]TONTFEV23!$A$6:$P$21,10,0)</f>
        <v>0</v>
      </c>
      <c r="S20" s="20"/>
      <c r="T20" s="12"/>
      <c r="U20" s="17">
        <f t="shared" si="7"/>
        <v>322000</v>
      </c>
      <c r="V20" s="12"/>
      <c r="W20" s="12"/>
      <c r="X20" s="12"/>
      <c r="Y20" s="12"/>
      <c r="Z20" s="12"/>
      <c r="AA20" s="12"/>
      <c r="AB20" s="12"/>
      <c r="AC20" s="12"/>
      <c r="AD20" s="12">
        <v>22000</v>
      </c>
      <c r="AE20" s="12"/>
      <c r="AF20" s="12" t="s">
        <v>8</v>
      </c>
      <c r="AG20" s="12"/>
      <c r="AH20" s="12"/>
      <c r="AI20" s="12">
        <v>31500</v>
      </c>
      <c r="AJ20" s="12"/>
      <c r="AK20" s="12"/>
      <c r="AL20" s="12">
        <v>1000</v>
      </c>
      <c r="AM20" s="12"/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31500</v>
      </c>
      <c r="AX20" s="15">
        <f t="shared" si="10"/>
        <v>878000</v>
      </c>
      <c r="AY20" s="15">
        <f t="shared" si="11"/>
        <v>0</v>
      </c>
      <c r="AZ20" s="16">
        <f>SUM(AV20:AY20)-BF20+Z20-F20+BH20+BI20+BJ20+BK20-500000</f>
        <v>409500</v>
      </c>
      <c r="BA20" s="58">
        <f>378000+31500</f>
        <v>409500</v>
      </c>
      <c r="BB20" s="58"/>
      <c r="BC20" s="15"/>
      <c r="BD20" s="57">
        <f t="shared" si="13"/>
        <v>0</v>
      </c>
      <c r="BE20" s="82"/>
      <c r="BF20" s="29">
        <f t="shared" si="6"/>
        <v>0</v>
      </c>
      <c r="BG20" s="29">
        <v>10</v>
      </c>
      <c r="BH20" s="15"/>
      <c r="BI20" s="15"/>
      <c r="BJ20" s="15"/>
      <c r="BK20" s="15"/>
      <c r="BL20" s="61"/>
      <c r="BP20" s="6"/>
    </row>
    <row r="21" spans="1:69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VLOOKUP(A21,[18]HISTOBQUEFEV23!$A$6:$G$44,3,0)</f>
        <v>40000</v>
      </c>
      <c r="E21" s="9">
        <f>VLOOKUP(A21,[18]HISTOBQUEFEV23!$A$6:$G$39,4,0)</f>
        <v>0</v>
      </c>
      <c r="F21" s="9">
        <f>VLOOKUP(A21,[18]HISTOBQUEFEV23!$A$6:$G$39,5,0)</f>
        <v>0</v>
      </c>
      <c r="G21" s="5">
        <f t="shared" si="14"/>
        <v>0</v>
      </c>
      <c r="H21" s="10" t="str">
        <f t="shared" si="1"/>
        <v>BANQUE</v>
      </c>
      <c r="I21" s="10"/>
      <c r="J21" s="11">
        <v>1</v>
      </c>
      <c r="K21" s="11">
        <f t="shared" si="15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VLOOKUP($A21,[20]TONTFEV23!$A$6:$P$35,12,0)</f>
        <v>0</v>
      </c>
      <c r="Q21" s="2"/>
      <c r="R21" s="2"/>
      <c r="S21" s="20"/>
      <c r="T21" s="12"/>
      <c r="U21" s="17">
        <f t="shared" si="7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10</v>
      </c>
      <c r="BH21" s="15"/>
      <c r="BI21" s="15"/>
      <c r="BJ21" s="15"/>
      <c r="BK21" s="15"/>
      <c r="BL21" s="61"/>
      <c r="BP21" s="6"/>
    </row>
    <row r="22" spans="1:69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VLOOKUP(A22,[18]HISTOBQUEFEV23!$A$6:$G$44,3,0)</f>
        <v>115000</v>
      </c>
      <c r="E22" s="9">
        <f>VLOOKUP(A22,[18]HISTOBQUEFEV23!$A$6:$G$39,4,0)</f>
        <v>0</v>
      </c>
      <c r="F22" s="9">
        <f>VLOOKUP(A22,[18]HISTOBQUEFEV23!$A$6:$G$39,5,0)</f>
        <v>0</v>
      </c>
      <c r="G22" s="5">
        <f t="shared" si="14"/>
        <v>0</v>
      </c>
      <c r="H22" s="10" t="str">
        <f t="shared" si="1"/>
        <v>BANQUE</v>
      </c>
      <c r="I22" s="10"/>
      <c r="J22" s="11">
        <v>1</v>
      </c>
      <c r="K22" s="11">
        <f t="shared" si="15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VLOOKUP($A22,[20]TONTFEV23!$A$6:$P$35,12,0)</f>
        <v>0</v>
      </c>
      <c r="Q22" s="2">
        <f>VLOOKUP($A22,[13]TONTFEV23!$A$7:$P$20,10,0)</f>
        <v>0</v>
      </c>
      <c r="R22" s="2"/>
      <c r="S22" s="20"/>
      <c r="T22" s="12"/>
      <c r="U22" s="17">
        <f t="shared" si="7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10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200000</v>
      </c>
    </row>
    <row r="23" spans="1:69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VLOOKUP(A23,[18]HISTOBQUEFEV23!$A$6:$G$44,3,0)</f>
        <v>250000</v>
      </c>
      <c r="E23" s="9">
        <f>VLOOKUP(A23,[18]HISTOBQUEFEV23!$A$6:$G$39,4,0)</f>
        <v>0</v>
      </c>
      <c r="F23" s="9">
        <f>VLOOKUP(A23,[18]HISTOBQUEFEV23!$A$6:$G$39,5,0)</f>
        <v>0</v>
      </c>
      <c r="G23" s="5">
        <f t="shared" si="14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5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VLOOKUP($A23,[20]TONTFEV23!$A$6:$P$35,12,0)</f>
        <v>0</v>
      </c>
      <c r="Q23" s="2"/>
      <c r="R23" s="2">
        <f>VLOOKUP($A23,[19]TONTFEV23!$A$6:$P$21,10,0)</f>
        <v>0</v>
      </c>
      <c r="S23" s="20"/>
      <c r="T23" s="12"/>
      <c r="U23" s="17">
        <f t="shared" si="7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10</v>
      </c>
      <c r="BH23" s="15"/>
      <c r="BI23" s="15"/>
      <c r="BJ23" s="15"/>
      <c r="BK23" s="15"/>
      <c r="BL23" s="61"/>
    </row>
    <row r="24" spans="1:69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VLOOKUP(A24,[18]HISTOBQUEFEV23!$A$6:$G$44,3,0)</f>
        <v>551000</v>
      </c>
      <c r="E24" s="9">
        <f>VLOOKUP(A24,[18]HISTOBQUEFEV23!$A$6:$G$39,4,0)</f>
        <v>0</v>
      </c>
      <c r="F24" s="9">
        <f>VLOOKUP(A24,[18]HISTOBQUEFEV23!$A$6:$G$39,5,0)</f>
        <v>0</v>
      </c>
      <c r="G24" s="5">
        <f t="shared" si="14"/>
        <v>0</v>
      </c>
      <c r="H24" s="10" t="str">
        <f t="shared" si="1"/>
        <v>BANQUE</v>
      </c>
      <c r="I24" s="10"/>
      <c r="J24" s="11">
        <v>1</v>
      </c>
      <c r="K24" s="11">
        <f t="shared" si="15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VLOOKUP($A24,[20]TONTFEV23!$A$6:$P$35,12,0)</f>
        <v>26000</v>
      </c>
      <c r="Q24" s="2">
        <f>VLOOKUP($A24,[13]TONTFEV23!$A$7:$P$20,10,0)</f>
        <v>102000</v>
      </c>
      <c r="R24" s="2">
        <f>VLOOKUP($A24,[19]TONTFEV23!$A$6:$P$21,10,0)</f>
        <v>208000</v>
      </c>
      <c r="S24" s="20"/>
      <c r="T24" s="12"/>
      <c r="U24" s="17">
        <f t="shared" si="7"/>
        <v>551000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10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9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VLOOKUP(A25,[18]HISTOBQUEFEV23!$A$6:$G$44,3,0)</f>
        <v>451000</v>
      </c>
      <c r="E25" s="9">
        <f>VLOOKUP(A25,[18]HISTOBQUEFEV23!$A$6:$G$39,4,0)</f>
        <v>50000</v>
      </c>
      <c r="F25" s="9">
        <f>VLOOKUP(A25,[18]HISTOBQUEFEV23!$A$6:$G$39,5,0)</f>
        <v>70000</v>
      </c>
      <c r="G25" s="5">
        <f t="shared" si="14"/>
        <v>0</v>
      </c>
      <c r="H25" s="10" t="str">
        <f t="shared" si="1"/>
        <v>BANQUE</v>
      </c>
      <c r="I25" s="10"/>
      <c r="J25" s="11">
        <v>1</v>
      </c>
      <c r="K25" s="11">
        <f t="shared" si="15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VLOOKUP($A25,[20]TONTFEV23!$A$6:$P$35,12,0)</f>
        <v>31000</v>
      </c>
      <c r="Q25" s="2">
        <f>VLOOKUP($A25,[13]TONTFEV23!$A$7:$P$20,10,0)</f>
        <v>102000</v>
      </c>
      <c r="R25" s="2">
        <f>VLOOKUP($A25,[19]TONTFEV23!$A$6:$P$21,10,0)</f>
        <v>78000</v>
      </c>
      <c r="S25" s="20"/>
      <c r="T25" s="12"/>
      <c r="U25" s="17">
        <f t="shared" si="7"/>
        <v>501000</v>
      </c>
      <c r="V25" s="12"/>
      <c r="W25" s="12"/>
      <c r="X25" s="12"/>
      <c r="Y25" s="12"/>
      <c r="Z25" s="12"/>
      <c r="AA25" s="12"/>
      <c r="AB25" s="12"/>
      <c r="AC25" s="12">
        <v>7500</v>
      </c>
      <c r="AD25" s="12"/>
      <c r="AE25" s="12"/>
      <c r="AF25" s="12" t="s">
        <v>8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15000</v>
      </c>
      <c r="AT25" s="12"/>
      <c r="AV25" s="15"/>
      <c r="AW25" s="15">
        <f t="shared" si="9"/>
        <v>292500</v>
      </c>
      <c r="AX25" s="15">
        <f t="shared" si="10"/>
        <v>0</v>
      </c>
      <c r="AY25" s="15">
        <f t="shared" si="11"/>
        <v>0</v>
      </c>
      <c r="AZ25" s="16">
        <f t="shared" si="12"/>
        <v>222500</v>
      </c>
      <c r="BA25" s="58"/>
      <c r="BB25" s="58">
        <v>70000</v>
      </c>
      <c r="BC25" s="15"/>
      <c r="BD25" s="57">
        <f t="shared" si="13"/>
        <v>222500</v>
      </c>
      <c r="BE25" s="82">
        <v>222500</v>
      </c>
      <c r="BF25" s="29">
        <f t="shared" si="6"/>
        <v>0</v>
      </c>
      <c r="BG25" s="29">
        <v>10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9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VLOOKUP(A26,[18]HISTOBQUEFEV23!$A$6:$G$44,3,0)</f>
        <v>0</v>
      </c>
      <c r="E26" s="9">
        <f>VLOOKUP(A26,[18]HISTOBQUEFEV23!$A$6:$G$39,4,0)</f>
        <v>102000</v>
      </c>
      <c r="F26" s="9">
        <f>VLOOKUP(A26,[18]HISTOBQUEFEV23!$A$6:$G$39,5,0)+1000000</f>
        <v>1070000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5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VLOOKUP($A26,[20]TONTFEV23!$A$6:$P$35,12,0)</f>
        <v>62000</v>
      </c>
      <c r="Q26" s="2"/>
      <c r="R26" s="2"/>
      <c r="S26" s="20">
        <v>1000000</v>
      </c>
      <c r="T26" s="12" t="s">
        <v>8</v>
      </c>
      <c r="U26" s="17">
        <f t="shared" si="7"/>
        <v>1102000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>
        <v>3500</v>
      </c>
      <c r="AD26" s="12"/>
      <c r="AE26" s="12"/>
      <c r="AF26" s="12" t="s">
        <v>8</v>
      </c>
      <c r="AG26" s="12"/>
      <c r="AH26" s="12"/>
      <c r="AI26" s="12">
        <v>40000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336500</v>
      </c>
      <c r="AX26" s="15">
        <f t="shared" si="10"/>
        <v>0</v>
      </c>
      <c r="AY26" s="15">
        <f t="shared" si="11"/>
        <v>0</v>
      </c>
      <c r="AZ26" s="16">
        <f>SUM(AV26:AY26)-BF26+Z26-F26+BH26+BI26+BJ26+BK26</f>
        <v>236500</v>
      </c>
      <c r="BA26" s="58">
        <f>196500+40000</f>
        <v>236500</v>
      </c>
      <c r="BB26" s="58">
        <v>70000</v>
      </c>
      <c r="BC26" s="15"/>
      <c r="BD26" s="57">
        <f>IF(AZ26=0,(AZ26-BA26-BC26),(AZ26-BA26-BB26-BC26))+70000</f>
        <v>0</v>
      </c>
      <c r="BE26" s="82"/>
      <c r="BF26" s="29">
        <f t="shared" si="6"/>
        <v>30000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9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VLOOKUP(A27,[18]HISTOBQUEFEV23!$A$6:$G$44,3,0)</f>
        <v>40000</v>
      </c>
      <c r="E27" s="9">
        <f>VLOOKUP(A27,[18]HISTOBQUEFEV23!$A$6:$G$39,4,0)</f>
        <v>0</v>
      </c>
      <c r="F27" s="9">
        <f>VLOOKUP(A27,[18]HISTOBQUEFEV23!$A$6:$G$39,5,0)</f>
        <v>0</v>
      </c>
      <c r="G27" s="5">
        <f t="shared" si="14"/>
        <v>0</v>
      </c>
      <c r="H27" s="10" t="str">
        <f t="shared" si="1"/>
        <v>BANQUE</v>
      </c>
      <c r="I27" s="10"/>
      <c r="J27" s="11">
        <v>1</v>
      </c>
      <c r="K27" s="11">
        <f t="shared" si="15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VLOOKUP($A27,[20]TONTFEV23!$A$6:$P$35,12,0)</f>
        <v>0</v>
      </c>
      <c r="Q27" s="2"/>
      <c r="R27" s="2"/>
      <c r="S27" s="20"/>
      <c r="T27" s="12"/>
      <c r="U27" s="17">
        <f t="shared" si="7"/>
        <v>40000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15000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10</v>
      </c>
      <c r="BH27" s="15"/>
      <c r="BI27" s="15"/>
      <c r="BJ27" s="15"/>
      <c r="BK27" s="15"/>
      <c r="BL27" s="61"/>
      <c r="BP27" s="6"/>
    </row>
    <row r="28" spans="1:69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VLOOKUP(A28,[18]HISTOBQUEFEV23!$A$6:$G$44,3,0)</f>
        <v>115000</v>
      </c>
      <c r="E28" s="9">
        <f>VLOOKUP(A28,[18]HISTOBQUEFEV23!$A$6:$G$39,4,0)</f>
        <v>0</v>
      </c>
      <c r="F28" s="9">
        <f>VLOOKUP(A28,[18]HISTOBQUEFEV23!$A$6:$G$39,5,0)</f>
        <v>0</v>
      </c>
      <c r="G28" s="5">
        <f t="shared" si="14"/>
        <v>0</v>
      </c>
      <c r="H28" s="10" t="str">
        <f t="shared" si="1"/>
        <v>BANQUE</v>
      </c>
      <c r="I28" s="10"/>
      <c r="J28" s="11">
        <v>1</v>
      </c>
      <c r="K28" s="11">
        <f t="shared" si="15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VLOOKUP($A28,[20]TONTFEV23!$A$6:$P$35,12,0)</f>
        <v>0</v>
      </c>
      <c r="Q28" s="2">
        <f>VLOOKUP($A28,[13]TONTFEV23!$A$7:$P$20,10,0)</f>
        <v>0</v>
      </c>
      <c r="R28" s="2"/>
      <c r="S28" s="20"/>
      <c r="T28" s="12"/>
      <c r="U28" s="17">
        <f t="shared" si="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10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9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VLOOKUP(A29,[18]HISTOBQUEFEV23!$A$6:$G$44,3,0)</f>
        <v>40000</v>
      </c>
      <c r="E29" s="9">
        <f>VLOOKUP(A29,[18]HISTOBQUEFEV23!$A$6:$G$39,4,0)</f>
        <v>0</v>
      </c>
      <c r="F29" s="9">
        <f>VLOOKUP(A29,[18]HISTOBQUEFEV23!$A$6:$G$39,5,0)</f>
        <v>0</v>
      </c>
      <c r="G29" s="5">
        <f t="shared" si="14"/>
        <v>0</v>
      </c>
      <c r="H29" s="10" t="str">
        <f t="shared" si="1"/>
        <v>BANQUE</v>
      </c>
      <c r="I29" s="10"/>
      <c r="J29" s="11">
        <v>1</v>
      </c>
      <c r="K29" s="11">
        <f t="shared" si="15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VLOOKUP($A29,[20]TONTFEV23!$A$6:$P$35,12,0)</f>
        <v>0</v>
      </c>
      <c r="Q29" s="2"/>
      <c r="R29" s="2"/>
      <c r="S29" s="20"/>
      <c r="T29" s="12"/>
      <c r="U29" s="17">
        <f t="shared" si="7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10</v>
      </c>
      <c r="BH29" s="15"/>
      <c r="BI29" s="15"/>
      <c r="BJ29" s="15"/>
      <c r="BK29" s="15"/>
      <c r="BL29" s="61"/>
      <c r="BN29" s="62"/>
      <c r="BP29" s="6"/>
    </row>
    <row r="30" spans="1:69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VLOOKUP(A30,[18]HISTOBQUEFEV23!$A$6:$G$44,3,0)</f>
        <v>115000</v>
      </c>
      <c r="E30" s="9">
        <f>VLOOKUP(A30,[18]HISTOBQUEFEV23!$A$6:$G$39,4,0)</f>
        <v>0</v>
      </c>
      <c r="F30" s="9">
        <f>VLOOKUP(A30,[18]HISTOBQUEFEV23!$A$6:$G$39,5,0)</f>
        <v>0</v>
      </c>
      <c r="G30" s="5">
        <f t="shared" si="14"/>
        <v>0</v>
      </c>
      <c r="H30" s="10" t="str">
        <f t="shared" si="1"/>
        <v>BANQUE</v>
      </c>
      <c r="I30" s="10"/>
      <c r="J30" s="11">
        <v>1</v>
      </c>
      <c r="K30" s="11">
        <f t="shared" si="15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VLOOKUP($A30,[20]TONTFEV23!$A$6:$P$35,12,0)</f>
        <v>0</v>
      </c>
      <c r="Q30" s="2">
        <f>VLOOKUP($A30,[13]TONTFEV23!$A$7:$P$20,10,0)</f>
        <v>0</v>
      </c>
      <c r="R30" s="2"/>
      <c r="S30" s="20"/>
      <c r="T30" s="12"/>
      <c r="U30" s="17">
        <f t="shared" si="7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10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>
        <v>560000</v>
      </c>
    </row>
    <row r="31" spans="1:69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VLOOKUP(A31,[18]HISTOBQUEFEV23!$A$6:$G$44,3,0)</f>
        <v>0</v>
      </c>
      <c r="E31" s="9">
        <f>VLOOKUP(A31,[18]HISTOBQUEFEV23!$A$6:$G$39,4,0)</f>
        <v>140000</v>
      </c>
      <c r="F31" s="9">
        <f>VLOOKUP(A31,[18]HISTOBQUEFEV23!$A$6:$G$39,5,0)</f>
        <v>0</v>
      </c>
      <c r="G31" s="5">
        <f>IF(H31="ESPECES",3000,0)-3000</f>
        <v>0</v>
      </c>
      <c r="H31" s="10" t="str">
        <f t="shared" si="1"/>
        <v>ESPECES</v>
      </c>
      <c r="I31" s="10"/>
      <c r="J31" s="11">
        <v>1</v>
      </c>
      <c r="K31" s="11">
        <f t="shared" si="15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VLOOKUP($A31,[20]TONTFEV23!$A$6:$P$35,12,0)</f>
        <v>0</v>
      </c>
      <c r="Q31" s="2"/>
      <c r="R31" s="2">
        <f>VLOOKUP($A31,[19]TONTFEV23!$A$6:$P$21,10,0)</f>
        <v>0</v>
      </c>
      <c r="S31" s="20"/>
      <c r="T31" s="12"/>
      <c r="U31" s="17">
        <f t="shared" si="7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10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9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VLOOKUP(A32,[18]HISTOBQUEFEV23!$A$6:$G$44,3,0)</f>
        <v>115000</v>
      </c>
      <c r="E32" s="9">
        <f>VLOOKUP(A32,[18]HISTOBQUEFEV23!$A$6:$G$39,4,0)</f>
        <v>0</v>
      </c>
      <c r="F32" s="9">
        <f>VLOOKUP(A32,[18]HISTOBQUEFEV23!$A$6:$G$39,5,0)</f>
        <v>0</v>
      </c>
      <c r="G32" s="5">
        <f t="shared" si="14"/>
        <v>0</v>
      </c>
      <c r="H32" s="10" t="str">
        <f t="shared" si="1"/>
        <v>BANQUE</v>
      </c>
      <c r="I32" s="10"/>
      <c r="J32" s="11">
        <v>1</v>
      </c>
      <c r="K32" s="11">
        <f t="shared" si="15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VLOOKUP($A32,[20]TONTFEV23!$A$6:$P$35,12,0)</f>
        <v>0</v>
      </c>
      <c r="Q32" s="2">
        <f>VLOOKUP($A32,[13]TONTFEV23!$A$7:$P$20,10,0)</f>
        <v>0</v>
      </c>
      <c r="R32" s="2"/>
      <c r="S32" s="20"/>
      <c r="T32" s="12"/>
      <c r="U32" s="17">
        <f t="shared" si="7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10</v>
      </c>
      <c r="BH32" s="15"/>
      <c r="BI32" s="15"/>
      <c r="BJ32" s="15"/>
      <c r="BK32" s="15"/>
      <c r="BL32" s="61"/>
      <c r="BN32" t="s">
        <v>169</v>
      </c>
      <c r="BO32" t="s">
        <v>170</v>
      </c>
      <c r="BQ32" s="6">
        <v>640700</v>
      </c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VLOOKUP(A33,[18]HISTOBQUEFEV23!$A$6:$G$44,3,0)</f>
        <v>0</v>
      </c>
      <c r="E33" s="9">
        <f>VLOOKUP(A33,[18]HISTOBQUEFEV23!$A$6:$G$39,4,0)</f>
        <v>40000</v>
      </c>
      <c r="F33" s="9">
        <f>VLOOKUP(A33,[18]HISTOBQUEFEV23!$A$6:$G$39,5,0)</f>
        <v>0</v>
      </c>
      <c r="G33" s="5">
        <f>IF(H33="ESPECES",3000,0)-3000</f>
        <v>0</v>
      </c>
      <c r="H33" s="10" t="str">
        <f t="shared" si="1"/>
        <v>ESPECES</v>
      </c>
      <c r="I33" s="10"/>
      <c r="J33" s="11">
        <v>1</v>
      </c>
      <c r="K33" s="11">
        <f t="shared" si="15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VLOOKUP($A33,[20]TONTFEV23!$A$6:$P$35,12,0)</f>
        <v>0</v>
      </c>
      <c r="Q33" s="2"/>
      <c r="R33" s="2"/>
      <c r="S33" s="20"/>
      <c r="T33" s="12"/>
      <c r="U33" s="17">
        <f t="shared" si="7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10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560000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60000</v>
      </c>
      <c r="D34" s="9">
        <f>VLOOKUP(A34,[18]HISTOBQUEFEV23!$A$6:$G$44,3,0)</f>
        <v>100000</v>
      </c>
      <c r="E34" s="9">
        <f>VLOOKUP(A34,[18]HISTOBQUEFEV23!$A$6:$G$39,4,0)</f>
        <v>0</v>
      </c>
      <c r="F34" s="9">
        <f>VLOOKUP(A34,[18]HISTOBQUEFEV23!$A$6:$G$39,5,0)</f>
        <v>0</v>
      </c>
      <c r="G34" s="5">
        <f t="shared" si="14"/>
        <v>0</v>
      </c>
      <c r="H34" s="10" t="str">
        <f t="shared" si="1"/>
        <v>BANQUE</v>
      </c>
      <c r="I34" s="10"/>
      <c r="J34" s="11">
        <v>1</v>
      </c>
      <c r="K34" s="11">
        <f t="shared" si="15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VLOOKUP($A34,[20]TONTFEV23!$A$6:$P$35,12,0)</f>
        <v>0</v>
      </c>
      <c r="Q34" s="2"/>
      <c r="R34" s="2"/>
      <c r="S34" s="20"/>
      <c r="T34" s="12"/>
      <c r="U34" s="17">
        <f t="shared" si="7"/>
        <v>40000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>IF(H34="ECHEC",0,(K34+I34-25000))</f>
        <v>15000</v>
      </c>
      <c r="AT34" s="12">
        <v>60000</v>
      </c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10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0</v>
      </c>
      <c r="D35" s="9">
        <f>VLOOKUP(A35,[18]HISTOBQUEFEV23!$A$6:$G$44,3,0)</f>
        <v>40000</v>
      </c>
      <c r="E35" s="9">
        <f>VLOOKUP(A35,[18]HISTOBQUEFEV23!$A$6:$G$39,4,0)</f>
        <v>0</v>
      </c>
      <c r="F35" s="9">
        <f>VLOOKUP(A35,[18]HISTOBQUEFEV23!$A$6:$G$39,5,0)</f>
        <v>0</v>
      </c>
      <c r="G35" s="5">
        <f t="shared" si="14"/>
        <v>0</v>
      </c>
      <c r="H35" s="10" t="str">
        <f t="shared" si="1"/>
        <v>BANQUE</v>
      </c>
      <c r="I35" s="10"/>
      <c r="J35" s="11">
        <v>1</v>
      </c>
      <c r="K35" s="11">
        <f t="shared" si="15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VLOOKUP($A35,[20]TONTFEV23!$A$6:$P$35,12,0)</f>
        <v>0</v>
      </c>
      <c r="Q35" s="2"/>
      <c r="R35" s="2"/>
      <c r="S35" s="20"/>
      <c r="T35" s="12"/>
      <c r="U35" s="17">
        <f t="shared" si="7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10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/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VLOOKUP(A36,[18]HISTOBQUEFEV23!$A$6:$G$44,3,0)</f>
        <v>290000</v>
      </c>
      <c r="E36" s="9">
        <f>VLOOKUP(A36,[18]HISTOBQUEFEV23!$A$6:$G$39,4,0)</f>
        <v>0</v>
      </c>
      <c r="F36" s="9">
        <f>VLOOKUP(A36,[18]HISTOBQUEFEV23!$A$6:$G$39,5,0)</f>
        <v>0</v>
      </c>
      <c r="G36" s="5">
        <f t="shared" si="14"/>
        <v>0</v>
      </c>
      <c r="H36" s="10" t="str">
        <f t="shared" si="1"/>
        <v>BANQUE</v>
      </c>
      <c r="I36" s="10"/>
      <c r="J36" s="11">
        <v>1</v>
      </c>
      <c r="K36" s="11">
        <f t="shared" si="15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VLOOKUP($A36,[20]TONTFEV23!$A$6:$P$35,12,0)</f>
        <v>0</v>
      </c>
      <c r="Q36" s="2">
        <f>VLOOKUP($A36,[13]TONTFEV23!$A$7:$P$20,10,0)</f>
        <v>0</v>
      </c>
      <c r="R36" s="2">
        <f>VLOOKUP($A36,[19]TONTFEV23!$A$6:$P$21,10,0)</f>
        <v>0</v>
      </c>
      <c r="S36" s="6"/>
      <c r="T36" s="12"/>
      <c r="U36" s="17">
        <f t="shared" si="7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10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-10000</v>
      </c>
      <c r="D38" s="5">
        <f t="shared" si="16"/>
        <v>4475000</v>
      </c>
      <c r="E38" s="5">
        <f t="shared" si="16"/>
        <v>1013000</v>
      </c>
      <c r="F38" s="5">
        <f t="shared" si="16"/>
        <v>2140000</v>
      </c>
      <c r="G38" s="5">
        <f t="shared" si="16"/>
        <v>0</v>
      </c>
      <c r="H38" s="5">
        <f t="shared" si="16"/>
        <v>0</v>
      </c>
      <c r="I38" s="5">
        <f t="shared" si="16"/>
        <v>58000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244000</v>
      </c>
      <c r="Q38" s="5">
        <f t="shared" si="16"/>
        <v>413000</v>
      </c>
      <c r="R38" s="5">
        <f t="shared" si="16"/>
        <v>338000</v>
      </c>
      <c r="S38" s="5">
        <f t="shared" si="16"/>
        <v>2500000</v>
      </c>
      <c r="T38" s="5"/>
      <c r="U38" s="5">
        <f t="shared" ref="U38:AA38" si="17">SUM(U6:U37)</f>
        <v>7428000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1000000</v>
      </c>
      <c r="AA38" s="5">
        <f t="shared" si="17"/>
        <v>0</v>
      </c>
      <c r="AB38" s="5"/>
      <c r="AC38" s="5">
        <f>SUM(AC6:AC37)</f>
        <v>17500</v>
      </c>
      <c r="AD38" s="5">
        <f>SUM(AD6:AD37)</f>
        <v>42000</v>
      </c>
      <c r="AE38" s="5">
        <f>SUM(AE6:AE37)</f>
        <v>56000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111500</v>
      </c>
      <c r="AJ38" s="5">
        <f t="shared" si="18"/>
        <v>0</v>
      </c>
      <c r="AK38" s="5">
        <f t="shared" si="18"/>
        <v>0</v>
      </c>
      <c r="AL38" s="5">
        <f t="shared" si="18"/>
        <v>3000</v>
      </c>
      <c r="AM38" s="5">
        <f t="shared" si="18"/>
        <v>0</v>
      </c>
      <c r="AN38" s="5">
        <f t="shared" si="18"/>
        <v>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508000</v>
      </c>
      <c r="AT38" s="5">
        <f t="shared" si="18"/>
        <v>60000</v>
      </c>
      <c r="AU38" s="5">
        <f t="shared" si="18"/>
        <v>0</v>
      </c>
      <c r="AV38" s="5">
        <f t="shared" si="18"/>
        <v>0</v>
      </c>
      <c r="AW38" s="5">
        <f t="shared" si="18"/>
        <v>994000</v>
      </c>
      <c r="AX38" s="5">
        <f t="shared" si="18"/>
        <v>1758000</v>
      </c>
      <c r="AY38" s="5">
        <f t="shared" si="18"/>
        <v>2344000</v>
      </c>
      <c r="AZ38" s="5">
        <f t="shared" si="18"/>
        <v>4254500</v>
      </c>
      <c r="BA38" s="5">
        <f t="shared" si="18"/>
        <v>1013000</v>
      </c>
      <c r="BB38" s="5">
        <f t="shared" si="18"/>
        <v>210000</v>
      </c>
      <c r="BC38" s="5">
        <f t="shared" si="18"/>
        <v>0</v>
      </c>
      <c r="BD38" s="5">
        <f t="shared" si="18"/>
        <v>3171500</v>
      </c>
      <c r="BE38" s="5">
        <f t="shared" si="18"/>
        <v>3812200</v>
      </c>
      <c r="BF38" s="5">
        <f>SUM(BF6:BF37)</f>
        <v>30000</v>
      </c>
      <c r="BH38" s="5">
        <f t="shared" ref="BH38:BL38" si="19">SUM(BH6:BH37)</f>
        <v>68500</v>
      </c>
      <c r="BI38" s="5">
        <f t="shared" si="19"/>
        <v>0</v>
      </c>
      <c r="BJ38" s="5">
        <f t="shared" si="19"/>
        <v>560000</v>
      </c>
      <c r="BK38" s="5">
        <f t="shared" si="19"/>
        <v>0</v>
      </c>
      <c r="BL38" s="5">
        <f t="shared" si="19"/>
        <v>0</v>
      </c>
      <c r="BM38" s="5">
        <f>SUM(BM6:BM37)</f>
        <v>200000</v>
      </c>
      <c r="BN38" s="62" t="s">
        <v>142</v>
      </c>
      <c r="BP38" s="62">
        <f>SUM(BP35:BP36)</f>
        <v>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5"/>
      <c r="E40" s="65"/>
      <c r="F40" s="3" t="s">
        <v>9</v>
      </c>
      <c r="G40" s="65"/>
      <c r="H40" s="65"/>
      <c r="I40" s="65"/>
      <c r="Z40" s="12"/>
      <c r="AI40" s="5"/>
      <c r="AV40" s="3"/>
      <c r="AW40" s="65"/>
      <c r="AX40" s="15"/>
      <c r="AY40" s="15"/>
      <c r="AZ40" s="16"/>
      <c r="BA40" s="6">
        <f>1013000-BA38</f>
        <v>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828500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4254500</v>
      </c>
      <c r="D43" s="9">
        <f>SUMIFS(D8:D38,H8:H38,"BANQUE")</f>
        <v>4300000</v>
      </c>
      <c r="F43" s="9">
        <f>E38</f>
        <v>1013000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  <c r="BO45">
        <v>640700</v>
      </c>
      <c r="BP45" t="s">
        <v>167</v>
      </c>
    </row>
    <row r="46" spans="1:68" ht="18.75" x14ac:dyDescent="0.3">
      <c r="AW46" s="15"/>
      <c r="AX46" s="15"/>
      <c r="AY46" s="15"/>
      <c r="AZ46" s="16"/>
      <c r="BO46">
        <v>560000</v>
      </c>
      <c r="BP46" t="s">
        <v>168</v>
      </c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7680500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81"/>
  <sheetViews>
    <sheetView zoomScaleNormal="100" workbookViewId="0">
      <pane xSplit="4" ySplit="5" topLeftCell="Y15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6.570312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VLOOKUP(A6,[18]HISTOBQUEMARS23!$A$6:$G$44,3,0)</f>
        <v>175000</v>
      </c>
      <c r="E6" s="9">
        <f>VLOOKUP(A6,[18]HISTOBQUEMARS23!$A$6:$G$39,4,0)</f>
        <v>0</v>
      </c>
      <c r="F6" s="9">
        <f>VLOOKUP(A6,[18]HISTOBQUEMARS23!$A$6:$G$39,5,0)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VLOOKUP($A6,[13]TONTMARS23!$A$6:$P$20,10,0)</f>
        <v>0</v>
      </c>
      <c r="R6" s="2">
        <f>VLOOKUP($A6,[19]TONTMARS23!$A$6:$P$21,10,0)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IF(AZ6=0,(AZ6-BA6-BC6),(AZ6-BA6-BB6-BC6))+F6-1750000</f>
        <v>-1644000</v>
      </c>
      <c r="BE6" s="82">
        <v>1858000</v>
      </c>
      <c r="BF6" s="29">
        <f t="shared" ref="BF6:BF36" si="6">Z6*1/100*BG6</f>
        <v>0</v>
      </c>
      <c r="BG6" s="29">
        <v>9</v>
      </c>
      <c r="BH6" s="15">
        <f>BP16</f>
        <v>6000</v>
      </c>
      <c r="BI6" s="15">
        <f>BP28</f>
        <v>0</v>
      </c>
      <c r="BJ6" s="15">
        <f>BP33</f>
        <v>0</v>
      </c>
      <c r="BK6" s="15">
        <f>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VLOOKUP(A7,[18]HISTOBQUEMARS23!$A$6:$G$44,3,0)</f>
        <v>40000</v>
      </c>
      <c r="E7" s="9">
        <f>VLOOKUP(A7,[18]HISTOBQUEMARS23!$A$6:$G$39,4,0)</f>
        <v>0</v>
      </c>
      <c r="F7" s="9">
        <f>VLOOKUP(A7,[18]HISTOBQUEMARS23!$A$6:$G$39,5,0)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VLOOKUP($A7,[20]TONTMARS23!$A$6:$P$35,12,0)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9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VLOOKUP(A8,[18]HISTOBQUEMARS23!$A$6:$G$44,3,0)</f>
        <v>115000</v>
      </c>
      <c r="E8" s="9">
        <f>VLOOKUP(A8,[18]HISTOBQUEMARS23!$A$6:$G$39,4,0)</f>
        <v>0</v>
      </c>
      <c r="F8" s="9">
        <f>VLOOKUP(A8,[18]HISTOBQUEMARS23!$A$6:$G$39,5,0)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VLOOKUP($A8,[20]TONTMARS23!$A$6:$P$35,12,0)</f>
        <v>0</v>
      </c>
      <c r="Q8" s="2">
        <f>VLOOKUP($A8,[13]TONTMARS23!$A$6:$P$20,10,0)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9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VLOOKUP(A9,[18]HISTOBQUEMARS23!$A$6:$G$44,3,0)</f>
        <v>140000</v>
      </c>
      <c r="E9" s="9">
        <f>VLOOKUP(A9,[18]HISTOBQUEMARS23!$A$6:$G$39,4,0)</f>
        <v>0</v>
      </c>
      <c r="F9" s="9">
        <f>VLOOKUP(A9,[18]HISTOBQUEMARS23!$A$6:$G$39,5,0)+690000</f>
        <v>690000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VLOOKUP($A9,[20]TONTMARS23!$A$6:$P$35,12,0)</f>
        <v>0</v>
      </c>
      <c r="Q9" s="2"/>
      <c r="R9" s="2">
        <f>VLOOKUP($A9,[19]TONTMARS23!$A$6:$P$21,10,0)</f>
        <v>0</v>
      </c>
      <c r="S9" s="20">
        <v>690000</v>
      </c>
      <c r="T9" s="12" t="s">
        <v>8</v>
      </c>
      <c r="U9" s="17">
        <f t="shared" si="15"/>
        <v>830000</v>
      </c>
      <c r="V9" s="12"/>
      <c r="W9" s="12"/>
      <c r="X9" s="12"/>
      <c r="Y9" s="12"/>
      <c r="Z9" s="12"/>
      <c r="AA9" s="12"/>
      <c r="AB9" s="12"/>
      <c r="AC9" s="12"/>
      <c r="AD9" s="12"/>
      <c r="AE9" s="12">
        <v>10000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1190000</v>
      </c>
      <c r="AZ9" s="16">
        <f t="shared" si="12"/>
        <v>500000</v>
      </c>
      <c r="BA9" s="58"/>
      <c r="BB9" s="58"/>
      <c r="BC9" s="15"/>
      <c r="BD9" s="57">
        <f>IF(AZ9=0,(AZ9-BA9-BC9),(AZ9-BA9-BB9-BC9))</f>
        <v>500000</v>
      </c>
      <c r="BE9" s="82">
        <v>500000</v>
      </c>
      <c r="BF9" s="29">
        <f t="shared" si="6"/>
        <v>0</v>
      </c>
      <c r="BG9" s="29">
        <v>9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VLOOKUP(A10,[18]HISTOBQUEMARS23!$A$6:$G$44,3,0)</f>
        <v>82000</v>
      </c>
      <c r="E10" s="9">
        <f>VLOOKUP(A10,[18]HISTOBQUEMARS23!$A$6:$G$39,4,0)</f>
        <v>0</v>
      </c>
      <c r="F10" s="9">
        <f>VLOOKUP(A10,[18]HISTOBQUEMARS23!$A$6:$G$39,5,0)</f>
        <v>0</v>
      </c>
      <c r="G10" s="5">
        <f t="shared" si="7"/>
        <v>0</v>
      </c>
      <c r="H10" s="10" t="str">
        <f t="shared" si="1"/>
        <v>BANQUE</v>
      </c>
      <c r="I10" s="10">
        <v>1000</v>
      </c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VLOOKUP($A10,[20]TONTMARS23!$A$6:$P$35,12,0)</f>
        <v>41000</v>
      </c>
      <c r="Q10" s="2"/>
      <c r="R10" s="2"/>
      <c r="S10" s="20"/>
      <c r="T10" s="12"/>
      <c r="U10" s="17">
        <f t="shared" si="15"/>
        <v>82000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16000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9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9">
        <f t="shared" si="0"/>
        <v>-100000</v>
      </c>
      <c r="D11" s="9">
        <f>VLOOKUP(A11,[18]HISTOBQUEMARS23!$A$6:$G$44,3,0)+892500</f>
        <v>912500</v>
      </c>
      <c r="E11" s="9">
        <f>VLOOKUP(A11,[18]HISTOBQUEMARS23!$A$6:$G$39,4,0)</f>
        <v>0</v>
      </c>
      <c r="F11" s="9">
        <f>VLOOKUP(A11,[18]HISTOBQUEMARS23!$A$6:$G$39,5,0)</f>
        <v>0</v>
      </c>
      <c r="G11" s="5">
        <f t="shared" si="7"/>
        <v>0</v>
      </c>
      <c r="H11" s="10" t="str">
        <f t="shared" si="1"/>
        <v>BANQUE</v>
      </c>
      <c r="I11" s="10">
        <v>5000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VLOOKUP($A11,[20]TONTMARS23!$A$6:$P$35,12,0)</f>
        <v>0</v>
      </c>
      <c r="Q11" s="2">
        <f>VLOOKUP($A11,[13]TONTMARS23!$A$6:$P$20,10,0)</f>
        <v>0</v>
      </c>
      <c r="R11" s="2"/>
      <c r="S11" s="20">
        <v>892500</v>
      </c>
      <c r="T11" s="12" t="s">
        <v>8</v>
      </c>
      <c r="U11" s="17">
        <f t="shared" si="15"/>
        <v>1012500</v>
      </c>
      <c r="V11" s="12"/>
      <c r="W11" s="12"/>
      <c r="X11" s="12"/>
      <c r="Y11" s="12"/>
      <c r="Z11" s="12"/>
      <c r="AA11" s="12"/>
      <c r="AB11" s="12"/>
      <c r="AC11" s="12"/>
      <c r="AD11" s="12">
        <v>7500</v>
      </c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20000</v>
      </c>
      <c r="AT11" s="12"/>
      <c r="AV11" s="15"/>
      <c r="AW11" s="15">
        <f t="shared" si="9"/>
        <v>0</v>
      </c>
      <c r="AX11" s="15">
        <f t="shared" si="10"/>
        <v>892500</v>
      </c>
      <c r="AY11" s="15">
        <f t="shared" si="11"/>
        <v>0</v>
      </c>
      <c r="AZ11" s="16">
        <f t="shared" si="12"/>
        <v>892500</v>
      </c>
      <c r="BA11" s="58">
        <v>50000</v>
      </c>
      <c r="BB11" s="58"/>
      <c r="BC11" s="15"/>
      <c r="BD11" s="71">
        <f>IF(AZ11=0,(AZ11-BA11-BC11),(AZ11-BA11-BB11-BC11))</f>
        <v>842500</v>
      </c>
      <c r="BE11" s="82"/>
      <c r="BF11" s="29">
        <f t="shared" si="6"/>
        <v>0</v>
      </c>
      <c r="BG11" s="29">
        <v>9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VLOOKUP(A12,[18]HISTOBQUEMARS23!$A$6:$G$44,3,0)</f>
        <v>320000</v>
      </c>
      <c r="E12" s="9">
        <f>VLOOKUP(A12,[18]HISTOBQUEMARS23!$A$6:$G$39,4,0)</f>
        <v>0</v>
      </c>
      <c r="F12" s="9">
        <f>VLOOKUP(A12,[18]HISTOBQUEMARS23!$A$6:$G$39,5,0)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VLOOKUP($A12,[20]TONTMARS23!$A$6:$P$35,12,0)</f>
        <v>0</v>
      </c>
      <c r="Q12" s="2">
        <f>VLOOKUP($A12,[13]TONTMARS23!$A$6:$P$20,10,0)</f>
        <v>0</v>
      </c>
      <c r="R12" s="2">
        <f>VLOOKUP($A12,[19]TONTMARS23!$A$6:$P$21,10,0)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>
        <v>10000</v>
      </c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1190000</v>
      </c>
      <c r="AZ12" s="16">
        <f t="shared" si="12"/>
        <v>1190000</v>
      </c>
      <c r="BA12" s="58"/>
      <c r="BB12" s="58"/>
      <c r="BC12" s="15"/>
      <c r="BD12" s="57">
        <f t="shared" si="13"/>
        <v>1190000</v>
      </c>
      <c r="BE12" s="82">
        <v>1190000</v>
      </c>
      <c r="BF12" s="29">
        <f t="shared" si="6"/>
        <v>0</v>
      </c>
      <c r="BG12" s="29">
        <v>9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VLOOKUP(A13,[18]HISTOBQUEMARS23!$A$6:$G$44,3,0)</f>
        <v>40000</v>
      </c>
      <c r="E13" s="9">
        <f>VLOOKUP(A13,[18]HISTOBQUEMARS23!$A$6:$G$39,4,0)</f>
        <v>0</v>
      </c>
      <c r="F13" s="9">
        <f>VLOOKUP(A13,[18]HISTOBQUEMARS23!$A$6:$G$39,5,0)+70000</f>
        <v>70000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VLOOKUP($A13,[20]TONTMARS23!$A$6:$P$35,12,0)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>
        <v>10000</v>
      </c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290000</v>
      </c>
      <c r="AX13" s="15">
        <f t="shared" si="10"/>
        <v>0</v>
      </c>
      <c r="AY13" s="15">
        <f t="shared" si="11"/>
        <v>0</v>
      </c>
      <c r="AZ13" s="16">
        <f t="shared" si="12"/>
        <v>220000</v>
      </c>
      <c r="BA13" s="58"/>
      <c r="BB13" s="58">
        <v>70000</v>
      </c>
      <c r="BC13" s="15"/>
      <c r="BD13" s="57">
        <f t="shared" si="13"/>
        <v>220000</v>
      </c>
      <c r="BE13" s="82">
        <v>220000</v>
      </c>
      <c r="BF13" s="29">
        <f t="shared" si="6"/>
        <v>0</v>
      </c>
      <c r="BG13" s="29">
        <v>9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VLOOKUP(A14,[18]HISTOBQUEMARS23!$A$6:$G$44,3,0)</f>
        <v>40000</v>
      </c>
      <c r="E14" s="9">
        <f>VLOOKUP(A14,[18]HISTOBQUEMARS23!$A$6:$G$39,4,0)</f>
        <v>0</v>
      </c>
      <c r="F14" s="9">
        <f>VLOOKUP(A14,[18]HISTOBQUEMARS23!$A$6:$G$39,5,0)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VLOOKUP($A14,[20]TONTMARS23!$A$6:$P$35,12,0)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9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VLOOKUP(A15,[18]HISTOBQUEMARS23!$A$6:$G$44,3,0)</f>
        <v>115000</v>
      </c>
      <c r="E15" s="9">
        <f>VLOOKUP(A15,[18]HISTOBQUEMARS23!$A$6:$G$39,4,0)</f>
        <v>0</v>
      </c>
      <c r="F15" s="9">
        <f>VLOOKUP(A15,[18]HISTOBQUEMARS23!$A$6:$G$39,5,0)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VLOOKUP($A15,[20]TONTMARS23!$A$6:$P$35,12,0)</f>
        <v>0</v>
      </c>
      <c r="Q15" s="2">
        <f>VLOOKUP($A15,[13]TONTMARS23!$A$6:$P$20,10,0)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9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VLOOKUP(A16,[18]HISTOBQUEMARS23!$A$6:$G$44,3,0)</f>
        <v>250000</v>
      </c>
      <c r="E16" s="9">
        <f>VLOOKUP(A16,[18]HISTOBQUEMARS23!$A$6:$G$39,4,0)</f>
        <v>0</v>
      </c>
      <c r="F16" s="9">
        <f>VLOOKUP(A16,[18]HISTOBQUEMARS23!$A$6:$G$39,5,0)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VLOOKUP($A16,[20]TONTMARS23!$A$6:$P$35,12,0)</f>
        <v>0</v>
      </c>
      <c r="Q16" s="2">
        <f>VLOOKUP($A16,[13]TONTMARS23!$A$6:$P$20,10,0)</f>
        <v>0</v>
      </c>
      <c r="R16" s="2">
        <f>VLOOKUP($A16,[19]TONTMARS23!$A$6:$P$21,10,0)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164000</v>
      </c>
      <c r="AL16" s="12"/>
      <c r="AM16" s="12"/>
      <c r="AN16" s="12">
        <v>1000</v>
      </c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164000</v>
      </c>
      <c r="AZ16" s="16">
        <f t="shared" si="12"/>
        <v>164000</v>
      </c>
      <c r="BA16" s="58">
        <v>44000</v>
      </c>
      <c r="BB16" s="58"/>
      <c r="BC16" s="15"/>
      <c r="BD16" s="57">
        <f t="shared" si="13"/>
        <v>120000</v>
      </c>
      <c r="BE16" s="82">
        <v>220000</v>
      </c>
      <c r="BF16" s="29">
        <f t="shared" si="6"/>
        <v>0</v>
      </c>
      <c r="BG16" s="29">
        <v>9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9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VLOOKUP(A17,[18]HISTOBQUEMARS23!$A$6:$G$44,3,0)</f>
        <v>140000</v>
      </c>
      <c r="E17" s="9">
        <f>VLOOKUP(A17,[18]HISTOBQUEMARS23!$A$6:$G$39,4,0)</f>
        <v>0</v>
      </c>
      <c r="F17" s="9">
        <f>VLOOKUP(A17,[18]HISTOBQUEMARS23!$A$6:$G$39,5,0)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VLOOKUP($A17,[20]TONTMARS23!$A$6:$P$35,12,0)</f>
        <v>0</v>
      </c>
      <c r="Q17" s="2"/>
      <c r="R17" s="2">
        <f>VLOOKUP($A17,[19]TONTMARS23!$A$6:$P$21,10,0)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200000</v>
      </c>
      <c r="AL17" s="12"/>
      <c r="AM17" s="12"/>
      <c r="AN17" s="12">
        <v>2000</v>
      </c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200000</v>
      </c>
      <c r="AZ17" s="16">
        <f t="shared" si="12"/>
        <v>200000</v>
      </c>
      <c r="BA17" s="58">
        <v>100000</v>
      </c>
      <c r="BB17" s="58"/>
      <c r="BC17" s="15"/>
      <c r="BD17" s="57">
        <f t="shared" si="13"/>
        <v>100000</v>
      </c>
      <c r="BE17" s="82">
        <v>100000</v>
      </c>
      <c r="BF17" s="29">
        <f t="shared" si="6"/>
        <v>0</v>
      </c>
      <c r="BG17" s="29">
        <v>9</v>
      </c>
      <c r="BH17" s="15"/>
      <c r="BI17" s="15"/>
      <c r="BJ17" s="15"/>
      <c r="BK17" s="15"/>
      <c r="BL17" s="61"/>
      <c r="BN17" s="62"/>
      <c r="BP17" s="6"/>
    </row>
    <row r="18" spans="1:69" ht="18.75" x14ac:dyDescent="0.3">
      <c r="A18" s="1" t="s">
        <v>23</v>
      </c>
      <c r="B18" s="1" t="str">
        <f>VLOOKUP(A18,[17]LISTADHERENT!A$5:H$39,3,0)</f>
        <v>KOUATCHO MESSACK</v>
      </c>
      <c r="C18" s="9">
        <f t="shared" si="0"/>
        <v>1000</v>
      </c>
      <c r="D18" s="9">
        <f>VLOOKUP(A18,[18]HISTOBQUEMARS23!$A$6:$G$44,3,0)</f>
        <v>215000</v>
      </c>
      <c r="E18" s="9">
        <f>VLOOKUP(A18,[18]HISTOBQUEMARS23!$A$6:$G$39,4,0)</f>
        <v>0</v>
      </c>
      <c r="F18" s="9">
        <f>VLOOKUP(A18,[18]HISTOBQUEMARS23!$A$6:$G$39,5,0)</f>
        <v>0</v>
      </c>
      <c r="G18" s="5">
        <f t="shared" si="7"/>
        <v>0</v>
      </c>
      <c r="H18" s="10" t="str">
        <f t="shared" si="1"/>
        <v>BANQUE</v>
      </c>
      <c r="I18" s="10">
        <v>-1000</v>
      </c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VLOOKUP($A18,[20]TONTMARS23!$A$6:$P$35,12,0)</f>
        <v>0</v>
      </c>
      <c r="Q18" s="2">
        <f>VLOOKUP($A18,[13]TONTMARS23!$A$6:$P$20,10,0)</f>
        <v>0</v>
      </c>
      <c r="R18" s="2">
        <f>VLOOKUP($A18,[19]TONTMARS23!$A$6:$P$21,10,0)</f>
        <v>0</v>
      </c>
      <c r="S18" s="20"/>
      <c r="T18" s="12"/>
      <c r="U18" s="17">
        <f t="shared" si="15"/>
        <v>214000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200000</v>
      </c>
      <c r="AL18" s="12"/>
      <c r="AM18" s="12"/>
      <c r="AN18" s="12">
        <v>2000</v>
      </c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14000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200000</v>
      </c>
      <c r="AZ18" s="16">
        <f>SUM(AV18:AY18)-BF18+Z18-F18+BH18+BI18+BJ18+BK18+BL18+BM18</f>
        <v>200000</v>
      </c>
      <c r="BA18" s="58"/>
      <c r="BB18" s="58"/>
      <c r="BC18" s="15"/>
      <c r="BD18" s="57">
        <f>IF(AZ18=0,(AZ18-BA18-BC18),(AZ18-BA18-BB18-BC18))+F18+100000</f>
        <v>300000</v>
      </c>
      <c r="BE18" s="82">
        <v>200000</v>
      </c>
      <c r="BF18" s="29">
        <f t="shared" si="6"/>
        <v>0</v>
      </c>
      <c r="BG18" s="29">
        <v>9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9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VLOOKUP(A19,[18]HISTOBQUEMARS23!$A$6:$G$44,3,0)</f>
        <v>40000</v>
      </c>
      <c r="E19" s="9">
        <f>VLOOKUP(A19,[18]HISTOBQUEMARS23!$A$6:$G$39,4,0)</f>
        <v>0</v>
      </c>
      <c r="F19" s="9">
        <f>VLOOKUP(A19,[18]HISTOBQUEMARS23!$A$6:$G$39,5,0)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VLOOKUP($A19,[20]TONTMARS23!$A$6:$P$35,12,0)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9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9" s="72" customFormat="1" ht="18.75" x14ac:dyDescent="0.3">
      <c r="A20" s="73" t="s">
        <v>25</v>
      </c>
      <c r="B20" s="73" t="str">
        <f>VLOOKUP(A20,[17]LISTADHERENT!A$5:H$39,3,0)</f>
        <v>MBOGNING TUGMA GUY</v>
      </c>
      <c r="C20" s="14">
        <f t="shared" si="0"/>
        <v>93000</v>
      </c>
      <c r="D20" s="14">
        <f>VLOOKUP(A20,[18]HISTOBQUEMARS23!$A$6:$G$44,3,0)</f>
        <v>403500</v>
      </c>
      <c r="E20" s="14">
        <f>VLOOKUP(A20,[18]HISTOBQUEMARS23!$A$6:$G$39,4,0)</f>
        <v>0</v>
      </c>
      <c r="F20" s="14">
        <f>VLOOKUP(A20,[18]HISTOBQUEMARS23!$A$6:$G$39,5,0)</f>
        <v>0</v>
      </c>
      <c r="G20" s="14">
        <f t="shared" si="7"/>
        <v>0</v>
      </c>
      <c r="H20" s="74" t="str">
        <f t="shared" si="1"/>
        <v>BANQUE</v>
      </c>
      <c r="I20" s="74">
        <v>-7000</v>
      </c>
      <c r="J20" s="75">
        <v>1</v>
      </c>
      <c r="K20" s="75">
        <f t="shared" si="14"/>
        <v>40000</v>
      </c>
      <c r="L20" s="70">
        <v>1</v>
      </c>
      <c r="M20" s="75">
        <f t="shared" si="2"/>
        <v>75000</v>
      </c>
      <c r="N20" s="70">
        <v>1</v>
      </c>
      <c r="O20" s="75">
        <f t="shared" si="3"/>
        <v>100000</v>
      </c>
      <c r="P20" s="76">
        <f>VLOOKUP($A20,[20]TONTMARS23!$A$6:$P$35,12,0)</f>
        <v>32500</v>
      </c>
      <c r="Q20" s="76">
        <f>VLOOKUP($A20,[13]TONTMARS23!$A$6:$P$20,10,0)</f>
        <v>0</v>
      </c>
      <c r="R20" s="76">
        <f>VLOOKUP($A20,[19]TONTMARS23!$A$6:$P$21,10,0)</f>
        <v>0</v>
      </c>
      <c r="S20" s="77"/>
      <c r="T20" s="78"/>
      <c r="U20" s="79">
        <f t="shared" si="15"/>
        <v>240500</v>
      </c>
      <c r="V20" s="78"/>
      <c r="W20" s="78"/>
      <c r="X20" s="78"/>
      <c r="Y20" s="78"/>
      <c r="Z20" s="78"/>
      <c r="AA20" s="78"/>
      <c r="AB20" s="78"/>
      <c r="AC20" s="78">
        <v>11000</v>
      </c>
      <c r="AD20" s="78"/>
      <c r="AE20" s="78"/>
      <c r="AF20" s="78"/>
      <c r="AG20" s="78"/>
      <c r="AH20" s="78"/>
      <c r="AI20" s="78"/>
      <c r="AJ20" s="78"/>
      <c r="AK20" s="78">
        <v>200000</v>
      </c>
      <c r="AL20" s="78"/>
      <c r="AM20" s="78"/>
      <c r="AN20" s="78">
        <v>2000</v>
      </c>
      <c r="AO20" s="78"/>
      <c r="AP20" s="78"/>
      <c r="AQ20" s="8">
        <f t="shared" si="4"/>
        <v>0</v>
      </c>
      <c r="AR20" s="8">
        <f t="shared" si="5"/>
        <v>0</v>
      </c>
      <c r="AS20" s="75">
        <f t="shared" si="8"/>
        <v>8000</v>
      </c>
      <c r="AT20" s="78"/>
      <c r="AV20" s="80"/>
      <c r="AW20" s="80">
        <f t="shared" si="9"/>
        <v>289000</v>
      </c>
      <c r="AX20" s="80">
        <f t="shared" si="10"/>
        <v>0</v>
      </c>
      <c r="AY20" s="80">
        <f t="shared" si="11"/>
        <v>200000</v>
      </c>
      <c r="AZ20" s="71">
        <f t="shared" si="12"/>
        <v>489000</v>
      </c>
      <c r="BA20" s="58">
        <v>105000</v>
      </c>
      <c r="BB20" s="58">
        <v>70000</v>
      </c>
      <c r="BC20" s="80"/>
      <c r="BD20" s="71">
        <f t="shared" si="13"/>
        <v>314000</v>
      </c>
      <c r="BE20" s="83">
        <f>95000+219000</f>
        <v>314000</v>
      </c>
      <c r="BF20" s="81">
        <f t="shared" si="6"/>
        <v>0</v>
      </c>
      <c r="BG20" s="81">
        <v>9</v>
      </c>
      <c r="BH20" s="80"/>
      <c r="BI20" s="80"/>
      <c r="BJ20" s="80"/>
      <c r="BK20" s="80"/>
      <c r="BL20" s="76"/>
      <c r="BP20" s="70"/>
    </row>
    <row r="21" spans="1:69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VLOOKUP(A21,[18]HISTOBQUEMARS23!$A$6:$G$44,3,0)</f>
        <v>40000</v>
      </c>
      <c r="E21" s="9">
        <f>VLOOKUP(A21,[18]HISTOBQUEMARS23!$A$6:$G$39,4,0)</f>
        <v>0</v>
      </c>
      <c r="F21" s="9">
        <f>VLOOKUP(A21,[18]HISTOBQUEMARS23!$A$6:$G$39,5,0)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VLOOKUP($A21,[20]TONTMARS23!$A$6:$P$35,12,0)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9</v>
      </c>
      <c r="BH21" s="15"/>
      <c r="BI21" s="15"/>
      <c r="BJ21" s="15"/>
      <c r="BK21" s="15"/>
      <c r="BL21" s="61"/>
      <c r="BP21" s="6"/>
    </row>
    <row r="22" spans="1:69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VLOOKUP(A22,[18]HISTOBQUEMARS23!$A$6:$G$44,3,0)</f>
        <v>115000</v>
      </c>
      <c r="E22" s="9">
        <f>VLOOKUP(A22,[18]HISTOBQUEMARS23!$A$6:$G$39,4,0)</f>
        <v>0</v>
      </c>
      <c r="F22" s="9">
        <f>VLOOKUP(A22,[18]HISTOBQUEMARS23!$A$6:$G$39,5,0)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VLOOKUP($A22,[20]TONTMARS23!$A$6:$P$35,12,0)</f>
        <v>0</v>
      </c>
      <c r="Q22" s="2">
        <f>VLOOKUP($A22,[13]TONTMARS23!$A$6:$P$20,10,0)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9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9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VLOOKUP(A23,[18]HISTOBQUEMARS23!$A$6:$G$44,3,0)</f>
        <v>250000</v>
      </c>
      <c r="E23" s="9">
        <f>VLOOKUP(A23,[18]HISTOBQUEMARS23!$A$6:$G$39,4,0)</f>
        <v>0</v>
      </c>
      <c r="F23" s="9">
        <f>VLOOKUP(A23,[18]HISTOBQUEMARS23!$A$6:$G$39,5,0)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VLOOKUP($A23,[20]TONTMARS23!$A$6:$P$35,12,0)</f>
        <v>0</v>
      </c>
      <c r="Q23" s="2"/>
      <c r="R23" s="2">
        <f>VLOOKUP($A23,[19]TONTMARS23!$A$6:$P$21,10,0)</f>
        <v>0</v>
      </c>
      <c r="S23" s="20"/>
      <c r="T23" s="12"/>
      <c r="U23" s="17">
        <f t="shared" si="15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200000</v>
      </c>
      <c r="AZ23" s="16">
        <f t="shared" si="12"/>
        <v>200000</v>
      </c>
      <c r="BA23" s="58">
        <v>100000</v>
      </c>
      <c r="BB23" s="58"/>
      <c r="BC23" s="15"/>
      <c r="BD23" s="57">
        <f t="shared" si="13"/>
        <v>100000</v>
      </c>
      <c r="BE23" s="82">
        <v>100000</v>
      </c>
      <c r="BF23" s="29">
        <f t="shared" si="6"/>
        <v>0</v>
      </c>
      <c r="BG23" s="29">
        <v>9</v>
      </c>
      <c r="BH23" s="15"/>
      <c r="BI23" s="15"/>
      <c r="BJ23" s="15"/>
      <c r="BK23" s="15"/>
      <c r="BL23" s="61"/>
    </row>
    <row r="24" spans="1:69" ht="18.75" x14ac:dyDescent="0.3">
      <c r="A24" s="1" t="s">
        <v>29</v>
      </c>
      <c r="B24" s="1" t="str">
        <f>VLOOKUP(A24,[17]LISTADHERENT!A$5:H$39,3,0)</f>
        <v>NGONDIEP CLAUDE</v>
      </c>
      <c r="C24" s="9">
        <f t="shared" si="0"/>
        <v>-3000</v>
      </c>
      <c r="D24" s="9">
        <f>VLOOKUP(A24,[18]HISTOBQUEMARS23!$A$6:$G$44,3,0)</f>
        <v>0</v>
      </c>
      <c r="E24" s="9">
        <f>VLOOKUP(A24,[18]HISTOBQUEMARS23!$A$6:$G$39,4,0)</f>
        <v>215000</v>
      </c>
      <c r="F24" s="9">
        <f>VLOOKUP(A24,[18]HISTOBQUEMARS23!$A$6:$G$39,5,0)</f>
        <v>0</v>
      </c>
      <c r="G24" s="5">
        <f t="shared" si="7"/>
        <v>3000</v>
      </c>
      <c r="H24" s="10" t="str">
        <f t="shared" si="1"/>
        <v>ESPECES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VLOOKUP($A24,[20]TONTMARS23!$A$6:$P$35,12,0)</f>
        <v>0</v>
      </c>
      <c r="Q24" s="2">
        <f>VLOOKUP($A24,[13]TONTMARS23!$A$6:$P$20,10,0)</f>
        <v>0</v>
      </c>
      <c r="R24" s="2">
        <f>VLOOKUP($A24,[19]TONTMARS23!$A$6:$P$21,10,0)</f>
        <v>0</v>
      </c>
      <c r="S24" s="20"/>
      <c r="T24" s="12"/>
      <c r="U24" s="17">
        <f t="shared" si="15"/>
        <v>218000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9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9" ht="18.75" x14ac:dyDescent="0.3">
      <c r="A25" s="1" t="s">
        <v>30</v>
      </c>
      <c r="B25" s="1" t="str">
        <f>VLOOKUP(A25,[17]LISTADHERENT!A$5:H$39,3,0)</f>
        <v>NGUIEMEGNI MATHIEU BLAISE</v>
      </c>
      <c r="C25" s="9">
        <f t="shared" si="0"/>
        <v>-10000</v>
      </c>
      <c r="D25" s="9">
        <f>VLOOKUP(A25,[18]HISTOBQUEMARS23!$A$6:$G$44,3,0)</f>
        <v>280000</v>
      </c>
      <c r="E25" s="9">
        <f>VLOOKUP(A25,[18]HISTOBQUEMARS23!$A$6:$G$39,4,0)</f>
        <v>0</v>
      </c>
      <c r="F25" s="9">
        <f>VLOOKUP(A25,[18]HISTOBQUEMARS23!$A$6:$G$39,5,0)</f>
        <v>0</v>
      </c>
      <c r="G25" s="5">
        <f t="shared" si="7"/>
        <v>0</v>
      </c>
      <c r="H25" s="10" t="str">
        <f t="shared" si="1"/>
        <v>BANQUE</v>
      </c>
      <c r="I25" s="10"/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VLOOKUP($A25,[20]TONTMARS23!$A$6:$P$35,12,0)</f>
        <v>0</v>
      </c>
      <c r="Q25" s="2">
        <f>VLOOKUP($A25,[13]TONTMARS23!$A$6:$P$20,10,0)</f>
        <v>0</v>
      </c>
      <c r="R25" s="2">
        <f>VLOOKUP($A25,[19]TONTMARS23!$A$6:$P$21,10,0)</f>
        <v>0</v>
      </c>
      <c r="S25" s="20"/>
      <c r="T25" s="12"/>
      <c r="U25" s="17">
        <f t="shared" si="15"/>
        <v>290000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>IF(H25="ECHEC",0,(K25+I25-25000))-10000</f>
        <v>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0</v>
      </c>
      <c r="AZ25" s="16">
        <f t="shared" si="12"/>
        <v>0</v>
      </c>
      <c r="BA25" s="58"/>
      <c r="BB25" s="58"/>
      <c r="BC25" s="15"/>
      <c r="BD25" s="57">
        <f t="shared" si="13"/>
        <v>0</v>
      </c>
      <c r="BE25" s="82"/>
      <c r="BF25" s="29">
        <f t="shared" si="6"/>
        <v>0</v>
      </c>
      <c r="BG25" s="29">
        <v>9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9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VLOOKUP(A26,[18]HISTOBQUEMARS23!$A$6:$G$44,3,0)</f>
        <v>0</v>
      </c>
      <c r="E26" s="9">
        <f>VLOOKUP(A26,[18]HISTOBQUEMARS23!$A$6:$G$39,4,0)</f>
        <v>84000</v>
      </c>
      <c r="F26" s="9">
        <f>VLOOKUP(A26,[18]HISTOBQUEMARS23!$A$6:$G$39,5,0)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VLOOKUP($A26,[20]TONTMARS23!$A$6:$P$35,12,0)</f>
        <v>41000</v>
      </c>
      <c r="Q26" s="2"/>
      <c r="R26" s="2"/>
      <c r="S26" s="20"/>
      <c r="T26" s="12"/>
      <c r="U26" s="17">
        <f t="shared" si="15"/>
        <v>84000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0</v>
      </c>
      <c r="BA26" s="58"/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9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9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VLOOKUP(A27,[18]HISTOBQUEMARS23!$A$6:$G$44,3,0)</f>
        <v>50000</v>
      </c>
      <c r="E27" s="9">
        <f>VLOOKUP(A27,[18]HISTOBQUEMARS23!$A$6:$G$39,4,0)</f>
        <v>0</v>
      </c>
      <c r="F27" s="9">
        <f>VLOOKUP(A27,[18]HISTOBQUEMARS23!$A$6:$G$39,5,0)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VLOOKUP($A27,[20]TONTMARS23!$A$6:$P$35,12,0)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9</v>
      </c>
      <c r="BH27" s="15"/>
      <c r="BI27" s="15"/>
      <c r="BJ27" s="15"/>
      <c r="BK27" s="15"/>
      <c r="BL27" s="61"/>
      <c r="BN27" t="s">
        <v>183</v>
      </c>
      <c r="BP27" s="70"/>
      <c r="BQ27" s="70">
        <v>1750000</v>
      </c>
    </row>
    <row r="28" spans="1:69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VLOOKUP(A28,[18]HISTOBQUEMARS23!$A$6:$G$44,3,0)</f>
        <v>115000</v>
      </c>
      <c r="E28" s="9">
        <f>VLOOKUP(A28,[18]HISTOBQUEMARS23!$A$6:$G$39,4,0)</f>
        <v>0</v>
      </c>
      <c r="F28" s="9">
        <f>VLOOKUP(A28,[18]HISTOBQUEMARS23!$A$6:$G$39,5,0)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VLOOKUP($A28,[20]TONTMARS23!$A$6:$P$35,12,0)</f>
        <v>0</v>
      </c>
      <c r="Q28" s="2">
        <f>VLOOKUP($A28,[13]TONTMARS23!$A$6:$P$20,10,0)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9</v>
      </c>
      <c r="BH28" s="15"/>
      <c r="BI28" s="15"/>
      <c r="BJ28" s="15"/>
      <c r="BK28" s="15"/>
      <c r="BL28" s="61"/>
      <c r="BN28" s="62" t="s">
        <v>142</v>
      </c>
      <c r="BP28" s="62">
        <f>SUM(BP24:BP27)</f>
        <v>0</v>
      </c>
    </row>
    <row r="29" spans="1:69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VLOOKUP(A29,[18]HISTOBQUEMARS23!$A$6:$G$44,3,0)</f>
        <v>40000</v>
      </c>
      <c r="E29" s="9">
        <f>VLOOKUP(A29,[18]HISTOBQUEMARS23!$A$6:$G$39,4,0)</f>
        <v>0</v>
      </c>
      <c r="F29" s="9">
        <f>VLOOKUP(A29,[18]HISTOBQUEMARS23!$A$6:$G$39,5,0)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VLOOKUP($A29,[20]TONTMARS23!$A$6:$P$35,12,0)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9</v>
      </c>
      <c r="BH29" s="15"/>
      <c r="BI29" s="15"/>
      <c r="BJ29" s="15"/>
      <c r="BK29" s="15"/>
      <c r="BL29" s="61"/>
      <c r="BN29" s="62"/>
      <c r="BP29" s="6"/>
    </row>
    <row r="30" spans="1:69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VLOOKUP(A30,[18]HISTOBQUEMARS23!$A$6:$G$44,3,0)</f>
        <v>115000</v>
      </c>
      <c r="E30" s="9">
        <f>VLOOKUP(A30,[18]HISTOBQUEMARS23!$A$6:$G$39,4,0)</f>
        <v>0</v>
      </c>
      <c r="F30" s="9">
        <f>VLOOKUP(A30,[18]HISTOBQUEMARS23!$A$6:$G$39,5,0)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VLOOKUP($A30,[20]TONTMARS23!$A$6:$P$35,12,0)</f>
        <v>0</v>
      </c>
      <c r="Q30" s="2">
        <f>VLOOKUP($A30,[13]TONTMARS23!$A$6:$P$20,10,0)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9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9" ht="18.75" x14ac:dyDescent="0.3">
      <c r="A31" s="1" t="s">
        <v>37</v>
      </c>
      <c r="B31" s="1" t="str">
        <f>VLOOKUP(A31,[17]LISTADHERENT!A$5:H$39,3,0)</f>
        <v>SIMO PIERRE</v>
      </c>
      <c r="C31" s="9">
        <f t="shared" si="0"/>
        <v>-70000</v>
      </c>
      <c r="D31" s="9">
        <f>VLOOKUP(A31,[18]HISTOBQUEMARS23!$A$6:$G$44,3,0)</f>
        <v>140000</v>
      </c>
      <c r="E31" s="9">
        <f>VLOOKUP(A31,[18]HISTOBQUEMARS23!$A$6:$G$39,4,0)</f>
        <v>0</v>
      </c>
      <c r="F31" s="9">
        <f>VLOOKUP(A31,[18]HISTOBQUEMARS23!$A$6:$G$39,5,0)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VLOOKUP($A31,[20]TONTMARS23!$A$6:$P$35,12,0)</f>
        <v>0</v>
      </c>
      <c r="Q31" s="2"/>
      <c r="R31" s="2">
        <f>VLOOKUP($A31,[19]TONTMARS23!$A$6:$P$21,10,0)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>
        <v>11000</v>
      </c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289000</v>
      </c>
      <c r="AX31" s="15">
        <f t="shared" si="10"/>
        <v>0</v>
      </c>
      <c r="AY31" s="15">
        <f t="shared" si="11"/>
        <v>0</v>
      </c>
      <c r="AZ31" s="16">
        <f t="shared" si="12"/>
        <v>289000</v>
      </c>
      <c r="BA31" s="58"/>
      <c r="BB31" s="58">
        <v>70000</v>
      </c>
      <c r="BC31" s="15"/>
      <c r="BD31" s="57">
        <f t="shared" si="13"/>
        <v>219000</v>
      </c>
      <c r="BE31" s="82">
        <v>219000</v>
      </c>
      <c r="BF31" s="29">
        <f t="shared" si="6"/>
        <v>0</v>
      </c>
      <c r="BG31" s="29">
        <v>9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9" s="72" customFormat="1" ht="18.75" x14ac:dyDescent="0.3">
      <c r="A32" s="73" t="s">
        <v>38</v>
      </c>
      <c r="B32" s="73" t="str">
        <f>VLOOKUP(A32,[17]LISTADHERENT!A$5:H$39,3,0)</f>
        <v>TCHOUAMOU MATHIEU</v>
      </c>
      <c r="C32" s="14">
        <f t="shared" si="0"/>
        <v>0</v>
      </c>
      <c r="D32" s="14">
        <f>VLOOKUP(A32,[18]HISTOBQUEMARS23!$A$6:$G$44,3,0)</f>
        <v>115000</v>
      </c>
      <c r="E32" s="14">
        <f>VLOOKUP(A32,[18]HISTOBQUEMARS23!$A$6:$G$39,4,0)</f>
        <v>0</v>
      </c>
      <c r="F32" s="14">
        <f>VLOOKUP(A32,[18]HISTOBQUEMARS23!$A$6:$G$39,5,0)</f>
        <v>0</v>
      </c>
      <c r="G32" s="14">
        <f t="shared" si="7"/>
        <v>0</v>
      </c>
      <c r="H32" s="74" t="str">
        <f t="shared" si="1"/>
        <v>BANQUE</v>
      </c>
      <c r="I32" s="74"/>
      <c r="J32" s="75">
        <v>1</v>
      </c>
      <c r="K32" s="75">
        <f t="shared" si="14"/>
        <v>40000</v>
      </c>
      <c r="L32" s="70">
        <v>1</v>
      </c>
      <c r="M32" s="75">
        <f t="shared" si="2"/>
        <v>75000</v>
      </c>
      <c r="N32" s="70"/>
      <c r="O32" s="75">
        <f t="shared" si="3"/>
        <v>0</v>
      </c>
      <c r="P32" s="76">
        <f>VLOOKUP($A32,[20]TONTMARS23!$A$6:$P$35,12,0)</f>
        <v>0</v>
      </c>
      <c r="Q32" s="76">
        <f>VLOOKUP($A32,[13]TONTMARS23!$A$6:$P$20,10,0)</f>
        <v>0</v>
      </c>
      <c r="R32" s="76"/>
      <c r="S32" s="77"/>
      <c r="T32" s="78"/>
      <c r="U32" s="79">
        <f t="shared" si="15"/>
        <v>115000</v>
      </c>
      <c r="V32" s="78"/>
      <c r="W32" s="78"/>
      <c r="X32" s="78"/>
      <c r="Y32" s="78"/>
      <c r="Z32" s="78">
        <v>200000</v>
      </c>
      <c r="AA32" s="78" t="s">
        <v>8</v>
      </c>
      <c r="AB32" s="78"/>
      <c r="AC32" s="78"/>
      <c r="AD32" s="78">
        <v>7500</v>
      </c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8">
        <f t="shared" si="4"/>
        <v>0</v>
      </c>
      <c r="AR32" s="8">
        <f t="shared" si="5"/>
        <v>0</v>
      </c>
      <c r="AS32" s="75">
        <f t="shared" si="8"/>
        <v>15000</v>
      </c>
      <c r="AT32" s="78"/>
      <c r="AV32" s="80"/>
      <c r="AW32" s="80">
        <f t="shared" si="9"/>
        <v>0</v>
      </c>
      <c r="AX32" s="80">
        <f>IF(AD32=0,AJ32,(1*75000*12)+(AJ32)-AD32)-892500</f>
        <v>0</v>
      </c>
      <c r="AY32" s="80">
        <f t="shared" si="11"/>
        <v>0</v>
      </c>
      <c r="AZ32" s="71">
        <f>SUM(AV32:AY32)-BF32+Z32-F32+BH32+BI32+BJ32+BK32+BL32+BM32</f>
        <v>194000</v>
      </c>
      <c r="BA32" s="58"/>
      <c r="BB32" s="58"/>
      <c r="BC32" s="80"/>
      <c r="BD32" s="71">
        <f>IF(AZ32=0,(AZ32-BA32-BC32),(AZ32-BA32-BB32-BC32))+F32</f>
        <v>194000</v>
      </c>
      <c r="BE32" s="83">
        <v>86500</v>
      </c>
      <c r="BF32" s="81">
        <f t="shared" si="6"/>
        <v>6000</v>
      </c>
      <c r="BG32" s="81">
        <v>3</v>
      </c>
      <c r="BH32" s="80"/>
      <c r="BI32" s="80"/>
      <c r="BJ32" s="80"/>
      <c r="BK32" s="80"/>
      <c r="BL32" s="76"/>
      <c r="BP32" s="70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VLOOKUP(A33,[18]HISTOBQUEMARS23!$A$6:$G$44,3,0)</f>
        <v>40000</v>
      </c>
      <c r="E33" s="9">
        <f>VLOOKUP(A33,[18]HISTOBQUEMARS23!$A$6:$G$39,4,0)</f>
        <v>0</v>
      </c>
      <c r="F33" s="9">
        <f>VLOOKUP(A33,[18]HISTOBQUEMARS23!$A$6:$G$39,5,0)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VLOOKUP($A33,[20]TONTMARS23!$A$6:$P$35,12,0)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9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25000</v>
      </c>
      <c r="D34" s="9">
        <f>VLOOKUP(A34,[18]HISTOBQUEMARS23!$A$6:$G$44,3,0)</f>
        <v>100000</v>
      </c>
      <c r="E34" s="9">
        <f>VLOOKUP(A34,[18]HISTOBQUEMARS23!$A$6:$G$39,4,0)</f>
        <v>0</v>
      </c>
      <c r="F34" s="9">
        <f>VLOOKUP(A34,[18]HISTOBQUEMARS23!$A$6:$G$39,5,0)</f>
        <v>0</v>
      </c>
      <c r="G34" s="5">
        <f t="shared" si="7"/>
        <v>0</v>
      </c>
      <c r="H34" s="10" t="str">
        <f t="shared" si="1"/>
        <v>BANQUE</v>
      </c>
      <c r="I34" s="10">
        <v>35000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VLOOKUP($A34,[20]TONTMARS23!$A$6:$P$35,12,0)</f>
        <v>0</v>
      </c>
      <c r="Q34" s="2"/>
      <c r="R34" s="2"/>
      <c r="S34" s="20"/>
      <c r="T34" s="12"/>
      <c r="U34" s="17">
        <f t="shared" si="15"/>
        <v>75000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50000</v>
      </c>
      <c r="AT34" s="12">
        <v>25000</v>
      </c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9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-6000</v>
      </c>
      <c r="D35" s="9">
        <f>VLOOKUP(A35,[18]HISTOBQUEMARS23!$A$6:$G$44,3,0)</f>
        <v>34000</v>
      </c>
      <c r="E35" s="9">
        <f>VLOOKUP(A35,[18]HISTOBQUEMARS23!$A$6:$G$39,4,0)</f>
        <v>0</v>
      </c>
      <c r="F35" s="9">
        <f>VLOOKUP(A35,[18]HISTOBQUEMARS23!$A$6:$G$39,5,0)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VLOOKUP($A35,[20]TONTMARS23!$A$6:$P$35,12,0)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>IF(H35="ECHEC",0,(K35+I35-25000))-6000</f>
        <v>9000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9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VLOOKUP(A36,[18]HISTOBQUEMARS23!$A$6:$G$44,3,0)</f>
        <v>290000</v>
      </c>
      <c r="E36" s="9">
        <f>VLOOKUP(A36,[18]HISTOBQUEMARS23!$A$6:$G$39,4,0)</f>
        <v>0</v>
      </c>
      <c r="F36" s="9">
        <f>VLOOKUP(A36,[18]HISTOBQUEMARS23!$A$6:$G$39,5,0)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VLOOKUP($A36,[20]TONTMARS23!$A$6:$P$35,12,0)</f>
        <v>0</v>
      </c>
      <c r="Q36" s="2">
        <f>VLOOKUP($A36,[13]TONTMARS23!$A$6:$P$20,10,0)</f>
        <v>0</v>
      </c>
      <c r="R36" s="2">
        <f>VLOOKUP($A36,[19]TONTMARS23!$A$6:$P$21,10,0)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9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-70000</v>
      </c>
      <c r="D38" s="5">
        <f t="shared" si="16"/>
        <v>4752000</v>
      </c>
      <c r="E38" s="5">
        <f t="shared" si="16"/>
        <v>299000</v>
      </c>
      <c r="F38" s="5">
        <f t="shared" si="16"/>
        <v>760000</v>
      </c>
      <c r="G38" s="5">
        <f t="shared" si="16"/>
        <v>6000</v>
      </c>
      <c r="H38" s="5">
        <f t="shared" si="16"/>
        <v>0</v>
      </c>
      <c r="I38" s="5">
        <f t="shared" si="16"/>
        <v>93000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114500</v>
      </c>
      <c r="Q38" s="5">
        <f t="shared" si="16"/>
        <v>0</v>
      </c>
      <c r="R38" s="5">
        <f t="shared" si="16"/>
        <v>0</v>
      </c>
      <c r="S38" s="5">
        <f t="shared" si="16"/>
        <v>1582500</v>
      </c>
      <c r="T38" s="5"/>
      <c r="U38" s="5">
        <f t="shared" ref="U38:AA38" si="17">SUM(U6:U37)</f>
        <v>5671000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200000</v>
      </c>
      <c r="AA38" s="5">
        <f t="shared" si="17"/>
        <v>0</v>
      </c>
      <c r="AB38" s="5"/>
      <c r="AC38" s="5">
        <f>SUM(AC6:AC37)</f>
        <v>32000</v>
      </c>
      <c r="AD38" s="5">
        <f>SUM(AD6:AD37)</f>
        <v>15000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0</v>
      </c>
      <c r="AJ38" s="5">
        <f t="shared" si="18"/>
        <v>0</v>
      </c>
      <c r="AK38" s="5">
        <f t="shared" si="18"/>
        <v>964000</v>
      </c>
      <c r="AL38" s="5">
        <f t="shared" si="18"/>
        <v>0</v>
      </c>
      <c r="AM38" s="5">
        <f t="shared" si="18"/>
        <v>0</v>
      </c>
      <c r="AN38" s="5">
        <f t="shared" si="18"/>
        <v>9000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527000</v>
      </c>
      <c r="AT38" s="5">
        <f t="shared" si="18"/>
        <v>25000</v>
      </c>
      <c r="AU38" s="5">
        <f t="shared" si="18"/>
        <v>0</v>
      </c>
      <c r="AV38" s="5">
        <f t="shared" si="18"/>
        <v>0</v>
      </c>
      <c r="AW38" s="5">
        <f t="shared" si="18"/>
        <v>868000</v>
      </c>
      <c r="AX38" s="5">
        <f t="shared" si="18"/>
        <v>892500</v>
      </c>
      <c r="AY38" s="5">
        <f t="shared" si="18"/>
        <v>3344000</v>
      </c>
      <c r="AZ38" s="5">
        <f t="shared" si="18"/>
        <v>4644500</v>
      </c>
      <c r="BA38" s="5">
        <f t="shared" si="18"/>
        <v>399000</v>
      </c>
      <c r="BB38" s="5">
        <f t="shared" si="18"/>
        <v>210000</v>
      </c>
      <c r="BC38" s="5">
        <f t="shared" si="18"/>
        <v>0</v>
      </c>
      <c r="BD38" s="5">
        <f t="shared" si="18"/>
        <v>2455500</v>
      </c>
      <c r="BE38" s="5">
        <f t="shared" si="18"/>
        <v>5007500</v>
      </c>
      <c r="BF38" s="5">
        <f>SUM(BF6:BF37)</f>
        <v>6000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  <c r="BD39" t="s">
        <v>184</v>
      </c>
      <c r="BE39" s="70">
        <v>1750000</v>
      </c>
    </row>
    <row r="40" spans="1:68" ht="18.75" x14ac:dyDescent="0.3">
      <c r="C40" s="3" t="s">
        <v>8</v>
      </c>
      <c r="D40" s="66"/>
      <c r="E40" s="66"/>
      <c r="F40" s="3" t="s">
        <v>9</v>
      </c>
      <c r="G40" s="66"/>
      <c r="H40" s="66"/>
      <c r="I40" s="66"/>
      <c r="Z40" s="12"/>
      <c r="AI40" s="5"/>
      <c r="AV40" s="3"/>
      <c r="AW40" s="66"/>
      <c r="AX40" s="15"/>
      <c r="AY40" s="15"/>
      <c r="AZ40" s="16" t="s">
        <v>182</v>
      </c>
      <c r="BA40" s="14">
        <v>299000</v>
      </c>
      <c r="BD40" t="s">
        <v>181</v>
      </c>
      <c r="BE40">
        <v>5005000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4644500</v>
      </c>
      <c r="D43" s="9">
        <f>SUMIFS(D8:D38,H8:H38,"BANQUE")</f>
        <v>4537000</v>
      </c>
      <c r="F43" s="9">
        <f>E38</f>
        <v>299000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9183000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81"/>
  <sheetViews>
    <sheetView zoomScaleNormal="100" workbookViewId="0">
      <pane xSplit="4" ySplit="5" topLeftCell="Y15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6.570312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VLOOKUP(A6,[18]HISTOBQUEMARS23!$A$6:$G$44,3,0)</f>
        <v>175000</v>
      </c>
      <c r="E6" s="9">
        <f>VLOOKUP(A6,[18]HISTOBQUEMARS23!$A$6:$G$39,4,0)</f>
        <v>0</v>
      </c>
      <c r="F6" s="9">
        <f>VLOOKUP(A6,[18]HISTOBQUEMARS23!$A$6:$G$39,5,0)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VLOOKUP($A6,[13]TONTMARS23!$A$6:$P$20,10,0)</f>
        <v>0</v>
      </c>
      <c r="R6" s="2">
        <f>VLOOKUP($A6,[19]TONTMARS23!$A$6:$P$21,10,0)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IF(AZ6=0,(AZ6-BA6-BC6),(AZ6-BA6-BB6-BC6))+F6-1750000</f>
        <v>-1644000</v>
      </c>
      <c r="BE6" s="82">
        <v>1858000</v>
      </c>
      <c r="BF6" s="29">
        <f t="shared" ref="BF6:BF36" si="6">Z6*1/100*BG6</f>
        <v>0</v>
      </c>
      <c r="BG6" s="29">
        <v>9</v>
      </c>
      <c r="BH6" s="15">
        <f>BP16</f>
        <v>6000</v>
      </c>
      <c r="BI6" s="15">
        <f>BP28</f>
        <v>0</v>
      </c>
      <c r="BJ6" s="15">
        <f>BP33</f>
        <v>0</v>
      </c>
      <c r="BK6" s="15">
        <f>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VLOOKUP(A7,[18]HISTOBQUEMARS23!$A$6:$G$44,3,0)</f>
        <v>40000</v>
      </c>
      <c r="E7" s="9">
        <f>VLOOKUP(A7,[18]HISTOBQUEMARS23!$A$6:$G$39,4,0)</f>
        <v>0</v>
      </c>
      <c r="F7" s="9">
        <f>VLOOKUP(A7,[18]HISTOBQUEMARS23!$A$6:$G$39,5,0)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VLOOKUP($A7,[20]TONTMARS23!$A$6:$P$35,12,0)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9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VLOOKUP(A8,[18]HISTOBQUEMARS23!$A$6:$G$44,3,0)</f>
        <v>115000</v>
      </c>
      <c r="E8" s="9">
        <f>VLOOKUP(A8,[18]HISTOBQUEMARS23!$A$6:$G$39,4,0)</f>
        <v>0</v>
      </c>
      <c r="F8" s="9">
        <f>VLOOKUP(A8,[18]HISTOBQUEMARS23!$A$6:$G$39,5,0)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VLOOKUP($A8,[20]TONTMARS23!$A$6:$P$35,12,0)</f>
        <v>0</v>
      </c>
      <c r="Q8" s="2">
        <f>VLOOKUP($A8,[13]TONTMARS23!$A$6:$P$20,10,0)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9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VLOOKUP(A9,[18]HISTOBQUEMARS23!$A$6:$G$44,3,0)</f>
        <v>140000</v>
      </c>
      <c r="E9" s="9">
        <f>VLOOKUP(A9,[18]HISTOBQUEMARS23!$A$6:$G$39,4,0)</f>
        <v>0</v>
      </c>
      <c r="F9" s="9">
        <f>VLOOKUP(A9,[18]HISTOBQUEMARS23!$A$6:$G$39,5,0)+690000</f>
        <v>690000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VLOOKUP($A9,[20]TONTMARS23!$A$6:$P$35,12,0)</f>
        <v>0</v>
      </c>
      <c r="Q9" s="2"/>
      <c r="R9" s="2">
        <f>VLOOKUP($A9,[19]TONTMARS23!$A$6:$P$21,10,0)</f>
        <v>0</v>
      </c>
      <c r="S9" s="20">
        <v>690000</v>
      </c>
      <c r="T9" s="12" t="s">
        <v>8</v>
      </c>
      <c r="U9" s="17">
        <f t="shared" si="15"/>
        <v>830000</v>
      </c>
      <c r="V9" s="12"/>
      <c r="W9" s="12"/>
      <c r="X9" s="12"/>
      <c r="Y9" s="12"/>
      <c r="Z9" s="12"/>
      <c r="AA9" s="12"/>
      <c r="AB9" s="12"/>
      <c r="AC9" s="12"/>
      <c r="AD9" s="12"/>
      <c r="AE9" s="12">
        <v>10000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1190000</v>
      </c>
      <c r="AZ9" s="16">
        <f t="shared" si="12"/>
        <v>500000</v>
      </c>
      <c r="BA9" s="58"/>
      <c r="BB9" s="58"/>
      <c r="BC9" s="15"/>
      <c r="BD9" s="57">
        <f>IF(AZ9=0,(AZ9-BA9-BC9),(AZ9-BA9-BB9-BC9))</f>
        <v>500000</v>
      </c>
      <c r="BE9" s="82">
        <v>500000</v>
      </c>
      <c r="BF9" s="29">
        <f t="shared" si="6"/>
        <v>0</v>
      </c>
      <c r="BG9" s="29">
        <v>9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VLOOKUP(A10,[18]HISTOBQUEMARS23!$A$6:$G$44,3,0)</f>
        <v>82000</v>
      </c>
      <c r="E10" s="9">
        <f>VLOOKUP(A10,[18]HISTOBQUEMARS23!$A$6:$G$39,4,0)</f>
        <v>0</v>
      </c>
      <c r="F10" s="9">
        <f>VLOOKUP(A10,[18]HISTOBQUEMARS23!$A$6:$G$39,5,0)</f>
        <v>0</v>
      </c>
      <c r="G10" s="5">
        <f t="shared" si="7"/>
        <v>0</v>
      </c>
      <c r="H10" s="10" t="str">
        <f t="shared" si="1"/>
        <v>BANQUE</v>
      </c>
      <c r="I10" s="10">
        <v>1000</v>
      </c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VLOOKUP($A10,[20]TONTMARS23!$A$6:$P$35,12,0)</f>
        <v>41000</v>
      </c>
      <c r="Q10" s="2"/>
      <c r="R10" s="2"/>
      <c r="S10" s="20"/>
      <c r="T10" s="12"/>
      <c r="U10" s="17">
        <f t="shared" si="15"/>
        <v>82000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16000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9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9">
        <f t="shared" si="0"/>
        <v>-100000</v>
      </c>
      <c r="D11" s="9">
        <f>VLOOKUP(A11,[18]HISTOBQUEMARS23!$A$6:$G$44,3,0)+892500</f>
        <v>912500</v>
      </c>
      <c r="E11" s="9">
        <f>VLOOKUP(A11,[18]HISTOBQUEMARS23!$A$6:$G$39,4,0)</f>
        <v>0</v>
      </c>
      <c r="F11" s="9">
        <f>VLOOKUP(A11,[18]HISTOBQUEMARS23!$A$6:$G$39,5,0)</f>
        <v>0</v>
      </c>
      <c r="G11" s="5">
        <f t="shared" si="7"/>
        <v>0</v>
      </c>
      <c r="H11" s="10" t="str">
        <f t="shared" si="1"/>
        <v>BANQUE</v>
      </c>
      <c r="I11" s="10">
        <v>5000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VLOOKUP($A11,[20]TONTMARS23!$A$6:$P$35,12,0)</f>
        <v>0</v>
      </c>
      <c r="Q11" s="2">
        <f>VLOOKUP($A11,[13]TONTMARS23!$A$6:$P$20,10,0)</f>
        <v>0</v>
      </c>
      <c r="R11" s="2"/>
      <c r="S11" s="20">
        <v>892500</v>
      </c>
      <c r="T11" s="12" t="s">
        <v>8</v>
      </c>
      <c r="U11" s="17">
        <f t="shared" si="15"/>
        <v>1012500</v>
      </c>
      <c r="V11" s="12"/>
      <c r="W11" s="12"/>
      <c r="X11" s="12"/>
      <c r="Y11" s="12"/>
      <c r="Z11" s="12"/>
      <c r="AA11" s="12"/>
      <c r="AB11" s="12"/>
      <c r="AC11" s="12"/>
      <c r="AD11" s="12">
        <v>7500</v>
      </c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20000</v>
      </c>
      <c r="AT11" s="12"/>
      <c r="AV11" s="15"/>
      <c r="AW11" s="15">
        <f t="shared" si="9"/>
        <v>0</v>
      </c>
      <c r="AX11" s="15">
        <f t="shared" si="10"/>
        <v>892500</v>
      </c>
      <c r="AY11" s="15">
        <f t="shared" si="11"/>
        <v>0</v>
      </c>
      <c r="AZ11" s="16">
        <f t="shared" si="12"/>
        <v>892500</v>
      </c>
      <c r="BA11" s="58">
        <v>50000</v>
      </c>
      <c r="BB11" s="58"/>
      <c r="BC11" s="15"/>
      <c r="BD11" s="71">
        <f>IF(AZ11=0,(AZ11-BA11-BC11),(AZ11-BA11-BB11-BC11))</f>
        <v>842500</v>
      </c>
      <c r="BE11" s="82"/>
      <c r="BF11" s="29">
        <f t="shared" si="6"/>
        <v>0</v>
      </c>
      <c r="BG11" s="29">
        <v>9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VLOOKUP(A12,[18]HISTOBQUEMARS23!$A$6:$G$44,3,0)</f>
        <v>320000</v>
      </c>
      <c r="E12" s="9">
        <f>VLOOKUP(A12,[18]HISTOBQUEMARS23!$A$6:$G$39,4,0)</f>
        <v>0</v>
      </c>
      <c r="F12" s="9">
        <f>VLOOKUP(A12,[18]HISTOBQUEMARS23!$A$6:$G$39,5,0)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VLOOKUP($A12,[20]TONTMARS23!$A$6:$P$35,12,0)</f>
        <v>0</v>
      </c>
      <c r="Q12" s="2">
        <f>VLOOKUP($A12,[13]TONTMARS23!$A$6:$P$20,10,0)</f>
        <v>0</v>
      </c>
      <c r="R12" s="2">
        <f>VLOOKUP($A12,[19]TONTMARS23!$A$6:$P$21,10,0)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>
        <v>10000</v>
      </c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1190000</v>
      </c>
      <c r="AZ12" s="16">
        <f t="shared" si="12"/>
        <v>1190000</v>
      </c>
      <c r="BA12" s="58"/>
      <c r="BB12" s="58"/>
      <c r="BC12" s="15"/>
      <c r="BD12" s="57">
        <f t="shared" si="13"/>
        <v>1190000</v>
      </c>
      <c r="BE12" s="82">
        <v>1190000</v>
      </c>
      <c r="BF12" s="29">
        <f t="shared" si="6"/>
        <v>0</v>
      </c>
      <c r="BG12" s="29">
        <v>9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VLOOKUP(A13,[18]HISTOBQUEMARS23!$A$6:$G$44,3,0)</f>
        <v>40000</v>
      </c>
      <c r="E13" s="9">
        <f>VLOOKUP(A13,[18]HISTOBQUEMARS23!$A$6:$G$39,4,0)</f>
        <v>0</v>
      </c>
      <c r="F13" s="9">
        <f>VLOOKUP(A13,[18]HISTOBQUEMARS23!$A$6:$G$39,5,0)+70000</f>
        <v>70000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VLOOKUP($A13,[20]TONTMARS23!$A$6:$P$35,12,0)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>
        <v>10000</v>
      </c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290000</v>
      </c>
      <c r="AX13" s="15">
        <f t="shared" si="10"/>
        <v>0</v>
      </c>
      <c r="AY13" s="15">
        <f t="shared" si="11"/>
        <v>0</v>
      </c>
      <c r="AZ13" s="16">
        <f t="shared" si="12"/>
        <v>220000</v>
      </c>
      <c r="BA13" s="58"/>
      <c r="BB13" s="58">
        <v>70000</v>
      </c>
      <c r="BC13" s="15"/>
      <c r="BD13" s="57">
        <f t="shared" si="13"/>
        <v>220000</v>
      </c>
      <c r="BE13" s="82">
        <v>220000</v>
      </c>
      <c r="BF13" s="29">
        <f t="shared" si="6"/>
        <v>0</v>
      </c>
      <c r="BG13" s="29">
        <v>9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VLOOKUP(A14,[18]HISTOBQUEMARS23!$A$6:$G$44,3,0)</f>
        <v>40000</v>
      </c>
      <c r="E14" s="9">
        <f>VLOOKUP(A14,[18]HISTOBQUEMARS23!$A$6:$G$39,4,0)</f>
        <v>0</v>
      </c>
      <c r="F14" s="9">
        <f>VLOOKUP(A14,[18]HISTOBQUEMARS23!$A$6:$G$39,5,0)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VLOOKUP($A14,[20]TONTMARS23!$A$6:$P$35,12,0)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9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VLOOKUP(A15,[18]HISTOBQUEMARS23!$A$6:$G$44,3,0)</f>
        <v>115000</v>
      </c>
      <c r="E15" s="9">
        <f>VLOOKUP(A15,[18]HISTOBQUEMARS23!$A$6:$G$39,4,0)</f>
        <v>0</v>
      </c>
      <c r="F15" s="9">
        <f>VLOOKUP(A15,[18]HISTOBQUEMARS23!$A$6:$G$39,5,0)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VLOOKUP($A15,[20]TONTMARS23!$A$6:$P$35,12,0)</f>
        <v>0</v>
      </c>
      <c r="Q15" s="2">
        <f>VLOOKUP($A15,[13]TONTMARS23!$A$6:$P$20,10,0)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9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VLOOKUP(A16,[18]HISTOBQUEMARS23!$A$6:$G$44,3,0)</f>
        <v>250000</v>
      </c>
      <c r="E16" s="9">
        <f>VLOOKUP(A16,[18]HISTOBQUEMARS23!$A$6:$G$39,4,0)</f>
        <v>0</v>
      </c>
      <c r="F16" s="9">
        <f>VLOOKUP(A16,[18]HISTOBQUEMARS23!$A$6:$G$39,5,0)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VLOOKUP($A16,[20]TONTMARS23!$A$6:$P$35,12,0)</f>
        <v>0</v>
      </c>
      <c r="Q16" s="2">
        <f>VLOOKUP($A16,[13]TONTMARS23!$A$6:$P$20,10,0)</f>
        <v>0</v>
      </c>
      <c r="R16" s="2">
        <f>VLOOKUP($A16,[19]TONTMARS23!$A$6:$P$21,10,0)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164000</v>
      </c>
      <c r="AL16" s="12"/>
      <c r="AM16" s="12"/>
      <c r="AN16" s="12">
        <v>1000</v>
      </c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164000</v>
      </c>
      <c r="AZ16" s="16">
        <f t="shared" si="12"/>
        <v>164000</v>
      </c>
      <c r="BA16" s="58">
        <v>44000</v>
      </c>
      <c r="BB16" s="58"/>
      <c r="BC16" s="15"/>
      <c r="BD16" s="57">
        <f t="shared" si="13"/>
        <v>120000</v>
      </c>
      <c r="BE16" s="82">
        <v>220000</v>
      </c>
      <c r="BF16" s="29">
        <f t="shared" si="6"/>
        <v>0</v>
      </c>
      <c r="BG16" s="29">
        <v>9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9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VLOOKUP(A17,[18]HISTOBQUEMARS23!$A$6:$G$44,3,0)</f>
        <v>140000</v>
      </c>
      <c r="E17" s="9">
        <f>VLOOKUP(A17,[18]HISTOBQUEMARS23!$A$6:$G$39,4,0)</f>
        <v>0</v>
      </c>
      <c r="F17" s="9">
        <f>VLOOKUP(A17,[18]HISTOBQUEMARS23!$A$6:$G$39,5,0)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VLOOKUP($A17,[20]TONTMARS23!$A$6:$P$35,12,0)</f>
        <v>0</v>
      </c>
      <c r="Q17" s="2"/>
      <c r="R17" s="2">
        <f>VLOOKUP($A17,[19]TONTMARS23!$A$6:$P$21,10,0)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200000</v>
      </c>
      <c r="AL17" s="12"/>
      <c r="AM17" s="12"/>
      <c r="AN17" s="12">
        <v>2000</v>
      </c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200000</v>
      </c>
      <c r="AZ17" s="16">
        <f t="shared" si="12"/>
        <v>200000</v>
      </c>
      <c r="BA17" s="58">
        <v>100000</v>
      </c>
      <c r="BB17" s="58"/>
      <c r="BC17" s="15"/>
      <c r="BD17" s="57">
        <f t="shared" si="13"/>
        <v>100000</v>
      </c>
      <c r="BE17" s="82">
        <v>100000</v>
      </c>
      <c r="BF17" s="29">
        <f t="shared" si="6"/>
        <v>0</v>
      </c>
      <c r="BG17" s="29">
        <v>9</v>
      </c>
      <c r="BH17" s="15"/>
      <c r="BI17" s="15"/>
      <c r="BJ17" s="15"/>
      <c r="BK17" s="15"/>
      <c r="BL17" s="61"/>
      <c r="BN17" s="62"/>
      <c r="BP17" s="6"/>
    </row>
    <row r="18" spans="1:69" ht="18.75" x14ac:dyDescent="0.3">
      <c r="A18" s="1" t="s">
        <v>23</v>
      </c>
      <c r="B18" s="1" t="str">
        <f>VLOOKUP(A18,[17]LISTADHERENT!A$5:H$39,3,0)</f>
        <v>KOUATCHO MESSACK</v>
      </c>
      <c r="C18" s="9">
        <f t="shared" si="0"/>
        <v>1000</v>
      </c>
      <c r="D18" s="9">
        <f>VLOOKUP(A18,[18]HISTOBQUEMARS23!$A$6:$G$44,3,0)</f>
        <v>215000</v>
      </c>
      <c r="E18" s="9">
        <f>VLOOKUP(A18,[18]HISTOBQUEMARS23!$A$6:$G$39,4,0)</f>
        <v>0</v>
      </c>
      <c r="F18" s="9">
        <f>VLOOKUP(A18,[18]HISTOBQUEMARS23!$A$6:$G$39,5,0)</f>
        <v>0</v>
      </c>
      <c r="G18" s="5">
        <f t="shared" si="7"/>
        <v>0</v>
      </c>
      <c r="H18" s="10" t="str">
        <f t="shared" si="1"/>
        <v>BANQUE</v>
      </c>
      <c r="I18" s="10">
        <v>-1000</v>
      </c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VLOOKUP($A18,[20]TONTMARS23!$A$6:$P$35,12,0)</f>
        <v>0</v>
      </c>
      <c r="Q18" s="2">
        <f>VLOOKUP($A18,[13]TONTMARS23!$A$6:$P$20,10,0)</f>
        <v>0</v>
      </c>
      <c r="R18" s="2">
        <f>VLOOKUP($A18,[19]TONTMARS23!$A$6:$P$21,10,0)</f>
        <v>0</v>
      </c>
      <c r="S18" s="20"/>
      <c r="T18" s="12"/>
      <c r="U18" s="17">
        <f t="shared" si="15"/>
        <v>214000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200000</v>
      </c>
      <c r="AL18" s="12"/>
      <c r="AM18" s="12"/>
      <c r="AN18" s="12">
        <v>2000</v>
      </c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14000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200000</v>
      </c>
      <c r="AZ18" s="16">
        <f>SUM(AV18:AY18)-BF18+Z18-F18+BH18+BI18+BJ18+BK18+BL18+BM18</f>
        <v>200000</v>
      </c>
      <c r="BA18" s="58"/>
      <c r="BB18" s="58"/>
      <c r="BC18" s="15"/>
      <c r="BD18" s="57">
        <f>IF(AZ18=0,(AZ18-BA18-BC18),(AZ18-BA18-BB18-BC18))+F18+100000</f>
        <v>300000</v>
      </c>
      <c r="BE18" s="82">
        <v>200000</v>
      </c>
      <c r="BF18" s="29">
        <f t="shared" si="6"/>
        <v>0</v>
      </c>
      <c r="BG18" s="29">
        <v>9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9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VLOOKUP(A19,[18]HISTOBQUEMARS23!$A$6:$G$44,3,0)</f>
        <v>40000</v>
      </c>
      <c r="E19" s="9">
        <f>VLOOKUP(A19,[18]HISTOBQUEMARS23!$A$6:$G$39,4,0)</f>
        <v>0</v>
      </c>
      <c r="F19" s="9">
        <f>VLOOKUP(A19,[18]HISTOBQUEMARS23!$A$6:$G$39,5,0)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VLOOKUP($A19,[20]TONTMARS23!$A$6:$P$35,12,0)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9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9" s="72" customFormat="1" ht="18.75" x14ac:dyDescent="0.3">
      <c r="A20" s="73" t="s">
        <v>25</v>
      </c>
      <c r="B20" s="73" t="str">
        <f>VLOOKUP(A20,[17]LISTADHERENT!A$5:H$39,3,0)</f>
        <v>MBOGNING TUGMA GUY</v>
      </c>
      <c r="C20" s="14">
        <f t="shared" si="0"/>
        <v>93000</v>
      </c>
      <c r="D20" s="14">
        <f>VLOOKUP(A20,[18]HISTOBQUEMARS23!$A$6:$G$44,3,0)</f>
        <v>403500</v>
      </c>
      <c r="E20" s="14">
        <f>VLOOKUP(A20,[18]HISTOBQUEMARS23!$A$6:$G$39,4,0)</f>
        <v>0</v>
      </c>
      <c r="F20" s="14">
        <f>VLOOKUP(A20,[18]HISTOBQUEMARS23!$A$6:$G$39,5,0)</f>
        <v>0</v>
      </c>
      <c r="G20" s="14">
        <f t="shared" si="7"/>
        <v>0</v>
      </c>
      <c r="H20" s="74" t="str">
        <f t="shared" si="1"/>
        <v>BANQUE</v>
      </c>
      <c r="I20" s="74">
        <v>-7000</v>
      </c>
      <c r="J20" s="75">
        <v>1</v>
      </c>
      <c r="K20" s="75">
        <f t="shared" si="14"/>
        <v>40000</v>
      </c>
      <c r="L20" s="70">
        <v>1</v>
      </c>
      <c r="M20" s="75">
        <f t="shared" si="2"/>
        <v>75000</v>
      </c>
      <c r="N20" s="70">
        <v>1</v>
      </c>
      <c r="O20" s="75">
        <f t="shared" si="3"/>
        <v>100000</v>
      </c>
      <c r="P20" s="76">
        <f>VLOOKUP($A20,[20]TONTMARS23!$A$6:$P$35,12,0)</f>
        <v>32500</v>
      </c>
      <c r="Q20" s="76">
        <f>VLOOKUP($A20,[13]TONTMARS23!$A$6:$P$20,10,0)</f>
        <v>0</v>
      </c>
      <c r="R20" s="76">
        <f>VLOOKUP($A20,[19]TONTMARS23!$A$6:$P$21,10,0)</f>
        <v>0</v>
      </c>
      <c r="S20" s="77"/>
      <c r="T20" s="78"/>
      <c r="U20" s="79">
        <f t="shared" si="15"/>
        <v>240500</v>
      </c>
      <c r="V20" s="78"/>
      <c r="W20" s="78"/>
      <c r="X20" s="78"/>
      <c r="Y20" s="78"/>
      <c r="Z20" s="78"/>
      <c r="AA20" s="78"/>
      <c r="AB20" s="78"/>
      <c r="AC20" s="78">
        <v>11000</v>
      </c>
      <c r="AD20" s="78"/>
      <c r="AE20" s="78"/>
      <c r="AF20" s="78"/>
      <c r="AG20" s="78"/>
      <c r="AH20" s="78"/>
      <c r="AI20" s="78"/>
      <c r="AJ20" s="78"/>
      <c r="AK20" s="78">
        <v>200000</v>
      </c>
      <c r="AL20" s="78"/>
      <c r="AM20" s="78"/>
      <c r="AN20" s="78">
        <v>2000</v>
      </c>
      <c r="AO20" s="78"/>
      <c r="AP20" s="78"/>
      <c r="AQ20" s="8">
        <f t="shared" si="4"/>
        <v>0</v>
      </c>
      <c r="AR20" s="8">
        <f t="shared" si="5"/>
        <v>0</v>
      </c>
      <c r="AS20" s="75">
        <f t="shared" si="8"/>
        <v>8000</v>
      </c>
      <c r="AT20" s="78"/>
      <c r="AV20" s="80"/>
      <c r="AW20" s="80">
        <f t="shared" si="9"/>
        <v>289000</v>
      </c>
      <c r="AX20" s="80">
        <f t="shared" si="10"/>
        <v>0</v>
      </c>
      <c r="AY20" s="80">
        <f t="shared" si="11"/>
        <v>200000</v>
      </c>
      <c r="AZ20" s="71">
        <f t="shared" si="12"/>
        <v>489000</v>
      </c>
      <c r="BA20" s="58">
        <v>105000</v>
      </c>
      <c r="BB20" s="58">
        <v>70000</v>
      </c>
      <c r="BC20" s="80"/>
      <c r="BD20" s="71">
        <f t="shared" si="13"/>
        <v>314000</v>
      </c>
      <c r="BE20" s="83">
        <f>95000+219000</f>
        <v>314000</v>
      </c>
      <c r="BF20" s="81">
        <f t="shared" si="6"/>
        <v>0</v>
      </c>
      <c r="BG20" s="81">
        <v>9</v>
      </c>
      <c r="BH20" s="80"/>
      <c r="BI20" s="80"/>
      <c r="BJ20" s="80"/>
      <c r="BK20" s="80"/>
      <c r="BL20" s="76"/>
      <c r="BP20" s="70"/>
    </row>
    <row r="21" spans="1:69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VLOOKUP(A21,[18]HISTOBQUEMARS23!$A$6:$G$44,3,0)</f>
        <v>40000</v>
      </c>
      <c r="E21" s="9">
        <f>VLOOKUP(A21,[18]HISTOBQUEMARS23!$A$6:$G$39,4,0)</f>
        <v>0</v>
      </c>
      <c r="F21" s="9">
        <f>VLOOKUP(A21,[18]HISTOBQUEMARS23!$A$6:$G$39,5,0)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VLOOKUP($A21,[20]TONTMARS23!$A$6:$P$35,12,0)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9</v>
      </c>
      <c r="BH21" s="15"/>
      <c r="BI21" s="15"/>
      <c r="BJ21" s="15"/>
      <c r="BK21" s="15"/>
      <c r="BL21" s="61"/>
      <c r="BP21" s="6"/>
    </row>
    <row r="22" spans="1:69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VLOOKUP(A22,[18]HISTOBQUEMARS23!$A$6:$G$44,3,0)</f>
        <v>115000</v>
      </c>
      <c r="E22" s="9">
        <f>VLOOKUP(A22,[18]HISTOBQUEMARS23!$A$6:$G$39,4,0)</f>
        <v>0</v>
      </c>
      <c r="F22" s="9">
        <f>VLOOKUP(A22,[18]HISTOBQUEMARS23!$A$6:$G$39,5,0)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VLOOKUP($A22,[20]TONTMARS23!$A$6:$P$35,12,0)</f>
        <v>0</v>
      </c>
      <c r="Q22" s="2">
        <f>VLOOKUP($A22,[13]TONTMARS23!$A$6:$P$20,10,0)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9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9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VLOOKUP(A23,[18]HISTOBQUEMARS23!$A$6:$G$44,3,0)</f>
        <v>250000</v>
      </c>
      <c r="E23" s="9">
        <f>VLOOKUP(A23,[18]HISTOBQUEMARS23!$A$6:$G$39,4,0)</f>
        <v>0</v>
      </c>
      <c r="F23" s="9">
        <f>VLOOKUP(A23,[18]HISTOBQUEMARS23!$A$6:$G$39,5,0)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VLOOKUP($A23,[20]TONTMARS23!$A$6:$P$35,12,0)</f>
        <v>0</v>
      </c>
      <c r="Q23" s="2"/>
      <c r="R23" s="2">
        <f>VLOOKUP($A23,[19]TONTMARS23!$A$6:$P$21,10,0)</f>
        <v>0</v>
      </c>
      <c r="S23" s="20"/>
      <c r="T23" s="12"/>
      <c r="U23" s="17">
        <f t="shared" si="15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200000</v>
      </c>
      <c r="AZ23" s="16">
        <f t="shared" si="12"/>
        <v>200000</v>
      </c>
      <c r="BA23" s="58">
        <v>100000</v>
      </c>
      <c r="BB23" s="58"/>
      <c r="BC23" s="15"/>
      <c r="BD23" s="57">
        <f t="shared" si="13"/>
        <v>100000</v>
      </c>
      <c r="BE23" s="82">
        <v>100000</v>
      </c>
      <c r="BF23" s="29">
        <f t="shared" si="6"/>
        <v>0</v>
      </c>
      <c r="BG23" s="29">
        <v>9</v>
      </c>
      <c r="BH23" s="15"/>
      <c r="BI23" s="15"/>
      <c r="BJ23" s="15"/>
      <c r="BK23" s="15"/>
      <c r="BL23" s="61"/>
    </row>
    <row r="24" spans="1:69" ht="18.75" x14ac:dyDescent="0.3">
      <c r="A24" s="1" t="s">
        <v>29</v>
      </c>
      <c r="B24" s="1" t="str">
        <f>VLOOKUP(A24,[17]LISTADHERENT!A$5:H$39,3,0)</f>
        <v>NGONDIEP CLAUDE</v>
      </c>
      <c r="C24" s="9">
        <f t="shared" si="0"/>
        <v>-3000</v>
      </c>
      <c r="D24" s="9">
        <f>VLOOKUP(A24,[18]HISTOBQUEMARS23!$A$6:$G$44,3,0)</f>
        <v>0</v>
      </c>
      <c r="E24" s="9">
        <f>VLOOKUP(A24,[18]HISTOBQUEMARS23!$A$6:$G$39,4,0)</f>
        <v>215000</v>
      </c>
      <c r="F24" s="9">
        <f>VLOOKUP(A24,[18]HISTOBQUEMARS23!$A$6:$G$39,5,0)</f>
        <v>0</v>
      </c>
      <c r="G24" s="5">
        <f t="shared" si="7"/>
        <v>3000</v>
      </c>
      <c r="H24" s="10" t="str">
        <f t="shared" si="1"/>
        <v>ESPECES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VLOOKUP($A24,[20]TONTMARS23!$A$6:$P$35,12,0)</f>
        <v>0</v>
      </c>
      <c r="Q24" s="2">
        <f>VLOOKUP($A24,[13]TONTMARS23!$A$6:$P$20,10,0)</f>
        <v>0</v>
      </c>
      <c r="R24" s="2">
        <f>VLOOKUP($A24,[19]TONTMARS23!$A$6:$P$21,10,0)</f>
        <v>0</v>
      </c>
      <c r="S24" s="20"/>
      <c r="T24" s="12"/>
      <c r="U24" s="17">
        <f t="shared" si="15"/>
        <v>218000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9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9" ht="18.75" x14ac:dyDescent="0.3">
      <c r="A25" s="1" t="s">
        <v>30</v>
      </c>
      <c r="B25" s="1" t="str">
        <f>VLOOKUP(A25,[17]LISTADHERENT!A$5:H$39,3,0)</f>
        <v>NGUIEMEGNI MATHIEU BLAISE</v>
      </c>
      <c r="C25" s="9">
        <f t="shared" si="0"/>
        <v>-10000</v>
      </c>
      <c r="D25" s="9">
        <f>VLOOKUP(A25,[18]HISTOBQUEMARS23!$A$6:$G$44,3,0)</f>
        <v>280000</v>
      </c>
      <c r="E25" s="9">
        <f>VLOOKUP(A25,[18]HISTOBQUEMARS23!$A$6:$G$39,4,0)</f>
        <v>0</v>
      </c>
      <c r="F25" s="9">
        <f>VLOOKUP(A25,[18]HISTOBQUEMARS23!$A$6:$G$39,5,0)</f>
        <v>0</v>
      </c>
      <c r="G25" s="5">
        <f t="shared" si="7"/>
        <v>0</v>
      </c>
      <c r="H25" s="10" t="str">
        <f t="shared" si="1"/>
        <v>BANQUE</v>
      </c>
      <c r="I25" s="10"/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VLOOKUP($A25,[20]TONTMARS23!$A$6:$P$35,12,0)</f>
        <v>0</v>
      </c>
      <c r="Q25" s="2">
        <f>VLOOKUP($A25,[13]TONTMARS23!$A$6:$P$20,10,0)</f>
        <v>0</v>
      </c>
      <c r="R25" s="2">
        <f>VLOOKUP($A25,[19]TONTMARS23!$A$6:$P$21,10,0)</f>
        <v>0</v>
      </c>
      <c r="S25" s="20"/>
      <c r="T25" s="12"/>
      <c r="U25" s="17">
        <f t="shared" si="15"/>
        <v>290000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>IF(H25="ECHEC",0,(K25+I25-25000))-10000</f>
        <v>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0</v>
      </c>
      <c r="AZ25" s="16">
        <f t="shared" si="12"/>
        <v>0</v>
      </c>
      <c r="BA25" s="58"/>
      <c r="BB25" s="58"/>
      <c r="BC25" s="15"/>
      <c r="BD25" s="57">
        <f t="shared" si="13"/>
        <v>0</v>
      </c>
      <c r="BE25" s="82"/>
      <c r="BF25" s="29">
        <f t="shared" si="6"/>
        <v>0</v>
      </c>
      <c r="BG25" s="29">
        <v>9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9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VLOOKUP(A26,[18]HISTOBQUEMARS23!$A$6:$G$44,3,0)</f>
        <v>0</v>
      </c>
      <c r="E26" s="9">
        <f>VLOOKUP(A26,[18]HISTOBQUEMARS23!$A$6:$G$39,4,0)</f>
        <v>84000</v>
      </c>
      <c r="F26" s="9">
        <f>VLOOKUP(A26,[18]HISTOBQUEMARS23!$A$6:$G$39,5,0)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VLOOKUP($A26,[20]TONTMARS23!$A$6:$P$35,12,0)</f>
        <v>41000</v>
      </c>
      <c r="Q26" s="2"/>
      <c r="R26" s="2"/>
      <c r="S26" s="20"/>
      <c r="T26" s="12"/>
      <c r="U26" s="17">
        <f t="shared" si="15"/>
        <v>84000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0</v>
      </c>
      <c r="BA26" s="58"/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9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9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VLOOKUP(A27,[18]HISTOBQUEMARS23!$A$6:$G$44,3,0)</f>
        <v>50000</v>
      </c>
      <c r="E27" s="9">
        <f>VLOOKUP(A27,[18]HISTOBQUEMARS23!$A$6:$G$39,4,0)</f>
        <v>0</v>
      </c>
      <c r="F27" s="9">
        <f>VLOOKUP(A27,[18]HISTOBQUEMARS23!$A$6:$G$39,5,0)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VLOOKUP($A27,[20]TONTMARS23!$A$6:$P$35,12,0)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9</v>
      </c>
      <c r="BH27" s="15"/>
      <c r="BI27" s="15"/>
      <c r="BJ27" s="15"/>
      <c r="BK27" s="15"/>
      <c r="BL27" s="61"/>
      <c r="BN27" t="s">
        <v>183</v>
      </c>
      <c r="BP27" s="70"/>
      <c r="BQ27" s="70">
        <v>1750000</v>
      </c>
    </row>
    <row r="28" spans="1:69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VLOOKUP(A28,[18]HISTOBQUEMARS23!$A$6:$G$44,3,0)</f>
        <v>115000</v>
      </c>
      <c r="E28" s="9">
        <f>VLOOKUP(A28,[18]HISTOBQUEMARS23!$A$6:$G$39,4,0)</f>
        <v>0</v>
      </c>
      <c r="F28" s="9">
        <f>VLOOKUP(A28,[18]HISTOBQUEMARS23!$A$6:$G$39,5,0)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VLOOKUP($A28,[20]TONTMARS23!$A$6:$P$35,12,0)</f>
        <v>0</v>
      </c>
      <c r="Q28" s="2">
        <f>VLOOKUP($A28,[13]TONTMARS23!$A$6:$P$20,10,0)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9</v>
      </c>
      <c r="BH28" s="15"/>
      <c r="BI28" s="15"/>
      <c r="BJ28" s="15"/>
      <c r="BK28" s="15"/>
      <c r="BL28" s="61"/>
      <c r="BN28" s="62" t="s">
        <v>142</v>
      </c>
      <c r="BP28" s="62">
        <f>SUM(BP24:BP27)</f>
        <v>0</v>
      </c>
    </row>
    <row r="29" spans="1:69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VLOOKUP(A29,[18]HISTOBQUEMARS23!$A$6:$G$44,3,0)</f>
        <v>40000</v>
      </c>
      <c r="E29" s="9">
        <f>VLOOKUP(A29,[18]HISTOBQUEMARS23!$A$6:$G$39,4,0)</f>
        <v>0</v>
      </c>
      <c r="F29" s="9">
        <f>VLOOKUP(A29,[18]HISTOBQUEMARS23!$A$6:$G$39,5,0)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VLOOKUP($A29,[20]TONTMARS23!$A$6:$P$35,12,0)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9</v>
      </c>
      <c r="BH29" s="15"/>
      <c r="BI29" s="15"/>
      <c r="BJ29" s="15"/>
      <c r="BK29" s="15"/>
      <c r="BL29" s="61"/>
      <c r="BN29" s="62"/>
      <c r="BP29" s="6"/>
    </row>
    <row r="30" spans="1:69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VLOOKUP(A30,[18]HISTOBQUEMARS23!$A$6:$G$44,3,0)</f>
        <v>115000</v>
      </c>
      <c r="E30" s="9">
        <f>VLOOKUP(A30,[18]HISTOBQUEMARS23!$A$6:$G$39,4,0)</f>
        <v>0</v>
      </c>
      <c r="F30" s="9">
        <f>VLOOKUP(A30,[18]HISTOBQUEMARS23!$A$6:$G$39,5,0)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VLOOKUP($A30,[20]TONTMARS23!$A$6:$P$35,12,0)</f>
        <v>0</v>
      </c>
      <c r="Q30" s="2">
        <f>VLOOKUP($A30,[13]TONTMARS23!$A$6:$P$20,10,0)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9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9" ht="18.75" x14ac:dyDescent="0.3">
      <c r="A31" s="1" t="s">
        <v>37</v>
      </c>
      <c r="B31" s="1" t="str">
        <f>VLOOKUP(A31,[17]LISTADHERENT!A$5:H$39,3,0)</f>
        <v>SIMO PIERRE</v>
      </c>
      <c r="C31" s="9">
        <f t="shared" si="0"/>
        <v>-70000</v>
      </c>
      <c r="D31" s="9">
        <f>VLOOKUP(A31,[18]HISTOBQUEMARS23!$A$6:$G$44,3,0)</f>
        <v>140000</v>
      </c>
      <c r="E31" s="9">
        <f>VLOOKUP(A31,[18]HISTOBQUEMARS23!$A$6:$G$39,4,0)</f>
        <v>0</v>
      </c>
      <c r="F31" s="9">
        <f>VLOOKUP(A31,[18]HISTOBQUEMARS23!$A$6:$G$39,5,0)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VLOOKUP($A31,[20]TONTMARS23!$A$6:$P$35,12,0)</f>
        <v>0</v>
      </c>
      <c r="Q31" s="2"/>
      <c r="R31" s="2">
        <f>VLOOKUP($A31,[19]TONTMARS23!$A$6:$P$21,10,0)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>
        <v>11000</v>
      </c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289000</v>
      </c>
      <c r="AX31" s="15">
        <f t="shared" si="10"/>
        <v>0</v>
      </c>
      <c r="AY31" s="15">
        <f t="shared" si="11"/>
        <v>0</v>
      </c>
      <c r="AZ31" s="16">
        <f t="shared" si="12"/>
        <v>289000</v>
      </c>
      <c r="BA31" s="58"/>
      <c r="BB31" s="58">
        <v>70000</v>
      </c>
      <c r="BC31" s="15"/>
      <c r="BD31" s="57">
        <f t="shared" si="13"/>
        <v>219000</v>
      </c>
      <c r="BE31" s="82">
        <v>219000</v>
      </c>
      <c r="BF31" s="29">
        <f t="shared" si="6"/>
        <v>0</v>
      </c>
      <c r="BG31" s="29">
        <v>9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9" s="72" customFormat="1" ht="18.75" x14ac:dyDescent="0.3">
      <c r="A32" s="73" t="s">
        <v>38</v>
      </c>
      <c r="B32" s="73" t="str">
        <f>VLOOKUP(A32,[17]LISTADHERENT!A$5:H$39,3,0)</f>
        <v>TCHOUAMOU MATHIEU</v>
      </c>
      <c r="C32" s="14">
        <f t="shared" si="0"/>
        <v>0</v>
      </c>
      <c r="D32" s="14">
        <f>VLOOKUP(A32,[18]HISTOBQUEMARS23!$A$6:$G$44,3,0)</f>
        <v>115000</v>
      </c>
      <c r="E32" s="14">
        <f>VLOOKUP(A32,[18]HISTOBQUEMARS23!$A$6:$G$39,4,0)</f>
        <v>0</v>
      </c>
      <c r="F32" s="14">
        <f>VLOOKUP(A32,[18]HISTOBQUEMARS23!$A$6:$G$39,5,0)</f>
        <v>0</v>
      </c>
      <c r="G32" s="14">
        <f t="shared" si="7"/>
        <v>0</v>
      </c>
      <c r="H32" s="74" t="str">
        <f t="shared" si="1"/>
        <v>BANQUE</v>
      </c>
      <c r="I32" s="74"/>
      <c r="J32" s="75">
        <v>1</v>
      </c>
      <c r="K32" s="75">
        <f t="shared" si="14"/>
        <v>40000</v>
      </c>
      <c r="L32" s="70">
        <v>1</v>
      </c>
      <c r="M32" s="75">
        <f t="shared" si="2"/>
        <v>75000</v>
      </c>
      <c r="N32" s="70"/>
      <c r="O32" s="75">
        <f t="shared" si="3"/>
        <v>0</v>
      </c>
      <c r="P32" s="76">
        <f>VLOOKUP($A32,[20]TONTMARS23!$A$6:$P$35,12,0)</f>
        <v>0</v>
      </c>
      <c r="Q32" s="76">
        <f>VLOOKUP($A32,[13]TONTMARS23!$A$6:$P$20,10,0)</f>
        <v>0</v>
      </c>
      <c r="R32" s="76"/>
      <c r="S32" s="77"/>
      <c r="T32" s="78"/>
      <c r="U32" s="79">
        <f t="shared" si="15"/>
        <v>115000</v>
      </c>
      <c r="V32" s="78"/>
      <c r="W32" s="78"/>
      <c r="X32" s="78"/>
      <c r="Y32" s="78"/>
      <c r="Z32" s="78">
        <v>200000</v>
      </c>
      <c r="AA32" s="78" t="s">
        <v>8</v>
      </c>
      <c r="AB32" s="78"/>
      <c r="AC32" s="78"/>
      <c r="AD32" s="78">
        <v>7500</v>
      </c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8">
        <f t="shared" si="4"/>
        <v>0</v>
      </c>
      <c r="AR32" s="8">
        <f t="shared" si="5"/>
        <v>0</v>
      </c>
      <c r="AS32" s="75">
        <f t="shared" si="8"/>
        <v>15000</v>
      </c>
      <c r="AT32" s="78"/>
      <c r="AV32" s="80"/>
      <c r="AW32" s="80">
        <f t="shared" si="9"/>
        <v>0</v>
      </c>
      <c r="AX32" s="80">
        <f>IF(AD32=0,AJ32,(1*75000*12)+(AJ32)-AD32)-892500</f>
        <v>0</v>
      </c>
      <c r="AY32" s="80">
        <f t="shared" si="11"/>
        <v>0</v>
      </c>
      <c r="AZ32" s="71">
        <f>SUM(AV32:AY32)-BF32+Z32-F32+BH32+BI32+BJ32+BK32+BL32+BM32</f>
        <v>194000</v>
      </c>
      <c r="BA32" s="58"/>
      <c r="BB32" s="58"/>
      <c r="BC32" s="80"/>
      <c r="BD32" s="71">
        <f>IF(AZ32=0,(AZ32-BA32-BC32),(AZ32-BA32-BB32-BC32))+F32</f>
        <v>194000</v>
      </c>
      <c r="BE32" s="83">
        <v>86500</v>
      </c>
      <c r="BF32" s="81">
        <f t="shared" si="6"/>
        <v>6000</v>
      </c>
      <c r="BG32" s="81">
        <v>3</v>
      </c>
      <c r="BH32" s="80"/>
      <c r="BI32" s="80"/>
      <c r="BJ32" s="80"/>
      <c r="BK32" s="80"/>
      <c r="BL32" s="76"/>
      <c r="BP32" s="70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VLOOKUP(A33,[18]HISTOBQUEMARS23!$A$6:$G$44,3,0)</f>
        <v>40000</v>
      </c>
      <c r="E33" s="9">
        <f>VLOOKUP(A33,[18]HISTOBQUEMARS23!$A$6:$G$39,4,0)</f>
        <v>0</v>
      </c>
      <c r="F33" s="9">
        <f>VLOOKUP(A33,[18]HISTOBQUEMARS23!$A$6:$G$39,5,0)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VLOOKUP($A33,[20]TONTMARS23!$A$6:$P$35,12,0)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9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25000</v>
      </c>
      <c r="D34" s="9">
        <f>VLOOKUP(A34,[18]HISTOBQUEMARS23!$A$6:$G$44,3,0)</f>
        <v>100000</v>
      </c>
      <c r="E34" s="9">
        <f>VLOOKUP(A34,[18]HISTOBQUEMARS23!$A$6:$G$39,4,0)</f>
        <v>0</v>
      </c>
      <c r="F34" s="9">
        <f>VLOOKUP(A34,[18]HISTOBQUEMARS23!$A$6:$G$39,5,0)</f>
        <v>0</v>
      </c>
      <c r="G34" s="5">
        <f t="shared" si="7"/>
        <v>0</v>
      </c>
      <c r="H34" s="10" t="str">
        <f t="shared" si="1"/>
        <v>BANQUE</v>
      </c>
      <c r="I34" s="10">
        <v>35000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VLOOKUP($A34,[20]TONTMARS23!$A$6:$P$35,12,0)</f>
        <v>0</v>
      </c>
      <c r="Q34" s="2"/>
      <c r="R34" s="2"/>
      <c r="S34" s="20"/>
      <c r="T34" s="12"/>
      <c r="U34" s="17">
        <f t="shared" si="15"/>
        <v>75000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50000</v>
      </c>
      <c r="AT34" s="12">
        <v>25000</v>
      </c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9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-6000</v>
      </c>
      <c r="D35" s="9">
        <f>VLOOKUP(A35,[18]HISTOBQUEMARS23!$A$6:$G$44,3,0)</f>
        <v>34000</v>
      </c>
      <c r="E35" s="9">
        <f>VLOOKUP(A35,[18]HISTOBQUEMARS23!$A$6:$G$39,4,0)</f>
        <v>0</v>
      </c>
      <c r="F35" s="9">
        <f>VLOOKUP(A35,[18]HISTOBQUEMARS23!$A$6:$G$39,5,0)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VLOOKUP($A35,[20]TONTMARS23!$A$6:$P$35,12,0)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>IF(H35="ECHEC",0,(K35+I35-25000))-6000</f>
        <v>9000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9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VLOOKUP(A36,[18]HISTOBQUEMARS23!$A$6:$G$44,3,0)</f>
        <v>290000</v>
      </c>
      <c r="E36" s="9">
        <f>VLOOKUP(A36,[18]HISTOBQUEMARS23!$A$6:$G$39,4,0)</f>
        <v>0</v>
      </c>
      <c r="F36" s="9">
        <f>VLOOKUP(A36,[18]HISTOBQUEMARS23!$A$6:$G$39,5,0)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VLOOKUP($A36,[20]TONTMARS23!$A$6:$P$35,12,0)</f>
        <v>0</v>
      </c>
      <c r="Q36" s="2">
        <f>VLOOKUP($A36,[13]TONTMARS23!$A$6:$P$20,10,0)</f>
        <v>0</v>
      </c>
      <c r="R36" s="2">
        <f>VLOOKUP($A36,[19]TONTMARS23!$A$6:$P$21,10,0)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9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-70000</v>
      </c>
      <c r="D38" s="5">
        <f t="shared" si="16"/>
        <v>4752000</v>
      </c>
      <c r="E38" s="5">
        <f t="shared" si="16"/>
        <v>299000</v>
      </c>
      <c r="F38" s="5">
        <f t="shared" si="16"/>
        <v>760000</v>
      </c>
      <c r="G38" s="5">
        <f t="shared" si="16"/>
        <v>6000</v>
      </c>
      <c r="H38" s="5">
        <f t="shared" si="16"/>
        <v>0</v>
      </c>
      <c r="I38" s="5">
        <f t="shared" si="16"/>
        <v>93000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114500</v>
      </c>
      <c r="Q38" s="5">
        <f t="shared" si="16"/>
        <v>0</v>
      </c>
      <c r="R38" s="5">
        <f t="shared" si="16"/>
        <v>0</v>
      </c>
      <c r="S38" s="5">
        <f t="shared" si="16"/>
        <v>1582500</v>
      </c>
      <c r="T38" s="5"/>
      <c r="U38" s="5">
        <f t="shared" ref="U38:AA38" si="17">SUM(U6:U37)</f>
        <v>5671000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200000</v>
      </c>
      <c r="AA38" s="5">
        <f t="shared" si="17"/>
        <v>0</v>
      </c>
      <c r="AB38" s="5"/>
      <c r="AC38" s="5">
        <f>SUM(AC6:AC37)</f>
        <v>32000</v>
      </c>
      <c r="AD38" s="5">
        <f>SUM(AD6:AD37)</f>
        <v>15000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0</v>
      </c>
      <c r="AJ38" s="5">
        <f t="shared" si="18"/>
        <v>0</v>
      </c>
      <c r="AK38" s="5">
        <f t="shared" si="18"/>
        <v>964000</v>
      </c>
      <c r="AL38" s="5">
        <f t="shared" si="18"/>
        <v>0</v>
      </c>
      <c r="AM38" s="5">
        <f t="shared" si="18"/>
        <v>0</v>
      </c>
      <c r="AN38" s="5">
        <f t="shared" si="18"/>
        <v>9000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527000</v>
      </c>
      <c r="AT38" s="5">
        <f t="shared" si="18"/>
        <v>25000</v>
      </c>
      <c r="AU38" s="5">
        <f t="shared" si="18"/>
        <v>0</v>
      </c>
      <c r="AV38" s="5">
        <f t="shared" si="18"/>
        <v>0</v>
      </c>
      <c r="AW38" s="5">
        <f t="shared" si="18"/>
        <v>868000</v>
      </c>
      <c r="AX38" s="5">
        <f t="shared" si="18"/>
        <v>892500</v>
      </c>
      <c r="AY38" s="5">
        <f t="shared" si="18"/>
        <v>3344000</v>
      </c>
      <c r="AZ38" s="5">
        <f t="shared" si="18"/>
        <v>4644500</v>
      </c>
      <c r="BA38" s="5">
        <f t="shared" si="18"/>
        <v>399000</v>
      </c>
      <c r="BB38" s="5">
        <f t="shared" si="18"/>
        <v>210000</v>
      </c>
      <c r="BC38" s="5">
        <f t="shared" si="18"/>
        <v>0</v>
      </c>
      <c r="BD38" s="5">
        <f t="shared" si="18"/>
        <v>2455500</v>
      </c>
      <c r="BE38" s="5">
        <f t="shared" si="18"/>
        <v>5007500</v>
      </c>
      <c r="BF38" s="5">
        <f>SUM(BF6:BF37)</f>
        <v>6000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  <c r="BD39" t="s">
        <v>184</v>
      </c>
      <c r="BE39" s="70">
        <v>1750000</v>
      </c>
    </row>
    <row r="40" spans="1:68" ht="18.75" x14ac:dyDescent="0.3">
      <c r="C40" s="3" t="s">
        <v>8</v>
      </c>
      <c r="D40" s="66"/>
      <c r="E40" s="66"/>
      <c r="F40" s="3" t="s">
        <v>9</v>
      </c>
      <c r="G40" s="66"/>
      <c r="H40" s="66"/>
      <c r="I40" s="66"/>
      <c r="Z40" s="12"/>
      <c r="AI40" s="5"/>
      <c r="AV40" s="3"/>
      <c r="AW40" s="66"/>
      <c r="AX40" s="15"/>
      <c r="AY40" s="15"/>
      <c r="AZ40" s="16" t="s">
        <v>182</v>
      </c>
      <c r="BA40" s="14">
        <v>299000</v>
      </c>
      <c r="BD40" t="s">
        <v>181</v>
      </c>
      <c r="BE40">
        <v>5005000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4644500</v>
      </c>
      <c r="D43" s="9">
        <f>SUMIFS(D8:D38,H8:H38,"BANQUE")</f>
        <v>4537000</v>
      </c>
      <c r="F43" s="9">
        <f>E38</f>
        <v>299000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9183000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R15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7.85546875" customWidth="1"/>
    <col min="58" max="58" width="15" bestFit="1" customWidth="1"/>
    <col min="63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  <c r="BE4" s="6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VLOOKUP(A6,[18]HISTOBQUEAVRIL23!$A$6:$G$44,3,0)</f>
        <v>175000</v>
      </c>
      <c r="E6" s="9">
        <f>VLOOKUP(A6,[18]HISTOBQUEAVRIL23!$A$6:$G$39,4,0)</f>
        <v>0</v>
      </c>
      <c r="F6" s="9">
        <f>VLOOKUP(A6,[18]HISTOBQUEAVRIL23!$A$6:$G$39,5,0)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VLOOKUP($A6,[13]TONTAVRIL23!$A$6:$P$20,10,0)</f>
        <v>0</v>
      </c>
      <c r="R6" s="2">
        <f>VLOOKUP($A6,[19]TONTAVRIL23!$A$6:$P$21,10,0)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106000</v>
      </c>
      <c r="BF6" s="29">
        <f t="shared" ref="BF6:BF36" si="6">Z6*1/100*BG6</f>
        <v>0</v>
      </c>
      <c r="BG6" s="29">
        <v>8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VLOOKUP(A7,[18]HISTOBQUEAVRIL23!$A$6:$G$44,3,0)</f>
        <v>40000</v>
      </c>
      <c r="E7" s="9">
        <f>VLOOKUP(A7,[18]HISTOBQUEAVRIL23!$A$6:$G$39,4,0)</f>
        <v>0</v>
      </c>
      <c r="F7" s="9">
        <f>VLOOKUP(A7,[18]HISTOBQUEAVRIL23!$A$6:$G$39,5,0)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VLOOKUP($A7,[20]TONTAVRIL23!$A$6:$P$35,12,0)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8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VLOOKUP(A8,[18]HISTOBQUEAVRIL23!$A$6:$G$44,3,0)</f>
        <v>115000</v>
      </c>
      <c r="E8" s="9">
        <f>VLOOKUP(A8,[18]HISTOBQUEAVRIL23!$A$6:$G$39,4,0)</f>
        <v>0</v>
      </c>
      <c r="F8" s="9">
        <f>VLOOKUP(A8,[18]HISTOBQUEAVRIL23!$A$6:$G$39,5,0)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VLOOKUP($A8,[20]TONTAVRIL23!$A$6:$P$35,12,0)</f>
        <v>0</v>
      </c>
      <c r="Q8" s="2">
        <f>VLOOKUP($A8,[13]TONTAVRIL23!$A$6:$P$20,10,0)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>
        <v>500000</v>
      </c>
      <c r="AA8" s="12" t="s">
        <v>8</v>
      </c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490000</v>
      </c>
      <c r="BA8" s="58"/>
      <c r="BB8" s="58"/>
      <c r="BC8" s="15"/>
      <c r="BD8" s="57">
        <f t="shared" si="13"/>
        <v>490000</v>
      </c>
      <c r="BE8" s="82">
        <v>490000</v>
      </c>
      <c r="BF8" s="29">
        <f t="shared" si="6"/>
        <v>10000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VLOOKUP(A9,[18]HISTOBQUEAVRIL23!$A$6:$G$44,3,0)</f>
        <v>145000</v>
      </c>
      <c r="E9" s="9">
        <f>VLOOKUP(A9,[18]HISTOBQUEAVRIL23!$A$6:$G$39,4,0)</f>
        <v>0</v>
      </c>
      <c r="F9" s="9">
        <f>VLOOKUP(A9,[18]HISTOBQUEAVRIL23!$A$6:$G$39,5,0)</f>
        <v>0</v>
      </c>
      <c r="G9" s="5">
        <f t="shared" si="7"/>
        <v>0</v>
      </c>
      <c r="H9" s="10" t="str">
        <f t="shared" si="1"/>
        <v>BANQUE</v>
      </c>
      <c r="I9" s="10">
        <v>5000</v>
      </c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VLOOKUP($A9,[20]TONTAVRIL23!$A$6:$P$35,12,0)</f>
        <v>0</v>
      </c>
      <c r="Q9" s="2"/>
      <c r="R9" s="2">
        <f>VLOOKUP($A9,[19]TONTAVRIL23!$A$6:$P$21,10,0)</f>
        <v>0</v>
      </c>
      <c r="S9" s="20"/>
      <c r="T9" s="12"/>
      <c r="U9" s="17">
        <f t="shared" si="15"/>
        <v>145000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>
        <v>22500</v>
      </c>
      <c r="AJ9" s="12"/>
      <c r="AK9" s="12"/>
      <c r="AL9" s="12">
        <v>500</v>
      </c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20000</v>
      </c>
      <c r="AT9" s="12"/>
      <c r="AV9" s="15"/>
      <c r="AW9" s="15">
        <f t="shared" si="9"/>
        <v>22500</v>
      </c>
      <c r="AX9" s="15">
        <f t="shared" si="10"/>
        <v>0</v>
      </c>
      <c r="AY9" s="15">
        <f t="shared" si="11"/>
        <v>0</v>
      </c>
      <c r="AZ9" s="16">
        <f t="shared" si="12"/>
        <v>22500</v>
      </c>
      <c r="BA9" s="58">
        <v>22500</v>
      </c>
      <c r="BB9" s="58"/>
      <c r="BC9" s="15"/>
      <c r="BD9" s="57">
        <f t="shared" si="13"/>
        <v>0</v>
      </c>
      <c r="BE9" s="82"/>
      <c r="BF9" s="29">
        <f t="shared" si="6"/>
        <v>0</v>
      </c>
      <c r="BG9" s="29">
        <v>8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9">
        <f t="shared" si="0"/>
        <v>-70000</v>
      </c>
      <c r="D10" s="9">
        <f>VLOOKUP(A10,[18]HISTOBQUEAVRIL23!$A$6:$G$44,3,0)</f>
        <v>0</v>
      </c>
      <c r="E10" s="9">
        <f>VLOOKUP(A10,[18]HISTOBQUEAVRIL23!$A$6:$G$39,4,0)</f>
        <v>43000</v>
      </c>
      <c r="F10" s="9">
        <f>VLOOKUP(A10,[18]HISTOBQUEAVRIL23!$A$6:$G$39,5,0)</f>
        <v>0</v>
      </c>
      <c r="G10" s="5">
        <f t="shared" si="7"/>
        <v>3000</v>
      </c>
      <c r="H10" s="10" t="str">
        <f t="shared" si="1"/>
        <v>ESPECES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VLOOKUP($A10,[20]TONTAVRIL23!$A$6:$P$35,12,0)</f>
        <v>0</v>
      </c>
      <c r="Q10" s="2"/>
      <c r="R10" s="2"/>
      <c r="S10" s="20"/>
      <c r="T10" s="12"/>
      <c r="U10" s="17">
        <f t="shared" si="15"/>
        <v>43000</v>
      </c>
      <c r="V10" s="12"/>
      <c r="W10" s="12"/>
      <c r="X10" s="12"/>
      <c r="Y10" s="12"/>
      <c r="Z10" s="12"/>
      <c r="AA10" s="12"/>
      <c r="AB10" s="12"/>
      <c r="AC10" s="12">
        <v>11000</v>
      </c>
      <c r="AD10" s="12"/>
      <c r="AE10" s="12"/>
      <c r="AF10" s="12"/>
      <c r="AG10" s="12"/>
      <c r="AH10" s="12"/>
      <c r="AI10" s="12">
        <v>60000</v>
      </c>
      <c r="AJ10" s="12"/>
      <c r="AK10" s="12"/>
      <c r="AL10" s="12">
        <v>2000</v>
      </c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349000</v>
      </c>
      <c r="AX10" s="15">
        <f t="shared" si="10"/>
        <v>0</v>
      </c>
      <c r="AY10" s="15">
        <f t="shared" si="11"/>
        <v>0</v>
      </c>
      <c r="AZ10" s="16">
        <f t="shared" si="12"/>
        <v>349000</v>
      </c>
      <c r="BA10" s="58">
        <v>60000</v>
      </c>
      <c r="BB10" s="58">
        <v>70000</v>
      </c>
      <c r="BC10" s="15"/>
      <c r="BD10" s="57">
        <f t="shared" si="13"/>
        <v>219000</v>
      </c>
      <c r="BE10" s="82">
        <v>219000</v>
      </c>
      <c r="BF10" s="29">
        <f t="shared" si="6"/>
        <v>0</v>
      </c>
      <c r="BG10" s="29">
        <v>8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9">
        <f t="shared" si="0"/>
        <v>-157500</v>
      </c>
      <c r="D11" s="9">
        <f>VLOOKUP(A11,[18]HISTOBQUEAVRIL23!$A$6:$G$44,3,0)</f>
        <v>115000</v>
      </c>
      <c r="E11" s="9">
        <f>VLOOKUP(A11,[18]HISTOBQUEAVRIL23!$A$6:$G$39,4,0)</f>
        <v>0</v>
      </c>
      <c r="F11" s="9">
        <f>VLOOKUP(A11,[18]HISTOBQUEAVRIL23!$A$6:$G$39,5,0)+70000</f>
        <v>70000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VLOOKUP($A11,[20]TONTAVRIL23!$A$6:$P$35,12,0)</f>
        <v>0</v>
      </c>
      <c r="Q11" s="2">
        <f>VLOOKUP($A11,[13]TONTAVRIL23!$A$6:$P$20,10,0)</f>
        <v>0</v>
      </c>
      <c r="R11" s="2"/>
      <c r="S11" s="20">
        <v>157500</v>
      </c>
      <c r="T11" s="12"/>
      <c r="U11" s="17">
        <f t="shared" si="15"/>
        <v>272500</v>
      </c>
      <c r="V11" s="12"/>
      <c r="W11" s="12"/>
      <c r="X11" s="12"/>
      <c r="Y11" s="12"/>
      <c r="Z11" s="12">
        <v>1000000</v>
      </c>
      <c r="AA11" s="12" t="s">
        <v>8</v>
      </c>
      <c r="AB11" s="12"/>
      <c r="AC11" s="12">
        <v>10000</v>
      </c>
      <c r="AD11" s="12"/>
      <c r="AE11" s="12"/>
      <c r="AF11" s="12"/>
      <c r="AG11" s="12"/>
      <c r="AH11" s="12"/>
      <c r="AI11" s="12"/>
      <c r="AJ11" s="12">
        <f>50000+100000</f>
        <v>150000</v>
      </c>
      <c r="AK11" s="12"/>
      <c r="AL11" s="12"/>
      <c r="AM11" s="12">
        <v>2000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>IF(AC11=0,AI11,(1*25000*12)+AI11-AC11)-S11</f>
        <v>132500</v>
      </c>
      <c r="AX11" s="15">
        <f t="shared" si="10"/>
        <v>150000</v>
      </c>
      <c r="AY11" s="15">
        <f t="shared" si="11"/>
        <v>0</v>
      </c>
      <c r="AZ11" s="16">
        <f t="shared" si="12"/>
        <v>1132500</v>
      </c>
      <c r="BA11" s="58"/>
      <c r="BB11" s="58">
        <v>70000</v>
      </c>
      <c r="BC11" s="15"/>
      <c r="BD11" s="71">
        <f>IF(AZ11=0,(AZ11-BA11-BC11),(AZ11-BA11-BB11-BC11))+F11</f>
        <v>1132500</v>
      </c>
      <c r="BE11" s="82">
        <f>62500+150000+920000</f>
        <v>1132500</v>
      </c>
      <c r="BF11" s="29">
        <f t="shared" si="6"/>
        <v>80000</v>
      </c>
      <c r="BG11" s="29">
        <v>8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VLOOKUP(A12,[18]HISTOBQUEAVRIL23!$A$6:$G$44,3,0)</f>
        <v>320000</v>
      </c>
      <c r="E12" s="9">
        <f>VLOOKUP(A12,[18]HISTOBQUEAVRIL23!$A$6:$G$39,4,0)</f>
        <v>0</v>
      </c>
      <c r="F12" s="9">
        <f>VLOOKUP(A12,[18]HISTOBQUEAVRIL23!$A$6:$G$39,5,0)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VLOOKUP($A12,[20]TONTAVRIL23!$A$6:$P$35,12,0)</f>
        <v>0</v>
      </c>
      <c r="Q12" s="2">
        <f>VLOOKUP($A12,[13]TONTAVRIL23!$A$6:$P$20,10,0)</f>
        <v>0</v>
      </c>
      <c r="R12" s="2">
        <f>VLOOKUP($A12,[19]TONTAVRIL23!$A$6:$P$21,10,0)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0</v>
      </c>
      <c r="BA12" s="58"/>
      <c r="BB12" s="58"/>
      <c r="BC12" s="15"/>
      <c r="BD12" s="57">
        <f t="shared" si="13"/>
        <v>0</v>
      </c>
      <c r="BE12" s="82">
        <f>BD11-BE11</f>
        <v>0</v>
      </c>
      <c r="BF12" s="29">
        <f t="shared" si="6"/>
        <v>0</v>
      </c>
      <c r="BG12" s="29">
        <v>8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VLOOKUP(A13,[18]HISTOBQUEAVRIL23!$A$6:$G$44,3,0)</f>
        <v>40000</v>
      </c>
      <c r="E13" s="9">
        <f>VLOOKUP(A13,[18]HISTOBQUEAVRIL23!$A$6:$G$39,4,0)</f>
        <v>0</v>
      </c>
      <c r="F13" s="9">
        <f>VLOOKUP(A13,[18]HISTOBQUEAVRIL23!$A$6:$G$39,5,0)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VLOOKUP($A13,[20]TONTAVRIL23!$A$6:$P$35,12,0)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8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VLOOKUP(A14,[18]HISTOBQUEAVRIL23!$A$6:$G$44,3,0)</f>
        <v>40000</v>
      </c>
      <c r="E14" s="9">
        <f>VLOOKUP(A14,[18]HISTOBQUEAVRIL23!$A$6:$G$39,4,0)</f>
        <v>0</v>
      </c>
      <c r="F14" s="9">
        <f>VLOOKUP(A14,[18]HISTOBQUEAVRIL23!$A$6:$G$39,5,0)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VLOOKUP($A14,[20]TONTAVRIL23!$A$6:$P$35,12,0)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8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VLOOKUP(A15,[18]HISTOBQUEAVRIL23!$A$6:$G$44,3,0)</f>
        <v>115000</v>
      </c>
      <c r="E15" s="9">
        <f>VLOOKUP(A15,[18]HISTOBQUEAVRIL23!$A$6:$G$39,4,0)</f>
        <v>0</v>
      </c>
      <c r="F15" s="9">
        <f>VLOOKUP(A15,[18]HISTOBQUEAVRIL23!$A$6:$G$39,5,0)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VLOOKUP($A15,[20]TONTAVRIL23!$A$6:$P$35,12,0)</f>
        <v>0</v>
      </c>
      <c r="Q15" s="2">
        <f>VLOOKUP($A15,[13]TONTMARS23!$A$6:$P$20,10,0)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8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VLOOKUP(A16,[18]HISTOBQUEAVRIL23!$A$6:$G$44,3,0)-101000</f>
        <v>415000</v>
      </c>
      <c r="E16" s="9">
        <f>VLOOKUP(A16,[18]HISTOBQUEAVRIL23!$A$6:$G$39,4,0)</f>
        <v>0</v>
      </c>
      <c r="F16" s="9">
        <f>VLOOKUP(A16,[18]HISTOBQUEAVRIL23!$A$6:$G$39,5,0)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VLOOKUP($A16,[20]TONTAVRIL23!$A$6:$P$35,12,0)</f>
        <v>0</v>
      </c>
      <c r="Q16" s="2">
        <f>VLOOKUP($A16,[13]TONTMARS23!$A$6:$P$20,10,0)</f>
        <v>0</v>
      </c>
      <c r="R16" s="2">
        <f>VLOOKUP($A16,[19]TONTAVRIL23!$A$6:$P$21,10,0)</f>
        <v>165000</v>
      </c>
      <c r="S16" s="20"/>
      <c r="T16" s="12"/>
      <c r="U16" s="17">
        <f t="shared" si="15"/>
        <v>415000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57">
        <f t="shared" si="13"/>
        <v>0</v>
      </c>
      <c r="BE16" s="82"/>
      <c r="BF16" s="29">
        <f t="shared" si="6"/>
        <v>0</v>
      </c>
      <c r="BG16" s="29">
        <v>8</v>
      </c>
      <c r="BH16" s="15"/>
      <c r="BI16" s="15"/>
      <c r="BJ16" s="15"/>
      <c r="BK16" s="15"/>
      <c r="BL16" s="61"/>
      <c r="BN16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VLOOKUP(A17,[18]HISTOBQUEAVRIL23!$A$6:$G$44,3,0)+101000</f>
        <v>342000</v>
      </c>
      <c r="E17" s="9">
        <f>VLOOKUP(A17,[18]HISTOBQUEAVRIL23!$A$6:$G$39,4,0)</f>
        <v>0</v>
      </c>
      <c r="F17" s="9">
        <f>VLOOKUP(A17,[18]HISTOBQUEAVRIL23!$A$6:$G$39,5,0)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VLOOKUP($A17,[20]TONTAVRIL23!$A$6:$P$35,12,0)</f>
        <v>0</v>
      </c>
      <c r="Q17" s="2"/>
      <c r="R17" s="2">
        <f>VLOOKUP($A17,[19]TONTAVRIL23!$A$6:$P$21,10,0)</f>
        <v>202000</v>
      </c>
      <c r="S17" s="20"/>
      <c r="T17" s="12"/>
      <c r="U17" s="17">
        <f t="shared" si="15"/>
        <v>342000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8</v>
      </c>
      <c r="BH17" s="15"/>
      <c r="BI17" s="15"/>
      <c r="BJ17" s="15"/>
      <c r="BK17" s="15"/>
      <c r="BL17" s="61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>D18+E18+F18-U18-BB18</f>
        <v>0</v>
      </c>
      <c r="D18" s="9">
        <f>VLOOKUP(A18,[18]HISTOBQUEAVRIL23!$A$6:$G$44,3,0)</f>
        <v>419000</v>
      </c>
      <c r="E18" s="9">
        <f>VLOOKUP(A18,[18]HISTOBQUEAVRIL23!$A$6:$G$39,4,0)</f>
        <v>0</v>
      </c>
      <c r="F18" s="9">
        <f>VLOOKUP(A18,[18]HISTOBQUEAVRIL23!$A$6:$G$39,5,0)</f>
        <v>0</v>
      </c>
      <c r="G18" s="5">
        <f t="shared" si="7"/>
        <v>0</v>
      </c>
      <c r="H18" s="10" t="str">
        <f t="shared" si="1"/>
        <v>BANQUE</v>
      </c>
      <c r="I18" s="10">
        <v>2000</v>
      </c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VLOOKUP($A18,[20]TONTAVRIL23!$A$6:$P$35,12,0)</f>
        <v>0</v>
      </c>
      <c r="Q18" s="2">
        <f>VLOOKUP($A18,[13]TONTAVRIL23!$A$6:$P$20,10,0)</f>
        <v>0</v>
      </c>
      <c r="R18" s="2">
        <f>VLOOKUP($A18,[19]TONTAVRIL23!$A$6:$P$21,10,0)</f>
        <v>202000</v>
      </c>
      <c r="S18" s="20"/>
      <c r="T18" s="12"/>
      <c r="U18" s="17">
        <f t="shared" si="15"/>
        <v>419000</v>
      </c>
      <c r="V18" s="12"/>
      <c r="W18" s="12"/>
      <c r="X18" s="12"/>
      <c r="Y18" s="12"/>
      <c r="Z18" s="12"/>
      <c r="AA18" s="12"/>
      <c r="AB18" s="12"/>
      <c r="AC18" s="12"/>
      <c r="AD18" s="12">
        <v>13000</v>
      </c>
      <c r="AE18" s="12"/>
      <c r="AF18" s="12"/>
      <c r="AG18" s="12"/>
      <c r="AH18" s="12"/>
      <c r="AI18" s="12"/>
      <c r="AJ18" s="12">
        <v>100000</v>
      </c>
      <c r="AK18" s="12"/>
      <c r="AL18" s="12"/>
      <c r="AM18" s="12">
        <v>1000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17000</v>
      </c>
      <c r="AT18" s="12"/>
      <c r="AV18" s="15"/>
      <c r="AW18" s="15">
        <f t="shared" si="9"/>
        <v>0</v>
      </c>
      <c r="AX18" s="15">
        <f>IF(AD18=0,AJ18,(1*75000*12)+(AJ18)-AD18)</f>
        <v>987000</v>
      </c>
      <c r="AY18" s="15">
        <f t="shared" si="11"/>
        <v>0</v>
      </c>
      <c r="AZ18" s="16">
        <f>SUM(AV18:AY18)-BF18+Z18-F18+BH18+BI18+BJ18+BK18+BL18+BM18-887000</f>
        <v>100000</v>
      </c>
      <c r="BA18" s="58"/>
      <c r="BB18" s="58"/>
      <c r="BC18" s="15"/>
      <c r="BD18" s="57">
        <f t="shared" si="13"/>
        <v>100000</v>
      </c>
      <c r="BE18" s="82">
        <v>100000</v>
      </c>
      <c r="BF18" s="29">
        <f t="shared" si="6"/>
        <v>0</v>
      </c>
      <c r="BG18" s="29">
        <v>8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9">
        <f t="shared" si="0"/>
        <v>-1000000</v>
      </c>
      <c r="D19" s="9">
        <f>VLOOKUP(A19,[18]HISTOBQUEAVRIL23!$A$6:$G$44,3,0)</f>
        <v>40000</v>
      </c>
      <c r="E19" s="9">
        <f>VLOOKUP(A19,[18]HISTOBQUEAVRIL23!$A$6:$G$39,4,0)</f>
        <v>0</v>
      </c>
      <c r="F19" s="9">
        <f>VLOOKUP(A19,[18]HISTOBQUEAVRIL23!$A$6:$G$39,5,0)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VLOOKUP($A19,[20]TONTAVRIL23!$A$6:$P$35,12,0)</f>
        <v>0</v>
      </c>
      <c r="Q19" s="2"/>
      <c r="R19" s="2"/>
      <c r="S19" s="20">
        <v>1000000</v>
      </c>
      <c r="T19" s="12" t="s">
        <v>8</v>
      </c>
      <c r="U19" s="17">
        <f t="shared" si="15"/>
        <v>1040000</v>
      </c>
      <c r="V19" s="12"/>
      <c r="W19" s="12"/>
      <c r="X19" s="12"/>
      <c r="Y19" s="12"/>
      <c r="Z19" s="12">
        <v>300000</v>
      </c>
      <c r="AA19" s="12" t="s">
        <v>8</v>
      </c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>SUM(AV19:AY19)-BF19+Z19-F19+BH19+BI19+BJ19+BK19+BL19+BM19-113000</f>
        <v>175000</v>
      </c>
      <c r="BA19" s="58"/>
      <c r="BB19" s="58"/>
      <c r="BC19" s="15"/>
      <c r="BD19" s="57">
        <f t="shared" si="13"/>
        <v>175000</v>
      </c>
      <c r="BE19" s="82">
        <v>175000</v>
      </c>
      <c r="BF19" s="29">
        <f t="shared" si="6"/>
        <v>12000</v>
      </c>
      <c r="BG19" s="29">
        <v>4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VLOOKUP(A20,[18]HISTOBQUEAVRIL23!$A$6:$G$44,3,0)</f>
        <v>422000</v>
      </c>
      <c r="E20" s="9">
        <f>VLOOKUP(A20,[18]HISTOBQUEAVRIL23!$A$6:$G$39,4,0)</f>
        <v>0</v>
      </c>
      <c r="F20" s="9">
        <f>VLOOKUP(A20,[18]HISTOBQUEAVRIL23!$A$6:$G$39,5,0)</f>
        <v>0</v>
      </c>
      <c r="G20" s="5">
        <f t="shared" si="7"/>
        <v>0</v>
      </c>
      <c r="H20" s="10" t="str">
        <f t="shared" si="1"/>
        <v>BANQUE</v>
      </c>
      <c r="I20" s="10">
        <v>5000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VLOOKUP($A20,[20]TONTAVRIL23!$A$6:$P$35,12,0)</f>
        <v>0</v>
      </c>
      <c r="Q20" s="2">
        <f>VLOOKUP($A20,[13]TONTAVRIL23!$A$6:$P$20,10,0)</f>
        <v>0</v>
      </c>
      <c r="R20" s="2">
        <f>VLOOKUP($A20,[19]TONTAVRIL23!$A$6:$P$21,10,0)</f>
        <v>202000</v>
      </c>
      <c r="S20" s="20"/>
      <c r="T20" s="12"/>
      <c r="U20" s="17">
        <f t="shared" si="15"/>
        <v>422000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20000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0</v>
      </c>
      <c r="BA20" s="58"/>
      <c r="BB20" s="58"/>
      <c r="BC20" s="15"/>
      <c r="BD20" s="57">
        <f t="shared" si="13"/>
        <v>0</v>
      </c>
      <c r="BE20" s="82"/>
      <c r="BF20" s="29">
        <f t="shared" si="6"/>
        <v>0</v>
      </c>
      <c r="BG20" s="29">
        <v>8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VLOOKUP(A21,[18]HISTOBQUEAVRIL23!$A$6:$G$44,3,0)</f>
        <v>40000</v>
      </c>
      <c r="E21" s="9">
        <f>VLOOKUP(A21,[18]HISTOBQUEAVRIL23!$A$6:$G$39,4,0)</f>
        <v>0</v>
      </c>
      <c r="F21" s="9">
        <f>VLOOKUP(A21,[18]HISTOBQUEAVRIL23!$A$6:$G$39,5,0)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VLOOKUP($A21,[20]TONTAVRIL23!$A$6:$P$35,12,0)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8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VLOOKUP(A22,[18]HISTOBQUEAVRIL23!$A$6:$G$44,3,0)</f>
        <v>115000</v>
      </c>
      <c r="E22" s="9">
        <f>VLOOKUP(A22,[18]HISTOBQUEAVRIL23!$A$6:$G$39,4,0)</f>
        <v>0</v>
      </c>
      <c r="F22" s="9">
        <f>VLOOKUP(A22,[18]HISTOBQUEAVRIL23!$A$6:$G$39,5,0)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VLOOKUP($A22,[20]TONTAVRIL23!$A$6:$P$35,12,0)</f>
        <v>0</v>
      </c>
      <c r="Q22" s="2">
        <f>VLOOKUP($A22,[13]TONTAVRIL23!$A$6:$P$20,10,0)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8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VLOOKUP(A23,[18]HISTOBQUEAVRIL23!$A$6:$G$44,3,0)</f>
        <v>452000</v>
      </c>
      <c r="E23" s="9">
        <f>VLOOKUP(A23,[18]HISTOBQUEAVRIL23!$A$6:$G$39,4,0)</f>
        <v>0</v>
      </c>
      <c r="F23" s="9">
        <f>VLOOKUP(A23,[18]HISTOBQUEAVRIL23!$A$6:$G$39,5,0)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VLOOKUP($A23,[20]TONTAVRIL23!$A$6:$P$35,12,0)</f>
        <v>0</v>
      </c>
      <c r="Q23" s="2"/>
      <c r="R23" s="2">
        <f>VLOOKUP($A23,[19]TONTAVRIL23!$A$6:$P$21,10,0)</f>
        <v>202000</v>
      </c>
      <c r="S23" s="20"/>
      <c r="T23" s="12"/>
      <c r="U23" s="17">
        <f t="shared" si="15"/>
        <v>452000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8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VLOOKUP(A24,[18]HISTOBQUEAVRIL23!$A$6:$G$44,3,0)</f>
        <v>220000</v>
      </c>
      <c r="E24" s="9">
        <f>VLOOKUP(A24,[18]HISTOBQUEAVRIL23!$A$6:$G$39,4,0)</f>
        <v>0</v>
      </c>
      <c r="F24" s="9">
        <f>VLOOKUP(A24,[18]HISTOBQUEAVRIL23!$A$6:$G$39,5,0)</f>
        <v>0</v>
      </c>
      <c r="G24" s="5">
        <f t="shared" si="7"/>
        <v>0</v>
      </c>
      <c r="H24" s="10" t="str">
        <f t="shared" si="1"/>
        <v>BANQUE</v>
      </c>
      <c r="I24" s="10">
        <v>5000</v>
      </c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VLOOKUP($A24,[20]TONTAVRIL23!$A$6:$P$35,12,0)</f>
        <v>0</v>
      </c>
      <c r="Q24" s="2">
        <f>VLOOKUP($A24,[13]TONTAVRIL23!$A$6:$P$20,10,0)</f>
        <v>0</v>
      </c>
      <c r="R24" s="2">
        <f>VLOOKUP($A24,[19]TONTAVRIL23!$A$6:$P$21,10,0)</f>
        <v>0</v>
      </c>
      <c r="S24" s="20"/>
      <c r="T24" s="12"/>
      <c r="U24" s="17">
        <f t="shared" si="15"/>
        <v>220000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20000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8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VLOOKUP(A25,[18]HISTOBQUEAVRIL23!$A$6:$G$44,3,0)</f>
        <v>280000</v>
      </c>
      <c r="E25" s="9">
        <f>VLOOKUP(A25,[18]HISTOBQUEAVRIL23!$A$6:$G$39,4,0)</f>
        <v>0</v>
      </c>
      <c r="F25" s="9">
        <f>VLOOKUP(A25,[18]HISTOBQUEAVRIL23!$A$6:$G$39,5,0)</f>
        <v>0</v>
      </c>
      <c r="G25" s="5">
        <f t="shared" si="7"/>
        <v>0</v>
      </c>
      <c r="H25" s="10" t="str">
        <f t="shared" si="1"/>
        <v>BANQUE</v>
      </c>
      <c r="I25" s="10">
        <v>-10000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VLOOKUP($A25,[20]TONTAVRIL23!$A$6:$P$35,12,0)</f>
        <v>0</v>
      </c>
      <c r="Q25" s="2">
        <f>VLOOKUP($A25,[13]TONTAVRIL23!$A$6:$P$20,10,0)</f>
        <v>0</v>
      </c>
      <c r="R25" s="2">
        <f>VLOOKUP($A25,[19]TONTAVRIL23!$A$6:$P$21,10,0)</f>
        <v>0</v>
      </c>
      <c r="S25" s="20"/>
      <c r="T25" s="12"/>
      <c r="U25" s="17">
        <f t="shared" si="15"/>
        <v>280000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>
        <v>20000</v>
      </c>
      <c r="AF25" s="12" t="s">
        <v>8</v>
      </c>
      <c r="AG25" s="12"/>
      <c r="AH25" s="12"/>
      <c r="AI25" s="12"/>
      <c r="AJ25" s="12"/>
      <c r="AK25" s="12">
        <v>93000</v>
      </c>
      <c r="AL25" s="12"/>
      <c r="AM25" s="12"/>
      <c r="AN25" s="12">
        <v>6000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>IF(H25="ECHEC",0,(K25+I25-25000))</f>
        <v>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1273000</v>
      </c>
      <c r="AZ25" s="16">
        <f t="shared" si="12"/>
        <v>1273000</v>
      </c>
      <c r="BA25" s="58"/>
      <c r="BB25" s="58"/>
      <c r="BC25" s="15"/>
      <c r="BD25" s="57">
        <f t="shared" si="13"/>
        <v>1273000</v>
      </c>
      <c r="BE25" s="82">
        <f>1180000+93000</f>
        <v>1273000</v>
      </c>
      <c r="BF25" s="29">
        <f t="shared" si="6"/>
        <v>0</v>
      </c>
      <c r="BG25" s="29">
        <v>8</v>
      </c>
      <c r="BH25" s="15"/>
      <c r="BI25" s="15"/>
      <c r="BJ25" s="15"/>
      <c r="BK25" s="15"/>
      <c r="BL25" s="61"/>
      <c r="BN25" t="s">
        <v>125</v>
      </c>
      <c r="BO25" t="s">
        <v>143</v>
      </c>
      <c r="BP25" s="6"/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VLOOKUP(A26,[18]HISTOBQUEAVRIL23!$A$6:$G$44,3,0)</f>
        <v>0</v>
      </c>
      <c r="E26" s="9">
        <f>VLOOKUP(A26,[18]HISTOBQUEAVRIL23!$A$6:$G$39,4,0)</f>
        <v>43000</v>
      </c>
      <c r="F26" s="9">
        <f>VLOOKUP(A26,[18]HISTOBQUEAVRIL23!$A$6:$G$39,5,0)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VLOOKUP($A26,[20]TONTAVRIL23!$A$6:$P$35,12,0)</f>
        <v>0</v>
      </c>
      <c r="Q26" s="2"/>
      <c r="R26" s="2"/>
      <c r="S26" s="20"/>
      <c r="T26" s="12"/>
      <c r="U26" s="17">
        <f t="shared" si="15"/>
        <v>43000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 t="shared" si="12"/>
        <v>60000</v>
      </c>
      <c r="BA26" s="58">
        <v>60000</v>
      </c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8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VLOOKUP(A27,[18]HISTOBQUEAVRIL23!$A$6:$G$44,3,0)</f>
        <v>50000</v>
      </c>
      <c r="E27" s="9">
        <f>VLOOKUP(A27,[18]HISTOBQUEAVRIL23!$A$6:$G$39,4,0)</f>
        <v>0</v>
      </c>
      <c r="F27" s="9">
        <f>VLOOKUP(A27,[18]HISTOBQUEAVRIL23!$A$6:$G$39,5,0)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VLOOKUP($A27,[20]TONTAVRIL23!$A$6:$P$35,12,0)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8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VLOOKUP(A28,[18]HISTOBQUEAVRIL23!$A$6:$G$44,3,0)</f>
        <v>115000</v>
      </c>
      <c r="E28" s="9">
        <f>VLOOKUP(A28,[18]HISTOBQUEAVRIL23!$A$6:$G$39,4,0)</f>
        <v>0</v>
      </c>
      <c r="F28" s="9">
        <f>VLOOKUP(A28,[18]HISTOBQUEAVRIL23!$A$6:$G$39,5,0)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VLOOKUP($A28,[20]TONTAVRIL23!$A$6:$P$35,12,0)</f>
        <v>0</v>
      </c>
      <c r="Q28" s="2">
        <f>VLOOKUP($A28,[13]TONTAVRIL23!$A$6:$P$20,10,0)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8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9">
        <f t="shared" si="0"/>
        <v>120000</v>
      </c>
      <c r="D29" s="9">
        <f>VLOOKUP(A29,[18]HISTOBQUEAVRIL23!$A$6:$G$44,3,0)</f>
        <v>160000</v>
      </c>
      <c r="E29" s="9">
        <f>VLOOKUP(A29,[18]HISTOBQUEAVRIL23!$A$6:$G$39,4,0)</f>
        <v>0</v>
      </c>
      <c r="F29" s="9">
        <f>VLOOKUP(A29,[18]HISTOBQUEAVRIL23!$A$6:$G$39,5,0)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VLOOKUP($A29,[20]TONTAVRIL23!$A$6:$P$35,12,0)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>
        <v>120000</v>
      </c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8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VLOOKUP(A30,[18]HISTOBQUEAVRIL23!$A$6:$G$44,3,0)</f>
        <v>115000</v>
      </c>
      <c r="E30" s="9">
        <f>VLOOKUP(A30,[18]HISTOBQUEAVRIL23!$A$6:$G$39,4,0)</f>
        <v>0</v>
      </c>
      <c r="F30" s="9">
        <f>VLOOKUP(A30,[18]HISTOBQUEAVRIL23!$A$6:$G$39,5,0)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VLOOKUP($A30,[20]TONTAVRIL23!$A$6:$P$35,12,0)</f>
        <v>0</v>
      </c>
      <c r="Q30" s="2">
        <f>VLOOKUP($A30,[13]TONTAVRIL23!$A$6:$P$20,10,0)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8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VLOOKUP(A31,[18]HISTOBQUEAVRIL23!$A$6:$G$44,3,0)</f>
        <v>140000</v>
      </c>
      <c r="E31" s="9">
        <f>VLOOKUP(A31,[18]HISTOBQUEAVRIL23!$A$6:$G$39,4,0)</f>
        <v>0</v>
      </c>
      <c r="F31" s="9">
        <f>VLOOKUP(A31,[18]HISTOBQUEAVRIL23!$A$6:$G$39,5,0)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VLOOKUP($A31,[20]TONTAVRIL23!$A$6:$P$35,12,0)</f>
        <v>0</v>
      </c>
      <c r="Q31" s="2"/>
      <c r="R31" s="2">
        <f>VLOOKUP($A31,[19]TONTAVRIL23!$A$6:$P$21,10,0)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8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9">
        <f t="shared" si="0"/>
        <v>-200000</v>
      </c>
      <c r="D32" s="9">
        <f>VLOOKUP(A32,[18]HISTOBQUEAVRIL23!$A$6:$G$44,3,0)</f>
        <v>115000</v>
      </c>
      <c r="E32" s="9">
        <f>VLOOKUP(A32,[18]HISTOBQUEAVRIL23!$A$6:$G$39,4,0)</f>
        <v>0</v>
      </c>
      <c r="F32" s="9">
        <f>VLOOKUP(A32,[18]HISTOBQUEAVRIL23!$A$6:$G$39,5,0)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VLOOKUP($A32,[20]TONTAVRIL23!$A$6:$P$35,12,0)</f>
        <v>0</v>
      </c>
      <c r="Q32" s="2">
        <f>VLOOKUP($A32,[13]TONTAVRIL23!$A$6:$P$20,10,0)</f>
        <v>0</v>
      </c>
      <c r="R32" s="2"/>
      <c r="S32" s="20">
        <v>200000</v>
      </c>
      <c r="T32" s="12" t="s">
        <v>8</v>
      </c>
      <c r="U32" s="17">
        <f t="shared" si="15"/>
        <v>315000</v>
      </c>
      <c r="V32" s="12"/>
      <c r="W32" s="12"/>
      <c r="X32" s="12"/>
      <c r="Y32" s="12"/>
      <c r="Z32" s="12">
        <v>700000</v>
      </c>
      <c r="AA32" s="12" t="s">
        <v>8</v>
      </c>
      <c r="AB32" s="12"/>
      <c r="AC32" s="12"/>
      <c r="AD32" s="12"/>
      <c r="AE32" s="12"/>
      <c r="AF32" s="12"/>
      <c r="AG32" s="12"/>
      <c r="AH32" s="12"/>
      <c r="AI32" s="12"/>
      <c r="AJ32" s="12">
        <f>50000+88000</f>
        <v>138000</v>
      </c>
      <c r="AK32" s="12"/>
      <c r="AL32" s="12"/>
      <c r="AM32" s="12">
        <v>2000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138000</v>
      </c>
      <c r="AY32" s="15">
        <f t="shared" si="11"/>
        <v>0</v>
      </c>
      <c r="AZ32" s="16">
        <f>SUM(AV32:AY32)-BF32+Z32-F32+BH32+BI32+BJ32+BK32+BL32+BM32-200000</f>
        <v>596000</v>
      </c>
      <c r="BA32" s="58">
        <v>86500</v>
      </c>
      <c r="BB32" s="58"/>
      <c r="BC32" s="15"/>
      <c r="BD32" s="57">
        <f t="shared" si="13"/>
        <v>509500</v>
      </c>
      <c r="BE32" s="82">
        <f>51500+458000</f>
        <v>509500</v>
      </c>
      <c r="BF32" s="29">
        <f t="shared" si="6"/>
        <v>42000</v>
      </c>
      <c r="BG32" s="29">
        <v>6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VLOOKUP(A33,[18]HISTOBQUEAVRIL23!$A$6:$G$44,3,0)</f>
        <v>0</v>
      </c>
      <c r="E33" s="9">
        <f>VLOOKUP(A33,[18]HISTOBQUEAVRIL23!$A$6:$G$39,4,0)</f>
        <v>43000</v>
      </c>
      <c r="F33" s="9">
        <f>VLOOKUP(A33,[18]HISTOBQUEAVRIL23!$A$6:$G$39,5,0)</f>
        <v>0</v>
      </c>
      <c r="G33" s="5">
        <f t="shared" si="7"/>
        <v>3000</v>
      </c>
      <c r="H33" s="10" t="str">
        <f t="shared" si="1"/>
        <v>ESPECES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VLOOKUP($A33,[20]TONTAVRIL23!$A$6:$P$35,12,0)</f>
        <v>0</v>
      </c>
      <c r="Q33" s="2"/>
      <c r="R33" s="2"/>
      <c r="S33" s="20"/>
      <c r="T33" s="12"/>
      <c r="U33" s="17">
        <f t="shared" si="15"/>
        <v>43000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8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VLOOKUP(A34,[18]HISTOBQUEAVRIL23!$A$6:$G$44,3,0)</f>
        <v>0</v>
      </c>
      <c r="E34" s="9">
        <f>VLOOKUP(A34,[18]HISTOBQUEAVRIL23!$A$6:$G$39,4,0)</f>
        <v>100000</v>
      </c>
      <c r="F34" s="9">
        <f>VLOOKUP(A34,[18]HISTOBQUEAVRIL23!$A$6:$G$39,5,0)</f>
        <v>0</v>
      </c>
      <c r="G34" s="5">
        <f t="shared" si="7"/>
        <v>3000</v>
      </c>
      <c r="H34" s="10" t="str">
        <f t="shared" si="1"/>
        <v>ESPECES</v>
      </c>
      <c r="I34" s="10">
        <v>57000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VLOOKUP($A34,[20]TONTAVRIL23!$A$6:$P$35,12,0)</f>
        <v>0</v>
      </c>
      <c r="Q34" s="2"/>
      <c r="R34" s="2"/>
      <c r="S34" s="20"/>
      <c r="T34" s="12"/>
      <c r="U34" s="17">
        <f t="shared" si="15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72000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8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VLOOKUP(A35,[18]HISTOBQUEAVRIL23!$A$6:$G$44,3,0)</f>
        <v>0</v>
      </c>
      <c r="E35" s="9">
        <f>VLOOKUP(A35,[18]HISTOBQUEAVRIL23!$A$6:$G$39,4,0)+40000</f>
        <v>40000</v>
      </c>
      <c r="F35" s="9">
        <f>VLOOKUP(A35,[18]HISTOBQUEAVRIL23!$A$6:$G$39,5,0)</f>
        <v>0</v>
      </c>
      <c r="G35" s="5">
        <v>0</v>
      </c>
      <c r="H35" s="10" t="str">
        <f t="shared" si="1"/>
        <v>ESPECES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VLOOKUP($A35,[20]TONTAVRIL23!$A$6:$P$35,12,0)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>IF(H35="ECHEC",((K35+M35+O35)*20/100),0)+4000</f>
        <v>4000</v>
      </c>
      <c r="AS35" s="13">
        <f>IF(H35="ECHEC",0,(K35+I35-25000))-1000</f>
        <v>14000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8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VLOOKUP(A36,[18]HISTOBQUEAVRIL23!$A$6:$G$44,3,0)</f>
        <v>290000</v>
      </c>
      <c r="E36" s="9">
        <f>VLOOKUP(A36,[18]HISTOBQUEAVRIL23!$A$6:$G$39,4,0)</f>
        <v>0</v>
      </c>
      <c r="F36" s="9">
        <f>VLOOKUP(A36,[18]HISTOBQUEAVRIL23!$A$6:$G$39,5,0)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VLOOKUP($A36,[20]TONTAVRIL23!$A$6:$P$35,12,0)</f>
        <v>0</v>
      </c>
      <c r="Q36" s="2">
        <f>VLOOKUP($A36,[13]TONTAVRIL23!$A$6:$P$20,10,0)</f>
        <v>0</v>
      </c>
      <c r="R36" s="2">
        <f>VLOOKUP($A36,[19]TONTAVRIL23!$A$6:$P$21,10,0)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>
        <v>1000000</v>
      </c>
      <c r="AA36" s="12" t="s">
        <v>8</v>
      </c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940000</v>
      </c>
      <c r="BA36" s="58"/>
      <c r="BB36" s="58"/>
      <c r="BC36" s="15"/>
      <c r="BD36" s="57">
        <f t="shared" si="13"/>
        <v>940000</v>
      </c>
      <c r="BE36" s="82">
        <v>940000</v>
      </c>
      <c r="BF36" s="29">
        <f t="shared" si="6"/>
        <v>60000</v>
      </c>
      <c r="BG36" s="29">
        <v>6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2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-1307500</v>
      </c>
      <c r="D38" s="5">
        <f t="shared" si="16"/>
        <v>4835000</v>
      </c>
      <c r="E38" s="5">
        <f t="shared" si="16"/>
        <v>269000</v>
      </c>
      <c r="F38" s="5">
        <f t="shared" si="16"/>
        <v>70000</v>
      </c>
      <c r="G38" s="5">
        <f t="shared" si="16"/>
        <v>12000</v>
      </c>
      <c r="H38" s="5">
        <f t="shared" si="16"/>
        <v>0</v>
      </c>
      <c r="I38" s="5">
        <f t="shared" si="16"/>
        <v>124000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0</v>
      </c>
      <c r="Q38" s="5">
        <f t="shared" si="16"/>
        <v>0</v>
      </c>
      <c r="R38" s="5">
        <f t="shared" si="16"/>
        <v>973000</v>
      </c>
      <c r="S38" s="5">
        <f t="shared" si="16"/>
        <v>1357500</v>
      </c>
      <c r="T38" s="5"/>
      <c r="U38" s="5">
        <f t="shared" ref="U38:AA38" si="17">SUM(U6:U37)</f>
        <v>6341500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3500000</v>
      </c>
      <c r="AA38" s="5">
        <f t="shared" si="17"/>
        <v>0</v>
      </c>
      <c r="AB38" s="5"/>
      <c r="AC38" s="5">
        <f>SUM(AC6:AC37)</f>
        <v>21000</v>
      </c>
      <c r="AD38" s="5">
        <f>SUM(AD6:AD37)</f>
        <v>13000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142500</v>
      </c>
      <c r="AJ38" s="5">
        <f t="shared" si="18"/>
        <v>388000</v>
      </c>
      <c r="AK38" s="5">
        <f t="shared" si="18"/>
        <v>93000</v>
      </c>
      <c r="AL38" s="5">
        <f t="shared" si="18"/>
        <v>3500</v>
      </c>
      <c r="AM38" s="5">
        <f t="shared" si="18"/>
        <v>5000</v>
      </c>
      <c r="AN38" s="5">
        <f t="shared" si="18"/>
        <v>6000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4000</v>
      </c>
      <c r="AS38" s="5">
        <f t="shared" si="18"/>
        <v>573000</v>
      </c>
      <c r="AT38" s="5">
        <f t="shared" si="18"/>
        <v>120000</v>
      </c>
      <c r="AU38" s="5">
        <f t="shared" si="18"/>
        <v>0</v>
      </c>
      <c r="AV38" s="5">
        <f t="shared" si="18"/>
        <v>0</v>
      </c>
      <c r="AW38" s="5">
        <f t="shared" si="18"/>
        <v>564000</v>
      </c>
      <c r="AX38" s="5">
        <f t="shared" si="18"/>
        <v>1275000</v>
      </c>
      <c r="AY38" s="5">
        <f t="shared" si="18"/>
        <v>1273000</v>
      </c>
      <c r="AZ38" s="5">
        <f t="shared" si="18"/>
        <v>5244000</v>
      </c>
      <c r="BA38" s="5">
        <f t="shared" si="18"/>
        <v>229000</v>
      </c>
      <c r="BB38" s="5">
        <f t="shared" si="18"/>
        <v>140000</v>
      </c>
      <c r="BC38" s="5">
        <f t="shared" si="18"/>
        <v>0</v>
      </c>
      <c r="BD38" s="5">
        <f t="shared" si="18"/>
        <v>4945000</v>
      </c>
      <c r="BE38" s="5">
        <f t="shared" si="18"/>
        <v>4945000</v>
      </c>
      <c r="BF38" s="5">
        <f>SUM(BF6:BF37)</f>
        <v>204000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D40" s="70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5244000</v>
      </c>
      <c r="D43" s="9">
        <f>SUMIFS(D8:D38,H8:H38,"BANQUE")</f>
        <v>4620000</v>
      </c>
      <c r="F43" s="9">
        <f>E38</f>
        <v>269000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10382000</v>
      </c>
    </row>
  </sheetData>
  <autoFilter ref="A5:AF36"/>
  <mergeCells count="1">
    <mergeCell ref="B4:M4"/>
  </mergeCells>
  <dataValidations disablePrompts="1"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R15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7.85546875" customWidth="1"/>
    <col min="58" max="58" width="15" bestFit="1" customWidth="1"/>
    <col min="63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  <c r="BE4" s="6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VLOOKUP(A6,[18]HISTOBQUEAVRIL23!$A$6:$G$44,3,0)</f>
        <v>175000</v>
      </c>
      <c r="E6" s="9">
        <f>VLOOKUP(A6,[18]HISTOBQUEAVRIL23!$A$6:$G$39,4,0)</f>
        <v>0</v>
      </c>
      <c r="F6" s="9">
        <f>VLOOKUP(A6,[18]HISTOBQUEAVRIL23!$A$6:$G$39,5,0)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VLOOKUP($A6,[13]TONTAVRIL23!$A$6:$P$20,10,0)</f>
        <v>0</v>
      </c>
      <c r="R6" s="2">
        <f>VLOOKUP($A6,[19]TONTAVRIL23!$A$6:$P$21,10,0)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106000</v>
      </c>
      <c r="BF6" s="29">
        <f t="shared" ref="BF6:BF36" si="6">Z6*1/100*BG6</f>
        <v>0</v>
      </c>
      <c r="BG6" s="29">
        <v>8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VLOOKUP(A7,[18]HISTOBQUEAVRIL23!$A$6:$G$44,3,0)</f>
        <v>40000</v>
      </c>
      <c r="E7" s="9">
        <f>VLOOKUP(A7,[18]HISTOBQUEAVRIL23!$A$6:$G$39,4,0)</f>
        <v>0</v>
      </c>
      <c r="F7" s="9">
        <f>VLOOKUP(A7,[18]HISTOBQUEAVRIL23!$A$6:$G$39,5,0)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VLOOKUP($A7,[20]TONTAVRIL23!$A$6:$P$35,12,0)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8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VLOOKUP(A8,[18]HISTOBQUEAVRIL23!$A$6:$G$44,3,0)</f>
        <v>115000</v>
      </c>
      <c r="E8" s="9">
        <f>VLOOKUP(A8,[18]HISTOBQUEAVRIL23!$A$6:$G$39,4,0)</f>
        <v>0</v>
      </c>
      <c r="F8" s="9">
        <f>VLOOKUP(A8,[18]HISTOBQUEAVRIL23!$A$6:$G$39,5,0)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VLOOKUP($A8,[20]TONTAVRIL23!$A$6:$P$35,12,0)</f>
        <v>0</v>
      </c>
      <c r="Q8" s="2">
        <f>VLOOKUP($A8,[13]TONTAVRIL23!$A$6:$P$20,10,0)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>
        <v>500000</v>
      </c>
      <c r="AA8" s="12" t="s">
        <v>8</v>
      </c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490000</v>
      </c>
      <c r="BA8" s="58"/>
      <c r="BB8" s="58"/>
      <c r="BC8" s="15"/>
      <c r="BD8" s="57">
        <f t="shared" si="13"/>
        <v>490000</v>
      </c>
      <c r="BE8" s="82">
        <v>490000</v>
      </c>
      <c r="BF8" s="29">
        <f t="shared" si="6"/>
        <v>10000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VLOOKUP(A9,[18]HISTOBQUEAVRIL23!$A$6:$G$44,3,0)</f>
        <v>145000</v>
      </c>
      <c r="E9" s="9">
        <f>VLOOKUP(A9,[18]HISTOBQUEAVRIL23!$A$6:$G$39,4,0)</f>
        <v>0</v>
      </c>
      <c r="F9" s="9">
        <f>VLOOKUP(A9,[18]HISTOBQUEAVRIL23!$A$6:$G$39,5,0)</f>
        <v>0</v>
      </c>
      <c r="G9" s="5">
        <f t="shared" si="7"/>
        <v>0</v>
      </c>
      <c r="H9" s="10" t="str">
        <f t="shared" si="1"/>
        <v>BANQUE</v>
      </c>
      <c r="I9" s="10">
        <v>5000</v>
      </c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VLOOKUP($A9,[20]TONTAVRIL23!$A$6:$P$35,12,0)</f>
        <v>0</v>
      </c>
      <c r="Q9" s="2"/>
      <c r="R9" s="2">
        <f>VLOOKUP($A9,[19]TONTAVRIL23!$A$6:$P$21,10,0)</f>
        <v>0</v>
      </c>
      <c r="S9" s="20"/>
      <c r="T9" s="12"/>
      <c r="U9" s="17">
        <f t="shared" si="15"/>
        <v>145000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>
        <v>22500</v>
      </c>
      <c r="AJ9" s="12"/>
      <c r="AK9" s="12"/>
      <c r="AL9" s="12">
        <v>500</v>
      </c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20000</v>
      </c>
      <c r="AT9" s="12"/>
      <c r="AV9" s="15"/>
      <c r="AW9" s="15">
        <f t="shared" si="9"/>
        <v>22500</v>
      </c>
      <c r="AX9" s="15">
        <f t="shared" si="10"/>
        <v>0</v>
      </c>
      <c r="AY9" s="15">
        <f t="shared" si="11"/>
        <v>0</v>
      </c>
      <c r="AZ9" s="16">
        <f t="shared" si="12"/>
        <v>22500</v>
      </c>
      <c r="BA9" s="58">
        <v>22500</v>
      </c>
      <c r="BB9" s="58"/>
      <c r="BC9" s="15"/>
      <c r="BD9" s="57">
        <f t="shared" si="13"/>
        <v>0</v>
      </c>
      <c r="BE9" s="82"/>
      <c r="BF9" s="29">
        <f t="shared" si="6"/>
        <v>0</v>
      </c>
      <c r="BG9" s="29">
        <v>8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9">
        <f t="shared" si="0"/>
        <v>-70000</v>
      </c>
      <c r="D10" s="9">
        <f>VLOOKUP(A10,[18]HISTOBQUEAVRIL23!$A$6:$G$44,3,0)</f>
        <v>0</v>
      </c>
      <c r="E10" s="9">
        <f>VLOOKUP(A10,[18]HISTOBQUEAVRIL23!$A$6:$G$39,4,0)</f>
        <v>43000</v>
      </c>
      <c r="F10" s="9">
        <f>VLOOKUP(A10,[18]HISTOBQUEAVRIL23!$A$6:$G$39,5,0)</f>
        <v>0</v>
      </c>
      <c r="G10" s="5">
        <f t="shared" si="7"/>
        <v>3000</v>
      </c>
      <c r="H10" s="10" t="str">
        <f t="shared" si="1"/>
        <v>ESPECES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VLOOKUP($A10,[20]TONTAVRIL23!$A$6:$P$35,12,0)</f>
        <v>0</v>
      </c>
      <c r="Q10" s="2"/>
      <c r="R10" s="2"/>
      <c r="S10" s="20"/>
      <c r="T10" s="12"/>
      <c r="U10" s="17">
        <f t="shared" si="15"/>
        <v>43000</v>
      </c>
      <c r="V10" s="12"/>
      <c r="W10" s="12"/>
      <c r="X10" s="12"/>
      <c r="Y10" s="12"/>
      <c r="Z10" s="12"/>
      <c r="AA10" s="12"/>
      <c r="AB10" s="12"/>
      <c r="AC10" s="12">
        <v>11000</v>
      </c>
      <c r="AD10" s="12"/>
      <c r="AE10" s="12"/>
      <c r="AF10" s="12"/>
      <c r="AG10" s="12"/>
      <c r="AH10" s="12"/>
      <c r="AI10" s="12">
        <v>60000</v>
      </c>
      <c r="AJ10" s="12"/>
      <c r="AK10" s="12"/>
      <c r="AL10" s="12">
        <v>2000</v>
      </c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349000</v>
      </c>
      <c r="AX10" s="15">
        <f t="shared" si="10"/>
        <v>0</v>
      </c>
      <c r="AY10" s="15">
        <f t="shared" si="11"/>
        <v>0</v>
      </c>
      <c r="AZ10" s="16">
        <f t="shared" si="12"/>
        <v>349000</v>
      </c>
      <c r="BA10" s="58">
        <v>60000</v>
      </c>
      <c r="BB10" s="58">
        <v>70000</v>
      </c>
      <c r="BC10" s="15"/>
      <c r="BD10" s="57">
        <f t="shared" si="13"/>
        <v>219000</v>
      </c>
      <c r="BE10" s="82">
        <v>219000</v>
      </c>
      <c r="BF10" s="29">
        <f t="shared" si="6"/>
        <v>0</v>
      </c>
      <c r="BG10" s="29">
        <v>8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9">
        <f t="shared" si="0"/>
        <v>-157500</v>
      </c>
      <c r="D11" s="9">
        <f>VLOOKUP(A11,[18]HISTOBQUEAVRIL23!$A$6:$G$44,3,0)</f>
        <v>115000</v>
      </c>
      <c r="E11" s="9">
        <f>VLOOKUP(A11,[18]HISTOBQUEAVRIL23!$A$6:$G$39,4,0)</f>
        <v>0</v>
      </c>
      <c r="F11" s="9">
        <f>VLOOKUP(A11,[18]HISTOBQUEAVRIL23!$A$6:$G$39,5,0)+70000</f>
        <v>70000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VLOOKUP($A11,[20]TONTAVRIL23!$A$6:$P$35,12,0)</f>
        <v>0</v>
      </c>
      <c r="Q11" s="2">
        <f>VLOOKUP($A11,[13]TONTAVRIL23!$A$6:$P$20,10,0)</f>
        <v>0</v>
      </c>
      <c r="R11" s="2"/>
      <c r="S11" s="20">
        <v>157500</v>
      </c>
      <c r="T11" s="12"/>
      <c r="U11" s="17">
        <f t="shared" si="15"/>
        <v>272500</v>
      </c>
      <c r="V11" s="12"/>
      <c r="W11" s="12"/>
      <c r="X11" s="12"/>
      <c r="Y11" s="12"/>
      <c r="Z11" s="12">
        <v>1000000</v>
      </c>
      <c r="AA11" s="12" t="s">
        <v>8</v>
      </c>
      <c r="AB11" s="12"/>
      <c r="AC11" s="12">
        <v>10000</v>
      </c>
      <c r="AD11" s="12"/>
      <c r="AE11" s="12"/>
      <c r="AF11" s="12"/>
      <c r="AG11" s="12"/>
      <c r="AH11" s="12"/>
      <c r="AI11" s="12"/>
      <c r="AJ11" s="12">
        <f>50000+100000</f>
        <v>150000</v>
      </c>
      <c r="AK11" s="12"/>
      <c r="AL11" s="12"/>
      <c r="AM11" s="12">
        <v>2000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>IF(AC11=0,AI11,(1*25000*12)+AI11-AC11)-S11</f>
        <v>132500</v>
      </c>
      <c r="AX11" s="15">
        <f t="shared" si="10"/>
        <v>150000</v>
      </c>
      <c r="AY11" s="15">
        <f t="shared" si="11"/>
        <v>0</v>
      </c>
      <c r="AZ11" s="16">
        <f t="shared" si="12"/>
        <v>1132500</v>
      </c>
      <c r="BA11" s="58"/>
      <c r="BB11" s="58">
        <v>70000</v>
      </c>
      <c r="BC11" s="15"/>
      <c r="BD11" s="71">
        <f>IF(AZ11=0,(AZ11-BA11-BC11),(AZ11-BA11-BB11-BC11))+F11</f>
        <v>1132500</v>
      </c>
      <c r="BE11" s="82">
        <f>62500+150000+920000</f>
        <v>1132500</v>
      </c>
      <c r="BF11" s="29">
        <f t="shared" si="6"/>
        <v>80000</v>
      </c>
      <c r="BG11" s="29">
        <v>8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VLOOKUP(A12,[18]HISTOBQUEAVRIL23!$A$6:$G$44,3,0)</f>
        <v>320000</v>
      </c>
      <c r="E12" s="9">
        <f>VLOOKUP(A12,[18]HISTOBQUEAVRIL23!$A$6:$G$39,4,0)</f>
        <v>0</v>
      </c>
      <c r="F12" s="9">
        <f>VLOOKUP(A12,[18]HISTOBQUEAVRIL23!$A$6:$G$39,5,0)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VLOOKUP($A12,[20]TONTAVRIL23!$A$6:$P$35,12,0)</f>
        <v>0</v>
      </c>
      <c r="Q12" s="2">
        <f>VLOOKUP($A12,[13]TONTAVRIL23!$A$6:$P$20,10,0)</f>
        <v>0</v>
      </c>
      <c r="R12" s="2">
        <f>VLOOKUP($A12,[19]TONTAVRIL23!$A$6:$P$21,10,0)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0</v>
      </c>
      <c r="BA12" s="58"/>
      <c r="BB12" s="58"/>
      <c r="BC12" s="15"/>
      <c r="BD12" s="57">
        <f t="shared" si="13"/>
        <v>0</v>
      </c>
      <c r="BE12" s="82">
        <f>BD11-BE11</f>
        <v>0</v>
      </c>
      <c r="BF12" s="29">
        <f t="shared" si="6"/>
        <v>0</v>
      </c>
      <c r="BG12" s="29">
        <v>8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VLOOKUP(A13,[18]HISTOBQUEAVRIL23!$A$6:$G$44,3,0)</f>
        <v>40000</v>
      </c>
      <c r="E13" s="9">
        <f>VLOOKUP(A13,[18]HISTOBQUEAVRIL23!$A$6:$G$39,4,0)</f>
        <v>0</v>
      </c>
      <c r="F13" s="9">
        <f>VLOOKUP(A13,[18]HISTOBQUEAVRIL23!$A$6:$G$39,5,0)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VLOOKUP($A13,[20]TONTAVRIL23!$A$6:$P$35,12,0)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8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VLOOKUP(A14,[18]HISTOBQUEAVRIL23!$A$6:$G$44,3,0)</f>
        <v>40000</v>
      </c>
      <c r="E14" s="9">
        <f>VLOOKUP(A14,[18]HISTOBQUEAVRIL23!$A$6:$G$39,4,0)</f>
        <v>0</v>
      </c>
      <c r="F14" s="9">
        <f>VLOOKUP(A14,[18]HISTOBQUEAVRIL23!$A$6:$G$39,5,0)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VLOOKUP($A14,[20]TONTAVRIL23!$A$6:$P$35,12,0)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8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VLOOKUP(A15,[18]HISTOBQUEAVRIL23!$A$6:$G$44,3,0)</f>
        <v>115000</v>
      </c>
      <c r="E15" s="9">
        <f>VLOOKUP(A15,[18]HISTOBQUEAVRIL23!$A$6:$G$39,4,0)</f>
        <v>0</v>
      </c>
      <c r="F15" s="9">
        <f>VLOOKUP(A15,[18]HISTOBQUEAVRIL23!$A$6:$G$39,5,0)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VLOOKUP($A15,[20]TONTAVRIL23!$A$6:$P$35,12,0)</f>
        <v>0</v>
      </c>
      <c r="Q15" s="2">
        <f>VLOOKUP($A15,[13]TONTMARS23!$A$6:$P$20,10,0)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8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VLOOKUP(A16,[18]HISTOBQUEAVRIL23!$A$6:$G$44,3,0)-101000</f>
        <v>415000</v>
      </c>
      <c r="E16" s="9">
        <f>VLOOKUP(A16,[18]HISTOBQUEAVRIL23!$A$6:$G$39,4,0)</f>
        <v>0</v>
      </c>
      <c r="F16" s="9">
        <f>VLOOKUP(A16,[18]HISTOBQUEAVRIL23!$A$6:$G$39,5,0)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VLOOKUP($A16,[20]TONTAVRIL23!$A$6:$P$35,12,0)</f>
        <v>0</v>
      </c>
      <c r="Q16" s="2">
        <f>VLOOKUP($A16,[13]TONTMARS23!$A$6:$P$20,10,0)</f>
        <v>0</v>
      </c>
      <c r="R16" s="2">
        <f>VLOOKUP($A16,[19]TONTAVRIL23!$A$6:$P$21,10,0)</f>
        <v>165000</v>
      </c>
      <c r="S16" s="20"/>
      <c r="T16" s="12"/>
      <c r="U16" s="17">
        <f t="shared" si="15"/>
        <v>415000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57">
        <f t="shared" si="13"/>
        <v>0</v>
      </c>
      <c r="BE16" s="82"/>
      <c r="BF16" s="29">
        <f t="shared" si="6"/>
        <v>0</v>
      </c>
      <c r="BG16" s="29">
        <v>8</v>
      </c>
      <c r="BH16" s="15"/>
      <c r="BI16" s="15"/>
      <c r="BJ16" s="15"/>
      <c r="BK16" s="15"/>
      <c r="BL16" s="61"/>
      <c r="BN16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VLOOKUP(A17,[18]HISTOBQUEAVRIL23!$A$6:$G$44,3,0)+101000</f>
        <v>342000</v>
      </c>
      <c r="E17" s="9">
        <f>VLOOKUP(A17,[18]HISTOBQUEAVRIL23!$A$6:$G$39,4,0)</f>
        <v>0</v>
      </c>
      <c r="F17" s="9">
        <f>VLOOKUP(A17,[18]HISTOBQUEAVRIL23!$A$6:$G$39,5,0)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VLOOKUP($A17,[20]TONTAVRIL23!$A$6:$P$35,12,0)</f>
        <v>0</v>
      </c>
      <c r="Q17" s="2"/>
      <c r="R17" s="2">
        <f>VLOOKUP($A17,[19]TONTAVRIL23!$A$6:$P$21,10,0)</f>
        <v>202000</v>
      </c>
      <c r="S17" s="20"/>
      <c r="T17" s="12"/>
      <c r="U17" s="17">
        <f t="shared" si="15"/>
        <v>342000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8</v>
      </c>
      <c r="BH17" s="15"/>
      <c r="BI17" s="15"/>
      <c r="BJ17" s="15"/>
      <c r="BK17" s="15"/>
      <c r="BL17" s="61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>D18+E18+F18-U18-BB18</f>
        <v>0</v>
      </c>
      <c r="D18" s="9">
        <f>VLOOKUP(A18,[18]HISTOBQUEAVRIL23!$A$6:$G$44,3,0)</f>
        <v>419000</v>
      </c>
      <c r="E18" s="9">
        <f>VLOOKUP(A18,[18]HISTOBQUEAVRIL23!$A$6:$G$39,4,0)</f>
        <v>0</v>
      </c>
      <c r="F18" s="9">
        <f>VLOOKUP(A18,[18]HISTOBQUEAVRIL23!$A$6:$G$39,5,0)</f>
        <v>0</v>
      </c>
      <c r="G18" s="5">
        <f t="shared" si="7"/>
        <v>0</v>
      </c>
      <c r="H18" s="10" t="str">
        <f t="shared" si="1"/>
        <v>BANQUE</v>
      </c>
      <c r="I18" s="10">
        <v>2000</v>
      </c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VLOOKUP($A18,[20]TONTAVRIL23!$A$6:$P$35,12,0)</f>
        <v>0</v>
      </c>
      <c r="Q18" s="2">
        <f>VLOOKUP($A18,[13]TONTAVRIL23!$A$6:$P$20,10,0)</f>
        <v>0</v>
      </c>
      <c r="R18" s="2">
        <f>VLOOKUP($A18,[19]TONTAVRIL23!$A$6:$P$21,10,0)</f>
        <v>202000</v>
      </c>
      <c r="S18" s="20"/>
      <c r="T18" s="12"/>
      <c r="U18" s="17">
        <f t="shared" si="15"/>
        <v>419000</v>
      </c>
      <c r="V18" s="12"/>
      <c r="W18" s="12"/>
      <c r="X18" s="12"/>
      <c r="Y18" s="12"/>
      <c r="Z18" s="12"/>
      <c r="AA18" s="12"/>
      <c r="AB18" s="12"/>
      <c r="AC18" s="12"/>
      <c r="AD18" s="12">
        <v>13000</v>
      </c>
      <c r="AE18" s="12"/>
      <c r="AF18" s="12"/>
      <c r="AG18" s="12"/>
      <c r="AH18" s="12"/>
      <c r="AI18" s="12"/>
      <c r="AJ18" s="12">
        <v>100000</v>
      </c>
      <c r="AK18" s="12"/>
      <c r="AL18" s="12"/>
      <c r="AM18" s="12">
        <v>1000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17000</v>
      </c>
      <c r="AT18" s="12"/>
      <c r="AV18" s="15"/>
      <c r="AW18" s="15">
        <f t="shared" si="9"/>
        <v>0</v>
      </c>
      <c r="AX18" s="15">
        <f>IF(AD18=0,AJ18,(1*75000*12)+(AJ18)-AD18)</f>
        <v>987000</v>
      </c>
      <c r="AY18" s="15">
        <f t="shared" si="11"/>
        <v>0</v>
      </c>
      <c r="AZ18" s="16">
        <f>SUM(AV18:AY18)-BF18+Z18-F18+BH18+BI18+BJ18+BK18+BL18+BM18-887000</f>
        <v>100000</v>
      </c>
      <c r="BA18" s="58"/>
      <c r="BB18" s="58"/>
      <c r="BC18" s="15"/>
      <c r="BD18" s="57">
        <f t="shared" si="13"/>
        <v>100000</v>
      </c>
      <c r="BE18" s="82">
        <v>100000</v>
      </c>
      <c r="BF18" s="29">
        <f t="shared" si="6"/>
        <v>0</v>
      </c>
      <c r="BG18" s="29">
        <v>8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9">
        <f t="shared" si="0"/>
        <v>-1000000</v>
      </c>
      <c r="D19" s="9">
        <f>VLOOKUP(A19,[18]HISTOBQUEAVRIL23!$A$6:$G$44,3,0)</f>
        <v>40000</v>
      </c>
      <c r="E19" s="9">
        <f>VLOOKUP(A19,[18]HISTOBQUEAVRIL23!$A$6:$G$39,4,0)</f>
        <v>0</v>
      </c>
      <c r="F19" s="9">
        <f>VLOOKUP(A19,[18]HISTOBQUEAVRIL23!$A$6:$G$39,5,0)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VLOOKUP($A19,[20]TONTAVRIL23!$A$6:$P$35,12,0)</f>
        <v>0</v>
      </c>
      <c r="Q19" s="2"/>
      <c r="R19" s="2"/>
      <c r="S19" s="20">
        <v>1000000</v>
      </c>
      <c r="T19" s="12" t="s">
        <v>8</v>
      </c>
      <c r="U19" s="17">
        <f t="shared" si="15"/>
        <v>1040000</v>
      </c>
      <c r="V19" s="12"/>
      <c r="W19" s="12"/>
      <c r="X19" s="12"/>
      <c r="Y19" s="12"/>
      <c r="Z19" s="12">
        <v>300000</v>
      </c>
      <c r="AA19" s="12" t="s">
        <v>8</v>
      </c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>SUM(AV19:AY19)-BF19+Z19-F19+BH19+BI19+BJ19+BK19+BL19+BM19-113000</f>
        <v>175000</v>
      </c>
      <c r="BA19" s="58"/>
      <c r="BB19" s="58"/>
      <c r="BC19" s="15"/>
      <c r="BD19" s="57">
        <f t="shared" si="13"/>
        <v>175000</v>
      </c>
      <c r="BE19" s="82">
        <v>175000</v>
      </c>
      <c r="BF19" s="29">
        <f t="shared" si="6"/>
        <v>12000</v>
      </c>
      <c r="BG19" s="29">
        <v>4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VLOOKUP(A20,[18]HISTOBQUEAVRIL23!$A$6:$G$44,3,0)</f>
        <v>422000</v>
      </c>
      <c r="E20" s="9">
        <f>VLOOKUP(A20,[18]HISTOBQUEAVRIL23!$A$6:$G$39,4,0)</f>
        <v>0</v>
      </c>
      <c r="F20" s="9">
        <f>VLOOKUP(A20,[18]HISTOBQUEAVRIL23!$A$6:$G$39,5,0)</f>
        <v>0</v>
      </c>
      <c r="G20" s="5">
        <f t="shared" si="7"/>
        <v>0</v>
      </c>
      <c r="H20" s="10" t="str">
        <f t="shared" si="1"/>
        <v>BANQUE</v>
      </c>
      <c r="I20" s="10">
        <v>5000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VLOOKUP($A20,[20]TONTAVRIL23!$A$6:$P$35,12,0)</f>
        <v>0</v>
      </c>
      <c r="Q20" s="2">
        <f>VLOOKUP($A20,[13]TONTAVRIL23!$A$6:$P$20,10,0)</f>
        <v>0</v>
      </c>
      <c r="R20" s="2">
        <f>VLOOKUP($A20,[19]TONTAVRIL23!$A$6:$P$21,10,0)</f>
        <v>202000</v>
      </c>
      <c r="S20" s="20"/>
      <c r="T20" s="12"/>
      <c r="U20" s="17">
        <f t="shared" si="15"/>
        <v>422000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20000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0</v>
      </c>
      <c r="BA20" s="58"/>
      <c r="BB20" s="58"/>
      <c r="BC20" s="15"/>
      <c r="BD20" s="57">
        <f t="shared" si="13"/>
        <v>0</v>
      </c>
      <c r="BE20" s="82"/>
      <c r="BF20" s="29">
        <f t="shared" si="6"/>
        <v>0</v>
      </c>
      <c r="BG20" s="29">
        <v>8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VLOOKUP(A21,[18]HISTOBQUEAVRIL23!$A$6:$G$44,3,0)</f>
        <v>40000</v>
      </c>
      <c r="E21" s="9">
        <f>VLOOKUP(A21,[18]HISTOBQUEAVRIL23!$A$6:$G$39,4,0)</f>
        <v>0</v>
      </c>
      <c r="F21" s="9">
        <f>VLOOKUP(A21,[18]HISTOBQUEAVRIL23!$A$6:$G$39,5,0)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VLOOKUP($A21,[20]TONTAVRIL23!$A$6:$P$35,12,0)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8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VLOOKUP(A22,[18]HISTOBQUEAVRIL23!$A$6:$G$44,3,0)</f>
        <v>115000</v>
      </c>
      <c r="E22" s="9">
        <f>VLOOKUP(A22,[18]HISTOBQUEAVRIL23!$A$6:$G$39,4,0)</f>
        <v>0</v>
      </c>
      <c r="F22" s="9">
        <f>VLOOKUP(A22,[18]HISTOBQUEAVRIL23!$A$6:$G$39,5,0)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VLOOKUP($A22,[20]TONTAVRIL23!$A$6:$P$35,12,0)</f>
        <v>0</v>
      </c>
      <c r="Q22" s="2">
        <f>VLOOKUP($A22,[13]TONTAVRIL23!$A$6:$P$20,10,0)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8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VLOOKUP(A23,[18]HISTOBQUEAVRIL23!$A$6:$G$44,3,0)</f>
        <v>452000</v>
      </c>
      <c r="E23" s="9">
        <f>VLOOKUP(A23,[18]HISTOBQUEAVRIL23!$A$6:$G$39,4,0)</f>
        <v>0</v>
      </c>
      <c r="F23" s="9">
        <f>VLOOKUP(A23,[18]HISTOBQUEAVRIL23!$A$6:$G$39,5,0)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VLOOKUP($A23,[20]TONTAVRIL23!$A$6:$P$35,12,0)</f>
        <v>0</v>
      </c>
      <c r="Q23" s="2"/>
      <c r="R23" s="2">
        <f>VLOOKUP($A23,[19]TONTAVRIL23!$A$6:$P$21,10,0)</f>
        <v>202000</v>
      </c>
      <c r="S23" s="20"/>
      <c r="T23" s="12"/>
      <c r="U23" s="17">
        <f t="shared" si="15"/>
        <v>452000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8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VLOOKUP(A24,[18]HISTOBQUEAVRIL23!$A$6:$G$44,3,0)</f>
        <v>220000</v>
      </c>
      <c r="E24" s="9">
        <f>VLOOKUP(A24,[18]HISTOBQUEAVRIL23!$A$6:$G$39,4,0)</f>
        <v>0</v>
      </c>
      <c r="F24" s="9">
        <f>VLOOKUP(A24,[18]HISTOBQUEAVRIL23!$A$6:$G$39,5,0)</f>
        <v>0</v>
      </c>
      <c r="G24" s="5">
        <f t="shared" si="7"/>
        <v>0</v>
      </c>
      <c r="H24" s="10" t="str">
        <f t="shared" si="1"/>
        <v>BANQUE</v>
      </c>
      <c r="I24" s="10">
        <v>5000</v>
      </c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VLOOKUP($A24,[20]TONTAVRIL23!$A$6:$P$35,12,0)</f>
        <v>0</v>
      </c>
      <c r="Q24" s="2">
        <f>VLOOKUP($A24,[13]TONTAVRIL23!$A$6:$P$20,10,0)</f>
        <v>0</v>
      </c>
      <c r="R24" s="2">
        <f>VLOOKUP($A24,[19]TONTAVRIL23!$A$6:$P$21,10,0)</f>
        <v>0</v>
      </c>
      <c r="S24" s="20"/>
      <c r="T24" s="12"/>
      <c r="U24" s="17">
        <f t="shared" si="15"/>
        <v>220000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20000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8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VLOOKUP(A25,[18]HISTOBQUEAVRIL23!$A$6:$G$44,3,0)</f>
        <v>280000</v>
      </c>
      <c r="E25" s="9">
        <f>VLOOKUP(A25,[18]HISTOBQUEAVRIL23!$A$6:$G$39,4,0)</f>
        <v>0</v>
      </c>
      <c r="F25" s="9">
        <f>VLOOKUP(A25,[18]HISTOBQUEAVRIL23!$A$6:$G$39,5,0)</f>
        <v>0</v>
      </c>
      <c r="G25" s="5">
        <f t="shared" si="7"/>
        <v>0</v>
      </c>
      <c r="H25" s="10" t="str">
        <f t="shared" si="1"/>
        <v>BANQUE</v>
      </c>
      <c r="I25" s="10">
        <v>-10000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VLOOKUP($A25,[20]TONTAVRIL23!$A$6:$P$35,12,0)</f>
        <v>0</v>
      </c>
      <c r="Q25" s="2">
        <f>VLOOKUP($A25,[13]TONTAVRIL23!$A$6:$P$20,10,0)</f>
        <v>0</v>
      </c>
      <c r="R25" s="2">
        <f>VLOOKUP($A25,[19]TONTAVRIL23!$A$6:$P$21,10,0)</f>
        <v>0</v>
      </c>
      <c r="S25" s="20"/>
      <c r="T25" s="12"/>
      <c r="U25" s="17">
        <f t="shared" si="15"/>
        <v>280000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>
        <v>20000</v>
      </c>
      <c r="AF25" s="12" t="s">
        <v>8</v>
      </c>
      <c r="AG25" s="12"/>
      <c r="AH25" s="12"/>
      <c r="AI25" s="12"/>
      <c r="AJ25" s="12"/>
      <c r="AK25" s="12">
        <v>93000</v>
      </c>
      <c r="AL25" s="12"/>
      <c r="AM25" s="12"/>
      <c r="AN25" s="12">
        <v>6000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>IF(H25="ECHEC",0,(K25+I25-25000))</f>
        <v>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1273000</v>
      </c>
      <c r="AZ25" s="16">
        <f t="shared" si="12"/>
        <v>1273000</v>
      </c>
      <c r="BA25" s="58"/>
      <c r="BB25" s="58"/>
      <c r="BC25" s="15"/>
      <c r="BD25" s="57">
        <f t="shared" si="13"/>
        <v>1273000</v>
      </c>
      <c r="BE25" s="82">
        <f>1180000+93000</f>
        <v>1273000</v>
      </c>
      <c r="BF25" s="29">
        <f t="shared" si="6"/>
        <v>0</v>
      </c>
      <c r="BG25" s="29">
        <v>8</v>
      </c>
      <c r="BH25" s="15"/>
      <c r="BI25" s="15"/>
      <c r="BJ25" s="15"/>
      <c r="BK25" s="15"/>
      <c r="BL25" s="61"/>
      <c r="BN25" t="s">
        <v>125</v>
      </c>
      <c r="BO25" t="s">
        <v>143</v>
      </c>
      <c r="BP25" s="6"/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VLOOKUP(A26,[18]HISTOBQUEAVRIL23!$A$6:$G$44,3,0)</f>
        <v>0</v>
      </c>
      <c r="E26" s="9">
        <f>VLOOKUP(A26,[18]HISTOBQUEAVRIL23!$A$6:$G$39,4,0)</f>
        <v>43000</v>
      </c>
      <c r="F26" s="9">
        <f>VLOOKUP(A26,[18]HISTOBQUEAVRIL23!$A$6:$G$39,5,0)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VLOOKUP($A26,[20]TONTAVRIL23!$A$6:$P$35,12,0)</f>
        <v>0</v>
      </c>
      <c r="Q26" s="2"/>
      <c r="R26" s="2"/>
      <c r="S26" s="20"/>
      <c r="T26" s="12"/>
      <c r="U26" s="17">
        <f t="shared" si="15"/>
        <v>43000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 t="shared" si="12"/>
        <v>60000</v>
      </c>
      <c r="BA26" s="58">
        <v>60000</v>
      </c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8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VLOOKUP(A27,[18]HISTOBQUEAVRIL23!$A$6:$G$44,3,0)</f>
        <v>50000</v>
      </c>
      <c r="E27" s="9">
        <f>VLOOKUP(A27,[18]HISTOBQUEAVRIL23!$A$6:$G$39,4,0)</f>
        <v>0</v>
      </c>
      <c r="F27" s="9">
        <f>VLOOKUP(A27,[18]HISTOBQUEAVRIL23!$A$6:$G$39,5,0)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VLOOKUP($A27,[20]TONTAVRIL23!$A$6:$P$35,12,0)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8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VLOOKUP(A28,[18]HISTOBQUEAVRIL23!$A$6:$G$44,3,0)</f>
        <v>115000</v>
      </c>
      <c r="E28" s="9">
        <f>VLOOKUP(A28,[18]HISTOBQUEAVRIL23!$A$6:$G$39,4,0)</f>
        <v>0</v>
      </c>
      <c r="F28" s="9">
        <f>VLOOKUP(A28,[18]HISTOBQUEAVRIL23!$A$6:$G$39,5,0)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VLOOKUP($A28,[20]TONTAVRIL23!$A$6:$P$35,12,0)</f>
        <v>0</v>
      </c>
      <c r="Q28" s="2">
        <f>VLOOKUP($A28,[13]TONTAVRIL23!$A$6:$P$20,10,0)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8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9">
        <f t="shared" si="0"/>
        <v>120000</v>
      </c>
      <c r="D29" s="9">
        <f>VLOOKUP(A29,[18]HISTOBQUEAVRIL23!$A$6:$G$44,3,0)</f>
        <v>160000</v>
      </c>
      <c r="E29" s="9">
        <f>VLOOKUP(A29,[18]HISTOBQUEAVRIL23!$A$6:$G$39,4,0)</f>
        <v>0</v>
      </c>
      <c r="F29" s="9">
        <f>VLOOKUP(A29,[18]HISTOBQUEAVRIL23!$A$6:$G$39,5,0)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VLOOKUP($A29,[20]TONTAVRIL23!$A$6:$P$35,12,0)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>
        <v>120000</v>
      </c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8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VLOOKUP(A30,[18]HISTOBQUEAVRIL23!$A$6:$G$44,3,0)</f>
        <v>115000</v>
      </c>
      <c r="E30" s="9">
        <f>VLOOKUP(A30,[18]HISTOBQUEAVRIL23!$A$6:$G$39,4,0)</f>
        <v>0</v>
      </c>
      <c r="F30" s="9">
        <f>VLOOKUP(A30,[18]HISTOBQUEAVRIL23!$A$6:$G$39,5,0)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VLOOKUP($A30,[20]TONTAVRIL23!$A$6:$P$35,12,0)</f>
        <v>0</v>
      </c>
      <c r="Q30" s="2">
        <f>VLOOKUP($A30,[13]TONTAVRIL23!$A$6:$P$20,10,0)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8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VLOOKUP(A31,[18]HISTOBQUEAVRIL23!$A$6:$G$44,3,0)</f>
        <v>140000</v>
      </c>
      <c r="E31" s="9">
        <f>VLOOKUP(A31,[18]HISTOBQUEAVRIL23!$A$6:$G$39,4,0)</f>
        <v>0</v>
      </c>
      <c r="F31" s="9">
        <f>VLOOKUP(A31,[18]HISTOBQUEAVRIL23!$A$6:$G$39,5,0)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VLOOKUP($A31,[20]TONTAVRIL23!$A$6:$P$35,12,0)</f>
        <v>0</v>
      </c>
      <c r="Q31" s="2"/>
      <c r="R31" s="2">
        <f>VLOOKUP($A31,[19]TONTAVRIL23!$A$6:$P$21,10,0)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8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9">
        <f t="shared" si="0"/>
        <v>-200000</v>
      </c>
      <c r="D32" s="9">
        <f>VLOOKUP(A32,[18]HISTOBQUEAVRIL23!$A$6:$G$44,3,0)</f>
        <v>115000</v>
      </c>
      <c r="E32" s="9">
        <f>VLOOKUP(A32,[18]HISTOBQUEAVRIL23!$A$6:$G$39,4,0)</f>
        <v>0</v>
      </c>
      <c r="F32" s="9">
        <f>VLOOKUP(A32,[18]HISTOBQUEAVRIL23!$A$6:$G$39,5,0)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VLOOKUP($A32,[20]TONTAVRIL23!$A$6:$P$35,12,0)</f>
        <v>0</v>
      </c>
      <c r="Q32" s="2">
        <f>VLOOKUP($A32,[13]TONTAVRIL23!$A$6:$P$20,10,0)</f>
        <v>0</v>
      </c>
      <c r="R32" s="2"/>
      <c r="S32" s="20">
        <v>200000</v>
      </c>
      <c r="T32" s="12" t="s">
        <v>8</v>
      </c>
      <c r="U32" s="17">
        <f t="shared" si="15"/>
        <v>315000</v>
      </c>
      <c r="V32" s="12"/>
      <c r="W32" s="12"/>
      <c r="X32" s="12"/>
      <c r="Y32" s="12"/>
      <c r="Z32" s="12">
        <v>700000</v>
      </c>
      <c r="AA32" s="12" t="s">
        <v>8</v>
      </c>
      <c r="AB32" s="12"/>
      <c r="AC32" s="12"/>
      <c r="AD32" s="12"/>
      <c r="AE32" s="12"/>
      <c r="AF32" s="12"/>
      <c r="AG32" s="12"/>
      <c r="AH32" s="12"/>
      <c r="AI32" s="12"/>
      <c r="AJ32" s="12">
        <f>50000+88000</f>
        <v>138000</v>
      </c>
      <c r="AK32" s="12"/>
      <c r="AL32" s="12"/>
      <c r="AM32" s="12">
        <v>2000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138000</v>
      </c>
      <c r="AY32" s="15">
        <f t="shared" si="11"/>
        <v>0</v>
      </c>
      <c r="AZ32" s="16">
        <f>SUM(AV32:AY32)-BF32+Z32-F32+BH32+BI32+BJ32+BK32+BL32+BM32-200000</f>
        <v>596000</v>
      </c>
      <c r="BA32" s="58">
        <v>86500</v>
      </c>
      <c r="BB32" s="58"/>
      <c r="BC32" s="15"/>
      <c r="BD32" s="57">
        <f t="shared" si="13"/>
        <v>509500</v>
      </c>
      <c r="BE32" s="82">
        <f>51500+458000</f>
        <v>509500</v>
      </c>
      <c r="BF32" s="29">
        <f t="shared" si="6"/>
        <v>42000</v>
      </c>
      <c r="BG32" s="29">
        <v>6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VLOOKUP(A33,[18]HISTOBQUEAVRIL23!$A$6:$G$44,3,0)</f>
        <v>0</v>
      </c>
      <c r="E33" s="9">
        <f>VLOOKUP(A33,[18]HISTOBQUEAVRIL23!$A$6:$G$39,4,0)</f>
        <v>43000</v>
      </c>
      <c r="F33" s="9">
        <f>VLOOKUP(A33,[18]HISTOBQUEAVRIL23!$A$6:$G$39,5,0)</f>
        <v>0</v>
      </c>
      <c r="G33" s="5">
        <f t="shared" si="7"/>
        <v>3000</v>
      </c>
      <c r="H33" s="10" t="str">
        <f t="shared" si="1"/>
        <v>ESPECES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VLOOKUP($A33,[20]TONTAVRIL23!$A$6:$P$35,12,0)</f>
        <v>0</v>
      </c>
      <c r="Q33" s="2"/>
      <c r="R33" s="2"/>
      <c r="S33" s="20"/>
      <c r="T33" s="12"/>
      <c r="U33" s="17">
        <f t="shared" si="15"/>
        <v>43000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8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VLOOKUP(A34,[18]HISTOBQUEAVRIL23!$A$6:$G$44,3,0)</f>
        <v>0</v>
      </c>
      <c r="E34" s="9">
        <f>VLOOKUP(A34,[18]HISTOBQUEAVRIL23!$A$6:$G$39,4,0)</f>
        <v>100000</v>
      </c>
      <c r="F34" s="9">
        <f>VLOOKUP(A34,[18]HISTOBQUEAVRIL23!$A$6:$G$39,5,0)</f>
        <v>0</v>
      </c>
      <c r="G34" s="5">
        <f t="shared" si="7"/>
        <v>3000</v>
      </c>
      <c r="H34" s="10" t="str">
        <f t="shared" si="1"/>
        <v>ESPECES</v>
      </c>
      <c r="I34" s="10">
        <v>57000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VLOOKUP($A34,[20]TONTAVRIL23!$A$6:$P$35,12,0)</f>
        <v>0</v>
      </c>
      <c r="Q34" s="2"/>
      <c r="R34" s="2"/>
      <c r="S34" s="20"/>
      <c r="T34" s="12"/>
      <c r="U34" s="17">
        <f t="shared" si="15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72000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8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VLOOKUP(A35,[18]HISTOBQUEAVRIL23!$A$6:$G$44,3,0)</f>
        <v>0</v>
      </c>
      <c r="E35" s="9">
        <f>VLOOKUP(A35,[18]HISTOBQUEAVRIL23!$A$6:$G$39,4,0)+40000</f>
        <v>40000</v>
      </c>
      <c r="F35" s="9">
        <f>VLOOKUP(A35,[18]HISTOBQUEAVRIL23!$A$6:$G$39,5,0)</f>
        <v>0</v>
      </c>
      <c r="G35" s="5">
        <v>0</v>
      </c>
      <c r="H35" s="10" t="str">
        <f t="shared" si="1"/>
        <v>ESPECES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VLOOKUP($A35,[20]TONTAVRIL23!$A$6:$P$35,12,0)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>IF(H35="ECHEC",((K35+M35+O35)*20/100),0)+4000</f>
        <v>4000</v>
      </c>
      <c r="AS35" s="13">
        <f>IF(H35="ECHEC",0,(K35+I35-25000))-1000</f>
        <v>14000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8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VLOOKUP(A36,[18]HISTOBQUEAVRIL23!$A$6:$G$44,3,0)</f>
        <v>290000</v>
      </c>
      <c r="E36" s="9">
        <f>VLOOKUP(A36,[18]HISTOBQUEAVRIL23!$A$6:$G$39,4,0)</f>
        <v>0</v>
      </c>
      <c r="F36" s="9">
        <f>VLOOKUP(A36,[18]HISTOBQUEAVRIL23!$A$6:$G$39,5,0)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VLOOKUP($A36,[20]TONTAVRIL23!$A$6:$P$35,12,0)</f>
        <v>0</v>
      </c>
      <c r="Q36" s="2">
        <f>VLOOKUP($A36,[13]TONTAVRIL23!$A$6:$P$20,10,0)</f>
        <v>0</v>
      </c>
      <c r="R36" s="2">
        <f>VLOOKUP($A36,[19]TONTAVRIL23!$A$6:$P$21,10,0)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>
        <v>1000000</v>
      </c>
      <c r="AA36" s="12" t="s">
        <v>8</v>
      </c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940000</v>
      </c>
      <c r="BA36" s="58"/>
      <c r="BB36" s="58"/>
      <c r="BC36" s="15"/>
      <c r="BD36" s="57">
        <f t="shared" si="13"/>
        <v>940000</v>
      </c>
      <c r="BE36" s="82">
        <v>940000</v>
      </c>
      <c r="BF36" s="29">
        <f t="shared" si="6"/>
        <v>60000</v>
      </c>
      <c r="BG36" s="29">
        <v>6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2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-1307500</v>
      </c>
      <c r="D38" s="5">
        <f t="shared" si="16"/>
        <v>4835000</v>
      </c>
      <c r="E38" s="5">
        <f t="shared" si="16"/>
        <v>269000</v>
      </c>
      <c r="F38" s="5">
        <f t="shared" si="16"/>
        <v>70000</v>
      </c>
      <c r="G38" s="5">
        <f t="shared" si="16"/>
        <v>12000</v>
      </c>
      <c r="H38" s="5">
        <f t="shared" si="16"/>
        <v>0</v>
      </c>
      <c r="I38" s="5">
        <f t="shared" si="16"/>
        <v>124000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0</v>
      </c>
      <c r="Q38" s="5">
        <f t="shared" si="16"/>
        <v>0</v>
      </c>
      <c r="R38" s="5">
        <f t="shared" si="16"/>
        <v>973000</v>
      </c>
      <c r="S38" s="5">
        <f t="shared" si="16"/>
        <v>1357500</v>
      </c>
      <c r="T38" s="5"/>
      <c r="U38" s="5">
        <f t="shared" ref="U38:AA38" si="17">SUM(U6:U37)</f>
        <v>6341500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3500000</v>
      </c>
      <c r="AA38" s="5">
        <f t="shared" si="17"/>
        <v>0</v>
      </c>
      <c r="AB38" s="5"/>
      <c r="AC38" s="5">
        <f>SUM(AC6:AC37)</f>
        <v>21000</v>
      </c>
      <c r="AD38" s="5">
        <f>SUM(AD6:AD37)</f>
        <v>13000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142500</v>
      </c>
      <c r="AJ38" s="5">
        <f t="shared" si="18"/>
        <v>388000</v>
      </c>
      <c r="AK38" s="5">
        <f t="shared" si="18"/>
        <v>93000</v>
      </c>
      <c r="AL38" s="5">
        <f t="shared" si="18"/>
        <v>3500</v>
      </c>
      <c r="AM38" s="5">
        <f t="shared" si="18"/>
        <v>5000</v>
      </c>
      <c r="AN38" s="5">
        <f t="shared" si="18"/>
        <v>6000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4000</v>
      </c>
      <c r="AS38" s="5">
        <f t="shared" si="18"/>
        <v>573000</v>
      </c>
      <c r="AT38" s="5">
        <f t="shared" si="18"/>
        <v>120000</v>
      </c>
      <c r="AU38" s="5">
        <f t="shared" si="18"/>
        <v>0</v>
      </c>
      <c r="AV38" s="5">
        <f t="shared" si="18"/>
        <v>0</v>
      </c>
      <c r="AW38" s="5">
        <f t="shared" si="18"/>
        <v>564000</v>
      </c>
      <c r="AX38" s="5">
        <f t="shared" si="18"/>
        <v>1275000</v>
      </c>
      <c r="AY38" s="5">
        <f t="shared" si="18"/>
        <v>1273000</v>
      </c>
      <c r="AZ38" s="5">
        <f t="shared" si="18"/>
        <v>5244000</v>
      </c>
      <c r="BA38" s="5">
        <f t="shared" si="18"/>
        <v>229000</v>
      </c>
      <c r="BB38" s="5">
        <f t="shared" si="18"/>
        <v>140000</v>
      </c>
      <c r="BC38" s="5">
        <f t="shared" si="18"/>
        <v>0</v>
      </c>
      <c r="BD38" s="5">
        <f t="shared" si="18"/>
        <v>4945000</v>
      </c>
      <c r="BE38" s="5">
        <f t="shared" si="18"/>
        <v>4945000</v>
      </c>
      <c r="BF38" s="5">
        <f>SUM(BF6:BF37)</f>
        <v>204000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D40" s="70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5244000</v>
      </c>
      <c r="D43" s="9">
        <f>SUMIFS(D8:D38,H8:H38,"BANQUE")</f>
        <v>4620000</v>
      </c>
      <c r="F43" s="9">
        <f>E38</f>
        <v>269000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10382000</v>
      </c>
    </row>
  </sheetData>
  <autoFilter ref="A5:AF36"/>
  <mergeCells count="1">
    <mergeCell ref="B4:M4"/>
  </mergeCells>
  <dataValidations disablePrompts="1"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R18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VLOOKUP(A6,[18]HISTOBQUEMAI23!$A$6:$G$44,3,0)</f>
        <v>175000</v>
      </c>
      <c r="E6" s="9">
        <f>VLOOKUP(A6,[18]HISTOBQUEMAI23!$A$6:$G$39,4,0)</f>
        <v>0</v>
      </c>
      <c r="F6" s="9">
        <f>VLOOKUP(A6,[18]HISTOBQUEMAI23!$A$6:$G$39,5,0)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VLOOKUP($A6,[13]TONTMAI23!$A$6:$P$20,10,0)</f>
        <v>0</v>
      </c>
      <c r="R6" s="2">
        <f>VLOOKUP($A6,[19]TONTMAI23!$A$6:$P$21,10,0)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SUM(AV6:AY6)-BF6+Z6-F6+BH6+BI6+BJ6+BK6+BL6+BM6-3000</f>
        <v>303000</v>
      </c>
      <c r="BA6" s="58">
        <v>3000</v>
      </c>
      <c r="BB6" s="58"/>
      <c r="BC6" s="15"/>
      <c r="BD6" s="57">
        <f>IF(AZ6=0,(AZ6-BA6-BC6),(AZ6-BA6-BB6-BC6))+BH6</f>
        <v>306000</v>
      </c>
      <c r="BE6" s="82">
        <v>276000</v>
      </c>
      <c r="BF6" s="29">
        <f t="shared" ref="BF6:BF36" si="6">Z6*1/100*BG6</f>
        <v>0</v>
      </c>
      <c r="BG6" s="29">
        <v>7</v>
      </c>
      <c r="BH6" s="15">
        <f>BP16</f>
        <v>6000</v>
      </c>
      <c r="BI6" s="15">
        <f>BP28</f>
        <v>0</v>
      </c>
      <c r="BJ6" s="15">
        <f>BP33</f>
        <v>200000</v>
      </c>
      <c r="BK6" s="15">
        <f>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VLOOKUP(A7,[18]HISTOBQUEMAI23!$A$6:$G$44,3,0)</f>
        <v>40000</v>
      </c>
      <c r="E7" s="9">
        <f>VLOOKUP(A7,[18]HISTOBQUEMAI23!$A$6:$G$39,4,0)</f>
        <v>0</v>
      </c>
      <c r="F7" s="9">
        <f>VLOOKUP(A7,[18]HISTOBQUEMAI23!$A$6:$G$39,5,0)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VLOOKUP($A7,[20]TONTMAI23!$A$6:$P$35,12,0)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>IF(AZ7=0,(AZ7-BA7-BC7),(AZ7-BA7-BB7-BC7))+F7</f>
        <v>0</v>
      </c>
      <c r="BE7" s="82"/>
      <c r="BF7" s="29">
        <f t="shared" si="6"/>
        <v>0</v>
      </c>
      <c r="BG7" s="29">
        <v>7</v>
      </c>
      <c r="BH7" s="15">
        <f>BP17</f>
        <v>0</v>
      </c>
      <c r="BI7" s="15"/>
      <c r="BJ7" s="15"/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VLOOKUP(A8,[18]HISTOBQUEMAI23!$A$6:$G$44,3,0)</f>
        <v>115000</v>
      </c>
      <c r="E8" s="9">
        <f>VLOOKUP(A8,[18]HISTOBQUEMAI23!$A$6:$G$39,4,0)</f>
        <v>0</v>
      </c>
      <c r="F8" s="9">
        <f>VLOOKUP(A8,[18]HISTOBQUEMAI23!$A$6:$G$39,5,0)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VLOOKUP($A8,[20]TONTMAI23!$A$6:$P$35,12,0)</f>
        <v>0</v>
      </c>
      <c r="Q8" s="2">
        <f>VLOOKUP($A8,[13]TONTMAI23!$A$6:$P$20,10,0)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ref="BD8:BD36" si="15">IF(AZ8=0,(AZ8-BA8-BC8),(AZ8-BA8-BB8-BC8))+F8</f>
        <v>0</v>
      </c>
      <c r="BE8" s="82"/>
      <c r="BF8" s="29">
        <f t="shared" si="6"/>
        <v>0</v>
      </c>
      <c r="BG8" s="29">
        <v>7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VLOOKUP(A9,[18]HISTOBQUEMAI23!$A$6:$G$44,3,0)</f>
        <v>145000</v>
      </c>
      <c r="E9" s="9">
        <f>VLOOKUP(A9,[18]HISTOBQUEMAI23!$A$6:$G$39,4,0)</f>
        <v>23000</v>
      </c>
      <c r="F9" s="9">
        <f>VLOOKUP(A9,[18]HISTOBQUEMAI23!$A$6:$G$39,5,0)</f>
        <v>0</v>
      </c>
      <c r="G9" s="5">
        <f t="shared" si="7"/>
        <v>0</v>
      </c>
      <c r="H9" s="10" t="str">
        <f t="shared" si="1"/>
        <v>BANQUE</v>
      </c>
      <c r="I9" s="10">
        <v>5000</v>
      </c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VLOOKUP($A9,[20]TONTMAI23!$A$6:$P$35,12,0)</f>
        <v>23000</v>
      </c>
      <c r="Q9" s="2"/>
      <c r="R9" s="2">
        <f>VLOOKUP($A9,[19]TONTMAI23!$A$6:$P$21,10,0)</f>
        <v>0</v>
      </c>
      <c r="S9" s="20"/>
      <c r="T9" s="12"/>
      <c r="U9" s="17">
        <f t="shared" si="14"/>
        <v>168000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50000</v>
      </c>
      <c r="AL9" s="12"/>
      <c r="AM9" s="12"/>
      <c r="AN9" s="12">
        <v>1000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20000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50000</v>
      </c>
      <c r="AZ9" s="16">
        <f t="shared" si="12"/>
        <v>50000</v>
      </c>
      <c r="BA9" s="58">
        <v>50000</v>
      </c>
      <c r="BB9" s="58"/>
      <c r="BC9" s="15"/>
      <c r="BD9" s="57">
        <f>IF(AZ9=0,(AZ9-BA9-BC9),(AZ9-BA9-BB9-BC9))+F9+690000</f>
        <v>690000</v>
      </c>
      <c r="BE9" s="82">
        <v>690000</v>
      </c>
      <c r="BF9" s="29">
        <f t="shared" si="6"/>
        <v>0</v>
      </c>
      <c r="BG9" s="29">
        <v>7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VLOOKUP(A10,[18]HISTOBQUEMAI23!$A$6:$G$44,3,0)</f>
        <v>0</v>
      </c>
      <c r="E10" s="9">
        <f>VLOOKUP(A10,[18]HISTOBQUEMAI23!$A$6:$G$39,4,0)</f>
        <v>105000</v>
      </c>
      <c r="F10" s="9">
        <f>VLOOKUP(A10,[18]HISTOBQUEMAI23!$A$6:$G$39,5,0)</f>
        <v>0</v>
      </c>
      <c r="G10" s="5">
        <f t="shared" si="7"/>
        <v>3000</v>
      </c>
      <c r="H10" s="10" t="str">
        <f t="shared" si="1"/>
        <v>ESPECES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VLOOKUP($A10,[20]TONTMAI23!$A$6:$P$35,12,0)</f>
        <v>62000</v>
      </c>
      <c r="Q10" s="2"/>
      <c r="R10" s="2"/>
      <c r="S10" s="20"/>
      <c r="T10" s="12"/>
      <c r="U10" s="17">
        <f t="shared" si="14"/>
        <v>105000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5"/>
        <v>0</v>
      </c>
      <c r="BE10" s="82"/>
      <c r="BF10" s="29">
        <f t="shared" si="6"/>
        <v>0</v>
      </c>
      <c r="BG10" s="29">
        <v>7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VLOOKUP(A11,[18]HISTOBQUEMAI23!$A$6:$G$44,3,0)</f>
        <v>267000</v>
      </c>
      <c r="E11" s="9">
        <f>VLOOKUP(A11,[18]HISTOBQUEMAI23!$A$6:$G$39,4,0)</f>
        <v>0</v>
      </c>
      <c r="F11" s="9">
        <f>VLOOKUP(A11,[18]HISTOBQUEMAI23!$A$6:$G$39,5,0)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VLOOKUP($A11,[20]TONTMAI23!$A$6:$P$35,12,0)</f>
        <v>0</v>
      </c>
      <c r="Q11" s="2">
        <f>VLOOKUP($A11,[13]TONTMAI23!$A$6:$P$20,10,0)</f>
        <v>152000</v>
      </c>
      <c r="R11" s="2"/>
      <c r="S11" s="20"/>
      <c r="T11" s="12"/>
      <c r="U11" s="17">
        <f t="shared" si="14"/>
        <v>267000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29500</v>
      </c>
      <c r="AJ11" s="12">
        <f>50000+50000</f>
        <v>100000</v>
      </c>
      <c r="AK11" s="12"/>
      <c r="AL11" s="12">
        <v>1500</v>
      </c>
      <c r="AM11" s="12">
        <f>1000+1000</f>
        <v>2000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29500</v>
      </c>
      <c r="AX11" s="15">
        <f t="shared" si="10"/>
        <v>100000</v>
      </c>
      <c r="AY11" s="15">
        <f t="shared" si="11"/>
        <v>0</v>
      </c>
      <c r="AZ11" s="16">
        <f t="shared" si="12"/>
        <v>129500</v>
      </c>
      <c r="BA11" s="58">
        <v>50000</v>
      </c>
      <c r="BB11" s="58"/>
      <c r="BC11" s="15"/>
      <c r="BD11" s="57">
        <f t="shared" si="15"/>
        <v>79500</v>
      </c>
      <c r="BE11" s="82">
        <f>50000+29500</f>
        <v>79500</v>
      </c>
      <c r="BF11" s="29">
        <f t="shared" si="6"/>
        <v>0</v>
      </c>
      <c r="BG11" s="29">
        <v>7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VLOOKUP(A12,[18]HISTOBQUEMAI23!$A$6:$G$44,3,0)</f>
        <v>420000</v>
      </c>
      <c r="E12" s="9">
        <f>VLOOKUP(A12,[18]HISTOBQUEMAI23!$A$6:$G$39,4,0)</f>
        <v>0</v>
      </c>
      <c r="F12" s="9">
        <f>VLOOKUP(A12,[18]HISTOBQUEMAI23!$A$6:$G$39,5,0)</f>
        <v>70000</v>
      </c>
      <c r="G12" s="5">
        <f t="shared" si="7"/>
        <v>0</v>
      </c>
      <c r="H12" s="10" t="str">
        <f t="shared" si="1"/>
        <v>BANQUE</v>
      </c>
      <c r="I12" s="10">
        <v>105000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VLOOKUP($A12,[20]TONTMAI23!$A$6:$P$35,12,0)</f>
        <v>0</v>
      </c>
      <c r="Q12" s="2">
        <f>VLOOKUP($A12,[13]TONTMAI23!$A$6:$P$20,10,0)</f>
        <v>0</v>
      </c>
      <c r="R12" s="2">
        <f>VLOOKUP($A12,[19]TONTMAI23!$A$6:$P$21,10,0)</f>
        <v>0</v>
      </c>
      <c r="S12" s="20"/>
      <c r="T12" s="12"/>
      <c r="U12" s="17">
        <f t="shared" si="14"/>
        <v>420000</v>
      </c>
      <c r="V12" s="12"/>
      <c r="W12" s="12"/>
      <c r="X12" s="12"/>
      <c r="Y12" s="12"/>
      <c r="Z12" s="12"/>
      <c r="AA12" s="12"/>
      <c r="AB12" s="12"/>
      <c r="AC12" s="12"/>
      <c r="AD12" s="12">
        <v>10000</v>
      </c>
      <c r="AE12" s="12"/>
      <c r="AF12" s="12" t="s">
        <v>8</v>
      </c>
      <c r="AG12" s="12"/>
      <c r="AH12" s="12"/>
      <c r="AI12" s="12"/>
      <c r="AJ12" s="12">
        <v>38000</v>
      </c>
      <c r="AK12" s="12">
        <v>200000</v>
      </c>
      <c r="AL12" s="12"/>
      <c r="AM12" s="12">
        <v>1000</v>
      </c>
      <c r="AN12" s="12">
        <v>2000</v>
      </c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120000</v>
      </c>
      <c r="AT12" s="12"/>
      <c r="AV12" s="15"/>
      <c r="AW12" s="15">
        <f t="shared" si="9"/>
        <v>0</v>
      </c>
      <c r="AX12" s="15">
        <f t="shared" si="10"/>
        <v>928000</v>
      </c>
      <c r="AY12" s="15">
        <f t="shared" si="11"/>
        <v>200000</v>
      </c>
      <c r="AZ12" s="16">
        <f>SUM(AV12:AY12)-BF12+Z12-F12+BH12+BI12+BJ12+BK12+BL12+BM12</f>
        <v>1058000</v>
      </c>
      <c r="BA12" s="58">
        <v>23000</v>
      </c>
      <c r="BB12" s="58">
        <v>70000</v>
      </c>
      <c r="BC12" s="15"/>
      <c r="BD12" s="57">
        <f t="shared" si="15"/>
        <v>1035000</v>
      </c>
      <c r="BE12" s="82">
        <f>200000+820000+15000</f>
        <v>1035000</v>
      </c>
      <c r="BF12" s="29">
        <f t="shared" si="6"/>
        <v>0</v>
      </c>
      <c r="BG12" s="29">
        <v>7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VLOOKUP(A13,[18]HISTOBQUEMAI23!$A$6:$G$44,3,0)</f>
        <v>40000</v>
      </c>
      <c r="E13" s="9">
        <f>VLOOKUP(A13,[18]HISTOBQUEMAI23!$A$6:$G$39,4,0)</f>
        <v>0</v>
      </c>
      <c r="F13" s="9">
        <f>VLOOKUP(A13,[18]HISTOBQUEMAI23!$A$6:$G$39,5,0)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VLOOKUP($A13,[20]TONTMAI23!$A$6:$P$35,12,0)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5"/>
        <v>0</v>
      </c>
      <c r="BE13" s="82"/>
      <c r="BF13" s="29">
        <f t="shared" si="6"/>
        <v>0</v>
      </c>
      <c r="BG13" s="29">
        <v>7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VLOOKUP(A14,[18]HISTOBQUEMAI23!$A$6:$G$44,3,0)</f>
        <v>40000</v>
      </c>
      <c r="E14" s="9">
        <f>VLOOKUP(A14,[18]HISTOBQUEMAI23!$A$6:$G$39,4,0)</f>
        <v>0</v>
      </c>
      <c r="F14" s="9">
        <f>VLOOKUP(A14,[18]HISTOBQUEMAI23!$A$6:$G$39,5,0)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VLOOKUP($A14,[20]TONTMAI23!$A$6:$P$35,12,0)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5"/>
        <v>0</v>
      </c>
      <c r="BE14" s="82"/>
      <c r="BF14" s="29">
        <f t="shared" si="6"/>
        <v>0</v>
      </c>
      <c r="BG14" s="29">
        <v>7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VLOOKUP(A15,[18]HISTOBQUEMAI23!$A$6:$G$44,3,0)</f>
        <v>0</v>
      </c>
      <c r="E15" s="9">
        <f>VLOOKUP(A15,[18]HISTOBQUEMAI23!$A$6:$G$39,4,0)</f>
        <v>118000</v>
      </c>
      <c r="F15" s="9">
        <f>VLOOKUP(A15,[18]HISTOBQUEMAI23!$A$6:$G$39,5,0)</f>
        <v>0</v>
      </c>
      <c r="G15" s="5">
        <f t="shared" si="7"/>
        <v>3000</v>
      </c>
      <c r="H15" s="10" t="str">
        <f t="shared" si="1"/>
        <v>ESPECES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VLOOKUP($A15,[20]TONTMAI23!$A$6:$P$35,12,0)</f>
        <v>0</v>
      </c>
      <c r="Q15" s="2">
        <f>VLOOKUP($A15,[13]TONTMAI23!$A$6:$P$20,10,0)</f>
        <v>0</v>
      </c>
      <c r="R15" s="2"/>
      <c r="S15" s="20"/>
      <c r="T15" s="12"/>
      <c r="U15" s="17">
        <f t="shared" si="14"/>
        <v>118000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5"/>
        <v>0</v>
      </c>
      <c r="BE15" s="82"/>
      <c r="BF15" s="29">
        <f t="shared" si="6"/>
        <v>0</v>
      </c>
      <c r="BG15" s="29">
        <v>7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VLOOKUP(A16,[18]HISTOBQUEMAI23!$A$6:$G$44,3,0)</f>
        <v>230000</v>
      </c>
      <c r="E16" s="9">
        <f>VLOOKUP(A16,[18]HISTOBQUEMAI23!$A$6:$G$39,4,0)</f>
        <v>0</v>
      </c>
      <c r="F16" s="9">
        <f>VLOOKUP(A16,[18]HISTOBQUEMAI23!$A$6:$G$39,5,0)</f>
        <v>70000</v>
      </c>
      <c r="G16" s="5">
        <f t="shared" si="7"/>
        <v>0</v>
      </c>
      <c r="H16" s="10" t="str">
        <f t="shared" si="1"/>
        <v>BANQUE</v>
      </c>
      <c r="I16" s="10">
        <v>15000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VLOOKUP($A16,[20]TONTMAI23!$A$6:$P$35,12,0)</f>
        <v>0</v>
      </c>
      <c r="Q16" s="2">
        <f>VLOOKUP($A16,[13]TONTMAI23!$A$6:$P$20,10,0)</f>
        <v>0</v>
      </c>
      <c r="R16" s="2">
        <f>VLOOKUP($A16,[19]TONTMAI23!$A$6:$P$21,10,0)</f>
        <v>0</v>
      </c>
      <c r="S16" s="20"/>
      <c r="T16" s="12"/>
      <c r="U16" s="17">
        <f t="shared" si="14"/>
        <v>230000</v>
      </c>
      <c r="V16" s="12"/>
      <c r="W16" s="12"/>
      <c r="X16" s="12"/>
      <c r="Y16" s="12"/>
      <c r="Z16" s="12"/>
      <c r="AA16" s="12"/>
      <c r="AB16" s="12"/>
      <c r="AC16" s="12">
        <v>2500</v>
      </c>
      <c r="AD16" s="12"/>
      <c r="AE16" s="12"/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30000</v>
      </c>
      <c r="AT16" s="12"/>
      <c r="AV16" s="15"/>
      <c r="AW16" s="15">
        <f t="shared" si="9"/>
        <v>297500</v>
      </c>
      <c r="AX16" s="15">
        <f t="shared" si="10"/>
        <v>0</v>
      </c>
      <c r="AY16" s="15">
        <f t="shared" si="11"/>
        <v>0</v>
      </c>
      <c r="AZ16" s="16">
        <f t="shared" si="12"/>
        <v>227500</v>
      </c>
      <c r="BA16" s="58"/>
      <c r="BB16" s="58">
        <v>70000</v>
      </c>
      <c r="BC16" s="15"/>
      <c r="BD16" s="57">
        <f t="shared" si="15"/>
        <v>227500</v>
      </c>
      <c r="BE16" s="82">
        <v>227500</v>
      </c>
      <c r="BF16" s="29">
        <f t="shared" si="6"/>
        <v>0</v>
      </c>
      <c r="BG16" s="29">
        <v>7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VLOOKUP(A17,[18]HISTOBQUEMAI23!$A$6:$G$44,3,0)</f>
        <v>140000</v>
      </c>
      <c r="E17" s="9">
        <f>VLOOKUP(A17,[18]HISTOBQUEMAI23!$A$6:$G$39,4,0)</f>
        <v>0</v>
      </c>
      <c r="F17" s="9">
        <f>VLOOKUP(A17,[18]HISTOBQUEMAI23!$A$6:$G$39,5,0)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VLOOKUP($A17,[20]TONTMAI23!$A$6:$P$35,12,0)</f>
        <v>0</v>
      </c>
      <c r="Q17" s="2"/>
      <c r="R17" s="2">
        <f>VLOOKUP($A17,[19]TONTMAI23!$A$6:$P$21,10,0)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5"/>
        <v>0</v>
      </c>
      <c r="BE17" s="82"/>
      <c r="BF17" s="29">
        <f t="shared" si="6"/>
        <v>0</v>
      </c>
      <c r="BG17" s="29">
        <v>7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9">
        <f t="shared" si="0"/>
        <v>0</v>
      </c>
      <c r="D18" s="9">
        <f>VLOOKUP(A18,[18]HISTOBQUEMAI23!$A$6:$G$44,3,0)</f>
        <v>315000</v>
      </c>
      <c r="E18" s="9">
        <f>VLOOKUP(A18,[18]HISTOBQUEMAI23!$A$6:$G$39,4,0)</f>
        <v>0</v>
      </c>
      <c r="F18" s="9">
        <f>VLOOKUP(A18,[18]HISTOBQUEMAI23!$A$6:$G$39,5,0)</f>
        <v>0</v>
      </c>
      <c r="G18" s="5">
        <f t="shared" si="7"/>
        <v>0</v>
      </c>
      <c r="H18" s="10" t="str">
        <f t="shared" si="1"/>
        <v>BANQUE</v>
      </c>
      <c r="I18" s="10">
        <v>-1000</v>
      </c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VLOOKUP($A18,[20]TONTMAI23!$A$6:$P$35,12,0)</f>
        <v>0</v>
      </c>
      <c r="Q18" s="2">
        <f>VLOOKUP($A18,[13]TONTMAI23!$A$6:$P$20,10,0)</f>
        <v>101000</v>
      </c>
      <c r="R18" s="2">
        <f>VLOOKUP($A18,[19]TONTMAI23!$A$6:$P$21,10,0)</f>
        <v>0</v>
      </c>
      <c r="S18" s="20"/>
      <c r="T18" s="12"/>
      <c r="U18" s="17">
        <f t="shared" si="14"/>
        <v>315000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>IF(H18="ECHEC",0,(K18+I18-25000))</f>
        <v>14000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5"/>
        <v>0</v>
      </c>
      <c r="BE18" s="82"/>
      <c r="BF18" s="29">
        <f t="shared" si="6"/>
        <v>0</v>
      </c>
      <c r="BG18" s="29">
        <v>7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VLOOKUP(A19,[18]HISTOBQUEMAI23!$A$6:$G$44,3,0)</f>
        <v>40000</v>
      </c>
      <c r="E19" s="9">
        <f>VLOOKUP(A19,[18]HISTOBQUEMAI23!$A$6:$G$39,4,0)</f>
        <v>0</v>
      </c>
      <c r="F19" s="9">
        <f>VLOOKUP(A19,[18]HISTOBQUEMAI23!$A$6:$G$39,5,0)</f>
        <v>70000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VLOOKUP($A19,[20]TONTMAI23!$A$6:$P$35,12,0)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>
        <v>3000</v>
      </c>
      <c r="AD19" s="12"/>
      <c r="AE19" s="12"/>
      <c r="AF19" s="12" t="s">
        <v>8</v>
      </c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297000</v>
      </c>
      <c r="AX19" s="15">
        <f t="shared" si="10"/>
        <v>0</v>
      </c>
      <c r="AY19" s="15">
        <f t="shared" si="11"/>
        <v>0</v>
      </c>
      <c r="AZ19" s="16">
        <f t="shared" si="12"/>
        <v>227000</v>
      </c>
      <c r="BA19" s="58"/>
      <c r="BB19" s="58">
        <v>70000</v>
      </c>
      <c r="BC19" s="15"/>
      <c r="BD19" s="57">
        <f t="shared" si="15"/>
        <v>227000</v>
      </c>
      <c r="BE19" s="82">
        <v>227000</v>
      </c>
      <c r="BF19" s="29">
        <f t="shared" si="6"/>
        <v>0</v>
      </c>
      <c r="BG19" s="29">
        <v>7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VLOOKUP(A20,[18]HISTOBQUEMAI23!$A$6:$G$44,3,0)</f>
        <v>215000</v>
      </c>
      <c r="E20" s="9">
        <f>VLOOKUP(A20,[18]HISTOBQUEMAI23!$A$6:$G$39,4,0)</f>
        <v>0</v>
      </c>
      <c r="F20" s="9">
        <f>VLOOKUP(A20,[18]HISTOBQUEMAI23!$A$6:$G$39,5,0)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VLOOKUP($A20,[20]TONTMAI23!$A$6:$P$35,12,0)</f>
        <v>0</v>
      </c>
      <c r="Q20" s="2">
        <f>VLOOKUP($A20,[13]TONTMAI23!$A$6:$P$20,10,0)</f>
        <v>0</v>
      </c>
      <c r="R20" s="2">
        <f>VLOOKUP($A20,[19]TONTMAI23!$A$6:$P$21,10,0)</f>
        <v>0</v>
      </c>
      <c r="S20" s="20"/>
      <c r="T20" s="12"/>
      <c r="U20" s="17">
        <f t="shared" si="14"/>
        <v>215000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0</v>
      </c>
      <c r="BA20" s="58"/>
      <c r="BB20" s="58"/>
      <c r="BC20" s="15"/>
      <c r="BD20" s="57">
        <f t="shared" si="15"/>
        <v>0</v>
      </c>
      <c r="BE20" s="82"/>
      <c r="BF20" s="29">
        <f t="shared" si="6"/>
        <v>0</v>
      </c>
      <c r="BG20" s="29">
        <v>7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VLOOKUP(A21,[18]HISTOBQUEMAI23!$A$6:$G$44,3,0)</f>
        <v>40000</v>
      </c>
      <c r="E21" s="9">
        <f>VLOOKUP(A21,[18]HISTOBQUEMAI23!$A$6:$G$39,4,0)</f>
        <v>0</v>
      </c>
      <c r="F21" s="9">
        <f>VLOOKUP(A21,[18]HISTOBQUEMAI23!$A$6:$G$39,5,0)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VLOOKUP($A21,[20]TONTMAI23!$A$6:$P$35,12,0)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5"/>
        <v>0</v>
      </c>
      <c r="BE21" s="82"/>
      <c r="BF21" s="29">
        <f t="shared" si="6"/>
        <v>0</v>
      </c>
      <c r="BG21" s="29">
        <v>7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VLOOKUP(A22,[18]HISTOBQUEMAI23!$A$6:$G$44,3,0)</f>
        <v>115000</v>
      </c>
      <c r="E22" s="9">
        <f>VLOOKUP(A22,[18]HISTOBQUEMAI23!$A$6:$G$39,4,0)</f>
        <v>0</v>
      </c>
      <c r="F22" s="9">
        <f>VLOOKUP(A22,[18]HISTOBQUEMAI23!$A$6:$G$39,5,0)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VLOOKUP($A22,[20]TONTMAI23!$A$6:$P$35,12,0)</f>
        <v>0</v>
      </c>
      <c r="Q22" s="2">
        <f>VLOOKUP($A22,[13]TONTMAI23!$A$6:$P$20,10,0)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5"/>
        <v>0</v>
      </c>
      <c r="BE22" s="82"/>
      <c r="BF22" s="29">
        <f t="shared" si="6"/>
        <v>0</v>
      </c>
      <c r="BG22" s="29">
        <v>7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VLOOKUP(A23,[18]HISTOBQUEMAI23!$A$6:$G$44,3,0)</f>
        <v>250000</v>
      </c>
      <c r="E23" s="9">
        <f>VLOOKUP(A23,[18]HISTOBQUEMAI23!$A$6:$G$39,4,0)</f>
        <v>0</v>
      </c>
      <c r="F23" s="9">
        <f>VLOOKUP(A23,[18]HISTOBQUEMAI23!$A$6:$G$39,5,0)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VLOOKUP($A23,[20]TONTMAI23!$A$6:$P$35,12,0)</f>
        <v>0</v>
      </c>
      <c r="Q23" s="2"/>
      <c r="R23" s="2">
        <f>VLOOKUP($A23,[19]TONTMAI23!$A$6:$P$21,10,0)</f>
        <v>0</v>
      </c>
      <c r="S23" s="20"/>
      <c r="T23" s="12"/>
      <c r="U23" s="17">
        <f t="shared" si="14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200000</v>
      </c>
      <c r="AZ23" s="16">
        <f t="shared" si="12"/>
        <v>200000</v>
      </c>
      <c r="BA23" s="58">
        <v>200000</v>
      </c>
      <c r="BB23" s="58"/>
      <c r="BC23" s="15"/>
      <c r="BD23" s="57">
        <f t="shared" si="15"/>
        <v>0</v>
      </c>
      <c r="BE23" s="82"/>
      <c r="BF23" s="29">
        <f t="shared" si="6"/>
        <v>0</v>
      </c>
      <c r="BG23" s="29">
        <v>7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VLOOKUP(A24,[18]HISTOBQUEMAI23!$A$6:$G$44,3,0)</f>
        <v>210000</v>
      </c>
      <c r="E24" s="9">
        <f>VLOOKUP(A24,[18]HISTOBQUEMAI23!$A$6:$G$39,4,0)</f>
        <v>0</v>
      </c>
      <c r="F24" s="9">
        <f>VLOOKUP(A24,[18]HISTOBQUEMAI23!$A$6:$G$39,5,0)+70000</f>
        <v>70000</v>
      </c>
      <c r="G24" s="5">
        <f t="shared" si="7"/>
        <v>0</v>
      </c>
      <c r="H24" s="10" t="str">
        <f t="shared" si="1"/>
        <v>BANQUE</v>
      </c>
      <c r="I24" s="10">
        <v>-5000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VLOOKUP($A24,[20]TONTMAI23!$A$6:$P$35,12,0)</f>
        <v>0</v>
      </c>
      <c r="Q24" s="2">
        <f>VLOOKUP($A24,[13]TONTMAI23!$A$6:$P$20,10,0)</f>
        <v>0</v>
      </c>
      <c r="R24" s="2">
        <f>VLOOKUP($A24,[19]TONTMAI23!$A$6:$P$21,10,0)</f>
        <v>0</v>
      </c>
      <c r="S24" s="20"/>
      <c r="T24" s="12"/>
      <c r="U24" s="17">
        <f t="shared" si="14"/>
        <v>210000</v>
      </c>
      <c r="V24" s="12"/>
      <c r="W24" s="12"/>
      <c r="X24" s="12"/>
      <c r="Y24" s="12"/>
      <c r="Z24" s="12"/>
      <c r="AA24" s="12"/>
      <c r="AB24" s="12"/>
      <c r="AC24" s="12">
        <v>3000</v>
      </c>
      <c r="AD24" s="12"/>
      <c r="AE24" s="12"/>
      <c r="AF24" s="12" t="s">
        <v>8</v>
      </c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>IF(H24="ECHEC",0,(K24+I24-25000))</f>
        <v>10000</v>
      </c>
      <c r="AT24" s="12"/>
      <c r="AV24" s="15"/>
      <c r="AW24" s="15">
        <f t="shared" si="9"/>
        <v>297000</v>
      </c>
      <c r="AX24" s="15">
        <f t="shared" si="10"/>
        <v>0</v>
      </c>
      <c r="AY24" s="15">
        <f t="shared" si="11"/>
        <v>0</v>
      </c>
      <c r="AZ24" s="16">
        <f t="shared" si="12"/>
        <v>227000</v>
      </c>
      <c r="BA24" s="58"/>
      <c r="BB24" s="58">
        <v>70000</v>
      </c>
      <c r="BC24" s="15"/>
      <c r="BD24" s="57">
        <f t="shared" si="15"/>
        <v>227000</v>
      </c>
      <c r="BE24" s="82">
        <v>227000</v>
      </c>
      <c r="BF24" s="29">
        <f t="shared" si="6"/>
        <v>0</v>
      </c>
      <c r="BG24" s="29">
        <v>7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VLOOKUP(A25,[18]HISTOBQUEMAI23!$A$6:$G$44,3,0)+27000</f>
        <v>407000</v>
      </c>
      <c r="E25" s="9">
        <f>VLOOKUP(A25,[18]HISTOBQUEMAI23!$A$6:$G$39,4,0)</f>
        <v>0</v>
      </c>
      <c r="F25" s="9">
        <f>VLOOKUP(A25,[18]HISTOBQUEMAI23!$A$6:$G$39,5,0)</f>
        <v>0</v>
      </c>
      <c r="G25" s="5">
        <f t="shared" si="7"/>
        <v>0</v>
      </c>
      <c r="H25" s="10" t="str">
        <f t="shared" si="1"/>
        <v>BANQUE</v>
      </c>
      <c r="I25" s="10">
        <v>18000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VLOOKUP($A25,[20]TONTMAI23!$A$6:$P$35,12,0)</f>
        <v>0</v>
      </c>
      <c r="Q25" s="2">
        <f>VLOOKUP($A25,[13]TONTMAI23!$A$6:$P$20,10,0)</f>
        <v>0</v>
      </c>
      <c r="R25" s="2">
        <f>VLOOKUP($A25,[19]TONTMAI23!$A$6:$P$21,10,0)</f>
        <v>99000</v>
      </c>
      <c r="S25" s="20"/>
      <c r="T25" s="12"/>
      <c r="U25" s="17">
        <f t="shared" si="14"/>
        <v>407000</v>
      </c>
      <c r="V25" s="12"/>
      <c r="W25" s="12"/>
      <c r="X25" s="12"/>
      <c r="Y25" s="12"/>
      <c r="Z25" s="12"/>
      <c r="AA25" s="12"/>
      <c r="AB25" s="12"/>
      <c r="AC25" s="12"/>
      <c r="AD25" s="12">
        <v>15000</v>
      </c>
      <c r="AE25" s="12"/>
      <c r="AF25" s="12" t="s">
        <v>8</v>
      </c>
      <c r="AG25" s="12"/>
      <c r="AH25" s="12"/>
      <c r="AI25" s="12"/>
      <c r="AJ25" s="12">
        <v>50000</v>
      </c>
      <c r="AK25" s="12"/>
      <c r="AL25" s="12"/>
      <c r="AM25" s="12">
        <v>1000</v>
      </c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>IF(H25="ECHEC",0,(K25+I25-25000))</f>
        <v>33000</v>
      </c>
      <c r="AT25" s="12"/>
      <c r="AV25" s="15"/>
      <c r="AW25" s="15">
        <f t="shared" si="9"/>
        <v>0</v>
      </c>
      <c r="AX25" s="15">
        <f t="shared" si="10"/>
        <v>935000</v>
      </c>
      <c r="AY25" s="15">
        <f t="shared" si="11"/>
        <v>0</v>
      </c>
      <c r="AZ25" s="16">
        <f>SUM(AV25:AY25)-BF25+Z25-F25+BH25+BI25+BJ25+BK25+BL25+BM25</f>
        <v>935000</v>
      </c>
      <c r="BA25" s="58">
        <v>50000</v>
      </c>
      <c r="BB25" s="58"/>
      <c r="BC25" s="15"/>
      <c r="BD25" s="57">
        <f>IF(AZ25=0,(AZ25-BA25-BC25),(AZ25-BA25-BB25-BC25))+F25-49000</f>
        <v>836000</v>
      </c>
      <c r="BE25" s="82">
        <v>836000</v>
      </c>
      <c r="BF25" s="29">
        <f t="shared" si="6"/>
        <v>0</v>
      </c>
      <c r="BG25" s="29">
        <v>7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VLOOKUP(A26,[18]HISTOBQUEMAI23!$A$6:$G$44,3,0)</f>
        <v>0</v>
      </c>
      <c r="E26" s="9">
        <f>VLOOKUP(A26,[18]HISTOBQUEMAI23!$A$6:$G$39,4,0)</f>
        <v>104000</v>
      </c>
      <c r="F26" s="9">
        <f>VLOOKUP(A26,[18]HISTOBQUEMAI23!$A$6:$G$39,5,0)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VLOOKUP($A26,[20]TONTMAI23!$A$6:$P$35,12,0)</f>
        <v>61000</v>
      </c>
      <c r="Q26" s="2"/>
      <c r="R26" s="2"/>
      <c r="S26" s="20"/>
      <c r="T26" s="12"/>
      <c r="U26" s="17">
        <f t="shared" si="14"/>
        <v>104000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-30000</v>
      </c>
      <c r="BA26" s="58"/>
      <c r="BB26" s="58"/>
      <c r="BC26" s="15"/>
      <c r="BD26" s="57">
        <f>IF(AZ26=0,(AZ26-BA26-BC26),(AZ26-BA26-BB26-BC26))+F26+30000</f>
        <v>0</v>
      </c>
      <c r="BE26" s="82">
        <f>BD25-BE25</f>
        <v>0</v>
      </c>
      <c r="BF26" s="29">
        <f>Z26*1/100*BG26+30000</f>
        <v>30000</v>
      </c>
      <c r="BG26" s="29">
        <v>7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9">
        <f t="shared" si="0"/>
        <v>120000</v>
      </c>
      <c r="D27" s="9">
        <f>VLOOKUP(A27,[18]HISTOBQUEMAI23!$A$6:$G$44,3,0)</f>
        <v>560000</v>
      </c>
      <c r="E27" s="9">
        <f>VLOOKUP(A27,[18]HISTOBQUEMAI23!$A$6:$G$39,4,0)</f>
        <v>0</v>
      </c>
      <c r="F27" s="9">
        <f>VLOOKUP(A27,[18]HISTOBQUEMAI23!$A$6:$G$39,5,0)</f>
        <v>0</v>
      </c>
      <c r="G27" s="5">
        <f t="shared" si="7"/>
        <v>0</v>
      </c>
      <c r="H27" s="10" t="str">
        <f t="shared" si="1"/>
        <v>BANQUE</v>
      </c>
      <c r="I27" s="10">
        <v>400000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VLOOKUP($A27,[20]TONTMAI23!$A$6:$P$35,12,0)</f>
        <v>0</v>
      </c>
      <c r="Q27" s="2"/>
      <c r="R27" s="2"/>
      <c r="S27" s="20"/>
      <c r="T27" s="12"/>
      <c r="U27" s="17">
        <f t="shared" si="14"/>
        <v>440000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415000</v>
      </c>
      <c r="AT27" s="12">
        <v>120000</v>
      </c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5"/>
        <v>0</v>
      </c>
      <c r="BE27" s="82"/>
      <c r="BF27" s="29">
        <f t="shared" si="6"/>
        <v>0</v>
      </c>
      <c r="BG27" s="29">
        <v>7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VLOOKUP(A28,[18]HISTOBQUEMAI23!$A$6:$G$44,3,0)</f>
        <v>115000</v>
      </c>
      <c r="E28" s="9">
        <f>VLOOKUP(A28,[18]HISTOBQUEMAI23!$A$6:$G$39,4,0)</f>
        <v>0</v>
      </c>
      <c r="F28" s="9">
        <f>VLOOKUP(A28,[18]HISTOBQUEMAI23!$A$6:$G$39,5,0)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VLOOKUP($A28,[20]TONTMAI23!$A$6:$P$35,12,0)</f>
        <v>0</v>
      </c>
      <c r="Q28" s="2">
        <f>VLOOKUP($A28,[13]TONTMAI23!$A$6:$P$20,10,0)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5"/>
        <v>0</v>
      </c>
      <c r="BE28" s="82"/>
      <c r="BF28" s="29">
        <f t="shared" si="6"/>
        <v>0</v>
      </c>
      <c r="BG28" s="29">
        <v>7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VLOOKUP(A29,[18]HISTOBQUEMAI23!$A$6:$G$44,3,0)</f>
        <v>40000</v>
      </c>
      <c r="E29" s="9">
        <f>VLOOKUP(A29,[18]HISTOBQUEMAI23!$A$6:$G$39,4,0)</f>
        <v>0</v>
      </c>
      <c r="F29" s="9">
        <f>VLOOKUP(A29,[18]HISTOBQUEMAI23!$A$6:$G$39,5,0)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VLOOKUP($A29,[20]TONTMAI23!$A$6:$P$35,12,0)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5"/>
        <v>0</v>
      </c>
      <c r="BE29" s="82"/>
      <c r="BF29" s="29">
        <f t="shared" si="6"/>
        <v>0</v>
      </c>
      <c r="BG29" s="29">
        <v>7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VLOOKUP(A30,[18]HISTOBQUEMAI23!$A$6:$G$44,3,0)</f>
        <v>115000</v>
      </c>
      <c r="E30" s="9">
        <f>VLOOKUP(A30,[18]HISTOBQUEMAI23!$A$6:$G$39,4,0)</f>
        <v>0</v>
      </c>
      <c r="F30" s="9">
        <f>VLOOKUP(A30,[18]HISTOBQUEMAI23!$A$6:$G$39,5,0)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VLOOKUP($A30,[20]TONTMAI23!$A$6:$P$35,12,0)</f>
        <v>0</v>
      </c>
      <c r="Q30" s="2">
        <f>VLOOKUP($A30,[13]TONTMAI23!$A$6:$P$20,10,0)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5"/>
        <v>0</v>
      </c>
      <c r="BE30" s="82"/>
      <c r="BF30" s="29">
        <f t="shared" si="6"/>
        <v>0</v>
      </c>
      <c r="BG30" s="29">
        <v>7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>
        <v>200000</v>
      </c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VLOOKUP(A31,[18]HISTOBQUEMAI23!$A$6:$G$44,3,0)</f>
        <v>140000</v>
      </c>
      <c r="E31" s="9">
        <f>VLOOKUP(A31,[18]HISTOBQUEMAI23!$A$6:$G$39,4,0)</f>
        <v>0</v>
      </c>
      <c r="F31" s="9">
        <f>VLOOKUP(A31,[18]HISTOBQUEMAI23!$A$6:$G$39,5,0)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VLOOKUP($A31,[20]TONTMAI23!$A$6:$P$35,12,0)</f>
        <v>0</v>
      </c>
      <c r="Q31" s="2"/>
      <c r="R31" s="2">
        <f>VLOOKUP($A31,[19]TONTMAI23!$A$6:$P$21,10,0)</f>
        <v>0</v>
      </c>
      <c r="S31" s="20"/>
      <c r="T31" s="12"/>
      <c r="U31" s="17">
        <f t="shared" si="14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>
        <v>10000</v>
      </c>
      <c r="AF31" s="12" t="s">
        <v>8</v>
      </c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1190000</v>
      </c>
      <c r="AZ31" s="16">
        <f t="shared" si="12"/>
        <v>1190000</v>
      </c>
      <c r="BA31" s="58"/>
      <c r="BB31" s="58"/>
      <c r="BC31" s="15"/>
      <c r="BD31" s="57">
        <f t="shared" si="15"/>
        <v>1190000</v>
      </c>
      <c r="BE31" s="82">
        <v>1190000</v>
      </c>
      <c r="BF31" s="29">
        <f t="shared" si="6"/>
        <v>0</v>
      </c>
      <c r="BG31" s="29">
        <v>7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VLOOKUP(A32,[18]HISTOBQUEMAI23!$A$6:$G$44,3,0)</f>
        <v>255000</v>
      </c>
      <c r="E32" s="9">
        <f>VLOOKUP(A32,[18]HISTOBQUEMAI23!$A$6:$G$39,4,0)</f>
        <v>0</v>
      </c>
      <c r="F32" s="9">
        <f>VLOOKUP(A32,[18]HISTOBQUEMAI23!$A$6:$G$39,5,0)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VLOOKUP($A32,[20]TONTMAI23!$A$6:$P$35,12,0)</f>
        <v>0</v>
      </c>
      <c r="Q32" s="2">
        <f>VLOOKUP($A32,[13]TONTMAI23!$A$6:$P$20,10,0)</f>
        <v>140000</v>
      </c>
      <c r="R32" s="2"/>
      <c r="S32" s="20"/>
      <c r="T32" s="12"/>
      <c r="U32" s="17">
        <f t="shared" si="14"/>
        <v>255000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2000</v>
      </c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2"/>
        <v>100000</v>
      </c>
      <c r="BA32" s="58">
        <v>100000</v>
      </c>
      <c r="BB32" s="58"/>
      <c r="BC32" s="15"/>
      <c r="BD32" s="57">
        <f t="shared" si="15"/>
        <v>0</v>
      </c>
      <c r="BE32" s="82"/>
      <c r="BF32" s="29">
        <f t="shared" si="6"/>
        <v>0</v>
      </c>
      <c r="BG32" s="29">
        <v>7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9">
        <f t="shared" si="0"/>
        <v>-3000</v>
      </c>
      <c r="D33" s="9">
        <f>VLOOKUP(A33,[18]HISTOBQUEMAI23!$A$6:$G$44,3,0)</f>
        <v>0</v>
      </c>
      <c r="E33" s="9">
        <f>VLOOKUP(A33,[18]HISTOBQUEMAI23!$A$6:$G$39,4,0)</f>
        <v>40000</v>
      </c>
      <c r="F33" s="9">
        <f>VLOOKUP(A33,[18]HISTOBQUEMAI23!$A$6:$G$39,5,0)</f>
        <v>0</v>
      </c>
      <c r="G33" s="5">
        <f t="shared" si="7"/>
        <v>3000</v>
      </c>
      <c r="H33" s="10" t="str">
        <f t="shared" si="1"/>
        <v>ESPECES</v>
      </c>
      <c r="I33" s="10"/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VLOOKUP($A33,[20]TONTMAI23!$A$6:$P$35,12,0)</f>
        <v>0</v>
      </c>
      <c r="Q33" s="2"/>
      <c r="R33" s="2"/>
      <c r="S33" s="20"/>
      <c r="T33" s="12"/>
      <c r="U33" s="17">
        <f t="shared" si="14"/>
        <v>43000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>IF(H33="ECHEC",0,(K33+I33-25000))-3000</f>
        <v>12000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5"/>
        <v>0</v>
      </c>
      <c r="BE33" s="82"/>
      <c r="BF33" s="29">
        <f t="shared" si="6"/>
        <v>0</v>
      </c>
      <c r="BG33" s="29">
        <v>7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200000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VLOOKUP(A34,[18]HISTOBQUEMAI23!$A$6:$G$44,3,0)</f>
        <v>100000</v>
      </c>
      <c r="E34" s="9">
        <f>VLOOKUP(A34,[18]HISTOBQUEMAI23!$A$6:$G$39,4,0)</f>
        <v>0</v>
      </c>
      <c r="F34" s="9">
        <f>VLOOKUP(A34,[18]HISTOBQUEMAI23!$A$6:$G$39,5,0)</f>
        <v>0</v>
      </c>
      <c r="G34" s="5">
        <f t="shared" si="7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VLOOKUP($A34,[20]TONTMAI23!$A$6:$P$35,12,0)</f>
        <v>0</v>
      </c>
      <c r="Q34" s="2"/>
      <c r="R34" s="2"/>
      <c r="S34" s="20"/>
      <c r="T34" s="12"/>
      <c r="U34" s="17">
        <f t="shared" si="14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5"/>
        <v>0</v>
      </c>
      <c r="BE34" s="82"/>
      <c r="BF34" s="29">
        <f t="shared" si="6"/>
        <v>0</v>
      </c>
      <c r="BG34" s="29">
        <v>7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43000</v>
      </c>
      <c r="D35" s="9">
        <f>VLOOKUP(A35,[18]HISTOBQUEMAI23!$A$6:$G$44,3,0)</f>
        <v>0</v>
      </c>
      <c r="E35" s="9">
        <f>VLOOKUP(A35,[18]HISTOBQUEMAI23!$A$6:$G$39,4,0)</f>
        <v>86000</v>
      </c>
      <c r="F35" s="9">
        <f>VLOOKUP(A35,[18]HISTOBQUEMAI23!$A$6:$G$39,5,0)</f>
        <v>0</v>
      </c>
      <c r="G35" s="5">
        <f>IF(H35="ESPECES",3000,0)</f>
        <v>3000</v>
      </c>
      <c r="H35" s="10" t="str">
        <f t="shared" si="1"/>
        <v>ESPECES</v>
      </c>
      <c r="I35" s="10"/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VLOOKUP($A35,[20]TONTMAI23!$A$6:$P$35,12,0)</f>
        <v>0</v>
      </c>
      <c r="Q35" s="2"/>
      <c r="R35" s="2"/>
      <c r="S35" s="20"/>
      <c r="T35" s="12"/>
      <c r="U35" s="17">
        <f t="shared" si="14"/>
        <v>43000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>IF(H35="ECHEC",0,(K35+I35-25000))+8000</f>
        <v>23000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5"/>
        <v>0</v>
      </c>
      <c r="BE35" s="82"/>
      <c r="BF35" s="29">
        <f t="shared" si="6"/>
        <v>0</v>
      </c>
      <c r="BG35" s="29">
        <v>7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VLOOKUP(A36,[18]HISTOBQUEMAI23!$A$6:$G$44,3,0)</f>
        <v>290000</v>
      </c>
      <c r="E36" s="9">
        <f>VLOOKUP(A36,[18]HISTOBQUEMAI23!$A$6:$G$39,4,0)</f>
        <v>0</v>
      </c>
      <c r="F36" s="9">
        <f>VLOOKUP(A36,[18]HISTOBQUEMAI23!$A$6:$G$39,5,0)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VLOOKUP($A36,[20]TONTMAI23!$A$6:$P$35,12,0)</f>
        <v>0</v>
      </c>
      <c r="Q36" s="2">
        <f>VLOOKUP($A36,[13]TONTMAI23!$A$6:$P$20,10,0)</f>
        <v>0</v>
      </c>
      <c r="R36" s="2">
        <f>VLOOKUP($A36,[19]TONTMAI23!$A$6:$P$21,10,0)</f>
        <v>0</v>
      </c>
      <c r="S36" s="6"/>
      <c r="T36" s="12"/>
      <c r="U36" s="17">
        <f t="shared" si="14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5"/>
        <v>0</v>
      </c>
      <c r="BE36" s="82"/>
      <c r="BF36" s="29">
        <f t="shared" si="6"/>
        <v>0</v>
      </c>
      <c r="BG36" s="29">
        <v>7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160000</v>
      </c>
      <c r="D38" s="5">
        <f t="shared" si="16"/>
        <v>4819000</v>
      </c>
      <c r="E38" s="5">
        <f t="shared" si="16"/>
        <v>476000</v>
      </c>
      <c r="F38" s="5">
        <f t="shared" si="16"/>
        <v>280000</v>
      </c>
      <c r="G38" s="5">
        <f t="shared" si="16"/>
        <v>15000</v>
      </c>
      <c r="H38" s="5">
        <f t="shared" si="16"/>
        <v>0</v>
      </c>
      <c r="I38" s="5">
        <f t="shared" si="16"/>
        <v>607000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146000</v>
      </c>
      <c r="Q38" s="5">
        <f t="shared" si="16"/>
        <v>393000</v>
      </c>
      <c r="R38" s="5">
        <f t="shared" si="16"/>
        <v>99000</v>
      </c>
      <c r="S38" s="5">
        <f t="shared" si="16"/>
        <v>0</v>
      </c>
      <c r="T38" s="5"/>
      <c r="U38" s="5">
        <f t="shared" ref="U38:AA38" si="17">SUM(U6:U37)</f>
        <v>5135000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8500</v>
      </c>
      <c r="AD38" s="5">
        <f>SUM(AD6:AD37)</f>
        <v>25000</v>
      </c>
      <c r="AE38" s="5">
        <f>SUM(AE6:AE37)</f>
        <v>10000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29500</v>
      </c>
      <c r="AJ38" s="5">
        <f t="shared" si="18"/>
        <v>288000</v>
      </c>
      <c r="AK38" s="5">
        <f t="shared" si="18"/>
        <v>450000</v>
      </c>
      <c r="AL38" s="5">
        <f t="shared" si="18"/>
        <v>1500</v>
      </c>
      <c r="AM38" s="5">
        <f t="shared" si="18"/>
        <v>6000</v>
      </c>
      <c r="AN38" s="5">
        <f t="shared" si="18"/>
        <v>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1062000</v>
      </c>
      <c r="AT38" s="5">
        <f t="shared" si="18"/>
        <v>120000</v>
      </c>
      <c r="AU38" s="5">
        <f t="shared" si="18"/>
        <v>0</v>
      </c>
      <c r="AV38" s="5">
        <f t="shared" si="18"/>
        <v>0</v>
      </c>
      <c r="AW38" s="5">
        <f t="shared" si="18"/>
        <v>921000</v>
      </c>
      <c r="AX38" s="5">
        <f t="shared" si="18"/>
        <v>2063000</v>
      </c>
      <c r="AY38" s="5">
        <f t="shared" si="18"/>
        <v>1640000</v>
      </c>
      <c r="AZ38" s="5">
        <f t="shared" si="18"/>
        <v>4617000</v>
      </c>
      <c r="BA38" s="5">
        <f t="shared" si="18"/>
        <v>476000</v>
      </c>
      <c r="BB38" s="5">
        <f t="shared" si="18"/>
        <v>280000</v>
      </c>
      <c r="BC38" s="5">
        <f t="shared" si="18"/>
        <v>0</v>
      </c>
      <c r="BD38" s="5">
        <f t="shared" si="18"/>
        <v>4818000</v>
      </c>
      <c r="BE38" s="5">
        <v>4788000</v>
      </c>
      <c r="BF38" s="5">
        <f>SUM(BF6:BF37)</f>
        <v>30000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200000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D40" s="70">
        <f>BD38-BE38</f>
        <v>30000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306000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4617000</v>
      </c>
      <c r="D43" s="9">
        <f>SUMIFS(D8:D38,H8:H38,"BANQUE")</f>
        <v>4604000</v>
      </c>
      <c r="F43" s="9">
        <f>E38</f>
        <v>476000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8931000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R18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VLOOKUP(A6,[18]HISTOBQUEMAI23!$A$6:$G$44,3,0)</f>
        <v>175000</v>
      </c>
      <c r="E6" s="9">
        <f>VLOOKUP(A6,[18]HISTOBQUEMAI23!$A$6:$G$39,4,0)</f>
        <v>0</v>
      </c>
      <c r="F6" s="9">
        <f>VLOOKUP(A6,[18]HISTOBQUEMAI23!$A$6:$G$39,5,0)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VLOOKUP($A6,[13]TONTMAI23!$A$6:$P$20,10,0)</f>
        <v>0</v>
      </c>
      <c r="R6" s="2">
        <f>VLOOKUP($A6,[19]TONTMAI23!$A$6:$P$21,10,0)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SUM(AV6:AY6)-BF6+Z6-F6+BH6+BI6+BJ6+BK6+BL6+BM6-3000</f>
        <v>303000</v>
      </c>
      <c r="BA6" s="58">
        <v>3000</v>
      </c>
      <c r="BB6" s="58"/>
      <c r="BC6" s="15"/>
      <c r="BD6" s="57">
        <f>IF(AZ6=0,(AZ6-BA6-BC6),(AZ6-BA6-BB6-BC6))+BH6</f>
        <v>306000</v>
      </c>
      <c r="BE6" s="82">
        <v>276000</v>
      </c>
      <c r="BF6" s="29">
        <f t="shared" ref="BF6:BF36" si="6">Z6*1/100*BG6</f>
        <v>0</v>
      </c>
      <c r="BG6" s="29">
        <v>7</v>
      </c>
      <c r="BH6" s="15">
        <f>BP16</f>
        <v>6000</v>
      </c>
      <c r="BI6" s="15">
        <f>BP28</f>
        <v>0</v>
      </c>
      <c r="BJ6" s="15">
        <f>BP33</f>
        <v>200000</v>
      </c>
      <c r="BK6" s="15">
        <f>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VLOOKUP(A7,[18]HISTOBQUEMAI23!$A$6:$G$44,3,0)</f>
        <v>40000</v>
      </c>
      <c r="E7" s="9">
        <f>VLOOKUP(A7,[18]HISTOBQUEMAI23!$A$6:$G$39,4,0)</f>
        <v>0</v>
      </c>
      <c r="F7" s="9">
        <f>VLOOKUP(A7,[18]HISTOBQUEMAI23!$A$6:$G$39,5,0)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VLOOKUP($A7,[20]TONTMAI23!$A$6:$P$35,12,0)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>IF(AZ7=0,(AZ7-BA7-BC7),(AZ7-BA7-BB7-BC7))+F7</f>
        <v>0</v>
      </c>
      <c r="BE7" s="82"/>
      <c r="BF7" s="29">
        <f t="shared" si="6"/>
        <v>0</v>
      </c>
      <c r="BG7" s="29">
        <v>7</v>
      </c>
      <c r="BH7" s="15">
        <f>BP17</f>
        <v>0</v>
      </c>
      <c r="BI7" s="15"/>
      <c r="BJ7" s="15"/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VLOOKUP(A8,[18]HISTOBQUEMAI23!$A$6:$G$44,3,0)</f>
        <v>115000</v>
      </c>
      <c r="E8" s="9">
        <f>VLOOKUP(A8,[18]HISTOBQUEMAI23!$A$6:$G$39,4,0)</f>
        <v>0</v>
      </c>
      <c r="F8" s="9">
        <f>VLOOKUP(A8,[18]HISTOBQUEMAI23!$A$6:$G$39,5,0)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VLOOKUP($A8,[20]TONTMAI23!$A$6:$P$35,12,0)</f>
        <v>0</v>
      </c>
      <c r="Q8" s="2">
        <f>VLOOKUP($A8,[13]TONTMAI23!$A$6:$P$20,10,0)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ref="BD8:BD36" si="15">IF(AZ8=0,(AZ8-BA8-BC8),(AZ8-BA8-BB8-BC8))+F8</f>
        <v>0</v>
      </c>
      <c r="BE8" s="82"/>
      <c r="BF8" s="29">
        <f t="shared" si="6"/>
        <v>0</v>
      </c>
      <c r="BG8" s="29">
        <v>7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VLOOKUP(A9,[18]HISTOBQUEMAI23!$A$6:$G$44,3,0)</f>
        <v>145000</v>
      </c>
      <c r="E9" s="9">
        <f>VLOOKUP(A9,[18]HISTOBQUEMAI23!$A$6:$G$39,4,0)</f>
        <v>23000</v>
      </c>
      <c r="F9" s="9">
        <f>VLOOKUP(A9,[18]HISTOBQUEMAI23!$A$6:$G$39,5,0)</f>
        <v>0</v>
      </c>
      <c r="G9" s="5">
        <f t="shared" si="7"/>
        <v>0</v>
      </c>
      <c r="H9" s="10" t="str">
        <f t="shared" si="1"/>
        <v>BANQUE</v>
      </c>
      <c r="I9" s="10">
        <v>5000</v>
      </c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VLOOKUP($A9,[20]TONTMAI23!$A$6:$P$35,12,0)</f>
        <v>23000</v>
      </c>
      <c r="Q9" s="2"/>
      <c r="R9" s="2">
        <f>VLOOKUP($A9,[19]TONTMAI23!$A$6:$P$21,10,0)</f>
        <v>0</v>
      </c>
      <c r="S9" s="20"/>
      <c r="T9" s="12"/>
      <c r="U9" s="17">
        <f t="shared" si="14"/>
        <v>168000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50000</v>
      </c>
      <c r="AL9" s="12"/>
      <c r="AM9" s="12"/>
      <c r="AN9" s="12">
        <v>1000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20000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50000</v>
      </c>
      <c r="AZ9" s="16">
        <f t="shared" si="12"/>
        <v>50000</v>
      </c>
      <c r="BA9" s="58">
        <v>50000</v>
      </c>
      <c r="BB9" s="58"/>
      <c r="BC9" s="15"/>
      <c r="BD9" s="57">
        <f>IF(AZ9=0,(AZ9-BA9-BC9),(AZ9-BA9-BB9-BC9))+F9+690000</f>
        <v>690000</v>
      </c>
      <c r="BE9" s="82">
        <v>690000</v>
      </c>
      <c r="BF9" s="29">
        <f t="shared" si="6"/>
        <v>0</v>
      </c>
      <c r="BG9" s="29">
        <v>7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VLOOKUP(A10,[18]HISTOBQUEMAI23!$A$6:$G$44,3,0)</f>
        <v>0</v>
      </c>
      <c r="E10" s="9">
        <f>VLOOKUP(A10,[18]HISTOBQUEMAI23!$A$6:$G$39,4,0)</f>
        <v>105000</v>
      </c>
      <c r="F10" s="9">
        <f>VLOOKUP(A10,[18]HISTOBQUEMAI23!$A$6:$G$39,5,0)</f>
        <v>0</v>
      </c>
      <c r="G10" s="5">
        <f t="shared" si="7"/>
        <v>3000</v>
      </c>
      <c r="H10" s="10" t="str">
        <f t="shared" si="1"/>
        <v>ESPECES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VLOOKUP($A10,[20]TONTMAI23!$A$6:$P$35,12,0)</f>
        <v>62000</v>
      </c>
      <c r="Q10" s="2"/>
      <c r="R10" s="2"/>
      <c r="S10" s="20"/>
      <c r="T10" s="12"/>
      <c r="U10" s="17">
        <f t="shared" si="14"/>
        <v>105000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5"/>
        <v>0</v>
      </c>
      <c r="BE10" s="82"/>
      <c r="BF10" s="29">
        <f t="shared" si="6"/>
        <v>0</v>
      </c>
      <c r="BG10" s="29">
        <v>7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VLOOKUP(A11,[18]HISTOBQUEMAI23!$A$6:$G$44,3,0)</f>
        <v>267000</v>
      </c>
      <c r="E11" s="9">
        <f>VLOOKUP(A11,[18]HISTOBQUEMAI23!$A$6:$G$39,4,0)</f>
        <v>0</v>
      </c>
      <c r="F11" s="9">
        <f>VLOOKUP(A11,[18]HISTOBQUEMAI23!$A$6:$G$39,5,0)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VLOOKUP($A11,[20]TONTMAI23!$A$6:$P$35,12,0)</f>
        <v>0</v>
      </c>
      <c r="Q11" s="2">
        <f>VLOOKUP($A11,[13]TONTMAI23!$A$6:$P$20,10,0)</f>
        <v>152000</v>
      </c>
      <c r="R11" s="2"/>
      <c r="S11" s="20"/>
      <c r="T11" s="12"/>
      <c r="U11" s="17">
        <f t="shared" si="14"/>
        <v>267000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29500</v>
      </c>
      <c r="AJ11" s="12">
        <f>50000+50000</f>
        <v>100000</v>
      </c>
      <c r="AK11" s="12"/>
      <c r="AL11" s="12">
        <v>1500</v>
      </c>
      <c r="AM11" s="12">
        <f>1000+1000</f>
        <v>2000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29500</v>
      </c>
      <c r="AX11" s="15">
        <f t="shared" si="10"/>
        <v>100000</v>
      </c>
      <c r="AY11" s="15">
        <f t="shared" si="11"/>
        <v>0</v>
      </c>
      <c r="AZ11" s="16">
        <f t="shared" si="12"/>
        <v>129500</v>
      </c>
      <c r="BA11" s="58">
        <v>50000</v>
      </c>
      <c r="BB11" s="58"/>
      <c r="BC11" s="15"/>
      <c r="BD11" s="57">
        <f t="shared" si="15"/>
        <v>79500</v>
      </c>
      <c r="BE11" s="82">
        <f>50000+29500</f>
        <v>79500</v>
      </c>
      <c r="BF11" s="29">
        <f t="shared" si="6"/>
        <v>0</v>
      </c>
      <c r="BG11" s="29">
        <v>7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VLOOKUP(A12,[18]HISTOBQUEMAI23!$A$6:$G$44,3,0)</f>
        <v>420000</v>
      </c>
      <c r="E12" s="9">
        <f>VLOOKUP(A12,[18]HISTOBQUEMAI23!$A$6:$G$39,4,0)</f>
        <v>0</v>
      </c>
      <c r="F12" s="9">
        <f>VLOOKUP(A12,[18]HISTOBQUEMAI23!$A$6:$G$39,5,0)</f>
        <v>70000</v>
      </c>
      <c r="G12" s="5">
        <f t="shared" si="7"/>
        <v>0</v>
      </c>
      <c r="H12" s="10" t="str">
        <f t="shared" si="1"/>
        <v>BANQUE</v>
      </c>
      <c r="I12" s="10">
        <v>105000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VLOOKUP($A12,[20]TONTMAI23!$A$6:$P$35,12,0)</f>
        <v>0</v>
      </c>
      <c r="Q12" s="2">
        <f>VLOOKUP($A12,[13]TONTMAI23!$A$6:$P$20,10,0)</f>
        <v>0</v>
      </c>
      <c r="R12" s="2">
        <f>VLOOKUP($A12,[19]TONTMAI23!$A$6:$P$21,10,0)</f>
        <v>0</v>
      </c>
      <c r="S12" s="20"/>
      <c r="T12" s="12"/>
      <c r="U12" s="17">
        <f t="shared" si="14"/>
        <v>420000</v>
      </c>
      <c r="V12" s="12"/>
      <c r="W12" s="12"/>
      <c r="X12" s="12"/>
      <c r="Y12" s="12"/>
      <c r="Z12" s="12"/>
      <c r="AA12" s="12"/>
      <c r="AB12" s="12"/>
      <c r="AC12" s="12"/>
      <c r="AD12" s="12">
        <v>10000</v>
      </c>
      <c r="AE12" s="12"/>
      <c r="AF12" s="12" t="s">
        <v>8</v>
      </c>
      <c r="AG12" s="12"/>
      <c r="AH12" s="12"/>
      <c r="AI12" s="12"/>
      <c r="AJ12" s="12">
        <v>38000</v>
      </c>
      <c r="AK12" s="12">
        <v>200000</v>
      </c>
      <c r="AL12" s="12"/>
      <c r="AM12" s="12">
        <v>1000</v>
      </c>
      <c r="AN12" s="12">
        <v>2000</v>
      </c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120000</v>
      </c>
      <c r="AT12" s="12"/>
      <c r="AV12" s="15"/>
      <c r="AW12" s="15">
        <f t="shared" si="9"/>
        <v>0</v>
      </c>
      <c r="AX12" s="15">
        <f t="shared" si="10"/>
        <v>928000</v>
      </c>
      <c r="AY12" s="15">
        <f t="shared" si="11"/>
        <v>200000</v>
      </c>
      <c r="AZ12" s="16">
        <f>SUM(AV12:AY12)-BF12+Z12-F12+BH12+BI12+BJ12+BK12+BL12+BM12</f>
        <v>1058000</v>
      </c>
      <c r="BA12" s="58">
        <v>23000</v>
      </c>
      <c r="BB12" s="58">
        <v>70000</v>
      </c>
      <c r="BC12" s="15"/>
      <c r="BD12" s="57">
        <f t="shared" si="15"/>
        <v>1035000</v>
      </c>
      <c r="BE12" s="82">
        <f>200000+820000+15000</f>
        <v>1035000</v>
      </c>
      <c r="BF12" s="29">
        <f t="shared" si="6"/>
        <v>0</v>
      </c>
      <c r="BG12" s="29">
        <v>7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VLOOKUP(A13,[18]HISTOBQUEMAI23!$A$6:$G$44,3,0)</f>
        <v>40000</v>
      </c>
      <c r="E13" s="9">
        <f>VLOOKUP(A13,[18]HISTOBQUEMAI23!$A$6:$G$39,4,0)</f>
        <v>0</v>
      </c>
      <c r="F13" s="9">
        <f>VLOOKUP(A13,[18]HISTOBQUEMAI23!$A$6:$G$39,5,0)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VLOOKUP($A13,[20]TONTMAI23!$A$6:$P$35,12,0)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5"/>
        <v>0</v>
      </c>
      <c r="BE13" s="82"/>
      <c r="BF13" s="29">
        <f t="shared" si="6"/>
        <v>0</v>
      </c>
      <c r="BG13" s="29">
        <v>7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VLOOKUP(A14,[18]HISTOBQUEMAI23!$A$6:$G$44,3,0)</f>
        <v>40000</v>
      </c>
      <c r="E14" s="9">
        <f>VLOOKUP(A14,[18]HISTOBQUEMAI23!$A$6:$G$39,4,0)</f>
        <v>0</v>
      </c>
      <c r="F14" s="9">
        <f>VLOOKUP(A14,[18]HISTOBQUEMAI23!$A$6:$G$39,5,0)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VLOOKUP($A14,[20]TONTMAI23!$A$6:$P$35,12,0)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5"/>
        <v>0</v>
      </c>
      <c r="BE14" s="82"/>
      <c r="BF14" s="29">
        <f t="shared" si="6"/>
        <v>0</v>
      </c>
      <c r="BG14" s="29">
        <v>7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VLOOKUP(A15,[18]HISTOBQUEMAI23!$A$6:$G$44,3,0)</f>
        <v>0</v>
      </c>
      <c r="E15" s="9">
        <f>VLOOKUP(A15,[18]HISTOBQUEMAI23!$A$6:$G$39,4,0)</f>
        <v>118000</v>
      </c>
      <c r="F15" s="9">
        <f>VLOOKUP(A15,[18]HISTOBQUEMAI23!$A$6:$G$39,5,0)</f>
        <v>0</v>
      </c>
      <c r="G15" s="5">
        <f t="shared" si="7"/>
        <v>3000</v>
      </c>
      <c r="H15" s="10" t="str">
        <f t="shared" si="1"/>
        <v>ESPECES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VLOOKUP($A15,[20]TONTMAI23!$A$6:$P$35,12,0)</f>
        <v>0</v>
      </c>
      <c r="Q15" s="2">
        <f>VLOOKUP($A15,[13]TONTMAI23!$A$6:$P$20,10,0)</f>
        <v>0</v>
      </c>
      <c r="R15" s="2"/>
      <c r="S15" s="20"/>
      <c r="T15" s="12"/>
      <c r="U15" s="17">
        <f t="shared" si="14"/>
        <v>118000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5"/>
        <v>0</v>
      </c>
      <c r="BE15" s="82"/>
      <c r="BF15" s="29">
        <f t="shared" si="6"/>
        <v>0</v>
      </c>
      <c r="BG15" s="29">
        <v>7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VLOOKUP(A16,[18]HISTOBQUEMAI23!$A$6:$G$44,3,0)</f>
        <v>230000</v>
      </c>
      <c r="E16" s="9">
        <f>VLOOKUP(A16,[18]HISTOBQUEMAI23!$A$6:$G$39,4,0)</f>
        <v>0</v>
      </c>
      <c r="F16" s="9">
        <f>VLOOKUP(A16,[18]HISTOBQUEMAI23!$A$6:$G$39,5,0)</f>
        <v>70000</v>
      </c>
      <c r="G16" s="5">
        <f t="shared" si="7"/>
        <v>0</v>
      </c>
      <c r="H16" s="10" t="str">
        <f t="shared" si="1"/>
        <v>BANQUE</v>
      </c>
      <c r="I16" s="10">
        <v>15000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VLOOKUP($A16,[20]TONTMAI23!$A$6:$P$35,12,0)</f>
        <v>0</v>
      </c>
      <c r="Q16" s="2">
        <f>VLOOKUP($A16,[13]TONTMAI23!$A$6:$P$20,10,0)</f>
        <v>0</v>
      </c>
      <c r="R16" s="2">
        <f>VLOOKUP($A16,[19]TONTMAI23!$A$6:$P$21,10,0)</f>
        <v>0</v>
      </c>
      <c r="S16" s="20"/>
      <c r="T16" s="12"/>
      <c r="U16" s="17">
        <f t="shared" si="14"/>
        <v>230000</v>
      </c>
      <c r="V16" s="12"/>
      <c r="W16" s="12"/>
      <c r="X16" s="12"/>
      <c r="Y16" s="12"/>
      <c r="Z16" s="12"/>
      <c r="AA16" s="12"/>
      <c r="AB16" s="12"/>
      <c r="AC16" s="12">
        <v>2500</v>
      </c>
      <c r="AD16" s="12"/>
      <c r="AE16" s="12"/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30000</v>
      </c>
      <c r="AT16" s="12"/>
      <c r="AV16" s="15"/>
      <c r="AW16" s="15">
        <f t="shared" si="9"/>
        <v>297500</v>
      </c>
      <c r="AX16" s="15">
        <f t="shared" si="10"/>
        <v>0</v>
      </c>
      <c r="AY16" s="15">
        <f t="shared" si="11"/>
        <v>0</v>
      </c>
      <c r="AZ16" s="16">
        <f t="shared" si="12"/>
        <v>227500</v>
      </c>
      <c r="BA16" s="58"/>
      <c r="BB16" s="58">
        <v>70000</v>
      </c>
      <c r="BC16" s="15"/>
      <c r="BD16" s="57">
        <f t="shared" si="15"/>
        <v>227500</v>
      </c>
      <c r="BE16" s="82">
        <v>227500</v>
      </c>
      <c r="BF16" s="29">
        <f t="shared" si="6"/>
        <v>0</v>
      </c>
      <c r="BG16" s="29">
        <v>7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VLOOKUP(A17,[18]HISTOBQUEMAI23!$A$6:$G$44,3,0)</f>
        <v>140000</v>
      </c>
      <c r="E17" s="9">
        <f>VLOOKUP(A17,[18]HISTOBQUEMAI23!$A$6:$G$39,4,0)</f>
        <v>0</v>
      </c>
      <c r="F17" s="9">
        <f>VLOOKUP(A17,[18]HISTOBQUEMAI23!$A$6:$G$39,5,0)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VLOOKUP($A17,[20]TONTMAI23!$A$6:$P$35,12,0)</f>
        <v>0</v>
      </c>
      <c r="Q17" s="2"/>
      <c r="R17" s="2">
        <f>VLOOKUP($A17,[19]TONTMAI23!$A$6:$P$21,10,0)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5"/>
        <v>0</v>
      </c>
      <c r="BE17" s="82"/>
      <c r="BF17" s="29">
        <f t="shared" si="6"/>
        <v>0</v>
      </c>
      <c r="BG17" s="29">
        <v>7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9">
        <f t="shared" si="0"/>
        <v>0</v>
      </c>
      <c r="D18" s="9">
        <f>VLOOKUP(A18,[18]HISTOBQUEMAI23!$A$6:$G$44,3,0)</f>
        <v>315000</v>
      </c>
      <c r="E18" s="9">
        <f>VLOOKUP(A18,[18]HISTOBQUEMAI23!$A$6:$G$39,4,0)</f>
        <v>0</v>
      </c>
      <c r="F18" s="9">
        <f>VLOOKUP(A18,[18]HISTOBQUEMAI23!$A$6:$G$39,5,0)</f>
        <v>0</v>
      </c>
      <c r="G18" s="5">
        <f t="shared" si="7"/>
        <v>0</v>
      </c>
      <c r="H18" s="10" t="str">
        <f t="shared" si="1"/>
        <v>BANQUE</v>
      </c>
      <c r="I18" s="10">
        <v>-1000</v>
      </c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VLOOKUP($A18,[20]TONTMAI23!$A$6:$P$35,12,0)</f>
        <v>0</v>
      </c>
      <c r="Q18" s="2">
        <f>VLOOKUP($A18,[13]TONTMAI23!$A$6:$P$20,10,0)</f>
        <v>101000</v>
      </c>
      <c r="R18" s="2">
        <f>VLOOKUP($A18,[19]TONTMAI23!$A$6:$P$21,10,0)</f>
        <v>0</v>
      </c>
      <c r="S18" s="20"/>
      <c r="T18" s="12"/>
      <c r="U18" s="17">
        <f t="shared" si="14"/>
        <v>315000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>IF(H18="ECHEC",0,(K18+I18-25000))</f>
        <v>14000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5"/>
        <v>0</v>
      </c>
      <c r="BE18" s="82"/>
      <c r="BF18" s="29">
        <f t="shared" si="6"/>
        <v>0</v>
      </c>
      <c r="BG18" s="29">
        <v>7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VLOOKUP(A19,[18]HISTOBQUEMAI23!$A$6:$G$44,3,0)</f>
        <v>40000</v>
      </c>
      <c r="E19" s="9">
        <f>VLOOKUP(A19,[18]HISTOBQUEMAI23!$A$6:$G$39,4,0)</f>
        <v>0</v>
      </c>
      <c r="F19" s="9">
        <f>VLOOKUP(A19,[18]HISTOBQUEMAI23!$A$6:$G$39,5,0)</f>
        <v>70000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VLOOKUP($A19,[20]TONTMAI23!$A$6:$P$35,12,0)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>
        <v>3000</v>
      </c>
      <c r="AD19" s="12"/>
      <c r="AE19" s="12"/>
      <c r="AF19" s="12" t="s">
        <v>8</v>
      </c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297000</v>
      </c>
      <c r="AX19" s="15">
        <f t="shared" si="10"/>
        <v>0</v>
      </c>
      <c r="AY19" s="15">
        <f t="shared" si="11"/>
        <v>0</v>
      </c>
      <c r="AZ19" s="16">
        <f t="shared" si="12"/>
        <v>227000</v>
      </c>
      <c r="BA19" s="58"/>
      <c r="BB19" s="58">
        <v>70000</v>
      </c>
      <c r="BC19" s="15"/>
      <c r="BD19" s="57">
        <f t="shared" si="15"/>
        <v>227000</v>
      </c>
      <c r="BE19" s="82">
        <v>227000</v>
      </c>
      <c r="BF19" s="29">
        <f t="shared" si="6"/>
        <v>0</v>
      </c>
      <c r="BG19" s="29">
        <v>7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VLOOKUP(A20,[18]HISTOBQUEMAI23!$A$6:$G$44,3,0)</f>
        <v>215000</v>
      </c>
      <c r="E20" s="9">
        <f>VLOOKUP(A20,[18]HISTOBQUEMAI23!$A$6:$G$39,4,0)</f>
        <v>0</v>
      </c>
      <c r="F20" s="9">
        <f>VLOOKUP(A20,[18]HISTOBQUEMAI23!$A$6:$G$39,5,0)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VLOOKUP($A20,[20]TONTMAI23!$A$6:$P$35,12,0)</f>
        <v>0</v>
      </c>
      <c r="Q20" s="2">
        <f>VLOOKUP($A20,[13]TONTMAI23!$A$6:$P$20,10,0)</f>
        <v>0</v>
      </c>
      <c r="R20" s="2">
        <f>VLOOKUP($A20,[19]TONTMAI23!$A$6:$P$21,10,0)</f>
        <v>0</v>
      </c>
      <c r="S20" s="20"/>
      <c r="T20" s="12"/>
      <c r="U20" s="17">
        <f t="shared" si="14"/>
        <v>215000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0</v>
      </c>
      <c r="BA20" s="58"/>
      <c r="BB20" s="58"/>
      <c r="BC20" s="15"/>
      <c r="BD20" s="57">
        <f t="shared" si="15"/>
        <v>0</v>
      </c>
      <c r="BE20" s="82"/>
      <c r="BF20" s="29">
        <f t="shared" si="6"/>
        <v>0</v>
      </c>
      <c r="BG20" s="29">
        <v>7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VLOOKUP(A21,[18]HISTOBQUEMAI23!$A$6:$G$44,3,0)</f>
        <v>40000</v>
      </c>
      <c r="E21" s="9">
        <f>VLOOKUP(A21,[18]HISTOBQUEMAI23!$A$6:$G$39,4,0)</f>
        <v>0</v>
      </c>
      <c r="F21" s="9">
        <f>VLOOKUP(A21,[18]HISTOBQUEMAI23!$A$6:$G$39,5,0)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VLOOKUP($A21,[20]TONTMAI23!$A$6:$P$35,12,0)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5"/>
        <v>0</v>
      </c>
      <c r="BE21" s="82"/>
      <c r="BF21" s="29">
        <f t="shared" si="6"/>
        <v>0</v>
      </c>
      <c r="BG21" s="29">
        <v>7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VLOOKUP(A22,[18]HISTOBQUEMAI23!$A$6:$G$44,3,0)</f>
        <v>115000</v>
      </c>
      <c r="E22" s="9">
        <f>VLOOKUP(A22,[18]HISTOBQUEMAI23!$A$6:$G$39,4,0)</f>
        <v>0</v>
      </c>
      <c r="F22" s="9">
        <f>VLOOKUP(A22,[18]HISTOBQUEMAI23!$A$6:$G$39,5,0)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VLOOKUP($A22,[20]TONTMAI23!$A$6:$P$35,12,0)</f>
        <v>0</v>
      </c>
      <c r="Q22" s="2">
        <f>VLOOKUP($A22,[13]TONTMAI23!$A$6:$P$20,10,0)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5"/>
        <v>0</v>
      </c>
      <c r="BE22" s="82"/>
      <c r="BF22" s="29">
        <f t="shared" si="6"/>
        <v>0</v>
      </c>
      <c r="BG22" s="29">
        <v>7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VLOOKUP(A23,[18]HISTOBQUEMAI23!$A$6:$G$44,3,0)</f>
        <v>250000</v>
      </c>
      <c r="E23" s="9">
        <f>VLOOKUP(A23,[18]HISTOBQUEMAI23!$A$6:$G$39,4,0)</f>
        <v>0</v>
      </c>
      <c r="F23" s="9">
        <f>VLOOKUP(A23,[18]HISTOBQUEMAI23!$A$6:$G$39,5,0)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VLOOKUP($A23,[20]TONTMAI23!$A$6:$P$35,12,0)</f>
        <v>0</v>
      </c>
      <c r="Q23" s="2"/>
      <c r="R23" s="2">
        <f>VLOOKUP($A23,[19]TONTMAI23!$A$6:$P$21,10,0)</f>
        <v>0</v>
      </c>
      <c r="S23" s="20"/>
      <c r="T23" s="12"/>
      <c r="U23" s="17">
        <f t="shared" si="14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200000</v>
      </c>
      <c r="AZ23" s="16">
        <f t="shared" si="12"/>
        <v>200000</v>
      </c>
      <c r="BA23" s="58">
        <v>200000</v>
      </c>
      <c r="BB23" s="58"/>
      <c r="BC23" s="15"/>
      <c r="BD23" s="57">
        <f t="shared" si="15"/>
        <v>0</v>
      </c>
      <c r="BE23" s="82"/>
      <c r="BF23" s="29">
        <f t="shared" si="6"/>
        <v>0</v>
      </c>
      <c r="BG23" s="29">
        <v>7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VLOOKUP(A24,[18]HISTOBQUEMAI23!$A$6:$G$44,3,0)</f>
        <v>210000</v>
      </c>
      <c r="E24" s="9">
        <f>VLOOKUP(A24,[18]HISTOBQUEMAI23!$A$6:$G$39,4,0)</f>
        <v>0</v>
      </c>
      <c r="F24" s="9">
        <f>VLOOKUP(A24,[18]HISTOBQUEMAI23!$A$6:$G$39,5,0)+70000</f>
        <v>70000</v>
      </c>
      <c r="G24" s="5">
        <f t="shared" si="7"/>
        <v>0</v>
      </c>
      <c r="H24" s="10" t="str">
        <f t="shared" si="1"/>
        <v>BANQUE</v>
      </c>
      <c r="I24" s="10">
        <v>-5000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VLOOKUP($A24,[20]TONTMAI23!$A$6:$P$35,12,0)</f>
        <v>0</v>
      </c>
      <c r="Q24" s="2">
        <f>VLOOKUP($A24,[13]TONTMAI23!$A$6:$P$20,10,0)</f>
        <v>0</v>
      </c>
      <c r="R24" s="2">
        <f>VLOOKUP($A24,[19]TONTMAI23!$A$6:$P$21,10,0)</f>
        <v>0</v>
      </c>
      <c r="S24" s="20"/>
      <c r="T24" s="12"/>
      <c r="U24" s="17">
        <f t="shared" si="14"/>
        <v>210000</v>
      </c>
      <c r="V24" s="12"/>
      <c r="W24" s="12"/>
      <c r="X24" s="12"/>
      <c r="Y24" s="12"/>
      <c r="Z24" s="12"/>
      <c r="AA24" s="12"/>
      <c r="AB24" s="12"/>
      <c r="AC24" s="12">
        <v>3000</v>
      </c>
      <c r="AD24" s="12"/>
      <c r="AE24" s="12"/>
      <c r="AF24" s="12" t="s">
        <v>8</v>
      </c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>IF(H24="ECHEC",0,(K24+I24-25000))</f>
        <v>10000</v>
      </c>
      <c r="AT24" s="12"/>
      <c r="AV24" s="15"/>
      <c r="AW24" s="15">
        <f t="shared" si="9"/>
        <v>297000</v>
      </c>
      <c r="AX24" s="15">
        <f t="shared" si="10"/>
        <v>0</v>
      </c>
      <c r="AY24" s="15">
        <f t="shared" si="11"/>
        <v>0</v>
      </c>
      <c r="AZ24" s="16">
        <f t="shared" si="12"/>
        <v>227000</v>
      </c>
      <c r="BA24" s="58"/>
      <c r="BB24" s="58">
        <v>70000</v>
      </c>
      <c r="BC24" s="15"/>
      <c r="BD24" s="57">
        <f t="shared" si="15"/>
        <v>227000</v>
      </c>
      <c r="BE24" s="82">
        <v>227000</v>
      </c>
      <c r="BF24" s="29">
        <f t="shared" si="6"/>
        <v>0</v>
      </c>
      <c r="BG24" s="29">
        <v>7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VLOOKUP(A25,[18]HISTOBQUEMAI23!$A$6:$G$44,3,0)+27000</f>
        <v>407000</v>
      </c>
      <c r="E25" s="9">
        <f>VLOOKUP(A25,[18]HISTOBQUEMAI23!$A$6:$G$39,4,0)</f>
        <v>0</v>
      </c>
      <c r="F25" s="9">
        <f>VLOOKUP(A25,[18]HISTOBQUEMAI23!$A$6:$G$39,5,0)</f>
        <v>0</v>
      </c>
      <c r="G25" s="5">
        <f t="shared" si="7"/>
        <v>0</v>
      </c>
      <c r="H25" s="10" t="str">
        <f t="shared" si="1"/>
        <v>BANQUE</v>
      </c>
      <c r="I25" s="10">
        <v>18000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VLOOKUP($A25,[20]TONTMAI23!$A$6:$P$35,12,0)</f>
        <v>0</v>
      </c>
      <c r="Q25" s="2">
        <f>VLOOKUP($A25,[13]TONTMAI23!$A$6:$P$20,10,0)</f>
        <v>0</v>
      </c>
      <c r="R25" s="2">
        <f>VLOOKUP($A25,[19]TONTMAI23!$A$6:$P$21,10,0)</f>
        <v>99000</v>
      </c>
      <c r="S25" s="20"/>
      <c r="T25" s="12"/>
      <c r="U25" s="17">
        <f t="shared" si="14"/>
        <v>407000</v>
      </c>
      <c r="V25" s="12"/>
      <c r="W25" s="12"/>
      <c r="X25" s="12"/>
      <c r="Y25" s="12"/>
      <c r="Z25" s="12"/>
      <c r="AA25" s="12"/>
      <c r="AB25" s="12"/>
      <c r="AC25" s="12"/>
      <c r="AD25" s="12">
        <v>15000</v>
      </c>
      <c r="AE25" s="12"/>
      <c r="AF25" s="12" t="s">
        <v>8</v>
      </c>
      <c r="AG25" s="12"/>
      <c r="AH25" s="12"/>
      <c r="AI25" s="12"/>
      <c r="AJ25" s="12">
        <v>50000</v>
      </c>
      <c r="AK25" s="12"/>
      <c r="AL25" s="12"/>
      <c r="AM25" s="12">
        <v>1000</v>
      </c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>IF(H25="ECHEC",0,(K25+I25-25000))</f>
        <v>33000</v>
      </c>
      <c r="AT25" s="12"/>
      <c r="AV25" s="15"/>
      <c r="AW25" s="15">
        <f t="shared" si="9"/>
        <v>0</v>
      </c>
      <c r="AX25" s="15">
        <f t="shared" si="10"/>
        <v>935000</v>
      </c>
      <c r="AY25" s="15">
        <f t="shared" si="11"/>
        <v>0</v>
      </c>
      <c r="AZ25" s="16">
        <f>SUM(AV25:AY25)-BF25+Z25-F25+BH25+BI25+BJ25+BK25+BL25+BM25</f>
        <v>935000</v>
      </c>
      <c r="BA25" s="58">
        <v>50000</v>
      </c>
      <c r="BB25" s="58"/>
      <c r="BC25" s="15"/>
      <c r="BD25" s="57">
        <f>IF(AZ25=0,(AZ25-BA25-BC25),(AZ25-BA25-BB25-BC25))+F25-49000</f>
        <v>836000</v>
      </c>
      <c r="BE25" s="82">
        <v>836000</v>
      </c>
      <c r="BF25" s="29">
        <f t="shared" si="6"/>
        <v>0</v>
      </c>
      <c r="BG25" s="29">
        <v>7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VLOOKUP(A26,[18]HISTOBQUEMAI23!$A$6:$G$44,3,0)</f>
        <v>0</v>
      </c>
      <c r="E26" s="9">
        <f>VLOOKUP(A26,[18]HISTOBQUEMAI23!$A$6:$G$39,4,0)</f>
        <v>104000</v>
      </c>
      <c r="F26" s="9">
        <f>VLOOKUP(A26,[18]HISTOBQUEMAI23!$A$6:$G$39,5,0)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VLOOKUP($A26,[20]TONTMAI23!$A$6:$P$35,12,0)</f>
        <v>61000</v>
      </c>
      <c r="Q26" s="2"/>
      <c r="R26" s="2"/>
      <c r="S26" s="20"/>
      <c r="T26" s="12"/>
      <c r="U26" s="17">
        <f t="shared" si="14"/>
        <v>104000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-30000</v>
      </c>
      <c r="BA26" s="58"/>
      <c r="BB26" s="58"/>
      <c r="BC26" s="15"/>
      <c r="BD26" s="57">
        <f>IF(AZ26=0,(AZ26-BA26-BC26),(AZ26-BA26-BB26-BC26))+F26+30000</f>
        <v>0</v>
      </c>
      <c r="BE26" s="82">
        <f>BD25-BE25</f>
        <v>0</v>
      </c>
      <c r="BF26" s="29">
        <f>Z26*1/100*BG26+30000</f>
        <v>30000</v>
      </c>
      <c r="BG26" s="29">
        <v>7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9">
        <f t="shared" si="0"/>
        <v>120000</v>
      </c>
      <c r="D27" s="9">
        <f>VLOOKUP(A27,[18]HISTOBQUEMAI23!$A$6:$G$44,3,0)</f>
        <v>560000</v>
      </c>
      <c r="E27" s="9">
        <f>VLOOKUP(A27,[18]HISTOBQUEMAI23!$A$6:$G$39,4,0)</f>
        <v>0</v>
      </c>
      <c r="F27" s="9">
        <f>VLOOKUP(A27,[18]HISTOBQUEMAI23!$A$6:$G$39,5,0)</f>
        <v>0</v>
      </c>
      <c r="G27" s="5">
        <f t="shared" si="7"/>
        <v>0</v>
      </c>
      <c r="H27" s="10" t="str">
        <f t="shared" si="1"/>
        <v>BANQUE</v>
      </c>
      <c r="I27" s="10">
        <v>400000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VLOOKUP($A27,[20]TONTMAI23!$A$6:$P$35,12,0)</f>
        <v>0</v>
      </c>
      <c r="Q27" s="2"/>
      <c r="R27" s="2"/>
      <c r="S27" s="20"/>
      <c r="T27" s="12"/>
      <c r="U27" s="17">
        <f t="shared" si="14"/>
        <v>440000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415000</v>
      </c>
      <c r="AT27" s="12">
        <v>120000</v>
      </c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5"/>
        <v>0</v>
      </c>
      <c r="BE27" s="82"/>
      <c r="BF27" s="29">
        <f t="shared" si="6"/>
        <v>0</v>
      </c>
      <c r="BG27" s="29">
        <v>7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VLOOKUP(A28,[18]HISTOBQUEMAI23!$A$6:$G$44,3,0)</f>
        <v>115000</v>
      </c>
      <c r="E28" s="9">
        <f>VLOOKUP(A28,[18]HISTOBQUEMAI23!$A$6:$G$39,4,0)</f>
        <v>0</v>
      </c>
      <c r="F28" s="9">
        <f>VLOOKUP(A28,[18]HISTOBQUEMAI23!$A$6:$G$39,5,0)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VLOOKUP($A28,[20]TONTMAI23!$A$6:$P$35,12,0)</f>
        <v>0</v>
      </c>
      <c r="Q28" s="2">
        <f>VLOOKUP($A28,[13]TONTMAI23!$A$6:$P$20,10,0)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5"/>
        <v>0</v>
      </c>
      <c r="BE28" s="82"/>
      <c r="BF28" s="29">
        <f t="shared" si="6"/>
        <v>0</v>
      </c>
      <c r="BG28" s="29">
        <v>7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VLOOKUP(A29,[18]HISTOBQUEMAI23!$A$6:$G$44,3,0)</f>
        <v>40000</v>
      </c>
      <c r="E29" s="9">
        <f>VLOOKUP(A29,[18]HISTOBQUEMAI23!$A$6:$G$39,4,0)</f>
        <v>0</v>
      </c>
      <c r="F29" s="9">
        <f>VLOOKUP(A29,[18]HISTOBQUEMAI23!$A$6:$G$39,5,0)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VLOOKUP($A29,[20]TONTMAI23!$A$6:$P$35,12,0)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5"/>
        <v>0</v>
      </c>
      <c r="BE29" s="82"/>
      <c r="BF29" s="29">
        <f t="shared" si="6"/>
        <v>0</v>
      </c>
      <c r="BG29" s="29">
        <v>7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VLOOKUP(A30,[18]HISTOBQUEMAI23!$A$6:$G$44,3,0)</f>
        <v>115000</v>
      </c>
      <c r="E30" s="9">
        <f>VLOOKUP(A30,[18]HISTOBQUEMAI23!$A$6:$G$39,4,0)</f>
        <v>0</v>
      </c>
      <c r="F30" s="9">
        <f>VLOOKUP(A30,[18]HISTOBQUEMAI23!$A$6:$G$39,5,0)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VLOOKUP($A30,[20]TONTMAI23!$A$6:$P$35,12,0)</f>
        <v>0</v>
      </c>
      <c r="Q30" s="2">
        <f>VLOOKUP($A30,[13]TONTMAI23!$A$6:$P$20,10,0)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5"/>
        <v>0</v>
      </c>
      <c r="BE30" s="82"/>
      <c r="BF30" s="29">
        <f t="shared" si="6"/>
        <v>0</v>
      </c>
      <c r="BG30" s="29">
        <v>7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>
        <v>200000</v>
      </c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VLOOKUP(A31,[18]HISTOBQUEMAI23!$A$6:$G$44,3,0)</f>
        <v>140000</v>
      </c>
      <c r="E31" s="9">
        <f>VLOOKUP(A31,[18]HISTOBQUEMAI23!$A$6:$G$39,4,0)</f>
        <v>0</v>
      </c>
      <c r="F31" s="9">
        <f>VLOOKUP(A31,[18]HISTOBQUEMAI23!$A$6:$G$39,5,0)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VLOOKUP($A31,[20]TONTMAI23!$A$6:$P$35,12,0)</f>
        <v>0</v>
      </c>
      <c r="Q31" s="2"/>
      <c r="R31" s="2">
        <f>VLOOKUP($A31,[19]TONTMAI23!$A$6:$P$21,10,0)</f>
        <v>0</v>
      </c>
      <c r="S31" s="20"/>
      <c r="T31" s="12"/>
      <c r="U31" s="17">
        <f t="shared" si="14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>
        <v>10000</v>
      </c>
      <c r="AF31" s="12" t="s">
        <v>8</v>
      </c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1190000</v>
      </c>
      <c r="AZ31" s="16">
        <f t="shared" si="12"/>
        <v>1190000</v>
      </c>
      <c r="BA31" s="58"/>
      <c r="BB31" s="58"/>
      <c r="BC31" s="15"/>
      <c r="BD31" s="57">
        <f t="shared" si="15"/>
        <v>1190000</v>
      </c>
      <c r="BE31" s="82">
        <v>1190000</v>
      </c>
      <c r="BF31" s="29">
        <f t="shared" si="6"/>
        <v>0</v>
      </c>
      <c r="BG31" s="29">
        <v>7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VLOOKUP(A32,[18]HISTOBQUEMAI23!$A$6:$G$44,3,0)</f>
        <v>255000</v>
      </c>
      <c r="E32" s="9">
        <f>VLOOKUP(A32,[18]HISTOBQUEMAI23!$A$6:$G$39,4,0)</f>
        <v>0</v>
      </c>
      <c r="F32" s="9">
        <f>VLOOKUP(A32,[18]HISTOBQUEMAI23!$A$6:$G$39,5,0)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VLOOKUP($A32,[20]TONTMAI23!$A$6:$P$35,12,0)</f>
        <v>0</v>
      </c>
      <c r="Q32" s="2">
        <f>VLOOKUP($A32,[13]TONTMAI23!$A$6:$P$20,10,0)</f>
        <v>140000</v>
      </c>
      <c r="R32" s="2"/>
      <c r="S32" s="20"/>
      <c r="T32" s="12"/>
      <c r="U32" s="17">
        <f t="shared" si="14"/>
        <v>255000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2000</v>
      </c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2"/>
        <v>100000</v>
      </c>
      <c r="BA32" s="58">
        <v>100000</v>
      </c>
      <c r="BB32" s="58"/>
      <c r="BC32" s="15"/>
      <c r="BD32" s="57">
        <f t="shared" si="15"/>
        <v>0</v>
      </c>
      <c r="BE32" s="82"/>
      <c r="BF32" s="29">
        <f t="shared" si="6"/>
        <v>0</v>
      </c>
      <c r="BG32" s="29">
        <v>7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9">
        <f t="shared" si="0"/>
        <v>-3000</v>
      </c>
      <c r="D33" s="9">
        <f>VLOOKUP(A33,[18]HISTOBQUEMAI23!$A$6:$G$44,3,0)</f>
        <v>0</v>
      </c>
      <c r="E33" s="9">
        <f>VLOOKUP(A33,[18]HISTOBQUEMAI23!$A$6:$G$39,4,0)</f>
        <v>40000</v>
      </c>
      <c r="F33" s="9">
        <f>VLOOKUP(A33,[18]HISTOBQUEMAI23!$A$6:$G$39,5,0)</f>
        <v>0</v>
      </c>
      <c r="G33" s="5">
        <f t="shared" si="7"/>
        <v>3000</v>
      </c>
      <c r="H33" s="10" t="str">
        <f t="shared" si="1"/>
        <v>ESPECES</v>
      </c>
      <c r="I33" s="10"/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VLOOKUP($A33,[20]TONTMAI23!$A$6:$P$35,12,0)</f>
        <v>0</v>
      </c>
      <c r="Q33" s="2"/>
      <c r="R33" s="2"/>
      <c r="S33" s="20"/>
      <c r="T33" s="12"/>
      <c r="U33" s="17">
        <f t="shared" si="14"/>
        <v>43000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>IF(H33="ECHEC",0,(K33+I33-25000))-3000</f>
        <v>12000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5"/>
        <v>0</v>
      </c>
      <c r="BE33" s="82"/>
      <c r="BF33" s="29">
        <f t="shared" si="6"/>
        <v>0</v>
      </c>
      <c r="BG33" s="29">
        <v>7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200000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VLOOKUP(A34,[18]HISTOBQUEMAI23!$A$6:$G$44,3,0)</f>
        <v>100000</v>
      </c>
      <c r="E34" s="9">
        <f>VLOOKUP(A34,[18]HISTOBQUEMAI23!$A$6:$G$39,4,0)</f>
        <v>0</v>
      </c>
      <c r="F34" s="9">
        <f>VLOOKUP(A34,[18]HISTOBQUEMAI23!$A$6:$G$39,5,0)</f>
        <v>0</v>
      </c>
      <c r="G34" s="5">
        <f t="shared" si="7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VLOOKUP($A34,[20]TONTMAI23!$A$6:$P$35,12,0)</f>
        <v>0</v>
      </c>
      <c r="Q34" s="2"/>
      <c r="R34" s="2"/>
      <c r="S34" s="20"/>
      <c r="T34" s="12"/>
      <c r="U34" s="17">
        <f t="shared" si="14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5"/>
        <v>0</v>
      </c>
      <c r="BE34" s="82"/>
      <c r="BF34" s="29">
        <f t="shared" si="6"/>
        <v>0</v>
      </c>
      <c r="BG34" s="29">
        <v>7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43000</v>
      </c>
      <c r="D35" s="9">
        <f>VLOOKUP(A35,[18]HISTOBQUEMAI23!$A$6:$G$44,3,0)</f>
        <v>0</v>
      </c>
      <c r="E35" s="9">
        <f>VLOOKUP(A35,[18]HISTOBQUEMAI23!$A$6:$G$39,4,0)</f>
        <v>86000</v>
      </c>
      <c r="F35" s="9">
        <f>VLOOKUP(A35,[18]HISTOBQUEMAI23!$A$6:$G$39,5,0)</f>
        <v>0</v>
      </c>
      <c r="G35" s="5">
        <f>IF(H35="ESPECES",3000,0)</f>
        <v>3000</v>
      </c>
      <c r="H35" s="10" t="str">
        <f t="shared" si="1"/>
        <v>ESPECES</v>
      </c>
      <c r="I35" s="10"/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VLOOKUP($A35,[20]TONTMAI23!$A$6:$P$35,12,0)</f>
        <v>0</v>
      </c>
      <c r="Q35" s="2"/>
      <c r="R35" s="2"/>
      <c r="S35" s="20"/>
      <c r="T35" s="12"/>
      <c r="U35" s="17">
        <f t="shared" si="14"/>
        <v>43000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>IF(H35="ECHEC",0,(K35+I35-25000))+8000</f>
        <v>23000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5"/>
        <v>0</v>
      </c>
      <c r="BE35" s="82"/>
      <c r="BF35" s="29">
        <f t="shared" si="6"/>
        <v>0</v>
      </c>
      <c r="BG35" s="29">
        <v>7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VLOOKUP(A36,[18]HISTOBQUEMAI23!$A$6:$G$44,3,0)</f>
        <v>290000</v>
      </c>
      <c r="E36" s="9">
        <f>VLOOKUP(A36,[18]HISTOBQUEMAI23!$A$6:$G$39,4,0)</f>
        <v>0</v>
      </c>
      <c r="F36" s="9">
        <f>VLOOKUP(A36,[18]HISTOBQUEMAI23!$A$6:$G$39,5,0)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VLOOKUP($A36,[20]TONTMAI23!$A$6:$P$35,12,0)</f>
        <v>0</v>
      </c>
      <c r="Q36" s="2">
        <f>VLOOKUP($A36,[13]TONTMAI23!$A$6:$P$20,10,0)</f>
        <v>0</v>
      </c>
      <c r="R36" s="2">
        <f>VLOOKUP($A36,[19]TONTMAI23!$A$6:$P$21,10,0)</f>
        <v>0</v>
      </c>
      <c r="S36" s="6"/>
      <c r="T36" s="12"/>
      <c r="U36" s="17">
        <f t="shared" si="14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5"/>
        <v>0</v>
      </c>
      <c r="BE36" s="82"/>
      <c r="BF36" s="29">
        <f t="shared" si="6"/>
        <v>0</v>
      </c>
      <c r="BG36" s="29">
        <v>7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160000</v>
      </c>
      <c r="D38" s="5">
        <f t="shared" si="16"/>
        <v>4819000</v>
      </c>
      <c r="E38" s="5">
        <f t="shared" si="16"/>
        <v>476000</v>
      </c>
      <c r="F38" s="5">
        <f t="shared" si="16"/>
        <v>280000</v>
      </c>
      <c r="G38" s="5">
        <f t="shared" si="16"/>
        <v>15000</v>
      </c>
      <c r="H38" s="5">
        <f t="shared" si="16"/>
        <v>0</v>
      </c>
      <c r="I38" s="5">
        <f t="shared" si="16"/>
        <v>607000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146000</v>
      </c>
      <c r="Q38" s="5">
        <f t="shared" si="16"/>
        <v>393000</v>
      </c>
      <c r="R38" s="5">
        <f t="shared" si="16"/>
        <v>99000</v>
      </c>
      <c r="S38" s="5">
        <f t="shared" si="16"/>
        <v>0</v>
      </c>
      <c r="T38" s="5"/>
      <c r="U38" s="5">
        <f t="shared" ref="U38:AA38" si="17">SUM(U6:U37)</f>
        <v>5135000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8500</v>
      </c>
      <c r="AD38" s="5">
        <f>SUM(AD6:AD37)</f>
        <v>25000</v>
      </c>
      <c r="AE38" s="5">
        <f>SUM(AE6:AE37)</f>
        <v>10000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29500</v>
      </c>
      <c r="AJ38" s="5">
        <f t="shared" si="18"/>
        <v>288000</v>
      </c>
      <c r="AK38" s="5">
        <f t="shared" si="18"/>
        <v>450000</v>
      </c>
      <c r="AL38" s="5">
        <f t="shared" si="18"/>
        <v>1500</v>
      </c>
      <c r="AM38" s="5">
        <f t="shared" si="18"/>
        <v>6000</v>
      </c>
      <c r="AN38" s="5">
        <f t="shared" si="18"/>
        <v>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1062000</v>
      </c>
      <c r="AT38" s="5">
        <f t="shared" si="18"/>
        <v>120000</v>
      </c>
      <c r="AU38" s="5">
        <f t="shared" si="18"/>
        <v>0</v>
      </c>
      <c r="AV38" s="5">
        <f t="shared" si="18"/>
        <v>0</v>
      </c>
      <c r="AW38" s="5">
        <f t="shared" si="18"/>
        <v>921000</v>
      </c>
      <c r="AX38" s="5">
        <f t="shared" si="18"/>
        <v>2063000</v>
      </c>
      <c r="AY38" s="5">
        <f t="shared" si="18"/>
        <v>1640000</v>
      </c>
      <c r="AZ38" s="5">
        <f t="shared" si="18"/>
        <v>4617000</v>
      </c>
      <c r="BA38" s="5">
        <f t="shared" si="18"/>
        <v>476000</v>
      </c>
      <c r="BB38" s="5">
        <f t="shared" si="18"/>
        <v>280000</v>
      </c>
      <c r="BC38" s="5">
        <f t="shared" si="18"/>
        <v>0</v>
      </c>
      <c r="BD38" s="5">
        <f t="shared" si="18"/>
        <v>4818000</v>
      </c>
      <c r="BE38" s="5">
        <v>4788000</v>
      </c>
      <c r="BF38" s="5">
        <f>SUM(BF6:BF37)</f>
        <v>30000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200000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D40" s="70">
        <f>BD38-BE38</f>
        <v>30000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306000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4617000</v>
      </c>
      <c r="D43" s="9">
        <f>SUMIFS(D8:D38,H8:H38,"BANQUE")</f>
        <v>4604000</v>
      </c>
      <c r="F43" s="9">
        <f>E38</f>
        <v>476000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8931000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="112" zoomScaleNormal="112" workbookViewId="0">
      <pane xSplit="4" ySplit="5" topLeftCell="R21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0" width="15" customWidth="1"/>
    <col min="51" max="51" width="8.4257812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VLOOKUP(A6,[18]HISTOBQUEJUIN23!$A$6:$G$44,3,0)</f>
        <v>175000</v>
      </c>
      <c r="E6" s="9">
        <f>VLOOKUP(A6,[18]HISTOBQUEJUIN23!$A$6:$G$39,4,0)</f>
        <v>0</v>
      </c>
      <c r="F6" s="9">
        <f>VLOOKUP(A6,[18]HISTOBQUEJUIN23!$A$6:$G$39,5,0)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VLOOKUP($A6,[13]TONTJUIN23!$A$6:$P$20,10,0)</f>
        <v>0</v>
      </c>
      <c r="R6" s="2">
        <f>VLOOKUP($A6,[19]TONTJUIN23!$A$6:$P$21,10,0)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144000</v>
      </c>
      <c r="BA6" s="58"/>
      <c r="BB6" s="58"/>
      <c r="BC6" s="15"/>
      <c r="BD6" s="57">
        <f>IF(AZ6=0,(AZ6-BA6-BC6),(AZ6-BA6-BB6-BC6))+F6</f>
        <v>144000</v>
      </c>
      <c r="BE6" s="82">
        <v>109000</v>
      </c>
      <c r="BF6" s="29">
        <f t="shared" ref="BF6:BF36" si="6">Z6*1/100*BG6</f>
        <v>0</v>
      </c>
      <c r="BG6" s="29">
        <v>6</v>
      </c>
      <c r="BH6" s="15">
        <f>BP16</f>
        <v>24000</v>
      </c>
      <c r="BI6" s="15">
        <f>BP28</f>
        <v>20000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VLOOKUP(A7,[18]HISTOBQUEJUIN23!$A$6:$G$44,3,0)</f>
        <v>40000</v>
      </c>
      <c r="E7" s="9">
        <f>VLOOKUP(A7,[18]HISTOBQUEJUIN23!$A$6:$G$39,4,0)</f>
        <v>0</v>
      </c>
      <c r="F7" s="9">
        <f>VLOOKUP(A7,[18]HISTOBQUEJUIN23!$A$6:$G$39,5,0)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VLOOKUP($A7,[20]TONTJUIN23!$A$6:$P$35,12,0)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>
        <v>600000</v>
      </c>
      <c r="AA7" s="12" t="s">
        <v>8</v>
      </c>
      <c r="AB7" s="12"/>
      <c r="AC7" s="12"/>
      <c r="AD7" s="12"/>
      <c r="AE7" s="12"/>
      <c r="AF7" s="12"/>
      <c r="AG7" s="12"/>
      <c r="AH7" s="12"/>
      <c r="AI7" s="12">
        <v>30000</v>
      </c>
      <c r="AJ7" s="12"/>
      <c r="AK7" s="12"/>
      <c r="AL7" s="12">
        <v>500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30000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594000</v>
      </c>
      <c r="BA7" s="58"/>
      <c r="BB7" s="58"/>
      <c r="BC7" s="15"/>
      <c r="BD7" s="57">
        <f t="shared" ref="BD7:BD36" si="13">IF(AZ7=0,(AZ7-BA7-BC7),(AZ7-BA7-BB7-BC7))+F7</f>
        <v>594000</v>
      </c>
      <c r="BE7" s="82">
        <f>30000+564000</f>
        <v>594000</v>
      </c>
      <c r="BF7" s="29">
        <f t="shared" si="6"/>
        <v>36000</v>
      </c>
      <c r="BG7" s="29">
        <v>6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VLOOKUP(A8,[18]HISTOBQUEJUIN23!$A$6:$G$44,3,0)+500000</f>
        <v>615000</v>
      </c>
      <c r="E8" s="9">
        <f>VLOOKUP(A8,[18]HISTOBQUEJUIN23!$A$6:$G$39,4,0)</f>
        <v>0</v>
      </c>
      <c r="F8" s="9">
        <f>VLOOKUP(A8,[18]HISTOBQUEJUIN23!$A$6:$G$39,5,0)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VLOOKUP($A8,[20]TONTJUIN23!$A$6:$P$35,12,0)</f>
        <v>0</v>
      </c>
      <c r="Q8" s="2">
        <f>VLOOKUP($A8,[13]TONTJUIN23!$A$6:$P$20,10,0)</f>
        <v>0</v>
      </c>
      <c r="R8" s="2"/>
      <c r="S8" s="20">
        <v>500000</v>
      </c>
      <c r="T8" s="12" t="s">
        <v>8</v>
      </c>
      <c r="U8" s="17">
        <f t="shared" ref="U8:U36" si="15">G8+S8++R8+P8+O8+M8+I8+K8+Q8+V8+W8</f>
        <v>615000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6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15000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VLOOKUP(A9,[18]HISTOBQUEJUIN23!$A$6:$G$44,3,0)</f>
        <v>191000</v>
      </c>
      <c r="E9" s="9">
        <f>VLOOKUP(A9,[18]HISTOBQUEJUIN23!$A$6:$G$39,4,0)</f>
        <v>0</v>
      </c>
      <c r="F9" s="9">
        <f>VLOOKUP(A9,[18]HISTOBQUEJUIN23!$A$6:$G$39,5,0)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VLOOKUP($A9,[20]TONTJUIN23!$A$6:$P$35,12,0)</f>
        <v>0</v>
      </c>
      <c r="Q9" s="2"/>
      <c r="R9" s="2">
        <f>VLOOKUP($A9,[19]TONTJUIN23!$A$6:$P$21,10,0)</f>
        <v>51000</v>
      </c>
      <c r="S9" s="20"/>
      <c r="T9" s="12"/>
      <c r="U9" s="17">
        <f t="shared" si="15"/>
        <v>191000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184000</v>
      </c>
      <c r="AL9" s="12"/>
      <c r="AM9" s="12"/>
      <c r="AN9" s="12">
        <v>1500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184000</v>
      </c>
      <c r="AZ9" s="16">
        <f t="shared" si="12"/>
        <v>184000</v>
      </c>
      <c r="BA9" s="58"/>
      <c r="BB9" s="58"/>
      <c r="BC9" s="15"/>
      <c r="BD9" s="57">
        <f t="shared" si="13"/>
        <v>184000</v>
      </c>
      <c r="BE9" s="82">
        <v>184000</v>
      </c>
      <c r="BF9" s="29">
        <f t="shared" si="6"/>
        <v>0</v>
      </c>
      <c r="BG9" s="29">
        <v>6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VLOOKUP(A10,[18]HISTOBQUEJUIN23!$A$6:$G$44,3,0)</f>
        <v>0</v>
      </c>
      <c r="E10" s="9">
        <f>VLOOKUP(A10,[18]HISTOBQUEJUIN23!$A$6:$G$39,4,0)</f>
        <v>43000</v>
      </c>
      <c r="F10" s="9">
        <f>VLOOKUP(A10,[18]HISTOBQUEJUIN23!$A$6:$G$39,5,0)</f>
        <v>0</v>
      </c>
      <c r="G10" s="5">
        <f>IF(H10="ESPECES",3000,0)</f>
        <v>3000</v>
      </c>
      <c r="H10" s="10" t="str">
        <f t="shared" si="1"/>
        <v>ESPECES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VLOOKUP($A10,[20]TONTJUIN23!$A$6:$P$35,12,0)</f>
        <v>0</v>
      </c>
      <c r="Q10" s="2"/>
      <c r="R10" s="2"/>
      <c r="S10" s="20"/>
      <c r="T10" s="12"/>
      <c r="U10" s="17">
        <f t="shared" si="15"/>
        <v>43000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6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-500</v>
      </c>
      <c r="D11" s="9">
        <f>VLOOKUP(A11,[18]HISTOBQUEJUIN23!$A$6:$G$44,3,0)+81500</f>
        <v>251500</v>
      </c>
      <c r="E11" s="9">
        <f>VLOOKUP(A11,[18]HISTOBQUEJUIN23!$A$6:$G$39,4,0)</f>
        <v>0</v>
      </c>
      <c r="F11" s="9">
        <f>VLOOKUP(A11,[18]HISTOBQUEJUIN23!$A$6:$G$39,5,0)</f>
        <v>0</v>
      </c>
      <c r="G11" s="5">
        <f t="shared" si="7"/>
        <v>0</v>
      </c>
      <c r="H11" s="10" t="str">
        <f t="shared" si="1"/>
        <v>BANQUE</v>
      </c>
      <c r="I11" s="10">
        <v>4000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VLOOKUP($A11,[20]TONTJUIN23!$A$6:$P$35,12,0)</f>
        <v>31000</v>
      </c>
      <c r="Q11" s="2">
        <f>VLOOKUP($A11,[13]TONTJUIN23!$A$6:$P$20,10,0)</f>
        <v>102000</v>
      </c>
      <c r="R11" s="2"/>
      <c r="S11" s="20"/>
      <c r="T11" s="12"/>
      <c r="U11" s="17">
        <f t="shared" si="15"/>
        <v>252000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30000</v>
      </c>
      <c r="AJ11" s="12">
        <v>100000</v>
      </c>
      <c r="AK11" s="12"/>
      <c r="AL11" s="12">
        <v>500</v>
      </c>
      <c r="AM11" s="12">
        <v>2000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19000</v>
      </c>
      <c r="AT11" s="12"/>
      <c r="AV11" s="15"/>
      <c r="AW11" s="15">
        <f t="shared" si="9"/>
        <v>30000</v>
      </c>
      <c r="AX11" s="15">
        <f t="shared" si="10"/>
        <v>100000</v>
      </c>
      <c r="AY11" s="15">
        <f t="shared" si="11"/>
        <v>0</v>
      </c>
      <c r="AZ11" s="16">
        <f t="shared" si="12"/>
        <v>130000</v>
      </c>
      <c r="BA11" s="58">
        <v>50000</v>
      </c>
      <c r="BB11" s="58"/>
      <c r="BC11" s="15"/>
      <c r="BD11" s="57">
        <f t="shared" si="13"/>
        <v>80000</v>
      </c>
      <c r="BE11" s="82">
        <f>50000+30000</f>
        <v>80000</v>
      </c>
      <c r="BF11" s="29">
        <f t="shared" si="6"/>
        <v>0</v>
      </c>
      <c r="BG11" s="29">
        <v>6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>
        <v>3000</v>
      </c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VLOOKUP(A12,[18]HISTOBQUEJUIN23!$A$6:$G$44,3,0)+202500</f>
        <v>590500</v>
      </c>
      <c r="E12" s="9">
        <f>VLOOKUP(A12,[18]HISTOBQUEJUIN23!$A$6:$G$39,4,0)</f>
        <v>0</v>
      </c>
      <c r="F12" s="9">
        <f>VLOOKUP(A12,[18]HISTOBQUEJUIN23!$A$6:$G$39,5,0)+1000000</f>
        <v>1000000</v>
      </c>
      <c r="G12" s="5">
        <f t="shared" si="7"/>
        <v>0</v>
      </c>
      <c r="H12" s="10" t="str">
        <f t="shared" si="1"/>
        <v>BANQUE</v>
      </c>
      <c r="I12" s="10">
        <v>34500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VLOOKUP($A12,[20]TONTJUIN23!$A$6:$P$35,12,0)</f>
        <v>0</v>
      </c>
      <c r="Q12" s="2">
        <f>VLOOKUP($A12,[13]TONTJUIN23!$A$6:$P$20,10,0)</f>
        <v>39000</v>
      </c>
      <c r="R12" s="2">
        <f>VLOOKUP($A12,[19]TONTJUIN23!$A$6:$P$21,10,0)</f>
        <v>202000</v>
      </c>
      <c r="S12" s="20">
        <v>1000000</v>
      </c>
      <c r="T12" s="12" t="s">
        <v>8</v>
      </c>
      <c r="U12" s="17">
        <f t="shared" si="15"/>
        <v>1590500</v>
      </c>
      <c r="V12" s="12"/>
      <c r="W12" s="12"/>
      <c r="X12" s="12"/>
      <c r="Y12" s="12"/>
      <c r="Z12" s="12">
        <v>705000</v>
      </c>
      <c r="AA12" s="12" t="s">
        <v>8</v>
      </c>
      <c r="AB12" s="12"/>
      <c r="AC12" s="12">
        <v>5000</v>
      </c>
      <c r="AD12" s="12"/>
      <c r="AE12" s="12"/>
      <c r="AF12" s="12"/>
      <c r="AG12" s="12"/>
      <c r="AH12" s="12"/>
      <c r="AI12" s="12">
        <v>30000</v>
      </c>
      <c r="AJ12" s="12"/>
      <c r="AK12" s="12"/>
      <c r="AL12" s="12">
        <v>500</v>
      </c>
      <c r="AM12" s="12"/>
      <c r="AN12" s="12"/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49500</v>
      </c>
      <c r="AT12" s="12"/>
      <c r="AV12" s="15"/>
      <c r="AW12" s="15">
        <f t="shared" si="9"/>
        <v>325000</v>
      </c>
      <c r="AX12" s="15">
        <f t="shared" si="10"/>
        <v>0</v>
      </c>
      <c r="AY12" s="15">
        <f t="shared" si="11"/>
        <v>0</v>
      </c>
      <c r="AZ12" s="16">
        <f t="shared" si="12"/>
        <v>1800</v>
      </c>
      <c r="BA12" s="58"/>
      <c r="BB12" s="58"/>
      <c r="BC12" s="15"/>
      <c r="BD12" s="57">
        <f>IF(AZ12=0,(AZ12-BA12-BC12),(AZ12-BA12-BB12-BC12))+F12-1001800</f>
        <v>0</v>
      </c>
      <c r="BE12" s="82"/>
      <c r="BF12" s="29">
        <f t="shared" si="6"/>
        <v>28200</v>
      </c>
      <c r="BG12" s="29">
        <v>4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VLOOKUP(A13,[18]HISTOBQUEJUIN23!$A$6:$G$44,3,0)</f>
        <v>40000</v>
      </c>
      <c r="E13" s="9">
        <f>VLOOKUP(A13,[18]HISTOBQUEJUIN23!$A$6:$G$39,4,0)</f>
        <v>0</v>
      </c>
      <c r="F13" s="9">
        <f>VLOOKUP(A13,[18]HISTOBQUEJUIN23!$A$6:$G$39,5,0)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VLOOKUP($A13,[20]TONTJUIN23!$A$6:$P$35,12,0)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6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VLOOKUP(A14,[18]HISTOBQUEJUIN23!$A$6:$G$44,3,0)</f>
        <v>40000</v>
      </c>
      <c r="E14" s="9">
        <f>VLOOKUP(A14,[18]HISTOBQUEJUIN23!$A$6:$G$39,4,0)</f>
        <v>0</v>
      </c>
      <c r="F14" s="9">
        <f>VLOOKUP(A14,[18]HISTOBQUEJUIN23!$A$6:$G$39,5,0)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VLOOKUP($A14,[20]TONTJUIN23!$A$6:$P$35,12,0)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6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VLOOKUP(A15,[18]HISTOBQUEJUIN23!$A$6:$G$44,3,0)</f>
        <v>115000</v>
      </c>
      <c r="E15" s="9">
        <f>VLOOKUP(A15,[18]HISTOBQUEJUIN23!$A$6:$G$39,4,0)</f>
        <v>0</v>
      </c>
      <c r="F15" s="9">
        <f>VLOOKUP(A15,[18]HISTOBQUEJUIN23!$A$6:$G$39,5,0)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VLOOKUP($A15,[20]TONTJUIN23!$A$6:$P$35,12,0)</f>
        <v>0</v>
      </c>
      <c r="Q15" s="2">
        <f>VLOOKUP($A15,[13]TONTJUIN23!$A$6:$P$20,10,0)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6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VLOOKUP(A16,[18]HISTOBQUEJUIN23!$A$6:$G$44,3,0)</f>
        <v>250000</v>
      </c>
      <c r="E16" s="9">
        <f>VLOOKUP(A16,[18]HISTOBQUEJUIN23!$A$6:$G$39,4,0)</f>
        <v>0</v>
      </c>
      <c r="F16" s="9">
        <f>VLOOKUP(A16,[18]HISTOBQUEJUIN23!$A$6:$G$39,5,0)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VLOOKUP($A16,[20]TONTJUIN23!$A$6:$P$35,12,0)</f>
        <v>0</v>
      </c>
      <c r="Q16" s="2">
        <f>VLOOKUP($A16,[13]TONTJUIN23!$A$6:$P$20,10,0)</f>
        <v>0</v>
      </c>
      <c r="R16" s="2">
        <f>VLOOKUP($A16,[19]TONTJUIN23!$A$6:$P$21,10,0)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57">
        <f t="shared" si="13"/>
        <v>0</v>
      </c>
      <c r="BE16" s="82"/>
      <c r="BF16" s="29">
        <f t="shared" si="6"/>
        <v>0</v>
      </c>
      <c r="BG16" s="29">
        <v>6</v>
      </c>
      <c r="BH16" s="15"/>
      <c r="BI16" s="15"/>
      <c r="BJ16" s="15"/>
      <c r="BK16" s="15"/>
      <c r="BL16" s="61"/>
      <c r="BN16" s="62" t="s">
        <v>142</v>
      </c>
      <c r="BP16" s="62">
        <f>SUM(BP6:BP15)</f>
        <v>24000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VLOOKUP(A17,[18]HISTOBQUEJUIN23!$A$6:$G$44,3,0)</f>
        <v>140000</v>
      </c>
      <c r="E17" s="9">
        <f>VLOOKUP(A17,[18]HISTOBQUEJUIN23!$A$6:$G$39,4,0)</f>
        <v>0</v>
      </c>
      <c r="F17" s="9">
        <f>VLOOKUP(A17,[18]HISTOBQUEJUIN23!$A$6:$G$39,5,0)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VLOOKUP($A17,[20]TONTJUIN23!$A$6:$P$35,12,0)</f>
        <v>0</v>
      </c>
      <c r="Q17" s="2"/>
      <c r="R17" s="2">
        <f>VLOOKUP($A17,[19]TONTJUIN23!$A$6:$P$21,10,0)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6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VLOOKUP(A18,[18]HISTOBQUEJUIN23!$A$6:$G$44,3,0)</f>
        <v>1215000</v>
      </c>
      <c r="E18" s="9">
        <f>VLOOKUP(A18,[18]HISTOBQUEJUIN23!$A$6:$G$39,4,0)</f>
        <v>0</v>
      </c>
      <c r="F18" s="9">
        <f>VLOOKUP(A18,[18]HISTOBQUEJUIN23!$A$6:$G$39,5,0)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VLOOKUP($A18,[20]TONTJUIN23!$A$6:$P$35,12,0)</f>
        <v>0</v>
      </c>
      <c r="Q18" s="2">
        <f>VLOOKUP($A18,[13]TONTJUIN23!$A$6:$P$20,10,0)</f>
        <v>0</v>
      </c>
      <c r="R18" s="2">
        <f>VLOOKUP($A18,[19]TONTJUIN23!$A$6:$P$21,10,0)</f>
        <v>0</v>
      </c>
      <c r="S18" s="20">
        <v>1000000</v>
      </c>
      <c r="T18" s="12" t="s">
        <v>8</v>
      </c>
      <c r="U18" s="17">
        <f t="shared" si="15"/>
        <v>1215000</v>
      </c>
      <c r="V18" s="12"/>
      <c r="W18" s="12"/>
      <c r="X18" s="12"/>
      <c r="Y18" s="12"/>
      <c r="Z18" s="12">
        <v>250000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240000</v>
      </c>
      <c r="BA18" s="58"/>
      <c r="BB18" s="58"/>
      <c r="BC18" s="15"/>
      <c r="BD18" s="57">
        <f t="shared" si="13"/>
        <v>240000</v>
      </c>
      <c r="BE18" s="82">
        <v>240000</v>
      </c>
      <c r="BF18" s="29">
        <f t="shared" si="6"/>
        <v>10000</v>
      </c>
      <c r="BG18" s="29">
        <v>4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VLOOKUP(A19,[18]HISTOBQUEJUIN23!$A$6:$G$44,3,0)</f>
        <v>40000</v>
      </c>
      <c r="E19" s="9">
        <f>VLOOKUP(A19,[18]HISTOBQUEJUIN23!$A$6:$G$39,4,0)</f>
        <v>0</v>
      </c>
      <c r="F19" s="9">
        <f>VLOOKUP(A19,[18]HISTOBQUEJUIN23!$A$6:$G$39,5,0)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VLOOKUP($A19,[20]TONTJUIN23!$A$6:$P$35,12,0)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6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>D20+E20+F20-U20-BB20-202000-81500-500000</f>
        <v>0</v>
      </c>
      <c r="D20" s="9">
        <f>VLOOKUP(A20,[18]HISTOBQUEJUIN23!$A$6:$G$44,3,0)-500</f>
        <v>997500</v>
      </c>
      <c r="E20" s="9">
        <f>VLOOKUP(A20,[18]HISTOBQUEJUIN23!$A$6:$G$39,4,0)</f>
        <v>0</v>
      </c>
      <c r="F20" s="9">
        <f>VLOOKUP(A20,[18]HISTOBQUEJUIN23!$A$6:$G$39,5,0)</f>
        <v>0</v>
      </c>
      <c r="G20" s="5">
        <f t="shared" si="7"/>
        <v>0</v>
      </c>
      <c r="H20" s="10" t="str">
        <f t="shared" si="1"/>
        <v>BANQUE</v>
      </c>
      <c r="I20" s="10">
        <v>-1000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VLOOKUP($A20,[20]TONTJUIN23!$A$6:$P$35,12,0)</f>
        <v>0</v>
      </c>
      <c r="Q20" s="2">
        <f>VLOOKUP($A20,[13]TONTJUIN23!$A$6:$P$20,10,0)</f>
        <v>0</v>
      </c>
      <c r="R20" s="2">
        <f>VLOOKUP($A20,[19]TONTJUIN23!$A$6:$P$21,10,0)</f>
        <v>0</v>
      </c>
      <c r="S20" s="20"/>
      <c r="T20" s="12"/>
      <c r="U20" s="17">
        <f t="shared" si="15"/>
        <v>214000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100000</v>
      </c>
      <c r="AK20" s="12">
        <v>200000</v>
      </c>
      <c r="AL20" s="12"/>
      <c r="AM20" s="12">
        <v>2000</v>
      </c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14000</v>
      </c>
      <c r="AT20" s="12"/>
      <c r="AV20" s="15"/>
      <c r="AW20" s="15">
        <f t="shared" si="9"/>
        <v>0</v>
      </c>
      <c r="AX20" s="15">
        <f t="shared" si="10"/>
        <v>100000</v>
      </c>
      <c r="AY20" s="15">
        <f t="shared" si="11"/>
        <v>200000</v>
      </c>
      <c r="AZ20" s="16">
        <f t="shared" si="12"/>
        <v>300000</v>
      </c>
      <c r="BA20" s="58">
        <v>9000</v>
      </c>
      <c r="BB20" s="58"/>
      <c r="BC20" s="15"/>
      <c r="BD20" s="57">
        <f t="shared" si="13"/>
        <v>291000</v>
      </c>
      <c r="BE20" s="82">
        <f>91000+200000</f>
        <v>291000</v>
      </c>
      <c r="BF20" s="29">
        <f t="shared" si="6"/>
        <v>0</v>
      </c>
      <c r="BG20" s="29">
        <v>6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VLOOKUP(A21,[18]HISTOBQUEJUIN23!$A$6:$G$44,3,0)</f>
        <v>40000</v>
      </c>
      <c r="E21" s="9">
        <f>VLOOKUP(A21,[18]HISTOBQUEJUIN23!$A$6:$G$39,4,0)</f>
        <v>0</v>
      </c>
      <c r="F21" s="9">
        <f>VLOOKUP(A21,[18]HISTOBQUEJUIN23!$A$6:$G$39,5,0)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VLOOKUP($A21,[20]TONTJUIN23!$A$6:$P$35,12,0)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6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VLOOKUP(A22,[18]HISTOBQUEJUIN23!$A$6:$G$44,3,0)</f>
        <v>115000</v>
      </c>
      <c r="E22" s="9">
        <f>VLOOKUP(A22,[18]HISTOBQUEJUIN23!$A$6:$G$39,4,0)</f>
        <v>0</v>
      </c>
      <c r="F22" s="9">
        <f>VLOOKUP(A22,[18]HISTOBQUEJUIN23!$A$6:$G$39,5,0)</f>
        <v>70000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VLOOKUP($A22,[20]TONTJUIN23!$A$6:$P$35,12,0)</f>
        <v>0</v>
      </c>
      <c r="Q22" s="2">
        <f>VLOOKUP($A22,[13]TONTJUIN23!$A$6:$P$20,10,0)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>
        <v>4500</v>
      </c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295500</v>
      </c>
      <c r="AX22" s="15">
        <f t="shared" si="10"/>
        <v>0</v>
      </c>
      <c r="AY22" s="15">
        <f t="shared" si="11"/>
        <v>0</v>
      </c>
      <c r="AZ22" s="16">
        <f t="shared" si="12"/>
        <v>225500</v>
      </c>
      <c r="BA22" s="58"/>
      <c r="BB22" s="58">
        <v>70000</v>
      </c>
      <c r="BC22" s="15"/>
      <c r="BD22" s="57">
        <f t="shared" si="13"/>
        <v>225500</v>
      </c>
      <c r="BE22" s="82">
        <f>225500</f>
        <v>225500</v>
      </c>
      <c r="BF22" s="29">
        <f t="shared" si="6"/>
        <v>0</v>
      </c>
      <c r="BG22" s="29">
        <v>6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VLOOKUP(A23,[18]HISTOBQUEJUIN23!$A$6:$G$44,3,0)</f>
        <v>452000</v>
      </c>
      <c r="E23" s="9">
        <f>VLOOKUP(A23,[18]HISTOBQUEJUIN23!$A$6:$G$39,4,0)</f>
        <v>0</v>
      </c>
      <c r="F23" s="9">
        <f>VLOOKUP(A23,[18]HISTOBQUEJUIN23!$A$6:$G$39,5,0)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VLOOKUP($A23,[20]TONTJUIN23!$A$6:$P$35,12,0)</f>
        <v>0</v>
      </c>
      <c r="Q23" s="2"/>
      <c r="R23" s="2">
        <f>VLOOKUP($A23,[19]TONTJUIN23!$A$6:$P$21,10,0)</f>
        <v>202000</v>
      </c>
      <c r="S23" s="20"/>
      <c r="T23" s="12"/>
      <c r="U23" s="17">
        <f t="shared" si="15"/>
        <v>452000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>
        <v>10000</v>
      </c>
      <c r="AF23" s="12" t="s">
        <v>8</v>
      </c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1390000</v>
      </c>
      <c r="AZ23" s="16">
        <f t="shared" si="12"/>
        <v>1390000</v>
      </c>
      <c r="BA23" s="58"/>
      <c r="BB23" s="58"/>
      <c r="BC23" s="15"/>
      <c r="BD23" s="57">
        <f t="shared" si="13"/>
        <v>1390000</v>
      </c>
      <c r="BE23" s="82">
        <f>1190000+200000</f>
        <v>1390000</v>
      </c>
      <c r="BF23" s="29">
        <f t="shared" si="6"/>
        <v>0</v>
      </c>
      <c r="BG23" s="29">
        <v>6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VLOOKUP(A24,[18]HISTOBQUEJUIN23!$A$6:$G$44,3,0)</f>
        <v>215000</v>
      </c>
      <c r="E24" s="9">
        <f>VLOOKUP(A24,[18]HISTOBQUEJUIN23!$A$6:$G$39,4,0)</f>
        <v>0</v>
      </c>
      <c r="F24" s="9">
        <f>VLOOKUP(A24,[18]HISTOBQUEJUIN23!$A$6:$G$39,5,0)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VLOOKUP($A24,[20]TONTJUIN23!$A$6:$P$35,12,0)</f>
        <v>0</v>
      </c>
      <c r="Q24" s="2">
        <f>VLOOKUP($A24,[13]TONTJUIN23!$A$6:$P$20,10,0)</f>
        <v>0</v>
      </c>
      <c r="R24" s="2">
        <f>VLOOKUP($A24,[19]TONTJUIN23!$A$6:$P$21,10,0)</f>
        <v>0</v>
      </c>
      <c r="S24" s="20"/>
      <c r="T24" s="12"/>
      <c r="U24" s="17">
        <f t="shared" si="15"/>
        <v>215000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>
        <v>60000</v>
      </c>
      <c r="AJ24" s="12"/>
      <c r="AK24" s="12"/>
      <c r="AL24" s="12">
        <v>1000</v>
      </c>
      <c r="AM24" s="12"/>
      <c r="AN24" s="12"/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60000</v>
      </c>
      <c r="AX24" s="15">
        <f t="shared" si="10"/>
        <v>0</v>
      </c>
      <c r="AY24" s="15">
        <f t="shared" si="11"/>
        <v>0</v>
      </c>
      <c r="AZ24" s="16">
        <f t="shared" si="12"/>
        <v>60000</v>
      </c>
      <c r="BA24" s="58"/>
      <c r="BB24" s="58"/>
      <c r="BC24" s="15"/>
      <c r="BD24" s="57">
        <f t="shared" si="13"/>
        <v>60000</v>
      </c>
      <c r="BE24" s="82">
        <v>60000</v>
      </c>
      <c r="BF24" s="29">
        <f t="shared" si="6"/>
        <v>0</v>
      </c>
      <c r="BG24" s="29">
        <v>6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VLOOKUP(A25,[18]HISTOBQUEJUIN23!$A$6:$G$44,3,0)</f>
        <v>350000</v>
      </c>
      <c r="E25" s="9">
        <f>VLOOKUP(A25,[18]HISTOBQUEJUIN23!$A$6:$G$39,4,0)</f>
        <v>0</v>
      </c>
      <c r="F25" s="9">
        <f>VLOOKUP(A25,[18]HISTOBQUEJUIN23!$A$6:$G$39,5,0)</f>
        <v>0</v>
      </c>
      <c r="G25" s="5">
        <f t="shared" si="7"/>
        <v>0</v>
      </c>
      <c r="H25" s="10" t="str">
        <f t="shared" si="1"/>
        <v>BANQUE</v>
      </c>
      <c r="I25" s="10">
        <v>9000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VLOOKUP($A25,[20]TONTJUIN23!$A$6:$P$35,12,0)</f>
        <v>0</v>
      </c>
      <c r="Q25" s="2">
        <f>VLOOKUP($A25,[13]TONTJUIN23!$A$6:$P$20,10,0)</f>
        <v>51000</v>
      </c>
      <c r="R25" s="2">
        <f>VLOOKUP($A25,[19]TONTJUIN23!$A$6:$P$21,10,0)</f>
        <v>0</v>
      </c>
      <c r="S25" s="20"/>
      <c r="T25" s="12"/>
      <c r="U25" s="17">
        <f t="shared" si="15"/>
        <v>350000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>
        <v>100000</v>
      </c>
      <c r="AK25" s="12"/>
      <c r="AL25" s="12"/>
      <c r="AM25" s="12">
        <v>2000</v>
      </c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24000</v>
      </c>
      <c r="AT25" s="12"/>
      <c r="AV25" s="15"/>
      <c r="AW25" s="15">
        <f t="shared" si="9"/>
        <v>0</v>
      </c>
      <c r="AX25" s="15">
        <f t="shared" si="10"/>
        <v>100000</v>
      </c>
      <c r="AY25" s="15">
        <f t="shared" si="11"/>
        <v>0</v>
      </c>
      <c r="AZ25" s="16">
        <f t="shared" si="12"/>
        <v>100000</v>
      </c>
      <c r="BA25" s="58"/>
      <c r="BB25" s="58"/>
      <c r="BC25" s="15"/>
      <c r="BD25" s="57">
        <f t="shared" si="13"/>
        <v>100000</v>
      </c>
      <c r="BE25" s="82">
        <v>100000</v>
      </c>
      <c r="BF25" s="29">
        <f t="shared" si="6"/>
        <v>0</v>
      </c>
      <c r="BG25" s="29">
        <v>6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VLOOKUP(A26,[18]HISTOBQUEJUIN23!$A$6:$G$44,3,0)</f>
        <v>40000</v>
      </c>
      <c r="E26" s="9">
        <f>VLOOKUP(A26,[18]HISTOBQUEJUIN23!$A$6:$G$39,4,0)</f>
        <v>0</v>
      </c>
      <c r="F26" s="9">
        <f>VLOOKUP(A26,[18]HISTOBQUEJUIN23!$A$6:$G$39,5,0)</f>
        <v>0</v>
      </c>
      <c r="G26" s="5">
        <f t="shared" si="7"/>
        <v>0</v>
      </c>
      <c r="H26" s="10" t="str">
        <f t="shared" si="1"/>
        <v>BANQUE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VLOOKUP($A26,[20]TONTJUIN23!$A$6:$P$35,12,0)</f>
        <v>0</v>
      </c>
      <c r="Q26" s="2"/>
      <c r="R26" s="2"/>
      <c r="S26" s="20"/>
      <c r="T26" s="12"/>
      <c r="U26" s="17">
        <f t="shared" si="15"/>
        <v>40000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0</v>
      </c>
      <c r="BA26" s="58"/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6</v>
      </c>
      <c r="BH26" s="15"/>
      <c r="BI26" s="15"/>
      <c r="BJ26" s="15"/>
      <c r="BK26" s="15"/>
      <c r="BL26" s="61"/>
      <c r="BN26" t="s">
        <v>192</v>
      </c>
      <c r="BO26" t="s">
        <v>143</v>
      </c>
      <c r="BP26" s="62">
        <v>20000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VLOOKUP(A27,[18]HISTOBQUEJUIN23!$A$6:$G$44,3,0)</f>
        <v>45000</v>
      </c>
      <c r="E27" s="9">
        <f>VLOOKUP(A27,[18]HISTOBQUEJUIN23!$A$6:$G$39,4,0)</f>
        <v>0</v>
      </c>
      <c r="F27" s="9">
        <f>VLOOKUP(A27,[18]HISTOBQUEJUIN23!$A$6:$G$39,5,0)</f>
        <v>0</v>
      </c>
      <c r="G27" s="5">
        <f t="shared" si="7"/>
        <v>0</v>
      </c>
      <c r="H27" s="10" t="str">
        <f t="shared" si="1"/>
        <v>BANQUE</v>
      </c>
      <c r="I27" s="10">
        <v>5000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VLOOKUP($A27,[20]TONTJUIN23!$A$6:$P$35,12,0)</f>
        <v>0</v>
      </c>
      <c r="Q27" s="2"/>
      <c r="R27" s="2"/>
      <c r="S27" s="20"/>
      <c r="T27" s="12"/>
      <c r="U27" s="17">
        <f t="shared" si="15"/>
        <v>45000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20000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6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VLOOKUP(A28,[18]HISTOBQUEJUIN23!$A$6:$G$44,3,0)</f>
        <v>115000</v>
      </c>
      <c r="E28" s="9">
        <f>VLOOKUP(A28,[18]HISTOBQUEJUIN23!$A$6:$G$39,4,0)</f>
        <v>0</v>
      </c>
      <c r="F28" s="9">
        <f>VLOOKUP(A28,[18]HISTOBQUEJUIN23!$A$6:$G$39,5,0)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VLOOKUP($A28,[20]TONTJUIN23!$A$6:$P$35,12,0)</f>
        <v>0</v>
      </c>
      <c r="Q28" s="2">
        <f>VLOOKUP($A28,[13]TONTJUIN23!$A$6:$P$20,10,0)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6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20000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VLOOKUP(A29,[18]HISTOBQUEJUIN23!$A$6:$G$44,3,0)</f>
        <v>40000</v>
      </c>
      <c r="E29" s="9">
        <f>VLOOKUP(A29,[18]HISTOBQUEJUIN23!$A$6:$G$39,4,0)</f>
        <v>0</v>
      </c>
      <c r="F29" s="9">
        <f>VLOOKUP(A29,[18]HISTOBQUEJUIN23!$A$6:$G$39,5,0)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VLOOKUP($A29,[20]TONTJUIN23!$A$6:$P$35,12,0)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6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VLOOKUP(A30,[18]HISTOBQUEJUIN23!$A$6:$G$44,3,0)</f>
        <v>115000</v>
      </c>
      <c r="E30" s="9">
        <f>VLOOKUP(A30,[18]HISTOBQUEJUIN23!$A$6:$G$39,4,0)</f>
        <v>0</v>
      </c>
      <c r="F30" s="9">
        <f>VLOOKUP(A30,[18]HISTOBQUEJUIN23!$A$6:$G$39,5,0)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VLOOKUP($A30,[20]TONTJUIN23!$A$6:$P$35,12,0)</f>
        <v>0</v>
      </c>
      <c r="Q30" s="2">
        <f>VLOOKUP($A30,[13]TONTJUIN23!$A$6:$P$20,10,0)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6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VLOOKUP(A31,[18]HISTOBQUEJUIN23!$A$6:$G$44,3,0)</f>
        <v>140000</v>
      </c>
      <c r="E31" s="9">
        <f>VLOOKUP(A31,[18]HISTOBQUEJUIN23!$A$6:$G$39,4,0)</f>
        <v>0</v>
      </c>
      <c r="F31" s="9">
        <f>VLOOKUP(A31,[18]HISTOBQUEJUIN23!$A$6:$G$39,5,0)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VLOOKUP($A31,[20]TONTJUIN23!$A$6:$P$35,12,0)</f>
        <v>0</v>
      </c>
      <c r="Q31" s="2"/>
      <c r="R31" s="2">
        <f>VLOOKUP($A31,[19]TONTJUIN23!$A$6:$P$21,10,0)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6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VLOOKUP(A32,[18]HISTOBQUEJUIN23!$A$6:$G$44,3,0)</f>
        <v>217000</v>
      </c>
      <c r="E32" s="9">
        <f>VLOOKUP(A32,[18]HISTOBQUEJUIN23!$A$6:$G$39,4,0)</f>
        <v>0</v>
      </c>
      <c r="F32" s="9">
        <f>VLOOKUP(A32,[18]HISTOBQUEJUIN23!$A$6:$G$39,5,0)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VLOOKUP($A32,[20]TONTJUIN23!$A$6:$P$35,12,0)</f>
        <v>0</v>
      </c>
      <c r="Q32" s="2">
        <f>VLOOKUP($A32,[13]TONTJUIN23!$A$6:$P$20,10,0)</f>
        <v>102000</v>
      </c>
      <c r="R32" s="2"/>
      <c r="S32" s="20"/>
      <c r="T32" s="12"/>
      <c r="U32" s="17">
        <f t="shared" si="15"/>
        <v>217000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2000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2"/>
        <v>100000</v>
      </c>
      <c r="BA32" s="58"/>
      <c r="BB32" s="58"/>
      <c r="BC32" s="15"/>
      <c r="BD32" s="57">
        <f t="shared" si="13"/>
        <v>100000</v>
      </c>
      <c r="BE32" s="82">
        <v>100000</v>
      </c>
      <c r="BF32" s="29">
        <f t="shared" si="6"/>
        <v>0</v>
      </c>
      <c r="BG32" s="29">
        <v>6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VLOOKUP(A33,[18]HISTOBQUEJUIN23!$A$6:$G$44,3,0)</f>
        <v>40000</v>
      </c>
      <c r="E33" s="9">
        <f>VLOOKUP(A33,[18]HISTOBQUEJUIN23!$A$6:$G$39,4,0)</f>
        <v>0</v>
      </c>
      <c r="F33" s="9">
        <f>VLOOKUP(A33,[18]HISTOBQUEJUIN23!$A$6:$G$39,5,0)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VLOOKUP($A33,[20]TONTJUIN23!$A$6:$P$35,12,0)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6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VLOOKUP(A34,[18]HISTOBQUEJUIN23!$A$6:$G$44,3,0)</f>
        <v>100000</v>
      </c>
      <c r="E34" s="9">
        <f>VLOOKUP(A34,[18]HISTOBQUEJUIN23!$A$6:$G$39,4,0)</f>
        <v>0</v>
      </c>
      <c r="F34" s="9">
        <f>VLOOKUP(A34,[18]HISTOBQUEJUIN23!$A$6:$G$39,5,0)</f>
        <v>0</v>
      </c>
      <c r="G34" s="5">
        <f t="shared" si="7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VLOOKUP($A34,[20]TONTJUIN23!$A$6:$P$35,12,0)</f>
        <v>0</v>
      </c>
      <c r="Q34" s="2"/>
      <c r="R34" s="2"/>
      <c r="S34" s="20"/>
      <c r="T34" s="12"/>
      <c r="U34" s="17">
        <f t="shared" si="15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6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VLOOKUP(A35,[18]HISTOBQUEJUIN23!$A$6:$G$44,3,0)</f>
        <v>40000</v>
      </c>
      <c r="E35" s="9">
        <f>VLOOKUP(A35,[18]HISTOBQUEJUIN23!$A$6:$G$39,4,0)</f>
        <v>0</v>
      </c>
      <c r="F35" s="9">
        <f>VLOOKUP(A35,[18]HISTOBQUEJUIN23!$A$6:$G$39,5,0)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VLOOKUP($A35,[20]TONTJUIN23!$A$6:$P$35,12,0)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6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VLOOKUP(A36,[18]HISTOBQUEJUIN23!$A$6:$G$44,3,0)</f>
        <v>290000</v>
      </c>
      <c r="E36" s="9">
        <f>VLOOKUP(A36,[18]HISTOBQUEJUIN23!$A$6:$G$39,4,0)</f>
        <v>0</v>
      </c>
      <c r="F36" s="9">
        <f>VLOOKUP(A36,[18]HISTOBQUEJUIN23!$A$6:$G$39,5,0)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VLOOKUP($A36,[20]TONTJUIN23!$A$6:$P$35,12,0)</f>
        <v>0</v>
      </c>
      <c r="Q36" s="2">
        <f>VLOOKUP($A36,[13]TONTJUIN23!$A$6:$P$20,10,0)</f>
        <v>0</v>
      </c>
      <c r="R36" s="2">
        <f>VLOOKUP($A36,[19]TONTJUIN23!$A$6:$P$21,10,0)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>
        <v>7500</v>
      </c>
      <c r="AE36" s="12">
        <v>10000</v>
      </c>
      <c r="AF36" s="12" t="s">
        <v>8</v>
      </c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892500</v>
      </c>
      <c r="AY36" s="15">
        <f t="shared" si="11"/>
        <v>1190000</v>
      </c>
      <c r="AZ36" s="16">
        <f t="shared" si="12"/>
        <v>2082500</v>
      </c>
      <c r="BA36" s="58"/>
      <c r="BB36" s="58"/>
      <c r="BC36" s="15"/>
      <c r="BD36" s="57">
        <f t="shared" si="13"/>
        <v>2082500</v>
      </c>
      <c r="BE36" s="82">
        <f>892500+1190000</f>
        <v>2082500</v>
      </c>
      <c r="BF36" s="29">
        <f t="shared" si="6"/>
        <v>0</v>
      </c>
      <c r="BG36" s="29">
        <v>6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-500</v>
      </c>
      <c r="D38" s="5">
        <f t="shared" si="16"/>
        <v>7054500</v>
      </c>
      <c r="E38" s="5">
        <f t="shared" si="16"/>
        <v>43000</v>
      </c>
      <c r="F38" s="5">
        <f t="shared" si="16"/>
        <v>1070000</v>
      </c>
      <c r="G38" s="5">
        <f t="shared" si="16"/>
        <v>3000</v>
      </c>
      <c r="H38" s="5">
        <f t="shared" si="16"/>
        <v>0</v>
      </c>
      <c r="I38" s="5">
        <f t="shared" si="16"/>
        <v>156500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31000</v>
      </c>
      <c r="Q38" s="5">
        <f t="shared" si="16"/>
        <v>294000</v>
      </c>
      <c r="R38" s="5">
        <f t="shared" si="16"/>
        <v>455000</v>
      </c>
      <c r="S38" s="5">
        <f t="shared" si="16"/>
        <v>2500000</v>
      </c>
      <c r="T38" s="5"/>
      <c r="U38" s="5">
        <f t="shared" ref="U38:AA38" si="17">SUM(U6:U37)</f>
        <v>7314500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1555000</v>
      </c>
      <c r="AA38" s="5">
        <f t="shared" si="17"/>
        <v>0</v>
      </c>
      <c r="AB38" s="5"/>
      <c r="AC38" s="5">
        <f>SUM(AC6:AC37)</f>
        <v>9500</v>
      </c>
      <c r="AD38" s="5">
        <f>SUM(AD6:AD37)</f>
        <v>7500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150000</v>
      </c>
      <c r="AJ38" s="5">
        <f t="shared" si="18"/>
        <v>400000</v>
      </c>
      <c r="AK38" s="5">
        <f t="shared" si="18"/>
        <v>584000</v>
      </c>
      <c r="AL38" s="5">
        <f t="shared" si="18"/>
        <v>2500</v>
      </c>
      <c r="AM38" s="5">
        <f t="shared" si="18"/>
        <v>8000</v>
      </c>
      <c r="AN38" s="5">
        <f t="shared" si="18"/>
        <v>5500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606500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740500</v>
      </c>
      <c r="AX38" s="5">
        <f t="shared" si="18"/>
        <v>1292500</v>
      </c>
      <c r="AY38" s="5">
        <f t="shared" si="18"/>
        <v>2964000</v>
      </c>
      <c r="AZ38" s="5">
        <f t="shared" si="18"/>
        <v>5551800</v>
      </c>
      <c r="BA38" s="5">
        <f t="shared" si="18"/>
        <v>59000</v>
      </c>
      <c r="BB38" s="5">
        <f t="shared" si="18"/>
        <v>70000</v>
      </c>
      <c r="BC38" s="5">
        <f t="shared" si="18"/>
        <v>0</v>
      </c>
      <c r="BD38" s="5">
        <f t="shared" si="18"/>
        <v>5491000</v>
      </c>
      <c r="BE38" s="5">
        <f t="shared" si="18"/>
        <v>5456000</v>
      </c>
      <c r="BF38" s="5">
        <f>SUM(BF6:BF37)</f>
        <v>74200</v>
      </c>
      <c r="BH38" s="5">
        <f t="shared" ref="BH38:BL38" si="19">SUM(BH6:BH37)</f>
        <v>24000</v>
      </c>
      <c r="BI38" s="5">
        <f t="shared" si="19"/>
        <v>20000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 t="s">
        <v>180</v>
      </c>
      <c r="BA39" s="5">
        <v>94000</v>
      </c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A40" s="70">
        <f>BA39-BA38</f>
        <v>35000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144000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5551800</v>
      </c>
      <c r="D43" s="9">
        <f>SUMIFS(D8:D38,H8:H38,"BANQUE")</f>
        <v>6839500</v>
      </c>
      <c r="F43" s="9">
        <f>E38</f>
        <v>43000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10365600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="112" zoomScaleNormal="112" workbookViewId="0">
      <pane xSplit="4" ySplit="5" topLeftCell="R21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0" width="15" customWidth="1"/>
    <col min="51" max="51" width="8.4257812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VLOOKUP(A6,[18]HISTOBQUEJUIN23!$A$6:$G$44,3,0)</f>
        <v>175000</v>
      </c>
      <c r="E6" s="9">
        <f>VLOOKUP(A6,[18]HISTOBQUEJUIN23!$A$6:$G$39,4,0)</f>
        <v>0</v>
      </c>
      <c r="F6" s="9">
        <f>VLOOKUP(A6,[18]HISTOBQUEJUIN23!$A$6:$G$39,5,0)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VLOOKUP($A6,[13]TONTJUIN23!$A$6:$P$20,10,0)</f>
        <v>0</v>
      </c>
      <c r="R6" s="2">
        <f>VLOOKUP($A6,[19]TONTJUIN23!$A$6:$P$21,10,0)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144000</v>
      </c>
      <c r="BA6" s="58"/>
      <c r="BB6" s="58"/>
      <c r="BC6" s="15"/>
      <c r="BD6" s="57">
        <f>IF(AZ6=0,(AZ6-BA6-BC6),(AZ6-BA6-BB6-BC6))+F6</f>
        <v>144000</v>
      </c>
      <c r="BE6" s="82">
        <v>109000</v>
      </c>
      <c r="BF6" s="29">
        <f t="shared" ref="BF6:BF36" si="6">Z6*1/100*BG6</f>
        <v>0</v>
      </c>
      <c r="BG6" s="29">
        <v>6</v>
      </c>
      <c r="BH6" s="15">
        <f>BP16</f>
        <v>24000</v>
      </c>
      <c r="BI6" s="15">
        <f>BP28</f>
        <v>20000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VLOOKUP(A7,[18]HISTOBQUEJUIN23!$A$6:$G$44,3,0)</f>
        <v>40000</v>
      </c>
      <c r="E7" s="9">
        <f>VLOOKUP(A7,[18]HISTOBQUEJUIN23!$A$6:$G$39,4,0)</f>
        <v>0</v>
      </c>
      <c r="F7" s="9">
        <f>VLOOKUP(A7,[18]HISTOBQUEJUIN23!$A$6:$G$39,5,0)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VLOOKUP($A7,[20]TONTJUIN23!$A$6:$P$35,12,0)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>
        <v>600000</v>
      </c>
      <c r="AA7" s="12" t="s">
        <v>8</v>
      </c>
      <c r="AB7" s="12"/>
      <c r="AC7" s="12"/>
      <c r="AD7" s="12"/>
      <c r="AE7" s="12"/>
      <c r="AF7" s="12"/>
      <c r="AG7" s="12"/>
      <c r="AH7" s="12"/>
      <c r="AI7" s="12">
        <v>30000</v>
      </c>
      <c r="AJ7" s="12"/>
      <c r="AK7" s="12"/>
      <c r="AL7" s="12">
        <v>500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30000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594000</v>
      </c>
      <c r="BA7" s="58"/>
      <c r="BB7" s="58"/>
      <c r="BC7" s="15"/>
      <c r="BD7" s="57">
        <f t="shared" ref="BD7:BD36" si="13">IF(AZ7=0,(AZ7-BA7-BC7),(AZ7-BA7-BB7-BC7))+F7</f>
        <v>594000</v>
      </c>
      <c r="BE7" s="82">
        <f>30000+564000</f>
        <v>594000</v>
      </c>
      <c r="BF7" s="29">
        <f t="shared" si="6"/>
        <v>36000</v>
      </c>
      <c r="BG7" s="29">
        <v>6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VLOOKUP(A8,[18]HISTOBQUEJUIN23!$A$6:$G$44,3,0)+500000</f>
        <v>615000</v>
      </c>
      <c r="E8" s="9">
        <f>VLOOKUP(A8,[18]HISTOBQUEJUIN23!$A$6:$G$39,4,0)</f>
        <v>0</v>
      </c>
      <c r="F8" s="9">
        <f>VLOOKUP(A8,[18]HISTOBQUEJUIN23!$A$6:$G$39,5,0)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VLOOKUP($A8,[20]TONTJUIN23!$A$6:$P$35,12,0)</f>
        <v>0</v>
      </c>
      <c r="Q8" s="2">
        <f>VLOOKUP($A8,[13]TONTJUIN23!$A$6:$P$20,10,0)</f>
        <v>0</v>
      </c>
      <c r="R8" s="2"/>
      <c r="S8" s="20">
        <v>500000</v>
      </c>
      <c r="T8" s="12" t="s">
        <v>8</v>
      </c>
      <c r="U8" s="17">
        <f t="shared" ref="U8:U36" si="15">G8+S8++R8+P8+O8+M8+I8+K8+Q8+V8+W8</f>
        <v>615000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6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15000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VLOOKUP(A9,[18]HISTOBQUEJUIN23!$A$6:$G$44,3,0)</f>
        <v>191000</v>
      </c>
      <c r="E9" s="9">
        <f>VLOOKUP(A9,[18]HISTOBQUEJUIN23!$A$6:$G$39,4,0)</f>
        <v>0</v>
      </c>
      <c r="F9" s="9">
        <f>VLOOKUP(A9,[18]HISTOBQUEJUIN23!$A$6:$G$39,5,0)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VLOOKUP($A9,[20]TONTJUIN23!$A$6:$P$35,12,0)</f>
        <v>0</v>
      </c>
      <c r="Q9" s="2"/>
      <c r="R9" s="2">
        <f>VLOOKUP($A9,[19]TONTJUIN23!$A$6:$P$21,10,0)</f>
        <v>51000</v>
      </c>
      <c r="S9" s="20"/>
      <c r="T9" s="12"/>
      <c r="U9" s="17">
        <f t="shared" si="15"/>
        <v>191000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184000</v>
      </c>
      <c r="AL9" s="12"/>
      <c r="AM9" s="12"/>
      <c r="AN9" s="12">
        <v>1500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184000</v>
      </c>
      <c r="AZ9" s="16">
        <f t="shared" si="12"/>
        <v>184000</v>
      </c>
      <c r="BA9" s="58"/>
      <c r="BB9" s="58"/>
      <c r="BC9" s="15"/>
      <c r="BD9" s="57">
        <f t="shared" si="13"/>
        <v>184000</v>
      </c>
      <c r="BE9" s="82">
        <v>184000</v>
      </c>
      <c r="BF9" s="29">
        <f t="shared" si="6"/>
        <v>0</v>
      </c>
      <c r="BG9" s="29">
        <v>6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VLOOKUP(A10,[18]HISTOBQUEJUIN23!$A$6:$G$44,3,0)</f>
        <v>0</v>
      </c>
      <c r="E10" s="9">
        <f>VLOOKUP(A10,[18]HISTOBQUEJUIN23!$A$6:$G$39,4,0)</f>
        <v>43000</v>
      </c>
      <c r="F10" s="9">
        <f>VLOOKUP(A10,[18]HISTOBQUEJUIN23!$A$6:$G$39,5,0)</f>
        <v>0</v>
      </c>
      <c r="G10" s="5">
        <f>IF(H10="ESPECES",3000,0)</f>
        <v>3000</v>
      </c>
      <c r="H10" s="10" t="str">
        <f t="shared" si="1"/>
        <v>ESPECES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VLOOKUP($A10,[20]TONTJUIN23!$A$6:$P$35,12,0)</f>
        <v>0</v>
      </c>
      <c r="Q10" s="2"/>
      <c r="R10" s="2"/>
      <c r="S10" s="20"/>
      <c r="T10" s="12"/>
      <c r="U10" s="17">
        <f t="shared" si="15"/>
        <v>43000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6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-500</v>
      </c>
      <c r="D11" s="9">
        <f>VLOOKUP(A11,[18]HISTOBQUEJUIN23!$A$6:$G$44,3,0)+81500</f>
        <v>251500</v>
      </c>
      <c r="E11" s="9">
        <f>VLOOKUP(A11,[18]HISTOBQUEJUIN23!$A$6:$G$39,4,0)</f>
        <v>0</v>
      </c>
      <c r="F11" s="9">
        <f>VLOOKUP(A11,[18]HISTOBQUEJUIN23!$A$6:$G$39,5,0)</f>
        <v>0</v>
      </c>
      <c r="G11" s="5">
        <f t="shared" si="7"/>
        <v>0</v>
      </c>
      <c r="H11" s="10" t="str">
        <f t="shared" si="1"/>
        <v>BANQUE</v>
      </c>
      <c r="I11" s="10">
        <v>4000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VLOOKUP($A11,[20]TONTJUIN23!$A$6:$P$35,12,0)</f>
        <v>31000</v>
      </c>
      <c r="Q11" s="2">
        <f>VLOOKUP($A11,[13]TONTJUIN23!$A$6:$P$20,10,0)</f>
        <v>102000</v>
      </c>
      <c r="R11" s="2"/>
      <c r="S11" s="20"/>
      <c r="T11" s="12"/>
      <c r="U11" s="17">
        <f t="shared" si="15"/>
        <v>252000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30000</v>
      </c>
      <c r="AJ11" s="12">
        <v>100000</v>
      </c>
      <c r="AK11" s="12"/>
      <c r="AL11" s="12">
        <v>500</v>
      </c>
      <c r="AM11" s="12">
        <v>2000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19000</v>
      </c>
      <c r="AT11" s="12"/>
      <c r="AV11" s="15"/>
      <c r="AW11" s="15">
        <f t="shared" si="9"/>
        <v>30000</v>
      </c>
      <c r="AX11" s="15">
        <f t="shared" si="10"/>
        <v>100000</v>
      </c>
      <c r="AY11" s="15">
        <f t="shared" si="11"/>
        <v>0</v>
      </c>
      <c r="AZ11" s="16">
        <f t="shared" si="12"/>
        <v>130000</v>
      </c>
      <c r="BA11" s="58">
        <v>50000</v>
      </c>
      <c r="BB11" s="58"/>
      <c r="BC11" s="15"/>
      <c r="BD11" s="57">
        <f t="shared" si="13"/>
        <v>80000</v>
      </c>
      <c r="BE11" s="82">
        <f>50000+30000</f>
        <v>80000</v>
      </c>
      <c r="BF11" s="29">
        <f t="shared" si="6"/>
        <v>0</v>
      </c>
      <c r="BG11" s="29">
        <v>6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>
        <v>3000</v>
      </c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VLOOKUP(A12,[18]HISTOBQUEJUIN23!$A$6:$G$44,3,0)+202500</f>
        <v>590500</v>
      </c>
      <c r="E12" s="9">
        <f>VLOOKUP(A12,[18]HISTOBQUEJUIN23!$A$6:$G$39,4,0)</f>
        <v>0</v>
      </c>
      <c r="F12" s="9">
        <f>VLOOKUP(A12,[18]HISTOBQUEJUIN23!$A$6:$G$39,5,0)+1000000</f>
        <v>1000000</v>
      </c>
      <c r="G12" s="5">
        <f t="shared" si="7"/>
        <v>0</v>
      </c>
      <c r="H12" s="10" t="str">
        <f t="shared" si="1"/>
        <v>BANQUE</v>
      </c>
      <c r="I12" s="10">
        <v>34500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VLOOKUP($A12,[20]TONTJUIN23!$A$6:$P$35,12,0)</f>
        <v>0</v>
      </c>
      <c r="Q12" s="2">
        <f>VLOOKUP($A12,[13]TONTJUIN23!$A$6:$P$20,10,0)</f>
        <v>39000</v>
      </c>
      <c r="R12" s="2">
        <f>VLOOKUP($A12,[19]TONTJUIN23!$A$6:$P$21,10,0)</f>
        <v>202000</v>
      </c>
      <c r="S12" s="20">
        <v>1000000</v>
      </c>
      <c r="T12" s="12" t="s">
        <v>8</v>
      </c>
      <c r="U12" s="17">
        <f t="shared" si="15"/>
        <v>1590500</v>
      </c>
      <c r="V12" s="12"/>
      <c r="W12" s="12"/>
      <c r="X12" s="12"/>
      <c r="Y12" s="12"/>
      <c r="Z12" s="12">
        <v>705000</v>
      </c>
      <c r="AA12" s="12" t="s">
        <v>8</v>
      </c>
      <c r="AB12" s="12"/>
      <c r="AC12" s="12">
        <v>5000</v>
      </c>
      <c r="AD12" s="12"/>
      <c r="AE12" s="12"/>
      <c r="AF12" s="12"/>
      <c r="AG12" s="12"/>
      <c r="AH12" s="12"/>
      <c r="AI12" s="12">
        <v>30000</v>
      </c>
      <c r="AJ12" s="12"/>
      <c r="AK12" s="12"/>
      <c r="AL12" s="12">
        <v>500</v>
      </c>
      <c r="AM12" s="12"/>
      <c r="AN12" s="12"/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49500</v>
      </c>
      <c r="AT12" s="12"/>
      <c r="AV12" s="15"/>
      <c r="AW12" s="15">
        <f t="shared" si="9"/>
        <v>325000</v>
      </c>
      <c r="AX12" s="15">
        <f t="shared" si="10"/>
        <v>0</v>
      </c>
      <c r="AY12" s="15">
        <f t="shared" si="11"/>
        <v>0</v>
      </c>
      <c r="AZ12" s="16">
        <f t="shared" si="12"/>
        <v>1800</v>
      </c>
      <c r="BA12" s="58"/>
      <c r="BB12" s="58"/>
      <c r="BC12" s="15"/>
      <c r="BD12" s="57">
        <f>IF(AZ12=0,(AZ12-BA12-BC12),(AZ12-BA12-BB12-BC12))+F12-1001800</f>
        <v>0</v>
      </c>
      <c r="BE12" s="82"/>
      <c r="BF12" s="29">
        <f t="shared" si="6"/>
        <v>28200</v>
      </c>
      <c r="BG12" s="29">
        <v>4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VLOOKUP(A13,[18]HISTOBQUEJUIN23!$A$6:$G$44,3,0)</f>
        <v>40000</v>
      </c>
      <c r="E13" s="9">
        <f>VLOOKUP(A13,[18]HISTOBQUEJUIN23!$A$6:$G$39,4,0)</f>
        <v>0</v>
      </c>
      <c r="F13" s="9">
        <f>VLOOKUP(A13,[18]HISTOBQUEJUIN23!$A$6:$G$39,5,0)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VLOOKUP($A13,[20]TONTJUIN23!$A$6:$P$35,12,0)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6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VLOOKUP(A14,[18]HISTOBQUEJUIN23!$A$6:$G$44,3,0)</f>
        <v>40000</v>
      </c>
      <c r="E14" s="9">
        <f>VLOOKUP(A14,[18]HISTOBQUEJUIN23!$A$6:$G$39,4,0)</f>
        <v>0</v>
      </c>
      <c r="F14" s="9">
        <f>VLOOKUP(A14,[18]HISTOBQUEJUIN23!$A$6:$G$39,5,0)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VLOOKUP($A14,[20]TONTJUIN23!$A$6:$P$35,12,0)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6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VLOOKUP(A15,[18]HISTOBQUEJUIN23!$A$6:$G$44,3,0)</f>
        <v>115000</v>
      </c>
      <c r="E15" s="9">
        <f>VLOOKUP(A15,[18]HISTOBQUEJUIN23!$A$6:$G$39,4,0)</f>
        <v>0</v>
      </c>
      <c r="F15" s="9">
        <f>VLOOKUP(A15,[18]HISTOBQUEJUIN23!$A$6:$G$39,5,0)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VLOOKUP($A15,[20]TONTJUIN23!$A$6:$P$35,12,0)</f>
        <v>0</v>
      </c>
      <c r="Q15" s="2">
        <f>VLOOKUP($A15,[13]TONTJUIN23!$A$6:$P$20,10,0)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6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VLOOKUP(A16,[18]HISTOBQUEJUIN23!$A$6:$G$44,3,0)</f>
        <v>250000</v>
      </c>
      <c r="E16" s="9">
        <f>VLOOKUP(A16,[18]HISTOBQUEJUIN23!$A$6:$G$39,4,0)</f>
        <v>0</v>
      </c>
      <c r="F16" s="9">
        <f>VLOOKUP(A16,[18]HISTOBQUEJUIN23!$A$6:$G$39,5,0)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VLOOKUP($A16,[20]TONTJUIN23!$A$6:$P$35,12,0)</f>
        <v>0</v>
      </c>
      <c r="Q16" s="2">
        <f>VLOOKUP($A16,[13]TONTJUIN23!$A$6:$P$20,10,0)</f>
        <v>0</v>
      </c>
      <c r="R16" s="2">
        <f>VLOOKUP($A16,[19]TONTJUIN23!$A$6:$P$21,10,0)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57">
        <f t="shared" si="13"/>
        <v>0</v>
      </c>
      <c r="BE16" s="82"/>
      <c r="BF16" s="29">
        <f t="shared" si="6"/>
        <v>0</v>
      </c>
      <c r="BG16" s="29">
        <v>6</v>
      </c>
      <c r="BH16" s="15"/>
      <c r="BI16" s="15"/>
      <c r="BJ16" s="15"/>
      <c r="BK16" s="15"/>
      <c r="BL16" s="61"/>
      <c r="BN16" s="62" t="s">
        <v>142</v>
      </c>
      <c r="BP16" s="62">
        <f>SUM(BP6:BP15)</f>
        <v>24000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VLOOKUP(A17,[18]HISTOBQUEJUIN23!$A$6:$G$44,3,0)</f>
        <v>140000</v>
      </c>
      <c r="E17" s="9">
        <f>VLOOKUP(A17,[18]HISTOBQUEJUIN23!$A$6:$G$39,4,0)</f>
        <v>0</v>
      </c>
      <c r="F17" s="9">
        <f>VLOOKUP(A17,[18]HISTOBQUEJUIN23!$A$6:$G$39,5,0)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VLOOKUP($A17,[20]TONTJUIN23!$A$6:$P$35,12,0)</f>
        <v>0</v>
      </c>
      <c r="Q17" s="2"/>
      <c r="R17" s="2">
        <f>VLOOKUP($A17,[19]TONTJUIN23!$A$6:$P$21,10,0)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6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VLOOKUP(A18,[18]HISTOBQUEJUIN23!$A$6:$G$44,3,0)</f>
        <v>1215000</v>
      </c>
      <c r="E18" s="9">
        <f>VLOOKUP(A18,[18]HISTOBQUEJUIN23!$A$6:$G$39,4,0)</f>
        <v>0</v>
      </c>
      <c r="F18" s="9">
        <f>VLOOKUP(A18,[18]HISTOBQUEJUIN23!$A$6:$G$39,5,0)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VLOOKUP($A18,[20]TONTJUIN23!$A$6:$P$35,12,0)</f>
        <v>0</v>
      </c>
      <c r="Q18" s="2">
        <f>VLOOKUP($A18,[13]TONTJUIN23!$A$6:$P$20,10,0)</f>
        <v>0</v>
      </c>
      <c r="R18" s="2">
        <f>VLOOKUP($A18,[19]TONTJUIN23!$A$6:$P$21,10,0)</f>
        <v>0</v>
      </c>
      <c r="S18" s="20">
        <v>1000000</v>
      </c>
      <c r="T18" s="12" t="s">
        <v>8</v>
      </c>
      <c r="U18" s="17">
        <f t="shared" si="15"/>
        <v>1215000</v>
      </c>
      <c r="V18" s="12"/>
      <c r="W18" s="12"/>
      <c r="X18" s="12"/>
      <c r="Y18" s="12"/>
      <c r="Z18" s="12">
        <v>250000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240000</v>
      </c>
      <c r="BA18" s="58"/>
      <c r="BB18" s="58"/>
      <c r="BC18" s="15"/>
      <c r="BD18" s="57">
        <f t="shared" si="13"/>
        <v>240000</v>
      </c>
      <c r="BE18" s="82">
        <v>240000</v>
      </c>
      <c r="BF18" s="29">
        <f t="shared" si="6"/>
        <v>10000</v>
      </c>
      <c r="BG18" s="29">
        <v>4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VLOOKUP(A19,[18]HISTOBQUEJUIN23!$A$6:$G$44,3,0)</f>
        <v>40000</v>
      </c>
      <c r="E19" s="9">
        <f>VLOOKUP(A19,[18]HISTOBQUEJUIN23!$A$6:$G$39,4,0)</f>
        <v>0</v>
      </c>
      <c r="F19" s="9">
        <f>VLOOKUP(A19,[18]HISTOBQUEJUIN23!$A$6:$G$39,5,0)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VLOOKUP($A19,[20]TONTJUIN23!$A$6:$P$35,12,0)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6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>D20+E20+F20-U20-BB20-202000-81500-500000</f>
        <v>0</v>
      </c>
      <c r="D20" s="9">
        <f>VLOOKUP(A20,[18]HISTOBQUEJUIN23!$A$6:$G$44,3,0)-500</f>
        <v>997500</v>
      </c>
      <c r="E20" s="9">
        <f>VLOOKUP(A20,[18]HISTOBQUEJUIN23!$A$6:$G$39,4,0)</f>
        <v>0</v>
      </c>
      <c r="F20" s="9">
        <f>VLOOKUP(A20,[18]HISTOBQUEJUIN23!$A$6:$G$39,5,0)</f>
        <v>0</v>
      </c>
      <c r="G20" s="5">
        <f t="shared" si="7"/>
        <v>0</v>
      </c>
      <c r="H20" s="10" t="str">
        <f t="shared" si="1"/>
        <v>BANQUE</v>
      </c>
      <c r="I20" s="10">
        <v>-1000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VLOOKUP($A20,[20]TONTJUIN23!$A$6:$P$35,12,0)</f>
        <v>0</v>
      </c>
      <c r="Q20" s="2">
        <f>VLOOKUP($A20,[13]TONTJUIN23!$A$6:$P$20,10,0)</f>
        <v>0</v>
      </c>
      <c r="R20" s="2">
        <f>VLOOKUP($A20,[19]TONTJUIN23!$A$6:$P$21,10,0)</f>
        <v>0</v>
      </c>
      <c r="S20" s="20"/>
      <c r="T20" s="12"/>
      <c r="U20" s="17">
        <f t="shared" si="15"/>
        <v>214000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100000</v>
      </c>
      <c r="AK20" s="12">
        <v>200000</v>
      </c>
      <c r="AL20" s="12"/>
      <c r="AM20" s="12">
        <v>2000</v>
      </c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14000</v>
      </c>
      <c r="AT20" s="12"/>
      <c r="AV20" s="15"/>
      <c r="AW20" s="15">
        <f t="shared" si="9"/>
        <v>0</v>
      </c>
      <c r="AX20" s="15">
        <f t="shared" si="10"/>
        <v>100000</v>
      </c>
      <c r="AY20" s="15">
        <f t="shared" si="11"/>
        <v>200000</v>
      </c>
      <c r="AZ20" s="16">
        <f t="shared" si="12"/>
        <v>300000</v>
      </c>
      <c r="BA20" s="58">
        <v>9000</v>
      </c>
      <c r="BB20" s="58"/>
      <c r="BC20" s="15"/>
      <c r="BD20" s="57">
        <f t="shared" si="13"/>
        <v>291000</v>
      </c>
      <c r="BE20" s="82">
        <f>91000+200000</f>
        <v>291000</v>
      </c>
      <c r="BF20" s="29">
        <f t="shared" si="6"/>
        <v>0</v>
      </c>
      <c r="BG20" s="29">
        <v>6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VLOOKUP(A21,[18]HISTOBQUEJUIN23!$A$6:$G$44,3,0)</f>
        <v>40000</v>
      </c>
      <c r="E21" s="9">
        <f>VLOOKUP(A21,[18]HISTOBQUEJUIN23!$A$6:$G$39,4,0)</f>
        <v>0</v>
      </c>
      <c r="F21" s="9">
        <f>VLOOKUP(A21,[18]HISTOBQUEJUIN23!$A$6:$G$39,5,0)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VLOOKUP($A21,[20]TONTJUIN23!$A$6:$P$35,12,0)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6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VLOOKUP(A22,[18]HISTOBQUEJUIN23!$A$6:$G$44,3,0)</f>
        <v>115000</v>
      </c>
      <c r="E22" s="9">
        <f>VLOOKUP(A22,[18]HISTOBQUEJUIN23!$A$6:$G$39,4,0)</f>
        <v>0</v>
      </c>
      <c r="F22" s="9">
        <f>VLOOKUP(A22,[18]HISTOBQUEJUIN23!$A$6:$G$39,5,0)</f>
        <v>70000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VLOOKUP($A22,[20]TONTJUIN23!$A$6:$P$35,12,0)</f>
        <v>0</v>
      </c>
      <c r="Q22" s="2">
        <f>VLOOKUP($A22,[13]TONTJUIN23!$A$6:$P$20,10,0)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>
        <v>4500</v>
      </c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295500</v>
      </c>
      <c r="AX22" s="15">
        <f t="shared" si="10"/>
        <v>0</v>
      </c>
      <c r="AY22" s="15">
        <f t="shared" si="11"/>
        <v>0</v>
      </c>
      <c r="AZ22" s="16">
        <f t="shared" si="12"/>
        <v>225500</v>
      </c>
      <c r="BA22" s="58"/>
      <c r="BB22" s="58">
        <v>70000</v>
      </c>
      <c r="BC22" s="15"/>
      <c r="BD22" s="57">
        <f t="shared" si="13"/>
        <v>225500</v>
      </c>
      <c r="BE22" s="82">
        <f>225500</f>
        <v>225500</v>
      </c>
      <c r="BF22" s="29">
        <f t="shared" si="6"/>
        <v>0</v>
      </c>
      <c r="BG22" s="29">
        <v>6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VLOOKUP(A23,[18]HISTOBQUEJUIN23!$A$6:$G$44,3,0)</f>
        <v>452000</v>
      </c>
      <c r="E23" s="9">
        <f>VLOOKUP(A23,[18]HISTOBQUEJUIN23!$A$6:$G$39,4,0)</f>
        <v>0</v>
      </c>
      <c r="F23" s="9">
        <f>VLOOKUP(A23,[18]HISTOBQUEJUIN23!$A$6:$G$39,5,0)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VLOOKUP($A23,[20]TONTJUIN23!$A$6:$P$35,12,0)</f>
        <v>0</v>
      </c>
      <c r="Q23" s="2"/>
      <c r="R23" s="2">
        <f>VLOOKUP($A23,[19]TONTJUIN23!$A$6:$P$21,10,0)</f>
        <v>202000</v>
      </c>
      <c r="S23" s="20"/>
      <c r="T23" s="12"/>
      <c r="U23" s="17">
        <f t="shared" si="15"/>
        <v>452000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>
        <v>10000</v>
      </c>
      <c r="AF23" s="12" t="s">
        <v>8</v>
      </c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1390000</v>
      </c>
      <c r="AZ23" s="16">
        <f t="shared" si="12"/>
        <v>1390000</v>
      </c>
      <c r="BA23" s="58"/>
      <c r="BB23" s="58"/>
      <c r="BC23" s="15"/>
      <c r="BD23" s="57">
        <f t="shared" si="13"/>
        <v>1390000</v>
      </c>
      <c r="BE23" s="82">
        <f>1190000+200000</f>
        <v>1390000</v>
      </c>
      <c r="BF23" s="29">
        <f t="shared" si="6"/>
        <v>0</v>
      </c>
      <c r="BG23" s="29">
        <v>6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VLOOKUP(A24,[18]HISTOBQUEJUIN23!$A$6:$G$44,3,0)</f>
        <v>215000</v>
      </c>
      <c r="E24" s="9">
        <f>VLOOKUP(A24,[18]HISTOBQUEJUIN23!$A$6:$G$39,4,0)</f>
        <v>0</v>
      </c>
      <c r="F24" s="9">
        <f>VLOOKUP(A24,[18]HISTOBQUEJUIN23!$A$6:$G$39,5,0)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VLOOKUP($A24,[20]TONTJUIN23!$A$6:$P$35,12,0)</f>
        <v>0</v>
      </c>
      <c r="Q24" s="2">
        <f>VLOOKUP($A24,[13]TONTJUIN23!$A$6:$P$20,10,0)</f>
        <v>0</v>
      </c>
      <c r="R24" s="2">
        <f>VLOOKUP($A24,[19]TONTJUIN23!$A$6:$P$21,10,0)</f>
        <v>0</v>
      </c>
      <c r="S24" s="20"/>
      <c r="T24" s="12"/>
      <c r="U24" s="17">
        <f t="shared" si="15"/>
        <v>215000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>
        <v>60000</v>
      </c>
      <c r="AJ24" s="12"/>
      <c r="AK24" s="12"/>
      <c r="AL24" s="12">
        <v>1000</v>
      </c>
      <c r="AM24" s="12"/>
      <c r="AN24" s="12"/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60000</v>
      </c>
      <c r="AX24" s="15">
        <f t="shared" si="10"/>
        <v>0</v>
      </c>
      <c r="AY24" s="15">
        <f t="shared" si="11"/>
        <v>0</v>
      </c>
      <c r="AZ24" s="16">
        <f t="shared" si="12"/>
        <v>60000</v>
      </c>
      <c r="BA24" s="58"/>
      <c r="BB24" s="58"/>
      <c r="BC24" s="15"/>
      <c r="BD24" s="57">
        <f t="shared" si="13"/>
        <v>60000</v>
      </c>
      <c r="BE24" s="82">
        <v>60000</v>
      </c>
      <c r="BF24" s="29">
        <f t="shared" si="6"/>
        <v>0</v>
      </c>
      <c r="BG24" s="29">
        <v>6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VLOOKUP(A25,[18]HISTOBQUEJUIN23!$A$6:$G$44,3,0)</f>
        <v>350000</v>
      </c>
      <c r="E25" s="9">
        <f>VLOOKUP(A25,[18]HISTOBQUEJUIN23!$A$6:$G$39,4,0)</f>
        <v>0</v>
      </c>
      <c r="F25" s="9">
        <f>VLOOKUP(A25,[18]HISTOBQUEJUIN23!$A$6:$G$39,5,0)</f>
        <v>0</v>
      </c>
      <c r="G25" s="5">
        <f t="shared" si="7"/>
        <v>0</v>
      </c>
      <c r="H25" s="10" t="str">
        <f t="shared" si="1"/>
        <v>BANQUE</v>
      </c>
      <c r="I25" s="10">
        <v>9000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VLOOKUP($A25,[20]TONTJUIN23!$A$6:$P$35,12,0)</f>
        <v>0</v>
      </c>
      <c r="Q25" s="2">
        <f>VLOOKUP($A25,[13]TONTJUIN23!$A$6:$P$20,10,0)</f>
        <v>51000</v>
      </c>
      <c r="R25" s="2">
        <f>VLOOKUP($A25,[19]TONTJUIN23!$A$6:$P$21,10,0)</f>
        <v>0</v>
      </c>
      <c r="S25" s="20"/>
      <c r="T25" s="12"/>
      <c r="U25" s="17">
        <f t="shared" si="15"/>
        <v>350000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>
        <v>100000</v>
      </c>
      <c r="AK25" s="12"/>
      <c r="AL25" s="12"/>
      <c r="AM25" s="12">
        <v>2000</v>
      </c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24000</v>
      </c>
      <c r="AT25" s="12"/>
      <c r="AV25" s="15"/>
      <c r="AW25" s="15">
        <f t="shared" si="9"/>
        <v>0</v>
      </c>
      <c r="AX25" s="15">
        <f t="shared" si="10"/>
        <v>100000</v>
      </c>
      <c r="AY25" s="15">
        <f t="shared" si="11"/>
        <v>0</v>
      </c>
      <c r="AZ25" s="16">
        <f t="shared" si="12"/>
        <v>100000</v>
      </c>
      <c r="BA25" s="58"/>
      <c r="BB25" s="58"/>
      <c r="BC25" s="15"/>
      <c r="BD25" s="57">
        <f t="shared" si="13"/>
        <v>100000</v>
      </c>
      <c r="BE25" s="82">
        <v>100000</v>
      </c>
      <c r="BF25" s="29">
        <f t="shared" si="6"/>
        <v>0</v>
      </c>
      <c r="BG25" s="29">
        <v>6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VLOOKUP(A26,[18]HISTOBQUEJUIN23!$A$6:$G$44,3,0)</f>
        <v>40000</v>
      </c>
      <c r="E26" s="9">
        <f>VLOOKUP(A26,[18]HISTOBQUEJUIN23!$A$6:$G$39,4,0)</f>
        <v>0</v>
      </c>
      <c r="F26" s="9">
        <f>VLOOKUP(A26,[18]HISTOBQUEJUIN23!$A$6:$G$39,5,0)</f>
        <v>0</v>
      </c>
      <c r="G26" s="5">
        <f t="shared" si="7"/>
        <v>0</v>
      </c>
      <c r="H26" s="10" t="str">
        <f t="shared" si="1"/>
        <v>BANQUE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VLOOKUP($A26,[20]TONTJUIN23!$A$6:$P$35,12,0)</f>
        <v>0</v>
      </c>
      <c r="Q26" s="2"/>
      <c r="R26" s="2"/>
      <c r="S26" s="20"/>
      <c r="T26" s="12"/>
      <c r="U26" s="17">
        <f t="shared" si="15"/>
        <v>40000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0</v>
      </c>
      <c r="BA26" s="58"/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6</v>
      </c>
      <c r="BH26" s="15"/>
      <c r="BI26" s="15"/>
      <c r="BJ26" s="15"/>
      <c r="BK26" s="15"/>
      <c r="BL26" s="61"/>
      <c r="BN26" t="s">
        <v>192</v>
      </c>
      <c r="BO26" t="s">
        <v>143</v>
      </c>
      <c r="BP26" s="62">
        <v>20000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VLOOKUP(A27,[18]HISTOBQUEJUIN23!$A$6:$G$44,3,0)</f>
        <v>45000</v>
      </c>
      <c r="E27" s="9">
        <f>VLOOKUP(A27,[18]HISTOBQUEJUIN23!$A$6:$G$39,4,0)</f>
        <v>0</v>
      </c>
      <c r="F27" s="9">
        <f>VLOOKUP(A27,[18]HISTOBQUEJUIN23!$A$6:$G$39,5,0)</f>
        <v>0</v>
      </c>
      <c r="G27" s="5">
        <f t="shared" si="7"/>
        <v>0</v>
      </c>
      <c r="H27" s="10" t="str">
        <f t="shared" si="1"/>
        <v>BANQUE</v>
      </c>
      <c r="I27" s="10">
        <v>5000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VLOOKUP($A27,[20]TONTJUIN23!$A$6:$P$35,12,0)</f>
        <v>0</v>
      </c>
      <c r="Q27" s="2"/>
      <c r="R27" s="2"/>
      <c r="S27" s="20"/>
      <c r="T27" s="12"/>
      <c r="U27" s="17">
        <f t="shared" si="15"/>
        <v>45000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20000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6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VLOOKUP(A28,[18]HISTOBQUEJUIN23!$A$6:$G$44,3,0)</f>
        <v>115000</v>
      </c>
      <c r="E28" s="9">
        <f>VLOOKUP(A28,[18]HISTOBQUEJUIN23!$A$6:$G$39,4,0)</f>
        <v>0</v>
      </c>
      <c r="F28" s="9">
        <f>VLOOKUP(A28,[18]HISTOBQUEJUIN23!$A$6:$G$39,5,0)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VLOOKUP($A28,[20]TONTJUIN23!$A$6:$P$35,12,0)</f>
        <v>0</v>
      </c>
      <c r="Q28" s="2">
        <f>VLOOKUP($A28,[13]TONTJUIN23!$A$6:$P$20,10,0)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6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20000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VLOOKUP(A29,[18]HISTOBQUEJUIN23!$A$6:$G$44,3,0)</f>
        <v>40000</v>
      </c>
      <c r="E29" s="9">
        <f>VLOOKUP(A29,[18]HISTOBQUEJUIN23!$A$6:$G$39,4,0)</f>
        <v>0</v>
      </c>
      <c r="F29" s="9">
        <f>VLOOKUP(A29,[18]HISTOBQUEJUIN23!$A$6:$G$39,5,0)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VLOOKUP($A29,[20]TONTJUIN23!$A$6:$P$35,12,0)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6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VLOOKUP(A30,[18]HISTOBQUEJUIN23!$A$6:$G$44,3,0)</f>
        <v>115000</v>
      </c>
      <c r="E30" s="9">
        <f>VLOOKUP(A30,[18]HISTOBQUEJUIN23!$A$6:$G$39,4,0)</f>
        <v>0</v>
      </c>
      <c r="F30" s="9">
        <f>VLOOKUP(A30,[18]HISTOBQUEJUIN23!$A$6:$G$39,5,0)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VLOOKUP($A30,[20]TONTJUIN23!$A$6:$P$35,12,0)</f>
        <v>0</v>
      </c>
      <c r="Q30" s="2">
        <f>VLOOKUP($A30,[13]TONTJUIN23!$A$6:$P$20,10,0)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6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VLOOKUP(A31,[18]HISTOBQUEJUIN23!$A$6:$G$44,3,0)</f>
        <v>140000</v>
      </c>
      <c r="E31" s="9">
        <f>VLOOKUP(A31,[18]HISTOBQUEJUIN23!$A$6:$G$39,4,0)</f>
        <v>0</v>
      </c>
      <c r="F31" s="9">
        <f>VLOOKUP(A31,[18]HISTOBQUEJUIN23!$A$6:$G$39,5,0)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VLOOKUP($A31,[20]TONTJUIN23!$A$6:$P$35,12,0)</f>
        <v>0</v>
      </c>
      <c r="Q31" s="2"/>
      <c r="R31" s="2">
        <f>VLOOKUP($A31,[19]TONTJUIN23!$A$6:$P$21,10,0)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6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VLOOKUP(A32,[18]HISTOBQUEJUIN23!$A$6:$G$44,3,0)</f>
        <v>217000</v>
      </c>
      <c r="E32" s="9">
        <f>VLOOKUP(A32,[18]HISTOBQUEJUIN23!$A$6:$G$39,4,0)</f>
        <v>0</v>
      </c>
      <c r="F32" s="9">
        <f>VLOOKUP(A32,[18]HISTOBQUEJUIN23!$A$6:$G$39,5,0)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VLOOKUP($A32,[20]TONTJUIN23!$A$6:$P$35,12,0)</f>
        <v>0</v>
      </c>
      <c r="Q32" s="2">
        <f>VLOOKUP($A32,[13]TONTJUIN23!$A$6:$P$20,10,0)</f>
        <v>102000</v>
      </c>
      <c r="R32" s="2"/>
      <c r="S32" s="20"/>
      <c r="T32" s="12"/>
      <c r="U32" s="17">
        <f t="shared" si="15"/>
        <v>217000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2000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2"/>
        <v>100000</v>
      </c>
      <c r="BA32" s="58"/>
      <c r="BB32" s="58"/>
      <c r="BC32" s="15"/>
      <c r="BD32" s="57">
        <f t="shared" si="13"/>
        <v>100000</v>
      </c>
      <c r="BE32" s="82">
        <v>100000</v>
      </c>
      <c r="BF32" s="29">
        <f t="shared" si="6"/>
        <v>0</v>
      </c>
      <c r="BG32" s="29">
        <v>6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VLOOKUP(A33,[18]HISTOBQUEJUIN23!$A$6:$G$44,3,0)</f>
        <v>40000</v>
      </c>
      <c r="E33" s="9">
        <f>VLOOKUP(A33,[18]HISTOBQUEJUIN23!$A$6:$G$39,4,0)</f>
        <v>0</v>
      </c>
      <c r="F33" s="9">
        <f>VLOOKUP(A33,[18]HISTOBQUEJUIN23!$A$6:$G$39,5,0)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VLOOKUP($A33,[20]TONTJUIN23!$A$6:$P$35,12,0)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6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VLOOKUP(A34,[18]HISTOBQUEJUIN23!$A$6:$G$44,3,0)</f>
        <v>100000</v>
      </c>
      <c r="E34" s="9">
        <f>VLOOKUP(A34,[18]HISTOBQUEJUIN23!$A$6:$G$39,4,0)</f>
        <v>0</v>
      </c>
      <c r="F34" s="9">
        <f>VLOOKUP(A34,[18]HISTOBQUEJUIN23!$A$6:$G$39,5,0)</f>
        <v>0</v>
      </c>
      <c r="G34" s="5">
        <f t="shared" si="7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VLOOKUP($A34,[20]TONTJUIN23!$A$6:$P$35,12,0)</f>
        <v>0</v>
      </c>
      <c r="Q34" s="2"/>
      <c r="R34" s="2"/>
      <c r="S34" s="20"/>
      <c r="T34" s="12"/>
      <c r="U34" s="17">
        <f t="shared" si="15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6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VLOOKUP(A35,[18]HISTOBQUEJUIN23!$A$6:$G$44,3,0)</f>
        <v>40000</v>
      </c>
      <c r="E35" s="9">
        <f>VLOOKUP(A35,[18]HISTOBQUEJUIN23!$A$6:$G$39,4,0)</f>
        <v>0</v>
      </c>
      <c r="F35" s="9">
        <f>VLOOKUP(A35,[18]HISTOBQUEJUIN23!$A$6:$G$39,5,0)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VLOOKUP($A35,[20]TONTJUIN23!$A$6:$P$35,12,0)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6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VLOOKUP(A36,[18]HISTOBQUEJUIN23!$A$6:$G$44,3,0)</f>
        <v>290000</v>
      </c>
      <c r="E36" s="9">
        <f>VLOOKUP(A36,[18]HISTOBQUEJUIN23!$A$6:$G$39,4,0)</f>
        <v>0</v>
      </c>
      <c r="F36" s="9">
        <f>VLOOKUP(A36,[18]HISTOBQUEJUIN23!$A$6:$G$39,5,0)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VLOOKUP($A36,[20]TONTJUIN23!$A$6:$P$35,12,0)</f>
        <v>0</v>
      </c>
      <c r="Q36" s="2">
        <f>VLOOKUP($A36,[13]TONTJUIN23!$A$6:$P$20,10,0)</f>
        <v>0</v>
      </c>
      <c r="R36" s="2">
        <f>VLOOKUP($A36,[19]TONTJUIN23!$A$6:$P$21,10,0)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>
        <v>7500</v>
      </c>
      <c r="AE36" s="12">
        <v>10000</v>
      </c>
      <c r="AF36" s="12" t="s">
        <v>8</v>
      </c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892500</v>
      </c>
      <c r="AY36" s="15">
        <f t="shared" si="11"/>
        <v>1190000</v>
      </c>
      <c r="AZ36" s="16">
        <f t="shared" si="12"/>
        <v>2082500</v>
      </c>
      <c r="BA36" s="58"/>
      <c r="BB36" s="58"/>
      <c r="BC36" s="15"/>
      <c r="BD36" s="57">
        <f t="shared" si="13"/>
        <v>2082500</v>
      </c>
      <c r="BE36" s="82">
        <f>892500+1190000</f>
        <v>2082500</v>
      </c>
      <c r="BF36" s="29">
        <f t="shared" si="6"/>
        <v>0</v>
      </c>
      <c r="BG36" s="29">
        <v>6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-500</v>
      </c>
      <c r="D38" s="5">
        <f t="shared" si="16"/>
        <v>7054500</v>
      </c>
      <c r="E38" s="5">
        <f t="shared" si="16"/>
        <v>43000</v>
      </c>
      <c r="F38" s="5">
        <f t="shared" si="16"/>
        <v>1070000</v>
      </c>
      <c r="G38" s="5">
        <f t="shared" si="16"/>
        <v>3000</v>
      </c>
      <c r="H38" s="5">
        <f t="shared" si="16"/>
        <v>0</v>
      </c>
      <c r="I38" s="5">
        <f t="shared" si="16"/>
        <v>156500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31000</v>
      </c>
      <c r="Q38" s="5">
        <f t="shared" si="16"/>
        <v>294000</v>
      </c>
      <c r="R38" s="5">
        <f t="shared" si="16"/>
        <v>455000</v>
      </c>
      <c r="S38" s="5">
        <f t="shared" si="16"/>
        <v>2500000</v>
      </c>
      <c r="T38" s="5"/>
      <c r="U38" s="5">
        <f t="shared" ref="U38:AA38" si="17">SUM(U6:U37)</f>
        <v>7314500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1555000</v>
      </c>
      <c r="AA38" s="5">
        <f t="shared" si="17"/>
        <v>0</v>
      </c>
      <c r="AB38" s="5"/>
      <c r="AC38" s="5">
        <f>SUM(AC6:AC37)</f>
        <v>9500</v>
      </c>
      <c r="AD38" s="5">
        <f>SUM(AD6:AD37)</f>
        <v>7500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150000</v>
      </c>
      <c r="AJ38" s="5">
        <f t="shared" si="18"/>
        <v>400000</v>
      </c>
      <c r="AK38" s="5">
        <f t="shared" si="18"/>
        <v>584000</v>
      </c>
      <c r="AL38" s="5">
        <f t="shared" si="18"/>
        <v>2500</v>
      </c>
      <c r="AM38" s="5">
        <f t="shared" si="18"/>
        <v>8000</v>
      </c>
      <c r="AN38" s="5">
        <f t="shared" si="18"/>
        <v>5500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606500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740500</v>
      </c>
      <c r="AX38" s="5">
        <f t="shared" si="18"/>
        <v>1292500</v>
      </c>
      <c r="AY38" s="5">
        <f t="shared" si="18"/>
        <v>2964000</v>
      </c>
      <c r="AZ38" s="5">
        <f t="shared" si="18"/>
        <v>5551800</v>
      </c>
      <c r="BA38" s="5">
        <f t="shared" si="18"/>
        <v>59000</v>
      </c>
      <c r="BB38" s="5">
        <f t="shared" si="18"/>
        <v>70000</v>
      </c>
      <c r="BC38" s="5">
        <f t="shared" si="18"/>
        <v>0</v>
      </c>
      <c r="BD38" s="5">
        <f t="shared" si="18"/>
        <v>5491000</v>
      </c>
      <c r="BE38" s="5">
        <f t="shared" si="18"/>
        <v>5456000</v>
      </c>
      <c r="BF38" s="5">
        <f>SUM(BF6:BF37)</f>
        <v>74200</v>
      </c>
      <c r="BH38" s="5">
        <f t="shared" ref="BH38:BL38" si="19">SUM(BH6:BH37)</f>
        <v>24000</v>
      </c>
      <c r="BI38" s="5">
        <f t="shared" si="19"/>
        <v>20000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 t="s">
        <v>180</v>
      </c>
      <c r="BA39" s="5">
        <v>94000</v>
      </c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A40" s="70">
        <f>BA39-BA38</f>
        <v>35000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144000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5551800</v>
      </c>
      <c r="D43" s="9">
        <f>SUMIFS(D8:D38,H8:H38,"BANQUE")</f>
        <v>6839500</v>
      </c>
      <c r="F43" s="9">
        <f>E38</f>
        <v>43000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10365600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="106" zoomScaleNormal="106" workbookViewId="0">
      <pane xSplit="4" ySplit="5" topLeftCell="U18" activePane="bottomRight" state="frozen"/>
      <selection activeCell="B6" sqref="B6:B36"/>
      <selection pane="topRight" activeCell="B6" sqref="B6:B36"/>
      <selection pane="bottomLeft" activeCell="B6" sqref="B6:B36"/>
      <selection pane="bottomRight" activeCell="BQ9" sqref="BQ9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4.8554687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VLOOKUP(A6,[18]HISTOBQUEJUIL23!$A$6:$G$44,3,0)</f>
        <v>175000</v>
      </c>
      <c r="E6" s="9">
        <f>VLOOKUP(A6,[18]HISTOBQUEJUIL23!$A$6:$G$39,4,0)</f>
        <v>0</v>
      </c>
      <c r="F6" s="9">
        <f>VLOOKUP(A6,[18]HISTOBQUEJUIL23!$A$6:$G$39,5,0)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VLOOKUP($A6,[13]TONTJUIL23!$A$6:$P$20,10,0)</f>
        <v>0</v>
      </c>
      <c r="R6" s="2">
        <f>VLOOKUP($A6,[19]TONTJUIL23!$A$6:$P$21,10,0)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156000</v>
      </c>
      <c r="BA6" s="58"/>
      <c r="BB6" s="58"/>
      <c r="BC6" s="15"/>
      <c r="BD6" s="57">
        <f>IF(AZ6=0,(AZ6-BA6-BC6),(AZ6-BA6-BB6-BC6))+F6</f>
        <v>156000</v>
      </c>
      <c r="BE6" s="82">
        <v>156000</v>
      </c>
      <c r="BF6" s="29">
        <f t="shared" ref="BF6:BF36" si="6">Z6*1/100*BG6</f>
        <v>0</v>
      </c>
      <c r="BG6" s="29">
        <v>5</v>
      </c>
      <c r="BH6" s="15">
        <f>BP16</f>
        <v>6000</v>
      </c>
      <c r="BI6" s="15">
        <f>BP28</f>
        <v>50000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VLOOKUP(A7,[18]HISTOBQUEJUIL23!$A$6:$G$44,3,0)</f>
        <v>40000</v>
      </c>
      <c r="E7" s="9">
        <f>VLOOKUP(A7,[18]HISTOBQUEJUIL23!$A$6:$G$39,4,0)</f>
        <v>33500</v>
      </c>
      <c r="F7" s="9">
        <f>VLOOKUP(A7,[18]HISTOBQUEJUIL23!$A$6:$G$39,5,0)</f>
        <v>140000</v>
      </c>
      <c r="G7" s="5">
        <f>IF(H7="ESPECES",3000,0)+3000</f>
        <v>3000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VLOOKUP($A7,[20]TONTJUIL23!$A$6:$P$35,12,0)</f>
        <v>30500</v>
      </c>
      <c r="Q7" s="2"/>
      <c r="R7" s="2"/>
      <c r="S7" s="20"/>
      <c r="T7" s="12"/>
      <c r="U7" s="17">
        <f>G7+S7++R7+P7+O7+M7+I7+K7+Q7+V7+W7</f>
        <v>73500</v>
      </c>
      <c r="V7" s="12"/>
      <c r="W7" s="12"/>
      <c r="X7" s="12"/>
      <c r="Y7" s="12"/>
      <c r="Z7" s="12"/>
      <c r="AA7" s="12"/>
      <c r="AB7" s="12"/>
      <c r="AC7" s="12">
        <v>3000</v>
      </c>
      <c r="AD7" s="12"/>
      <c r="AE7" s="12"/>
      <c r="AF7" s="12" t="s">
        <v>8</v>
      </c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>IF(H7="ECHEC",0,(K7+I7-25000))-3000</f>
        <v>12000</v>
      </c>
      <c r="AT7" s="12"/>
      <c r="AV7" s="15"/>
      <c r="AW7" s="15">
        <f t="shared" ref="AW7:AW36" si="7">IF(AC7=0,AI7,(1*25000*12)+AI7-AC7)</f>
        <v>297000</v>
      </c>
      <c r="AX7" s="15">
        <f t="shared" ref="AX7:AX36" si="8">IF(AD7=0,AJ7,(1*75000*12)+(AJ7)-AD7)</f>
        <v>0</v>
      </c>
      <c r="AY7" s="15">
        <f t="shared" ref="AY7:AY36" si="9">IF(AE7=0,AK7,(1*100000*12)+(AK7)-AE7)</f>
        <v>0</v>
      </c>
      <c r="AZ7" s="16">
        <f t="shared" ref="AZ7:AZ36" si="10">SUM(AV7:AY7)-BF7+Z7-F7+BH7+BI7+BJ7+BK7+BL7+BM7</f>
        <v>157000</v>
      </c>
      <c r="BA7" s="58"/>
      <c r="BB7" s="58">
        <v>140000</v>
      </c>
      <c r="BC7" s="15"/>
      <c r="BD7" s="57">
        <f t="shared" ref="BD7:BD36" si="11">IF(AZ7=0,(AZ7-BA7-BC7),(AZ7-BA7-BB7-BC7))+F7</f>
        <v>157000</v>
      </c>
      <c r="BE7" s="82">
        <v>157000</v>
      </c>
      <c r="BF7" s="29">
        <f t="shared" si="6"/>
        <v>0</v>
      </c>
      <c r="BG7" s="29">
        <v>5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VLOOKUP(A8,[18]HISTOBQUEJUIL23!$A$6:$G$44,3,0)</f>
        <v>115000</v>
      </c>
      <c r="E8" s="9">
        <f>VLOOKUP(A8,[18]HISTOBQUEJUIL23!$A$6:$G$39,4,0)</f>
        <v>0</v>
      </c>
      <c r="F8" s="9">
        <f>VLOOKUP(A8,[18]HISTOBQUEJUIL23!$A$6:$G$39,5,0)</f>
        <v>0</v>
      </c>
      <c r="G8" s="5">
        <f t="shared" ref="G8:G36" si="12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VLOOKUP($A8,[20]TONTJUIL23!$A$6:$P$35,12,0)</f>
        <v>0</v>
      </c>
      <c r="Q8" s="2">
        <f>VLOOKUP($A8,[13]TONTJUIL23!$A$6:$P$20,10,0)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ref="AS8:AS36" si="15">IF(H8="ECHEC",0,(K8+I8-25000))</f>
        <v>15000</v>
      </c>
      <c r="AT8" s="12"/>
      <c r="AV8" s="15"/>
      <c r="AW8" s="15">
        <f t="shared" si="7"/>
        <v>0</v>
      </c>
      <c r="AX8" s="15">
        <f t="shared" si="8"/>
        <v>0</v>
      </c>
      <c r="AY8" s="15">
        <f t="shared" si="9"/>
        <v>0</v>
      </c>
      <c r="AZ8" s="16">
        <f t="shared" si="10"/>
        <v>0</v>
      </c>
      <c r="BA8" s="58"/>
      <c r="BB8" s="58"/>
      <c r="BC8" s="15"/>
      <c r="BD8" s="57">
        <f t="shared" si="11"/>
        <v>0</v>
      </c>
      <c r="BE8" s="82"/>
      <c r="BF8" s="29">
        <f t="shared" si="6"/>
        <v>0</v>
      </c>
      <c r="BG8" s="29">
        <v>5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VLOOKUP(A9,[18]HISTOBQUEJUIL23!$A$6:$G$44,3,0)</f>
        <v>241000</v>
      </c>
      <c r="E9" s="9">
        <f>VLOOKUP(A9,[18]HISTOBQUEJUIL23!$A$6:$G$39,4,0)</f>
        <v>87500</v>
      </c>
      <c r="F9" s="9">
        <f>VLOOKUP(A9,[18]HISTOBQUEJUIL23!$A$6:$G$39,5,0)</f>
        <v>0</v>
      </c>
      <c r="G9" s="5">
        <f>IF(H9="ESPECES",3000,0)+3000</f>
        <v>3000</v>
      </c>
      <c r="H9" s="10" t="str">
        <f t="shared" si="1"/>
        <v>BANQUE</v>
      </c>
      <c r="I9" s="10"/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VLOOKUP($A9,[20]TONTJUIL23!$A$6:$P$35,12,0)</f>
        <v>0</v>
      </c>
      <c r="Q9" s="2"/>
      <c r="R9" s="2">
        <f>VLOOKUP($A9,[19]TONTJUIL23!$A$6:$P$21,10,0)</f>
        <v>185500</v>
      </c>
      <c r="S9" s="20"/>
      <c r="T9" s="12"/>
      <c r="U9" s="17">
        <f t="shared" si="14"/>
        <v>328500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f>100000+100000</f>
        <v>200000</v>
      </c>
      <c r="AL9" s="12"/>
      <c r="AM9" s="12"/>
      <c r="AN9" s="12">
        <f>1000+1000</f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15"/>
        <v>15000</v>
      </c>
      <c r="AT9" s="12"/>
      <c r="AV9" s="15"/>
      <c r="AW9" s="15">
        <f t="shared" si="7"/>
        <v>0</v>
      </c>
      <c r="AX9" s="15">
        <f t="shared" si="8"/>
        <v>0</v>
      </c>
      <c r="AY9" s="15">
        <f t="shared" si="9"/>
        <v>200000</v>
      </c>
      <c r="AZ9" s="16">
        <f t="shared" si="10"/>
        <v>200000</v>
      </c>
      <c r="BA9" s="58">
        <v>200000</v>
      </c>
      <c r="BB9" s="58"/>
      <c r="BC9" s="15"/>
      <c r="BD9" s="57">
        <f t="shared" si="11"/>
        <v>0</v>
      </c>
      <c r="BE9" s="82"/>
      <c r="BF9" s="29">
        <f t="shared" si="6"/>
        <v>0</v>
      </c>
      <c r="BG9" s="29">
        <v>5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14">
        <f t="shared" si="0"/>
        <v>0</v>
      </c>
      <c r="D10" s="9">
        <f>VLOOKUP(A10,[18]HISTOBQUEJUIL23!$A$6:$G$44,3,0)</f>
        <v>0</v>
      </c>
      <c r="E10" s="9">
        <f>VLOOKUP(A10,[18]HISTOBQUEJUIL23!$A$6:$G$39,4,0)+3000</f>
        <v>43000</v>
      </c>
      <c r="F10" s="9">
        <f>VLOOKUP(A10,[18]HISTOBQUEJUIL23!$A$6:$G$39,5,0)</f>
        <v>0</v>
      </c>
      <c r="G10" s="5">
        <f t="shared" si="12"/>
        <v>3000</v>
      </c>
      <c r="H10" s="10" t="str">
        <f t="shared" si="1"/>
        <v>ESPECES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VLOOKUP($A10,[20]TONTJUIL23!$A$6:$P$35,12,0)</f>
        <v>0</v>
      </c>
      <c r="Q10" s="2"/>
      <c r="R10" s="2"/>
      <c r="S10" s="20"/>
      <c r="T10" s="12"/>
      <c r="U10" s="17">
        <f t="shared" si="14"/>
        <v>43000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>IF(H10="ECHEC",0,(K10+I10-25000))-3000</f>
        <v>12000</v>
      </c>
      <c r="AT10" s="12"/>
      <c r="AV10" s="15"/>
      <c r="AW10" s="15">
        <f t="shared" si="7"/>
        <v>0</v>
      </c>
      <c r="AX10" s="15">
        <f t="shared" si="8"/>
        <v>0</v>
      </c>
      <c r="AY10" s="15">
        <f t="shared" si="9"/>
        <v>0</v>
      </c>
      <c r="AZ10" s="16">
        <f t="shared" si="10"/>
        <v>0</v>
      </c>
      <c r="BA10" s="58"/>
      <c r="BB10" s="58"/>
      <c r="BC10" s="15"/>
      <c r="BD10" s="57">
        <f t="shared" si="11"/>
        <v>0</v>
      </c>
      <c r="BE10" s="82"/>
      <c r="BF10" s="29">
        <f t="shared" si="6"/>
        <v>0</v>
      </c>
      <c r="BG10" s="29">
        <v>5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VLOOKUP(A11,[18]HISTOBQUEJUIL23!$A$6:$G$44,3,0)+50000</f>
        <v>165000</v>
      </c>
      <c r="E11" s="9">
        <f>VLOOKUP(A11,[18]HISTOBQUEJUIL23!$A$6:$G$39,4,0)</f>
        <v>85500</v>
      </c>
      <c r="F11" s="9">
        <f>VLOOKUP(A11,[18]HISTOBQUEJUIL23!$A$6:$G$39,5,0)</f>
        <v>0</v>
      </c>
      <c r="G11" s="5">
        <f>IF(H11="ESPECES",3000,0)+3000</f>
        <v>3000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VLOOKUP($A11,[20]TONTJUIL23!$A$6:$P$35,12,0)</f>
        <v>30500</v>
      </c>
      <c r="Q11" s="2">
        <f>VLOOKUP($A11,[13]TONTJUIL23!$A$6:$P$20,10,0)</f>
        <v>102000</v>
      </c>
      <c r="R11" s="2"/>
      <c r="S11" s="20"/>
      <c r="T11" s="12"/>
      <c r="U11" s="17">
        <f t="shared" si="14"/>
        <v>250500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>IF(H11="ECHEC",0,(K11+I11-25000))</f>
        <v>15000</v>
      </c>
      <c r="AT11" s="12"/>
      <c r="AV11" s="15"/>
      <c r="AW11" s="15">
        <f t="shared" si="7"/>
        <v>0</v>
      </c>
      <c r="AX11" s="15">
        <f t="shared" si="8"/>
        <v>0</v>
      </c>
      <c r="AY11" s="15">
        <f t="shared" si="9"/>
        <v>0</v>
      </c>
      <c r="AZ11" s="16">
        <f t="shared" si="10"/>
        <v>0</v>
      </c>
      <c r="BA11" s="58"/>
      <c r="BB11" s="58"/>
      <c r="BC11" s="15"/>
      <c r="BD11" s="57">
        <f t="shared" si="11"/>
        <v>0</v>
      </c>
      <c r="BE11" s="82"/>
      <c r="BF11" s="29">
        <f t="shared" si="6"/>
        <v>0</v>
      </c>
      <c r="BG11" s="29">
        <v>5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VLOOKUP(A12,[18]HISTOBQUEJUIL23!$A$6:$G$44,3,0)</f>
        <v>360000</v>
      </c>
      <c r="E12" s="9">
        <f>VLOOKUP(A12,[18]HISTOBQUEJUIL23!$A$6:$G$39,4,0)</f>
        <v>0</v>
      </c>
      <c r="F12" s="9">
        <f>VLOOKUP(A12,[18]HISTOBQUEJUIL23!$A$6:$G$39,5,0)</f>
        <v>0</v>
      </c>
      <c r="G12" s="5">
        <f t="shared" si="12"/>
        <v>0</v>
      </c>
      <c r="H12" s="10" t="str">
        <f t="shared" si="1"/>
        <v>BANQUE</v>
      </c>
      <c r="I12" s="10">
        <v>14500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VLOOKUP($A12,[20]TONTJUIL23!$A$6:$P$35,12,0)</f>
        <v>30500</v>
      </c>
      <c r="Q12" s="2">
        <f>VLOOKUP($A12,[13]TONTJUIL23!$A$6:$P$20,10,0)</f>
        <v>0</v>
      </c>
      <c r="R12" s="2">
        <f>VLOOKUP($A12,[19]TONTJUIL23!$A$6:$P$21,10,0)</f>
        <v>0</v>
      </c>
      <c r="S12" s="20"/>
      <c r="T12" s="12"/>
      <c r="U12" s="17">
        <f t="shared" si="14"/>
        <v>360000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>IF(H12="ECHEC",0,(K12+I12-25000))+1800</f>
        <v>31300</v>
      </c>
      <c r="AT12" s="12"/>
      <c r="AV12" s="15"/>
      <c r="AW12" s="15">
        <f t="shared" si="7"/>
        <v>0</v>
      </c>
      <c r="AX12" s="15">
        <f t="shared" si="8"/>
        <v>0</v>
      </c>
      <c r="AY12" s="15">
        <f t="shared" si="9"/>
        <v>0</v>
      </c>
      <c r="AZ12" s="16">
        <f t="shared" si="10"/>
        <v>0</v>
      </c>
      <c r="BA12" s="58"/>
      <c r="BB12" s="58"/>
      <c r="BC12" s="15"/>
      <c r="BD12" s="57">
        <f t="shared" si="11"/>
        <v>0</v>
      </c>
      <c r="BE12" s="82"/>
      <c r="BF12" s="29">
        <f t="shared" si="6"/>
        <v>0</v>
      </c>
      <c r="BG12" s="29">
        <v>5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VLOOKUP(A13,[18]HISTOBQUEJUIL23!$A$6:$G$44,3,0)</f>
        <v>40000</v>
      </c>
      <c r="E13" s="9">
        <f>VLOOKUP(A13,[18]HISTOBQUEJUIL23!$A$6:$G$39,4,0)</f>
        <v>0</v>
      </c>
      <c r="F13" s="9">
        <f>VLOOKUP(A13,[18]HISTOBQUEJUIL23!$A$6:$G$39,5,0)</f>
        <v>0</v>
      </c>
      <c r="G13" s="5">
        <f t="shared" si="12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VLOOKUP($A13,[20]TONTJUIL23!$A$6:$P$35,12,0)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15"/>
        <v>15000</v>
      </c>
      <c r="AT13" s="12"/>
      <c r="AV13" s="15"/>
      <c r="AW13" s="15">
        <f t="shared" si="7"/>
        <v>0</v>
      </c>
      <c r="AX13" s="15">
        <f t="shared" si="8"/>
        <v>0</v>
      </c>
      <c r="AY13" s="15">
        <f t="shared" si="9"/>
        <v>0</v>
      </c>
      <c r="AZ13" s="16">
        <f t="shared" si="10"/>
        <v>0</v>
      </c>
      <c r="BA13" s="58"/>
      <c r="BB13" s="58"/>
      <c r="BC13" s="15"/>
      <c r="BD13" s="57">
        <f t="shared" si="11"/>
        <v>0</v>
      </c>
      <c r="BE13" s="82"/>
      <c r="BF13" s="29">
        <f t="shared" si="6"/>
        <v>0</v>
      </c>
      <c r="BG13" s="29">
        <v>5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VLOOKUP(A14,[18]HISTOBQUEJUIL23!$A$6:$G$44,3,0)</f>
        <v>40000</v>
      </c>
      <c r="E14" s="9">
        <f>VLOOKUP(A14,[18]HISTOBQUEJUIL23!$A$6:$G$39,4,0)</f>
        <v>0</v>
      </c>
      <c r="F14" s="9">
        <f>VLOOKUP(A14,[18]HISTOBQUEJUIL23!$A$6:$G$39,5,0)</f>
        <v>0</v>
      </c>
      <c r="G14" s="5">
        <f t="shared" si="12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VLOOKUP($A14,[20]TONTJUIL23!$A$6:$P$35,12,0)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15"/>
        <v>15000</v>
      </c>
      <c r="AT14" s="12"/>
      <c r="AV14" s="15"/>
      <c r="AW14" s="15">
        <f t="shared" si="7"/>
        <v>0</v>
      </c>
      <c r="AX14" s="15">
        <f t="shared" si="8"/>
        <v>0</v>
      </c>
      <c r="AY14" s="15">
        <f t="shared" si="9"/>
        <v>0</v>
      </c>
      <c r="AZ14" s="16">
        <f t="shared" si="10"/>
        <v>0</v>
      </c>
      <c r="BA14" s="58"/>
      <c r="BB14" s="58"/>
      <c r="BC14" s="15"/>
      <c r="BD14" s="57">
        <f t="shared" si="11"/>
        <v>0</v>
      </c>
      <c r="BE14" s="82"/>
      <c r="BF14" s="29">
        <f t="shared" si="6"/>
        <v>0</v>
      </c>
      <c r="BG14" s="29">
        <v>5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VLOOKUP(A15,[18]HISTOBQUEJUIL23!$A$6:$G$44,3,0)</f>
        <v>115000</v>
      </c>
      <c r="E15" s="9">
        <f>VLOOKUP(A15,[18]HISTOBQUEJUIL23!$A$6:$G$39,4,0)</f>
        <v>0</v>
      </c>
      <c r="F15" s="9">
        <f>VLOOKUP(A15,[18]HISTOBQUEJUIL23!$A$6:$G$39,5,0)</f>
        <v>70000</v>
      </c>
      <c r="G15" s="5">
        <f t="shared" si="12"/>
        <v>0</v>
      </c>
      <c r="H15" s="10" t="str">
        <f t="shared" si="1"/>
        <v>BANQUE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VLOOKUP($A15,[20]TONTJUIL23!$A$6:$P$35,12,0)</f>
        <v>0</v>
      </c>
      <c r="Q15" s="2">
        <f>VLOOKUP($A15,[13]TONTJUIL23!$A$6:$P$20,10,0)</f>
        <v>0</v>
      </c>
      <c r="R15" s="2"/>
      <c r="S15" s="20"/>
      <c r="T15" s="12"/>
      <c r="U15" s="17">
        <f t="shared" si="14"/>
        <v>115000</v>
      </c>
      <c r="V15" s="12"/>
      <c r="W15" s="12"/>
      <c r="X15" s="12"/>
      <c r="Y15" s="12"/>
      <c r="Z15" s="12"/>
      <c r="AA15" s="12"/>
      <c r="AB15" s="12"/>
      <c r="AC15" s="12">
        <v>2500</v>
      </c>
      <c r="AD15" s="12">
        <v>7500</v>
      </c>
      <c r="AE15" s="12"/>
      <c r="AF15" s="12" t="s">
        <v>8</v>
      </c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15"/>
        <v>15000</v>
      </c>
      <c r="AT15" s="12"/>
      <c r="AV15" s="15"/>
      <c r="AW15" s="15">
        <f t="shared" si="7"/>
        <v>297500</v>
      </c>
      <c r="AX15" s="15">
        <f t="shared" si="8"/>
        <v>892500</v>
      </c>
      <c r="AY15" s="15">
        <f t="shared" si="9"/>
        <v>0</v>
      </c>
      <c r="AZ15" s="16">
        <f t="shared" si="10"/>
        <v>1120000</v>
      </c>
      <c r="BA15" s="58"/>
      <c r="BB15" s="58">
        <v>70000</v>
      </c>
      <c r="BC15" s="15"/>
      <c r="BD15" s="57">
        <f t="shared" si="11"/>
        <v>1120000</v>
      </c>
      <c r="BE15" s="82">
        <f>227500+892500</f>
        <v>1120000</v>
      </c>
      <c r="BF15" s="29">
        <f t="shared" si="6"/>
        <v>0</v>
      </c>
      <c r="BG15" s="29">
        <v>5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VLOOKUP(A16,[18]HISTOBQUEJUIL23!$A$6:$G$44,3,0)</f>
        <v>250000</v>
      </c>
      <c r="E16" s="9">
        <f>VLOOKUP(A16,[18]HISTOBQUEJUIL23!$A$6:$G$39,4,0)</f>
        <v>0</v>
      </c>
      <c r="F16" s="9">
        <f>VLOOKUP(A16,[18]HISTOBQUEJUIL23!$A$6:$G$39,5,0)</f>
        <v>0</v>
      </c>
      <c r="G16" s="5">
        <f t="shared" si="12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VLOOKUP($A16,[20]TONTJUIL23!$A$6:$P$35,12,0)</f>
        <v>0</v>
      </c>
      <c r="Q16" s="2">
        <f>VLOOKUP($A16,[13]TONTJUIL23!$A$6:$P$20,10,0)</f>
        <v>0</v>
      </c>
      <c r="R16" s="2">
        <f>VLOOKUP($A16,[19]TONTJUIL23!$A$6:$P$21,10,0)</f>
        <v>0</v>
      </c>
      <c r="S16" s="20"/>
      <c r="T16" s="12"/>
      <c r="U16" s="17">
        <f t="shared" si="14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15"/>
        <v>50000</v>
      </c>
      <c r="AT16" s="12"/>
      <c r="AV16" s="15"/>
      <c r="AW16" s="15">
        <f t="shared" si="7"/>
        <v>0</v>
      </c>
      <c r="AX16" s="15">
        <f t="shared" si="8"/>
        <v>0</v>
      </c>
      <c r="AY16" s="15">
        <f t="shared" si="9"/>
        <v>0</v>
      </c>
      <c r="AZ16" s="16">
        <f t="shared" si="10"/>
        <v>0</v>
      </c>
      <c r="BA16" s="58"/>
      <c r="BB16" s="58"/>
      <c r="BC16" s="15"/>
      <c r="BD16" s="57">
        <f t="shared" si="11"/>
        <v>0</v>
      </c>
      <c r="BE16" s="82"/>
      <c r="BF16" s="29">
        <f t="shared" si="6"/>
        <v>0</v>
      </c>
      <c r="BG16" s="29">
        <v>5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VLOOKUP(A17,[18]HISTOBQUEJUIL23!$A$6:$G$44,3,0)</f>
        <v>140000</v>
      </c>
      <c r="E17" s="9">
        <f>VLOOKUP(A17,[18]HISTOBQUEJUIL23!$A$6:$G$39,4,0)</f>
        <v>0</v>
      </c>
      <c r="F17" s="9">
        <f>VLOOKUP(A17,[18]HISTOBQUEJUIL23!$A$6:$G$39,5,0)</f>
        <v>0</v>
      </c>
      <c r="G17" s="5">
        <f t="shared" si="12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VLOOKUP($A17,[20]TONTJUIL23!$A$6:$P$35,12,0)</f>
        <v>0</v>
      </c>
      <c r="Q17" s="2"/>
      <c r="R17" s="2">
        <f>VLOOKUP($A17,[19]TONTJUIL23!$A$6:$P$21,10,0)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>
        <v>1000000</v>
      </c>
      <c r="AA17" s="12" t="s">
        <v>8</v>
      </c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100000</v>
      </c>
      <c r="AL17" s="12"/>
      <c r="AM17" s="12"/>
      <c r="AN17" s="12">
        <v>1000</v>
      </c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15"/>
        <v>15000</v>
      </c>
      <c r="AT17" s="12"/>
      <c r="AV17" s="15"/>
      <c r="AW17" s="15">
        <f t="shared" si="7"/>
        <v>0</v>
      </c>
      <c r="AX17" s="15">
        <f t="shared" si="8"/>
        <v>0</v>
      </c>
      <c r="AY17" s="15">
        <f t="shared" si="9"/>
        <v>100000</v>
      </c>
      <c r="AZ17" s="16">
        <f>SUM(AV17:AY17)-BF17+Z17-F17+BH17+BI17+BJ17+BK17+BL17+BM17</f>
        <v>1050000</v>
      </c>
      <c r="BA17" s="58"/>
      <c r="BB17" s="58"/>
      <c r="BC17" s="15"/>
      <c r="BD17" s="57">
        <f t="shared" si="11"/>
        <v>1050000</v>
      </c>
      <c r="BE17" s="82">
        <f>100000+950000</f>
        <v>1050000</v>
      </c>
      <c r="BF17" s="29">
        <f t="shared" si="6"/>
        <v>50000</v>
      </c>
      <c r="BG17" s="29">
        <v>5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VLOOKUP(A18,[18]HISTOBQUEJUIL23!$A$6:$G$44,3,0)</f>
        <v>215000</v>
      </c>
      <c r="E18" s="9">
        <f>VLOOKUP(A18,[18]HISTOBQUEJUIL23!$A$6:$G$39,4,0)</f>
        <v>0</v>
      </c>
      <c r="F18" s="9">
        <f>VLOOKUP(A18,[18]HISTOBQUEJUIL23!$A$6:$G$39,5,0)</f>
        <v>0</v>
      </c>
      <c r="G18" s="5">
        <f t="shared" si="12"/>
        <v>0</v>
      </c>
      <c r="H18" s="10" t="str">
        <f t="shared" si="1"/>
        <v>BANQUE</v>
      </c>
      <c r="I18" s="10"/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VLOOKUP($A18,[20]TONTJUIL23!$A$6:$P$35,12,0)</f>
        <v>0</v>
      </c>
      <c r="Q18" s="2">
        <f>VLOOKUP($A18,[13]TONTJUIL23!$A$6:$P$20,10,0)</f>
        <v>0</v>
      </c>
      <c r="R18" s="2">
        <f>VLOOKUP($A18,[19]TONTJUIL23!$A$6:$P$21,10,0)</f>
        <v>0</v>
      </c>
      <c r="S18" s="20"/>
      <c r="T18" s="12"/>
      <c r="U18" s="17">
        <f t="shared" si="14"/>
        <v>215000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15"/>
        <v>15000</v>
      </c>
      <c r="AT18" s="12"/>
      <c r="AV18" s="15"/>
      <c r="AW18" s="15">
        <f t="shared" si="7"/>
        <v>0</v>
      </c>
      <c r="AX18" s="15">
        <f t="shared" si="8"/>
        <v>0</v>
      </c>
      <c r="AY18" s="15">
        <f t="shared" si="9"/>
        <v>0</v>
      </c>
      <c r="AZ18" s="16">
        <f t="shared" si="10"/>
        <v>0</v>
      </c>
      <c r="BA18" s="58"/>
      <c r="BB18" s="58"/>
      <c r="BC18" s="15"/>
      <c r="BD18" s="57">
        <f t="shared" si="11"/>
        <v>0</v>
      </c>
      <c r="BE18" s="82"/>
      <c r="BF18" s="29">
        <f t="shared" si="6"/>
        <v>0</v>
      </c>
      <c r="BG18" s="29">
        <v>5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VLOOKUP(A19,[18]HISTOBQUEJUIL23!$A$6:$G$44,3,0)</f>
        <v>40000</v>
      </c>
      <c r="E19" s="9">
        <f>VLOOKUP(A19,[18]HISTOBQUEJUIL23!$A$6:$G$39,4,0)</f>
        <v>0</v>
      </c>
      <c r="F19" s="9">
        <f>VLOOKUP(A19,[18]HISTOBQUEJUIL23!$A$6:$G$39,5,0)</f>
        <v>0</v>
      </c>
      <c r="G19" s="5">
        <f t="shared" si="12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VLOOKUP($A19,[20]TONTJUIL23!$A$6:$P$35,12,0)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15"/>
        <v>15000</v>
      </c>
      <c r="AT19" s="12"/>
      <c r="AV19" s="15"/>
      <c r="AW19" s="15">
        <f t="shared" si="7"/>
        <v>0</v>
      </c>
      <c r="AX19" s="15">
        <f t="shared" si="8"/>
        <v>0</v>
      </c>
      <c r="AY19" s="15">
        <f t="shared" si="9"/>
        <v>0</v>
      </c>
      <c r="AZ19" s="16">
        <f t="shared" si="10"/>
        <v>0</v>
      </c>
      <c r="BA19" s="58"/>
      <c r="BB19" s="58"/>
      <c r="BC19" s="15"/>
      <c r="BD19" s="57">
        <f t="shared" si="11"/>
        <v>0</v>
      </c>
      <c r="BE19" s="82"/>
      <c r="BF19" s="29">
        <f t="shared" si="6"/>
        <v>0</v>
      </c>
      <c r="BG19" s="29">
        <v>5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VLOOKUP(A20,[18]HISTOBQUEJUIL23!$A$6:$G$44,3,0)-202000-250000-50000</f>
        <v>519000</v>
      </c>
      <c r="E20" s="9">
        <f>VLOOKUP(A20,[18]HISTOBQUEJUIL23!$A$6:$G$39,4,0)</f>
        <v>0</v>
      </c>
      <c r="F20" s="9">
        <f>VLOOKUP(A20,[18]HISTOBQUEJUIL23!$A$6:$G$39,5,0)</f>
        <v>0</v>
      </c>
      <c r="G20" s="5">
        <f t="shared" si="12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VLOOKUP($A20,[20]TONTJUIL23!$A$6:$P$35,12,0)</f>
        <v>0</v>
      </c>
      <c r="Q20" s="2">
        <f>VLOOKUP($A20,[13]TONTJUIL23!$A$6:$P$20,10,0)</f>
        <v>102000</v>
      </c>
      <c r="R20" s="2">
        <f>VLOOKUP($A20,[19]TONTJUIL23!$A$6:$P$21,10,0)</f>
        <v>202000</v>
      </c>
      <c r="S20" s="20"/>
      <c r="T20" s="12"/>
      <c r="U20" s="17">
        <f t="shared" si="14"/>
        <v>519000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75000</v>
      </c>
      <c r="AK20" s="12">
        <f>100000+189500</f>
        <v>289500</v>
      </c>
      <c r="AL20" s="12"/>
      <c r="AM20" s="12">
        <v>1000</v>
      </c>
      <c r="AN20" s="12">
        <f>1000+1000</f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15"/>
        <v>15000</v>
      </c>
      <c r="AT20" s="12"/>
      <c r="AV20" s="15"/>
      <c r="AW20" s="15">
        <f t="shared" si="7"/>
        <v>0</v>
      </c>
      <c r="AX20" s="15">
        <f t="shared" si="8"/>
        <v>75000</v>
      </c>
      <c r="AY20" s="15">
        <f t="shared" si="9"/>
        <v>289500</v>
      </c>
      <c r="AZ20" s="16">
        <f t="shared" si="10"/>
        <v>364500</v>
      </c>
      <c r="BA20" s="58">
        <f>100000+12500</f>
        <v>112500</v>
      </c>
      <c r="BB20" s="58"/>
      <c r="BC20" s="15"/>
      <c r="BD20" s="57">
        <f t="shared" si="11"/>
        <v>252000</v>
      </c>
      <c r="BE20" s="82">
        <f>75000+177000</f>
        <v>252000</v>
      </c>
      <c r="BF20" s="29">
        <f t="shared" si="6"/>
        <v>0</v>
      </c>
      <c r="BG20" s="29">
        <v>5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VLOOKUP(A21,[18]HISTOBQUEJUIL23!$A$6:$G$44,3,0)</f>
        <v>40000</v>
      </c>
      <c r="E21" s="9">
        <f>VLOOKUP(A21,[18]HISTOBQUEJUIL23!$A$6:$G$39,4,0)</f>
        <v>0</v>
      </c>
      <c r="F21" s="9">
        <f>VLOOKUP(A21,[18]HISTOBQUEJUIL23!$A$6:$G$39,5,0)</f>
        <v>0</v>
      </c>
      <c r="G21" s="5">
        <f t="shared" si="12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VLOOKUP($A21,[20]TONTJUIL23!$A$6:$P$35,12,0)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15"/>
        <v>15000</v>
      </c>
      <c r="AT21" s="12"/>
      <c r="AV21" s="15"/>
      <c r="AW21" s="15">
        <f t="shared" si="7"/>
        <v>0</v>
      </c>
      <c r="AX21" s="15">
        <f t="shared" si="8"/>
        <v>0</v>
      </c>
      <c r="AY21" s="15">
        <f t="shared" si="9"/>
        <v>0</v>
      </c>
      <c r="AZ21" s="16">
        <f t="shared" si="10"/>
        <v>0</v>
      </c>
      <c r="BA21" s="58"/>
      <c r="BB21" s="58"/>
      <c r="BC21" s="15"/>
      <c r="BD21" s="57">
        <f t="shared" si="11"/>
        <v>0</v>
      </c>
      <c r="BE21" s="82"/>
      <c r="BF21" s="29">
        <f t="shared" si="6"/>
        <v>0</v>
      </c>
      <c r="BG21" s="29">
        <v>5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VLOOKUP(A22,[18]HISTOBQUEJUIL23!$A$6:$G$44,3,0)</f>
        <v>115000</v>
      </c>
      <c r="E22" s="9">
        <f>VLOOKUP(A22,[18]HISTOBQUEJUIL23!$A$6:$G$39,4,0)</f>
        <v>0</v>
      </c>
      <c r="F22" s="9">
        <f>VLOOKUP(A22,[18]HISTOBQUEJUIL23!$A$6:$G$39,5,0)</f>
        <v>0</v>
      </c>
      <c r="G22" s="5">
        <f t="shared" si="12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VLOOKUP($A22,[20]TONTJUIL23!$A$6:$P$35,12,0)</f>
        <v>0</v>
      </c>
      <c r="Q22" s="2">
        <f>VLOOKUP($A22,[13]TONTJUIL23!$A$6:$P$20,10,0)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15"/>
        <v>15000</v>
      </c>
      <c r="AT22" s="12"/>
      <c r="AV22" s="15"/>
      <c r="AW22" s="15">
        <f t="shared" si="7"/>
        <v>0</v>
      </c>
      <c r="AX22" s="15">
        <f t="shared" si="8"/>
        <v>0</v>
      </c>
      <c r="AY22" s="15">
        <f t="shared" si="9"/>
        <v>0</v>
      </c>
      <c r="AZ22" s="16">
        <f t="shared" si="10"/>
        <v>0</v>
      </c>
      <c r="BA22" s="58"/>
      <c r="BB22" s="58"/>
      <c r="BC22" s="15"/>
      <c r="BD22" s="57">
        <f t="shared" si="11"/>
        <v>0</v>
      </c>
      <c r="BE22" s="82"/>
      <c r="BF22" s="29">
        <f t="shared" si="6"/>
        <v>0</v>
      </c>
      <c r="BG22" s="29">
        <v>5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VLOOKUP(A23,[18]HISTOBQUEJUIL23!$A$6:$G$44,3,0)+202000</f>
        <v>452000</v>
      </c>
      <c r="E23" s="9">
        <f>VLOOKUP(A23,[18]HISTOBQUEJUIL23!$A$6:$G$39,4,0)</f>
        <v>0</v>
      </c>
      <c r="F23" s="9">
        <f>VLOOKUP(A23,[18]HISTOBQUEJUIL23!$A$6:$G$39,5,0)</f>
        <v>0</v>
      </c>
      <c r="G23" s="5">
        <f t="shared" si="12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VLOOKUP($A23,[20]TONTJUIL23!$A$6:$P$35,12,0)</f>
        <v>0</v>
      </c>
      <c r="Q23" s="2"/>
      <c r="R23" s="2">
        <f>VLOOKUP($A23,[19]TONTJUIL23!$A$6:$P$21,10,0)</f>
        <v>202000</v>
      </c>
      <c r="S23" s="20"/>
      <c r="T23" s="12"/>
      <c r="U23" s="17">
        <f t="shared" si="14"/>
        <v>452000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15"/>
        <v>25000</v>
      </c>
      <c r="AT23" s="12"/>
      <c r="AV23" s="15"/>
      <c r="AW23" s="15">
        <f t="shared" si="7"/>
        <v>0</v>
      </c>
      <c r="AX23" s="15">
        <f t="shared" si="8"/>
        <v>0</v>
      </c>
      <c r="AY23" s="15">
        <f t="shared" si="9"/>
        <v>0</v>
      </c>
      <c r="AZ23" s="16">
        <f t="shared" si="10"/>
        <v>0</v>
      </c>
      <c r="BA23" s="58"/>
      <c r="BB23" s="58"/>
      <c r="BC23" s="15"/>
      <c r="BD23" s="57">
        <f t="shared" si="11"/>
        <v>0</v>
      </c>
      <c r="BE23" s="82"/>
      <c r="BF23" s="29">
        <f t="shared" si="6"/>
        <v>0</v>
      </c>
      <c r="BG23" s="29">
        <v>5</v>
      </c>
      <c r="BH23" s="15"/>
      <c r="BI23" s="15"/>
      <c r="BJ23" s="15"/>
      <c r="BK23" s="15"/>
      <c r="BL23" s="61"/>
      <c r="BN23" s="62"/>
      <c r="BP23" s="62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9">
        <f t="shared" si="0"/>
        <v>-122000</v>
      </c>
      <c r="D24" s="9">
        <f>VLOOKUP(A24,[18]HISTOBQUEJUIL23!$A$6:$G$44,3,0)-61000</f>
        <v>159000</v>
      </c>
      <c r="E24" s="9">
        <f>VLOOKUP(A24,[18]HISTOBQUEJUIL23!$A$6:$G$39,4,0)</f>
        <v>0</v>
      </c>
      <c r="F24" s="9">
        <f>VLOOKUP(A24,[18]HISTOBQUEJUIL23!$A$6:$G$39,5,0)</f>
        <v>0</v>
      </c>
      <c r="G24" s="5">
        <f t="shared" si="12"/>
        <v>0</v>
      </c>
      <c r="H24" s="10" t="str">
        <f t="shared" si="1"/>
        <v>BANQUE</v>
      </c>
      <c r="I24" s="10">
        <v>5000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VLOOKUP($A24,[20]TONTJUIL23!$A$6:$P$35,12,0)</f>
        <v>61000</v>
      </c>
      <c r="Q24" s="2">
        <f>VLOOKUP($A24,[13]TONTJUIL23!$A$6:$P$20,10,0)</f>
        <v>0</v>
      </c>
      <c r="R24" s="2">
        <f>VLOOKUP($A24,[19]TONTJUIL23!$A$6:$P$21,10,0)</f>
        <v>0</v>
      </c>
      <c r="S24" s="20"/>
      <c r="T24" s="12"/>
      <c r="U24" s="17">
        <f t="shared" si="14"/>
        <v>281000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>
        <v>61000</v>
      </c>
      <c r="AJ24" s="12">
        <f>92000+75000</f>
        <v>167000</v>
      </c>
      <c r="AK24" s="12">
        <v>100000</v>
      </c>
      <c r="AL24" s="12">
        <v>2000</v>
      </c>
      <c r="AM24" s="12">
        <f>1000+1000</f>
        <v>2000</v>
      </c>
      <c r="AN24" s="12">
        <v>1000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15"/>
        <v>20000</v>
      </c>
      <c r="AT24" s="12"/>
      <c r="AV24" s="15"/>
      <c r="AW24" s="15">
        <f t="shared" si="7"/>
        <v>61000</v>
      </c>
      <c r="AX24" s="15">
        <f t="shared" si="8"/>
        <v>167000</v>
      </c>
      <c r="AY24" s="15">
        <f t="shared" si="9"/>
        <v>100000</v>
      </c>
      <c r="AZ24" s="16">
        <f>SUM(AV24:AY24)-BF24+Z24-F24+BH24+BI24+BJ24+BK24+BL24+BM24-61000</f>
        <v>267000</v>
      </c>
      <c r="BA24" s="58"/>
      <c r="BB24" s="58"/>
      <c r="BC24" s="15"/>
      <c r="BD24" s="57">
        <f>IF(AZ24=0,(AZ24-BA24-BC24),(AZ24-BA24-BB24-BC24))+F24-221000</f>
        <v>46000</v>
      </c>
      <c r="BE24" s="82">
        <v>46000</v>
      </c>
      <c r="BF24" s="29">
        <f t="shared" si="6"/>
        <v>0</v>
      </c>
      <c r="BG24" s="29">
        <v>5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VLOOKUP(A25,[18]HISTOBQUEJUIL23!$A$6:$G$44,3,0)</f>
        <v>400000</v>
      </c>
      <c r="E25" s="9">
        <f>VLOOKUP(A25,[18]HISTOBQUEJUIL23!$A$6:$G$39,4,0)</f>
        <v>0</v>
      </c>
      <c r="F25" s="9">
        <f>VLOOKUP(A25,[18]HISTOBQUEJUIL23!$A$6:$G$39,5,0)</f>
        <v>0</v>
      </c>
      <c r="G25" s="5">
        <f t="shared" si="12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VLOOKUP($A25,[20]TONTJUIL23!$A$6:$P$35,12,0)</f>
        <v>0</v>
      </c>
      <c r="Q25" s="2">
        <f>VLOOKUP($A25,[13]TONTJUIL23!$A$6:$P$20,10,0)</f>
        <v>102000</v>
      </c>
      <c r="R25" s="2">
        <f>VLOOKUP($A25,[19]TONTJUIL23!$A$6:$P$21,10,0)</f>
        <v>0</v>
      </c>
      <c r="S25" s="20"/>
      <c r="T25" s="12"/>
      <c r="U25" s="17">
        <f t="shared" si="14"/>
        <v>400000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100000</v>
      </c>
      <c r="AL25" s="12"/>
      <c r="AM25" s="12"/>
      <c r="AN25" s="12">
        <v>1000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15"/>
        <v>23000</v>
      </c>
      <c r="AT25" s="12"/>
      <c r="AV25" s="15"/>
      <c r="AW25" s="15">
        <f t="shared" si="7"/>
        <v>0</v>
      </c>
      <c r="AX25" s="15">
        <f t="shared" si="8"/>
        <v>0</v>
      </c>
      <c r="AY25" s="15">
        <f t="shared" si="9"/>
        <v>100000</v>
      </c>
      <c r="AZ25" s="16">
        <f t="shared" si="10"/>
        <v>100000</v>
      </c>
      <c r="BA25" s="58"/>
      <c r="BB25" s="58"/>
      <c r="BC25" s="15"/>
      <c r="BD25" s="57">
        <f t="shared" si="11"/>
        <v>100000</v>
      </c>
      <c r="BE25" s="82">
        <v>100000</v>
      </c>
      <c r="BF25" s="29">
        <f t="shared" si="6"/>
        <v>0</v>
      </c>
      <c r="BG25" s="29">
        <v>5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VLOOKUP(A26,[18]HISTOBQUEJUIL23!$A$6:$G$44,3,0)</f>
        <v>0</v>
      </c>
      <c r="E26" s="9">
        <f>VLOOKUP(A26,[18]HISTOBQUEJUIL23!$A$6:$G$39,4,0)</f>
        <v>43000</v>
      </c>
      <c r="F26" s="9">
        <f>VLOOKUP(A26,[18]HISTOBQUEJUIL23!$A$6:$G$39,5,0)</f>
        <v>0</v>
      </c>
      <c r="G26" s="5">
        <f t="shared" si="12"/>
        <v>3000</v>
      </c>
      <c r="H26" s="10" t="str">
        <f t="shared" si="1"/>
        <v>ESPECES</v>
      </c>
      <c r="I26" s="10"/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VLOOKUP($A26,[20]TONTJUIL23!$A$6:$P$35,12,0)</f>
        <v>0</v>
      </c>
      <c r="Q26" s="2"/>
      <c r="R26" s="2"/>
      <c r="S26" s="20"/>
      <c r="T26" s="12"/>
      <c r="U26" s="17">
        <f t="shared" si="14"/>
        <v>43000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15"/>
        <v>15000</v>
      </c>
      <c r="AT26" s="12"/>
      <c r="AV26" s="15"/>
      <c r="AW26" s="15">
        <f t="shared" si="7"/>
        <v>0</v>
      </c>
      <c r="AX26" s="15">
        <f t="shared" si="8"/>
        <v>0</v>
      </c>
      <c r="AY26" s="15">
        <f t="shared" si="9"/>
        <v>0</v>
      </c>
      <c r="AZ26" s="16">
        <f t="shared" si="10"/>
        <v>0</v>
      </c>
      <c r="BA26" s="58"/>
      <c r="BB26" s="58"/>
      <c r="BC26" s="15"/>
      <c r="BD26" s="57">
        <f t="shared" si="11"/>
        <v>0</v>
      </c>
      <c r="BE26" s="82"/>
      <c r="BF26" s="29">
        <f t="shared" si="6"/>
        <v>0</v>
      </c>
      <c r="BG26" s="29">
        <v>5</v>
      </c>
      <c r="BH26" s="15"/>
      <c r="BI26" s="15"/>
      <c r="BJ26" s="15"/>
      <c r="BK26" s="15"/>
      <c r="BL26" s="61"/>
      <c r="BN26" t="s">
        <v>190</v>
      </c>
      <c r="BO26" t="s">
        <v>143</v>
      </c>
      <c r="BP26" s="6">
        <v>50000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VLOOKUP(A27,[18]HISTOBQUEJUIL23!$A$6:$G$44,3,0)</f>
        <v>50000</v>
      </c>
      <c r="E27" s="9">
        <f>VLOOKUP(A27,[18]HISTOBQUEJUIL23!$A$6:$G$39,4,0)</f>
        <v>0</v>
      </c>
      <c r="F27" s="9">
        <f>VLOOKUP(A27,[18]HISTOBQUEJUIL23!$A$6:$G$39,5,0)</f>
        <v>0</v>
      </c>
      <c r="G27" s="5">
        <f t="shared" si="12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VLOOKUP($A27,[20]TONTJUIL23!$A$6:$P$35,12,0)</f>
        <v>0</v>
      </c>
      <c r="Q27" s="2"/>
      <c r="R27" s="2"/>
      <c r="S27" s="20"/>
      <c r="T27" s="12"/>
      <c r="U27" s="17">
        <f t="shared" si="14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15"/>
        <v>25000</v>
      </c>
      <c r="AT27" s="12"/>
      <c r="AV27" s="15"/>
      <c r="AW27" s="15">
        <f t="shared" si="7"/>
        <v>0</v>
      </c>
      <c r="AX27" s="15">
        <f t="shared" si="8"/>
        <v>0</v>
      </c>
      <c r="AY27" s="15">
        <f t="shared" si="9"/>
        <v>0</v>
      </c>
      <c r="AZ27" s="16">
        <f t="shared" si="10"/>
        <v>0</v>
      </c>
      <c r="BA27" s="58"/>
      <c r="BB27" s="58"/>
      <c r="BC27" s="15"/>
      <c r="BD27" s="57">
        <f t="shared" si="11"/>
        <v>0</v>
      </c>
      <c r="BE27" s="82"/>
      <c r="BF27" s="29">
        <f t="shared" si="6"/>
        <v>0</v>
      </c>
      <c r="BG27" s="29">
        <v>5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VLOOKUP(A28,[18]HISTOBQUEJUIL23!$A$6:$G$44,3,0)</f>
        <v>115000</v>
      </c>
      <c r="E28" s="9">
        <f>VLOOKUP(A28,[18]HISTOBQUEJUIL23!$A$6:$G$39,4,0)</f>
        <v>0</v>
      </c>
      <c r="F28" s="9">
        <f>VLOOKUP(A28,[18]HISTOBQUEJUIL23!$A$6:$G$39,5,0)</f>
        <v>0</v>
      </c>
      <c r="G28" s="5">
        <f t="shared" si="12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VLOOKUP($A28,[20]TONTJUIL23!$A$6:$P$35,12,0)</f>
        <v>0</v>
      </c>
      <c r="Q28" s="2">
        <f>VLOOKUP($A28,[13]TONTJUIL23!$A$6:$P$20,10,0)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15"/>
        <v>15000</v>
      </c>
      <c r="AT28" s="12"/>
      <c r="AV28" s="15"/>
      <c r="AW28" s="15">
        <f t="shared" si="7"/>
        <v>0</v>
      </c>
      <c r="AX28" s="15">
        <f t="shared" si="8"/>
        <v>0</v>
      </c>
      <c r="AY28" s="15">
        <f t="shared" si="9"/>
        <v>0</v>
      </c>
      <c r="AZ28" s="16">
        <f t="shared" si="10"/>
        <v>0</v>
      </c>
      <c r="BA28" s="58"/>
      <c r="BB28" s="58"/>
      <c r="BC28" s="15"/>
      <c r="BD28" s="57">
        <f t="shared" si="11"/>
        <v>0</v>
      </c>
      <c r="BE28" s="82"/>
      <c r="BF28" s="29">
        <f t="shared" si="6"/>
        <v>0</v>
      </c>
      <c r="BG28" s="29">
        <v>5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50000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VLOOKUP(A29,[18]HISTOBQUEJUIL23!$A$6:$G$44,3,0)</f>
        <v>40000</v>
      </c>
      <c r="E29" s="9">
        <f>VLOOKUP(A29,[18]HISTOBQUEJUIL23!$A$6:$G$39,4,0)</f>
        <v>0</v>
      </c>
      <c r="F29" s="9">
        <f>VLOOKUP(A29,[18]HISTOBQUEJUIL23!$A$6:$G$39,5,0)</f>
        <v>0</v>
      </c>
      <c r="G29" s="5">
        <f t="shared" si="12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VLOOKUP($A29,[20]TONTJUIL23!$A$6:$P$35,12,0)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15"/>
        <v>15000</v>
      </c>
      <c r="AT29" s="12"/>
      <c r="AV29" s="15"/>
      <c r="AW29" s="15">
        <f t="shared" si="7"/>
        <v>0</v>
      </c>
      <c r="AX29" s="15">
        <f t="shared" si="8"/>
        <v>0</v>
      </c>
      <c r="AY29" s="15">
        <f t="shared" si="9"/>
        <v>0</v>
      </c>
      <c r="AZ29" s="16">
        <f t="shared" si="10"/>
        <v>0</v>
      </c>
      <c r="BA29" s="58"/>
      <c r="BB29" s="58"/>
      <c r="BC29" s="15"/>
      <c r="BD29" s="57">
        <f t="shared" si="11"/>
        <v>0</v>
      </c>
      <c r="BE29" s="82"/>
      <c r="BF29" s="29">
        <f t="shared" si="6"/>
        <v>0</v>
      </c>
      <c r="BG29" s="29">
        <v>5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VLOOKUP(A30,[18]HISTOBQUEJUIL23!$A$6:$G$44,3,0)</f>
        <v>115000</v>
      </c>
      <c r="E30" s="9">
        <f>VLOOKUP(A30,[18]HISTOBQUEJUIL23!$A$6:$G$39,4,0)</f>
        <v>0</v>
      </c>
      <c r="F30" s="9">
        <f>VLOOKUP(A30,[18]HISTOBQUEJUIL23!$A$6:$G$39,5,0)</f>
        <v>0</v>
      </c>
      <c r="G30" s="5">
        <f t="shared" si="12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VLOOKUP($A30,[20]TONTJUIL23!$A$6:$P$35,12,0)</f>
        <v>0</v>
      </c>
      <c r="Q30" s="2">
        <f>VLOOKUP($A30,[13]TONTJUIL23!$A$6:$P$20,10,0)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15"/>
        <v>15000</v>
      </c>
      <c r="AT30" s="12"/>
      <c r="AV30" s="15"/>
      <c r="AW30" s="15">
        <f t="shared" si="7"/>
        <v>0</v>
      </c>
      <c r="AX30" s="15">
        <f t="shared" si="8"/>
        <v>0</v>
      </c>
      <c r="AY30" s="15">
        <f t="shared" si="9"/>
        <v>0</v>
      </c>
      <c r="AZ30" s="16">
        <f t="shared" si="10"/>
        <v>0</v>
      </c>
      <c r="BA30" s="58"/>
      <c r="BB30" s="58"/>
      <c r="BC30" s="15"/>
      <c r="BD30" s="57">
        <f t="shared" si="11"/>
        <v>0</v>
      </c>
      <c r="BE30" s="82"/>
      <c r="BF30" s="29">
        <f t="shared" si="6"/>
        <v>0</v>
      </c>
      <c r="BG30" s="29">
        <v>5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VLOOKUP(A31,[18]HISTOBQUEJUIL23!$A$6:$G$44,3,0)</f>
        <v>140000</v>
      </c>
      <c r="E31" s="9">
        <f>VLOOKUP(A31,[18]HISTOBQUEJUIL23!$A$6:$G$39,4,0)</f>
        <v>0</v>
      </c>
      <c r="F31" s="9">
        <f>VLOOKUP(A31,[18]HISTOBQUEJUIL23!$A$6:$G$39,5,0)</f>
        <v>0</v>
      </c>
      <c r="G31" s="5">
        <f t="shared" si="12"/>
        <v>0</v>
      </c>
      <c r="H31" s="10" t="str">
        <f t="shared" si="1"/>
        <v>BANQUE</v>
      </c>
      <c r="I31" s="10"/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VLOOKUP($A31,[20]TONTJUIL23!$A$6:$P$35,12,0)</f>
        <v>0</v>
      </c>
      <c r="Q31" s="2"/>
      <c r="R31" s="2">
        <f>VLOOKUP($A31,[19]TONTJUIL23!$A$6:$P$21,10,0)</f>
        <v>0</v>
      </c>
      <c r="S31" s="20"/>
      <c r="T31" s="12"/>
      <c r="U31" s="17">
        <f t="shared" si="14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15"/>
        <v>15000</v>
      </c>
      <c r="AT31" s="12"/>
      <c r="AV31" s="15"/>
      <c r="AW31" s="15">
        <f t="shared" si="7"/>
        <v>0</v>
      </c>
      <c r="AX31" s="15">
        <f t="shared" si="8"/>
        <v>0</v>
      </c>
      <c r="AY31" s="15">
        <f t="shared" si="9"/>
        <v>0</v>
      </c>
      <c r="AZ31" s="16">
        <f t="shared" si="10"/>
        <v>0</v>
      </c>
      <c r="BA31" s="58"/>
      <c r="BB31" s="58"/>
      <c r="BC31" s="15"/>
      <c r="BD31" s="57">
        <f t="shared" si="11"/>
        <v>0</v>
      </c>
      <c r="BE31" s="82"/>
      <c r="BF31" s="29">
        <f t="shared" si="6"/>
        <v>0</v>
      </c>
      <c r="BG31" s="29">
        <v>5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VLOOKUP(A32,[18]HISTOBQUEJUIL23!$A$6:$G$44,3,0)+250000</f>
        <v>365000</v>
      </c>
      <c r="E32" s="9">
        <f>VLOOKUP(A32,[18]HISTOBQUEJUIL23!$A$6:$G$39,4,0)</f>
        <v>102000</v>
      </c>
      <c r="F32" s="9">
        <f>VLOOKUP(A32,[18]HISTOBQUEJUIL23!$A$6:$G$39,5,0)</f>
        <v>70000</v>
      </c>
      <c r="G32" s="5">
        <f t="shared" si="12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VLOOKUP($A32,[20]TONTJUIL23!$A$6:$P$35,12,0)</f>
        <v>0</v>
      </c>
      <c r="Q32" s="2">
        <f>VLOOKUP($A32,[13]TONTJUIL23!$A$6:$P$20,10,0)</f>
        <v>102000</v>
      </c>
      <c r="R32" s="2"/>
      <c r="S32" s="20">
        <v>250000</v>
      </c>
      <c r="T32" s="12"/>
      <c r="U32" s="17">
        <f t="shared" si="14"/>
        <v>467000</v>
      </c>
      <c r="V32" s="12"/>
      <c r="W32" s="12"/>
      <c r="X32" s="12"/>
      <c r="Y32" s="12"/>
      <c r="Z32" s="12"/>
      <c r="AA32" s="12"/>
      <c r="AB32" s="12"/>
      <c r="AC32" s="12">
        <v>2500</v>
      </c>
      <c r="AD32" s="12"/>
      <c r="AE32" s="12"/>
      <c r="AF32" s="12" t="s">
        <v>8</v>
      </c>
      <c r="AG32" s="12"/>
      <c r="AH32" s="12"/>
      <c r="AI32" s="12"/>
      <c r="AJ32" s="12">
        <v>75000</v>
      </c>
      <c r="AK32" s="12"/>
      <c r="AL32" s="12"/>
      <c r="AM32" s="12">
        <v>1000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15"/>
        <v>15000</v>
      </c>
      <c r="AT32" s="12"/>
      <c r="AV32" s="15"/>
      <c r="AW32" s="15">
        <f t="shared" si="7"/>
        <v>297500</v>
      </c>
      <c r="AX32" s="15">
        <f t="shared" si="8"/>
        <v>75000</v>
      </c>
      <c r="AY32" s="15">
        <f t="shared" si="9"/>
        <v>0</v>
      </c>
      <c r="AZ32" s="16">
        <f t="shared" si="10"/>
        <v>302500</v>
      </c>
      <c r="BA32" s="58">
        <v>75000</v>
      </c>
      <c r="BB32" s="58">
        <v>70000</v>
      </c>
      <c r="BC32" s="15"/>
      <c r="BD32" s="57">
        <f t="shared" si="11"/>
        <v>227500</v>
      </c>
      <c r="BE32" s="82">
        <v>227500</v>
      </c>
      <c r="BF32" s="29">
        <f t="shared" si="6"/>
        <v>0</v>
      </c>
      <c r="BG32" s="29">
        <v>5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VLOOKUP(A33,[18]HISTOBQUEJUIL23!$A$6:$G$44,3,0)</f>
        <v>40000</v>
      </c>
      <c r="E33" s="9">
        <f>VLOOKUP(A33,[18]HISTOBQUEJUIL23!$A$6:$G$39,4,0)</f>
        <v>0</v>
      </c>
      <c r="F33" s="9">
        <f>VLOOKUP(A33,[18]HISTOBQUEJUIL23!$A$6:$G$39,5,0)</f>
        <v>0</v>
      </c>
      <c r="G33" s="5">
        <f t="shared" si="12"/>
        <v>0</v>
      </c>
      <c r="H33" s="10" t="str">
        <f t="shared" si="1"/>
        <v>BANQUE</v>
      </c>
      <c r="I33" s="10"/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VLOOKUP($A33,[20]TONTJUIL23!$A$6:$P$35,12,0)</f>
        <v>0</v>
      </c>
      <c r="Q33" s="2"/>
      <c r="R33" s="2"/>
      <c r="S33" s="20"/>
      <c r="T33" s="12"/>
      <c r="U33" s="17">
        <f t="shared" si="14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15"/>
        <v>15000</v>
      </c>
      <c r="AT33" s="12"/>
      <c r="AV33" s="15"/>
      <c r="AW33" s="15">
        <f t="shared" si="7"/>
        <v>0</v>
      </c>
      <c r="AX33" s="15">
        <f t="shared" si="8"/>
        <v>0</v>
      </c>
      <c r="AY33" s="15">
        <f t="shared" si="9"/>
        <v>0</v>
      </c>
      <c r="AZ33" s="16">
        <f t="shared" si="10"/>
        <v>0</v>
      </c>
      <c r="BA33" s="58"/>
      <c r="BB33" s="58"/>
      <c r="BC33" s="15"/>
      <c r="BD33" s="57">
        <f t="shared" si="11"/>
        <v>0</v>
      </c>
      <c r="BE33" s="82"/>
      <c r="BF33" s="29">
        <f t="shared" si="6"/>
        <v>0</v>
      </c>
      <c r="BG33" s="29">
        <v>5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VLOOKUP(A34,[18]HISTOBQUEJUIL23!$A$6:$G$44,3,0)</f>
        <v>100000</v>
      </c>
      <c r="E34" s="9">
        <f>VLOOKUP(A34,[18]HISTOBQUEJUIL23!$A$6:$G$39,4,0)</f>
        <v>0</v>
      </c>
      <c r="F34" s="9">
        <f>VLOOKUP(A34,[18]HISTOBQUEJUIL23!$A$6:$G$39,5,0)</f>
        <v>0</v>
      </c>
      <c r="G34" s="5">
        <f t="shared" si="12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VLOOKUP($A34,[20]TONTJUIL23!$A$6:$P$35,12,0)</f>
        <v>0</v>
      </c>
      <c r="Q34" s="2"/>
      <c r="R34" s="2"/>
      <c r="S34" s="20"/>
      <c r="T34" s="12"/>
      <c r="U34" s="17">
        <f t="shared" si="14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15"/>
        <v>75000</v>
      </c>
      <c r="AT34" s="12"/>
      <c r="AV34" s="15"/>
      <c r="AW34" s="15">
        <f t="shared" si="7"/>
        <v>0</v>
      </c>
      <c r="AX34" s="15">
        <f t="shared" si="8"/>
        <v>0</v>
      </c>
      <c r="AY34" s="15">
        <f t="shared" si="9"/>
        <v>0</v>
      </c>
      <c r="AZ34" s="16">
        <f t="shared" si="10"/>
        <v>0</v>
      </c>
      <c r="BA34" s="58"/>
      <c r="BB34" s="58"/>
      <c r="BC34" s="15"/>
      <c r="BD34" s="57">
        <f t="shared" si="11"/>
        <v>0</v>
      </c>
      <c r="BE34" s="82"/>
      <c r="BF34" s="29">
        <f t="shared" si="6"/>
        <v>0</v>
      </c>
      <c r="BG34" s="29">
        <v>5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VLOOKUP(A35,[18]HISTOBQUEJUIL23!$A$6:$G$44,3,0)</f>
        <v>40000</v>
      </c>
      <c r="E35" s="9">
        <f>VLOOKUP(A35,[18]HISTOBQUEJUIL23!$A$6:$G$39,4,0)</f>
        <v>0</v>
      </c>
      <c r="F35" s="9">
        <f>VLOOKUP(A35,[18]HISTOBQUEJUIL23!$A$6:$G$39,5,0)</f>
        <v>0</v>
      </c>
      <c r="G35" s="5">
        <f t="shared" si="12"/>
        <v>0</v>
      </c>
      <c r="H35" s="10" t="str">
        <f t="shared" si="1"/>
        <v>BANQUE</v>
      </c>
      <c r="I35" s="10"/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VLOOKUP($A35,[20]TONTJUIL23!$A$6:$P$35,12,0)</f>
        <v>0</v>
      </c>
      <c r="Q35" s="2"/>
      <c r="R35" s="2"/>
      <c r="S35" s="20"/>
      <c r="T35" s="12"/>
      <c r="U35" s="17">
        <f t="shared" si="14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15"/>
        <v>15000</v>
      </c>
      <c r="AT35" s="12"/>
      <c r="AV35" s="15"/>
      <c r="AW35" s="15">
        <f t="shared" si="7"/>
        <v>0</v>
      </c>
      <c r="AX35" s="15">
        <f t="shared" si="8"/>
        <v>0</v>
      </c>
      <c r="AY35" s="15">
        <f t="shared" si="9"/>
        <v>0</v>
      </c>
      <c r="AZ35" s="16">
        <f t="shared" si="10"/>
        <v>0</v>
      </c>
      <c r="BA35" s="58"/>
      <c r="BB35" s="58"/>
      <c r="BC35" s="15"/>
      <c r="BD35" s="57">
        <f t="shared" si="11"/>
        <v>0</v>
      </c>
      <c r="BE35" s="82"/>
      <c r="BF35" s="29">
        <f t="shared" si="6"/>
        <v>0</v>
      </c>
      <c r="BG35" s="29">
        <v>5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VLOOKUP(A36,[18]HISTOBQUEJUIL23!$A$6:$G$44,3,0)</f>
        <v>290000</v>
      </c>
      <c r="E36" s="9">
        <f>VLOOKUP(A36,[18]HISTOBQUEJUIL23!$A$6:$G$39,4,0)</f>
        <v>0</v>
      </c>
      <c r="F36" s="9">
        <f>VLOOKUP(A36,[18]HISTOBQUEJUIL23!$A$6:$G$39,5,0)</f>
        <v>0</v>
      </c>
      <c r="G36" s="5">
        <f t="shared" si="12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VLOOKUP($A36,[20]TONTJUIL23!$A$6:$P$35,12,0)</f>
        <v>0</v>
      </c>
      <c r="Q36" s="2">
        <f>VLOOKUP($A36,[13]TONTJUIL23!$A$6:$P$20,10,0)</f>
        <v>0</v>
      </c>
      <c r="R36" s="2">
        <f>VLOOKUP($A36,[19]TONTJUIL23!$A$6:$P$21,10,0)</f>
        <v>0</v>
      </c>
      <c r="S36" s="6"/>
      <c r="T36" s="12"/>
      <c r="U36" s="17">
        <f t="shared" si="14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15"/>
        <v>15000</v>
      </c>
      <c r="AT36" s="12"/>
      <c r="AV36" s="15"/>
      <c r="AW36" s="15">
        <f t="shared" si="7"/>
        <v>0</v>
      </c>
      <c r="AX36" s="15">
        <f t="shared" si="8"/>
        <v>0</v>
      </c>
      <c r="AY36" s="15">
        <f t="shared" si="9"/>
        <v>0</v>
      </c>
      <c r="AZ36" s="16">
        <f t="shared" si="10"/>
        <v>0</v>
      </c>
      <c r="BA36" s="58"/>
      <c r="BB36" s="58"/>
      <c r="BC36" s="15"/>
      <c r="BD36" s="57">
        <f t="shared" si="11"/>
        <v>0</v>
      </c>
      <c r="BE36" s="82"/>
      <c r="BF36" s="29">
        <f t="shared" si="6"/>
        <v>0</v>
      </c>
      <c r="BG36" s="29">
        <v>5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-122000</v>
      </c>
      <c r="D38" s="5">
        <f t="shared" si="16"/>
        <v>4916000</v>
      </c>
      <c r="E38" s="5">
        <f t="shared" si="16"/>
        <v>394500</v>
      </c>
      <c r="F38" s="5">
        <f t="shared" si="16"/>
        <v>280000</v>
      </c>
      <c r="G38" s="5">
        <f t="shared" si="16"/>
        <v>15000</v>
      </c>
      <c r="H38" s="5">
        <f t="shared" si="16"/>
        <v>0</v>
      </c>
      <c r="I38" s="5">
        <f t="shared" si="16"/>
        <v>142500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152500</v>
      </c>
      <c r="Q38" s="5">
        <f t="shared" si="16"/>
        <v>408000</v>
      </c>
      <c r="R38" s="5">
        <f t="shared" si="16"/>
        <v>589500</v>
      </c>
      <c r="S38" s="5">
        <f t="shared" si="16"/>
        <v>250000</v>
      </c>
      <c r="T38" s="5"/>
      <c r="U38" s="5">
        <f t="shared" ref="U38:AA38" si="17">SUM(U6:U37)</f>
        <v>5432500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1000000</v>
      </c>
      <c r="AA38" s="5">
        <f t="shared" si="17"/>
        <v>0</v>
      </c>
      <c r="AB38" s="5"/>
      <c r="AC38" s="5">
        <f>SUM(AC6:AC37)</f>
        <v>8000</v>
      </c>
      <c r="AD38" s="5">
        <f>SUM(AD6:AD37)</f>
        <v>7500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61000</v>
      </c>
      <c r="AJ38" s="5">
        <f t="shared" si="18"/>
        <v>317000</v>
      </c>
      <c r="AK38" s="5">
        <f t="shared" si="18"/>
        <v>789500</v>
      </c>
      <c r="AL38" s="5">
        <f t="shared" si="18"/>
        <v>2000</v>
      </c>
      <c r="AM38" s="5">
        <f t="shared" si="18"/>
        <v>4000</v>
      </c>
      <c r="AN38" s="5">
        <f t="shared" si="18"/>
        <v>7000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588300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953000</v>
      </c>
      <c r="AX38" s="5">
        <f t="shared" si="18"/>
        <v>1209500</v>
      </c>
      <c r="AY38" s="5">
        <f t="shared" si="18"/>
        <v>789500</v>
      </c>
      <c r="AZ38" s="5">
        <f t="shared" si="18"/>
        <v>3717000</v>
      </c>
      <c r="BA38" s="5">
        <f t="shared" si="18"/>
        <v>387500</v>
      </c>
      <c r="BB38" s="5">
        <f t="shared" si="18"/>
        <v>280000</v>
      </c>
      <c r="BC38" s="5">
        <f t="shared" si="18"/>
        <v>0</v>
      </c>
      <c r="BD38" s="5">
        <f t="shared" si="18"/>
        <v>3108500</v>
      </c>
      <c r="BE38" s="5">
        <f t="shared" si="18"/>
        <v>3108500</v>
      </c>
      <c r="BF38" s="5">
        <f>SUM(BF6:BF37)</f>
        <v>50000</v>
      </c>
      <c r="BH38" s="5">
        <f t="shared" ref="BH38:BL38" si="19">SUM(BH6:BH37)</f>
        <v>6000</v>
      </c>
      <c r="BI38" s="5">
        <f t="shared" si="19"/>
        <v>50000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A40" s="5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A41" s="5"/>
      <c r="BN41" s="62" t="s">
        <v>142</v>
      </c>
      <c r="BP41" s="62">
        <f>BP16+BP22+BP28+BP33+BP38</f>
        <v>156000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3717000</v>
      </c>
      <c r="D43" s="9">
        <f>SUMIFS(D8:D38,H8:H38,"BANQUE")</f>
        <v>4701000</v>
      </c>
      <c r="F43" s="9">
        <f>E38</f>
        <v>394500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7121000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="106" zoomScaleNormal="106" workbookViewId="0">
      <pane xSplit="4" ySplit="5" topLeftCell="U18" activePane="bottomRight" state="frozen"/>
      <selection activeCell="B6" sqref="B6:B36"/>
      <selection pane="topRight" activeCell="B6" sqref="B6:B36"/>
      <selection pane="bottomLeft" activeCell="B6" sqref="B6:B36"/>
      <selection pane="bottomRight" activeCell="BQ9" sqref="BQ9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4.8554687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VLOOKUP(A6,[18]HISTOBQUEJUIL23!$A$6:$G$44,3,0)</f>
        <v>175000</v>
      </c>
      <c r="E6" s="9">
        <f>VLOOKUP(A6,[18]HISTOBQUEJUIL23!$A$6:$G$39,4,0)</f>
        <v>0</v>
      </c>
      <c r="F6" s="9">
        <f>VLOOKUP(A6,[18]HISTOBQUEJUIL23!$A$6:$G$39,5,0)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VLOOKUP($A6,[13]TONTJUIL23!$A$6:$P$20,10,0)</f>
        <v>0</v>
      </c>
      <c r="R6" s="2">
        <f>VLOOKUP($A6,[19]TONTJUIL23!$A$6:$P$21,10,0)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156000</v>
      </c>
      <c r="BA6" s="58"/>
      <c r="BB6" s="58"/>
      <c r="BC6" s="15"/>
      <c r="BD6" s="57">
        <f>IF(AZ6=0,(AZ6-BA6-BC6),(AZ6-BA6-BB6-BC6))+F6</f>
        <v>156000</v>
      </c>
      <c r="BE6" s="82">
        <v>156000</v>
      </c>
      <c r="BF6" s="29">
        <f t="shared" ref="BF6:BF36" si="6">Z6*1/100*BG6</f>
        <v>0</v>
      </c>
      <c r="BG6" s="29">
        <v>5</v>
      </c>
      <c r="BH6" s="15">
        <f>BP16</f>
        <v>6000</v>
      </c>
      <c r="BI6" s="15">
        <f>BP28</f>
        <v>50000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VLOOKUP(A7,[18]HISTOBQUEJUIL23!$A$6:$G$44,3,0)</f>
        <v>40000</v>
      </c>
      <c r="E7" s="9">
        <f>VLOOKUP(A7,[18]HISTOBQUEJUIL23!$A$6:$G$39,4,0)</f>
        <v>33500</v>
      </c>
      <c r="F7" s="9">
        <f>VLOOKUP(A7,[18]HISTOBQUEJUIL23!$A$6:$G$39,5,0)</f>
        <v>140000</v>
      </c>
      <c r="G7" s="5">
        <f>IF(H7="ESPECES",3000,0)+3000</f>
        <v>3000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VLOOKUP($A7,[20]TONTJUIL23!$A$6:$P$35,12,0)</f>
        <v>30500</v>
      </c>
      <c r="Q7" s="2"/>
      <c r="R7" s="2"/>
      <c r="S7" s="20"/>
      <c r="T7" s="12"/>
      <c r="U7" s="17">
        <f>G7+S7++R7+P7+O7+M7+I7+K7+Q7+V7+W7</f>
        <v>73500</v>
      </c>
      <c r="V7" s="12"/>
      <c r="W7" s="12"/>
      <c r="X7" s="12"/>
      <c r="Y7" s="12"/>
      <c r="Z7" s="12"/>
      <c r="AA7" s="12"/>
      <c r="AB7" s="12"/>
      <c r="AC7" s="12">
        <v>3000</v>
      </c>
      <c r="AD7" s="12"/>
      <c r="AE7" s="12"/>
      <c r="AF7" s="12" t="s">
        <v>8</v>
      </c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>IF(H7="ECHEC",0,(K7+I7-25000))-3000</f>
        <v>12000</v>
      </c>
      <c r="AT7" s="12"/>
      <c r="AV7" s="15"/>
      <c r="AW7" s="15">
        <f t="shared" ref="AW7:AW36" si="7">IF(AC7=0,AI7,(1*25000*12)+AI7-AC7)</f>
        <v>297000</v>
      </c>
      <c r="AX7" s="15">
        <f t="shared" ref="AX7:AX36" si="8">IF(AD7=0,AJ7,(1*75000*12)+(AJ7)-AD7)</f>
        <v>0</v>
      </c>
      <c r="AY7" s="15">
        <f t="shared" ref="AY7:AY36" si="9">IF(AE7=0,AK7,(1*100000*12)+(AK7)-AE7)</f>
        <v>0</v>
      </c>
      <c r="AZ7" s="16">
        <f t="shared" ref="AZ7:AZ36" si="10">SUM(AV7:AY7)-BF7+Z7-F7+BH7+BI7+BJ7+BK7+BL7+BM7</f>
        <v>157000</v>
      </c>
      <c r="BA7" s="58"/>
      <c r="BB7" s="58">
        <v>140000</v>
      </c>
      <c r="BC7" s="15"/>
      <c r="BD7" s="57">
        <f t="shared" ref="BD7:BD36" si="11">IF(AZ7=0,(AZ7-BA7-BC7),(AZ7-BA7-BB7-BC7))+F7</f>
        <v>157000</v>
      </c>
      <c r="BE7" s="82">
        <v>157000</v>
      </c>
      <c r="BF7" s="29">
        <f t="shared" si="6"/>
        <v>0</v>
      </c>
      <c r="BG7" s="29">
        <v>5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VLOOKUP(A8,[18]HISTOBQUEJUIL23!$A$6:$G$44,3,0)</f>
        <v>115000</v>
      </c>
      <c r="E8" s="9">
        <f>VLOOKUP(A8,[18]HISTOBQUEJUIL23!$A$6:$G$39,4,0)</f>
        <v>0</v>
      </c>
      <c r="F8" s="9">
        <f>VLOOKUP(A8,[18]HISTOBQUEJUIL23!$A$6:$G$39,5,0)</f>
        <v>0</v>
      </c>
      <c r="G8" s="5">
        <f t="shared" ref="G8:G36" si="12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VLOOKUP($A8,[20]TONTJUIL23!$A$6:$P$35,12,0)</f>
        <v>0</v>
      </c>
      <c r="Q8" s="2">
        <f>VLOOKUP($A8,[13]TONTJUIL23!$A$6:$P$20,10,0)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ref="AS8:AS36" si="15">IF(H8="ECHEC",0,(K8+I8-25000))</f>
        <v>15000</v>
      </c>
      <c r="AT8" s="12"/>
      <c r="AV8" s="15"/>
      <c r="AW8" s="15">
        <f t="shared" si="7"/>
        <v>0</v>
      </c>
      <c r="AX8" s="15">
        <f t="shared" si="8"/>
        <v>0</v>
      </c>
      <c r="AY8" s="15">
        <f t="shared" si="9"/>
        <v>0</v>
      </c>
      <c r="AZ8" s="16">
        <f t="shared" si="10"/>
        <v>0</v>
      </c>
      <c r="BA8" s="58"/>
      <c r="BB8" s="58"/>
      <c r="BC8" s="15"/>
      <c r="BD8" s="57">
        <f t="shared" si="11"/>
        <v>0</v>
      </c>
      <c r="BE8" s="82"/>
      <c r="BF8" s="29">
        <f t="shared" si="6"/>
        <v>0</v>
      </c>
      <c r="BG8" s="29">
        <v>5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VLOOKUP(A9,[18]HISTOBQUEJUIL23!$A$6:$G$44,3,0)</f>
        <v>241000</v>
      </c>
      <c r="E9" s="9">
        <f>VLOOKUP(A9,[18]HISTOBQUEJUIL23!$A$6:$G$39,4,0)</f>
        <v>87500</v>
      </c>
      <c r="F9" s="9">
        <f>VLOOKUP(A9,[18]HISTOBQUEJUIL23!$A$6:$G$39,5,0)</f>
        <v>0</v>
      </c>
      <c r="G9" s="5">
        <f>IF(H9="ESPECES",3000,0)+3000</f>
        <v>3000</v>
      </c>
      <c r="H9" s="10" t="str">
        <f t="shared" si="1"/>
        <v>BANQUE</v>
      </c>
      <c r="I9" s="10"/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VLOOKUP($A9,[20]TONTJUIL23!$A$6:$P$35,12,0)</f>
        <v>0</v>
      </c>
      <c r="Q9" s="2"/>
      <c r="R9" s="2">
        <f>VLOOKUP($A9,[19]TONTJUIL23!$A$6:$P$21,10,0)</f>
        <v>185500</v>
      </c>
      <c r="S9" s="20"/>
      <c r="T9" s="12"/>
      <c r="U9" s="17">
        <f t="shared" si="14"/>
        <v>328500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f>100000+100000</f>
        <v>200000</v>
      </c>
      <c r="AL9" s="12"/>
      <c r="AM9" s="12"/>
      <c r="AN9" s="12">
        <f>1000+1000</f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15"/>
        <v>15000</v>
      </c>
      <c r="AT9" s="12"/>
      <c r="AV9" s="15"/>
      <c r="AW9" s="15">
        <f t="shared" si="7"/>
        <v>0</v>
      </c>
      <c r="AX9" s="15">
        <f t="shared" si="8"/>
        <v>0</v>
      </c>
      <c r="AY9" s="15">
        <f t="shared" si="9"/>
        <v>200000</v>
      </c>
      <c r="AZ9" s="16">
        <f t="shared" si="10"/>
        <v>200000</v>
      </c>
      <c r="BA9" s="58">
        <v>200000</v>
      </c>
      <c r="BB9" s="58"/>
      <c r="BC9" s="15"/>
      <c r="BD9" s="57">
        <f t="shared" si="11"/>
        <v>0</v>
      </c>
      <c r="BE9" s="82"/>
      <c r="BF9" s="29">
        <f t="shared" si="6"/>
        <v>0</v>
      </c>
      <c r="BG9" s="29">
        <v>5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14">
        <f t="shared" si="0"/>
        <v>0</v>
      </c>
      <c r="D10" s="9">
        <f>VLOOKUP(A10,[18]HISTOBQUEJUIL23!$A$6:$G$44,3,0)</f>
        <v>0</v>
      </c>
      <c r="E10" s="9">
        <f>VLOOKUP(A10,[18]HISTOBQUEJUIL23!$A$6:$G$39,4,0)+3000</f>
        <v>43000</v>
      </c>
      <c r="F10" s="9">
        <f>VLOOKUP(A10,[18]HISTOBQUEJUIL23!$A$6:$G$39,5,0)</f>
        <v>0</v>
      </c>
      <c r="G10" s="5">
        <f t="shared" si="12"/>
        <v>3000</v>
      </c>
      <c r="H10" s="10" t="str">
        <f t="shared" si="1"/>
        <v>ESPECES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VLOOKUP($A10,[20]TONTJUIL23!$A$6:$P$35,12,0)</f>
        <v>0</v>
      </c>
      <c r="Q10" s="2"/>
      <c r="R10" s="2"/>
      <c r="S10" s="20"/>
      <c r="T10" s="12"/>
      <c r="U10" s="17">
        <f t="shared" si="14"/>
        <v>43000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>IF(H10="ECHEC",0,(K10+I10-25000))-3000</f>
        <v>12000</v>
      </c>
      <c r="AT10" s="12"/>
      <c r="AV10" s="15"/>
      <c r="AW10" s="15">
        <f t="shared" si="7"/>
        <v>0</v>
      </c>
      <c r="AX10" s="15">
        <f t="shared" si="8"/>
        <v>0</v>
      </c>
      <c r="AY10" s="15">
        <f t="shared" si="9"/>
        <v>0</v>
      </c>
      <c r="AZ10" s="16">
        <f t="shared" si="10"/>
        <v>0</v>
      </c>
      <c r="BA10" s="58"/>
      <c r="BB10" s="58"/>
      <c r="BC10" s="15"/>
      <c r="BD10" s="57">
        <f t="shared" si="11"/>
        <v>0</v>
      </c>
      <c r="BE10" s="82"/>
      <c r="BF10" s="29">
        <f t="shared" si="6"/>
        <v>0</v>
      </c>
      <c r="BG10" s="29">
        <v>5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VLOOKUP(A11,[18]HISTOBQUEJUIL23!$A$6:$G$44,3,0)+50000</f>
        <v>165000</v>
      </c>
      <c r="E11" s="9">
        <f>VLOOKUP(A11,[18]HISTOBQUEJUIL23!$A$6:$G$39,4,0)</f>
        <v>85500</v>
      </c>
      <c r="F11" s="9">
        <f>VLOOKUP(A11,[18]HISTOBQUEJUIL23!$A$6:$G$39,5,0)</f>
        <v>0</v>
      </c>
      <c r="G11" s="5">
        <f>IF(H11="ESPECES",3000,0)+3000</f>
        <v>3000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VLOOKUP($A11,[20]TONTJUIL23!$A$6:$P$35,12,0)</f>
        <v>30500</v>
      </c>
      <c r="Q11" s="2">
        <f>VLOOKUP($A11,[13]TONTJUIL23!$A$6:$P$20,10,0)</f>
        <v>102000</v>
      </c>
      <c r="R11" s="2"/>
      <c r="S11" s="20"/>
      <c r="T11" s="12"/>
      <c r="U11" s="17">
        <f t="shared" si="14"/>
        <v>250500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>IF(H11="ECHEC",0,(K11+I11-25000))</f>
        <v>15000</v>
      </c>
      <c r="AT11" s="12"/>
      <c r="AV11" s="15"/>
      <c r="AW11" s="15">
        <f t="shared" si="7"/>
        <v>0</v>
      </c>
      <c r="AX11" s="15">
        <f t="shared" si="8"/>
        <v>0</v>
      </c>
      <c r="AY11" s="15">
        <f t="shared" si="9"/>
        <v>0</v>
      </c>
      <c r="AZ11" s="16">
        <f t="shared" si="10"/>
        <v>0</v>
      </c>
      <c r="BA11" s="58"/>
      <c r="BB11" s="58"/>
      <c r="BC11" s="15"/>
      <c r="BD11" s="57">
        <f t="shared" si="11"/>
        <v>0</v>
      </c>
      <c r="BE11" s="82"/>
      <c r="BF11" s="29">
        <f t="shared" si="6"/>
        <v>0</v>
      </c>
      <c r="BG11" s="29">
        <v>5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VLOOKUP(A12,[18]HISTOBQUEJUIL23!$A$6:$G$44,3,0)</f>
        <v>360000</v>
      </c>
      <c r="E12" s="9">
        <f>VLOOKUP(A12,[18]HISTOBQUEJUIL23!$A$6:$G$39,4,0)</f>
        <v>0</v>
      </c>
      <c r="F12" s="9">
        <f>VLOOKUP(A12,[18]HISTOBQUEJUIL23!$A$6:$G$39,5,0)</f>
        <v>0</v>
      </c>
      <c r="G12" s="5">
        <f t="shared" si="12"/>
        <v>0</v>
      </c>
      <c r="H12" s="10" t="str">
        <f t="shared" si="1"/>
        <v>BANQUE</v>
      </c>
      <c r="I12" s="10">
        <v>14500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VLOOKUP($A12,[20]TONTJUIL23!$A$6:$P$35,12,0)</f>
        <v>30500</v>
      </c>
      <c r="Q12" s="2">
        <f>VLOOKUP($A12,[13]TONTJUIL23!$A$6:$P$20,10,0)</f>
        <v>0</v>
      </c>
      <c r="R12" s="2">
        <f>VLOOKUP($A12,[19]TONTJUIL23!$A$6:$P$21,10,0)</f>
        <v>0</v>
      </c>
      <c r="S12" s="20"/>
      <c r="T12" s="12"/>
      <c r="U12" s="17">
        <f t="shared" si="14"/>
        <v>360000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>IF(H12="ECHEC",0,(K12+I12-25000))+1800</f>
        <v>31300</v>
      </c>
      <c r="AT12" s="12"/>
      <c r="AV12" s="15"/>
      <c r="AW12" s="15">
        <f t="shared" si="7"/>
        <v>0</v>
      </c>
      <c r="AX12" s="15">
        <f t="shared" si="8"/>
        <v>0</v>
      </c>
      <c r="AY12" s="15">
        <f t="shared" si="9"/>
        <v>0</v>
      </c>
      <c r="AZ12" s="16">
        <f t="shared" si="10"/>
        <v>0</v>
      </c>
      <c r="BA12" s="58"/>
      <c r="BB12" s="58"/>
      <c r="BC12" s="15"/>
      <c r="BD12" s="57">
        <f t="shared" si="11"/>
        <v>0</v>
      </c>
      <c r="BE12" s="82"/>
      <c r="BF12" s="29">
        <f t="shared" si="6"/>
        <v>0</v>
      </c>
      <c r="BG12" s="29">
        <v>5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VLOOKUP(A13,[18]HISTOBQUEJUIL23!$A$6:$G$44,3,0)</f>
        <v>40000</v>
      </c>
      <c r="E13" s="9">
        <f>VLOOKUP(A13,[18]HISTOBQUEJUIL23!$A$6:$G$39,4,0)</f>
        <v>0</v>
      </c>
      <c r="F13" s="9">
        <f>VLOOKUP(A13,[18]HISTOBQUEJUIL23!$A$6:$G$39,5,0)</f>
        <v>0</v>
      </c>
      <c r="G13" s="5">
        <f t="shared" si="12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VLOOKUP($A13,[20]TONTJUIL23!$A$6:$P$35,12,0)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15"/>
        <v>15000</v>
      </c>
      <c r="AT13" s="12"/>
      <c r="AV13" s="15"/>
      <c r="AW13" s="15">
        <f t="shared" si="7"/>
        <v>0</v>
      </c>
      <c r="AX13" s="15">
        <f t="shared" si="8"/>
        <v>0</v>
      </c>
      <c r="AY13" s="15">
        <f t="shared" si="9"/>
        <v>0</v>
      </c>
      <c r="AZ13" s="16">
        <f t="shared" si="10"/>
        <v>0</v>
      </c>
      <c r="BA13" s="58"/>
      <c r="BB13" s="58"/>
      <c r="BC13" s="15"/>
      <c r="BD13" s="57">
        <f t="shared" si="11"/>
        <v>0</v>
      </c>
      <c r="BE13" s="82"/>
      <c r="BF13" s="29">
        <f t="shared" si="6"/>
        <v>0</v>
      </c>
      <c r="BG13" s="29">
        <v>5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VLOOKUP(A14,[18]HISTOBQUEJUIL23!$A$6:$G$44,3,0)</f>
        <v>40000</v>
      </c>
      <c r="E14" s="9">
        <f>VLOOKUP(A14,[18]HISTOBQUEJUIL23!$A$6:$G$39,4,0)</f>
        <v>0</v>
      </c>
      <c r="F14" s="9">
        <f>VLOOKUP(A14,[18]HISTOBQUEJUIL23!$A$6:$G$39,5,0)</f>
        <v>0</v>
      </c>
      <c r="G14" s="5">
        <f t="shared" si="12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VLOOKUP($A14,[20]TONTJUIL23!$A$6:$P$35,12,0)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15"/>
        <v>15000</v>
      </c>
      <c r="AT14" s="12"/>
      <c r="AV14" s="15"/>
      <c r="AW14" s="15">
        <f t="shared" si="7"/>
        <v>0</v>
      </c>
      <c r="AX14" s="15">
        <f t="shared" si="8"/>
        <v>0</v>
      </c>
      <c r="AY14" s="15">
        <f t="shared" si="9"/>
        <v>0</v>
      </c>
      <c r="AZ14" s="16">
        <f t="shared" si="10"/>
        <v>0</v>
      </c>
      <c r="BA14" s="58"/>
      <c r="BB14" s="58"/>
      <c r="BC14" s="15"/>
      <c r="BD14" s="57">
        <f t="shared" si="11"/>
        <v>0</v>
      </c>
      <c r="BE14" s="82"/>
      <c r="BF14" s="29">
        <f t="shared" si="6"/>
        <v>0</v>
      </c>
      <c r="BG14" s="29">
        <v>5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VLOOKUP(A15,[18]HISTOBQUEJUIL23!$A$6:$G$44,3,0)</f>
        <v>115000</v>
      </c>
      <c r="E15" s="9">
        <f>VLOOKUP(A15,[18]HISTOBQUEJUIL23!$A$6:$G$39,4,0)</f>
        <v>0</v>
      </c>
      <c r="F15" s="9">
        <f>VLOOKUP(A15,[18]HISTOBQUEJUIL23!$A$6:$G$39,5,0)</f>
        <v>70000</v>
      </c>
      <c r="G15" s="5">
        <f t="shared" si="12"/>
        <v>0</v>
      </c>
      <c r="H15" s="10" t="str">
        <f t="shared" si="1"/>
        <v>BANQUE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VLOOKUP($A15,[20]TONTJUIL23!$A$6:$P$35,12,0)</f>
        <v>0</v>
      </c>
      <c r="Q15" s="2">
        <f>VLOOKUP($A15,[13]TONTJUIL23!$A$6:$P$20,10,0)</f>
        <v>0</v>
      </c>
      <c r="R15" s="2"/>
      <c r="S15" s="20"/>
      <c r="T15" s="12"/>
      <c r="U15" s="17">
        <f t="shared" si="14"/>
        <v>115000</v>
      </c>
      <c r="V15" s="12"/>
      <c r="W15" s="12"/>
      <c r="X15" s="12"/>
      <c r="Y15" s="12"/>
      <c r="Z15" s="12"/>
      <c r="AA15" s="12"/>
      <c r="AB15" s="12"/>
      <c r="AC15" s="12">
        <v>2500</v>
      </c>
      <c r="AD15" s="12">
        <v>7500</v>
      </c>
      <c r="AE15" s="12"/>
      <c r="AF15" s="12" t="s">
        <v>8</v>
      </c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15"/>
        <v>15000</v>
      </c>
      <c r="AT15" s="12"/>
      <c r="AV15" s="15"/>
      <c r="AW15" s="15">
        <f t="shared" si="7"/>
        <v>297500</v>
      </c>
      <c r="AX15" s="15">
        <f t="shared" si="8"/>
        <v>892500</v>
      </c>
      <c r="AY15" s="15">
        <f t="shared" si="9"/>
        <v>0</v>
      </c>
      <c r="AZ15" s="16">
        <f t="shared" si="10"/>
        <v>1120000</v>
      </c>
      <c r="BA15" s="58"/>
      <c r="BB15" s="58">
        <v>70000</v>
      </c>
      <c r="BC15" s="15"/>
      <c r="BD15" s="57">
        <f t="shared" si="11"/>
        <v>1120000</v>
      </c>
      <c r="BE15" s="82">
        <f>227500+892500</f>
        <v>1120000</v>
      </c>
      <c r="BF15" s="29">
        <f t="shared" si="6"/>
        <v>0</v>
      </c>
      <c r="BG15" s="29">
        <v>5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VLOOKUP(A16,[18]HISTOBQUEJUIL23!$A$6:$G$44,3,0)</f>
        <v>250000</v>
      </c>
      <c r="E16" s="9">
        <f>VLOOKUP(A16,[18]HISTOBQUEJUIL23!$A$6:$G$39,4,0)</f>
        <v>0</v>
      </c>
      <c r="F16" s="9">
        <f>VLOOKUP(A16,[18]HISTOBQUEJUIL23!$A$6:$G$39,5,0)</f>
        <v>0</v>
      </c>
      <c r="G16" s="5">
        <f t="shared" si="12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VLOOKUP($A16,[20]TONTJUIL23!$A$6:$P$35,12,0)</f>
        <v>0</v>
      </c>
      <c r="Q16" s="2">
        <f>VLOOKUP($A16,[13]TONTJUIL23!$A$6:$P$20,10,0)</f>
        <v>0</v>
      </c>
      <c r="R16" s="2">
        <f>VLOOKUP($A16,[19]TONTJUIL23!$A$6:$P$21,10,0)</f>
        <v>0</v>
      </c>
      <c r="S16" s="20"/>
      <c r="T16" s="12"/>
      <c r="U16" s="17">
        <f t="shared" si="14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15"/>
        <v>50000</v>
      </c>
      <c r="AT16" s="12"/>
      <c r="AV16" s="15"/>
      <c r="AW16" s="15">
        <f t="shared" si="7"/>
        <v>0</v>
      </c>
      <c r="AX16" s="15">
        <f t="shared" si="8"/>
        <v>0</v>
      </c>
      <c r="AY16" s="15">
        <f t="shared" si="9"/>
        <v>0</v>
      </c>
      <c r="AZ16" s="16">
        <f t="shared" si="10"/>
        <v>0</v>
      </c>
      <c r="BA16" s="58"/>
      <c r="BB16" s="58"/>
      <c r="BC16" s="15"/>
      <c r="BD16" s="57">
        <f t="shared" si="11"/>
        <v>0</v>
      </c>
      <c r="BE16" s="82"/>
      <c r="BF16" s="29">
        <f t="shared" si="6"/>
        <v>0</v>
      </c>
      <c r="BG16" s="29">
        <v>5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VLOOKUP(A17,[18]HISTOBQUEJUIL23!$A$6:$G$44,3,0)</f>
        <v>140000</v>
      </c>
      <c r="E17" s="9">
        <f>VLOOKUP(A17,[18]HISTOBQUEJUIL23!$A$6:$G$39,4,0)</f>
        <v>0</v>
      </c>
      <c r="F17" s="9">
        <f>VLOOKUP(A17,[18]HISTOBQUEJUIL23!$A$6:$G$39,5,0)</f>
        <v>0</v>
      </c>
      <c r="G17" s="5">
        <f t="shared" si="12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VLOOKUP($A17,[20]TONTJUIL23!$A$6:$P$35,12,0)</f>
        <v>0</v>
      </c>
      <c r="Q17" s="2"/>
      <c r="R17" s="2">
        <f>VLOOKUP($A17,[19]TONTJUIL23!$A$6:$P$21,10,0)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>
        <v>1000000</v>
      </c>
      <c r="AA17" s="12" t="s">
        <v>8</v>
      </c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100000</v>
      </c>
      <c r="AL17" s="12"/>
      <c r="AM17" s="12"/>
      <c r="AN17" s="12">
        <v>1000</v>
      </c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15"/>
        <v>15000</v>
      </c>
      <c r="AT17" s="12"/>
      <c r="AV17" s="15"/>
      <c r="AW17" s="15">
        <f t="shared" si="7"/>
        <v>0</v>
      </c>
      <c r="AX17" s="15">
        <f t="shared" si="8"/>
        <v>0</v>
      </c>
      <c r="AY17" s="15">
        <f t="shared" si="9"/>
        <v>100000</v>
      </c>
      <c r="AZ17" s="16">
        <f>SUM(AV17:AY17)-BF17+Z17-F17+BH17+BI17+BJ17+BK17+BL17+BM17</f>
        <v>1050000</v>
      </c>
      <c r="BA17" s="58"/>
      <c r="BB17" s="58"/>
      <c r="BC17" s="15"/>
      <c r="BD17" s="57">
        <f t="shared" si="11"/>
        <v>1050000</v>
      </c>
      <c r="BE17" s="82">
        <f>100000+950000</f>
        <v>1050000</v>
      </c>
      <c r="BF17" s="29">
        <f t="shared" si="6"/>
        <v>50000</v>
      </c>
      <c r="BG17" s="29">
        <v>5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VLOOKUP(A18,[18]HISTOBQUEJUIL23!$A$6:$G$44,3,0)</f>
        <v>215000</v>
      </c>
      <c r="E18" s="9">
        <f>VLOOKUP(A18,[18]HISTOBQUEJUIL23!$A$6:$G$39,4,0)</f>
        <v>0</v>
      </c>
      <c r="F18" s="9">
        <f>VLOOKUP(A18,[18]HISTOBQUEJUIL23!$A$6:$G$39,5,0)</f>
        <v>0</v>
      </c>
      <c r="G18" s="5">
        <f t="shared" si="12"/>
        <v>0</v>
      </c>
      <c r="H18" s="10" t="str">
        <f t="shared" si="1"/>
        <v>BANQUE</v>
      </c>
      <c r="I18" s="10"/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VLOOKUP($A18,[20]TONTJUIL23!$A$6:$P$35,12,0)</f>
        <v>0</v>
      </c>
      <c r="Q18" s="2">
        <f>VLOOKUP($A18,[13]TONTJUIL23!$A$6:$P$20,10,0)</f>
        <v>0</v>
      </c>
      <c r="R18" s="2">
        <f>VLOOKUP($A18,[19]TONTJUIL23!$A$6:$P$21,10,0)</f>
        <v>0</v>
      </c>
      <c r="S18" s="20"/>
      <c r="T18" s="12"/>
      <c r="U18" s="17">
        <f t="shared" si="14"/>
        <v>215000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15"/>
        <v>15000</v>
      </c>
      <c r="AT18" s="12"/>
      <c r="AV18" s="15"/>
      <c r="AW18" s="15">
        <f t="shared" si="7"/>
        <v>0</v>
      </c>
      <c r="AX18" s="15">
        <f t="shared" si="8"/>
        <v>0</v>
      </c>
      <c r="AY18" s="15">
        <f t="shared" si="9"/>
        <v>0</v>
      </c>
      <c r="AZ18" s="16">
        <f t="shared" si="10"/>
        <v>0</v>
      </c>
      <c r="BA18" s="58"/>
      <c r="BB18" s="58"/>
      <c r="BC18" s="15"/>
      <c r="BD18" s="57">
        <f t="shared" si="11"/>
        <v>0</v>
      </c>
      <c r="BE18" s="82"/>
      <c r="BF18" s="29">
        <f t="shared" si="6"/>
        <v>0</v>
      </c>
      <c r="BG18" s="29">
        <v>5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VLOOKUP(A19,[18]HISTOBQUEJUIL23!$A$6:$G$44,3,0)</f>
        <v>40000</v>
      </c>
      <c r="E19" s="9">
        <f>VLOOKUP(A19,[18]HISTOBQUEJUIL23!$A$6:$G$39,4,0)</f>
        <v>0</v>
      </c>
      <c r="F19" s="9">
        <f>VLOOKUP(A19,[18]HISTOBQUEJUIL23!$A$6:$G$39,5,0)</f>
        <v>0</v>
      </c>
      <c r="G19" s="5">
        <f t="shared" si="12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VLOOKUP($A19,[20]TONTJUIL23!$A$6:$P$35,12,0)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15"/>
        <v>15000</v>
      </c>
      <c r="AT19" s="12"/>
      <c r="AV19" s="15"/>
      <c r="AW19" s="15">
        <f t="shared" si="7"/>
        <v>0</v>
      </c>
      <c r="AX19" s="15">
        <f t="shared" si="8"/>
        <v>0</v>
      </c>
      <c r="AY19" s="15">
        <f t="shared" si="9"/>
        <v>0</v>
      </c>
      <c r="AZ19" s="16">
        <f t="shared" si="10"/>
        <v>0</v>
      </c>
      <c r="BA19" s="58"/>
      <c r="BB19" s="58"/>
      <c r="BC19" s="15"/>
      <c r="BD19" s="57">
        <f t="shared" si="11"/>
        <v>0</v>
      </c>
      <c r="BE19" s="82"/>
      <c r="BF19" s="29">
        <f t="shared" si="6"/>
        <v>0</v>
      </c>
      <c r="BG19" s="29">
        <v>5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VLOOKUP(A20,[18]HISTOBQUEJUIL23!$A$6:$G$44,3,0)-202000-250000-50000</f>
        <v>519000</v>
      </c>
      <c r="E20" s="9">
        <f>VLOOKUP(A20,[18]HISTOBQUEJUIL23!$A$6:$G$39,4,0)</f>
        <v>0</v>
      </c>
      <c r="F20" s="9">
        <f>VLOOKUP(A20,[18]HISTOBQUEJUIL23!$A$6:$G$39,5,0)</f>
        <v>0</v>
      </c>
      <c r="G20" s="5">
        <f t="shared" si="12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VLOOKUP($A20,[20]TONTJUIL23!$A$6:$P$35,12,0)</f>
        <v>0</v>
      </c>
      <c r="Q20" s="2">
        <f>VLOOKUP($A20,[13]TONTJUIL23!$A$6:$P$20,10,0)</f>
        <v>102000</v>
      </c>
      <c r="R20" s="2">
        <f>VLOOKUP($A20,[19]TONTJUIL23!$A$6:$P$21,10,0)</f>
        <v>202000</v>
      </c>
      <c r="S20" s="20"/>
      <c r="T20" s="12"/>
      <c r="U20" s="17">
        <f t="shared" si="14"/>
        <v>519000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75000</v>
      </c>
      <c r="AK20" s="12">
        <f>100000+189500</f>
        <v>289500</v>
      </c>
      <c r="AL20" s="12"/>
      <c r="AM20" s="12">
        <v>1000</v>
      </c>
      <c r="AN20" s="12">
        <f>1000+1000</f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15"/>
        <v>15000</v>
      </c>
      <c r="AT20" s="12"/>
      <c r="AV20" s="15"/>
      <c r="AW20" s="15">
        <f t="shared" si="7"/>
        <v>0</v>
      </c>
      <c r="AX20" s="15">
        <f t="shared" si="8"/>
        <v>75000</v>
      </c>
      <c r="AY20" s="15">
        <f t="shared" si="9"/>
        <v>289500</v>
      </c>
      <c r="AZ20" s="16">
        <f t="shared" si="10"/>
        <v>364500</v>
      </c>
      <c r="BA20" s="58">
        <f>100000+12500</f>
        <v>112500</v>
      </c>
      <c r="BB20" s="58"/>
      <c r="BC20" s="15"/>
      <c r="BD20" s="57">
        <f t="shared" si="11"/>
        <v>252000</v>
      </c>
      <c r="BE20" s="82">
        <f>75000+177000</f>
        <v>252000</v>
      </c>
      <c r="BF20" s="29">
        <f t="shared" si="6"/>
        <v>0</v>
      </c>
      <c r="BG20" s="29">
        <v>5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VLOOKUP(A21,[18]HISTOBQUEJUIL23!$A$6:$G$44,3,0)</f>
        <v>40000</v>
      </c>
      <c r="E21" s="9">
        <f>VLOOKUP(A21,[18]HISTOBQUEJUIL23!$A$6:$G$39,4,0)</f>
        <v>0</v>
      </c>
      <c r="F21" s="9">
        <f>VLOOKUP(A21,[18]HISTOBQUEJUIL23!$A$6:$G$39,5,0)</f>
        <v>0</v>
      </c>
      <c r="G21" s="5">
        <f t="shared" si="12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VLOOKUP($A21,[20]TONTJUIL23!$A$6:$P$35,12,0)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15"/>
        <v>15000</v>
      </c>
      <c r="AT21" s="12"/>
      <c r="AV21" s="15"/>
      <c r="AW21" s="15">
        <f t="shared" si="7"/>
        <v>0</v>
      </c>
      <c r="AX21" s="15">
        <f t="shared" si="8"/>
        <v>0</v>
      </c>
      <c r="AY21" s="15">
        <f t="shared" si="9"/>
        <v>0</v>
      </c>
      <c r="AZ21" s="16">
        <f t="shared" si="10"/>
        <v>0</v>
      </c>
      <c r="BA21" s="58"/>
      <c r="BB21" s="58"/>
      <c r="BC21" s="15"/>
      <c r="BD21" s="57">
        <f t="shared" si="11"/>
        <v>0</v>
      </c>
      <c r="BE21" s="82"/>
      <c r="BF21" s="29">
        <f t="shared" si="6"/>
        <v>0</v>
      </c>
      <c r="BG21" s="29">
        <v>5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VLOOKUP(A22,[18]HISTOBQUEJUIL23!$A$6:$G$44,3,0)</f>
        <v>115000</v>
      </c>
      <c r="E22" s="9">
        <f>VLOOKUP(A22,[18]HISTOBQUEJUIL23!$A$6:$G$39,4,0)</f>
        <v>0</v>
      </c>
      <c r="F22" s="9">
        <f>VLOOKUP(A22,[18]HISTOBQUEJUIL23!$A$6:$G$39,5,0)</f>
        <v>0</v>
      </c>
      <c r="G22" s="5">
        <f t="shared" si="12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VLOOKUP($A22,[20]TONTJUIL23!$A$6:$P$35,12,0)</f>
        <v>0</v>
      </c>
      <c r="Q22" s="2">
        <f>VLOOKUP($A22,[13]TONTJUIL23!$A$6:$P$20,10,0)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15"/>
        <v>15000</v>
      </c>
      <c r="AT22" s="12"/>
      <c r="AV22" s="15"/>
      <c r="AW22" s="15">
        <f t="shared" si="7"/>
        <v>0</v>
      </c>
      <c r="AX22" s="15">
        <f t="shared" si="8"/>
        <v>0</v>
      </c>
      <c r="AY22" s="15">
        <f t="shared" si="9"/>
        <v>0</v>
      </c>
      <c r="AZ22" s="16">
        <f t="shared" si="10"/>
        <v>0</v>
      </c>
      <c r="BA22" s="58"/>
      <c r="BB22" s="58"/>
      <c r="BC22" s="15"/>
      <c r="BD22" s="57">
        <f t="shared" si="11"/>
        <v>0</v>
      </c>
      <c r="BE22" s="82"/>
      <c r="BF22" s="29">
        <f t="shared" si="6"/>
        <v>0</v>
      </c>
      <c r="BG22" s="29">
        <v>5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VLOOKUP(A23,[18]HISTOBQUEJUIL23!$A$6:$G$44,3,0)+202000</f>
        <v>452000</v>
      </c>
      <c r="E23" s="9">
        <f>VLOOKUP(A23,[18]HISTOBQUEJUIL23!$A$6:$G$39,4,0)</f>
        <v>0</v>
      </c>
      <c r="F23" s="9">
        <f>VLOOKUP(A23,[18]HISTOBQUEJUIL23!$A$6:$G$39,5,0)</f>
        <v>0</v>
      </c>
      <c r="G23" s="5">
        <f t="shared" si="12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VLOOKUP($A23,[20]TONTJUIL23!$A$6:$P$35,12,0)</f>
        <v>0</v>
      </c>
      <c r="Q23" s="2"/>
      <c r="R23" s="2">
        <f>VLOOKUP($A23,[19]TONTJUIL23!$A$6:$P$21,10,0)</f>
        <v>202000</v>
      </c>
      <c r="S23" s="20"/>
      <c r="T23" s="12"/>
      <c r="U23" s="17">
        <f t="shared" si="14"/>
        <v>452000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15"/>
        <v>25000</v>
      </c>
      <c r="AT23" s="12"/>
      <c r="AV23" s="15"/>
      <c r="AW23" s="15">
        <f t="shared" si="7"/>
        <v>0</v>
      </c>
      <c r="AX23" s="15">
        <f t="shared" si="8"/>
        <v>0</v>
      </c>
      <c r="AY23" s="15">
        <f t="shared" si="9"/>
        <v>0</v>
      </c>
      <c r="AZ23" s="16">
        <f t="shared" si="10"/>
        <v>0</v>
      </c>
      <c r="BA23" s="58"/>
      <c r="BB23" s="58"/>
      <c r="BC23" s="15"/>
      <c r="BD23" s="57">
        <f t="shared" si="11"/>
        <v>0</v>
      </c>
      <c r="BE23" s="82"/>
      <c r="BF23" s="29">
        <f t="shared" si="6"/>
        <v>0</v>
      </c>
      <c r="BG23" s="29">
        <v>5</v>
      </c>
      <c r="BH23" s="15"/>
      <c r="BI23" s="15"/>
      <c r="BJ23" s="15"/>
      <c r="BK23" s="15"/>
      <c r="BL23" s="61"/>
      <c r="BN23" s="62"/>
      <c r="BP23" s="62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9">
        <f t="shared" si="0"/>
        <v>-122000</v>
      </c>
      <c r="D24" s="9">
        <f>VLOOKUP(A24,[18]HISTOBQUEJUIL23!$A$6:$G$44,3,0)-61000</f>
        <v>159000</v>
      </c>
      <c r="E24" s="9">
        <f>VLOOKUP(A24,[18]HISTOBQUEJUIL23!$A$6:$G$39,4,0)</f>
        <v>0</v>
      </c>
      <c r="F24" s="9">
        <f>VLOOKUP(A24,[18]HISTOBQUEJUIL23!$A$6:$G$39,5,0)</f>
        <v>0</v>
      </c>
      <c r="G24" s="5">
        <f t="shared" si="12"/>
        <v>0</v>
      </c>
      <c r="H24" s="10" t="str">
        <f t="shared" si="1"/>
        <v>BANQUE</v>
      </c>
      <c r="I24" s="10">
        <v>5000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VLOOKUP($A24,[20]TONTJUIL23!$A$6:$P$35,12,0)</f>
        <v>61000</v>
      </c>
      <c r="Q24" s="2">
        <f>VLOOKUP($A24,[13]TONTJUIL23!$A$6:$P$20,10,0)</f>
        <v>0</v>
      </c>
      <c r="R24" s="2">
        <f>VLOOKUP($A24,[19]TONTJUIL23!$A$6:$P$21,10,0)</f>
        <v>0</v>
      </c>
      <c r="S24" s="20"/>
      <c r="T24" s="12"/>
      <c r="U24" s="17">
        <f t="shared" si="14"/>
        <v>281000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>
        <v>61000</v>
      </c>
      <c r="AJ24" s="12">
        <f>92000+75000</f>
        <v>167000</v>
      </c>
      <c r="AK24" s="12">
        <v>100000</v>
      </c>
      <c r="AL24" s="12">
        <v>2000</v>
      </c>
      <c r="AM24" s="12">
        <f>1000+1000</f>
        <v>2000</v>
      </c>
      <c r="AN24" s="12">
        <v>1000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15"/>
        <v>20000</v>
      </c>
      <c r="AT24" s="12"/>
      <c r="AV24" s="15"/>
      <c r="AW24" s="15">
        <f t="shared" si="7"/>
        <v>61000</v>
      </c>
      <c r="AX24" s="15">
        <f t="shared" si="8"/>
        <v>167000</v>
      </c>
      <c r="AY24" s="15">
        <f t="shared" si="9"/>
        <v>100000</v>
      </c>
      <c r="AZ24" s="16">
        <f>SUM(AV24:AY24)-BF24+Z24-F24+BH24+BI24+BJ24+BK24+BL24+BM24-61000</f>
        <v>267000</v>
      </c>
      <c r="BA24" s="58"/>
      <c r="BB24" s="58"/>
      <c r="BC24" s="15"/>
      <c r="BD24" s="57">
        <f>IF(AZ24=0,(AZ24-BA24-BC24),(AZ24-BA24-BB24-BC24))+F24-221000</f>
        <v>46000</v>
      </c>
      <c r="BE24" s="82">
        <v>46000</v>
      </c>
      <c r="BF24" s="29">
        <f t="shared" si="6"/>
        <v>0</v>
      </c>
      <c r="BG24" s="29">
        <v>5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VLOOKUP(A25,[18]HISTOBQUEJUIL23!$A$6:$G$44,3,0)</f>
        <v>400000</v>
      </c>
      <c r="E25" s="9">
        <f>VLOOKUP(A25,[18]HISTOBQUEJUIL23!$A$6:$G$39,4,0)</f>
        <v>0</v>
      </c>
      <c r="F25" s="9">
        <f>VLOOKUP(A25,[18]HISTOBQUEJUIL23!$A$6:$G$39,5,0)</f>
        <v>0</v>
      </c>
      <c r="G25" s="5">
        <f t="shared" si="12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VLOOKUP($A25,[20]TONTJUIL23!$A$6:$P$35,12,0)</f>
        <v>0</v>
      </c>
      <c r="Q25" s="2">
        <f>VLOOKUP($A25,[13]TONTJUIL23!$A$6:$P$20,10,0)</f>
        <v>102000</v>
      </c>
      <c r="R25" s="2">
        <f>VLOOKUP($A25,[19]TONTJUIL23!$A$6:$P$21,10,0)</f>
        <v>0</v>
      </c>
      <c r="S25" s="20"/>
      <c r="T25" s="12"/>
      <c r="U25" s="17">
        <f t="shared" si="14"/>
        <v>400000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100000</v>
      </c>
      <c r="AL25" s="12"/>
      <c r="AM25" s="12"/>
      <c r="AN25" s="12">
        <v>1000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15"/>
        <v>23000</v>
      </c>
      <c r="AT25" s="12"/>
      <c r="AV25" s="15"/>
      <c r="AW25" s="15">
        <f t="shared" si="7"/>
        <v>0</v>
      </c>
      <c r="AX25" s="15">
        <f t="shared" si="8"/>
        <v>0</v>
      </c>
      <c r="AY25" s="15">
        <f t="shared" si="9"/>
        <v>100000</v>
      </c>
      <c r="AZ25" s="16">
        <f t="shared" si="10"/>
        <v>100000</v>
      </c>
      <c r="BA25" s="58"/>
      <c r="BB25" s="58"/>
      <c r="BC25" s="15"/>
      <c r="BD25" s="57">
        <f t="shared" si="11"/>
        <v>100000</v>
      </c>
      <c r="BE25" s="82">
        <v>100000</v>
      </c>
      <c r="BF25" s="29">
        <f t="shared" si="6"/>
        <v>0</v>
      </c>
      <c r="BG25" s="29">
        <v>5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VLOOKUP(A26,[18]HISTOBQUEJUIL23!$A$6:$G$44,3,0)</f>
        <v>0</v>
      </c>
      <c r="E26" s="9">
        <f>VLOOKUP(A26,[18]HISTOBQUEJUIL23!$A$6:$G$39,4,0)</f>
        <v>43000</v>
      </c>
      <c r="F26" s="9">
        <f>VLOOKUP(A26,[18]HISTOBQUEJUIL23!$A$6:$G$39,5,0)</f>
        <v>0</v>
      </c>
      <c r="G26" s="5">
        <f t="shared" si="12"/>
        <v>3000</v>
      </c>
      <c r="H26" s="10" t="str">
        <f t="shared" si="1"/>
        <v>ESPECES</v>
      </c>
      <c r="I26" s="10"/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VLOOKUP($A26,[20]TONTJUIL23!$A$6:$P$35,12,0)</f>
        <v>0</v>
      </c>
      <c r="Q26" s="2"/>
      <c r="R26" s="2"/>
      <c r="S26" s="20"/>
      <c r="T26" s="12"/>
      <c r="U26" s="17">
        <f t="shared" si="14"/>
        <v>43000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15"/>
        <v>15000</v>
      </c>
      <c r="AT26" s="12"/>
      <c r="AV26" s="15"/>
      <c r="AW26" s="15">
        <f t="shared" si="7"/>
        <v>0</v>
      </c>
      <c r="AX26" s="15">
        <f t="shared" si="8"/>
        <v>0</v>
      </c>
      <c r="AY26" s="15">
        <f t="shared" si="9"/>
        <v>0</v>
      </c>
      <c r="AZ26" s="16">
        <f t="shared" si="10"/>
        <v>0</v>
      </c>
      <c r="BA26" s="58"/>
      <c r="BB26" s="58"/>
      <c r="BC26" s="15"/>
      <c r="BD26" s="57">
        <f t="shared" si="11"/>
        <v>0</v>
      </c>
      <c r="BE26" s="82"/>
      <c r="BF26" s="29">
        <f t="shared" si="6"/>
        <v>0</v>
      </c>
      <c r="BG26" s="29">
        <v>5</v>
      </c>
      <c r="BH26" s="15"/>
      <c r="BI26" s="15"/>
      <c r="BJ26" s="15"/>
      <c r="BK26" s="15"/>
      <c r="BL26" s="61"/>
      <c r="BN26" t="s">
        <v>190</v>
      </c>
      <c r="BO26" t="s">
        <v>143</v>
      </c>
      <c r="BP26" s="6">
        <v>50000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VLOOKUP(A27,[18]HISTOBQUEJUIL23!$A$6:$G$44,3,0)</f>
        <v>50000</v>
      </c>
      <c r="E27" s="9">
        <f>VLOOKUP(A27,[18]HISTOBQUEJUIL23!$A$6:$G$39,4,0)</f>
        <v>0</v>
      </c>
      <c r="F27" s="9">
        <f>VLOOKUP(A27,[18]HISTOBQUEJUIL23!$A$6:$G$39,5,0)</f>
        <v>0</v>
      </c>
      <c r="G27" s="5">
        <f t="shared" si="12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VLOOKUP($A27,[20]TONTJUIL23!$A$6:$P$35,12,0)</f>
        <v>0</v>
      </c>
      <c r="Q27" s="2"/>
      <c r="R27" s="2"/>
      <c r="S27" s="20"/>
      <c r="T27" s="12"/>
      <c r="U27" s="17">
        <f t="shared" si="14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15"/>
        <v>25000</v>
      </c>
      <c r="AT27" s="12"/>
      <c r="AV27" s="15"/>
      <c r="AW27" s="15">
        <f t="shared" si="7"/>
        <v>0</v>
      </c>
      <c r="AX27" s="15">
        <f t="shared" si="8"/>
        <v>0</v>
      </c>
      <c r="AY27" s="15">
        <f t="shared" si="9"/>
        <v>0</v>
      </c>
      <c r="AZ27" s="16">
        <f t="shared" si="10"/>
        <v>0</v>
      </c>
      <c r="BA27" s="58"/>
      <c r="BB27" s="58"/>
      <c r="BC27" s="15"/>
      <c r="BD27" s="57">
        <f t="shared" si="11"/>
        <v>0</v>
      </c>
      <c r="BE27" s="82"/>
      <c r="BF27" s="29">
        <f t="shared" si="6"/>
        <v>0</v>
      </c>
      <c r="BG27" s="29">
        <v>5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VLOOKUP(A28,[18]HISTOBQUEJUIL23!$A$6:$G$44,3,0)</f>
        <v>115000</v>
      </c>
      <c r="E28" s="9">
        <f>VLOOKUP(A28,[18]HISTOBQUEJUIL23!$A$6:$G$39,4,0)</f>
        <v>0</v>
      </c>
      <c r="F28" s="9">
        <f>VLOOKUP(A28,[18]HISTOBQUEJUIL23!$A$6:$G$39,5,0)</f>
        <v>0</v>
      </c>
      <c r="G28" s="5">
        <f t="shared" si="12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VLOOKUP($A28,[20]TONTJUIL23!$A$6:$P$35,12,0)</f>
        <v>0</v>
      </c>
      <c r="Q28" s="2">
        <f>VLOOKUP($A28,[13]TONTJUIL23!$A$6:$P$20,10,0)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15"/>
        <v>15000</v>
      </c>
      <c r="AT28" s="12"/>
      <c r="AV28" s="15"/>
      <c r="AW28" s="15">
        <f t="shared" si="7"/>
        <v>0</v>
      </c>
      <c r="AX28" s="15">
        <f t="shared" si="8"/>
        <v>0</v>
      </c>
      <c r="AY28" s="15">
        <f t="shared" si="9"/>
        <v>0</v>
      </c>
      <c r="AZ28" s="16">
        <f t="shared" si="10"/>
        <v>0</v>
      </c>
      <c r="BA28" s="58"/>
      <c r="BB28" s="58"/>
      <c r="BC28" s="15"/>
      <c r="BD28" s="57">
        <f t="shared" si="11"/>
        <v>0</v>
      </c>
      <c r="BE28" s="82"/>
      <c r="BF28" s="29">
        <f t="shared" si="6"/>
        <v>0</v>
      </c>
      <c r="BG28" s="29">
        <v>5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50000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VLOOKUP(A29,[18]HISTOBQUEJUIL23!$A$6:$G$44,3,0)</f>
        <v>40000</v>
      </c>
      <c r="E29" s="9">
        <f>VLOOKUP(A29,[18]HISTOBQUEJUIL23!$A$6:$G$39,4,0)</f>
        <v>0</v>
      </c>
      <c r="F29" s="9">
        <f>VLOOKUP(A29,[18]HISTOBQUEJUIL23!$A$6:$G$39,5,0)</f>
        <v>0</v>
      </c>
      <c r="G29" s="5">
        <f t="shared" si="12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VLOOKUP($A29,[20]TONTJUIL23!$A$6:$P$35,12,0)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15"/>
        <v>15000</v>
      </c>
      <c r="AT29" s="12"/>
      <c r="AV29" s="15"/>
      <c r="AW29" s="15">
        <f t="shared" si="7"/>
        <v>0</v>
      </c>
      <c r="AX29" s="15">
        <f t="shared" si="8"/>
        <v>0</v>
      </c>
      <c r="AY29" s="15">
        <f t="shared" si="9"/>
        <v>0</v>
      </c>
      <c r="AZ29" s="16">
        <f t="shared" si="10"/>
        <v>0</v>
      </c>
      <c r="BA29" s="58"/>
      <c r="BB29" s="58"/>
      <c r="BC29" s="15"/>
      <c r="BD29" s="57">
        <f t="shared" si="11"/>
        <v>0</v>
      </c>
      <c r="BE29" s="82"/>
      <c r="BF29" s="29">
        <f t="shared" si="6"/>
        <v>0</v>
      </c>
      <c r="BG29" s="29">
        <v>5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VLOOKUP(A30,[18]HISTOBQUEJUIL23!$A$6:$G$44,3,0)</f>
        <v>115000</v>
      </c>
      <c r="E30" s="9">
        <f>VLOOKUP(A30,[18]HISTOBQUEJUIL23!$A$6:$G$39,4,0)</f>
        <v>0</v>
      </c>
      <c r="F30" s="9">
        <f>VLOOKUP(A30,[18]HISTOBQUEJUIL23!$A$6:$G$39,5,0)</f>
        <v>0</v>
      </c>
      <c r="G30" s="5">
        <f t="shared" si="12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VLOOKUP($A30,[20]TONTJUIL23!$A$6:$P$35,12,0)</f>
        <v>0</v>
      </c>
      <c r="Q30" s="2">
        <f>VLOOKUP($A30,[13]TONTJUIL23!$A$6:$P$20,10,0)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15"/>
        <v>15000</v>
      </c>
      <c r="AT30" s="12"/>
      <c r="AV30" s="15"/>
      <c r="AW30" s="15">
        <f t="shared" si="7"/>
        <v>0</v>
      </c>
      <c r="AX30" s="15">
        <f t="shared" si="8"/>
        <v>0</v>
      </c>
      <c r="AY30" s="15">
        <f t="shared" si="9"/>
        <v>0</v>
      </c>
      <c r="AZ30" s="16">
        <f t="shared" si="10"/>
        <v>0</v>
      </c>
      <c r="BA30" s="58"/>
      <c r="BB30" s="58"/>
      <c r="BC30" s="15"/>
      <c r="BD30" s="57">
        <f t="shared" si="11"/>
        <v>0</v>
      </c>
      <c r="BE30" s="82"/>
      <c r="BF30" s="29">
        <f t="shared" si="6"/>
        <v>0</v>
      </c>
      <c r="BG30" s="29">
        <v>5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VLOOKUP(A31,[18]HISTOBQUEJUIL23!$A$6:$G$44,3,0)</f>
        <v>140000</v>
      </c>
      <c r="E31" s="9">
        <f>VLOOKUP(A31,[18]HISTOBQUEJUIL23!$A$6:$G$39,4,0)</f>
        <v>0</v>
      </c>
      <c r="F31" s="9">
        <f>VLOOKUP(A31,[18]HISTOBQUEJUIL23!$A$6:$G$39,5,0)</f>
        <v>0</v>
      </c>
      <c r="G31" s="5">
        <f t="shared" si="12"/>
        <v>0</v>
      </c>
      <c r="H31" s="10" t="str">
        <f t="shared" si="1"/>
        <v>BANQUE</v>
      </c>
      <c r="I31" s="10"/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VLOOKUP($A31,[20]TONTJUIL23!$A$6:$P$35,12,0)</f>
        <v>0</v>
      </c>
      <c r="Q31" s="2"/>
      <c r="R31" s="2">
        <f>VLOOKUP($A31,[19]TONTJUIL23!$A$6:$P$21,10,0)</f>
        <v>0</v>
      </c>
      <c r="S31" s="20"/>
      <c r="T31" s="12"/>
      <c r="U31" s="17">
        <f t="shared" si="14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15"/>
        <v>15000</v>
      </c>
      <c r="AT31" s="12"/>
      <c r="AV31" s="15"/>
      <c r="AW31" s="15">
        <f t="shared" si="7"/>
        <v>0</v>
      </c>
      <c r="AX31" s="15">
        <f t="shared" si="8"/>
        <v>0</v>
      </c>
      <c r="AY31" s="15">
        <f t="shared" si="9"/>
        <v>0</v>
      </c>
      <c r="AZ31" s="16">
        <f t="shared" si="10"/>
        <v>0</v>
      </c>
      <c r="BA31" s="58"/>
      <c r="BB31" s="58"/>
      <c r="BC31" s="15"/>
      <c r="BD31" s="57">
        <f t="shared" si="11"/>
        <v>0</v>
      </c>
      <c r="BE31" s="82"/>
      <c r="BF31" s="29">
        <f t="shared" si="6"/>
        <v>0</v>
      </c>
      <c r="BG31" s="29">
        <v>5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VLOOKUP(A32,[18]HISTOBQUEJUIL23!$A$6:$G$44,3,0)+250000</f>
        <v>365000</v>
      </c>
      <c r="E32" s="9">
        <f>VLOOKUP(A32,[18]HISTOBQUEJUIL23!$A$6:$G$39,4,0)</f>
        <v>102000</v>
      </c>
      <c r="F32" s="9">
        <f>VLOOKUP(A32,[18]HISTOBQUEJUIL23!$A$6:$G$39,5,0)</f>
        <v>70000</v>
      </c>
      <c r="G32" s="5">
        <f t="shared" si="12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VLOOKUP($A32,[20]TONTJUIL23!$A$6:$P$35,12,0)</f>
        <v>0</v>
      </c>
      <c r="Q32" s="2">
        <f>VLOOKUP($A32,[13]TONTJUIL23!$A$6:$P$20,10,0)</f>
        <v>102000</v>
      </c>
      <c r="R32" s="2"/>
      <c r="S32" s="20">
        <v>250000</v>
      </c>
      <c r="T32" s="12"/>
      <c r="U32" s="17">
        <f t="shared" si="14"/>
        <v>467000</v>
      </c>
      <c r="V32" s="12"/>
      <c r="W32" s="12"/>
      <c r="X32" s="12"/>
      <c r="Y32" s="12"/>
      <c r="Z32" s="12"/>
      <c r="AA32" s="12"/>
      <c r="AB32" s="12"/>
      <c r="AC32" s="12">
        <v>2500</v>
      </c>
      <c r="AD32" s="12"/>
      <c r="AE32" s="12"/>
      <c r="AF32" s="12" t="s">
        <v>8</v>
      </c>
      <c r="AG32" s="12"/>
      <c r="AH32" s="12"/>
      <c r="AI32" s="12"/>
      <c r="AJ32" s="12">
        <v>75000</v>
      </c>
      <c r="AK32" s="12"/>
      <c r="AL32" s="12"/>
      <c r="AM32" s="12">
        <v>1000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15"/>
        <v>15000</v>
      </c>
      <c r="AT32" s="12"/>
      <c r="AV32" s="15"/>
      <c r="AW32" s="15">
        <f t="shared" si="7"/>
        <v>297500</v>
      </c>
      <c r="AX32" s="15">
        <f t="shared" si="8"/>
        <v>75000</v>
      </c>
      <c r="AY32" s="15">
        <f t="shared" si="9"/>
        <v>0</v>
      </c>
      <c r="AZ32" s="16">
        <f t="shared" si="10"/>
        <v>302500</v>
      </c>
      <c r="BA32" s="58">
        <v>75000</v>
      </c>
      <c r="BB32" s="58">
        <v>70000</v>
      </c>
      <c r="BC32" s="15"/>
      <c r="BD32" s="57">
        <f t="shared" si="11"/>
        <v>227500</v>
      </c>
      <c r="BE32" s="82">
        <v>227500</v>
      </c>
      <c r="BF32" s="29">
        <f t="shared" si="6"/>
        <v>0</v>
      </c>
      <c r="BG32" s="29">
        <v>5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VLOOKUP(A33,[18]HISTOBQUEJUIL23!$A$6:$G$44,3,0)</f>
        <v>40000</v>
      </c>
      <c r="E33" s="9">
        <f>VLOOKUP(A33,[18]HISTOBQUEJUIL23!$A$6:$G$39,4,0)</f>
        <v>0</v>
      </c>
      <c r="F33" s="9">
        <f>VLOOKUP(A33,[18]HISTOBQUEJUIL23!$A$6:$G$39,5,0)</f>
        <v>0</v>
      </c>
      <c r="G33" s="5">
        <f t="shared" si="12"/>
        <v>0</v>
      </c>
      <c r="H33" s="10" t="str">
        <f t="shared" si="1"/>
        <v>BANQUE</v>
      </c>
      <c r="I33" s="10"/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VLOOKUP($A33,[20]TONTJUIL23!$A$6:$P$35,12,0)</f>
        <v>0</v>
      </c>
      <c r="Q33" s="2"/>
      <c r="R33" s="2"/>
      <c r="S33" s="20"/>
      <c r="T33" s="12"/>
      <c r="U33" s="17">
        <f t="shared" si="14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15"/>
        <v>15000</v>
      </c>
      <c r="AT33" s="12"/>
      <c r="AV33" s="15"/>
      <c r="AW33" s="15">
        <f t="shared" si="7"/>
        <v>0</v>
      </c>
      <c r="AX33" s="15">
        <f t="shared" si="8"/>
        <v>0</v>
      </c>
      <c r="AY33" s="15">
        <f t="shared" si="9"/>
        <v>0</v>
      </c>
      <c r="AZ33" s="16">
        <f t="shared" si="10"/>
        <v>0</v>
      </c>
      <c r="BA33" s="58"/>
      <c r="BB33" s="58"/>
      <c r="BC33" s="15"/>
      <c r="BD33" s="57">
        <f t="shared" si="11"/>
        <v>0</v>
      </c>
      <c r="BE33" s="82"/>
      <c r="BF33" s="29">
        <f t="shared" si="6"/>
        <v>0</v>
      </c>
      <c r="BG33" s="29">
        <v>5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VLOOKUP(A34,[18]HISTOBQUEJUIL23!$A$6:$G$44,3,0)</f>
        <v>100000</v>
      </c>
      <c r="E34" s="9">
        <f>VLOOKUP(A34,[18]HISTOBQUEJUIL23!$A$6:$G$39,4,0)</f>
        <v>0</v>
      </c>
      <c r="F34" s="9">
        <f>VLOOKUP(A34,[18]HISTOBQUEJUIL23!$A$6:$G$39,5,0)</f>
        <v>0</v>
      </c>
      <c r="G34" s="5">
        <f t="shared" si="12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VLOOKUP($A34,[20]TONTJUIL23!$A$6:$P$35,12,0)</f>
        <v>0</v>
      </c>
      <c r="Q34" s="2"/>
      <c r="R34" s="2"/>
      <c r="S34" s="20"/>
      <c r="T34" s="12"/>
      <c r="U34" s="17">
        <f t="shared" si="14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15"/>
        <v>75000</v>
      </c>
      <c r="AT34" s="12"/>
      <c r="AV34" s="15"/>
      <c r="AW34" s="15">
        <f t="shared" si="7"/>
        <v>0</v>
      </c>
      <c r="AX34" s="15">
        <f t="shared" si="8"/>
        <v>0</v>
      </c>
      <c r="AY34" s="15">
        <f t="shared" si="9"/>
        <v>0</v>
      </c>
      <c r="AZ34" s="16">
        <f t="shared" si="10"/>
        <v>0</v>
      </c>
      <c r="BA34" s="58"/>
      <c r="BB34" s="58"/>
      <c r="BC34" s="15"/>
      <c r="BD34" s="57">
        <f t="shared" si="11"/>
        <v>0</v>
      </c>
      <c r="BE34" s="82"/>
      <c r="BF34" s="29">
        <f t="shared" si="6"/>
        <v>0</v>
      </c>
      <c r="BG34" s="29">
        <v>5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VLOOKUP(A35,[18]HISTOBQUEJUIL23!$A$6:$G$44,3,0)</f>
        <v>40000</v>
      </c>
      <c r="E35" s="9">
        <f>VLOOKUP(A35,[18]HISTOBQUEJUIL23!$A$6:$G$39,4,0)</f>
        <v>0</v>
      </c>
      <c r="F35" s="9">
        <f>VLOOKUP(A35,[18]HISTOBQUEJUIL23!$A$6:$G$39,5,0)</f>
        <v>0</v>
      </c>
      <c r="G35" s="5">
        <f t="shared" si="12"/>
        <v>0</v>
      </c>
      <c r="H35" s="10" t="str">
        <f t="shared" si="1"/>
        <v>BANQUE</v>
      </c>
      <c r="I35" s="10"/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VLOOKUP($A35,[20]TONTJUIL23!$A$6:$P$35,12,0)</f>
        <v>0</v>
      </c>
      <c r="Q35" s="2"/>
      <c r="R35" s="2"/>
      <c r="S35" s="20"/>
      <c r="T35" s="12"/>
      <c r="U35" s="17">
        <f t="shared" si="14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15"/>
        <v>15000</v>
      </c>
      <c r="AT35" s="12"/>
      <c r="AV35" s="15"/>
      <c r="AW35" s="15">
        <f t="shared" si="7"/>
        <v>0</v>
      </c>
      <c r="AX35" s="15">
        <f t="shared" si="8"/>
        <v>0</v>
      </c>
      <c r="AY35" s="15">
        <f t="shared" si="9"/>
        <v>0</v>
      </c>
      <c r="AZ35" s="16">
        <f t="shared" si="10"/>
        <v>0</v>
      </c>
      <c r="BA35" s="58"/>
      <c r="BB35" s="58"/>
      <c r="BC35" s="15"/>
      <c r="BD35" s="57">
        <f t="shared" si="11"/>
        <v>0</v>
      </c>
      <c r="BE35" s="82"/>
      <c r="BF35" s="29">
        <f t="shared" si="6"/>
        <v>0</v>
      </c>
      <c r="BG35" s="29">
        <v>5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VLOOKUP(A36,[18]HISTOBQUEJUIL23!$A$6:$G$44,3,0)</f>
        <v>290000</v>
      </c>
      <c r="E36" s="9">
        <f>VLOOKUP(A36,[18]HISTOBQUEJUIL23!$A$6:$G$39,4,0)</f>
        <v>0</v>
      </c>
      <c r="F36" s="9">
        <f>VLOOKUP(A36,[18]HISTOBQUEJUIL23!$A$6:$G$39,5,0)</f>
        <v>0</v>
      </c>
      <c r="G36" s="5">
        <f t="shared" si="12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VLOOKUP($A36,[20]TONTJUIL23!$A$6:$P$35,12,0)</f>
        <v>0</v>
      </c>
      <c r="Q36" s="2">
        <f>VLOOKUP($A36,[13]TONTJUIL23!$A$6:$P$20,10,0)</f>
        <v>0</v>
      </c>
      <c r="R36" s="2">
        <f>VLOOKUP($A36,[19]TONTJUIL23!$A$6:$P$21,10,0)</f>
        <v>0</v>
      </c>
      <c r="S36" s="6"/>
      <c r="T36" s="12"/>
      <c r="U36" s="17">
        <f t="shared" si="14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15"/>
        <v>15000</v>
      </c>
      <c r="AT36" s="12"/>
      <c r="AV36" s="15"/>
      <c r="AW36" s="15">
        <f t="shared" si="7"/>
        <v>0</v>
      </c>
      <c r="AX36" s="15">
        <f t="shared" si="8"/>
        <v>0</v>
      </c>
      <c r="AY36" s="15">
        <f t="shared" si="9"/>
        <v>0</v>
      </c>
      <c r="AZ36" s="16">
        <f t="shared" si="10"/>
        <v>0</v>
      </c>
      <c r="BA36" s="58"/>
      <c r="BB36" s="58"/>
      <c r="BC36" s="15"/>
      <c r="BD36" s="57">
        <f t="shared" si="11"/>
        <v>0</v>
      </c>
      <c r="BE36" s="82"/>
      <c r="BF36" s="29">
        <f t="shared" si="6"/>
        <v>0</v>
      </c>
      <c r="BG36" s="29">
        <v>5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-122000</v>
      </c>
      <c r="D38" s="5">
        <f t="shared" si="16"/>
        <v>4916000</v>
      </c>
      <c r="E38" s="5">
        <f t="shared" si="16"/>
        <v>394500</v>
      </c>
      <c r="F38" s="5">
        <f t="shared" si="16"/>
        <v>280000</v>
      </c>
      <c r="G38" s="5">
        <f t="shared" si="16"/>
        <v>15000</v>
      </c>
      <c r="H38" s="5">
        <f t="shared" si="16"/>
        <v>0</v>
      </c>
      <c r="I38" s="5">
        <f t="shared" si="16"/>
        <v>142500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152500</v>
      </c>
      <c r="Q38" s="5">
        <f t="shared" si="16"/>
        <v>408000</v>
      </c>
      <c r="R38" s="5">
        <f t="shared" si="16"/>
        <v>589500</v>
      </c>
      <c r="S38" s="5">
        <f t="shared" si="16"/>
        <v>250000</v>
      </c>
      <c r="T38" s="5"/>
      <c r="U38" s="5">
        <f t="shared" ref="U38:AA38" si="17">SUM(U6:U37)</f>
        <v>5432500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1000000</v>
      </c>
      <c r="AA38" s="5">
        <f t="shared" si="17"/>
        <v>0</v>
      </c>
      <c r="AB38" s="5"/>
      <c r="AC38" s="5">
        <f>SUM(AC6:AC37)</f>
        <v>8000</v>
      </c>
      <c r="AD38" s="5">
        <f>SUM(AD6:AD37)</f>
        <v>7500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61000</v>
      </c>
      <c r="AJ38" s="5">
        <f t="shared" si="18"/>
        <v>317000</v>
      </c>
      <c r="AK38" s="5">
        <f t="shared" si="18"/>
        <v>789500</v>
      </c>
      <c r="AL38" s="5">
        <f t="shared" si="18"/>
        <v>2000</v>
      </c>
      <c r="AM38" s="5">
        <f t="shared" si="18"/>
        <v>4000</v>
      </c>
      <c r="AN38" s="5">
        <f t="shared" si="18"/>
        <v>7000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588300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953000</v>
      </c>
      <c r="AX38" s="5">
        <f t="shared" si="18"/>
        <v>1209500</v>
      </c>
      <c r="AY38" s="5">
        <f t="shared" si="18"/>
        <v>789500</v>
      </c>
      <c r="AZ38" s="5">
        <f t="shared" si="18"/>
        <v>3717000</v>
      </c>
      <c r="BA38" s="5">
        <f t="shared" si="18"/>
        <v>387500</v>
      </c>
      <c r="BB38" s="5">
        <f t="shared" si="18"/>
        <v>280000</v>
      </c>
      <c r="BC38" s="5">
        <f t="shared" si="18"/>
        <v>0</v>
      </c>
      <c r="BD38" s="5">
        <f t="shared" si="18"/>
        <v>3108500</v>
      </c>
      <c r="BE38" s="5">
        <f t="shared" si="18"/>
        <v>3108500</v>
      </c>
      <c r="BF38" s="5">
        <f>SUM(BF6:BF37)</f>
        <v>50000</v>
      </c>
      <c r="BH38" s="5">
        <f t="shared" ref="BH38:BL38" si="19">SUM(BH6:BH37)</f>
        <v>6000</v>
      </c>
      <c r="BI38" s="5">
        <f t="shared" si="19"/>
        <v>50000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A40" s="5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A41" s="5"/>
      <c r="BN41" s="62" t="s">
        <v>142</v>
      </c>
      <c r="BP41" s="62">
        <f>BP16+BP22+BP28+BP33+BP38</f>
        <v>156000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3717000</v>
      </c>
      <c r="D43" s="9">
        <f>SUMIFS(D8:D38,H8:H38,"BANQUE")</f>
        <v>4701000</v>
      </c>
      <c r="F43" s="9">
        <f>E38</f>
        <v>394500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7121000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T21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6.28515625" customWidth="1"/>
    <col min="58" max="58" width="15" bestFit="1" customWidth="1"/>
    <col min="63" max="63" width="14.42578125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VLOOKUP(A6,[18]HISTOBQUEAOUT23!$A$6:$G$44,3,0)</f>
        <v>175000</v>
      </c>
      <c r="E6" s="9">
        <f>VLOOKUP(A6,[18]HISTOBQUEAOUT23!$A$6:$G$39,4,0)</f>
        <v>0</v>
      </c>
      <c r="F6" s="9">
        <f>VLOOKUP(A6,[18]HISTOBQUEAOUT23!$A$6:$G$39,5,0)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VLOOKUP($A6,[13]TONTAOUT23!$A$6:$P$20,10,0)</f>
        <v>0</v>
      </c>
      <c r="R6" s="2">
        <f>VLOOKUP($A6,[19]TONTAOUT23!$A$6:$P$21,10,0)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760000</v>
      </c>
      <c r="BA6" s="58"/>
      <c r="BB6" s="58"/>
      <c r="BC6" s="15"/>
      <c r="BD6" s="57">
        <f>IF(AZ6=0,(AZ6-BA6-BC6),(AZ6-BA6-BB6-BC6))+F6</f>
        <v>760000</v>
      </c>
      <c r="BE6" s="82">
        <v>106000</v>
      </c>
      <c r="BF6" s="29">
        <f t="shared" ref="BF6:BF36" si="6">Z6*1/100*BG6</f>
        <v>0</v>
      </c>
      <c r="BG6" s="29">
        <v>4</v>
      </c>
      <c r="BH6" s="15">
        <f>BP16</f>
        <v>45000</v>
      </c>
      <c r="BI6" s="15">
        <f>BP28</f>
        <v>155000</v>
      </c>
      <c r="BJ6" s="15">
        <f>BP33</f>
        <v>560000</v>
      </c>
      <c r="BK6" s="15"/>
      <c r="BL6" s="15"/>
      <c r="BM6" s="15">
        <f>BP22</f>
        <v>0</v>
      </c>
      <c r="BN6" t="s">
        <v>189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VLOOKUP(A7,[18]HISTOBQUEAOUT23!$A$6:$G$44,3,0)</f>
        <v>40000</v>
      </c>
      <c r="E7" s="9">
        <f>VLOOKUP(A7,[18]HISTOBQUEAOUT23!$A$6:$G$39,4,0)</f>
        <v>0</v>
      </c>
      <c r="F7" s="9">
        <f>VLOOKUP(A7,[18]HISTOBQUEAOUT23!$A$6:$G$39,5,0)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VLOOKUP($A7,[20]TONTAOUT23!$A$6:$P$35,12,0)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4</v>
      </c>
      <c r="BH7" s="15"/>
      <c r="BI7" s="15"/>
      <c r="BJ7" s="15"/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VLOOKUP(A8,[18]HISTOBQUEAOUT23!$A$6:$G$44,3,0)</f>
        <v>115000</v>
      </c>
      <c r="E8" s="9">
        <f>VLOOKUP(A8,[18]HISTOBQUEAOUT23!$A$6:$G$39,4,0)</f>
        <v>0</v>
      </c>
      <c r="F8" s="9">
        <f>VLOOKUP(A8,[18]HISTOBQUEAOUT23!$A$6:$G$39,5,0)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VLOOKUP($A8,[20]TONTAOUT23!$A$6:$P$35,12,0)</f>
        <v>0</v>
      </c>
      <c r="Q8" s="2">
        <f>VLOOKUP($A8,[13]TONTAOUT23!$A$6:$P$20,10,0)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4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33000</v>
      </c>
    </row>
    <row r="9" spans="1:68" s="72" customFormat="1" ht="18.75" x14ac:dyDescent="0.3">
      <c r="A9" s="73" t="s">
        <v>13</v>
      </c>
      <c r="B9" s="73" t="str">
        <f>VLOOKUP(A9,[17]LISTADHERENT!A$5:H$39,3,0)</f>
        <v xml:space="preserve">DJOMO JEAN PAUL </v>
      </c>
      <c r="C9" s="14">
        <f t="shared" si="0"/>
        <v>0</v>
      </c>
      <c r="D9" s="14">
        <f>VLOOKUP(A9,[18]HISTOBQUEAOUT23!$A$6:$G$44,3,0)</f>
        <v>140000</v>
      </c>
      <c r="E9" s="14">
        <f>VLOOKUP(A9,[18]HISTOBQUEAOUT23!$A$6:$G$39,4,0)</f>
        <v>202000</v>
      </c>
      <c r="F9" s="14">
        <f>VLOOKUP(A9,[18]HISTOBQUEAOUT23!$A$6:$G$39,5,0)</f>
        <v>0</v>
      </c>
      <c r="G9" s="14">
        <f>IF(H9="ESPECES",3000,0)</f>
        <v>0</v>
      </c>
      <c r="H9" s="74" t="str">
        <f t="shared" si="1"/>
        <v>BANQUE</v>
      </c>
      <c r="I9" s="74"/>
      <c r="J9" s="75">
        <v>1</v>
      </c>
      <c r="K9" s="75">
        <f t="shared" si="14"/>
        <v>40000</v>
      </c>
      <c r="L9" s="70"/>
      <c r="M9" s="75">
        <f t="shared" si="2"/>
        <v>0</v>
      </c>
      <c r="N9" s="70">
        <v>1</v>
      </c>
      <c r="O9" s="75">
        <f t="shared" si="3"/>
        <v>100000</v>
      </c>
      <c r="P9" s="76">
        <f>VLOOKUP($A9,[20]TONTAOUT23!$A$6:$P$35,12,0)</f>
        <v>0</v>
      </c>
      <c r="Q9" s="76"/>
      <c r="R9" s="76">
        <f>VLOOKUP($A9,[19]TONTAOUT23!$A$6:$P$21,10,0)</f>
        <v>202000</v>
      </c>
      <c r="S9" s="77"/>
      <c r="T9" s="78"/>
      <c r="U9" s="79">
        <f t="shared" si="15"/>
        <v>342000</v>
      </c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>
        <v>300000</v>
      </c>
      <c r="AL9" s="78"/>
      <c r="AM9" s="78"/>
      <c r="AN9" s="78">
        <v>3000</v>
      </c>
      <c r="AO9" s="78"/>
      <c r="AP9" s="78" t="s">
        <v>8</v>
      </c>
      <c r="AQ9" s="8">
        <f t="shared" si="4"/>
        <v>0</v>
      </c>
      <c r="AR9" s="8">
        <f t="shared" si="5"/>
        <v>0</v>
      </c>
      <c r="AS9" s="75">
        <f t="shared" si="8"/>
        <v>15000</v>
      </c>
      <c r="AT9" s="78"/>
      <c r="AV9" s="80"/>
      <c r="AW9" s="80">
        <f t="shared" si="9"/>
        <v>0</v>
      </c>
      <c r="AX9" s="80">
        <f t="shared" si="10"/>
        <v>0</v>
      </c>
      <c r="AY9" s="80">
        <f t="shared" si="11"/>
        <v>300000</v>
      </c>
      <c r="AZ9" s="71">
        <f t="shared" si="12"/>
        <v>300000</v>
      </c>
      <c r="BA9" s="58">
        <v>300000</v>
      </c>
      <c r="BB9" s="58"/>
      <c r="BC9" s="80"/>
      <c r="BD9" s="71">
        <f t="shared" si="13"/>
        <v>0</v>
      </c>
      <c r="BE9" s="83"/>
      <c r="BF9" s="81">
        <f t="shared" si="6"/>
        <v>0</v>
      </c>
      <c r="BG9" s="29">
        <v>4</v>
      </c>
      <c r="BH9" s="80"/>
      <c r="BI9" s="80"/>
      <c r="BJ9" s="80"/>
      <c r="BK9" s="80"/>
      <c r="BL9" s="76"/>
      <c r="BN9" s="72" t="s">
        <v>188</v>
      </c>
      <c r="BO9" s="72" t="s">
        <v>114</v>
      </c>
      <c r="BP9" s="70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VLOOKUP(A10,[18]HISTOBQUEAOUT23!$A$6:$G$44,3,0)</f>
        <v>0</v>
      </c>
      <c r="E10" s="9">
        <f>VLOOKUP(A10,[18]HISTOBQUEAOUT23!$A$6:$G$39,4,0)</f>
        <v>43000</v>
      </c>
      <c r="F10" s="9">
        <f>VLOOKUP(A10,[18]HISTOBQUEAOUT23!$A$6:$G$39,5,0)</f>
        <v>0</v>
      </c>
      <c r="G10" s="5">
        <f t="shared" si="7"/>
        <v>3000</v>
      </c>
      <c r="H10" s="10" t="str">
        <f t="shared" si="1"/>
        <v>ESPECES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VLOOKUP($A10,[20]TONTAOUT23!$A$6:$P$35,12,0)</f>
        <v>0</v>
      </c>
      <c r="Q10" s="2"/>
      <c r="R10" s="2"/>
      <c r="S10" s="20"/>
      <c r="T10" s="12"/>
      <c r="U10" s="17">
        <f t="shared" si="15"/>
        <v>43000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4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VLOOKUP(A11,[18]HISTOBQUEAOUT23!$A$6:$G$44,3,0)</f>
        <v>115000</v>
      </c>
      <c r="E11" s="9">
        <f>VLOOKUP(A11,[18]HISTOBQUEAOUT23!$A$6:$G$39,4,0)</f>
        <v>0</v>
      </c>
      <c r="F11" s="9">
        <f>VLOOKUP(A11,[18]HISTOBQUEAOUT23!$A$6:$G$39,5,0)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VLOOKUP($A11,[20]TONTAOUT23!$A$6:$P$35,12,0)</f>
        <v>0</v>
      </c>
      <c r="Q11" s="2">
        <f>VLOOKUP($A11,[13]TONTAOUT23!$A$6:$P$20,10,0)</f>
        <v>0</v>
      </c>
      <c r="R11" s="2"/>
      <c r="S11" s="20"/>
      <c r="T11" s="12"/>
      <c r="U11" s="17">
        <f t="shared" si="15"/>
        <v>115000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61500</v>
      </c>
      <c r="AJ11" s="12">
        <f>75000+92000</f>
        <v>167000</v>
      </c>
      <c r="AK11" s="12"/>
      <c r="AL11" s="12">
        <v>1000</v>
      </c>
      <c r="AM11" s="12">
        <v>2000</v>
      </c>
      <c r="AN11" s="12">
        <v>1000</v>
      </c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61500</v>
      </c>
      <c r="AX11" s="15">
        <f t="shared" si="10"/>
        <v>167000</v>
      </c>
      <c r="AY11" s="15">
        <f t="shared" si="11"/>
        <v>0</v>
      </c>
      <c r="AZ11" s="16">
        <f t="shared" si="12"/>
        <v>228500</v>
      </c>
      <c r="BA11" s="58"/>
      <c r="BB11" s="58"/>
      <c r="BC11" s="15"/>
      <c r="BD11" s="57">
        <f t="shared" si="13"/>
        <v>228500</v>
      </c>
      <c r="BE11" s="82">
        <f>61500+167000</f>
        <v>228500</v>
      </c>
      <c r="BF11" s="29">
        <f t="shared" si="6"/>
        <v>0</v>
      </c>
      <c r="BG11" s="29">
        <v>4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VLOOKUP(A12,[18]HISTOBQUEAOUT23!$A$6:$G$44,3,0)</f>
        <v>320000</v>
      </c>
      <c r="E12" s="9">
        <f>VLOOKUP(A12,[18]HISTOBQUEAOUT23!$A$6:$G$39,4,0)</f>
        <v>0</v>
      </c>
      <c r="F12" s="9">
        <f>VLOOKUP(A12,[18]HISTOBQUEAOUT23!$A$6:$G$39,5,0)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VLOOKUP($A12,[20]TONTAOUT23!$A$6:$P$35,12,0)</f>
        <v>0</v>
      </c>
      <c r="Q12" s="2">
        <f>VLOOKUP($A12,[13]TONTAOUT23!$A$6:$P$20,10,0)</f>
        <v>0</v>
      </c>
      <c r="R12" s="2">
        <f>VLOOKUP($A12,[19]TONTAOUT23!$A$6:$P$21,10,0)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>
        <v>10000</v>
      </c>
      <c r="AF12" s="12" t="s">
        <v>8</v>
      </c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1190000</v>
      </c>
      <c r="AZ12" s="16">
        <f t="shared" si="12"/>
        <v>1190000</v>
      </c>
      <c r="BA12" s="58"/>
      <c r="BB12" s="58"/>
      <c r="BC12" s="15"/>
      <c r="BD12" s="57">
        <f t="shared" si="13"/>
        <v>1190000</v>
      </c>
      <c r="BE12" s="82">
        <v>1190000</v>
      </c>
      <c r="BF12" s="29">
        <f t="shared" si="6"/>
        <v>0</v>
      </c>
      <c r="BG12" s="29">
        <v>4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VLOOKUP(A13,[18]HISTOBQUEAOUT23!$A$6:$G$44,3,0)</f>
        <v>40000</v>
      </c>
      <c r="E13" s="9">
        <f>VLOOKUP(A13,[18]HISTOBQUEAOUT23!$A$6:$G$39,4,0)</f>
        <v>0</v>
      </c>
      <c r="F13" s="9">
        <f>VLOOKUP(A13,[18]HISTOBQUEAOUT23!$A$6:$G$39,5,0)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VLOOKUP($A13,[20]TONTAOUT23!$A$6:$P$35,12,0)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4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12000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VLOOKUP(A14,[18]HISTOBQUEAOUT23!$A$6:$G$44,3,0)</f>
        <v>40000</v>
      </c>
      <c r="E14" s="9">
        <f>VLOOKUP(A14,[18]HISTOBQUEAOUT23!$A$6:$G$39,4,0)</f>
        <v>0</v>
      </c>
      <c r="F14" s="9">
        <f>VLOOKUP(A14,[18]HISTOBQUEAOUT23!$A$6:$G$39,5,0)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VLOOKUP($A14,[20]TONTAOUT23!$A$6:$P$35,12,0)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4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VLOOKUP(A15,[18]HISTOBQUEAOUT23!$A$6:$G$44,3,0)</f>
        <v>115000</v>
      </c>
      <c r="E15" s="9">
        <f>VLOOKUP(A15,[18]HISTOBQUEAOUT23!$A$6:$G$39,4,0)</f>
        <v>0</v>
      </c>
      <c r="F15" s="9">
        <f>VLOOKUP(A15,[18]HISTOBQUEAOUT23!$A$6:$G$39,5,0)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VLOOKUP($A15,[20]TONTAOUT23!$A$6:$P$35,12,0)</f>
        <v>0</v>
      </c>
      <c r="Q15" s="2">
        <f>VLOOKUP($A15,[13]TONTAOUT23!$A$6:$P$20,10,0)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4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VLOOKUP(A16,[18]HISTOBQUEAOUT23!$A$6:$G$44,3,0)</f>
        <v>250000</v>
      </c>
      <c r="E16" s="9">
        <f>VLOOKUP(A16,[18]HISTOBQUEAOUT23!$A$6:$G$39,4,0)</f>
        <v>0</v>
      </c>
      <c r="F16" s="9">
        <f>VLOOKUP(A16,[18]HISTOBQUEAOUT23!$A$6:$G$39,5,0)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VLOOKUP($A16,[20]TONTAOUT23!$A$6:$P$35,12,0)</f>
        <v>0</v>
      </c>
      <c r="Q16" s="2">
        <f>VLOOKUP($A16,[13]TONTAOUT23!$A$6:$P$20,10,0)</f>
        <v>0</v>
      </c>
      <c r="R16" s="2">
        <f>VLOOKUP($A16,[19]TONTAOUT23!$A$6:$P$21,10,0)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57">
        <f t="shared" si="13"/>
        <v>0</v>
      </c>
      <c r="BE16" s="82"/>
      <c r="BF16" s="29">
        <f t="shared" si="6"/>
        <v>0</v>
      </c>
      <c r="BG16" s="29">
        <v>4</v>
      </c>
      <c r="BH16" s="15"/>
      <c r="BI16" s="15"/>
      <c r="BJ16" s="15"/>
      <c r="BK16" s="15"/>
      <c r="BL16" s="61"/>
      <c r="BN16" s="62" t="s">
        <v>142</v>
      </c>
      <c r="BP16" s="62">
        <f>SUM(BP6:BP15)</f>
        <v>45000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VLOOKUP(A17,[18]HISTOBQUEAOUT23!$A$6:$G$44,3,0)</f>
        <v>241000</v>
      </c>
      <c r="E17" s="9">
        <f>VLOOKUP(A17,[18]HISTOBQUEAOUT23!$A$6:$G$39,4,0)</f>
        <v>0</v>
      </c>
      <c r="F17" s="9">
        <f>VLOOKUP(A17,[18]HISTOBQUEAOUT23!$A$6:$G$39,5,0)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VLOOKUP($A17,[20]TONTAOUT23!$A$6:$P$35,12,0)</f>
        <v>0</v>
      </c>
      <c r="Q17" s="2"/>
      <c r="R17" s="2">
        <f>VLOOKUP($A17,[19]TONTAOUT23!$A$6:$P$21,10,0)</f>
        <v>101000</v>
      </c>
      <c r="S17" s="20"/>
      <c r="T17" s="12"/>
      <c r="U17" s="17">
        <f t="shared" si="15"/>
        <v>241000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4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VLOOKUP(A18,[18]HISTOBQUEAOUT23!$A$6:$G$44,3,0)</f>
        <v>215000</v>
      </c>
      <c r="E18" s="9">
        <f>VLOOKUP(A18,[18]HISTOBQUEAOUT23!$A$6:$G$39,4,0)</f>
        <v>0</v>
      </c>
      <c r="F18" s="9">
        <f>VLOOKUP(A18,[18]HISTOBQUEAOUT23!$A$6:$G$39,5,0)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VLOOKUP($A18,[20]TONTAOUT23!$A$6:$P$35,12,0)</f>
        <v>0</v>
      </c>
      <c r="Q18" s="2">
        <f>VLOOKUP($A18,[13]TONTAOUT23!$A$6:$P$20,10,0)</f>
        <v>0</v>
      </c>
      <c r="R18" s="2">
        <f>VLOOKUP($A18,[19]TONTAOUT23!$A$6:$P$21,10,0)</f>
        <v>0</v>
      </c>
      <c r="S18" s="20"/>
      <c r="T18" s="12"/>
      <c r="U18" s="17">
        <f t="shared" si="15"/>
        <v>215000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3"/>
        <v>0</v>
      </c>
      <c r="BE18" s="82"/>
      <c r="BF18" s="29">
        <f t="shared" si="6"/>
        <v>0</v>
      </c>
      <c r="BG18" s="29">
        <v>4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VLOOKUP(A19,[18]HISTOBQUEAOUT23!$A$6:$G$44,3,0)</f>
        <v>340000</v>
      </c>
      <c r="E19" s="9">
        <f>VLOOKUP(A19,[18]HISTOBQUEAOUT23!$A$6:$G$39,4,0)</f>
        <v>0</v>
      </c>
      <c r="F19" s="9">
        <f>VLOOKUP(A19,[18]HISTOBQUEAOUT23!$A$6:$G$39,5,0)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VLOOKUP($A19,[20]TONTAOUT23!$A$6:$P$35,12,0)</f>
        <v>0</v>
      </c>
      <c r="Q19" s="2"/>
      <c r="R19" s="2"/>
      <c r="S19" s="20">
        <v>300000</v>
      </c>
      <c r="T19" s="12" t="s">
        <v>8</v>
      </c>
      <c r="U19" s="17">
        <f t="shared" si="15"/>
        <v>340000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4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VLOOKUP(A20,[18]HISTOBQUEAOUT23!$A$6:$G$44,3,0)</f>
        <v>586500</v>
      </c>
      <c r="E20" s="9">
        <f>VLOOKUP(A20,[18]HISTOBQUEAOUT23!$A$6:$G$39,4,0)</f>
        <v>0</v>
      </c>
      <c r="F20" s="9">
        <f>VLOOKUP(A20,[18]HISTOBQUEAOUT23!$A$6:$G$39,5,0)</f>
        <v>0</v>
      </c>
      <c r="G20" s="5">
        <f t="shared" si="7"/>
        <v>0</v>
      </c>
      <c r="H20" s="10" t="str">
        <f t="shared" si="1"/>
        <v>BANQUE</v>
      </c>
      <c r="I20" s="10">
        <v>4000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VLOOKUP($A20,[20]TONTAOUT23!$A$6:$P$35,12,0)</f>
        <v>0</v>
      </c>
      <c r="Q20" s="2">
        <f>VLOOKUP($A20,[13]TONTAOUT23!$A$6:$P$20,10,0)</f>
        <v>76000</v>
      </c>
      <c r="R20" s="2">
        <f>VLOOKUP($A20,[19]TONTAOUT23!$A$6:$P$21,10,0)</f>
        <v>291500</v>
      </c>
      <c r="S20" s="20"/>
      <c r="T20" s="12"/>
      <c r="U20" s="17">
        <f t="shared" si="15"/>
        <v>586500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>
        <v>60000</v>
      </c>
      <c r="AJ20" s="12">
        <v>150000</v>
      </c>
      <c r="AK20" s="12">
        <v>100000</v>
      </c>
      <c r="AL20" s="12">
        <v>1000</v>
      </c>
      <c r="AM20" s="12">
        <v>2000</v>
      </c>
      <c r="AN20" s="12">
        <v>1000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19000</v>
      </c>
      <c r="AT20" s="12"/>
      <c r="AV20" s="15"/>
      <c r="AW20" s="15">
        <f t="shared" si="9"/>
        <v>60000</v>
      </c>
      <c r="AX20" s="15">
        <f t="shared" si="10"/>
        <v>150000</v>
      </c>
      <c r="AY20" s="15">
        <f t="shared" si="11"/>
        <v>100000</v>
      </c>
      <c r="AZ20" s="16">
        <f t="shared" si="12"/>
        <v>310000</v>
      </c>
      <c r="BA20" s="58"/>
      <c r="BB20" s="58"/>
      <c r="BC20" s="15"/>
      <c r="BD20" s="57">
        <f t="shared" si="13"/>
        <v>310000</v>
      </c>
      <c r="BE20" s="82">
        <f>60000+150000+100000</f>
        <v>310000</v>
      </c>
      <c r="BF20" s="29">
        <f t="shared" si="6"/>
        <v>0</v>
      </c>
      <c r="BG20" s="29">
        <v>4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VLOOKUP(A21,[18]HISTOBQUEAOUT23!$A$6:$G$44,3,0)</f>
        <v>40000</v>
      </c>
      <c r="E21" s="9">
        <f>VLOOKUP(A21,[18]HISTOBQUEAOUT23!$A$6:$G$39,4,0)</f>
        <v>0</v>
      </c>
      <c r="F21" s="9">
        <f>VLOOKUP(A21,[18]HISTOBQUEAOUT23!$A$6:$G$39,5,0)</f>
        <v>70000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VLOOKUP($A21,[20]TONTAOUT23!$A$6:$P$35,12,0)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>
        <v>2500</v>
      </c>
      <c r="AD21" s="12"/>
      <c r="AE21" s="12"/>
      <c r="AF21" s="12" t="s">
        <v>8</v>
      </c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297500</v>
      </c>
      <c r="AX21" s="15">
        <f t="shared" si="10"/>
        <v>0</v>
      </c>
      <c r="AY21" s="15">
        <f t="shared" si="11"/>
        <v>0</v>
      </c>
      <c r="AZ21" s="16">
        <f t="shared" si="12"/>
        <v>227500</v>
      </c>
      <c r="BA21" s="58"/>
      <c r="BB21" s="58">
        <v>70000</v>
      </c>
      <c r="BC21" s="15"/>
      <c r="BD21" s="57">
        <f t="shared" si="13"/>
        <v>227500</v>
      </c>
      <c r="BE21" s="82">
        <v>227500</v>
      </c>
      <c r="BF21" s="29">
        <f t="shared" si="6"/>
        <v>0</v>
      </c>
      <c r="BG21" s="29">
        <v>4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VLOOKUP(A22,[18]HISTOBQUEAOUT23!$A$6:$G$44,3,0)</f>
        <v>115000</v>
      </c>
      <c r="E22" s="9">
        <f>VLOOKUP(A22,[18]HISTOBQUEAOUT23!$A$6:$G$39,4,0)</f>
        <v>0</v>
      </c>
      <c r="F22" s="9">
        <f>VLOOKUP(A22,[18]HISTOBQUEAOUT23!$A$6:$G$39,5,0)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VLOOKUP($A22,[20]TONTAOUT23!$A$6:$P$35,12,0)</f>
        <v>0</v>
      </c>
      <c r="Q22" s="2">
        <f>VLOOKUP($A22,[13]TONTAOUT23!$A$6:$P$20,10,0)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4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69">
        <f t="shared" si="0"/>
        <v>-576000</v>
      </c>
      <c r="D23" s="9">
        <f>VLOOKUP(A23,[18]HISTOBQUEAOUT23!$A$6:$G$44,3,0)</f>
        <v>270000</v>
      </c>
      <c r="E23" s="9">
        <f>VLOOKUP(A23,[18]HISTOBQUEAOUT23!$A$6:$G$39,4,0)</f>
        <v>0</v>
      </c>
      <c r="F23" s="9">
        <f>VLOOKUP(A23,[18]HISTOBQUEAOUT23!$A$6:$G$39,5,0)</f>
        <v>0</v>
      </c>
      <c r="G23" s="5">
        <f t="shared" si="7"/>
        <v>0</v>
      </c>
      <c r="H23" s="10" t="str">
        <f t="shared" si="1"/>
        <v>BANQUE</v>
      </c>
      <c r="I23" s="10">
        <v>6000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VLOOKUP($A23,[20]TONTAOUT23!$A$6:$P$35,12,0)</f>
        <v>0</v>
      </c>
      <c r="Q23" s="2"/>
      <c r="R23" s="2">
        <f>VLOOKUP($A23,[19]TONTAOUT23!$A$6:$P$21,10,0)</f>
        <v>0</v>
      </c>
      <c r="S23" s="20">
        <v>600000</v>
      </c>
      <c r="T23" s="12" t="s">
        <v>8</v>
      </c>
      <c r="U23" s="17">
        <f t="shared" si="15"/>
        <v>846000</v>
      </c>
      <c r="V23" s="12"/>
      <c r="W23" s="12"/>
      <c r="X23" s="12"/>
      <c r="Y23" s="12"/>
      <c r="Z23" s="12">
        <v>600000</v>
      </c>
      <c r="AA23" s="12" t="s">
        <v>8</v>
      </c>
      <c r="AB23" s="12"/>
      <c r="AC23" s="12"/>
      <c r="AD23" s="12"/>
      <c r="AE23" s="12">
        <v>10000</v>
      </c>
      <c r="AF23" s="12" t="s">
        <v>8</v>
      </c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21000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1190000</v>
      </c>
      <c r="AZ23" s="16">
        <f>SUM(AV23:AY23)-BF23+Z23-F23+BH23+BI23+BJ23+BK23+BL23+BM23-576000</f>
        <v>1190000</v>
      </c>
      <c r="BA23" s="58"/>
      <c r="BB23" s="58"/>
      <c r="BC23" s="15"/>
      <c r="BD23" s="71">
        <f t="shared" si="13"/>
        <v>1190000</v>
      </c>
      <c r="BE23" s="82">
        <f>1190000+100000</f>
        <v>1290000</v>
      </c>
      <c r="BF23" s="29">
        <f t="shared" si="6"/>
        <v>24000</v>
      </c>
      <c r="BG23" s="29">
        <v>4</v>
      </c>
      <c r="BH23" s="15"/>
      <c r="BI23" s="15"/>
      <c r="BJ23" s="15"/>
      <c r="BK23" s="15"/>
      <c r="BL23" s="61"/>
      <c r="BP23" s="6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69">
        <f t="shared" si="0"/>
        <v>-230000</v>
      </c>
      <c r="D24" s="9">
        <f>VLOOKUP(A24,[18]HISTOBQUEAOUT23!$A$6:$G$44,3,0)</f>
        <v>320000</v>
      </c>
      <c r="E24" s="9">
        <f>VLOOKUP(A24,[18]HISTOBQUEAOUT23!$A$6:$G$39,4,0)</f>
        <v>0</v>
      </c>
      <c r="F24" s="9">
        <f>VLOOKUP(A24,[18]HISTOBQUEAOUT23!$A$6:$G$39,5,0)</f>
        <v>0</v>
      </c>
      <c r="G24" s="5">
        <f t="shared" si="7"/>
        <v>0</v>
      </c>
      <c r="H24" s="10" t="str">
        <f t="shared" si="1"/>
        <v>BANQUE</v>
      </c>
      <c r="I24" s="10">
        <v>4000</v>
      </c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VLOOKUP($A24,[20]TONTAOUT23!$A$6:$P$35,12,0)</f>
        <v>61000</v>
      </c>
      <c r="Q24" s="2">
        <f>VLOOKUP($A24,[13]TONTAOUT23!$A$6:$P$20,10,0)</f>
        <v>169000</v>
      </c>
      <c r="R24" s="2">
        <f>VLOOKUP($A24,[19]TONTAOUT23!$A$6:$P$21,10,0)</f>
        <v>101000</v>
      </c>
      <c r="S24" s="20"/>
      <c r="T24" s="12"/>
      <c r="U24" s="17">
        <f t="shared" si="15"/>
        <v>550000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>
        <v>167000</v>
      </c>
      <c r="AK24" s="12"/>
      <c r="AL24" s="12"/>
      <c r="AM24" s="12">
        <v>4000</v>
      </c>
      <c r="AN24" s="12"/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19000</v>
      </c>
      <c r="AT24" s="12"/>
      <c r="AV24" s="15"/>
      <c r="AW24" s="15">
        <f t="shared" si="9"/>
        <v>0</v>
      </c>
      <c r="AX24" s="15">
        <f>IF(AD24=0,AJ24,(1*75000*12)+(AJ24)-AD24)</f>
        <v>167000</v>
      </c>
      <c r="AY24" s="15">
        <f>IF(AE24=0,AK24,(1*100000*12)+(AK24)-AE24)</f>
        <v>0</v>
      </c>
      <c r="AZ24" s="16">
        <f t="shared" si="12"/>
        <v>167000</v>
      </c>
      <c r="BA24" s="58"/>
      <c r="BB24" s="58"/>
      <c r="BC24" s="15"/>
      <c r="BD24" s="71">
        <f>IF(AZ24=0,(AZ24-BA24-BC24),(AZ24-BA24-BB24-BC24))+F24-167000</f>
        <v>0</v>
      </c>
      <c r="BE24" s="82"/>
      <c r="BF24" s="29">
        <f t="shared" si="6"/>
        <v>0</v>
      </c>
      <c r="BG24" s="29">
        <v>4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VLOOKUP(A25,[18]HISTOBQUEAOUT23!$A$6:$G$44,3,0)</f>
        <v>400000</v>
      </c>
      <c r="E25" s="9">
        <f>VLOOKUP(A25,[18]HISTOBQUEAOUT23!$A$6:$G$39,4,0)</f>
        <v>0</v>
      </c>
      <c r="F25" s="9">
        <f>VLOOKUP(A25,[18]HISTOBQUEAOUT23!$A$6:$G$39,5,0)</f>
        <v>0</v>
      </c>
      <c r="G25" s="5">
        <f t="shared" si="7"/>
        <v>0</v>
      </c>
      <c r="H25" s="10" t="str">
        <f t="shared" si="1"/>
        <v>BANQUE</v>
      </c>
      <c r="I25" s="10">
        <v>9000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VLOOKUP($A25,[20]TONTAOUT23!$A$6:$P$35,12,0)</f>
        <v>0</v>
      </c>
      <c r="Q25" s="2">
        <f>VLOOKUP($A25,[13]TONTAOUT23!$A$6:$P$20,10,0)</f>
        <v>0</v>
      </c>
      <c r="R25" s="2">
        <f>VLOOKUP($A25,[19]TONTAOUT23!$A$6:$P$21,10,0)</f>
        <v>101000</v>
      </c>
      <c r="S25" s="20"/>
      <c r="T25" s="12"/>
      <c r="U25" s="17">
        <f t="shared" si="15"/>
        <v>400000</v>
      </c>
      <c r="V25" s="12"/>
      <c r="W25" s="12"/>
      <c r="X25" s="12"/>
      <c r="Y25" s="12"/>
      <c r="Z25" s="12"/>
      <c r="AA25" s="12"/>
      <c r="AB25" s="12"/>
      <c r="AC25" s="12"/>
      <c r="AD25" s="12">
        <v>7500</v>
      </c>
      <c r="AE25" s="12"/>
      <c r="AF25" s="12" t="s">
        <v>8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24000</v>
      </c>
      <c r="AT25" s="12"/>
      <c r="AV25" s="15"/>
      <c r="AW25" s="15">
        <f t="shared" si="9"/>
        <v>0</v>
      </c>
      <c r="AX25" s="15">
        <f t="shared" si="10"/>
        <v>892500</v>
      </c>
      <c r="AY25" s="15">
        <f t="shared" si="11"/>
        <v>0</v>
      </c>
      <c r="AZ25" s="16">
        <f t="shared" si="12"/>
        <v>892500</v>
      </c>
      <c r="BA25" s="58"/>
      <c r="BB25" s="58"/>
      <c r="BC25" s="15"/>
      <c r="BD25" s="57">
        <f t="shared" si="13"/>
        <v>892500</v>
      </c>
      <c r="BE25" s="82">
        <v>892500</v>
      </c>
      <c r="BF25" s="29">
        <f t="shared" si="6"/>
        <v>0</v>
      </c>
      <c r="BG25" s="29">
        <v>4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69">
        <f t="shared" si="0"/>
        <v>-1000000</v>
      </c>
      <c r="D26" s="9">
        <f>VLOOKUP(A26,[18]HISTOBQUEAOUT23!$A$6:$G$44,3,0)-76000</f>
        <v>40000</v>
      </c>
      <c r="E26" s="9">
        <f>VLOOKUP(A26,[18]HISTOBQUEAOUT23!$A$6:$G$39,4,0)</f>
        <v>0</v>
      </c>
      <c r="F26" s="9">
        <f>VLOOKUP(A26,[18]HISTOBQUEAOUT23!$A$6:$G$39,5,0)</f>
        <v>0</v>
      </c>
      <c r="G26" s="5">
        <f t="shared" si="7"/>
        <v>0</v>
      </c>
      <c r="H26" s="10" t="str">
        <f t="shared" si="1"/>
        <v>BANQUE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VLOOKUP($A26,[20]TONTAOUT23!$A$6:$P$35,12,0)</f>
        <v>0</v>
      </c>
      <c r="Q26" s="2"/>
      <c r="R26" s="2"/>
      <c r="S26" s="20">
        <v>1000000</v>
      </c>
      <c r="T26" s="12" t="s">
        <v>8</v>
      </c>
      <c r="U26" s="17">
        <f t="shared" si="15"/>
        <v>1040000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>SUM(AV26:AY26)-BF26+Z26-F26+BH26+BI26+BJ26+BK26+BL26+BM26-960000</f>
        <v>60000</v>
      </c>
      <c r="BA26" s="58">
        <v>48000</v>
      </c>
      <c r="BB26" s="58"/>
      <c r="BC26" s="15"/>
      <c r="BD26" s="57">
        <f t="shared" si="13"/>
        <v>12000</v>
      </c>
      <c r="BE26" s="82">
        <v>12000</v>
      </c>
      <c r="BF26" s="29">
        <f t="shared" si="6"/>
        <v>40000</v>
      </c>
      <c r="BG26" s="29">
        <v>4</v>
      </c>
      <c r="BH26" s="15"/>
      <c r="BI26" s="15"/>
      <c r="BJ26" s="15"/>
      <c r="BK26" s="15"/>
      <c r="BL26" s="61"/>
      <c r="BN26" t="s">
        <v>191</v>
      </c>
      <c r="BO26" t="s">
        <v>143</v>
      </c>
      <c r="BP26" s="62">
        <v>155000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VLOOKUP(A27,[18]HISTOBQUEAOUT23!$A$6:$G$44,3,0)</f>
        <v>50000</v>
      </c>
      <c r="E27" s="9">
        <f>VLOOKUP(A27,[18]HISTOBQUEAOUT23!$A$6:$G$39,4,0)</f>
        <v>0</v>
      </c>
      <c r="F27" s="9">
        <f>VLOOKUP(A27,[18]HISTOBQUEAOUT23!$A$6:$G$39,5,0)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VLOOKUP($A27,[20]TONTAOUT23!$A$6:$P$35,12,0)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4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VLOOKUP(A28,[18]HISTOBQUEAOUT23!$A$6:$G$44,3,0)</f>
        <v>115000</v>
      </c>
      <c r="E28" s="9">
        <f>VLOOKUP(A28,[18]HISTOBQUEAOUT23!$A$6:$G$39,4,0)</f>
        <v>0</v>
      </c>
      <c r="F28" s="9">
        <f>VLOOKUP(A28,[18]HISTOBQUEAOUT23!$A$6:$G$39,5,0)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VLOOKUP($A28,[20]TONTAOUT23!$A$6:$P$35,12,0)</f>
        <v>0</v>
      </c>
      <c r="Q28" s="2">
        <f>VLOOKUP($A28,[13]TONTAOUT23!$A$6:$P$20,10,0)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4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155000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VLOOKUP(A29,[18]HISTOBQUEAOUT23!$A$6:$G$44,3,0)</f>
        <v>40000</v>
      </c>
      <c r="E29" s="9">
        <f>VLOOKUP(A29,[18]HISTOBQUEAOUT23!$A$6:$G$39,4,0)</f>
        <v>0</v>
      </c>
      <c r="F29" s="9">
        <f>VLOOKUP(A29,[18]HISTOBQUEAOUT23!$A$6:$G$39,5,0)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VLOOKUP($A29,[20]TONTAOUT23!$A$6:$P$35,12,0)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4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VLOOKUP(A30,[18]HISTOBQUEAOUT23!$A$6:$G$44,3,0)</f>
        <v>115000</v>
      </c>
      <c r="E30" s="9">
        <f>VLOOKUP(A30,[18]HISTOBQUEAOUT23!$A$6:$G$39,4,0)</f>
        <v>0</v>
      </c>
      <c r="F30" s="9">
        <f>VLOOKUP(A30,[18]HISTOBQUEAOUT23!$A$6:$G$39,5,0)</f>
        <v>70000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VLOOKUP($A30,[20]TONTAOUT23!$A$6:$P$35,12,0)</f>
        <v>0</v>
      </c>
      <c r="Q30" s="2">
        <f>VLOOKUP($A30,[13]TONTAOUT23!$A$6:$P$20,10,0)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>
        <v>3000</v>
      </c>
      <c r="AD30" s="12">
        <v>7500</v>
      </c>
      <c r="AE30" s="12"/>
      <c r="AF30" s="12" t="s">
        <v>8</v>
      </c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297000</v>
      </c>
      <c r="AX30" s="15">
        <f t="shared" si="10"/>
        <v>892500</v>
      </c>
      <c r="AY30" s="15">
        <f t="shared" si="11"/>
        <v>0</v>
      </c>
      <c r="AZ30" s="16">
        <f t="shared" si="12"/>
        <v>1119500</v>
      </c>
      <c r="BA30" s="58"/>
      <c r="BB30" s="58">
        <v>70000</v>
      </c>
      <c r="BC30" s="15"/>
      <c r="BD30" s="57">
        <f t="shared" si="13"/>
        <v>1119500</v>
      </c>
      <c r="BE30" s="82">
        <f>227000+892500</f>
        <v>1119500</v>
      </c>
      <c r="BF30" s="29">
        <f t="shared" si="6"/>
        <v>0</v>
      </c>
      <c r="BG30" s="29">
        <v>4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>
        <v>560000</v>
      </c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VLOOKUP(A31,[18]HISTOBQUEAOUT23!$A$6:$G$44,3,0)</f>
        <v>140000</v>
      </c>
      <c r="E31" s="9">
        <f>VLOOKUP(A31,[18]HISTOBQUEAOUT23!$A$6:$G$39,4,0)</f>
        <v>0</v>
      </c>
      <c r="F31" s="9">
        <f>VLOOKUP(A31,[18]HISTOBQUEAOUT23!$A$6:$G$39,5,0)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VLOOKUP($A31,[20]TONTAOUT23!$A$6:$P$35,12,0)</f>
        <v>0</v>
      </c>
      <c r="Q31" s="2"/>
      <c r="R31" s="2">
        <f>VLOOKUP($A31,[19]TONTAOUT23!$A$6:$P$21,10,0)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4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s="72" customFormat="1" ht="18.75" x14ac:dyDescent="0.3">
      <c r="A32" s="73" t="s">
        <v>38</v>
      </c>
      <c r="B32" s="73" t="str">
        <f>VLOOKUP(A32,[17]LISTADHERENT!A$5:H$39,3,0)</f>
        <v>TCHOUAMOU MATHIEU</v>
      </c>
      <c r="C32" s="14">
        <f t="shared" si="0"/>
        <v>0</v>
      </c>
      <c r="D32" s="14">
        <f>VLOOKUP(A32,[18]HISTOBQUEAOUT23!$A$6:$G$44,3,0)+76000</f>
        <v>441000</v>
      </c>
      <c r="E32" s="14">
        <f>VLOOKUP(A32,[18]HISTOBQUEAOUT23!$A$6:$G$39,4,0)</f>
        <v>0</v>
      </c>
      <c r="F32" s="14">
        <f>VLOOKUP(A32,[18]HISTOBQUEAOUT23!$A$6:$G$39,5,0)</f>
        <v>0</v>
      </c>
      <c r="G32" s="14">
        <f t="shared" si="7"/>
        <v>0</v>
      </c>
      <c r="H32" s="74" t="str">
        <f t="shared" si="1"/>
        <v>BANQUE</v>
      </c>
      <c r="I32" s="74"/>
      <c r="J32" s="75">
        <v>1</v>
      </c>
      <c r="K32" s="75">
        <f t="shared" si="14"/>
        <v>40000</v>
      </c>
      <c r="L32" s="70">
        <v>1</v>
      </c>
      <c r="M32" s="75">
        <f t="shared" si="2"/>
        <v>75000</v>
      </c>
      <c r="N32" s="70"/>
      <c r="O32" s="75">
        <f t="shared" si="3"/>
        <v>0</v>
      </c>
      <c r="P32" s="76">
        <f>VLOOKUP($A32,[20]TONTAOUT23!$A$6:$P$35,12,0)</f>
        <v>0</v>
      </c>
      <c r="Q32" s="76">
        <f>VLOOKUP($A32,[13]TONTAOUT23!$A$6:$P$20,10,0)</f>
        <v>76000</v>
      </c>
      <c r="R32" s="76"/>
      <c r="S32" s="77">
        <v>250000</v>
      </c>
      <c r="T32" s="78" t="s">
        <v>8</v>
      </c>
      <c r="U32" s="79">
        <f t="shared" si="15"/>
        <v>441000</v>
      </c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>
        <v>75000</v>
      </c>
      <c r="AK32" s="78"/>
      <c r="AL32" s="78"/>
      <c r="AM32" s="78">
        <v>1000</v>
      </c>
      <c r="AN32" s="78"/>
      <c r="AO32" s="78"/>
      <c r="AP32" s="78" t="s">
        <v>8</v>
      </c>
      <c r="AQ32" s="8">
        <f t="shared" si="4"/>
        <v>0</v>
      </c>
      <c r="AR32" s="8">
        <f t="shared" si="5"/>
        <v>0</v>
      </c>
      <c r="AS32" s="75">
        <f t="shared" si="8"/>
        <v>15000</v>
      </c>
      <c r="AT32" s="78"/>
      <c r="AV32" s="80"/>
      <c r="AW32" s="80">
        <f t="shared" si="9"/>
        <v>0</v>
      </c>
      <c r="AX32" s="80">
        <f t="shared" si="10"/>
        <v>75000</v>
      </c>
      <c r="AY32" s="80">
        <f t="shared" si="11"/>
        <v>0</v>
      </c>
      <c r="AZ32" s="71">
        <f t="shared" si="12"/>
        <v>175000</v>
      </c>
      <c r="BA32" s="58"/>
      <c r="BB32" s="58"/>
      <c r="BC32" s="80"/>
      <c r="BD32" s="71">
        <f t="shared" si="13"/>
        <v>175000</v>
      </c>
      <c r="BE32" s="83">
        <v>75000</v>
      </c>
      <c r="BF32" s="81">
        <f t="shared" si="6"/>
        <v>0</v>
      </c>
      <c r="BG32" s="29">
        <v>4</v>
      </c>
      <c r="BH32" s="80"/>
      <c r="BI32" s="80"/>
      <c r="BJ32" s="80"/>
      <c r="BK32" s="80">
        <v>100000</v>
      </c>
      <c r="BL32" s="76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VLOOKUP(A33,[18]HISTOBQUEAOUT23!$A$6:$G$44,3,0)+40000</f>
        <v>40000</v>
      </c>
      <c r="E33" s="9">
        <f>VLOOKUP(A33,[18]HISTOBQUEAOUT23!$A$6:$G$39,4,0)</f>
        <v>0</v>
      </c>
      <c r="F33" s="9">
        <f>VLOOKUP(A33,[18]HISTOBQUEAOUT23!$A$6:$G$39,5,0)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VLOOKUP($A33,[20]TONTAOUT23!$A$6:$P$35,12,0)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4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560000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VLOOKUP(A34,[18]HISTOBQUEAOUT23!$A$6:$G$44,3,0)</f>
        <v>100000</v>
      </c>
      <c r="E34" s="9">
        <f>VLOOKUP(A34,[18]HISTOBQUEAOUT23!$A$6:$G$39,4,0)</f>
        <v>0</v>
      </c>
      <c r="F34" s="9">
        <f>VLOOKUP(A34,[18]HISTOBQUEAOUT23!$A$6:$G$39,5,0)</f>
        <v>0</v>
      </c>
      <c r="G34" s="5">
        <f t="shared" si="7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VLOOKUP($A34,[20]TONTAOUT23!$A$6:$P$35,12,0)</f>
        <v>0</v>
      </c>
      <c r="Q34" s="2"/>
      <c r="R34" s="2"/>
      <c r="S34" s="20"/>
      <c r="T34" s="12"/>
      <c r="U34" s="17">
        <f t="shared" si="15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4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VLOOKUP(A35,[18]HISTOBQUEAOUT23!$A$6:$G$44,3,0)</f>
        <v>40000</v>
      </c>
      <c r="E35" s="9">
        <f>VLOOKUP(A35,[18]HISTOBQUEAOUT23!$A$6:$G$39,4,0)</f>
        <v>0</v>
      </c>
      <c r="F35" s="9">
        <f>VLOOKUP(A35,[18]HISTOBQUEAOUT23!$A$6:$G$39,5,0)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VLOOKUP($A35,[20]TONTAOUT23!$A$6:$P$35,12,0)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4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VLOOKUP(A36,[18]HISTOBQUEAOUT23!$A$6:$G$44,3,0)</f>
        <v>290000</v>
      </c>
      <c r="E36" s="9">
        <f>VLOOKUP(A36,[18]HISTOBQUEAOUT23!$A$6:$G$39,4,0)</f>
        <v>0</v>
      </c>
      <c r="F36" s="9">
        <f>VLOOKUP(A36,[18]HISTOBQUEAOUT23!$A$6:$G$39,5,0)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VLOOKUP($A36,[20]TONTAOUT23!$A$6:$P$35,12,0)</f>
        <v>0</v>
      </c>
      <c r="Q36" s="2">
        <f>VLOOKUP($A36,[13]TONTAOUT23!$A$6:$P$20,10,0)</f>
        <v>0</v>
      </c>
      <c r="R36" s="2">
        <f>VLOOKUP($A36,[19]TONTAOUT23!$A$6:$P$21,10,0)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4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-1806000</v>
      </c>
      <c r="D38" s="5">
        <f t="shared" si="16"/>
        <v>5288500</v>
      </c>
      <c r="E38" s="5">
        <f t="shared" si="16"/>
        <v>245000</v>
      </c>
      <c r="F38" s="5">
        <f t="shared" si="16"/>
        <v>140000</v>
      </c>
      <c r="G38" s="5">
        <f t="shared" si="16"/>
        <v>3000</v>
      </c>
      <c r="H38" s="5">
        <f t="shared" si="16"/>
        <v>0</v>
      </c>
      <c r="I38" s="5">
        <f t="shared" si="16"/>
        <v>133000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61000</v>
      </c>
      <c r="Q38" s="5">
        <f t="shared" si="16"/>
        <v>321000</v>
      </c>
      <c r="R38" s="5">
        <f t="shared" si="16"/>
        <v>796500</v>
      </c>
      <c r="S38" s="5">
        <f t="shared" si="16"/>
        <v>2150000</v>
      </c>
      <c r="T38" s="5"/>
      <c r="U38" s="5">
        <f t="shared" ref="U38:AA38" si="17">SUM(U6:U37)</f>
        <v>7339500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1600000</v>
      </c>
      <c r="AA38" s="5">
        <f t="shared" si="17"/>
        <v>0</v>
      </c>
      <c r="AB38" s="5"/>
      <c r="AC38" s="5">
        <f>SUM(AC6:AC37)</f>
        <v>5500</v>
      </c>
      <c r="AD38" s="5">
        <f>SUM(AD6:AD37)</f>
        <v>15000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181500</v>
      </c>
      <c r="AJ38" s="5">
        <f t="shared" si="18"/>
        <v>559000</v>
      </c>
      <c r="AK38" s="5">
        <f t="shared" si="18"/>
        <v>400000</v>
      </c>
      <c r="AL38" s="5">
        <f t="shared" si="18"/>
        <v>3000</v>
      </c>
      <c r="AM38" s="5">
        <f t="shared" si="18"/>
        <v>9000</v>
      </c>
      <c r="AN38" s="5">
        <f t="shared" si="18"/>
        <v>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583000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776000</v>
      </c>
      <c r="AX38" s="5">
        <f t="shared" si="18"/>
        <v>2344000</v>
      </c>
      <c r="AY38" s="5">
        <f t="shared" si="18"/>
        <v>2780000</v>
      </c>
      <c r="AZ38" s="5">
        <f t="shared" si="18"/>
        <v>6620000</v>
      </c>
      <c r="BA38" s="5">
        <f t="shared" si="18"/>
        <v>348000</v>
      </c>
      <c r="BB38" s="5">
        <f t="shared" si="18"/>
        <v>140000</v>
      </c>
      <c r="BC38" s="5">
        <f t="shared" si="18"/>
        <v>0</v>
      </c>
      <c r="BD38" s="5">
        <f t="shared" si="18"/>
        <v>6105000</v>
      </c>
      <c r="BE38" s="5">
        <f t="shared" si="18"/>
        <v>5451000</v>
      </c>
      <c r="BF38" s="5">
        <f>SUM(BF6:BF37)</f>
        <v>64000</v>
      </c>
      <c r="BH38" s="5">
        <f t="shared" ref="BH38:BL38" si="19">SUM(BH6:BH37)</f>
        <v>45000</v>
      </c>
      <c r="BI38" s="5">
        <f t="shared" si="19"/>
        <v>155000</v>
      </c>
      <c r="BJ38" s="5">
        <f t="shared" si="19"/>
        <v>560000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 t="s">
        <v>180</v>
      </c>
      <c r="BA40" s="14">
        <v>248000</v>
      </c>
      <c r="BD40" s="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860000</v>
      </c>
    </row>
    <row r="42" spans="1:68" ht="18.75" x14ac:dyDescent="0.3">
      <c r="B42" s="1" t="s">
        <v>78</v>
      </c>
      <c r="AW42" s="15"/>
      <c r="AX42" s="15"/>
      <c r="AY42" s="15"/>
      <c r="AZ42" s="16"/>
      <c r="BA42" s="70">
        <f>BA40-BA38</f>
        <v>-100000</v>
      </c>
    </row>
    <row r="43" spans="1:68" ht="18.75" x14ac:dyDescent="0.3">
      <c r="B43" s="1" t="s">
        <v>79</v>
      </c>
      <c r="C43" s="14">
        <f>AZ38</f>
        <v>6620000</v>
      </c>
      <c r="D43" s="9">
        <f>SUMIFS(D8:D38,H8:H38,"BANQUE")</f>
        <v>5073500</v>
      </c>
      <c r="F43" s="9">
        <f>E38</f>
        <v>245000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12480000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T21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6.28515625" customWidth="1"/>
    <col min="58" max="58" width="15" bestFit="1" customWidth="1"/>
    <col min="63" max="63" width="14.42578125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VLOOKUP(A6,[18]HISTOBQUEAOUT23!$A$6:$G$44,3,0)</f>
        <v>175000</v>
      </c>
      <c r="E6" s="9">
        <f>VLOOKUP(A6,[18]HISTOBQUEAOUT23!$A$6:$G$39,4,0)</f>
        <v>0</v>
      </c>
      <c r="F6" s="9">
        <f>VLOOKUP(A6,[18]HISTOBQUEAOUT23!$A$6:$G$39,5,0)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VLOOKUP($A6,[13]TONTAOUT23!$A$6:$P$20,10,0)</f>
        <v>0</v>
      </c>
      <c r="R6" s="2">
        <f>VLOOKUP($A6,[19]TONTAOUT23!$A$6:$P$21,10,0)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760000</v>
      </c>
      <c r="BA6" s="58"/>
      <c r="BB6" s="58"/>
      <c r="BC6" s="15"/>
      <c r="BD6" s="57">
        <f>IF(AZ6=0,(AZ6-BA6-BC6),(AZ6-BA6-BB6-BC6))+F6</f>
        <v>760000</v>
      </c>
      <c r="BE6" s="82">
        <v>106000</v>
      </c>
      <c r="BF6" s="29">
        <f t="shared" ref="BF6:BF36" si="6">Z6*1/100*BG6</f>
        <v>0</v>
      </c>
      <c r="BG6" s="29">
        <v>4</v>
      </c>
      <c r="BH6" s="15">
        <f>BP16</f>
        <v>45000</v>
      </c>
      <c r="BI6" s="15">
        <f>BP28</f>
        <v>155000</v>
      </c>
      <c r="BJ6" s="15">
        <f>BP33</f>
        <v>560000</v>
      </c>
      <c r="BK6" s="15"/>
      <c r="BL6" s="15"/>
      <c r="BM6" s="15">
        <f>BP22</f>
        <v>0</v>
      </c>
      <c r="BN6" t="s">
        <v>189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VLOOKUP(A7,[18]HISTOBQUEAOUT23!$A$6:$G$44,3,0)</f>
        <v>40000</v>
      </c>
      <c r="E7" s="9">
        <f>VLOOKUP(A7,[18]HISTOBQUEAOUT23!$A$6:$G$39,4,0)</f>
        <v>0</v>
      </c>
      <c r="F7" s="9">
        <f>VLOOKUP(A7,[18]HISTOBQUEAOUT23!$A$6:$G$39,5,0)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VLOOKUP($A7,[20]TONTAOUT23!$A$6:$P$35,12,0)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4</v>
      </c>
      <c r="BH7" s="15"/>
      <c r="BI7" s="15"/>
      <c r="BJ7" s="15"/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VLOOKUP(A8,[18]HISTOBQUEAOUT23!$A$6:$G$44,3,0)</f>
        <v>115000</v>
      </c>
      <c r="E8" s="9">
        <f>VLOOKUP(A8,[18]HISTOBQUEAOUT23!$A$6:$G$39,4,0)</f>
        <v>0</v>
      </c>
      <c r="F8" s="9">
        <f>VLOOKUP(A8,[18]HISTOBQUEAOUT23!$A$6:$G$39,5,0)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VLOOKUP($A8,[20]TONTAOUT23!$A$6:$P$35,12,0)</f>
        <v>0</v>
      </c>
      <c r="Q8" s="2">
        <f>VLOOKUP($A8,[13]TONTAOUT23!$A$6:$P$20,10,0)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4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33000</v>
      </c>
    </row>
    <row r="9" spans="1:68" s="72" customFormat="1" ht="18.75" x14ac:dyDescent="0.3">
      <c r="A9" s="73" t="s">
        <v>13</v>
      </c>
      <c r="B9" s="73" t="str">
        <f>VLOOKUP(A9,[17]LISTADHERENT!A$5:H$39,3,0)</f>
        <v xml:space="preserve">DJOMO JEAN PAUL </v>
      </c>
      <c r="C9" s="14">
        <f t="shared" si="0"/>
        <v>0</v>
      </c>
      <c r="D9" s="14">
        <f>VLOOKUP(A9,[18]HISTOBQUEAOUT23!$A$6:$G$44,3,0)</f>
        <v>140000</v>
      </c>
      <c r="E9" s="14">
        <f>VLOOKUP(A9,[18]HISTOBQUEAOUT23!$A$6:$G$39,4,0)</f>
        <v>202000</v>
      </c>
      <c r="F9" s="14">
        <f>VLOOKUP(A9,[18]HISTOBQUEAOUT23!$A$6:$G$39,5,0)</f>
        <v>0</v>
      </c>
      <c r="G9" s="14">
        <f>IF(H9="ESPECES",3000,0)</f>
        <v>0</v>
      </c>
      <c r="H9" s="74" t="str">
        <f t="shared" si="1"/>
        <v>BANQUE</v>
      </c>
      <c r="I9" s="74"/>
      <c r="J9" s="75">
        <v>1</v>
      </c>
      <c r="K9" s="75">
        <f t="shared" si="14"/>
        <v>40000</v>
      </c>
      <c r="L9" s="70"/>
      <c r="M9" s="75">
        <f t="shared" si="2"/>
        <v>0</v>
      </c>
      <c r="N9" s="70">
        <v>1</v>
      </c>
      <c r="O9" s="75">
        <f t="shared" si="3"/>
        <v>100000</v>
      </c>
      <c r="P9" s="76">
        <f>VLOOKUP($A9,[20]TONTAOUT23!$A$6:$P$35,12,0)</f>
        <v>0</v>
      </c>
      <c r="Q9" s="76"/>
      <c r="R9" s="76">
        <f>VLOOKUP($A9,[19]TONTAOUT23!$A$6:$P$21,10,0)</f>
        <v>202000</v>
      </c>
      <c r="S9" s="77"/>
      <c r="T9" s="78"/>
      <c r="U9" s="79">
        <f t="shared" si="15"/>
        <v>342000</v>
      </c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>
        <v>300000</v>
      </c>
      <c r="AL9" s="78"/>
      <c r="AM9" s="78"/>
      <c r="AN9" s="78">
        <v>3000</v>
      </c>
      <c r="AO9" s="78"/>
      <c r="AP9" s="78" t="s">
        <v>8</v>
      </c>
      <c r="AQ9" s="8">
        <f t="shared" si="4"/>
        <v>0</v>
      </c>
      <c r="AR9" s="8">
        <f t="shared" si="5"/>
        <v>0</v>
      </c>
      <c r="AS9" s="75">
        <f t="shared" si="8"/>
        <v>15000</v>
      </c>
      <c r="AT9" s="78"/>
      <c r="AV9" s="80"/>
      <c r="AW9" s="80">
        <f t="shared" si="9"/>
        <v>0</v>
      </c>
      <c r="AX9" s="80">
        <f t="shared" si="10"/>
        <v>0</v>
      </c>
      <c r="AY9" s="80">
        <f t="shared" si="11"/>
        <v>300000</v>
      </c>
      <c r="AZ9" s="71">
        <f t="shared" si="12"/>
        <v>300000</v>
      </c>
      <c r="BA9" s="58">
        <v>300000</v>
      </c>
      <c r="BB9" s="58"/>
      <c r="BC9" s="80"/>
      <c r="BD9" s="71">
        <f t="shared" si="13"/>
        <v>0</v>
      </c>
      <c r="BE9" s="83"/>
      <c r="BF9" s="81">
        <f t="shared" si="6"/>
        <v>0</v>
      </c>
      <c r="BG9" s="29">
        <v>4</v>
      </c>
      <c r="BH9" s="80"/>
      <c r="BI9" s="80"/>
      <c r="BJ9" s="80"/>
      <c r="BK9" s="80"/>
      <c r="BL9" s="76"/>
      <c r="BN9" s="72" t="s">
        <v>188</v>
      </c>
      <c r="BO9" s="72" t="s">
        <v>114</v>
      </c>
      <c r="BP9" s="70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VLOOKUP(A10,[18]HISTOBQUEAOUT23!$A$6:$G$44,3,0)</f>
        <v>0</v>
      </c>
      <c r="E10" s="9">
        <f>VLOOKUP(A10,[18]HISTOBQUEAOUT23!$A$6:$G$39,4,0)</f>
        <v>43000</v>
      </c>
      <c r="F10" s="9">
        <f>VLOOKUP(A10,[18]HISTOBQUEAOUT23!$A$6:$G$39,5,0)</f>
        <v>0</v>
      </c>
      <c r="G10" s="5">
        <f t="shared" si="7"/>
        <v>3000</v>
      </c>
      <c r="H10" s="10" t="str">
        <f t="shared" si="1"/>
        <v>ESPECES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VLOOKUP($A10,[20]TONTAOUT23!$A$6:$P$35,12,0)</f>
        <v>0</v>
      </c>
      <c r="Q10" s="2"/>
      <c r="R10" s="2"/>
      <c r="S10" s="20"/>
      <c r="T10" s="12"/>
      <c r="U10" s="17">
        <f t="shared" si="15"/>
        <v>43000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4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VLOOKUP(A11,[18]HISTOBQUEAOUT23!$A$6:$G$44,3,0)</f>
        <v>115000</v>
      </c>
      <c r="E11" s="9">
        <f>VLOOKUP(A11,[18]HISTOBQUEAOUT23!$A$6:$G$39,4,0)</f>
        <v>0</v>
      </c>
      <c r="F11" s="9">
        <f>VLOOKUP(A11,[18]HISTOBQUEAOUT23!$A$6:$G$39,5,0)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VLOOKUP($A11,[20]TONTAOUT23!$A$6:$P$35,12,0)</f>
        <v>0</v>
      </c>
      <c r="Q11" s="2">
        <f>VLOOKUP($A11,[13]TONTAOUT23!$A$6:$P$20,10,0)</f>
        <v>0</v>
      </c>
      <c r="R11" s="2"/>
      <c r="S11" s="20"/>
      <c r="T11" s="12"/>
      <c r="U11" s="17">
        <f t="shared" si="15"/>
        <v>115000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61500</v>
      </c>
      <c r="AJ11" s="12">
        <f>75000+92000</f>
        <v>167000</v>
      </c>
      <c r="AK11" s="12"/>
      <c r="AL11" s="12">
        <v>1000</v>
      </c>
      <c r="AM11" s="12">
        <v>2000</v>
      </c>
      <c r="AN11" s="12">
        <v>1000</v>
      </c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61500</v>
      </c>
      <c r="AX11" s="15">
        <f t="shared" si="10"/>
        <v>167000</v>
      </c>
      <c r="AY11" s="15">
        <f t="shared" si="11"/>
        <v>0</v>
      </c>
      <c r="AZ11" s="16">
        <f t="shared" si="12"/>
        <v>228500</v>
      </c>
      <c r="BA11" s="58"/>
      <c r="BB11" s="58"/>
      <c r="BC11" s="15"/>
      <c r="BD11" s="57">
        <f t="shared" si="13"/>
        <v>228500</v>
      </c>
      <c r="BE11" s="82">
        <f>61500+167000</f>
        <v>228500</v>
      </c>
      <c r="BF11" s="29">
        <f t="shared" si="6"/>
        <v>0</v>
      </c>
      <c r="BG11" s="29">
        <v>4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VLOOKUP(A12,[18]HISTOBQUEAOUT23!$A$6:$G$44,3,0)</f>
        <v>320000</v>
      </c>
      <c r="E12" s="9">
        <f>VLOOKUP(A12,[18]HISTOBQUEAOUT23!$A$6:$G$39,4,0)</f>
        <v>0</v>
      </c>
      <c r="F12" s="9">
        <f>VLOOKUP(A12,[18]HISTOBQUEAOUT23!$A$6:$G$39,5,0)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VLOOKUP($A12,[20]TONTAOUT23!$A$6:$P$35,12,0)</f>
        <v>0</v>
      </c>
      <c r="Q12" s="2">
        <f>VLOOKUP($A12,[13]TONTAOUT23!$A$6:$P$20,10,0)</f>
        <v>0</v>
      </c>
      <c r="R12" s="2">
        <f>VLOOKUP($A12,[19]TONTAOUT23!$A$6:$P$21,10,0)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>
        <v>10000</v>
      </c>
      <c r="AF12" s="12" t="s">
        <v>8</v>
      </c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1190000</v>
      </c>
      <c r="AZ12" s="16">
        <f t="shared" si="12"/>
        <v>1190000</v>
      </c>
      <c r="BA12" s="58"/>
      <c r="BB12" s="58"/>
      <c r="BC12" s="15"/>
      <c r="BD12" s="57">
        <f t="shared" si="13"/>
        <v>1190000</v>
      </c>
      <c r="BE12" s="82">
        <v>1190000</v>
      </c>
      <c r="BF12" s="29">
        <f t="shared" si="6"/>
        <v>0</v>
      </c>
      <c r="BG12" s="29">
        <v>4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VLOOKUP(A13,[18]HISTOBQUEAOUT23!$A$6:$G$44,3,0)</f>
        <v>40000</v>
      </c>
      <c r="E13" s="9">
        <f>VLOOKUP(A13,[18]HISTOBQUEAOUT23!$A$6:$G$39,4,0)</f>
        <v>0</v>
      </c>
      <c r="F13" s="9">
        <f>VLOOKUP(A13,[18]HISTOBQUEAOUT23!$A$6:$G$39,5,0)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VLOOKUP($A13,[20]TONTAOUT23!$A$6:$P$35,12,0)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4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12000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VLOOKUP(A14,[18]HISTOBQUEAOUT23!$A$6:$G$44,3,0)</f>
        <v>40000</v>
      </c>
      <c r="E14" s="9">
        <f>VLOOKUP(A14,[18]HISTOBQUEAOUT23!$A$6:$G$39,4,0)</f>
        <v>0</v>
      </c>
      <c r="F14" s="9">
        <f>VLOOKUP(A14,[18]HISTOBQUEAOUT23!$A$6:$G$39,5,0)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VLOOKUP($A14,[20]TONTAOUT23!$A$6:$P$35,12,0)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4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VLOOKUP(A15,[18]HISTOBQUEAOUT23!$A$6:$G$44,3,0)</f>
        <v>115000</v>
      </c>
      <c r="E15" s="9">
        <f>VLOOKUP(A15,[18]HISTOBQUEAOUT23!$A$6:$G$39,4,0)</f>
        <v>0</v>
      </c>
      <c r="F15" s="9">
        <f>VLOOKUP(A15,[18]HISTOBQUEAOUT23!$A$6:$G$39,5,0)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VLOOKUP($A15,[20]TONTAOUT23!$A$6:$P$35,12,0)</f>
        <v>0</v>
      </c>
      <c r="Q15" s="2">
        <f>VLOOKUP($A15,[13]TONTAOUT23!$A$6:$P$20,10,0)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4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VLOOKUP(A16,[18]HISTOBQUEAOUT23!$A$6:$G$44,3,0)</f>
        <v>250000</v>
      </c>
      <c r="E16" s="9">
        <f>VLOOKUP(A16,[18]HISTOBQUEAOUT23!$A$6:$G$39,4,0)</f>
        <v>0</v>
      </c>
      <c r="F16" s="9">
        <f>VLOOKUP(A16,[18]HISTOBQUEAOUT23!$A$6:$G$39,5,0)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VLOOKUP($A16,[20]TONTAOUT23!$A$6:$P$35,12,0)</f>
        <v>0</v>
      </c>
      <c r="Q16" s="2">
        <f>VLOOKUP($A16,[13]TONTAOUT23!$A$6:$P$20,10,0)</f>
        <v>0</v>
      </c>
      <c r="R16" s="2">
        <f>VLOOKUP($A16,[19]TONTAOUT23!$A$6:$P$21,10,0)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57">
        <f t="shared" si="13"/>
        <v>0</v>
      </c>
      <c r="BE16" s="82"/>
      <c r="BF16" s="29">
        <f t="shared" si="6"/>
        <v>0</v>
      </c>
      <c r="BG16" s="29">
        <v>4</v>
      </c>
      <c r="BH16" s="15"/>
      <c r="BI16" s="15"/>
      <c r="BJ16" s="15"/>
      <c r="BK16" s="15"/>
      <c r="BL16" s="61"/>
      <c r="BN16" s="62" t="s">
        <v>142</v>
      </c>
      <c r="BP16" s="62">
        <f>SUM(BP6:BP15)</f>
        <v>45000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VLOOKUP(A17,[18]HISTOBQUEAOUT23!$A$6:$G$44,3,0)</f>
        <v>241000</v>
      </c>
      <c r="E17" s="9">
        <f>VLOOKUP(A17,[18]HISTOBQUEAOUT23!$A$6:$G$39,4,0)</f>
        <v>0</v>
      </c>
      <c r="F17" s="9">
        <f>VLOOKUP(A17,[18]HISTOBQUEAOUT23!$A$6:$G$39,5,0)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VLOOKUP($A17,[20]TONTAOUT23!$A$6:$P$35,12,0)</f>
        <v>0</v>
      </c>
      <c r="Q17" s="2"/>
      <c r="R17" s="2">
        <f>VLOOKUP($A17,[19]TONTAOUT23!$A$6:$P$21,10,0)</f>
        <v>101000</v>
      </c>
      <c r="S17" s="20"/>
      <c r="T17" s="12"/>
      <c r="U17" s="17">
        <f t="shared" si="15"/>
        <v>241000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4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VLOOKUP(A18,[18]HISTOBQUEAOUT23!$A$6:$G$44,3,0)</f>
        <v>215000</v>
      </c>
      <c r="E18" s="9">
        <f>VLOOKUP(A18,[18]HISTOBQUEAOUT23!$A$6:$G$39,4,0)</f>
        <v>0</v>
      </c>
      <c r="F18" s="9">
        <f>VLOOKUP(A18,[18]HISTOBQUEAOUT23!$A$6:$G$39,5,0)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VLOOKUP($A18,[20]TONTAOUT23!$A$6:$P$35,12,0)</f>
        <v>0</v>
      </c>
      <c r="Q18" s="2">
        <f>VLOOKUP($A18,[13]TONTAOUT23!$A$6:$P$20,10,0)</f>
        <v>0</v>
      </c>
      <c r="R18" s="2">
        <f>VLOOKUP($A18,[19]TONTAOUT23!$A$6:$P$21,10,0)</f>
        <v>0</v>
      </c>
      <c r="S18" s="20"/>
      <c r="T18" s="12"/>
      <c r="U18" s="17">
        <f t="shared" si="15"/>
        <v>215000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3"/>
        <v>0</v>
      </c>
      <c r="BE18" s="82"/>
      <c r="BF18" s="29">
        <f t="shared" si="6"/>
        <v>0</v>
      </c>
      <c r="BG18" s="29">
        <v>4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VLOOKUP(A19,[18]HISTOBQUEAOUT23!$A$6:$G$44,3,0)</f>
        <v>340000</v>
      </c>
      <c r="E19" s="9">
        <f>VLOOKUP(A19,[18]HISTOBQUEAOUT23!$A$6:$G$39,4,0)</f>
        <v>0</v>
      </c>
      <c r="F19" s="9">
        <f>VLOOKUP(A19,[18]HISTOBQUEAOUT23!$A$6:$G$39,5,0)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VLOOKUP($A19,[20]TONTAOUT23!$A$6:$P$35,12,0)</f>
        <v>0</v>
      </c>
      <c r="Q19" s="2"/>
      <c r="R19" s="2"/>
      <c r="S19" s="20">
        <v>300000</v>
      </c>
      <c r="T19" s="12" t="s">
        <v>8</v>
      </c>
      <c r="U19" s="17">
        <f t="shared" si="15"/>
        <v>340000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4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VLOOKUP(A20,[18]HISTOBQUEAOUT23!$A$6:$G$44,3,0)</f>
        <v>586500</v>
      </c>
      <c r="E20" s="9">
        <f>VLOOKUP(A20,[18]HISTOBQUEAOUT23!$A$6:$G$39,4,0)</f>
        <v>0</v>
      </c>
      <c r="F20" s="9">
        <f>VLOOKUP(A20,[18]HISTOBQUEAOUT23!$A$6:$G$39,5,0)</f>
        <v>0</v>
      </c>
      <c r="G20" s="5">
        <f t="shared" si="7"/>
        <v>0</v>
      </c>
      <c r="H20" s="10" t="str">
        <f t="shared" si="1"/>
        <v>BANQUE</v>
      </c>
      <c r="I20" s="10">
        <v>4000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VLOOKUP($A20,[20]TONTAOUT23!$A$6:$P$35,12,0)</f>
        <v>0</v>
      </c>
      <c r="Q20" s="2">
        <f>VLOOKUP($A20,[13]TONTAOUT23!$A$6:$P$20,10,0)</f>
        <v>76000</v>
      </c>
      <c r="R20" s="2">
        <f>VLOOKUP($A20,[19]TONTAOUT23!$A$6:$P$21,10,0)</f>
        <v>291500</v>
      </c>
      <c r="S20" s="20"/>
      <c r="T20" s="12"/>
      <c r="U20" s="17">
        <f t="shared" si="15"/>
        <v>586500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>
        <v>60000</v>
      </c>
      <c r="AJ20" s="12">
        <v>150000</v>
      </c>
      <c r="AK20" s="12">
        <v>100000</v>
      </c>
      <c r="AL20" s="12">
        <v>1000</v>
      </c>
      <c r="AM20" s="12">
        <v>2000</v>
      </c>
      <c r="AN20" s="12">
        <v>1000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19000</v>
      </c>
      <c r="AT20" s="12"/>
      <c r="AV20" s="15"/>
      <c r="AW20" s="15">
        <f t="shared" si="9"/>
        <v>60000</v>
      </c>
      <c r="AX20" s="15">
        <f t="shared" si="10"/>
        <v>150000</v>
      </c>
      <c r="AY20" s="15">
        <f t="shared" si="11"/>
        <v>100000</v>
      </c>
      <c r="AZ20" s="16">
        <f t="shared" si="12"/>
        <v>310000</v>
      </c>
      <c r="BA20" s="58"/>
      <c r="BB20" s="58"/>
      <c r="BC20" s="15"/>
      <c r="BD20" s="57">
        <f t="shared" si="13"/>
        <v>310000</v>
      </c>
      <c r="BE20" s="82">
        <f>60000+150000+100000</f>
        <v>310000</v>
      </c>
      <c r="BF20" s="29">
        <f t="shared" si="6"/>
        <v>0</v>
      </c>
      <c r="BG20" s="29">
        <v>4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VLOOKUP(A21,[18]HISTOBQUEAOUT23!$A$6:$G$44,3,0)</f>
        <v>40000</v>
      </c>
      <c r="E21" s="9">
        <f>VLOOKUP(A21,[18]HISTOBQUEAOUT23!$A$6:$G$39,4,0)</f>
        <v>0</v>
      </c>
      <c r="F21" s="9">
        <f>VLOOKUP(A21,[18]HISTOBQUEAOUT23!$A$6:$G$39,5,0)</f>
        <v>70000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VLOOKUP($A21,[20]TONTAOUT23!$A$6:$P$35,12,0)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>
        <v>2500</v>
      </c>
      <c r="AD21" s="12"/>
      <c r="AE21" s="12"/>
      <c r="AF21" s="12" t="s">
        <v>8</v>
      </c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297500</v>
      </c>
      <c r="AX21" s="15">
        <f t="shared" si="10"/>
        <v>0</v>
      </c>
      <c r="AY21" s="15">
        <f t="shared" si="11"/>
        <v>0</v>
      </c>
      <c r="AZ21" s="16">
        <f t="shared" si="12"/>
        <v>227500</v>
      </c>
      <c r="BA21" s="58"/>
      <c r="BB21" s="58">
        <v>70000</v>
      </c>
      <c r="BC21" s="15"/>
      <c r="BD21" s="57">
        <f t="shared" si="13"/>
        <v>227500</v>
      </c>
      <c r="BE21" s="82">
        <v>227500</v>
      </c>
      <c r="BF21" s="29">
        <f t="shared" si="6"/>
        <v>0</v>
      </c>
      <c r="BG21" s="29">
        <v>4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VLOOKUP(A22,[18]HISTOBQUEAOUT23!$A$6:$G$44,3,0)</f>
        <v>115000</v>
      </c>
      <c r="E22" s="9">
        <f>VLOOKUP(A22,[18]HISTOBQUEAOUT23!$A$6:$G$39,4,0)</f>
        <v>0</v>
      </c>
      <c r="F22" s="9">
        <f>VLOOKUP(A22,[18]HISTOBQUEAOUT23!$A$6:$G$39,5,0)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VLOOKUP($A22,[20]TONTAOUT23!$A$6:$P$35,12,0)</f>
        <v>0</v>
      </c>
      <c r="Q22" s="2">
        <f>VLOOKUP($A22,[13]TONTAOUT23!$A$6:$P$20,10,0)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4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69">
        <f t="shared" si="0"/>
        <v>-576000</v>
      </c>
      <c r="D23" s="9">
        <f>VLOOKUP(A23,[18]HISTOBQUEAOUT23!$A$6:$G$44,3,0)</f>
        <v>270000</v>
      </c>
      <c r="E23" s="9">
        <f>VLOOKUP(A23,[18]HISTOBQUEAOUT23!$A$6:$G$39,4,0)</f>
        <v>0</v>
      </c>
      <c r="F23" s="9">
        <f>VLOOKUP(A23,[18]HISTOBQUEAOUT23!$A$6:$G$39,5,0)</f>
        <v>0</v>
      </c>
      <c r="G23" s="5">
        <f t="shared" si="7"/>
        <v>0</v>
      </c>
      <c r="H23" s="10" t="str">
        <f t="shared" si="1"/>
        <v>BANQUE</v>
      </c>
      <c r="I23" s="10">
        <v>6000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VLOOKUP($A23,[20]TONTAOUT23!$A$6:$P$35,12,0)</f>
        <v>0</v>
      </c>
      <c r="Q23" s="2"/>
      <c r="R23" s="2">
        <f>VLOOKUP($A23,[19]TONTAOUT23!$A$6:$P$21,10,0)</f>
        <v>0</v>
      </c>
      <c r="S23" s="20">
        <v>600000</v>
      </c>
      <c r="T23" s="12" t="s">
        <v>8</v>
      </c>
      <c r="U23" s="17">
        <f t="shared" si="15"/>
        <v>846000</v>
      </c>
      <c r="V23" s="12"/>
      <c r="W23" s="12"/>
      <c r="X23" s="12"/>
      <c r="Y23" s="12"/>
      <c r="Z23" s="12">
        <v>600000</v>
      </c>
      <c r="AA23" s="12" t="s">
        <v>8</v>
      </c>
      <c r="AB23" s="12"/>
      <c r="AC23" s="12"/>
      <c r="AD23" s="12"/>
      <c r="AE23" s="12">
        <v>10000</v>
      </c>
      <c r="AF23" s="12" t="s">
        <v>8</v>
      </c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21000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1190000</v>
      </c>
      <c r="AZ23" s="16">
        <f>SUM(AV23:AY23)-BF23+Z23-F23+BH23+BI23+BJ23+BK23+BL23+BM23-576000</f>
        <v>1190000</v>
      </c>
      <c r="BA23" s="58"/>
      <c r="BB23" s="58"/>
      <c r="BC23" s="15"/>
      <c r="BD23" s="71">
        <f t="shared" si="13"/>
        <v>1190000</v>
      </c>
      <c r="BE23" s="82">
        <f>1190000+100000</f>
        <v>1290000</v>
      </c>
      <c r="BF23" s="29">
        <f t="shared" si="6"/>
        <v>24000</v>
      </c>
      <c r="BG23" s="29">
        <v>4</v>
      </c>
      <c r="BH23" s="15"/>
      <c r="BI23" s="15"/>
      <c r="BJ23" s="15"/>
      <c r="BK23" s="15"/>
      <c r="BL23" s="61"/>
      <c r="BP23" s="6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69">
        <f t="shared" si="0"/>
        <v>-230000</v>
      </c>
      <c r="D24" s="9">
        <f>VLOOKUP(A24,[18]HISTOBQUEAOUT23!$A$6:$G$44,3,0)</f>
        <v>320000</v>
      </c>
      <c r="E24" s="9">
        <f>VLOOKUP(A24,[18]HISTOBQUEAOUT23!$A$6:$G$39,4,0)</f>
        <v>0</v>
      </c>
      <c r="F24" s="9">
        <f>VLOOKUP(A24,[18]HISTOBQUEAOUT23!$A$6:$G$39,5,0)</f>
        <v>0</v>
      </c>
      <c r="G24" s="5">
        <f t="shared" si="7"/>
        <v>0</v>
      </c>
      <c r="H24" s="10" t="str">
        <f t="shared" si="1"/>
        <v>BANQUE</v>
      </c>
      <c r="I24" s="10">
        <v>4000</v>
      </c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VLOOKUP($A24,[20]TONTAOUT23!$A$6:$P$35,12,0)</f>
        <v>61000</v>
      </c>
      <c r="Q24" s="2">
        <f>VLOOKUP($A24,[13]TONTAOUT23!$A$6:$P$20,10,0)</f>
        <v>169000</v>
      </c>
      <c r="R24" s="2">
        <f>VLOOKUP($A24,[19]TONTAOUT23!$A$6:$P$21,10,0)</f>
        <v>101000</v>
      </c>
      <c r="S24" s="20"/>
      <c r="T24" s="12"/>
      <c r="U24" s="17">
        <f t="shared" si="15"/>
        <v>550000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>
        <v>167000</v>
      </c>
      <c r="AK24" s="12"/>
      <c r="AL24" s="12"/>
      <c r="AM24" s="12">
        <v>4000</v>
      </c>
      <c r="AN24" s="12"/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19000</v>
      </c>
      <c r="AT24" s="12"/>
      <c r="AV24" s="15"/>
      <c r="AW24" s="15">
        <f t="shared" si="9"/>
        <v>0</v>
      </c>
      <c r="AX24" s="15">
        <f>IF(AD24=0,AJ24,(1*75000*12)+(AJ24)-AD24)</f>
        <v>167000</v>
      </c>
      <c r="AY24" s="15">
        <f>IF(AE24=0,AK24,(1*100000*12)+(AK24)-AE24)</f>
        <v>0</v>
      </c>
      <c r="AZ24" s="16">
        <f t="shared" si="12"/>
        <v>167000</v>
      </c>
      <c r="BA24" s="58"/>
      <c r="BB24" s="58"/>
      <c r="BC24" s="15"/>
      <c r="BD24" s="71">
        <f>IF(AZ24=0,(AZ24-BA24-BC24),(AZ24-BA24-BB24-BC24))+F24-167000</f>
        <v>0</v>
      </c>
      <c r="BE24" s="82"/>
      <c r="BF24" s="29">
        <f t="shared" si="6"/>
        <v>0</v>
      </c>
      <c r="BG24" s="29">
        <v>4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VLOOKUP(A25,[18]HISTOBQUEAOUT23!$A$6:$G$44,3,0)</f>
        <v>400000</v>
      </c>
      <c r="E25" s="9">
        <f>VLOOKUP(A25,[18]HISTOBQUEAOUT23!$A$6:$G$39,4,0)</f>
        <v>0</v>
      </c>
      <c r="F25" s="9">
        <f>VLOOKUP(A25,[18]HISTOBQUEAOUT23!$A$6:$G$39,5,0)</f>
        <v>0</v>
      </c>
      <c r="G25" s="5">
        <f t="shared" si="7"/>
        <v>0</v>
      </c>
      <c r="H25" s="10" t="str">
        <f t="shared" si="1"/>
        <v>BANQUE</v>
      </c>
      <c r="I25" s="10">
        <v>9000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VLOOKUP($A25,[20]TONTAOUT23!$A$6:$P$35,12,0)</f>
        <v>0</v>
      </c>
      <c r="Q25" s="2">
        <f>VLOOKUP($A25,[13]TONTAOUT23!$A$6:$P$20,10,0)</f>
        <v>0</v>
      </c>
      <c r="R25" s="2">
        <f>VLOOKUP($A25,[19]TONTAOUT23!$A$6:$P$21,10,0)</f>
        <v>101000</v>
      </c>
      <c r="S25" s="20"/>
      <c r="T25" s="12"/>
      <c r="U25" s="17">
        <f t="shared" si="15"/>
        <v>400000</v>
      </c>
      <c r="V25" s="12"/>
      <c r="W25" s="12"/>
      <c r="X25" s="12"/>
      <c r="Y25" s="12"/>
      <c r="Z25" s="12"/>
      <c r="AA25" s="12"/>
      <c r="AB25" s="12"/>
      <c r="AC25" s="12"/>
      <c r="AD25" s="12">
        <v>7500</v>
      </c>
      <c r="AE25" s="12"/>
      <c r="AF25" s="12" t="s">
        <v>8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24000</v>
      </c>
      <c r="AT25" s="12"/>
      <c r="AV25" s="15"/>
      <c r="AW25" s="15">
        <f t="shared" si="9"/>
        <v>0</v>
      </c>
      <c r="AX25" s="15">
        <f t="shared" si="10"/>
        <v>892500</v>
      </c>
      <c r="AY25" s="15">
        <f t="shared" si="11"/>
        <v>0</v>
      </c>
      <c r="AZ25" s="16">
        <f t="shared" si="12"/>
        <v>892500</v>
      </c>
      <c r="BA25" s="58"/>
      <c r="BB25" s="58"/>
      <c r="BC25" s="15"/>
      <c r="BD25" s="57">
        <f t="shared" si="13"/>
        <v>892500</v>
      </c>
      <c r="BE25" s="82">
        <v>892500</v>
      </c>
      <c r="BF25" s="29">
        <f t="shared" si="6"/>
        <v>0</v>
      </c>
      <c r="BG25" s="29">
        <v>4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69">
        <f t="shared" si="0"/>
        <v>-1000000</v>
      </c>
      <c r="D26" s="9">
        <f>VLOOKUP(A26,[18]HISTOBQUEAOUT23!$A$6:$G$44,3,0)-76000</f>
        <v>40000</v>
      </c>
      <c r="E26" s="9">
        <f>VLOOKUP(A26,[18]HISTOBQUEAOUT23!$A$6:$G$39,4,0)</f>
        <v>0</v>
      </c>
      <c r="F26" s="9">
        <f>VLOOKUP(A26,[18]HISTOBQUEAOUT23!$A$6:$G$39,5,0)</f>
        <v>0</v>
      </c>
      <c r="G26" s="5">
        <f t="shared" si="7"/>
        <v>0</v>
      </c>
      <c r="H26" s="10" t="str">
        <f t="shared" si="1"/>
        <v>BANQUE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VLOOKUP($A26,[20]TONTAOUT23!$A$6:$P$35,12,0)</f>
        <v>0</v>
      </c>
      <c r="Q26" s="2"/>
      <c r="R26" s="2"/>
      <c r="S26" s="20">
        <v>1000000</v>
      </c>
      <c r="T26" s="12" t="s">
        <v>8</v>
      </c>
      <c r="U26" s="17">
        <f t="shared" si="15"/>
        <v>1040000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>SUM(AV26:AY26)-BF26+Z26-F26+BH26+BI26+BJ26+BK26+BL26+BM26-960000</f>
        <v>60000</v>
      </c>
      <c r="BA26" s="58">
        <v>48000</v>
      </c>
      <c r="BB26" s="58"/>
      <c r="BC26" s="15"/>
      <c r="BD26" s="57">
        <f t="shared" si="13"/>
        <v>12000</v>
      </c>
      <c r="BE26" s="82">
        <v>12000</v>
      </c>
      <c r="BF26" s="29">
        <f t="shared" si="6"/>
        <v>40000</v>
      </c>
      <c r="BG26" s="29">
        <v>4</v>
      </c>
      <c r="BH26" s="15"/>
      <c r="BI26" s="15"/>
      <c r="BJ26" s="15"/>
      <c r="BK26" s="15"/>
      <c r="BL26" s="61"/>
      <c r="BN26" t="s">
        <v>191</v>
      </c>
      <c r="BO26" t="s">
        <v>143</v>
      </c>
      <c r="BP26" s="62">
        <v>155000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VLOOKUP(A27,[18]HISTOBQUEAOUT23!$A$6:$G$44,3,0)</f>
        <v>50000</v>
      </c>
      <c r="E27" s="9">
        <f>VLOOKUP(A27,[18]HISTOBQUEAOUT23!$A$6:$G$39,4,0)</f>
        <v>0</v>
      </c>
      <c r="F27" s="9">
        <f>VLOOKUP(A27,[18]HISTOBQUEAOUT23!$A$6:$G$39,5,0)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VLOOKUP($A27,[20]TONTAOUT23!$A$6:$P$35,12,0)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4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VLOOKUP(A28,[18]HISTOBQUEAOUT23!$A$6:$G$44,3,0)</f>
        <v>115000</v>
      </c>
      <c r="E28" s="9">
        <f>VLOOKUP(A28,[18]HISTOBQUEAOUT23!$A$6:$G$39,4,0)</f>
        <v>0</v>
      </c>
      <c r="F28" s="9">
        <f>VLOOKUP(A28,[18]HISTOBQUEAOUT23!$A$6:$G$39,5,0)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VLOOKUP($A28,[20]TONTAOUT23!$A$6:$P$35,12,0)</f>
        <v>0</v>
      </c>
      <c r="Q28" s="2">
        <f>VLOOKUP($A28,[13]TONTAOUT23!$A$6:$P$20,10,0)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4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155000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VLOOKUP(A29,[18]HISTOBQUEAOUT23!$A$6:$G$44,3,0)</f>
        <v>40000</v>
      </c>
      <c r="E29" s="9">
        <f>VLOOKUP(A29,[18]HISTOBQUEAOUT23!$A$6:$G$39,4,0)</f>
        <v>0</v>
      </c>
      <c r="F29" s="9">
        <f>VLOOKUP(A29,[18]HISTOBQUEAOUT23!$A$6:$G$39,5,0)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VLOOKUP($A29,[20]TONTAOUT23!$A$6:$P$35,12,0)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4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VLOOKUP(A30,[18]HISTOBQUEAOUT23!$A$6:$G$44,3,0)</f>
        <v>115000</v>
      </c>
      <c r="E30" s="9">
        <f>VLOOKUP(A30,[18]HISTOBQUEAOUT23!$A$6:$G$39,4,0)</f>
        <v>0</v>
      </c>
      <c r="F30" s="9">
        <f>VLOOKUP(A30,[18]HISTOBQUEAOUT23!$A$6:$G$39,5,0)</f>
        <v>70000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VLOOKUP($A30,[20]TONTAOUT23!$A$6:$P$35,12,0)</f>
        <v>0</v>
      </c>
      <c r="Q30" s="2">
        <f>VLOOKUP($A30,[13]TONTAOUT23!$A$6:$P$20,10,0)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>
        <v>3000</v>
      </c>
      <c r="AD30" s="12">
        <v>7500</v>
      </c>
      <c r="AE30" s="12"/>
      <c r="AF30" s="12" t="s">
        <v>8</v>
      </c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297000</v>
      </c>
      <c r="AX30" s="15">
        <f t="shared" si="10"/>
        <v>892500</v>
      </c>
      <c r="AY30" s="15">
        <f t="shared" si="11"/>
        <v>0</v>
      </c>
      <c r="AZ30" s="16">
        <f t="shared" si="12"/>
        <v>1119500</v>
      </c>
      <c r="BA30" s="58"/>
      <c r="BB30" s="58">
        <v>70000</v>
      </c>
      <c r="BC30" s="15"/>
      <c r="BD30" s="57">
        <f t="shared" si="13"/>
        <v>1119500</v>
      </c>
      <c r="BE30" s="82">
        <f>227000+892500</f>
        <v>1119500</v>
      </c>
      <c r="BF30" s="29">
        <f t="shared" si="6"/>
        <v>0</v>
      </c>
      <c r="BG30" s="29">
        <v>4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>
        <v>560000</v>
      </c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VLOOKUP(A31,[18]HISTOBQUEAOUT23!$A$6:$G$44,3,0)</f>
        <v>140000</v>
      </c>
      <c r="E31" s="9">
        <f>VLOOKUP(A31,[18]HISTOBQUEAOUT23!$A$6:$G$39,4,0)</f>
        <v>0</v>
      </c>
      <c r="F31" s="9">
        <f>VLOOKUP(A31,[18]HISTOBQUEAOUT23!$A$6:$G$39,5,0)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VLOOKUP($A31,[20]TONTAOUT23!$A$6:$P$35,12,0)</f>
        <v>0</v>
      </c>
      <c r="Q31" s="2"/>
      <c r="R31" s="2">
        <f>VLOOKUP($A31,[19]TONTAOUT23!$A$6:$P$21,10,0)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4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s="72" customFormat="1" ht="18.75" x14ac:dyDescent="0.3">
      <c r="A32" s="73" t="s">
        <v>38</v>
      </c>
      <c r="B32" s="73" t="str">
        <f>VLOOKUP(A32,[17]LISTADHERENT!A$5:H$39,3,0)</f>
        <v>TCHOUAMOU MATHIEU</v>
      </c>
      <c r="C32" s="14">
        <f t="shared" si="0"/>
        <v>0</v>
      </c>
      <c r="D32" s="14">
        <f>VLOOKUP(A32,[18]HISTOBQUEAOUT23!$A$6:$G$44,3,0)+76000</f>
        <v>441000</v>
      </c>
      <c r="E32" s="14">
        <f>VLOOKUP(A32,[18]HISTOBQUEAOUT23!$A$6:$G$39,4,0)</f>
        <v>0</v>
      </c>
      <c r="F32" s="14">
        <f>VLOOKUP(A32,[18]HISTOBQUEAOUT23!$A$6:$G$39,5,0)</f>
        <v>0</v>
      </c>
      <c r="G32" s="14">
        <f t="shared" si="7"/>
        <v>0</v>
      </c>
      <c r="H32" s="74" t="str">
        <f t="shared" si="1"/>
        <v>BANQUE</v>
      </c>
      <c r="I32" s="74"/>
      <c r="J32" s="75">
        <v>1</v>
      </c>
      <c r="K32" s="75">
        <f t="shared" si="14"/>
        <v>40000</v>
      </c>
      <c r="L32" s="70">
        <v>1</v>
      </c>
      <c r="M32" s="75">
        <f t="shared" si="2"/>
        <v>75000</v>
      </c>
      <c r="N32" s="70"/>
      <c r="O32" s="75">
        <f t="shared" si="3"/>
        <v>0</v>
      </c>
      <c r="P32" s="76">
        <f>VLOOKUP($A32,[20]TONTAOUT23!$A$6:$P$35,12,0)</f>
        <v>0</v>
      </c>
      <c r="Q32" s="76">
        <f>VLOOKUP($A32,[13]TONTAOUT23!$A$6:$P$20,10,0)</f>
        <v>76000</v>
      </c>
      <c r="R32" s="76"/>
      <c r="S32" s="77">
        <v>250000</v>
      </c>
      <c r="T32" s="78" t="s">
        <v>8</v>
      </c>
      <c r="U32" s="79">
        <f t="shared" si="15"/>
        <v>441000</v>
      </c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>
        <v>75000</v>
      </c>
      <c r="AK32" s="78"/>
      <c r="AL32" s="78"/>
      <c r="AM32" s="78">
        <v>1000</v>
      </c>
      <c r="AN32" s="78"/>
      <c r="AO32" s="78"/>
      <c r="AP32" s="78" t="s">
        <v>8</v>
      </c>
      <c r="AQ32" s="8">
        <f t="shared" si="4"/>
        <v>0</v>
      </c>
      <c r="AR32" s="8">
        <f t="shared" si="5"/>
        <v>0</v>
      </c>
      <c r="AS32" s="75">
        <f t="shared" si="8"/>
        <v>15000</v>
      </c>
      <c r="AT32" s="78"/>
      <c r="AV32" s="80"/>
      <c r="AW32" s="80">
        <f t="shared" si="9"/>
        <v>0</v>
      </c>
      <c r="AX32" s="80">
        <f t="shared" si="10"/>
        <v>75000</v>
      </c>
      <c r="AY32" s="80">
        <f t="shared" si="11"/>
        <v>0</v>
      </c>
      <c r="AZ32" s="71">
        <f t="shared" si="12"/>
        <v>175000</v>
      </c>
      <c r="BA32" s="58"/>
      <c r="BB32" s="58"/>
      <c r="BC32" s="80"/>
      <c r="BD32" s="71">
        <f t="shared" si="13"/>
        <v>175000</v>
      </c>
      <c r="BE32" s="83">
        <v>75000</v>
      </c>
      <c r="BF32" s="81">
        <f t="shared" si="6"/>
        <v>0</v>
      </c>
      <c r="BG32" s="29">
        <v>4</v>
      </c>
      <c r="BH32" s="80"/>
      <c r="BI32" s="80"/>
      <c r="BJ32" s="80"/>
      <c r="BK32" s="80">
        <v>100000</v>
      </c>
      <c r="BL32" s="76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VLOOKUP(A33,[18]HISTOBQUEAOUT23!$A$6:$G$44,3,0)+40000</f>
        <v>40000</v>
      </c>
      <c r="E33" s="9">
        <f>VLOOKUP(A33,[18]HISTOBQUEAOUT23!$A$6:$G$39,4,0)</f>
        <v>0</v>
      </c>
      <c r="F33" s="9">
        <f>VLOOKUP(A33,[18]HISTOBQUEAOUT23!$A$6:$G$39,5,0)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VLOOKUP($A33,[20]TONTAOUT23!$A$6:$P$35,12,0)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4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560000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VLOOKUP(A34,[18]HISTOBQUEAOUT23!$A$6:$G$44,3,0)</f>
        <v>100000</v>
      </c>
      <c r="E34" s="9">
        <f>VLOOKUP(A34,[18]HISTOBQUEAOUT23!$A$6:$G$39,4,0)</f>
        <v>0</v>
      </c>
      <c r="F34" s="9">
        <f>VLOOKUP(A34,[18]HISTOBQUEAOUT23!$A$6:$G$39,5,0)</f>
        <v>0</v>
      </c>
      <c r="G34" s="5">
        <f t="shared" si="7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VLOOKUP($A34,[20]TONTAOUT23!$A$6:$P$35,12,0)</f>
        <v>0</v>
      </c>
      <c r="Q34" s="2"/>
      <c r="R34" s="2"/>
      <c r="S34" s="20"/>
      <c r="T34" s="12"/>
      <c r="U34" s="17">
        <f t="shared" si="15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4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VLOOKUP(A35,[18]HISTOBQUEAOUT23!$A$6:$G$44,3,0)</f>
        <v>40000</v>
      </c>
      <c r="E35" s="9">
        <f>VLOOKUP(A35,[18]HISTOBQUEAOUT23!$A$6:$G$39,4,0)</f>
        <v>0</v>
      </c>
      <c r="F35" s="9">
        <f>VLOOKUP(A35,[18]HISTOBQUEAOUT23!$A$6:$G$39,5,0)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VLOOKUP($A35,[20]TONTAOUT23!$A$6:$P$35,12,0)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4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VLOOKUP(A36,[18]HISTOBQUEAOUT23!$A$6:$G$44,3,0)</f>
        <v>290000</v>
      </c>
      <c r="E36" s="9">
        <f>VLOOKUP(A36,[18]HISTOBQUEAOUT23!$A$6:$G$39,4,0)</f>
        <v>0</v>
      </c>
      <c r="F36" s="9">
        <f>VLOOKUP(A36,[18]HISTOBQUEAOUT23!$A$6:$G$39,5,0)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VLOOKUP($A36,[20]TONTAOUT23!$A$6:$P$35,12,0)</f>
        <v>0</v>
      </c>
      <c r="Q36" s="2">
        <f>VLOOKUP($A36,[13]TONTAOUT23!$A$6:$P$20,10,0)</f>
        <v>0</v>
      </c>
      <c r="R36" s="2">
        <f>VLOOKUP($A36,[19]TONTAOUT23!$A$6:$P$21,10,0)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4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-1806000</v>
      </c>
      <c r="D38" s="5">
        <f t="shared" si="16"/>
        <v>5288500</v>
      </c>
      <c r="E38" s="5">
        <f t="shared" si="16"/>
        <v>245000</v>
      </c>
      <c r="F38" s="5">
        <f t="shared" si="16"/>
        <v>140000</v>
      </c>
      <c r="G38" s="5">
        <f t="shared" si="16"/>
        <v>3000</v>
      </c>
      <c r="H38" s="5">
        <f t="shared" si="16"/>
        <v>0</v>
      </c>
      <c r="I38" s="5">
        <f t="shared" si="16"/>
        <v>133000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61000</v>
      </c>
      <c r="Q38" s="5">
        <f t="shared" si="16"/>
        <v>321000</v>
      </c>
      <c r="R38" s="5">
        <f t="shared" si="16"/>
        <v>796500</v>
      </c>
      <c r="S38" s="5">
        <f t="shared" si="16"/>
        <v>2150000</v>
      </c>
      <c r="T38" s="5"/>
      <c r="U38" s="5">
        <f t="shared" ref="U38:AA38" si="17">SUM(U6:U37)</f>
        <v>7339500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1600000</v>
      </c>
      <c r="AA38" s="5">
        <f t="shared" si="17"/>
        <v>0</v>
      </c>
      <c r="AB38" s="5"/>
      <c r="AC38" s="5">
        <f>SUM(AC6:AC37)</f>
        <v>5500</v>
      </c>
      <c r="AD38" s="5">
        <f>SUM(AD6:AD37)</f>
        <v>15000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181500</v>
      </c>
      <c r="AJ38" s="5">
        <f t="shared" si="18"/>
        <v>559000</v>
      </c>
      <c r="AK38" s="5">
        <f t="shared" si="18"/>
        <v>400000</v>
      </c>
      <c r="AL38" s="5">
        <f t="shared" si="18"/>
        <v>3000</v>
      </c>
      <c r="AM38" s="5">
        <f t="shared" si="18"/>
        <v>9000</v>
      </c>
      <c r="AN38" s="5">
        <f t="shared" si="18"/>
        <v>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583000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776000</v>
      </c>
      <c r="AX38" s="5">
        <f t="shared" si="18"/>
        <v>2344000</v>
      </c>
      <c r="AY38" s="5">
        <f t="shared" si="18"/>
        <v>2780000</v>
      </c>
      <c r="AZ38" s="5">
        <f t="shared" si="18"/>
        <v>6620000</v>
      </c>
      <c r="BA38" s="5">
        <f t="shared" si="18"/>
        <v>348000</v>
      </c>
      <c r="BB38" s="5">
        <f t="shared" si="18"/>
        <v>140000</v>
      </c>
      <c r="BC38" s="5">
        <f t="shared" si="18"/>
        <v>0</v>
      </c>
      <c r="BD38" s="5">
        <f t="shared" si="18"/>
        <v>6105000</v>
      </c>
      <c r="BE38" s="5">
        <f t="shared" si="18"/>
        <v>5451000</v>
      </c>
      <c r="BF38" s="5">
        <f>SUM(BF6:BF37)</f>
        <v>64000</v>
      </c>
      <c r="BH38" s="5">
        <f t="shared" ref="BH38:BL38" si="19">SUM(BH6:BH37)</f>
        <v>45000</v>
      </c>
      <c r="BI38" s="5">
        <f t="shared" si="19"/>
        <v>155000</v>
      </c>
      <c r="BJ38" s="5">
        <f t="shared" si="19"/>
        <v>560000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 t="s">
        <v>180</v>
      </c>
      <c r="BA40" s="14">
        <v>248000</v>
      </c>
      <c r="BD40" s="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860000</v>
      </c>
    </row>
    <row r="42" spans="1:68" ht="18.75" x14ac:dyDescent="0.3">
      <c r="B42" s="1" t="s">
        <v>78</v>
      </c>
      <c r="AW42" s="15"/>
      <c r="AX42" s="15"/>
      <c r="AY42" s="15"/>
      <c r="AZ42" s="16"/>
      <c r="BA42" s="70">
        <f>BA40-BA38</f>
        <v>-100000</v>
      </c>
    </row>
    <row r="43" spans="1:68" ht="18.75" x14ac:dyDescent="0.3">
      <c r="B43" s="1" t="s">
        <v>79</v>
      </c>
      <c r="C43" s="14">
        <f>AZ38</f>
        <v>6620000</v>
      </c>
      <c r="D43" s="9">
        <f>SUMIFS(D8:D38,H8:H38,"BANQUE")</f>
        <v>5073500</v>
      </c>
      <c r="F43" s="9">
        <f>E38</f>
        <v>245000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12480000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A1:J91"/>
  <sheetViews>
    <sheetView workbookViewId="0">
      <selection activeCell="A81" sqref="A81:C81"/>
    </sheetView>
  </sheetViews>
  <sheetFormatPr baseColWidth="10" defaultRowHeight="15"/>
  <cols>
    <col min="2" max="2" width="3.140625" bestFit="1" customWidth="1"/>
    <col min="3" max="3" width="34.42578125" bestFit="1" customWidth="1"/>
    <col min="4" max="9" width="10.42578125" bestFit="1" customWidth="1"/>
    <col min="10" max="10" width="11.5703125" bestFit="1" customWidth="1"/>
    <col min="234" max="234" width="7.42578125" customWidth="1"/>
    <col min="235" max="235" width="31.42578125" customWidth="1"/>
    <col min="236" max="236" width="11.5703125" customWidth="1"/>
    <col min="237" max="237" width="9.42578125" customWidth="1"/>
    <col min="238" max="238" width="6.42578125" customWidth="1"/>
    <col min="239" max="239" width="17" customWidth="1"/>
    <col min="240" max="241" width="15.140625" customWidth="1"/>
    <col min="242" max="242" width="8.85546875" customWidth="1"/>
    <col min="243" max="243" width="11.85546875" customWidth="1"/>
    <col min="244" max="244" width="17.5703125" customWidth="1"/>
    <col min="245" max="245" width="18.42578125" customWidth="1"/>
    <col min="490" max="490" width="7.42578125" customWidth="1"/>
    <col min="491" max="491" width="31.42578125" customWidth="1"/>
    <col min="492" max="492" width="11.5703125" customWidth="1"/>
    <col min="493" max="493" width="9.42578125" customWidth="1"/>
    <col min="494" max="494" width="6.42578125" customWidth="1"/>
    <col min="495" max="495" width="17" customWidth="1"/>
    <col min="496" max="497" width="15.140625" customWidth="1"/>
    <col min="498" max="498" width="8.85546875" customWidth="1"/>
    <col min="499" max="499" width="11.85546875" customWidth="1"/>
    <col min="500" max="500" width="17.5703125" customWidth="1"/>
    <col min="501" max="501" width="18.42578125" customWidth="1"/>
    <col min="746" max="746" width="7.42578125" customWidth="1"/>
    <col min="747" max="747" width="31.42578125" customWidth="1"/>
    <col min="748" max="748" width="11.5703125" customWidth="1"/>
    <col min="749" max="749" width="9.42578125" customWidth="1"/>
    <col min="750" max="750" width="6.42578125" customWidth="1"/>
    <col min="751" max="751" width="17" customWidth="1"/>
    <col min="752" max="753" width="15.140625" customWidth="1"/>
    <col min="754" max="754" width="8.85546875" customWidth="1"/>
    <col min="755" max="755" width="11.85546875" customWidth="1"/>
    <col min="756" max="756" width="17.5703125" customWidth="1"/>
    <col min="757" max="757" width="18.42578125" customWidth="1"/>
    <col min="1002" max="1002" width="7.42578125" customWidth="1"/>
    <col min="1003" max="1003" width="31.42578125" customWidth="1"/>
    <col min="1004" max="1004" width="11.5703125" customWidth="1"/>
    <col min="1005" max="1005" width="9.42578125" customWidth="1"/>
    <col min="1006" max="1006" width="6.42578125" customWidth="1"/>
    <col min="1007" max="1007" width="17" customWidth="1"/>
    <col min="1008" max="1009" width="15.140625" customWidth="1"/>
    <col min="1010" max="1010" width="8.85546875" customWidth="1"/>
    <col min="1011" max="1011" width="11.85546875" customWidth="1"/>
    <col min="1012" max="1012" width="17.5703125" customWidth="1"/>
    <col min="1013" max="1013" width="18.42578125" customWidth="1"/>
    <col min="1258" max="1258" width="7.42578125" customWidth="1"/>
    <col min="1259" max="1259" width="31.42578125" customWidth="1"/>
    <col min="1260" max="1260" width="11.5703125" customWidth="1"/>
    <col min="1261" max="1261" width="9.42578125" customWidth="1"/>
    <col min="1262" max="1262" width="6.42578125" customWidth="1"/>
    <col min="1263" max="1263" width="17" customWidth="1"/>
    <col min="1264" max="1265" width="15.140625" customWidth="1"/>
    <col min="1266" max="1266" width="8.85546875" customWidth="1"/>
    <col min="1267" max="1267" width="11.85546875" customWidth="1"/>
    <col min="1268" max="1268" width="17.5703125" customWidth="1"/>
    <col min="1269" max="1269" width="18.42578125" customWidth="1"/>
    <col min="1514" max="1514" width="7.42578125" customWidth="1"/>
    <col min="1515" max="1515" width="31.42578125" customWidth="1"/>
    <col min="1516" max="1516" width="11.5703125" customWidth="1"/>
    <col min="1517" max="1517" width="9.42578125" customWidth="1"/>
    <col min="1518" max="1518" width="6.42578125" customWidth="1"/>
    <col min="1519" max="1519" width="17" customWidth="1"/>
    <col min="1520" max="1521" width="15.140625" customWidth="1"/>
    <col min="1522" max="1522" width="8.85546875" customWidth="1"/>
    <col min="1523" max="1523" width="11.85546875" customWidth="1"/>
    <col min="1524" max="1524" width="17.5703125" customWidth="1"/>
    <col min="1525" max="1525" width="18.42578125" customWidth="1"/>
    <col min="1770" max="1770" width="7.42578125" customWidth="1"/>
    <col min="1771" max="1771" width="31.42578125" customWidth="1"/>
    <col min="1772" max="1772" width="11.5703125" customWidth="1"/>
    <col min="1773" max="1773" width="9.42578125" customWidth="1"/>
    <col min="1774" max="1774" width="6.42578125" customWidth="1"/>
    <col min="1775" max="1775" width="17" customWidth="1"/>
    <col min="1776" max="1777" width="15.140625" customWidth="1"/>
    <col min="1778" max="1778" width="8.85546875" customWidth="1"/>
    <col min="1779" max="1779" width="11.85546875" customWidth="1"/>
    <col min="1780" max="1780" width="17.5703125" customWidth="1"/>
    <col min="1781" max="1781" width="18.42578125" customWidth="1"/>
    <col min="2026" max="2026" width="7.42578125" customWidth="1"/>
    <col min="2027" max="2027" width="31.42578125" customWidth="1"/>
    <col min="2028" max="2028" width="11.5703125" customWidth="1"/>
    <col min="2029" max="2029" width="9.42578125" customWidth="1"/>
    <col min="2030" max="2030" width="6.42578125" customWidth="1"/>
    <col min="2031" max="2031" width="17" customWidth="1"/>
    <col min="2032" max="2033" width="15.140625" customWidth="1"/>
    <col min="2034" max="2034" width="8.85546875" customWidth="1"/>
    <col min="2035" max="2035" width="11.85546875" customWidth="1"/>
    <col min="2036" max="2036" width="17.5703125" customWidth="1"/>
    <col min="2037" max="2037" width="18.42578125" customWidth="1"/>
    <col min="2282" max="2282" width="7.42578125" customWidth="1"/>
    <col min="2283" max="2283" width="31.42578125" customWidth="1"/>
    <col min="2284" max="2284" width="11.5703125" customWidth="1"/>
    <col min="2285" max="2285" width="9.42578125" customWidth="1"/>
    <col min="2286" max="2286" width="6.42578125" customWidth="1"/>
    <col min="2287" max="2287" width="17" customWidth="1"/>
    <col min="2288" max="2289" width="15.140625" customWidth="1"/>
    <col min="2290" max="2290" width="8.85546875" customWidth="1"/>
    <col min="2291" max="2291" width="11.85546875" customWidth="1"/>
    <col min="2292" max="2292" width="17.5703125" customWidth="1"/>
    <col min="2293" max="2293" width="18.42578125" customWidth="1"/>
    <col min="2538" max="2538" width="7.42578125" customWidth="1"/>
    <col min="2539" max="2539" width="31.42578125" customWidth="1"/>
    <col min="2540" max="2540" width="11.5703125" customWidth="1"/>
    <col min="2541" max="2541" width="9.42578125" customWidth="1"/>
    <col min="2542" max="2542" width="6.42578125" customWidth="1"/>
    <col min="2543" max="2543" width="17" customWidth="1"/>
    <col min="2544" max="2545" width="15.140625" customWidth="1"/>
    <col min="2546" max="2546" width="8.85546875" customWidth="1"/>
    <col min="2547" max="2547" width="11.85546875" customWidth="1"/>
    <col min="2548" max="2548" width="17.5703125" customWidth="1"/>
    <col min="2549" max="2549" width="18.42578125" customWidth="1"/>
    <col min="2794" max="2794" width="7.42578125" customWidth="1"/>
    <col min="2795" max="2795" width="31.42578125" customWidth="1"/>
    <col min="2796" max="2796" width="11.5703125" customWidth="1"/>
    <col min="2797" max="2797" width="9.42578125" customWidth="1"/>
    <col min="2798" max="2798" width="6.42578125" customWidth="1"/>
    <col min="2799" max="2799" width="17" customWidth="1"/>
    <col min="2800" max="2801" width="15.140625" customWidth="1"/>
    <col min="2802" max="2802" width="8.85546875" customWidth="1"/>
    <col min="2803" max="2803" width="11.85546875" customWidth="1"/>
    <col min="2804" max="2804" width="17.5703125" customWidth="1"/>
    <col min="2805" max="2805" width="18.42578125" customWidth="1"/>
    <col min="3050" max="3050" width="7.42578125" customWidth="1"/>
    <col min="3051" max="3051" width="31.42578125" customWidth="1"/>
    <col min="3052" max="3052" width="11.5703125" customWidth="1"/>
    <col min="3053" max="3053" width="9.42578125" customWidth="1"/>
    <col min="3054" max="3054" width="6.42578125" customWidth="1"/>
    <col min="3055" max="3055" width="17" customWidth="1"/>
    <col min="3056" max="3057" width="15.140625" customWidth="1"/>
    <col min="3058" max="3058" width="8.85546875" customWidth="1"/>
    <col min="3059" max="3059" width="11.85546875" customWidth="1"/>
    <col min="3060" max="3060" width="17.5703125" customWidth="1"/>
    <col min="3061" max="3061" width="18.42578125" customWidth="1"/>
    <col min="3306" max="3306" width="7.42578125" customWidth="1"/>
    <col min="3307" max="3307" width="31.42578125" customWidth="1"/>
    <col min="3308" max="3308" width="11.5703125" customWidth="1"/>
    <col min="3309" max="3309" width="9.42578125" customWidth="1"/>
    <col min="3310" max="3310" width="6.42578125" customWidth="1"/>
    <col min="3311" max="3311" width="17" customWidth="1"/>
    <col min="3312" max="3313" width="15.140625" customWidth="1"/>
    <col min="3314" max="3314" width="8.85546875" customWidth="1"/>
    <col min="3315" max="3315" width="11.85546875" customWidth="1"/>
    <col min="3316" max="3316" width="17.5703125" customWidth="1"/>
    <col min="3317" max="3317" width="18.42578125" customWidth="1"/>
    <col min="3562" max="3562" width="7.42578125" customWidth="1"/>
    <col min="3563" max="3563" width="31.42578125" customWidth="1"/>
    <col min="3564" max="3564" width="11.5703125" customWidth="1"/>
    <col min="3565" max="3565" width="9.42578125" customWidth="1"/>
    <col min="3566" max="3566" width="6.42578125" customWidth="1"/>
    <col min="3567" max="3567" width="17" customWidth="1"/>
    <col min="3568" max="3569" width="15.140625" customWidth="1"/>
    <col min="3570" max="3570" width="8.85546875" customWidth="1"/>
    <col min="3571" max="3571" width="11.85546875" customWidth="1"/>
    <col min="3572" max="3572" width="17.5703125" customWidth="1"/>
    <col min="3573" max="3573" width="18.42578125" customWidth="1"/>
    <col min="3818" max="3818" width="7.42578125" customWidth="1"/>
    <col min="3819" max="3819" width="31.42578125" customWidth="1"/>
    <col min="3820" max="3820" width="11.5703125" customWidth="1"/>
    <col min="3821" max="3821" width="9.42578125" customWidth="1"/>
    <col min="3822" max="3822" width="6.42578125" customWidth="1"/>
    <col min="3823" max="3823" width="17" customWidth="1"/>
    <col min="3824" max="3825" width="15.140625" customWidth="1"/>
    <col min="3826" max="3826" width="8.85546875" customWidth="1"/>
    <col min="3827" max="3827" width="11.85546875" customWidth="1"/>
    <col min="3828" max="3828" width="17.5703125" customWidth="1"/>
    <col min="3829" max="3829" width="18.42578125" customWidth="1"/>
    <col min="4074" max="4074" width="7.42578125" customWidth="1"/>
    <col min="4075" max="4075" width="31.42578125" customWidth="1"/>
    <col min="4076" max="4076" width="11.5703125" customWidth="1"/>
    <col min="4077" max="4077" width="9.42578125" customWidth="1"/>
    <col min="4078" max="4078" width="6.42578125" customWidth="1"/>
    <col min="4079" max="4079" width="17" customWidth="1"/>
    <col min="4080" max="4081" width="15.140625" customWidth="1"/>
    <col min="4082" max="4082" width="8.85546875" customWidth="1"/>
    <col min="4083" max="4083" width="11.85546875" customWidth="1"/>
    <col min="4084" max="4084" width="17.5703125" customWidth="1"/>
    <col min="4085" max="4085" width="18.42578125" customWidth="1"/>
    <col min="4330" max="4330" width="7.42578125" customWidth="1"/>
    <col min="4331" max="4331" width="31.42578125" customWidth="1"/>
    <col min="4332" max="4332" width="11.5703125" customWidth="1"/>
    <col min="4333" max="4333" width="9.42578125" customWidth="1"/>
    <col min="4334" max="4334" width="6.42578125" customWidth="1"/>
    <col min="4335" max="4335" width="17" customWidth="1"/>
    <col min="4336" max="4337" width="15.140625" customWidth="1"/>
    <col min="4338" max="4338" width="8.85546875" customWidth="1"/>
    <col min="4339" max="4339" width="11.85546875" customWidth="1"/>
    <col min="4340" max="4340" width="17.5703125" customWidth="1"/>
    <col min="4341" max="4341" width="18.42578125" customWidth="1"/>
    <col min="4586" max="4586" width="7.42578125" customWidth="1"/>
    <col min="4587" max="4587" width="31.42578125" customWidth="1"/>
    <col min="4588" max="4588" width="11.5703125" customWidth="1"/>
    <col min="4589" max="4589" width="9.42578125" customWidth="1"/>
    <col min="4590" max="4590" width="6.42578125" customWidth="1"/>
    <col min="4591" max="4591" width="17" customWidth="1"/>
    <col min="4592" max="4593" width="15.140625" customWidth="1"/>
    <col min="4594" max="4594" width="8.85546875" customWidth="1"/>
    <col min="4595" max="4595" width="11.85546875" customWidth="1"/>
    <col min="4596" max="4596" width="17.5703125" customWidth="1"/>
    <col min="4597" max="4597" width="18.42578125" customWidth="1"/>
    <col min="4842" max="4842" width="7.42578125" customWidth="1"/>
    <col min="4843" max="4843" width="31.42578125" customWidth="1"/>
    <col min="4844" max="4844" width="11.5703125" customWidth="1"/>
    <col min="4845" max="4845" width="9.42578125" customWidth="1"/>
    <col min="4846" max="4846" width="6.42578125" customWidth="1"/>
    <col min="4847" max="4847" width="17" customWidth="1"/>
    <col min="4848" max="4849" width="15.140625" customWidth="1"/>
    <col min="4850" max="4850" width="8.85546875" customWidth="1"/>
    <col min="4851" max="4851" width="11.85546875" customWidth="1"/>
    <col min="4852" max="4852" width="17.5703125" customWidth="1"/>
    <col min="4853" max="4853" width="18.42578125" customWidth="1"/>
    <col min="5098" max="5098" width="7.42578125" customWidth="1"/>
    <col min="5099" max="5099" width="31.42578125" customWidth="1"/>
    <col min="5100" max="5100" width="11.5703125" customWidth="1"/>
    <col min="5101" max="5101" width="9.42578125" customWidth="1"/>
    <col min="5102" max="5102" width="6.42578125" customWidth="1"/>
    <col min="5103" max="5103" width="17" customWidth="1"/>
    <col min="5104" max="5105" width="15.140625" customWidth="1"/>
    <col min="5106" max="5106" width="8.85546875" customWidth="1"/>
    <col min="5107" max="5107" width="11.85546875" customWidth="1"/>
    <col min="5108" max="5108" width="17.5703125" customWidth="1"/>
    <col min="5109" max="5109" width="18.42578125" customWidth="1"/>
    <col min="5354" max="5354" width="7.42578125" customWidth="1"/>
    <col min="5355" max="5355" width="31.42578125" customWidth="1"/>
    <col min="5356" max="5356" width="11.5703125" customWidth="1"/>
    <col min="5357" max="5357" width="9.42578125" customWidth="1"/>
    <col min="5358" max="5358" width="6.42578125" customWidth="1"/>
    <col min="5359" max="5359" width="17" customWidth="1"/>
    <col min="5360" max="5361" width="15.140625" customWidth="1"/>
    <col min="5362" max="5362" width="8.85546875" customWidth="1"/>
    <col min="5363" max="5363" width="11.85546875" customWidth="1"/>
    <col min="5364" max="5364" width="17.5703125" customWidth="1"/>
    <col min="5365" max="5365" width="18.42578125" customWidth="1"/>
    <col min="5610" max="5610" width="7.42578125" customWidth="1"/>
    <col min="5611" max="5611" width="31.42578125" customWidth="1"/>
    <col min="5612" max="5612" width="11.5703125" customWidth="1"/>
    <col min="5613" max="5613" width="9.42578125" customWidth="1"/>
    <col min="5614" max="5614" width="6.42578125" customWidth="1"/>
    <col min="5615" max="5615" width="17" customWidth="1"/>
    <col min="5616" max="5617" width="15.140625" customWidth="1"/>
    <col min="5618" max="5618" width="8.85546875" customWidth="1"/>
    <col min="5619" max="5619" width="11.85546875" customWidth="1"/>
    <col min="5620" max="5620" width="17.5703125" customWidth="1"/>
    <col min="5621" max="5621" width="18.42578125" customWidth="1"/>
    <col min="5866" max="5866" width="7.42578125" customWidth="1"/>
    <col min="5867" max="5867" width="31.42578125" customWidth="1"/>
    <col min="5868" max="5868" width="11.5703125" customWidth="1"/>
    <col min="5869" max="5869" width="9.42578125" customWidth="1"/>
    <col min="5870" max="5870" width="6.42578125" customWidth="1"/>
    <col min="5871" max="5871" width="17" customWidth="1"/>
    <col min="5872" max="5873" width="15.140625" customWidth="1"/>
    <col min="5874" max="5874" width="8.85546875" customWidth="1"/>
    <col min="5875" max="5875" width="11.85546875" customWidth="1"/>
    <col min="5876" max="5876" width="17.5703125" customWidth="1"/>
    <col min="5877" max="5877" width="18.42578125" customWidth="1"/>
    <col min="6122" max="6122" width="7.42578125" customWidth="1"/>
    <col min="6123" max="6123" width="31.42578125" customWidth="1"/>
    <col min="6124" max="6124" width="11.5703125" customWidth="1"/>
    <col min="6125" max="6125" width="9.42578125" customWidth="1"/>
    <col min="6126" max="6126" width="6.42578125" customWidth="1"/>
    <col min="6127" max="6127" width="17" customWidth="1"/>
    <col min="6128" max="6129" width="15.140625" customWidth="1"/>
    <col min="6130" max="6130" width="8.85546875" customWidth="1"/>
    <col min="6131" max="6131" width="11.85546875" customWidth="1"/>
    <col min="6132" max="6132" width="17.5703125" customWidth="1"/>
    <col min="6133" max="6133" width="18.42578125" customWidth="1"/>
    <col min="6378" max="6378" width="7.42578125" customWidth="1"/>
    <col min="6379" max="6379" width="31.42578125" customWidth="1"/>
    <col min="6380" max="6380" width="11.5703125" customWidth="1"/>
    <col min="6381" max="6381" width="9.42578125" customWidth="1"/>
    <col min="6382" max="6382" width="6.42578125" customWidth="1"/>
    <col min="6383" max="6383" width="17" customWidth="1"/>
    <col min="6384" max="6385" width="15.140625" customWidth="1"/>
    <col min="6386" max="6386" width="8.85546875" customWidth="1"/>
    <col min="6387" max="6387" width="11.85546875" customWidth="1"/>
    <col min="6388" max="6388" width="17.5703125" customWidth="1"/>
    <col min="6389" max="6389" width="18.42578125" customWidth="1"/>
    <col min="6634" max="6634" width="7.42578125" customWidth="1"/>
    <col min="6635" max="6635" width="31.42578125" customWidth="1"/>
    <col min="6636" max="6636" width="11.5703125" customWidth="1"/>
    <col min="6637" max="6637" width="9.42578125" customWidth="1"/>
    <col min="6638" max="6638" width="6.42578125" customWidth="1"/>
    <col min="6639" max="6639" width="17" customWidth="1"/>
    <col min="6640" max="6641" width="15.140625" customWidth="1"/>
    <col min="6642" max="6642" width="8.85546875" customWidth="1"/>
    <col min="6643" max="6643" width="11.85546875" customWidth="1"/>
    <col min="6644" max="6644" width="17.5703125" customWidth="1"/>
    <col min="6645" max="6645" width="18.42578125" customWidth="1"/>
    <col min="6890" max="6890" width="7.42578125" customWidth="1"/>
    <col min="6891" max="6891" width="31.42578125" customWidth="1"/>
    <col min="6892" max="6892" width="11.5703125" customWidth="1"/>
    <col min="6893" max="6893" width="9.42578125" customWidth="1"/>
    <col min="6894" max="6894" width="6.42578125" customWidth="1"/>
    <col min="6895" max="6895" width="17" customWidth="1"/>
    <col min="6896" max="6897" width="15.140625" customWidth="1"/>
    <col min="6898" max="6898" width="8.85546875" customWidth="1"/>
    <col min="6899" max="6899" width="11.85546875" customWidth="1"/>
    <col min="6900" max="6900" width="17.5703125" customWidth="1"/>
    <col min="6901" max="6901" width="18.42578125" customWidth="1"/>
    <col min="7146" max="7146" width="7.42578125" customWidth="1"/>
    <col min="7147" max="7147" width="31.42578125" customWidth="1"/>
    <col min="7148" max="7148" width="11.5703125" customWidth="1"/>
    <col min="7149" max="7149" width="9.42578125" customWidth="1"/>
    <col min="7150" max="7150" width="6.42578125" customWidth="1"/>
    <col min="7151" max="7151" width="17" customWidth="1"/>
    <col min="7152" max="7153" width="15.140625" customWidth="1"/>
    <col min="7154" max="7154" width="8.85546875" customWidth="1"/>
    <col min="7155" max="7155" width="11.85546875" customWidth="1"/>
    <col min="7156" max="7156" width="17.5703125" customWidth="1"/>
    <col min="7157" max="7157" width="18.42578125" customWidth="1"/>
    <col min="7402" max="7402" width="7.42578125" customWidth="1"/>
    <col min="7403" max="7403" width="31.42578125" customWidth="1"/>
    <col min="7404" max="7404" width="11.5703125" customWidth="1"/>
    <col min="7405" max="7405" width="9.42578125" customWidth="1"/>
    <col min="7406" max="7406" width="6.42578125" customWidth="1"/>
    <col min="7407" max="7407" width="17" customWidth="1"/>
    <col min="7408" max="7409" width="15.140625" customWidth="1"/>
    <col min="7410" max="7410" width="8.85546875" customWidth="1"/>
    <col min="7411" max="7411" width="11.85546875" customWidth="1"/>
    <col min="7412" max="7412" width="17.5703125" customWidth="1"/>
    <col min="7413" max="7413" width="18.42578125" customWidth="1"/>
    <col min="7658" max="7658" width="7.42578125" customWidth="1"/>
    <col min="7659" max="7659" width="31.42578125" customWidth="1"/>
    <col min="7660" max="7660" width="11.5703125" customWidth="1"/>
    <col min="7661" max="7661" width="9.42578125" customWidth="1"/>
    <col min="7662" max="7662" width="6.42578125" customWidth="1"/>
    <col min="7663" max="7663" width="17" customWidth="1"/>
    <col min="7664" max="7665" width="15.140625" customWidth="1"/>
    <col min="7666" max="7666" width="8.85546875" customWidth="1"/>
    <col min="7667" max="7667" width="11.85546875" customWidth="1"/>
    <col min="7668" max="7668" width="17.5703125" customWidth="1"/>
    <col min="7669" max="7669" width="18.42578125" customWidth="1"/>
    <col min="7914" max="7914" width="7.42578125" customWidth="1"/>
    <col min="7915" max="7915" width="31.42578125" customWidth="1"/>
    <col min="7916" max="7916" width="11.5703125" customWidth="1"/>
    <col min="7917" max="7917" width="9.42578125" customWidth="1"/>
    <col min="7918" max="7918" width="6.42578125" customWidth="1"/>
    <col min="7919" max="7919" width="17" customWidth="1"/>
    <col min="7920" max="7921" width="15.140625" customWidth="1"/>
    <col min="7922" max="7922" width="8.85546875" customWidth="1"/>
    <col min="7923" max="7923" width="11.85546875" customWidth="1"/>
    <col min="7924" max="7924" width="17.5703125" customWidth="1"/>
    <col min="7925" max="7925" width="18.42578125" customWidth="1"/>
    <col min="8170" max="8170" width="7.42578125" customWidth="1"/>
    <col min="8171" max="8171" width="31.42578125" customWidth="1"/>
    <col min="8172" max="8172" width="11.5703125" customWidth="1"/>
    <col min="8173" max="8173" width="9.42578125" customWidth="1"/>
    <col min="8174" max="8174" width="6.42578125" customWidth="1"/>
    <col min="8175" max="8175" width="17" customWidth="1"/>
    <col min="8176" max="8177" width="15.140625" customWidth="1"/>
    <col min="8178" max="8178" width="8.85546875" customWidth="1"/>
    <col min="8179" max="8179" width="11.85546875" customWidth="1"/>
    <col min="8180" max="8180" width="17.5703125" customWidth="1"/>
    <col min="8181" max="8181" width="18.42578125" customWidth="1"/>
    <col min="8426" max="8426" width="7.42578125" customWidth="1"/>
    <col min="8427" max="8427" width="31.42578125" customWidth="1"/>
    <col min="8428" max="8428" width="11.5703125" customWidth="1"/>
    <col min="8429" max="8429" width="9.42578125" customWidth="1"/>
    <col min="8430" max="8430" width="6.42578125" customWidth="1"/>
    <col min="8431" max="8431" width="17" customWidth="1"/>
    <col min="8432" max="8433" width="15.140625" customWidth="1"/>
    <col min="8434" max="8434" width="8.85546875" customWidth="1"/>
    <col min="8435" max="8435" width="11.85546875" customWidth="1"/>
    <col min="8436" max="8436" width="17.5703125" customWidth="1"/>
    <col min="8437" max="8437" width="18.42578125" customWidth="1"/>
    <col min="8682" max="8682" width="7.42578125" customWidth="1"/>
    <col min="8683" max="8683" width="31.42578125" customWidth="1"/>
    <col min="8684" max="8684" width="11.5703125" customWidth="1"/>
    <col min="8685" max="8685" width="9.42578125" customWidth="1"/>
    <col min="8686" max="8686" width="6.42578125" customWidth="1"/>
    <col min="8687" max="8687" width="17" customWidth="1"/>
    <col min="8688" max="8689" width="15.140625" customWidth="1"/>
    <col min="8690" max="8690" width="8.85546875" customWidth="1"/>
    <col min="8691" max="8691" width="11.85546875" customWidth="1"/>
    <col min="8692" max="8692" width="17.5703125" customWidth="1"/>
    <col min="8693" max="8693" width="18.42578125" customWidth="1"/>
    <col min="8938" max="8938" width="7.42578125" customWidth="1"/>
    <col min="8939" max="8939" width="31.42578125" customWidth="1"/>
    <col min="8940" max="8940" width="11.5703125" customWidth="1"/>
    <col min="8941" max="8941" width="9.42578125" customWidth="1"/>
    <col min="8942" max="8942" width="6.42578125" customWidth="1"/>
    <col min="8943" max="8943" width="17" customWidth="1"/>
    <col min="8944" max="8945" width="15.140625" customWidth="1"/>
    <col min="8946" max="8946" width="8.85546875" customWidth="1"/>
    <col min="8947" max="8947" width="11.85546875" customWidth="1"/>
    <col min="8948" max="8948" width="17.5703125" customWidth="1"/>
    <col min="8949" max="8949" width="18.42578125" customWidth="1"/>
    <col min="9194" max="9194" width="7.42578125" customWidth="1"/>
    <col min="9195" max="9195" width="31.42578125" customWidth="1"/>
    <col min="9196" max="9196" width="11.5703125" customWidth="1"/>
    <col min="9197" max="9197" width="9.42578125" customWidth="1"/>
    <col min="9198" max="9198" width="6.42578125" customWidth="1"/>
    <col min="9199" max="9199" width="17" customWidth="1"/>
    <col min="9200" max="9201" width="15.140625" customWidth="1"/>
    <col min="9202" max="9202" width="8.85546875" customWidth="1"/>
    <col min="9203" max="9203" width="11.85546875" customWidth="1"/>
    <col min="9204" max="9204" width="17.5703125" customWidth="1"/>
    <col min="9205" max="9205" width="18.42578125" customWidth="1"/>
    <col min="9450" max="9450" width="7.42578125" customWidth="1"/>
    <col min="9451" max="9451" width="31.42578125" customWidth="1"/>
    <col min="9452" max="9452" width="11.5703125" customWidth="1"/>
    <col min="9453" max="9453" width="9.42578125" customWidth="1"/>
    <col min="9454" max="9454" width="6.42578125" customWidth="1"/>
    <col min="9455" max="9455" width="17" customWidth="1"/>
    <col min="9456" max="9457" width="15.140625" customWidth="1"/>
    <col min="9458" max="9458" width="8.85546875" customWidth="1"/>
    <col min="9459" max="9459" width="11.85546875" customWidth="1"/>
    <col min="9460" max="9460" width="17.5703125" customWidth="1"/>
    <col min="9461" max="9461" width="18.42578125" customWidth="1"/>
    <col min="9706" max="9706" width="7.42578125" customWidth="1"/>
    <col min="9707" max="9707" width="31.42578125" customWidth="1"/>
    <col min="9708" max="9708" width="11.5703125" customWidth="1"/>
    <col min="9709" max="9709" width="9.42578125" customWidth="1"/>
    <col min="9710" max="9710" width="6.42578125" customWidth="1"/>
    <col min="9711" max="9711" width="17" customWidth="1"/>
    <col min="9712" max="9713" width="15.140625" customWidth="1"/>
    <col min="9714" max="9714" width="8.85546875" customWidth="1"/>
    <col min="9715" max="9715" width="11.85546875" customWidth="1"/>
    <col min="9716" max="9716" width="17.5703125" customWidth="1"/>
    <col min="9717" max="9717" width="18.42578125" customWidth="1"/>
    <col min="9962" max="9962" width="7.42578125" customWidth="1"/>
    <col min="9963" max="9963" width="31.42578125" customWidth="1"/>
    <col min="9964" max="9964" width="11.5703125" customWidth="1"/>
    <col min="9965" max="9965" width="9.42578125" customWidth="1"/>
    <col min="9966" max="9966" width="6.42578125" customWidth="1"/>
    <col min="9967" max="9967" width="17" customWidth="1"/>
    <col min="9968" max="9969" width="15.140625" customWidth="1"/>
    <col min="9970" max="9970" width="8.85546875" customWidth="1"/>
    <col min="9971" max="9971" width="11.85546875" customWidth="1"/>
    <col min="9972" max="9972" width="17.5703125" customWidth="1"/>
    <col min="9973" max="9973" width="18.42578125" customWidth="1"/>
    <col min="10218" max="10218" width="7.42578125" customWidth="1"/>
    <col min="10219" max="10219" width="31.42578125" customWidth="1"/>
    <col min="10220" max="10220" width="11.5703125" customWidth="1"/>
    <col min="10221" max="10221" width="9.42578125" customWidth="1"/>
    <col min="10222" max="10222" width="6.42578125" customWidth="1"/>
    <col min="10223" max="10223" width="17" customWidth="1"/>
    <col min="10224" max="10225" width="15.140625" customWidth="1"/>
    <col min="10226" max="10226" width="8.85546875" customWidth="1"/>
    <col min="10227" max="10227" width="11.85546875" customWidth="1"/>
    <col min="10228" max="10228" width="17.5703125" customWidth="1"/>
    <col min="10229" max="10229" width="18.42578125" customWidth="1"/>
    <col min="10474" max="10474" width="7.42578125" customWidth="1"/>
    <col min="10475" max="10475" width="31.42578125" customWidth="1"/>
    <col min="10476" max="10476" width="11.5703125" customWidth="1"/>
    <col min="10477" max="10477" width="9.42578125" customWidth="1"/>
    <col min="10478" max="10478" width="6.42578125" customWidth="1"/>
    <col min="10479" max="10479" width="17" customWidth="1"/>
    <col min="10480" max="10481" width="15.140625" customWidth="1"/>
    <col min="10482" max="10482" width="8.85546875" customWidth="1"/>
    <col min="10483" max="10483" width="11.85546875" customWidth="1"/>
    <col min="10484" max="10484" width="17.5703125" customWidth="1"/>
    <col min="10485" max="10485" width="18.42578125" customWidth="1"/>
    <col min="10730" max="10730" width="7.42578125" customWidth="1"/>
    <col min="10731" max="10731" width="31.42578125" customWidth="1"/>
    <col min="10732" max="10732" width="11.5703125" customWidth="1"/>
    <col min="10733" max="10733" width="9.42578125" customWidth="1"/>
    <col min="10734" max="10734" width="6.42578125" customWidth="1"/>
    <col min="10735" max="10735" width="17" customWidth="1"/>
    <col min="10736" max="10737" width="15.140625" customWidth="1"/>
    <col min="10738" max="10738" width="8.85546875" customWidth="1"/>
    <col min="10739" max="10739" width="11.85546875" customWidth="1"/>
    <col min="10740" max="10740" width="17.5703125" customWidth="1"/>
    <col min="10741" max="10741" width="18.42578125" customWidth="1"/>
    <col min="10986" max="10986" width="7.42578125" customWidth="1"/>
    <col min="10987" max="10987" width="31.42578125" customWidth="1"/>
    <col min="10988" max="10988" width="11.5703125" customWidth="1"/>
    <col min="10989" max="10989" width="9.42578125" customWidth="1"/>
    <col min="10990" max="10990" width="6.42578125" customWidth="1"/>
    <col min="10991" max="10991" width="17" customWidth="1"/>
    <col min="10992" max="10993" width="15.140625" customWidth="1"/>
    <col min="10994" max="10994" width="8.85546875" customWidth="1"/>
    <col min="10995" max="10995" width="11.85546875" customWidth="1"/>
    <col min="10996" max="10996" width="17.5703125" customWidth="1"/>
    <col min="10997" max="10997" width="18.42578125" customWidth="1"/>
    <col min="11242" max="11242" width="7.42578125" customWidth="1"/>
    <col min="11243" max="11243" width="31.42578125" customWidth="1"/>
    <col min="11244" max="11244" width="11.5703125" customWidth="1"/>
    <col min="11245" max="11245" width="9.42578125" customWidth="1"/>
    <col min="11246" max="11246" width="6.42578125" customWidth="1"/>
    <col min="11247" max="11247" width="17" customWidth="1"/>
    <col min="11248" max="11249" width="15.140625" customWidth="1"/>
    <col min="11250" max="11250" width="8.85546875" customWidth="1"/>
    <col min="11251" max="11251" width="11.85546875" customWidth="1"/>
    <col min="11252" max="11252" width="17.5703125" customWidth="1"/>
    <col min="11253" max="11253" width="18.42578125" customWidth="1"/>
    <col min="11498" max="11498" width="7.42578125" customWidth="1"/>
    <col min="11499" max="11499" width="31.42578125" customWidth="1"/>
    <col min="11500" max="11500" width="11.5703125" customWidth="1"/>
    <col min="11501" max="11501" width="9.42578125" customWidth="1"/>
    <col min="11502" max="11502" width="6.42578125" customWidth="1"/>
    <col min="11503" max="11503" width="17" customWidth="1"/>
    <col min="11504" max="11505" width="15.140625" customWidth="1"/>
    <col min="11506" max="11506" width="8.85546875" customWidth="1"/>
    <col min="11507" max="11507" width="11.85546875" customWidth="1"/>
    <col min="11508" max="11508" width="17.5703125" customWidth="1"/>
    <col min="11509" max="11509" width="18.42578125" customWidth="1"/>
    <col min="11754" max="11754" width="7.42578125" customWidth="1"/>
    <col min="11755" max="11755" width="31.42578125" customWidth="1"/>
    <col min="11756" max="11756" width="11.5703125" customWidth="1"/>
    <col min="11757" max="11757" width="9.42578125" customWidth="1"/>
    <col min="11758" max="11758" width="6.42578125" customWidth="1"/>
    <col min="11759" max="11759" width="17" customWidth="1"/>
    <col min="11760" max="11761" width="15.140625" customWidth="1"/>
    <col min="11762" max="11762" width="8.85546875" customWidth="1"/>
    <col min="11763" max="11763" width="11.85546875" customWidth="1"/>
    <col min="11764" max="11764" width="17.5703125" customWidth="1"/>
    <col min="11765" max="11765" width="18.42578125" customWidth="1"/>
    <col min="12010" max="12010" width="7.42578125" customWidth="1"/>
    <col min="12011" max="12011" width="31.42578125" customWidth="1"/>
    <col min="12012" max="12012" width="11.5703125" customWidth="1"/>
    <col min="12013" max="12013" width="9.42578125" customWidth="1"/>
    <col min="12014" max="12014" width="6.42578125" customWidth="1"/>
    <col min="12015" max="12015" width="17" customWidth="1"/>
    <col min="12016" max="12017" width="15.140625" customWidth="1"/>
    <col min="12018" max="12018" width="8.85546875" customWidth="1"/>
    <col min="12019" max="12019" width="11.85546875" customWidth="1"/>
    <col min="12020" max="12020" width="17.5703125" customWidth="1"/>
    <col min="12021" max="12021" width="18.42578125" customWidth="1"/>
    <col min="12266" max="12266" width="7.42578125" customWidth="1"/>
    <col min="12267" max="12267" width="31.42578125" customWidth="1"/>
    <col min="12268" max="12268" width="11.5703125" customWidth="1"/>
    <col min="12269" max="12269" width="9.42578125" customWidth="1"/>
    <col min="12270" max="12270" width="6.42578125" customWidth="1"/>
    <col min="12271" max="12271" width="17" customWidth="1"/>
    <col min="12272" max="12273" width="15.140625" customWidth="1"/>
    <col min="12274" max="12274" width="8.85546875" customWidth="1"/>
    <col min="12275" max="12275" width="11.85546875" customWidth="1"/>
    <col min="12276" max="12276" width="17.5703125" customWidth="1"/>
    <col min="12277" max="12277" width="18.42578125" customWidth="1"/>
    <col min="12522" max="12522" width="7.42578125" customWidth="1"/>
    <col min="12523" max="12523" width="31.42578125" customWidth="1"/>
    <col min="12524" max="12524" width="11.5703125" customWidth="1"/>
    <col min="12525" max="12525" width="9.42578125" customWidth="1"/>
    <col min="12526" max="12526" width="6.42578125" customWidth="1"/>
    <col min="12527" max="12527" width="17" customWidth="1"/>
    <col min="12528" max="12529" width="15.140625" customWidth="1"/>
    <col min="12530" max="12530" width="8.85546875" customWidth="1"/>
    <col min="12531" max="12531" width="11.85546875" customWidth="1"/>
    <col min="12532" max="12532" width="17.5703125" customWidth="1"/>
    <col min="12533" max="12533" width="18.42578125" customWidth="1"/>
    <col min="12778" max="12778" width="7.42578125" customWidth="1"/>
    <col min="12779" max="12779" width="31.42578125" customWidth="1"/>
    <col min="12780" max="12780" width="11.5703125" customWidth="1"/>
    <col min="12781" max="12781" width="9.42578125" customWidth="1"/>
    <col min="12782" max="12782" width="6.42578125" customWidth="1"/>
    <col min="12783" max="12783" width="17" customWidth="1"/>
    <col min="12784" max="12785" width="15.140625" customWidth="1"/>
    <col min="12786" max="12786" width="8.85546875" customWidth="1"/>
    <col min="12787" max="12787" width="11.85546875" customWidth="1"/>
    <col min="12788" max="12788" width="17.5703125" customWidth="1"/>
    <col min="12789" max="12789" width="18.42578125" customWidth="1"/>
    <col min="13034" max="13034" width="7.42578125" customWidth="1"/>
    <col min="13035" max="13035" width="31.42578125" customWidth="1"/>
    <col min="13036" max="13036" width="11.5703125" customWidth="1"/>
    <col min="13037" max="13037" width="9.42578125" customWidth="1"/>
    <col min="13038" max="13038" width="6.42578125" customWidth="1"/>
    <col min="13039" max="13039" width="17" customWidth="1"/>
    <col min="13040" max="13041" width="15.140625" customWidth="1"/>
    <col min="13042" max="13042" width="8.85546875" customWidth="1"/>
    <col min="13043" max="13043" width="11.85546875" customWidth="1"/>
    <col min="13044" max="13044" width="17.5703125" customWidth="1"/>
    <col min="13045" max="13045" width="18.42578125" customWidth="1"/>
    <col min="13290" max="13290" width="7.42578125" customWidth="1"/>
    <col min="13291" max="13291" width="31.42578125" customWidth="1"/>
    <col min="13292" max="13292" width="11.5703125" customWidth="1"/>
    <col min="13293" max="13293" width="9.42578125" customWidth="1"/>
    <col min="13294" max="13294" width="6.42578125" customWidth="1"/>
    <col min="13295" max="13295" width="17" customWidth="1"/>
    <col min="13296" max="13297" width="15.140625" customWidth="1"/>
    <col min="13298" max="13298" width="8.85546875" customWidth="1"/>
    <col min="13299" max="13299" width="11.85546875" customWidth="1"/>
    <col min="13300" max="13300" width="17.5703125" customWidth="1"/>
    <col min="13301" max="13301" width="18.42578125" customWidth="1"/>
    <col min="13546" max="13546" width="7.42578125" customWidth="1"/>
    <col min="13547" max="13547" width="31.42578125" customWidth="1"/>
    <col min="13548" max="13548" width="11.5703125" customWidth="1"/>
    <col min="13549" max="13549" width="9.42578125" customWidth="1"/>
    <col min="13550" max="13550" width="6.42578125" customWidth="1"/>
    <col min="13551" max="13551" width="17" customWidth="1"/>
    <col min="13552" max="13553" width="15.140625" customWidth="1"/>
    <col min="13554" max="13554" width="8.85546875" customWidth="1"/>
    <col min="13555" max="13555" width="11.85546875" customWidth="1"/>
    <col min="13556" max="13556" width="17.5703125" customWidth="1"/>
    <col min="13557" max="13557" width="18.42578125" customWidth="1"/>
    <col min="13802" max="13802" width="7.42578125" customWidth="1"/>
    <col min="13803" max="13803" width="31.42578125" customWidth="1"/>
    <col min="13804" max="13804" width="11.5703125" customWidth="1"/>
    <col min="13805" max="13805" width="9.42578125" customWidth="1"/>
    <col min="13806" max="13806" width="6.42578125" customWidth="1"/>
    <col min="13807" max="13807" width="17" customWidth="1"/>
    <col min="13808" max="13809" width="15.140625" customWidth="1"/>
    <col min="13810" max="13810" width="8.85546875" customWidth="1"/>
    <col min="13811" max="13811" width="11.85546875" customWidth="1"/>
    <col min="13812" max="13812" width="17.5703125" customWidth="1"/>
    <col min="13813" max="13813" width="18.42578125" customWidth="1"/>
    <col min="14058" max="14058" width="7.42578125" customWidth="1"/>
    <col min="14059" max="14059" width="31.42578125" customWidth="1"/>
    <col min="14060" max="14060" width="11.5703125" customWidth="1"/>
    <col min="14061" max="14061" width="9.42578125" customWidth="1"/>
    <col min="14062" max="14062" width="6.42578125" customWidth="1"/>
    <col min="14063" max="14063" width="17" customWidth="1"/>
    <col min="14064" max="14065" width="15.140625" customWidth="1"/>
    <col min="14066" max="14066" width="8.85546875" customWidth="1"/>
    <col min="14067" max="14067" width="11.85546875" customWidth="1"/>
    <col min="14068" max="14068" width="17.5703125" customWidth="1"/>
    <col min="14069" max="14069" width="18.42578125" customWidth="1"/>
    <col min="14314" max="14314" width="7.42578125" customWidth="1"/>
    <col min="14315" max="14315" width="31.42578125" customWidth="1"/>
    <col min="14316" max="14316" width="11.5703125" customWidth="1"/>
    <col min="14317" max="14317" width="9.42578125" customWidth="1"/>
    <col min="14318" max="14318" width="6.42578125" customWidth="1"/>
    <col min="14319" max="14319" width="17" customWidth="1"/>
    <col min="14320" max="14321" width="15.140625" customWidth="1"/>
    <col min="14322" max="14322" width="8.85546875" customWidth="1"/>
    <col min="14323" max="14323" width="11.85546875" customWidth="1"/>
    <col min="14324" max="14324" width="17.5703125" customWidth="1"/>
    <col min="14325" max="14325" width="18.42578125" customWidth="1"/>
    <col min="14570" max="14570" width="7.42578125" customWidth="1"/>
    <col min="14571" max="14571" width="31.42578125" customWidth="1"/>
    <col min="14572" max="14572" width="11.5703125" customWidth="1"/>
    <col min="14573" max="14573" width="9.42578125" customWidth="1"/>
    <col min="14574" max="14574" width="6.42578125" customWidth="1"/>
    <col min="14575" max="14575" width="17" customWidth="1"/>
    <col min="14576" max="14577" width="15.140625" customWidth="1"/>
    <col min="14578" max="14578" width="8.85546875" customWidth="1"/>
    <col min="14579" max="14579" width="11.85546875" customWidth="1"/>
    <col min="14580" max="14580" width="17.5703125" customWidth="1"/>
    <col min="14581" max="14581" width="18.42578125" customWidth="1"/>
    <col min="14826" max="14826" width="7.42578125" customWidth="1"/>
    <col min="14827" max="14827" width="31.42578125" customWidth="1"/>
    <col min="14828" max="14828" width="11.5703125" customWidth="1"/>
    <col min="14829" max="14829" width="9.42578125" customWidth="1"/>
    <col min="14830" max="14830" width="6.42578125" customWidth="1"/>
    <col min="14831" max="14831" width="17" customWidth="1"/>
    <col min="14832" max="14833" width="15.140625" customWidth="1"/>
    <col min="14834" max="14834" width="8.85546875" customWidth="1"/>
    <col min="14835" max="14835" width="11.85546875" customWidth="1"/>
    <col min="14836" max="14836" width="17.5703125" customWidth="1"/>
    <col min="14837" max="14837" width="18.42578125" customWidth="1"/>
    <col min="15082" max="15082" width="7.42578125" customWidth="1"/>
    <col min="15083" max="15083" width="31.42578125" customWidth="1"/>
    <col min="15084" max="15084" width="11.5703125" customWidth="1"/>
    <col min="15085" max="15085" width="9.42578125" customWidth="1"/>
    <col min="15086" max="15086" width="6.42578125" customWidth="1"/>
    <col min="15087" max="15087" width="17" customWidth="1"/>
    <col min="15088" max="15089" width="15.140625" customWidth="1"/>
    <col min="15090" max="15090" width="8.85546875" customWidth="1"/>
    <col min="15091" max="15091" width="11.85546875" customWidth="1"/>
    <col min="15092" max="15092" width="17.5703125" customWidth="1"/>
    <col min="15093" max="15093" width="18.42578125" customWidth="1"/>
    <col min="15338" max="15338" width="7.42578125" customWidth="1"/>
    <col min="15339" max="15339" width="31.42578125" customWidth="1"/>
    <col min="15340" max="15340" width="11.5703125" customWidth="1"/>
    <col min="15341" max="15341" width="9.42578125" customWidth="1"/>
    <col min="15342" max="15342" width="6.42578125" customWidth="1"/>
    <col min="15343" max="15343" width="17" customWidth="1"/>
    <col min="15344" max="15345" width="15.140625" customWidth="1"/>
    <col min="15346" max="15346" width="8.85546875" customWidth="1"/>
    <col min="15347" max="15347" width="11.85546875" customWidth="1"/>
    <col min="15348" max="15348" width="17.5703125" customWidth="1"/>
    <col min="15349" max="15349" width="18.42578125" customWidth="1"/>
    <col min="15594" max="15594" width="7.42578125" customWidth="1"/>
    <col min="15595" max="15595" width="31.42578125" customWidth="1"/>
    <col min="15596" max="15596" width="11.5703125" customWidth="1"/>
    <col min="15597" max="15597" width="9.42578125" customWidth="1"/>
    <col min="15598" max="15598" width="6.42578125" customWidth="1"/>
    <col min="15599" max="15599" width="17" customWidth="1"/>
    <col min="15600" max="15601" width="15.140625" customWidth="1"/>
    <col min="15602" max="15602" width="8.85546875" customWidth="1"/>
    <col min="15603" max="15603" width="11.85546875" customWidth="1"/>
    <col min="15604" max="15604" width="17.5703125" customWidth="1"/>
    <col min="15605" max="15605" width="18.42578125" customWidth="1"/>
    <col min="15850" max="15850" width="7.42578125" customWidth="1"/>
    <col min="15851" max="15851" width="31.42578125" customWidth="1"/>
    <col min="15852" max="15852" width="11.5703125" customWidth="1"/>
    <col min="15853" max="15853" width="9.42578125" customWidth="1"/>
    <col min="15854" max="15854" width="6.42578125" customWidth="1"/>
    <col min="15855" max="15855" width="17" customWidth="1"/>
    <col min="15856" max="15857" width="15.140625" customWidth="1"/>
    <col min="15858" max="15858" width="8.85546875" customWidth="1"/>
    <col min="15859" max="15859" width="11.85546875" customWidth="1"/>
    <col min="15860" max="15860" width="17.5703125" customWidth="1"/>
    <col min="15861" max="15861" width="18.42578125" customWidth="1"/>
    <col min="16106" max="16106" width="7.42578125" customWidth="1"/>
    <col min="16107" max="16107" width="31.42578125" customWidth="1"/>
    <col min="16108" max="16108" width="11.5703125" customWidth="1"/>
    <col min="16109" max="16109" width="9.42578125" customWidth="1"/>
    <col min="16110" max="16110" width="6.42578125" customWidth="1"/>
    <col min="16111" max="16111" width="17" customWidth="1"/>
    <col min="16112" max="16113" width="15.140625" customWidth="1"/>
    <col min="16114" max="16114" width="8.85546875" customWidth="1"/>
    <col min="16115" max="16115" width="11.85546875" customWidth="1"/>
    <col min="16116" max="16116" width="17.5703125" customWidth="1"/>
    <col min="16117" max="16117" width="18.42578125" customWidth="1"/>
  </cols>
  <sheetData>
    <row r="1" spans="1:10" ht="35.1" customHeight="1">
      <c r="A1" s="444" t="s">
        <v>349</v>
      </c>
      <c r="B1" s="444"/>
      <c r="C1" s="444"/>
    </row>
    <row r="2" spans="1:10" ht="15.75">
      <c r="A2" s="428" t="s">
        <v>230</v>
      </c>
      <c r="B2" s="428"/>
      <c r="C2" s="428"/>
      <c r="D2" s="428"/>
    </row>
    <row r="3" spans="1:10" ht="33.6" customHeight="1" thickBot="1">
      <c r="A3" s="94"/>
      <c r="B3" s="94"/>
      <c r="C3" s="94"/>
    </row>
    <row r="4" spans="1:10" ht="60.75" customHeight="1" thickTop="1">
      <c r="A4" s="268" t="s">
        <v>345</v>
      </c>
      <c r="B4" s="12" t="s">
        <v>22</v>
      </c>
      <c r="C4" s="95" t="s">
        <v>72</v>
      </c>
      <c r="D4" s="96" t="s">
        <v>166</v>
      </c>
      <c r="E4" s="96" t="s">
        <v>224</v>
      </c>
      <c r="F4" s="96" t="s">
        <v>167</v>
      </c>
      <c r="G4" s="96" t="s">
        <v>168</v>
      </c>
      <c r="H4" s="96" t="s">
        <v>169</v>
      </c>
      <c r="I4" s="96" t="s">
        <v>170</v>
      </c>
      <c r="J4" s="272" t="s">
        <v>20</v>
      </c>
    </row>
    <row r="5" spans="1:10" ht="15" customHeight="1">
      <c r="A5" s="165" t="s">
        <v>279</v>
      </c>
      <c r="B5">
        <v>1</v>
      </c>
      <c r="C5" s="181" t="str">
        <f>VLOOKUP($A5,[15]LISTADHERENT!$A$5:$M$101,3,0)</f>
        <v>AROUEST</v>
      </c>
      <c r="D5" s="181" t="str">
        <f>VLOOKUP($A5,[15]LISTADHERENT!$A$5:$M$101,3,0)</f>
        <v>AROUEST</v>
      </c>
      <c r="E5" s="98">
        <v>30000</v>
      </c>
      <c r="F5" s="99" t="e">
        <f>-D5-E5+G5</f>
        <v>#VALUE!</v>
      </c>
      <c r="G5" s="5">
        <v>136500</v>
      </c>
      <c r="H5" s="115">
        <f>E39/32</f>
        <v>0</v>
      </c>
      <c r="I5" s="117">
        <f>H5-G5</f>
        <v>-136500</v>
      </c>
      <c r="J5" s="273" t="e">
        <f t="shared" ref="J5:J68" si="0">SUM(D5:I5)</f>
        <v>#VALUE!</v>
      </c>
    </row>
    <row r="6" spans="1:10" ht="13.5" customHeight="1">
      <c r="A6" s="165" t="s">
        <v>280</v>
      </c>
      <c r="B6">
        <v>2</v>
      </c>
      <c r="C6" s="181" t="str">
        <f>VLOOKUP($A6,[15]LISTADHERENT!$A$5:$M$101,3,0)</f>
        <v>BANGU CLOTILDE</v>
      </c>
      <c r="D6" s="98">
        <v>82500</v>
      </c>
      <c r="E6" s="98">
        <v>35000</v>
      </c>
      <c r="F6" s="99">
        <f t="shared" ref="F6:F36" si="1">-D6-E6+G6</f>
        <v>17000</v>
      </c>
      <c r="G6" s="5">
        <v>134500</v>
      </c>
      <c r="H6" s="115">
        <f>E39/32</f>
        <v>0</v>
      </c>
      <c r="I6" s="117">
        <f t="shared" ref="I6:I36" si="2">H6-G6</f>
        <v>-134500</v>
      </c>
      <c r="J6" s="273">
        <f t="shared" si="0"/>
        <v>134500</v>
      </c>
    </row>
    <row r="7" spans="1:10" ht="12.75" customHeight="1">
      <c r="A7" s="167" t="s">
        <v>281</v>
      </c>
      <c r="B7">
        <v>3</v>
      </c>
      <c r="C7" s="181" t="str">
        <f>VLOOKUP($A7,[15]LISTADHERENT!$A$5:$M$101,3,0)</f>
        <v>BELL Martine</v>
      </c>
      <c r="D7" s="98">
        <v>82500</v>
      </c>
      <c r="E7" s="98">
        <v>35000</v>
      </c>
      <c r="F7" s="99">
        <f t="shared" si="1"/>
        <v>17000</v>
      </c>
      <c r="G7" s="5">
        <v>134500</v>
      </c>
      <c r="H7" s="115">
        <f>E39/32</f>
        <v>0</v>
      </c>
      <c r="I7" s="117">
        <f t="shared" si="2"/>
        <v>-134500</v>
      </c>
      <c r="J7" s="273">
        <f t="shared" si="0"/>
        <v>134500</v>
      </c>
    </row>
    <row r="8" spans="1:10">
      <c r="A8" s="167" t="s">
        <v>282</v>
      </c>
      <c r="B8">
        <v>4</v>
      </c>
      <c r="C8" s="181" t="str">
        <f>VLOOKUP($A8,[15]LISTADHERENT!$A$5:$M$101,3,0)</f>
        <v>CHEIZING PATRIC</v>
      </c>
      <c r="D8" s="98">
        <v>97500</v>
      </c>
      <c r="E8" s="98">
        <v>20000</v>
      </c>
      <c r="F8" s="99">
        <f t="shared" si="1"/>
        <v>17000</v>
      </c>
      <c r="G8" s="5">
        <v>134500</v>
      </c>
      <c r="H8" s="115">
        <v>178781</v>
      </c>
      <c r="I8" s="99">
        <f t="shared" si="2"/>
        <v>44281</v>
      </c>
      <c r="J8" s="273">
        <f t="shared" si="0"/>
        <v>492062</v>
      </c>
    </row>
    <row r="9" spans="1:10">
      <c r="A9" s="165" t="s">
        <v>283</v>
      </c>
      <c r="B9">
        <v>5</v>
      </c>
      <c r="C9" s="181" t="str">
        <f>VLOOKUP($A9,[15]LISTADHERENT!$A$5:$M$101,3,0)</f>
        <v>CHOMNOU ANDRE</v>
      </c>
      <c r="D9" s="98">
        <v>82500</v>
      </c>
      <c r="E9" s="98">
        <v>35000</v>
      </c>
      <c r="F9" s="99">
        <f t="shared" si="1"/>
        <v>19000</v>
      </c>
      <c r="G9" s="5">
        <v>136500</v>
      </c>
      <c r="H9" s="115">
        <v>178781</v>
      </c>
      <c r="I9" s="99">
        <f t="shared" si="2"/>
        <v>42281</v>
      </c>
      <c r="J9" s="273">
        <f t="shared" si="0"/>
        <v>494062</v>
      </c>
    </row>
    <row r="10" spans="1:10">
      <c r="A10" s="165" t="s">
        <v>353</v>
      </c>
      <c r="B10">
        <v>6</v>
      </c>
      <c r="C10" s="181" t="str">
        <f>VLOOKUP($A10,[15]LISTADHERENT!$A$5:$M$101,3,0)</f>
        <v>DANGUE JEAN PIERRE</v>
      </c>
      <c r="D10" s="98">
        <v>97500</v>
      </c>
      <c r="E10" s="98">
        <v>15000</v>
      </c>
      <c r="F10" s="99">
        <f t="shared" si="1"/>
        <v>24000</v>
      </c>
      <c r="G10" s="5">
        <v>136500</v>
      </c>
      <c r="H10" s="115">
        <v>178781</v>
      </c>
      <c r="I10" s="99">
        <f t="shared" si="2"/>
        <v>42281</v>
      </c>
      <c r="J10" s="273">
        <f t="shared" si="0"/>
        <v>494062</v>
      </c>
    </row>
    <row r="11" spans="1:10">
      <c r="A11" s="165" t="s">
        <v>284</v>
      </c>
      <c r="B11">
        <v>7</v>
      </c>
      <c r="C11" s="181" t="str">
        <f>VLOOKUP($A11,[15]LISTADHERENT!$A$5:$M$101,3,0)</f>
        <v>DEUTCHEU JEAN CLAUDE</v>
      </c>
      <c r="D11" s="98">
        <v>82500</v>
      </c>
      <c r="E11" s="98">
        <v>35000</v>
      </c>
      <c r="F11" s="99">
        <f t="shared" si="1"/>
        <v>19000</v>
      </c>
      <c r="G11" s="5">
        <v>136500</v>
      </c>
      <c r="H11" s="115">
        <v>178781</v>
      </c>
      <c r="I11" s="99">
        <f t="shared" si="2"/>
        <v>42281</v>
      </c>
      <c r="J11" s="273">
        <f t="shared" si="0"/>
        <v>494062</v>
      </c>
    </row>
    <row r="12" spans="1:10">
      <c r="A12" s="167" t="s">
        <v>285</v>
      </c>
      <c r="B12">
        <v>8</v>
      </c>
      <c r="C12" s="181" t="str">
        <f>VLOOKUP($A12,[15]LISTADHERENT!$A$5:$M$101,3,0)</f>
        <v>DIBONJI PAUL</v>
      </c>
      <c r="D12" s="98">
        <v>82500</v>
      </c>
      <c r="E12" s="98">
        <v>35000</v>
      </c>
      <c r="F12" s="99">
        <f t="shared" si="1"/>
        <v>17000</v>
      </c>
      <c r="G12" s="5">
        <v>134500</v>
      </c>
      <c r="H12" s="115">
        <v>178781</v>
      </c>
      <c r="I12" s="99">
        <f t="shared" si="2"/>
        <v>44281</v>
      </c>
      <c r="J12" s="273">
        <f t="shared" si="0"/>
        <v>492062</v>
      </c>
    </row>
    <row r="13" spans="1:10">
      <c r="A13" s="165" t="s">
        <v>286</v>
      </c>
      <c r="B13">
        <v>9</v>
      </c>
      <c r="C13" s="181" t="str">
        <f>VLOOKUP($A13,[15]LISTADHERENT!$A$5:$M$101,3,0)</f>
        <v>DJUOMBESSY ANTOINE</v>
      </c>
      <c r="D13" s="98">
        <v>82500</v>
      </c>
      <c r="E13" s="98">
        <v>35000</v>
      </c>
      <c r="F13" s="99">
        <f t="shared" si="1"/>
        <v>19000</v>
      </c>
      <c r="G13" s="5">
        <v>136500</v>
      </c>
      <c r="H13" s="115">
        <v>178781</v>
      </c>
      <c r="I13" s="99">
        <f t="shared" si="2"/>
        <v>42281</v>
      </c>
      <c r="J13" s="273">
        <f t="shared" si="0"/>
        <v>494062</v>
      </c>
    </row>
    <row r="14" spans="1:10">
      <c r="A14" s="165" t="s">
        <v>287</v>
      </c>
      <c r="B14">
        <v>10</v>
      </c>
      <c r="C14" s="181" t="str">
        <f>VLOOKUP($A14,[15]LISTADHERENT!$A$5:$M$101,3,0)</f>
        <v>DONTSOP  CATHERINE</v>
      </c>
      <c r="D14" s="98">
        <v>82500</v>
      </c>
      <c r="E14" s="98">
        <v>35000</v>
      </c>
      <c r="F14" s="99">
        <f t="shared" si="1"/>
        <v>17000</v>
      </c>
      <c r="G14" s="5">
        <v>134500</v>
      </c>
      <c r="H14" s="115">
        <v>178781</v>
      </c>
      <c r="I14" s="99">
        <f t="shared" si="2"/>
        <v>44281</v>
      </c>
      <c r="J14" s="273">
        <f t="shared" si="0"/>
        <v>492062</v>
      </c>
    </row>
    <row r="15" spans="1:10">
      <c r="A15" s="165" t="s">
        <v>288</v>
      </c>
      <c r="B15">
        <v>11</v>
      </c>
      <c r="C15" s="181" t="str">
        <f>VLOOKUP($A15,[15]LISTADHERENT!$A$5:$M$101,3,0)</f>
        <v>DUTCHOU FANKO  ALICE SHELA</v>
      </c>
      <c r="D15" s="98">
        <v>82500</v>
      </c>
      <c r="E15" s="98">
        <v>35000</v>
      </c>
      <c r="F15" s="99">
        <f t="shared" si="1"/>
        <v>19000</v>
      </c>
      <c r="G15" s="5">
        <v>136500</v>
      </c>
      <c r="H15" s="115">
        <v>178781</v>
      </c>
      <c r="I15" s="99">
        <f t="shared" si="2"/>
        <v>42281</v>
      </c>
      <c r="J15" s="273">
        <f t="shared" si="0"/>
        <v>494062</v>
      </c>
    </row>
    <row r="16" spans="1:10">
      <c r="A16" s="165" t="s">
        <v>354</v>
      </c>
      <c r="B16">
        <v>12</v>
      </c>
      <c r="C16" s="181" t="str">
        <f>VLOOKUP($A16,[15]LISTADHERENT!$A$5:$M$101,3,0)</f>
        <v>DZEREM ANSELME</v>
      </c>
      <c r="D16" s="98">
        <v>82500</v>
      </c>
      <c r="E16" s="98">
        <v>35000</v>
      </c>
      <c r="F16" s="99">
        <f t="shared" si="1"/>
        <v>17000</v>
      </c>
      <c r="G16" s="5">
        <v>134500</v>
      </c>
      <c r="H16" s="115">
        <v>178781</v>
      </c>
      <c r="I16" s="99">
        <f t="shared" si="2"/>
        <v>44281</v>
      </c>
      <c r="J16" s="273">
        <f t="shared" si="0"/>
        <v>492062</v>
      </c>
    </row>
    <row r="17" spans="1:10">
      <c r="A17" s="165" t="s">
        <v>289</v>
      </c>
      <c r="B17">
        <v>13</v>
      </c>
      <c r="C17" s="181" t="str">
        <f>VLOOKUP($A17,[15]LISTADHERENT!$A$5:$M$101,3,0)</f>
        <v>EWOUDOU  EDITH</v>
      </c>
      <c r="D17" s="98">
        <v>82500</v>
      </c>
      <c r="E17" s="98">
        <v>35000</v>
      </c>
      <c r="F17" s="99">
        <f t="shared" si="1"/>
        <v>19000</v>
      </c>
      <c r="G17" s="5">
        <v>136500</v>
      </c>
      <c r="H17" s="115">
        <v>178781</v>
      </c>
      <c r="I17" s="99">
        <f t="shared" si="2"/>
        <v>42281</v>
      </c>
      <c r="J17" s="273">
        <f t="shared" si="0"/>
        <v>494062</v>
      </c>
    </row>
    <row r="18" spans="1:10">
      <c r="A18" s="165" t="s">
        <v>290</v>
      </c>
      <c r="B18">
        <v>14</v>
      </c>
      <c r="C18" s="181" t="str">
        <f>VLOOKUP($A18,[15]LISTADHERENT!$A$5:$M$101,3,0)</f>
        <v>FOPA GHISLAIN</v>
      </c>
      <c r="D18" s="98">
        <v>82500</v>
      </c>
      <c r="E18" s="98">
        <v>35000</v>
      </c>
      <c r="F18" s="99">
        <f t="shared" si="1"/>
        <v>37000</v>
      </c>
      <c r="G18" s="5">
        <v>154500</v>
      </c>
      <c r="H18" s="115">
        <v>178781</v>
      </c>
      <c r="I18" s="99">
        <f t="shared" si="2"/>
        <v>24281</v>
      </c>
      <c r="J18" s="273">
        <f t="shared" si="0"/>
        <v>512062</v>
      </c>
    </row>
    <row r="19" spans="1:10">
      <c r="A19" s="165" t="s">
        <v>291</v>
      </c>
      <c r="B19">
        <v>15</v>
      </c>
      <c r="C19" s="181" t="str">
        <f>VLOOKUP($A19,[15]LISTADHERENT!$A$5:$M$101,3,0)</f>
        <v>FOTSO Appolinaire</v>
      </c>
      <c r="D19" s="98">
        <v>82500</v>
      </c>
      <c r="E19" s="98">
        <v>35000</v>
      </c>
      <c r="F19" s="99">
        <f t="shared" si="1"/>
        <v>17000</v>
      </c>
      <c r="G19" s="5">
        <v>134500</v>
      </c>
      <c r="H19" s="115">
        <v>178781</v>
      </c>
      <c r="I19" s="99">
        <f t="shared" si="2"/>
        <v>44281</v>
      </c>
      <c r="J19" s="273">
        <f t="shared" si="0"/>
        <v>492062</v>
      </c>
    </row>
    <row r="20" spans="1:10">
      <c r="A20" s="165" t="s">
        <v>292</v>
      </c>
      <c r="B20">
        <v>16</v>
      </c>
      <c r="C20" s="181" t="str">
        <f>VLOOKUP($A20,[15]LISTADHERENT!$A$5:$M$101,3,0)</f>
        <v>FOUTE MARIE LAURE</v>
      </c>
      <c r="D20" s="98">
        <v>87500</v>
      </c>
      <c r="E20" s="98">
        <v>30000</v>
      </c>
      <c r="F20" s="99">
        <f t="shared" si="1"/>
        <v>17000</v>
      </c>
      <c r="G20" s="5">
        <v>134500</v>
      </c>
      <c r="H20" s="115">
        <v>178781</v>
      </c>
      <c r="I20" s="99">
        <f t="shared" si="2"/>
        <v>44281</v>
      </c>
      <c r="J20" s="273">
        <f t="shared" si="0"/>
        <v>492062</v>
      </c>
    </row>
    <row r="21" spans="1:10">
      <c r="A21" s="165" t="s">
        <v>293</v>
      </c>
      <c r="B21">
        <v>17</v>
      </c>
      <c r="C21" s="181" t="str">
        <f>VLOOKUP($A21,[15]LISTADHERENT!$A$5:$M$101,3,0)</f>
        <v>FUMBA TAHO ROLAND</v>
      </c>
      <c r="D21" s="98">
        <v>82500</v>
      </c>
      <c r="E21" s="98">
        <v>35000</v>
      </c>
      <c r="F21" s="99">
        <f t="shared" si="1"/>
        <v>19000</v>
      </c>
      <c r="G21" s="5">
        <v>136500</v>
      </c>
      <c r="H21" s="115">
        <v>178781</v>
      </c>
      <c r="I21" s="99">
        <f t="shared" si="2"/>
        <v>42281</v>
      </c>
      <c r="J21" s="273">
        <f t="shared" si="0"/>
        <v>494062</v>
      </c>
    </row>
    <row r="22" spans="1:10">
      <c r="A22" s="165" t="s">
        <v>294</v>
      </c>
      <c r="B22">
        <v>18</v>
      </c>
      <c r="C22" s="181" t="str">
        <f>VLOOKUP($A22,[15]LISTADHERENT!$A$5:$M$101,3,0)</f>
        <v>KAMGA JOSEPH</v>
      </c>
      <c r="D22" s="98">
        <v>82500</v>
      </c>
      <c r="E22" s="98">
        <v>35000</v>
      </c>
      <c r="F22" s="99">
        <f t="shared" si="1"/>
        <v>17000</v>
      </c>
      <c r="G22" s="5">
        <v>134500</v>
      </c>
      <c r="H22" s="115">
        <v>178781</v>
      </c>
      <c r="I22" s="99">
        <f t="shared" si="2"/>
        <v>44281</v>
      </c>
      <c r="J22" s="273">
        <f t="shared" si="0"/>
        <v>492062</v>
      </c>
    </row>
    <row r="23" spans="1:10">
      <c r="A23" s="165" t="s">
        <v>295</v>
      </c>
      <c r="B23">
        <v>19</v>
      </c>
      <c r="C23" s="181" t="str">
        <f>VLOOKUP($A23,[15]LISTADHERENT!$A$5:$M$101,3,0)</f>
        <v>KAMGAING ENERSTINE Epse NOAH</v>
      </c>
      <c r="D23" s="98">
        <v>82500</v>
      </c>
      <c r="E23" s="98">
        <v>35000</v>
      </c>
      <c r="F23" s="99">
        <f t="shared" si="1"/>
        <v>19000</v>
      </c>
      <c r="G23" s="5">
        <v>136500</v>
      </c>
      <c r="H23" s="115">
        <v>178781</v>
      </c>
      <c r="I23" s="99">
        <f t="shared" si="2"/>
        <v>42281</v>
      </c>
      <c r="J23" s="273">
        <f t="shared" si="0"/>
        <v>494062</v>
      </c>
    </row>
    <row r="24" spans="1:10">
      <c r="A24" s="165" t="s">
        <v>296</v>
      </c>
      <c r="B24">
        <v>20</v>
      </c>
      <c r="C24" s="181" t="str">
        <f>VLOOKUP($A24,[15]LISTADHERENT!$A$5:$M$101,3,0)</f>
        <v>KAMGANG Samuel</v>
      </c>
      <c r="D24" s="98">
        <v>87500</v>
      </c>
      <c r="E24" s="98">
        <v>30000</v>
      </c>
      <c r="F24" s="99">
        <f t="shared" si="1"/>
        <v>20000</v>
      </c>
      <c r="G24" s="5">
        <v>137500</v>
      </c>
      <c r="H24" s="115">
        <v>178781</v>
      </c>
      <c r="I24" s="99">
        <f t="shared" si="2"/>
        <v>41281</v>
      </c>
      <c r="J24" s="273">
        <f t="shared" si="0"/>
        <v>495062</v>
      </c>
    </row>
    <row r="25" spans="1:10">
      <c r="A25" s="165" t="s">
        <v>297</v>
      </c>
      <c r="B25">
        <v>21</v>
      </c>
      <c r="C25" s="181" t="str">
        <f>VLOOKUP($A25,[15]LISTADHERENT!$A$5:$M$101,3,0)</f>
        <v>KAMGUEM NONO Carole</v>
      </c>
      <c r="D25" s="98">
        <v>87500</v>
      </c>
      <c r="E25" s="98">
        <v>30000</v>
      </c>
      <c r="F25" s="99">
        <f t="shared" si="1"/>
        <v>19000</v>
      </c>
      <c r="G25" s="5">
        <v>136500</v>
      </c>
      <c r="H25" s="115">
        <v>178781</v>
      </c>
      <c r="I25" s="99">
        <f t="shared" si="2"/>
        <v>42281</v>
      </c>
      <c r="J25" s="273">
        <f t="shared" si="0"/>
        <v>494062</v>
      </c>
    </row>
    <row r="26" spans="1:10">
      <c r="A26" s="165" t="s">
        <v>298</v>
      </c>
      <c r="B26">
        <v>22</v>
      </c>
      <c r="C26" s="181" t="str">
        <f>VLOOKUP($A26,[15]LISTADHERENT!$A$5:$M$101,3,0)</f>
        <v>KAMNO</v>
      </c>
      <c r="D26" s="98">
        <v>82500</v>
      </c>
      <c r="E26" s="98">
        <v>35000</v>
      </c>
      <c r="F26" s="99">
        <f>-D26-E26+G26</f>
        <v>19000</v>
      </c>
      <c r="G26" s="5">
        <v>136500</v>
      </c>
      <c r="H26" s="115">
        <v>178781</v>
      </c>
      <c r="I26" s="99">
        <f>H26-G26</f>
        <v>42281</v>
      </c>
      <c r="J26" s="273">
        <f t="shared" si="0"/>
        <v>494062</v>
      </c>
    </row>
    <row r="27" spans="1:10">
      <c r="A27" s="165" t="s">
        <v>355</v>
      </c>
      <c r="B27">
        <v>23</v>
      </c>
      <c r="C27" s="181" t="str">
        <f>VLOOKUP($A27,[15]LISTADHERENT!$A$5:$M$101,3,0)</f>
        <v>KAMTA ETIENNE</v>
      </c>
      <c r="D27" s="98">
        <v>82500</v>
      </c>
      <c r="E27" s="98">
        <v>35000</v>
      </c>
      <c r="F27" s="99">
        <f>-D27-E27+G27</f>
        <v>20000</v>
      </c>
      <c r="G27" s="5">
        <v>137500</v>
      </c>
      <c r="H27" s="115">
        <v>178781</v>
      </c>
      <c r="I27" s="99">
        <f>H27-G27</f>
        <v>41281</v>
      </c>
      <c r="J27" s="273">
        <f t="shared" si="0"/>
        <v>495062</v>
      </c>
    </row>
    <row r="28" spans="1:10">
      <c r="A28" s="165" t="s">
        <v>299</v>
      </c>
      <c r="B28">
        <v>24</v>
      </c>
      <c r="C28" s="181" t="str">
        <f>VLOOKUP($A28,[15]LISTADHERENT!$A$5:$M$101,3,0)</f>
        <v>KANKEU FOTSING CHRETIEN</v>
      </c>
      <c r="D28" s="98">
        <v>82500</v>
      </c>
      <c r="E28" s="98">
        <v>35000</v>
      </c>
      <c r="F28" s="99">
        <f>-D28-E28+G28</f>
        <v>19000</v>
      </c>
      <c r="G28" s="5">
        <v>136500</v>
      </c>
      <c r="H28" s="115">
        <v>178781</v>
      </c>
      <c r="I28" s="99">
        <f>H28-G28</f>
        <v>42281</v>
      </c>
      <c r="J28" s="273">
        <f t="shared" si="0"/>
        <v>494062</v>
      </c>
    </row>
    <row r="29" spans="1:10">
      <c r="A29" s="165" t="s">
        <v>356</v>
      </c>
      <c r="B29">
        <v>25</v>
      </c>
      <c r="C29" s="181" t="str">
        <f>VLOOKUP($A29,[15]LISTADHERENT!$A$5:$M$101,3,0)</f>
        <v>KEMADJOU ELISEE</v>
      </c>
      <c r="D29" s="98">
        <v>82500</v>
      </c>
      <c r="E29" s="98">
        <v>35000</v>
      </c>
      <c r="F29" s="99">
        <f t="shared" si="1"/>
        <v>17000</v>
      </c>
      <c r="G29" s="5">
        <v>134500</v>
      </c>
      <c r="H29" s="115">
        <v>178781</v>
      </c>
      <c r="I29" s="99">
        <f t="shared" si="2"/>
        <v>44281</v>
      </c>
      <c r="J29" s="273">
        <f t="shared" si="0"/>
        <v>492062</v>
      </c>
    </row>
    <row r="30" spans="1:10">
      <c r="A30" s="165" t="s">
        <v>357</v>
      </c>
      <c r="B30">
        <v>26</v>
      </c>
      <c r="C30" s="181" t="str">
        <f>VLOOKUP($A30,[15]LISTADHERENT!$A$5:$M$101,3,0)</f>
        <v>KENGNE BASILE BERTIN</v>
      </c>
      <c r="D30" s="98">
        <v>82500</v>
      </c>
      <c r="E30" s="98">
        <v>35000</v>
      </c>
      <c r="F30" s="99">
        <f t="shared" si="1"/>
        <v>19000</v>
      </c>
      <c r="G30" s="5">
        <v>136500</v>
      </c>
      <c r="H30" s="115">
        <v>178781</v>
      </c>
      <c r="I30" s="99">
        <f t="shared" si="2"/>
        <v>42281</v>
      </c>
      <c r="J30" s="273">
        <f t="shared" si="0"/>
        <v>494062</v>
      </c>
    </row>
    <row r="31" spans="1:10">
      <c r="A31" s="165" t="s">
        <v>300</v>
      </c>
      <c r="B31">
        <v>27</v>
      </c>
      <c r="C31" s="181" t="str">
        <f>VLOOKUP($A31,[15]LISTADHERENT!$A$5:$M$101,3,0)</f>
        <v>KOLOKO Julienne</v>
      </c>
      <c r="D31" s="98">
        <v>82500</v>
      </c>
      <c r="E31" s="98">
        <v>35000</v>
      </c>
      <c r="F31" s="99">
        <f t="shared" si="1"/>
        <v>19000</v>
      </c>
      <c r="G31" s="5">
        <v>136500</v>
      </c>
      <c r="H31" s="115">
        <v>178781</v>
      </c>
      <c r="I31" s="99">
        <f t="shared" si="2"/>
        <v>42281</v>
      </c>
      <c r="J31" s="273">
        <f t="shared" si="0"/>
        <v>494062</v>
      </c>
    </row>
    <row r="32" spans="1:10">
      <c r="A32" s="165" t="s">
        <v>358</v>
      </c>
      <c r="B32">
        <v>28</v>
      </c>
      <c r="C32" s="181" t="str">
        <f>VLOOKUP($A32,[15]LISTADHERENT!$A$5:$M$101,3,0)</f>
        <v>KUETE KENFACK MARCELIN</v>
      </c>
      <c r="D32" s="98">
        <v>82500</v>
      </c>
      <c r="E32" s="98">
        <v>35000</v>
      </c>
      <c r="F32" s="99">
        <f t="shared" si="1"/>
        <v>17000</v>
      </c>
      <c r="G32" s="5">
        <v>134500</v>
      </c>
      <c r="H32" s="115">
        <v>178781</v>
      </c>
      <c r="I32" s="99">
        <f t="shared" si="2"/>
        <v>44281</v>
      </c>
      <c r="J32" s="273">
        <f t="shared" si="0"/>
        <v>492062</v>
      </c>
    </row>
    <row r="33" spans="1:10">
      <c r="A33" s="165" t="s">
        <v>359</v>
      </c>
      <c r="B33">
        <v>29</v>
      </c>
      <c r="C33" s="181" t="str">
        <f>VLOOKUP($A33,[15]LISTADHERENT!$A$5:$M$101,3,0)</f>
        <v>LAMBO Elie</v>
      </c>
      <c r="D33" s="98">
        <v>82500</v>
      </c>
      <c r="E33" s="98">
        <v>35000</v>
      </c>
      <c r="F33" s="99">
        <f t="shared" si="1"/>
        <v>24900</v>
      </c>
      <c r="G33" s="5">
        <v>142400</v>
      </c>
      <c r="H33" s="115">
        <v>178781</v>
      </c>
      <c r="I33" s="99">
        <f t="shared" si="2"/>
        <v>36381</v>
      </c>
      <c r="J33" s="273">
        <f t="shared" si="0"/>
        <v>499962</v>
      </c>
    </row>
    <row r="34" spans="1:10">
      <c r="A34" s="167" t="s">
        <v>301</v>
      </c>
      <c r="B34">
        <v>30</v>
      </c>
      <c r="C34" s="181" t="str">
        <f>VLOOKUP($A34,[15]LISTADHERENT!$A$5:$M$101,3,0)</f>
        <v>LEBO WOTO</v>
      </c>
      <c r="D34" s="98">
        <v>82500</v>
      </c>
      <c r="E34" s="98">
        <v>35000</v>
      </c>
      <c r="F34" s="99">
        <f t="shared" si="1"/>
        <v>17000</v>
      </c>
      <c r="G34" s="5">
        <v>134500</v>
      </c>
      <c r="H34" s="115">
        <v>178781</v>
      </c>
      <c r="I34" s="99">
        <f t="shared" si="2"/>
        <v>44281</v>
      </c>
      <c r="J34" s="273">
        <f t="shared" si="0"/>
        <v>492062</v>
      </c>
    </row>
    <row r="35" spans="1:10">
      <c r="A35" s="165" t="s">
        <v>302</v>
      </c>
      <c r="B35">
        <v>31</v>
      </c>
      <c r="C35" s="181" t="str">
        <f>VLOOKUP($A35,[15]LISTADHERENT!$A$5:$M$101,3,0)</f>
        <v>MEGAPTCHE J Jules</v>
      </c>
      <c r="D35" s="98">
        <v>92500</v>
      </c>
      <c r="E35" s="98">
        <v>25000</v>
      </c>
      <c r="F35" s="99">
        <f t="shared" si="1"/>
        <v>37000</v>
      </c>
      <c r="G35" s="5">
        <v>154500</v>
      </c>
      <c r="H35" s="115">
        <v>178781</v>
      </c>
      <c r="I35" s="99">
        <f t="shared" si="2"/>
        <v>24281</v>
      </c>
      <c r="J35" s="273">
        <f t="shared" si="0"/>
        <v>512062</v>
      </c>
    </row>
    <row r="36" spans="1:10">
      <c r="A36" s="165" t="s">
        <v>303</v>
      </c>
      <c r="B36">
        <v>32</v>
      </c>
      <c r="C36" s="181" t="str">
        <f>VLOOKUP($A36,[15]LISTADHERENT!$A$5:$M$101,3,0)</f>
        <v>MGBORON ISSIAKA</v>
      </c>
      <c r="D36" s="98">
        <v>82500</v>
      </c>
      <c r="E36" s="98">
        <v>35000</v>
      </c>
      <c r="F36" s="99">
        <f t="shared" si="1"/>
        <v>17000</v>
      </c>
      <c r="G36" s="5">
        <v>134500</v>
      </c>
      <c r="H36" s="115">
        <v>178781</v>
      </c>
      <c r="I36" s="99">
        <f t="shared" si="2"/>
        <v>44281</v>
      </c>
      <c r="J36" s="273">
        <f t="shared" si="0"/>
        <v>492062</v>
      </c>
    </row>
    <row r="37" spans="1:10">
      <c r="A37" s="165" t="s">
        <v>360</v>
      </c>
      <c r="B37" s="142">
        <v>33</v>
      </c>
      <c r="C37" s="181" t="str">
        <f>VLOOKUP($A37,[15]LISTADHERENT!$A$5:$M$101,3,0)</f>
        <v>MOMENI FIDELE</v>
      </c>
      <c r="D37" s="182">
        <f>VLOOKUP($A37,[7]MVTRESUME22!$A$6:$AV$89,37,0)</f>
        <v>0</v>
      </c>
      <c r="E37" s="182">
        <f>VLOOKUP($A37,[7]MVTRESUME22!$A$6:$AV$89,38,0)</f>
        <v>0</v>
      </c>
      <c r="F37" s="182">
        <f>VLOOKUP($A37,[7]MVTRESUME22!$A$6:$AV$89,39,0)</f>
        <v>0</v>
      </c>
      <c r="G37" s="182">
        <f>VLOOKUP($A37,[7]MVTRESUME22!$A$6:$AV$89,40,0)</f>
        <v>0</v>
      </c>
      <c r="H37" s="182">
        <f>VLOOKUP($A37,[7]MVTRESUME22!$A$6:$AV$89,41,0)</f>
        <v>0</v>
      </c>
      <c r="I37" s="182">
        <f>VLOOKUP($A37,[7]MVTRESUME22!$A$6:$AV$89,42,0)</f>
        <v>0</v>
      </c>
      <c r="J37" s="273">
        <f t="shared" si="0"/>
        <v>0</v>
      </c>
    </row>
    <row r="38" spans="1:10">
      <c r="A38" s="165" t="s">
        <v>304</v>
      </c>
      <c r="B38" s="142">
        <v>34</v>
      </c>
      <c r="C38" s="181" t="str">
        <f>VLOOKUP($A38,[15]LISTADHERENT!$A$5:$M$101,3,0)</f>
        <v>MONKAM VINCENT</v>
      </c>
      <c r="D38" s="182">
        <f>VLOOKUP($A38,[7]MVTRESUME22!$A$6:$AV$89,37,0)</f>
        <v>0</v>
      </c>
      <c r="E38" s="182">
        <f>VLOOKUP($A38,[7]MVTRESUME22!$A$6:$AV$89,38,0)</f>
        <v>0</v>
      </c>
      <c r="F38" s="182">
        <f>VLOOKUP($A38,[7]MVTRESUME22!$A$6:$AV$89,39,0)</f>
        <v>0</v>
      </c>
      <c r="G38" s="182">
        <f>VLOOKUP($A38,[7]MVTRESUME22!$A$6:$AV$89,40,0)</f>
        <v>0</v>
      </c>
      <c r="H38" s="182">
        <f>VLOOKUP($A38,[7]MVTRESUME22!$A$6:$AV$89,41,0)</f>
        <v>0</v>
      </c>
      <c r="I38" s="182">
        <f>VLOOKUP($A38,[7]MVTRESUME22!$A$6:$AV$89,42,0)</f>
        <v>0</v>
      </c>
      <c r="J38" s="273">
        <f t="shared" si="0"/>
        <v>0</v>
      </c>
    </row>
    <row r="39" spans="1:10">
      <c r="A39" s="165" t="s">
        <v>305</v>
      </c>
      <c r="B39" s="142">
        <v>35</v>
      </c>
      <c r="C39" s="181" t="str">
        <f>VLOOKUP($A39,[15]LISTADHERENT!$A$5:$M$101,3,0)</f>
        <v>MVOLA ANTOINETTE NEE NJOMOU</v>
      </c>
      <c r="D39" s="182">
        <f>VLOOKUP($A39,[7]MVTRESUME22!$A$6:$AV$89,37,0)</f>
        <v>0</v>
      </c>
      <c r="E39" s="182">
        <f>VLOOKUP($A39,[7]MVTRESUME22!$A$6:$AV$89,38,0)</f>
        <v>0</v>
      </c>
      <c r="F39" s="182">
        <f>VLOOKUP($A39,[7]MVTRESUME22!$A$6:$AV$89,39,0)</f>
        <v>0</v>
      </c>
      <c r="G39" s="182">
        <f>VLOOKUP($A39,[7]MVTRESUME22!$A$6:$AV$89,40,0)</f>
        <v>0</v>
      </c>
      <c r="H39" s="182">
        <f>VLOOKUP($A39,[7]MVTRESUME22!$A$6:$AV$89,41,0)</f>
        <v>0</v>
      </c>
      <c r="I39" s="182">
        <f>VLOOKUP($A39,[7]MVTRESUME22!$A$6:$AV$89,42,0)</f>
        <v>0</v>
      </c>
      <c r="J39" s="273">
        <f t="shared" si="0"/>
        <v>0</v>
      </c>
    </row>
    <row r="40" spans="1:10">
      <c r="A40" s="165" t="s">
        <v>306</v>
      </c>
      <c r="B40" s="142">
        <v>36</v>
      </c>
      <c r="C40" s="181" t="str">
        <f>VLOOKUP($A40,[15]LISTADHERENT!$A$5:$M$101,3,0)</f>
        <v xml:space="preserve">NANA Raymond </v>
      </c>
      <c r="D40" s="182">
        <f>VLOOKUP($A40,[7]MVTRESUME22!$A$6:$AV$89,37,0)</f>
        <v>0</v>
      </c>
      <c r="E40" s="182">
        <f>VLOOKUP($A40,[7]MVTRESUME22!$A$6:$AV$89,38,0)</f>
        <v>0</v>
      </c>
      <c r="F40" s="182">
        <f>VLOOKUP($A40,[7]MVTRESUME22!$A$6:$AV$89,39,0)</f>
        <v>0</v>
      </c>
      <c r="G40" s="182">
        <f>VLOOKUP($A40,[7]MVTRESUME22!$A$6:$AV$89,40,0)</f>
        <v>0</v>
      </c>
      <c r="H40" s="182">
        <f>VLOOKUP($A40,[7]MVTRESUME22!$A$6:$AV$89,41,0)</f>
        <v>0</v>
      </c>
      <c r="I40" s="182">
        <f>VLOOKUP($A40,[7]MVTRESUME22!$A$6:$AV$89,42,0)</f>
        <v>0</v>
      </c>
      <c r="J40" s="273">
        <f t="shared" si="0"/>
        <v>0</v>
      </c>
    </row>
    <row r="41" spans="1:10">
      <c r="A41" s="165" t="s">
        <v>307</v>
      </c>
      <c r="B41" s="142">
        <v>37</v>
      </c>
      <c r="C41" s="181" t="str">
        <f>VLOOKUP($A41,[15]LISTADHERENT!$A$5:$M$101,3,0)</f>
        <v>NDANGA MATHIEU</v>
      </c>
      <c r="D41" s="182">
        <f>VLOOKUP($A41,[7]MVTRESUME22!$A$6:$AV$89,37,0)</f>
        <v>0</v>
      </c>
      <c r="E41" s="182">
        <f>VLOOKUP($A41,[7]MVTRESUME22!$A$6:$AV$89,38,0)</f>
        <v>0</v>
      </c>
      <c r="F41" s="182">
        <f>VLOOKUP($A41,[7]MVTRESUME22!$A$6:$AV$89,39,0)</f>
        <v>0</v>
      </c>
      <c r="G41" s="182">
        <f>VLOOKUP($A41,[7]MVTRESUME22!$A$6:$AV$89,40,0)</f>
        <v>0</v>
      </c>
      <c r="H41" s="182">
        <f>VLOOKUP($A41,[7]MVTRESUME22!$A$6:$AV$89,41,0)</f>
        <v>0</v>
      </c>
      <c r="I41" s="182">
        <f>VLOOKUP($A41,[7]MVTRESUME22!$A$6:$AV$89,42,0)</f>
        <v>0</v>
      </c>
      <c r="J41" s="273">
        <f t="shared" si="0"/>
        <v>0</v>
      </c>
    </row>
    <row r="42" spans="1:10">
      <c r="A42" s="165" t="s">
        <v>308</v>
      </c>
      <c r="B42" s="142">
        <v>38</v>
      </c>
      <c r="C42" s="181" t="str">
        <f>VLOOKUP($A42,[15]LISTADHERENT!$A$5:$M$101,3,0)</f>
        <v>NDEFO Pierre Paul</v>
      </c>
      <c r="D42" s="182">
        <f>VLOOKUP($A42,[7]MVTRESUME22!$A$6:$AV$89,37,0)</f>
        <v>0</v>
      </c>
      <c r="E42" s="182">
        <f>VLOOKUP($A42,[7]MVTRESUME22!$A$6:$AV$89,38,0)</f>
        <v>0</v>
      </c>
      <c r="F42" s="182">
        <f>VLOOKUP($A42,[7]MVTRESUME22!$A$6:$AV$89,39,0)</f>
        <v>25000</v>
      </c>
      <c r="G42" s="182">
        <f>VLOOKUP($A42,[7]MVTRESUME22!$A$6:$AV$89,40,0)</f>
        <v>25000</v>
      </c>
      <c r="H42" s="182">
        <f>VLOOKUP($A42,[7]MVTRESUME22!$A$6:$AV$89,41,0)</f>
        <v>0</v>
      </c>
      <c r="I42" s="182">
        <f>VLOOKUP($A42,[7]MVTRESUME22!$A$6:$AV$89,42,0)</f>
        <v>0</v>
      </c>
      <c r="J42" s="273">
        <f t="shared" si="0"/>
        <v>50000</v>
      </c>
    </row>
    <row r="43" spans="1:10">
      <c r="A43" s="165" t="s">
        <v>309</v>
      </c>
      <c r="B43" s="142">
        <v>39</v>
      </c>
      <c r="C43" s="181" t="str">
        <f>VLOOKUP($A43,[15]LISTADHERENT!$A$5:$M$101,3,0)</f>
        <v>NDEUKA Celine</v>
      </c>
      <c r="D43" s="182">
        <f>VLOOKUP($A43,[7]MVTRESUME22!$A$6:$AV$89,37,0)</f>
        <v>0</v>
      </c>
      <c r="E43" s="182">
        <f>VLOOKUP($A43,[7]MVTRESUME22!$A$6:$AV$89,38,0)</f>
        <v>0</v>
      </c>
      <c r="F43" s="182">
        <f>VLOOKUP($A43,[7]MVTRESUME22!$A$6:$AV$89,39,0)</f>
        <v>0</v>
      </c>
      <c r="G43" s="182">
        <f>VLOOKUP($A43,[7]MVTRESUME22!$A$6:$AV$89,40,0)</f>
        <v>0</v>
      </c>
      <c r="H43" s="182">
        <f>VLOOKUP($A43,[7]MVTRESUME22!$A$6:$AV$89,41,0)</f>
        <v>0</v>
      </c>
      <c r="I43" s="182">
        <f>VLOOKUP($A43,[7]MVTRESUME22!$A$6:$AV$89,42,0)</f>
        <v>0</v>
      </c>
      <c r="J43" s="273">
        <f t="shared" si="0"/>
        <v>0</v>
      </c>
    </row>
    <row r="44" spans="1:10">
      <c r="A44" s="165" t="s">
        <v>310</v>
      </c>
      <c r="B44" s="142">
        <v>40</v>
      </c>
      <c r="C44" s="181" t="str">
        <f>VLOOKUP($A44,[15]LISTADHERENT!$A$5:$M$101,3,0)</f>
        <v>NEWO KATOU BLAISE</v>
      </c>
      <c r="D44" s="182">
        <f>VLOOKUP($A44,[7]MVTRESUME22!$A$6:$AV$89,37,0)</f>
        <v>0</v>
      </c>
      <c r="E44" s="182">
        <f>VLOOKUP($A44,[7]MVTRESUME22!$A$6:$AV$89,38,0)</f>
        <v>0</v>
      </c>
      <c r="F44" s="182">
        <f>VLOOKUP($A44,[7]MVTRESUME22!$A$6:$AV$89,39,0)</f>
        <v>0</v>
      </c>
      <c r="G44" s="182">
        <f>VLOOKUP($A44,[7]MVTRESUME22!$A$6:$AV$89,40,0)</f>
        <v>0</v>
      </c>
      <c r="H44" s="182">
        <f>VLOOKUP($A44,[7]MVTRESUME22!$A$6:$AV$89,41,0)</f>
        <v>0</v>
      </c>
      <c r="I44" s="182">
        <f>VLOOKUP($A44,[7]MVTRESUME22!$A$6:$AV$89,42,0)</f>
        <v>0</v>
      </c>
      <c r="J44" s="273">
        <f t="shared" si="0"/>
        <v>0</v>
      </c>
    </row>
    <row r="45" spans="1:10">
      <c r="A45" s="165" t="s">
        <v>311</v>
      </c>
      <c r="B45" s="142">
        <v>41</v>
      </c>
      <c r="C45" s="181" t="str">
        <f>VLOOKUP($A45,[15]LISTADHERENT!$A$5:$M$101,3,0)</f>
        <v>NFANKWE Patrice</v>
      </c>
      <c r="D45" s="182">
        <f>VLOOKUP($A45,[7]MVTRESUME22!$A$6:$AV$89,37,0)</f>
        <v>0</v>
      </c>
      <c r="E45" s="182">
        <f>VLOOKUP($A45,[7]MVTRESUME22!$A$6:$AV$89,38,0)</f>
        <v>0</v>
      </c>
      <c r="F45" s="182">
        <f>VLOOKUP($A45,[7]MVTRESUME22!$A$6:$AV$89,39,0)</f>
        <v>0</v>
      </c>
      <c r="G45" s="182">
        <f>VLOOKUP($A45,[7]MVTRESUME22!$A$6:$AV$89,40,0)</f>
        <v>0</v>
      </c>
      <c r="H45" s="182">
        <f>VLOOKUP($A45,[7]MVTRESUME22!$A$6:$AV$89,41,0)</f>
        <v>0</v>
      </c>
      <c r="I45" s="182">
        <f>VLOOKUP($A45,[7]MVTRESUME22!$A$6:$AV$89,42,0)</f>
        <v>0</v>
      </c>
      <c r="J45" s="273">
        <f t="shared" si="0"/>
        <v>0</v>
      </c>
    </row>
    <row r="46" spans="1:10">
      <c r="A46" s="167" t="s">
        <v>312</v>
      </c>
      <c r="B46" s="142">
        <v>42</v>
      </c>
      <c r="C46" s="181" t="str">
        <f>VLOOKUP($A46,[15]LISTADHERENT!$A$5:$M$101,3,0)</f>
        <v>NGANDIMOUN IDRISSOU</v>
      </c>
      <c r="D46" s="182">
        <f>VLOOKUP($A46,[7]MVTRESUME22!$A$6:$AV$89,37,0)</f>
        <v>0</v>
      </c>
      <c r="E46" s="182">
        <f>VLOOKUP($A46,[7]MVTRESUME22!$A$6:$AV$89,38,0)</f>
        <v>0</v>
      </c>
      <c r="F46" s="182">
        <f>VLOOKUP($A46,[7]MVTRESUME22!$A$6:$AV$89,39,0)</f>
        <v>0</v>
      </c>
      <c r="G46" s="182">
        <f>VLOOKUP($A46,[7]MVTRESUME22!$A$6:$AV$89,40,0)</f>
        <v>0</v>
      </c>
      <c r="H46" s="182">
        <f>VLOOKUP($A46,[7]MVTRESUME22!$A$6:$AV$89,41,0)</f>
        <v>0</v>
      </c>
      <c r="I46" s="182">
        <f>VLOOKUP($A46,[7]MVTRESUME22!$A$6:$AV$89,42,0)</f>
        <v>0</v>
      </c>
      <c r="J46" s="273">
        <f t="shared" si="0"/>
        <v>0</v>
      </c>
    </row>
    <row r="47" spans="1:10">
      <c r="A47" s="165" t="s">
        <v>313</v>
      </c>
      <c r="B47" s="142">
        <v>43</v>
      </c>
      <c r="C47" s="181" t="str">
        <f>VLOOKUP($A47,[15]LISTADHERENT!$A$5:$M$101,3,0)</f>
        <v>NGATAT JEAN MARIE</v>
      </c>
      <c r="D47" s="182">
        <f>VLOOKUP($A47,[7]MVTRESUME22!$A$6:$AV$89,37,0)</f>
        <v>0</v>
      </c>
      <c r="E47" s="182">
        <f>VLOOKUP($A47,[7]MVTRESUME22!$A$6:$AV$89,38,0)</f>
        <v>0</v>
      </c>
      <c r="F47" s="182">
        <f>VLOOKUP($A47,[7]MVTRESUME22!$A$6:$AV$89,39,0)</f>
        <v>0</v>
      </c>
      <c r="G47" s="182">
        <f>VLOOKUP($A47,[7]MVTRESUME22!$A$6:$AV$89,40,0)</f>
        <v>0</v>
      </c>
      <c r="H47" s="182">
        <f>VLOOKUP($A47,[7]MVTRESUME22!$A$6:$AV$89,41,0)</f>
        <v>0</v>
      </c>
      <c r="I47" s="182">
        <f>VLOOKUP($A47,[7]MVTRESUME22!$A$6:$AV$89,42,0)</f>
        <v>0</v>
      </c>
      <c r="J47" s="273">
        <f t="shared" si="0"/>
        <v>0</v>
      </c>
    </row>
    <row r="48" spans="1:10">
      <c r="A48" s="165" t="s">
        <v>314</v>
      </c>
      <c r="B48" s="142">
        <v>44</v>
      </c>
      <c r="C48" s="181" t="str">
        <f>VLOOKUP($A48,[15]LISTADHERENT!$A$5:$M$101,3,0)</f>
        <v>NGOUNOU MICHEL</v>
      </c>
      <c r="D48" s="182">
        <f>VLOOKUP($A48,[7]MVTRESUME22!$A$6:$AV$89,37,0)</f>
        <v>0</v>
      </c>
      <c r="E48" s="182">
        <f>VLOOKUP($A48,[7]MVTRESUME22!$A$6:$AV$89,38,0)</f>
        <v>0</v>
      </c>
      <c r="F48" s="182">
        <f>VLOOKUP($A48,[7]MVTRESUME22!$A$6:$AV$89,39,0)</f>
        <v>0</v>
      </c>
      <c r="G48" s="182">
        <f>VLOOKUP($A48,[7]MVTRESUME22!$A$6:$AV$89,40,0)</f>
        <v>0</v>
      </c>
      <c r="H48" s="182">
        <f>VLOOKUP($A48,[7]MVTRESUME22!$A$6:$AV$89,41,0)</f>
        <v>0</v>
      </c>
      <c r="I48" s="182">
        <f>VLOOKUP($A48,[7]MVTRESUME22!$A$6:$AV$89,42,0)</f>
        <v>0</v>
      </c>
      <c r="J48" s="273">
        <f t="shared" si="0"/>
        <v>0</v>
      </c>
    </row>
    <row r="49" spans="1:10">
      <c r="A49" s="165" t="s">
        <v>315</v>
      </c>
      <c r="B49" s="142">
        <v>45</v>
      </c>
      <c r="C49" s="181" t="str">
        <f>VLOOKUP($A49,[15]LISTADHERENT!$A$5:$M$101,3,0)</f>
        <v>NJIKI Azaria</v>
      </c>
      <c r="D49" s="182">
        <f>VLOOKUP($A49,[7]MVTRESUME22!$A$6:$AV$89,37,0)</f>
        <v>0</v>
      </c>
      <c r="E49" s="182">
        <f>VLOOKUP($A49,[7]MVTRESUME22!$A$6:$AV$89,38,0)</f>
        <v>0</v>
      </c>
      <c r="F49" s="182">
        <f>VLOOKUP($A49,[7]MVTRESUME22!$A$6:$AV$89,39,0)</f>
        <v>0</v>
      </c>
      <c r="G49" s="182">
        <f>VLOOKUP($A49,[7]MVTRESUME22!$A$6:$AV$89,40,0)</f>
        <v>0</v>
      </c>
      <c r="H49" s="182">
        <f>VLOOKUP($A49,[7]MVTRESUME22!$A$6:$AV$89,41,0)</f>
        <v>0</v>
      </c>
      <c r="I49" s="182">
        <f>VLOOKUP($A49,[7]MVTRESUME22!$A$6:$AV$89,42,0)</f>
        <v>0</v>
      </c>
      <c r="J49" s="273">
        <f t="shared" si="0"/>
        <v>0</v>
      </c>
    </row>
    <row r="50" spans="1:10">
      <c r="A50" s="165" t="s">
        <v>316</v>
      </c>
      <c r="B50" s="142">
        <v>46</v>
      </c>
      <c r="C50" s="181" t="str">
        <f>VLOOKUP($A50,[15]LISTADHERENT!$A$5:$M$101,3,0)</f>
        <v>NOMBO Sakio</v>
      </c>
      <c r="D50" s="182">
        <f>VLOOKUP($A50,[7]MVTRESUME22!$A$6:$AV$89,37,0)</f>
        <v>0</v>
      </c>
      <c r="E50" s="182">
        <f>VLOOKUP($A50,[7]MVTRESUME22!$A$6:$AV$89,38,0)</f>
        <v>0</v>
      </c>
      <c r="F50" s="182">
        <f>VLOOKUP($A50,[7]MVTRESUME22!$A$6:$AV$89,39,0)</f>
        <v>0</v>
      </c>
      <c r="G50" s="182">
        <f>VLOOKUP($A50,[7]MVTRESUME22!$A$6:$AV$89,40,0)</f>
        <v>0</v>
      </c>
      <c r="H50" s="182">
        <f>VLOOKUP($A50,[7]MVTRESUME22!$A$6:$AV$89,41,0)</f>
        <v>0</v>
      </c>
      <c r="I50" s="182">
        <f>VLOOKUP($A50,[7]MVTRESUME22!$A$6:$AV$89,42,0)</f>
        <v>0</v>
      </c>
      <c r="J50" s="273">
        <f t="shared" si="0"/>
        <v>0</v>
      </c>
    </row>
    <row r="51" spans="1:10">
      <c r="A51" s="165" t="s">
        <v>361</v>
      </c>
      <c r="B51" s="142">
        <v>47</v>
      </c>
      <c r="C51" s="181" t="str">
        <f>VLOOKUP($A51,[15]LISTADHERENT!$A$5:$M$101,3,0)</f>
        <v>NOUGNIHI Jonas</v>
      </c>
      <c r="D51" s="182">
        <f>VLOOKUP($A51,[7]MVTRESUME22!$A$6:$AV$89,37,0)</f>
        <v>0</v>
      </c>
      <c r="E51" s="182">
        <f>VLOOKUP($A51,[7]MVTRESUME22!$A$6:$AV$89,38,0)</f>
        <v>0</v>
      </c>
      <c r="F51" s="182">
        <f>VLOOKUP($A51,[7]MVTRESUME22!$A$6:$AV$89,39,0)</f>
        <v>0</v>
      </c>
      <c r="G51" s="182">
        <f>VLOOKUP($A51,[7]MVTRESUME22!$A$6:$AV$89,40,0)</f>
        <v>0</v>
      </c>
      <c r="H51" s="182">
        <f>VLOOKUP($A51,[7]MVTRESUME22!$A$6:$AV$89,41,0)</f>
        <v>0</v>
      </c>
      <c r="I51" s="182">
        <f>VLOOKUP($A51,[7]MVTRESUME22!$A$6:$AV$89,42,0)</f>
        <v>0</v>
      </c>
      <c r="J51" s="273">
        <f t="shared" si="0"/>
        <v>0</v>
      </c>
    </row>
    <row r="52" spans="1:10">
      <c r="A52" s="165" t="s">
        <v>317</v>
      </c>
      <c r="B52" s="142">
        <v>48</v>
      </c>
      <c r="C52" s="181" t="str">
        <f>VLOOKUP($A52,[15]LISTADHERENT!$A$5:$M$101,3,0)</f>
        <v>NOUKIATCHOM SATCHE RODRIQUE</v>
      </c>
      <c r="D52" s="182">
        <f>VLOOKUP($A52,[7]MVTRESUME22!$A$6:$AV$89,37,0)</f>
        <v>0</v>
      </c>
      <c r="E52" s="182">
        <f>VLOOKUP($A52,[7]MVTRESUME22!$A$6:$AV$89,38,0)</f>
        <v>0</v>
      </c>
      <c r="F52" s="182">
        <f>VLOOKUP($A52,[7]MVTRESUME22!$A$6:$AV$89,39,0)</f>
        <v>0</v>
      </c>
      <c r="G52" s="182">
        <f>VLOOKUP($A52,[7]MVTRESUME22!$A$6:$AV$89,40,0)</f>
        <v>0</v>
      </c>
      <c r="H52" s="182">
        <f>VLOOKUP($A52,[7]MVTRESUME22!$A$6:$AV$89,41,0)</f>
        <v>0</v>
      </c>
      <c r="I52" s="182">
        <f>VLOOKUP($A52,[7]MVTRESUME22!$A$6:$AV$89,42,0)</f>
        <v>0</v>
      </c>
      <c r="J52" s="273">
        <f t="shared" si="0"/>
        <v>0</v>
      </c>
    </row>
    <row r="53" spans="1:10">
      <c r="A53" s="167" t="s">
        <v>318</v>
      </c>
      <c r="B53" s="142">
        <v>49</v>
      </c>
      <c r="C53" s="181" t="str">
        <f>VLOOKUP($A53,[15]LISTADHERENT!$A$5:$M$101,3,0)</f>
        <v>NOUNKWA BIADJANG</v>
      </c>
      <c r="D53" s="182">
        <f>VLOOKUP($A53,[7]MVTRESUME22!$A$6:$AV$89,37,0)</f>
        <v>0</v>
      </c>
      <c r="E53" s="182">
        <f>VLOOKUP($A53,[7]MVTRESUME22!$A$6:$AV$89,38,0)</f>
        <v>0</v>
      </c>
      <c r="F53" s="182">
        <f>VLOOKUP($A53,[7]MVTRESUME22!$A$6:$AV$89,39,0)</f>
        <v>0</v>
      </c>
      <c r="G53" s="182">
        <f>VLOOKUP($A53,[7]MVTRESUME22!$A$6:$AV$89,40,0)</f>
        <v>0</v>
      </c>
      <c r="H53" s="182">
        <f>VLOOKUP($A53,[7]MVTRESUME22!$A$6:$AV$89,41,0)</f>
        <v>0</v>
      </c>
      <c r="I53" s="182">
        <f>VLOOKUP($A53,[7]MVTRESUME22!$A$6:$AV$89,42,0)</f>
        <v>0</v>
      </c>
      <c r="J53" s="273">
        <f t="shared" si="0"/>
        <v>0</v>
      </c>
    </row>
    <row r="54" spans="1:10">
      <c r="A54" s="167" t="s">
        <v>319</v>
      </c>
      <c r="B54" s="142">
        <v>50</v>
      </c>
      <c r="C54" s="181" t="str">
        <f>VLOOKUP($A54,[15]LISTADHERENT!$A$5:$M$101,3,0)</f>
        <v>TCHOUMBA EPSE ONDJA'A</v>
      </c>
      <c r="D54" s="182">
        <f>VLOOKUP($A54,[7]MVTRESUME22!$A$6:$AV$89,37,0)</f>
        <v>0</v>
      </c>
      <c r="E54" s="182">
        <f>VLOOKUP($A54,[7]MVTRESUME22!$A$6:$AV$89,38,0)</f>
        <v>0</v>
      </c>
      <c r="F54" s="182">
        <f>VLOOKUP($A54,[7]MVTRESUME22!$A$6:$AV$89,39,0)</f>
        <v>0</v>
      </c>
      <c r="G54" s="182">
        <f>VLOOKUP($A54,[7]MVTRESUME22!$A$6:$AV$89,40,0)</f>
        <v>0</v>
      </c>
      <c r="H54" s="182">
        <f>VLOOKUP($A54,[7]MVTRESUME22!$A$6:$AV$89,41,0)</f>
        <v>0</v>
      </c>
      <c r="I54" s="182">
        <f>VLOOKUP($A54,[7]MVTRESUME22!$A$6:$AV$89,42,0)</f>
        <v>0</v>
      </c>
      <c r="J54" s="273">
        <f t="shared" si="0"/>
        <v>0</v>
      </c>
    </row>
    <row r="55" spans="1:10">
      <c r="A55" s="167" t="s">
        <v>320</v>
      </c>
      <c r="B55" s="142">
        <v>51</v>
      </c>
      <c r="C55" s="181" t="str">
        <f>VLOOKUP($A55,[15]LISTADHERENT!$A$5:$M$101,3,0)</f>
        <v>PAFOUYOUOM NSANGOU</v>
      </c>
      <c r="D55" s="182">
        <f>VLOOKUP($A55,[7]MVTRESUME22!$A$6:$AV$89,37,0)</f>
        <v>0</v>
      </c>
      <c r="E55" s="182">
        <f>VLOOKUP($A55,[7]MVTRESUME22!$A$6:$AV$89,38,0)</f>
        <v>0</v>
      </c>
      <c r="F55" s="182">
        <f>VLOOKUP($A55,[7]MVTRESUME22!$A$6:$AV$89,39,0)</f>
        <v>0</v>
      </c>
      <c r="G55" s="182">
        <f>VLOOKUP($A55,[7]MVTRESUME22!$A$6:$AV$89,40,0)</f>
        <v>0</v>
      </c>
      <c r="H55" s="182">
        <f>VLOOKUP($A55,[7]MVTRESUME22!$A$6:$AV$89,41,0)</f>
        <v>0</v>
      </c>
      <c r="I55" s="182">
        <f>VLOOKUP($A55,[7]MVTRESUME22!$A$6:$AV$89,42,0)</f>
        <v>0</v>
      </c>
      <c r="J55" s="273">
        <f t="shared" si="0"/>
        <v>0</v>
      </c>
    </row>
    <row r="56" spans="1:10">
      <c r="A56" s="165" t="s">
        <v>321</v>
      </c>
      <c r="B56" s="142">
        <v>52</v>
      </c>
      <c r="C56" s="181" t="str">
        <f>VLOOKUP($A56,[15]LISTADHERENT!$A$5:$M$101,3,0)</f>
        <v xml:space="preserve">POSSI Didier </v>
      </c>
      <c r="D56" s="182">
        <f>VLOOKUP($A56,[7]MVTRESUME22!$A$6:$AV$89,37,0)</f>
        <v>0</v>
      </c>
      <c r="E56" s="182">
        <f>VLOOKUP($A56,[7]MVTRESUME22!$A$6:$AV$89,38,0)</f>
        <v>0</v>
      </c>
      <c r="F56" s="182">
        <f>VLOOKUP($A56,[7]MVTRESUME22!$A$6:$AV$89,39,0)</f>
        <v>0</v>
      </c>
      <c r="G56" s="182">
        <f>VLOOKUP($A56,[7]MVTRESUME22!$A$6:$AV$89,40,0)</f>
        <v>0</v>
      </c>
      <c r="H56" s="182">
        <f>VLOOKUP($A56,[7]MVTRESUME22!$A$6:$AV$89,41,0)</f>
        <v>0</v>
      </c>
      <c r="I56" s="182">
        <f>VLOOKUP($A56,[7]MVTRESUME22!$A$6:$AV$89,42,0)</f>
        <v>0</v>
      </c>
      <c r="J56" s="273">
        <f t="shared" si="0"/>
        <v>0</v>
      </c>
    </row>
    <row r="57" spans="1:10">
      <c r="A57" s="165" t="s">
        <v>362</v>
      </c>
      <c r="B57" s="142">
        <v>53</v>
      </c>
      <c r="C57" s="181" t="str">
        <f>VLOOKUP($A57,[15]LISTADHERENT!$A$5:$M$101,3,0)</f>
        <v>SANGANG  Martin</v>
      </c>
      <c r="D57" s="182">
        <f>VLOOKUP($A57,[7]MVTRESUME22!$A$6:$AV$89,37,0)</f>
        <v>0</v>
      </c>
      <c r="E57" s="182">
        <f>VLOOKUP($A57,[7]MVTRESUME22!$A$6:$AV$89,38,0)</f>
        <v>0</v>
      </c>
      <c r="F57" s="182">
        <f>VLOOKUP($A57,[7]MVTRESUME22!$A$6:$AV$89,39,0)</f>
        <v>0</v>
      </c>
      <c r="G57" s="182">
        <f>VLOOKUP($A57,[7]MVTRESUME22!$A$6:$AV$89,40,0)</f>
        <v>0</v>
      </c>
      <c r="H57" s="182">
        <f>VLOOKUP($A57,[7]MVTRESUME22!$A$6:$AV$89,41,0)</f>
        <v>0</v>
      </c>
      <c r="I57" s="182">
        <f>VLOOKUP($A57,[7]MVTRESUME22!$A$6:$AV$89,42,0)</f>
        <v>0</v>
      </c>
      <c r="J57" s="273">
        <f t="shared" si="0"/>
        <v>0</v>
      </c>
    </row>
    <row r="58" spans="1:10">
      <c r="A58" s="165" t="s">
        <v>363</v>
      </c>
      <c r="B58" s="142">
        <v>54</v>
      </c>
      <c r="C58" s="181" t="str">
        <f>VLOOKUP($A58,[15]LISTADHERENT!$A$5:$M$101,3,0)</f>
        <v>SAPE MAURICE</v>
      </c>
      <c r="D58" s="182">
        <f>VLOOKUP($A58,[7]MVTRESUME22!$A$6:$AV$89,37,0)</f>
        <v>0</v>
      </c>
      <c r="E58" s="182">
        <f>VLOOKUP($A58,[7]MVTRESUME22!$A$6:$AV$89,38,0)</f>
        <v>0</v>
      </c>
      <c r="F58" s="182">
        <f>VLOOKUP($A58,[7]MVTRESUME22!$A$6:$AV$89,39,0)</f>
        <v>0</v>
      </c>
      <c r="G58" s="182">
        <f>VLOOKUP($A58,[7]MVTRESUME22!$A$6:$AV$89,40,0)</f>
        <v>0</v>
      </c>
      <c r="H58" s="182">
        <f>VLOOKUP($A58,[7]MVTRESUME22!$A$6:$AV$89,41,0)</f>
        <v>0</v>
      </c>
      <c r="I58" s="182">
        <f>VLOOKUP($A58,[7]MVTRESUME22!$A$6:$AV$89,42,0)</f>
        <v>0</v>
      </c>
      <c r="J58" s="273">
        <f t="shared" si="0"/>
        <v>0</v>
      </c>
    </row>
    <row r="59" spans="1:10">
      <c r="A59" s="165" t="s">
        <v>364</v>
      </c>
      <c r="B59" s="142">
        <v>55</v>
      </c>
      <c r="C59" s="181" t="str">
        <f>VLOOKUP($A59,[15]LISTADHERENT!$A$5:$M$101,3,0)</f>
        <v>SINDJOU NGUEMEN GRACE</v>
      </c>
      <c r="D59" s="182">
        <f>VLOOKUP($A59,[7]MVTRESUME22!$A$6:$AV$89,37,0)</f>
        <v>0</v>
      </c>
      <c r="E59" s="182">
        <f>VLOOKUP($A59,[7]MVTRESUME22!$A$6:$AV$89,38,0)</f>
        <v>0</v>
      </c>
      <c r="F59" s="182">
        <f>VLOOKUP($A59,[7]MVTRESUME22!$A$6:$AV$89,39,0)</f>
        <v>0</v>
      </c>
      <c r="G59" s="182">
        <f>VLOOKUP($A59,[7]MVTRESUME22!$A$6:$AV$89,40,0)</f>
        <v>0</v>
      </c>
      <c r="H59" s="182">
        <f>VLOOKUP($A59,[7]MVTRESUME22!$A$6:$AV$89,41,0)</f>
        <v>0</v>
      </c>
      <c r="I59" s="182">
        <f>VLOOKUP($A59,[7]MVTRESUME22!$A$6:$AV$89,42,0)</f>
        <v>0</v>
      </c>
      <c r="J59" s="273">
        <f t="shared" si="0"/>
        <v>0</v>
      </c>
    </row>
    <row r="60" spans="1:10">
      <c r="A60" s="165" t="s">
        <v>322</v>
      </c>
      <c r="B60" s="142">
        <v>56</v>
      </c>
      <c r="C60" s="181" t="str">
        <f>VLOOKUP($A60,[15]LISTADHERENT!$A$5:$M$101,3,0)</f>
        <v>SOH HENRI</v>
      </c>
      <c r="D60" s="182">
        <f>VLOOKUP($A60,[7]MVTRESUME22!$A$6:$AV$89,37,0)</f>
        <v>0</v>
      </c>
      <c r="E60" s="182">
        <f>VLOOKUP($A60,[7]MVTRESUME22!$A$6:$AV$89,38,0)</f>
        <v>0</v>
      </c>
      <c r="F60" s="182">
        <f>VLOOKUP($A60,[7]MVTRESUME22!$A$6:$AV$89,39,0)</f>
        <v>0</v>
      </c>
      <c r="G60" s="182">
        <f>VLOOKUP($A60,[7]MVTRESUME22!$A$6:$AV$89,40,0)</f>
        <v>0</v>
      </c>
      <c r="H60" s="182">
        <f>VLOOKUP($A60,[7]MVTRESUME22!$A$6:$AV$89,41,0)</f>
        <v>0</v>
      </c>
      <c r="I60" s="182">
        <f>VLOOKUP($A60,[7]MVTRESUME22!$A$6:$AV$89,42,0)</f>
        <v>0</v>
      </c>
      <c r="J60" s="273">
        <f t="shared" si="0"/>
        <v>0</v>
      </c>
    </row>
    <row r="61" spans="1:10">
      <c r="A61" s="165" t="s">
        <v>323</v>
      </c>
      <c r="B61" s="142">
        <v>57</v>
      </c>
      <c r="C61" s="181" t="str">
        <f>VLOOKUP($A61,[15]LISTADHERENT!$A$5:$M$101,3,0)</f>
        <v>SOKAMTE Fidel</v>
      </c>
      <c r="D61" s="182">
        <f>VLOOKUP($A61,[7]MVTRESUME22!$A$6:$AV$89,37,0)</f>
        <v>0</v>
      </c>
      <c r="E61" s="182">
        <f>VLOOKUP($A61,[7]MVTRESUME22!$A$6:$AV$89,38,0)</f>
        <v>0</v>
      </c>
      <c r="F61" s="182">
        <f>VLOOKUP($A61,[7]MVTRESUME22!$A$6:$AV$89,39,0)</f>
        <v>0</v>
      </c>
      <c r="G61" s="182">
        <f>VLOOKUP($A61,[7]MVTRESUME22!$A$6:$AV$89,40,0)</f>
        <v>0</v>
      </c>
      <c r="H61" s="182">
        <f>VLOOKUP($A61,[7]MVTRESUME22!$A$6:$AV$89,41,0)</f>
        <v>0</v>
      </c>
      <c r="I61" s="182">
        <f>VLOOKUP($A61,[7]MVTRESUME22!$A$6:$AV$89,42,0)</f>
        <v>0</v>
      </c>
      <c r="J61" s="273">
        <f t="shared" si="0"/>
        <v>0</v>
      </c>
    </row>
    <row r="62" spans="1:10">
      <c r="A62" s="165" t="s">
        <v>324</v>
      </c>
      <c r="B62" s="142">
        <v>58</v>
      </c>
      <c r="C62" s="181" t="str">
        <f>VLOOKUP($A62,[15]LISTADHERENT!$A$5:$M$101,3,0)</f>
        <v>TAKOUGOUM  JEAN CLAUDE</v>
      </c>
      <c r="D62" s="182">
        <f>VLOOKUP($A62,[7]MVTRESUME22!$A$6:$AV$89,37,0)</f>
        <v>0</v>
      </c>
      <c r="E62" s="182">
        <f>VLOOKUP($A62,[7]MVTRESUME22!$A$6:$AV$89,38,0)</f>
        <v>0</v>
      </c>
      <c r="F62" s="182">
        <f>VLOOKUP($A62,[7]MVTRESUME22!$A$6:$AV$89,39,0)</f>
        <v>0</v>
      </c>
      <c r="G62" s="182">
        <f>VLOOKUP($A62,[7]MVTRESUME22!$A$6:$AV$89,40,0)</f>
        <v>0</v>
      </c>
      <c r="H62" s="182">
        <f>VLOOKUP($A62,[7]MVTRESUME22!$A$6:$AV$89,41,0)</f>
        <v>0</v>
      </c>
      <c r="I62" s="182">
        <f>VLOOKUP($A62,[7]MVTRESUME22!$A$6:$AV$89,42,0)</f>
        <v>0</v>
      </c>
      <c r="J62" s="273">
        <f t="shared" si="0"/>
        <v>0</v>
      </c>
    </row>
    <row r="63" spans="1:10">
      <c r="A63" s="165" t="s">
        <v>325</v>
      </c>
      <c r="B63" s="142">
        <v>59</v>
      </c>
      <c r="C63" s="181" t="str">
        <f>VLOOKUP($A63,[15]LISTADHERENT!$A$5:$M$101,3,0)</f>
        <v>TATUE FOPA Jean</v>
      </c>
      <c r="D63" s="182">
        <f>VLOOKUP($A63,[7]MVTRESUME22!$A$6:$AV$89,37,0)</f>
        <v>0</v>
      </c>
      <c r="E63" s="182">
        <f>VLOOKUP($A63,[7]MVTRESUME22!$A$6:$AV$89,38,0)</f>
        <v>0</v>
      </c>
      <c r="F63" s="182">
        <f>VLOOKUP($A63,[7]MVTRESUME22!$A$6:$AV$89,39,0)</f>
        <v>0</v>
      </c>
      <c r="G63" s="182">
        <f>VLOOKUP($A63,[7]MVTRESUME22!$A$6:$AV$89,40,0)</f>
        <v>0</v>
      </c>
      <c r="H63" s="182">
        <f>VLOOKUP($A63,[7]MVTRESUME22!$A$6:$AV$89,41,0)</f>
        <v>0</v>
      </c>
      <c r="I63" s="182">
        <f>VLOOKUP($A63,[7]MVTRESUME22!$A$6:$AV$89,42,0)</f>
        <v>0</v>
      </c>
      <c r="J63" s="273">
        <f t="shared" si="0"/>
        <v>0</v>
      </c>
    </row>
    <row r="64" spans="1:10">
      <c r="A64" s="165" t="s">
        <v>348</v>
      </c>
      <c r="B64" s="142">
        <v>60</v>
      </c>
      <c r="C64" s="181" t="str">
        <f>VLOOKUP($A64,[15]LISTADHERENT!$A$5:$M$101,3,0)</f>
        <v>TCHAMO BERNARD</v>
      </c>
      <c r="D64" s="182">
        <f>VLOOKUP($A64,[7]MVTRESUME22!$A$6:$AV$89,37,0)</f>
        <v>0</v>
      </c>
      <c r="E64" s="182">
        <f>VLOOKUP($A64,[7]MVTRESUME22!$A$6:$AV$89,38,0)</f>
        <v>0</v>
      </c>
      <c r="F64" s="182">
        <f>VLOOKUP($A64,[7]MVTRESUME22!$A$6:$AV$89,39,0)</f>
        <v>0</v>
      </c>
      <c r="G64" s="182">
        <f>VLOOKUP($A64,[7]MVTRESUME22!$A$6:$AV$89,40,0)</f>
        <v>0</v>
      </c>
      <c r="H64" s="182">
        <f>VLOOKUP($A64,[7]MVTRESUME22!$A$6:$AV$89,41,0)</f>
        <v>0</v>
      </c>
      <c r="I64" s="182">
        <f>VLOOKUP($A64,[7]MVTRESUME22!$A$6:$AV$89,42,0)</f>
        <v>0</v>
      </c>
      <c r="J64" s="273">
        <f t="shared" si="0"/>
        <v>0</v>
      </c>
    </row>
    <row r="65" spans="1:10">
      <c r="A65" s="165" t="s">
        <v>326</v>
      </c>
      <c r="B65" s="142">
        <v>61</v>
      </c>
      <c r="C65" s="181" t="str">
        <f>VLOOKUP($A65,[15]LISTADHERENT!$A$5:$M$101,3,0)</f>
        <v>TCHANANG SYLVAIN</v>
      </c>
      <c r="D65" s="182">
        <f>VLOOKUP($A65,[7]MVTRESUME22!$A$6:$AV$89,37,0)</f>
        <v>0</v>
      </c>
      <c r="E65" s="182">
        <f>VLOOKUP($A65,[7]MVTRESUME22!$A$6:$AV$89,38,0)</f>
        <v>0</v>
      </c>
      <c r="F65" s="182">
        <f>VLOOKUP($A65,[7]MVTRESUME22!$A$6:$AV$89,39,0)</f>
        <v>0</v>
      </c>
      <c r="G65" s="182">
        <f>VLOOKUP($A65,[7]MVTRESUME22!$A$6:$AV$89,40,0)</f>
        <v>0</v>
      </c>
      <c r="H65" s="182">
        <f>VLOOKUP($A65,[7]MVTRESUME22!$A$6:$AV$89,41,0)</f>
        <v>0</v>
      </c>
      <c r="I65" s="182">
        <f>VLOOKUP($A65,[7]MVTRESUME22!$A$6:$AV$89,42,0)</f>
        <v>0</v>
      </c>
      <c r="J65" s="273">
        <f t="shared" si="0"/>
        <v>0</v>
      </c>
    </row>
    <row r="66" spans="1:10">
      <c r="A66" s="165" t="s">
        <v>327</v>
      </c>
      <c r="B66" s="142">
        <v>62</v>
      </c>
      <c r="C66" s="181" t="str">
        <f>VLOOKUP($A66,[15]LISTADHERENT!$A$5:$M$101,3,0)</f>
        <v>TCHAPTCHET DESIREE</v>
      </c>
      <c r="D66" s="182">
        <f>VLOOKUP($A66,[7]MVTRESUME22!$A$6:$AV$89,37,0)</f>
        <v>0</v>
      </c>
      <c r="E66" s="182">
        <f>VLOOKUP($A66,[7]MVTRESUME22!$A$6:$AV$89,38,0)</f>
        <v>0</v>
      </c>
      <c r="F66" s="182">
        <f>VLOOKUP($A66,[7]MVTRESUME22!$A$6:$AV$89,39,0)</f>
        <v>0</v>
      </c>
      <c r="G66" s="182">
        <f>VLOOKUP($A66,[7]MVTRESUME22!$A$6:$AV$89,40,0)</f>
        <v>0</v>
      </c>
      <c r="H66" s="182">
        <f>VLOOKUP($A66,[7]MVTRESUME22!$A$6:$AV$89,41,0)</f>
        <v>0</v>
      </c>
      <c r="I66" s="182">
        <f>VLOOKUP($A66,[7]MVTRESUME22!$A$6:$AV$89,42,0)</f>
        <v>0</v>
      </c>
      <c r="J66" s="273">
        <f t="shared" si="0"/>
        <v>0</v>
      </c>
    </row>
    <row r="67" spans="1:10">
      <c r="A67" s="165" t="s">
        <v>328</v>
      </c>
      <c r="B67" s="142">
        <v>63</v>
      </c>
      <c r="C67" s="181" t="str">
        <f>VLOOKUP($A67,[15]LISTADHERENT!$A$5:$M$101,3,0)</f>
        <v>TCHI  ROBERT</v>
      </c>
      <c r="D67" s="182">
        <f>VLOOKUP($A67,[7]MVTRESUME22!$A$6:$AV$89,37,0)</f>
        <v>0</v>
      </c>
      <c r="E67" s="182">
        <f>VLOOKUP($A67,[7]MVTRESUME22!$A$6:$AV$89,38,0)</f>
        <v>0</v>
      </c>
      <c r="F67" s="182">
        <f>VLOOKUP($A67,[7]MVTRESUME22!$A$6:$AV$89,39,0)</f>
        <v>0</v>
      </c>
      <c r="G67" s="182">
        <f>VLOOKUP($A67,[7]MVTRESUME22!$A$6:$AV$89,40,0)</f>
        <v>0</v>
      </c>
      <c r="H67" s="182">
        <f>VLOOKUP($A67,[7]MVTRESUME22!$A$6:$AV$89,41,0)</f>
        <v>0</v>
      </c>
      <c r="I67" s="182">
        <f>VLOOKUP($A67,[7]MVTRESUME22!$A$6:$AV$89,42,0)</f>
        <v>0</v>
      </c>
      <c r="J67" s="273">
        <f t="shared" si="0"/>
        <v>0</v>
      </c>
    </row>
    <row r="68" spans="1:10">
      <c r="A68" s="165" t="s">
        <v>329</v>
      </c>
      <c r="B68" s="142">
        <v>64</v>
      </c>
      <c r="C68" s="181" t="str">
        <f>VLOOKUP($A68,[15]LISTADHERENT!$A$5:$M$101,3,0)</f>
        <v>TCHIO André</v>
      </c>
      <c r="D68" s="182">
        <f>VLOOKUP($A68,[7]MVTRESUME22!$A$6:$AV$89,37,0)</f>
        <v>0</v>
      </c>
      <c r="E68" s="182">
        <f>VLOOKUP($A68,[7]MVTRESUME22!$A$6:$AV$89,38,0)</f>
        <v>0</v>
      </c>
      <c r="F68" s="182">
        <f>VLOOKUP($A68,[7]MVTRESUME22!$A$6:$AV$89,39,0)</f>
        <v>0</v>
      </c>
      <c r="G68" s="182">
        <f>VLOOKUP($A68,[7]MVTRESUME22!$A$6:$AV$89,40,0)</f>
        <v>0</v>
      </c>
      <c r="H68" s="182">
        <f>VLOOKUP($A68,[7]MVTRESUME22!$A$6:$AV$89,41,0)</f>
        <v>0</v>
      </c>
      <c r="I68" s="182">
        <f>VLOOKUP($A68,[7]MVTRESUME22!$A$6:$AV$89,42,0)</f>
        <v>0</v>
      </c>
      <c r="J68" s="273">
        <f t="shared" si="0"/>
        <v>0</v>
      </c>
    </row>
    <row r="69" spans="1:10">
      <c r="A69" s="167" t="s">
        <v>365</v>
      </c>
      <c r="B69" s="142">
        <v>65</v>
      </c>
      <c r="C69" s="181" t="str">
        <f>VLOOKUP($A69,[15]LISTADHERENT!$A$5:$M$101,3,0)</f>
        <v xml:space="preserve">TCHOUADEU  Christophe </v>
      </c>
      <c r="D69" s="182">
        <f>VLOOKUP($A69,[7]MVTRESUME22!$A$6:$AV$89,37,0)</f>
        <v>0</v>
      </c>
      <c r="E69" s="182">
        <f>VLOOKUP($A69,[7]MVTRESUME22!$A$6:$AV$89,38,0)</f>
        <v>0</v>
      </c>
      <c r="F69" s="182">
        <f>VLOOKUP($A69,[7]MVTRESUME22!$A$6:$AV$89,39,0)</f>
        <v>0</v>
      </c>
      <c r="G69" s="182">
        <f>VLOOKUP($A69,[7]MVTRESUME22!$A$6:$AV$89,40,0)</f>
        <v>0</v>
      </c>
      <c r="H69" s="182">
        <f>VLOOKUP($A69,[7]MVTRESUME22!$A$6:$AV$89,41,0)</f>
        <v>0</v>
      </c>
      <c r="I69" s="182">
        <f>VLOOKUP($A69,[7]MVTRESUME22!$A$6:$AV$89,42,0)</f>
        <v>0</v>
      </c>
      <c r="J69" s="273">
        <f t="shared" ref="J69:J87" si="3">SUM(D69:I69)</f>
        <v>0</v>
      </c>
    </row>
    <row r="70" spans="1:10">
      <c r="A70" s="165" t="s">
        <v>330</v>
      </c>
      <c r="B70" s="142">
        <v>66</v>
      </c>
      <c r="C70" s="181" t="str">
        <f>VLOOKUP($A70,[15]LISTADHERENT!$A$5:$M$101,3,0)</f>
        <v xml:space="preserve">TCHOUTIO Léopold </v>
      </c>
      <c r="D70" s="182">
        <f>VLOOKUP($A70,[7]MVTRESUME22!$A$6:$AV$89,37,0)</f>
        <v>0</v>
      </c>
      <c r="E70" s="182">
        <f>VLOOKUP($A70,[7]MVTRESUME22!$A$6:$AV$89,38,0)</f>
        <v>0</v>
      </c>
      <c r="F70" s="182">
        <f>VLOOKUP($A70,[7]MVTRESUME22!$A$6:$AV$89,39,0)</f>
        <v>0</v>
      </c>
      <c r="G70" s="182">
        <f>VLOOKUP($A70,[7]MVTRESUME22!$A$6:$AV$89,40,0)</f>
        <v>0</v>
      </c>
      <c r="H70" s="182">
        <f>VLOOKUP($A70,[7]MVTRESUME22!$A$6:$AV$89,41,0)</f>
        <v>0</v>
      </c>
      <c r="I70" s="182">
        <f>VLOOKUP($A70,[7]MVTRESUME22!$A$6:$AV$89,42,0)</f>
        <v>0</v>
      </c>
      <c r="J70" s="273">
        <f t="shared" si="3"/>
        <v>0</v>
      </c>
    </row>
    <row r="71" spans="1:10">
      <c r="A71" s="165" t="s">
        <v>331</v>
      </c>
      <c r="B71" s="142">
        <v>67</v>
      </c>
      <c r="C71" s="181" t="str">
        <f>VLOOKUP($A71,[15]LISTADHERENT!$A$5:$M$101,3,0)</f>
        <v xml:space="preserve">TCHUENTE Ingrid </v>
      </c>
      <c r="D71" s="182">
        <f>VLOOKUP($A71,[7]MVTRESUME22!$A$6:$AV$89,37,0)</f>
        <v>0</v>
      </c>
      <c r="E71" s="182">
        <f>VLOOKUP($A71,[7]MVTRESUME22!$A$6:$AV$89,38,0)</f>
        <v>0</v>
      </c>
      <c r="F71" s="182">
        <f>VLOOKUP($A71,[7]MVTRESUME22!$A$6:$AV$89,39,0)</f>
        <v>0</v>
      </c>
      <c r="G71" s="182">
        <f>VLOOKUP($A71,[7]MVTRESUME22!$A$6:$AV$89,40,0)</f>
        <v>0</v>
      </c>
      <c r="H71" s="182">
        <f>VLOOKUP($A71,[7]MVTRESUME22!$A$6:$AV$89,41,0)</f>
        <v>0</v>
      </c>
      <c r="I71" s="182">
        <f>VLOOKUP($A71,[7]MVTRESUME22!$A$6:$AV$89,42,0)</f>
        <v>0</v>
      </c>
      <c r="J71" s="273">
        <f t="shared" si="3"/>
        <v>0</v>
      </c>
    </row>
    <row r="72" spans="1:10">
      <c r="A72" s="165" t="s">
        <v>332</v>
      </c>
      <c r="B72" s="142">
        <v>68</v>
      </c>
      <c r="C72" s="181" t="str">
        <f>VLOOKUP($A72,[15]LISTADHERENT!$A$5:$M$101,3,0)</f>
        <v xml:space="preserve">TCHUENTE Léopold </v>
      </c>
      <c r="D72" s="182">
        <f>VLOOKUP($A72,[7]MVTRESUME22!$A$6:$AV$89,37,0)</f>
        <v>0</v>
      </c>
      <c r="E72" s="182">
        <f>VLOOKUP($A72,[7]MVTRESUME22!$A$6:$AV$89,38,0)</f>
        <v>0</v>
      </c>
      <c r="F72" s="182">
        <f>VLOOKUP($A72,[7]MVTRESUME22!$A$6:$AV$89,39,0)</f>
        <v>0</v>
      </c>
      <c r="G72" s="182">
        <f>VLOOKUP($A72,[7]MVTRESUME22!$A$6:$AV$89,40,0)</f>
        <v>0</v>
      </c>
      <c r="H72" s="182">
        <f>VLOOKUP($A72,[7]MVTRESUME22!$A$6:$AV$89,41,0)</f>
        <v>0</v>
      </c>
      <c r="I72" s="182">
        <f>VLOOKUP($A72,[7]MVTRESUME22!$A$6:$AV$89,42,0)</f>
        <v>0</v>
      </c>
      <c r="J72" s="273">
        <f t="shared" si="3"/>
        <v>0</v>
      </c>
    </row>
    <row r="73" spans="1:10">
      <c r="A73" s="165" t="s">
        <v>333</v>
      </c>
      <c r="B73" s="142">
        <v>69</v>
      </c>
      <c r="C73" s="181" t="str">
        <f>VLOOKUP($A73,[15]LISTADHERENT!$A$5:$M$101,3,0)</f>
        <v>TCHUENTE Philotée</v>
      </c>
      <c r="D73" s="182">
        <f>VLOOKUP($A73,[7]MVTRESUME22!$A$6:$AV$89,37,0)</f>
        <v>0</v>
      </c>
      <c r="E73" s="182">
        <f>VLOOKUP($A73,[7]MVTRESUME22!$A$6:$AV$89,38,0)</f>
        <v>0</v>
      </c>
      <c r="F73" s="182">
        <f>VLOOKUP($A73,[7]MVTRESUME22!$A$6:$AV$89,39,0)</f>
        <v>0</v>
      </c>
      <c r="G73" s="182">
        <f>VLOOKUP($A73,[7]MVTRESUME22!$A$6:$AV$89,40,0)</f>
        <v>0</v>
      </c>
      <c r="H73" s="182">
        <f>VLOOKUP($A73,[7]MVTRESUME22!$A$6:$AV$89,41,0)</f>
        <v>0</v>
      </c>
      <c r="I73" s="182">
        <f>VLOOKUP($A73,[7]MVTRESUME22!$A$6:$AV$89,42,0)</f>
        <v>0</v>
      </c>
      <c r="J73" s="273">
        <f t="shared" si="3"/>
        <v>0</v>
      </c>
    </row>
    <row r="74" spans="1:10">
      <c r="A74" s="165" t="s">
        <v>334</v>
      </c>
      <c r="B74" s="142">
        <v>70</v>
      </c>
      <c r="C74" s="181" t="str">
        <f>VLOOKUP($A74,[15]LISTADHERENT!$A$5:$M$101,3,0)</f>
        <v>TCHUIDJASSI MANFRED</v>
      </c>
      <c r="D74" s="182">
        <f>VLOOKUP($A74,[7]MVTRESUME22!$A$6:$AV$89,37,0)</f>
        <v>0</v>
      </c>
      <c r="E74" s="182">
        <f>VLOOKUP($A74,[7]MVTRESUME22!$A$6:$AV$89,38,0)</f>
        <v>0</v>
      </c>
      <c r="F74" s="182">
        <f>VLOOKUP($A74,[7]MVTRESUME22!$A$6:$AV$89,39,0)</f>
        <v>0</v>
      </c>
      <c r="G74" s="182">
        <f>VLOOKUP($A74,[7]MVTRESUME22!$A$6:$AV$89,40,0)</f>
        <v>0</v>
      </c>
      <c r="H74" s="182">
        <f>VLOOKUP($A74,[7]MVTRESUME22!$A$6:$AV$89,41,0)</f>
        <v>0</v>
      </c>
      <c r="I74" s="182">
        <f>VLOOKUP($A74,[7]MVTRESUME22!$A$6:$AV$89,42,0)</f>
        <v>0</v>
      </c>
      <c r="J74" s="273">
        <f t="shared" si="3"/>
        <v>0</v>
      </c>
    </row>
    <row r="75" spans="1:10">
      <c r="A75" s="165" t="s">
        <v>335</v>
      </c>
      <c r="B75" s="142">
        <v>71</v>
      </c>
      <c r="C75" s="181" t="str">
        <f>VLOOKUP($A75,[15]LISTADHERENT!$A$5:$M$101,3,0)</f>
        <v>TCHUIKWA SYLVAIN</v>
      </c>
      <c r="D75" s="182">
        <f>VLOOKUP($A75,[7]MVTRESUME22!$A$6:$AV$89,37,0)</f>
        <v>0</v>
      </c>
      <c r="E75" s="182">
        <f>VLOOKUP($A75,[7]MVTRESUME22!$A$6:$AV$89,38,0)</f>
        <v>15000</v>
      </c>
      <c r="F75" s="182">
        <f>VLOOKUP($A75,[7]MVTRESUME22!$A$6:$AV$89,39,0)</f>
        <v>0</v>
      </c>
      <c r="G75" s="182">
        <f>VLOOKUP($A75,[7]MVTRESUME22!$A$6:$AV$89,40,0)</f>
        <v>0</v>
      </c>
      <c r="H75" s="182">
        <f>VLOOKUP($A75,[7]MVTRESUME22!$A$6:$AV$89,41,0)</f>
        <v>0</v>
      </c>
      <c r="I75" s="182">
        <f>VLOOKUP($A75,[7]MVTRESUME22!$A$6:$AV$89,42,0)</f>
        <v>0</v>
      </c>
      <c r="J75" s="273">
        <f t="shared" si="3"/>
        <v>15000</v>
      </c>
    </row>
    <row r="76" spans="1:10">
      <c r="A76" s="165" t="s">
        <v>336</v>
      </c>
      <c r="B76" s="142">
        <v>72</v>
      </c>
      <c r="C76" s="181" t="str">
        <f>VLOOKUP($A76,[15]LISTADHERENT!$A$5:$M$101,3,0)</f>
        <v>TENKAM Nicolas</v>
      </c>
      <c r="D76" s="182">
        <f>VLOOKUP($A76,[7]MVTRESUME22!$A$6:$AV$89,37,0)</f>
        <v>0</v>
      </c>
      <c r="E76" s="182">
        <f>VLOOKUP($A76,[7]MVTRESUME22!$A$6:$AV$89,38,0)</f>
        <v>0</v>
      </c>
      <c r="F76" s="182">
        <f>VLOOKUP($A76,[7]MVTRESUME22!$A$6:$AV$89,39,0)</f>
        <v>0</v>
      </c>
      <c r="G76" s="182">
        <f>VLOOKUP($A76,[7]MVTRESUME22!$A$6:$AV$89,40,0)</f>
        <v>0</v>
      </c>
      <c r="H76" s="182">
        <f>VLOOKUP($A76,[7]MVTRESUME22!$A$6:$AV$89,41,0)</f>
        <v>0</v>
      </c>
      <c r="I76" s="182">
        <f>VLOOKUP($A76,[7]MVTRESUME22!$A$6:$AV$89,42,0)</f>
        <v>0</v>
      </c>
      <c r="J76" s="273">
        <f t="shared" si="3"/>
        <v>0</v>
      </c>
    </row>
    <row r="77" spans="1:10">
      <c r="A77" s="167" t="s">
        <v>337</v>
      </c>
      <c r="B77" s="142">
        <v>73</v>
      </c>
      <c r="C77" s="181" t="str">
        <f>VLOOKUP($A77,[15]LISTADHERENT!$A$5:$M$101,3,0)</f>
        <v>TOMFEU JEAN PIERRE</v>
      </c>
      <c r="D77" s="182">
        <f>VLOOKUP($A77,[7]MVTRESUME22!$A$6:$AV$89,37,0)</f>
        <v>0</v>
      </c>
      <c r="E77" s="182">
        <f>VLOOKUP($A77,[7]MVTRESUME22!$A$6:$AV$89,38,0)</f>
        <v>0</v>
      </c>
      <c r="F77" s="182">
        <f>VLOOKUP($A77,[7]MVTRESUME22!$A$6:$AV$89,39,0)</f>
        <v>0</v>
      </c>
      <c r="G77" s="182">
        <f>VLOOKUP($A77,[7]MVTRESUME22!$A$6:$AV$89,40,0)</f>
        <v>0</v>
      </c>
      <c r="H77" s="182">
        <f>VLOOKUP($A77,[7]MVTRESUME22!$A$6:$AV$89,41,0)</f>
        <v>0</v>
      </c>
      <c r="I77" s="182">
        <f>VLOOKUP($A77,[7]MVTRESUME22!$A$6:$AV$89,42,0)</f>
        <v>0</v>
      </c>
      <c r="J77" s="273">
        <f t="shared" si="3"/>
        <v>0</v>
      </c>
    </row>
    <row r="78" spans="1:10">
      <c r="A78" s="165" t="s">
        <v>338</v>
      </c>
      <c r="B78" s="142">
        <v>74</v>
      </c>
      <c r="C78" s="181" t="str">
        <f>VLOOKUP($A78,[15]LISTADHERENT!$A$5:$M$101,3,0)</f>
        <v>TONGA Jules Calvin</v>
      </c>
      <c r="D78" s="182">
        <f>VLOOKUP($A78,[7]MVTRESUME22!$A$6:$AV$89,37,0)</f>
        <v>0</v>
      </c>
      <c r="E78" s="182">
        <f>VLOOKUP($A78,[7]MVTRESUME22!$A$6:$AV$89,38,0)</f>
        <v>0</v>
      </c>
      <c r="F78" s="182">
        <f>VLOOKUP($A78,[7]MVTRESUME22!$A$6:$AV$89,39,0)</f>
        <v>0</v>
      </c>
      <c r="G78" s="182">
        <f>VLOOKUP($A78,[7]MVTRESUME22!$A$6:$AV$89,40,0)</f>
        <v>0</v>
      </c>
      <c r="H78" s="182">
        <f>VLOOKUP($A78,[7]MVTRESUME22!$A$6:$AV$89,41,0)</f>
        <v>0</v>
      </c>
      <c r="I78" s="182">
        <f>VLOOKUP($A78,[7]MVTRESUME22!$A$6:$AV$89,42,0)</f>
        <v>0</v>
      </c>
      <c r="J78" s="273">
        <f t="shared" si="3"/>
        <v>0</v>
      </c>
    </row>
    <row r="79" spans="1:10">
      <c r="A79" s="165" t="s">
        <v>366</v>
      </c>
      <c r="B79" s="142">
        <v>75</v>
      </c>
      <c r="C79" s="181" t="str">
        <f>VLOOKUP($A79,[15]LISTADHERENT!$A$5:$M$101,3,0)</f>
        <v>TOUKAM ELVIS</v>
      </c>
      <c r="D79" s="182">
        <f>VLOOKUP($A79,[7]MVTRESUME22!$A$6:$AV$89,37,0)</f>
        <v>0</v>
      </c>
      <c r="E79" s="182">
        <f>VLOOKUP($A79,[7]MVTRESUME22!$A$6:$AV$89,38,0)</f>
        <v>0</v>
      </c>
      <c r="F79" s="182">
        <f>VLOOKUP($A79,[7]MVTRESUME22!$A$6:$AV$89,39,0)</f>
        <v>0</v>
      </c>
      <c r="G79" s="182">
        <f>VLOOKUP($A79,[7]MVTRESUME22!$A$6:$AV$89,40,0)</f>
        <v>0</v>
      </c>
      <c r="H79" s="182">
        <f>VLOOKUP($A79,[7]MVTRESUME22!$A$6:$AV$89,41,0)</f>
        <v>0</v>
      </c>
      <c r="I79" s="182">
        <f>VLOOKUP($A79,[7]MVTRESUME22!$A$6:$AV$89,42,0)</f>
        <v>0</v>
      </c>
      <c r="J79" s="273">
        <f t="shared" si="3"/>
        <v>0</v>
      </c>
    </row>
    <row r="80" spans="1:10">
      <c r="A80" s="165" t="s">
        <v>339</v>
      </c>
      <c r="B80" s="142">
        <v>76</v>
      </c>
      <c r="C80" s="181" t="str">
        <f>VLOOKUP($A80,[15]LISTADHERENT!$A$5:$M$101,3,0)</f>
        <v>TSEMEU  JOEL</v>
      </c>
      <c r="D80" s="182">
        <f>VLOOKUP($A80,[7]MVTRESUME22!$A$6:$AV$89,37,0)</f>
        <v>0</v>
      </c>
      <c r="E80" s="182">
        <f>VLOOKUP($A80,[7]MVTRESUME22!$A$6:$AV$89,38,0)</f>
        <v>0</v>
      </c>
      <c r="F80" s="182">
        <f>VLOOKUP($A80,[7]MVTRESUME22!$A$6:$AV$89,39,0)</f>
        <v>0</v>
      </c>
      <c r="G80" s="182">
        <f>VLOOKUP($A80,[7]MVTRESUME22!$A$6:$AV$89,40,0)</f>
        <v>0</v>
      </c>
      <c r="H80" s="182">
        <f>VLOOKUP($A80,[7]MVTRESUME22!$A$6:$AV$89,41,0)</f>
        <v>0</v>
      </c>
      <c r="I80" s="182">
        <f>VLOOKUP($A80,[7]MVTRESUME22!$A$6:$AV$89,42,0)</f>
        <v>0</v>
      </c>
      <c r="J80" s="273">
        <f t="shared" si="3"/>
        <v>0</v>
      </c>
    </row>
    <row r="81" spans="1:10">
      <c r="A81" s="165" t="s">
        <v>340</v>
      </c>
      <c r="B81" s="142">
        <v>77</v>
      </c>
      <c r="C81" s="181" t="str">
        <f>VLOOKUP($A81,[15]LISTADHERENT!$A$5:$M$101,3,0)</f>
        <v xml:space="preserve">WASO TCHIO GEORGES </v>
      </c>
      <c r="D81" s="182">
        <f>VLOOKUP($A81,[7]MVTRESUME22!$A$6:$AV$89,37,0)</f>
        <v>0</v>
      </c>
      <c r="E81" s="182">
        <f>VLOOKUP($A81,[7]MVTRESUME22!$A$6:$AV$89,38,0)</f>
        <v>0</v>
      </c>
      <c r="F81" s="182">
        <f>VLOOKUP($A81,[7]MVTRESUME22!$A$6:$AV$89,39,0)</f>
        <v>0</v>
      </c>
      <c r="G81" s="182">
        <f>VLOOKUP($A81,[7]MVTRESUME22!$A$6:$AV$89,40,0)</f>
        <v>0</v>
      </c>
      <c r="H81" s="182">
        <f>VLOOKUP($A81,[7]MVTRESUME22!$A$6:$AV$89,41,0)</f>
        <v>0</v>
      </c>
      <c r="I81" s="182">
        <f>VLOOKUP($A81,[7]MVTRESUME22!$A$6:$AV$89,42,0)</f>
        <v>0</v>
      </c>
      <c r="J81" s="273">
        <f t="shared" si="3"/>
        <v>0</v>
      </c>
    </row>
    <row r="82" spans="1:10">
      <c r="A82" s="165" t="s">
        <v>341</v>
      </c>
      <c r="B82" s="142">
        <v>78</v>
      </c>
      <c r="C82" s="181" t="str">
        <f>VLOOKUP($A82,[15]LISTADHERENT!$A$5:$M$101,3,0)</f>
        <v>WATA Blaise</v>
      </c>
      <c r="D82" s="182">
        <f>VLOOKUP($A82,[7]MVTRESUME22!$A$6:$AV$89,37,0)</f>
        <v>0</v>
      </c>
      <c r="E82" s="182">
        <f>VLOOKUP($A82,[7]MVTRESUME22!$A$6:$AV$89,38,0)</f>
        <v>0</v>
      </c>
      <c r="F82" s="182">
        <f>VLOOKUP($A82,[7]MVTRESUME22!$A$6:$AV$89,39,0)</f>
        <v>0</v>
      </c>
      <c r="G82" s="182">
        <f>VLOOKUP($A82,[7]MVTRESUME22!$A$6:$AV$89,40,0)</f>
        <v>0</v>
      </c>
      <c r="H82" s="182">
        <f>VLOOKUP($A82,[7]MVTRESUME22!$A$6:$AV$89,41,0)</f>
        <v>0</v>
      </c>
      <c r="I82" s="182">
        <f>VLOOKUP($A82,[7]MVTRESUME22!$A$6:$AV$89,42,0)</f>
        <v>0</v>
      </c>
      <c r="J82" s="273">
        <f t="shared" si="3"/>
        <v>0</v>
      </c>
    </row>
    <row r="83" spans="1:10">
      <c r="A83" s="165" t="s">
        <v>342</v>
      </c>
      <c r="B83" s="142">
        <v>79</v>
      </c>
      <c r="C83" s="181" t="str">
        <f>VLOOKUP($A83,[15]LISTADHERENT!$A$5:$M$101,3,0)</f>
        <v>WETOUMDU ERNEST</v>
      </c>
      <c r="D83" s="182">
        <f>VLOOKUP($A83,[7]MVTRESUME22!$A$6:$AV$89,37,0)</f>
        <v>0</v>
      </c>
      <c r="E83" s="182">
        <f>VLOOKUP($A83,[7]MVTRESUME22!$A$6:$AV$89,38,0)</f>
        <v>0</v>
      </c>
      <c r="F83" s="182">
        <f>VLOOKUP($A83,[7]MVTRESUME22!$A$6:$AV$89,39,0)</f>
        <v>0</v>
      </c>
      <c r="G83" s="182">
        <f>VLOOKUP($A83,[7]MVTRESUME22!$A$6:$AV$89,40,0)</f>
        <v>0</v>
      </c>
      <c r="H83" s="182">
        <f>VLOOKUP($A83,[7]MVTRESUME22!$A$6:$AV$89,41,0)</f>
        <v>0</v>
      </c>
      <c r="I83" s="182">
        <f>VLOOKUP($A83,[7]MVTRESUME22!$A$6:$AV$89,42,0)</f>
        <v>0</v>
      </c>
      <c r="J83" s="273">
        <f t="shared" si="3"/>
        <v>0</v>
      </c>
    </row>
    <row r="84" spans="1:10">
      <c r="A84" s="165" t="s">
        <v>343</v>
      </c>
      <c r="B84" s="142">
        <v>80</v>
      </c>
      <c r="C84" s="181" t="str">
        <f>VLOOKUP($A84,[15]LISTADHERENT!$A$5:$M$101,3,0)</f>
        <v>YOUALEU MICHEL</v>
      </c>
      <c r="D84" s="182">
        <f>VLOOKUP($A84,[7]MVTRESUME22!$A$6:$AV$89,37,0)</f>
        <v>0</v>
      </c>
      <c r="E84" s="182">
        <f>VLOOKUP($A84,[7]MVTRESUME22!$A$6:$AV$89,38,0)</f>
        <v>0</v>
      </c>
      <c r="F84" s="182">
        <f>VLOOKUP($A84,[7]MVTRESUME22!$A$6:$AV$89,39,0)</f>
        <v>0</v>
      </c>
      <c r="G84" s="182">
        <f>VLOOKUP($A84,[7]MVTRESUME22!$A$6:$AV$89,40,0)</f>
        <v>0</v>
      </c>
      <c r="H84" s="182">
        <f>VLOOKUP($A84,[7]MVTRESUME22!$A$6:$AV$89,41,0)</f>
        <v>0</v>
      </c>
      <c r="I84" s="182">
        <f>VLOOKUP($A84,[7]MVTRESUME22!$A$6:$AV$89,42,0)</f>
        <v>0</v>
      </c>
      <c r="J84" s="273">
        <f t="shared" si="3"/>
        <v>0</v>
      </c>
    </row>
    <row r="85" spans="1:10">
      <c r="A85" s="165" t="s">
        <v>344</v>
      </c>
      <c r="B85" s="142">
        <v>81</v>
      </c>
      <c r="C85" s="181" t="str">
        <f>VLOOKUP($A85,[15]LISTADHERENT!$A$5:$M$101,3,0)</f>
        <v>YOUMBI LEONARD</v>
      </c>
      <c r="D85" s="182">
        <f>VLOOKUP($A85,[7]MVTRESUME22!$A$6:$AV$89,37,0)</f>
        <v>0</v>
      </c>
      <c r="E85" s="182">
        <f>VLOOKUP($A85,[7]MVTRESUME22!$A$6:$AV$89,38,0)</f>
        <v>0</v>
      </c>
      <c r="F85" s="182">
        <f>VLOOKUP($A85,[7]MVTRESUME22!$A$6:$AV$89,39,0)</f>
        <v>0</v>
      </c>
      <c r="G85" s="182">
        <f>VLOOKUP($A85,[7]MVTRESUME22!$A$6:$AV$89,40,0)</f>
        <v>0</v>
      </c>
      <c r="H85" s="182">
        <f>VLOOKUP($A85,[7]MVTRESUME22!$A$6:$AV$89,41,0)</f>
        <v>0</v>
      </c>
      <c r="I85" s="182">
        <f>VLOOKUP($A85,[7]MVTRESUME22!$A$6:$AV$89,42,0)</f>
        <v>0</v>
      </c>
      <c r="J85" s="273">
        <f t="shared" si="3"/>
        <v>0</v>
      </c>
    </row>
    <row r="86" spans="1:10">
      <c r="A86" s="165" t="s">
        <v>367</v>
      </c>
      <c r="B86" s="142">
        <v>82</v>
      </c>
      <c r="C86" s="181" t="str">
        <f>VLOOKUP($A86,[15]LISTADHERENT!$A$5:$M$101,3,0)</f>
        <v>TALAK</v>
      </c>
      <c r="D86" s="182">
        <f>VLOOKUP($A86,[7]MVTRESUME22!$A$6:$AV$89,37,0)</f>
        <v>0</v>
      </c>
      <c r="E86" s="182">
        <f>VLOOKUP($A86,[7]MVTRESUME22!$A$6:$AV$89,38,0)</f>
        <v>0</v>
      </c>
      <c r="F86" s="182">
        <f>VLOOKUP($A86,[7]MVTRESUME22!$A$6:$AV$89,39,0)</f>
        <v>0</v>
      </c>
      <c r="G86" s="182">
        <f>VLOOKUP($A86,[7]MVTRESUME22!$A$6:$AV$89,40,0)</f>
        <v>0</v>
      </c>
      <c r="H86" s="182">
        <f>VLOOKUP($A86,[7]MVTRESUME22!$A$6:$AV$89,41,0)</f>
        <v>0</v>
      </c>
      <c r="I86" s="182">
        <f>VLOOKUP($A86,[7]MVTRESUME22!$A$6:$AV$89,42,0)</f>
        <v>0</v>
      </c>
      <c r="J86" s="273">
        <f t="shared" si="3"/>
        <v>0</v>
      </c>
    </row>
    <row r="87" spans="1:10">
      <c r="A87" s="165" t="s">
        <v>368</v>
      </c>
      <c r="B87" s="142">
        <v>83</v>
      </c>
      <c r="C87" s="181" t="str">
        <f>VLOOKUP($A87,[15]LISTADHERENT!$A$5:$M$101,3,0)</f>
        <v>TODJOM INNOCENT</v>
      </c>
      <c r="D87" s="182">
        <f>VLOOKUP($A87,[7]MVTRESUME22!$A$6:$AV$89,37,0)</f>
        <v>0</v>
      </c>
      <c r="E87" s="182">
        <f>VLOOKUP($A87,[7]MVTRESUME22!$A$6:$AV$89,38,0)</f>
        <v>0</v>
      </c>
      <c r="F87" s="182">
        <f>VLOOKUP($A87,[7]MVTRESUME22!$A$6:$AV$89,39,0)</f>
        <v>0</v>
      </c>
      <c r="G87" s="182">
        <f>VLOOKUP($A87,[7]MVTRESUME22!$A$6:$AV$89,40,0)</f>
        <v>0</v>
      </c>
      <c r="H87" s="182">
        <f>VLOOKUP($A87,[7]MVTRESUME22!$A$6:$AV$89,41,0)</f>
        <v>0</v>
      </c>
      <c r="I87" s="182">
        <f>VLOOKUP($A87,[7]MVTRESUME22!$A$6:$AV$89,42,0)</f>
        <v>0</v>
      </c>
      <c r="J87" s="273">
        <f t="shared" si="3"/>
        <v>0</v>
      </c>
    </row>
    <row r="88" spans="1:10">
      <c r="A88" s="165" t="s">
        <v>369</v>
      </c>
      <c r="B88" s="142"/>
      <c r="C88" s="181" t="str">
        <f>VLOOKUP($A88,[15]LISTADHERENT!$A$5:$M$101,3,0)</f>
        <v>NGAHA FONDJA</v>
      </c>
      <c r="D88" s="182">
        <f>VLOOKUP($A88,[7]MVTRESUME22!$A$6:$AV$89,37,0)</f>
        <v>0</v>
      </c>
      <c r="E88" s="182">
        <f>VLOOKUP($A88,[7]MVTRESUME22!$A$6:$AV$89,38,0)</f>
        <v>0</v>
      </c>
      <c r="F88" s="182">
        <f>VLOOKUP($A88,[7]MVTRESUME22!$A$6:$AV$89,39,0)</f>
        <v>0</v>
      </c>
      <c r="G88" s="182">
        <f>VLOOKUP($A88,[7]MVTRESUME22!$A$6:$AV$89,40,0)</f>
        <v>0</v>
      </c>
      <c r="H88" s="182">
        <f>VLOOKUP($A88,[7]MVTRESUME22!$A$6:$AV$89,41,0)</f>
        <v>0</v>
      </c>
      <c r="I88" s="182">
        <f>VLOOKUP($A88,[7]MVTRESUME22!$A$6:$AV$89,42,0)</f>
        <v>0</v>
      </c>
      <c r="J88" s="273">
        <f t="shared" ref="J88" si="4">SUM(D88:I88)</f>
        <v>0</v>
      </c>
    </row>
    <row r="89" spans="1:10">
      <c r="A89" s="165"/>
      <c r="B89" s="372"/>
      <c r="C89" s="300"/>
      <c r="D89" s="373"/>
      <c r="E89" s="373"/>
      <c r="F89" s="373"/>
      <c r="G89" s="373"/>
      <c r="H89" s="373"/>
      <c r="I89" s="373"/>
      <c r="J89" s="302"/>
    </row>
    <row r="90" spans="1:10" ht="16.5" thickBot="1">
      <c r="A90" s="270"/>
      <c r="B90" s="146"/>
      <c r="C90" s="187" t="s">
        <v>20</v>
      </c>
      <c r="D90" s="188">
        <f t="shared" ref="D90:J90" si="5">SUM(D5:D88)</f>
        <v>2612500</v>
      </c>
      <c r="E90" s="188">
        <f t="shared" si="5"/>
        <v>1070000</v>
      </c>
      <c r="F90" s="188" t="e">
        <f t="shared" si="5"/>
        <v>#VALUE!</v>
      </c>
      <c r="G90" s="188">
        <f t="shared" si="5"/>
        <v>4410900</v>
      </c>
      <c r="H90" s="188">
        <f t="shared" si="5"/>
        <v>5184649</v>
      </c>
      <c r="I90" s="188">
        <f t="shared" si="5"/>
        <v>798749</v>
      </c>
      <c r="J90" s="189" t="e">
        <f t="shared" si="5"/>
        <v>#VALUE!</v>
      </c>
    </row>
    <row r="91" spans="1:10" ht="15.75" thickTop="1"/>
  </sheetData>
  <mergeCells count="2">
    <mergeCell ref="A2:D2"/>
    <mergeCell ref="A1:C1"/>
  </mergeCells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  <pageSetUpPr fitToPage="1"/>
  </sheetPr>
  <dimension ref="A1:P91"/>
  <sheetViews>
    <sheetView topLeftCell="B1" zoomScaleNormal="100" workbookViewId="0">
      <pane xSplit="2" ySplit="4" topLeftCell="D92" activePane="bottomRight" state="frozen"/>
      <selection activeCell="B1" sqref="B1"/>
      <selection pane="topRight" activeCell="D1" sqref="D1"/>
      <selection pane="bottomLeft" activeCell="B5" sqref="B5"/>
      <selection pane="bottomRight" activeCell="B70" sqref="A70:XFD70"/>
    </sheetView>
  </sheetViews>
  <sheetFormatPr baseColWidth="10" defaultRowHeight="15"/>
  <cols>
    <col min="2" max="2" width="3.140625" bestFit="1" customWidth="1"/>
    <col min="3" max="3" width="34.42578125" bestFit="1" customWidth="1"/>
    <col min="4" max="4" width="10.42578125" bestFit="1" customWidth="1"/>
    <col min="5" max="6" width="11.5703125" bestFit="1" customWidth="1"/>
    <col min="7" max="15" width="10.42578125" bestFit="1" customWidth="1"/>
    <col min="16" max="16" width="11.5703125" bestFit="1" customWidth="1"/>
    <col min="240" max="240" width="7.42578125" customWidth="1"/>
    <col min="241" max="241" width="31.42578125" customWidth="1"/>
    <col min="242" max="242" width="11.5703125" customWidth="1"/>
    <col min="243" max="243" width="9.42578125" customWidth="1"/>
    <col min="244" max="244" width="6.42578125" customWidth="1"/>
    <col min="245" max="245" width="17" customWidth="1"/>
    <col min="246" max="247" width="15.140625" customWidth="1"/>
    <col min="248" max="248" width="8.85546875" customWidth="1"/>
    <col min="249" max="249" width="11.85546875" customWidth="1"/>
    <col min="250" max="250" width="17.5703125" customWidth="1"/>
    <col min="251" max="251" width="18.42578125" customWidth="1"/>
    <col min="496" max="496" width="7.42578125" customWidth="1"/>
    <col min="497" max="497" width="31.42578125" customWidth="1"/>
    <col min="498" max="498" width="11.5703125" customWidth="1"/>
    <col min="499" max="499" width="9.42578125" customWidth="1"/>
    <col min="500" max="500" width="6.42578125" customWidth="1"/>
    <col min="501" max="501" width="17" customWidth="1"/>
    <col min="502" max="503" width="15.140625" customWidth="1"/>
    <col min="504" max="504" width="8.85546875" customWidth="1"/>
    <col min="505" max="505" width="11.85546875" customWidth="1"/>
    <col min="506" max="506" width="17.5703125" customWidth="1"/>
    <col min="507" max="507" width="18.42578125" customWidth="1"/>
    <col min="752" max="752" width="7.42578125" customWidth="1"/>
    <col min="753" max="753" width="31.42578125" customWidth="1"/>
    <col min="754" max="754" width="11.5703125" customWidth="1"/>
    <col min="755" max="755" width="9.42578125" customWidth="1"/>
    <col min="756" max="756" width="6.42578125" customWidth="1"/>
    <col min="757" max="757" width="17" customWidth="1"/>
    <col min="758" max="759" width="15.140625" customWidth="1"/>
    <col min="760" max="760" width="8.85546875" customWidth="1"/>
    <col min="761" max="761" width="11.85546875" customWidth="1"/>
    <col min="762" max="762" width="17.5703125" customWidth="1"/>
    <col min="763" max="763" width="18.42578125" customWidth="1"/>
    <col min="1008" max="1008" width="7.42578125" customWidth="1"/>
    <col min="1009" max="1009" width="31.42578125" customWidth="1"/>
    <col min="1010" max="1010" width="11.5703125" customWidth="1"/>
    <col min="1011" max="1011" width="9.42578125" customWidth="1"/>
    <col min="1012" max="1012" width="6.42578125" customWidth="1"/>
    <col min="1013" max="1013" width="17" customWidth="1"/>
    <col min="1014" max="1015" width="15.140625" customWidth="1"/>
    <col min="1016" max="1016" width="8.85546875" customWidth="1"/>
    <col min="1017" max="1017" width="11.85546875" customWidth="1"/>
    <col min="1018" max="1018" width="17.5703125" customWidth="1"/>
    <col min="1019" max="1019" width="18.42578125" customWidth="1"/>
    <col min="1264" max="1264" width="7.42578125" customWidth="1"/>
    <col min="1265" max="1265" width="31.42578125" customWidth="1"/>
    <col min="1266" max="1266" width="11.5703125" customWidth="1"/>
    <col min="1267" max="1267" width="9.42578125" customWidth="1"/>
    <col min="1268" max="1268" width="6.42578125" customWidth="1"/>
    <col min="1269" max="1269" width="17" customWidth="1"/>
    <col min="1270" max="1271" width="15.140625" customWidth="1"/>
    <col min="1272" max="1272" width="8.85546875" customWidth="1"/>
    <col min="1273" max="1273" width="11.85546875" customWidth="1"/>
    <col min="1274" max="1274" width="17.5703125" customWidth="1"/>
    <col min="1275" max="1275" width="18.42578125" customWidth="1"/>
    <col min="1520" max="1520" width="7.42578125" customWidth="1"/>
    <col min="1521" max="1521" width="31.42578125" customWidth="1"/>
    <col min="1522" max="1522" width="11.5703125" customWidth="1"/>
    <col min="1523" max="1523" width="9.42578125" customWidth="1"/>
    <col min="1524" max="1524" width="6.42578125" customWidth="1"/>
    <col min="1525" max="1525" width="17" customWidth="1"/>
    <col min="1526" max="1527" width="15.140625" customWidth="1"/>
    <col min="1528" max="1528" width="8.85546875" customWidth="1"/>
    <col min="1529" max="1529" width="11.85546875" customWidth="1"/>
    <col min="1530" max="1530" width="17.5703125" customWidth="1"/>
    <col min="1531" max="1531" width="18.42578125" customWidth="1"/>
    <col min="1776" max="1776" width="7.42578125" customWidth="1"/>
    <col min="1777" max="1777" width="31.42578125" customWidth="1"/>
    <col min="1778" max="1778" width="11.5703125" customWidth="1"/>
    <col min="1779" max="1779" width="9.42578125" customWidth="1"/>
    <col min="1780" max="1780" width="6.42578125" customWidth="1"/>
    <col min="1781" max="1781" width="17" customWidth="1"/>
    <col min="1782" max="1783" width="15.140625" customWidth="1"/>
    <col min="1784" max="1784" width="8.85546875" customWidth="1"/>
    <col min="1785" max="1785" width="11.85546875" customWidth="1"/>
    <col min="1786" max="1786" width="17.5703125" customWidth="1"/>
    <col min="1787" max="1787" width="18.42578125" customWidth="1"/>
    <col min="2032" max="2032" width="7.42578125" customWidth="1"/>
    <col min="2033" max="2033" width="31.42578125" customWidth="1"/>
    <col min="2034" max="2034" width="11.5703125" customWidth="1"/>
    <col min="2035" max="2035" width="9.42578125" customWidth="1"/>
    <col min="2036" max="2036" width="6.42578125" customWidth="1"/>
    <col min="2037" max="2037" width="17" customWidth="1"/>
    <col min="2038" max="2039" width="15.140625" customWidth="1"/>
    <col min="2040" max="2040" width="8.85546875" customWidth="1"/>
    <col min="2041" max="2041" width="11.85546875" customWidth="1"/>
    <col min="2042" max="2042" width="17.5703125" customWidth="1"/>
    <col min="2043" max="2043" width="18.42578125" customWidth="1"/>
    <col min="2288" max="2288" width="7.42578125" customWidth="1"/>
    <col min="2289" max="2289" width="31.42578125" customWidth="1"/>
    <col min="2290" max="2290" width="11.5703125" customWidth="1"/>
    <col min="2291" max="2291" width="9.42578125" customWidth="1"/>
    <col min="2292" max="2292" width="6.42578125" customWidth="1"/>
    <col min="2293" max="2293" width="17" customWidth="1"/>
    <col min="2294" max="2295" width="15.140625" customWidth="1"/>
    <col min="2296" max="2296" width="8.85546875" customWidth="1"/>
    <col min="2297" max="2297" width="11.85546875" customWidth="1"/>
    <col min="2298" max="2298" width="17.5703125" customWidth="1"/>
    <col min="2299" max="2299" width="18.42578125" customWidth="1"/>
    <col min="2544" max="2544" width="7.42578125" customWidth="1"/>
    <col min="2545" max="2545" width="31.42578125" customWidth="1"/>
    <col min="2546" max="2546" width="11.5703125" customWidth="1"/>
    <col min="2547" max="2547" width="9.42578125" customWidth="1"/>
    <col min="2548" max="2548" width="6.42578125" customWidth="1"/>
    <col min="2549" max="2549" width="17" customWidth="1"/>
    <col min="2550" max="2551" width="15.140625" customWidth="1"/>
    <col min="2552" max="2552" width="8.85546875" customWidth="1"/>
    <col min="2553" max="2553" width="11.85546875" customWidth="1"/>
    <col min="2554" max="2554" width="17.5703125" customWidth="1"/>
    <col min="2555" max="2555" width="18.42578125" customWidth="1"/>
    <col min="2800" max="2800" width="7.42578125" customWidth="1"/>
    <col min="2801" max="2801" width="31.42578125" customWidth="1"/>
    <col min="2802" max="2802" width="11.5703125" customWidth="1"/>
    <col min="2803" max="2803" width="9.42578125" customWidth="1"/>
    <col min="2804" max="2804" width="6.42578125" customWidth="1"/>
    <col min="2805" max="2805" width="17" customWidth="1"/>
    <col min="2806" max="2807" width="15.140625" customWidth="1"/>
    <col min="2808" max="2808" width="8.85546875" customWidth="1"/>
    <col min="2809" max="2809" width="11.85546875" customWidth="1"/>
    <col min="2810" max="2810" width="17.5703125" customWidth="1"/>
    <col min="2811" max="2811" width="18.42578125" customWidth="1"/>
    <col min="3056" max="3056" width="7.42578125" customWidth="1"/>
    <col min="3057" max="3057" width="31.42578125" customWidth="1"/>
    <col min="3058" max="3058" width="11.5703125" customWidth="1"/>
    <col min="3059" max="3059" width="9.42578125" customWidth="1"/>
    <col min="3060" max="3060" width="6.42578125" customWidth="1"/>
    <col min="3061" max="3061" width="17" customWidth="1"/>
    <col min="3062" max="3063" width="15.140625" customWidth="1"/>
    <col min="3064" max="3064" width="8.85546875" customWidth="1"/>
    <col min="3065" max="3065" width="11.85546875" customWidth="1"/>
    <col min="3066" max="3066" width="17.5703125" customWidth="1"/>
    <col min="3067" max="3067" width="18.42578125" customWidth="1"/>
    <col min="3312" max="3312" width="7.42578125" customWidth="1"/>
    <col min="3313" max="3313" width="31.42578125" customWidth="1"/>
    <col min="3314" max="3314" width="11.5703125" customWidth="1"/>
    <col min="3315" max="3315" width="9.42578125" customWidth="1"/>
    <col min="3316" max="3316" width="6.42578125" customWidth="1"/>
    <col min="3317" max="3317" width="17" customWidth="1"/>
    <col min="3318" max="3319" width="15.140625" customWidth="1"/>
    <col min="3320" max="3320" width="8.85546875" customWidth="1"/>
    <col min="3321" max="3321" width="11.85546875" customWidth="1"/>
    <col min="3322" max="3322" width="17.5703125" customWidth="1"/>
    <col min="3323" max="3323" width="18.42578125" customWidth="1"/>
    <col min="3568" max="3568" width="7.42578125" customWidth="1"/>
    <col min="3569" max="3569" width="31.42578125" customWidth="1"/>
    <col min="3570" max="3570" width="11.5703125" customWidth="1"/>
    <col min="3571" max="3571" width="9.42578125" customWidth="1"/>
    <col min="3572" max="3572" width="6.42578125" customWidth="1"/>
    <col min="3573" max="3573" width="17" customWidth="1"/>
    <col min="3574" max="3575" width="15.140625" customWidth="1"/>
    <col min="3576" max="3576" width="8.85546875" customWidth="1"/>
    <col min="3577" max="3577" width="11.85546875" customWidth="1"/>
    <col min="3578" max="3578" width="17.5703125" customWidth="1"/>
    <col min="3579" max="3579" width="18.42578125" customWidth="1"/>
    <col min="3824" max="3824" width="7.42578125" customWidth="1"/>
    <col min="3825" max="3825" width="31.42578125" customWidth="1"/>
    <col min="3826" max="3826" width="11.5703125" customWidth="1"/>
    <col min="3827" max="3827" width="9.42578125" customWidth="1"/>
    <col min="3828" max="3828" width="6.42578125" customWidth="1"/>
    <col min="3829" max="3829" width="17" customWidth="1"/>
    <col min="3830" max="3831" width="15.140625" customWidth="1"/>
    <col min="3832" max="3832" width="8.85546875" customWidth="1"/>
    <col min="3833" max="3833" width="11.85546875" customWidth="1"/>
    <col min="3834" max="3834" width="17.5703125" customWidth="1"/>
    <col min="3835" max="3835" width="18.42578125" customWidth="1"/>
    <col min="4080" max="4080" width="7.42578125" customWidth="1"/>
    <col min="4081" max="4081" width="31.42578125" customWidth="1"/>
    <col min="4082" max="4082" width="11.5703125" customWidth="1"/>
    <col min="4083" max="4083" width="9.42578125" customWidth="1"/>
    <col min="4084" max="4084" width="6.42578125" customWidth="1"/>
    <col min="4085" max="4085" width="17" customWidth="1"/>
    <col min="4086" max="4087" width="15.140625" customWidth="1"/>
    <col min="4088" max="4088" width="8.85546875" customWidth="1"/>
    <col min="4089" max="4089" width="11.85546875" customWidth="1"/>
    <col min="4090" max="4090" width="17.5703125" customWidth="1"/>
    <col min="4091" max="4091" width="18.42578125" customWidth="1"/>
    <col min="4336" max="4336" width="7.42578125" customWidth="1"/>
    <col min="4337" max="4337" width="31.42578125" customWidth="1"/>
    <col min="4338" max="4338" width="11.5703125" customWidth="1"/>
    <col min="4339" max="4339" width="9.42578125" customWidth="1"/>
    <col min="4340" max="4340" width="6.42578125" customWidth="1"/>
    <col min="4341" max="4341" width="17" customWidth="1"/>
    <col min="4342" max="4343" width="15.140625" customWidth="1"/>
    <col min="4344" max="4344" width="8.85546875" customWidth="1"/>
    <col min="4345" max="4345" width="11.85546875" customWidth="1"/>
    <col min="4346" max="4346" width="17.5703125" customWidth="1"/>
    <col min="4347" max="4347" width="18.42578125" customWidth="1"/>
    <col min="4592" max="4592" width="7.42578125" customWidth="1"/>
    <col min="4593" max="4593" width="31.42578125" customWidth="1"/>
    <col min="4594" max="4594" width="11.5703125" customWidth="1"/>
    <col min="4595" max="4595" width="9.42578125" customWidth="1"/>
    <col min="4596" max="4596" width="6.42578125" customWidth="1"/>
    <col min="4597" max="4597" width="17" customWidth="1"/>
    <col min="4598" max="4599" width="15.140625" customWidth="1"/>
    <col min="4600" max="4600" width="8.85546875" customWidth="1"/>
    <col min="4601" max="4601" width="11.85546875" customWidth="1"/>
    <col min="4602" max="4602" width="17.5703125" customWidth="1"/>
    <col min="4603" max="4603" width="18.42578125" customWidth="1"/>
    <col min="4848" max="4848" width="7.42578125" customWidth="1"/>
    <col min="4849" max="4849" width="31.42578125" customWidth="1"/>
    <col min="4850" max="4850" width="11.5703125" customWidth="1"/>
    <col min="4851" max="4851" width="9.42578125" customWidth="1"/>
    <col min="4852" max="4852" width="6.42578125" customWidth="1"/>
    <col min="4853" max="4853" width="17" customWidth="1"/>
    <col min="4854" max="4855" width="15.140625" customWidth="1"/>
    <col min="4856" max="4856" width="8.85546875" customWidth="1"/>
    <col min="4857" max="4857" width="11.85546875" customWidth="1"/>
    <col min="4858" max="4858" width="17.5703125" customWidth="1"/>
    <col min="4859" max="4859" width="18.42578125" customWidth="1"/>
    <col min="5104" max="5104" width="7.42578125" customWidth="1"/>
    <col min="5105" max="5105" width="31.42578125" customWidth="1"/>
    <col min="5106" max="5106" width="11.5703125" customWidth="1"/>
    <col min="5107" max="5107" width="9.42578125" customWidth="1"/>
    <col min="5108" max="5108" width="6.42578125" customWidth="1"/>
    <col min="5109" max="5109" width="17" customWidth="1"/>
    <col min="5110" max="5111" width="15.140625" customWidth="1"/>
    <col min="5112" max="5112" width="8.85546875" customWidth="1"/>
    <col min="5113" max="5113" width="11.85546875" customWidth="1"/>
    <col min="5114" max="5114" width="17.5703125" customWidth="1"/>
    <col min="5115" max="5115" width="18.42578125" customWidth="1"/>
    <col min="5360" max="5360" width="7.42578125" customWidth="1"/>
    <col min="5361" max="5361" width="31.42578125" customWidth="1"/>
    <col min="5362" max="5362" width="11.5703125" customWidth="1"/>
    <col min="5363" max="5363" width="9.42578125" customWidth="1"/>
    <col min="5364" max="5364" width="6.42578125" customWidth="1"/>
    <col min="5365" max="5365" width="17" customWidth="1"/>
    <col min="5366" max="5367" width="15.140625" customWidth="1"/>
    <col min="5368" max="5368" width="8.85546875" customWidth="1"/>
    <col min="5369" max="5369" width="11.85546875" customWidth="1"/>
    <col min="5370" max="5370" width="17.5703125" customWidth="1"/>
    <col min="5371" max="5371" width="18.42578125" customWidth="1"/>
    <col min="5616" max="5616" width="7.42578125" customWidth="1"/>
    <col min="5617" max="5617" width="31.42578125" customWidth="1"/>
    <col min="5618" max="5618" width="11.5703125" customWidth="1"/>
    <col min="5619" max="5619" width="9.42578125" customWidth="1"/>
    <col min="5620" max="5620" width="6.42578125" customWidth="1"/>
    <col min="5621" max="5621" width="17" customWidth="1"/>
    <col min="5622" max="5623" width="15.140625" customWidth="1"/>
    <col min="5624" max="5624" width="8.85546875" customWidth="1"/>
    <col min="5625" max="5625" width="11.85546875" customWidth="1"/>
    <col min="5626" max="5626" width="17.5703125" customWidth="1"/>
    <col min="5627" max="5627" width="18.42578125" customWidth="1"/>
    <col min="5872" max="5872" width="7.42578125" customWidth="1"/>
    <col min="5873" max="5873" width="31.42578125" customWidth="1"/>
    <col min="5874" max="5874" width="11.5703125" customWidth="1"/>
    <col min="5875" max="5875" width="9.42578125" customWidth="1"/>
    <col min="5876" max="5876" width="6.42578125" customWidth="1"/>
    <col min="5877" max="5877" width="17" customWidth="1"/>
    <col min="5878" max="5879" width="15.140625" customWidth="1"/>
    <col min="5880" max="5880" width="8.85546875" customWidth="1"/>
    <col min="5881" max="5881" width="11.85546875" customWidth="1"/>
    <col min="5882" max="5882" width="17.5703125" customWidth="1"/>
    <col min="5883" max="5883" width="18.42578125" customWidth="1"/>
    <col min="6128" max="6128" width="7.42578125" customWidth="1"/>
    <col min="6129" max="6129" width="31.42578125" customWidth="1"/>
    <col min="6130" max="6130" width="11.5703125" customWidth="1"/>
    <col min="6131" max="6131" width="9.42578125" customWidth="1"/>
    <col min="6132" max="6132" width="6.42578125" customWidth="1"/>
    <col min="6133" max="6133" width="17" customWidth="1"/>
    <col min="6134" max="6135" width="15.140625" customWidth="1"/>
    <col min="6136" max="6136" width="8.85546875" customWidth="1"/>
    <col min="6137" max="6137" width="11.85546875" customWidth="1"/>
    <col min="6138" max="6138" width="17.5703125" customWidth="1"/>
    <col min="6139" max="6139" width="18.42578125" customWidth="1"/>
    <col min="6384" max="6384" width="7.42578125" customWidth="1"/>
    <col min="6385" max="6385" width="31.42578125" customWidth="1"/>
    <col min="6386" max="6386" width="11.5703125" customWidth="1"/>
    <col min="6387" max="6387" width="9.42578125" customWidth="1"/>
    <col min="6388" max="6388" width="6.42578125" customWidth="1"/>
    <col min="6389" max="6389" width="17" customWidth="1"/>
    <col min="6390" max="6391" width="15.140625" customWidth="1"/>
    <col min="6392" max="6392" width="8.85546875" customWidth="1"/>
    <col min="6393" max="6393" width="11.85546875" customWidth="1"/>
    <col min="6394" max="6394" width="17.5703125" customWidth="1"/>
    <col min="6395" max="6395" width="18.42578125" customWidth="1"/>
    <col min="6640" max="6640" width="7.42578125" customWidth="1"/>
    <col min="6641" max="6641" width="31.42578125" customWidth="1"/>
    <col min="6642" max="6642" width="11.5703125" customWidth="1"/>
    <col min="6643" max="6643" width="9.42578125" customWidth="1"/>
    <col min="6644" max="6644" width="6.42578125" customWidth="1"/>
    <col min="6645" max="6645" width="17" customWidth="1"/>
    <col min="6646" max="6647" width="15.140625" customWidth="1"/>
    <col min="6648" max="6648" width="8.85546875" customWidth="1"/>
    <col min="6649" max="6649" width="11.85546875" customWidth="1"/>
    <col min="6650" max="6650" width="17.5703125" customWidth="1"/>
    <col min="6651" max="6651" width="18.42578125" customWidth="1"/>
    <col min="6896" max="6896" width="7.42578125" customWidth="1"/>
    <col min="6897" max="6897" width="31.42578125" customWidth="1"/>
    <col min="6898" max="6898" width="11.5703125" customWidth="1"/>
    <col min="6899" max="6899" width="9.42578125" customWidth="1"/>
    <col min="6900" max="6900" width="6.42578125" customWidth="1"/>
    <col min="6901" max="6901" width="17" customWidth="1"/>
    <col min="6902" max="6903" width="15.140625" customWidth="1"/>
    <col min="6904" max="6904" width="8.85546875" customWidth="1"/>
    <col min="6905" max="6905" width="11.85546875" customWidth="1"/>
    <col min="6906" max="6906" width="17.5703125" customWidth="1"/>
    <col min="6907" max="6907" width="18.42578125" customWidth="1"/>
    <col min="7152" max="7152" width="7.42578125" customWidth="1"/>
    <col min="7153" max="7153" width="31.42578125" customWidth="1"/>
    <col min="7154" max="7154" width="11.5703125" customWidth="1"/>
    <col min="7155" max="7155" width="9.42578125" customWidth="1"/>
    <col min="7156" max="7156" width="6.42578125" customWidth="1"/>
    <col min="7157" max="7157" width="17" customWidth="1"/>
    <col min="7158" max="7159" width="15.140625" customWidth="1"/>
    <col min="7160" max="7160" width="8.85546875" customWidth="1"/>
    <col min="7161" max="7161" width="11.85546875" customWidth="1"/>
    <col min="7162" max="7162" width="17.5703125" customWidth="1"/>
    <col min="7163" max="7163" width="18.42578125" customWidth="1"/>
    <col min="7408" max="7408" width="7.42578125" customWidth="1"/>
    <col min="7409" max="7409" width="31.42578125" customWidth="1"/>
    <col min="7410" max="7410" width="11.5703125" customWidth="1"/>
    <col min="7411" max="7411" width="9.42578125" customWidth="1"/>
    <col min="7412" max="7412" width="6.42578125" customWidth="1"/>
    <col min="7413" max="7413" width="17" customWidth="1"/>
    <col min="7414" max="7415" width="15.140625" customWidth="1"/>
    <col min="7416" max="7416" width="8.85546875" customWidth="1"/>
    <col min="7417" max="7417" width="11.85546875" customWidth="1"/>
    <col min="7418" max="7418" width="17.5703125" customWidth="1"/>
    <col min="7419" max="7419" width="18.42578125" customWidth="1"/>
    <col min="7664" max="7664" width="7.42578125" customWidth="1"/>
    <col min="7665" max="7665" width="31.42578125" customWidth="1"/>
    <col min="7666" max="7666" width="11.5703125" customWidth="1"/>
    <col min="7667" max="7667" width="9.42578125" customWidth="1"/>
    <col min="7668" max="7668" width="6.42578125" customWidth="1"/>
    <col min="7669" max="7669" width="17" customWidth="1"/>
    <col min="7670" max="7671" width="15.140625" customWidth="1"/>
    <col min="7672" max="7672" width="8.85546875" customWidth="1"/>
    <col min="7673" max="7673" width="11.85546875" customWidth="1"/>
    <col min="7674" max="7674" width="17.5703125" customWidth="1"/>
    <col min="7675" max="7675" width="18.42578125" customWidth="1"/>
    <col min="7920" max="7920" width="7.42578125" customWidth="1"/>
    <col min="7921" max="7921" width="31.42578125" customWidth="1"/>
    <col min="7922" max="7922" width="11.5703125" customWidth="1"/>
    <col min="7923" max="7923" width="9.42578125" customWidth="1"/>
    <col min="7924" max="7924" width="6.42578125" customWidth="1"/>
    <col min="7925" max="7925" width="17" customWidth="1"/>
    <col min="7926" max="7927" width="15.140625" customWidth="1"/>
    <col min="7928" max="7928" width="8.85546875" customWidth="1"/>
    <col min="7929" max="7929" width="11.85546875" customWidth="1"/>
    <col min="7930" max="7930" width="17.5703125" customWidth="1"/>
    <col min="7931" max="7931" width="18.42578125" customWidth="1"/>
    <col min="8176" max="8176" width="7.42578125" customWidth="1"/>
    <col min="8177" max="8177" width="31.42578125" customWidth="1"/>
    <col min="8178" max="8178" width="11.5703125" customWidth="1"/>
    <col min="8179" max="8179" width="9.42578125" customWidth="1"/>
    <col min="8180" max="8180" width="6.42578125" customWidth="1"/>
    <col min="8181" max="8181" width="17" customWidth="1"/>
    <col min="8182" max="8183" width="15.140625" customWidth="1"/>
    <col min="8184" max="8184" width="8.85546875" customWidth="1"/>
    <col min="8185" max="8185" width="11.85546875" customWidth="1"/>
    <col min="8186" max="8186" width="17.5703125" customWidth="1"/>
    <col min="8187" max="8187" width="18.42578125" customWidth="1"/>
    <col min="8432" max="8432" width="7.42578125" customWidth="1"/>
    <col min="8433" max="8433" width="31.42578125" customWidth="1"/>
    <col min="8434" max="8434" width="11.5703125" customWidth="1"/>
    <col min="8435" max="8435" width="9.42578125" customWidth="1"/>
    <col min="8436" max="8436" width="6.42578125" customWidth="1"/>
    <col min="8437" max="8437" width="17" customWidth="1"/>
    <col min="8438" max="8439" width="15.140625" customWidth="1"/>
    <col min="8440" max="8440" width="8.85546875" customWidth="1"/>
    <col min="8441" max="8441" width="11.85546875" customWidth="1"/>
    <col min="8442" max="8442" width="17.5703125" customWidth="1"/>
    <col min="8443" max="8443" width="18.42578125" customWidth="1"/>
    <col min="8688" max="8688" width="7.42578125" customWidth="1"/>
    <col min="8689" max="8689" width="31.42578125" customWidth="1"/>
    <col min="8690" max="8690" width="11.5703125" customWidth="1"/>
    <col min="8691" max="8691" width="9.42578125" customWidth="1"/>
    <col min="8692" max="8692" width="6.42578125" customWidth="1"/>
    <col min="8693" max="8693" width="17" customWidth="1"/>
    <col min="8694" max="8695" width="15.140625" customWidth="1"/>
    <col min="8696" max="8696" width="8.85546875" customWidth="1"/>
    <col min="8697" max="8697" width="11.85546875" customWidth="1"/>
    <col min="8698" max="8698" width="17.5703125" customWidth="1"/>
    <col min="8699" max="8699" width="18.42578125" customWidth="1"/>
    <col min="8944" max="8944" width="7.42578125" customWidth="1"/>
    <col min="8945" max="8945" width="31.42578125" customWidth="1"/>
    <col min="8946" max="8946" width="11.5703125" customWidth="1"/>
    <col min="8947" max="8947" width="9.42578125" customWidth="1"/>
    <col min="8948" max="8948" width="6.42578125" customWidth="1"/>
    <col min="8949" max="8949" width="17" customWidth="1"/>
    <col min="8950" max="8951" width="15.140625" customWidth="1"/>
    <col min="8952" max="8952" width="8.85546875" customWidth="1"/>
    <col min="8953" max="8953" width="11.85546875" customWidth="1"/>
    <col min="8954" max="8954" width="17.5703125" customWidth="1"/>
    <col min="8955" max="8955" width="18.42578125" customWidth="1"/>
    <col min="9200" max="9200" width="7.42578125" customWidth="1"/>
    <col min="9201" max="9201" width="31.42578125" customWidth="1"/>
    <col min="9202" max="9202" width="11.5703125" customWidth="1"/>
    <col min="9203" max="9203" width="9.42578125" customWidth="1"/>
    <col min="9204" max="9204" width="6.42578125" customWidth="1"/>
    <col min="9205" max="9205" width="17" customWidth="1"/>
    <col min="9206" max="9207" width="15.140625" customWidth="1"/>
    <col min="9208" max="9208" width="8.85546875" customWidth="1"/>
    <col min="9209" max="9209" width="11.85546875" customWidth="1"/>
    <col min="9210" max="9210" width="17.5703125" customWidth="1"/>
    <col min="9211" max="9211" width="18.42578125" customWidth="1"/>
    <col min="9456" max="9456" width="7.42578125" customWidth="1"/>
    <col min="9457" max="9457" width="31.42578125" customWidth="1"/>
    <col min="9458" max="9458" width="11.5703125" customWidth="1"/>
    <col min="9459" max="9459" width="9.42578125" customWidth="1"/>
    <col min="9460" max="9460" width="6.42578125" customWidth="1"/>
    <col min="9461" max="9461" width="17" customWidth="1"/>
    <col min="9462" max="9463" width="15.140625" customWidth="1"/>
    <col min="9464" max="9464" width="8.85546875" customWidth="1"/>
    <col min="9465" max="9465" width="11.85546875" customWidth="1"/>
    <col min="9466" max="9466" width="17.5703125" customWidth="1"/>
    <col min="9467" max="9467" width="18.42578125" customWidth="1"/>
    <col min="9712" max="9712" width="7.42578125" customWidth="1"/>
    <col min="9713" max="9713" width="31.42578125" customWidth="1"/>
    <col min="9714" max="9714" width="11.5703125" customWidth="1"/>
    <col min="9715" max="9715" width="9.42578125" customWidth="1"/>
    <col min="9716" max="9716" width="6.42578125" customWidth="1"/>
    <col min="9717" max="9717" width="17" customWidth="1"/>
    <col min="9718" max="9719" width="15.140625" customWidth="1"/>
    <col min="9720" max="9720" width="8.85546875" customWidth="1"/>
    <col min="9721" max="9721" width="11.85546875" customWidth="1"/>
    <col min="9722" max="9722" width="17.5703125" customWidth="1"/>
    <col min="9723" max="9723" width="18.42578125" customWidth="1"/>
    <col min="9968" max="9968" width="7.42578125" customWidth="1"/>
    <col min="9969" max="9969" width="31.42578125" customWidth="1"/>
    <col min="9970" max="9970" width="11.5703125" customWidth="1"/>
    <col min="9971" max="9971" width="9.42578125" customWidth="1"/>
    <col min="9972" max="9972" width="6.42578125" customWidth="1"/>
    <col min="9973" max="9973" width="17" customWidth="1"/>
    <col min="9974" max="9975" width="15.140625" customWidth="1"/>
    <col min="9976" max="9976" width="8.85546875" customWidth="1"/>
    <col min="9977" max="9977" width="11.85546875" customWidth="1"/>
    <col min="9978" max="9978" width="17.5703125" customWidth="1"/>
    <col min="9979" max="9979" width="18.42578125" customWidth="1"/>
    <col min="10224" max="10224" width="7.42578125" customWidth="1"/>
    <col min="10225" max="10225" width="31.42578125" customWidth="1"/>
    <col min="10226" max="10226" width="11.5703125" customWidth="1"/>
    <col min="10227" max="10227" width="9.42578125" customWidth="1"/>
    <col min="10228" max="10228" width="6.42578125" customWidth="1"/>
    <col min="10229" max="10229" width="17" customWidth="1"/>
    <col min="10230" max="10231" width="15.140625" customWidth="1"/>
    <col min="10232" max="10232" width="8.85546875" customWidth="1"/>
    <col min="10233" max="10233" width="11.85546875" customWidth="1"/>
    <col min="10234" max="10234" width="17.5703125" customWidth="1"/>
    <col min="10235" max="10235" width="18.42578125" customWidth="1"/>
    <col min="10480" max="10480" width="7.42578125" customWidth="1"/>
    <col min="10481" max="10481" width="31.42578125" customWidth="1"/>
    <col min="10482" max="10482" width="11.5703125" customWidth="1"/>
    <col min="10483" max="10483" width="9.42578125" customWidth="1"/>
    <col min="10484" max="10484" width="6.42578125" customWidth="1"/>
    <col min="10485" max="10485" width="17" customWidth="1"/>
    <col min="10486" max="10487" width="15.140625" customWidth="1"/>
    <col min="10488" max="10488" width="8.85546875" customWidth="1"/>
    <col min="10489" max="10489" width="11.85546875" customWidth="1"/>
    <col min="10490" max="10490" width="17.5703125" customWidth="1"/>
    <col min="10491" max="10491" width="18.42578125" customWidth="1"/>
    <col min="10736" max="10736" width="7.42578125" customWidth="1"/>
    <col min="10737" max="10737" width="31.42578125" customWidth="1"/>
    <col min="10738" max="10738" width="11.5703125" customWidth="1"/>
    <col min="10739" max="10739" width="9.42578125" customWidth="1"/>
    <col min="10740" max="10740" width="6.42578125" customWidth="1"/>
    <col min="10741" max="10741" width="17" customWidth="1"/>
    <col min="10742" max="10743" width="15.140625" customWidth="1"/>
    <col min="10744" max="10744" width="8.85546875" customWidth="1"/>
    <col min="10745" max="10745" width="11.85546875" customWidth="1"/>
    <col min="10746" max="10746" width="17.5703125" customWidth="1"/>
    <col min="10747" max="10747" width="18.42578125" customWidth="1"/>
    <col min="10992" max="10992" width="7.42578125" customWidth="1"/>
    <col min="10993" max="10993" width="31.42578125" customWidth="1"/>
    <col min="10994" max="10994" width="11.5703125" customWidth="1"/>
    <col min="10995" max="10995" width="9.42578125" customWidth="1"/>
    <col min="10996" max="10996" width="6.42578125" customWidth="1"/>
    <col min="10997" max="10997" width="17" customWidth="1"/>
    <col min="10998" max="10999" width="15.140625" customWidth="1"/>
    <col min="11000" max="11000" width="8.85546875" customWidth="1"/>
    <col min="11001" max="11001" width="11.85546875" customWidth="1"/>
    <col min="11002" max="11002" width="17.5703125" customWidth="1"/>
    <col min="11003" max="11003" width="18.42578125" customWidth="1"/>
    <col min="11248" max="11248" width="7.42578125" customWidth="1"/>
    <col min="11249" max="11249" width="31.42578125" customWidth="1"/>
    <col min="11250" max="11250" width="11.5703125" customWidth="1"/>
    <col min="11251" max="11251" width="9.42578125" customWidth="1"/>
    <col min="11252" max="11252" width="6.42578125" customWidth="1"/>
    <col min="11253" max="11253" width="17" customWidth="1"/>
    <col min="11254" max="11255" width="15.140625" customWidth="1"/>
    <col min="11256" max="11256" width="8.85546875" customWidth="1"/>
    <col min="11257" max="11257" width="11.85546875" customWidth="1"/>
    <col min="11258" max="11258" width="17.5703125" customWidth="1"/>
    <col min="11259" max="11259" width="18.42578125" customWidth="1"/>
    <col min="11504" max="11504" width="7.42578125" customWidth="1"/>
    <col min="11505" max="11505" width="31.42578125" customWidth="1"/>
    <col min="11506" max="11506" width="11.5703125" customWidth="1"/>
    <col min="11507" max="11507" width="9.42578125" customWidth="1"/>
    <col min="11508" max="11508" width="6.42578125" customWidth="1"/>
    <col min="11509" max="11509" width="17" customWidth="1"/>
    <col min="11510" max="11511" width="15.140625" customWidth="1"/>
    <col min="11512" max="11512" width="8.85546875" customWidth="1"/>
    <col min="11513" max="11513" width="11.85546875" customWidth="1"/>
    <col min="11514" max="11514" width="17.5703125" customWidth="1"/>
    <col min="11515" max="11515" width="18.42578125" customWidth="1"/>
    <col min="11760" max="11760" width="7.42578125" customWidth="1"/>
    <col min="11761" max="11761" width="31.42578125" customWidth="1"/>
    <col min="11762" max="11762" width="11.5703125" customWidth="1"/>
    <col min="11763" max="11763" width="9.42578125" customWidth="1"/>
    <col min="11764" max="11764" width="6.42578125" customWidth="1"/>
    <col min="11765" max="11765" width="17" customWidth="1"/>
    <col min="11766" max="11767" width="15.140625" customWidth="1"/>
    <col min="11768" max="11768" width="8.85546875" customWidth="1"/>
    <col min="11769" max="11769" width="11.85546875" customWidth="1"/>
    <col min="11770" max="11770" width="17.5703125" customWidth="1"/>
    <col min="11771" max="11771" width="18.42578125" customWidth="1"/>
    <col min="12016" max="12016" width="7.42578125" customWidth="1"/>
    <col min="12017" max="12017" width="31.42578125" customWidth="1"/>
    <col min="12018" max="12018" width="11.5703125" customWidth="1"/>
    <col min="12019" max="12019" width="9.42578125" customWidth="1"/>
    <col min="12020" max="12020" width="6.42578125" customWidth="1"/>
    <col min="12021" max="12021" width="17" customWidth="1"/>
    <col min="12022" max="12023" width="15.140625" customWidth="1"/>
    <col min="12024" max="12024" width="8.85546875" customWidth="1"/>
    <col min="12025" max="12025" width="11.85546875" customWidth="1"/>
    <col min="12026" max="12026" width="17.5703125" customWidth="1"/>
    <col min="12027" max="12027" width="18.42578125" customWidth="1"/>
    <col min="12272" max="12272" width="7.42578125" customWidth="1"/>
    <col min="12273" max="12273" width="31.42578125" customWidth="1"/>
    <col min="12274" max="12274" width="11.5703125" customWidth="1"/>
    <col min="12275" max="12275" width="9.42578125" customWidth="1"/>
    <col min="12276" max="12276" width="6.42578125" customWidth="1"/>
    <col min="12277" max="12277" width="17" customWidth="1"/>
    <col min="12278" max="12279" width="15.140625" customWidth="1"/>
    <col min="12280" max="12280" width="8.85546875" customWidth="1"/>
    <col min="12281" max="12281" width="11.85546875" customWidth="1"/>
    <col min="12282" max="12282" width="17.5703125" customWidth="1"/>
    <col min="12283" max="12283" width="18.42578125" customWidth="1"/>
    <col min="12528" max="12528" width="7.42578125" customWidth="1"/>
    <col min="12529" max="12529" width="31.42578125" customWidth="1"/>
    <col min="12530" max="12530" width="11.5703125" customWidth="1"/>
    <col min="12531" max="12531" width="9.42578125" customWidth="1"/>
    <col min="12532" max="12532" width="6.42578125" customWidth="1"/>
    <col min="12533" max="12533" width="17" customWidth="1"/>
    <col min="12534" max="12535" width="15.140625" customWidth="1"/>
    <col min="12536" max="12536" width="8.85546875" customWidth="1"/>
    <col min="12537" max="12537" width="11.85546875" customWidth="1"/>
    <col min="12538" max="12538" width="17.5703125" customWidth="1"/>
    <col min="12539" max="12539" width="18.42578125" customWidth="1"/>
    <col min="12784" max="12784" width="7.42578125" customWidth="1"/>
    <col min="12785" max="12785" width="31.42578125" customWidth="1"/>
    <col min="12786" max="12786" width="11.5703125" customWidth="1"/>
    <col min="12787" max="12787" width="9.42578125" customWidth="1"/>
    <col min="12788" max="12788" width="6.42578125" customWidth="1"/>
    <col min="12789" max="12789" width="17" customWidth="1"/>
    <col min="12790" max="12791" width="15.140625" customWidth="1"/>
    <col min="12792" max="12792" width="8.85546875" customWidth="1"/>
    <col min="12793" max="12793" width="11.85546875" customWidth="1"/>
    <col min="12794" max="12794" width="17.5703125" customWidth="1"/>
    <col min="12795" max="12795" width="18.42578125" customWidth="1"/>
    <col min="13040" max="13040" width="7.42578125" customWidth="1"/>
    <col min="13041" max="13041" width="31.42578125" customWidth="1"/>
    <col min="13042" max="13042" width="11.5703125" customWidth="1"/>
    <col min="13043" max="13043" width="9.42578125" customWidth="1"/>
    <col min="13044" max="13044" width="6.42578125" customWidth="1"/>
    <col min="13045" max="13045" width="17" customWidth="1"/>
    <col min="13046" max="13047" width="15.140625" customWidth="1"/>
    <col min="13048" max="13048" width="8.85546875" customWidth="1"/>
    <col min="13049" max="13049" width="11.85546875" customWidth="1"/>
    <col min="13050" max="13050" width="17.5703125" customWidth="1"/>
    <col min="13051" max="13051" width="18.42578125" customWidth="1"/>
    <col min="13296" max="13296" width="7.42578125" customWidth="1"/>
    <col min="13297" max="13297" width="31.42578125" customWidth="1"/>
    <col min="13298" max="13298" width="11.5703125" customWidth="1"/>
    <col min="13299" max="13299" width="9.42578125" customWidth="1"/>
    <col min="13300" max="13300" width="6.42578125" customWidth="1"/>
    <col min="13301" max="13301" width="17" customWidth="1"/>
    <col min="13302" max="13303" width="15.140625" customWidth="1"/>
    <col min="13304" max="13304" width="8.85546875" customWidth="1"/>
    <col min="13305" max="13305" width="11.85546875" customWidth="1"/>
    <col min="13306" max="13306" width="17.5703125" customWidth="1"/>
    <col min="13307" max="13307" width="18.42578125" customWidth="1"/>
    <col min="13552" max="13552" width="7.42578125" customWidth="1"/>
    <col min="13553" max="13553" width="31.42578125" customWidth="1"/>
    <col min="13554" max="13554" width="11.5703125" customWidth="1"/>
    <col min="13555" max="13555" width="9.42578125" customWidth="1"/>
    <col min="13556" max="13556" width="6.42578125" customWidth="1"/>
    <col min="13557" max="13557" width="17" customWidth="1"/>
    <col min="13558" max="13559" width="15.140625" customWidth="1"/>
    <col min="13560" max="13560" width="8.85546875" customWidth="1"/>
    <col min="13561" max="13561" width="11.85546875" customWidth="1"/>
    <col min="13562" max="13562" width="17.5703125" customWidth="1"/>
    <col min="13563" max="13563" width="18.42578125" customWidth="1"/>
    <col min="13808" max="13808" width="7.42578125" customWidth="1"/>
    <col min="13809" max="13809" width="31.42578125" customWidth="1"/>
    <col min="13810" max="13810" width="11.5703125" customWidth="1"/>
    <col min="13811" max="13811" width="9.42578125" customWidth="1"/>
    <col min="13812" max="13812" width="6.42578125" customWidth="1"/>
    <col min="13813" max="13813" width="17" customWidth="1"/>
    <col min="13814" max="13815" width="15.140625" customWidth="1"/>
    <col min="13816" max="13816" width="8.85546875" customWidth="1"/>
    <col min="13817" max="13817" width="11.85546875" customWidth="1"/>
    <col min="13818" max="13818" width="17.5703125" customWidth="1"/>
    <col min="13819" max="13819" width="18.42578125" customWidth="1"/>
    <col min="14064" max="14064" width="7.42578125" customWidth="1"/>
    <col min="14065" max="14065" width="31.42578125" customWidth="1"/>
    <col min="14066" max="14066" width="11.5703125" customWidth="1"/>
    <col min="14067" max="14067" width="9.42578125" customWidth="1"/>
    <col min="14068" max="14068" width="6.42578125" customWidth="1"/>
    <col min="14069" max="14069" width="17" customWidth="1"/>
    <col min="14070" max="14071" width="15.140625" customWidth="1"/>
    <col min="14072" max="14072" width="8.85546875" customWidth="1"/>
    <col min="14073" max="14073" width="11.85546875" customWidth="1"/>
    <col min="14074" max="14074" width="17.5703125" customWidth="1"/>
    <col min="14075" max="14075" width="18.42578125" customWidth="1"/>
    <col min="14320" max="14320" width="7.42578125" customWidth="1"/>
    <col min="14321" max="14321" width="31.42578125" customWidth="1"/>
    <col min="14322" max="14322" width="11.5703125" customWidth="1"/>
    <col min="14323" max="14323" width="9.42578125" customWidth="1"/>
    <col min="14324" max="14324" width="6.42578125" customWidth="1"/>
    <col min="14325" max="14325" width="17" customWidth="1"/>
    <col min="14326" max="14327" width="15.140625" customWidth="1"/>
    <col min="14328" max="14328" width="8.85546875" customWidth="1"/>
    <col min="14329" max="14329" width="11.85546875" customWidth="1"/>
    <col min="14330" max="14330" width="17.5703125" customWidth="1"/>
    <col min="14331" max="14331" width="18.42578125" customWidth="1"/>
    <col min="14576" max="14576" width="7.42578125" customWidth="1"/>
    <col min="14577" max="14577" width="31.42578125" customWidth="1"/>
    <col min="14578" max="14578" width="11.5703125" customWidth="1"/>
    <col min="14579" max="14579" width="9.42578125" customWidth="1"/>
    <col min="14580" max="14580" width="6.42578125" customWidth="1"/>
    <col min="14581" max="14581" width="17" customWidth="1"/>
    <col min="14582" max="14583" width="15.140625" customWidth="1"/>
    <col min="14584" max="14584" width="8.85546875" customWidth="1"/>
    <col min="14585" max="14585" width="11.85546875" customWidth="1"/>
    <col min="14586" max="14586" width="17.5703125" customWidth="1"/>
    <col min="14587" max="14587" width="18.42578125" customWidth="1"/>
    <col min="14832" max="14832" width="7.42578125" customWidth="1"/>
    <col min="14833" max="14833" width="31.42578125" customWidth="1"/>
    <col min="14834" max="14834" width="11.5703125" customWidth="1"/>
    <col min="14835" max="14835" width="9.42578125" customWidth="1"/>
    <col min="14836" max="14836" width="6.42578125" customWidth="1"/>
    <col min="14837" max="14837" width="17" customWidth="1"/>
    <col min="14838" max="14839" width="15.140625" customWidth="1"/>
    <col min="14840" max="14840" width="8.85546875" customWidth="1"/>
    <col min="14841" max="14841" width="11.85546875" customWidth="1"/>
    <col min="14842" max="14842" width="17.5703125" customWidth="1"/>
    <col min="14843" max="14843" width="18.42578125" customWidth="1"/>
    <col min="15088" max="15088" width="7.42578125" customWidth="1"/>
    <col min="15089" max="15089" width="31.42578125" customWidth="1"/>
    <col min="15090" max="15090" width="11.5703125" customWidth="1"/>
    <col min="15091" max="15091" width="9.42578125" customWidth="1"/>
    <col min="15092" max="15092" width="6.42578125" customWidth="1"/>
    <col min="15093" max="15093" width="17" customWidth="1"/>
    <col min="15094" max="15095" width="15.140625" customWidth="1"/>
    <col min="15096" max="15096" width="8.85546875" customWidth="1"/>
    <col min="15097" max="15097" width="11.85546875" customWidth="1"/>
    <col min="15098" max="15098" width="17.5703125" customWidth="1"/>
    <col min="15099" max="15099" width="18.42578125" customWidth="1"/>
    <col min="15344" max="15344" width="7.42578125" customWidth="1"/>
    <col min="15345" max="15345" width="31.42578125" customWidth="1"/>
    <col min="15346" max="15346" width="11.5703125" customWidth="1"/>
    <col min="15347" max="15347" width="9.42578125" customWidth="1"/>
    <col min="15348" max="15348" width="6.42578125" customWidth="1"/>
    <col min="15349" max="15349" width="17" customWidth="1"/>
    <col min="15350" max="15351" width="15.140625" customWidth="1"/>
    <col min="15352" max="15352" width="8.85546875" customWidth="1"/>
    <col min="15353" max="15353" width="11.85546875" customWidth="1"/>
    <col min="15354" max="15354" width="17.5703125" customWidth="1"/>
    <col min="15355" max="15355" width="18.42578125" customWidth="1"/>
    <col min="15600" max="15600" width="7.42578125" customWidth="1"/>
    <col min="15601" max="15601" width="31.42578125" customWidth="1"/>
    <col min="15602" max="15602" width="11.5703125" customWidth="1"/>
    <col min="15603" max="15603" width="9.42578125" customWidth="1"/>
    <col min="15604" max="15604" width="6.42578125" customWidth="1"/>
    <col min="15605" max="15605" width="17" customWidth="1"/>
    <col min="15606" max="15607" width="15.140625" customWidth="1"/>
    <col min="15608" max="15608" width="8.85546875" customWidth="1"/>
    <col min="15609" max="15609" width="11.85546875" customWidth="1"/>
    <col min="15610" max="15610" width="17.5703125" customWidth="1"/>
    <col min="15611" max="15611" width="18.42578125" customWidth="1"/>
    <col min="15856" max="15856" width="7.42578125" customWidth="1"/>
    <col min="15857" max="15857" width="31.42578125" customWidth="1"/>
    <col min="15858" max="15858" width="11.5703125" customWidth="1"/>
    <col min="15859" max="15859" width="9.42578125" customWidth="1"/>
    <col min="15860" max="15860" width="6.42578125" customWidth="1"/>
    <col min="15861" max="15861" width="17" customWidth="1"/>
    <col min="15862" max="15863" width="15.140625" customWidth="1"/>
    <col min="15864" max="15864" width="8.85546875" customWidth="1"/>
    <col min="15865" max="15865" width="11.85546875" customWidth="1"/>
    <col min="15866" max="15866" width="17.5703125" customWidth="1"/>
    <col min="15867" max="15867" width="18.42578125" customWidth="1"/>
    <col min="16112" max="16112" width="7.42578125" customWidth="1"/>
    <col min="16113" max="16113" width="31.42578125" customWidth="1"/>
    <col min="16114" max="16114" width="11.5703125" customWidth="1"/>
    <col min="16115" max="16115" width="9.42578125" customWidth="1"/>
    <col min="16116" max="16116" width="6.42578125" customWidth="1"/>
    <col min="16117" max="16117" width="17" customWidth="1"/>
    <col min="16118" max="16119" width="15.140625" customWidth="1"/>
    <col min="16120" max="16120" width="8.85546875" customWidth="1"/>
    <col min="16121" max="16121" width="11.85546875" customWidth="1"/>
    <col min="16122" max="16122" width="17.5703125" customWidth="1"/>
    <col min="16123" max="16123" width="18.42578125" customWidth="1"/>
  </cols>
  <sheetData>
    <row r="1" spans="1:16" ht="35.1" customHeight="1">
      <c r="A1" s="444" t="s">
        <v>349</v>
      </c>
      <c r="B1" s="444"/>
      <c r="C1" s="444"/>
      <c r="D1" s="444"/>
    </row>
    <row r="2" spans="1:16" ht="33.6" customHeight="1">
      <c r="A2" s="445" t="s">
        <v>162</v>
      </c>
      <c r="B2" s="445"/>
      <c r="C2" s="445"/>
      <c r="D2" s="445"/>
      <c r="E2" s="94"/>
    </row>
    <row r="3" spans="1:16" ht="33.6" customHeight="1" thickBot="1">
      <c r="A3" s="94"/>
      <c r="B3" s="94"/>
      <c r="C3" s="94"/>
      <c r="D3" s="94"/>
      <c r="E3" s="94"/>
      <c r="F3" s="94"/>
    </row>
    <row r="4" spans="1:16" ht="60.75" customHeight="1" thickTop="1">
      <c r="A4" s="268" t="s">
        <v>345</v>
      </c>
      <c r="B4" s="271" t="s">
        <v>22</v>
      </c>
      <c r="C4" s="178" t="s">
        <v>72</v>
      </c>
      <c r="D4" s="274">
        <v>44562</v>
      </c>
      <c r="E4" s="274">
        <v>44594</v>
      </c>
      <c r="F4" s="274">
        <v>44626</v>
      </c>
      <c r="G4" s="274">
        <v>44658</v>
      </c>
      <c r="H4" s="274">
        <v>44690</v>
      </c>
      <c r="I4" s="274">
        <v>44722</v>
      </c>
      <c r="J4" s="274">
        <v>44754</v>
      </c>
      <c r="K4" s="274">
        <v>44786</v>
      </c>
      <c r="L4" s="274">
        <v>44818</v>
      </c>
      <c r="M4" s="274">
        <v>44850</v>
      </c>
      <c r="N4" s="274">
        <v>44882</v>
      </c>
      <c r="O4" s="274">
        <v>44914</v>
      </c>
      <c r="P4" s="272" t="s">
        <v>20</v>
      </c>
    </row>
    <row r="5" spans="1:16" ht="15" customHeight="1">
      <c r="A5" s="165" t="s">
        <v>279</v>
      </c>
      <c r="B5" s="142">
        <v>1</v>
      </c>
      <c r="C5" s="181" t="str">
        <f>VLOOKUP($A5,[15]LISTADHERENT!$A$5:$M$101,3,0)</f>
        <v>AROUEST</v>
      </c>
      <c r="D5" s="182">
        <f>VLOOKUP($A5,[7]MVTJANV22!$A$6:$AX$89,9,0)</f>
        <v>0</v>
      </c>
      <c r="E5" s="182">
        <f>VLOOKUP($A5,[7]MVTFEV22!$A$6:$AX$89,9,0)</f>
        <v>0</v>
      </c>
      <c r="F5" s="182">
        <f>VLOOKUP($A5,[7]MVTMARS22!$A$6:$AX$89,9,0)</f>
        <v>0</v>
      </c>
      <c r="G5" s="182">
        <f>VLOOKUP($A5,[7]MVTAVRIL22!$A$6:$AX$89,9,0)</f>
        <v>0</v>
      </c>
      <c r="H5" s="182">
        <f>VLOOKUP($A5,[7]MVTMAI22!$A$6:$AX$89,9,0)</f>
        <v>0</v>
      </c>
      <c r="I5" s="182">
        <f>VLOOKUP($A5,[7]MVTJUIN22!$A$6:$AX$89,9,0)</f>
        <v>0</v>
      </c>
      <c r="J5" s="182">
        <f>VLOOKUP($A5,[7]MVTJUIL22!$A$6:$AX$89,9,0)</f>
        <v>0</v>
      </c>
      <c r="K5" s="182">
        <f>VLOOKUP($A5,[7]MVTAOUT22!$A$6:$AW$89,9,0)</f>
        <v>0</v>
      </c>
      <c r="L5" s="182">
        <f>VLOOKUP($A5,[7]MVTSEPT22!$A$6:$AX$89,9,0)</f>
        <v>0</v>
      </c>
      <c r="M5" s="182">
        <f>VLOOKUP($A5,[7]MVTOCT22!$A$6:$AX$89,9,0)</f>
        <v>0</v>
      </c>
      <c r="N5" s="182">
        <f>VLOOKUP($A5,[7]MVTNOV22!$A$6:$AW$89,9,0)</f>
        <v>0</v>
      </c>
      <c r="O5" s="182">
        <f>VLOOKUP($A5,[7]MVTDEC22!$A$6:$AX$89,9,0)</f>
        <v>0</v>
      </c>
      <c r="P5" s="273">
        <f>SUM(D5:O5)</f>
        <v>0</v>
      </c>
    </row>
    <row r="6" spans="1:16" ht="13.5" customHeight="1">
      <c r="A6" s="165" t="s">
        <v>280</v>
      </c>
      <c r="B6" s="142">
        <v>2</v>
      </c>
      <c r="C6" s="181" t="str">
        <f>VLOOKUP($A6,[15]LISTADHERENT!$A$5:$M$101,3,0)</f>
        <v>BANGU CLOTILDE</v>
      </c>
      <c r="D6" s="182">
        <f>VLOOKUP($A6,[7]MVTJANV22!$A$6:$AX$89,9,0)</f>
        <v>0</v>
      </c>
      <c r="E6" s="182">
        <f>VLOOKUP($A6,[7]MVTFEV22!$A$6:$AX$89,9,0)</f>
        <v>0</v>
      </c>
      <c r="F6" s="182">
        <f>VLOOKUP($A6,[7]MVTMARS22!$A$6:$AX$89,9,0)</f>
        <v>0</v>
      </c>
      <c r="G6" s="182">
        <f>VLOOKUP($A6,[7]MVTAVRIL22!$A$6:$AX$89,9,0)</f>
        <v>0</v>
      </c>
      <c r="H6" s="182">
        <f>VLOOKUP($A6,[7]MVTMAI22!$A$6:$AX$89,9,0)</f>
        <v>0</v>
      </c>
      <c r="I6" s="182">
        <f>VLOOKUP($A6,[7]MVTJUIN22!$A$6:$AX$89,9,0)</f>
        <v>0</v>
      </c>
      <c r="J6" s="182">
        <f>VLOOKUP($A6,[7]MVTJUIL22!$A$6:$AX$89,9,0)</f>
        <v>0</v>
      </c>
      <c r="K6" s="182">
        <f>VLOOKUP($A6,[7]MVTAOUT22!$A$6:$AW$89,9,0)</f>
        <v>0</v>
      </c>
      <c r="L6" s="182">
        <f>VLOOKUP($A6,[7]MVTSEPT22!$A$6:$AX$89,9,0)</f>
        <v>25000</v>
      </c>
      <c r="M6" s="182">
        <f>VLOOKUP($A6,[7]MVTOCT22!$A$6:$AX$89,9,0)</f>
        <v>0</v>
      </c>
      <c r="N6" s="182">
        <f>VLOOKUP($A6,[7]MVTNOV22!$A$6:$AW$89,9,0)</f>
        <v>0</v>
      </c>
      <c r="O6" s="182">
        <f>VLOOKUP($A6,[7]MVTDEC22!$A$6:$AX$89,9,0)</f>
        <v>0</v>
      </c>
      <c r="P6" s="273">
        <f t="shared" ref="P6:P69" si="0">SUM(D6:O6)</f>
        <v>25000</v>
      </c>
    </row>
    <row r="7" spans="1:16" ht="12.75" customHeight="1">
      <c r="A7" s="167" t="s">
        <v>281</v>
      </c>
      <c r="B7" s="142">
        <v>3</v>
      </c>
      <c r="C7" s="181" t="str">
        <f>VLOOKUP($A7,[15]LISTADHERENT!$A$5:$M$101,3,0)</f>
        <v>BELL Martine</v>
      </c>
      <c r="D7" s="182">
        <f>VLOOKUP($A7,[7]MVTJANV22!$A$6:$AX$89,9,0)</f>
        <v>0</v>
      </c>
      <c r="E7" s="182">
        <f>VLOOKUP($A7,[7]MVTFEV22!$A$6:$AX$89,9,0)</f>
        <v>0</v>
      </c>
      <c r="F7" s="182">
        <f>VLOOKUP($A7,[7]MVTMARS22!$A$6:$AX$89,9,0)</f>
        <v>0</v>
      </c>
      <c r="G7" s="182">
        <f>VLOOKUP($A7,[7]MVTAVRIL22!$A$6:$AX$89,9,0)</f>
        <v>0</v>
      </c>
      <c r="H7" s="182">
        <f>VLOOKUP($A7,[7]MVTMAI22!$A$6:$AX$89,9,0)</f>
        <v>0</v>
      </c>
      <c r="I7" s="182">
        <f>VLOOKUP($A7,[7]MVTJUIN22!$A$6:$AX$89,9,0)</f>
        <v>0</v>
      </c>
      <c r="J7" s="182">
        <f>VLOOKUP($A7,[7]MVTJUIL22!$A$6:$AX$89,9,0)</f>
        <v>0</v>
      </c>
      <c r="K7" s="182">
        <f>VLOOKUP($A7,[7]MVTAOUT22!$A$6:$AW$89,9,0)</f>
        <v>0</v>
      </c>
      <c r="L7" s="182">
        <f>VLOOKUP($A7,[7]MVTSEPT22!$A$6:$AX$89,9,0)</f>
        <v>0</v>
      </c>
      <c r="M7" s="182">
        <f>VLOOKUP($A7,[7]MVTOCT22!$A$6:$AX$89,9,0)</f>
        <v>0</v>
      </c>
      <c r="N7" s="182">
        <f>VLOOKUP($A7,[7]MVTNOV22!$A$6:$AW$89,9,0)</f>
        <v>0</v>
      </c>
      <c r="O7" s="182">
        <f>VLOOKUP($A7,[7]MVTDEC22!$A$6:$AX$89,9,0)</f>
        <v>0</v>
      </c>
      <c r="P7" s="273">
        <f t="shared" si="0"/>
        <v>0</v>
      </c>
    </row>
    <row r="8" spans="1:16">
      <c r="A8" s="167" t="s">
        <v>282</v>
      </c>
      <c r="B8" s="142">
        <v>4</v>
      </c>
      <c r="C8" s="181" t="str">
        <f>VLOOKUP($A8,[15]LISTADHERENT!$A$5:$M$101,3,0)</f>
        <v>CHEIZING PATRIC</v>
      </c>
      <c r="D8" s="182">
        <f>VLOOKUP($A8,[7]MVTJANV22!$A$6:$AX$89,9,0)</f>
        <v>0</v>
      </c>
      <c r="E8" s="182">
        <f>VLOOKUP($A8,[7]MVTFEV22!$A$6:$AX$89,9,0)</f>
        <v>0</v>
      </c>
      <c r="F8" s="182">
        <f>VLOOKUP($A8,[7]MVTMARS22!$A$6:$AX$89,9,0)</f>
        <v>0</v>
      </c>
      <c r="G8" s="182">
        <f>VLOOKUP($A8,[7]MVTAVRIL22!$A$6:$AX$89,9,0)</f>
        <v>0</v>
      </c>
      <c r="H8" s="182">
        <f>VLOOKUP($A8,[7]MVTMAI22!$A$6:$AX$89,9,0)</f>
        <v>0</v>
      </c>
      <c r="I8" s="182">
        <f>VLOOKUP($A8,[7]MVTJUIN22!$A$6:$AX$89,9,0)</f>
        <v>0</v>
      </c>
      <c r="J8" s="182">
        <f>VLOOKUP($A8,[7]MVTJUIL22!$A$6:$AX$89,9,0)</f>
        <v>0</v>
      </c>
      <c r="K8" s="182">
        <f>VLOOKUP($A8,[7]MVTAOUT22!$A$6:$AW$89,9,0)</f>
        <v>0</v>
      </c>
      <c r="L8" s="182">
        <f>VLOOKUP($A8,[7]MVTSEPT22!$A$6:$AX$89,9,0)</f>
        <v>0</v>
      </c>
      <c r="M8" s="182">
        <f>VLOOKUP($A8,[7]MVTOCT22!$A$6:$AX$89,9,0)</f>
        <v>0</v>
      </c>
      <c r="N8" s="182">
        <f>VLOOKUP($A8,[7]MVTNOV22!$A$6:$AW$89,9,0)</f>
        <v>0</v>
      </c>
      <c r="O8" s="182">
        <f>VLOOKUP($A8,[7]MVTDEC22!$A$6:$AX$89,9,0)</f>
        <v>0</v>
      </c>
      <c r="P8" s="273">
        <f t="shared" si="0"/>
        <v>0</v>
      </c>
    </row>
    <row r="9" spans="1:16">
      <c r="A9" s="165" t="s">
        <v>283</v>
      </c>
      <c r="B9" s="142">
        <v>5</v>
      </c>
      <c r="C9" s="181" t="str">
        <f>VLOOKUP($A9,[15]LISTADHERENT!$A$5:$M$101,3,0)</f>
        <v>CHOMNOU ANDRE</v>
      </c>
      <c r="D9" s="182">
        <f>VLOOKUP($A9,[7]MVTJANV22!$A$6:$AX$89,9,0)</f>
        <v>0</v>
      </c>
      <c r="E9" s="182">
        <f>VLOOKUP($A9,[7]MVTFEV22!$A$6:$AX$89,9,0)</f>
        <v>0</v>
      </c>
      <c r="F9" s="182">
        <f>VLOOKUP($A9,[7]MVTMARS22!$A$6:$AX$89,9,0)</f>
        <v>0</v>
      </c>
      <c r="G9" s="182">
        <f>VLOOKUP($A9,[7]MVTAVRIL22!$A$6:$AX$89,9,0)</f>
        <v>0</v>
      </c>
      <c r="H9" s="182">
        <f>VLOOKUP($A9,[7]MVTMAI22!$A$6:$AX$89,9,0)</f>
        <v>0</v>
      </c>
      <c r="I9" s="182">
        <f>VLOOKUP($A9,[7]MVTJUIN22!$A$6:$AX$89,9,0)</f>
        <v>0</v>
      </c>
      <c r="J9" s="182">
        <f>VLOOKUP($A9,[7]MVTJUIL22!$A$6:$AX$89,9,0)</f>
        <v>0</v>
      </c>
      <c r="K9" s="182">
        <f>VLOOKUP($A9,[7]MVTAOUT22!$A$6:$AW$89,9,0)</f>
        <v>0</v>
      </c>
      <c r="L9" s="182">
        <f>VLOOKUP($A9,[7]MVTSEPT22!$A$6:$AX$89,9,0)</f>
        <v>0</v>
      </c>
      <c r="M9" s="182">
        <f>VLOOKUP($A9,[7]MVTOCT22!$A$6:$AX$89,9,0)</f>
        <v>0</v>
      </c>
      <c r="N9" s="182">
        <f>VLOOKUP($A9,[7]MVTNOV22!$A$6:$AW$89,9,0)</f>
        <v>0</v>
      </c>
      <c r="O9" s="182">
        <f>VLOOKUP($A9,[7]MVTDEC22!$A$6:$AX$89,9,0)</f>
        <v>0</v>
      </c>
      <c r="P9" s="273">
        <f t="shared" si="0"/>
        <v>0</v>
      </c>
    </row>
    <row r="10" spans="1:16">
      <c r="A10" s="165" t="s">
        <v>353</v>
      </c>
      <c r="B10" s="142">
        <v>6</v>
      </c>
      <c r="C10" s="181" t="str">
        <f>VLOOKUP($A10,[15]LISTADHERENT!$A$5:$M$101,3,0)</f>
        <v>DANGUE JEAN PIERRE</v>
      </c>
      <c r="D10" s="182">
        <f>VLOOKUP($A10,[7]MVTJANV22!$A$6:$AX$89,9,0)</f>
        <v>0</v>
      </c>
      <c r="E10" s="182">
        <f>VLOOKUP($A10,[7]MVTFEV22!$A$6:$AX$89,9,0)</f>
        <v>0</v>
      </c>
      <c r="F10" s="182">
        <f>VLOOKUP($A10,[7]MVTMARS22!$A$6:$AX$89,9,0)</f>
        <v>0</v>
      </c>
      <c r="G10" s="182">
        <f>VLOOKUP($A10,[7]MVTAVRIL22!$A$6:$AX$89,9,0)</f>
        <v>0</v>
      </c>
      <c r="H10" s="182">
        <f>VLOOKUP($A10,[7]MVTMAI22!$A$6:$AX$89,9,0)</f>
        <v>0</v>
      </c>
      <c r="I10" s="182">
        <f>VLOOKUP($A10,[7]MVTJUIN22!$A$6:$AX$89,9,0)</f>
        <v>0</v>
      </c>
      <c r="J10" s="182">
        <f>VLOOKUP($A10,[7]MVTJUIL22!$A$6:$AX$89,9,0)</f>
        <v>24000</v>
      </c>
      <c r="K10" s="182">
        <f>VLOOKUP($A10,[7]MVTAOUT22!$A$6:$AW$89,9,0)</f>
        <v>0</v>
      </c>
      <c r="L10" s="182">
        <f>VLOOKUP($A10,[7]MVTSEPT22!$A$6:$AX$89,9,0)</f>
        <v>0</v>
      </c>
      <c r="M10" s="182">
        <f>VLOOKUP($A10,[7]MVTOCT22!$A$6:$AX$89,9,0)</f>
        <v>0</v>
      </c>
      <c r="N10" s="182">
        <f>VLOOKUP($A10,[7]MVTNOV22!$A$6:$AW$89,9,0)</f>
        <v>0</v>
      </c>
      <c r="O10" s="182">
        <f>VLOOKUP($A10,[7]MVTDEC22!$A$6:$AX$89,9,0)</f>
        <v>0</v>
      </c>
      <c r="P10" s="273">
        <f t="shared" si="0"/>
        <v>24000</v>
      </c>
    </row>
    <row r="11" spans="1:16">
      <c r="A11" s="165" t="s">
        <v>284</v>
      </c>
      <c r="B11" s="142">
        <v>7</v>
      </c>
      <c r="C11" s="181" t="str">
        <f>VLOOKUP($A11,[15]LISTADHERENT!$A$5:$M$101,3,0)</f>
        <v>DEUTCHEU JEAN CLAUDE</v>
      </c>
      <c r="D11" s="182">
        <f>VLOOKUP($A11,[7]MVTJANV22!$A$6:$AX$89,9,0)</f>
        <v>0</v>
      </c>
      <c r="E11" s="182">
        <f>VLOOKUP($A11,[7]MVTFEV22!$A$6:$AX$89,9,0)</f>
        <v>0</v>
      </c>
      <c r="F11" s="182">
        <f>VLOOKUP($A11,[7]MVTMARS22!$A$6:$AX$89,9,0)</f>
        <v>0</v>
      </c>
      <c r="G11" s="182">
        <f>VLOOKUP($A11,[7]MVTAVRIL22!$A$6:$AX$89,9,0)</f>
        <v>0</v>
      </c>
      <c r="H11" s="182">
        <f>VLOOKUP($A11,[7]MVTMAI22!$A$6:$AX$89,9,0)</f>
        <v>0</v>
      </c>
      <c r="I11" s="182">
        <f>VLOOKUP($A11,[7]MVTJUIN22!$A$6:$AX$89,9,0)</f>
        <v>0</v>
      </c>
      <c r="J11" s="182">
        <f>VLOOKUP($A11,[7]MVTJUIL22!$A$6:$AX$89,9,0)</f>
        <v>24000</v>
      </c>
      <c r="K11" s="182">
        <f>VLOOKUP($A11,[7]MVTAOUT22!$A$6:$AW$89,9,0)</f>
        <v>0</v>
      </c>
      <c r="L11" s="182">
        <f>VLOOKUP($A11,[7]MVTSEPT22!$A$6:$AX$89,9,0)</f>
        <v>0</v>
      </c>
      <c r="M11" s="182">
        <f>VLOOKUP($A11,[7]MVTOCT22!$A$6:$AX$89,9,0)</f>
        <v>0</v>
      </c>
      <c r="N11" s="182">
        <f>VLOOKUP($A11,[7]MVTNOV22!$A$6:$AW$89,9,0)</f>
        <v>0</v>
      </c>
      <c r="O11" s="182">
        <f>VLOOKUP($A11,[7]MVTDEC22!$A$6:$AX$89,9,0)</f>
        <v>0</v>
      </c>
      <c r="P11" s="273">
        <f t="shared" si="0"/>
        <v>24000</v>
      </c>
    </row>
    <row r="12" spans="1:16">
      <c r="A12" s="167" t="s">
        <v>285</v>
      </c>
      <c r="B12" s="142">
        <v>8</v>
      </c>
      <c r="C12" s="181" t="str">
        <f>VLOOKUP($A12,[15]LISTADHERENT!$A$5:$M$101,3,0)</f>
        <v>DIBONJI PAUL</v>
      </c>
      <c r="D12" s="182">
        <f>VLOOKUP($A12,[7]MVTJANV22!$A$6:$AX$89,9,0)</f>
        <v>0</v>
      </c>
      <c r="E12" s="182">
        <f>VLOOKUP($A12,[7]MVTFEV22!$A$6:$AX$89,9,0)</f>
        <v>0</v>
      </c>
      <c r="F12" s="182">
        <f>VLOOKUP($A12,[7]MVTMARS22!$A$6:$AX$89,9,0)</f>
        <v>0</v>
      </c>
      <c r="G12" s="182">
        <f>VLOOKUP($A12,[7]MVTAVRIL22!$A$6:$AX$89,9,0)</f>
        <v>0</v>
      </c>
      <c r="H12" s="182">
        <f>VLOOKUP($A12,[7]MVTMAI22!$A$6:$AX$89,9,0)</f>
        <v>0</v>
      </c>
      <c r="I12" s="182">
        <f>VLOOKUP($A12,[7]MVTJUIN22!$A$6:$AX$89,9,0)</f>
        <v>0</v>
      </c>
      <c r="J12" s="182">
        <f>VLOOKUP($A12,[7]MVTJUIL22!$A$6:$AX$89,9,0)</f>
        <v>0</v>
      </c>
      <c r="K12" s="182">
        <f>VLOOKUP($A12,[7]MVTAOUT22!$A$6:$AW$89,9,0)</f>
        <v>0</v>
      </c>
      <c r="L12" s="182">
        <f>VLOOKUP($A12,[7]MVTSEPT22!$A$6:$AX$89,9,0)</f>
        <v>0</v>
      </c>
      <c r="M12" s="182">
        <f>VLOOKUP($A12,[7]MVTOCT22!$A$6:$AX$89,9,0)</f>
        <v>0</v>
      </c>
      <c r="N12" s="182">
        <f>VLOOKUP($A12,[7]MVTNOV22!$A$6:$AW$89,9,0)</f>
        <v>0</v>
      </c>
      <c r="O12" s="182">
        <f>VLOOKUP($A12,[7]MVTDEC22!$A$6:$AX$89,9,0)</f>
        <v>0</v>
      </c>
      <c r="P12" s="273">
        <f t="shared" si="0"/>
        <v>0</v>
      </c>
    </row>
    <row r="13" spans="1:16">
      <c r="A13" s="165" t="s">
        <v>286</v>
      </c>
      <c r="B13" s="142">
        <v>9</v>
      </c>
      <c r="C13" s="181" t="str">
        <f>VLOOKUP($A13,[15]LISTADHERENT!$A$5:$M$101,3,0)</f>
        <v>DJUOMBESSY ANTOINE</v>
      </c>
      <c r="D13" s="182">
        <f>VLOOKUP($A13,[7]MVTJANV22!$A$6:$AX$89,9,0)</f>
        <v>0</v>
      </c>
      <c r="E13" s="182">
        <f>VLOOKUP($A13,[7]MVTFEV22!$A$6:$AX$89,9,0)</f>
        <v>0</v>
      </c>
      <c r="F13" s="182">
        <f>VLOOKUP($A13,[7]MVTMARS22!$A$6:$AX$89,9,0)</f>
        <v>0</v>
      </c>
      <c r="G13" s="182">
        <f>VLOOKUP($A13,[7]MVTAVRIL22!$A$6:$AX$89,9,0)</f>
        <v>0</v>
      </c>
      <c r="H13" s="182">
        <f>VLOOKUP($A13,[7]MVTMAI22!$A$6:$AX$89,9,0)</f>
        <v>0</v>
      </c>
      <c r="I13" s="182">
        <f>VLOOKUP($A13,[7]MVTJUIN22!$A$6:$AX$89,9,0)</f>
        <v>0</v>
      </c>
      <c r="J13" s="182">
        <f>VLOOKUP($A13,[7]MVTJUIL22!$A$6:$AX$89,9,0)</f>
        <v>10000</v>
      </c>
      <c r="K13" s="182">
        <f>VLOOKUP($A13,[7]MVTAOUT22!$A$6:$AW$89,9,0)</f>
        <v>10000</v>
      </c>
      <c r="L13" s="182">
        <f>VLOOKUP($A13,[7]MVTSEPT22!$A$6:$AX$89,9,0)</f>
        <v>10000</v>
      </c>
      <c r="M13" s="182">
        <f>VLOOKUP($A13,[7]MVTOCT22!$A$6:$AX$89,9,0)</f>
        <v>34000</v>
      </c>
      <c r="N13" s="182">
        <f>VLOOKUP($A13,[7]MVTNOV22!$A$6:$AW$89,9,0)</f>
        <v>10000</v>
      </c>
      <c r="O13" s="182">
        <f>VLOOKUP($A13,[7]MVTDEC22!$A$6:$AX$89,9,0)</f>
        <v>10000</v>
      </c>
      <c r="P13" s="273">
        <f t="shared" si="0"/>
        <v>84000</v>
      </c>
    </row>
    <row r="14" spans="1:16">
      <c r="A14" s="165" t="s">
        <v>287</v>
      </c>
      <c r="B14" s="142">
        <v>10</v>
      </c>
      <c r="C14" s="181" t="str">
        <f>VLOOKUP($A14,[15]LISTADHERENT!$A$5:$M$101,3,0)</f>
        <v>DONTSOP  CATHERINE</v>
      </c>
      <c r="D14" s="182">
        <f>VLOOKUP($A14,[7]MVTJANV22!$A$6:$AX$89,9,0)</f>
        <v>0</v>
      </c>
      <c r="E14" s="182">
        <f>VLOOKUP($A14,[7]MVTFEV22!$A$6:$AX$89,9,0)</f>
        <v>0</v>
      </c>
      <c r="F14" s="182">
        <f>VLOOKUP($A14,[7]MVTMARS22!$A$6:$AX$89,9,0)</f>
        <v>0</v>
      </c>
      <c r="G14" s="182">
        <f>VLOOKUP($A14,[7]MVTAVRIL22!$A$6:$AX$89,9,0)</f>
        <v>0</v>
      </c>
      <c r="H14" s="182">
        <f>VLOOKUP($A14,[7]MVTMAI22!$A$6:$AX$89,9,0)</f>
        <v>0</v>
      </c>
      <c r="I14" s="182">
        <f>VLOOKUP($A14,[7]MVTJUIN22!$A$6:$AX$89,9,0)</f>
        <v>0</v>
      </c>
      <c r="J14" s="182">
        <f>VLOOKUP($A14,[7]MVTJUIL22!$A$6:$AX$89,9,0)</f>
        <v>0</v>
      </c>
      <c r="K14" s="182">
        <f>VLOOKUP($A14,[7]MVTAOUT22!$A$6:$AW$89,9,0)</f>
        <v>0</v>
      </c>
      <c r="L14" s="182">
        <f>VLOOKUP($A14,[7]MVTSEPT22!$A$6:$AX$89,9,0)</f>
        <v>0</v>
      </c>
      <c r="M14" s="182">
        <f>VLOOKUP($A14,[7]MVTOCT22!$A$6:$AX$89,9,0)</f>
        <v>0</v>
      </c>
      <c r="N14" s="182">
        <f>VLOOKUP($A14,[7]MVTNOV22!$A$6:$AW$89,9,0)</f>
        <v>0</v>
      </c>
      <c r="O14" s="182">
        <f>VLOOKUP($A14,[7]MVTDEC22!$A$6:$AX$89,9,0)</f>
        <v>0</v>
      </c>
      <c r="P14" s="273">
        <f t="shared" si="0"/>
        <v>0</v>
      </c>
    </row>
    <row r="15" spans="1:16">
      <c r="A15" s="165" t="s">
        <v>288</v>
      </c>
      <c r="B15" s="142">
        <v>11</v>
      </c>
      <c r="C15" s="181" t="str">
        <f>VLOOKUP($A15,[15]LISTADHERENT!$A$5:$M$101,3,0)</f>
        <v>DUTCHOU FANKO  ALICE SHELA</v>
      </c>
      <c r="D15" s="182">
        <f>VLOOKUP($A15,[7]MVTJANV22!$A$6:$AX$89,9,0)</f>
        <v>0</v>
      </c>
      <c r="E15" s="182">
        <f>VLOOKUP($A15,[7]MVTFEV22!$A$6:$AX$89,9,0)</f>
        <v>0</v>
      </c>
      <c r="F15" s="182">
        <f>VLOOKUP($A15,[7]MVTMARS22!$A$6:$AX$89,9,0)</f>
        <v>0</v>
      </c>
      <c r="G15" s="182">
        <f>VLOOKUP($A15,[7]MVTAVRIL22!$A$6:$AX$89,9,0)</f>
        <v>0</v>
      </c>
      <c r="H15" s="182">
        <f>VLOOKUP($A15,[7]MVTMAI22!$A$6:$AX$89,9,0)</f>
        <v>0</v>
      </c>
      <c r="I15" s="182">
        <f>VLOOKUP($A15,[7]MVTJUIN22!$A$6:$AX$89,9,0)</f>
        <v>0</v>
      </c>
      <c r="J15" s="182">
        <f>VLOOKUP($A15,[7]MVTJUIL22!$A$6:$AX$89,9,0)</f>
        <v>0</v>
      </c>
      <c r="K15" s="182">
        <f>VLOOKUP($A15,[7]MVTAOUT22!$A$6:$AW$89,9,0)</f>
        <v>0</v>
      </c>
      <c r="L15" s="182">
        <f>VLOOKUP($A15,[7]MVTSEPT22!$A$6:$AX$89,9,0)</f>
        <v>0</v>
      </c>
      <c r="M15" s="182">
        <f>VLOOKUP($A15,[7]MVTOCT22!$A$6:$AX$89,9,0)</f>
        <v>0</v>
      </c>
      <c r="N15" s="182">
        <f>VLOOKUP($A15,[7]MVTNOV22!$A$6:$AW$89,9,0)</f>
        <v>0</v>
      </c>
      <c r="O15" s="182">
        <f>VLOOKUP($A15,[7]MVTDEC22!$A$6:$AX$89,9,0)</f>
        <v>0</v>
      </c>
      <c r="P15" s="273">
        <f t="shared" si="0"/>
        <v>0</v>
      </c>
    </row>
    <row r="16" spans="1:16">
      <c r="A16" s="165" t="s">
        <v>354</v>
      </c>
      <c r="B16" s="142">
        <v>12</v>
      </c>
      <c r="C16" s="181" t="str">
        <f>VLOOKUP($A16,[15]LISTADHERENT!$A$5:$M$101,3,0)</f>
        <v>DZEREM ANSELME</v>
      </c>
      <c r="D16" s="182">
        <f>VLOOKUP($A16,[7]MVTJANV22!$A$6:$AX$89,9,0)</f>
        <v>0</v>
      </c>
      <c r="E16" s="182">
        <f>VLOOKUP($A16,[7]MVTFEV22!$A$6:$AX$89,9,0)</f>
        <v>0</v>
      </c>
      <c r="F16" s="182">
        <f>VLOOKUP($A16,[7]MVTMARS22!$A$6:$AX$89,9,0)</f>
        <v>0</v>
      </c>
      <c r="G16" s="182">
        <f>VLOOKUP($A16,[7]MVTAVRIL22!$A$6:$AX$89,9,0)</f>
        <v>0</v>
      </c>
      <c r="H16" s="182">
        <f>VLOOKUP($A16,[7]MVTMAI22!$A$6:$AX$89,9,0)</f>
        <v>0</v>
      </c>
      <c r="I16" s="182">
        <f>VLOOKUP($A16,[7]MVTJUIN22!$A$6:$AX$89,9,0)</f>
        <v>0</v>
      </c>
      <c r="J16" s="182">
        <f>VLOOKUP($A16,[7]MVTJUIL22!$A$6:$AX$89,9,0)</f>
        <v>0</v>
      </c>
      <c r="K16" s="182">
        <f>VLOOKUP($A16,[7]MVTAOUT22!$A$6:$AW$89,9,0)</f>
        <v>0</v>
      </c>
      <c r="L16" s="182">
        <f>VLOOKUP($A16,[7]MVTSEPT22!$A$6:$AX$89,9,0)</f>
        <v>0</v>
      </c>
      <c r="M16" s="182">
        <f>VLOOKUP($A16,[7]MVTOCT22!$A$6:$AX$89,9,0)</f>
        <v>0</v>
      </c>
      <c r="N16" s="182">
        <f>VLOOKUP($A16,[7]MVTNOV22!$A$6:$AW$89,9,0)</f>
        <v>0</v>
      </c>
      <c r="O16" s="182">
        <f>VLOOKUP($A16,[7]MVTDEC22!$A$6:$AX$89,9,0)</f>
        <v>0</v>
      </c>
      <c r="P16" s="273">
        <f t="shared" si="0"/>
        <v>0</v>
      </c>
    </row>
    <row r="17" spans="1:16">
      <c r="A17" s="165" t="s">
        <v>289</v>
      </c>
      <c r="B17" s="142">
        <v>13</v>
      </c>
      <c r="C17" s="181" t="str">
        <f>VLOOKUP($A17,[15]LISTADHERENT!$A$5:$M$101,3,0)</f>
        <v>EWOUDOU  EDITH</v>
      </c>
      <c r="D17" s="182">
        <f>VLOOKUP($A17,[7]MVTJANV22!$A$6:$AX$89,9,0)</f>
        <v>0</v>
      </c>
      <c r="E17" s="182">
        <f>VLOOKUP($A17,[7]MVTFEV22!$A$6:$AX$89,9,0)</f>
        <v>0</v>
      </c>
      <c r="F17" s="182">
        <f>VLOOKUP($A17,[7]MVTMARS22!$A$6:$AX$89,9,0)</f>
        <v>0</v>
      </c>
      <c r="G17" s="182">
        <f>VLOOKUP($A17,[7]MVTAVRIL22!$A$6:$AX$89,9,0)</f>
        <v>0</v>
      </c>
      <c r="H17" s="182">
        <f>VLOOKUP($A17,[7]MVTMAI22!$A$6:$AX$89,9,0)</f>
        <v>0</v>
      </c>
      <c r="I17" s="182">
        <f>VLOOKUP($A17,[7]MVTJUIN22!$A$6:$AX$89,9,0)</f>
        <v>0</v>
      </c>
      <c r="J17" s="182">
        <f>VLOOKUP($A17,[7]MVTJUIL22!$A$6:$AX$89,9,0)</f>
        <v>0</v>
      </c>
      <c r="K17" s="182">
        <f>VLOOKUP($A17,[7]MVTAOUT22!$A$6:$AW$89,9,0)</f>
        <v>0</v>
      </c>
      <c r="L17" s="182">
        <f>VLOOKUP($A17,[7]MVTSEPT22!$A$6:$AX$89,9,0)</f>
        <v>0</v>
      </c>
      <c r="M17" s="182">
        <f>VLOOKUP($A17,[7]MVTOCT22!$A$6:$AX$89,9,0)</f>
        <v>0</v>
      </c>
      <c r="N17" s="182">
        <f>VLOOKUP($A17,[7]MVTNOV22!$A$6:$AW$89,9,0)</f>
        <v>0</v>
      </c>
      <c r="O17" s="182">
        <f>VLOOKUP($A17,[7]MVTDEC22!$A$6:$AX$89,9,0)</f>
        <v>0</v>
      </c>
      <c r="P17" s="273">
        <f t="shared" si="0"/>
        <v>0</v>
      </c>
    </row>
    <row r="18" spans="1:16">
      <c r="A18" s="165" t="s">
        <v>290</v>
      </c>
      <c r="B18" s="142">
        <v>14</v>
      </c>
      <c r="C18" s="181" t="str">
        <f>VLOOKUP($A18,[15]LISTADHERENT!$A$5:$M$101,3,0)</f>
        <v>FOPA GHISLAIN</v>
      </c>
      <c r="D18" s="182">
        <f>VLOOKUP($A18,[7]MVTJANV22!$A$6:$AX$89,9,0)</f>
        <v>0</v>
      </c>
      <c r="E18" s="182">
        <f>VLOOKUP($A18,[7]MVTFEV22!$A$6:$AX$89,9,0)</f>
        <v>0</v>
      </c>
      <c r="F18" s="182">
        <f>VLOOKUP($A18,[7]MVTMARS22!$A$6:$AX$89,9,0)</f>
        <v>0</v>
      </c>
      <c r="G18" s="182">
        <f>VLOOKUP($A18,[7]MVTAVRIL22!$A$6:$AX$89,9,0)</f>
        <v>0</v>
      </c>
      <c r="H18" s="182">
        <f>VLOOKUP($A18,[7]MVTMAI22!$A$6:$AX$89,9,0)</f>
        <v>0</v>
      </c>
      <c r="I18" s="182">
        <f>VLOOKUP($A18,[7]MVTJUIN22!$A$6:$AX$89,9,0)</f>
        <v>0</v>
      </c>
      <c r="J18" s="182">
        <f>VLOOKUP($A18,[7]MVTJUIL22!$A$6:$AX$89,9,0)</f>
        <v>0</v>
      </c>
      <c r="K18" s="182">
        <f>VLOOKUP($A18,[7]MVTAOUT22!$A$6:$AW$89,9,0)</f>
        <v>0</v>
      </c>
      <c r="L18" s="182">
        <f>VLOOKUP($A18,[7]MVTSEPT22!$A$6:$AX$89,9,0)</f>
        <v>0</v>
      </c>
      <c r="M18" s="182">
        <f>VLOOKUP($A18,[7]MVTOCT22!$A$6:$AX$89,9,0)</f>
        <v>0</v>
      </c>
      <c r="N18" s="182">
        <f>VLOOKUP($A18,[7]MVTNOV22!$A$6:$AW$89,9,0)</f>
        <v>0</v>
      </c>
      <c r="O18" s="182">
        <f>VLOOKUP($A18,[7]MVTDEC22!$A$6:$AX$89,9,0)</f>
        <v>0</v>
      </c>
      <c r="P18" s="273">
        <f t="shared" si="0"/>
        <v>0</v>
      </c>
    </row>
    <row r="19" spans="1:16">
      <c r="A19" s="165" t="s">
        <v>291</v>
      </c>
      <c r="B19" s="142">
        <v>15</v>
      </c>
      <c r="C19" s="181" t="str">
        <f>VLOOKUP($A19,[15]LISTADHERENT!$A$5:$M$101,3,0)</f>
        <v>FOTSO Appolinaire</v>
      </c>
      <c r="D19" s="182">
        <f>VLOOKUP($A19,[7]MVTJANV22!$A$6:$AX$89,9,0)</f>
        <v>24000</v>
      </c>
      <c r="E19" s="182">
        <f>VLOOKUP($A19,[7]MVTFEV22!$A$6:$AX$89,9,0)</f>
        <v>0</v>
      </c>
      <c r="F19" s="182">
        <f>VLOOKUP($A19,[7]MVTMARS22!$A$6:$AX$89,9,0)</f>
        <v>24000</v>
      </c>
      <c r="G19" s="182">
        <f>VLOOKUP($A19,[7]MVTAVRIL22!$A$6:$AX$89,9,0)</f>
        <v>0</v>
      </c>
      <c r="H19" s="182">
        <f>VLOOKUP($A19,[7]MVTMAI22!$A$6:$AX$89,9,0)</f>
        <v>24000</v>
      </c>
      <c r="I19" s="182">
        <f>VLOOKUP($A19,[7]MVTJUIN22!$A$6:$AX$89,9,0)</f>
        <v>0</v>
      </c>
      <c r="J19" s="182">
        <f>VLOOKUP($A19,[7]MVTJUIL22!$A$6:$AX$89,9,0)</f>
        <v>0</v>
      </c>
      <c r="K19" s="182">
        <f>VLOOKUP($A19,[7]MVTAOUT22!$A$6:$AW$89,9,0)</f>
        <v>0</v>
      </c>
      <c r="L19" s="182">
        <f>VLOOKUP($A19,[7]MVTSEPT22!$A$6:$AX$89,9,0)</f>
        <v>0</v>
      </c>
      <c r="M19" s="182">
        <f>VLOOKUP($A19,[7]MVTOCT22!$A$6:$AX$89,9,0)</f>
        <v>0</v>
      </c>
      <c r="N19" s="182">
        <f>VLOOKUP($A19,[7]MVTNOV22!$A$6:$AW$89,9,0)</f>
        <v>0</v>
      </c>
      <c r="O19" s="182">
        <f>VLOOKUP($A19,[7]MVTDEC22!$A$6:$AX$89,9,0)</f>
        <v>0</v>
      </c>
      <c r="P19" s="273">
        <f t="shared" si="0"/>
        <v>72000</v>
      </c>
    </row>
    <row r="20" spans="1:16">
      <c r="A20" s="165" t="s">
        <v>292</v>
      </c>
      <c r="B20" s="142">
        <v>16</v>
      </c>
      <c r="C20" s="181" t="str">
        <f>VLOOKUP($A20,[15]LISTADHERENT!$A$5:$M$101,3,0)</f>
        <v>FOUTE MARIE LAURE</v>
      </c>
      <c r="D20" s="182">
        <f>VLOOKUP($A20,[7]MVTJANV22!$A$6:$AX$89,9,0)</f>
        <v>0</v>
      </c>
      <c r="E20" s="182">
        <f>VLOOKUP($A20,[7]MVTFEV22!$A$6:$AX$89,9,0)</f>
        <v>0</v>
      </c>
      <c r="F20" s="182">
        <f>VLOOKUP($A20,[7]MVTMARS22!$A$6:$AX$89,9,0)</f>
        <v>0</v>
      </c>
      <c r="G20" s="182">
        <f>VLOOKUP($A20,[7]MVTAVRIL22!$A$6:$AX$89,9,0)</f>
        <v>0</v>
      </c>
      <c r="H20" s="182">
        <f>VLOOKUP($A20,[7]MVTMAI22!$A$6:$AX$89,9,0)</f>
        <v>0</v>
      </c>
      <c r="I20" s="182">
        <f>VLOOKUP($A20,[7]MVTJUIN22!$A$6:$AX$89,9,0)</f>
        <v>0</v>
      </c>
      <c r="J20" s="182">
        <f>VLOOKUP($A20,[7]MVTJUIL22!$A$6:$AX$89,9,0)</f>
        <v>0</v>
      </c>
      <c r="K20" s="182">
        <f>VLOOKUP($A20,[7]MVTAOUT22!$A$6:$AW$89,9,0)</f>
        <v>0</v>
      </c>
      <c r="L20" s="182">
        <f>VLOOKUP($A20,[7]MVTSEPT22!$A$6:$AX$89,9,0)</f>
        <v>0</v>
      </c>
      <c r="M20" s="182">
        <f>VLOOKUP($A20,[7]MVTOCT22!$A$6:$AX$89,9,0)</f>
        <v>0</v>
      </c>
      <c r="N20" s="182">
        <f>VLOOKUP($A20,[7]MVTNOV22!$A$6:$AW$89,9,0)</f>
        <v>0</v>
      </c>
      <c r="O20" s="182">
        <f>VLOOKUP($A20,[7]MVTDEC22!$A$6:$AX$89,9,0)</f>
        <v>0</v>
      </c>
      <c r="P20" s="273">
        <f t="shared" si="0"/>
        <v>0</v>
      </c>
    </row>
    <row r="21" spans="1:16">
      <c r="A21" s="165" t="s">
        <v>293</v>
      </c>
      <c r="B21" s="142">
        <v>17</v>
      </c>
      <c r="C21" s="181" t="str">
        <f>VLOOKUP($A21,[15]LISTADHERENT!$A$5:$M$101,3,0)</f>
        <v>FUMBA TAHO ROLAND</v>
      </c>
      <c r="D21" s="182">
        <f>VLOOKUP($A21,[7]MVTJANV22!$A$6:$AX$89,9,0)</f>
        <v>0</v>
      </c>
      <c r="E21" s="182">
        <f>VLOOKUP($A21,[7]MVTFEV22!$A$6:$AX$89,9,0)</f>
        <v>0</v>
      </c>
      <c r="F21" s="182">
        <f>VLOOKUP($A21,[7]MVTMARS22!$A$6:$AX$89,9,0)</f>
        <v>0</v>
      </c>
      <c r="G21" s="182">
        <f>VLOOKUP($A21,[7]MVTAVRIL22!$A$6:$AX$89,9,0)</f>
        <v>0</v>
      </c>
      <c r="H21" s="182">
        <f>VLOOKUP($A21,[7]MVTMAI22!$A$6:$AX$89,9,0)</f>
        <v>0</v>
      </c>
      <c r="I21" s="182">
        <f>VLOOKUP($A21,[7]MVTJUIN22!$A$6:$AX$89,9,0)</f>
        <v>0</v>
      </c>
      <c r="J21" s="182">
        <f>VLOOKUP($A21,[7]MVTJUIL22!$A$6:$AX$89,9,0)</f>
        <v>0</v>
      </c>
      <c r="K21" s="182">
        <f>VLOOKUP($A21,[7]MVTAOUT22!$A$6:$AW$89,9,0)</f>
        <v>0</v>
      </c>
      <c r="L21" s="182">
        <f>VLOOKUP($A21,[7]MVTSEPT22!$A$6:$AX$89,9,0)</f>
        <v>0</v>
      </c>
      <c r="M21" s="182">
        <f>VLOOKUP($A21,[7]MVTOCT22!$A$6:$AX$89,9,0)</f>
        <v>0</v>
      </c>
      <c r="N21" s="182">
        <f>VLOOKUP($A21,[7]MVTNOV22!$A$6:$AW$89,9,0)</f>
        <v>0</v>
      </c>
      <c r="O21" s="182">
        <f>VLOOKUP($A21,[7]MVTDEC22!$A$6:$AX$89,9,0)</f>
        <v>0</v>
      </c>
      <c r="P21" s="273">
        <f t="shared" si="0"/>
        <v>0</v>
      </c>
    </row>
    <row r="22" spans="1:16">
      <c r="A22" s="165" t="s">
        <v>294</v>
      </c>
      <c r="B22" s="142">
        <v>18</v>
      </c>
      <c r="C22" s="181" t="str">
        <f>VLOOKUP($A22,[15]LISTADHERENT!$A$5:$M$101,3,0)</f>
        <v>KAMGA JOSEPH</v>
      </c>
      <c r="D22" s="182">
        <f>VLOOKUP($A22,[7]MVTJANV22!$A$6:$AX$89,9,0)</f>
        <v>0</v>
      </c>
      <c r="E22" s="182">
        <f>VLOOKUP($A22,[7]MVTFEV22!$A$6:$AX$89,9,0)</f>
        <v>0</v>
      </c>
      <c r="F22" s="182">
        <f>VLOOKUP($A22,[7]MVTMARS22!$A$6:$AX$89,9,0)</f>
        <v>0</v>
      </c>
      <c r="G22" s="182">
        <f>VLOOKUP($A22,[7]MVTAVRIL22!$A$6:$AX$89,9,0)</f>
        <v>0</v>
      </c>
      <c r="H22" s="182">
        <f>VLOOKUP($A22,[7]MVTMAI22!$A$6:$AX$89,9,0)</f>
        <v>0</v>
      </c>
      <c r="I22" s="182">
        <f>VLOOKUP($A22,[7]MVTJUIN22!$A$6:$AX$89,9,0)</f>
        <v>0</v>
      </c>
      <c r="J22" s="182">
        <f>VLOOKUP($A22,[7]MVTJUIL22!$A$6:$AX$89,9,0)</f>
        <v>0</v>
      </c>
      <c r="K22" s="182">
        <f>VLOOKUP($A22,[7]MVTAOUT22!$A$6:$AW$89,9,0)</f>
        <v>0</v>
      </c>
      <c r="L22" s="182">
        <f>VLOOKUP($A22,[7]MVTSEPT22!$A$6:$AX$89,9,0)</f>
        <v>0</v>
      </c>
      <c r="M22" s="182">
        <f>VLOOKUP($A22,[7]MVTOCT22!$A$6:$AX$89,9,0)</f>
        <v>0</v>
      </c>
      <c r="N22" s="182">
        <f>VLOOKUP($A22,[7]MVTNOV22!$A$6:$AW$89,9,0)</f>
        <v>0</v>
      </c>
      <c r="O22" s="182">
        <f>VLOOKUP($A22,[7]MVTDEC22!$A$6:$AX$89,9,0)</f>
        <v>0</v>
      </c>
      <c r="P22" s="273">
        <f t="shared" si="0"/>
        <v>0</v>
      </c>
    </row>
    <row r="23" spans="1:16">
      <c r="A23" s="165" t="s">
        <v>295</v>
      </c>
      <c r="B23" s="142">
        <v>19</v>
      </c>
      <c r="C23" s="181" t="str">
        <f>VLOOKUP($A23,[15]LISTADHERENT!$A$5:$M$101,3,0)</f>
        <v>KAMGAING ENERSTINE Epse NOAH</v>
      </c>
      <c r="D23" s="182">
        <f>VLOOKUP($A23,[7]MVTJANV22!$A$6:$AX$89,9,0)</f>
        <v>0</v>
      </c>
      <c r="E23" s="182">
        <f>VLOOKUP($A23,[7]MVTFEV22!$A$6:$AX$89,9,0)</f>
        <v>0</v>
      </c>
      <c r="F23" s="182">
        <f>VLOOKUP($A23,[7]MVTMARS22!$A$6:$AX$89,9,0)</f>
        <v>0</v>
      </c>
      <c r="G23" s="182">
        <f>VLOOKUP($A23,[7]MVTAVRIL22!$A$6:$AX$89,9,0)</f>
        <v>0</v>
      </c>
      <c r="H23" s="182">
        <f>VLOOKUP($A23,[7]MVTMAI22!$A$6:$AX$89,9,0)</f>
        <v>0</v>
      </c>
      <c r="I23" s="182">
        <f>VLOOKUP($A23,[7]MVTJUIN22!$A$6:$AX$89,9,0)</f>
        <v>0</v>
      </c>
      <c r="J23" s="182">
        <f>VLOOKUP($A23,[7]MVTJUIL22!$A$6:$AX$89,9,0)</f>
        <v>0</v>
      </c>
      <c r="K23" s="182">
        <f>VLOOKUP($A23,[7]MVTAOUT22!$A$6:$AW$89,9,0)</f>
        <v>0</v>
      </c>
      <c r="L23" s="182">
        <f>VLOOKUP($A23,[7]MVTSEPT22!$A$6:$AX$89,9,0)</f>
        <v>0</v>
      </c>
      <c r="M23" s="182">
        <f>VLOOKUP($A23,[7]MVTOCT22!$A$6:$AX$89,9,0)</f>
        <v>0</v>
      </c>
      <c r="N23" s="182">
        <f>VLOOKUP($A23,[7]MVTNOV22!$A$6:$AW$89,9,0)</f>
        <v>0</v>
      </c>
      <c r="O23" s="182">
        <f>VLOOKUP($A23,[7]MVTDEC22!$A$6:$AX$89,9,0)</f>
        <v>0</v>
      </c>
      <c r="P23" s="273">
        <f t="shared" si="0"/>
        <v>0</v>
      </c>
    </row>
    <row r="24" spans="1:16">
      <c r="A24" s="165" t="s">
        <v>296</v>
      </c>
      <c r="B24" s="142">
        <v>20</v>
      </c>
      <c r="C24" s="181" t="str">
        <f>VLOOKUP($A24,[15]LISTADHERENT!$A$5:$M$101,3,0)</f>
        <v>KAMGANG Samuel</v>
      </c>
      <c r="D24" s="182">
        <f>VLOOKUP($A24,[7]MVTJANV22!$A$6:$AX$89,9,0)</f>
        <v>0</v>
      </c>
      <c r="E24" s="182">
        <f>VLOOKUP($A24,[7]MVTFEV22!$A$6:$AX$89,9,0)</f>
        <v>0</v>
      </c>
      <c r="F24" s="182">
        <f>VLOOKUP($A24,[7]MVTMARS22!$A$6:$AX$89,9,0)</f>
        <v>0</v>
      </c>
      <c r="G24" s="182">
        <f>VLOOKUP($A24,[7]MVTAVRIL22!$A$6:$AX$89,9,0)</f>
        <v>0</v>
      </c>
      <c r="H24" s="182">
        <f>VLOOKUP($A24,[7]MVTMAI22!$A$6:$AX$89,9,0)</f>
        <v>0</v>
      </c>
      <c r="I24" s="182">
        <f>VLOOKUP($A24,[7]MVTJUIN22!$A$6:$AX$89,9,0)</f>
        <v>0</v>
      </c>
      <c r="J24" s="182">
        <f>VLOOKUP($A24,[7]MVTJUIL22!$A$6:$AX$89,9,0)</f>
        <v>0</v>
      </c>
      <c r="K24" s="182">
        <f>VLOOKUP($A24,[7]MVTAOUT22!$A$6:$AW$89,9,0)</f>
        <v>0</v>
      </c>
      <c r="L24" s="182">
        <f>VLOOKUP($A24,[7]MVTSEPT22!$A$6:$AX$89,9,0)</f>
        <v>0</v>
      </c>
      <c r="M24" s="182">
        <f>VLOOKUP($A24,[7]MVTOCT22!$A$6:$AX$89,9,0)</f>
        <v>0</v>
      </c>
      <c r="N24" s="182">
        <f>VLOOKUP($A24,[7]MVTNOV22!$A$6:$AW$89,9,0)</f>
        <v>0</v>
      </c>
      <c r="O24" s="182">
        <f>VLOOKUP($A24,[7]MVTDEC22!$A$6:$AX$89,9,0)</f>
        <v>0</v>
      </c>
      <c r="P24" s="273">
        <f t="shared" si="0"/>
        <v>0</v>
      </c>
    </row>
    <row r="25" spans="1:16">
      <c r="A25" s="165" t="s">
        <v>297</v>
      </c>
      <c r="B25" s="142">
        <v>21</v>
      </c>
      <c r="C25" s="181" t="str">
        <f>VLOOKUP($A25,[15]LISTADHERENT!$A$5:$M$101,3,0)</f>
        <v>KAMGUEM NONO Carole</v>
      </c>
      <c r="D25" s="182">
        <f>VLOOKUP($A25,[7]MVTJANV22!$A$6:$AX$89,9,0)</f>
        <v>0</v>
      </c>
      <c r="E25" s="182">
        <f>VLOOKUP($A25,[7]MVTFEV22!$A$6:$AX$89,9,0)</f>
        <v>0</v>
      </c>
      <c r="F25" s="182">
        <f>VLOOKUP($A25,[7]MVTMARS22!$A$6:$AX$89,9,0)</f>
        <v>0</v>
      </c>
      <c r="G25" s="182">
        <f>VLOOKUP($A25,[7]MVTAVRIL22!$A$6:$AX$89,9,0)</f>
        <v>0</v>
      </c>
      <c r="H25" s="182">
        <f>VLOOKUP($A25,[7]MVTMAI22!$A$6:$AX$89,9,0)</f>
        <v>0</v>
      </c>
      <c r="I25" s="182">
        <f>VLOOKUP($A25,[7]MVTJUIN22!$A$6:$AX$89,9,0)</f>
        <v>0</v>
      </c>
      <c r="J25" s="182">
        <f>VLOOKUP($A25,[7]MVTJUIL22!$A$6:$AX$89,9,0)</f>
        <v>0</v>
      </c>
      <c r="K25" s="182">
        <f>VLOOKUP($A25,[7]MVTAOUT22!$A$6:$AW$89,9,0)</f>
        <v>0</v>
      </c>
      <c r="L25" s="182">
        <f>VLOOKUP($A25,[7]MVTSEPT22!$A$6:$AX$89,9,0)</f>
        <v>0</v>
      </c>
      <c r="M25" s="182">
        <f>VLOOKUP($A25,[7]MVTOCT22!$A$6:$AX$89,9,0)</f>
        <v>0</v>
      </c>
      <c r="N25" s="182">
        <f>VLOOKUP($A25,[7]MVTNOV22!$A$6:$AW$89,9,0)</f>
        <v>0</v>
      </c>
      <c r="O25" s="182">
        <f>VLOOKUP($A25,[7]MVTDEC22!$A$6:$AX$89,9,0)</f>
        <v>0</v>
      </c>
      <c r="P25" s="273">
        <f t="shared" si="0"/>
        <v>0</v>
      </c>
    </row>
    <row r="26" spans="1:16">
      <c r="A26" s="165" t="s">
        <v>298</v>
      </c>
      <c r="B26" s="142">
        <v>22</v>
      </c>
      <c r="C26" s="181" t="str">
        <f>VLOOKUP($A26,[15]LISTADHERENT!$A$5:$M$101,3,0)</f>
        <v>KAMNO</v>
      </c>
      <c r="D26" s="182">
        <f>VLOOKUP($A26,[7]MVTJANV22!$A$6:$AX$89,9,0)</f>
        <v>0</v>
      </c>
      <c r="E26" s="182">
        <f>VLOOKUP($A26,[7]MVTFEV22!$A$6:$AX$89,9,0)</f>
        <v>48000</v>
      </c>
      <c r="F26" s="182">
        <f>VLOOKUP($A26,[7]MVTMARS22!$A$6:$AX$89,9,0)</f>
        <v>0</v>
      </c>
      <c r="G26" s="182">
        <f>VLOOKUP($A26,[7]MVTAVRIL22!$A$6:$AX$89,9,0)</f>
        <v>0</v>
      </c>
      <c r="H26" s="182">
        <f>VLOOKUP($A26,[7]MVTMAI22!$A$6:$AX$89,9,0)</f>
        <v>0</v>
      </c>
      <c r="I26" s="182">
        <f>VLOOKUP($A26,[7]MVTJUIN22!$A$6:$AX$89,9,0)</f>
        <v>0</v>
      </c>
      <c r="J26" s="182">
        <f>VLOOKUP($A26,[7]MVTJUIL22!$A$6:$AX$89,9,0)</f>
        <v>0</v>
      </c>
      <c r="K26" s="182">
        <f>VLOOKUP($A26,[7]MVTAOUT22!$A$6:$AW$89,9,0)</f>
        <v>0</v>
      </c>
      <c r="L26" s="182">
        <f>VLOOKUP($A26,[7]MVTSEPT22!$A$6:$AX$89,9,0)</f>
        <v>0</v>
      </c>
      <c r="M26" s="182">
        <f>VLOOKUP($A26,[7]MVTOCT22!$A$6:$AX$89,9,0)</f>
        <v>0</v>
      </c>
      <c r="N26" s="182">
        <f>VLOOKUP($A26,[7]MVTNOV22!$A$6:$AW$89,9,0)</f>
        <v>0</v>
      </c>
      <c r="O26" s="182">
        <f>VLOOKUP($A26,[7]MVTDEC22!$A$6:$AX$89,9,0)</f>
        <v>0</v>
      </c>
      <c r="P26" s="273">
        <f t="shared" si="0"/>
        <v>48000</v>
      </c>
    </row>
    <row r="27" spans="1:16">
      <c r="A27" s="165" t="s">
        <v>355</v>
      </c>
      <c r="B27" s="142">
        <v>23</v>
      </c>
      <c r="C27" s="181" t="str">
        <f>VLOOKUP($A27,[15]LISTADHERENT!$A$5:$M$101,3,0)</f>
        <v>KAMTA ETIENNE</v>
      </c>
      <c r="D27" s="182">
        <f>VLOOKUP($A27,[7]MVTJANV22!$A$6:$AX$89,9,0)</f>
        <v>0</v>
      </c>
      <c r="E27" s="182">
        <f>VLOOKUP($A27,[7]MVTFEV22!$A$6:$AX$89,9,0)</f>
        <v>0</v>
      </c>
      <c r="F27" s="182">
        <f>VLOOKUP($A27,[7]MVTMARS22!$A$6:$AX$89,9,0)</f>
        <v>0</v>
      </c>
      <c r="G27" s="182">
        <f>VLOOKUP($A27,[7]MVTAVRIL22!$A$6:$AX$89,9,0)</f>
        <v>0</v>
      </c>
      <c r="H27" s="182">
        <f>VLOOKUP($A27,[7]MVTMAI22!$A$6:$AX$89,9,0)</f>
        <v>0</v>
      </c>
      <c r="I27" s="182">
        <f>VLOOKUP($A27,[7]MVTJUIN22!$A$6:$AX$89,9,0)</f>
        <v>0</v>
      </c>
      <c r="J27" s="182">
        <f>VLOOKUP($A27,[7]MVTJUIL22!$A$6:$AX$89,9,0)</f>
        <v>0</v>
      </c>
      <c r="K27" s="182">
        <f>VLOOKUP($A27,[7]MVTAOUT22!$A$6:$AW$89,9,0)</f>
        <v>0</v>
      </c>
      <c r="L27" s="182">
        <f>VLOOKUP($A27,[7]MVTSEPT22!$A$6:$AX$89,9,0)</f>
        <v>0</v>
      </c>
      <c r="M27" s="182">
        <f>VLOOKUP($A27,[7]MVTOCT22!$A$6:$AX$89,9,0)</f>
        <v>0</v>
      </c>
      <c r="N27" s="182">
        <f>VLOOKUP($A27,[7]MVTNOV22!$A$6:$AW$89,9,0)</f>
        <v>0</v>
      </c>
      <c r="O27" s="182">
        <f>VLOOKUP($A27,[7]MVTDEC22!$A$6:$AX$89,9,0)</f>
        <v>0</v>
      </c>
      <c r="P27" s="273">
        <f t="shared" si="0"/>
        <v>0</v>
      </c>
    </row>
    <row r="28" spans="1:16">
      <c r="A28" s="165" t="s">
        <v>299</v>
      </c>
      <c r="B28" s="142">
        <v>24</v>
      </c>
      <c r="C28" s="181" t="str">
        <f>VLOOKUP($A28,[15]LISTADHERENT!$A$5:$M$101,3,0)</f>
        <v>KANKEU FOTSING CHRETIEN</v>
      </c>
      <c r="D28" s="182">
        <f>VLOOKUP($A28,[7]MVTJANV22!$A$6:$AX$89,9,0)</f>
        <v>0</v>
      </c>
      <c r="E28" s="182">
        <f>VLOOKUP($A28,[7]MVTFEV22!$A$6:$AX$89,9,0)</f>
        <v>0</v>
      </c>
      <c r="F28" s="182">
        <f>VLOOKUP($A28,[7]MVTMARS22!$A$6:$AX$89,9,0)</f>
        <v>0</v>
      </c>
      <c r="G28" s="182">
        <f>VLOOKUP($A28,[7]MVTAVRIL22!$A$6:$AX$89,9,0)</f>
        <v>0</v>
      </c>
      <c r="H28" s="182">
        <f>VLOOKUP($A28,[7]MVTMAI22!$A$6:$AX$89,9,0)</f>
        <v>0</v>
      </c>
      <c r="I28" s="182">
        <f>VLOOKUP($A28,[7]MVTJUIN22!$A$6:$AX$89,9,0)</f>
        <v>0</v>
      </c>
      <c r="J28" s="182">
        <f>VLOOKUP($A28,[7]MVTJUIL22!$A$6:$AX$89,9,0)</f>
        <v>0</v>
      </c>
      <c r="K28" s="182">
        <f>VLOOKUP($A28,[7]MVTAOUT22!$A$6:$AW$89,9,0)</f>
        <v>0</v>
      </c>
      <c r="L28" s="182">
        <f>VLOOKUP($A28,[7]MVTSEPT22!$A$6:$AX$89,9,0)</f>
        <v>0</v>
      </c>
      <c r="M28" s="182">
        <f>VLOOKUP($A28,[7]MVTOCT22!$A$6:$AX$89,9,0)</f>
        <v>0</v>
      </c>
      <c r="N28" s="182">
        <f>VLOOKUP($A28,[7]MVTNOV22!$A$6:$AW$89,9,0)</f>
        <v>0</v>
      </c>
      <c r="O28" s="182">
        <f>VLOOKUP($A28,[7]MVTDEC22!$A$6:$AX$89,9,0)</f>
        <v>0</v>
      </c>
      <c r="P28" s="273">
        <f t="shared" si="0"/>
        <v>0</v>
      </c>
    </row>
    <row r="29" spans="1:16">
      <c r="A29" s="165" t="s">
        <v>356</v>
      </c>
      <c r="B29" s="142">
        <v>25</v>
      </c>
      <c r="C29" s="181" t="str">
        <f>VLOOKUP($A29,[15]LISTADHERENT!$A$5:$M$101,3,0)</f>
        <v>KEMADJOU ELISEE</v>
      </c>
      <c r="D29" s="182">
        <f>VLOOKUP($A29,[7]MVTJANV22!$A$6:$AX$89,9,0)</f>
        <v>0</v>
      </c>
      <c r="E29" s="182">
        <f>VLOOKUP($A29,[7]MVTFEV22!$A$6:$AX$89,9,0)</f>
        <v>0</v>
      </c>
      <c r="F29" s="182">
        <f>VLOOKUP($A29,[7]MVTMARS22!$A$6:$AX$89,9,0)</f>
        <v>0</v>
      </c>
      <c r="G29" s="182">
        <f>VLOOKUP($A29,[7]MVTAVRIL22!$A$6:$AX$89,9,0)</f>
        <v>0</v>
      </c>
      <c r="H29" s="182">
        <f>VLOOKUP($A29,[7]MVTMAI22!$A$6:$AX$89,9,0)</f>
        <v>0</v>
      </c>
      <c r="I29" s="182">
        <f>VLOOKUP($A29,[7]MVTJUIN22!$A$6:$AX$89,9,0)</f>
        <v>0</v>
      </c>
      <c r="J29" s="182">
        <f>VLOOKUP($A29,[7]MVTJUIL22!$A$6:$AX$89,9,0)</f>
        <v>0</v>
      </c>
      <c r="K29" s="182">
        <f>VLOOKUP($A29,[7]MVTAOUT22!$A$6:$AW$89,9,0)</f>
        <v>0</v>
      </c>
      <c r="L29" s="182">
        <f>VLOOKUP($A29,[7]MVTSEPT22!$A$6:$AX$89,9,0)</f>
        <v>0</v>
      </c>
      <c r="M29" s="182">
        <f>VLOOKUP($A29,[7]MVTOCT22!$A$6:$AX$89,9,0)</f>
        <v>0</v>
      </c>
      <c r="N29" s="182">
        <f>VLOOKUP($A29,[7]MVTNOV22!$A$6:$AW$89,9,0)</f>
        <v>0</v>
      </c>
      <c r="O29" s="182">
        <f>VLOOKUP($A29,[7]MVTDEC22!$A$6:$AX$89,9,0)</f>
        <v>0</v>
      </c>
      <c r="P29" s="273">
        <f t="shared" si="0"/>
        <v>0</v>
      </c>
    </row>
    <row r="30" spans="1:16">
      <c r="A30" s="165" t="s">
        <v>357</v>
      </c>
      <c r="B30" s="142">
        <v>26</v>
      </c>
      <c r="C30" s="181" t="str">
        <f>VLOOKUP($A30,[15]LISTADHERENT!$A$5:$M$101,3,0)</f>
        <v>KENGNE BASILE BERTIN</v>
      </c>
      <c r="D30" s="182">
        <f>VLOOKUP($A30,[7]MVTJANV22!$A$6:$AX$89,9,0)</f>
        <v>0</v>
      </c>
      <c r="E30" s="182">
        <f>VLOOKUP($A30,[7]MVTFEV22!$A$6:$AX$89,9,0)</f>
        <v>0</v>
      </c>
      <c r="F30" s="182">
        <f>VLOOKUP($A30,[7]MVTMARS22!$A$6:$AX$89,9,0)</f>
        <v>0</v>
      </c>
      <c r="G30" s="182">
        <f>VLOOKUP($A30,[7]MVTAVRIL22!$A$6:$AX$89,9,0)</f>
        <v>0</v>
      </c>
      <c r="H30" s="182">
        <f>VLOOKUP($A30,[7]MVTMAI22!$A$6:$AX$89,9,0)</f>
        <v>0</v>
      </c>
      <c r="I30" s="182">
        <f>VLOOKUP($A30,[7]MVTJUIN22!$A$6:$AX$89,9,0)</f>
        <v>0</v>
      </c>
      <c r="J30" s="182">
        <f>VLOOKUP($A30,[7]MVTJUIL22!$A$6:$AX$89,9,0)</f>
        <v>0</v>
      </c>
      <c r="K30" s="182">
        <f>VLOOKUP($A30,[7]MVTAOUT22!$A$6:$AW$89,9,0)</f>
        <v>0</v>
      </c>
      <c r="L30" s="182">
        <f>VLOOKUP($A30,[7]MVTSEPT22!$A$6:$AX$89,9,0)</f>
        <v>0</v>
      </c>
      <c r="M30" s="182">
        <f>VLOOKUP($A30,[7]MVTOCT22!$A$6:$AX$89,9,0)</f>
        <v>0</v>
      </c>
      <c r="N30" s="182">
        <f>VLOOKUP($A30,[7]MVTNOV22!$A$6:$AW$89,9,0)</f>
        <v>0</v>
      </c>
      <c r="O30" s="182">
        <f>VLOOKUP($A30,[7]MVTDEC22!$A$6:$AX$89,9,0)</f>
        <v>0</v>
      </c>
      <c r="P30" s="273">
        <f t="shared" si="0"/>
        <v>0</v>
      </c>
    </row>
    <row r="31" spans="1:16">
      <c r="A31" s="165" t="s">
        <v>300</v>
      </c>
      <c r="B31" s="142">
        <v>27</v>
      </c>
      <c r="C31" s="181" t="str">
        <f>VLOOKUP($A31,[15]LISTADHERENT!$A$5:$M$101,3,0)</f>
        <v>KOLOKO Julienne</v>
      </c>
      <c r="D31" s="182">
        <f>VLOOKUP($A31,[7]MVTJANV22!$A$6:$AX$89,9,0)</f>
        <v>24000</v>
      </c>
      <c r="E31" s="182">
        <f>VLOOKUP($A31,[7]MVTFEV22!$A$6:$AX$89,9,0)</f>
        <v>0</v>
      </c>
      <c r="F31" s="182">
        <f>VLOOKUP($A31,[7]MVTMARS22!$A$6:$AX$89,9,0)</f>
        <v>0</v>
      </c>
      <c r="G31" s="182">
        <f>VLOOKUP($A31,[7]MVTAVRIL22!$A$6:$AX$89,9,0)</f>
        <v>0</v>
      </c>
      <c r="H31" s="182">
        <f>VLOOKUP($A31,[7]MVTMAI22!$A$6:$AX$89,9,0)</f>
        <v>0</v>
      </c>
      <c r="I31" s="182">
        <f>VLOOKUP($A31,[7]MVTJUIN22!$A$6:$AX$89,9,0)</f>
        <v>0</v>
      </c>
      <c r="J31" s="182">
        <f>VLOOKUP($A31,[7]MVTJUIL22!$A$6:$AX$89,9,0)</f>
        <v>0</v>
      </c>
      <c r="K31" s="182">
        <f>VLOOKUP($A31,[7]MVTAOUT22!$A$6:$AW$89,9,0)</f>
        <v>0</v>
      </c>
      <c r="L31" s="182">
        <f>VLOOKUP($A31,[7]MVTSEPT22!$A$6:$AX$89,9,0)</f>
        <v>0</v>
      </c>
      <c r="M31" s="182">
        <f>VLOOKUP($A31,[7]MVTOCT22!$A$6:$AX$89,9,0)</f>
        <v>0</v>
      </c>
      <c r="N31" s="182">
        <f>VLOOKUP($A31,[7]MVTNOV22!$A$6:$AW$89,9,0)</f>
        <v>0</v>
      </c>
      <c r="O31" s="182">
        <f>VLOOKUP($A31,[7]MVTDEC22!$A$6:$AX$89,9,0)</f>
        <v>0</v>
      </c>
      <c r="P31" s="273">
        <f t="shared" si="0"/>
        <v>24000</v>
      </c>
    </row>
    <row r="32" spans="1:16">
      <c r="A32" s="165" t="s">
        <v>358</v>
      </c>
      <c r="B32" s="142">
        <v>28</v>
      </c>
      <c r="C32" s="181" t="str">
        <f>VLOOKUP($A32,[15]LISTADHERENT!$A$5:$M$101,3,0)</f>
        <v>KUETE KENFACK MARCELIN</v>
      </c>
      <c r="D32" s="182">
        <f>VLOOKUP($A32,[7]MVTJANV22!$A$6:$AX$89,9,0)</f>
        <v>0</v>
      </c>
      <c r="E32" s="182">
        <f>VLOOKUP($A32,[7]MVTFEV22!$A$6:$AX$89,9,0)</f>
        <v>0</v>
      </c>
      <c r="F32" s="182">
        <f>VLOOKUP($A32,[7]MVTMARS22!$A$6:$AX$89,9,0)</f>
        <v>0</v>
      </c>
      <c r="G32" s="182">
        <f>VLOOKUP($A32,[7]MVTAVRIL22!$A$6:$AX$89,9,0)</f>
        <v>0</v>
      </c>
      <c r="H32" s="182">
        <f>VLOOKUP($A32,[7]MVTMAI22!$A$6:$AX$89,9,0)</f>
        <v>0</v>
      </c>
      <c r="I32" s="182">
        <f>VLOOKUP($A32,[7]MVTJUIN22!$A$6:$AX$89,9,0)</f>
        <v>0</v>
      </c>
      <c r="J32" s="182">
        <f>VLOOKUP($A32,[7]MVTJUIL22!$A$6:$AX$89,9,0)</f>
        <v>0</v>
      </c>
      <c r="K32" s="182">
        <f>VLOOKUP($A32,[7]MVTAOUT22!$A$6:$AW$89,9,0)</f>
        <v>0</v>
      </c>
      <c r="L32" s="182">
        <f>VLOOKUP($A32,[7]MVTSEPT22!$A$6:$AX$89,9,0)</f>
        <v>0</v>
      </c>
      <c r="M32" s="182">
        <f>VLOOKUP($A32,[7]MVTOCT22!$A$6:$AX$89,9,0)</f>
        <v>0</v>
      </c>
      <c r="N32" s="182">
        <f>VLOOKUP($A32,[7]MVTNOV22!$A$6:$AW$89,9,0)</f>
        <v>0</v>
      </c>
      <c r="O32" s="182">
        <f>VLOOKUP($A32,[7]MVTDEC22!$A$6:$AX$89,9,0)</f>
        <v>0</v>
      </c>
      <c r="P32" s="273">
        <f t="shared" si="0"/>
        <v>0</v>
      </c>
    </row>
    <row r="33" spans="1:16">
      <c r="A33" s="165" t="s">
        <v>359</v>
      </c>
      <c r="B33" s="142">
        <v>29</v>
      </c>
      <c r="C33" s="181" t="str">
        <f>VLOOKUP($A33,[15]LISTADHERENT!$A$5:$M$101,3,0)</f>
        <v>LAMBO Elie</v>
      </c>
      <c r="D33" s="182">
        <f>VLOOKUP($A33,[7]MVTJANV22!$A$6:$AX$89,9,0)</f>
        <v>0</v>
      </c>
      <c r="E33" s="182">
        <f>VLOOKUP($A33,[7]MVTFEV22!$A$6:$AX$89,9,0)</f>
        <v>0</v>
      </c>
      <c r="F33" s="182">
        <f>VLOOKUP($A33,[7]MVTMARS22!$A$6:$AX$89,9,0)</f>
        <v>0</v>
      </c>
      <c r="G33" s="182">
        <f>VLOOKUP($A33,[7]MVTAVRIL22!$A$6:$AX$89,9,0)</f>
        <v>0</v>
      </c>
      <c r="H33" s="182">
        <f>VLOOKUP($A33,[7]MVTMAI22!$A$6:$AX$89,9,0)</f>
        <v>0</v>
      </c>
      <c r="I33" s="182">
        <f>VLOOKUP($A33,[7]MVTJUIN22!$A$6:$AX$89,9,0)</f>
        <v>0</v>
      </c>
      <c r="J33" s="182">
        <f>VLOOKUP($A33,[7]MVTJUIL22!$A$6:$AX$89,9,0)</f>
        <v>0</v>
      </c>
      <c r="K33" s="182">
        <f>VLOOKUP($A33,[7]MVTAOUT22!$A$6:$AW$89,9,0)</f>
        <v>0</v>
      </c>
      <c r="L33" s="182">
        <f>VLOOKUP($A33,[7]MVTSEPT22!$A$6:$AX$89,9,0)</f>
        <v>0</v>
      </c>
      <c r="M33" s="182">
        <f>VLOOKUP($A33,[7]MVTOCT22!$A$6:$AX$89,9,0)</f>
        <v>0</v>
      </c>
      <c r="N33" s="182">
        <f>VLOOKUP($A33,[7]MVTNOV22!$A$6:$AW$89,9,0)</f>
        <v>0</v>
      </c>
      <c r="O33" s="182">
        <f>VLOOKUP($A33,[7]MVTDEC22!$A$6:$AX$89,9,0)</f>
        <v>0</v>
      </c>
      <c r="P33" s="273">
        <f t="shared" si="0"/>
        <v>0</v>
      </c>
    </row>
    <row r="34" spans="1:16">
      <c r="A34" s="167" t="s">
        <v>301</v>
      </c>
      <c r="B34" s="142">
        <v>30</v>
      </c>
      <c r="C34" s="181" t="str">
        <f>VLOOKUP($A34,[15]LISTADHERENT!$A$5:$M$101,3,0)</f>
        <v>LEBO WOTO</v>
      </c>
      <c r="D34" s="182">
        <f>VLOOKUP($A34,[7]MVTJANV22!$A$6:$AX$89,9,0)</f>
        <v>0</v>
      </c>
      <c r="E34" s="182">
        <f>VLOOKUP($A34,[7]MVTFEV22!$A$6:$AX$89,9,0)</f>
        <v>0</v>
      </c>
      <c r="F34" s="182">
        <f>VLOOKUP($A34,[7]MVTMARS22!$A$6:$AX$89,9,0)</f>
        <v>0</v>
      </c>
      <c r="G34" s="182">
        <f>VLOOKUP($A34,[7]MVTAVRIL22!$A$6:$AX$89,9,0)</f>
        <v>0</v>
      </c>
      <c r="H34" s="182">
        <f>VLOOKUP($A34,[7]MVTMAI22!$A$6:$AX$89,9,0)</f>
        <v>0</v>
      </c>
      <c r="I34" s="182">
        <f>VLOOKUP($A34,[7]MVTJUIN22!$A$6:$AX$89,9,0)</f>
        <v>0</v>
      </c>
      <c r="J34" s="182">
        <f>VLOOKUP($A34,[7]MVTJUIL22!$A$6:$AX$89,9,0)</f>
        <v>0</v>
      </c>
      <c r="K34" s="182">
        <f>VLOOKUP($A34,[7]MVTAOUT22!$A$6:$AW$89,9,0)</f>
        <v>0</v>
      </c>
      <c r="L34" s="182">
        <f>VLOOKUP($A34,[7]MVTSEPT22!$A$6:$AX$89,9,0)</f>
        <v>0</v>
      </c>
      <c r="M34" s="182">
        <f>VLOOKUP($A34,[7]MVTOCT22!$A$6:$AX$89,9,0)</f>
        <v>0</v>
      </c>
      <c r="N34" s="182">
        <f>VLOOKUP($A34,[7]MVTNOV22!$A$6:$AW$89,9,0)</f>
        <v>0</v>
      </c>
      <c r="O34" s="182">
        <f>VLOOKUP($A34,[7]MVTDEC22!$A$6:$AX$89,9,0)</f>
        <v>0</v>
      </c>
      <c r="P34" s="273">
        <f t="shared" si="0"/>
        <v>0</v>
      </c>
    </row>
    <row r="35" spans="1:16">
      <c r="A35" s="165" t="s">
        <v>302</v>
      </c>
      <c r="B35" s="142">
        <v>31</v>
      </c>
      <c r="C35" s="181" t="str">
        <f>VLOOKUP($A35,[15]LISTADHERENT!$A$5:$M$101,3,0)</f>
        <v>MEGAPTCHE J Jules</v>
      </c>
      <c r="D35" s="182">
        <f>VLOOKUP($A35,[7]MVTJANV22!$A$6:$AX$89,9,0)</f>
        <v>0</v>
      </c>
      <c r="E35" s="182">
        <f>VLOOKUP($A35,[7]MVTFEV22!$A$6:$AX$89,9,0)</f>
        <v>0</v>
      </c>
      <c r="F35" s="182">
        <f>VLOOKUP($A35,[7]MVTMARS22!$A$6:$AX$89,9,0)</f>
        <v>0</v>
      </c>
      <c r="G35" s="182">
        <f>VLOOKUP($A35,[7]MVTAVRIL22!$A$6:$AX$89,9,0)</f>
        <v>0</v>
      </c>
      <c r="H35" s="182">
        <f>VLOOKUP($A35,[7]MVTMAI22!$A$6:$AX$89,9,0)</f>
        <v>0</v>
      </c>
      <c r="I35" s="182">
        <f>VLOOKUP($A35,[7]MVTJUIN22!$A$6:$AX$89,9,0)</f>
        <v>0</v>
      </c>
      <c r="J35" s="182">
        <f>VLOOKUP($A35,[7]MVTJUIL22!$A$6:$AX$89,9,0)</f>
        <v>0</v>
      </c>
      <c r="K35" s="182">
        <f>VLOOKUP($A35,[7]MVTAOUT22!$A$6:$AW$89,9,0)</f>
        <v>0</v>
      </c>
      <c r="L35" s="182">
        <f>VLOOKUP($A35,[7]MVTSEPT22!$A$6:$AX$89,9,0)</f>
        <v>0</v>
      </c>
      <c r="M35" s="182">
        <f>VLOOKUP($A35,[7]MVTOCT22!$A$6:$AX$89,9,0)</f>
        <v>0</v>
      </c>
      <c r="N35" s="182">
        <f>VLOOKUP($A35,[7]MVTNOV22!$A$6:$AW$89,9,0)</f>
        <v>0</v>
      </c>
      <c r="O35" s="182">
        <f>VLOOKUP($A35,[7]MVTDEC22!$A$6:$AX$89,9,0)</f>
        <v>0</v>
      </c>
      <c r="P35" s="273">
        <f t="shared" si="0"/>
        <v>0</v>
      </c>
    </row>
    <row r="36" spans="1:16">
      <c r="A36" s="165" t="s">
        <v>303</v>
      </c>
      <c r="B36" s="142">
        <v>32</v>
      </c>
      <c r="C36" s="181" t="str">
        <f>VLOOKUP($A36,[15]LISTADHERENT!$A$5:$M$101,3,0)</f>
        <v>MGBORON ISSIAKA</v>
      </c>
      <c r="D36" s="182">
        <f>VLOOKUP($A36,[7]MVTJANV22!$A$6:$AX$89,9,0)</f>
        <v>0</v>
      </c>
      <c r="E36" s="182">
        <f>VLOOKUP($A36,[7]MVTFEV22!$A$6:$AX$89,9,0)</f>
        <v>0</v>
      </c>
      <c r="F36" s="182">
        <f>VLOOKUP($A36,[7]MVTMARS22!$A$6:$AX$89,9,0)</f>
        <v>0</v>
      </c>
      <c r="G36" s="182">
        <f>VLOOKUP($A36,[7]MVTAVRIL22!$A$6:$AX$89,9,0)</f>
        <v>0</v>
      </c>
      <c r="H36" s="182">
        <f>VLOOKUP($A36,[7]MVTMAI22!$A$6:$AX$89,9,0)</f>
        <v>0</v>
      </c>
      <c r="I36" s="182">
        <f>VLOOKUP($A36,[7]MVTJUIN22!$A$6:$AX$89,9,0)</f>
        <v>0</v>
      </c>
      <c r="J36" s="182">
        <f>VLOOKUP($A36,[7]MVTJUIL22!$A$6:$AX$89,9,0)</f>
        <v>0</v>
      </c>
      <c r="K36" s="182">
        <f>VLOOKUP($A36,[7]MVTAOUT22!$A$6:$AW$89,9,0)</f>
        <v>0</v>
      </c>
      <c r="L36" s="182">
        <f>VLOOKUP($A36,[7]MVTSEPT22!$A$6:$AX$89,9,0)</f>
        <v>0</v>
      </c>
      <c r="M36" s="182">
        <f>VLOOKUP($A36,[7]MVTOCT22!$A$6:$AX$89,9,0)</f>
        <v>0</v>
      </c>
      <c r="N36" s="182">
        <f>VLOOKUP($A36,[7]MVTNOV22!$A$6:$AW$89,9,0)</f>
        <v>0</v>
      </c>
      <c r="O36" s="182">
        <f>VLOOKUP($A36,[7]MVTDEC22!$A$6:$AX$89,9,0)</f>
        <v>0</v>
      </c>
      <c r="P36" s="273">
        <f t="shared" si="0"/>
        <v>0</v>
      </c>
    </row>
    <row r="37" spans="1:16">
      <c r="A37" s="165" t="s">
        <v>360</v>
      </c>
      <c r="B37" s="142">
        <v>33</v>
      </c>
      <c r="C37" s="181" t="str">
        <f>VLOOKUP($A37,[15]LISTADHERENT!$A$5:$M$101,3,0)</f>
        <v>MOMENI FIDELE</v>
      </c>
      <c r="D37" s="182">
        <f>VLOOKUP($A37,[7]MVTJANV22!$A$6:$AX$89,9,0)</f>
        <v>0</v>
      </c>
      <c r="E37" s="182">
        <f>VLOOKUP($A37,[7]MVTFEV22!$A$6:$AX$89,9,0)</f>
        <v>0</v>
      </c>
      <c r="F37" s="182">
        <f>VLOOKUP($A37,[7]MVTMARS22!$A$6:$AX$89,9,0)</f>
        <v>0</v>
      </c>
      <c r="G37" s="182">
        <f>VLOOKUP($A37,[7]MVTAVRIL22!$A$6:$AX$89,9,0)</f>
        <v>0</v>
      </c>
      <c r="H37" s="182">
        <f>VLOOKUP($A37,[7]MVTMAI22!$A$6:$AX$89,9,0)</f>
        <v>0</v>
      </c>
      <c r="I37" s="182">
        <f>VLOOKUP($A37,[7]MVTJUIN22!$A$6:$AX$89,9,0)</f>
        <v>0</v>
      </c>
      <c r="J37" s="182">
        <f>VLOOKUP($A37,[7]MVTJUIL22!$A$6:$AX$89,9,0)</f>
        <v>0</v>
      </c>
      <c r="K37" s="182">
        <f>VLOOKUP($A37,[7]MVTAOUT22!$A$6:$AW$89,9,0)</f>
        <v>0</v>
      </c>
      <c r="L37" s="182">
        <f>VLOOKUP($A37,[7]MVTSEPT22!$A$6:$AX$89,9,0)</f>
        <v>0</v>
      </c>
      <c r="M37" s="182">
        <f>VLOOKUP($A37,[7]MVTOCT22!$A$6:$AX$89,9,0)</f>
        <v>0</v>
      </c>
      <c r="N37" s="182">
        <f>VLOOKUP($A37,[7]MVTNOV22!$A$6:$AW$89,9,0)</f>
        <v>0</v>
      </c>
      <c r="O37" s="182">
        <f>VLOOKUP($A37,[7]MVTDEC22!$A$6:$AX$89,9,0)</f>
        <v>0</v>
      </c>
      <c r="P37" s="273">
        <f t="shared" si="0"/>
        <v>0</v>
      </c>
    </row>
    <row r="38" spans="1:16">
      <c r="A38" s="165" t="s">
        <v>304</v>
      </c>
      <c r="B38" s="142">
        <v>34</v>
      </c>
      <c r="C38" s="181" t="str">
        <f>VLOOKUP($A38,[15]LISTADHERENT!$A$5:$M$101,3,0)</f>
        <v>MONKAM VINCENT</v>
      </c>
      <c r="D38" s="182">
        <f>VLOOKUP($A38,[7]MVTJANV22!$A$6:$AX$89,9,0)</f>
        <v>0</v>
      </c>
      <c r="E38" s="182">
        <f>VLOOKUP($A38,[7]MVTFEV22!$A$6:$AX$89,9,0)</f>
        <v>24000</v>
      </c>
      <c r="F38" s="182">
        <f>VLOOKUP($A38,[7]MVTMARS22!$A$6:$AX$89,9,0)</f>
        <v>0</v>
      </c>
      <c r="G38" s="182">
        <f>VLOOKUP($A38,[7]MVTAVRIL22!$A$6:$AX$89,9,0)</f>
        <v>0</v>
      </c>
      <c r="H38" s="182">
        <f>VLOOKUP($A38,[7]MVTMAI22!$A$6:$AX$89,9,0)</f>
        <v>0</v>
      </c>
      <c r="I38" s="182">
        <f>VLOOKUP($A38,[7]MVTJUIN22!$A$6:$AX$89,9,0)</f>
        <v>0</v>
      </c>
      <c r="J38" s="182">
        <f>VLOOKUP($A38,[7]MVTJUIL22!$A$6:$AX$89,9,0)</f>
        <v>0</v>
      </c>
      <c r="K38" s="182">
        <f>VLOOKUP($A38,[7]MVTAOUT22!$A$6:$AW$89,9,0)</f>
        <v>0</v>
      </c>
      <c r="L38" s="182">
        <f>VLOOKUP($A38,[7]MVTSEPT22!$A$6:$AX$89,9,0)</f>
        <v>0</v>
      </c>
      <c r="M38" s="182">
        <f>VLOOKUP($A38,[7]MVTOCT22!$A$6:$AX$89,9,0)</f>
        <v>0</v>
      </c>
      <c r="N38" s="182">
        <f>VLOOKUP($A38,[7]MVTNOV22!$A$6:$AW$89,9,0)</f>
        <v>0</v>
      </c>
      <c r="O38" s="182">
        <f>VLOOKUP($A38,[7]MVTDEC22!$A$6:$AX$89,9,0)</f>
        <v>0</v>
      </c>
      <c r="P38" s="273">
        <f t="shared" si="0"/>
        <v>24000</v>
      </c>
    </row>
    <row r="39" spans="1:16">
      <c r="A39" s="165" t="s">
        <v>305</v>
      </c>
      <c r="B39" s="142">
        <v>35</v>
      </c>
      <c r="C39" s="181" t="str">
        <f>VLOOKUP($A39,[15]LISTADHERENT!$A$5:$M$101,3,0)</f>
        <v>MVOLA ANTOINETTE NEE NJOMOU</v>
      </c>
      <c r="D39" s="182">
        <f>VLOOKUP($A39,[7]MVTJANV22!$A$6:$AX$89,9,0)</f>
        <v>0</v>
      </c>
      <c r="E39" s="182">
        <f>VLOOKUP($A39,[7]MVTFEV22!$A$6:$AX$89,9,0)</f>
        <v>0</v>
      </c>
      <c r="F39" s="182">
        <f>VLOOKUP($A39,[7]MVTMARS22!$A$6:$AX$89,9,0)</f>
        <v>0</v>
      </c>
      <c r="G39" s="182">
        <f>VLOOKUP($A39,[7]MVTAVRIL22!$A$6:$AX$89,9,0)</f>
        <v>0</v>
      </c>
      <c r="H39" s="182">
        <f>VLOOKUP($A39,[7]MVTMAI22!$A$6:$AX$89,9,0)</f>
        <v>0</v>
      </c>
      <c r="I39" s="182">
        <f>VLOOKUP($A39,[7]MVTJUIN22!$A$6:$AX$89,9,0)</f>
        <v>0</v>
      </c>
      <c r="J39" s="182">
        <f>VLOOKUP($A39,[7]MVTJUIL22!$A$6:$AX$89,9,0)</f>
        <v>0</v>
      </c>
      <c r="K39" s="182">
        <f>VLOOKUP($A39,[7]MVTAOUT22!$A$6:$AW$89,9,0)</f>
        <v>0</v>
      </c>
      <c r="L39" s="182">
        <f>VLOOKUP($A39,[7]MVTSEPT22!$A$6:$AX$89,9,0)</f>
        <v>0</v>
      </c>
      <c r="M39" s="182">
        <f>VLOOKUP($A39,[7]MVTOCT22!$A$6:$AX$89,9,0)</f>
        <v>0</v>
      </c>
      <c r="N39" s="182">
        <f>VLOOKUP($A39,[7]MVTNOV22!$A$6:$AW$89,9,0)</f>
        <v>0</v>
      </c>
      <c r="O39" s="182">
        <f>VLOOKUP($A39,[7]MVTDEC22!$A$6:$AX$89,9,0)</f>
        <v>0</v>
      </c>
      <c r="P39" s="273">
        <f t="shared" si="0"/>
        <v>0</v>
      </c>
    </row>
    <row r="40" spans="1:16">
      <c r="A40" s="165" t="s">
        <v>306</v>
      </c>
      <c r="B40" s="142">
        <v>36</v>
      </c>
      <c r="C40" s="181" t="str">
        <f>VLOOKUP($A40,[15]LISTADHERENT!$A$5:$M$101,3,0)</f>
        <v xml:space="preserve">NANA Raymond </v>
      </c>
      <c r="D40" s="182">
        <f>VLOOKUP($A40,[7]MVTJANV22!$A$6:$AX$89,9,0)</f>
        <v>0</v>
      </c>
      <c r="E40" s="182">
        <f>VLOOKUP($A40,[7]MVTFEV22!$A$6:$AX$89,9,0)</f>
        <v>0</v>
      </c>
      <c r="F40" s="182">
        <f>VLOOKUP($A40,[7]MVTMARS22!$A$6:$AX$89,9,0)</f>
        <v>0</v>
      </c>
      <c r="G40" s="182">
        <f>VLOOKUP($A40,[7]MVTAVRIL22!$A$6:$AX$89,9,0)</f>
        <v>0</v>
      </c>
      <c r="H40" s="182">
        <f>VLOOKUP($A40,[7]MVTMAI22!$A$6:$AX$89,9,0)</f>
        <v>0</v>
      </c>
      <c r="I40" s="182">
        <f>VLOOKUP($A40,[7]MVTJUIN22!$A$6:$AX$89,9,0)</f>
        <v>0</v>
      </c>
      <c r="J40" s="182">
        <f>VLOOKUP($A40,[7]MVTJUIL22!$A$6:$AX$89,9,0)</f>
        <v>0</v>
      </c>
      <c r="K40" s="182">
        <f>VLOOKUP($A40,[7]MVTAOUT22!$A$6:$AW$89,9,0)</f>
        <v>0</v>
      </c>
      <c r="L40" s="182">
        <f>VLOOKUP($A40,[7]MVTSEPT22!$A$6:$AX$89,9,0)</f>
        <v>0</v>
      </c>
      <c r="M40" s="182">
        <f>VLOOKUP($A40,[7]MVTOCT22!$A$6:$AX$89,9,0)</f>
        <v>0</v>
      </c>
      <c r="N40" s="182">
        <f>VLOOKUP($A40,[7]MVTNOV22!$A$6:$AW$89,9,0)</f>
        <v>0</v>
      </c>
      <c r="O40" s="182">
        <f>VLOOKUP($A40,[7]MVTDEC22!$A$6:$AX$89,9,0)</f>
        <v>0</v>
      </c>
      <c r="P40" s="273">
        <f t="shared" si="0"/>
        <v>0</v>
      </c>
    </row>
    <row r="41" spans="1:16">
      <c r="A41" s="165" t="s">
        <v>307</v>
      </c>
      <c r="B41" s="142">
        <v>37</v>
      </c>
      <c r="C41" s="181" t="str">
        <f>VLOOKUP($A41,[15]LISTADHERENT!$A$5:$M$101,3,0)</f>
        <v>NDANGA MATHIEU</v>
      </c>
      <c r="D41" s="182">
        <f>VLOOKUP($A41,[7]MVTJANV22!$A$6:$AX$89,9,0)</f>
        <v>0</v>
      </c>
      <c r="E41" s="182">
        <f>VLOOKUP($A41,[7]MVTFEV22!$A$6:$AX$89,9,0)</f>
        <v>0</v>
      </c>
      <c r="F41" s="182">
        <f>VLOOKUP($A41,[7]MVTMARS22!$A$6:$AX$89,9,0)</f>
        <v>0</v>
      </c>
      <c r="G41" s="182">
        <f>VLOOKUP($A41,[7]MVTAVRIL22!$A$6:$AX$89,9,0)</f>
        <v>0</v>
      </c>
      <c r="H41" s="182">
        <f>VLOOKUP($A41,[7]MVTMAI22!$A$6:$AX$89,9,0)</f>
        <v>50000</v>
      </c>
      <c r="I41" s="182">
        <f>VLOOKUP($A41,[7]MVTJUIN22!$A$6:$AX$89,9,0)</f>
        <v>0</v>
      </c>
      <c r="J41" s="182">
        <f>VLOOKUP($A41,[7]MVTJUIL22!$A$6:$AX$89,9,0)</f>
        <v>0</v>
      </c>
      <c r="K41" s="182">
        <f>VLOOKUP($A41,[7]MVTAOUT22!$A$6:$AW$89,9,0)</f>
        <v>0</v>
      </c>
      <c r="L41" s="182">
        <f>VLOOKUP($A41,[7]MVTSEPT22!$A$6:$AX$89,9,0)</f>
        <v>0</v>
      </c>
      <c r="M41" s="182">
        <f>VLOOKUP($A41,[7]MVTOCT22!$A$6:$AX$89,9,0)</f>
        <v>0</v>
      </c>
      <c r="N41" s="182">
        <f>VLOOKUP($A41,[7]MVTNOV22!$A$6:$AW$89,9,0)</f>
        <v>0</v>
      </c>
      <c r="O41" s="182">
        <f>VLOOKUP($A41,[7]MVTDEC22!$A$6:$AX$89,9,0)</f>
        <v>0</v>
      </c>
      <c r="P41" s="273">
        <f t="shared" si="0"/>
        <v>50000</v>
      </c>
    </row>
    <row r="42" spans="1:16">
      <c r="A42" s="165" t="s">
        <v>308</v>
      </c>
      <c r="B42" s="142">
        <v>38</v>
      </c>
      <c r="C42" s="181" t="str">
        <f>VLOOKUP($A42,[15]LISTADHERENT!$A$5:$M$101,3,0)</f>
        <v>NDEFO Pierre Paul</v>
      </c>
      <c r="D42" s="182">
        <f>VLOOKUP($A42,[7]MVTJANV22!$A$6:$AX$89,9,0)</f>
        <v>0</v>
      </c>
      <c r="E42" s="182">
        <f>VLOOKUP($A42,[7]MVTFEV22!$A$6:$AX$89,9,0)</f>
        <v>0</v>
      </c>
      <c r="F42" s="182">
        <f>VLOOKUP($A42,[7]MVTMARS22!$A$6:$AX$89,9,0)</f>
        <v>0</v>
      </c>
      <c r="G42" s="182">
        <f>VLOOKUP($A42,[7]MVTAVRIL22!$A$6:$AX$89,9,0)</f>
        <v>0</v>
      </c>
      <c r="H42" s="182">
        <f>VLOOKUP($A42,[7]MVTMAI22!$A$6:$AX$89,9,0)</f>
        <v>0</v>
      </c>
      <c r="I42" s="182">
        <f>VLOOKUP($A42,[7]MVTJUIN22!$A$6:$AX$89,9,0)</f>
        <v>0</v>
      </c>
      <c r="J42" s="182">
        <f>VLOOKUP($A42,[7]MVTJUIL22!$A$6:$AX$89,9,0)</f>
        <v>0</v>
      </c>
      <c r="K42" s="182">
        <f>VLOOKUP($A42,[7]MVTAOUT22!$A$6:$AW$89,9,0)</f>
        <v>0</v>
      </c>
      <c r="L42" s="182">
        <f>VLOOKUP($A42,[7]MVTSEPT22!$A$6:$AX$89,9,0)</f>
        <v>0</v>
      </c>
      <c r="M42" s="182">
        <f>VLOOKUP($A42,[7]MVTOCT22!$A$6:$AX$89,9,0)</f>
        <v>0</v>
      </c>
      <c r="N42" s="182">
        <f>VLOOKUP($A42,[7]MVTNOV22!$A$6:$AW$89,9,0)</f>
        <v>0</v>
      </c>
      <c r="O42" s="182">
        <f>VLOOKUP($A42,[7]MVTDEC22!$A$6:$AX$89,9,0)</f>
        <v>0</v>
      </c>
      <c r="P42" s="273">
        <f t="shared" si="0"/>
        <v>0</v>
      </c>
    </row>
    <row r="43" spans="1:16">
      <c r="A43" s="165" t="s">
        <v>309</v>
      </c>
      <c r="B43" s="142">
        <v>39</v>
      </c>
      <c r="C43" s="181" t="str">
        <f>VLOOKUP($A43,[15]LISTADHERENT!$A$5:$M$101,3,0)</f>
        <v>NDEUKA Celine</v>
      </c>
      <c r="D43" s="182">
        <f>VLOOKUP($A43,[7]MVTJANV22!$A$6:$AX$89,9,0)</f>
        <v>0</v>
      </c>
      <c r="E43" s="182">
        <f>VLOOKUP($A43,[7]MVTFEV22!$A$6:$AX$89,9,0)</f>
        <v>0</v>
      </c>
      <c r="F43" s="182">
        <f>VLOOKUP($A43,[7]MVTMARS22!$A$6:$AX$89,9,0)</f>
        <v>0</v>
      </c>
      <c r="G43" s="182">
        <f>VLOOKUP($A43,[7]MVTAVRIL22!$A$6:$AX$89,9,0)</f>
        <v>0</v>
      </c>
      <c r="H43" s="182">
        <f>VLOOKUP($A43,[7]MVTMAI22!$A$6:$AX$89,9,0)</f>
        <v>0</v>
      </c>
      <c r="I43" s="182">
        <f>VLOOKUP($A43,[7]MVTJUIN22!$A$6:$AX$89,9,0)</f>
        <v>0</v>
      </c>
      <c r="J43" s="182">
        <f>VLOOKUP($A43,[7]MVTJUIL22!$A$6:$AX$89,9,0)</f>
        <v>0</v>
      </c>
      <c r="K43" s="182">
        <f>VLOOKUP($A43,[7]MVTAOUT22!$A$6:$AW$89,9,0)</f>
        <v>0</v>
      </c>
      <c r="L43" s="182">
        <f>VLOOKUP($A43,[7]MVTSEPT22!$A$6:$AX$89,9,0)</f>
        <v>0</v>
      </c>
      <c r="M43" s="182">
        <f>VLOOKUP($A43,[7]MVTOCT22!$A$6:$AX$89,9,0)</f>
        <v>0</v>
      </c>
      <c r="N43" s="182">
        <f>VLOOKUP($A43,[7]MVTNOV22!$A$6:$AW$89,9,0)</f>
        <v>0</v>
      </c>
      <c r="O43" s="182">
        <f>VLOOKUP($A43,[7]MVTDEC22!$A$6:$AX$89,9,0)</f>
        <v>0</v>
      </c>
      <c r="P43" s="273">
        <f t="shared" si="0"/>
        <v>0</v>
      </c>
    </row>
    <row r="44" spans="1:16">
      <c r="A44" s="165" t="s">
        <v>310</v>
      </c>
      <c r="B44" s="142">
        <v>40</v>
      </c>
      <c r="C44" s="181" t="str">
        <f>VLOOKUP($A44,[15]LISTADHERENT!$A$5:$M$101,3,0)</f>
        <v>NEWO KATOU BLAISE</v>
      </c>
      <c r="D44" s="182">
        <f>VLOOKUP($A44,[7]MVTJANV22!$A$6:$AX$89,9,0)</f>
        <v>24000</v>
      </c>
      <c r="E44" s="182">
        <f>VLOOKUP($A44,[7]MVTFEV22!$A$6:$AX$89,9,0)</f>
        <v>0</v>
      </c>
      <c r="F44" s="182">
        <f>VLOOKUP($A44,[7]MVTMARS22!$A$6:$AX$89,9,0)</f>
        <v>0</v>
      </c>
      <c r="G44" s="182">
        <f>VLOOKUP($A44,[7]MVTAVRIL22!$A$6:$AX$89,9,0)</f>
        <v>0</v>
      </c>
      <c r="H44" s="182">
        <f>VLOOKUP($A44,[7]MVTMAI22!$A$6:$AX$89,9,0)</f>
        <v>0</v>
      </c>
      <c r="I44" s="182">
        <f>VLOOKUP($A44,[7]MVTJUIN22!$A$6:$AX$89,9,0)</f>
        <v>0</v>
      </c>
      <c r="J44" s="182">
        <f>VLOOKUP($A44,[7]MVTJUIL22!$A$6:$AX$89,9,0)</f>
        <v>0</v>
      </c>
      <c r="K44" s="182">
        <f>VLOOKUP($A44,[7]MVTAOUT22!$A$6:$AW$89,9,0)</f>
        <v>0</v>
      </c>
      <c r="L44" s="182">
        <f>VLOOKUP($A44,[7]MVTSEPT22!$A$6:$AX$89,9,0)</f>
        <v>0</v>
      </c>
      <c r="M44" s="182">
        <f>VLOOKUP($A44,[7]MVTOCT22!$A$6:$AX$89,9,0)</f>
        <v>0</v>
      </c>
      <c r="N44" s="182">
        <f>VLOOKUP($A44,[7]MVTNOV22!$A$6:$AW$89,9,0)</f>
        <v>0</v>
      </c>
      <c r="O44" s="182">
        <f>VLOOKUP($A44,[7]MVTDEC22!$A$6:$AX$89,9,0)</f>
        <v>24000</v>
      </c>
      <c r="P44" s="273">
        <f t="shared" si="0"/>
        <v>48000</v>
      </c>
    </row>
    <row r="45" spans="1:16">
      <c r="A45" s="165" t="s">
        <v>311</v>
      </c>
      <c r="B45" s="142">
        <v>41</v>
      </c>
      <c r="C45" s="181" t="str">
        <f>VLOOKUP($A45,[15]LISTADHERENT!$A$5:$M$101,3,0)</f>
        <v>NFANKWE Patrice</v>
      </c>
      <c r="D45" s="182">
        <f>VLOOKUP($A45,[7]MVTJANV22!$A$6:$AX$89,9,0)</f>
        <v>0</v>
      </c>
      <c r="E45" s="182">
        <f>VLOOKUP($A45,[7]MVTFEV22!$A$6:$AX$89,9,0)</f>
        <v>0</v>
      </c>
      <c r="F45" s="182">
        <f>VLOOKUP($A45,[7]MVTMARS22!$A$6:$AX$89,9,0)</f>
        <v>0</v>
      </c>
      <c r="G45" s="182">
        <f>VLOOKUP($A45,[7]MVTAVRIL22!$A$6:$AX$89,9,0)</f>
        <v>0</v>
      </c>
      <c r="H45" s="182">
        <f>VLOOKUP($A45,[7]MVTMAI22!$A$6:$AX$89,9,0)</f>
        <v>0</v>
      </c>
      <c r="I45" s="182">
        <f>VLOOKUP($A45,[7]MVTJUIN22!$A$6:$AX$89,9,0)</f>
        <v>0</v>
      </c>
      <c r="J45" s="182">
        <f>VLOOKUP($A45,[7]MVTJUIL22!$A$6:$AX$89,9,0)</f>
        <v>0</v>
      </c>
      <c r="K45" s="182">
        <f>VLOOKUP($A45,[7]MVTAOUT22!$A$6:$AW$89,9,0)</f>
        <v>0</v>
      </c>
      <c r="L45" s="182">
        <f>VLOOKUP($A45,[7]MVTSEPT22!$A$6:$AX$89,9,0)</f>
        <v>0</v>
      </c>
      <c r="M45" s="182">
        <f>VLOOKUP($A45,[7]MVTOCT22!$A$6:$AX$89,9,0)</f>
        <v>0</v>
      </c>
      <c r="N45" s="182">
        <f>VLOOKUP($A45,[7]MVTNOV22!$A$6:$AW$89,9,0)</f>
        <v>0</v>
      </c>
      <c r="O45" s="182">
        <f>VLOOKUP($A45,[7]MVTDEC22!$A$6:$AX$89,9,0)</f>
        <v>0</v>
      </c>
      <c r="P45" s="273">
        <f t="shared" si="0"/>
        <v>0</v>
      </c>
    </row>
    <row r="46" spans="1:16">
      <c r="A46" s="167" t="s">
        <v>312</v>
      </c>
      <c r="B46" s="142">
        <v>42</v>
      </c>
      <c r="C46" s="181" t="str">
        <f>VLOOKUP($A46,[15]LISTADHERENT!$A$5:$M$101,3,0)</f>
        <v>NGANDIMOUN IDRISSOU</v>
      </c>
      <c r="D46" s="182">
        <f>VLOOKUP($A46,[7]MVTJANV22!$A$6:$AX$89,9,0)</f>
        <v>0</v>
      </c>
      <c r="E46" s="182">
        <f>VLOOKUP($A46,[7]MVTFEV22!$A$6:$AX$89,9,0)</f>
        <v>0</v>
      </c>
      <c r="F46" s="182">
        <f>VLOOKUP($A46,[7]MVTMARS22!$A$6:$AX$89,9,0)</f>
        <v>0</v>
      </c>
      <c r="G46" s="182">
        <f>VLOOKUP($A46,[7]MVTAVRIL22!$A$6:$AX$89,9,0)</f>
        <v>0</v>
      </c>
      <c r="H46" s="182">
        <f>VLOOKUP($A46,[7]MVTMAI22!$A$6:$AX$89,9,0)</f>
        <v>0</v>
      </c>
      <c r="I46" s="182">
        <f>VLOOKUP($A46,[7]MVTJUIN22!$A$6:$AX$89,9,0)</f>
        <v>0</v>
      </c>
      <c r="J46" s="182">
        <f>VLOOKUP($A46,[7]MVTJUIL22!$A$6:$AX$89,9,0)</f>
        <v>0</v>
      </c>
      <c r="K46" s="182">
        <f>VLOOKUP($A46,[7]MVTAOUT22!$A$6:$AW$89,9,0)</f>
        <v>0</v>
      </c>
      <c r="L46" s="182">
        <f>VLOOKUP($A46,[7]MVTSEPT22!$A$6:$AX$89,9,0)</f>
        <v>0</v>
      </c>
      <c r="M46" s="182">
        <f>VLOOKUP($A46,[7]MVTOCT22!$A$6:$AX$89,9,0)</f>
        <v>0</v>
      </c>
      <c r="N46" s="182">
        <f>VLOOKUP($A46,[7]MVTNOV22!$A$6:$AW$89,9,0)</f>
        <v>0</v>
      </c>
      <c r="O46" s="182">
        <f>VLOOKUP($A46,[7]MVTDEC22!$A$6:$AX$89,9,0)</f>
        <v>0</v>
      </c>
      <c r="P46" s="273">
        <f t="shared" si="0"/>
        <v>0</v>
      </c>
    </row>
    <row r="47" spans="1:16">
      <c r="A47" s="165" t="s">
        <v>313</v>
      </c>
      <c r="B47" s="142">
        <v>43</v>
      </c>
      <c r="C47" s="181" t="str">
        <f>VLOOKUP($A47,[15]LISTADHERENT!$A$5:$M$101,3,0)</f>
        <v>NGATAT JEAN MARIE</v>
      </c>
      <c r="D47" s="182">
        <f>VLOOKUP($A47,[7]MVTJANV22!$A$6:$AX$89,9,0)</f>
        <v>0</v>
      </c>
      <c r="E47" s="182">
        <f>VLOOKUP($A47,[7]MVTFEV22!$A$6:$AX$89,9,0)</f>
        <v>0</v>
      </c>
      <c r="F47" s="182">
        <f>VLOOKUP($A47,[7]MVTMARS22!$A$6:$AX$89,9,0)</f>
        <v>0</v>
      </c>
      <c r="G47" s="182">
        <f>VLOOKUP($A47,[7]MVTAVRIL22!$A$6:$AX$89,9,0)</f>
        <v>0</v>
      </c>
      <c r="H47" s="182">
        <f>VLOOKUP($A47,[7]MVTMAI22!$A$6:$AX$89,9,0)</f>
        <v>0</v>
      </c>
      <c r="I47" s="182">
        <f>VLOOKUP($A47,[7]MVTJUIN22!$A$6:$AX$89,9,0)</f>
        <v>0</v>
      </c>
      <c r="J47" s="182">
        <f>VLOOKUP($A47,[7]MVTJUIL22!$A$6:$AX$89,9,0)</f>
        <v>0</v>
      </c>
      <c r="K47" s="182">
        <f>VLOOKUP($A47,[7]MVTAOUT22!$A$6:$AW$89,9,0)</f>
        <v>0</v>
      </c>
      <c r="L47" s="182">
        <f>VLOOKUP($A47,[7]MVTSEPT22!$A$6:$AX$89,9,0)</f>
        <v>0</v>
      </c>
      <c r="M47" s="182">
        <f>VLOOKUP($A47,[7]MVTOCT22!$A$6:$AX$89,9,0)</f>
        <v>0</v>
      </c>
      <c r="N47" s="182">
        <f>VLOOKUP($A47,[7]MVTNOV22!$A$6:$AW$89,9,0)</f>
        <v>0</v>
      </c>
      <c r="O47" s="182">
        <f>VLOOKUP($A47,[7]MVTDEC22!$A$6:$AX$89,9,0)</f>
        <v>0</v>
      </c>
      <c r="P47" s="273">
        <f t="shared" si="0"/>
        <v>0</v>
      </c>
    </row>
    <row r="48" spans="1:16">
      <c r="A48" s="165" t="s">
        <v>314</v>
      </c>
      <c r="B48" s="142">
        <v>44</v>
      </c>
      <c r="C48" s="181" t="str">
        <f>VLOOKUP($A48,[15]LISTADHERENT!$A$5:$M$101,3,0)</f>
        <v>NGOUNOU MICHEL</v>
      </c>
      <c r="D48" s="182">
        <f>VLOOKUP($A48,[7]MVTJANV22!$A$6:$AX$89,9,0)</f>
        <v>0</v>
      </c>
      <c r="E48" s="182">
        <f>VLOOKUP($A48,[7]MVTFEV22!$A$6:$AX$89,9,0)</f>
        <v>0</v>
      </c>
      <c r="F48" s="182">
        <f>VLOOKUP($A48,[7]MVTMARS22!$A$6:$AX$89,9,0)</f>
        <v>0</v>
      </c>
      <c r="G48" s="182">
        <f>VLOOKUP($A48,[7]MVTAVRIL22!$A$6:$AX$89,9,0)</f>
        <v>0</v>
      </c>
      <c r="H48" s="182">
        <f>VLOOKUP($A48,[7]MVTMAI22!$A$6:$AX$89,9,0)</f>
        <v>0</v>
      </c>
      <c r="I48" s="182">
        <f>VLOOKUP($A48,[7]MVTJUIN22!$A$6:$AX$89,9,0)</f>
        <v>0</v>
      </c>
      <c r="J48" s="182">
        <f>VLOOKUP($A48,[7]MVTJUIL22!$A$6:$AX$89,9,0)</f>
        <v>0</v>
      </c>
      <c r="K48" s="182">
        <f>VLOOKUP($A48,[7]MVTAOUT22!$A$6:$AW$89,9,0)</f>
        <v>0</v>
      </c>
      <c r="L48" s="182">
        <f>VLOOKUP($A48,[7]MVTSEPT22!$A$6:$AX$89,9,0)</f>
        <v>0</v>
      </c>
      <c r="M48" s="182">
        <f>VLOOKUP($A48,[7]MVTOCT22!$A$6:$AX$89,9,0)</f>
        <v>0</v>
      </c>
      <c r="N48" s="182">
        <f>VLOOKUP($A48,[7]MVTNOV22!$A$6:$AW$89,9,0)</f>
        <v>0</v>
      </c>
      <c r="O48" s="182">
        <f>VLOOKUP($A48,[7]MVTDEC22!$A$6:$AX$89,9,0)</f>
        <v>0</v>
      </c>
      <c r="P48" s="273">
        <f t="shared" si="0"/>
        <v>0</v>
      </c>
    </row>
    <row r="49" spans="1:16">
      <c r="A49" s="165" t="s">
        <v>315</v>
      </c>
      <c r="B49" s="142">
        <v>45</v>
      </c>
      <c r="C49" s="181" t="str">
        <f>VLOOKUP($A49,[15]LISTADHERENT!$A$5:$M$101,3,0)</f>
        <v>NJIKI Azaria</v>
      </c>
      <c r="D49" s="182">
        <f>VLOOKUP($A49,[7]MVTJANV22!$A$6:$AX$89,9,0)</f>
        <v>0</v>
      </c>
      <c r="E49" s="182">
        <f>VLOOKUP($A49,[7]MVTFEV22!$A$6:$AX$89,9,0)</f>
        <v>120000</v>
      </c>
      <c r="F49" s="182">
        <f>VLOOKUP($A49,[7]MVTMARS22!$A$6:$AX$89,9,0)</f>
        <v>0</v>
      </c>
      <c r="G49" s="182">
        <f>VLOOKUP($A49,[7]MVTAVRIL22!$A$6:$AX$89,9,0)</f>
        <v>0</v>
      </c>
      <c r="H49" s="182">
        <f>VLOOKUP($A49,[7]MVTMAI22!$A$6:$AX$89,9,0)</f>
        <v>0</v>
      </c>
      <c r="I49" s="182">
        <f>VLOOKUP($A49,[7]MVTJUIN22!$A$6:$AX$89,9,0)</f>
        <v>0</v>
      </c>
      <c r="J49" s="182">
        <f>VLOOKUP($A49,[7]MVTJUIL22!$A$6:$AX$89,9,0)</f>
        <v>0</v>
      </c>
      <c r="K49" s="182">
        <f>VLOOKUP($A49,[7]MVTAOUT22!$A$6:$AW$89,9,0)</f>
        <v>7500</v>
      </c>
      <c r="L49" s="182">
        <f>VLOOKUP($A49,[7]MVTSEPT22!$A$6:$AX$89,9,0)</f>
        <v>0</v>
      </c>
      <c r="M49" s="182">
        <f>VLOOKUP($A49,[7]MVTOCT22!$A$6:$AX$89,9,0)</f>
        <v>0</v>
      </c>
      <c r="N49" s="182">
        <f>VLOOKUP($A49,[7]MVTNOV22!$A$6:$AW$89,9,0)</f>
        <v>0</v>
      </c>
      <c r="O49" s="182">
        <f>VLOOKUP($A49,[7]MVTDEC22!$A$6:$AX$89,9,0)</f>
        <v>0</v>
      </c>
      <c r="P49" s="273">
        <f t="shared" si="0"/>
        <v>127500</v>
      </c>
    </row>
    <row r="50" spans="1:16">
      <c r="A50" s="165" t="s">
        <v>316</v>
      </c>
      <c r="B50" s="142">
        <v>46</v>
      </c>
      <c r="C50" s="181" t="str">
        <f>VLOOKUP($A50,[15]LISTADHERENT!$A$5:$M$101,3,0)</f>
        <v>NOMBO Sakio</v>
      </c>
      <c r="D50" s="182">
        <f>VLOOKUP($A50,[7]MVTJANV22!$A$6:$AX$89,9,0)</f>
        <v>0</v>
      </c>
      <c r="E50" s="182">
        <f>VLOOKUP($A50,[7]MVTFEV22!$A$6:$AX$89,9,0)</f>
        <v>0</v>
      </c>
      <c r="F50" s="182">
        <f>VLOOKUP($A50,[7]MVTMARS22!$A$6:$AX$89,9,0)</f>
        <v>0</v>
      </c>
      <c r="G50" s="182">
        <f>VLOOKUP($A50,[7]MVTAVRIL22!$A$6:$AX$89,9,0)</f>
        <v>0</v>
      </c>
      <c r="H50" s="182">
        <f>VLOOKUP($A50,[7]MVTMAI22!$A$6:$AX$89,9,0)</f>
        <v>0</v>
      </c>
      <c r="I50" s="182">
        <f>VLOOKUP($A50,[7]MVTJUIN22!$A$6:$AX$89,9,0)</f>
        <v>0</v>
      </c>
      <c r="J50" s="182">
        <f>VLOOKUP($A50,[7]MVTJUIL22!$A$6:$AX$89,9,0)</f>
        <v>0</v>
      </c>
      <c r="K50" s="182">
        <f>VLOOKUP($A50,[7]MVTAOUT22!$A$6:$AW$89,9,0)</f>
        <v>0</v>
      </c>
      <c r="L50" s="182">
        <f>VLOOKUP($A50,[7]MVTSEPT22!$A$6:$AX$89,9,0)</f>
        <v>0</v>
      </c>
      <c r="M50" s="182">
        <f>VLOOKUP($A50,[7]MVTOCT22!$A$6:$AX$89,9,0)</f>
        <v>0</v>
      </c>
      <c r="N50" s="182">
        <f>VLOOKUP($A50,[7]MVTNOV22!$A$6:$AW$89,9,0)</f>
        <v>0</v>
      </c>
      <c r="O50" s="182">
        <f>VLOOKUP($A50,[7]MVTDEC22!$A$6:$AX$89,9,0)</f>
        <v>0</v>
      </c>
      <c r="P50" s="273">
        <f t="shared" si="0"/>
        <v>0</v>
      </c>
    </row>
    <row r="51" spans="1:16">
      <c r="A51" s="165" t="s">
        <v>361</v>
      </c>
      <c r="B51" s="142">
        <v>47</v>
      </c>
      <c r="C51" s="181" t="str">
        <f>VLOOKUP($A51,[15]LISTADHERENT!$A$5:$M$101,3,0)</f>
        <v>NOUGNIHI Jonas</v>
      </c>
      <c r="D51" s="182">
        <f>VLOOKUP($A51,[7]MVTJANV22!$A$6:$AX$89,9,0)</f>
        <v>0</v>
      </c>
      <c r="E51" s="182">
        <f>VLOOKUP($A51,[7]MVTFEV22!$A$6:$AX$89,9,0)</f>
        <v>0</v>
      </c>
      <c r="F51" s="182">
        <f>VLOOKUP($A51,[7]MVTMARS22!$A$6:$AX$89,9,0)</f>
        <v>0</v>
      </c>
      <c r="G51" s="182">
        <f>VLOOKUP($A51,[7]MVTAVRIL22!$A$6:$AX$89,9,0)</f>
        <v>0</v>
      </c>
      <c r="H51" s="182">
        <f>VLOOKUP($A51,[7]MVTMAI22!$A$6:$AX$89,9,0)</f>
        <v>0</v>
      </c>
      <c r="I51" s="182">
        <f>VLOOKUP($A51,[7]MVTJUIN22!$A$6:$AX$89,9,0)</f>
        <v>0</v>
      </c>
      <c r="J51" s="182">
        <f>VLOOKUP($A51,[7]MVTJUIL22!$A$6:$AX$89,9,0)</f>
        <v>0</v>
      </c>
      <c r="K51" s="182">
        <f>VLOOKUP($A51,[7]MVTAOUT22!$A$6:$AW$89,9,0)</f>
        <v>0</v>
      </c>
      <c r="L51" s="182">
        <f>VLOOKUP($A51,[7]MVTSEPT22!$A$6:$AX$89,9,0)</f>
        <v>0</v>
      </c>
      <c r="M51" s="182">
        <f>VLOOKUP($A51,[7]MVTOCT22!$A$6:$AX$89,9,0)</f>
        <v>0</v>
      </c>
      <c r="N51" s="182">
        <f>VLOOKUP($A51,[7]MVTNOV22!$A$6:$AW$89,9,0)</f>
        <v>0</v>
      </c>
      <c r="O51" s="182">
        <f>VLOOKUP($A51,[7]MVTDEC22!$A$6:$AX$89,9,0)</f>
        <v>0</v>
      </c>
      <c r="P51" s="273">
        <f t="shared" si="0"/>
        <v>0</v>
      </c>
    </row>
    <row r="52" spans="1:16">
      <c r="A52" s="165" t="s">
        <v>317</v>
      </c>
      <c r="B52" s="142">
        <v>48</v>
      </c>
      <c r="C52" s="181" t="str">
        <f>VLOOKUP($A52,[15]LISTADHERENT!$A$5:$M$101,3,0)</f>
        <v>NOUKIATCHOM SATCHE RODRIQUE</v>
      </c>
      <c r="D52" s="182">
        <f>VLOOKUP($A52,[7]MVTJANV22!$A$6:$AX$89,9,0)</f>
        <v>0</v>
      </c>
      <c r="E52" s="182">
        <f>VLOOKUP($A52,[7]MVTFEV22!$A$6:$AX$89,9,0)</f>
        <v>0</v>
      </c>
      <c r="F52" s="182">
        <f>VLOOKUP($A52,[7]MVTMARS22!$A$6:$AX$89,9,0)</f>
        <v>0</v>
      </c>
      <c r="G52" s="182">
        <f>VLOOKUP($A52,[7]MVTAVRIL22!$A$6:$AX$89,9,0)</f>
        <v>0</v>
      </c>
      <c r="H52" s="182">
        <f>VLOOKUP($A52,[7]MVTMAI22!$A$6:$AX$89,9,0)</f>
        <v>0</v>
      </c>
      <c r="I52" s="182">
        <f>VLOOKUP($A52,[7]MVTJUIN22!$A$6:$AX$89,9,0)</f>
        <v>0</v>
      </c>
      <c r="J52" s="182">
        <f>VLOOKUP($A52,[7]MVTJUIL22!$A$6:$AX$89,9,0)</f>
        <v>0</v>
      </c>
      <c r="K52" s="182">
        <f>VLOOKUP($A52,[7]MVTAOUT22!$A$6:$AW$89,9,0)</f>
        <v>0</v>
      </c>
      <c r="L52" s="182">
        <f>VLOOKUP($A52,[7]MVTSEPT22!$A$6:$AX$89,9,0)</f>
        <v>0</v>
      </c>
      <c r="M52" s="182">
        <f>VLOOKUP($A52,[7]MVTOCT22!$A$6:$AX$89,9,0)</f>
        <v>0</v>
      </c>
      <c r="N52" s="182">
        <f>VLOOKUP($A52,[7]MVTNOV22!$A$6:$AW$89,9,0)</f>
        <v>0</v>
      </c>
      <c r="O52" s="182">
        <f>VLOOKUP($A52,[7]MVTDEC22!$A$6:$AX$89,9,0)</f>
        <v>0</v>
      </c>
      <c r="P52" s="273">
        <f t="shared" si="0"/>
        <v>0</v>
      </c>
    </row>
    <row r="53" spans="1:16">
      <c r="A53" s="167" t="s">
        <v>318</v>
      </c>
      <c r="B53" s="142">
        <v>49</v>
      </c>
      <c r="C53" s="181" t="str">
        <f>VLOOKUP($A53,[15]LISTADHERENT!$A$5:$M$101,3,0)</f>
        <v>NOUNKWA BIADJANG</v>
      </c>
      <c r="D53" s="182">
        <f>VLOOKUP($A53,[7]MVTJANV22!$A$6:$AX$89,9,0)</f>
        <v>0</v>
      </c>
      <c r="E53" s="182">
        <f>VLOOKUP($A53,[7]MVTFEV22!$A$6:$AX$89,9,0)</f>
        <v>0</v>
      </c>
      <c r="F53" s="182">
        <f>VLOOKUP($A53,[7]MVTMARS22!$A$6:$AX$89,9,0)</f>
        <v>0</v>
      </c>
      <c r="G53" s="182">
        <f>VLOOKUP($A53,[7]MVTAVRIL22!$A$6:$AX$89,9,0)</f>
        <v>0</v>
      </c>
      <c r="H53" s="182">
        <f>VLOOKUP($A53,[7]MVTMAI22!$A$6:$AX$89,9,0)</f>
        <v>0</v>
      </c>
      <c r="I53" s="182">
        <f>VLOOKUP($A53,[7]MVTJUIN22!$A$6:$AX$89,9,0)</f>
        <v>0</v>
      </c>
      <c r="J53" s="182">
        <f>VLOOKUP($A53,[7]MVTJUIL22!$A$6:$AX$89,9,0)</f>
        <v>0</v>
      </c>
      <c r="K53" s="182">
        <f>VLOOKUP($A53,[7]MVTAOUT22!$A$6:$AW$89,9,0)</f>
        <v>0</v>
      </c>
      <c r="L53" s="182">
        <f>VLOOKUP($A53,[7]MVTSEPT22!$A$6:$AX$89,9,0)</f>
        <v>0</v>
      </c>
      <c r="M53" s="182">
        <f>VLOOKUP($A53,[7]MVTOCT22!$A$6:$AX$89,9,0)</f>
        <v>0</v>
      </c>
      <c r="N53" s="182">
        <f>VLOOKUP($A53,[7]MVTNOV22!$A$6:$AW$89,9,0)</f>
        <v>0</v>
      </c>
      <c r="O53" s="182">
        <f>VLOOKUP($A53,[7]MVTDEC22!$A$6:$AX$89,9,0)</f>
        <v>0</v>
      </c>
      <c r="P53" s="273">
        <f t="shared" si="0"/>
        <v>0</v>
      </c>
    </row>
    <row r="54" spans="1:16">
      <c r="A54" s="167" t="s">
        <v>319</v>
      </c>
      <c r="B54" s="142">
        <v>50</v>
      </c>
      <c r="C54" s="181" t="str">
        <f>VLOOKUP($A54,[15]LISTADHERENT!$A$5:$M$101,3,0)</f>
        <v>TCHOUMBA EPSE ONDJA'A</v>
      </c>
      <c r="D54" s="182">
        <f>VLOOKUP($A54,[7]MVTJANV22!$A$6:$AX$89,9,0)</f>
        <v>0</v>
      </c>
      <c r="E54" s="182">
        <f>VLOOKUP($A54,[7]MVTFEV22!$A$6:$AX$89,9,0)</f>
        <v>0</v>
      </c>
      <c r="F54" s="182">
        <f>VLOOKUP($A54,[7]MVTMARS22!$A$6:$AX$89,9,0)</f>
        <v>0</v>
      </c>
      <c r="G54" s="182">
        <f>VLOOKUP($A54,[7]MVTAVRIL22!$A$6:$AX$89,9,0)</f>
        <v>0</v>
      </c>
      <c r="H54" s="182">
        <f>VLOOKUP($A54,[7]MVTMAI22!$A$6:$AX$89,9,0)</f>
        <v>0</v>
      </c>
      <c r="I54" s="182">
        <f>VLOOKUP($A54,[7]MVTJUIN22!$A$6:$AX$89,9,0)</f>
        <v>0</v>
      </c>
      <c r="J54" s="182">
        <f>VLOOKUP($A54,[7]MVTJUIL22!$A$6:$AX$89,9,0)</f>
        <v>0</v>
      </c>
      <c r="K54" s="182">
        <f>VLOOKUP($A54,[7]MVTAOUT22!$A$6:$AW$89,9,0)</f>
        <v>0</v>
      </c>
      <c r="L54" s="182">
        <f>VLOOKUP($A54,[7]MVTSEPT22!$A$6:$AX$89,9,0)</f>
        <v>0</v>
      </c>
      <c r="M54" s="182">
        <f>VLOOKUP($A54,[7]MVTOCT22!$A$6:$AX$89,9,0)</f>
        <v>0</v>
      </c>
      <c r="N54" s="182">
        <f>VLOOKUP($A54,[7]MVTNOV22!$A$6:$AW$89,9,0)</f>
        <v>0</v>
      </c>
      <c r="O54" s="182">
        <f>VLOOKUP($A54,[7]MVTDEC22!$A$6:$AX$89,9,0)</f>
        <v>0</v>
      </c>
      <c r="P54" s="273">
        <f t="shared" si="0"/>
        <v>0</v>
      </c>
    </row>
    <row r="55" spans="1:16">
      <c r="A55" s="167" t="s">
        <v>320</v>
      </c>
      <c r="B55" s="142">
        <v>51</v>
      </c>
      <c r="C55" s="181" t="str">
        <f>VLOOKUP($A55,[15]LISTADHERENT!$A$5:$M$101,3,0)</f>
        <v>PAFOUYOUOM NSANGOU</v>
      </c>
      <c r="D55" s="182">
        <f>VLOOKUP($A55,[7]MVTJANV22!$A$6:$AX$89,9,0)</f>
        <v>0</v>
      </c>
      <c r="E55" s="182">
        <f>VLOOKUP($A55,[7]MVTFEV22!$A$6:$AX$89,9,0)</f>
        <v>0</v>
      </c>
      <c r="F55" s="182">
        <f>VLOOKUP($A55,[7]MVTMARS22!$A$6:$AX$89,9,0)</f>
        <v>0</v>
      </c>
      <c r="G55" s="182">
        <f>VLOOKUP($A55,[7]MVTAVRIL22!$A$6:$AX$89,9,0)</f>
        <v>0</v>
      </c>
      <c r="H55" s="182">
        <f>VLOOKUP($A55,[7]MVTMAI22!$A$6:$AX$89,9,0)</f>
        <v>0</v>
      </c>
      <c r="I55" s="182">
        <f>VLOOKUP($A55,[7]MVTJUIN22!$A$6:$AX$89,9,0)</f>
        <v>0</v>
      </c>
      <c r="J55" s="182">
        <f>VLOOKUP($A55,[7]MVTJUIL22!$A$6:$AX$89,9,0)</f>
        <v>0</v>
      </c>
      <c r="K55" s="182">
        <f>VLOOKUP($A55,[7]MVTAOUT22!$A$6:$AW$89,9,0)</f>
        <v>0</v>
      </c>
      <c r="L55" s="182">
        <f>VLOOKUP($A55,[7]MVTSEPT22!$A$6:$AX$89,9,0)</f>
        <v>0</v>
      </c>
      <c r="M55" s="182">
        <f>VLOOKUP($A55,[7]MVTOCT22!$A$6:$AX$89,9,0)</f>
        <v>0</v>
      </c>
      <c r="N55" s="182">
        <f>VLOOKUP($A55,[7]MVTNOV22!$A$6:$AW$89,9,0)</f>
        <v>0</v>
      </c>
      <c r="O55" s="182">
        <f>VLOOKUP($A55,[7]MVTDEC22!$A$6:$AX$89,9,0)</f>
        <v>0</v>
      </c>
      <c r="P55" s="273">
        <f t="shared" si="0"/>
        <v>0</v>
      </c>
    </row>
    <row r="56" spans="1:16">
      <c r="A56" s="165" t="s">
        <v>321</v>
      </c>
      <c r="B56" s="142">
        <v>52</v>
      </c>
      <c r="C56" s="181" t="str">
        <f>VLOOKUP($A56,[15]LISTADHERENT!$A$5:$M$101,3,0)</f>
        <v xml:space="preserve">POSSI Didier </v>
      </c>
      <c r="D56" s="182">
        <f>VLOOKUP($A56,[7]MVTJANV22!$A$6:$AX$89,9,0)</f>
        <v>0</v>
      </c>
      <c r="E56" s="182">
        <f>VLOOKUP($A56,[7]MVTFEV22!$A$6:$AX$89,9,0)</f>
        <v>0</v>
      </c>
      <c r="F56" s="182">
        <f>VLOOKUP($A56,[7]MVTMARS22!$A$6:$AX$89,9,0)</f>
        <v>0</v>
      </c>
      <c r="G56" s="182">
        <f>VLOOKUP($A56,[7]MVTAVRIL22!$A$6:$AX$89,9,0)</f>
        <v>0</v>
      </c>
      <c r="H56" s="182">
        <f>VLOOKUP($A56,[7]MVTMAI22!$A$6:$AX$89,9,0)</f>
        <v>0</v>
      </c>
      <c r="I56" s="182">
        <f>VLOOKUP($A56,[7]MVTJUIN22!$A$6:$AX$89,9,0)</f>
        <v>0</v>
      </c>
      <c r="J56" s="182">
        <f>VLOOKUP($A56,[7]MVTJUIL22!$A$6:$AX$89,9,0)</f>
        <v>0</v>
      </c>
      <c r="K56" s="182">
        <f>VLOOKUP($A56,[7]MVTAOUT22!$A$6:$AW$89,9,0)</f>
        <v>0</v>
      </c>
      <c r="L56" s="182">
        <f>VLOOKUP($A56,[7]MVTSEPT22!$A$6:$AX$89,9,0)</f>
        <v>0</v>
      </c>
      <c r="M56" s="182">
        <f>VLOOKUP($A56,[7]MVTOCT22!$A$6:$AX$89,9,0)</f>
        <v>0</v>
      </c>
      <c r="N56" s="182">
        <f>VLOOKUP($A56,[7]MVTNOV22!$A$6:$AW$89,9,0)</f>
        <v>0</v>
      </c>
      <c r="O56" s="182">
        <f>VLOOKUP($A56,[7]MVTDEC22!$A$6:$AX$89,9,0)</f>
        <v>0</v>
      </c>
      <c r="P56" s="273">
        <f t="shared" si="0"/>
        <v>0</v>
      </c>
    </row>
    <row r="57" spans="1:16">
      <c r="A57" s="165" t="s">
        <v>362</v>
      </c>
      <c r="B57" s="142">
        <v>53</v>
      </c>
      <c r="C57" s="181" t="str">
        <f>VLOOKUP($A57,[15]LISTADHERENT!$A$5:$M$101,3,0)</f>
        <v>SANGANG  Martin</v>
      </c>
      <c r="D57" s="182">
        <f>VLOOKUP($A57,[7]MVTJANV22!$A$6:$AX$89,9,0)</f>
        <v>0</v>
      </c>
      <c r="E57" s="182">
        <f>VLOOKUP($A57,[7]MVTFEV22!$A$6:$AX$89,9,0)</f>
        <v>0</v>
      </c>
      <c r="F57" s="182">
        <f>VLOOKUP($A57,[7]MVTMARS22!$A$6:$AX$89,9,0)</f>
        <v>0</v>
      </c>
      <c r="G57" s="182">
        <f>VLOOKUP($A57,[7]MVTAVRIL22!$A$6:$AX$89,9,0)</f>
        <v>0</v>
      </c>
      <c r="H57" s="182">
        <f>VLOOKUP($A57,[7]MVTMAI22!$A$6:$AX$89,9,0)</f>
        <v>0</v>
      </c>
      <c r="I57" s="182">
        <f>VLOOKUP($A57,[7]MVTJUIN22!$A$6:$AX$89,9,0)</f>
        <v>0</v>
      </c>
      <c r="J57" s="182">
        <f>VLOOKUP($A57,[7]MVTJUIL22!$A$6:$AX$89,9,0)</f>
        <v>0</v>
      </c>
      <c r="K57" s="182">
        <f>VLOOKUP($A57,[7]MVTAOUT22!$A$6:$AW$89,9,0)</f>
        <v>0</v>
      </c>
      <c r="L57" s="182">
        <f>VLOOKUP($A57,[7]MVTSEPT22!$A$6:$AX$89,9,0)</f>
        <v>0</v>
      </c>
      <c r="M57" s="182">
        <f>VLOOKUP($A57,[7]MVTOCT22!$A$6:$AX$89,9,0)</f>
        <v>0</v>
      </c>
      <c r="N57" s="182">
        <f>VLOOKUP($A57,[7]MVTNOV22!$A$6:$AW$89,9,0)</f>
        <v>0</v>
      </c>
      <c r="O57" s="182">
        <f>VLOOKUP($A57,[7]MVTDEC22!$A$6:$AX$89,9,0)</f>
        <v>0</v>
      </c>
      <c r="P57" s="273">
        <f t="shared" si="0"/>
        <v>0</v>
      </c>
    </row>
    <row r="58" spans="1:16">
      <c r="A58" s="165" t="s">
        <v>363</v>
      </c>
      <c r="B58" s="142">
        <v>54</v>
      </c>
      <c r="C58" s="181" t="str">
        <f>VLOOKUP($A58,[15]LISTADHERENT!$A$5:$M$101,3,0)</f>
        <v>SAPE MAURICE</v>
      </c>
      <c r="D58" s="182">
        <f>VLOOKUP($A58,[7]MVTJANV22!$A$6:$AX$89,9,0)</f>
        <v>0</v>
      </c>
      <c r="E58" s="182">
        <f>VLOOKUP($A58,[7]MVTFEV22!$A$6:$AX$89,9,0)</f>
        <v>0</v>
      </c>
      <c r="F58" s="182">
        <f>VLOOKUP($A58,[7]MVTMARS22!$A$6:$AX$89,9,0)</f>
        <v>1500</v>
      </c>
      <c r="G58" s="182">
        <f>VLOOKUP($A58,[7]MVTAVRIL22!$A$6:$AX$89,9,0)</f>
        <v>0</v>
      </c>
      <c r="H58" s="182">
        <f>VLOOKUP($A58,[7]MVTMAI22!$A$6:$AX$89,9,0)</f>
        <v>0</v>
      </c>
      <c r="I58" s="182">
        <f>VLOOKUP($A58,[7]MVTJUIN22!$A$6:$AX$89,9,0)</f>
        <v>0</v>
      </c>
      <c r="J58" s="182">
        <f>VLOOKUP($A58,[7]MVTJUIL22!$A$6:$AX$89,9,0)</f>
        <v>0</v>
      </c>
      <c r="K58" s="182">
        <f>VLOOKUP($A58,[7]MVTAOUT22!$A$6:$AW$89,9,0)</f>
        <v>0</v>
      </c>
      <c r="L58" s="182">
        <f>VLOOKUP($A58,[7]MVTSEPT22!$A$6:$AX$89,9,0)</f>
        <v>0</v>
      </c>
      <c r="M58" s="182">
        <f>VLOOKUP($A58,[7]MVTOCT22!$A$6:$AX$89,9,0)</f>
        <v>0</v>
      </c>
      <c r="N58" s="182">
        <f>VLOOKUP($A58,[7]MVTNOV22!$A$6:$AW$89,9,0)</f>
        <v>0</v>
      </c>
      <c r="O58" s="182">
        <f>VLOOKUP($A58,[7]MVTDEC22!$A$6:$AX$89,9,0)</f>
        <v>0</v>
      </c>
      <c r="P58" s="273">
        <f t="shared" si="0"/>
        <v>1500</v>
      </c>
    </row>
    <row r="59" spans="1:16">
      <c r="A59" s="165" t="s">
        <v>364</v>
      </c>
      <c r="B59" s="142">
        <v>55</v>
      </c>
      <c r="C59" s="181" t="str">
        <f>VLOOKUP($A59,[15]LISTADHERENT!$A$5:$M$101,3,0)</f>
        <v>SINDJOU NGUEMEN GRACE</v>
      </c>
      <c r="D59" s="182">
        <f>VLOOKUP($A59,[7]MVTJANV22!$A$6:$AX$89,9,0)</f>
        <v>0</v>
      </c>
      <c r="E59" s="182">
        <f>VLOOKUP($A59,[7]MVTFEV22!$A$6:$AX$89,9,0)</f>
        <v>0</v>
      </c>
      <c r="F59" s="182">
        <f>VLOOKUP($A59,[7]MVTMARS22!$A$6:$AX$89,9,0)</f>
        <v>0</v>
      </c>
      <c r="G59" s="182">
        <f>VLOOKUP($A59,[7]MVTAVRIL22!$A$6:$AX$89,9,0)</f>
        <v>0</v>
      </c>
      <c r="H59" s="182">
        <f>VLOOKUP($A59,[7]MVTMAI22!$A$6:$AX$89,9,0)</f>
        <v>0</v>
      </c>
      <c r="I59" s="182">
        <f>VLOOKUP($A59,[7]MVTJUIN22!$A$6:$AX$89,9,0)</f>
        <v>0</v>
      </c>
      <c r="J59" s="182">
        <f>VLOOKUP($A59,[7]MVTJUIL22!$A$6:$AX$89,9,0)</f>
        <v>0</v>
      </c>
      <c r="K59" s="182">
        <f>VLOOKUP($A59,[7]MVTAOUT22!$A$6:$AW$89,9,0)</f>
        <v>0</v>
      </c>
      <c r="L59" s="182">
        <f>VLOOKUP($A59,[7]MVTSEPT22!$A$6:$AX$89,9,0)</f>
        <v>0</v>
      </c>
      <c r="M59" s="182">
        <f>VLOOKUP($A59,[7]MVTOCT22!$A$6:$AX$89,9,0)</f>
        <v>0</v>
      </c>
      <c r="N59" s="182">
        <f>VLOOKUP($A59,[7]MVTNOV22!$A$6:$AW$89,9,0)</f>
        <v>0</v>
      </c>
      <c r="O59" s="182">
        <f>VLOOKUP($A59,[7]MVTDEC22!$A$6:$AX$89,9,0)</f>
        <v>0</v>
      </c>
      <c r="P59" s="273">
        <f t="shared" si="0"/>
        <v>0</v>
      </c>
    </row>
    <row r="60" spans="1:16">
      <c r="A60" s="165" t="s">
        <v>322</v>
      </c>
      <c r="B60" s="142">
        <v>56</v>
      </c>
      <c r="C60" s="181" t="str">
        <f>VLOOKUP($A60,[15]LISTADHERENT!$A$5:$M$101,3,0)</f>
        <v>SOH HENRI</v>
      </c>
      <c r="D60" s="182">
        <f>VLOOKUP($A60,[7]MVTJANV22!$A$6:$AX$89,9,0)</f>
        <v>0</v>
      </c>
      <c r="E60" s="182">
        <f>VLOOKUP($A60,[7]MVTFEV22!$A$6:$AX$89,9,0)</f>
        <v>0</v>
      </c>
      <c r="F60" s="182">
        <f>VLOOKUP($A60,[7]MVTMARS22!$A$6:$AX$89,9,0)</f>
        <v>0</v>
      </c>
      <c r="G60" s="182">
        <f>VLOOKUP($A60,[7]MVTAVRIL22!$A$6:$AX$89,9,0)</f>
        <v>0</v>
      </c>
      <c r="H60" s="182">
        <f>VLOOKUP($A60,[7]MVTMAI22!$A$6:$AX$89,9,0)</f>
        <v>0</v>
      </c>
      <c r="I60" s="182">
        <f>VLOOKUP($A60,[7]MVTJUIN22!$A$6:$AX$89,9,0)</f>
        <v>0</v>
      </c>
      <c r="J60" s="182">
        <f>VLOOKUP($A60,[7]MVTJUIL22!$A$6:$AX$89,9,0)</f>
        <v>0</v>
      </c>
      <c r="K60" s="182">
        <f>VLOOKUP($A60,[7]MVTAOUT22!$A$6:$AW$89,9,0)</f>
        <v>0</v>
      </c>
      <c r="L60" s="182">
        <f>VLOOKUP($A60,[7]MVTSEPT22!$A$6:$AX$89,9,0)</f>
        <v>0</v>
      </c>
      <c r="M60" s="182">
        <f>VLOOKUP($A60,[7]MVTOCT22!$A$6:$AX$89,9,0)</f>
        <v>0</v>
      </c>
      <c r="N60" s="182">
        <f>VLOOKUP($A60,[7]MVTNOV22!$A$6:$AW$89,9,0)</f>
        <v>0</v>
      </c>
      <c r="O60" s="182">
        <f>VLOOKUP($A60,[7]MVTDEC22!$A$6:$AX$89,9,0)</f>
        <v>0</v>
      </c>
      <c r="P60" s="273">
        <f t="shared" si="0"/>
        <v>0</v>
      </c>
    </row>
    <row r="61" spans="1:16">
      <c r="A61" s="165" t="s">
        <v>323</v>
      </c>
      <c r="B61" s="142">
        <v>57</v>
      </c>
      <c r="C61" s="181" t="str">
        <f>VLOOKUP($A61,[15]LISTADHERENT!$A$5:$M$101,3,0)</f>
        <v>SOKAMTE Fidel</v>
      </c>
      <c r="D61" s="182">
        <f>VLOOKUP($A61,[7]MVTJANV22!$A$6:$AX$89,9,0)</f>
        <v>0</v>
      </c>
      <c r="E61" s="182">
        <f>VLOOKUP($A61,[7]MVTFEV22!$A$6:$AX$89,9,0)</f>
        <v>0</v>
      </c>
      <c r="F61" s="182">
        <f>VLOOKUP($A61,[7]MVTMARS22!$A$6:$AX$89,9,0)</f>
        <v>0</v>
      </c>
      <c r="G61" s="182">
        <f>VLOOKUP($A61,[7]MVTAVRIL22!$A$6:$AX$89,9,0)</f>
        <v>0</v>
      </c>
      <c r="H61" s="182">
        <f>VLOOKUP($A61,[7]MVTMAI22!$A$6:$AX$89,9,0)</f>
        <v>0</v>
      </c>
      <c r="I61" s="182">
        <f>VLOOKUP($A61,[7]MVTJUIN22!$A$6:$AX$89,9,0)</f>
        <v>0</v>
      </c>
      <c r="J61" s="182">
        <f>VLOOKUP($A61,[7]MVTJUIL22!$A$6:$AX$89,9,0)</f>
        <v>0</v>
      </c>
      <c r="K61" s="182">
        <f>VLOOKUP($A61,[7]MVTAOUT22!$A$6:$AW$89,9,0)</f>
        <v>0</v>
      </c>
      <c r="L61" s="182">
        <f>VLOOKUP($A61,[7]MVTSEPT22!$A$6:$AX$89,9,0)</f>
        <v>0</v>
      </c>
      <c r="M61" s="182">
        <f>VLOOKUP($A61,[7]MVTOCT22!$A$6:$AX$89,9,0)</f>
        <v>0</v>
      </c>
      <c r="N61" s="182">
        <f>VLOOKUP($A61,[7]MVTNOV22!$A$6:$AW$89,9,0)</f>
        <v>0</v>
      </c>
      <c r="O61" s="182">
        <f>VLOOKUP($A61,[7]MVTDEC22!$A$6:$AX$89,9,0)</f>
        <v>0</v>
      </c>
      <c r="P61" s="273">
        <f t="shared" si="0"/>
        <v>0</v>
      </c>
    </row>
    <row r="62" spans="1:16">
      <c r="A62" s="165" t="s">
        <v>324</v>
      </c>
      <c r="B62" s="142">
        <v>58</v>
      </c>
      <c r="C62" s="181" t="str">
        <f>VLOOKUP($A62,[15]LISTADHERENT!$A$5:$M$101,3,0)</f>
        <v>TAKOUGOUM  JEAN CLAUDE</v>
      </c>
      <c r="D62" s="182">
        <f>VLOOKUP($A62,[7]MVTJANV22!$A$6:$AX$89,9,0)</f>
        <v>0</v>
      </c>
      <c r="E62" s="182">
        <f>VLOOKUP($A62,[7]MVTFEV22!$A$6:$AX$89,9,0)</f>
        <v>0</v>
      </c>
      <c r="F62" s="182">
        <f>VLOOKUP($A62,[7]MVTMARS22!$A$6:$AX$89,9,0)</f>
        <v>0</v>
      </c>
      <c r="G62" s="182">
        <f>VLOOKUP($A62,[7]MVTAVRIL22!$A$6:$AX$89,9,0)</f>
        <v>0</v>
      </c>
      <c r="H62" s="182">
        <f>VLOOKUP($A62,[7]MVTMAI22!$A$6:$AX$89,9,0)</f>
        <v>0</v>
      </c>
      <c r="I62" s="182">
        <f>VLOOKUP($A62,[7]MVTJUIN22!$A$6:$AX$89,9,0)</f>
        <v>0</v>
      </c>
      <c r="J62" s="182">
        <f>VLOOKUP($A62,[7]MVTJUIL22!$A$6:$AX$89,9,0)</f>
        <v>0</v>
      </c>
      <c r="K62" s="182">
        <f>VLOOKUP($A62,[7]MVTAOUT22!$A$6:$AW$89,9,0)</f>
        <v>0</v>
      </c>
      <c r="L62" s="182">
        <f>VLOOKUP($A62,[7]MVTSEPT22!$A$6:$AX$89,9,0)</f>
        <v>0</v>
      </c>
      <c r="M62" s="182">
        <f>VLOOKUP($A62,[7]MVTOCT22!$A$6:$AX$89,9,0)</f>
        <v>0</v>
      </c>
      <c r="N62" s="182">
        <f>VLOOKUP($A62,[7]MVTNOV22!$A$6:$AW$89,9,0)</f>
        <v>0</v>
      </c>
      <c r="O62" s="182">
        <f>VLOOKUP($A62,[7]MVTDEC22!$A$6:$AX$89,9,0)</f>
        <v>0</v>
      </c>
      <c r="P62" s="273">
        <f t="shared" si="0"/>
        <v>0</v>
      </c>
    </row>
    <row r="63" spans="1:16">
      <c r="A63" s="165" t="s">
        <v>325</v>
      </c>
      <c r="B63" s="142">
        <v>59</v>
      </c>
      <c r="C63" s="181" t="str">
        <f>VLOOKUP($A63,[15]LISTADHERENT!$A$5:$M$101,3,0)</f>
        <v>TATUE FOPA Jean</v>
      </c>
      <c r="D63" s="182">
        <f>VLOOKUP($A63,[7]MVTJANV22!$A$6:$AX$89,9,0)</f>
        <v>0</v>
      </c>
      <c r="E63" s="182">
        <f>VLOOKUP($A63,[7]MVTFEV22!$A$6:$AX$89,9,0)</f>
        <v>0</v>
      </c>
      <c r="F63" s="182">
        <f>VLOOKUP($A63,[7]MVTMARS22!$A$6:$AX$89,9,0)</f>
        <v>0</v>
      </c>
      <c r="G63" s="182">
        <f>VLOOKUP($A63,[7]MVTAVRIL22!$A$6:$AX$89,9,0)</f>
        <v>0</v>
      </c>
      <c r="H63" s="182">
        <f>VLOOKUP($A63,[7]MVTMAI22!$A$6:$AX$89,9,0)</f>
        <v>0</v>
      </c>
      <c r="I63" s="182">
        <f>VLOOKUP($A63,[7]MVTJUIN22!$A$6:$AX$89,9,0)</f>
        <v>0</v>
      </c>
      <c r="J63" s="182">
        <f>VLOOKUP($A63,[7]MVTJUIL22!$A$6:$AX$89,9,0)</f>
        <v>0</v>
      </c>
      <c r="K63" s="182">
        <f>VLOOKUP($A63,[7]MVTAOUT22!$A$6:$AW$89,9,0)</f>
        <v>0</v>
      </c>
      <c r="L63" s="182">
        <f>VLOOKUP($A63,[7]MVTSEPT22!$A$6:$AX$89,9,0)</f>
        <v>0</v>
      </c>
      <c r="M63" s="182">
        <f>VLOOKUP($A63,[7]MVTOCT22!$A$6:$AX$89,9,0)</f>
        <v>0</v>
      </c>
      <c r="N63" s="182">
        <f>VLOOKUP($A63,[7]MVTNOV22!$A$6:$AW$89,9,0)</f>
        <v>0</v>
      </c>
      <c r="O63" s="182">
        <f>VLOOKUP($A63,[7]MVTDEC22!$A$6:$AX$89,9,0)</f>
        <v>0</v>
      </c>
      <c r="P63" s="273">
        <f t="shared" si="0"/>
        <v>0</v>
      </c>
    </row>
    <row r="64" spans="1:16">
      <c r="A64" s="165" t="s">
        <v>348</v>
      </c>
      <c r="B64" s="142">
        <v>60</v>
      </c>
      <c r="C64" s="181" t="str">
        <f>VLOOKUP($A64,[15]LISTADHERENT!$A$5:$M$101,3,0)</f>
        <v>TCHAMO BERNARD</v>
      </c>
      <c r="D64" s="182">
        <f>VLOOKUP($A64,[7]MVTJANV22!$A$6:$AX$89,9,0)</f>
        <v>0</v>
      </c>
      <c r="E64" s="182">
        <f>VLOOKUP($A64,[7]MVTFEV22!$A$6:$AX$89,9,0)</f>
        <v>0</v>
      </c>
      <c r="F64" s="182">
        <f>VLOOKUP($A64,[7]MVTMARS22!$A$6:$AX$89,9,0)</f>
        <v>0</v>
      </c>
      <c r="G64" s="182">
        <f>VLOOKUP($A64,[7]MVTAVRIL22!$A$6:$AX$89,9,0)</f>
        <v>0</v>
      </c>
      <c r="H64" s="182">
        <f>VLOOKUP($A64,[7]MVTMAI22!$A$6:$AX$89,9,0)</f>
        <v>0</v>
      </c>
      <c r="I64" s="182">
        <f>VLOOKUP($A64,[7]MVTJUIN22!$A$6:$AX$89,9,0)</f>
        <v>0</v>
      </c>
      <c r="J64" s="182">
        <f>VLOOKUP($A64,[7]MVTJUIL22!$A$6:$AX$89,9,0)</f>
        <v>0</v>
      </c>
      <c r="K64" s="182">
        <f>VLOOKUP($A64,[7]MVTAOUT22!$A$6:$AW$89,9,0)</f>
        <v>30000</v>
      </c>
      <c r="L64" s="182">
        <f>VLOOKUP($A64,[7]MVTSEPT22!$A$6:$AX$89,9,0)</f>
        <v>0</v>
      </c>
      <c r="M64" s="182">
        <f>VLOOKUP($A64,[7]MVTOCT22!$A$6:$AX$89,9,0)</f>
        <v>0</v>
      </c>
      <c r="N64" s="182">
        <f>VLOOKUP($A64,[7]MVTNOV22!$A$6:$AW$89,9,0)</f>
        <v>0</v>
      </c>
      <c r="O64" s="182">
        <f>VLOOKUP($A64,[7]MVTDEC22!$A$6:$AX$89,9,0)</f>
        <v>0</v>
      </c>
      <c r="P64" s="273">
        <f t="shared" si="0"/>
        <v>30000</v>
      </c>
    </row>
    <row r="65" spans="1:16">
      <c r="A65" s="165" t="s">
        <v>326</v>
      </c>
      <c r="B65" s="142">
        <v>61</v>
      </c>
      <c r="C65" s="181" t="str">
        <f>VLOOKUP($A65,[15]LISTADHERENT!$A$5:$M$101,3,0)</f>
        <v>TCHANANG SYLVAIN</v>
      </c>
      <c r="D65" s="182">
        <f>VLOOKUP($A65,[7]MVTJANV22!$A$6:$AX$89,9,0)</f>
        <v>0</v>
      </c>
      <c r="E65" s="182">
        <f>VLOOKUP($A65,[7]MVTFEV22!$A$6:$AX$89,9,0)</f>
        <v>0</v>
      </c>
      <c r="F65" s="182">
        <f>VLOOKUP($A65,[7]MVTMARS22!$A$6:$AX$89,9,0)</f>
        <v>0</v>
      </c>
      <c r="G65" s="182">
        <f>VLOOKUP($A65,[7]MVTAVRIL22!$A$6:$AX$89,9,0)</f>
        <v>0</v>
      </c>
      <c r="H65" s="182">
        <f>VLOOKUP($A65,[7]MVTMAI22!$A$6:$AX$89,9,0)</f>
        <v>0</v>
      </c>
      <c r="I65" s="182">
        <f>VLOOKUP($A65,[7]MVTJUIN22!$A$6:$AX$89,9,0)</f>
        <v>0</v>
      </c>
      <c r="J65" s="182">
        <f>VLOOKUP($A65,[7]MVTJUIL22!$A$6:$AX$89,9,0)</f>
        <v>0</v>
      </c>
      <c r="K65" s="182">
        <f>VLOOKUP($A65,[7]MVTAOUT22!$A$6:$AW$89,9,0)</f>
        <v>0</v>
      </c>
      <c r="L65" s="182">
        <f>VLOOKUP($A65,[7]MVTSEPT22!$A$6:$AX$89,9,0)</f>
        <v>0</v>
      </c>
      <c r="M65" s="182">
        <f>VLOOKUP($A65,[7]MVTOCT22!$A$6:$AX$89,9,0)</f>
        <v>0</v>
      </c>
      <c r="N65" s="182">
        <f>VLOOKUP($A65,[7]MVTNOV22!$A$6:$AW$89,9,0)</f>
        <v>0</v>
      </c>
      <c r="O65" s="182">
        <f>VLOOKUP($A65,[7]MVTDEC22!$A$6:$AX$89,9,0)</f>
        <v>0</v>
      </c>
      <c r="P65" s="273">
        <f t="shared" si="0"/>
        <v>0</v>
      </c>
    </row>
    <row r="66" spans="1:16">
      <c r="A66" s="165" t="s">
        <v>327</v>
      </c>
      <c r="B66" s="142">
        <v>62</v>
      </c>
      <c r="C66" s="181" t="str">
        <f>VLOOKUP($A66,[15]LISTADHERENT!$A$5:$M$101,3,0)</f>
        <v>TCHAPTCHET DESIREE</v>
      </c>
      <c r="D66" s="182">
        <f>VLOOKUP($A66,[7]MVTJANV22!$A$6:$AX$89,9,0)</f>
        <v>0</v>
      </c>
      <c r="E66" s="182">
        <f>VLOOKUP($A66,[7]MVTFEV22!$A$6:$AX$89,9,0)</f>
        <v>0</v>
      </c>
      <c r="F66" s="182">
        <f>VLOOKUP($A66,[7]MVTMARS22!$A$6:$AX$89,9,0)</f>
        <v>0</v>
      </c>
      <c r="G66" s="182">
        <f>VLOOKUP($A66,[7]MVTAVRIL22!$A$6:$AX$89,9,0)</f>
        <v>0</v>
      </c>
      <c r="H66" s="182">
        <f>VLOOKUP($A66,[7]MVTMAI22!$A$6:$AX$89,9,0)</f>
        <v>0</v>
      </c>
      <c r="I66" s="182">
        <f>VLOOKUP($A66,[7]MVTJUIN22!$A$6:$AX$89,9,0)</f>
        <v>0</v>
      </c>
      <c r="J66" s="182">
        <f>VLOOKUP($A66,[7]MVTJUIL22!$A$6:$AX$89,9,0)</f>
        <v>0</v>
      </c>
      <c r="K66" s="182">
        <f>VLOOKUP($A66,[7]MVTAOUT22!$A$6:$AW$89,9,0)</f>
        <v>0</v>
      </c>
      <c r="L66" s="182">
        <f>VLOOKUP($A66,[7]MVTSEPT22!$A$6:$AX$89,9,0)</f>
        <v>0</v>
      </c>
      <c r="M66" s="182">
        <f>VLOOKUP($A66,[7]MVTOCT22!$A$6:$AX$89,9,0)</f>
        <v>0</v>
      </c>
      <c r="N66" s="182">
        <f>VLOOKUP($A66,[7]MVTNOV22!$A$6:$AW$89,9,0)</f>
        <v>0</v>
      </c>
      <c r="O66" s="182">
        <f>VLOOKUP($A66,[7]MVTDEC22!$A$6:$AX$89,9,0)</f>
        <v>0</v>
      </c>
      <c r="P66" s="273">
        <f t="shared" si="0"/>
        <v>0</v>
      </c>
    </row>
    <row r="67" spans="1:16">
      <c r="A67" s="165" t="s">
        <v>328</v>
      </c>
      <c r="B67" s="142">
        <v>63</v>
      </c>
      <c r="C67" s="181" t="str">
        <f>VLOOKUP($A67,[15]LISTADHERENT!$A$5:$M$101,3,0)</f>
        <v>TCHI  ROBERT</v>
      </c>
      <c r="D67" s="182">
        <f>VLOOKUP($A67,[7]MVTJANV22!$A$6:$AX$89,9,0)</f>
        <v>0</v>
      </c>
      <c r="E67" s="182">
        <f>VLOOKUP($A67,[7]MVTFEV22!$A$6:$AX$89,9,0)</f>
        <v>0</v>
      </c>
      <c r="F67" s="182">
        <f>VLOOKUP($A67,[7]MVTMARS22!$A$6:$AX$89,9,0)</f>
        <v>24000</v>
      </c>
      <c r="G67" s="182">
        <f>VLOOKUP($A67,[7]MVTAVRIL22!$A$6:$AX$89,9,0)</f>
        <v>0</v>
      </c>
      <c r="H67" s="182">
        <f>VLOOKUP($A67,[7]MVTMAI22!$A$6:$AX$89,9,0)</f>
        <v>0</v>
      </c>
      <c r="I67" s="182">
        <f>VLOOKUP($A67,[7]MVTJUIN22!$A$6:$AX$89,9,0)</f>
        <v>0</v>
      </c>
      <c r="J67" s="182">
        <f>VLOOKUP($A67,[7]MVTJUIL22!$A$6:$AX$89,9,0)</f>
        <v>0</v>
      </c>
      <c r="K67" s="182">
        <f>VLOOKUP($A67,[7]MVTAOUT22!$A$6:$AW$89,9,0)</f>
        <v>0</v>
      </c>
      <c r="L67" s="182">
        <f>VLOOKUP($A67,[7]MVTSEPT22!$A$6:$AX$89,9,0)</f>
        <v>0</v>
      </c>
      <c r="M67" s="182">
        <f>VLOOKUP($A67,[7]MVTOCT22!$A$6:$AX$89,9,0)</f>
        <v>0</v>
      </c>
      <c r="N67" s="182">
        <f>VLOOKUP($A67,[7]MVTNOV22!$A$6:$AW$89,9,0)</f>
        <v>0</v>
      </c>
      <c r="O67" s="182">
        <f>VLOOKUP($A67,[7]MVTDEC22!$A$6:$AX$89,9,0)</f>
        <v>0</v>
      </c>
      <c r="P67" s="273">
        <f t="shared" si="0"/>
        <v>24000</v>
      </c>
    </row>
    <row r="68" spans="1:16">
      <c r="A68" s="165" t="s">
        <v>329</v>
      </c>
      <c r="B68" s="142">
        <v>64</v>
      </c>
      <c r="C68" s="181" t="str">
        <f>VLOOKUP($A68,[15]LISTADHERENT!$A$5:$M$101,3,0)</f>
        <v>TCHIO André</v>
      </c>
      <c r="D68" s="182">
        <f>VLOOKUP($A68,[7]MVTJANV22!$A$6:$AX$89,9,0)</f>
        <v>0</v>
      </c>
      <c r="E68" s="182">
        <f>VLOOKUP($A68,[7]MVTFEV22!$A$6:$AX$89,9,0)</f>
        <v>0</v>
      </c>
      <c r="F68" s="182">
        <f>VLOOKUP($A68,[7]MVTMARS22!$A$6:$AX$89,9,0)</f>
        <v>0</v>
      </c>
      <c r="G68" s="182">
        <f>VLOOKUP($A68,[7]MVTAVRIL22!$A$6:$AX$89,9,0)</f>
        <v>0</v>
      </c>
      <c r="H68" s="182">
        <f>VLOOKUP($A68,[7]MVTMAI22!$A$6:$AX$89,9,0)</f>
        <v>0</v>
      </c>
      <c r="I68" s="182">
        <f>VLOOKUP($A68,[7]MVTJUIN22!$A$6:$AX$89,9,0)</f>
        <v>0</v>
      </c>
      <c r="J68" s="182">
        <f>VLOOKUP($A68,[7]MVTJUIL22!$A$6:$AX$89,9,0)</f>
        <v>0</v>
      </c>
      <c r="K68" s="182">
        <f>VLOOKUP($A68,[7]MVTAOUT22!$A$6:$AW$89,9,0)</f>
        <v>0</v>
      </c>
      <c r="L68" s="182">
        <f>VLOOKUP($A68,[7]MVTSEPT22!$A$6:$AX$89,9,0)</f>
        <v>0</v>
      </c>
      <c r="M68" s="182">
        <f>VLOOKUP($A68,[7]MVTOCT22!$A$6:$AX$89,9,0)</f>
        <v>0</v>
      </c>
      <c r="N68" s="182">
        <f>VLOOKUP($A68,[7]MVTNOV22!$A$6:$AW$89,9,0)</f>
        <v>0</v>
      </c>
      <c r="O68" s="182">
        <f>VLOOKUP($A68,[7]MVTDEC22!$A$6:$AX$89,9,0)</f>
        <v>0</v>
      </c>
      <c r="P68" s="273">
        <f t="shared" si="0"/>
        <v>0</v>
      </c>
    </row>
    <row r="69" spans="1:16">
      <c r="A69" s="167" t="s">
        <v>365</v>
      </c>
      <c r="B69" s="142">
        <v>65</v>
      </c>
      <c r="C69" s="181" t="str">
        <f>VLOOKUP($A69,[15]LISTADHERENT!$A$5:$M$101,3,0)</f>
        <v xml:space="preserve">TCHOUADEU  Christophe </v>
      </c>
      <c r="D69" s="182">
        <f>VLOOKUP($A69,[7]MVTJANV22!$A$6:$AX$89,9,0)</f>
        <v>0</v>
      </c>
      <c r="E69" s="182">
        <f>VLOOKUP($A69,[7]MVTFEV22!$A$6:$AX$89,9,0)</f>
        <v>0</v>
      </c>
      <c r="F69" s="182">
        <f>VLOOKUP($A69,[7]MVTMARS22!$A$6:$AX$89,9,0)</f>
        <v>0</v>
      </c>
      <c r="G69" s="182">
        <f>VLOOKUP($A69,[7]MVTAVRIL22!$A$6:$AX$89,9,0)</f>
        <v>0</v>
      </c>
      <c r="H69" s="182">
        <f>VLOOKUP($A69,[7]MVTMAI22!$A$6:$AX$89,9,0)</f>
        <v>0</v>
      </c>
      <c r="I69" s="182">
        <f>VLOOKUP($A69,[7]MVTJUIN22!$A$6:$AX$89,9,0)</f>
        <v>0</v>
      </c>
      <c r="J69" s="182">
        <f>VLOOKUP($A69,[7]MVTJUIL22!$A$6:$AX$89,9,0)</f>
        <v>0</v>
      </c>
      <c r="K69" s="182">
        <f>VLOOKUP($A69,[7]MVTAOUT22!$A$6:$AW$89,9,0)</f>
        <v>0</v>
      </c>
      <c r="L69" s="182">
        <f>VLOOKUP($A69,[7]MVTSEPT22!$A$6:$AX$89,9,0)</f>
        <v>0</v>
      </c>
      <c r="M69" s="182">
        <f>VLOOKUP($A69,[7]MVTOCT22!$A$6:$AX$89,9,0)</f>
        <v>0</v>
      </c>
      <c r="N69" s="182">
        <f>VLOOKUP($A69,[7]MVTNOV22!$A$6:$AW$89,9,0)</f>
        <v>0</v>
      </c>
      <c r="O69" s="182">
        <f>VLOOKUP($A69,[7]MVTDEC22!$A$6:$AX$89,9,0)</f>
        <v>0</v>
      </c>
      <c r="P69" s="273">
        <f t="shared" si="0"/>
        <v>0</v>
      </c>
    </row>
    <row r="70" spans="1:16">
      <c r="A70" s="165" t="s">
        <v>330</v>
      </c>
      <c r="B70" s="142">
        <v>66</v>
      </c>
      <c r="C70" s="181" t="str">
        <f>VLOOKUP($A70,[15]LISTADHERENT!$A$5:$M$101,3,0)</f>
        <v xml:space="preserve">TCHOUTIO Léopold </v>
      </c>
      <c r="D70" s="182">
        <f>VLOOKUP($A70,[7]MVTJANV22!$A$6:$AX$89,9,0)</f>
        <v>0</v>
      </c>
      <c r="E70" s="182">
        <f>VLOOKUP($A70,[7]MVTFEV22!$A$6:$AX$89,9,0)</f>
        <v>0</v>
      </c>
      <c r="F70" s="182">
        <f>VLOOKUP($A70,[7]MVTMARS22!$A$6:$AX$89,9,0)</f>
        <v>0</v>
      </c>
      <c r="G70" s="182">
        <f>VLOOKUP($A70,[7]MVTAVRIL22!$A$6:$AX$89,9,0)</f>
        <v>0</v>
      </c>
      <c r="H70" s="182">
        <f>VLOOKUP($A70,[7]MVTMAI22!$A$6:$AX$89,9,0)</f>
        <v>0</v>
      </c>
      <c r="I70" s="182">
        <f>VLOOKUP($A70,[7]MVTJUIN22!$A$6:$AX$89,9,0)</f>
        <v>0</v>
      </c>
      <c r="J70" s="182">
        <f>VLOOKUP($A70,[7]MVTJUIL22!$A$6:$AX$89,9,0)</f>
        <v>0</v>
      </c>
      <c r="K70" s="182">
        <f>VLOOKUP($A70,[7]MVTAOUT22!$A$6:$AW$89,9,0)</f>
        <v>0</v>
      </c>
      <c r="L70" s="182">
        <f>VLOOKUP($A70,[7]MVTSEPT22!$A$6:$AX$89,9,0)</f>
        <v>0</v>
      </c>
      <c r="M70" s="182">
        <f>VLOOKUP($A70,[7]MVTOCT22!$A$6:$AX$89,9,0)</f>
        <v>0</v>
      </c>
      <c r="N70" s="182">
        <f>VLOOKUP($A70,[7]MVTNOV22!$A$6:$AW$89,9,0)</f>
        <v>0</v>
      </c>
      <c r="O70" s="182">
        <f>VLOOKUP($A70,[7]MVTDEC22!$A$6:$AX$89,9,0)</f>
        <v>41347</v>
      </c>
      <c r="P70" s="273">
        <f t="shared" ref="P70:P88" si="1">SUM(D70:O70)</f>
        <v>41347</v>
      </c>
    </row>
    <row r="71" spans="1:16">
      <c r="A71" s="165" t="s">
        <v>331</v>
      </c>
      <c r="B71" s="142">
        <v>67</v>
      </c>
      <c r="C71" s="181" t="str">
        <f>VLOOKUP($A71,[15]LISTADHERENT!$A$5:$M$101,3,0)</f>
        <v xml:space="preserve">TCHUENTE Ingrid </v>
      </c>
      <c r="D71" s="182">
        <f>VLOOKUP($A71,[7]MVTJANV22!$A$6:$AX$89,9,0)</f>
        <v>0</v>
      </c>
      <c r="E71" s="182">
        <f>VLOOKUP($A71,[7]MVTFEV22!$A$6:$AX$89,9,0)</f>
        <v>0</v>
      </c>
      <c r="F71" s="182">
        <f>VLOOKUP($A71,[7]MVTMARS22!$A$6:$AX$89,9,0)</f>
        <v>0</v>
      </c>
      <c r="G71" s="182">
        <f>VLOOKUP($A71,[7]MVTAVRIL22!$A$6:$AX$89,9,0)</f>
        <v>24000</v>
      </c>
      <c r="H71" s="182">
        <f>VLOOKUP($A71,[7]MVTMAI22!$A$6:$AX$89,9,0)</f>
        <v>0</v>
      </c>
      <c r="I71" s="182">
        <f>VLOOKUP($A71,[7]MVTJUIN22!$A$6:$AX$89,9,0)</f>
        <v>0</v>
      </c>
      <c r="J71" s="182">
        <f>VLOOKUP($A71,[7]MVTJUIL22!$A$6:$AX$89,9,0)</f>
        <v>0</v>
      </c>
      <c r="K71" s="182">
        <f>VLOOKUP($A71,[7]MVTAOUT22!$A$6:$AW$89,9,0)</f>
        <v>0</v>
      </c>
      <c r="L71" s="182">
        <f>VLOOKUP($A71,[7]MVTSEPT22!$A$6:$AX$89,9,0)</f>
        <v>0</v>
      </c>
      <c r="M71" s="182">
        <f>VLOOKUP($A71,[7]MVTOCT22!$A$6:$AX$89,9,0)</f>
        <v>0</v>
      </c>
      <c r="N71" s="182">
        <f>VLOOKUP($A71,[7]MVTNOV22!$A$6:$AW$89,9,0)</f>
        <v>0</v>
      </c>
      <c r="O71" s="182">
        <f>VLOOKUP($A71,[7]MVTDEC22!$A$6:$AX$89,9,0)</f>
        <v>0</v>
      </c>
      <c r="P71" s="273">
        <f t="shared" si="1"/>
        <v>24000</v>
      </c>
    </row>
    <row r="72" spans="1:16">
      <c r="A72" s="165" t="s">
        <v>332</v>
      </c>
      <c r="B72" s="142">
        <v>68</v>
      </c>
      <c r="C72" s="181" t="str">
        <f>VLOOKUP($A72,[15]LISTADHERENT!$A$5:$M$101,3,0)</f>
        <v xml:space="preserve">TCHUENTE Léopold </v>
      </c>
      <c r="D72" s="182">
        <f>VLOOKUP($A72,[7]MVTJANV22!$A$6:$AX$89,9,0)</f>
        <v>0</v>
      </c>
      <c r="E72" s="182">
        <f>VLOOKUP($A72,[7]MVTFEV22!$A$6:$AX$89,9,0)</f>
        <v>0</v>
      </c>
      <c r="F72" s="182">
        <f>VLOOKUP($A72,[7]MVTMARS22!$A$6:$AX$89,9,0)</f>
        <v>0</v>
      </c>
      <c r="G72" s="182">
        <f>VLOOKUP($A72,[7]MVTAVRIL22!$A$6:$AX$89,9,0)</f>
        <v>0</v>
      </c>
      <c r="H72" s="182">
        <f>VLOOKUP($A72,[7]MVTMAI22!$A$6:$AX$89,9,0)</f>
        <v>0</v>
      </c>
      <c r="I72" s="182">
        <f>VLOOKUP($A72,[7]MVTJUIN22!$A$6:$AX$89,9,0)</f>
        <v>0</v>
      </c>
      <c r="J72" s="182">
        <f>VLOOKUP($A72,[7]MVTJUIL22!$A$6:$AX$89,9,0)</f>
        <v>0</v>
      </c>
      <c r="K72" s="182">
        <f>VLOOKUP($A72,[7]MVTAOUT22!$A$6:$AW$89,9,0)</f>
        <v>0</v>
      </c>
      <c r="L72" s="182">
        <f>VLOOKUP($A72,[7]MVTSEPT22!$A$6:$AX$89,9,0)</f>
        <v>0</v>
      </c>
      <c r="M72" s="182">
        <f>VLOOKUP($A72,[7]MVTOCT22!$A$6:$AX$89,9,0)</f>
        <v>0</v>
      </c>
      <c r="N72" s="182">
        <f>VLOOKUP($A72,[7]MVTNOV22!$A$6:$AW$89,9,0)</f>
        <v>0</v>
      </c>
      <c r="O72" s="182">
        <f>VLOOKUP($A72,[7]MVTDEC22!$A$6:$AX$89,9,0)</f>
        <v>0</v>
      </c>
      <c r="P72" s="273">
        <f t="shared" si="1"/>
        <v>0</v>
      </c>
    </row>
    <row r="73" spans="1:16">
      <c r="A73" s="165" t="s">
        <v>333</v>
      </c>
      <c r="B73" s="142">
        <v>69</v>
      </c>
      <c r="C73" s="181" t="str">
        <f>VLOOKUP($A73,[15]LISTADHERENT!$A$5:$M$101,3,0)</f>
        <v>TCHUENTE Philotée</v>
      </c>
      <c r="D73" s="182">
        <f>VLOOKUP($A73,[7]MVTJANV22!$A$6:$AX$89,9,0)</f>
        <v>0</v>
      </c>
      <c r="E73" s="182">
        <f>VLOOKUP($A73,[7]MVTFEV22!$A$6:$AX$89,9,0)</f>
        <v>0</v>
      </c>
      <c r="F73" s="182">
        <f>VLOOKUP($A73,[7]MVTMARS22!$A$6:$AX$89,9,0)</f>
        <v>0</v>
      </c>
      <c r="G73" s="182">
        <f>VLOOKUP($A73,[7]MVTAVRIL22!$A$6:$AX$89,9,0)</f>
        <v>0</v>
      </c>
      <c r="H73" s="182">
        <f>VLOOKUP($A73,[7]MVTMAI22!$A$6:$AX$89,9,0)</f>
        <v>0</v>
      </c>
      <c r="I73" s="182">
        <f>VLOOKUP($A73,[7]MVTJUIN22!$A$6:$AX$89,9,0)</f>
        <v>0</v>
      </c>
      <c r="J73" s="182">
        <f>VLOOKUP($A73,[7]MVTJUIL22!$A$6:$AX$89,9,0)</f>
        <v>0</v>
      </c>
      <c r="K73" s="182">
        <f>VLOOKUP($A73,[7]MVTAOUT22!$A$6:$AW$89,9,0)</f>
        <v>0</v>
      </c>
      <c r="L73" s="182">
        <f>VLOOKUP($A73,[7]MVTSEPT22!$A$6:$AX$89,9,0)</f>
        <v>0</v>
      </c>
      <c r="M73" s="182">
        <f>VLOOKUP($A73,[7]MVTOCT22!$A$6:$AX$89,9,0)</f>
        <v>0</v>
      </c>
      <c r="N73" s="182">
        <f>VLOOKUP($A73,[7]MVTNOV22!$A$6:$AW$89,9,0)</f>
        <v>0</v>
      </c>
      <c r="O73" s="182">
        <f>VLOOKUP($A73,[7]MVTDEC22!$A$6:$AX$89,9,0)</f>
        <v>0</v>
      </c>
      <c r="P73" s="273">
        <f t="shared" si="1"/>
        <v>0</v>
      </c>
    </row>
    <row r="74" spans="1:16">
      <c r="A74" s="165" t="s">
        <v>334</v>
      </c>
      <c r="B74" s="142">
        <v>70</v>
      </c>
      <c r="C74" s="181" t="str">
        <f>VLOOKUP($A74,[15]LISTADHERENT!$A$5:$M$101,3,0)</f>
        <v>TCHUIDJASSI MANFRED</v>
      </c>
      <c r="D74" s="182">
        <f>VLOOKUP($A74,[7]MVTJANV22!$A$6:$AX$89,9,0)</f>
        <v>0</v>
      </c>
      <c r="E74" s="182">
        <f>VLOOKUP($A74,[7]MVTFEV22!$A$6:$AX$89,9,0)</f>
        <v>0</v>
      </c>
      <c r="F74" s="182">
        <f>VLOOKUP($A74,[7]MVTMARS22!$A$6:$AX$89,9,0)</f>
        <v>24000</v>
      </c>
      <c r="G74" s="182">
        <f>VLOOKUP($A74,[7]MVTAVRIL22!$A$6:$AX$89,9,0)</f>
        <v>0</v>
      </c>
      <c r="H74" s="182">
        <f>VLOOKUP($A74,[7]MVTMAI22!$A$6:$AX$89,9,0)</f>
        <v>0</v>
      </c>
      <c r="I74" s="182">
        <f>VLOOKUP($A74,[7]MVTJUIN22!$A$6:$AX$89,9,0)</f>
        <v>0</v>
      </c>
      <c r="J74" s="182">
        <f>VLOOKUP($A74,[7]MVTJUIL22!$A$6:$AX$89,9,0)</f>
        <v>0</v>
      </c>
      <c r="K74" s="182">
        <f>VLOOKUP($A74,[7]MVTAOUT22!$A$6:$AW$89,9,0)</f>
        <v>0</v>
      </c>
      <c r="L74" s="182">
        <f>VLOOKUP($A74,[7]MVTSEPT22!$A$6:$AX$89,9,0)</f>
        <v>0</v>
      </c>
      <c r="M74" s="182">
        <f>VLOOKUP($A74,[7]MVTOCT22!$A$6:$AX$89,9,0)</f>
        <v>0</v>
      </c>
      <c r="N74" s="182">
        <f>VLOOKUP($A74,[7]MVTNOV22!$A$6:$AW$89,9,0)</f>
        <v>0</v>
      </c>
      <c r="O74" s="182">
        <f>VLOOKUP($A74,[7]MVTDEC22!$A$6:$AX$89,9,0)</f>
        <v>0</v>
      </c>
      <c r="P74" s="273">
        <f t="shared" si="1"/>
        <v>24000</v>
      </c>
    </row>
    <row r="75" spans="1:16">
      <c r="A75" s="165" t="s">
        <v>335</v>
      </c>
      <c r="B75" s="142">
        <v>71</v>
      </c>
      <c r="C75" s="181" t="str">
        <f>VLOOKUP($A75,[15]LISTADHERENT!$A$5:$M$101,3,0)</f>
        <v>TCHUIKWA SYLVAIN</v>
      </c>
      <c r="D75" s="182">
        <f>VLOOKUP($A75,[7]MVTJANV22!$A$6:$AX$89,9,0)</f>
        <v>0</v>
      </c>
      <c r="E75" s="182">
        <f>VLOOKUP($A75,[7]MVTFEV22!$A$6:$AX$89,9,0)</f>
        <v>0</v>
      </c>
      <c r="F75" s="182">
        <f>VLOOKUP($A75,[7]MVTMARS22!$A$6:$AX$89,9,0)</f>
        <v>0</v>
      </c>
      <c r="G75" s="182">
        <f>VLOOKUP($A75,[7]MVTAVRIL22!$A$6:$AX$89,9,0)</f>
        <v>0</v>
      </c>
      <c r="H75" s="182">
        <f>VLOOKUP($A75,[7]MVTMAI22!$A$6:$AX$89,9,0)</f>
        <v>0</v>
      </c>
      <c r="I75" s="182">
        <f>VLOOKUP($A75,[7]MVTJUIN22!$A$6:$AX$89,9,0)</f>
        <v>0</v>
      </c>
      <c r="J75" s="182">
        <f>VLOOKUP($A75,[7]MVTJUIL22!$A$6:$AX$89,9,0)</f>
        <v>0</v>
      </c>
      <c r="K75" s="182">
        <f>VLOOKUP($A75,[7]MVTAOUT22!$A$6:$AW$89,9,0)</f>
        <v>0</v>
      </c>
      <c r="L75" s="182">
        <f>VLOOKUP($A75,[7]MVTSEPT22!$A$6:$AX$89,9,0)</f>
        <v>0</v>
      </c>
      <c r="M75" s="182">
        <f>VLOOKUP($A75,[7]MVTOCT22!$A$6:$AX$89,9,0)</f>
        <v>0</v>
      </c>
      <c r="N75" s="182">
        <f>VLOOKUP($A75,[7]MVTNOV22!$A$6:$AW$89,9,0)</f>
        <v>0</v>
      </c>
      <c r="O75" s="182">
        <f>VLOOKUP($A75,[7]MVTDEC22!$A$6:$AX$89,9,0)</f>
        <v>0</v>
      </c>
      <c r="P75" s="273">
        <f t="shared" si="1"/>
        <v>0</v>
      </c>
    </row>
    <row r="76" spans="1:16">
      <c r="A76" s="165" t="s">
        <v>336</v>
      </c>
      <c r="B76" s="142">
        <v>72</v>
      </c>
      <c r="C76" s="181" t="str">
        <f>VLOOKUP($A76,[15]LISTADHERENT!$A$5:$M$101,3,0)</f>
        <v>TENKAM Nicolas</v>
      </c>
      <c r="D76" s="182">
        <f>VLOOKUP($A76,[7]MVTJANV22!$A$6:$AX$89,9,0)</f>
        <v>0</v>
      </c>
      <c r="E76" s="182">
        <f>VLOOKUP($A76,[7]MVTFEV22!$A$6:$AX$89,9,0)</f>
        <v>0</v>
      </c>
      <c r="F76" s="182">
        <f>VLOOKUP($A76,[7]MVTMARS22!$A$6:$AX$89,9,0)</f>
        <v>0</v>
      </c>
      <c r="G76" s="182">
        <f>VLOOKUP($A76,[7]MVTAVRIL22!$A$6:$AX$89,9,0)</f>
        <v>0</v>
      </c>
      <c r="H76" s="182">
        <f>VLOOKUP($A76,[7]MVTMAI22!$A$6:$AX$89,9,0)</f>
        <v>0</v>
      </c>
      <c r="I76" s="182">
        <f>VLOOKUP($A76,[7]MVTJUIN22!$A$6:$AX$89,9,0)</f>
        <v>0</v>
      </c>
      <c r="J76" s="182">
        <f>VLOOKUP($A76,[7]MVTJUIL22!$A$6:$AX$89,9,0)</f>
        <v>0</v>
      </c>
      <c r="K76" s="182">
        <f>VLOOKUP($A76,[7]MVTAOUT22!$A$6:$AW$89,9,0)</f>
        <v>0</v>
      </c>
      <c r="L76" s="182">
        <f>VLOOKUP($A76,[7]MVTSEPT22!$A$6:$AX$89,9,0)</f>
        <v>0</v>
      </c>
      <c r="M76" s="182">
        <f>VLOOKUP($A76,[7]MVTOCT22!$A$6:$AX$89,9,0)</f>
        <v>0</v>
      </c>
      <c r="N76" s="182">
        <f>VLOOKUP($A76,[7]MVTNOV22!$A$6:$AW$89,9,0)</f>
        <v>0</v>
      </c>
      <c r="O76" s="182">
        <f>VLOOKUP($A76,[7]MVTDEC22!$A$6:$AX$89,9,0)</f>
        <v>0</v>
      </c>
      <c r="P76" s="273">
        <f t="shared" si="1"/>
        <v>0</v>
      </c>
    </row>
    <row r="77" spans="1:16">
      <c r="A77" s="167" t="s">
        <v>337</v>
      </c>
      <c r="B77" s="142">
        <v>73</v>
      </c>
      <c r="C77" s="181" t="str">
        <f>VLOOKUP($A77,[15]LISTADHERENT!$A$5:$M$101,3,0)</f>
        <v>TOMFEU JEAN PIERRE</v>
      </c>
      <c r="D77" s="182">
        <f>VLOOKUP($A77,[7]MVTJANV22!$A$6:$AX$89,9,0)</f>
        <v>0</v>
      </c>
      <c r="E77" s="182">
        <f>VLOOKUP($A77,[7]MVTFEV22!$A$6:$AX$89,9,0)</f>
        <v>0</v>
      </c>
      <c r="F77" s="182">
        <f>VLOOKUP($A77,[7]MVTMARS22!$A$6:$AX$89,9,0)</f>
        <v>0</v>
      </c>
      <c r="G77" s="182">
        <f>VLOOKUP($A77,[7]MVTAVRIL22!$A$6:$AX$89,9,0)</f>
        <v>0</v>
      </c>
      <c r="H77" s="182">
        <f>VLOOKUP($A77,[7]MVTMAI22!$A$6:$AX$89,9,0)</f>
        <v>0</v>
      </c>
      <c r="I77" s="182">
        <f>VLOOKUP($A77,[7]MVTJUIN22!$A$6:$AX$89,9,0)</f>
        <v>0</v>
      </c>
      <c r="J77" s="182">
        <f>VLOOKUP($A77,[7]MVTJUIL22!$A$6:$AX$89,9,0)</f>
        <v>0</v>
      </c>
      <c r="K77" s="182">
        <f>VLOOKUP($A77,[7]MVTAOUT22!$A$6:$AW$89,9,0)</f>
        <v>0</v>
      </c>
      <c r="L77" s="182">
        <f>VLOOKUP($A77,[7]MVTSEPT22!$A$6:$AX$89,9,0)</f>
        <v>0</v>
      </c>
      <c r="M77" s="182">
        <f>VLOOKUP($A77,[7]MVTOCT22!$A$6:$AX$89,9,0)</f>
        <v>0</v>
      </c>
      <c r="N77" s="182">
        <f>VLOOKUP($A77,[7]MVTNOV22!$A$6:$AW$89,9,0)</f>
        <v>0</v>
      </c>
      <c r="O77" s="182">
        <f>VLOOKUP($A77,[7]MVTDEC22!$A$6:$AX$89,9,0)</f>
        <v>0</v>
      </c>
      <c r="P77" s="273">
        <f t="shared" si="1"/>
        <v>0</v>
      </c>
    </row>
    <row r="78" spans="1:16">
      <c r="A78" s="165" t="s">
        <v>338</v>
      </c>
      <c r="B78" s="142">
        <v>74</v>
      </c>
      <c r="C78" s="181" t="str">
        <f>VLOOKUP($A78,[15]LISTADHERENT!$A$5:$M$101,3,0)</f>
        <v>TONGA Jules Calvin</v>
      </c>
      <c r="D78" s="182">
        <f>VLOOKUP($A78,[7]MVTJANV22!$A$6:$AX$89,9,0)</f>
        <v>0</v>
      </c>
      <c r="E78" s="182">
        <f>VLOOKUP($A78,[7]MVTFEV22!$A$6:$AX$89,9,0)</f>
        <v>0</v>
      </c>
      <c r="F78" s="182">
        <f>VLOOKUP($A78,[7]MVTMARS22!$A$6:$AX$89,9,0)</f>
        <v>0</v>
      </c>
      <c r="G78" s="182">
        <f>VLOOKUP($A78,[7]MVTAVRIL22!$A$6:$AX$89,9,0)</f>
        <v>0</v>
      </c>
      <c r="H78" s="182">
        <f>VLOOKUP($A78,[7]MVTMAI22!$A$6:$AX$89,9,0)</f>
        <v>24000</v>
      </c>
      <c r="I78" s="182">
        <f>VLOOKUP($A78,[7]MVTJUIN22!$A$6:$AX$89,9,0)</f>
        <v>0</v>
      </c>
      <c r="J78" s="182">
        <f>VLOOKUP($A78,[7]MVTJUIL22!$A$6:$AX$89,9,0)</f>
        <v>0</v>
      </c>
      <c r="K78" s="182">
        <f>VLOOKUP($A78,[7]MVTAOUT22!$A$6:$AW$89,9,0)</f>
        <v>0</v>
      </c>
      <c r="L78" s="182">
        <f>VLOOKUP($A78,[7]MVTSEPT22!$A$6:$AX$89,9,0)</f>
        <v>0</v>
      </c>
      <c r="M78" s="182">
        <f>VLOOKUP($A78,[7]MVTOCT22!$A$6:$AX$89,9,0)</f>
        <v>0</v>
      </c>
      <c r="N78" s="182">
        <f>VLOOKUP($A78,[7]MVTNOV22!$A$6:$AW$89,9,0)</f>
        <v>0</v>
      </c>
      <c r="O78" s="182">
        <f>VLOOKUP($A78,[7]MVTDEC22!$A$6:$AX$89,9,0)</f>
        <v>0</v>
      </c>
      <c r="P78" s="273">
        <f t="shared" si="1"/>
        <v>24000</v>
      </c>
    </row>
    <row r="79" spans="1:16">
      <c r="A79" s="165" t="s">
        <v>366</v>
      </c>
      <c r="B79" s="142">
        <v>75</v>
      </c>
      <c r="C79" s="181" t="str">
        <f>VLOOKUP($A79,[15]LISTADHERENT!$A$5:$M$101,3,0)</f>
        <v>TOUKAM ELVIS</v>
      </c>
      <c r="D79" s="182">
        <f>VLOOKUP($A79,[7]MVTJANV22!$A$6:$AX$89,9,0)</f>
        <v>0</v>
      </c>
      <c r="E79" s="182">
        <f>VLOOKUP($A79,[7]MVTFEV22!$A$6:$AX$89,9,0)</f>
        <v>24000</v>
      </c>
      <c r="F79" s="182">
        <f>VLOOKUP($A79,[7]MVTMARS22!$A$6:$AX$89,9,0)</f>
        <v>0</v>
      </c>
      <c r="G79" s="182">
        <f>VLOOKUP($A79,[7]MVTAVRIL22!$A$6:$AX$89,9,0)</f>
        <v>0</v>
      </c>
      <c r="H79" s="182">
        <f>VLOOKUP($A79,[7]MVTMAI22!$A$6:$AX$89,9,0)</f>
        <v>0</v>
      </c>
      <c r="I79" s="182">
        <f>VLOOKUP($A79,[7]MVTJUIN22!$A$6:$AX$89,9,0)</f>
        <v>0</v>
      </c>
      <c r="J79" s="182">
        <f>VLOOKUP($A79,[7]MVTJUIL22!$A$6:$AX$89,9,0)</f>
        <v>0</v>
      </c>
      <c r="K79" s="182">
        <f>VLOOKUP($A79,[7]MVTAOUT22!$A$6:$AW$89,9,0)</f>
        <v>0</v>
      </c>
      <c r="L79" s="182">
        <f>VLOOKUP($A79,[7]MVTSEPT22!$A$6:$AX$89,9,0)</f>
        <v>0</v>
      </c>
      <c r="M79" s="182">
        <f>VLOOKUP($A79,[7]MVTOCT22!$A$6:$AX$89,9,0)</f>
        <v>0</v>
      </c>
      <c r="N79" s="182">
        <f>VLOOKUP($A79,[7]MVTNOV22!$A$6:$AW$89,9,0)</f>
        <v>24000</v>
      </c>
      <c r="O79" s="182">
        <f>VLOOKUP($A79,[7]MVTDEC22!$A$6:$AX$89,9,0)</f>
        <v>0</v>
      </c>
      <c r="P79" s="273">
        <f t="shared" si="1"/>
        <v>48000</v>
      </c>
    </row>
    <row r="80" spans="1:16">
      <c r="A80" s="165" t="s">
        <v>339</v>
      </c>
      <c r="B80" s="142">
        <v>76</v>
      </c>
      <c r="C80" s="181" t="str">
        <f>VLOOKUP($A80,[15]LISTADHERENT!$A$5:$M$101,3,0)</f>
        <v>TSEMEU  JOEL</v>
      </c>
      <c r="D80" s="182">
        <f>VLOOKUP($A80,[7]MVTJANV22!$A$6:$AX$89,9,0)</f>
        <v>0</v>
      </c>
      <c r="E80" s="182">
        <f>VLOOKUP($A80,[7]MVTFEV22!$A$6:$AX$89,9,0)</f>
        <v>0</v>
      </c>
      <c r="F80" s="182">
        <f>VLOOKUP($A80,[7]MVTMARS22!$A$6:$AX$89,9,0)</f>
        <v>0</v>
      </c>
      <c r="G80" s="182">
        <f>VLOOKUP($A80,[7]MVTAVRIL22!$A$6:$AX$89,9,0)</f>
        <v>0</v>
      </c>
      <c r="H80" s="182">
        <f>VLOOKUP($A80,[7]MVTMAI22!$A$6:$AX$89,9,0)</f>
        <v>0</v>
      </c>
      <c r="I80" s="182">
        <f>VLOOKUP($A80,[7]MVTJUIN22!$A$6:$AX$89,9,0)</f>
        <v>0</v>
      </c>
      <c r="J80" s="182">
        <f>VLOOKUP($A80,[7]MVTJUIL22!$A$6:$AX$89,9,0)</f>
        <v>0</v>
      </c>
      <c r="K80" s="182">
        <f>VLOOKUP($A80,[7]MVTAOUT22!$A$6:$AW$89,9,0)</f>
        <v>0</v>
      </c>
      <c r="L80" s="182">
        <f>VLOOKUP($A80,[7]MVTSEPT22!$A$6:$AX$89,9,0)</f>
        <v>0</v>
      </c>
      <c r="M80" s="182">
        <f>VLOOKUP($A80,[7]MVTOCT22!$A$6:$AX$89,9,0)</f>
        <v>0</v>
      </c>
      <c r="N80" s="182">
        <f>VLOOKUP($A80,[7]MVTNOV22!$A$6:$AW$89,9,0)</f>
        <v>0</v>
      </c>
      <c r="O80" s="182">
        <f>VLOOKUP($A80,[7]MVTDEC22!$A$6:$AX$89,9,0)</f>
        <v>0</v>
      </c>
      <c r="P80" s="273">
        <f t="shared" si="1"/>
        <v>0</v>
      </c>
    </row>
    <row r="81" spans="1:16">
      <c r="A81" s="165" t="s">
        <v>340</v>
      </c>
      <c r="B81" s="142">
        <v>77</v>
      </c>
      <c r="C81" s="181" t="str">
        <f>VLOOKUP($A81,[15]LISTADHERENT!$A$5:$M$101,3,0)</f>
        <v xml:space="preserve">WASO TCHIO GEORGES </v>
      </c>
      <c r="D81" s="182">
        <f>VLOOKUP($A81,[7]MVTJANV22!$A$6:$AX$89,9,0)</f>
        <v>0</v>
      </c>
      <c r="E81" s="182">
        <f>VLOOKUP($A81,[7]MVTFEV22!$A$6:$AX$89,9,0)</f>
        <v>0</v>
      </c>
      <c r="F81" s="182">
        <f>VLOOKUP($A81,[7]MVTMARS22!$A$6:$AX$89,9,0)</f>
        <v>0</v>
      </c>
      <c r="G81" s="182">
        <f>VLOOKUP($A81,[7]MVTAVRIL22!$A$6:$AX$89,9,0)</f>
        <v>0</v>
      </c>
      <c r="H81" s="182">
        <f>VLOOKUP($A81,[7]MVTMAI22!$A$6:$AX$89,9,0)</f>
        <v>0</v>
      </c>
      <c r="I81" s="182">
        <f>VLOOKUP($A81,[7]MVTJUIN22!$A$6:$AX$89,9,0)</f>
        <v>0</v>
      </c>
      <c r="J81" s="182">
        <f>VLOOKUP($A81,[7]MVTJUIL22!$A$6:$AX$89,9,0)</f>
        <v>0</v>
      </c>
      <c r="K81" s="182">
        <f>VLOOKUP($A81,[7]MVTAOUT22!$A$6:$AW$89,9,0)</f>
        <v>0</v>
      </c>
      <c r="L81" s="182">
        <f>VLOOKUP($A81,[7]MVTSEPT22!$A$6:$AX$89,9,0)</f>
        <v>0</v>
      </c>
      <c r="M81" s="182">
        <f>VLOOKUP($A81,[7]MVTOCT22!$A$6:$AX$89,9,0)</f>
        <v>0</v>
      </c>
      <c r="N81" s="182">
        <f>VLOOKUP($A81,[7]MVTNOV22!$A$6:$AW$89,9,0)</f>
        <v>0</v>
      </c>
      <c r="O81" s="182">
        <f>VLOOKUP($A81,[7]MVTDEC22!$A$6:$AX$89,9,0)</f>
        <v>0</v>
      </c>
      <c r="P81" s="273">
        <f t="shared" si="1"/>
        <v>0</v>
      </c>
    </row>
    <row r="82" spans="1:16">
      <c r="A82" s="165" t="s">
        <v>341</v>
      </c>
      <c r="B82" s="142">
        <v>78</v>
      </c>
      <c r="C82" s="181" t="str">
        <f>VLOOKUP($A82,[15]LISTADHERENT!$A$5:$M$101,3,0)</f>
        <v>WATA Blaise</v>
      </c>
      <c r="D82" s="182">
        <f>VLOOKUP($A82,[7]MVTJANV22!$A$6:$AX$89,9,0)</f>
        <v>0</v>
      </c>
      <c r="E82" s="182">
        <f>VLOOKUP($A82,[7]MVTFEV22!$A$6:$AX$89,9,0)</f>
        <v>0</v>
      </c>
      <c r="F82" s="182">
        <f>VLOOKUP($A82,[7]MVTMARS22!$A$6:$AX$89,9,0)</f>
        <v>0</v>
      </c>
      <c r="G82" s="182">
        <f>VLOOKUP($A82,[7]MVTAVRIL22!$A$6:$AX$89,9,0)</f>
        <v>0</v>
      </c>
      <c r="H82" s="182">
        <f>VLOOKUP($A82,[7]MVTMAI22!$A$6:$AX$89,9,0)</f>
        <v>0</v>
      </c>
      <c r="I82" s="182">
        <f>VLOOKUP($A82,[7]MVTJUIN22!$A$6:$AX$89,9,0)</f>
        <v>0</v>
      </c>
      <c r="J82" s="182">
        <f>VLOOKUP($A82,[7]MVTJUIL22!$A$6:$AX$89,9,0)</f>
        <v>0</v>
      </c>
      <c r="K82" s="182">
        <f>VLOOKUP($A82,[7]MVTAOUT22!$A$6:$AW$89,9,0)</f>
        <v>0</v>
      </c>
      <c r="L82" s="182">
        <f>VLOOKUP($A82,[7]MVTSEPT22!$A$6:$AX$89,9,0)</f>
        <v>0</v>
      </c>
      <c r="M82" s="182">
        <f>VLOOKUP($A82,[7]MVTOCT22!$A$6:$AX$89,9,0)</f>
        <v>0</v>
      </c>
      <c r="N82" s="182">
        <f>VLOOKUP($A82,[7]MVTNOV22!$A$6:$AW$89,9,0)</f>
        <v>0</v>
      </c>
      <c r="O82" s="182">
        <f>VLOOKUP($A82,[7]MVTDEC22!$A$6:$AX$89,9,0)</f>
        <v>0</v>
      </c>
      <c r="P82" s="273">
        <f t="shared" si="1"/>
        <v>0</v>
      </c>
    </row>
    <row r="83" spans="1:16">
      <c r="A83" s="165" t="s">
        <v>342</v>
      </c>
      <c r="B83" s="142">
        <v>79</v>
      </c>
      <c r="C83" s="181" t="str">
        <f>VLOOKUP($A83,[15]LISTADHERENT!$A$5:$M$101,3,0)</f>
        <v>WETOUMDU ERNEST</v>
      </c>
      <c r="D83" s="182">
        <f>VLOOKUP($A83,[7]MVTJANV22!$A$6:$AX$89,9,0)</f>
        <v>0</v>
      </c>
      <c r="E83" s="182">
        <f>VLOOKUP($A83,[7]MVTFEV22!$A$6:$AX$89,9,0)</f>
        <v>0</v>
      </c>
      <c r="F83" s="182">
        <f>VLOOKUP($A83,[7]MVTMARS22!$A$6:$AX$89,9,0)</f>
        <v>0</v>
      </c>
      <c r="G83" s="182">
        <f>VLOOKUP($A83,[7]MVTAVRIL22!$A$6:$AX$89,9,0)</f>
        <v>0</v>
      </c>
      <c r="H83" s="182">
        <f>VLOOKUP($A83,[7]MVTMAI22!$A$6:$AX$89,9,0)</f>
        <v>0</v>
      </c>
      <c r="I83" s="182">
        <f>VLOOKUP($A83,[7]MVTJUIN22!$A$6:$AX$89,9,0)</f>
        <v>0</v>
      </c>
      <c r="J83" s="182">
        <f>VLOOKUP($A83,[7]MVTJUIL22!$A$6:$AX$89,9,0)</f>
        <v>0</v>
      </c>
      <c r="K83" s="182">
        <f>VLOOKUP($A83,[7]MVTAOUT22!$A$6:$AW$89,9,0)</f>
        <v>0</v>
      </c>
      <c r="L83" s="182">
        <f>VLOOKUP($A83,[7]MVTSEPT22!$A$6:$AX$89,9,0)</f>
        <v>0</v>
      </c>
      <c r="M83" s="182">
        <f>VLOOKUP($A83,[7]MVTOCT22!$A$6:$AX$89,9,0)</f>
        <v>0</v>
      </c>
      <c r="N83" s="182">
        <f>VLOOKUP($A83,[7]MVTNOV22!$A$6:$AW$89,9,0)</f>
        <v>0</v>
      </c>
      <c r="O83" s="182">
        <f>VLOOKUP($A83,[7]MVTDEC22!$A$6:$AX$89,9,0)</f>
        <v>0</v>
      </c>
      <c r="P83" s="273">
        <f t="shared" si="1"/>
        <v>0</v>
      </c>
    </row>
    <row r="84" spans="1:16">
      <c r="A84" s="165" t="s">
        <v>343</v>
      </c>
      <c r="B84" s="142">
        <v>80</v>
      </c>
      <c r="C84" s="181" t="str">
        <f>VLOOKUP($A84,[15]LISTADHERENT!$A$5:$M$101,3,0)</f>
        <v>YOUALEU MICHEL</v>
      </c>
      <c r="D84" s="182">
        <f>VLOOKUP($A84,[7]MVTJANV22!$A$6:$AX$89,9,0)</f>
        <v>0</v>
      </c>
      <c r="E84" s="182">
        <f>VLOOKUP($A84,[7]MVTFEV22!$A$6:$AX$89,9,0)</f>
        <v>0</v>
      </c>
      <c r="F84" s="182">
        <f>VLOOKUP($A84,[7]MVTMARS22!$A$6:$AX$89,9,0)</f>
        <v>0</v>
      </c>
      <c r="G84" s="182">
        <f>VLOOKUP($A84,[7]MVTAVRIL22!$A$6:$AX$89,9,0)</f>
        <v>0</v>
      </c>
      <c r="H84" s="182">
        <f>VLOOKUP($A84,[7]MVTMAI22!$A$6:$AX$89,9,0)</f>
        <v>0</v>
      </c>
      <c r="I84" s="182">
        <f>VLOOKUP($A84,[7]MVTJUIN22!$A$6:$AX$89,9,0)</f>
        <v>0</v>
      </c>
      <c r="J84" s="182">
        <f>VLOOKUP($A84,[7]MVTJUIL22!$A$6:$AX$89,9,0)</f>
        <v>0</v>
      </c>
      <c r="K84" s="182">
        <f>VLOOKUP($A84,[7]MVTAOUT22!$A$6:$AW$89,9,0)</f>
        <v>0</v>
      </c>
      <c r="L84" s="182">
        <f>VLOOKUP($A84,[7]MVTSEPT22!$A$6:$AX$89,9,0)</f>
        <v>0</v>
      </c>
      <c r="M84" s="182">
        <f>VLOOKUP($A84,[7]MVTOCT22!$A$6:$AX$89,9,0)</f>
        <v>0</v>
      </c>
      <c r="N84" s="182">
        <f>VLOOKUP($A84,[7]MVTNOV22!$A$6:$AW$89,9,0)</f>
        <v>0</v>
      </c>
      <c r="O84" s="182">
        <f>VLOOKUP($A84,[7]MVTDEC22!$A$6:$AX$89,9,0)</f>
        <v>0</v>
      </c>
      <c r="P84" s="273">
        <f t="shared" si="1"/>
        <v>0</v>
      </c>
    </row>
    <row r="85" spans="1:16">
      <c r="A85" s="165" t="s">
        <v>344</v>
      </c>
      <c r="B85" s="142">
        <v>81</v>
      </c>
      <c r="C85" s="181" t="str">
        <f>VLOOKUP($A85,[15]LISTADHERENT!$A$5:$M$101,3,0)</f>
        <v>YOUMBI LEONARD</v>
      </c>
      <c r="D85" s="182">
        <f>VLOOKUP($A85,[7]MVTJANV22!$A$6:$AX$89,9,0)</f>
        <v>0</v>
      </c>
      <c r="E85" s="182">
        <f>VLOOKUP($A85,[7]MVTFEV22!$A$6:$AX$89,9,0)</f>
        <v>0</v>
      </c>
      <c r="F85" s="182">
        <f>VLOOKUP($A85,[7]MVTMARS22!$A$6:$AX$89,9,0)</f>
        <v>0</v>
      </c>
      <c r="G85" s="182">
        <f>VLOOKUP($A85,[7]MVTAVRIL22!$A$6:$AX$89,9,0)</f>
        <v>0</v>
      </c>
      <c r="H85" s="182">
        <f>VLOOKUP($A85,[7]MVTMAI22!$A$6:$AX$89,9,0)</f>
        <v>0</v>
      </c>
      <c r="I85" s="182">
        <f>VLOOKUP($A85,[7]MVTJUIN22!$A$6:$AX$89,9,0)</f>
        <v>24000</v>
      </c>
      <c r="J85" s="182">
        <f>VLOOKUP($A85,[7]MVTJUIL22!$A$6:$AX$89,9,0)</f>
        <v>0</v>
      </c>
      <c r="K85" s="182">
        <f>VLOOKUP($A85,[7]MVTAOUT22!$A$6:$AW$89,9,0)</f>
        <v>0</v>
      </c>
      <c r="L85" s="182">
        <f>VLOOKUP($A85,[7]MVTSEPT22!$A$6:$AX$89,9,0)</f>
        <v>0</v>
      </c>
      <c r="M85" s="182">
        <f>VLOOKUP($A85,[7]MVTOCT22!$A$6:$AX$89,9,0)</f>
        <v>0</v>
      </c>
      <c r="N85" s="182">
        <f>VLOOKUP($A85,[7]MVTNOV22!$A$6:$AW$89,9,0)</f>
        <v>0</v>
      </c>
      <c r="O85" s="182">
        <f>VLOOKUP($A85,[7]MVTDEC22!$A$6:$AX$89,9,0)</f>
        <v>0</v>
      </c>
      <c r="P85" s="273">
        <f t="shared" si="1"/>
        <v>24000</v>
      </c>
    </row>
    <row r="86" spans="1:16">
      <c r="A86" s="165" t="s">
        <v>367</v>
      </c>
      <c r="B86" s="142">
        <v>82</v>
      </c>
      <c r="C86" s="181" t="str">
        <f>VLOOKUP($A86,[15]LISTADHERENT!$A$5:$M$101,3,0)</f>
        <v>TALAK</v>
      </c>
      <c r="D86" s="182">
        <f>VLOOKUP($A86,[7]MVTJANV22!$A$6:$AX$89,9,0)</f>
        <v>0</v>
      </c>
      <c r="E86" s="182">
        <f>VLOOKUP($A86,[7]MVTFEV22!$A$6:$AX$89,9,0)</f>
        <v>0</v>
      </c>
      <c r="F86" s="182">
        <f>VLOOKUP($A86,[7]MVTMARS22!$A$6:$AX$89,9,0)</f>
        <v>0</v>
      </c>
      <c r="G86" s="182">
        <f>VLOOKUP($A86,[7]MVTAVRIL22!$A$6:$AX$89,9,0)</f>
        <v>0</v>
      </c>
      <c r="H86" s="182">
        <f>VLOOKUP($A86,[7]MVTMAI22!$A$6:$AX$89,9,0)</f>
        <v>0</v>
      </c>
      <c r="I86" s="182">
        <f>VLOOKUP($A86,[7]MVTJUIN22!$A$6:$AX$89,9,0)</f>
        <v>0</v>
      </c>
      <c r="J86" s="182">
        <f>VLOOKUP($A86,[7]MVTJUIL22!$A$6:$AX$89,9,0)</f>
        <v>0</v>
      </c>
      <c r="K86" s="182">
        <f>VLOOKUP($A86,[7]MVTAOUT22!$A$6:$AW$89,9,0)</f>
        <v>0</v>
      </c>
      <c r="L86" s="182">
        <f>VLOOKUP($A86,[7]MVTSEPT22!$A$6:$AX$89,9,0)</f>
        <v>0</v>
      </c>
      <c r="M86" s="182">
        <f>VLOOKUP($A86,[7]MVTOCT22!$A$6:$AX$89,9,0)</f>
        <v>0</v>
      </c>
      <c r="N86" s="182">
        <f>VLOOKUP($A86,[7]MVTNOV22!$A$6:$AW$89,9,0)</f>
        <v>0</v>
      </c>
      <c r="O86" s="182">
        <f>VLOOKUP($A86,[7]MVTDEC22!$A$6:$AX$89,9,0)</f>
        <v>0</v>
      </c>
      <c r="P86" s="273">
        <f t="shared" si="1"/>
        <v>0</v>
      </c>
    </row>
    <row r="87" spans="1:16">
      <c r="A87" s="165" t="s">
        <v>368</v>
      </c>
      <c r="B87" s="142">
        <v>83</v>
      </c>
      <c r="C87" s="181" t="str">
        <f>VLOOKUP($A87,[15]LISTADHERENT!$A$5:$M$101,3,0)</f>
        <v>TODJOM INNOCENT</v>
      </c>
      <c r="D87" s="182">
        <f>VLOOKUP($A87,[7]MVTJANV22!$A$6:$AX$89,9,0)</f>
        <v>0</v>
      </c>
      <c r="E87" s="182">
        <f>VLOOKUP($A87,[7]MVTFEV22!$A$6:$AX$89,9,0)</f>
        <v>0</v>
      </c>
      <c r="F87" s="182">
        <f>VLOOKUP($A87,[7]MVTMARS22!$A$6:$AX$89,9,0)</f>
        <v>30000</v>
      </c>
      <c r="G87" s="182">
        <f>VLOOKUP($A87,[7]MVTAVRIL22!$A$6:$AX$89,9,0)</f>
        <v>0</v>
      </c>
      <c r="H87" s="182">
        <f>VLOOKUP($A87,[7]MVTMAI22!$A$6:$AX$89,9,0)</f>
        <v>0</v>
      </c>
      <c r="I87" s="182">
        <f>VLOOKUP($A87,[7]MVTJUIN22!$A$6:$AX$89,9,0)</f>
        <v>0</v>
      </c>
      <c r="J87" s="182">
        <f>VLOOKUP($A87,[7]MVTJUIL22!$A$6:$AX$89,9,0)</f>
        <v>0</v>
      </c>
      <c r="K87" s="182">
        <f>VLOOKUP($A87,[7]MVTAOUT22!$A$6:$AW$89,9,0)</f>
        <v>0</v>
      </c>
      <c r="L87" s="182">
        <f>VLOOKUP($A87,[7]MVTSEPT22!$A$6:$AX$89,9,0)</f>
        <v>0</v>
      </c>
      <c r="M87" s="182">
        <f>VLOOKUP($A87,[7]MVTOCT22!$A$6:$AX$89,9,0)</f>
        <v>0</v>
      </c>
      <c r="N87" s="182">
        <f>VLOOKUP($A87,[7]MVTNOV22!$A$6:$AW$89,9,0)</f>
        <v>0</v>
      </c>
      <c r="O87" s="182">
        <f>VLOOKUP($A87,[7]MVTDEC22!$A$6:$AX$89,9,0)</f>
        <v>0</v>
      </c>
      <c r="P87" s="273">
        <f t="shared" si="1"/>
        <v>30000</v>
      </c>
    </row>
    <row r="88" spans="1:16">
      <c r="A88" s="165" t="s">
        <v>369</v>
      </c>
      <c r="B88" s="142"/>
      <c r="C88" s="181" t="str">
        <f>VLOOKUP($A88,[15]LISTADHERENT!$A$5:$M$101,3,0)</f>
        <v>NGAHA FONDJA</v>
      </c>
      <c r="D88" s="182">
        <f>VLOOKUP($A88,[7]MVTJANV22!$A$6:$AX$89,9,0)</f>
        <v>0</v>
      </c>
      <c r="E88" s="182">
        <f>VLOOKUP($A88,[7]MVTFEV22!$A$6:$AX$89,9,0)</f>
        <v>0</v>
      </c>
      <c r="F88" s="182">
        <f>VLOOKUP($A88,[7]MVTMARS22!$A$6:$AX$89,9,0)</f>
        <v>0</v>
      </c>
      <c r="G88" s="182">
        <f>VLOOKUP($A88,[7]MVTAVRIL22!$A$6:$AX$89,9,0)</f>
        <v>0</v>
      </c>
      <c r="H88" s="182">
        <f>VLOOKUP($A88,[7]MVTMAI22!$A$6:$AX$89,9,0)</f>
        <v>0</v>
      </c>
      <c r="I88" s="182">
        <f>VLOOKUP($A88,[7]MVTJUIN22!$A$6:$AX$89,9,0)</f>
        <v>0</v>
      </c>
      <c r="J88" s="182">
        <f>VLOOKUP($A88,[7]MVTJUIL22!$A$6:$AX$89,9,0)</f>
        <v>0</v>
      </c>
      <c r="K88" s="182">
        <f>VLOOKUP($A88,[7]MVTAOUT22!$A$6:$AW$89,9,0)</f>
        <v>0</v>
      </c>
      <c r="L88" s="182">
        <f>VLOOKUP($A88,[7]MVTSEPT22!$A$6:$AX$89,9,0)</f>
        <v>0</v>
      </c>
      <c r="M88" s="182">
        <f>VLOOKUP($A88,[7]MVTOCT22!$A$6:$AX$89,9,0)</f>
        <v>0</v>
      </c>
      <c r="N88" s="182">
        <f>VLOOKUP($A88,[7]MVTNOV22!$A$6:$AW$89,9,0)</f>
        <v>0</v>
      </c>
      <c r="O88" s="182">
        <f>VLOOKUP($A88,[7]MVTDEC22!$A$6:$AX$89,9,0)</f>
        <v>0</v>
      </c>
      <c r="P88" s="273">
        <f t="shared" si="1"/>
        <v>0</v>
      </c>
    </row>
    <row r="89" spans="1:16">
      <c r="A89" s="165"/>
      <c r="B89" s="372"/>
      <c r="C89" s="300"/>
      <c r="D89" s="373"/>
      <c r="E89" s="373"/>
      <c r="F89" s="373"/>
      <c r="G89" s="373"/>
      <c r="H89" s="373"/>
      <c r="I89" s="373"/>
      <c r="J89" s="373"/>
      <c r="K89" s="373"/>
      <c r="L89" s="373"/>
      <c r="M89" s="373"/>
      <c r="N89" s="373"/>
      <c r="O89" s="373"/>
      <c r="P89" s="302"/>
    </row>
    <row r="90" spans="1:16" ht="16.5" thickBot="1">
      <c r="A90" s="270"/>
      <c r="B90" s="146"/>
      <c r="C90" s="187" t="s">
        <v>20</v>
      </c>
      <c r="D90" s="188">
        <f>SUM(D5:D88)</f>
        <v>72000</v>
      </c>
      <c r="E90" s="188">
        <f t="shared" ref="E90:P90" si="2">SUM(E5:E88)</f>
        <v>216000</v>
      </c>
      <c r="F90" s="188">
        <f t="shared" si="2"/>
        <v>103500</v>
      </c>
      <c r="G90" s="188">
        <f t="shared" si="2"/>
        <v>24000</v>
      </c>
      <c r="H90" s="188">
        <f t="shared" si="2"/>
        <v>98000</v>
      </c>
      <c r="I90" s="188">
        <f t="shared" si="2"/>
        <v>24000</v>
      </c>
      <c r="J90" s="188">
        <f t="shared" si="2"/>
        <v>58000</v>
      </c>
      <c r="K90" s="188">
        <f t="shared" si="2"/>
        <v>47500</v>
      </c>
      <c r="L90" s="188">
        <f t="shared" si="2"/>
        <v>35000</v>
      </c>
      <c r="M90" s="188">
        <f t="shared" si="2"/>
        <v>34000</v>
      </c>
      <c r="N90" s="188">
        <f t="shared" si="2"/>
        <v>34000</v>
      </c>
      <c r="O90" s="188">
        <f t="shared" si="2"/>
        <v>75347</v>
      </c>
      <c r="P90" s="189">
        <f t="shared" si="2"/>
        <v>821347</v>
      </c>
    </row>
    <row r="91" spans="1:16" ht="15.75" thickTop="1"/>
  </sheetData>
  <mergeCells count="2">
    <mergeCell ref="A1:D1"/>
    <mergeCell ref="A2:D2"/>
  </mergeCells>
  <pageMargins left="0.25" right="0.25" top="0.75" bottom="0.75" header="0.3" footer="0.3"/>
  <pageSetup paperSize="9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/>
  <dcterms:created xsi:type="dcterms:W3CDTF">2020-03-01T01:00:00Z</dcterms:created>
</cp:coreProperties>
</file>