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</workbook>
</file>

<file path=xl/sharedStrings.xml><?xml version="1.0" encoding="utf-8"?>
<sst xmlns="http://schemas.openxmlformats.org/spreadsheetml/2006/main" count="1529" uniqueCount="226">
  <si>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</si>
  <si>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</si>
  <si>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</si>
  <si>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</si>
  <si>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</si>
  <si>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</si>
  <si>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</si>
  <si>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</si>
  <si>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</si>
  <si>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</si>
  <si>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</si>
  <si>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</si>
  <si>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</si>
  <si>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</si>
  <si>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</si>
  <si>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</si>
  <si>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</si>
  <si>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</si>
  <si>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</si>
  <si>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</si>
  <si>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</si>
  <si>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</si>
  <si>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</si>
  <si>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</si>
  <si>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</si>
  <si>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</si>
  <si>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</si>
  <si>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</si>
  <si>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</si>
  <si>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</si>
  <si>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</si>
  <si>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</si>
  <si>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</si>
  <si>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</si>
  <si>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</si>
  <si>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</si>
  <si>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</si>
  <si>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</si>
  <si>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</si>
  <si>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</si>
  <si>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</si>
  <si>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</si>
  <si>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</si>
  <si>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</si>
  <si>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</si>
  <si>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</si>
  <si>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</si>
  <si>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</si>
  <si>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</si>
  <si>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</si>
  <si>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</si>
  <si>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</si>
  <si>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</si>
  <si>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</si>
  <si>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</si>
  <si>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</si>
  <si>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</si>
  <si>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</si>
  <si>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</si>
  <si>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</si>
  <si>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</si>
  <si>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</si>
  <si>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</si>
  <si>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</si>
  <si>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</si>
  <si>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</si>
  <si>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</si>
  <si>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</si>
  <si>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</si>
  <si>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</si>
  <si>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</si>
  <si>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</si>
  <si>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</si>
  <si>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</si>
  <si>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</si>
  <si>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</si>
  <si>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</si>
  <si>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</si>
  <si>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</si>
  <si>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</si>
  <si>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</si>
  <si>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</si>
  <si>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</si>
  <si>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</si>
  <si>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</si>
  <si>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</si>
  <si>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</si>
  <si>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</si>
  <si>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</si>
  <si>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</si>
  <si>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</si>
  <si>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</si>
  <si>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</si>
  <si>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</si>
  <si>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</si>
  <si>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</si>
  <si>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</si>
  <si>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</si>
  <si>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</si>
  <si>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</si>
  <si>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</si>
  <si>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</si>
  <si>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</si>
  <si>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</si>
  <si>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</si>
  <si>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</si>
  <si>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</si>
  <si>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</si>
  <si>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</si>
  <si>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</si>
  <si>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</si>
  <si>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</si>
  <si>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</si>
  <si>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</si>
  <si>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</si>
  <si>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</si>
  <si>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</si>
  <si>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</si>
  <si>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</si>
  <si>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</si>
  <si>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</si>
  <si>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</si>
  <si>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</si>
  <si>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</si>
  <si>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</si>
  <si>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</si>
  <si>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</si>
  <si>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</si>
  <si>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</si>
  <si>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</si>
  <si>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</si>
  <si>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</si>
  <si>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</si>
  <si>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</si>
  <si>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</si>
  <si>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</si>
  <si>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</si>
  <si>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</si>
  <si>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</si>
  <si>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</si>
  <si>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</si>
  <si>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</si>
  <si>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</si>
  <si>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</si>
  <si>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</si>
  <si>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</si>
  <si>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</si>
  <si>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</si>
  <si>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</si>
  <si>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</si>
  <si>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</si>
  <si>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</si>
  <si>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</si>
  <si>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</si>
  <si>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</si>
  <si>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</si>
  <si>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</si>
  <si>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</si>
  <si>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</si>
  <si>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</si>
  <si>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</si>
  <si>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</si>
  <si>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</si>
  <si>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</si>
  <si>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</si>
  <si>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</si>
  <si>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</si>
  <si>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</si>
  <si>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</si>
  <si>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</si>
  <si>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</si>
  <si>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</si>
  <si>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</si>
  <si>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</si>
  <si>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</si>
  <si>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</si>
  <si>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</si>
  <si>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</si>
  <si>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</si>
  <si>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</si>
  <si>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</si>
  <si>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</si>
  <si>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</si>
  <si>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</si>
  <si>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</si>
  <si>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</si>
  <si>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</si>
  <si>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</si>
  <si>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</si>
  <si>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</si>
  <si>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</si>
  <si>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</si>
  <si>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</si>
  <si>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</si>
  <si>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</si>
  <si>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</si>
  <si>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</si>
  <si>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</si>
  <si>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</si>
  <si>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</si>
  <si>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</si>
  <si>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</si>
  <si>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</si>
  <si>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</si>
  <si>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</si>
  <si>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</si>
  <si>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</si>
  <si>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</si>
  <si>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</si>
  <si>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</si>
  <si>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</si>
  <si>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</si>
  <si>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</si>
  <si>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</si>
  <si>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</si>
  <si>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</si>
  <si>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</si>
  <si>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</si>
  <si>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</si>
  <si>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MONTANT EFFECTIVEMENT VERSE</t>
  </si>
  <si>
    <t>CAPITAL EFFECTIVEMENT DISTRIBUE</t>
  </si>
  <si>
    <t>SORTIE</t>
  </si>
  <si>
    <t>FONDS DISTRIBUE</t>
  </si>
  <si>
    <t>RETOUR BANQUE</t>
  </si>
  <si>
    <t>FRAIS DE TAXI</t>
  </si>
  <si>
    <t>RELIQUAT 2016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</si>
</sst>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K33" sqref="K33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211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</row>
    <row r="5" spans="1:14" x14ac:dyDescent="0.25">
      <c r="A5" s="1" t="s">
        <v>185</v>
      </c>
      <c r="B5" s="1" t="str">
        <f>VLOOKUP(A5,LISTADHERENT!A$5:H$52,2,0)</f>
        <v>ASELBY</v>
      </c>
      <c r="C5" s="1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v>390000</v>
      </c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v>390000</v>
      </c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v>390000</v>
      </c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372800</v>
      </c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C47+48100+20500</f>
        <v>325719</v>
      </c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440000</v>
      </c>
      <c r="J54" s="9">
        <f t="shared" si="0"/>
        <v>0</v>
      </c>
      <c r="K54" s="9">
        <f t="shared" si="0"/>
        <v>698519</v>
      </c>
      <c r="L54" s="9">
        <f t="shared" si="0"/>
        <v>1560000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8" width="15" style="2" bestFit="1" customWidth="1"/>
    <col min="9" max="9" width="15" bestFit="1" customWidth="1"/>
    <col min="10" max="10" width="17.5703125" style="4" bestFit="1" customWidth="1"/>
    <col min="11" max="11" width="15.7109375" style="2" customWidth="1"/>
    <col min="12" max="12" width="12.42578125" style="2" customWidth="1"/>
    <col min="13" max="13" width="9.7109375" style="2" customWidth="1"/>
    <col min="14" max="14" width="18.140625" customWidth="1"/>
    <col min="15" max="15" width="15" bestFit="1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20" x14ac:dyDescent="0.25">
      <c r="A2" s="1" t="s">
        <v>2</v>
      </c>
      <c r="B2" s="1" t="s">
        <v>3</v>
      </c>
      <c r="C2" s="1"/>
      <c r="D2" s="1"/>
      <c r="E2" s="1"/>
      <c r="F2" s="1"/>
      <c r="G2" s="1"/>
    </row>
    <row r="3" spans="1:20" x14ac:dyDescent="0.25">
      <c r="A3" s="1" t="s">
        <v>4</v>
      </c>
      <c r="B3" s="1" t="s">
        <v>5</v>
      </c>
      <c r="C3" s="1"/>
      <c r="D3" s="1"/>
      <c r="E3" s="1"/>
      <c r="F3" s="1"/>
      <c r="G3" s="1"/>
    </row>
    <row r="4" spans="1:20" ht="29.25" x14ac:dyDescent="0.25">
      <c r="A4" s="1" t="s">
        <v>6</v>
      </c>
      <c r="B4" s="1" t="s">
        <v>7</v>
      </c>
      <c r="C4" s="6" t="s">
        <v>188</v>
      </c>
      <c r="D4" s="1" t="s">
        <v>183</v>
      </c>
      <c r="E4" s="5" t="s">
        <v>186</v>
      </c>
      <c r="F4" s="5" t="s">
        <v>187</v>
      </c>
      <c r="G4" s="1" t="s">
        <v>184</v>
      </c>
      <c r="H4" s="5" t="s">
        <v>65</v>
      </c>
      <c r="I4" s="1" t="s">
        <v>57</v>
      </c>
      <c r="J4" s="5" t="s">
        <v>58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8</v>
      </c>
      <c r="R4" s="5" t="s">
        <v>182</v>
      </c>
      <c r="S4" s="5" t="s">
        <v>181</v>
      </c>
    </row>
    <row r="5" spans="1:2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$P$56/$F$56*F5</f>
        <v>1799.2102095459891</v>
      </c>
      <c r="F5" s="6">
        <f>RECAPTONT20000!C5+RECAPTONT20000!D5+TONT20000DEC2015!I5</f>
        <v>318145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</row>
    <row r="6" spans="1:2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2412.1954641402754</v>
      </c>
      <c r="F6" s="6">
        <f>RECAPTONT20000!C6+RECAPTONT20000!D6+TONT20000DEC2015!I6</f>
        <v>426536</v>
      </c>
      <c r="G6" s="6"/>
      <c r="H6" s="7">
        <f>I6+J6+K6+L6+M7+N7</f>
        <v>20000</v>
      </c>
      <c r="I6" s="7">
        <v>3000</v>
      </c>
      <c r="J6" s="7">
        <v>500</v>
      </c>
      <c r="K6" s="7">
        <v>1000</v>
      </c>
      <c r="L6" s="7">
        <v>2500</v>
      </c>
      <c r="M6" s="7"/>
      <c r="N6" s="7">
        <v>13000</v>
      </c>
      <c r="O6" s="7"/>
      <c r="P6" s="7">
        <f>IF(O6&lt;=500000,(O6*1*3/100),(O6*12/100))</f>
        <v>0</v>
      </c>
      <c r="Q6" s="2"/>
      <c r="R6" s="2"/>
      <c r="S6" s="2"/>
    </row>
    <row r="7" spans="1:20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2232.1754751721387</v>
      </c>
      <c r="F7" s="6">
        <f>RECAPTONT20000!C7+RECAPTONT20000!D7+TONT20000DEC2015!I7</f>
        <v>394704</v>
      </c>
      <c r="G7" s="6"/>
      <c r="H7" s="7">
        <f>I7+J7+K7+L7+M8+N8</f>
        <v>20000</v>
      </c>
      <c r="I7" s="7">
        <v>3000</v>
      </c>
      <c r="J7" s="7">
        <v>500</v>
      </c>
      <c r="K7" s="7">
        <v>1000</v>
      </c>
      <c r="L7" s="7">
        <v>2500</v>
      </c>
      <c r="M7" s="7"/>
      <c r="N7" s="7">
        <v>13000</v>
      </c>
      <c r="O7" s="7"/>
      <c r="P7" s="7">
        <f t="shared" ref="P7:P54" si="1">IF(O7&lt;=500000,(O7*1*3/100),(O7*12/100))</f>
        <v>0</v>
      </c>
      <c r="Q7" s="2"/>
      <c r="R7" s="2"/>
      <c r="S7" s="2"/>
    </row>
    <row r="8" spans="1:20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2232.9559086503241</v>
      </c>
      <c r="F8" s="6">
        <f>RECAPTONT20000!C8+RECAPTONT20000!D8+TONT20000DEC2015!I8</f>
        <v>394842</v>
      </c>
      <c r="G8" s="6"/>
      <c r="H8" s="7">
        <f t="shared" ref="H8:H49" si="2">I8+J8+K8+L8+M8+N8</f>
        <v>20000</v>
      </c>
      <c r="I8" s="7">
        <v>3000</v>
      </c>
      <c r="J8" s="7">
        <v>500</v>
      </c>
      <c r="K8" s="7">
        <v>1000</v>
      </c>
      <c r="L8" s="7">
        <v>2500</v>
      </c>
      <c r="M8" s="7"/>
      <c r="N8" s="7">
        <v>13000</v>
      </c>
      <c r="O8" s="2"/>
      <c r="P8" s="7">
        <f t="shared" si="1"/>
        <v>0</v>
      </c>
      <c r="Q8" s="2"/>
      <c r="R8" s="2"/>
      <c r="S8" s="2"/>
    </row>
    <row r="9" spans="1:20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2268.6635679348433</v>
      </c>
      <c r="F9" s="6">
        <f>RECAPTONT20000!C9+RECAPTONT20000!D9+TONT20000DEC2015!I9</f>
        <v>401156</v>
      </c>
      <c r="G9" s="6"/>
      <c r="H9" s="7">
        <f t="shared" si="2"/>
        <v>20000</v>
      </c>
      <c r="I9" s="7">
        <v>3000</v>
      </c>
      <c r="J9" s="7">
        <v>500</v>
      </c>
      <c r="K9" s="7">
        <v>1000</v>
      </c>
      <c r="L9" s="7">
        <v>2500</v>
      </c>
      <c r="M9" s="7"/>
      <c r="N9" s="7">
        <v>13000</v>
      </c>
      <c r="O9" s="2"/>
      <c r="P9" s="7">
        <f t="shared" si="1"/>
        <v>0</v>
      </c>
      <c r="Q9" s="2"/>
      <c r="R9" s="2"/>
      <c r="S9" s="2"/>
    </row>
    <row r="10" spans="1:20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2284.2100290329022</v>
      </c>
      <c r="F10" s="6">
        <f>RECAPTONT20000!C10+RECAPTONT20000!D10+TONT20000DEC2015!I10</f>
        <v>403905</v>
      </c>
      <c r="G10" s="6"/>
      <c r="H10" s="7">
        <f t="shared" si="2"/>
        <v>25000</v>
      </c>
      <c r="I10" s="7">
        <v>8000</v>
      </c>
      <c r="J10" s="7">
        <v>500</v>
      </c>
      <c r="K10" s="7">
        <v>1000</v>
      </c>
      <c r="L10" s="7">
        <v>2500</v>
      </c>
      <c r="M10" s="7"/>
      <c r="N10" s="7">
        <v>13000</v>
      </c>
      <c r="O10" s="2"/>
      <c r="P10" s="7">
        <f t="shared" si="1"/>
        <v>0</v>
      </c>
      <c r="Q10" s="2"/>
      <c r="R10" s="2"/>
      <c r="S10" s="2"/>
    </row>
    <row r="11" spans="1:20" x14ac:dyDescent="0.25">
      <c r="A11" s="1" t="s">
        <v>16</v>
      </c>
      <c r="B11" s="1" t="str">
        <f>VLOOKUP(A11,LISTADHERENT!A$5:H$51,2)</f>
        <v>DJOSSEU JOSUE</v>
      </c>
      <c r="C11" s="6">
        <f>VLOOKUP(A11,FONDSDECAISSE!A$5:C$52,3,0)</f>
        <v>0</v>
      </c>
      <c r="D11" s="6">
        <v>0</v>
      </c>
      <c r="E11" s="6">
        <f t="shared" si="0"/>
        <v>28.276575296578432</v>
      </c>
      <c r="F11" s="6">
        <f>RECAPTONT20000!C11+RECAPTONT20000!D11+TONT20000DEC2015!I11</f>
        <v>5000</v>
      </c>
      <c r="G11" s="6"/>
      <c r="H11" s="7">
        <f t="shared" si="2"/>
        <v>22000</v>
      </c>
      <c r="I11" s="7">
        <v>5000</v>
      </c>
      <c r="J11" s="7">
        <v>500</v>
      </c>
      <c r="K11" s="7">
        <v>1000</v>
      </c>
      <c r="L11" s="7">
        <v>2500</v>
      </c>
      <c r="M11" s="7"/>
      <c r="N11" s="7">
        <v>13000</v>
      </c>
      <c r="O11" s="2"/>
      <c r="P11" s="7">
        <f t="shared" si="1"/>
        <v>0</v>
      </c>
      <c r="Q11" s="2"/>
      <c r="R11" s="2"/>
      <c r="S11" s="2"/>
    </row>
    <row r="12" spans="1:20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7796.3551323069523</v>
      </c>
      <c r="F12" s="6">
        <f>RECAPTONT20000!C12+RECAPTONT20000!D12+TONT20000DEC2015!I12</f>
        <v>1378589</v>
      </c>
      <c r="G12" s="6"/>
      <c r="H12" s="7">
        <f t="shared" si="2"/>
        <v>20000</v>
      </c>
      <c r="I12" s="7">
        <v>3000</v>
      </c>
      <c r="J12" s="7">
        <v>500</v>
      </c>
      <c r="K12" s="7">
        <v>1000</v>
      </c>
      <c r="L12" s="7">
        <v>2500</v>
      </c>
      <c r="M12" s="7"/>
      <c r="N12" s="7">
        <v>13000</v>
      </c>
      <c r="O12" s="2"/>
      <c r="P12" s="7">
        <f t="shared" si="1"/>
        <v>0</v>
      </c>
      <c r="Q12" s="2"/>
      <c r="R12" s="2"/>
      <c r="S12" s="2"/>
    </row>
    <row r="13" spans="1:20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319134</v>
      </c>
      <c r="D13" s="6">
        <v>0</v>
      </c>
      <c r="E13" s="6">
        <f t="shared" si="0"/>
        <v>1821.7692613175993</v>
      </c>
      <c r="F13" s="6">
        <f>RECAPTONT20000!C13+RECAPTONT20000!D13+TONT20000DEC2015!I13</f>
        <v>322134</v>
      </c>
      <c r="G13" s="6"/>
      <c r="H13" s="7">
        <f t="shared" si="2"/>
        <v>20000</v>
      </c>
      <c r="I13" s="7">
        <v>3000</v>
      </c>
      <c r="J13" s="7">
        <v>500</v>
      </c>
      <c r="K13" s="7">
        <v>1000</v>
      </c>
      <c r="L13" s="7">
        <v>2500</v>
      </c>
      <c r="M13" s="7"/>
      <c r="N13" s="7">
        <v>13000</v>
      </c>
      <c r="O13" s="2"/>
      <c r="P13" s="7">
        <f t="shared" si="1"/>
        <v>0</v>
      </c>
      <c r="Q13" s="2"/>
      <c r="R13" s="2"/>
      <c r="S13" s="2"/>
    </row>
    <row r="14" spans="1:20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390000</v>
      </c>
      <c r="D14" s="6">
        <v>44734</v>
      </c>
      <c r="E14" s="6">
        <f t="shared" si="0"/>
        <v>2475.5236821744925</v>
      </c>
      <c r="F14" s="6">
        <f>RECAPTONT20000!C14+RECAPTONT20000!D14+TONT20000DEC2015!I14</f>
        <v>437734</v>
      </c>
      <c r="G14" s="6"/>
      <c r="H14" s="7">
        <f t="shared" si="2"/>
        <v>20000</v>
      </c>
      <c r="I14" s="7">
        <v>3000</v>
      </c>
      <c r="J14" s="7">
        <v>500</v>
      </c>
      <c r="K14" s="7">
        <v>1000</v>
      </c>
      <c r="L14" s="7">
        <v>2500</v>
      </c>
      <c r="M14" s="7"/>
      <c r="N14" s="7">
        <v>13000</v>
      </c>
      <c r="O14" s="2"/>
      <c r="P14" s="7">
        <f t="shared" si="1"/>
        <v>0</v>
      </c>
      <c r="Q14" s="2"/>
      <c r="R14" s="2"/>
      <c r="S14" s="2"/>
    </row>
    <row r="15" spans="1:20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390000</v>
      </c>
      <c r="D15" s="6">
        <v>3318</v>
      </c>
      <c r="E15" s="6">
        <f t="shared" si="0"/>
        <v>2241.303153677874</v>
      </c>
      <c r="F15" s="6">
        <f>RECAPTONT20000!C15+RECAPTONT20000!D15+TONT20000DEC2015!I15</f>
        <v>396318</v>
      </c>
      <c r="G15" s="6"/>
      <c r="H15" s="7">
        <f t="shared" si="2"/>
        <v>20000</v>
      </c>
      <c r="I15" s="7">
        <v>3000</v>
      </c>
      <c r="J15" s="7">
        <v>500</v>
      </c>
      <c r="K15" s="7">
        <v>1000</v>
      </c>
      <c r="L15" s="7">
        <v>2500</v>
      </c>
      <c r="M15" s="7"/>
      <c r="N15" s="7">
        <v>13000</v>
      </c>
      <c r="O15" s="2"/>
      <c r="P15" s="7">
        <f t="shared" si="1"/>
        <v>0</v>
      </c>
      <c r="Q15" s="2"/>
      <c r="R15" s="2"/>
      <c r="S15" s="2"/>
    </row>
    <row r="16" spans="1:20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390000</v>
      </c>
      <c r="D16" s="6"/>
      <c r="E16" s="6">
        <f t="shared" si="0"/>
        <v>2222.5388183110645</v>
      </c>
      <c r="F16" s="6">
        <f>RECAPTONT20000!C16+RECAPTONT20000!D16+TONT20000DEC2015!I16</f>
        <v>393000</v>
      </c>
      <c r="G16" s="6"/>
      <c r="H16" s="7">
        <f t="shared" si="2"/>
        <v>20000</v>
      </c>
      <c r="I16" s="7">
        <v>3000</v>
      </c>
      <c r="J16" s="7">
        <v>500</v>
      </c>
      <c r="K16" s="7">
        <v>1000</v>
      </c>
      <c r="L16" s="7">
        <v>2500</v>
      </c>
      <c r="M16" s="7"/>
      <c r="N16" s="7">
        <v>13000</v>
      </c>
      <c r="O16" s="2"/>
      <c r="P16" s="7">
        <f t="shared" si="1"/>
        <v>0</v>
      </c>
      <c r="Q16" s="2"/>
      <c r="R16" s="2"/>
      <c r="S16" s="2"/>
    </row>
    <row r="17" spans="1:19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0</v>
      </c>
      <c r="D17" s="6">
        <v>0</v>
      </c>
      <c r="E17" s="6">
        <f t="shared" si="0"/>
        <v>16.965945177947059</v>
      </c>
      <c r="F17" s="6">
        <f>RECAPTONT20000!C17+RECAPTONT20000!D17+TONT20000DEC2015!I17</f>
        <v>3000</v>
      </c>
      <c r="G17" s="6"/>
      <c r="H17" s="7">
        <f t="shared" si="2"/>
        <v>20000</v>
      </c>
      <c r="I17" s="7">
        <v>3000</v>
      </c>
      <c r="J17" s="7">
        <v>500</v>
      </c>
      <c r="K17" s="7">
        <v>1000</v>
      </c>
      <c r="L17" s="7">
        <v>2500</v>
      </c>
      <c r="M17" s="7"/>
      <c r="N17" s="7">
        <v>13000</v>
      </c>
      <c r="O17" s="2"/>
      <c r="P17" s="7">
        <f t="shared" si="1"/>
        <v>0</v>
      </c>
      <c r="Q17" s="2"/>
      <c r="R17" s="2"/>
      <c r="S17" s="2"/>
    </row>
    <row r="18" spans="1:19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2271.8701315734752</v>
      </c>
      <c r="F18" s="6">
        <f>RECAPTONT20000!C18+RECAPTONT20000!D18+TONT20000DEC2015!I18</f>
        <v>401723</v>
      </c>
      <c r="G18" s="6"/>
      <c r="H18" s="7">
        <f t="shared" si="2"/>
        <v>20000</v>
      </c>
      <c r="I18" s="7">
        <v>3000</v>
      </c>
      <c r="J18" s="7">
        <v>500</v>
      </c>
      <c r="K18" s="7">
        <v>1000</v>
      </c>
      <c r="L18" s="7">
        <v>2500</v>
      </c>
      <c r="M18" s="7"/>
      <c r="N18" s="7">
        <v>13000</v>
      </c>
      <c r="O18" s="2"/>
      <c r="P18" s="7">
        <f t="shared" si="1"/>
        <v>0</v>
      </c>
      <c r="Q18" s="2"/>
      <c r="R18" s="2"/>
      <c r="S18" s="2"/>
    </row>
    <row r="19" spans="1:19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12795</v>
      </c>
      <c r="E19" s="6">
        <f t="shared" si="0"/>
        <v>89.325701361891262</v>
      </c>
      <c r="F19" s="6">
        <f>RECAPTONT20000!C19+RECAPTONT20000!D19+TONT20000DEC2015!I19</f>
        <v>15795</v>
      </c>
      <c r="G19" s="6"/>
      <c r="H19" s="7">
        <f t="shared" si="2"/>
        <v>20000</v>
      </c>
      <c r="I19" s="7">
        <v>3000</v>
      </c>
      <c r="J19" s="7">
        <v>500</v>
      </c>
      <c r="K19" s="7">
        <v>1000</v>
      </c>
      <c r="L19" s="7">
        <v>2500</v>
      </c>
      <c r="M19" s="7"/>
      <c r="N19" s="7">
        <v>13000</v>
      </c>
      <c r="O19" s="2"/>
      <c r="P19" s="7">
        <f t="shared" si="1"/>
        <v>0</v>
      </c>
      <c r="Q19" s="2"/>
      <c r="R19" s="2"/>
      <c r="S19" s="2"/>
    </row>
    <row r="20" spans="1:19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3297.0317136358672</v>
      </c>
      <c r="F20" s="6">
        <f>RECAPTONT20000!C20+RECAPTONT20000!D20+TONT20000DEC2015!I20</f>
        <v>582997</v>
      </c>
      <c r="G20" s="6"/>
      <c r="H20" s="7">
        <f t="shared" si="2"/>
        <v>23000</v>
      </c>
      <c r="I20" s="7">
        <v>6000</v>
      </c>
      <c r="J20" s="7">
        <v>500</v>
      </c>
      <c r="K20" s="7">
        <v>1000</v>
      </c>
      <c r="L20" s="7">
        <v>2500</v>
      </c>
      <c r="M20" s="7"/>
      <c r="N20" s="7">
        <v>13000</v>
      </c>
      <c r="O20" s="2"/>
      <c r="P20" s="7">
        <f t="shared" si="1"/>
        <v>0</v>
      </c>
      <c r="Q20" s="2"/>
      <c r="R20" s="2"/>
      <c r="S20" s="2"/>
    </row>
    <row r="21" spans="1:19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2237.9382412175814</v>
      </c>
      <c r="F21" s="6">
        <f>RECAPTONT20000!C21+RECAPTONT20000!D21+TONT20000DEC2015!I21</f>
        <v>395723</v>
      </c>
      <c r="G21" s="6"/>
      <c r="H21" s="7">
        <f t="shared" si="2"/>
        <v>20000</v>
      </c>
      <c r="I21" s="7">
        <v>3000</v>
      </c>
      <c r="J21" s="7">
        <v>500</v>
      </c>
      <c r="K21" s="7">
        <v>1000</v>
      </c>
      <c r="L21" s="7">
        <v>2500</v>
      </c>
      <c r="M21" s="7"/>
      <c r="N21" s="7">
        <v>13000</v>
      </c>
      <c r="O21" s="2"/>
      <c r="P21" s="7">
        <f t="shared" si="1"/>
        <v>0</v>
      </c>
      <c r="Q21" s="2"/>
      <c r="R21" s="2"/>
      <c r="S21" s="2"/>
    </row>
    <row r="22" spans="1:19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315000</v>
      </c>
      <c r="D22" s="6">
        <v>2099</v>
      </c>
      <c r="E22" s="6">
        <f t="shared" si="0"/>
        <v>1810.2606951718919</v>
      </c>
      <c r="F22" s="6">
        <f>RECAPTONT20000!C22+RECAPTONT20000!D22+TONT20000DEC2015!I22</f>
        <v>320099</v>
      </c>
      <c r="G22" s="6"/>
      <c r="H22" s="7">
        <f t="shared" si="2"/>
        <v>20000</v>
      </c>
      <c r="I22" s="7">
        <v>3000</v>
      </c>
      <c r="J22" s="7">
        <v>500</v>
      </c>
      <c r="K22" s="7">
        <v>1000</v>
      </c>
      <c r="L22" s="7">
        <v>2500</v>
      </c>
      <c r="M22" s="7"/>
      <c r="N22" s="7">
        <v>13000</v>
      </c>
      <c r="O22" s="2"/>
      <c r="P22" s="7">
        <f t="shared" si="1"/>
        <v>0</v>
      </c>
      <c r="Q22" s="2"/>
      <c r="R22" s="2"/>
      <c r="S22" s="2"/>
    </row>
    <row r="23" spans="1:19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2429.6873536187391</v>
      </c>
      <c r="F23" s="6">
        <f>RECAPTONT20000!C23+RECAPTONT20000!D23+TONT20000DEC2015!I23</f>
        <v>429629</v>
      </c>
      <c r="G23" s="6"/>
      <c r="H23" s="7">
        <f t="shared" si="2"/>
        <v>20000</v>
      </c>
      <c r="I23" s="7">
        <v>3000</v>
      </c>
      <c r="J23" s="7">
        <v>500</v>
      </c>
      <c r="K23" s="7">
        <v>1000</v>
      </c>
      <c r="L23" s="7">
        <v>2500</v>
      </c>
      <c r="M23" s="7"/>
      <c r="N23" s="7">
        <v>13000</v>
      </c>
      <c r="O23" s="2"/>
      <c r="P23" s="7">
        <f t="shared" si="1"/>
        <v>0</v>
      </c>
      <c r="Q23" s="2"/>
      <c r="R23" s="2"/>
      <c r="S23" s="2"/>
    </row>
    <row r="24" spans="1:19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390000</v>
      </c>
      <c r="D24" s="6">
        <v>0</v>
      </c>
      <c r="E24" s="6">
        <f t="shared" si="0"/>
        <v>2222.5388183110645</v>
      </c>
      <c r="F24" s="6">
        <f>RECAPTONT20000!C24+RECAPTONT20000!D24+TONT20000DEC2015!I24</f>
        <v>393000</v>
      </c>
      <c r="G24" s="6"/>
      <c r="H24" s="7">
        <f t="shared" si="2"/>
        <v>20000</v>
      </c>
      <c r="I24" s="7">
        <v>3000</v>
      </c>
      <c r="J24" s="7">
        <v>500</v>
      </c>
      <c r="K24" s="7">
        <v>1000</v>
      </c>
      <c r="L24" s="7">
        <v>2500</v>
      </c>
      <c r="M24" s="7"/>
      <c r="N24" s="7">
        <v>13000</v>
      </c>
      <c r="O24" s="7">
        <v>600000</v>
      </c>
      <c r="P24" s="7">
        <f t="shared" si="1"/>
        <v>72000</v>
      </c>
      <c r="Q24" s="2"/>
      <c r="R24" s="2"/>
      <c r="S24" s="2"/>
    </row>
    <row r="25" spans="1:19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390000</v>
      </c>
      <c r="D25" s="6">
        <v>4331</v>
      </c>
      <c r="E25" s="6">
        <f t="shared" si="0"/>
        <v>2247.031987832961</v>
      </c>
      <c r="F25" s="6">
        <f>RECAPTONT20000!C25+RECAPTONT20000!D25+TONT20000DEC2015!I25</f>
        <v>397331</v>
      </c>
      <c r="G25" s="6"/>
      <c r="H25" s="7">
        <f t="shared" si="2"/>
        <v>20000</v>
      </c>
      <c r="I25" s="7">
        <v>3000</v>
      </c>
      <c r="J25" s="7">
        <v>500</v>
      </c>
      <c r="K25" s="7">
        <v>1000</v>
      </c>
      <c r="L25" s="7">
        <v>2500</v>
      </c>
      <c r="M25" s="7"/>
      <c r="N25" s="7">
        <v>13000</v>
      </c>
      <c r="O25" s="2"/>
      <c r="P25" s="7">
        <f t="shared" si="1"/>
        <v>0</v>
      </c>
      <c r="Q25" s="2"/>
      <c r="R25" s="2"/>
      <c r="S25" s="2"/>
    </row>
    <row r="26" spans="1:19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2247.484413037706</v>
      </c>
      <c r="F26" s="6">
        <f>RECAPTONT20000!C26+RECAPTONT20000!D26+TONT20000DEC2015!I26</f>
        <v>397411</v>
      </c>
      <c r="G26" s="6"/>
      <c r="H26" s="7">
        <f t="shared" si="2"/>
        <v>20000</v>
      </c>
      <c r="I26" s="7">
        <v>3000</v>
      </c>
      <c r="J26" s="7">
        <v>500</v>
      </c>
      <c r="K26" s="7">
        <v>1000</v>
      </c>
      <c r="L26" s="7">
        <v>2500</v>
      </c>
      <c r="M26" s="7"/>
      <c r="N26" s="7">
        <v>13000</v>
      </c>
      <c r="O26" s="2"/>
      <c r="P26" s="7">
        <f t="shared" si="1"/>
        <v>0</v>
      </c>
      <c r="Q26" s="2"/>
      <c r="R26" s="2"/>
      <c r="S26" s="2"/>
    </row>
    <row r="27" spans="1:19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2262.4653426298332</v>
      </c>
      <c r="F27" s="6">
        <f>RECAPTONT20000!C27+RECAPTONT20000!D27+TONT20000DEC2015!I27</f>
        <v>400060</v>
      </c>
      <c r="G27" s="6"/>
      <c r="H27" s="7">
        <f t="shared" si="2"/>
        <v>25000</v>
      </c>
      <c r="I27" s="7">
        <v>8000</v>
      </c>
      <c r="J27" s="7">
        <v>500</v>
      </c>
      <c r="K27" s="7">
        <v>1000</v>
      </c>
      <c r="L27" s="7">
        <v>2500</v>
      </c>
      <c r="M27" s="7"/>
      <c r="N27" s="7">
        <v>13000</v>
      </c>
      <c r="O27" s="7">
        <v>400000</v>
      </c>
      <c r="P27" s="7">
        <f t="shared" si="1"/>
        <v>12000</v>
      </c>
      <c r="Q27" s="2"/>
      <c r="R27" s="2"/>
      <c r="S27" s="2"/>
    </row>
    <row r="28" spans="1:19" x14ac:dyDescent="0.25">
      <c r="A28" s="1" t="s">
        <v>33</v>
      </c>
      <c r="B28" s="1" t="str">
        <f>VLOOKUP(A28,LISTADHERENT!A$5:H$51,2)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RECAPTONT20000!C28+RECAPTONT20000!D28+TONT20000DEC2015!I28</f>
        <v>0</v>
      </c>
      <c r="G28" s="6"/>
      <c r="H28" s="7">
        <f t="shared" si="2"/>
        <v>0</v>
      </c>
      <c r="I28" s="7"/>
      <c r="J28" s="7"/>
      <c r="K28" s="7"/>
      <c r="L28" s="7"/>
      <c r="M28" s="7"/>
      <c r="N28" s="7"/>
      <c r="O28" s="2"/>
      <c r="P28" s="7">
        <f t="shared" si="1"/>
        <v>0</v>
      </c>
      <c r="Q28" s="2"/>
      <c r="R28" s="2"/>
      <c r="S28" s="2"/>
    </row>
    <row r="29" spans="1:19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3238.0863647726196</v>
      </c>
      <c r="F29" s="6">
        <f>RECAPTONT20000!C29+RECAPTONT20000!D29+TONT20000DEC2015!I29</f>
        <v>572574</v>
      </c>
      <c r="G29" s="6"/>
      <c r="H29" s="7">
        <f t="shared" si="2"/>
        <v>20000</v>
      </c>
      <c r="I29" s="7">
        <v>3000</v>
      </c>
      <c r="J29" s="7">
        <v>500</v>
      </c>
      <c r="K29" s="7">
        <v>1000</v>
      </c>
      <c r="L29" s="7">
        <v>2500</v>
      </c>
      <c r="M29" s="7"/>
      <c r="N29" s="7">
        <v>13000</v>
      </c>
      <c r="O29" s="2"/>
      <c r="P29" s="7">
        <f t="shared" si="1"/>
        <v>0</v>
      </c>
      <c r="Q29" s="2"/>
      <c r="R29" s="2"/>
      <c r="S29" s="2"/>
    </row>
    <row r="30" spans="1:19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16.965945177947059</v>
      </c>
      <c r="F30" s="6">
        <f>RECAPTONT20000!C30+RECAPTONT20000!D30+TONT20000DEC2015!I30</f>
        <v>3000</v>
      </c>
      <c r="G30" s="6"/>
      <c r="H30" s="7">
        <f t="shared" si="2"/>
        <v>20000</v>
      </c>
      <c r="I30" s="7">
        <v>3000</v>
      </c>
      <c r="J30" s="7">
        <v>500</v>
      </c>
      <c r="K30" s="7">
        <v>1000</v>
      </c>
      <c r="L30" s="7">
        <v>2500</v>
      </c>
      <c r="M30" s="7"/>
      <c r="N30" s="7">
        <v>13000</v>
      </c>
      <c r="O30" s="2"/>
      <c r="P30" s="7">
        <f t="shared" si="1"/>
        <v>0</v>
      </c>
      <c r="Q30" s="2"/>
      <c r="R30" s="2"/>
      <c r="S30" s="2"/>
    </row>
    <row r="31" spans="1:19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14889</v>
      </c>
      <c r="D31" s="6">
        <v>0</v>
      </c>
      <c r="E31" s="6">
        <f t="shared" si="0"/>
        <v>101.16793109609831</v>
      </c>
      <c r="F31" s="6">
        <f>RECAPTONT20000!C31+RECAPTONT20000!D31+TONT20000DEC2015!I31</f>
        <v>17889</v>
      </c>
      <c r="G31" s="6"/>
      <c r="H31" s="7">
        <f t="shared" si="2"/>
        <v>20000</v>
      </c>
      <c r="I31" s="7">
        <v>3000</v>
      </c>
      <c r="J31" s="7">
        <v>500</v>
      </c>
      <c r="K31" s="7">
        <v>1000</v>
      </c>
      <c r="L31" s="7">
        <v>2500</v>
      </c>
      <c r="M31" s="7"/>
      <c r="N31" s="7">
        <v>13000</v>
      </c>
      <c r="O31" s="2"/>
      <c r="P31" s="7">
        <f t="shared" si="1"/>
        <v>0</v>
      </c>
      <c r="Q31" s="2"/>
      <c r="R31" s="2"/>
      <c r="S31" s="2"/>
    </row>
    <row r="32" spans="1:19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2243.6557647425493</v>
      </c>
      <c r="F32" s="6">
        <f>RECAPTONT20000!C32+RECAPTONT20000!D32+TONT20000DEC2015!I32</f>
        <v>396734</v>
      </c>
      <c r="G32" s="6"/>
      <c r="H32" s="7">
        <f t="shared" si="2"/>
        <v>22000</v>
      </c>
      <c r="I32" s="7">
        <v>5000</v>
      </c>
      <c r="J32" s="7">
        <v>500</v>
      </c>
      <c r="K32" s="7">
        <v>1000</v>
      </c>
      <c r="L32" s="7">
        <v>2500</v>
      </c>
      <c r="M32" s="7"/>
      <c r="N32" s="7">
        <v>13000</v>
      </c>
      <c r="O32" s="2"/>
      <c r="P32" s="7">
        <f t="shared" si="1"/>
        <v>0</v>
      </c>
      <c r="Q32" s="2"/>
      <c r="R32" s="2"/>
      <c r="S32" s="2"/>
    </row>
    <row r="33" spans="1:19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0</v>
      </c>
      <c r="D33" s="6">
        <v>0</v>
      </c>
      <c r="E33" s="6">
        <f t="shared" si="0"/>
        <v>33.931890355894119</v>
      </c>
      <c r="F33" s="6">
        <f>RECAPTONT20000!C33+RECAPTONT20000!D33+TONT20000DEC2015!I33</f>
        <v>6000</v>
      </c>
      <c r="G33" s="6"/>
      <c r="H33" s="10">
        <f t="shared" si="2"/>
        <v>23000</v>
      </c>
      <c r="I33" s="7">
        <v>6000</v>
      </c>
      <c r="J33" s="7">
        <v>500</v>
      </c>
      <c r="K33" s="7">
        <v>1000</v>
      </c>
      <c r="L33" s="7">
        <v>2500</v>
      </c>
      <c r="M33" s="7"/>
      <c r="N33" s="7">
        <v>13000</v>
      </c>
      <c r="O33" s="29"/>
      <c r="P33" s="7">
        <f t="shared" si="1"/>
        <v>0</v>
      </c>
      <c r="Q33" s="29"/>
      <c r="R33" s="2"/>
      <c r="S33" s="2"/>
    </row>
    <row r="34" spans="1:19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2300.2371919110028</v>
      </c>
      <c r="F34" s="6">
        <f>RECAPTONT20000!C34+RECAPTONT20000!D34+TONT20000DEC2015!I34</f>
        <v>406739</v>
      </c>
      <c r="G34" s="6"/>
      <c r="H34" s="7">
        <f t="shared" si="2"/>
        <v>25000</v>
      </c>
      <c r="I34" s="7">
        <v>8000</v>
      </c>
      <c r="J34" s="7">
        <v>500</v>
      </c>
      <c r="K34" s="7">
        <v>1000</v>
      </c>
      <c r="L34" s="7">
        <v>2500</v>
      </c>
      <c r="M34" s="7"/>
      <c r="N34" s="7">
        <v>13000</v>
      </c>
      <c r="O34" s="2"/>
      <c r="P34" s="7">
        <f t="shared" si="1"/>
        <v>0</v>
      </c>
      <c r="Q34" s="2"/>
      <c r="R34" s="29"/>
      <c r="S34" s="29"/>
    </row>
    <row r="35" spans="1:19" x14ac:dyDescent="0.25">
      <c r="A35" s="1" t="s">
        <v>40</v>
      </c>
      <c r="B35" s="1" t="str">
        <f>VLOOKUP(A35,LISTADHERENT!A$5:H$51,2)</f>
        <v>NKEPSEU HENANG RENE</v>
      </c>
      <c r="C35" s="6">
        <f>VLOOKUP(A35,FONDSDECAISSE!A$5:C$52,3,0)</f>
        <v>390000</v>
      </c>
      <c r="D35" s="6">
        <v>7983</v>
      </c>
      <c r="E35" s="6">
        <f t="shared" si="0"/>
        <v>2267.6851984295818</v>
      </c>
      <c r="F35" s="6">
        <f>RECAPTONT20000!C35+RECAPTONT20000!D35+TONT20000DEC2015!I35</f>
        <v>400983</v>
      </c>
      <c r="G35" s="6"/>
      <c r="H35" s="7">
        <f t="shared" si="2"/>
        <v>20000</v>
      </c>
      <c r="I35" s="7">
        <v>3000</v>
      </c>
      <c r="J35" s="7">
        <v>500</v>
      </c>
      <c r="K35" s="7">
        <v>1000</v>
      </c>
      <c r="L35" s="7">
        <v>2500</v>
      </c>
      <c r="M35" s="7"/>
      <c r="N35" s="7">
        <v>13000</v>
      </c>
      <c r="O35" s="2"/>
      <c r="P35" s="7">
        <f t="shared" si="1"/>
        <v>0</v>
      </c>
      <c r="Q35" s="2"/>
      <c r="R35" s="2"/>
      <c r="S35" s="2"/>
    </row>
    <row r="36" spans="1:19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0</v>
      </c>
      <c r="E36" s="6">
        <f t="shared" si="0"/>
        <v>16.965945177947059</v>
      </c>
      <c r="F36" s="6">
        <f>RECAPTONT20000!C36+RECAPTONT20000!D36+TONT20000DEC2015!I36</f>
        <v>3000</v>
      </c>
      <c r="G36" s="6"/>
      <c r="H36" s="7">
        <f t="shared" si="2"/>
        <v>20000</v>
      </c>
      <c r="I36" s="7">
        <v>3000</v>
      </c>
      <c r="J36" s="7">
        <v>500</v>
      </c>
      <c r="K36" s="7">
        <v>1000</v>
      </c>
      <c r="L36" s="7">
        <v>2500</v>
      </c>
      <c r="M36" s="7"/>
      <c r="N36" s="7">
        <v>13000</v>
      </c>
      <c r="O36" s="2"/>
      <c r="P36" s="7">
        <f t="shared" si="1"/>
        <v>0</v>
      </c>
      <c r="Q36" s="2"/>
      <c r="R36" s="2"/>
      <c r="S36" s="2"/>
    </row>
    <row r="37" spans="1:19" x14ac:dyDescent="0.25">
      <c r="A37" s="1" t="s">
        <v>42</v>
      </c>
      <c r="B37" s="1" t="str">
        <f>VLOOKUP(A37,LISTADHERENT!A$5:H$51,2)</f>
        <v>NTOMBOU ADOLPHE</v>
      </c>
      <c r="C37" s="6">
        <f>VLOOKUP(A37,FONDSDECAISSE!A$5:C$52,3,0)</f>
        <v>0</v>
      </c>
      <c r="D37" s="6">
        <v>0</v>
      </c>
      <c r="E37" s="6">
        <f t="shared" si="0"/>
        <v>16.965945177947059</v>
      </c>
      <c r="F37" s="6">
        <f>RECAPTONT20000!C37+RECAPTONT20000!D37+TONT20000DEC2015!I37</f>
        <v>3000</v>
      </c>
      <c r="G37" s="6"/>
      <c r="H37" s="7">
        <f t="shared" si="2"/>
        <v>20000</v>
      </c>
      <c r="I37" s="7">
        <v>3000</v>
      </c>
      <c r="J37" s="7">
        <v>500</v>
      </c>
      <c r="K37" s="7">
        <v>1000</v>
      </c>
      <c r="L37" s="7">
        <v>2500</v>
      </c>
      <c r="M37" s="7"/>
      <c r="N37" s="7">
        <v>13000</v>
      </c>
      <c r="O37" s="2"/>
      <c r="P37" s="7">
        <f t="shared" si="1"/>
        <v>0</v>
      </c>
      <c r="Q37" s="2"/>
      <c r="R37" s="2"/>
      <c r="S37" s="2"/>
    </row>
    <row r="38" spans="1:19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2223.330562419369</v>
      </c>
      <c r="F38" s="6">
        <f>RECAPTONT20000!C38+RECAPTONT20000!D38+TONT20000DEC2015!I38</f>
        <v>393140</v>
      </c>
      <c r="G38" s="6"/>
      <c r="H38" s="7">
        <f t="shared" si="2"/>
        <v>20000</v>
      </c>
      <c r="I38" s="7">
        <v>3000</v>
      </c>
      <c r="J38" s="7">
        <v>500</v>
      </c>
      <c r="K38" s="7">
        <v>1000</v>
      </c>
      <c r="L38" s="7">
        <v>2500</v>
      </c>
      <c r="M38" s="7"/>
      <c r="N38" s="7">
        <v>13000</v>
      </c>
      <c r="O38" s="2"/>
      <c r="P38" s="7">
        <f t="shared" si="1"/>
        <v>0</v>
      </c>
      <c r="Q38" s="2"/>
      <c r="R38" s="2"/>
      <c r="S38" s="2"/>
    </row>
    <row r="39" spans="1:19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2237.4236075471836</v>
      </c>
      <c r="F39" s="6">
        <f>RECAPTONT20000!C39+RECAPTONT20000!D39+TONT20000DEC2015!I39</f>
        <v>395632</v>
      </c>
      <c r="G39" s="6"/>
      <c r="H39" s="7">
        <f t="shared" si="2"/>
        <v>20000</v>
      </c>
      <c r="I39" s="7">
        <v>3000</v>
      </c>
      <c r="J39" s="7">
        <v>500</v>
      </c>
      <c r="K39" s="7">
        <v>1000</v>
      </c>
      <c r="L39" s="7">
        <v>2500</v>
      </c>
      <c r="M39" s="7"/>
      <c r="N39" s="7">
        <v>13000</v>
      </c>
      <c r="O39" s="2"/>
      <c r="P39" s="7">
        <f t="shared" si="1"/>
        <v>0</v>
      </c>
      <c r="Q39" s="2"/>
      <c r="R39" s="2"/>
      <c r="S39" s="2"/>
    </row>
    <row r="40" spans="1:19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0</v>
      </c>
      <c r="D40" s="6">
        <v>0</v>
      </c>
      <c r="E40" s="6">
        <f t="shared" si="0"/>
        <v>16.965945177947059</v>
      </c>
      <c r="F40" s="6">
        <f>RECAPTONT20000!C40+RECAPTONT20000!D40+TONT20000DEC2015!I40</f>
        <v>3000</v>
      </c>
      <c r="G40" s="6"/>
      <c r="H40" s="7">
        <f t="shared" si="2"/>
        <v>20000</v>
      </c>
      <c r="I40" s="7">
        <v>3000</v>
      </c>
      <c r="J40" s="7">
        <v>500</v>
      </c>
      <c r="K40" s="7">
        <v>1000</v>
      </c>
      <c r="L40" s="7">
        <v>2500</v>
      </c>
      <c r="M40" s="7"/>
      <c r="N40" s="7">
        <v>13000</v>
      </c>
      <c r="O40" s="2"/>
      <c r="P40" s="7">
        <f t="shared" si="1"/>
        <v>0</v>
      </c>
      <c r="Q40" s="2"/>
      <c r="R40" s="2"/>
      <c r="S40" s="2"/>
    </row>
    <row r="41" spans="1:19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2228.0923376993128</v>
      </c>
      <c r="F41" s="6">
        <f>RECAPTONT20000!C41+RECAPTONT20000!D41+TONT20000DEC2015!I41</f>
        <v>393982</v>
      </c>
      <c r="G41" s="6"/>
      <c r="H41" s="7">
        <f t="shared" si="2"/>
        <v>20000</v>
      </c>
      <c r="I41" s="7">
        <v>3000</v>
      </c>
      <c r="J41" s="7">
        <v>500</v>
      </c>
      <c r="K41" s="7">
        <v>1000</v>
      </c>
      <c r="L41" s="7">
        <v>2500</v>
      </c>
      <c r="M41" s="7"/>
      <c r="N41" s="7">
        <v>13000</v>
      </c>
      <c r="O41" s="2"/>
      <c r="P41" s="7">
        <f t="shared" si="1"/>
        <v>0</v>
      </c>
      <c r="Q41" s="2"/>
      <c r="R41" s="2"/>
      <c r="S41" s="2"/>
    </row>
    <row r="42" spans="1:19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390000</v>
      </c>
      <c r="D42" s="6">
        <v>636</v>
      </c>
      <c r="E42" s="6">
        <f t="shared" si="0"/>
        <v>2226.1355986887893</v>
      </c>
      <c r="F42" s="6">
        <f>RECAPTONT20000!C42+RECAPTONT20000!D42+TONT20000DEC2015!I42</f>
        <v>393636</v>
      </c>
      <c r="G42" s="6"/>
      <c r="H42" s="7">
        <f t="shared" si="2"/>
        <v>20000</v>
      </c>
      <c r="I42" s="7">
        <v>3000</v>
      </c>
      <c r="J42" s="7">
        <v>500</v>
      </c>
      <c r="K42" s="7">
        <v>1000</v>
      </c>
      <c r="L42" s="7">
        <v>2500</v>
      </c>
      <c r="M42" s="7"/>
      <c r="N42" s="7">
        <v>13000</v>
      </c>
      <c r="O42" s="2"/>
      <c r="P42" s="7">
        <f t="shared" si="1"/>
        <v>0</v>
      </c>
      <c r="Q42" s="2"/>
      <c r="R42" s="2"/>
      <c r="S42" s="2"/>
    </row>
    <row r="43" spans="1:19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390000</v>
      </c>
      <c r="D43" s="6">
        <v>146079</v>
      </c>
      <c r="E43" s="6">
        <f t="shared" si="0"/>
        <v>8025.3388390586442</v>
      </c>
      <c r="F43" s="6">
        <f>RECAPTONT20000!C43+RECAPTONT20000!D43+TONT20000DEC2015!I43</f>
        <v>1419079</v>
      </c>
      <c r="G43" s="6"/>
      <c r="H43" s="7">
        <f t="shared" si="2"/>
        <v>900000</v>
      </c>
      <c r="I43" s="7">
        <v>883000</v>
      </c>
      <c r="J43" s="7">
        <v>500</v>
      </c>
      <c r="K43" s="7">
        <v>1000</v>
      </c>
      <c r="L43" s="7">
        <v>2500</v>
      </c>
      <c r="M43" s="7"/>
      <c r="N43" s="7">
        <v>13000</v>
      </c>
      <c r="O43" s="2"/>
      <c r="P43" s="7">
        <f t="shared" si="1"/>
        <v>0</v>
      </c>
      <c r="Q43" s="2"/>
      <c r="R43" s="2"/>
      <c r="S43" s="2"/>
    </row>
    <row r="44" spans="1:19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0</v>
      </c>
      <c r="D44" s="6">
        <v>0</v>
      </c>
      <c r="E44" s="6">
        <f t="shared" si="0"/>
        <v>16.965945177947059</v>
      </c>
      <c r="F44" s="6">
        <f>RECAPTONT20000!C44+RECAPTONT20000!D44+TONT20000DEC2015!I44</f>
        <v>3000</v>
      </c>
      <c r="G44" s="6"/>
      <c r="H44" s="7">
        <f t="shared" si="2"/>
        <v>20000</v>
      </c>
      <c r="I44" s="7">
        <v>3000</v>
      </c>
      <c r="J44" s="7">
        <v>500</v>
      </c>
      <c r="K44" s="7">
        <v>1000</v>
      </c>
      <c r="L44" s="7">
        <v>2500</v>
      </c>
      <c r="M44" s="7"/>
      <c r="N44" s="7">
        <v>13000</v>
      </c>
      <c r="O44" s="2"/>
      <c r="P44" s="7">
        <f t="shared" si="1"/>
        <v>0</v>
      </c>
      <c r="Q44" s="2"/>
      <c r="R44" s="2"/>
      <c r="S44" s="2"/>
    </row>
    <row r="45" spans="1:19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0</v>
      </c>
      <c r="E45" s="6">
        <f t="shared" si="0"/>
        <v>16.965945177947059</v>
      </c>
      <c r="F45" s="6">
        <f>RECAPTONT20000!C45+RECAPTONT20000!D45+TONT20000DEC2015!I45</f>
        <v>3000</v>
      </c>
      <c r="G45" s="6"/>
      <c r="H45" s="7">
        <f t="shared" si="2"/>
        <v>20000</v>
      </c>
      <c r="I45" s="7">
        <v>3000</v>
      </c>
      <c r="J45" s="7">
        <v>500</v>
      </c>
      <c r="K45" s="7">
        <v>1000</v>
      </c>
      <c r="L45" s="7">
        <v>2500</v>
      </c>
      <c r="M45" s="7"/>
      <c r="N45" s="7">
        <v>13000</v>
      </c>
      <c r="O45" s="2"/>
      <c r="P45" s="7">
        <f t="shared" si="1"/>
        <v>0</v>
      </c>
      <c r="Q45" s="2"/>
      <c r="R45" s="2"/>
      <c r="S45" s="2"/>
    </row>
    <row r="46" spans="1:19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2241.9761361699325</v>
      </c>
      <c r="F46" s="6">
        <f>RECAPTONT20000!C46+RECAPTONT20000!D46+TONT20000DEC2015!I46</f>
        <v>396437</v>
      </c>
      <c r="G46" s="6"/>
      <c r="H46" s="7">
        <f t="shared" si="2"/>
        <v>20000</v>
      </c>
      <c r="I46" s="7">
        <v>3000</v>
      </c>
      <c r="J46" s="7">
        <v>500</v>
      </c>
      <c r="K46" s="7">
        <v>1000</v>
      </c>
      <c r="L46" s="7">
        <v>2500</v>
      </c>
      <c r="M46" s="7"/>
      <c r="N46" s="7">
        <v>13000</v>
      </c>
      <c r="O46" s="7">
        <v>500000</v>
      </c>
      <c r="P46" s="7">
        <f t="shared" si="1"/>
        <v>15000</v>
      </c>
      <c r="Q46" s="2"/>
      <c r="R46" s="2"/>
      <c r="S46" s="2"/>
    </row>
    <row r="47" spans="1:19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257119</v>
      </c>
      <c r="D47" s="6">
        <v>4925</v>
      </c>
      <c r="E47" s="6">
        <f t="shared" si="0"/>
        <v>1515.8732697592138</v>
      </c>
      <c r="F47" s="6">
        <f>RECAPTONT20000!C47+RECAPTONT20000!D47+TONT20000DEC2015!I47</f>
        <v>268044</v>
      </c>
      <c r="G47" s="6"/>
      <c r="H47" s="7">
        <f t="shared" si="2"/>
        <v>23000</v>
      </c>
      <c r="I47" s="7">
        <v>6000</v>
      </c>
      <c r="J47" s="7">
        <v>500</v>
      </c>
      <c r="K47" s="7">
        <v>1000</v>
      </c>
      <c r="L47" s="7">
        <v>2500</v>
      </c>
      <c r="M47" s="7"/>
      <c r="N47" s="7">
        <v>13000</v>
      </c>
      <c r="O47" s="2"/>
      <c r="P47" s="7">
        <f t="shared" si="1"/>
        <v>0</v>
      </c>
      <c r="Q47" s="2"/>
      <c r="R47" s="2"/>
      <c r="S47" s="2"/>
    </row>
    <row r="48" spans="1:19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0</v>
      </c>
      <c r="E48" s="6">
        <f t="shared" si="0"/>
        <v>16.965945177947059</v>
      </c>
      <c r="F48" s="6">
        <f>RECAPTONT20000!C48+RECAPTONT20000!D48+TONT20000DEC2015!I48</f>
        <v>3000</v>
      </c>
      <c r="G48" s="6"/>
      <c r="H48" s="7">
        <f t="shared" si="2"/>
        <v>20000</v>
      </c>
      <c r="I48" s="7">
        <v>3000</v>
      </c>
      <c r="J48" s="7">
        <v>500</v>
      </c>
      <c r="K48" s="7">
        <v>1000</v>
      </c>
      <c r="L48" s="7">
        <v>2500</v>
      </c>
      <c r="M48" s="7"/>
      <c r="N48" s="7">
        <v>13000</v>
      </c>
      <c r="O48" s="2"/>
      <c r="P48" s="7">
        <f t="shared" si="1"/>
        <v>0</v>
      </c>
      <c r="Q48" s="2"/>
      <c r="R48" s="2"/>
      <c r="S48" s="2"/>
    </row>
    <row r="49" spans="1:19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390000</v>
      </c>
      <c r="D49" s="6">
        <v>804</v>
      </c>
      <c r="E49" s="6">
        <f t="shared" si="0"/>
        <v>2227.0856916187545</v>
      </c>
      <c r="F49" s="6">
        <f>RECAPTONT20000!C49+RECAPTONT20000!D49+TONT20000DEC2015!I49</f>
        <v>393804</v>
      </c>
      <c r="G49" s="6"/>
      <c r="H49" s="7">
        <f t="shared" si="2"/>
        <v>20000</v>
      </c>
      <c r="I49" s="7">
        <v>3000</v>
      </c>
      <c r="J49" s="7">
        <v>500</v>
      </c>
      <c r="K49" s="7">
        <v>1000</v>
      </c>
      <c r="L49" s="7">
        <v>2500</v>
      </c>
      <c r="M49" s="7"/>
      <c r="N49" s="7">
        <v>13000</v>
      </c>
      <c r="O49" s="2"/>
      <c r="P49" s="7">
        <f t="shared" si="1"/>
        <v>0</v>
      </c>
      <c r="Q49" s="2"/>
      <c r="R49" s="2"/>
      <c r="S49" s="2"/>
    </row>
    <row r="50" spans="1:19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2322.2759546971561</v>
      </c>
      <c r="F50" s="6">
        <f>RECAPTONT20000!C50+RECAPTONT20000!D50+TONT20000DEC2015!I50</f>
        <v>410636</v>
      </c>
      <c r="G50" s="6"/>
      <c r="H50" s="7">
        <f t="shared" ref="H50:H51" si="3">I50+J50+K50+L50+M50+N50</f>
        <v>20000</v>
      </c>
      <c r="I50" s="7">
        <v>3000</v>
      </c>
      <c r="J50" s="7">
        <v>500</v>
      </c>
      <c r="K50" s="7">
        <v>1000</v>
      </c>
      <c r="L50" s="7">
        <v>2500</v>
      </c>
      <c r="M50" s="7"/>
      <c r="N50" s="7">
        <v>13000</v>
      </c>
      <c r="O50" s="2"/>
      <c r="P50" s="7">
        <f t="shared" si="1"/>
        <v>0</v>
      </c>
      <c r="Q50" s="2"/>
      <c r="R50" s="2"/>
      <c r="S50" s="2"/>
    </row>
    <row r="51" spans="1:19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4604.7667679520264</v>
      </c>
      <c r="F51" s="6">
        <f>RECAPTONT20000!C51+RECAPTONT20000!D51+TONT20000DEC2015!I51</f>
        <v>814237</v>
      </c>
      <c r="G51" s="6"/>
      <c r="H51" s="7">
        <f t="shared" si="3"/>
        <v>20000</v>
      </c>
      <c r="I51" s="7">
        <v>3000</v>
      </c>
      <c r="J51" s="7">
        <v>500</v>
      </c>
      <c r="K51" s="7">
        <v>1000</v>
      </c>
      <c r="L51" s="7">
        <v>2500</v>
      </c>
      <c r="M51" s="7"/>
      <c r="N51" s="7">
        <v>13000</v>
      </c>
      <c r="O51" s="9"/>
      <c r="P51" s="7">
        <f t="shared" si="1"/>
        <v>0</v>
      </c>
      <c r="Q51" s="9"/>
      <c r="R51" s="2"/>
      <c r="S51" s="2"/>
    </row>
    <row r="52" spans="1:19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7896.397655706247</v>
      </c>
      <c r="F52" s="6">
        <f>RECAPTONT20000!C52+RECAPTONT20000!D52+TONT20000DEC2015!I52</f>
        <v>1396279</v>
      </c>
      <c r="G52" s="6"/>
      <c r="H52" s="7">
        <f t="shared" ref="H52" si="4">I52+J52+K52+L52+M52+N52</f>
        <v>20000</v>
      </c>
      <c r="I52" s="7">
        <v>3000</v>
      </c>
      <c r="J52" s="7">
        <v>500</v>
      </c>
      <c r="K52" s="7">
        <v>1000</v>
      </c>
      <c r="L52" s="7">
        <v>2500</v>
      </c>
      <c r="N52" s="7">
        <v>13000</v>
      </c>
      <c r="O52" s="2"/>
      <c r="P52" s="7">
        <f t="shared" si="1"/>
        <v>0</v>
      </c>
      <c r="Q52" s="2"/>
      <c r="R52" s="2"/>
      <c r="S52" s="2"/>
    </row>
    <row r="53" spans="1:19" x14ac:dyDescent="0.25">
      <c r="A53" s="1"/>
      <c r="B53" s="1"/>
      <c r="C53" s="6"/>
      <c r="D53" s="6"/>
      <c r="E53" s="6"/>
      <c r="F53" s="6"/>
      <c r="G53" s="6"/>
      <c r="H53" s="7"/>
      <c r="I53" s="7"/>
      <c r="J53" s="7"/>
      <c r="K53" s="7"/>
      <c r="L53" s="7"/>
      <c r="N53" s="7"/>
      <c r="O53" s="2"/>
      <c r="P53" s="7"/>
      <c r="Q53" s="2"/>
      <c r="R53" s="2"/>
      <c r="S53" s="2"/>
    </row>
    <row r="54" spans="1:19" x14ac:dyDescent="0.25">
      <c r="A54" s="1"/>
      <c r="B54" s="1" t="s">
        <v>180</v>
      </c>
      <c r="C54" s="6"/>
      <c r="D54" s="6"/>
      <c r="E54" s="6"/>
      <c r="F54" s="6"/>
      <c r="G54" s="6"/>
      <c r="I54" s="2"/>
      <c r="J54" s="30"/>
      <c r="N54" s="7">
        <v>104000</v>
      </c>
      <c r="O54" s="2"/>
      <c r="P54" s="7">
        <f t="shared" si="1"/>
        <v>0</v>
      </c>
      <c r="Q54" s="2"/>
      <c r="R54" s="2"/>
      <c r="S54" s="2"/>
    </row>
    <row r="55" spans="1:19" x14ac:dyDescent="0.25">
      <c r="A55" s="1"/>
      <c r="B55" s="1"/>
      <c r="C55" s="1"/>
      <c r="D55" s="1"/>
      <c r="E55" s="1"/>
      <c r="F55" s="1"/>
      <c r="G55" s="1"/>
      <c r="N55" s="7"/>
    </row>
    <row r="56" spans="1:19" ht="18" x14ac:dyDescent="0.25">
      <c r="A56" s="1" t="s">
        <v>56</v>
      </c>
      <c r="B56" s="1"/>
      <c r="C56" s="9">
        <f>SUM(C5:C52)</f>
        <v>12996142</v>
      </c>
      <c r="D56" s="9">
        <f t="shared" ref="D56:R56" si="5">SUM(D5:D52)</f>
        <v>3533219</v>
      </c>
      <c r="E56" s="9">
        <f t="shared" si="5"/>
        <v>98999.999999999971</v>
      </c>
      <c r="F56" s="9">
        <f t="shared" si="5"/>
        <v>17505656</v>
      </c>
      <c r="G56" s="9">
        <f t="shared" si="5"/>
        <v>0</v>
      </c>
      <c r="H56" s="9">
        <f t="shared" si="5"/>
        <v>1828000</v>
      </c>
      <c r="I56" s="9">
        <f t="shared" si="5"/>
        <v>1046000</v>
      </c>
      <c r="J56" s="9">
        <f t="shared" si="5"/>
        <v>23000</v>
      </c>
      <c r="K56" s="9">
        <f t="shared" si="5"/>
        <v>46000</v>
      </c>
      <c r="L56" s="9">
        <f t="shared" si="5"/>
        <v>115000</v>
      </c>
      <c r="M56" s="9">
        <f t="shared" si="5"/>
        <v>0</v>
      </c>
      <c r="N56" s="9">
        <f t="shared" si="5"/>
        <v>598000</v>
      </c>
      <c r="O56" s="9">
        <f t="shared" si="5"/>
        <v>1500000</v>
      </c>
      <c r="P56" s="9">
        <f t="shared" si="5"/>
        <v>99000</v>
      </c>
      <c r="Q56" s="9">
        <f t="shared" si="5"/>
        <v>0</v>
      </c>
      <c r="R56" s="9">
        <f t="shared" si="5"/>
        <v>0</v>
      </c>
    </row>
  </sheetData>
  <autoFilter ref="A4:Q49"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J6:J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D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" customWidth="1"/>
    <col min="4" max="4" width="20.85546875" customWidth="1"/>
    <col min="5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4206.7983317359185</v>
      </c>
      <c r="D5" s="6">
        <f>TONT20000MARS!C5+TONT20000MARS!D5+TONT20000AVRIL!G5</f>
        <v>324736.71748457651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5796.3762138227676</v>
      </c>
      <c r="D6" s="6">
        <f>TONT20000MARS!C6+TONT20000MARS!D6+TONT20000AVRIL!G6</f>
        <v>447441.50694900588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5375.464979964564</v>
      </c>
      <c r="D7" s="6">
        <f>TONT20000MARS!C7+TONT20000MARS!D7+TONT20000AVRIL!G7</f>
        <v>414949.97261413006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5377.2897396489207</v>
      </c>
      <c r="D8" s="6">
        <f>TONT20000MARS!C8+TONT20000MARS!D8+TONT20000AVRIL!G8</f>
        <v>415090.83186702692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5460.7791066563577</v>
      </c>
      <c r="D9" s="6">
        <f>TONT20000MARS!C9+TONT20000MARS!D9+TONT20000AVRIL!G9</f>
        <v>421535.65304667031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5561.9012949809658</v>
      </c>
      <c r="D10" s="6">
        <f>TONT20000MARS!C10+TONT20000MARS!D10+TONT20000AVRIL!G10</f>
        <v>429341.61019314465</v>
      </c>
      <c r="E10" s="1"/>
      <c r="F10" s="7">
        <f t="shared" si="1"/>
        <v>25000</v>
      </c>
      <c r="G10" s="7">
        <v>8000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66.114481317259731</v>
      </c>
      <c r="D11" s="6">
        <f>TONT20000MARS!C11+TONT20000MARS!D11+TONT20000AVRIL!G11</f>
        <v>5103.5961194514539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18648.245012997726</v>
      </c>
      <c r="D12" s="6">
        <f>TONT20000MARS!C12+TONT20000MARS!D12+TONT20000AVRIL!G12</f>
        <v>1439519.8901465086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4415.8793981258577</v>
      </c>
      <c r="D13" s="6">
        <f>TONT20000MARS!C13+TONT20000MARS!D13+TONT20000AVRIL!G13</f>
        <v>340876.37853641174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5944.4462061809018</v>
      </c>
      <c r="D14" s="6">
        <f>TONT20000MARS!C14+TONT20000MARS!D14+TONT20000AVRIL!G14</f>
        <v>458871.5208181293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5396.8067345337768</v>
      </c>
      <c r="D15" s="6">
        <f>TONT20000MARS!C15+TONT20000MARS!D15+TONT20000AVRIL!G15</f>
        <v>416597.4134414891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>
        <v>1000000</v>
      </c>
      <c r="N15" s="7">
        <f t="shared" si="2"/>
        <v>120000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5352.933164731644</v>
      </c>
      <c r="D16" s="6">
        <f>TONT20000MARS!C16+TONT20000MARS!D16+TONT20000AVRIL!G16</f>
        <v>413210.66705662111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196.00362198538465</v>
      </c>
      <c r="D17" s="6">
        <f>TONT20000MARS!C17+TONT20000MARS!D17+TONT20000AVRIL!G17</f>
        <v>15130.169739407698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5468.2764888377342</v>
      </c>
      <c r="D18" s="6">
        <f>TONT20000MARS!C18+TONT20000MARS!D18+TONT20000AVRIL!G18</f>
        <v>422114.40084661607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365.1905796762523</v>
      </c>
      <c r="D19" s="6">
        <f>TONT20000MARS!C19+TONT20000MARS!D19+TONT20000AVRIL!G19</f>
        <v>28190.272209083967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14245.578551813711</v>
      </c>
      <c r="D20" s="6">
        <f>TONT20000MARS!C20+TONT20000MARS!D20+TONT20000AVRIL!G20</f>
        <v>1099663.4620409163</v>
      </c>
      <c r="E20" s="1"/>
      <c r="F20" s="7">
        <f t="shared" si="1"/>
        <v>363000</v>
      </c>
      <c r="G20" s="7">
        <v>346000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5388.939111257022</v>
      </c>
      <c r="D21" s="6">
        <f>TONT20000MARS!C21+TONT20000MARS!D21+TONT20000AVRIL!G21</f>
        <v>415990.08550327428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4388.9708042297325</v>
      </c>
      <c r="D22" s="6">
        <f>TONT20000MARS!C22+TONT20000MARS!D22+TONT20000AVRIL!G22</f>
        <v>338799.21491579496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5837.2746319656235</v>
      </c>
      <c r="D23" s="6">
        <f>TONT20000MARS!C23+TONT20000MARS!D23+TONT20000AVRIL!G23</f>
        <v>450598.59150849847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5352.933164731644</v>
      </c>
      <c r="D24" s="6">
        <f>TONT20000MARS!C24+TONT20000MARS!D24+TONT20000AVRIL!G24</f>
        <v>413210.66705662111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>
        <v>1000000</v>
      </c>
      <c r="N24" s="7">
        <f t="shared" si="2"/>
        <v>120000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5410.2015284486533</v>
      </c>
      <c r="D25" s="6">
        <f>TONT20000MARS!C25+TONT20000MARS!D25+TONT20000AVRIL!G25</f>
        <v>417631.40201528993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5411.2593601497292</v>
      </c>
      <c r="D26" s="6">
        <f>TONT20000MARS!C26+TONT20000MARS!D26+TONT20000AVRIL!G26</f>
        <v>417713.05955320114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5706.8450343433278</v>
      </c>
      <c r="D27" s="6">
        <f>TONT20000MARS!C27+TONT20000MARS!D27+TONT20000AVRIL!G27</f>
        <v>440530.29822351452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TONT20000MARS!C28+TONT20000MARS!D28+TONT20000AVRIL!G28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7727.4215383447627</v>
      </c>
      <c r="D29" s="6">
        <f>TONT20000MARS!C29+TONT20000MARS!D29+TONT20000AVRIL!G29</f>
        <v>596505.30096749612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196.00362198538465</v>
      </c>
      <c r="D30" s="6">
        <f>TONT20000MARS!C30+TONT20000MARS!D30+TONT20000AVRIL!G30</f>
        <v>15130.169739407698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392.87932445192064</v>
      </c>
      <c r="D31" s="6">
        <f>TONT20000MARS!C31+TONT20000MARS!D31+TONT20000AVRIL!G31</f>
        <v>30327.658263910234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5545.2215389020466</v>
      </c>
      <c r="D32" s="6">
        <f>TONT20000MARS!C32+TONT20000MARS!D32+TONT20000AVRIL!G32</f>
        <v>428054.04449344153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392.00724397076931</v>
      </c>
      <c r="D33" s="6">
        <f>TONT20000MARS!C33+TONT20000MARS!D33+TONT20000AVRIL!G33</f>
        <v>30260.339478815396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5795.1607584869244</v>
      </c>
      <c r="D34" s="6">
        <f>TONT20000MARS!C34+TONT20000MARS!D34+TONT20000AVRIL!G34</f>
        <v>447347.68191987782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5458.4915456027793</v>
      </c>
      <c r="D35" s="6">
        <f>TONT20000MARS!C35+TONT20000MARS!D35+TONT20000AVRIL!G35</f>
        <v>421359.06862093724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79.11430022036761</v>
      </c>
      <c r="D36" s="6">
        <f>TONT20000MARS!C36+TONT20000MARS!D36+TONT20000AVRIL!G36</f>
        <v>6107.0952619328591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196.00362198538465</v>
      </c>
      <c r="D37" s="6">
        <f>TONT20000MARS!C37+TONT20000MARS!D37+TONT20000AVRIL!G37</f>
        <v>15130.169739407698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5354.7843702085256</v>
      </c>
      <c r="D38" s="6">
        <f>TONT20000MARS!C38+TONT20000MARS!D38+TONT20000AVRIL!G38</f>
        <v>413353.56774796569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5387.7358276970481</v>
      </c>
      <c r="D39" s="6">
        <f>TONT20000MARS!C39+TONT20000MARS!D39+TONT20000AVRIL!G39</f>
        <v>415897.20005390025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196.00362198538465</v>
      </c>
      <c r="D40" s="6">
        <f>TONT20000MARS!C40+TONT20000MARS!D40+TONT20000AVRIL!G40</f>
        <v>15130.169739407698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5365.9180488623533</v>
      </c>
      <c r="D41" s="6">
        <f>TONT20000MARS!C41+TONT20000MARS!D41+TONT20000AVRIL!G41</f>
        <v>414213.01333448134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5361.3429267551983</v>
      </c>
      <c r="D42" s="6">
        <f>TONT20000MARS!C42+TONT20000MARS!D42+TONT20000AVRIL!G42</f>
        <v>413859.8444830153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18920.66933983815</v>
      </c>
      <c r="D43" s="6">
        <f>TONT20000MARS!C43+TONT20000MARS!D43+TONT20000AVRIL!G43</f>
        <v>1460549.2275867467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 t="shared" si="2"/>
        <v>6000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196.00362198538465</v>
      </c>
      <c r="D44" s="6">
        <f>TONT20000MARS!C44+TONT20000MARS!D44+TONT20000AVRIL!G44</f>
        <v>15130.169739407698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196.00362198538465</v>
      </c>
      <c r="D45" s="6">
        <f>TONT20000MARS!C45+TONT20000MARS!D45+TONT20000AVRIL!G45</f>
        <v>15130.169739407698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5398.3802591891272</v>
      </c>
      <c r="D46" s="6">
        <f>TONT20000MARS!C46+TONT20000MARS!D46+TONT20000AVRIL!G46</f>
        <v>416718.87902913196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3856.9878724307705</v>
      </c>
      <c r="D47" s="6">
        <f>TONT20000MARS!C47+TONT20000MARS!D47+TONT20000AVRIL!G47</f>
        <v>297733.68778392271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117.56929332466937</v>
      </c>
      <c r="D48" s="6">
        <f>TONT20000MARS!C48+TONT20000MARS!D48+TONT20000AVRIL!G48</f>
        <v>9075.5637376798204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5363.5643733274583</v>
      </c>
      <c r="D49" s="6">
        <f>TONT20000MARS!C49+TONT20000MARS!D49+TONT20000AVRIL!G49</f>
        <v>414031.32531262888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5586.1321632338813</v>
      </c>
      <c r="D50" s="6">
        <f>TONT20000MARS!C50+TONT20000MARS!D50+TONT20000AVRIL!G50</f>
        <v>431212.07128915022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10922.906318059349</v>
      </c>
      <c r="D51" s="6">
        <f>TONT20000MARS!C51+TONT20000MARS!D51+TONT20000AVRIL!G51</f>
        <v>843175.37077049538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18619.187305031446</v>
      </c>
      <c r="D52" s="6">
        <f>TONT20000MARS!C52+TONT20000MARS!D52+TONT20000AVRIL!G52</f>
        <v>1437276.8292820479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60500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245999.99999999988</v>
      </c>
      <c r="D56" s="9">
        <f t="shared" ref="D56:Q56" si="3">SUM(D5:D52)</f>
        <v>18989556.000000004</v>
      </c>
      <c r="E56" s="9">
        <f t="shared" si="3"/>
        <v>0</v>
      </c>
      <c r="F56" s="9">
        <f t="shared" si="3"/>
        <v>1247000</v>
      </c>
      <c r="G56" s="9">
        <f t="shared" si="3"/>
        <v>499000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2200000</v>
      </c>
      <c r="N56" s="9">
        <f t="shared" si="3"/>
        <v>246000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42578125" customWidth="1"/>
    <col min="4" max="4" width="16.85546875" customWidth="1"/>
    <col min="5" max="5" width="14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1489.1392586539394</v>
      </c>
      <c r="D5" s="6">
        <f>TONT20000AVRIL!C5+TONT20000AVRIL!D5+TONT20000MAI!G5</f>
        <v>328943.51581631246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2065.4054888934988</v>
      </c>
      <c r="D6" s="6">
        <f>TONT20000AVRIL!C6+TONT20000AVRIL!D6+TONT20000MAI!G6</f>
        <v>456237.88316282863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1916.409650890474</v>
      </c>
      <c r="D7" s="6">
        <f>TONT20000AVRIL!C7+TONT20000AVRIL!D7+TONT20000MAI!G7</f>
        <v>423325.4375940946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1917.0555866043601</v>
      </c>
      <c r="D8" s="6">
        <f>TONT20000AVRIL!C8+TONT20000AVRIL!D8+TONT20000MAI!G8</f>
        <v>423468.12160667585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1946.6094858614319</v>
      </c>
      <c r="D9" s="6">
        <f>TONT20000AVRIL!C9+TONT20000AVRIL!D9+TONT20000MAI!G9</f>
        <v>429996.43215332669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1982.4051215635675</v>
      </c>
      <c r="D10" s="6">
        <f>TONT20000AVRIL!C10+TONT20000AVRIL!D10+TONT20000MAI!G10</f>
        <v>437903.5114881256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23.403467894418259</v>
      </c>
      <c r="D11" s="6">
        <f>TONT20000AVRIL!C11+TONT20000AVRIL!D11+TONT20000MAI!G11</f>
        <v>5169.7106007687134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8878.2794688617159</v>
      </c>
      <c r="D12" s="6">
        <f>TONT20000AVRIL!C12+TONT20000AVRIL!D12+TONT20000MAI!G12</f>
        <v>1961168.1351595062</v>
      </c>
      <c r="E12" s="1"/>
      <c r="F12" s="7">
        <f t="shared" si="1"/>
        <v>520000</v>
      </c>
      <c r="G12" s="7">
        <v>503000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1576.7317178708879</v>
      </c>
      <c r="D13" s="6">
        <f>TONT20000AVRIL!C13+TONT20000AVRIL!D13+TONT20000MAI!G13</f>
        <v>348292.2579345376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2117.8198955898379</v>
      </c>
      <c r="D14" s="6">
        <f>TONT20000AVRIL!C14+TONT20000AVRIL!D14+TONT20000MAI!G14</f>
        <v>467815.9670243102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1923.9642903267927</v>
      </c>
      <c r="D15" s="6">
        <f>TONT20000AVRIL!C15+TONT20000AVRIL!D15+TONT20000MAI!G15</f>
        <v>424994.22017602285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1908.433749032057</v>
      </c>
      <c r="D16" s="6">
        <f>TONT20000AVRIL!C16+TONT20000AVRIL!D16+TONT20000MAI!G16</f>
        <v>421563.60022135277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82.963253267432648</v>
      </c>
      <c r="D17" s="6">
        <f>TONT20000AVRIL!C17+TONT20000AVRIL!D17+TONT20000MAI!G17</f>
        <v>18326.173361393085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1949.2634391206589</v>
      </c>
      <c r="D18" s="6">
        <f>TONT20000AVRIL!C18+TONT20000AVRIL!D18+TONT20000MAI!G18</f>
        <v>430582.6773354538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142.85272760924894</v>
      </c>
      <c r="D19" s="6">
        <f>TONT20000AVRIL!C19+TONT20000AVRIL!D19+TONT20000MAI!G19</f>
        <v>31555.462788760218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5069.8689540345713</v>
      </c>
      <c r="D20" s="6">
        <f>TONT20000AVRIL!C20+TONT20000AVRIL!D20+TONT20000MAI!G20</f>
        <v>1119909.04059273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1921.1792776473567</v>
      </c>
      <c r="D21" s="6">
        <f>TONT20000AVRIL!C21+TONT20000AVRIL!D21+TONT20000MAI!G21</f>
        <v>424379.02461453131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1567.2065064378594</v>
      </c>
      <c r="D22" s="6">
        <f>TONT20000AVRIL!C22+TONT20000AVRIL!D22+TONT20000MAI!G22</f>
        <v>346188.18572002469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2079.8828741329858</v>
      </c>
      <c r="D23" s="6">
        <f>TONT20000AVRIL!C23+TONT20000AVRIL!D23+TONT20000MAI!G23</f>
        <v>459435.86614046409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1908.433749032057</v>
      </c>
      <c r="D24" s="6">
        <f>TONT20000AVRIL!C24+TONT20000AVRIL!D24+TONT20000MAI!G24</f>
        <v>421563.60022135277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1928.705832922202</v>
      </c>
      <c r="D25" s="6">
        <f>TONT20000AVRIL!C25+TONT20000AVRIL!D25+TONT20000MAI!G25</f>
        <v>426041.6035437386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1929.0802884085124</v>
      </c>
      <c r="D26" s="6">
        <f>TONT20000AVRIL!C26+TONT20000AVRIL!D26+TONT20000MAI!G26</f>
        <v>426124.31891335087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2056.3480665836109</v>
      </c>
      <c r="D27" s="6">
        <f>TONT20000AVRIL!C27+TONT20000AVRIL!D27+TONT20000MAI!G27</f>
        <v>454237.14325785782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TONT20000AVRIL!C28+TONT20000AVRIL!D28+TONT20000MAI!G28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2748.9646177665099</v>
      </c>
      <c r="D29" s="6">
        <f>TONT20000AVRIL!C29+TONT20000AVRIL!D29+TONT20000MAI!G29</f>
        <v>607232.72250584094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82.963253267432648</v>
      </c>
      <c r="D30" s="6">
        <f>TONT20000AVRIL!C30+TONT20000AVRIL!D30+TONT20000MAI!G30</f>
        <v>18326.173361393085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152.65409996343135</v>
      </c>
      <c r="D31" s="6">
        <f>TONT20000AVRIL!C31+TONT20000AVRIL!D31+TONT20000MAI!G31</f>
        <v>33720.53758836216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1976.5007549542843</v>
      </c>
      <c r="D32" s="6">
        <f>TONT20000AVRIL!C32+TONT20000AVRIL!D32+TONT20000MAI!G32</f>
        <v>436599.26603234356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165.9265065348653</v>
      </c>
      <c r="D33" s="6">
        <f>TONT20000AVRIL!C33+TONT20000AVRIL!D33+TONT20000MAI!G33</f>
        <v>36652.346722786169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2087.6104189969756</v>
      </c>
      <c r="D34" s="6">
        <f>TONT20000AVRIL!C34+TONT20000AVRIL!D34+TONT20000MAI!G34</f>
        <v>461142.84267836477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1945.7997258722849</v>
      </c>
      <c r="D35" s="6">
        <f>TONT20000AVRIL!C35+TONT20000AVRIL!D35+TONT20000MAI!G35</f>
        <v>429817.56016654003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28.005195659205434</v>
      </c>
      <c r="D36" s="6">
        <f>TONT20000AVRIL!C36+TONT20000AVRIL!D36+TONT20000MAI!G36</f>
        <v>6186.2095621532271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82.963253267432648</v>
      </c>
      <c r="D37" s="6">
        <f>TONT20000AVRIL!C37+TONT20000AVRIL!D37+TONT20000MAI!G37</f>
        <v>18326.173361393085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1909.0890461331003</v>
      </c>
      <c r="D38" s="6">
        <f>TONT20000AVRIL!C38+TONT20000AVRIL!D38+TONT20000MAI!G38</f>
        <v>421708.3521181742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1920.7533345316781</v>
      </c>
      <c r="D39" s="6">
        <f>TONT20000AVRIL!C39+TONT20000AVRIL!D39+TONT20000MAI!G39</f>
        <v>424284.93588159728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82.963253267432648</v>
      </c>
      <c r="D40" s="6">
        <f>TONT20000AVRIL!C40+TONT20000AVRIL!D40+TONT20000MAI!G40</f>
        <v>18326.173361393085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1913.0301901265204</v>
      </c>
      <c r="D41" s="6">
        <f>TONT20000AVRIL!C41+TONT20000AVRIL!D41+TONT20000MAI!G41</f>
        <v>422578.9313833437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1911.4106701482267</v>
      </c>
      <c r="D42" s="6">
        <f>TONT20000AVRIL!C42+TONT20000AVRIL!D42+TONT20000MAI!G42</f>
        <v>422221.1874097705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6711.1951357594153</v>
      </c>
      <c r="D43" s="6">
        <f>TONT20000AVRIL!C43+TONT20000AVRIL!D43+TONT20000MAI!G43</f>
        <v>1482469.8969265849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82.963253267432648</v>
      </c>
      <c r="D44" s="6">
        <f>TONT20000AVRIL!C44+TONT20000AVRIL!D44+TONT20000MAI!G44</f>
        <v>18326.173361393085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82.963253267432648</v>
      </c>
      <c r="D45" s="6">
        <f>TONT20000AVRIL!C45+TONT20000AVRIL!D45+TONT20000MAI!G45</f>
        <v>18326.173361393085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1924.5212928626795</v>
      </c>
      <c r="D46" s="6">
        <f>TONT20000AVRIL!C46+TONT20000AVRIL!D46+TONT20000MAI!G46</f>
        <v>425117.25928832107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1392.4741747198527</v>
      </c>
      <c r="D47" s="6">
        <f>TONT20000AVRIL!C47+TONT20000AVRIL!D47+TONT20000MAI!G47</f>
        <v>307590.67565635347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750000</v>
      </c>
      <c r="N47" s="7">
        <f t="shared" si="2"/>
        <v>90000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41.617647554243668</v>
      </c>
      <c r="D48" s="6">
        <f>TONT20000AVRIL!C48+TONT20000AVRIL!D48+TONT20000MAI!G48</f>
        <v>9193.1330310044905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1898.6159175697137</v>
      </c>
      <c r="D49" s="6">
        <f>TONT20000AVRIL!C49+TONT20000AVRIL!D49+TONT20000MAI!G49</f>
        <v>419394.88968595635</v>
      </c>
      <c r="E49" s="1"/>
      <c r="F49" s="7">
        <f t="shared" si="1"/>
        <v>0</v>
      </c>
      <c r="G49" s="7"/>
      <c r="H49" s="7"/>
      <c r="I49" s="7"/>
      <c r="J49" s="7"/>
      <c r="K49" s="7"/>
      <c r="L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1990.9824609892487</v>
      </c>
      <c r="D50" s="6">
        <f>TONT20000AVRIL!C50+TONT20000AVRIL!D50+TONT20000MAI!G50</f>
        <v>439798.2034523841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3880.1150701202687</v>
      </c>
      <c r="D51" s="6">
        <f>TONT20000AVRIL!C51+TONT20000AVRIL!D51+TONT20000MAI!G51</f>
        <v>857098.27708855469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6604.4753221608671</v>
      </c>
      <c r="D52" s="6">
        <f>TONT20000AVRIL!C52+TONT20000AVRIL!D52+TONT20000MAI!G52</f>
        <v>1458896.0165870793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52500+140000</f>
        <v>192500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90000.000000000029</v>
      </c>
      <c r="D56" s="9">
        <f t="shared" ref="D56:Q56" si="3">SUM(D5:D52)</f>
        <v>19880555.999999996</v>
      </c>
      <c r="E56" s="9">
        <f t="shared" si="3"/>
        <v>0</v>
      </c>
      <c r="F56" s="9">
        <f t="shared" si="3"/>
        <v>1359000</v>
      </c>
      <c r="G56" s="9">
        <f t="shared" si="3"/>
        <v>645000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0</v>
      </c>
      <c r="L56" s="9">
        <f t="shared" si="3"/>
        <v>546000</v>
      </c>
      <c r="M56" s="9">
        <f t="shared" si="3"/>
        <v>750000</v>
      </c>
      <c r="N56" s="9">
        <f t="shared" si="3"/>
        <v>90000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4585.7297697109252</v>
      </c>
      <c r="D5" s="6">
        <f>TONT20000MAI!C5+TONT20000MAI!D5+TONT20000JUIN!G5</f>
        <v>330432.65507496637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6401.9466331371623</v>
      </c>
      <c r="D6" s="6">
        <f>TONT20000MAI!C6+TONT20000MAI!D6+TONT20000JUIN!G6</f>
        <v>461303.28865172213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5943.1214118404623</v>
      </c>
      <c r="D7" s="6">
        <f>TONT20000MAI!C7+TONT20000MAI!D7+TONT20000JUIN!G7</f>
        <v>428241.84724498505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1" customFormat="1" x14ac:dyDescent="0.25">
      <c r="A8" s="19" t="s">
        <v>13</v>
      </c>
      <c r="B8" s="19" t="str">
        <f>VLOOKUP(A8,LISTADHERENT!A$5:H$51,2)</f>
        <v>CHINGUE FABRICE</v>
      </c>
      <c r="C8" s="6">
        <f t="shared" si="0"/>
        <v>5945.1105385223846</v>
      </c>
      <c r="D8" s="6">
        <f>TONT20000MAI!C8+TONT20000MAI!D8+TONT20000JUIN!G8</f>
        <v>428385.17719328019</v>
      </c>
      <c r="E8" s="19"/>
      <c r="F8" s="20">
        <f t="shared" si="1"/>
        <v>20000</v>
      </c>
      <c r="G8" s="20">
        <v>3000</v>
      </c>
      <c r="H8" s="20">
        <v>500</v>
      </c>
      <c r="I8" s="20">
        <v>1000</v>
      </c>
      <c r="J8" s="20">
        <v>2500</v>
      </c>
      <c r="K8" s="20"/>
      <c r="L8" s="20">
        <v>13000</v>
      </c>
      <c r="M8" s="20">
        <v>1000000</v>
      </c>
      <c r="N8" s="20">
        <f t="shared" si="2"/>
        <v>120000</v>
      </c>
      <c r="O8" s="20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6036.1202912010549</v>
      </c>
      <c r="D9" s="6">
        <f>TONT20000MAI!C9+TONT20000MAI!D9+TONT20000JUIN!G9</f>
        <v>434943.04163918813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6562.6898315546596</v>
      </c>
      <c r="D10" s="6">
        <f>TONT20000MAI!C10+TONT20000MAI!D10+TONT20000JUIN!G10</f>
        <v>472885.91660968919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72.069807316018256</v>
      </c>
      <c r="D11" s="6">
        <f>TONT20000MAI!C11+TONT20000MAI!D11+TONT20000JUIN!G11</f>
        <v>5193.1140686631315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27381.850860139701</v>
      </c>
      <c r="D12" s="6">
        <f>TONT20000MAI!C12+TONT20000MAI!D12+TONT20000JUIN!G12</f>
        <v>1973046.4146283679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4897.1002284557744</v>
      </c>
      <c r="D13" s="6">
        <f>TONT20000MAI!C13+TONT20000MAI!D13+TONT20000JUIN!G13</f>
        <v>352868.98965240846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6563.354173602117</v>
      </c>
      <c r="D14" s="6">
        <f>TONT20000MAI!C14+TONT20000MAI!D14+TONT20000JUIN!G14</f>
        <v>472933.78691990004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5966.3855456420752</v>
      </c>
      <c r="D15" s="6">
        <f>TONT20000MAI!C15+TONT20000MAI!D15+TONT20000JUIN!G15</f>
        <v>429918.18446634966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5918.5600215071654</v>
      </c>
      <c r="D16" s="6">
        <f>TONT20000MAI!C16+TONT20000MAI!D16+TONT20000JUIN!G16</f>
        <v>426472.0339703848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991.01283899713405</v>
      </c>
      <c r="D17" s="6">
        <f>TONT20000MAI!C17+TONT20000MAI!D17+TONT20000JUIN!G17+50000</f>
        <v>71409.136614660514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6044.2930073506905</v>
      </c>
      <c r="D18" s="6">
        <f>TONT20000MAI!C18+TONT20000MAI!D18+TONT20000JUIN!G18</f>
        <v>435531.94077457447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481.54168777943136</v>
      </c>
      <c r="D19" s="6">
        <f>TONT20000MAI!C19+TONT20000MAI!D19+TONT20000JUIN!G19</f>
        <v>34698.315516369468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15695.675275336062</v>
      </c>
      <c r="D20" s="6">
        <f>TONT20000MAI!C20+TONT20000MAI!D20+TONT20000JUIN!G20</f>
        <v>1130978.9095467646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5957.8092385714681</v>
      </c>
      <c r="D21" s="6">
        <f>TONT20000MAI!C21+TONT20000MAI!D21+TONT20000JUIN!G21</f>
        <v>429300.20389217866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5908.6144990872453</v>
      </c>
      <c r="D22" s="6">
        <f>TONT20000MAI!C22+TONT20000MAI!D22+TONT20000JUIN!G22+75000</f>
        <v>425755.39222646254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6446.5290159428505</v>
      </c>
      <c r="D23" s="6">
        <f>TONT20000MAI!C23+TONT20000MAI!D23+TONT20000JUIN!G23</f>
        <v>464515.7490145971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5918.5600215071654</v>
      </c>
      <c r="D24" s="6">
        <f>TONT20000MAI!C24+TONT20000MAI!D24+TONT20000JUIN!G24</f>
        <v>426472.0339703848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5980.9868886043005</v>
      </c>
      <c r="D25" s="6">
        <f>TONT20000MAI!C25+TONT20000MAI!D25+TONT20000JUIN!G25</f>
        <v>430970.30937666079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5982.1400055213562</v>
      </c>
      <c r="D26" s="6">
        <f>TONT20000MAI!C26+TONT20000MAI!D26+TONT20000JUIN!G26</f>
        <v>431053.39920175937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6443.4445335509317</v>
      </c>
      <c r="D27" s="6">
        <f>TONT20000MAI!C27+TONT20000MAI!D27+TONT20000JUIN!G27</f>
        <v>464293.49132444145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8506.932737300498</v>
      </c>
      <c r="D29" s="6">
        <f>TONT20000MAI!C29+TONT20000MAI!D29+TONT20000JUIN!G29</f>
        <v>612981.68712360749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297.1150508577407</v>
      </c>
      <c r="D30" s="6">
        <f>TONT20000MAI!C30+TONT20000MAI!D30+TONT20000JUIN!G30</f>
        <v>21409.136614660518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2177.0792146179242</v>
      </c>
      <c r="D31" s="6">
        <f>TONT20000MAI!C31+TONT20000MAI!D31+TONT20000JUIN!G31</f>
        <v>156873.19168832561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1" customFormat="1" x14ac:dyDescent="0.25">
      <c r="A32" s="19" t="s">
        <v>37</v>
      </c>
      <c r="B32" s="19" t="str">
        <f>VLOOKUP(A32,LISTADHERENT!A$5:H$51,2)</f>
        <v>NJEPDJIO MBOUKAM DELUXE</v>
      </c>
      <c r="C32" s="6">
        <f t="shared" si="0"/>
        <v>6169.8028246816157</v>
      </c>
      <c r="D32" s="6">
        <f>TONT20000MAI!C32+TONT20000MAI!D32+TONT20000JUIN!G32</f>
        <v>444575.76678729785</v>
      </c>
      <c r="E32" s="19"/>
      <c r="F32" s="20">
        <f t="shared" si="1"/>
        <v>23000</v>
      </c>
      <c r="G32" s="20">
        <v>6000</v>
      </c>
      <c r="H32" s="20">
        <v>500</v>
      </c>
      <c r="I32" s="20">
        <v>1000</v>
      </c>
      <c r="J32" s="20">
        <v>2500</v>
      </c>
      <c r="K32" s="20"/>
      <c r="L32" s="20">
        <v>13000</v>
      </c>
      <c r="M32" s="20">
        <v>1000000</v>
      </c>
      <c r="N32" s="20">
        <f t="shared" si="2"/>
        <v>120000</v>
      </c>
      <c r="O32" s="20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594.2301017154814</v>
      </c>
      <c r="D33" s="6">
        <f>TONT20000MAI!C33+TONT20000MAI!D33+TONT20000JUIN!G33</f>
        <v>42818.273229321036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6539.7153821636693</v>
      </c>
      <c r="D34" s="6">
        <f>TONT20000MAI!C34+TONT20000MAI!D34+TONT20000JUIN!G34</f>
        <v>471230.45309736172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6033.6266758679194</v>
      </c>
      <c r="D35" s="6">
        <f>TONT20000MAI!C35+TONT20000MAI!D35+TONT20000JUIN!G35</f>
        <v>434763.35989241232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86.240597509384457</v>
      </c>
      <c r="D36" s="6">
        <f>TONT20000MAI!C36+TONT20000MAI!D36+TONT20000JUIN!G36</f>
        <v>6214.2147578124323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297.1150508577407</v>
      </c>
      <c r="D37" s="6">
        <f>TONT20000MAI!C37+TONT20000MAI!D37+TONT20000JUIN!G37</f>
        <v>21409.136614660518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5920.5779761120129</v>
      </c>
      <c r="D38" s="6">
        <f>TONT20000MAI!C38+TONT20000MAI!D38+TONT20000JUIN!G38</f>
        <v>426617.4411643073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5956.4975680783155</v>
      </c>
      <c r="D39" s="6">
        <f>TONT20000MAI!C39+TONT20000MAI!D39+TONT20000JUIN!G39</f>
        <v>429205.68921612896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297.1150508577407</v>
      </c>
      <c r="D40" s="6">
        <f>TONT20000MAI!C40+TONT20000MAI!D40+TONT20000JUIN!G40</f>
        <v>21409.136614660518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5932.7145316640308</v>
      </c>
      <c r="D41" s="6">
        <f>TONT20000MAI!C41+TONT20000MAI!D41+TONT20000JUIN!G41</f>
        <v>427491.96157347021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5927.7273009977625</v>
      </c>
      <c r="D42" s="6">
        <f>TONT20000MAI!C42+TONT20000MAI!D42+TONT20000JUIN!G42</f>
        <v>427132.59807991871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8845.9213044842309</v>
      </c>
      <c r="D43" s="6">
        <f>TONT20000MAI!C43+TONT20000MAI!D43+TONT20000JUIN!G43-854773</f>
        <v>637408.09206234431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297.1150508577407</v>
      </c>
      <c r="D44" s="6">
        <f>TONT20000MAI!C44+TONT20000MAI!D44+TONT20000JUIN!G44</f>
        <v>21409.136614660518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297.1150508577407</v>
      </c>
      <c r="D45" s="6">
        <f>TONT20000MAI!C45+TONT20000MAI!D45+TONT20000JUIN!G45</f>
        <v>21409.136614660518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5968.1008070561948</v>
      </c>
      <c r="D46" s="6">
        <f>TONT20000MAI!C46+TONT20000MAI!D46+TONT20000JUIN!G46</f>
        <v>430041.78058118373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4371.322219379218</v>
      </c>
      <c r="D47" s="6">
        <f>TONT20000MAI!C47+TONT20000MAI!D47+TONT20000JUIN!G47</f>
        <v>314983.1498310733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128.15946139741337</v>
      </c>
      <c r="D48" s="6">
        <f>TONT20000MAI!C48+TONT20000MAI!D48+TONT20000JUIN!G48</f>
        <v>9234.7506785587339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5888.3265012039219</v>
      </c>
      <c r="D49" s="6">
        <f>TONT20000MAI!C49+TONT20000MAI!D49+TONT20000JUIN!G49</f>
        <v>424293.50560352608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6172.7646458722247</v>
      </c>
      <c r="D50" s="6">
        <f>TONT20000MAI!C50+TONT20000MAI!D50+TONT20000JUIN!G50</f>
        <v>444789.18591337337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11990.253906382681</v>
      </c>
      <c r="D51" s="6">
        <f>TONT20000MAI!C51+TONT20000MAI!D51+TONT20000JUIN!G51</f>
        <v>863978.39215867501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20379.784864348658</v>
      </c>
      <c r="D52" s="6">
        <f>TONT20000MAI!C52+TONT20000MAI!D52+TONT20000JUIN!G52</f>
        <v>1468500.4919092401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271200.00000000006</v>
      </c>
      <c r="D56" s="9">
        <f t="shared" ref="D56:Q56" si="3">SUM(D5:D52)</f>
        <v>19541783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