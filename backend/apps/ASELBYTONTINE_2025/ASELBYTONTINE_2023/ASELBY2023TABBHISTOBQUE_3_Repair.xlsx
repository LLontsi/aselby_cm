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</workbook>
</file>

<file path=xl/sharedStrings.xml><?xml version="1.0" encoding="utf-8"?>
<sst xmlns="http://schemas.openxmlformats.org/spreadsheetml/2006/main" count="1529" uniqueCount="226">
  <si>
    <t>ASSOCIATION</t>
  </si>
  <si>
    <t>ASELBY</t>
  </si>
  <si>
    <t>ANNEE</t>
  </si>
  <si>
    <t>2016/2017</t>
  </si>
  <si>
    <t xml:space="preserve">TONTINE </t>
  </si>
  <si>
    <t>20 000</t>
  </si>
  <si>
    <t>MATRICULE</t>
  </si>
  <si>
    <t>NOM ET PRENOM</t>
  </si>
  <si>
    <t>REMBOURSEMENT</t>
  </si>
  <si>
    <t>INTERET ACHAT</t>
  </si>
  <si>
    <t>DATE ACHAT</t>
  </si>
  <si>
    <t>AS201601</t>
  </si>
  <si>
    <t>AS201602</t>
  </si>
  <si>
    <t>AS201603</t>
  </si>
  <si>
    <t>AS201604</t>
  </si>
  <si>
    <t>AS201605</t>
  </si>
  <si>
    <t>AS201606</t>
  </si>
  <si>
    <t>AS201607</t>
  </si>
  <si>
    <t>AS201608</t>
  </si>
  <si>
    <t>AS201609</t>
  </si>
  <si>
    <t>AS201610</t>
  </si>
  <si>
    <t>AS201611</t>
  </si>
  <si>
    <t>AS201612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</si>
  <si>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</si>
  <si>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</si>
  <si>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</si>
  <si>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</si>
  <si>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</si>
  <si>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</si>
  <si>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</si>
  <si>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</si>
  <si>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</si>
  <si>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</si>
  <si>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AS201623</t>
  </si>
  <si>
    <t>AS201624</t>
  </si>
  <si>
    <t>AS201625</t>
  </si>
  <si>
    <t>AS201626</t>
  </si>
  <si>
    <t>AS201627</t>
  </si>
  <si>
    <t>AS201628</t>
  </si>
  <si>
    <t>AS201629</t>
  </si>
  <si>
    <t>AS201630</t>
  </si>
  <si>
    <t>AS201631</t>
  </si>
  <si>
    <t>AS201632</t>
  </si>
  <si>
    <t>AS201633</t>
  </si>
  <si>
    <t>AS201634</t>
  </si>
  <si>
    <t>AS201635</t>
  </si>
  <si>
    <t>AS201636</t>
  </si>
  <si>
    <t>AS201637</t>
  </si>
  <si>
    <t>AS201638</t>
  </si>
  <si>
    <t>AS201639</t>
  </si>
  <si>
    <t>AS201640</t>
  </si>
  <si>
    <t>AS201641</t>
  </si>
  <si>
    <t>AS201642</t>
  </si>
  <si>
    <t>AS201643</t>
  </si>
  <si>
    <t>AS201644</t>
  </si>
  <si>
    <t>AS201645</t>
  </si>
  <si>
    <t>TOTAL</t>
  </si>
  <si>
    <t>EPARGNE</t>
  </si>
  <si>
    <t>FONDS DE ROULEMENT</t>
  </si>
  <si>
    <t>FRAIS EXCEPTIONNEL</t>
  </si>
  <si>
    <t>COLLATION</t>
  </si>
  <si>
    <t>MUTUELLE</t>
  </si>
  <si>
    <t>TONTINE</t>
  </si>
  <si>
    <t>EMPRUNT</t>
  </si>
  <si>
    <t>INTERET EMPRUNT</t>
  </si>
  <si>
    <t>MONTANT VERSE</t>
  </si>
  <si>
    <t>AS201646</t>
  </si>
  <si>
    <t>LOWE JEAN</t>
  </si>
  <si>
    <t>BAKOP ACHILLE</t>
  </si>
  <si>
    <t>BOUTCHOUANG WILLIAM</t>
  </si>
  <si>
    <t>CHINGUE FABRICE</t>
  </si>
  <si>
    <t xml:space="preserve">DJOMO JEAN PAUL </t>
  </si>
  <si>
    <t>DJOUKWE GUY</t>
  </si>
  <si>
    <t>DJOUNKEP SAMUEL</t>
  </si>
  <si>
    <t>DJUOMBESSY ANTOINE</t>
  </si>
  <si>
    <t>DONHOU DAVID</t>
  </si>
  <si>
    <t>FOTSO THOMAS</t>
  </si>
  <si>
    <t>HENGUE PAUL OMER</t>
  </si>
  <si>
    <t>HODIEP JULES</t>
  </si>
  <si>
    <t>HOTCHO BENJAMIN</t>
  </si>
  <si>
    <t>KEPHE DAVID</t>
  </si>
  <si>
    <t>KEPSEU FRANCIS</t>
  </si>
  <si>
    <t>KOUAMOU EMMANUEL</t>
  </si>
  <si>
    <t>KOUAMOU MOISE</t>
  </si>
  <si>
    <t>KOUAMOU VICTOR PEGUY</t>
  </si>
  <si>
    <t>NANKAM APPOLINAIRE</t>
  </si>
  <si>
    <t>NDJOMO ETIENNE</t>
  </si>
  <si>
    <t>NDOMBOU JEAN CLAUDE</t>
  </si>
  <si>
    <t>NGONDIEP CLAUDE</t>
  </si>
  <si>
    <t>NGONGANG JEAN THEODORE</t>
  </si>
  <si>
    <t>NGUIEMEGNI MATHIEU BLAISE</t>
  </si>
  <si>
    <t>NJEPDJIO MBOUKAM DELUXE</t>
  </si>
  <si>
    <t>NKAMGANG JUSTIN DEJOLIE</t>
  </si>
  <si>
    <t>NKEPSEU DIEUDONNE</t>
  </si>
  <si>
    <t>NTEPDIE TUEMAC MZ</t>
  </si>
  <si>
    <t>PATEGO NJOSSU GUSTAVE</t>
  </si>
  <si>
    <t>SEUNOU RICHELOT</t>
  </si>
  <si>
    <t>SIME ABEL</t>
  </si>
  <si>
    <t>SIME FONGANG ERIC</t>
  </si>
  <si>
    <t>SIME MATHIEU</t>
  </si>
  <si>
    <t>SIME PIERRE</t>
  </si>
  <si>
    <t>TCHOUANTE FRANCOIS</t>
  </si>
  <si>
    <t>TCHOUTOU NANA CLAUDE</t>
  </si>
  <si>
    <t>TIEYAM ERNEST</t>
  </si>
  <si>
    <t>TUGMA PIERRE LOTI</t>
  </si>
  <si>
    <t>YEPMOU JEAN JACQUES</t>
  </si>
  <si>
    <t>YOUMBI EMMANUEL</t>
  </si>
  <si>
    <t>NKEPSEU HENANG RENE</t>
  </si>
  <si>
    <t>LISTE DES ADHERENTS 19 JUN 2016</t>
  </si>
  <si>
    <t>MLE</t>
  </si>
  <si>
    <t>NOM ET  PRENOM</t>
  </si>
  <si>
    <t>FONCTION</t>
  </si>
  <si>
    <t>DATE ADHESION</t>
  </si>
  <si>
    <t>CONTACT</t>
  </si>
  <si>
    <t>CONTACT 2</t>
  </si>
  <si>
    <t>RESIDENCE</t>
  </si>
  <si>
    <t>DATE RECEPTION</t>
  </si>
  <si>
    <t>FONCTIONNAIRE DE POLICE</t>
  </si>
  <si>
    <t>NKOLBISSON</t>
  </si>
  <si>
    <t>OPERATEUR ECONOMIQUE</t>
  </si>
  <si>
    <t>EMANA</t>
  </si>
  <si>
    <t>SANTA BARBARA</t>
  </si>
  <si>
    <t>RETRAITE</t>
  </si>
  <si>
    <t>RUE MANGUIERS</t>
  </si>
  <si>
    <t>PROFESSEUR DES LYCEES TECHNIQUE</t>
  </si>
  <si>
    <t>COMPTABLE RETRAITE</t>
  </si>
  <si>
    <t>BIYEM ASSI LYCEE</t>
  </si>
  <si>
    <t>ANALYSTE CONCEPTEUR SI</t>
  </si>
  <si>
    <t>MESSASSI</t>
  </si>
  <si>
    <t>MAGISTRAT</t>
  </si>
  <si>
    <t>TONGOLO</t>
  </si>
  <si>
    <t>CADRE BANQUE</t>
  </si>
  <si>
    <t>OYOMABANG</t>
  </si>
  <si>
    <t>SOCIOLOGUE</t>
  </si>
  <si>
    <t>CADRE CNPS</t>
  </si>
  <si>
    <t>NYOM 2</t>
  </si>
  <si>
    <t>COMPTABLE</t>
  </si>
  <si>
    <t>DAMAS</t>
  </si>
  <si>
    <t>OFFICIER DE POLICE RETRAITE</t>
  </si>
  <si>
    <t>SIMBOCK</t>
  </si>
  <si>
    <t>CADRE SONEL RETRAITE</t>
  </si>
  <si>
    <t>MONTEE JOUVENCE</t>
  </si>
  <si>
    <t>INGENIEUR E-F</t>
  </si>
  <si>
    <t>S/OFFICIER SUPERIEUR</t>
  </si>
  <si>
    <t>KOUATCHO MESSACK</t>
  </si>
  <si>
    <t>INSPECTEUR DE TRAVAIL</t>
  </si>
  <si>
    <t>SECRETAIRE D'ADMINISTRATION</t>
  </si>
  <si>
    <t>ENSEIGNANT</t>
  </si>
  <si>
    <t>ING AGRONOME RETRAITE</t>
  </si>
  <si>
    <t>ETOUG EBE</t>
  </si>
  <si>
    <t>DAS(DIRECTEUR ADMINISTRATEUR SOCIETE)</t>
  </si>
  <si>
    <t>CITE VERTE</t>
  </si>
  <si>
    <t>CHEF ENTREPRISE</t>
  </si>
  <si>
    <t>CADRE CADASTRE</t>
  </si>
  <si>
    <t>MONATELE</t>
  </si>
  <si>
    <t>MENDONG</t>
  </si>
  <si>
    <t>DELEGUE COMMERCIAL</t>
  </si>
  <si>
    <t>ESSOS</t>
  </si>
  <si>
    <t>NTOMBOU ADOLPHE</t>
  </si>
  <si>
    <t xml:space="preserve">INGENIEUR </t>
  </si>
  <si>
    <t>INGENIEUR T-P</t>
  </si>
  <si>
    <t>EBOGO 1(SOA)</t>
  </si>
  <si>
    <t>ELEVEUR</t>
  </si>
  <si>
    <t>PARC NATIONAL</t>
  </si>
  <si>
    <t>TECHNICIEN DE SANTE RETRAITE</t>
  </si>
  <si>
    <t>TCHOUAMOU JEAN PAUL</t>
  </si>
  <si>
    <t>TCHOUAMOU MATHIEU</t>
  </si>
  <si>
    <t>OFFICIER SUPERIEUR</t>
  </si>
  <si>
    <t>NKOL FOULOU</t>
  </si>
  <si>
    <t>INGENIEUR ELECTRONICIEN</t>
  </si>
  <si>
    <t>BASTOS</t>
  </si>
  <si>
    <t>PROFESSEUR DES LYCEES RETRAITE</t>
  </si>
  <si>
    <t>ADMINISTRATEUR CIVIL</t>
  </si>
  <si>
    <t>MENDONG (NKOLZIE)</t>
  </si>
  <si>
    <t>PROFESSEUR DES UNIVERSITES</t>
  </si>
  <si>
    <t>MENDONG (GUINNESS)</t>
  </si>
  <si>
    <t>TAGNE NANGUEN MARTIN</t>
  </si>
  <si>
    <t>PROFESSEUR DE LYCEE</t>
  </si>
  <si>
    <t>AS201647</t>
  </si>
  <si>
    <t>DJOSSEU JOSUE</t>
  </si>
  <si>
    <t>REMBOURSEMENT INTERET</t>
  </si>
  <si>
    <t>PENALITE FONDS</t>
  </si>
  <si>
    <t>PENALITE EMPRUNT</t>
  </si>
  <si>
    <t>RELIQUAT 2015</t>
  </si>
  <si>
    <t>SANCTION</t>
  </si>
  <si>
    <t>AS201648</t>
  </si>
  <si>
    <t>REPARTITION INTERET</t>
  </si>
  <si>
    <t>CAPITAL COMPOSE</t>
  </si>
  <si>
    <t>FONDS DE CAISSE</t>
  </si>
  <si>
    <t>CAPITAL COMPOSE REPARTITION</t>
  </si>
  <si>
    <t>CAPITAL DEPART</t>
  </si>
  <si>
    <t>CAPITAL COMPOSE FIN</t>
  </si>
  <si>
    <t>FRAIS FIXE A PRELEVER</t>
  </si>
  <si>
    <t>CAPITAL A DISTRIBUER</t>
  </si>
  <si>
    <t>ASSOCIATION DES ELITES BANGOU DE YAOUNDE</t>
  </si>
  <si>
    <t>INTERET 2016</t>
  </si>
  <si>
    <t>FRAIS FIXE A COMPLETER</t>
  </si>
  <si>
    <t>DECEMBRE 2015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</si>
  <si>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</si>
  <si>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</si>
  <si>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</si>
  <si>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</si>
  <si>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</si>
  <si>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</si>
  <si>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</si>
  <si>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</si>
  <si>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</si>
  <si>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</si>
  <si>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</si>
  <si>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RETOUR EN CAISSE MUTUELLE</t>
  </si>
  <si>
    <t>RETOUR MUTUELLE</t>
  </si>
  <si>
    <t>DECEMBRE</t>
  </si>
  <si>
    <t>COMPLEMENT FONDS</t>
  </si>
  <si>
    <t>TOTAL A DISTRIBUER</t>
  </si>
  <si>
    <t>RELIQUAT</t>
  </si>
  <si>
    <t>CAPITAL TOTAL A PERCEVOIR</t>
  </si>
  <si>
    <t>RETENUE</t>
  </si>
  <si>
    <t>CAPITAL  A DISTRIBUER</t>
  </si>
  <si>
    <t>EPARGNE 2016</t>
  </si>
  <si>
    <t>MONTANT EFFECTIVEMENT VERSE</t>
  </si>
  <si>
    <t>CAPITAL EFFECTIVEMENT DISTRIBUE</t>
  </si>
  <si>
    <t>SORTIE</t>
  </si>
  <si>
    <t>FONDS DISTRIBUE</t>
  </si>
  <si>
    <t>RETOUR BANQUE</t>
  </si>
  <si>
    <t>FRAIS DE TAXI</t>
  </si>
  <si>
    <t>RELIQUAT 2016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</si>
</sst>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ONTASELB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workbookViewId="0">
      <pane xSplit="3" ySplit="4" topLeftCell="D23" activePane="bottomRight" state="frozen"/>
      <selection pane="topRight" activeCell="D1" sqref="D1"/>
      <selection pane="bottomLeft" activeCell="A5" sqref="A5"/>
      <selection pane="bottomRight" activeCell="K33" sqref="K33"/>
    </sheetView>
  </sheetViews>
  <sheetFormatPr baseColWidth="10" defaultRowHeight="15" x14ac:dyDescent="0.25"/>
  <cols>
    <col min="1" max="1" width="13.85546875" bestFit="1" customWidth="1"/>
    <col min="2" max="2" width="29.5703125" bestFit="1" customWidth="1"/>
    <col min="3" max="3" width="16.5703125" bestFit="1" customWidth="1"/>
    <col min="12" max="12" width="12.42578125" bestFit="1" customWidth="1"/>
  </cols>
  <sheetData>
    <row r="1" spans="1:14" x14ac:dyDescent="0.25">
      <c r="A1" s="1" t="s">
        <v>0</v>
      </c>
      <c r="B1" s="1" t="s">
        <v>1</v>
      </c>
    </row>
    <row r="2" spans="1:14" x14ac:dyDescent="0.25">
      <c r="A2" s="1" t="s">
        <v>2</v>
      </c>
      <c r="B2" s="1" t="s">
        <v>3</v>
      </c>
    </row>
    <row r="3" spans="1:14" x14ac:dyDescent="0.25">
      <c r="A3" s="1" t="s">
        <v>4</v>
      </c>
      <c r="B3" s="1" t="s">
        <v>5</v>
      </c>
    </row>
    <row r="4" spans="1:14" x14ac:dyDescent="0.25">
      <c r="A4" s="1" t="s">
        <v>6</v>
      </c>
      <c r="B4" s="1" t="s">
        <v>7</v>
      </c>
      <c r="C4" s="1" t="s">
        <v>211</v>
      </c>
      <c r="D4" s="1" t="s">
        <v>198</v>
      </c>
      <c r="E4" s="1" t="s">
        <v>199</v>
      </c>
      <c r="F4" s="1" t="s">
        <v>200</v>
      </c>
      <c r="G4" s="1" t="s">
        <v>201</v>
      </c>
      <c r="H4" s="1" t="s">
        <v>202</v>
      </c>
      <c r="I4" s="1" t="s">
        <v>203</v>
      </c>
      <c r="J4" s="1" t="s">
        <v>204</v>
      </c>
      <c r="K4" s="1" t="s">
        <v>205</v>
      </c>
      <c r="L4" s="1" t="s">
        <v>206</v>
      </c>
      <c r="M4" s="1" t="s">
        <v>207</v>
      </c>
      <c r="N4" s="1" t="s">
        <v>208</v>
      </c>
    </row>
    <row r="5" spans="1:14" x14ac:dyDescent="0.25">
      <c r="A5" s="1" t="s">
        <v>185</v>
      </c>
      <c r="B5" s="1" t="str">
        <f>VLOOKUP(A5,LISTADHERENT!A$5:H$52,2,0)</f>
        <v>ASELBY</v>
      </c>
      <c r="C5" s="1">
        <v>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25">
      <c r="A6" s="1" t="s">
        <v>11</v>
      </c>
      <c r="B6" s="1" t="str">
        <f>VLOOKUP(A6,LISTADHERENT!A$5:H$52,2,0)</f>
        <v>BAKOP ACHILLE</v>
      </c>
      <c r="C6" s="6">
        <v>390000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25">
      <c r="A7" s="1" t="s">
        <v>12</v>
      </c>
      <c r="B7" s="1" t="str">
        <f>VLOOKUP(A7,LISTADHERENT!A$5:H$52,2,0)</f>
        <v>BOUTCHOUANG WILLIAM</v>
      </c>
      <c r="C7" s="6">
        <v>390000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25">
      <c r="A8" s="1" t="s">
        <v>13</v>
      </c>
      <c r="B8" s="1" t="str">
        <f>VLOOKUP(A8,LISTADHERENT!A$5:H$52,2,0)</f>
        <v>CHINGUE FABRICE</v>
      </c>
      <c r="C8" s="6">
        <v>390000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25">
      <c r="A9" s="1" t="s">
        <v>14</v>
      </c>
      <c r="B9" s="1" t="str">
        <f>VLOOKUP(A9,LISTADHERENT!A$5:H$52,2,0)</f>
        <v xml:space="preserve">DJOMO JEAN PAUL </v>
      </c>
      <c r="C9" s="6">
        <v>390000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25">
      <c r="A10" s="1" t="s">
        <v>15</v>
      </c>
      <c r="B10" s="1" t="str">
        <f>VLOOKUP(A10,LISTADHERENT!A$5:H$52,2,0)</f>
        <v>DJOUKWE GUY</v>
      </c>
      <c r="C10" s="6">
        <v>390000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21" customFormat="1" x14ac:dyDescent="0.25">
      <c r="A11" s="19" t="s">
        <v>16</v>
      </c>
      <c r="B11" s="19" t="str">
        <f>VLOOKUP(A11,LISTADHERENT!A$5:H$52,2,0)</f>
        <v>DJOSSEU JOSUE</v>
      </c>
      <c r="C11" s="33">
        <v>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</row>
    <row r="12" spans="1:14" x14ac:dyDescent="0.25">
      <c r="A12" s="1" t="s">
        <v>17</v>
      </c>
      <c r="B12" s="1" t="str">
        <f>VLOOKUP(A12,LISTADHERENT!A$5:H$52,2,0)</f>
        <v>DJOUNKEP SAMUEL</v>
      </c>
      <c r="C12" s="6">
        <v>390000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25">
      <c r="A13" s="1" t="s">
        <v>18</v>
      </c>
      <c r="B13" s="1" t="str">
        <f>VLOOKUP(A13,LISTADHERENT!A$5:H$52,2,0)</f>
        <v>DJUOMBESSY ANTOINE</v>
      </c>
      <c r="C13" s="6">
        <f>390000-70866</f>
        <v>319134</v>
      </c>
      <c r="D13" s="6"/>
      <c r="E13" s="6"/>
      <c r="F13" s="6"/>
      <c r="G13" s="6"/>
      <c r="H13" s="6"/>
      <c r="I13" s="6"/>
      <c r="J13" s="6"/>
      <c r="K13" s="6"/>
      <c r="L13" s="6">
        <v>390000</v>
      </c>
      <c r="M13" s="6"/>
      <c r="N13" s="6"/>
    </row>
    <row r="14" spans="1:14" x14ac:dyDescent="0.25">
      <c r="A14" s="1" t="s">
        <v>19</v>
      </c>
      <c r="B14" s="1" t="str">
        <f>VLOOKUP(A14,LISTADHERENT!A$5:H$52,2,0)</f>
        <v>DONHOU DAVID</v>
      </c>
      <c r="C14" s="6">
        <v>390000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25">
      <c r="A15" s="1" t="s">
        <v>20</v>
      </c>
      <c r="B15" s="1" t="str">
        <f>VLOOKUP(A15,LISTADHERENT!A$5:H$52,2,0)</f>
        <v>FOTSO THOMAS</v>
      </c>
      <c r="C15" s="6">
        <v>390000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x14ac:dyDescent="0.25">
      <c r="A16" s="1" t="s">
        <v>21</v>
      </c>
      <c r="B16" s="1" t="str">
        <f>VLOOKUP(A16,LISTADHERENT!A$5:H$52,2,0)</f>
        <v>HENGUE PAUL OMER</v>
      </c>
      <c r="C16" s="6">
        <v>390000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25">
      <c r="A17" s="1" t="s">
        <v>22</v>
      </c>
      <c r="B17" s="1" t="str">
        <f>VLOOKUP(A17,LISTADHERENT!A$5:H$52,2,0)</f>
        <v>HODIEP JULES</v>
      </c>
      <c r="C17" s="6">
        <v>0</v>
      </c>
      <c r="D17" s="6"/>
      <c r="E17" s="6"/>
      <c r="F17" s="6"/>
      <c r="G17" s="6"/>
      <c r="H17" s="6"/>
      <c r="I17" s="6">
        <v>50000</v>
      </c>
      <c r="J17" s="6"/>
      <c r="K17" s="6"/>
      <c r="L17" s="6"/>
      <c r="M17" s="6"/>
      <c r="N17" s="6"/>
    </row>
    <row r="18" spans="1:14" x14ac:dyDescent="0.25">
      <c r="A18" s="1" t="s">
        <v>23</v>
      </c>
      <c r="B18" s="1" t="str">
        <f>VLOOKUP(A18,LISTADHERENT!A$5:H$52,2,0)</f>
        <v>HOTCHO BENJAMIN</v>
      </c>
      <c r="C18" s="6">
        <v>390000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25">
      <c r="A19" s="1" t="s">
        <v>24</v>
      </c>
      <c r="B19" s="1" t="str">
        <f>VLOOKUP(A19,LISTADHERENT!A$5:H$52,2,0)</f>
        <v>KEPHE DAVID</v>
      </c>
      <c r="C19" s="6"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x14ac:dyDescent="0.25">
      <c r="A20" s="1" t="s">
        <v>25</v>
      </c>
      <c r="B20" s="1" t="str">
        <f>VLOOKUP(A20,LISTADHERENT!A$5:H$52,2,0)</f>
        <v>KEPSEU FRANCIS</v>
      </c>
      <c r="C20" s="6">
        <v>390000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25">
      <c r="A21" s="1" t="s">
        <v>26</v>
      </c>
      <c r="B21" s="1" t="str">
        <f>VLOOKUP(A21,LISTADHERENT!A$5:H$52,2,0)</f>
        <v>KOUAMOU EMMANUEL</v>
      </c>
      <c r="C21" s="6">
        <v>390000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x14ac:dyDescent="0.25">
      <c r="A22" s="1" t="s">
        <v>27</v>
      </c>
      <c r="B22" s="1" t="str">
        <f>VLOOKUP(A22,LISTADHERENT!A$5:H$52,2,0)</f>
        <v>KOUAMOU MOISE</v>
      </c>
      <c r="C22" s="6">
        <f>390000-75000</f>
        <v>315000</v>
      </c>
      <c r="D22" s="6"/>
      <c r="E22" s="6"/>
      <c r="F22" s="6"/>
      <c r="G22" s="6"/>
      <c r="H22" s="6"/>
      <c r="I22" s="6">
        <v>390000</v>
      </c>
      <c r="J22" s="6"/>
      <c r="K22" s="6"/>
      <c r="L22" s="6"/>
      <c r="M22" s="6"/>
      <c r="N22" s="6"/>
    </row>
    <row r="23" spans="1:14" x14ac:dyDescent="0.25">
      <c r="A23" s="1" t="s">
        <v>28</v>
      </c>
      <c r="B23" s="1" t="str">
        <f>VLOOKUP(A23,LISTADHERENT!A$5:H$52,2,0)</f>
        <v>KOUAMOU VICTOR PEGUY</v>
      </c>
      <c r="C23" s="6">
        <v>390000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x14ac:dyDescent="0.25">
      <c r="A24" s="1" t="s">
        <v>29</v>
      </c>
      <c r="B24" s="1" t="str">
        <f>VLOOKUP(A24,LISTADHERENT!A$5:H$52,2,0)</f>
        <v>KOUATCHO MESSACK</v>
      </c>
      <c r="C24" s="6">
        <v>390000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x14ac:dyDescent="0.25">
      <c r="A25" s="1" t="s">
        <v>30</v>
      </c>
      <c r="B25" s="1" t="str">
        <f>VLOOKUP(A25,LISTADHERENT!A$5:H$52,2,0)</f>
        <v>LOWE JEAN</v>
      </c>
      <c r="C25" s="6">
        <v>390000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x14ac:dyDescent="0.25">
      <c r="A26" s="1" t="s">
        <v>31</v>
      </c>
      <c r="B26" s="1" t="str">
        <f>VLOOKUP(A26,LISTADHERENT!A$5:H$52,2,0)</f>
        <v>NANKAM APPOLINAIRE</v>
      </c>
      <c r="C26" s="6">
        <v>390000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x14ac:dyDescent="0.25">
      <c r="A27" s="1" t="s">
        <v>32</v>
      </c>
      <c r="B27" s="1" t="str">
        <f>VLOOKUP(A27,LISTADHERENT!A$5:H$52,2,0)</f>
        <v>NDJOMO ETIENNE</v>
      </c>
      <c r="C27" s="6">
        <v>390000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s="21" customFormat="1" x14ac:dyDescent="0.25">
      <c r="A28" s="19" t="s">
        <v>33</v>
      </c>
      <c r="B28" s="19" t="str">
        <f>VLOOKUP(A28,LISTADHERENT!A$5:H$52,2,0)</f>
        <v>NDOMBOU JEAN CLAUDE</v>
      </c>
      <c r="C28" s="33">
        <v>0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</row>
    <row r="29" spans="1:14" x14ac:dyDescent="0.25">
      <c r="A29" s="1" t="s">
        <v>34</v>
      </c>
      <c r="B29" s="1" t="str">
        <f>VLOOKUP(A29,LISTADHERENT!A$5:H$52,2,0)</f>
        <v>NGONDIEP CLAUDE</v>
      </c>
      <c r="C29" s="6">
        <v>390000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x14ac:dyDescent="0.25">
      <c r="A30" s="1" t="s">
        <v>35</v>
      </c>
      <c r="B30" s="1" t="str">
        <f>VLOOKUP(A30,LISTADHERENT!A$5:H$52,2,0)</f>
        <v>NGONGANG JEAN THEODORE</v>
      </c>
      <c r="C30" s="6">
        <v>0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x14ac:dyDescent="0.25">
      <c r="A31" s="1" t="s">
        <v>36</v>
      </c>
      <c r="B31" s="1" t="str">
        <f>VLOOKUP(A31,LISTADHERENT!A$5:H$52,2,0)</f>
        <v>NGUIEMEGNI MATHIEU BLAISE</v>
      </c>
      <c r="C31" s="6">
        <f>390000-375111</f>
        <v>14889</v>
      </c>
      <c r="D31" s="6"/>
      <c r="E31" s="6"/>
      <c r="F31" s="6"/>
      <c r="G31" s="6"/>
      <c r="H31" s="6"/>
      <c r="I31" s="6"/>
      <c r="J31" s="6"/>
      <c r="K31" s="6"/>
      <c r="L31" s="6">
        <v>390000</v>
      </c>
      <c r="M31" s="6"/>
      <c r="N31" s="6"/>
    </row>
    <row r="32" spans="1:14" x14ac:dyDescent="0.25">
      <c r="A32" s="1" t="s">
        <v>37</v>
      </c>
      <c r="B32" s="1" t="str">
        <f>VLOOKUP(A32,LISTADHERENT!A$5:H$52,2,0)</f>
        <v>NJEPDJIO MBOUKAM DELUXE</v>
      </c>
      <c r="C32" s="6">
        <v>390000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25">
      <c r="A33" s="1" t="s">
        <v>38</v>
      </c>
      <c r="B33" s="1" t="str">
        <f>VLOOKUP(A33,LISTADHERENT!A$5:H$52,2,0)</f>
        <v>NKAMGANG JUSTIN DEJOLIE</v>
      </c>
      <c r="C33" s="6">
        <v>0</v>
      </c>
      <c r="D33" s="6"/>
      <c r="E33" s="6"/>
      <c r="F33" s="6"/>
      <c r="G33" s="6"/>
      <c r="H33" s="6"/>
      <c r="I33" s="6"/>
      <c r="J33" s="6"/>
      <c r="K33" s="6">
        <v>372800</v>
      </c>
      <c r="L33" s="6"/>
      <c r="M33" s="6"/>
      <c r="N33" s="6"/>
    </row>
    <row r="34" spans="1:14" x14ac:dyDescent="0.25">
      <c r="A34" s="1" t="s">
        <v>39</v>
      </c>
      <c r="B34" s="1" t="str">
        <f>VLOOKUP(A34,LISTADHERENT!A$5:H$52,2,0)</f>
        <v>NKEPSEU DIEUDONNE</v>
      </c>
      <c r="C34" s="6">
        <v>390000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25">
      <c r="A35" s="1" t="s">
        <v>40</v>
      </c>
      <c r="B35" s="1" t="str">
        <f>VLOOKUP(A35,LISTADHERENT!A$5:H$52,2,0)</f>
        <v>NKEPSEU HENANG RENE</v>
      </c>
      <c r="C35" s="6">
        <v>390000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x14ac:dyDescent="0.25">
      <c r="A36" s="1" t="s">
        <v>41</v>
      </c>
      <c r="B36" s="1" t="str">
        <f>VLOOKUP(A36,LISTADHERENT!A$5:H$52,2,0)</f>
        <v>NTEPDIE TUEMAC MZ</v>
      </c>
      <c r="C36" s="6">
        <v>0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21" customFormat="1" x14ac:dyDescent="0.25">
      <c r="A37" s="19" t="s">
        <v>42</v>
      </c>
      <c r="B37" s="19" t="str">
        <f>VLOOKUP(A37,LISTADHERENT!A$5:H$52,2,0)</f>
        <v>NTOMBOU ADOLPHE</v>
      </c>
      <c r="C37" s="33">
        <v>0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</row>
    <row r="38" spans="1:14" x14ac:dyDescent="0.25">
      <c r="A38" s="1" t="s">
        <v>43</v>
      </c>
      <c r="B38" s="1" t="str">
        <f>VLOOKUP(A38,LISTADHERENT!A$5:H$52,2,0)</f>
        <v>PATEGO NJOSSU GUSTAVE</v>
      </c>
      <c r="C38" s="6">
        <v>390000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25">
      <c r="A39" s="1" t="s">
        <v>44</v>
      </c>
      <c r="B39" s="1" t="str">
        <f>VLOOKUP(A39,LISTADHERENT!A$5:H$52,2,0)</f>
        <v>SEUNOU RICHELOT</v>
      </c>
      <c r="C39" s="6">
        <v>390000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x14ac:dyDescent="0.25">
      <c r="A40" s="1" t="s">
        <v>45</v>
      </c>
      <c r="B40" s="1" t="str">
        <f>VLOOKUP(A40,LISTADHERENT!A$5:H$52,2,0)</f>
        <v>SIME ABEL</v>
      </c>
      <c r="C40" s="6">
        <v>0</v>
      </c>
      <c r="D40" s="6"/>
      <c r="E40" s="6"/>
      <c r="F40" s="6"/>
      <c r="G40" s="6"/>
      <c r="H40" s="6"/>
      <c r="I40" s="6"/>
      <c r="J40" s="6"/>
      <c r="K40" s="6"/>
      <c r="L40" s="6">
        <v>390000</v>
      </c>
      <c r="M40" s="6"/>
      <c r="N40" s="6"/>
    </row>
    <row r="41" spans="1:14" x14ac:dyDescent="0.25">
      <c r="A41" s="1" t="s">
        <v>46</v>
      </c>
      <c r="B41" s="1" t="str">
        <f>VLOOKUP(A41,LISTADHERENT!A$5:H$52,2,0)</f>
        <v>SIME FONGANG ERIC</v>
      </c>
      <c r="C41" s="6">
        <v>390000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x14ac:dyDescent="0.25">
      <c r="A42" s="1" t="s">
        <v>47</v>
      </c>
      <c r="B42" s="1" t="str">
        <f>VLOOKUP(A42,LISTADHERENT!A$5:H$52,2,0)</f>
        <v>SIME MATHIEU</v>
      </c>
      <c r="C42" s="6">
        <v>390000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x14ac:dyDescent="0.25">
      <c r="A43" s="1" t="s">
        <v>48</v>
      </c>
      <c r="B43" s="1" t="str">
        <f>VLOOKUP(A43,LISTADHERENT!A$5:H$52,2,0)</f>
        <v>SIME PIERRE</v>
      </c>
      <c r="C43" s="6">
        <v>390000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x14ac:dyDescent="0.25">
      <c r="A44" s="1" t="s">
        <v>49</v>
      </c>
      <c r="B44" s="1" t="str">
        <f>VLOOKUP(A44,LISTADHERENT!A$5:H$52,2,0)</f>
        <v>TAGNE NANGUEN MARTIN</v>
      </c>
      <c r="C44" s="6">
        <v>0</v>
      </c>
      <c r="D44" s="6"/>
      <c r="E44" s="6"/>
      <c r="F44" s="6"/>
      <c r="G44" s="6"/>
      <c r="H44" s="6"/>
      <c r="I44" s="6"/>
      <c r="J44" s="6"/>
      <c r="K44" s="6"/>
      <c r="L44" s="6">
        <v>390000</v>
      </c>
      <c r="M44" s="6"/>
      <c r="N44" s="6"/>
    </row>
    <row r="45" spans="1:14" x14ac:dyDescent="0.25">
      <c r="A45" s="1" t="s">
        <v>50</v>
      </c>
      <c r="B45" s="1" t="str">
        <f>VLOOKUP(A45,LISTADHERENT!A$5:H$52,2,0)</f>
        <v>TCHOUAMOU JEAN PAUL</v>
      </c>
      <c r="C45" s="6">
        <v>0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x14ac:dyDescent="0.25">
      <c r="A46" s="1" t="s">
        <v>51</v>
      </c>
      <c r="B46" s="1" t="str">
        <f>VLOOKUP(A46,LISTADHERENT!A$5:H$52,2,0)</f>
        <v>TCHOUAMOU MATHIEU</v>
      </c>
      <c r="C46" s="6">
        <v>390000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x14ac:dyDescent="0.25">
      <c r="A47" s="1" t="s">
        <v>52</v>
      </c>
      <c r="B47" s="1" t="str">
        <f>VLOOKUP(A47,LISTADHERENT!A$5:H$52,2,0)</f>
        <v>TCHOUANTE FRANCOIS</v>
      </c>
      <c r="C47" s="6">
        <f>390000-132881</f>
        <v>257119</v>
      </c>
      <c r="D47" s="6"/>
      <c r="E47" s="6"/>
      <c r="F47" s="6"/>
      <c r="G47" s="6"/>
      <c r="H47" s="6"/>
      <c r="I47" s="6"/>
      <c r="J47" s="6"/>
      <c r="K47" s="6">
        <f>C47+48100+20500</f>
        <v>325719</v>
      </c>
      <c r="L47" s="6"/>
      <c r="M47" s="6"/>
      <c r="N47" s="6"/>
    </row>
    <row r="48" spans="1:14" x14ac:dyDescent="0.25">
      <c r="A48" s="1" t="s">
        <v>53</v>
      </c>
      <c r="B48" s="1" t="str">
        <f>VLOOKUP(A48,LISTADHERENT!A$5:H$52,2,0)</f>
        <v>TCHOUTOU NANA CLAUDE</v>
      </c>
      <c r="C48" s="6">
        <v>0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x14ac:dyDescent="0.25">
      <c r="A49" s="1" t="s">
        <v>54</v>
      </c>
      <c r="B49" s="1" t="str">
        <f>VLOOKUP(A49,LISTADHERENT!A$5:H$52,2,0)</f>
        <v>TIEYAM ERNEST</v>
      </c>
      <c r="C49" s="6">
        <v>390000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x14ac:dyDescent="0.25">
      <c r="A50" s="1" t="s">
        <v>55</v>
      </c>
      <c r="B50" s="1" t="str">
        <f>VLOOKUP(A50,LISTADHERENT!A$5:H$52,2,0)</f>
        <v>TUGMA PIERRE LOTI</v>
      </c>
      <c r="C50" s="6">
        <v>390000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x14ac:dyDescent="0.25">
      <c r="A51" s="1" t="s">
        <v>66</v>
      </c>
      <c r="B51" s="1" t="str">
        <f>VLOOKUP(A51,LISTADHERENT!A$5:H$52,2,0)</f>
        <v>YEPMOU JEAN JACQUES</v>
      </c>
      <c r="C51" s="6">
        <v>390000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x14ac:dyDescent="0.25">
      <c r="A52" s="1" t="s">
        <v>178</v>
      </c>
      <c r="B52" s="1" t="str">
        <f>VLOOKUP(A52,LISTADHERENT!A$5:H$52,2,0)</f>
        <v>YOUMBI EMMANUEL</v>
      </c>
      <c r="C52" s="6">
        <v>390000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x14ac:dyDescent="0.25">
      <c r="A53" s="1"/>
      <c r="B53" s="1"/>
    </row>
    <row r="54" spans="1:14" ht="18" x14ac:dyDescent="0.25">
      <c r="A54" s="8" t="s">
        <v>56</v>
      </c>
      <c r="B54" s="8"/>
      <c r="C54" s="9">
        <f>SUM(C6:C53)</f>
        <v>12996142</v>
      </c>
      <c r="D54" s="9">
        <f t="shared" ref="D54:N54" si="0">SUM(D6:D53)</f>
        <v>0</v>
      </c>
      <c r="E54" s="9">
        <f t="shared" si="0"/>
        <v>0</v>
      </c>
      <c r="F54" s="9">
        <f t="shared" si="0"/>
        <v>0</v>
      </c>
      <c r="G54" s="9">
        <f t="shared" si="0"/>
        <v>0</v>
      </c>
      <c r="H54" s="9">
        <f t="shared" si="0"/>
        <v>0</v>
      </c>
      <c r="I54" s="9">
        <f t="shared" si="0"/>
        <v>440000</v>
      </c>
      <c r="J54" s="9">
        <f t="shared" si="0"/>
        <v>0</v>
      </c>
      <c r="K54" s="9">
        <f t="shared" si="0"/>
        <v>698519</v>
      </c>
      <c r="L54" s="9">
        <f t="shared" si="0"/>
        <v>1560000</v>
      </c>
      <c r="M54" s="9">
        <f t="shared" si="0"/>
        <v>0</v>
      </c>
      <c r="N54" s="9">
        <f t="shared" si="0"/>
        <v>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6"/>
  <sheetViews>
    <sheetView workbookViewId="0">
      <pane xSplit="2" ySplit="4" topLeftCell="C14" activePane="bottomRight" state="frozen"/>
      <selection activeCell="B22" sqref="B22"/>
      <selection pane="topRight" activeCell="B22" sqref="B22"/>
      <selection pane="bottomLeft" activeCell="B22" sqref="B22"/>
      <selection pane="bottomRight" activeCell="A33" sqref="A33:XFD3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20.28515625" bestFit="1" customWidth="1"/>
    <col min="4" max="4" width="18.7109375" bestFit="1" customWidth="1"/>
    <col min="5" max="5" width="16.140625" customWidth="1"/>
    <col min="6" max="6" width="16.85546875" bestFit="1" customWidth="1"/>
    <col min="7" max="7" width="13" bestFit="1" customWidth="1"/>
    <col min="8" max="8" width="15" style="2" bestFit="1" customWidth="1"/>
    <col min="9" max="9" width="15" bestFit="1" customWidth="1"/>
    <col min="10" max="10" width="17.5703125" style="4" bestFit="1" customWidth="1"/>
    <col min="11" max="11" width="15.7109375" style="2" customWidth="1"/>
    <col min="12" max="12" width="12.42578125" style="2" customWidth="1"/>
    <col min="13" max="13" width="9.7109375" style="2" customWidth="1"/>
    <col min="14" max="14" width="18.140625" customWidth="1"/>
    <col min="15" max="15" width="15" bestFit="1" customWidth="1"/>
    <col min="16" max="16" width="12.5703125" bestFit="1" customWidth="1"/>
    <col min="17" max="17" width="18.140625" customWidth="1"/>
  </cols>
  <sheetData>
    <row r="1" spans="1:20" x14ac:dyDescent="0.25">
      <c r="A1" s="1" t="s">
        <v>0</v>
      </c>
      <c r="B1" s="1" t="s">
        <v>1</v>
      </c>
      <c r="C1" s="1"/>
      <c r="D1" s="1"/>
      <c r="E1" s="1"/>
      <c r="F1" s="1"/>
      <c r="G1" s="1"/>
    </row>
    <row r="2" spans="1:20" x14ac:dyDescent="0.25">
      <c r="A2" s="1" t="s">
        <v>2</v>
      </c>
      <c r="B2" s="1" t="s">
        <v>3</v>
      </c>
      <c r="C2" s="1"/>
      <c r="D2" s="1"/>
      <c r="E2" s="1"/>
      <c r="F2" s="1"/>
      <c r="G2" s="1"/>
    </row>
    <row r="3" spans="1:20" x14ac:dyDescent="0.25">
      <c r="A3" s="1" t="s">
        <v>4</v>
      </c>
      <c r="B3" s="1" t="s">
        <v>5</v>
      </c>
      <c r="C3" s="1"/>
      <c r="D3" s="1"/>
      <c r="E3" s="1"/>
      <c r="F3" s="1"/>
      <c r="G3" s="1"/>
    </row>
    <row r="4" spans="1:20" ht="29.25" x14ac:dyDescent="0.25">
      <c r="A4" s="1" t="s">
        <v>6</v>
      </c>
      <c r="B4" s="1" t="s">
        <v>7</v>
      </c>
      <c r="C4" s="6" t="s">
        <v>188</v>
      </c>
      <c r="D4" s="1" t="s">
        <v>183</v>
      </c>
      <c r="E4" s="5" t="s">
        <v>186</v>
      </c>
      <c r="F4" s="5" t="s">
        <v>187</v>
      </c>
      <c r="G4" s="1" t="s">
        <v>184</v>
      </c>
      <c r="H4" s="5" t="s">
        <v>65</v>
      </c>
      <c r="I4" s="1" t="s">
        <v>57</v>
      </c>
      <c r="J4" s="5" t="s">
        <v>58</v>
      </c>
      <c r="K4" s="5" t="s">
        <v>59</v>
      </c>
      <c r="L4" s="5" t="s">
        <v>60</v>
      </c>
      <c r="M4" s="5" t="s">
        <v>61</v>
      </c>
      <c r="N4" s="5" t="s">
        <v>62</v>
      </c>
      <c r="O4" s="5" t="s">
        <v>63</v>
      </c>
      <c r="P4" s="5" t="s">
        <v>64</v>
      </c>
      <c r="Q4" s="5" t="s">
        <v>8</v>
      </c>
      <c r="R4" s="5" t="s">
        <v>182</v>
      </c>
      <c r="S4" s="5" t="s">
        <v>181</v>
      </c>
    </row>
    <row r="5" spans="1:20" x14ac:dyDescent="0.25">
      <c r="A5" s="1" t="s">
        <v>185</v>
      </c>
      <c r="B5" s="1" t="str">
        <f>VLOOKUP(A5,LISTADHERENT!A$5:H$52,2,0)</f>
        <v>ASELBY</v>
      </c>
      <c r="C5" s="6">
        <f>VLOOKUP(A5,FONDSDECAISSE!A$5:C$52,3,0)</f>
        <v>0</v>
      </c>
      <c r="D5" s="6">
        <v>318145</v>
      </c>
      <c r="E5" s="6">
        <f t="shared" ref="E5:E52" si="0">$P$56/$F$56*F5</f>
        <v>1799.2102095459891</v>
      </c>
      <c r="F5" s="6">
        <f>RECAPTONT20000!C5+RECAPTONT20000!D5+TONT20000DEC2015!I5</f>
        <v>318145</v>
      </c>
      <c r="G5" s="6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"/>
    </row>
    <row r="6" spans="1:20" x14ac:dyDescent="0.25">
      <c r="A6" s="1" t="s">
        <v>11</v>
      </c>
      <c r="B6" s="1" t="str">
        <f>VLOOKUP(A6,LISTADHERENT!A$5:H$52,2,0)</f>
        <v>BAKOP ACHILLE</v>
      </c>
      <c r="C6" s="6">
        <f>VLOOKUP(A6,FONDSDECAISSE!A$5:C$52,3,0)</f>
        <v>390000</v>
      </c>
      <c r="D6" s="6">
        <v>33536</v>
      </c>
      <c r="E6" s="6">
        <f t="shared" si="0"/>
        <v>2412.1954641402754</v>
      </c>
      <c r="F6" s="6">
        <f>RECAPTONT20000!C6+RECAPTONT20000!D6+TONT20000DEC2015!I6</f>
        <v>426536</v>
      </c>
      <c r="G6" s="6"/>
      <c r="H6" s="7">
        <f>I6+J6+K6+L6+M7+N7</f>
        <v>20000</v>
      </c>
      <c r="I6" s="7">
        <v>3000</v>
      </c>
      <c r="J6" s="7">
        <v>500</v>
      </c>
      <c r="K6" s="7">
        <v>1000</v>
      </c>
      <c r="L6" s="7">
        <v>2500</v>
      </c>
      <c r="M6" s="7"/>
      <c r="N6" s="7">
        <v>13000</v>
      </c>
      <c r="O6" s="7"/>
      <c r="P6" s="7">
        <f>IF(O6&lt;=500000,(O6*1*3/100),(O6*12/100))</f>
        <v>0</v>
      </c>
      <c r="Q6" s="2"/>
      <c r="R6" s="2"/>
      <c r="S6" s="2"/>
    </row>
    <row r="7" spans="1:20" x14ac:dyDescent="0.25">
      <c r="A7" s="1" t="s">
        <v>12</v>
      </c>
      <c r="B7" s="1" t="str">
        <f>VLOOKUP(A7,LISTADHERENT!A$5:H$51,2)</f>
        <v>BOUTCHOUANG WILLIAM</v>
      </c>
      <c r="C7" s="6">
        <f>VLOOKUP(A7,FONDSDECAISSE!A$5:C$52,3,0)</f>
        <v>390000</v>
      </c>
      <c r="D7" s="6">
        <v>1704</v>
      </c>
      <c r="E7" s="6">
        <f t="shared" si="0"/>
        <v>2232.1754751721387</v>
      </c>
      <c r="F7" s="6">
        <f>RECAPTONT20000!C7+RECAPTONT20000!D7+TONT20000DEC2015!I7</f>
        <v>394704</v>
      </c>
      <c r="G7" s="6"/>
      <c r="H7" s="7">
        <f>I7+J7+K7+L7+M8+N8</f>
        <v>20000</v>
      </c>
      <c r="I7" s="7">
        <v>3000</v>
      </c>
      <c r="J7" s="7">
        <v>500</v>
      </c>
      <c r="K7" s="7">
        <v>1000</v>
      </c>
      <c r="L7" s="7">
        <v>2500</v>
      </c>
      <c r="M7" s="7"/>
      <c r="N7" s="7">
        <v>13000</v>
      </c>
      <c r="O7" s="7"/>
      <c r="P7" s="7">
        <f t="shared" ref="P7:P54" si="1">IF(O7&lt;=500000,(O7*1*3/100),(O7*12/100))</f>
        <v>0</v>
      </c>
      <c r="Q7" s="2"/>
      <c r="R7" s="2"/>
      <c r="S7" s="2"/>
    </row>
    <row r="8" spans="1:20" x14ac:dyDescent="0.25">
      <c r="A8" s="1" t="s">
        <v>13</v>
      </c>
      <c r="B8" s="1" t="str">
        <f>VLOOKUP(A8,LISTADHERENT!A$5:H$51,2)</f>
        <v>CHINGUE FABRICE</v>
      </c>
      <c r="C8" s="6">
        <f>VLOOKUP(A8,FONDSDECAISSE!A$5:C$52,3,0)</f>
        <v>390000</v>
      </c>
      <c r="D8" s="6">
        <v>1842</v>
      </c>
      <c r="E8" s="6">
        <f t="shared" si="0"/>
        <v>2232.9559086503241</v>
      </c>
      <c r="F8" s="6">
        <f>RECAPTONT20000!C8+RECAPTONT20000!D8+TONT20000DEC2015!I8</f>
        <v>394842</v>
      </c>
      <c r="G8" s="6"/>
      <c r="H8" s="7">
        <f t="shared" ref="H8:H49" si="2">I8+J8+K8+L8+M8+N8</f>
        <v>20000</v>
      </c>
      <c r="I8" s="7">
        <v>3000</v>
      </c>
      <c r="J8" s="7">
        <v>500</v>
      </c>
      <c r="K8" s="7">
        <v>1000</v>
      </c>
      <c r="L8" s="7">
        <v>2500</v>
      </c>
      <c r="M8" s="7"/>
      <c r="N8" s="7">
        <v>13000</v>
      </c>
      <c r="O8" s="2"/>
      <c r="P8" s="7">
        <f t="shared" si="1"/>
        <v>0</v>
      </c>
      <c r="Q8" s="2"/>
      <c r="R8" s="2"/>
      <c r="S8" s="2"/>
    </row>
    <row r="9" spans="1:20" x14ac:dyDescent="0.25">
      <c r="A9" s="1" t="s">
        <v>14</v>
      </c>
      <c r="B9" s="1" t="str">
        <f>VLOOKUP(A9,LISTADHERENT!A$5:H$51,2)</f>
        <v xml:space="preserve">DJOMO JEAN PAUL </v>
      </c>
      <c r="C9" s="6">
        <f>VLOOKUP(A9,FONDSDECAISSE!A$5:C$52,3,0)</f>
        <v>390000</v>
      </c>
      <c r="D9" s="6">
        <v>8156</v>
      </c>
      <c r="E9" s="6">
        <f t="shared" si="0"/>
        <v>2268.6635679348433</v>
      </c>
      <c r="F9" s="6">
        <f>RECAPTONT20000!C9+RECAPTONT20000!D9+TONT20000DEC2015!I9</f>
        <v>401156</v>
      </c>
      <c r="G9" s="6"/>
      <c r="H9" s="7">
        <f t="shared" si="2"/>
        <v>20000</v>
      </c>
      <c r="I9" s="7">
        <v>3000</v>
      </c>
      <c r="J9" s="7">
        <v>500</v>
      </c>
      <c r="K9" s="7">
        <v>1000</v>
      </c>
      <c r="L9" s="7">
        <v>2500</v>
      </c>
      <c r="M9" s="7"/>
      <c r="N9" s="7">
        <v>13000</v>
      </c>
      <c r="O9" s="2"/>
      <c r="P9" s="7">
        <f t="shared" si="1"/>
        <v>0</v>
      </c>
      <c r="Q9" s="2"/>
      <c r="R9" s="2"/>
      <c r="S9" s="2"/>
    </row>
    <row r="10" spans="1:20" x14ac:dyDescent="0.25">
      <c r="A10" s="1" t="s">
        <v>15</v>
      </c>
      <c r="B10" s="1" t="str">
        <f>VLOOKUP(A10,LISTADHERENT!A$5:H$51,2)</f>
        <v>DJOUKWE GUY</v>
      </c>
      <c r="C10" s="6">
        <f>VLOOKUP(A10,FONDSDECAISSE!A$5:C$52,3,0)</f>
        <v>390000</v>
      </c>
      <c r="D10" s="6">
        <v>5905</v>
      </c>
      <c r="E10" s="6">
        <f t="shared" si="0"/>
        <v>2284.2100290329022</v>
      </c>
      <c r="F10" s="6">
        <f>RECAPTONT20000!C10+RECAPTONT20000!D10+TONT20000DEC2015!I10</f>
        <v>403905</v>
      </c>
      <c r="G10" s="6"/>
      <c r="H10" s="7">
        <f t="shared" si="2"/>
        <v>25000</v>
      </c>
      <c r="I10" s="7">
        <v>8000</v>
      </c>
      <c r="J10" s="7">
        <v>500</v>
      </c>
      <c r="K10" s="7">
        <v>1000</v>
      </c>
      <c r="L10" s="7">
        <v>2500</v>
      </c>
      <c r="M10" s="7"/>
      <c r="N10" s="7">
        <v>13000</v>
      </c>
      <c r="O10" s="2"/>
      <c r="P10" s="7">
        <f t="shared" si="1"/>
        <v>0</v>
      </c>
      <c r="Q10" s="2"/>
      <c r="R10" s="2"/>
      <c r="S10" s="2"/>
    </row>
    <row r="11" spans="1:20" x14ac:dyDescent="0.25">
      <c r="A11" s="1" t="s">
        <v>16</v>
      </c>
      <c r="B11" s="1" t="str">
        <f>VLOOKUP(A11,LISTADHERENT!A$5:H$51,2)</f>
        <v>DJOSSEU JOSUE</v>
      </c>
      <c r="C11" s="6">
        <f>VLOOKUP(A11,FONDSDECAISSE!A$5:C$52,3,0)</f>
        <v>0</v>
      </c>
      <c r="D11" s="6">
        <v>0</v>
      </c>
      <c r="E11" s="6">
        <f t="shared" si="0"/>
        <v>28.276575296578432</v>
      </c>
      <c r="F11" s="6">
        <f>RECAPTONT20000!C11+RECAPTONT20000!D11+TONT20000DEC2015!I11</f>
        <v>5000</v>
      </c>
      <c r="G11" s="6"/>
      <c r="H11" s="7">
        <f t="shared" si="2"/>
        <v>22000</v>
      </c>
      <c r="I11" s="7">
        <v>5000</v>
      </c>
      <c r="J11" s="7">
        <v>500</v>
      </c>
      <c r="K11" s="7">
        <v>1000</v>
      </c>
      <c r="L11" s="7">
        <v>2500</v>
      </c>
      <c r="M11" s="7"/>
      <c r="N11" s="7">
        <v>13000</v>
      </c>
      <c r="O11" s="2"/>
      <c r="P11" s="7">
        <f t="shared" si="1"/>
        <v>0</v>
      </c>
      <c r="Q11" s="2"/>
      <c r="R11" s="2"/>
      <c r="S11" s="2"/>
    </row>
    <row r="12" spans="1:20" x14ac:dyDescent="0.25">
      <c r="A12" s="1" t="s">
        <v>17</v>
      </c>
      <c r="B12" s="1" t="str">
        <f>VLOOKUP(A12,LISTADHERENT!A$5:H$51,2)</f>
        <v>DJOUNKEP SAMUEL</v>
      </c>
      <c r="C12" s="6">
        <f>VLOOKUP(A12,FONDSDECAISSE!A$5:C$52,3,0)</f>
        <v>390000</v>
      </c>
      <c r="D12" s="6">
        <v>1055294</v>
      </c>
      <c r="E12" s="6">
        <f t="shared" si="0"/>
        <v>7796.3551323069523</v>
      </c>
      <c r="F12" s="6">
        <f>RECAPTONT20000!C12+RECAPTONT20000!D12+TONT20000DEC2015!I12</f>
        <v>1378589</v>
      </c>
      <c r="G12" s="6"/>
      <c r="H12" s="7">
        <f t="shared" si="2"/>
        <v>20000</v>
      </c>
      <c r="I12" s="7">
        <v>3000</v>
      </c>
      <c r="J12" s="7">
        <v>500</v>
      </c>
      <c r="K12" s="7">
        <v>1000</v>
      </c>
      <c r="L12" s="7">
        <v>2500</v>
      </c>
      <c r="M12" s="7"/>
      <c r="N12" s="7">
        <v>13000</v>
      </c>
      <c r="O12" s="2"/>
      <c r="P12" s="7">
        <f t="shared" si="1"/>
        <v>0</v>
      </c>
      <c r="Q12" s="2"/>
      <c r="R12" s="2"/>
      <c r="S12" s="2"/>
    </row>
    <row r="13" spans="1:20" x14ac:dyDescent="0.25">
      <c r="A13" s="1" t="s">
        <v>18</v>
      </c>
      <c r="B13" s="1" t="str">
        <f>VLOOKUP(A13,LISTADHERENT!A$5:H$51,2)</f>
        <v>DJUOMBESSY ANTOINE</v>
      </c>
      <c r="C13" s="6">
        <f>VLOOKUP(A13,FONDSDECAISSE!A$5:C$52,3,0)</f>
        <v>319134</v>
      </c>
      <c r="D13" s="6">
        <v>0</v>
      </c>
      <c r="E13" s="6">
        <f t="shared" si="0"/>
        <v>1821.7692613175993</v>
      </c>
      <c r="F13" s="6">
        <f>RECAPTONT20000!C13+RECAPTONT20000!D13+TONT20000DEC2015!I13</f>
        <v>322134</v>
      </c>
      <c r="G13" s="6"/>
      <c r="H13" s="7">
        <f t="shared" si="2"/>
        <v>20000</v>
      </c>
      <c r="I13" s="7">
        <v>3000</v>
      </c>
      <c r="J13" s="7">
        <v>500</v>
      </c>
      <c r="K13" s="7">
        <v>1000</v>
      </c>
      <c r="L13" s="7">
        <v>2500</v>
      </c>
      <c r="M13" s="7"/>
      <c r="N13" s="7">
        <v>13000</v>
      </c>
      <c r="O13" s="2"/>
      <c r="P13" s="7">
        <f t="shared" si="1"/>
        <v>0</v>
      </c>
      <c r="Q13" s="2"/>
      <c r="R13" s="2"/>
      <c r="S13" s="2"/>
    </row>
    <row r="14" spans="1:20" x14ac:dyDescent="0.25">
      <c r="A14" s="1" t="s">
        <v>19</v>
      </c>
      <c r="B14" s="1" t="str">
        <f>VLOOKUP(A14,LISTADHERENT!A$5:H$51,2)</f>
        <v>DONHOU DAVID</v>
      </c>
      <c r="C14" s="6">
        <f>VLOOKUP(A14,FONDSDECAISSE!A$5:C$52,3,0)</f>
        <v>390000</v>
      </c>
      <c r="D14" s="6">
        <v>44734</v>
      </c>
      <c r="E14" s="6">
        <f t="shared" si="0"/>
        <v>2475.5236821744925</v>
      </c>
      <c r="F14" s="6">
        <f>RECAPTONT20000!C14+RECAPTONT20000!D14+TONT20000DEC2015!I14</f>
        <v>437734</v>
      </c>
      <c r="G14" s="6"/>
      <c r="H14" s="7">
        <f t="shared" si="2"/>
        <v>20000</v>
      </c>
      <c r="I14" s="7">
        <v>3000</v>
      </c>
      <c r="J14" s="7">
        <v>500</v>
      </c>
      <c r="K14" s="7">
        <v>1000</v>
      </c>
      <c r="L14" s="7">
        <v>2500</v>
      </c>
      <c r="M14" s="7"/>
      <c r="N14" s="7">
        <v>13000</v>
      </c>
      <c r="O14" s="2"/>
      <c r="P14" s="7">
        <f t="shared" si="1"/>
        <v>0</v>
      </c>
      <c r="Q14" s="2"/>
      <c r="R14" s="2"/>
      <c r="S14" s="2"/>
    </row>
    <row r="15" spans="1:20" x14ac:dyDescent="0.25">
      <c r="A15" s="1" t="s">
        <v>20</v>
      </c>
      <c r="B15" s="1" t="str">
        <f>VLOOKUP(A15,LISTADHERENT!A$5:H$51,2)</f>
        <v>FOTSO THOMAS</v>
      </c>
      <c r="C15" s="6">
        <f>VLOOKUP(A15,FONDSDECAISSE!A$5:C$52,3,0)</f>
        <v>390000</v>
      </c>
      <c r="D15" s="6">
        <v>3318</v>
      </c>
      <c r="E15" s="6">
        <f t="shared" si="0"/>
        <v>2241.303153677874</v>
      </c>
      <c r="F15" s="6">
        <f>RECAPTONT20000!C15+RECAPTONT20000!D15+TONT20000DEC2015!I15</f>
        <v>396318</v>
      </c>
      <c r="G15" s="6"/>
      <c r="H15" s="7">
        <f t="shared" si="2"/>
        <v>20000</v>
      </c>
      <c r="I15" s="7">
        <v>3000</v>
      </c>
      <c r="J15" s="7">
        <v>500</v>
      </c>
      <c r="K15" s="7">
        <v>1000</v>
      </c>
      <c r="L15" s="7">
        <v>2500</v>
      </c>
      <c r="M15" s="7"/>
      <c r="N15" s="7">
        <v>13000</v>
      </c>
      <c r="O15" s="2"/>
      <c r="P15" s="7">
        <f t="shared" si="1"/>
        <v>0</v>
      </c>
      <c r="Q15" s="2"/>
      <c r="R15" s="2"/>
      <c r="S15" s="2"/>
    </row>
    <row r="16" spans="1:20" x14ac:dyDescent="0.25">
      <c r="A16" s="1" t="s">
        <v>21</v>
      </c>
      <c r="B16" s="1" t="str">
        <f>VLOOKUP(A16,LISTADHERENT!A$5:H$51,2)</f>
        <v>HENGUE PAUL OMER</v>
      </c>
      <c r="C16" s="6">
        <f>VLOOKUP(A16,FONDSDECAISSE!A$5:C$52,3,0)</f>
        <v>390000</v>
      </c>
      <c r="D16" s="6"/>
      <c r="E16" s="6">
        <f t="shared" si="0"/>
        <v>2222.5388183110645</v>
      </c>
      <c r="F16" s="6">
        <f>RECAPTONT20000!C16+RECAPTONT20000!D16+TONT20000DEC2015!I16</f>
        <v>393000</v>
      </c>
      <c r="G16" s="6"/>
      <c r="H16" s="7">
        <f t="shared" si="2"/>
        <v>20000</v>
      </c>
      <c r="I16" s="7">
        <v>3000</v>
      </c>
      <c r="J16" s="7">
        <v>500</v>
      </c>
      <c r="K16" s="7">
        <v>1000</v>
      </c>
      <c r="L16" s="7">
        <v>2500</v>
      </c>
      <c r="M16" s="7"/>
      <c r="N16" s="7">
        <v>13000</v>
      </c>
      <c r="O16" s="2"/>
      <c r="P16" s="7">
        <f t="shared" si="1"/>
        <v>0</v>
      </c>
      <c r="Q16" s="2"/>
      <c r="R16" s="2"/>
      <c r="S16" s="2"/>
    </row>
    <row r="17" spans="1:19" x14ac:dyDescent="0.25">
      <c r="A17" s="1" t="s">
        <v>22</v>
      </c>
      <c r="B17" s="1" t="str">
        <f>VLOOKUP(A17,LISTADHERENT!A$5:H$51,2)</f>
        <v>HODIEP JULES</v>
      </c>
      <c r="C17" s="6">
        <f>VLOOKUP(A17,FONDSDECAISSE!A$5:C$52,3,0)</f>
        <v>0</v>
      </c>
      <c r="D17" s="6">
        <v>0</v>
      </c>
      <c r="E17" s="6">
        <f t="shared" si="0"/>
        <v>16.965945177947059</v>
      </c>
      <c r="F17" s="6">
        <f>RECAPTONT20000!C17+RECAPTONT20000!D17+TONT20000DEC2015!I17</f>
        <v>3000</v>
      </c>
      <c r="G17" s="6"/>
      <c r="H17" s="7">
        <f t="shared" si="2"/>
        <v>20000</v>
      </c>
      <c r="I17" s="7">
        <v>3000</v>
      </c>
      <c r="J17" s="7">
        <v>500</v>
      </c>
      <c r="K17" s="7">
        <v>1000</v>
      </c>
      <c r="L17" s="7">
        <v>2500</v>
      </c>
      <c r="M17" s="7"/>
      <c r="N17" s="7">
        <v>13000</v>
      </c>
      <c r="O17" s="2"/>
      <c r="P17" s="7">
        <f t="shared" si="1"/>
        <v>0</v>
      </c>
      <c r="Q17" s="2"/>
      <c r="R17" s="2"/>
      <c r="S17" s="2"/>
    </row>
    <row r="18" spans="1:19" x14ac:dyDescent="0.25">
      <c r="A18" s="1" t="s">
        <v>23</v>
      </c>
      <c r="B18" s="1" t="str">
        <f>VLOOKUP(A18,LISTADHERENT!A$5:H$51,2)</f>
        <v>HOTCHO BENJAMIN</v>
      </c>
      <c r="C18" s="6">
        <f>VLOOKUP(A18,FONDSDECAISSE!A$5:C$52,3,0)</f>
        <v>390000</v>
      </c>
      <c r="D18" s="6">
        <v>8723</v>
      </c>
      <c r="E18" s="6">
        <f t="shared" si="0"/>
        <v>2271.8701315734752</v>
      </c>
      <c r="F18" s="6">
        <f>RECAPTONT20000!C18+RECAPTONT20000!D18+TONT20000DEC2015!I18</f>
        <v>401723</v>
      </c>
      <c r="G18" s="6"/>
      <c r="H18" s="7">
        <f t="shared" si="2"/>
        <v>20000</v>
      </c>
      <c r="I18" s="7">
        <v>3000</v>
      </c>
      <c r="J18" s="7">
        <v>500</v>
      </c>
      <c r="K18" s="7">
        <v>1000</v>
      </c>
      <c r="L18" s="7">
        <v>2500</v>
      </c>
      <c r="M18" s="7"/>
      <c r="N18" s="7">
        <v>13000</v>
      </c>
      <c r="O18" s="2"/>
      <c r="P18" s="7">
        <f t="shared" si="1"/>
        <v>0</v>
      </c>
      <c r="Q18" s="2"/>
      <c r="R18" s="2"/>
      <c r="S18" s="2"/>
    </row>
    <row r="19" spans="1:19" x14ac:dyDescent="0.25">
      <c r="A19" s="1" t="s">
        <v>24</v>
      </c>
      <c r="B19" s="1" t="str">
        <f>VLOOKUP(A19,LISTADHERENT!A$5:H$51,2)</f>
        <v>KEPHE DAVID</v>
      </c>
      <c r="C19" s="6">
        <f>VLOOKUP(A19,FONDSDECAISSE!A$5:C$52,3,0)</f>
        <v>0</v>
      </c>
      <c r="D19" s="6">
        <v>12795</v>
      </c>
      <c r="E19" s="6">
        <f t="shared" si="0"/>
        <v>89.325701361891262</v>
      </c>
      <c r="F19" s="6">
        <f>RECAPTONT20000!C19+RECAPTONT20000!D19+TONT20000DEC2015!I19</f>
        <v>15795</v>
      </c>
      <c r="G19" s="6"/>
      <c r="H19" s="7">
        <f t="shared" si="2"/>
        <v>20000</v>
      </c>
      <c r="I19" s="7">
        <v>3000</v>
      </c>
      <c r="J19" s="7">
        <v>500</v>
      </c>
      <c r="K19" s="7">
        <v>1000</v>
      </c>
      <c r="L19" s="7">
        <v>2500</v>
      </c>
      <c r="M19" s="7"/>
      <c r="N19" s="7">
        <v>13000</v>
      </c>
      <c r="O19" s="2"/>
      <c r="P19" s="7">
        <f t="shared" si="1"/>
        <v>0</v>
      </c>
      <c r="Q19" s="2"/>
      <c r="R19" s="2"/>
      <c r="S19" s="2"/>
    </row>
    <row r="20" spans="1:19" x14ac:dyDescent="0.25">
      <c r="A20" s="1" t="s">
        <v>25</v>
      </c>
      <c r="B20" s="1" t="str">
        <f>VLOOKUP(A20,LISTADHERENT!A$5:H$51,2)</f>
        <v>KEPSEU FRANCIS</v>
      </c>
      <c r="C20" s="6">
        <f>VLOOKUP(A20,FONDSDECAISSE!A$5:C$52,3,0)</f>
        <v>390000</v>
      </c>
      <c r="D20" s="6">
        <v>186997</v>
      </c>
      <c r="E20" s="6">
        <f t="shared" si="0"/>
        <v>3297.0317136358672</v>
      </c>
      <c r="F20" s="6">
        <f>RECAPTONT20000!C20+RECAPTONT20000!D20+TONT20000DEC2015!I20</f>
        <v>582997</v>
      </c>
      <c r="G20" s="6"/>
      <c r="H20" s="7">
        <f t="shared" si="2"/>
        <v>23000</v>
      </c>
      <c r="I20" s="7">
        <v>6000</v>
      </c>
      <c r="J20" s="7">
        <v>500</v>
      </c>
      <c r="K20" s="7">
        <v>1000</v>
      </c>
      <c r="L20" s="7">
        <v>2500</v>
      </c>
      <c r="M20" s="7"/>
      <c r="N20" s="7">
        <v>13000</v>
      </c>
      <c r="O20" s="2"/>
      <c r="P20" s="7">
        <f t="shared" si="1"/>
        <v>0</v>
      </c>
      <c r="Q20" s="2"/>
      <c r="R20" s="2"/>
      <c r="S20" s="2"/>
    </row>
    <row r="21" spans="1:19" x14ac:dyDescent="0.25">
      <c r="A21" s="1" t="s">
        <v>26</v>
      </c>
      <c r="B21" s="1" t="str">
        <f>VLOOKUP(A21,LISTADHERENT!A$5:H$51,2)</f>
        <v>KOUAMOU EMMANUEL</v>
      </c>
      <c r="C21" s="6">
        <f>VLOOKUP(A21,FONDSDECAISSE!A$5:C$52,3,0)</f>
        <v>390000</v>
      </c>
      <c r="D21" s="6">
        <v>2723</v>
      </c>
      <c r="E21" s="6">
        <f t="shared" si="0"/>
        <v>2237.9382412175814</v>
      </c>
      <c r="F21" s="6">
        <f>RECAPTONT20000!C21+RECAPTONT20000!D21+TONT20000DEC2015!I21</f>
        <v>395723</v>
      </c>
      <c r="G21" s="6"/>
      <c r="H21" s="7">
        <f t="shared" si="2"/>
        <v>20000</v>
      </c>
      <c r="I21" s="7">
        <v>3000</v>
      </c>
      <c r="J21" s="7">
        <v>500</v>
      </c>
      <c r="K21" s="7">
        <v>1000</v>
      </c>
      <c r="L21" s="7">
        <v>2500</v>
      </c>
      <c r="M21" s="7"/>
      <c r="N21" s="7">
        <v>13000</v>
      </c>
      <c r="O21" s="2"/>
      <c r="P21" s="7">
        <f t="shared" si="1"/>
        <v>0</v>
      </c>
      <c r="Q21" s="2"/>
      <c r="R21" s="2"/>
      <c r="S21" s="2"/>
    </row>
    <row r="22" spans="1:19" x14ac:dyDescent="0.25">
      <c r="A22" s="1" t="s">
        <v>27</v>
      </c>
      <c r="B22" s="1" t="str">
        <f>VLOOKUP(A22,LISTADHERENT!A$5:H$51,2)</f>
        <v>KOUAMOU MOISE</v>
      </c>
      <c r="C22" s="6">
        <f>VLOOKUP(A22,FONDSDECAISSE!A$5:C$52,3,0)</f>
        <v>315000</v>
      </c>
      <c r="D22" s="6">
        <v>2099</v>
      </c>
      <c r="E22" s="6">
        <f t="shared" si="0"/>
        <v>1810.2606951718919</v>
      </c>
      <c r="F22" s="6">
        <f>RECAPTONT20000!C22+RECAPTONT20000!D22+TONT20000DEC2015!I22</f>
        <v>320099</v>
      </c>
      <c r="G22" s="6"/>
      <c r="H22" s="7">
        <f t="shared" si="2"/>
        <v>20000</v>
      </c>
      <c r="I22" s="7">
        <v>3000</v>
      </c>
      <c r="J22" s="7">
        <v>500</v>
      </c>
      <c r="K22" s="7">
        <v>1000</v>
      </c>
      <c r="L22" s="7">
        <v>2500</v>
      </c>
      <c r="M22" s="7"/>
      <c r="N22" s="7">
        <v>13000</v>
      </c>
      <c r="O22" s="2"/>
      <c r="P22" s="7">
        <f t="shared" si="1"/>
        <v>0</v>
      </c>
      <c r="Q22" s="2"/>
      <c r="R22" s="2"/>
      <c r="S22" s="2"/>
    </row>
    <row r="23" spans="1:19" x14ac:dyDescent="0.25">
      <c r="A23" s="1" t="s">
        <v>28</v>
      </c>
      <c r="B23" s="1" t="str">
        <f>VLOOKUP(A23,LISTADHERENT!A$5:H$51,2)</f>
        <v>KOUAMOU VICTOR PEGUY</v>
      </c>
      <c r="C23" s="6">
        <f>VLOOKUP(A23,FONDSDECAISSE!A$5:C$52,3,0)</f>
        <v>390000</v>
      </c>
      <c r="D23" s="6">
        <v>36629</v>
      </c>
      <c r="E23" s="6">
        <f t="shared" si="0"/>
        <v>2429.6873536187391</v>
      </c>
      <c r="F23" s="6">
        <f>RECAPTONT20000!C23+RECAPTONT20000!D23+TONT20000DEC2015!I23</f>
        <v>429629</v>
      </c>
      <c r="G23" s="6"/>
      <c r="H23" s="7">
        <f t="shared" si="2"/>
        <v>20000</v>
      </c>
      <c r="I23" s="7">
        <v>3000</v>
      </c>
      <c r="J23" s="7">
        <v>500</v>
      </c>
      <c r="K23" s="7">
        <v>1000</v>
      </c>
      <c r="L23" s="7">
        <v>2500</v>
      </c>
      <c r="M23" s="7"/>
      <c r="N23" s="7">
        <v>13000</v>
      </c>
      <c r="O23" s="2"/>
      <c r="P23" s="7">
        <f t="shared" si="1"/>
        <v>0</v>
      </c>
      <c r="Q23" s="2"/>
      <c r="R23" s="2"/>
      <c r="S23" s="2"/>
    </row>
    <row r="24" spans="1:19" x14ac:dyDescent="0.25">
      <c r="A24" s="1" t="s">
        <v>29</v>
      </c>
      <c r="B24" s="1" t="str">
        <f>VLOOKUP(A24,LISTADHERENT!A$5:H$51,2)</f>
        <v>KOUATCHO MESSACK</v>
      </c>
      <c r="C24" s="6">
        <f>VLOOKUP(A24,FONDSDECAISSE!A$5:C$52,3,0)</f>
        <v>390000</v>
      </c>
      <c r="D24" s="6">
        <v>0</v>
      </c>
      <c r="E24" s="6">
        <f t="shared" si="0"/>
        <v>2222.5388183110645</v>
      </c>
      <c r="F24" s="6">
        <f>RECAPTONT20000!C24+RECAPTONT20000!D24+TONT20000DEC2015!I24</f>
        <v>393000</v>
      </c>
      <c r="G24" s="6"/>
      <c r="H24" s="7">
        <f t="shared" si="2"/>
        <v>20000</v>
      </c>
      <c r="I24" s="7">
        <v>3000</v>
      </c>
      <c r="J24" s="7">
        <v>500</v>
      </c>
      <c r="K24" s="7">
        <v>1000</v>
      </c>
      <c r="L24" s="7">
        <v>2500</v>
      </c>
      <c r="M24" s="7"/>
      <c r="N24" s="7">
        <v>13000</v>
      </c>
      <c r="O24" s="7">
        <v>600000</v>
      </c>
      <c r="P24" s="7">
        <f t="shared" si="1"/>
        <v>72000</v>
      </c>
      <c r="Q24" s="2"/>
      <c r="R24" s="2"/>
      <c r="S24" s="2"/>
    </row>
    <row r="25" spans="1:19" x14ac:dyDescent="0.25">
      <c r="A25" s="1" t="s">
        <v>30</v>
      </c>
      <c r="B25" s="1" t="str">
        <f>VLOOKUP(A25,LISTADHERENT!A$5:H$51,2)</f>
        <v>LOWE JEAN</v>
      </c>
      <c r="C25" s="6">
        <f>VLOOKUP(A25,FONDSDECAISSE!A$5:C$52,3,0)</f>
        <v>390000</v>
      </c>
      <c r="D25" s="6">
        <v>4331</v>
      </c>
      <c r="E25" s="6">
        <f t="shared" si="0"/>
        <v>2247.031987832961</v>
      </c>
      <c r="F25" s="6">
        <f>RECAPTONT20000!C25+RECAPTONT20000!D25+TONT20000DEC2015!I25</f>
        <v>397331</v>
      </c>
      <c r="G25" s="6"/>
      <c r="H25" s="7">
        <f t="shared" si="2"/>
        <v>20000</v>
      </c>
      <c r="I25" s="7">
        <v>3000</v>
      </c>
      <c r="J25" s="7">
        <v>500</v>
      </c>
      <c r="K25" s="7">
        <v>1000</v>
      </c>
      <c r="L25" s="7">
        <v>2500</v>
      </c>
      <c r="M25" s="7"/>
      <c r="N25" s="7">
        <v>13000</v>
      </c>
      <c r="O25" s="2"/>
      <c r="P25" s="7">
        <f t="shared" si="1"/>
        <v>0</v>
      </c>
      <c r="Q25" s="2"/>
      <c r="R25" s="2"/>
      <c r="S25" s="2"/>
    </row>
    <row r="26" spans="1:19" x14ac:dyDescent="0.25">
      <c r="A26" s="1" t="s">
        <v>31</v>
      </c>
      <c r="B26" s="1" t="str">
        <f>VLOOKUP(A26,LISTADHERENT!A$5:H$51,2)</f>
        <v>NANKAM APPOLINAIRE</v>
      </c>
      <c r="C26" s="6">
        <f>VLOOKUP(A26,FONDSDECAISSE!A$5:C$52,3,0)</f>
        <v>390000</v>
      </c>
      <c r="D26" s="6">
        <v>4411</v>
      </c>
      <c r="E26" s="6">
        <f t="shared" si="0"/>
        <v>2247.484413037706</v>
      </c>
      <c r="F26" s="6">
        <f>RECAPTONT20000!C26+RECAPTONT20000!D26+TONT20000DEC2015!I26</f>
        <v>397411</v>
      </c>
      <c r="G26" s="6"/>
      <c r="H26" s="7">
        <f t="shared" si="2"/>
        <v>20000</v>
      </c>
      <c r="I26" s="7">
        <v>3000</v>
      </c>
      <c r="J26" s="7">
        <v>500</v>
      </c>
      <c r="K26" s="7">
        <v>1000</v>
      </c>
      <c r="L26" s="7">
        <v>2500</v>
      </c>
      <c r="M26" s="7"/>
      <c r="N26" s="7">
        <v>13000</v>
      </c>
      <c r="O26" s="2"/>
      <c r="P26" s="7">
        <f t="shared" si="1"/>
        <v>0</v>
      </c>
      <c r="Q26" s="2"/>
      <c r="R26" s="2"/>
      <c r="S26" s="2"/>
    </row>
    <row r="27" spans="1:19" x14ac:dyDescent="0.25">
      <c r="A27" s="1" t="s">
        <v>32</v>
      </c>
      <c r="B27" s="1" t="str">
        <f>VLOOKUP(A27,LISTADHERENT!A$5:H$51,2)</f>
        <v>NDJOMO ETIENNE</v>
      </c>
      <c r="C27" s="6">
        <f>VLOOKUP(A27,FONDSDECAISSE!A$5:C$52,3,0)</f>
        <v>390000</v>
      </c>
      <c r="D27" s="6">
        <v>2060</v>
      </c>
      <c r="E27" s="6">
        <f t="shared" si="0"/>
        <v>2262.4653426298332</v>
      </c>
      <c r="F27" s="6">
        <f>RECAPTONT20000!C27+RECAPTONT20000!D27+TONT20000DEC2015!I27</f>
        <v>400060</v>
      </c>
      <c r="G27" s="6"/>
      <c r="H27" s="7">
        <f t="shared" si="2"/>
        <v>25000</v>
      </c>
      <c r="I27" s="7">
        <v>8000</v>
      </c>
      <c r="J27" s="7">
        <v>500</v>
      </c>
      <c r="K27" s="7">
        <v>1000</v>
      </c>
      <c r="L27" s="7">
        <v>2500</v>
      </c>
      <c r="M27" s="7"/>
      <c r="N27" s="7">
        <v>13000</v>
      </c>
      <c r="O27" s="7">
        <v>400000</v>
      </c>
      <c r="P27" s="7">
        <f t="shared" si="1"/>
        <v>12000</v>
      </c>
      <c r="Q27" s="2"/>
      <c r="R27" s="2"/>
      <c r="S27" s="2"/>
    </row>
    <row r="28" spans="1:19" x14ac:dyDescent="0.25">
      <c r="A28" s="1" t="s">
        <v>33</v>
      </c>
      <c r="B28" s="1" t="str">
        <f>VLOOKUP(A28,LISTADHERENT!A$5:H$51,2)</f>
        <v>NDOMBOU JEAN CLAUDE</v>
      </c>
      <c r="C28" s="6">
        <f>VLOOKUP(A28,FONDSDECAISSE!A$5:C$52,3,0)</f>
        <v>0</v>
      </c>
      <c r="D28" s="6">
        <v>0</v>
      </c>
      <c r="E28" s="6">
        <f t="shared" si="0"/>
        <v>0</v>
      </c>
      <c r="F28" s="6">
        <f>RECAPTONT20000!C28+RECAPTONT20000!D28+TONT20000DEC2015!I28</f>
        <v>0</v>
      </c>
      <c r="G28" s="6"/>
      <c r="H28" s="7">
        <f t="shared" si="2"/>
        <v>0</v>
      </c>
      <c r="I28" s="7"/>
      <c r="J28" s="7"/>
      <c r="K28" s="7"/>
      <c r="L28" s="7"/>
      <c r="M28" s="7"/>
      <c r="N28" s="7"/>
      <c r="O28" s="2"/>
      <c r="P28" s="7">
        <f t="shared" si="1"/>
        <v>0</v>
      </c>
      <c r="Q28" s="2"/>
      <c r="R28" s="2"/>
      <c r="S28" s="2"/>
    </row>
    <row r="29" spans="1:19" x14ac:dyDescent="0.25">
      <c r="A29" s="1" t="s">
        <v>34</v>
      </c>
      <c r="B29" s="1" t="str">
        <f>VLOOKUP(A29,LISTADHERENT!A$5:H$51,2)</f>
        <v>NGONDIEP CLAUDE</v>
      </c>
      <c r="C29" s="6">
        <f>VLOOKUP(A29,FONDSDECAISSE!A$5:C$52,3,0)</f>
        <v>390000</v>
      </c>
      <c r="D29" s="6">
        <v>179574</v>
      </c>
      <c r="E29" s="6">
        <f t="shared" si="0"/>
        <v>3238.0863647726196</v>
      </c>
      <c r="F29" s="6">
        <f>RECAPTONT20000!C29+RECAPTONT20000!D29+TONT20000DEC2015!I29</f>
        <v>572574</v>
      </c>
      <c r="G29" s="6"/>
      <c r="H29" s="7">
        <f t="shared" si="2"/>
        <v>20000</v>
      </c>
      <c r="I29" s="7">
        <v>3000</v>
      </c>
      <c r="J29" s="7">
        <v>500</v>
      </c>
      <c r="K29" s="7">
        <v>1000</v>
      </c>
      <c r="L29" s="7">
        <v>2500</v>
      </c>
      <c r="M29" s="7"/>
      <c r="N29" s="7">
        <v>13000</v>
      </c>
      <c r="O29" s="2"/>
      <c r="P29" s="7">
        <f t="shared" si="1"/>
        <v>0</v>
      </c>
      <c r="Q29" s="2"/>
      <c r="R29" s="2"/>
      <c r="S29" s="2"/>
    </row>
    <row r="30" spans="1:19" x14ac:dyDescent="0.25">
      <c r="A30" s="1" t="s">
        <v>35</v>
      </c>
      <c r="B30" s="1" t="str">
        <f>VLOOKUP(A30,LISTADHERENT!A$5:H$51,2)</f>
        <v>NGONGANG JEAN THEODORE</v>
      </c>
      <c r="C30" s="6">
        <f>VLOOKUP(A30,FONDSDECAISSE!A$5:C$52,3,0)</f>
        <v>0</v>
      </c>
      <c r="D30" s="6">
        <v>0</v>
      </c>
      <c r="E30" s="6">
        <f t="shared" si="0"/>
        <v>16.965945177947059</v>
      </c>
      <c r="F30" s="6">
        <f>RECAPTONT20000!C30+RECAPTONT20000!D30+TONT20000DEC2015!I30</f>
        <v>3000</v>
      </c>
      <c r="G30" s="6"/>
      <c r="H30" s="7">
        <f t="shared" si="2"/>
        <v>20000</v>
      </c>
      <c r="I30" s="7">
        <v>3000</v>
      </c>
      <c r="J30" s="7">
        <v>500</v>
      </c>
      <c r="K30" s="7">
        <v>1000</v>
      </c>
      <c r="L30" s="7">
        <v>2500</v>
      </c>
      <c r="M30" s="7"/>
      <c r="N30" s="7">
        <v>13000</v>
      </c>
      <c r="O30" s="2"/>
      <c r="P30" s="7">
        <f t="shared" si="1"/>
        <v>0</v>
      </c>
      <c r="Q30" s="2"/>
      <c r="R30" s="2"/>
      <c r="S30" s="2"/>
    </row>
    <row r="31" spans="1:19" x14ac:dyDescent="0.25">
      <c r="A31" s="1" t="s">
        <v>36</v>
      </c>
      <c r="B31" s="1" t="str">
        <f>VLOOKUP(A31,LISTADHERENT!A$5:H$51,2)</f>
        <v>NGUIEMEGNI MATHIEU BLAISE</v>
      </c>
      <c r="C31" s="6">
        <f>VLOOKUP(A31,FONDSDECAISSE!A$5:C$52,3,0)</f>
        <v>14889</v>
      </c>
      <c r="D31" s="6">
        <v>0</v>
      </c>
      <c r="E31" s="6">
        <f t="shared" si="0"/>
        <v>101.16793109609831</v>
      </c>
      <c r="F31" s="6">
        <f>RECAPTONT20000!C31+RECAPTONT20000!D31+TONT20000DEC2015!I31</f>
        <v>17889</v>
      </c>
      <c r="G31" s="6"/>
      <c r="H31" s="7">
        <f t="shared" si="2"/>
        <v>20000</v>
      </c>
      <c r="I31" s="7">
        <v>3000</v>
      </c>
      <c r="J31" s="7">
        <v>500</v>
      </c>
      <c r="K31" s="7">
        <v>1000</v>
      </c>
      <c r="L31" s="7">
        <v>2500</v>
      </c>
      <c r="M31" s="7"/>
      <c r="N31" s="7">
        <v>13000</v>
      </c>
      <c r="O31" s="2"/>
      <c r="P31" s="7">
        <f t="shared" si="1"/>
        <v>0</v>
      </c>
      <c r="Q31" s="2"/>
      <c r="R31" s="2"/>
      <c r="S31" s="2"/>
    </row>
    <row r="32" spans="1:19" x14ac:dyDescent="0.25">
      <c r="A32" s="1" t="s">
        <v>37</v>
      </c>
      <c r="B32" s="1" t="str">
        <f>VLOOKUP(A32,LISTADHERENT!A$5:H$51,2)</f>
        <v>NJEPDJIO MBOUKAM DELUXE</v>
      </c>
      <c r="C32" s="6">
        <f>VLOOKUP(A32,FONDSDECAISSE!A$5:C$52,3,0)</f>
        <v>390000</v>
      </c>
      <c r="D32" s="6">
        <v>1734</v>
      </c>
      <c r="E32" s="6">
        <f t="shared" si="0"/>
        <v>2243.6557647425493</v>
      </c>
      <c r="F32" s="6">
        <f>RECAPTONT20000!C32+RECAPTONT20000!D32+TONT20000DEC2015!I32</f>
        <v>396734</v>
      </c>
      <c r="G32" s="6"/>
      <c r="H32" s="7">
        <f t="shared" si="2"/>
        <v>22000</v>
      </c>
      <c r="I32" s="7">
        <v>5000</v>
      </c>
      <c r="J32" s="7">
        <v>500</v>
      </c>
      <c r="K32" s="7">
        <v>1000</v>
      </c>
      <c r="L32" s="7">
        <v>2500</v>
      </c>
      <c r="M32" s="7"/>
      <c r="N32" s="7">
        <v>13000</v>
      </c>
      <c r="O32" s="2"/>
      <c r="P32" s="7">
        <f t="shared" si="1"/>
        <v>0</v>
      </c>
      <c r="Q32" s="2"/>
      <c r="R32" s="2"/>
      <c r="S32" s="2"/>
    </row>
    <row r="33" spans="1:19" x14ac:dyDescent="0.25">
      <c r="A33" s="1" t="s">
        <v>38</v>
      </c>
      <c r="B33" s="1" t="str">
        <f>VLOOKUP(A33,LISTADHERENT!A$5:H$51,2)</f>
        <v>NKAMGANG JUSTIN DEJOLIE</v>
      </c>
      <c r="C33" s="6">
        <f>VLOOKUP(A33,FONDSDECAISSE!A$5:C$52,3,0)</f>
        <v>0</v>
      </c>
      <c r="D33" s="6">
        <v>0</v>
      </c>
      <c r="E33" s="6">
        <f t="shared" si="0"/>
        <v>33.931890355894119</v>
      </c>
      <c r="F33" s="6">
        <f>RECAPTONT20000!C33+RECAPTONT20000!D33+TONT20000DEC2015!I33</f>
        <v>6000</v>
      </c>
      <c r="G33" s="6"/>
      <c r="H33" s="10">
        <f t="shared" si="2"/>
        <v>23000</v>
      </c>
      <c r="I33" s="7">
        <v>6000</v>
      </c>
      <c r="J33" s="7">
        <v>500</v>
      </c>
      <c r="K33" s="7">
        <v>1000</v>
      </c>
      <c r="L33" s="7">
        <v>2500</v>
      </c>
      <c r="M33" s="7"/>
      <c r="N33" s="7">
        <v>13000</v>
      </c>
      <c r="O33" s="29"/>
      <c r="P33" s="7">
        <f t="shared" si="1"/>
        <v>0</v>
      </c>
      <c r="Q33" s="29"/>
      <c r="R33" s="2"/>
      <c r="S33" s="2"/>
    </row>
    <row r="34" spans="1:19" s="11" customFormat="1" x14ac:dyDescent="0.25">
      <c r="A34" s="1" t="s">
        <v>39</v>
      </c>
      <c r="B34" s="1" t="str">
        <f>VLOOKUP(A34,LISTADHERENT!A$5:H$51,2)</f>
        <v>NKEPSEU DIEUDONNE</v>
      </c>
      <c r="C34" s="6">
        <f>VLOOKUP(A34,FONDSDECAISSE!A$5:C$52,3,0)</f>
        <v>390000</v>
      </c>
      <c r="D34" s="6">
        <v>8739</v>
      </c>
      <c r="E34" s="6">
        <f t="shared" si="0"/>
        <v>2300.2371919110028</v>
      </c>
      <c r="F34" s="6">
        <f>RECAPTONT20000!C34+RECAPTONT20000!D34+TONT20000DEC2015!I34</f>
        <v>406739</v>
      </c>
      <c r="G34" s="6"/>
      <c r="H34" s="7">
        <f t="shared" si="2"/>
        <v>25000</v>
      </c>
      <c r="I34" s="7">
        <v>8000</v>
      </c>
      <c r="J34" s="7">
        <v>500</v>
      </c>
      <c r="K34" s="7">
        <v>1000</v>
      </c>
      <c r="L34" s="7">
        <v>2500</v>
      </c>
      <c r="M34" s="7"/>
      <c r="N34" s="7">
        <v>13000</v>
      </c>
      <c r="O34" s="2"/>
      <c r="P34" s="7">
        <f t="shared" si="1"/>
        <v>0</v>
      </c>
      <c r="Q34" s="2"/>
      <c r="R34" s="29"/>
      <c r="S34" s="29"/>
    </row>
    <row r="35" spans="1:19" x14ac:dyDescent="0.25">
      <c r="A35" s="1" t="s">
        <v>40</v>
      </c>
      <c r="B35" s="1" t="str">
        <f>VLOOKUP(A35,LISTADHERENT!A$5:H$51,2)</f>
        <v>NKEPSEU HENANG RENE</v>
      </c>
      <c r="C35" s="6">
        <f>VLOOKUP(A35,FONDSDECAISSE!A$5:C$52,3,0)</f>
        <v>390000</v>
      </c>
      <c r="D35" s="6">
        <v>7983</v>
      </c>
      <c r="E35" s="6">
        <f t="shared" si="0"/>
        <v>2267.6851984295818</v>
      </c>
      <c r="F35" s="6">
        <f>RECAPTONT20000!C35+RECAPTONT20000!D35+TONT20000DEC2015!I35</f>
        <v>400983</v>
      </c>
      <c r="G35" s="6"/>
      <c r="H35" s="7">
        <f t="shared" si="2"/>
        <v>20000</v>
      </c>
      <c r="I35" s="7">
        <v>3000</v>
      </c>
      <c r="J35" s="7">
        <v>500</v>
      </c>
      <c r="K35" s="7">
        <v>1000</v>
      </c>
      <c r="L35" s="7">
        <v>2500</v>
      </c>
      <c r="M35" s="7"/>
      <c r="N35" s="7">
        <v>13000</v>
      </c>
      <c r="O35" s="2"/>
      <c r="P35" s="7">
        <f t="shared" si="1"/>
        <v>0</v>
      </c>
      <c r="Q35" s="2"/>
      <c r="R35" s="2"/>
      <c r="S35" s="2"/>
    </row>
    <row r="36" spans="1:19" x14ac:dyDescent="0.25">
      <c r="A36" s="1" t="s">
        <v>41</v>
      </c>
      <c r="B36" s="1" t="str">
        <f>VLOOKUP(A36,LISTADHERENT!A$5:H$51,2)</f>
        <v>NTEPDIE TUEMAC MZ</v>
      </c>
      <c r="C36" s="6">
        <f>VLOOKUP(A36,FONDSDECAISSE!A$5:C$52,3,0)</f>
        <v>0</v>
      </c>
      <c r="D36" s="6">
        <v>0</v>
      </c>
      <c r="E36" s="6">
        <f t="shared" si="0"/>
        <v>16.965945177947059</v>
      </c>
      <c r="F36" s="6">
        <f>RECAPTONT20000!C36+RECAPTONT20000!D36+TONT20000DEC2015!I36</f>
        <v>3000</v>
      </c>
      <c r="G36" s="6"/>
      <c r="H36" s="7">
        <f t="shared" si="2"/>
        <v>20000</v>
      </c>
      <c r="I36" s="7">
        <v>3000</v>
      </c>
      <c r="J36" s="7">
        <v>500</v>
      </c>
      <c r="K36" s="7">
        <v>1000</v>
      </c>
      <c r="L36" s="7">
        <v>2500</v>
      </c>
      <c r="M36" s="7"/>
      <c r="N36" s="7">
        <v>13000</v>
      </c>
      <c r="O36" s="2"/>
      <c r="P36" s="7">
        <f t="shared" si="1"/>
        <v>0</v>
      </c>
      <c r="Q36" s="2"/>
      <c r="R36" s="2"/>
      <c r="S36" s="2"/>
    </row>
    <row r="37" spans="1:19" x14ac:dyDescent="0.25">
      <c r="A37" s="1" t="s">
        <v>42</v>
      </c>
      <c r="B37" s="1" t="str">
        <f>VLOOKUP(A37,LISTADHERENT!A$5:H$51,2)</f>
        <v>NTOMBOU ADOLPHE</v>
      </c>
      <c r="C37" s="6">
        <f>VLOOKUP(A37,FONDSDECAISSE!A$5:C$52,3,0)</f>
        <v>0</v>
      </c>
      <c r="D37" s="6">
        <v>0</v>
      </c>
      <c r="E37" s="6">
        <f t="shared" si="0"/>
        <v>16.965945177947059</v>
      </c>
      <c r="F37" s="6">
        <f>RECAPTONT20000!C37+RECAPTONT20000!D37+TONT20000DEC2015!I37</f>
        <v>3000</v>
      </c>
      <c r="G37" s="6"/>
      <c r="H37" s="7">
        <f t="shared" si="2"/>
        <v>20000</v>
      </c>
      <c r="I37" s="7">
        <v>3000</v>
      </c>
      <c r="J37" s="7">
        <v>500</v>
      </c>
      <c r="K37" s="7">
        <v>1000</v>
      </c>
      <c r="L37" s="7">
        <v>2500</v>
      </c>
      <c r="M37" s="7"/>
      <c r="N37" s="7">
        <v>13000</v>
      </c>
      <c r="O37" s="2"/>
      <c r="P37" s="7">
        <f t="shared" si="1"/>
        <v>0</v>
      </c>
      <c r="Q37" s="2"/>
      <c r="R37" s="2"/>
      <c r="S37" s="2"/>
    </row>
    <row r="38" spans="1:19" x14ac:dyDescent="0.25">
      <c r="A38" s="1" t="s">
        <v>43</v>
      </c>
      <c r="B38" s="1" t="str">
        <f>VLOOKUP(A38,LISTADHERENT!A$5:H$51,2)</f>
        <v>PATEGO NJOSSU GUSTAVE</v>
      </c>
      <c r="C38" s="6">
        <f>VLOOKUP(A38,FONDSDECAISSE!A$5:C$52,3,0)</f>
        <v>390000</v>
      </c>
      <c r="D38" s="6">
        <v>140</v>
      </c>
      <c r="E38" s="6">
        <f t="shared" si="0"/>
        <v>2223.330562419369</v>
      </c>
      <c r="F38" s="6">
        <f>RECAPTONT20000!C38+RECAPTONT20000!D38+TONT20000DEC2015!I38</f>
        <v>393140</v>
      </c>
      <c r="G38" s="6"/>
      <c r="H38" s="7">
        <f t="shared" si="2"/>
        <v>20000</v>
      </c>
      <c r="I38" s="7">
        <v>3000</v>
      </c>
      <c r="J38" s="7">
        <v>500</v>
      </c>
      <c r="K38" s="7">
        <v>1000</v>
      </c>
      <c r="L38" s="7">
        <v>2500</v>
      </c>
      <c r="M38" s="7"/>
      <c r="N38" s="7">
        <v>13000</v>
      </c>
      <c r="O38" s="2"/>
      <c r="P38" s="7">
        <f t="shared" si="1"/>
        <v>0</v>
      </c>
      <c r="Q38" s="2"/>
      <c r="R38" s="2"/>
      <c r="S38" s="2"/>
    </row>
    <row r="39" spans="1:19" x14ac:dyDescent="0.25">
      <c r="A39" s="1" t="s">
        <v>44</v>
      </c>
      <c r="B39" s="1" t="str">
        <f>VLOOKUP(A39,LISTADHERENT!A$5:H$51,2)</f>
        <v>SEUNOU RICHELOT</v>
      </c>
      <c r="C39" s="6">
        <f>VLOOKUP(A39,FONDSDECAISSE!A$5:C$52,3,0)</f>
        <v>390000</v>
      </c>
      <c r="D39" s="6">
        <v>2632</v>
      </c>
      <c r="E39" s="6">
        <f t="shared" si="0"/>
        <v>2237.4236075471836</v>
      </c>
      <c r="F39" s="6">
        <f>RECAPTONT20000!C39+RECAPTONT20000!D39+TONT20000DEC2015!I39</f>
        <v>395632</v>
      </c>
      <c r="G39" s="6"/>
      <c r="H39" s="7">
        <f t="shared" si="2"/>
        <v>20000</v>
      </c>
      <c r="I39" s="7">
        <v>3000</v>
      </c>
      <c r="J39" s="7">
        <v>500</v>
      </c>
      <c r="K39" s="7">
        <v>1000</v>
      </c>
      <c r="L39" s="7">
        <v>2500</v>
      </c>
      <c r="M39" s="7"/>
      <c r="N39" s="7">
        <v>13000</v>
      </c>
      <c r="O39" s="2"/>
      <c r="P39" s="7">
        <f t="shared" si="1"/>
        <v>0</v>
      </c>
      <c r="Q39" s="2"/>
      <c r="R39" s="2"/>
      <c r="S39" s="2"/>
    </row>
    <row r="40" spans="1:19" x14ac:dyDescent="0.25">
      <c r="A40" s="1" t="s">
        <v>45</v>
      </c>
      <c r="B40" s="1" t="str">
        <f>VLOOKUP(A40,LISTADHERENT!A$5:H$51,2)</f>
        <v>SIME ABEL</v>
      </c>
      <c r="C40" s="6">
        <f>VLOOKUP(A40,FONDSDECAISSE!A$5:C$52,3,0)</f>
        <v>0</v>
      </c>
      <c r="D40" s="6">
        <v>0</v>
      </c>
      <c r="E40" s="6">
        <f t="shared" si="0"/>
        <v>16.965945177947059</v>
      </c>
      <c r="F40" s="6">
        <f>RECAPTONT20000!C40+RECAPTONT20000!D40+TONT20000DEC2015!I40</f>
        <v>3000</v>
      </c>
      <c r="G40" s="6"/>
      <c r="H40" s="7">
        <f t="shared" si="2"/>
        <v>20000</v>
      </c>
      <c r="I40" s="7">
        <v>3000</v>
      </c>
      <c r="J40" s="7">
        <v>500</v>
      </c>
      <c r="K40" s="7">
        <v>1000</v>
      </c>
      <c r="L40" s="7">
        <v>2500</v>
      </c>
      <c r="M40" s="7"/>
      <c r="N40" s="7">
        <v>13000</v>
      </c>
      <c r="O40" s="2"/>
      <c r="P40" s="7">
        <f t="shared" si="1"/>
        <v>0</v>
      </c>
      <c r="Q40" s="2"/>
      <c r="R40" s="2"/>
      <c r="S40" s="2"/>
    </row>
    <row r="41" spans="1:19" x14ac:dyDescent="0.25">
      <c r="A41" s="1" t="s">
        <v>46</v>
      </c>
      <c r="B41" s="1" t="str">
        <f>VLOOKUP(A41,LISTADHERENT!A$5:H$51,2)</f>
        <v>SIME FONGANG ERIC</v>
      </c>
      <c r="C41" s="6">
        <f>VLOOKUP(A41,FONDSDECAISSE!A$5:C$52,3,0)</f>
        <v>390000</v>
      </c>
      <c r="D41" s="6">
        <v>982</v>
      </c>
      <c r="E41" s="6">
        <f t="shared" si="0"/>
        <v>2228.0923376993128</v>
      </c>
      <c r="F41" s="6">
        <f>RECAPTONT20000!C41+RECAPTONT20000!D41+TONT20000DEC2015!I41</f>
        <v>393982</v>
      </c>
      <c r="G41" s="6"/>
      <c r="H41" s="7">
        <f t="shared" si="2"/>
        <v>20000</v>
      </c>
      <c r="I41" s="7">
        <v>3000</v>
      </c>
      <c r="J41" s="7">
        <v>500</v>
      </c>
      <c r="K41" s="7">
        <v>1000</v>
      </c>
      <c r="L41" s="7">
        <v>2500</v>
      </c>
      <c r="M41" s="7"/>
      <c r="N41" s="7">
        <v>13000</v>
      </c>
      <c r="O41" s="2"/>
      <c r="P41" s="7">
        <f t="shared" si="1"/>
        <v>0</v>
      </c>
      <c r="Q41" s="2"/>
      <c r="R41" s="2"/>
      <c r="S41" s="2"/>
    </row>
    <row r="42" spans="1:19" x14ac:dyDescent="0.25">
      <c r="A42" s="1" t="s">
        <v>47</v>
      </c>
      <c r="B42" s="1" t="str">
        <f>VLOOKUP(A42,LISTADHERENT!A$5:H$51,2)</f>
        <v>SIME MATHIEU</v>
      </c>
      <c r="C42" s="6">
        <f>VLOOKUP(A42,FONDSDECAISSE!A$5:C$52,3,0)</f>
        <v>390000</v>
      </c>
      <c r="D42" s="6">
        <v>636</v>
      </c>
      <c r="E42" s="6">
        <f t="shared" si="0"/>
        <v>2226.1355986887893</v>
      </c>
      <c r="F42" s="6">
        <f>RECAPTONT20000!C42+RECAPTONT20000!D42+TONT20000DEC2015!I42</f>
        <v>393636</v>
      </c>
      <c r="G42" s="6"/>
      <c r="H42" s="7">
        <f t="shared" si="2"/>
        <v>20000</v>
      </c>
      <c r="I42" s="7">
        <v>3000</v>
      </c>
      <c r="J42" s="7">
        <v>500</v>
      </c>
      <c r="K42" s="7">
        <v>1000</v>
      </c>
      <c r="L42" s="7">
        <v>2500</v>
      </c>
      <c r="M42" s="7"/>
      <c r="N42" s="7">
        <v>13000</v>
      </c>
      <c r="O42" s="2"/>
      <c r="P42" s="7">
        <f t="shared" si="1"/>
        <v>0</v>
      </c>
      <c r="Q42" s="2"/>
      <c r="R42" s="2"/>
      <c r="S42" s="2"/>
    </row>
    <row r="43" spans="1:19" x14ac:dyDescent="0.25">
      <c r="A43" s="1" t="s">
        <v>48</v>
      </c>
      <c r="B43" s="1" t="str">
        <f>VLOOKUP(A43,LISTADHERENT!A$5:H$51,2)</f>
        <v>SIME PIERRE</v>
      </c>
      <c r="C43" s="6">
        <f>VLOOKUP(A43,FONDSDECAISSE!A$5:C$52,3,0)</f>
        <v>390000</v>
      </c>
      <c r="D43" s="6">
        <v>146079</v>
      </c>
      <c r="E43" s="6">
        <f t="shared" si="0"/>
        <v>8025.3388390586442</v>
      </c>
      <c r="F43" s="6">
        <f>RECAPTONT20000!C43+RECAPTONT20000!D43+TONT20000DEC2015!I43</f>
        <v>1419079</v>
      </c>
      <c r="G43" s="6"/>
      <c r="H43" s="7">
        <f t="shared" si="2"/>
        <v>900000</v>
      </c>
      <c r="I43" s="7">
        <v>883000</v>
      </c>
      <c r="J43" s="7">
        <v>500</v>
      </c>
      <c r="K43" s="7">
        <v>1000</v>
      </c>
      <c r="L43" s="7">
        <v>2500</v>
      </c>
      <c r="M43" s="7"/>
      <c r="N43" s="7">
        <v>13000</v>
      </c>
      <c r="O43" s="2"/>
      <c r="P43" s="7">
        <f t="shared" si="1"/>
        <v>0</v>
      </c>
      <c r="Q43" s="2"/>
      <c r="R43" s="2"/>
      <c r="S43" s="2"/>
    </row>
    <row r="44" spans="1:19" x14ac:dyDescent="0.25">
      <c r="A44" s="1" t="s">
        <v>49</v>
      </c>
      <c r="B44" s="1" t="str">
        <f>VLOOKUP(A44,LISTADHERENT!A$5:H$51,2)</f>
        <v>TAGNE NANGUEN MARTIN</v>
      </c>
      <c r="C44" s="6">
        <f>VLOOKUP(A44,FONDSDECAISSE!A$5:C$52,3,0)</f>
        <v>0</v>
      </c>
      <c r="D44" s="6">
        <v>0</v>
      </c>
      <c r="E44" s="6">
        <f t="shared" si="0"/>
        <v>16.965945177947059</v>
      </c>
      <c r="F44" s="6">
        <f>RECAPTONT20000!C44+RECAPTONT20000!D44+TONT20000DEC2015!I44</f>
        <v>3000</v>
      </c>
      <c r="G44" s="6"/>
      <c r="H44" s="7">
        <f t="shared" si="2"/>
        <v>20000</v>
      </c>
      <c r="I44" s="7">
        <v>3000</v>
      </c>
      <c r="J44" s="7">
        <v>500</v>
      </c>
      <c r="K44" s="7">
        <v>1000</v>
      </c>
      <c r="L44" s="7">
        <v>2500</v>
      </c>
      <c r="M44" s="7"/>
      <c r="N44" s="7">
        <v>13000</v>
      </c>
      <c r="O44" s="2"/>
      <c r="P44" s="7">
        <f t="shared" si="1"/>
        <v>0</v>
      </c>
      <c r="Q44" s="2"/>
      <c r="R44" s="2"/>
      <c r="S44" s="2"/>
    </row>
    <row r="45" spans="1:19" x14ac:dyDescent="0.25">
      <c r="A45" s="1" t="s">
        <v>50</v>
      </c>
      <c r="B45" s="1" t="str">
        <f>VLOOKUP(A45,LISTADHERENT!A$5:H$51,2)</f>
        <v>TCHOUAMOU JEAN PAUL</v>
      </c>
      <c r="C45" s="6">
        <f>VLOOKUP(A45,FONDSDECAISSE!A$5:C$52,3,0)</f>
        <v>0</v>
      </c>
      <c r="D45" s="6">
        <v>0</v>
      </c>
      <c r="E45" s="6">
        <f t="shared" si="0"/>
        <v>16.965945177947059</v>
      </c>
      <c r="F45" s="6">
        <f>RECAPTONT20000!C45+RECAPTONT20000!D45+TONT20000DEC2015!I45</f>
        <v>3000</v>
      </c>
      <c r="G45" s="6"/>
      <c r="H45" s="7">
        <f t="shared" si="2"/>
        <v>20000</v>
      </c>
      <c r="I45" s="7">
        <v>3000</v>
      </c>
      <c r="J45" s="7">
        <v>500</v>
      </c>
      <c r="K45" s="7">
        <v>1000</v>
      </c>
      <c r="L45" s="7">
        <v>2500</v>
      </c>
      <c r="M45" s="7"/>
      <c r="N45" s="7">
        <v>13000</v>
      </c>
      <c r="O45" s="2"/>
      <c r="P45" s="7">
        <f t="shared" si="1"/>
        <v>0</v>
      </c>
      <c r="Q45" s="2"/>
      <c r="R45" s="2"/>
      <c r="S45" s="2"/>
    </row>
    <row r="46" spans="1:19" x14ac:dyDescent="0.25">
      <c r="A46" s="1" t="s">
        <v>51</v>
      </c>
      <c r="B46" s="1" t="str">
        <f>VLOOKUP(A46,LISTADHERENT!A$5:H$51,2)</f>
        <v>TCHOUAMOU MATHIEU</v>
      </c>
      <c r="C46" s="6">
        <f>VLOOKUP(A46,FONDSDECAISSE!A$5:C$52,3,0)</f>
        <v>390000</v>
      </c>
      <c r="D46" s="6">
        <v>3437</v>
      </c>
      <c r="E46" s="6">
        <f t="shared" si="0"/>
        <v>2241.9761361699325</v>
      </c>
      <c r="F46" s="6">
        <f>RECAPTONT20000!C46+RECAPTONT20000!D46+TONT20000DEC2015!I46</f>
        <v>396437</v>
      </c>
      <c r="G46" s="6"/>
      <c r="H46" s="7">
        <f t="shared" si="2"/>
        <v>20000</v>
      </c>
      <c r="I46" s="7">
        <v>3000</v>
      </c>
      <c r="J46" s="7">
        <v>500</v>
      </c>
      <c r="K46" s="7">
        <v>1000</v>
      </c>
      <c r="L46" s="7">
        <v>2500</v>
      </c>
      <c r="M46" s="7"/>
      <c r="N46" s="7">
        <v>13000</v>
      </c>
      <c r="O46" s="7">
        <v>500000</v>
      </c>
      <c r="P46" s="7">
        <f t="shared" si="1"/>
        <v>15000</v>
      </c>
      <c r="Q46" s="2"/>
      <c r="R46" s="2"/>
      <c r="S46" s="2"/>
    </row>
    <row r="47" spans="1:19" x14ac:dyDescent="0.25">
      <c r="A47" s="1" t="s">
        <v>52</v>
      </c>
      <c r="B47" s="1" t="str">
        <f>VLOOKUP(A47,LISTADHERENT!A$5:H$51,2)</f>
        <v>TCHOUANTE FRANCOIS</v>
      </c>
      <c r="C47" s="6">
        <f>VLOOKUP(A47,FONDSDECAISSE!A$5:C$52,3,0)</f>
        <v>257119</v>
      </c>
      <c r="D47" s="6">
        <v>4925</v>
      </c>
      <c r="E47" s="6">
        <f t="shared" si="0"/>
        <v>1515.8732697592138</v>
      </c>
      <c r="F47" s="6">
        <f>RECAPTONT20000!C47+RECAPTONT20000!D47+TONT20000DEC2015!I47</f>
        <v>268044</v>
      </c>
      <c r="G47" s="6"/>
      <c r="H47" s="7">
        <f t="shared" si="2"/>
        <v>23000</v>
      </c>
      <c r="I47" s="7">
        <v>6000</v>
      </c>
      <c r="J47" s="7">
        <v>500</v>
      </c>
      <c r="K47" s="7">
        <v>1000</v>
      </c>
      <c r="L47" s="7">
        <v>2500</v>
      </c>
      <c r="M47" s="7"/>
      <c r="N47" s="7">
        <v>13000</v>
      </c>
      <c r="O47" s="2"/>
      <c r="P47" s="7">
        <f t="shared" si="1"/>
        <v>0</v>
      </c>
      <c r="Q47" s="2"/>
      <c r="R47" s="2"/>
      <c r="S47" s="2"/>
    </row>
    <row r="48" spans="1:19" x14ac:dyDescent="0.25">
      <c r="A48" s="1" t="s">
        <v>53</v>
      </c>
      <c r="B48" s="1" t="str">
        <f>VLOOKUP(A48,LISTADHERENT!A$5:H$51,2)</f>
        <v>TCHOUTOU NANA CLAUDE</v>
      </c>
      <c r="C48" s="6">
        <f>VLOOKUP(A48,FONDSDECAISSE!A$5:C$52,3,0)</f>
        <v>0</v>
      </c>
      <c r="D48" s="6">
        <v>0</v>
      </c>
      <c r="E48" s="6">
        <f t="shared" si="0"/>
        <v>16.965945177947059</v>
      </c>
      <c r="F48" s="6">
        <f>RECAPTONT20000!C48+RECAPTONT20000!D48+TONT20000DEC2015!I48</f>
        <v>3000</v>
      </c>
      <c r="G48" s="6"/>
      <c r="H48" s="7">
        <f t="shared" si="2"/>
        <v>20000</v>
      </c>
      <c r="I48" s="7">
        <v>3000</v>
      </c>
      <c r="J48" s="7">
        <v>500</v>
      </c>
      <c r="K48" s="7">
        <v>1000</v>
      </c>
      <c r="L48" s="7">
        <v>2500</v>
      </c>
      <c r="M48" s="7"/>
      <c r="N48" s="7">
        <v>13000</v>
      </c>
      <c r="O48" s="2"/>
      <c r="P48" s="7">
        <f t="shared" si="1"/>
        <v>0</v>
      </c>
      <c r="Q48" s="2"/>
      <c r="R48" s="2"/>
      <c r="S48" s="2"/>
    </row>
    <row r="49" spans="1:19" x14ac:dyDescent="0.25">
      <c r="A49" s="1" t="s">
        <v>54</v>
      </c>
      <c r="B49" s="1" t="str">
        <f>VLOOKUP(A49,LISTADHERENT!A$5:H$51,2)</f>
        <v>TIEYAM ERNEST</v>
      </c>
      <c r="C49" s="6">
        <f>VLOOKUP(A49,FONDSDECAISSE!A$5:C$52,3,0)</f>
        <v>390000</v>
      </c>
      <c r="D49" s="6">
        <v>804</v>
      </c>
      <c r="E49" s="6">
        <f t="shared" si="0"/>
        <v>2227.0856916187545</v>
      </c>
      <c r="F49" s="6">
        <f>RECAPTONT20000!C49+RECAPTONT20000!D49+TONT20000DEC2015!I49</f>
        <v>393804</v>
      </c>
      <c r="G49" s="6"/>
      <c r="H49" s="7">
        <f t="shared" si="2"/>
        <v>20000</v>
      </c>
      <c r="I49" s="7">
        <v>3000</v>
      </c>
      <c r="J49" s="7">
        <v>500</v>
      </c>
      <c r="K49" s="7">
        <v>1000</v>
      </c>
      <c r="L49" s="7">
        <v>2500</v>
      </c>
      <c r="M49" s="7"/>
      <c r="N49" s="7">
        <v>13000</v>
      </c>
      <c r="O49" s="2"/>
      <c r="P49" s="7">
        <f t="shared" si="1"/>
        <v>0</v>
      </c>
      <c r="Q49" s="2"/>
      <c r="R49" s="2"/>
      <c r="S49" s="2"/>
    </row>
    <row r="50" spans="1:19" x14ac:dyDescent="0.25">
      <c r="A50" s="1" t="s">
        <v>55</v>
      </c>
      <c r="B50" s="1" t="str">
        <f>VLOOKUP(A50,LISTADHERENT!A$5:H$51,2)</f>
        <v>TUGMA PIERRE LOTI</v>
      </c>
      <c r="C50" s="6">
        <f>VLOOKUP(A50,FONDSDECAISSE!A$5:C$52,3,0)</f>
        <v>390000</v>
      </c>
      <c r="D50" s="6">
        <v>17636</v>
      </c>
      <c r="E50" s="6">
        <f t="shared" si="0"/>
        <v>2322.2759546971561</v>
      </c>
      <c r="F50" s="6">
        <f>RECAPTONT20000!C50+RECAPTONT20000!D50+TONT20000DEC2015!I50</f>
        <v>410636</v>
      </c>
      <c r="G50" s="6"/>
      <c r="H50" s="7">
        <f t="shared" ref="H50:H51" si="3">I50+J50+K50+L50+M50+N50</f>
        <v>20000</v>
      </c>
      <c r="I50" s="7">
        <v>3000</v>
      </c>
      <c r="J50" s="7">
        <v>500</v>
      </c>
      <c r="K50" s="7">
        <v>1000</v>
      </c>
      <c r="L50" s="7">
        <v>2500</v>
      </c>
      <c r="M50" s="7"/>
      <c r="N50" s="7">
        <v>13000</v>
      </c>
      <c r="O50" s="2"/>
      <c r="P50" s="7">
        <f t="shared" si="1"/>
        <v>0</v>
      </c>
      <c r="Q50" s="2"/>
      <c r="R50" s="2"/>
      <c r="S50" s="2"/>
    </row>
    <row r="51" spans="1:19" ht="18" x14ac:dyDescent="0.25">
      <c r="A51" s="1" t="s">
        <v>66</v>
      </c>
      <c r="B51" s="1" t="str">
        <f>VLOOKUP(A51,LISTADHERENT!A$5:H$51,2)</f>
        <v>YEPMOU JEAN JACQUES</v>
      </c>
      <c r="C51" s="6">
        <f>VLOOKUP(A51,FONDSDECAISSE!A$5:C$52,3,0)</f>
        <v>390000</v>
      </c>
      <c r="D51" s="6">
        <v>421237</v>
      </c>
      <c r="E51" s="6">
        <f t="shared" si="0"/>
        <v>4604.7667679520264</v>
      </c>
      <c r="F51" s="6">
        <f>RECAPTONT20000!C51+RECAPTONT20000!D51+TONT20000DEC2015!I51</f>
        <v>814237</v>
      </c>
      <c r="G51" s="6"/>
      <c r="H51" s="7">
        <f t="shared" si="3"/>
        <v>20000</v>
      </c>
      <c r="I51" s="7">
        <v>3000</v>
      </c>
      <c r="J51" s="7">
        <v>500</v>
      </c>
      <c r="K51" s="7">
        <v>1000</v>
      </c>
      <c r="L51" s="7">
        <v>2500</v>
      </c>
      <c r="M51" s="7"/>
      <c r="N51" s="7">
        <v>13000</v>
      </c>
      <c r="O51" s="9"/>
      <c r="P51" s="7">
        <f t="shared" si="1"/>
        <v>0</v>
      </c>
      <c r="Q51" s="9"/>
      <c r="R51" s="2"/>
      <c r="S51" s="2"/>
    </row>
    <row r="52" spans="1:19" x14ac:dyDescent="0.25">
      <c r="A52" s="1" t="s">
        <v>178</v>
      </c>
      <c r="B52" s="1" t="str">
        <f>VLOOKUP(A52,LISTADHERENT!A$5:H$51,2)</f>
        <v>YOUMBI EMMANUEL</v>
      </c>
      <c r="C52" s="6">
        <f>VLOOKUP(A52,FONDSDECAISSE!A$5:C$52,3,0)</f>
        <v>390000</v>
      </c>
      <c r="D52" s="6">
        <v>1003279</v>
      </c>
      <c r="E52" s="6">
        <f t="shared" si="0"/>
        <v>7896.397655706247</v>
      </c>
      <c r="F52" s="6">
        <f>RECAPTONT20000!C52+RECAPTONT20000!D52+TONT20000DEC2015!I52</f>
        <v>1396279</v>
      </c>
      <c r="G52" s="6"/>
      <c r="H52" s="7">
        <f t="shared" ref="H52" si="4">I52+J52+K52+L52+M52+N52</f>
        <v>20000</v>
      </c>
      <c r="I52" s="7">
        <v>3000</v>
      </c>
      <c r="J52" s="7">
        <v>500</v>
      </c>
      <c r="K52" s="7">
        <v>1000</v>
      </c>
      <c r="L52" s="7">
        <v>2500</v>
      </c>
      <c r="N52" s="7">
        <v>13000</v>
      </c>
      <c r="O52" s="2"/>
      <c r="P52" s="7">
        <f t="shared" si="1"/>
        <v>0</v>
      </c>
      <c r="Q52" s="2"/>
      <c r="R52" s="2"/>
      <c r="S52" s="2"/>
    </row>
    <row r="53" spans="1:19" x14ac:dyDescent="0.25">
      <c r="A53" s="1"/>
      <c r="B53" s="1"/>
      <c r="C53" s="6"/>
      <c r="D53" s="6"/>
      <c r="E53" s="6"/>
      <c r="F53" s="6"/>
      <c r="G53" s="6"/>
      <c r="H53" s="7"/>
      <c r="I53" s="7"/>
      <c r="J53" s="7"/>
      <c r="K53" s="7"/>
      <c r="L53" s="7"/>
      <c r="N53" s="7"/>
      <c r="O53" s="2"/>
      <c r="P53" s="7"/>
      <c r="Q53" s="2"/>
      <c r="R53" s="2"/>
      <c r="S53" s="2"/>
    </row>
    <row r="54" spans="1:19" x14ac:dyDescent="0.25">
      <c r="A54" s="1"/>
      <c r="B54" s="1" t="s">
        <v>180</v>
      </c>
      <c r="C54" s="6"/>
      <c r="D54" s="6"/>
      <c r="E54" s="6"/>
      <c r="F54" s="6"/>
      <c r="G54" s="6"/>
      <c r="I54" s="2"/>
      <c r="J54" s="30"/>
      <c r="N54" s="7">
        <v>104000</v>
      </c>
      <c r="O54" s="2"/>
      <c r="P54" s="7">
        <f t="shared" si="1"/>
        <v>0</v>
      </c>
      <c r="Q54" s="2"/>
      <c r="R54" s="2"/>
      <c r="S54" s="2"/>
    </row>
    <row r="55" spans="1:19" x14ac:dyDescent="0.25">
      <c r="A55" s="1"/>
      <c r="B55" s="1"/>
      <c r="C55" s="1"/>
      <c r="D55" s="1"/>
      <c r="E55" s="1"/>
      <c r="F55" s="1"/>
      <c r="G55" s="1"/>
      <c r="N55" s="7"/>
    </row>
    <row r="56" spans="1:19" ht="18" x14ac:dyDescent="0.25">
      <c r="A56" s="1" t="s">
        <v>56</v>
      </c>
      <c r="B56" s="1"/>
      <c r="C56" s="9">
        <f>SUM(C5:C52)</f>
        <v>12996142</v>
      </c>
      <c r="D56" s="9">
        <f t="shared" ref="D56:R56" si="5">SUM(D5:D52)</f>
        <v>3533219</v>
      </c>
      <c r="E56" s="9">
        <f t="shared" si="5"/>
        <v>98999.999999999971</v>
      </c>
      <c r="F56" s="9">
        <f t="shared" si="5"/>
        <v>17505656</v>
      </c>
      <c r="G56" s="9">
        <f t="shared" si="5"/>
        <v>0</v>
      </c>
      <c r="H56" s="9">
        <f t="shared" si="5"/>
        <v>1828000</v>
      </c>
      <c r="I56" s="9">
        <f t="shared" si="5"/>
        <v>1046000</v>
      </c>
      <c r="J56" s="9">
        <f t="shared" si="5"/>
        <v>23000</v>
      </c>
      <c r="K56" s="9">
        <f t="shared" si="5"/>
        <v>46000</v>
      </c>
      <c r="L56" s="9">
        <f t="shared" si="5"/>
        <v>115000</v>
      </c>
      <c r="M56" s="9">
        <f t="shared" si="5"/>
        <v>0</v>
      </c>
      <c r="N56" s="9">
        <f t="shared" si="5"/>
        <v>598000</v>
      </c>
      <c r="O56" s="9">
        <f t="shared" si="5"/>
        <v>1500000</v>
      </c>
      <c r="P56" s="9">
        <f t="shared" si="5"/>
        <v>99000</v>
      </c>
      <c r="Q56" s="9">
        <f t="shared" si="5"/>
        <v>0</v>
      </c>
      <c r="R56" s="9">
        <f t="shared" si="5"/>
        <v>0</v>
      </c>
    </row>
  </sheetData>
  <autoFilter ref="A4:Q49">
    <sortState ref="A5:L48">
      <sortCondition ref="B5:B48"/>
    </sortState>
  </autoFilter>
  <sortState ref="A5:L49">
    <sortCondition ref="B5:B49"/>
  </sortState>
  <dataValidations count="1">
    <dataValidation type="list" allowBlank="1" showInputMessage="1" showErrorMessage="1" promptTitle="Saissisez le mode de VERSEMENT" sqref="J6:J53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pane xSplit="2" ySplit="4" topLeftCell="C29" activePane="bottomRight" state="frozen"/>
      <selection activeCell="B22" sqref="B22"/>
      <selection pane="topRight" activeCell="B22" sqref="B22"/>
      <selection pane="bottomLeft" activeCell="B22" sqref="B22"/>
      <selection pane="bottomRight" activeCell="A33" sqref="A33:XFD3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5" width="29.5703125" customWidth="1"/>
    <col min="6" max="6" width="13" style="2" customWidth="1"/>
    <col min="7" max="7" width="12.5703125" bestFit="1" customWidth="1"/>
    <col min="8" max="8" width="17.5703125" style="3" bestFit="1" customWidth="1"/>
    <col min="9" max="9" width="15.7109375" style="2" customWidth="1"/>
    <col min="10" max="10" width="14.7109375" style="2" customWidth="1"/>
    <col min="11" max="11" width="18.140625" style="2" bestFit="1" customWidth="1"/>
    <col min="12" max="12" width="18.140625" customWidth="1"/>
    <col min="13" max="13" width="15" bestFit="1" customWidth="1"/>
    <col min="14" max="14" width="12.5703125" bestFit="1" customWidth="1"/>
    <col min="15" max="15" width="18.140625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</row>
    <row r="2" spans="1:18" x14ac:dyDescent="0.25">
      <c r="A2" s="1" t="s">
        <v>2</v>
      </c>
      <c r="B2" s="1" t="s">
        <v>3</v>
      </c>
      <c r="C2" s="1"/>
      <c r="D2" s="1"/>
      <c r="E2" s="1"/>
    </row>
    <row r="3" spans="1:18" x14ac:dyDescent="0.25">
      <c r="A3" s="1" t="s">
        <v>4</v>
      </c>
      <c r="B3" s="1" t="s">
        <v>5</v>
      </c>
      <c r="C3" s="1"/>
      <c r="D3" s="1"/>
      <c r="E3" s="1"/>
    </row>
    <row r="4" spans="1:18" ht="29.25" x14ac:dyDescent="0.25">
      <c r="A4" s="1" t="s">
        <v>6</v>
      </c>
      <c r="B4" s="1" t="s">
        <v>7</v>
      </c>
      <c r="C4" s="5" t="s">
        <v>186</v>
      </c>
      <c r="D4" s="5" t="s">
        <v>187</v>
      </c>
      <c r="E4" s="1" t="s">
        <v>184</v>
      </c>
      <c r="F4" s="5" t="s">
        <v>65</v>
      </c>
      <c r="G4" s="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8</v>
      </c>
      <c r="P4" s="5" t="s">
        <v>182</v>
      </c>
      <c r="Q4" s="5" t="s">
        <v>181</v>
      </c>
    </row>
    <row r="5" spans="1:18" x14ac:dyDescent="0.25">
      <c r="A5" s="1" t="s">
        <v>185</v>
      </c>
      <c r="B5" s="1" t="str">
        <f>VLOOKUP(A5,LISTADHERENT!A$5:H$52,2,0)</f>
        <v>ASELBY</v>
      </c>
      <c r="C5" s="6">
        <f>$N$56/$D$56*D5</f>
        <v>3347.8158611404015</v>
      </c>
      <c r="D5" s="6">
        <f>TONT20000DEC2015!F5+TONT20000DEC2015!E5+TONT20000JANV!G5</f>
        <v>319944.21020954597</v>
      </c>
      <c r="E5" s="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</row>
    <row r="6" spans="1:18" x14ac:dyDescent="0.25">
      <c r="A6" s="1" t="s">
        <v>11</v>
      </c>
      <c r="B6" s="1" t="str">
        <f>VLOOKUP(A6,LISTADHERENT!A$5:H$52,2,0)</f>
        <v>BAKOP ACHILLE</v>
      </c>
      <c r="C6" s="6">
        <f t="shared" ref="C6:C52" si="0">$N$56/$D$56*D6</f>
        <v>4519.7974328671799</v>
      </c>
      <c r="D6" s="6">
        <f>TONT20000DEC2015!F6+TONT20000DEC2015!E6+TONT20000JANV!G6</f>
        <v>431948.19546414027</v>
      </c>
      <c r="E6" s="1"/>
      <c r="F6" s="7">
        <f t="shared" ref="F6" si="1">G6+H6+I6+J6+K6+L6</f>
        <v>20000</v>
      </c>
      <c r="G6" s="7">
        <v>3000</v>
      </c>
      <c r="H6" s="7">
        <v>500</v>
      </c>
      <c r="I6" s="7">
        <v>1000</v>
      </c>
      <c r="J6" s="7">
        <v>2500</v>
      </c>
      <c r="K6" s="7"/>
      <c r="L6" s="7">
        <v>13000</v>
      </c>
      <c r="M6" s="7"/>
      <c r="N6" s="7">
        <f>IF(M6&lt;=500000,(M6*1*3/100),(M6*12/100))</f>
        <v>0</v>
      </c>
    </row>
    <row r="7" spans="1:18" x14ac:dyDescent="0.25">
      <c r="A7" s="1" t="s">
        <v>12</v>
      </c>
      <c r="B7" s="1" t="str">
        <f>VLOOKUP(A7,LISTADHERENT!A$5:H$51,2)</f>
        <v>BOUTCHOUANG WILLIAM</v>
      </c>
      <c r="C7" s="6">
        <f t="shared" si="0"/>
        <v>4184.8316955718537</v>
      </c>
      <c r="D7" s="6">
        <f>TONT20000DEC2015!F7+TONT20000DEC2015!E7+TONT20000JANV!G7</f>
        <v>399936.17547517212</v>
      </c>
      <c r="E7" s="1"/>
      <c r="F7" s="7">
        <f t="shared" ref="F7:F51" si="2">G7+H7+I7+J7+K7+L7</f>
        <v>20000</v>
      </c>
      <c r="G7" s="7">
        <v>3000</v>
      </c>
      <c r="H7" s="7">
        <v>500</v>
      </c>
      <c r="I7" s="7">
        <v>1000</v>
      </c>
      <c r="J7" s="7">
        <v>2500</v>
      </c>
      <c r="K7" s="7"/>
      <c r="L7" s="7">
        <v>13000</v>
      </c>
      <c r="M7" s="7"/>
      <c r="N7" s="7">
        <f t="shared" ref="N7:N54" si="3">IF(M7&lt;=500000,(M7*1*3/100),(M7*12/100))</f>
        <v>0</v>
      </c>
    </row>
    <row r="8" spans="1:18" x14ac:dyDescent="0.25">
      <c r="A8" s="1" t="s">
        <v>13</v>
      </c>
      <c r="B8" s="1" t="str">
        <f>VLOOKUP(A8,LISTADHERENT!A$5:H$51,2)</f>
        <v>CHINGUE FABRICE</v>
      </c>
      <c r="C8" s="6">
        <f t="shared" si="0"/>
        <v>4186.283859172845</v>
      </c>
      <c r="D8" s="6">
        <f>TONT20000DEC2015!F8+TONT20000DEC2015!E8+TONT20000JANV!G8</f>
        <v>400074.9559086503</v>
      </c>
      <c r="E8" s="1"/>
      <c r="F8" s="7">
        <f t="shared" si="2"/>
        <v>20000</v>
      </c>
      <c r="G8" s="7">
        <v>3000</v>
      </c>
      <c r="H8" s="7">
        <v>500</v>
      </c>
      <c r="I8" s="7">
        <v>1000</v>
      </c>
      <c r="J8" s="7">
        <v>2500</v>
      </c>
      <c r="K8" s="7"/>
      <c r="L8" s="7">
        <v>13000</v>
      </c>
      <c r="M8" s="7">
        <v>1000000</v>
      </c>
      <c r="N8" s="7">
        <f>IF(M8&lt;=500000,(M8*1*3/100),(M8*12/100))/2</f>
        <v>60000</v>
      </c>
    </row>
    <row r="9" spans="1:18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4252.7256053805195</v>
      </c>
      <c r="D9" s="6">
        <f>TONT20000DEC2015!F9+TONT20000DEC2015!E9+TONT20000JANV!G9</f>
        <v>406424.66356793483</v>
      </c>
      <c r="E9" s="1"/>
      <c r="F9" s="7">
        <f t="shared" si="2"/>
        <v>20000</v>
      </c>
      <c r="G9" s="7">
        <v>3000</v>
      </c>
      <c r="H9" s="7">
        <v>500</v>
      </c>
      <c r="I9" s="7">
        <v>1000</v>
      </c>
      <c r="J9" s="7">
        <v>2500</v>
      </c>
      <c r="K9" s="7"/>
      <c r="L9" s="7">
        <v>13000</v>
      </c>
      <c r="N9" s="7">
        <f t="shared" si="3"/>
        <v>0</v>
      </c>
    </row>
    <row r="10" spans="1:18" x14ac:dyDescent="0.25">
      <c r="A10" s="1" t="s">
        <v>15</v>
      </c>
      <c r="B10" s="1" t="str">
        <f>VLOOKUP(A10,LISTADHERENT!A$5:H$51,2)</f>
        <v>DJOUKWE GUY</v>
      </c>
      <c r="C10" s="6">
        <f t="shared" si="0"/>
        <v>4281.6531252292525</v>
      </c>
      <c r="D10" s="6">
        <f>TONT20000DEC2015!F10+TONT20000DEC2015!E10+TONT20000JANV!G10</f>
        <v>409189.2100290329</v>
      </c>
      <c r="E10" s="1"/>
      <c r="F10" s="7">
        <f t="shared" si="2"/>
        <v>20000</v>
      </c>
      <c r="G10" s="7">
        <v>3000</v>
      </c>
      <c r="H10" s="7">
        <v>500</v>
      </c>
      <c r="I10" s="7">
        <v>1000</v>
      </c>
      <c r="J10" s="7">
        <v>2500</v>
      </c>
      <c r="K10" s="7"/>
      <c r="L10" s="7">
        <v>13000</v>
      </c>
      <c r="N10" s="7">
        <f t="shared" si="3"/>
        <v>0</v>
      </c>
    </row>
    <row r="11" spans="1:18" x14ac:dyDescent="0.25">
      <c r="A11" s="1" t="s">
        <v>16</v>
      </c>
      <c r="B11" s="1" t="str">
        <f>VLOOKUP(A11,LISTADHERENT!A$5:H$51,2)</f>
        <v>DJOSSEU JOSUE</v>
      </c>
      <c r="C11" s="6">
        <f t="shared" si="0"/>
        <v>52.614623224322273</v>
      </c>
      <c r="D11" s="6">
        <f>TONT20000DEC2015!F11+TONT20000DEC2015!E11+TONT20000JANV!G11</f>
        <v>5028.2765752965788</v>
      </c>
      <c r="E11" s="1"/>
      <c r="F11" s="7">
        <f t="shared" si="2"/>
        <v>0</v>
      </c>
      <c r="G11" s="7"/>
      <c r="H11" s="7"/>
      <c r="I11" s="7"/>
      <c r="J11" s="7"/>
      <c r="K11" s="7"/>
      <c r="L11" s="7"/>
      <c r="N11" s="7">
        <f t="shared" si="3"/>
        <v>0</v>
      </c>
    </row>
    <row r="12" spans="1:18" x14ac:dyDescent="0.25">
      <c r="A12" s="1" t="s">
        <v>17</v>
      </c>
      <c r="B12" s="1" t="str">
        <f>VLOOKUP(A12,LISTADHERENT!A$5:H$51,2)</f>
        <v>DJOUNKEP SAMUEL</v>
      </c>
      <c r="C12" s="6">
        <f t="shared" si="0"/>
        <v>14747.454386752817</v>
      </c>
      <c r="D12" s="6">
        <f>TONT20000DEC2015!F12+TONT20000DEC2015!E12+TONT20000JANV!G12</f>
        <v>1409385.3551323069</v>
      </c>
      <c r="E12" s="1"/>
      <c r="F12" s="7">
        <f t="shared" si="2"/>
        <v>40000</v>
      </c>
      <c r="G12" s="7">
        <v>23000</v>
      </c>
      <c r="H12" s="7">
        <v>500</v>
      </c>
      <c r="I12" s="7">
        <v>1000</v>
      </c>
      <c r="J12" s="7">
        <v>2500</v>
      </c>
      <c r="K12" s="7"/>
      <c r="L12" s="7">
        <v>13000</v>
      </c>
      <c r="N12" s="7">
        <f t="shared" si="3"/>
        <v>0</v>
      </c>
    </row>
    <row r="13" spans="1:18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3421.1830540940409</v>
      </c>
      <c r="D13" s="6">
        <f>TONT20000DEC2015!F13+TONT20000DEC2015!E13+TONT20000JANV!G13</f>
        <v>326955.76926131762</v>
      </c>
      <c r="E13" s="1"/>
      <c r="F13" s="7">
        <f t="shared" si="2"/>
        <v>20000</v>
      </c>
      <c r="G13" s="7">
        <v>3000</v>
      </c>
      <c r="H13" s="7">
        <v>500</v>
      </c>
      <c r="I13" s="7">
        <v>1000</v>
      </c>
      <c r="J13" s="7">
        <v>2500</v>
      </c>
      <c r="K13" s="7"/>
      <c r="L13" s="7">
        <v>13000</v>
      </c>
      <c r="N13" s="7">
        <f t="shared" si="3"/>
        <v>0</v>
      </c>
    </row>
    <row r="14" spans="1:18" x14ac:dyDescent="0.25">
      <c r="A14" s="1" t="s">
        <v>19</v>
      </c>
      <c r="B14" s="1" t="str">
        <f>VLOOKUP(A14,LISTADHERENT!A$5:H$51,2)</f>
        <v>DONHOU DAVID</v>
      </c>
      <c r="C14" s="6">
        <f t="shared" si="0"/>
        <v>4637.6331430403716</v>
      </c>
      <c r="D14" s="6">
        <f>TONT20000DEC2015!F14+TONT20000DEC2015!E14+TONT20000JANV!G14</f>
        <v>443209.52368217451</v>
      </c>
      <c r="E14" s="1"/>
      <c r="F14" s="7">
        <f t="shared" si="2"/>
        <v>20000</v>
      </c>
      <c r="G14" s="7">
        <v>3000</v>
      </c>
      <c r="H14" s="7">
        <v>500</v>
      </c>
      <c r="I14" s="7">
        <v>1000</v>
      </c>
      <c r="J14" s="7">
        <v>2500</v>
      </c>
      <c r="K14" s="7"/>
      <c r="L14" s="7">
        <v>13000</v>
      </c>
      <c r="N14" s="7">
        <f t="shared" si="3"/>
        <v>0</v>
      </c>
    </row>
    <row r="15" spans="1:18" x14ac:dyDescent="0.25">
      <c r="A15" s="1" t="s">
        <v>20</v>
      </c>
      <c r="B15" s="1" t="str">
        <f>VLOOKUP(A15,LISTADHERENT!A$5:H$51,2)</f>
        <v>FOTSO THOMAS</v>
      </c>
      <c r="C15" s="6">
        <f t="shared" si="0"/>
        <v>4201.815695948666</v>
      </c>
      <c r="D15" s="6">
        <f>TONT20000DEC2015!F15+TONT20000DEC2015!E15+TONT20000JANV!G15</f>
        <v>401559.3031536779</v>
      </c>
      <c r="E15" s="1"/>
      <c r="F15" s="7">
        <f t="shared" si="2"/>
        <v>20000</v>
      </c>
      <c r="G15" s="7">
        <v>3000</v>
      </c>
      <c r="H15" s="7">
        <v>500</v>
      </c>
      <c r="I15" s="7">
        <v>1000</v>
      </c>
      <c r="J15" s="7">
        <v>2500</v>
      </c>
      <c r="K15" s="7"/>
      <c r="L15" s="7">
        <v>13000</v>
      </c>
      <c r="N15" s="7">
        <f t="shared" si="3"/>
        <v>0</v>
      </c>
    </row>
    <row r="16" spans="1:18" x14ac:dyDescent="0.25">
      <c r="A16" s="1" t="s">
        <v>21</v>
      </c>
      <c r="B16" s="1" t="str">
        <f>VLOOKUP(A16,LISTADHERENT!A$5:H$51,2)</f>
        <v>HENGUE PAUL OMER</v>
      </c>
      <c r="C16" s="6">
        <f t="shared" si="0"/>
        <v>4166.9006319770051</v>
      </c>
      <c r="D16" s="6">
        <f>TONT20000DEC2015!F16+TONT20000DEC2015!E16+TONT20000JANV!G16</f>
        <v>398222.53881831106</v>
      </c>
      <c r="E16" s="1"/>
      <c r="F16" s="7">
        <f t="shared" si="2"/>
        <v>20000</v>
      </c>
      <c r="G16" s="7">
        <v>3000</v>
      </c>
      <c r="H16" s="7">
        <v>500</v>
      </c>
      <c r="I16" s="7">
        <v>1000</v>
      </c>
      <c r="J16" s="7">
        <v>2500</v>
      </c>
      <c r="K16" s="7"/>
      <c r="L16" s="7">
        <v>13000</v>
      </c>
      <c r="N16" s="7">
        <f t="shared" si="3"/>
        <v>0</v>
      </c>
    </row>
    <row r="17" spans="1:14" x14ac:dyDescent="0.25">
      <c r="A17" s="1" t="s">
        <v>22</v>
      </c>
      <c r="B17" s="1" t="str">
        <f>VLOOKUP(A17,LISTADHERENT!A$5:H$51,2)</f>
        <v>HODIEP JULES</v>
      </c>
      <c r="C17" s="6">
        <f t="shared" si="0"/>
        <v>62.960020479868533</v>
      </c>
      <c r="D17" s="6">
        <f>TONT20000DEC2015!F17+TONT20000DEC2015!E17+TONT20000JANV!G17</f>
        <v>6016.9659451779471</v>
      </c>
      <c r="E17" s="1"/>
      <c r="F17" s="7">
        <f t="shared" si="2"/>
        <v>20000</v>
      </c>
      <c r="G17" s="7">
        <v>3000</v>
      </c>
      <c r="H17" s="7">
        <v>500</v>
      </c>
      <c r="I17" s="7">
        <v>1000</v>
      </c>
      <c r="J17" s="7">
        <v>2500</v>
      </c>
      <c r="K17" s="7"/>
      <c r="L17" s="7">
        <v>13000</v>
      </c>
      <c r="N17" s="7">
        <f t="shared" si="3"/>
        <v>0</v>
      </c>
    </row>
    <row r="18" spans="1:14" x14ac:dyDescent="0.25">
      <c r="A18" s="1" t="s">
        <v>23</v>
      </c>
      <c r="B18" s="1" t="str">
        <f>VLOOKUP(A18,LISTADHERENT!A$5:H$51,2)</f>
        <v>HOTCHO BENJAMIN</v>
      </c>
      <c r="C18" s="6">
        <f t="shared" si="0"/>
        <v>4258.692103654158</v>
      </c>
      <c r="D18" s="6">
        <f>TONT20000DEC2015!F18+TONT20000DEC2015!E18+TONT20000JANV!G18</f>
        <v>406994.87013157347</v>
      </c>
      <c r="E18" s="1"/>
      <c r="F18" s="7">
        <f t="shared" si="2"/>
        <v>20000</v>
      </c>
      <c r="G18" s="7">
        <v>3000</v>
      </c>
      <c r="H18" s="7">
        <v>500</v>
      </c>
      <c r="I18" s="7">
        <v>1000</v>
      </c>
      <c r="J18" s="7">
        <v>2500</v>
      </c>
      <c r="K18" s="7"/>
      <c r="L18" s="7">
        <v>13000</v>
      </c>
      <c r="N18" s="7">
        <f t="shared" si="3"/>
        <v>0</v>
      </c>
    </row>
    <row r="19" spans="1:14" x14ac:dyDescent="0.25">
      <c r="A19" s="1" t="s">
        <v>24</v>
      </c>
      <c r="B19" s="1" t="str">
        <f>VLOOKUP(A19,LISTADHERENT!A$5:H$51,2)</f>
        <v>KEPHE DAVID</v>
      </c>
      <c r="C19" s="6">
        <f t="shared" si="0"/>
        <v>197.60084131090923</v>
      </c>
      <c r="D19" s="6">
        <f>TONT20000DEC2015!F19+TONT20000DEC2015!E19+TONT20000JANV!G19</f>
        <v>18884.325701361893</v>
      </c>
      <c r="E19" s="1"/>
      <c r="F19" s="7">
        <f t="shared" si="2"/>
        <v>20000</v>
      </c>
      <c r="G19" s="7">
        <v>3000</v>
      </c>
      <c r="H19" s="7">
        <v>500</v>
      </c>
      <c r="I19" s="7">
        <v>1000</v>
      </c>
      <c r="J19" s="7">
        <v>2500</v>
      </c>
      <c r="K19" s="7"/>
      <c r="L19" s="7">
        <v>13000</v>
      </c>
      <c r="N19" s="7">
        <f t="shared" si="3"/>
        <v>0</v>
      </c>
    </row>
    <row r="20" spans="1:14" x14ac:dyDescent="0.25">
      <c r="A20" s="1" t="s">
        <v>25</v>
      </c>
      <c r="B20" s="1" t="str">
        <f>VLOOKUP(A20,LISTADHERENT!A$5:H$51,2)</f>
        <v>KEPSEU FRANCIS</v>
      </c>
      <c r="C20" s="6">
        <f t="shared" si="0"/>
        <v>6197.6159922725919</v>
      </c>
      <c r="D20" s="6">
        <f>TONT20000DEC2015!F20+TONT20000DEC2015!E20+TONT20000JANV!G20</f>
        <v>592294.03171363589</v>
      </c>
      <c r="E20" s="1"/>
      <c r="F20" s="7">
        <f t="shared" si="2"/>
        <v>23000</v>
      </c>
      <c r="G20" s="7">
        <v>6000</v>
      </c>
      <c r="H20" s="7">
        <v>500</v>
      </c>
      <c r="I20" s="7">
        <v>1000</v>
      </c>
      <c r="J20" s="7">
        <v>2500</v>
      </c>
      <c r="K20" s="7"/>
      <c r="L20" s="7">
        <v>13000</v>
      </c>
      <c r="N20" s="7">
        <f t="shared" si="3"/>
        <v>0</v>
      </c>
    </row>
    <row r="21" spans="1:14" x14ac:dyDescent="0.25">
      <c r="A21" s="1" t="s">
        <v>26</v>
      </c>
      <c r="B21" s="1" t="str">
        <f>VLOOKUP(A21,LISTADHERENT!A$5:H$51,2)</f>
        <v>KOUAMOU EMMANUEL</v>
      </c>
      <c r="C21" s="6">
        <f t="shared" si="0"/>
        <v>4195.5545557849709</v>
      </c>
      <c r="D21" s="6">
        <f>TONT20000DEC2015!F21+TONT20000DEC2015!E21+TONT20000JANV!G21</f>
        <v>400960.93824121758</v>
      </c>
      <c r="E21" s="1"/>
      <c r="F21" s="7">
        <f t="shared" si="2"/>
        <v>20000</v>
      </c>
      <c r="G21" s="7">
        <v>3000</v>
      </c>
      <c r="H21" s="7">
        <v>500</v>
      </c>
      <c r="I21" s="7">
        <v>1000</v>
      </c>
      <c r="J21" s="7">
        <v>2500</v>
      </c>
      <c r="K21" s="7"/>
      <c r="L21" s="7">
        <v>13000</v>
      </c>
      <c r="N21" s="7">
        <f t="shared" si="3"/>
        <v>0</v>
      </c>
    </row>
    <row r="22" spans="1:14" x14ac:dyDescent="0.25">
      <c r="A22" s="1" t="s">
        <v>27</v>
      </c>
      <c r="B22" s="1" t="str">
        <f>VLOOKUP(A22,LISTADHERENT!A$5:H$51,2)</f>
        <v>KOUAMOU MOISE</v>
      </c>
      <c r="C22" s="6">
        <f t="shared" si="0"/>
        <v>3399.7689024417418</v>
      </c>
      <c r="D22" s="6">
        <f>TONT20000DEC2015!F22+TONT20000DEC2015!E22+TONT20000JANV!G22</f>
        <v>324909.26069517189</v>
      </c>
      <c r="E22" s="1"/>
      <c r="F22" s="7">
        <f t="shared" si="2"/>
        <v>20000</v>
      </c>
      <c r="G22" s="7">
        <v>3000</v>
      </c>
      <c r="H22" s="7">
        <v>500</v>
      </c>
      <c r="I22" s="7">
        <v>1000</v>
      </c>
      <c r="J22" s="7">
        <v>2500</v>
      </c>
      <c r="K22" s="7"/>
      <c r="L22" s="7">
        <v>13000</v>
      </c>
      <c r="N22" s="7">
        <f t="shared" si="3"/>
        <v>0</v>
      </c>
    </row>
    <row r="23" spans="1:14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4552.3448387937451</v>
      </c>
      <c r="D23" s="6">
        <f>TONT20000DEC2015!F23+TONT20000DEC2015!E23+TONT20000JANV!G23</f>
        <v>435058.68735361873</v>
      </c>
      <c r="E23" s="1"/>
      <c r="F23" s="7">
        <f t="shared" si="2"/>
        <v>20000</v>
      </c>
      <c r="G23" s="7">
        <v>3000</v>
      </c>
      <c r="H23" s="7">
        <v>500</v>
      </c>
      <c r="I23" s="7">
        <v>1000</v>
      </c>
      <c r="J23" s="7">
        <v>2500</v>
      </c>
      <c r="K23" s="7"/>
      <c r="L23" s="7">
        <v>13000</v>
      </c>
      <c r="N23" s="7">
        <f t="shared" si="3"/>
        <v>0</v>
      </c>
    </row>
    <row r="24" spans="1:14" x14ac:dyDescent="0.25">
      <c r="A24" s="1" t="s">
        <v>29</v>
      </c>
      <c r="B24" s="1" t="str">
        <f>VLOOKUP(A24,LISTADHERENT!A$5:H$51,2)</f>
        <v>KOUATCHO MESSACK</v>
      </c>
      <c r="C24" s="6">
        <f t="shared" si="0"/>
        <v>4166.9006319770051</v>
      </c>
      <c r="D24" s="6">
        <f>TONT20000DEC2015!F24+TONT20000DEC2015!E24+TONT20000JANV!G24</f>
        <v>398222.53881831106</v>
      </c>
      <c r="E24" s="1"/>
      <c r="F24" s="7">
        <f t="shared" ref="F24" si="4">G24+H24+I24+J24+K24+L24</f>
        <v>20000</v>
      </c>
      <c r="G24" s="7">
        <v>3000</v>
      </c>
      <c r="H24" s="7">
        <v>500</v>
      </c>
      <c r="I24" s="7">
        <v>1000</v>
      </c>
      <c r="J24" s="7">
        <v>2500</v>
      </c>
      <c r="K24" s="7"/>
      <c r="L24" s="7">
        <v>13000</v>
      </c>
      <c r="M24" s="7"/>
      <c r="N24" s="7">
        <f t="shared" si="3"/>
        <v>0</v>
      </c>
    </row>
    <row r="25" spans="1:14" x14ac:dyDescent="0.25">
      <c r="A25" s="1" t="s">
        <v>30</v>
      </c>
      <c r="B25" s="1" t="str">
        <f>VLOOKUP(A25,LISTADHERENT!A$5:H$51,2)</f>
        <v>LOWE JEAN</v>
      </c>
      <c r="C25" s="6">
        <f t="shared" si="0"/>
        <v>4212.4754186139135</v>
      </c>
      <c r="D25" s="6">
        <f>TONT20000DEC2015!F25+TONT20000DEC2015!E25+TONT20000JANV!G25</f>
        <v>402578.03198783298</v>
      </c>
      <c r="E25" s="1"/>
      <c r="F25" s="7">
        <f t="shared" si="2"/>
        <v>20000</v>
      </c>
      <c r="G25" s="7">
        <v>3000</v>
      </c>
      <c r="H25" s="7">
        <v>500</v>
      </c>
      <c r="I25" s="7">
        <v>1000</v>
      </c>
      <c r="J25" s="7">
        <v>2500</v>
      </c>
      <c r="K25" s="7"/>
      <c r="L25" s="7">
        <v>13000</v>
      </c>
      <c r="N25" s="7">
        <f t="shared" si="3"/>
        <v>0</v>
      </c>
    </row>
    <row r="26" spans="1:14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4213.3172525855025</v>
      </c>
      <c r="D26" s="6">
        <f>TONT20000DEC2015!F26+TONT20000DEC2015!E26+TONT20000JANV!G26</f>
        <v>402658.48441303772</v>
      </c>
      <c r="E26" s="1"/>
      <c r="F26" s="7">
        <f t="shared" si="2"/>
        <v>20000</v>
      </c>
      <c r="G26" s="7">
        <v>3000</v>
      </c>
      <c r="H26" s="7">
        <v>500</v>
      </c>
      <c r="I26" s="7">
        <v>1000</v>
      </c>
      <c r="J26" s="7">
        <v>2500</v>
      </c>
      <c r="K26" s="7"/>
      <c r="L26" s="7">
        <v>13000</v>
      </c>
      <c r="N26" s="7">
        <f t="shared" si="3"/>
        <v>0</v>
      </c>
    </row>
    <row r="27" spans="1:14" x14ac:dyDescent="0.25">
      <c r="A27" s="1" t="s">
        <v>32</v>
      </c>
      <c r="B27" s="1" t="str">
        <f>VLOOKUP(A27,LISTADHERENT!A$5:H$51,2)</f>
        <v>NDJOMO ETIENNE</v>
      </c>
      <c r="C27" s="6">
        <f t="shared" si="0"/>
        <v>4293.511224211873</v>
      </c>
      <c r="D27" s="6">
        <f>TONT20000DEC2015!F27+TONT20000DEC2015!E27+TONT20000JANV!G27</f>
        <v>410322.46534262982</v>
      </c>
      <c r="E27" s="1"/>
      <c r="F27" s="7">
        <f t="shared" ref="F27:F28" si="5">G27+H27+I27+J27+K27+L27</f>
        <v>25000</v>
      </c>
      <c r="G27" s="7">
        <v>8000</v>
      </c>
      <c r="H27" s="7">
        <v>500</v>
      </c>
      <c r="I27" s="7">
        <v>1000</v>
      </c>
      <c r="J27" s="7">
        <v>2500</v>
      </c>
      <c r="K27" s="7"/>
      <c r="L27" s="7">
        <v>13000</v>
      </c>
      <c r="M27" s="7"/>
      <c r="N27" s="7">
        <f t="shared" si="3"/>
        <v>0</v>
      </c>
    </row>
    <row r="28" spans="1:14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TONT20000DEC2015!F28+TONT20000DEC2015!E28+TONT20000JANV!G28</f>
        <v>0</v>
      </c>
      <c r="E28" s="1"/>
      <c r="F28" s="7">
        <f t="shared" si="5"/>
        <v>0</v>
      </c>
      <c r="G28" s="7"/>
      <c r="H28" s="7"/>
      <c r="I28" s="7"/>
      <c r="J28" s="7"/>
      <c r="K28" s="7"/>
      <c r="L28" s="7"/>
      <c r="N28" s="7">
        <f t="shared" si="3"/>
        <v>0</v>
      </c>
    </row>
    <row r="29" spans="1:14" x14ac:dyDescent="0.25">
      <c r="A29" s="1" t="s">
        <v>34</v>
      </c>
      <c r="B29" s="1" t="str">
        <f>VLOOKUP(A29,LISTADHERENT!A$5:H$51,2)</f>
        <v>NGONDIEP CLAUDE</v>
      </c>
      <c r="C29" s="6">
        <f t="shared" si="0"/>
        <v>6056.5443021538949</v>
      </c>
      <c r="D29" s="6">
        <f>TONT20000DEC2015!F29+TONT20000DEC2015!E29+TONT20000JANV!G29</f>
        <v>578812.08636477264</v>
      </c>
      <c r="E29" s="1"/>
      <c r="F29" s="7">
        <f t="shared" si="2"/>
        <v>20000</v>
      </c>
      <c r="G29" s="7">
        <v>3000</v>
      </c>
      <c r="H29" s="7">
        <v>500</v>
      </c>
      <c r="I29" s="7">
        <v>1000</v>
      </c>
      <c r="J29" s="7">
        <v>2500</v>
      </c>
      <c r="K29" s="7"/>
      <c r="L29" s="7">
        <v>13000</v>
      </c>
      <c r="N29" s="7">
        <f t="shared" si="3"/>
        <v>0</v>
      </c>
    </row>
    <row r="30" spans="1:14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62.960020479868533</v>
      </c>
      <c r="D30" s="6">
        <f>TONT20000DEC2015!F30+TONT20000DEC2015!E30+TONT20000JANV!G30</f>
        <v>6016.9659451779471</v>
      </c>
      <c r="E30" s="1"/>
      <c r="F30" s="7">
        <f t="shared" si="2"/>
        <v>20000</v>
      </c>
      <c r="G30" s="7">
        <v>3000</v>
      </c>
      <c r="H30" s="7">
        <v>500</v>
      </c>
      <c r="I30" s="7">
        <v>1000</v>
      </c>
      <c r="J30" s="7">
        <v>2500</v>
      </c>
      <c r="K30" s="7"/>
      <c r="L30" s="7">
        <v>13000</v>
      </c>
      <c r="N30" s="7">
        <f t="shared" si="3"/>
        <v>0</v>
      </c>
    </row>
    <row r="31" spans="1:14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219.63584551725538</v>
      </c>
      <c r="D31" s="6">
        <f>TONT20000DEC2015!F31+TONT20000DEC2015!E31+TONT20000JANV!G31</f>
        <v>20990.167931096097</v>
      </c>
      <c r="E31" s="1"/>
      <c r="F31" s="7">
        <f t="shared" si="2"/>
        <v>20000</v>
      </c>
      <c r="G31" s="7">
        <v>3000</v>
      </c>
      <c r="H31" s="7">
        <v>500</v>
      </c>
      <c r="I31" s="7">
        <v>1000</v>
      </c>
      <c r="J31" s="7">
        <v>2500</v>
      </c>
      <c r="K31" s="7"/>
      <c r="L31" s="7">
        <v>13000</v>
      </c>
      <c r="N31" s="7">
        <f t="shared" si="3"/>
        <v>0</v>
      </c>
    </row>
    <row r="32" spans="1:14" x14ac:dyDescent="0.25">
      <c r="A32" s="1" t="s">
        <v>37</v>
      </c>
      <c r="B32" s="1" t="str">
        <f>VLOOKUP(A32,LISTADHERENT!A$5:H$51,2)</f>
        <v>NJEPDJIO MBOUKAM DELUXE</v>
      </c>
      <c r="C32" s="6">
        <f t="shared" si="0"/>
        <v>4206.1932326009292</v>
      </c>
      <c r="D32" s="6">
        <f>TONT20000DEC2015!F32+TONT20000DEC2015!E32+TONT20000JANV!G32</f>
        <v>401977.65576474252</v>
      </c>
      <c r="E32" s="1"/>
      <c r="F32" s="7">
        <f t="shared" si="2"/>
        <v>20000</v>
      </c>
      <c r="G32" s="7">
        <v>3000</v>
      </c>
      <c r="H32" s="7">
        <v>500</v>
      </c>
      <c r="I32" s="7">
        <v>1000</v>
      </c>
      <c r="J32" s="7">
        <v>2500</v>
      </c>
      <c r="K32" s="7"/>
      <c r="L32" s="7">
        <v>13000</v>
      </c>
      <c r="N32" s="7">
        <f t="shared" si="3"/>
        <v>0</v>
      </c>
    </row>
    <row r="33" spans="1:14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125.92004095973707</v>
      </c>
      <c r="D33" s="6">
        <f>TONT20000DEC2015!F33+TONT20000DEC2015!E33+TONT20000JANV!G33</f>
        <v>12033.931890355894</v>
      </c>
      <c r="E33" s="1"/>
      <c r="F33" s="7">
        <f t="shared" si="2"/>
        <v>23000</v>
      </c>
      <c r="G33" s="7">
        <v>6000</v>
      </c>
      <c r="H33" s="7">
        <v>500</v>
      </c>
      <c r="I33" s="7">
        <v>1000</v>
      </c>
      <c r="J33" s="7">
        <v>2500</v>
      </c>
      <c r="K33" s="7"/>
      <c r="L33" s="7">
        <v>13000</v>
      </c>
      <c r="M33" s="11"/>
      <c r="N33" s="7">
        <f t="shared" si="3"/>
        <v>0</v>
      </c>
    </row>
    <row r="34" spans="1:14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4363.7938379149236</v>
      </c>
      <c r="D34" s="6">
        <f>TONT20000DEC2015!F34+TONT20000DEC2015!E34+TONT20000JANV!G34</f>
        <v>417039.23719191103</v>
      </c>
      <c r="E34" s="1"/>
      <c r="F34" s="10">
        <f>G34+H34+I34+J34+K34+L34</f>
        <v>25000</v>
      </c>
      <c r="G34" s="7">
        <v>8000</v>
      </c>
      <c r="H34" s="7">
        <v>500</v>
      </c>
      <c r="I34" s="7">
        <v>1000</v>
      </c>
      <c r="J34" s="7">
        <v>2500</v>
      </c>
      <c r="K34" s="7"/>
      <c r="L34" s="7">
        <v>13000</v>
      </c>
      <c r="M34"/>
      <c r="N34" s="7">
        <f t="shared" si="3"/>
        <v>0</v>
      </c>
    </row>
    <row r="35" spans="1:14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4250.9051394169583</v>
      </c>
      <c r="D35" s="6">
        <f>TONT20000DEC2015!F35+TONT20000DEC2015!E35+TONT20000JANV!G35</f>
        <v>406250.68519842956</v>
      </c>
      <c r="E35" s="1"/>
      <c r="F35" s="7">
        <f t="shared" si="2"/>
        <v>20000</v>
      </c>
      <c r="G35" s="7">
        <v>3000</v>
      </c>
      <c r="H35" s="7">
        <v>500</v>
      </c>
      <c r="I35" s="7">
        <v>1000</v>
      </c>
      <c r="J35" s="7">
        <v>2500</v>
      </c>
      <c r="K35" s="7"/>
      <c r="L35" s="7">
        <v>13000</v>
      </c>
      <c r="N35" s="7">
        <f t="shared" si="3"/>
        <v>0</v>
      </c>
    </row>
    <row r="36" spans="1:14" x14ac:dyDescent="0.25">
      <c r="A36" s="1" t="s">
        <v>41</v>
      </c>
      <c r="B36" s="1" t="str">
        <f>VLOOKUP(A36,LISTADHERENT!A$5:H$51,2)</f>
        <v>NTEPDIE TUEMAC MZ</v>
      </c>
      <c r="C36" s="6">
        <f t="shared" si="0"/>
        <v>62.960020479868533</v>
      </c>
      <c r="D36" s="6">
        <f>TONT20000DEC2015!F36+TONT20000DEC2015!E36+TONT20000JANV!G36</f>
        <v>6016.9659451779471</v>
      </c>
      <c r="E36" s="1"/>
      <c r="F36" s="7">
        <f t="shared" si="2"/>
        <v>20000</v>
      </c>
      <c r="G36" s="7">
        <v>3000</v>
      </c>
      <c r="H36" s="7">
        <v>500</v>
      </c>
      <c r="I36" s="7">
        <v>1000</v>
      </c>
      <c r="J36" s="7">
        <v>2500</v>
      </c>
      <c r="K36" s="7"/>
      <c r="L36" s="7">
        <v>13000</v>
      </c>
      <c r="N36" s="7">
        <f t="shared" si="3"/>
        <v>0</v>
      </c>
    </row>
    <row r="37" spans="1:14" x14ac:dyDescent="0.25">
      <c r="A37" s="1" t="s">
        <v>42</v>
      </c>
      <c r="B37" s="1" t="str">
        <f>VLOOKUP(A37,LISTADHERENT!A$5:H$51,2)</f>
        <v>NTOMBOU ADOLPHE</v>
      </c>
      <c r="C37" s="6">
        <f t="shared" si="0"/>
        <v>62.960020479868533</v>
      </c>
      <c r="D37" s="6">
        <f>TONT20000DEC2015!F37+TONT20000DEC2015!E37+TONT20000JANV!G37</f>
        <v>6016.9659451779471</v>
      </c>
      <c r="E37" s="1"/>
      <c r="F37" s="7">
        <f t="shared" si="2"/>
        <v>20000</v>
      </c>
      <c r="G37" s="7">
        <v>3000</v>
      </c>
      <c r="H37" s="7">
        <v>500</v>
      </c>
      <c r="I37" s="7">
        <v>1000</v>
      </c>
      <c r="J37" s="7">
        <v>2500</v>
      </c>
      <c r="K37" s="7"/>
      <c r="L37" s="7">
        <v>13000</v>
      </c>
      <c r="N37" s="7">
        <f t="shared" si="3"/>
        <v>0</v>
      </c>
    </row>
    <row r="38" spans="1:14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4168.3738414272866</v>
      </c>
      <c r="D38" s="6">
        <f>TONT20000DEC2015!F38+TONT20000DEC2015!E38+TONT20000JANV!G38</f>
        <v>398363.33056241937</v>
      </c>
      <c r="E38" s="1"/>
      <c r="F38" s="7">
        <f t="shared" si="2"/>
        <v>20000</v>
      </c>
      <c r="G38" s="7">
        <v>3000</v>
      </c>
      <c r="H38" s="7">
        <v>500</v>
      </c>
      <c r="I38" s="7">
        <v>1000</v>
      </c>
      <c r="J38" s="7">
        <v>2500</v>
      </c>
      <c r="K38" s="7"/>
      <c r="L38" s="7">
        <v>13000</v>
      </c>
      <c r="N38" s="7">
        <f t="shared" si="3"/>
        <v>0</v>
      </c>
    </row>
    <row r="39" spans="1:14" x14ac:dyDescent="0.25">
      <c r="A39" s="1" t="s">
        <v>44</v>
      </c>
      <c r="B39" s="1" t="str">
        <f>VLOOKUP(A39,LISTADHERENT!A$5:H$51,2)</f>
        <v>SEUNOU RICHELOT</v>
      </c>
      <c r="C39" s="6">
        <f t="shared" si="0"/>
        <v>4194.596969642289</v>
      </c>
      <c r="D39" s="6">
        <f>TONT20000DEC2015!F39+TONT20000DEC2015!E39+TONT20000JANV!G39</f>
        <v>400869.42360754719</v>
      </c>
      <c r="E39" s="1"/>
      <c r="F39" s="7">
        <f t="shared" si="2"/>
        <v>20000</v>
      </c>
      <c r="G39" s="7">
        <v>3000</v>
      </c>
      <c r="H39" s="7">
        <v>500</v>
      </c>
      <c r="I39" s="7">
        <v>1000</v>
      </c>
      <c r="J39" s="7">
        <v>2500</v>
      </c>
      <c r="K39" s="7"/>
      <c r="L39" s="7">
        <v>13000</v>
      </c>
      <c r="N39" s="7">
        <f t="shared" si="3"/>
        <v>0</v>
      </c>
    </row>
    <row r="40" spans="1:14" x14ac:dyDescent="0.25">
      <c r="A40" s="1" t="s">
        <v>45</v>
      </c>
      <c r="B40" s="1" t="str">
        <f>VLOOKUP(A40,LISTADHERENT!A$5:H$51,2)</f>
        <v>SIME ABEL</v>
      </c>
      <c r="C40" s="6">
        <f t="shared" si="0"/>
        <v>62.960020479868533</v>
      </c>
      <c r="D40" s="6">
        <f>TONT20000DEC2015!F40+TONT20000DEC2015!E40+TONT20000JANV!G40</f>
        <v>6016.9659451779471</v>
      </c>
      <c r="E40" s="1"/>
      <c r="F40" s="7">
        <f t="shared" si="2"/>
        <v>20000</v>
      </c>
      <c r="G40" s="7">
        <v>3000</v>
      </c>
      <c r="H40" s="7">
        <v>500</v>
      </c>
      <c r="I40" s="7">
        <v>1000</v>
      </c>
      <c r="J40" s="7">
        <v>2500</v>
      </c>
      <c r="K40" s="7"/>
      <c r="L40" s="7">
        <v>13000</v>
      </c>
      <c r="N40" s="7">
        <f t="shared" si="3"/>
        <v>0</v>
      </c>
    </row>
    <row r="41" spans="1:14" x14ac:dyDescent="0.25">
      <c r="A41" s="1" t="s">
        <v>46</v>
      </c>
      <c r="B41" s="1" t="str">
        <f>VLOOKUP(A41,LISTADHERENT!A$5:H$51,2)</f>
        <v>SIME FONGANG ERIC</v>
      </c>
      <c r="C41" s="6">
        <f t="shared" si="0"/>
        <v>4177.2341439782622</v>
      </c>
      <c r="D41" s="6">
        <f>TONT20000DEC2015!F41+TONT20000DEC2015!E41+TONT20000JANV!G41</f>
        <v>399210.09233769932</v>
      </c>
      <c r="E41" s="1"/>
      <c r="F41" s="7">
        <f t="shared" si="2"/>
        <v>20000</v>
      </c>
      <c r="G41" s="7">
        <v>3000</v>
      </c>
      <c r="H41" s="7">
        <v>500</v>
      </c>
      <c r="I41" s="7">
        <v>1000</v>
      </c>
      <c r="J41" s="7">
        <v>2500</v>
      </c>
      <c r="K41" s="7"/>
      <c r="L41" s="7">
        <v>13000</v>
      </c>
      <c r="N41" s="7">
        <f t="shared" si="3"/>
        <v>0</v>
      </c>
    </row>
    <row r="42" spans="1:14" x14ac:dyDescent="0.25">
      <c r="A42" s="1" t="s">
        <v>47</v>
      </c>
      <c r="B42" s="1" t="str">
        <f>VLOOKUP(A42,LISTADHERENT!A$5:H$51,2)</f>
        <v>SIME MATHIEU</v>
      </c>
      <c r="C42" s="6">
        <f t="shared" si="0"/>
        <v>4173.5932120511388</v>
      </c>
      <c r="D42" s="6">
        <f>TONT20000DEC2015!F42+TONT20000DEC2015!E42+TONT20000JANV!G42</f>
        <v>398862.13559868879</v>
      </c>
      <c r="E42" s="1"/>
      <c r="F42" s="7">
        <f t="shared" si="2"/>
        <v>20000</v>
      </c>
      <c r="G42" s="7">
        <v>3000</v>
      </c>
      <c r="H42" s="7">
        <v>500</v>
      </c>
      <c r="I42" s="7">
        <v>1000</v>
      </c>
      <c r="J42" s="7">
        <v>2500</v>
      </c>
      <c r="K42" s="7"/>
      <c r="L42" s="7">
        <v>13000</v>
      </c>
      <c r="N42" s="7">
        <f t="shared" si="3"/>
        <v>0</v>
      </c>
    </row>
    <row r="43" spans="1:14" x14ac:dyDescent="0.25">
      <c r="A43" s="1" t="s">
        <v>48</v>
      </c>
      <c r="B43" s="1" t="str">
        <f>VLOOKUP(A43,LISTADHERENT!A$5:H$51,2)</f>
        <v>SIME PIERRE</v>
      </c>
      <c r="C43" s="6">
        <f t="shared" si="0"/>
        <v>14964.252628654878</v>
      </c>
      <c r="D43" s="6">
        <f>TONT20000DEC2015!F43+TONT20000DEC2015!E43+TONT20000JANV!G43</f>
        <v>1430104.3388390585</v>
      </c>
      <c r="E43" s="1"/>
      <c r="F43" s="7">
        <f t="shared" ref="F43" si="6">G43+H43+I43+J43+K43+L43</f>
        <v>20000</v>
      </c>
      <c r="G43" s="7">
        <v>3000</v>
      </c>
      <c r="H43" s="7">
        <v>500</v>
      </c>
      <c r="I43" s="7">
        <v>1000</v>
      </c>
      <c r="J43" s="7">
        <v>2500</v>
      </c>
      <c r="K43" s="7"/>
      <c r="L43" s="7">
        <v>13000</v>
      </c>
      <c r="M43" s="7">
        <v>200000</v>
      </c>
      <c r="N43" s="7">
        <f>IF(M43&lt;=500000,(M43*1*3/100),(M43*12/100))</f>
        <v>6000</v>
      </c>
    </row>
    <row r="44" spans="1:14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62.960020479868533</v>
      </c>
      <c r="D44" s="6">
        <f>TONT20000DEC2015!F44+TONT20000DEC2015!E44+TONT20000JANV!G44</f>
        <v>6016.9659451779471</v>
      </c>
      <c r="E44" s="1"/>
      <c r="F44" s="7">
        <f t="shared" si="2"/>
        <v>20000</v>
      </c>
      <c r="G44" s="7">
        <v>3000</v>
      </c>
      <c r="H44" s="7">
        <v>500</v>
      </c>
      <c r="I44" s="7">
        <v>1000</v>
      </c>
      <c r="J44" s="7">
        <v>2500</v>
      </c>
      <c r="K44" s="7"/>
      <c r="L44" s="7">
        <v>13000</v>
      </c>
      <c r="N44" s="7">
        <f t="shared" si="3"/>
        <v>0</v>
      </c>
    </row>
    <row r="45" spans="1:14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62.960020479868533</v>
      </c>
      <c r="D45" s="6">
        <f>TONT20000DEC2015!F45+TONT20000DEC2015!E45+TONT20000JANV!G45</f>
        <v>6016.9659451779471</v>
      </c>
      <c r="E45" s="1"/>
      <c r="F45" s="7">
        <f t="shared" si="2"/>
        <v>20000</v>
      </c>
      <c r="G45" s="7">
        <v>3000</v>
      </c>
      <c r="H45" s="7">
        <v>500</v>
      </c>
      <c r="I45" s="7">
        <v>1000</v>
      </c>
      <c r="J45" s="7">
        <v>2500</v>
      </c>
      <c r="K45" s="7"/>
      <c r="L45" s="7">
        <v>13000</v>
      </c>
      <c r="N45" s="7">
        <f t="shared" si="3"/>
        <v>0</v>
      </c>
    </row>
    <row r="46" spans="1:14" x14ac:dyDescent="0.25">
      <c r="A46" s="1" t="s">
        <v>51</v>
      </c>
      <c r="B46" s="1" t="str">
        <f>VLOOKUP(A46,LISTADHERENT!A$5:H$51,2)</f>
        <v>TCHOUAMOU MATHIEU</v>
      </c>
      <c r="C46" s="6">
        <f t="shared" si="0"/>
        <v>4203.0679239814044</v>
      </c>
      <c r="D46" s="6">
        <f>TONT20000DEC2015!F46+TONT20000DEC2015!E46+TONT20000JANV!G46</f>
        <v>401678.97613616992</v>
      </c>
      <c r="E46" s="1"/>
      <c r="F46" s="7">
        <f t="shared" si="2"/>
        <v>20000</v>
      </c>
      <c r="G46" s="7">
        <v>3000</v>
      </c>
      <c r="H46" s="7">
        <v>500</v>
      </c>
      <c r="I46" s="7">
        <v>1000</v>
      </c>
      <c r="J46" s="7">
        <v>2500</v>
      </c>
      <c r="K46" s="7"/>
      <c r="L46" s="7">
        <v>13000</v>
      </c>
      <c r="M46" s="7"/>
      <c r="N46" s="7">
        <f t="shared" si="3"/>
        <v>0</v>
      </c>
    </row>
    <row r="47" spans="1:14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2883.3893065985981</v>
      </c>
      <c r="D47" s="6">
        <f>TONT20000DEC2015!F47+TONT20000DEC2015!E47+TONT20000JANV!G47</f>
        <v>275559.87326975923</v>
      </c>
      <c r="E47" s="1"/>
      <c r="F47" s="7">
        <f t="shared" si="2"/>
        <v>23000</v>
      </c>
      <c r="G47" s="7">
        <v>6000</v>
      </c>
      <c r="H47" s="7">
        <v>500</v>
      </c>
      <c r="I47" s="7">
        <v>1000</v>
      </c>
      <c r="J47" s="7">
        <v>2500</v>
      </c>
      <c r="K47" s="7"/>
      <c r="L47" s="7">
        <v>13000</v>
      </c>
      <c r="N47" s="7">
        <f t="shared" si="3"/>
        <v>0</v>
      </c>
    </row>
    <row r="48" spans="1:14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31.568773934593359</v>
      </c>
      <c r="D48" s="6">
        <f>TONT20000DEC2015!F48+TONT20000DEC2015!E48+TONT20000JANV!G48</f>
        <v>3016.9659451779471</v>
      </c>
      <c r="E48" s="1"/>
      <c r="F48" s="7">
        <f t="shared" si="2"/>
        <v>0</v>
      </c>
      <c r="G48" s="7"/>
      <c r="H48" s="7"/>
      <c r="I48" s="7"/>
      <c r="J48" s="7"/>
      <c r="K48" s="7"/>
      <c r="L48" s="7"/>
      <c r="N48" s="7">
        <f t="shared" si="3"/>
        <v>0</v>
      </c>
    </row>
    <row r="49" spans="1:17" x14ac:dyDescent="0.25">
      <c r="A49" s="1" t="s">
        <v>54</v>
      </c>
      <c r="B49" s="1" t="str">
        <f>VLOOKUP(A49,LISTADHERENT!A$5:H$51,2)</f>
        <v>TIEYAM ERNEST</v>
      </c>
      <c r="C49" s="6">
        <f t="shared" si="0"/>
        <v>4175.3610633914759</v>
      </c>
      <c r="D49" s="6">
        <f>TONT20000DEC2015!F49+TONT20000DEC2015!E49+TONT20000JANV!G49</f>
        <v>399031.08569161873</v>
      </c>
      <c r="E49" s="1"/>
      <c r="F49" s="7">
        <f t="shared" si="2"/>
        <v>20000</v>
      </c>
      <c r="G49" s="7">
        <v>3000</v>
      </c>
      <c r="H49" s="7">
        <v>500</v>
      </c>
      <c r="I49" s="7">
        <v>1000</v>
      </c>
      <c r="J49" s="7">
        <v>2500</v>
      </c>
      <c r="K49" s="7"/>
      <c r="L49" s="7">
        <v>13000</v>
      </c>
      <c r="M49" s="7">
        <v>1000000</v>
      </c>
      <c r="N49" s="7">
        <f t="shared" si="3"/>
        <v>120000</v>
      </c>
    </row>
    <row r="50" spans="1:17" x14ac:dyDescent="0.25">
      <c r="A50" s="1" t="s">
        <v>55</v>
      </c>
      <c r="B50" s="1" t="str">
        <f>VLOOKUP(A50,LISTADHERENT!A$5:H$51,2)</f>
        <v>TUGMA PIERRE LOTI</v>
      </c>
      <c r="C50" s="6">
        <f t="shared" si="0"/>
        <v>4352.4829310138348</v>
      </c>
      <c r="D50" s="6">
        <f>TONT20000DEC2015!F50+TONT20000DEC2015!E50+TONT20000JANV!G50</f>
        <v>415958.27595469716</v>
      </c>
      <c r="E50" s="1"/>
      <c r="F50" s="7">
        <f t="shared" si="2"/>
        <v>20000</v>
      </c>
      <c r="G50" s="7">
        <v>3000</v>
      </c>
      <c r="H50" s="7">
        <v>500</v>
      </c>
      <c r="I50" s="7">
        <v>1000</v>
      </c>
      <c r="J50" s="7">
        <v>2500</v>
      </c>
      <c r="K50" s="7"/>
      <c r="L50" s="7">
        <v>13000</v>
      </c>
      <c r="N50" s="7">
        <f t="shared" si="3"/>
        <v>0</v>
      </c>
    </row>
    <row r="51" spans="1:17" ht="18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8599.5458406057733</v>
      </c>
      <c r="D51" s="6">
        <f>TONT20000DEC2015!F51+TONT20000DEC2015!E51+TONT20000JANV!G51</f>
        <v>821841.76676795201</v>
      </c>
      <c r="E51" s="1"/>
      <c r="F51" s="7">
        <f t="shared" si="2"/>
        <v>20000</v>
      </c>
      <c r="G51" s="7">
        <v>3000</v>
      </c>
      <c r="H51" s="7">
        <v>500</v>
      </c>
      <c r="I51" s="7">
        <v>1000</v>
      </c>
      <c r="J51" s="7">
        <v>2500</v>
      </c>
      <c r="K51" s="7"/>
      <c r="L51" s="7">
        <v>13000</v>
      </c>
      <c r="M51" s="9"/>
      <c r="N51" s="7">
        <f t="shared" si="3"/>
        <v>0</v>
      </c>
    </row>
    <row r="52" spans="1:17" x14ac:dyDescent="0.25">
      <c r="A52" s="1" t="s">
        <v>178</v>
      </c>
      <c r="B52" s="1" t="str">
        <f>VLOOKUP(A52,LISTADHERENT!A$5:H$51,2)</f>
        <v>YOUMBI EMMANUEL</v>
      </c>
      <c r="C52" s="6">
        <f t="shared" si="0"/>
        <v>14724.329946751968</v>
      </c>
      <c r="D52" s="6">
        <f>TONT20000DEC2015!F52+TONT20000DEC2015!E52+TONT20000JANV!G52</f>
        <v>1407175.3976557062</v>
      </c>
      <c r="E52" s="1"/>
      <c r="F52" s="7">
        <f t="shared" ref="F52" si="7">G52+H52+I52+J52+K52+L52</f>
        <v>20000</v>
      </c>
      <c r="G52" s="7">
        <v>3000</v>
      </c>
      <c r="H52" s="7">
        <v>500</v>
      </c>
      <c r="I52" s="7">
        <v>1000</v>
      </c>
      <c r="J52" s="7">
        <v>2500</v>
      </c>
      <c r="L52" s="7">
        <v>13000</v>
      </c>
      <c r="N52" s="7">
        <f t="shared" si="3"/>
        <v>0</v>
      </c>
    </row>
    <row r="53" spans="1:17" x14ac:dyDescent="0.25">
      <c r="A53" s="1"/>
      <c r="B53" s="1"/>
      <c r="C53" s="1"/>
      <c r="D53" s="1"/>
      <c r="E53" s="1"/>
      <c r="F53" s="7"/>
      <c r="G53" s="7"/>
      <c r="H53" s="7"/>
      <c r="I53" s="7"/>
      <c r="J53" s="7"/>
      <c r="L53" s="7"/>
      <c r="N53" s="7"/>
    </row>
    <row r="54" spans="1:17" x14ac:dyDescent="0.25">
      <c r="A54" s="1"/>
      <c r="B54" s="1" t="s">
        <v>180</v>
      </c>
      <c r="C54" s="1"/>
      <c r="D54" s="1"/>
      <c r="E54" s="1"/>
      <c r="F54" s="7"/>
      <c r="G54" s="7"/>
      <c r="H54" s="7"/>
      <c r="I54" s="7"/>
      <c r="J54" s="7"/>
      <c r="L54" s="7"/>
      <c r="N54" s="7">
        <f t="shared" si="3"/>
        <v>0</v>
      </c>
    </row>
    <row r="55" spans="1:17" x14ac:dyDescent="0.25">
      <c r="A55" s="1"/>
      <c r="B55" s="1"/>
      <c r="C55" s="1"/>
      <c r="D55" s="1"/>
      <c r="E55" s="1"/>
      <c r="H55" s="4"/>
    </row>
    <row r="56" spans="1:17" ht="18" x14ac:dyDescent="0.25">
      <c r="A56" s="8" t="s">
        <v>56</v>
      </c>
      <c r="B56" s="8"/>
      <c r="C56" s="9">
        <f>SUM(C5:C52)</f>
        <v>185999.99999999991</v>
      </c>
      <c r="D56" s="9">
        <f t="shared" ref="D56:Q56" si="8">SUM(D5:D52)</f>
        <v>17775656.000000004</v>
      </c>
      <c r="E56" s="9">
        <f t="shared" si="8"/>
        <v>0</v>
      </c>
      <c r="F56" s="9">
        <f t="shared" si="8"/>
        <v>919000</v>
      </c>
      <c r="G56" s="9">
        <f t="shared" si="8"/>
        <v>171000</v>
      </c>
      <c r="H56" s="9">
        <f t="shared" si="8"/>
        <v>22000</v>
      </c>
      <c r="I56" s="9">
        <f t="shared" si="8"/>
        <v>44000</v>
      </c>
      <c r="J56" s="9">
        <f t="shared" si="8"/>
        <v>110000</v>
      </c>
      <c r="K56" s="9">
        <f t="shared" si="8"/>
        <v>0</v>
      </c>
      <c r="L56" s="9">
        <f t="shared" si="8"/>
        <v>572000</v>
      </c>
      <c r="M56" s="9">
        <f t="shared" si="8"/>
        <v>2200000</v>
      </c>
      <c r="N56" s="9">
        <f t="shared" si="8"/>
        <v>186000</v>
      </c>
      <c r="O56" s="9">
        <f t="shared" si="8"/>
        <v>0</v>
      </c>
      <c r="P56" s="9">
        <f t="shared" si="8"/>
        <v>0</v>
      </c>
      <c r="Q56" s="9">
        <f t="shared" si="8"/>
        <v>0</v>
      </c>
    </row>
  </sheetData>
  <autoFilter ref="A4:O51"/>
  <dataValidations disablePrompts="1" count="1">
    <dataValidation type="list" allowBlank="1" showInputMessage="1" showErrorMessage="1" promptTitle="Saissisez le mode de VERSEMENT" sqref="H6:H54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pane xSplit="2" ySplit="4" topLeftCell="C23" activePane="bottomRight" state="frozen"/>
      <selection activeCell="B22" sqref="B22"/>
      <selection pane="topRight" activeCell="B22" sqref="B22"/>
      <selection pane="bottomLeft" activeCell="B22" sqref="B22"/>
      <selection pane="bottomRight" activeCell="A33" sqref="A33:XFD3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5" width="29.5703125" customWidth="1"/>
    <col min="6" max="6" width="13" style="2" customWidth="1"/>
    <col min="7" max="7" width="12.5703125" bestFit="1" customWidth="1"/>
    <col min="8" max="8" width="17.5703125" style="3" bestFit="1" customWidth="1"/>
    <col min="9" max="9" width="15.7109375" style="2" customWidth="1"/>
    <col min="10" max="10" width="14.7109375" style="2" customWidth="1"/>
    <col min="11" max="11" width="18.140625" style="2" bestFit="1" customWidth="1"/>
    <col min="12" max="12" width="18.140625" customWidth="1"/>
    <col min="13" max="13" width="15" bestFit="1" customWidth="1"/>
    <col min="14" max="14" width="12.5703125" bestFit="1" customWidth="1"/>
    <col min="15" max="15" width="18.140625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</row>
    <row r="2" spans="1:18" x14ac:dyDescent="0.25">
      <c r="A2" s="1" t="s">
        <v>2</v>
      </c>
      <c r="B2" s="1" t="s">
        <v>3</v>
      </c>
      <c r="C2" s="1"/>
      <c r="D2" s="1"/>
      <c r="E2" s="1"/>
    </row>
    <row r="3" spans="1:18" x14ac:dyDescent="0.25">
      <c r="A3" s="1" t="s">
        <v>4</v>
      </c>
      <c r="B3" s="1" t="s">
        <v>5</v>
      </c>
      <c r="C3" s="1"/>
      <c r="D3" s="1"/>
      <c r="E3" s="1"/>
    </row>
    <row r="4" spans="1:18" ht="29.25" x14ac:dyDescent="0.25">
      <c r="A4" s="1" t="s">
        <v>6</v>
      </c>
      <c r="B4" s="1" t="s">
        <v>7</v>
      </c>
      <c r="C4" s="5" t="s">
        <v>186</v>
      </c>
      <c r="D4" s="5" t="s">
        <v>187</v>
      </c>
      <c r="E4" s="1" t="s">
        <v>184</v>
      </c>
      <c r="F4" s="5" t="s">
        <v>65</v>
      </c>
      <c r="G4" s="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8</v>
      </c>
      <c r="P4" s="5" t="s">
        <v>182</v>
      </c>
      <c r="Q4" s="5" t="s">
        <v>181</v>
      </c>
    </row>
    <row r="5" spans="1:18" x14ac:dyDescent="0.25">
      <c r="A5" s="1" t="s">
        <v>185</v>
      </c>
      <c r="B5" s="1" t="str">
        <f>VLOOKUP(A5,LISTADHERENT!A$5:H$52,2,0)</f>
        <v>ASELBY</v>
      </c>
      <c r="C5" s="6">
        <f>$N$56/$D$56*D5</f>
        <v>401.49071086184892</v>
      </c>
      <c r="D5" s="6">
        <f>TONT20000JANV!C5+TONT20000JANV!D5+TONT20000FEV!G5</f>
        <v>323292.02607068635</v>
      </c>
      <c r="E5" s="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</row>
    <row r="6" spans="1:18" x14ac:dyDescent="0.25">
      <c r="A6" s="1" t="s">
        <v>11</v>
      </c>
      <c r="B6" s="1" t="str">
        <f>VLOOKUP(A6,LISTADHERENT!A$5:H$52,2,0)</f>
        <v>BAKOP ACHILLE</v>
      </c>
      <c r="C6" s="6">
        <f t="shared" ref="C6:C52" si="0">$N$56/$D$56*D6</f>
        <v>545.76761144944282</v>
      </c>
      <c r="D6" s="6">
        <f>TONT20000JANV!C6+TONT20000JANV!D6+TONT20000FEV!G6</f>
        <v>439467.99289700744</v>
      </c>
      <c r="E6" s="1"/>
      <c r="F6" s="7">
        <f t="shared" ref="F6:F52" si="1">G6+H6+I6+J6+K6+L6</f>
        <v>20000</v>
      </c>
      <c r="G6" s="7">
        <v>3000</v>
      </c>
      <c r="H6" s="7">
        <v>500</v>
      </c>
      <c r="I6" s="7">
        <v>1000</v>
      </c>
      <c r="J6" s="7">
        <v>2500</v>
      </c>
      <c r="K6" s="7"/>
      <c r="L6" s="7">
        <v>13000</v>
      </c>
      <c r="M6" s="7"/>
      <c r="N6" s="7">
        <f>IF(M6&lt;=500000,(M6*1*3/100),(M6*12/100))</f>
        <v>0</v>
      </c>
    </row>
    <row r="7" spans="1:18" x14ac:dyDescent="0.25">
      <c r="A7" s="1" t="s">
        <v>12</v>
      </c>
      <c r="B7" s="1" t="str">
        <f>VLOOKUP(A7,LISTADHERENT!A$5:H$51,2)</f>
        <v>BOUTCHOUANG WILLIAM</v>
      </c>
      <c r="C7" s="6">
        <f t="shared" si="0"/>
        <v>505.59645581866323</v>
      </c>
      <c r="D7" s="6">
        <f>TONT20000JANV!C7+TONT20000JANV!D7+TONT20000FEV!G7</f>
        <v>407121.00717074395</v>
      </c>
      <c r="E7" s="1"/>
      <c r="F7" s="7">
        <f t="shared" si="1"/>
        <v>20000</v>
      </c>
      <c r="G7" s="7">
        <v>3000</v>
      </c>
      <c r="H7" s="7">
        <v>500</v>
      </c>
      <c r="I7" s="7">
        <v>1000</v>
      </c>
      <c r="J7" s="7">
        <v>2500</v>
      </c>
      <c r="K7" s="7"/>
      <c r="L7" s="7">
        <v>13000</v>
      </c>
      <c r="M7" s="7"/>
      <c r="N7" s="7">
        <f t="shared" ref="N7:N54" si="2">IF(M7&lt;=500000,(M7*1*3/100),(M7*12/100))</f>
        <v>0</v>
      </c>
    </row>
    <row r="8" spans="1:18" x14ac:dyDescent="0.25">
      <c r="A8" s="1" t="s">
        <v>13</v>
      </c>
      <c r="B8" s="1" t="str">
        <f>VLOOKUP(A8,LISTADHERENT!A$5:H$51,2)</f>
        <v>CHINGUE FABRICE</v>
      </c>
      <c r="C8" s="6">
        <f t="shared" si="0"/>
        <v>505.77060822746716</v>
      </c>
      <c r="D8" s="6">
        <f>TONT20000JANV!C8+TONT20000JANV!D8+TONT20000FEV!G8</f>
        <v>407261.23976782314</v>
      </c>
      <c r="E8" s="1"/>
      <c r="F8" s="7">
        <f t="shared" si="1"/>
        <v>20000</v>
      </c>
      <c r="G8" s="7">
        <v>3000</v>
      </c>
      <c r="H8" s="7">
        <v>500</v>
      </c>
      <c r="I8" s="7">
        <v>1000</v>
      </c>
      <c r="J8" s="7">
        <v>2500</v>
      </c>
      <c r="K8" s="7"/>
      <c r="L8" s="7">
        <v>13000</v>
      </c>
      <c r="M8" s="7"/>
      <c r="N8" s="7">
        <f t="shared" si="2"/>
        <v>0</v>
      </c>
    </row>
    <row r="9" spans="1:18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513.73871191723674</v>
      </c>
      <c r="D9" s="6">
        <f>TONT20000JANV!C9+TONT20000JANV!D9+TONT20000FEV!G9</f>
        <v>413677.38917331537</v>
      </c>
      <c r="E9" s="1"/>
      <c r="F9" s="7">
        <f t="shared" si="1"/>
        <v>20000</v>
      </c>
      <c r="G9" s="7">
        <v>3000</v>
      </c>
      <c r="H9" s="7">
        <v>500</v>
      </c>
      <c r="I9" s="7">
        <v>1000</v>
      </c>
      <c r="J9" s="7">
        <v>2500</v>
      </c>
      <c r="K9" s="7"/>
      <c r="L9" s="7">
        <v>13000</v>
      </c>
      <c r="M9" s="7"/>
      <c r="N9" s="7">
        <f t="shared" si="2"/>
        <v>0</v>
      </c>
    </row>
    <row r="10" spans="1:18" x14ac:dyDescent="0.25">
      <c r="A10" s="1" t="s">
        <v>15</v>
      </c>
      <c r="B10" s="1" t="str">
        <f>VLOOKUP(A10,LISTADHERENT!A$5:H$51,2)</f>
        <v>DJOUKWE GUY</v>
      </c>
      <c r="C10" s="6">
        <f t="shared" si="0"/>
        <v>517.20787837957062</v>
      </c>
      <c r="D10" s="6">
        <f>TONT20000JANV!C10+TONT20000JANV!D10+TONT20000FEV!G10</f>
        <v>416470.86315426213</v>
      </c>
      <c r="E10" s="1"/>
      <c r="F10" s="7">
        <f t="shared" si="1"/>
        <v>20000</v>
      </c>
      <c r="G10" s="7">
        <v>3000</v>
      </c>
      <c r="H10" s="7">
        <v>500</v>
      </c>
      <c r="I10" s="7">
        <v>1000</v>
      </c>
      <c r="J10" s="7">
        <v>2500</v>
      </c>
      <c r="K10" s="7"/>
      <c r="L10" s="7">
        <v>13000</v>
      </c>
      <c r="M10" s="7">
        <v>250000</v>
      </c>
      <c r="N10" s="7">
        <f t="shared" si="2"/>
        <v>7500</v>
      </c>
    </row>
    <row r="11" spans="1:18" x14ac:dyDescent="0.25">
      <c r="A11" s="1" t="s">
        <v>16</v>
      </c>
      <c r="B11" s="1" t="str">
        <f>VLOOKUP(A11,LISTADHERENT!A$5:H$51,2)</f>
        <v>DJOSSEU JOSUE</v>
      </c>
      <c r="C11" s="6">
        <f t="shared" si="0"/>
        <v>6.3098698842013716</v>
      </c>
      <c r="D11" s="6">
        <f>TONT20000JANV!C11+TONT20000JANV!D11+TONT20000FEV!G11</f>
        <v>5080.8911985209015</v>
      </c>
      <c r="E11" s="1"/>
      <c r="F11" s="7">
        <f t="shared" si="1"/>
        <v>0</v>
      </c>
      <c r="G11" s="7"/>
      <c r="H11" s="7"/>
      <c r="I11" s="7"/>
      <c r="J11" s="7"/>
      <c r="K11" s="7"/>
      <c r="L11" s="7"/>
      <c r="M11" s="7"/>
      <c r="N11" s="7">
        <f t="shared" si="2"/>
        <v>0</v>
      </c>
    </row>
    <row r="12" spans="1:18" x14ac:dyDescent="0.25">
      <c r="A12" s="1" t="s">
        <v>17</v>
      </c>
      <c r="B12" s="1" t="str">
        <f>VLOOKUP(A12,LISTADHERENT!A$5:H$51,2)</f>
        <v>DJOUNKEP SAMUEL</v>
      </c>
      <c r="C12" s="6">
        <f t="shared" si="0"/>
        <v>1772.3312670347004</v>
      </c>
      <c r="D12" s="6">
        <f>TONT20000JANV!C12+TONT20000JANV!D12+TONT20000FEV!G12</f>
        <v>1427132.8095190597</v>
      </c>
      <c r="E12" s="1"/>
      <c r="F12" s="7">
        <f t="shared" si="1"/>
        <v>20000</v>
      </c>
      <c r="G12" s="7">
        <v>3000</v>
      </c>
      <c r="H12" s="7">
        <v>500</v>
      </c>
      <c r="I12" s="7">
        <v>1000</v>
      </c>
      <c r="J12" s="7">
        <v>2500</v>
      </c>
      <c r="K12" s="7"/>
      <c r="L12" s="7">
        <v>13000</v>
      </c>
      <c r="M12" s="7"/>
      <c r="N12" s="7">
        <f t="shared" si="2"/>
        <v>0</v>
      </c>
    </row>
    <row r="13" spans="1:18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414.01500431936461</v>
      </c>
      <c r="D13" s="6">
        <f>TONT20000JANV!C13+TONT20000JANV!D13+TONT20000FEV!G13</f>
        <v>333376.95231541165</v>
      </c>
      <c r="E13" s="1"/>
      <c r="F13" s="7">
        <f t="shared" si="1"/>
        <v>20000</v>
      </c>
      <c r="G13" s="7">
        <v>3000</v>
      </c>
      <c r="H13" s="7">
        <v>500</v>
      </c>
      <c r="I13" s="7">
        <v>1000</v>
      </c>
      <c r="J13" s="7">
        <v>2500</v>
      </c>
      <c r="K13" s="7"/>
      <c r="L13" s="7">
        <v>13000</v>
      </c>
      <c r="M13" s="7"/>
      <c r="N13" s="7">
        <f t="shared" si="2"/>
        <v>0</v>
      </c>
    </row>
    <row r="14" spans="1:18" x14ac:dyDescent="0.25">
      <c r="A14" s="1" t="s">
        <v>19</v>
      </c>
      <c r="B14" s="1" t="str">
        <f>VLOOKUP(A14,LISTADHERENT!A$5:H$51,2)</f>
        <v>DONHOU DAVID</v>
      </c>
      <c r="C14" s="6">
        <f t="shared" si="0"/>
        <v>559.89919604210024</v>
      </c>
      <c r="D14" s="6">
        <f>TONT20000JANV!C14+TONT20000JANV!D14+TONT20000FEV!G14</f>
        <v>450847.15682521486</v>
      </c>
      <c r="E14" s="1"/>
      <c r="F14" s="7">
        <f t="shared" si="1"/>
        <v>20000</v>
      </c>
      <c r="G14" s="7">
        <v>3000</v>
      </c>
      <c r="H14" s="7">
        <v>500</v>
      </c>
      <c r="I14" s="7">
        <v>1000</v>
      </c>
      <c r="J14" s="7">
        <v>2500</v>
      </c>
      <c r="K14" s="7"/>
      <c r="L14" s="7">
        <v>13000</v>
      </c>
      <c r="M14" s="7"/>
      <c r="N14" s="7">
        <f t="shared" si="2"/>
        <v>0</v>
      </c>
    </row>
    <row r="15" spans="1:18" x14ac:dyDescent="0.25">
      <c r="A15" s="1" t="s">
        <v>20</v>
      </c>
      <c r="B15" s="1" t="str">
        <f>VLOOKUP(A15,LISTADHERENT!A$5:H$51,2)</f>
        <v>FOTSO THOMAS</v>
      </c>
      <c r="C15" s="6">
        <f t="shared" si="0"/>
        <v>507.63328181728349</v>
      </c>
      <c r="D15" s="6">
        <f>TONT20000JANV!C15+TONT20000JANV!D15+TONT20000FEV!G15</f>
        <v>408761.11884962657</v>
      </c>
      <c r="E15" s="1"/>
      <c r="F15" s="7">
        <f t="shared" si="1"/>
        <v>20000</v>
      </c>
      <c r="G15" s="7">
        <v>3000</v>
      </c>
      <c r="H15" s="7">
        <v>500</v>
      </c>
      <c r="I15" s="7">
        <v>1000</v>
      </c>
      <c r="J15" s="7">
        <v>2500</v>
      </c>
      <c r="K15" s="7"/>
      <c r="L15" s="7">
        <v>13000</v>
      </c>
      <c r="M15" s="7"/>
      <c r="N15" s="7">
        <f t="shared" si="2"/>
        <v>0</v>
      </c>
    </row>
    <row r="16" spans="1:18" x14ac:dyDescent="0.25">
      <c r="A16" s="1" t="s">
        <v>21</v>
      </c>
      <c r="B16" s="1" t="str">
        <f>VLOOKUP(A16,LISTADHERENT!A$5:H$51,2)</f>
        <v>HENGUE PAUL OMER</v>
      </c>
      <c r="C16" s="6">
        <f t="shared" si="0"/>
        <v>503.44605216212744</v>
      </c>
      <c r="D16" s="6">
        <f>TONT20000JANV!C16+TONT20000JANV!D16+TONT20000FEV!G16</f>
        <v>405389.43945028808</v>
      </c>
      <c r="E16" s="1"/>
      <c r="F16" s="7">
        <f t="shared" si="1"/>
        <v>20000</v>
      </c>
      <c r="G16" s="7">
        <v>3000</v>
      </c>
      <c r="H16" s="7">
        <v>500</v>
      </c>
      <c r="I16" s="7">
        <v>1000</v>
      </c>
      <c r="J16" s="7">
        <v>2500</v>
      </c>
      <c r="K16" s="7"/>
      <c r="L16" s="7">
        <v>13000</v>
      </c>
      <c r="M16" s="7"/>
      <c r="N16" s="7">
        <f t="shared" si="2"/>
        <v>0</v>
      </c>
    </row>
    <row r="17" spans="1:14" x14ac:dyDescent="0.25">
      <c r="A17" s="1" t="s">
        <v>22</v>
      </c>
      <c r="B17" s="1" t="str">
        <f>VLOOKUP(A17,LISTADHERENT!A$5:H$51,2)</f>
        <v>HODIEP JULES</v>
      </c>
      <c r="C17" s="6">
        <f t="shared" si="0"/>
        <v>11.276201194420562</v>
      </c>
      <c r="D17" s="6">
        <f>TONT20000JANV!C17+TONT20000JANV!D17+TONT20000FEV!G17</f>
        <v>9079.9259656578161</v>
      </c>
      <c r="E17" s="1"/>
      <c r="F17" s="7">
        <f t="shared" si="1"/>
        <v>20000</v>
      </c>
      <c r="G17" s="7">
        <v>3000</v>
      </c>
      <c r="H17" s="7">
        <v>500</v>
      </c>
      <c r="I17" s="7">
        <v>1000</v>
      </c>
      <c r="J17" s="7">
        <v>2500</v>
      </c>
      <c r="K17" s="7"/>
      <c r="L17" s="7">
        <v>13000</v>
      </c>
      <c r="M17" s="7"/>
      <c r="N17" s="7">
        <f t="shared" si="2"/>
        <v>0</v>
      </c>
    </row>
    <row r="18" spans="1:14" x14ac:dyDescent="0.25">
      <c r="A18" s="1" t="s">
        <v>23</v>
      </c>
      <c r="B18" s="1" t="str">
        <f>VLOOKUP(A18,LISTADHERENT!A$5:H$51,2)</f>
        <v>HOTCHO BENJAMIN</v>
      </c>
      <c r="C18" s="6">
        <f t="shared" si="0"/>
        <v>514.45425116210515</v>
      </c>
      <c r="D18" s="6">
        <f>TONT20000JANV!C18+TONT20000JANV!D18+TONT20000FEV!G18</f>
        <v>414253.56223522761</v>
      </c>
      <c r="E18" s="1"/>
      <c r="F18" s="7">
        <f t="shared" si="1"/>
        <v>20000</v>
      </c>
      <c r="G18" s="7">
        <v>3000</v>
      </c>
      <c r="H18" s="7">
        <v>500</v>
      </c>
      <c r="I18" s="7">
        <v>1000</v>
      </c>
      <c r="J18" s="7">
        <v>2500</v>
      </c>
      <c r="K18" s="7"/>
      <c r="L18" s="7">
        <v>13000</v>
      </c>
      <c r="M18" s="7"/>
      <c r="N18" s="7">
        <f t="shared" si="2"/>
        <v>0</v>
      </c>
    </row>
    <row r="19" spans="1:14" x14ac:dyDescent="0.25">
      <c r="A19" s="1" t="s">
        <v>24</v>
      </c>
      <c r="B19" s="1" t="str">
        <f>VLOOKUP(A19,LISTADHERENT!A$5:H$51,2)</f>
        <v>KEPHE DAVID</v>
      </c>
      <c r="C19" s="6">
        <f t="shared" si="0"/>
        <v>27.423158228091868</v>
      </c>
      <c r="D19" s="6">
        <f>TONT20000JANV!C19+TONT20000JANV!D19+TONT20000FEV!G19</f>
        <v>22081.926542672802</v>
      </c>
      <c r="E19" s="1"/>
      <c r="F19" s="7">
        <f t="shared" si="1"/>
        <v>20000</v>
      </c>
      <c r="G19" s="7">
        <v>3000</v>
      </c>
      <c r="H19" s="7">
        <v>500</v>
      </c>
      <c r="I19" s="7">
        <v>1000</v>
      </c>
      <c r="J19" s="7">
        <v>2500</v>
      </c>
      <c r="K19" s="7"/>
      <c r="L19" s="7">
        <v>13000</v>
      </c>
      <c r="M19" s="7"/>
      <c r="N19" s="7">
        <f t="shared" si="2"/>
        <v>0</v>
      </c>
    </row>
    <row r="20" spans="1:14" x14ac:dyDescent="0.25">
      <c r="A20" s="1" t="s">
        <v>25</v>
      </c>
      <c r="B20" s="1" t="str">
        <f>VLOOKUP(A20,LISTADHERENT!A$5:H$51,2)</f>
        <v>KEPSEU FRANCIS</v>
      </c>
      <c r="C20" s="6">
        <f t="shared" si="0"/>
        <v>750.70760110374874</v>
      </c>
      <c r="D20" s="6">
        <f>TONT20000JANV!C20+TONT20000JANV!D20+TONT20000FEV!G20</f>
        <v>604491.64770590852</v>
      </c>
      <c r="E20" s="1"/>
      <c r="F20" s="7">
        <f t="shared" si="1"/>
        <v>23000</v>
      </c>
      <c r="G20" s="7">
        <v>6000</v>
      </c>
      <c r="H20" s="7">
        <v>500</v>
      </c>
      <c r="I20" s="7">
        <v>1000</v>
      </c>
      <c r="J20" s="7">
        <v>2500</v>
      </c>
      <c r="K20" s="7"/>
      <c r="L20" s="7">
        <v>13000</v>
      </c>
      <c r="M20" s="7"/>
      <c r="N20" s="7">
        <f t="shared" si="2"/>
        <v>0</v>
      </c>
    </row>
    <row r="21" spans="1:14" x14ac:dyDescent="0.25">
      <c r="A21" s="1" t="s">
        <v>26</v>
      </c>
      <c r="B21" s="1" t="str">
        <f>VLOOKUP(A21,LISTADHERENT!A$5:H$51,2)</f>
        <v>KOUAMOU EMMANUEL</v>
      </c>
      <c r="C21" s="6">
        <f t="shared" si="0"/>
        <v>506.88240730106349</v>
      </c>
      <c r="D21" s="6">
        <f>TONT20000JANV!C21+TONT20000JANV!D21+TONT20000FEV!G21</f>
        <v>408156.49279700255</v>
      </c>
      <c r="E21" s="1"/>
      <c r="F21" s="7">
        <f t="shared" si="1"/>
        <v>20000</v>
      </c>
      <c r="G21" s="7">
        <v>3000</v>
      </c>
      <c r="H21" s="7">
        <v>500</v>
      </c>
      <c r="I21" s="7">
        <v>1000</v>
      </c>
      <c r="J21" s="7">
        <v>2500</v>
      </c>
      <c r="K21" s="7"/>
      <c r="L21" s="7">
        <v>13000</v>
      </c>
      <c r="M21" s="7"/>
      <c r="N21" s="7">
        <f t="shared" si="2"/>
        <v>0</v>
      </c>
    </row>
    <row r="22" spans="1:14" x14ac:dyDescent="0.25">
      <c r="A22" s="1" t="s">
        <v>27</v>
      </c>
      <c r="B22" s="1" t="str">
        <f>VLOOKUP(A22,LISTADHERENT!A$5:H$51,2)</f>
        <v>KOUAMOU MOISE</v>
      </c>
      <c r="C22" s="6">
        <f t="shared" si="0"/>
        <v>411.44688727649458</v>
      </c>
      <c r="D22" s="6">
        <f>TONT20000JANV!C22+TONT20000JANV!D22+TONT20000FEV!G22</f>
        <v>331309.02959761361</v>
      </c>
      <c r="E22" s="1"/>
      <c r="F22" s="7">
        <f t="shared" si="1"/>
        <v>20000</v>
      </c>
      <c r="G22" s="7">
        <v>3000</v>
      </c>
      <c r="H22" s="7">
        <v>500</v>
      </c>
      <c r="I22" s="7">
        <v>1000</v>
      </c>
      <c r="J22" s="7">
        <v>2500</v>
      </c>
      <c r="K22" s="7"/>
      <c r="L22" s="7">
        <v>13000</v>
      </c>
      <c r="M22" s="7"/>
      <c r="N22" s="7">
        <f t="shared" si="2"/>
        <v>0</v>
      </c>
    </row>
    <row r="23" spans="1:14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549.67089695980985</v>
      </c>
      <c r="D23" s="6">
        <f>TONT20000JANV!C23+TONT20000JANV!D23+TONT20000FEV!G23</f>
        <v>442611.03219241247</v>
      </c>
      <c r="E23" s="1"/>
      <c r="F23" s="7">
        <f t="shared" si="1"/>
        <v>20000</v>
      </c>
      <c r="G23" s="7">
        <v>3000</v>
      </c>
      <c r="H23" s="7">
        <v>500</v>
      </c>
      <c r="I23" s="7">
        <v>1000</v>
      </c>
      <c r="J23" s="7">
        <v>2500</v>
      </c>
      <c r="K23" s="7"/>
      <c r="L23" s="7">
        <v>13000</v>
      </c>
      <c r="M23" s="7"/>
      <c r="N23" s="7">
        <f t="shared" si="2"/>
        <v>0</v>
      </c>
    </row>
    <row r="24" spans="1:14" x14ac:dyDescent="0.25">
      <c r="A24" s="1" t="s">
        <v>29</v>
      </c>
      <c r="B24" s="1" t="str">
        <f>VLOOKUP(A24,LISTADHERENT!A$5:H$51,2)</f>
        <v>KOUATCHO MESSACK</v>
      </c>
      <c r="C24" s="6">
        <f t="shared" si="0"/>
        <v>503.44605216212744</v>
      </c>
      <c r="D24" s="6">
        <f>TONT20000JANV!C24+TONT20000JANV!D24+TONT20000FEV!G24</f>
        <v>405389.43945028808</v>
      </c>
      <c r="E24" s="1"/>
      <c r="F24" s="7">
        <f t="shared" si="1"/>
        <v>20000</v>
      </c>
      <c r="G24" s="7">
        <v>3000</v>
      </c>
      <c r="H24" s="7">
        <v>500</v>
      </c>
      <c r="I24" s="7">
        <v>1000</v>
      </c>
      <c r="J24" s="7">
        <v>2500</v>
      </c>
      <c r="K24" s="7"/>
      <c r="L24" s="7">
        <v>13000</v>
      </c>
      <c r="M24" s="7"/>
      <c r="N24" s="7">
        <f t="shared" si="2"/>
        <v>0</v>
      </c>
    </row>
    <row r="25" spans="1:14" x14ac:dyDescent="0.25">
      <c r="A25" s="1" t="s">
        <v>30</v>
      </c>
      <c r="B25" s="1" t="str">
        <f>VLOOKUP(A25,LISTADHERENT!A$5:H$51,2)</f>
        <v>LOWE JEAN</v>
      </c>
      <c r="C25" s="6">
        <f t="shared" si="0"/>
        <v>508.9116614558227</v>
      </c>
      <c r="D25" s="6">
        <f>TONT20000JANV!C25+TONT20000JANV!D25+TONT20000FEV!G25</f>
        <v>409790.50740644691</v>
      </c>
      <c r="E25" s="1"/>
      <c r="F25" s="7">
        <f t="shared" si="1"/>
        <v>20000</v>
      </c>
      <c r="G25" s="7">
        <v>3000</v>
      </c>
      <c r="H25" s="7">
        <v>500</v>
      </c>
      <c r="I25" s="7">
        <v>1000</v>
      </c>
      <c r="J25" s="7">
        <v>2500</v>
      </c>
      <c r="K25" s="7"/>
      <c r="L25" s="7">
        <v>13000</v>
      </c>
      <c r="M25" s="7"/>
      <c r="N25" s="7">
        <f t="shared" si="2"/>
        <v>0</v>
      </c>
    </row>
    <row r="26" spans="1:14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509.01261937396987</v>
      </c>
      <c r="D26" s="6">
        <f>TONT20000JANV!C26+TONT20000JANV!D26+TONT20000FEV!G26</f>
        <v>409871.80166562321</v>
      </c>
      <c r="E26" s="1"/>
      <c r="F26" s="7">
        <f t="shared" si="1"/>
        <v>20000</v>
      </c>
      <c r="G26" s="7">
        <v>3000</v>
      </c>
      <c r="H26" s="7">
        <v>500</v>
      </c>
      <c r="I26" s="7">
        <v>1000</v>
      </c>
      <c r="J26" s="7">
        <v>2500</v>
      </c>
      <c r="K26" s="7"/>
      <c r="L26" s="7">
        <v>13000</v>
      </c>
      <c r="M26" s="7"/>
      <c r="N26" s="7">
        <f t="shared" si="2"/>
        <v>0</v>
      </c>
    </row>
    <row r="27" spans="1:14" x14ac:dyDescent="0.25">
      <c r="A27" s="1" t="s">
        <v>32</v>
      </c>
      <c r="B27" s="1" t="str">
        <f>VLOOKUP(A27,LISTADHERENT!A$5:H$51,2)</f>
        <v>NDJOMO ETIENNE</v>
      </c>
      <c r="C27" s="6">
        <f t="shared" si="0"/>
        <v>524.83938721178595</v>
      </c>
      <c r="D27" s="6">
        <f>TONT20000JANV!C27+TONT20000JANV!D27+TONT20000FEV!G27</f>
        <v>422615.97656684171</v>
      </c>
      <c r="E27" s="1"/>
      <c r="F27" s="7">
        <f t="shared" si="1"/>
        <v>25000</v>
      </c>
      <c r="G27" s="7">
        <v>8000</v>
      </c>
      <c r="H27" s="7">
        <v>500</v>
      </c>
      <c r="I27" s="7">
        <v>1000</v>
      </c>
      <c r="J27" s="7">
        <v>2500</v>
      </c>
      <c r="K27" s="7"/>
      <c r="L27" s="7">
        <v>13000</v>
      </c>
      <c r="M27" s="7"/>
      <c r="N27" s="7">
        <f t="shared" si="2"/>
        <v>0</v>
      </c>
    </row>
    <row r="28" spans="1:14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TONT20000JANV!C28+TONT20000JANV!D28+TONT20000FEV!G28</f>
        <v>0</v>
      </c>
      <c r="E28" s="1"/>
      <c r="F28" s="7">
        <f t="shared" si="1"/>
        <v>0</v>
      </c>
      <c r="G28" s="7"/>
      <c r="H28" s="7"/>
      <c r="I28" s="7"/>
      <c r="J28" s="7"/>
      <c r="K28" s="7"/>
      <c r="L28" s="7"/>
      <c r="M28" s="7"/>
      <c r="N28" s="7">
        <f t="shared" si="2"/>
        <v>0</v>
      </c>
    </row>
    <row r="29" spans="1:14" x14ac:dyDescent="0.25">
      <c r="A29" s="1" t="s">
        <v>34</v>
      </c>
      <c r="B29" s="1" t="str">
        <f>VLOOKUP(A29,LISTADHERENT!A$5:H$51,2)</f>
        <v>NGONDIEP CLAUDE</v>
      </c>
      <c r="C29" s="6">
        <f t="shared" si="0"/>
        <v>730.06376707924278</v>
      </c>
      <c r="D29" s="6">
        <f>TONT20000JANV!C29+TONT20000JANV!D29+TONT20000FEV!G29</f>
        <v>587868.6306669265</v>
      </c>
      <c r="E29" s="1"/>
      <c r="F29" s="7">
        <f t="shared" si="1"/>
        <v>20000</v>
      </c>
      <c r="G29" s="7">
        <v>3000</v>
      </c>
      <c r="H29" s="7">
        <v>500</v>
      </c>
      <c r="I29" s="7">
        <v>1000</v>
      </c>
      <c r="J29" s="7">
        <v>2500</v>
      </c>
      <c r="K29" s="7"/>
      <c r="L29" s="7">
        <v>13000</v>
      </c>
      <c r="M29" s="7"/>
      <c r="N29" s="7">
        <f t="shared" si="2"/>
        <v>0</v>
      </c>
    </row>
    <row r="30" spans="1:14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11.276201194420562</v>
      </c>
      <c r="D30" s="6">
        <f>TONT20000JANV!C30+TONT20000JANV!D30+TONT20000FEV!G30</f>
        <v>9079.9259656578161</v>
      </c>
      <c r="E30" s="1"/>
      <c r="F30" s="7">
        <f t="shared" si="1"/>
        <v>20000</v>
      </c>
      <c r="G30" s="7">
        <v>3000</v>
      </c>
      <c r="H30" s="7">
        <v>500</v>
      </c>
      <c r="I30" s="7">
        <v>1000</v>
      </c>
      <c r="J30" s="7">
        <v>2500</v>
      </c>
      <c r="K30" s="7"/>
      <c r="L30" s="7">
        <v>13000</v>
      </c>
      <c r="M30" s="7"/>
      <c r="N30" s="7">
        <f t="shared" si="2"/>
        <v>0</v>
      </c>
    </row>
    <row r="31" spans="1:14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30.065731735595399</v>
      </c>
      <c r="D31" s="6">
        <f>TONT20000JANV!C31+TONT20000JANV!D31+TONT20000FEV!G31</f>
        <v>24209.803776613353</v>
      </c>
      <c r="E31" s="1"/>
      <c r="F31" s="7">
        <f t="shared" si="1"/>
        <v>20000</v>
      </c>
      <c r="G31" s="7">
        <v>3000</v>
      </c>
      <c r="H31" s="7">
        <v>500</v>
      </c>
      <c r="I31" s="7">
        <v>1000</v>
      </c>
      <c r="J31" s="7">
        <v>2500</v>
      </c>
      <c r="K31" s="7"/>
      <c r="L31" s="7">
        <v>13000</v>
      </c>
      <c r="M31" s="7"/>
      <c r="N31" s="7">
        <f t="shared" si="2"/>
        <v>0</v>
      </c>
    </row>
    <row r="32" spans="1:14" x14ac:dyDescent="0.25">
      <c r="A32" s="1" t="s">
        <v>37</v>
      </c>
      <c r="B32" s="1" t="str">
        <f>VLOOKUP(A32,LISTADHERENT!A$5:H$51,2)</f>
        <v>NJEPDJIO MBOUKAM DELUXE</v>
      </c>
      <c r="C32" s="6">
        <f t="shared" si="0"/>
        <v>514.36767551167918</v>
      </c>
      <c r="D32" s="6">
        <f>TONT20000JANV!C32+TONT20000JANV!D32+TONT20000FEV!G32</f>
        <v>414183.84899734345</v>
      </c>
      <c r="E32" s="1"/>
      <c r="F32" s="7">
        <f t="shared" si="1"/>
        <v>25000</v>
      </c>
      <c r="G32" s="7">
        <v>8000</v>
      </c>
      <c r="H32" s="7">
        <v>500</v>
      </c>
      <c r="I32" s="7">
        <v>1000</v>
      </c>
      <c r="J32" s="7">
        <v>2500</v>
      </c>
      <c r="K32" s="7"/>
      <c r="L32" s="7">
        <v>13000</v>
      </c>
      <c r="M32" s="7"/>
      <c r="N32" s="7">
        <f t="shared" si="2"/>
        <v>0</v>
      </c>
    </row>
    <row r="33" spans="1:14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22.552402388841124</v>
      </c>
      <c r="D33" s="6">
        <f>TONT20000JANV!C33+TONT20000JANV!D33+TONT20000FEV!G33</f>
        <v>18159.851931315632</v>
      </c>
      <c r="E33" s="1"/>
      <c r="F33" s="7">
        <f t="shared" si="1"/>
        <v>23000</v>
      </c>
      <c r="G33" s="7">
        <v>6000</v>
      </c>
      <c r="H33" s="7">
        <v>500</v>
      </c>
      <c r="I33" s="7">
        <v>1000</v>
      </c>
      <c r="J33" s="7">
        <v>2500</v>
      </c>
      <c r="K33" s="7"/>
      <c r="L33" s="7">
        <v>13000</v>
      </c>
      <c r="M33" s="7"/>
      <c r="N33" s="7">
        <f t="shared" si="2"/>
        <v>0</v>
      </c>
    </row>
    <row r="34" spans="1:14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533.26811140310224</v>
      </c>
      <c r="D34" s="6">
        <f>TONT20000JANV!C34+TONT20000JANV!D34+TONT20000FEV!G34</f>
        <v>429403.03102982597</v>
      </c>
      <c r="E34" s="1"/>
      <c r="F34" s="10">
        <f>G34+H34+I34+J34+K34+L34</f>
        <v>25000</v>
      </c>
      <c r="G34" s="7">
        <v>8000</v>
      </c>
      <c r="H34" s="7">
        <v>500</v>
      </c>
      <c r="I34" s="7">
        <v>1000</v>
      </c>
      <c r="J34" s="7">
        <v>2500</v>
      </c>
      <c r="K34" s="7"/>
      <c r="L34" s="7">
        <v>13000</v>
      </c>
      <c r="M34" s="7"/>
      <c r="N34" s="7">
        <f t="shared" si="2"/>
        <v>0</v>
      </c>
    </row>
    <row r="35" spans="1:14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513.52039041924331</v>
      </c>
      <c r="D35" s="6">
        <f>TONT20000JANV!C35+TONT20000JANV!D35+TONT20000FEV!G35</f>
        <v>413501.59033784654</v>
      </c>
      <c r="E35" s="1"/>
      <c r="F35" s="7">
        <f t="shared" si="1"/>
        <v>20000</v>
      </c>
      <c r="G35" s="7">
        <v>3000</v>
      </c>
      <c r="H35" s="7">
        <v>500</v>
      </c>
      <c r="I35" s="7">
        <v>1000</v>
      </c>
      <c r="J35" s="7">
        <v>2500</v>
      </c>
      <c r="K35" s="7"/>
      <c r="L35" s="7">
        <v>13000</v>
      </c>
      <c r="M35" s="7"/>
      <c r="N35" s="7">
        <f t="shared" si="2"/>
        <v>0</v>
      </c>
    </row>
    <row r="36" spans="1:14" x14ac:dyDescent="0.25">
      <c r="A36" s="1" t="s">
        <v>41</v>
      </c>
      <c r="B36" s="1" t="str">
        <f>VLOOKUP(A36,LISTADHERENT!A$5:H$51,2)</f>
        <v>NTEPDIE TUEMAC MZ</v>
      </c>
      <c r="C36" s="6">
        <f t="shared" si="0"/>
        <v>7.5505536824024508</v>
      </c>
      <c r="D36" s="6">
        <f>TONT20000JANV!C36+TONT20000JANV!D36+TONT20000FEV!G36</f>
        <v>6079.9259656578161</v>
      </c>
      <c r="E36" s="1"/>
      <c r="F36" s="7">
        <f t="shared" si="1"/>
        <v>0</v>
      </c>
      <c r="G36" s="7"/>
      <c r="H36" s="7"/>
      <c r="I36" s="7"/>
      <c r="J36" s="7"/>
      <c r="K36" s="7"/>
      <c r="L36" s="7"/>
      <c r="M36" s="7"/>
      <c r="N36" s="7">
        <f t="shared" si="2"/>
        <v>0</v>
      </c>
    </row>
    <row r="37" spans="1:14" x14ac:dyDescent="0.25">
      <c r="A37" s="1" t="s">
        <v>42</v>
      </c>
      <c r="B37" s="1" t="str">
        <f>VLOOKUP(A37,LISTADHERENT!A$5:H$51,2)</f>
        <v>NTOMBOU ADOLPHE</v>
      </c>
      <c r="C37" s="6">
        <f t="shared" si="0"/>
        <v>11.276201194420562</v>
      </c>
      <c r="D37" s="6">
        <f>TONT20000JANV!C37+TONT20000JANV!D37+TONT20000FEV!G37</f>
        <v>9079.9259656578161</v>
      </c>
      <c r="E37" s="1"/>
      <c r="F37" s="7">
        <f t="shared" si="1"/>
        <v>20000</v>
      </c>
      <c r="G37" s="7">
        <v>3000</v>
      </c>
      <c r="H37" s="7">
        <v>500</v>
      </c>
      <c r="I37" s="7">
        <v>1000</v>
      </c>
      <c r="J37" s="7">
        <v>2500</v>
      </c>
      <c r="K37" s="7"/>
      <c r="L37" s="7">
        <v>13000</v>
      </c>
      <c r="M37" s="7"/>
      <c r="N37" s="7">
        <f t="shared" si="2"/>
        <v>0</v>
      </c>
    </row>
    <row r="38" spans="1:14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503.62272851888508</v>
      </c>
      <c r="D38" s="6">
        <f>TONT20000JANV!C38+TONT20000JANV!D38+TONT20000FEV!G38</f>
        <v>405531.70440384664</v>
      </c>
      <c r="E38" s="1"/>
      <c r="F38" s="7">
        <f t="shared" si="1"/>
        <v>20000</v>
      </c>
      <c r="G38" s="7">
        <v>3000</v>
      </c>
      <c r="H38" s="7">
        <v>500</v>
      </c>
      <c r="I38" s="7">
        <v>1000</v>
      </c>
      <c r="J38" s="7">
        <v>2500</v>
      </c>
      <c r="K38" s="7"/>
      <c r="L38" s="7">
        <v>13000</v>
      </c>
      <c r="M38" s="7"/>
      <c r="N38" s="7">
        <f t="shared" si="2"/>
        <v>0</v>
      </c>
    </row>
    <row r="39" spans="1:14" x14ac:dyDescent="0.25">
      <c r="A39" s="1" t="s">
        <v>44</v>
      </c>
      <c r="B39" s="1" t="str">
        <f>VLOOKUP(A39,LISTADHERENT!A$5:H$51,2)</f>
        <v>SEUNOU RICHELOT</v>
      </c>
      <c r="C39" s="6">
        <f t="shared" si="0"/>
        <v>506.767567669171</v>
      </c>
      <c r="D39" s="6">
        <f>TONT20000JANV!C39+TONT20000JANV!D39+TONT20000FEV!G39</f>
        <v>408064.02057718945</v>
      </c>
      <c r="E39" s="1"/>
      <c r="F39" s="7">
        <f t="shared" si="1"/>
        <v>20000</v>
      </c>
      <c r="G39" s="7">
        <v>3000</v>
      </c>
      <c r="H39" s="7">
        <v>500</v>
      </c>
      <c r="I39" s="7">
        <v>1000</v>
      </c>
      <c r="J39" s="7">
        <v>2500</v>
      </c>
      <c r="K39" s="7"/>
      <c r="L39" s="7">
        <v>13000</v>
      </c>
      <c r="M39" s="7"/>
      <c r="N39" s="7">
        <f t="shared" si="2"/>
        <v>0</v>
      </c>
    </row>
    <row r="40" spans="1:14" x14ac:dyDescent="0.25">
      <c r="A40" s="1" t="s">
        <v>45</v>
      </c>
      <c r="B40" s="1" t="str">
        <f>VLOOKUP(A40,LISTADHERENT!A$5:H$51,2)</f>
        <v>SIME ABEL</v>
      </c>
      <c r="C40" s="6">
        <f t="shared" si="0"/>
        <v>11.276201194420562</v>
      </c>
      <c r="D40" s="6">
        <f>TONT20000JANV!C40+TONT20000JANV!D40+TONT20000FEV!G40</f>
        <v>9079.9259656578161</v>
      </c>
      <c r="E40" s="1"/>
      <c r="F40" s="7">
        <f t="shared" si="1"/>
        <v>20000</v>
      </c>
      <c r="G40" s="7">
        <v>3000</v>
      </c>
      <c r="H40" s="7">
        <v>500</v>
      </c>
      <c r="I40" s="7">
        <v>1000</v>
      </c>
      <c r="J40" s="7">
        <v>2500</v>
      </c>
      <c r="K40" s="7"/>
      <c r="L40" s="7">
        <v>13000</v>
      </c>
      <c r="M40" s="7"/>
      <c r="N40" s="7">
        <f t="shared" si="2"/>
        <v>0</v>
      </c>
    </row>
    <row r="41" spans="1:14" x14ac:dyDescent="0.25">
      <c r="A41" s="1" t="s">
        <v>46</v>
      </c>
      <c r="B41" s="1" t="str">
        <f>VLOOKUP(A41,LISTADHERENT!A$5:H$51,2)</f>
        <v>SIME FONGANG ERIC</v>
      </c>
      <c r="C41" s="6">
        <f t="shared" si="0"/>
        <v>504.68531060738462</v>
      </c>
      <c r="D41" s="6">
        <f>TONT20000JANV!C41+TONT20000JANV!D41+TONT20000FEV!G41</f>
        <v>406387.32648167759</v>
      </c>
      <c r="E41" s="1"/>
      <c r="F41" s="7">
        <f t="shared" si="1"/>
        <v>20000</v>
      </c>
      <c r="G41" s="7">
        <v>3000</v>
      </c>
      <c r="H41" s="7">
        <v>500</v>
      </c>
      <c r="I41" s="7">
        <v>1000</v>
      </c>
      <c r="J41" s="7">
        <v>2500</v>
      </c>
      <c r="K41" s="7"/>
      <c r="L41" s="7">
        <v>13000</v>
      </c>
      <c r="M41" s="7"/>
      <c r="N41" s="7">
        <f t="shared" si="2"/>
        <v>0</v>
      </c>
    </row>
    <row r="42" spans="1:14" x14ac:dyDescent="0.25">
      <c r="A42" s="1" t="s">
        <v>47</v>
      </c>
      <c r="B42" s="1" t="str">
        <f>VLOOKUP(A42,LISTADHERENT!A$5:H$51,2)</f>
        <v>SIME MATHIEU</v>
      </c>
      <c r="C42" s="6">
        <f t="shared" si="0"/>
        <v>504.24866761139788</v>
      </c>
      <c r="D42" s="6">
        <f>TONT20000JANV!C42+TONT20000JANV!D42+TONT20000FEV!G42</f>
        <v>406035.72881073994</v>
      </c>
      <c r="E42" s="1"/>
      <c r="F42" s="7">
        <f t="shared" si="1"/>
        <v>20000</v>
      </c>
      <c r="G42" s="7">
        <v>3000</v>
      </c>
      <c r="H42" s="7">
        <v>500</v>
      </c>
      <c r="I42" s="7">
        <v>1000</v>
      </c>
      <c r="J42" s="7">
        <v>2500</v>
      </c>
      <c r="K42" s="7"/>
      <c r="L42" s="7">
        <v>13000</v>
      </c>
      <c r="M42" s="7"/>
      <c r="N42" s="7">
        <f t="shared" si="2"/>
        <v>0</v>
      </c>
    </row>
    <row r="43" spans="1:14" x14ac:dyDescent="0.25">
      <c r="A43" s="1" t="s">
        <v>48</v>
      </c>
      <c r="B43" s="1" t="str">
        <f>VLOOKUP(A43,LISTADHERENT!A$5:H$51,2)</f>
        <v>SIME PIERRE</v>
      </c>
      <c r="C43" s="6">
        <f t="shared" si="0"/>
        <v>1798.3310483444188</v>
      </c>
      <c r="D43" s="6">
        <f>TONT20000JANV!C43+TONT20000JANV!D43+TONT20000FEV!G43</f>
        <v>1448068.5914677135</v>
      </c>
      <c r="E43" s="1"/>
      <c r="F43" s="7">
        <f t="shared" si="1"/>
        <v>20000</v>
      </c>
      <c r="G43" s="7">
        <v>3000</v>
      </c>
      <c r="H43" s="7">
        <v>500</v>
      </c>
      <c r="I43" s="7">
        <v>1000</v>
      </c>
      <c r="J43" s="7">
        <v>2500</v>
      </c>
      <c r="K43" s="7"/>
      <c r="L43" s="7">
        <v>13000</v>
      </c>
      <c r="M43" s="7"/>
      <c r="N43" s="7">
        <f t="shared" si="2"/>
        <v>0</v>
      </c>
    </row>
    <row r="44" spans="1:14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11.276201194420562</v>
      </c>
      <c r="D44" s="6">
        <f>TONT20000JANV!C44+TONT20000JANV!D44+TONT20000FEV!G44</f>
        <v>9079.9259656578161</v>
      </c>
      <c r="E44" s="1"/>
      <c r="F44" s="7">
        <f t="shared" si="1"/>
        <v>20000</v>
      </c>
      <c r="G44" s="7">
        <v>3000</v>
      </c>
      <c r="H44" s="7">
        <v>500</v>
      </c>
      <c r="I44" s="7">
        <v>1000</v>
      </c>
      <c r="J44" s="7">
        <v>2500</v>
      </c>
      <c r="K44" s="7"/>
      <c r="L44" s="7">
        <v>13000</v>
      </c>
      <c r="M44" s="7"/>
      <c r="N44" s="7">
        <f t="shared" si="2"/>
        <v>0</v>
      </c>
    </row>
    <row r="45" spans="1:14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11.276201194420562</v>
      </c>
      <c r="D45" s="6">
        <f>TONT20000JANV!C45+TONT20000JANV!D45+TONT20000FEV!G45</f>
        <v>9079.9259656578161</v>
      </c>
      <c r="E45" s="1"/>
      <c r="F45" s="7">
        <f t="shared" si="1"/>
        <v>20000</v>
      </c>
      <c r="G45" s="7">
        <v>3000</v>
      </c>
      <c r="H45" s="7">
        <v>500</v>
      </c>
      <c r="I45" s="7">
        <v>1000</v>
      </c>
      <c r="J45" s="7">
        <v>2500</v>
      </c>
      <c r="K45" s="7"/>
      <c r="L45" s="7">
        <v>13000</v>
      </c>
      <c r="M45" s="7"/>
      <c r="N45" s="7">
        <f t="shared" si="2"/>
        <v>0</v>
      </c>
    </row>
    <row r="46" spans="1:14" x14ac:dyDescent="0.25">
      <c r="A46" s="1" t="s">
        <v>51</v>
      </c>
      <c r="B46" s="1" t="str">
        <f>VLOOKUP(A46,LISTADHERENT!A$5:H$51,2)</f>
        <v>TCHOUAMOU MATHIEU</v>
      </c>
      <c r="C46" s="6">
        <f t="shared" si="0"/>
        <v>507.78345672052745</v>
      </c>
      <c r="D46" s="6">
        <f>TONT20000JANV!C46+TONT20000JANV!D46+TONT20000FEV!G46</f>
        <v>408882.04406015133</v>
      </c>
      <c r="E46" s="1"/>
      <c r="F46" s="7">
        <f t="shared" si="1"/>
        <v>20000</v>
      </c>
      <c r="G46" s="7">
        <v>3000</v>
      </c>
      <c r="H46" s="7">
        <v>500</v>
      </c>
      <c r="I46" s="7">
        <v>1000</v>
      </c>
      <c r="J46" s="7">
        <v>2500</v>
      </c>
      <c r="K46" s="7"/>
      <c r="L46" s="7">
        <v>13000</v>
      </c>
      <c r="M46" s="7"/>
      <c r="N46" s="7">
        <f t="shared" si="2"/>
        <v>0</v>
      </c>
    </row>
    <row r="47" spans="1:14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353.24511117597388</v>
      </c>
      <c r="D47" s="6">
        <f>TONT20000JANV!C47+TONT20000JANV!D47+TONT20000FEV!G47</f>
        <v>284443.26257635781</v>
      </c>
      <c r="E47" s="1"/>
      <c r="F47" s="7">
        <f t="shared" si="1"/>
        <v>23000</v>
      </c>
      <c r="G47" s="7">
        <v>6000</v>
      </c>
      <c r="H47" s="7">
        <v>500</v>
      </c>
      <c r="I47" s="7">
        <v>1000</v>
      </c>
      <c r="J47" s="7">
        <v>2500</v>
      </c>
      <c r="K47" s="7"/>
      <c r="L47" s="7">
        <v>13000</v>
      </c>
      <c r="M47" s="7">
        <v>500000</v>
      </c>
      <c r="N47" s="7">
        <f t="shared" si="2"/>
        <v>15000</v>
      </c>
    </row>
    <row r="48" spans="1:14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7.5115694425389323</v>
      </c>
      <c r="D48" s="6">
        <f>TONT20000JANV!C48+TONT20000JANV!D48+TONT20000FEV!G48</f>
        <v>6048.5347191125402</v>
      </c>
      <c r="E48" s="1"/>
      <c r="F48" s="7">
        <f t="shared" si="1"/>
        <v>20000</v>
      </c>
      <c r="G48" s="7">
        <v>3000</v>
      </c>
      <c r="H48" s="7">
        <v>500</v>
      </c>
      <c r="I48" s="7">
        <v>1000</v>
      </c>
      <c r="J48" s="7">
        <v>2500</v>
      </c>
      <c r="K48" s="7"/>
      <c r="L48" s="7">
        <v>13000</v>
      </c>
      <c r="M48" s="7"/>
      <c r="N48" s="7">
        <f t="shared" si="2"/>
        <v>0</v>
      </c>
    </row>
    <row r="49" spans="1:17" x14ac:dyDescent="0.25">
      <c r="A49" s="1" t="s">
        <v>54</v>
      </c>
      <c r="B49" s="1" t="str">
        <f>VLOOKUP(A49,LISTADHERENT!A$5:H$51,2)</f>
        <v>TIEYAM ERNEST</v>
      </c>
      <c r="C49" s="6">
        <f t="shared" si="0"/>
        <v>504.46067923950699</v>
      </c>
      <c r="D49" s="6">
        <f>TONT20000JANV!C49+TONT20000JANV!D49+TONT20000FEV!G49</f>
        <v>406206.44675501023</v>
      </c>
      <c r="E49" s="1"/>
      <c r="F49" s="7">
        <f t="shared" si="1"/>
        <v>20000</v>
      </c>
      <c r="G49" s="7">
        <v>3000</v>
      </c>
      <c r="H49" s="7">
        <v>500</v>
      </c>
      <c r="I49" s="7">
        <v>1000</v>
      </c>
      <c r="J49" s="7">
        <v>2500</v>
      </c>
      <c r="K49" s="7"/>
      <c r="L49" s="7">
        <v>13000</v>
      </c>
      <c r="M49" s="7"/>
      <c r="N49" s="7">
        <f t="shared" si="2"/>
        <v>0</v>
      </c>
    </row>
    <row r="50" spans="1:17" x14ac:dyDescent="0.25">
      <c r="A50" s="1" t="s">
        <v>55</v>
      </c>
      <c r="B50" s="1" t="str">
        <f>VLOOKUP(A50,LISTADHERENT!A$5:H$51,2)</f>
        <v>TUGMA PIERRE LOTI</v>
      </c>
      <c r="C50" s="6">
        <f t="shared" si="0"/>
        <v>525.70222521768255</v>
      </c>
      <c r="D50" s="6">
        <f>TONT20000JANV!C50+TONT20000JANV!D50+TONT20000FEV!G50</f>
        <v>423310.75888571102</v>
      </c>
      <c r="E50" s="1"/>
      <c r="F50" s="7">
        <f t="shared" si="1"/>
        <v>20000</v>
      </c>
      <c r="G50" s="7">
        <v>3000</v>
      </c>
      <c r="H50" s="7">
        <v>500</v>
      </c>
      <c r="I50" s="7">
        <v>1000</v>
      </c>
      <c r="J50" s="7">
        <v>2500</v>
      </c>
      <c r="K50" s="7"/>
      <c r="L50" s="7">
        <v>13000</v>
      </c>
      <c r="M50" s="7"/>
      <c r="N50" s="7">
        <f t="shared" si="2"/>
        <v>0</v>
      </c>
    </row>
    <row r="51" spans="1:17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1035.0361842443938</v>
      </c>
      <c r="D51" s="6">
        <f>TONT20000JANV!C51+TONT20000JANV!D51+TONT20000FEV!G51</f>
        <v>833441.31260855775</v>
      </c>
      <c r="E51" s="1"/>
      <c r="F51" s="7">
        <f t="shared" si="1"/>
        <v>20000</v>
      </c>
      <c r="G51" s="7">
        <v>3000</v>
      </c>
      <c r="H51" s="7">
        <v>500</v>
      </c>
      <c r="I51" s="7">
        <v>1000</v>
      </c>
      <c r="J51" s="7">
        <v>2500</v>
      </c>
      <c r="K51" s="7"/>
      <c r="L51" s="7">
        <v>13000</v>
      </c>
      <c r="M51" s="7"/>
      <c r="N51" s="7">
        <f t="shared" si="2"/>
        <v>0</v>
      </c>
    </row>
    <row r="52" spans="1:17" x14ac:dyDescent="0.25">
      <c r="A52" s="1" t="s">
        <v>178</v>
      </c>
      <c r="B52" s="1" t="str">
        <f>VLOOKUP(A52,LISTADHERENT!A$5:H$51,2)</f>
        <v>YOUMBI EMMANUEL</v>
      </c>
      <c r="C52" s="6">
        <f t="shared" si="0"/>
        <v>1769.5580416724606</v>
      </c>
      <c r="D52" s="6">
        <f>TONT20000JANV!C52+TONT20000JANV!D52+TONT20000FEV!G52</f>
        <v>1424899.7276024581</v>
      </c>
      <c r="E52" s="1"/>
      <c r="F52" s="7">
        <f t="shared" si="1"/>
        <v>20000</v>
      </c>
      <c r="G52" s="7">
        <v>3000</v>
      </c>
      <c r="H52" s="7">
        <v>500</v>
      </c>
      <c r="I52" s="7">
        <v>1000</v>
      </c>
      <c r="J52" s="7">
        <v>2500</v>
      </c>
      <c r="L52" s="7">
        <v>13000</v>
      </c>
      <c r="M52" s="7"/>
      <c r="N52" s="7">
        <f t="shared" si="2"/>
        <v>0</v>
      </c>
    </row>
    <row r="53" spans="1:17" x14ac:dyDescent="0.25">
      <c r="A53" s="1"/>
      <c r="B53" s="1"/>
      <c r="C53" s="1"/>
      <c r="D53" s="1"/>
      <c r="E53" s="1"/>
      <c r="F53" s="7"/>
      <c r="G53" s="7"/>
      <c r="H53" s="7"/>
      <c r="I53" s="7"/>
      <c r="J53" s="7"/>
      <c r="L53" s="7"/>
      <c r="M53" s="7"/>
      <c r="N53" s="7"/>
    </row>
    <row r="54" spans="1:17" ht="18" x14ac:dyDescent="0.25">
      <c r="A54" s="1"/>
      <c r="B54" s="1" t="s">
        <v>180</v>
      </c>
      <c r="C54" s="1"/>
      <c r="D54" s="1"/>
      <c r="E54" s="1"/>
      <c r="H54" s="4"/>
      <c r="L54" s="7">
        <v>48000</v>
      </c>
      <c r="M54" s="7"/>
      <c r="N54" s="7">
        <f t="shared" si="2"/>
        <v>0</v>
      </c>
      <c r="O54" s="9"/>
    </row>
    <row r="55" spans="1:17" ht="18" x14ac:dyDescent="0.25">
      <c r="A55" s="1"/>
      <c r="B55" s="1"/>
      <c r="C55" s="1"/>
      <c r="D55" s="1"/>
      <c r="E55" s="1"/>
      <c r="H55" s="4"/>
      <c r="O55" s="9"/>
    </row>
    <row r="56" spans="1:17" ht="18" x14ac:dyDescent="0.25">
      <c r="A56" s="8" t="s">
        <v>56</v>
      </c>
      <c r="B56" s="8"/>
      <c r="C56" s="9">
        <f>SUM(C5:C52)</f>
        <v>22500</v>
      </c>
      <c r="D56" s="9">
        <f t="shared" ref="D56:Q56" si="3">SUM(D5:D52)</f>
        <v>18117656</v>
      </c>
      <c r="E56" s="9">
        <f t="shared" si="3"/>
        <v>0</v>
      </c>
      <c r="F56" s="9">
        <f t="shared" si="3"/>
        <v>904000</v>
      </c>
      <c r="G56" s="9">
        <f t="shared" si="3"/>
        <v>156000</v>
      </c>
      <c r="H56" s="9">
        <f t="shared" si="3"/>
        <v>22000</v>
      </c>
      <c r="I56" s="9">
        <f t="shared" si="3"/>
        <v>44000</v>
      </c>
      <c r="J56" s="9">
        <f t="shared" si="3"/>
        <v>110000</v>
      </c>
      <c r="K56" s="9">
        <f t="shared" si="3"/>
        <v>0</v>
      </c>
      <c r="L56" s="9">
        <f t="shared" si="3"/>
        <v>572000</v>
      </c>
      <c r="M56" s="9">
        <f t="shared" si="3"/>
        <v>750000</v>
      </c>
      <c r="N56" s="9">
        <f t="shared" si="3"/>
        <v>22500</v>
      </c>
      <c r="O56" s="9">
        <f t="shared" si="3"/>
        <v>0</v>
      </c>
      <c r="P56" s="9">
        <f t="shared" si="3"/>
        <v>0</v>
      </c>
      <c r="Q56" s="9">
        <f t="shared" si="3"/>
        <v>0</v>
      </c>
    </row>
  </sheetData>
  <autoFilter ref="A4:O51"/>
  <dataValidations disablePrompts="1" count="1">
    <dataValidation type="list" allowBlank="1" showInputMessage="1" showErrorMessage="1" promptTitle="Saissisez le mode de VERSEMENT" sqref="H6:H53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pane xSplit="2" ySplit="4" topLeftCell="C23" activePane="bottomRight" state="frozen"/>
      <selection activeCell="B22" sqref="B22"/>
      <selection pane="topRight" activeCell="B22" sqref="B22"/>
      <selection pane="bottomLeft" activeCell="B22" sqref="B22"/>
      <selection pane="bottomRight" activeCell="A33" sqref="A33:XFD3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5" width="29.5703125" customWidth="1"/>
    <col min="6" max="6" width="15" style="2" bestFit="1" customWidth="1"/>
    <col min="7" max="7" width="12.5703125" bestFit="1" customWidth="1"/>
    <col min="8" max="8" width="17.5703125" style="3" bestFit="1" customWidth="1"/>
    <col min="9" max="9" width="15.7109375" style="2" customWidth="1"/>
    <col min="10" max="10" width="14.7109375" style="2" customWidth="1"/>
    <col min="11" max="11" width="18.140625" style="2" bestFit="1" customWidth="1"/>
    <col min="12" max="12" width="18.140625" customWidth="1"/>
    <col min="13" max="13" width="15" bestFit="1" customWidth="1"/>
    <col min="14" max="14" width="12.5703125" bestFit="1" customWidth="1"/>
    <col min="15" max="15" width="18.140625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</row>
    <row r="2" spans="1:18" x14ac:dyDescent="0.25">
      <c r="A2" s="1" t="s">
        <v>2</v>
      </c>
      <c r="B2" s="1" t="s">
        <v>3</v>
      </c>
      <c r="C2" s="1"/>
      <c r="D2" s="1"/>
      <c r="E2" s="1"/>
    </row>
    <row r="3" spans="1:18" x14ac:dyDescent="0.25">
      <c r="A3" s="1" t="s">
        <v>4</v>
      </c>
      <c r="B3" s="1" t="s">
        <v>5</v>
      </c>
      <c r="C3" s="1"/>
      <c r="D3" s="1"/>
      <c r="E3" s="1"/>
    </row>
    <row r="4" spans="1:18" ht="29.25" x14ac:dyDescent="0.25">
      <c r="A4" s="1" t="s">
        <v>6</v>
      </c>
      <c r="B4" s="1" t="s">
        <v>7</v>
      </c>
      <c r="C4" s="5" t="s">
        <v>186</v>
      </c>
      <c r="D4" s="5" t="s">
        <v>187</v>
      </c>
      <c r="E4" s="1" t="s">
        <v>184</v>
      </c>
      <c r="F4" s="5" t="s">
        <v>65</v>
      </c>
      <c r="G4" s="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8</v>
      </c>
      <c r="P4" s="5" t="s">
        <v>182</v>
      </c>
      <c r="Q4" s="5" t="s">
        <v>181</v>
      </c>
    </row>
    <row r="5" spans="1:18" x14ac:dyDescent="0.25">
      <c r="A5" s="1" t="s">
        <v>185</v>
      </c>
      <c r="B5" s="1" t="str">
        <f>VLOOKUP(A5,LISTADHERENT!A$5:H$52,2,0)</f>
        <v>ASELBY</v>
      </c>
      <c r="C5" s="6">
        <f>$N$56/$D$56*D5</f>
        <v>1043.2007030282837</v>
      </c>
      <c r="D5" s="6">
        <f>TONT20000FEV!C5+TONT20000FEV!D5+TONT20000MARS!G5</f>
        <v>323693.51678154821</v>
      </c>
      <c r="E5" s="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</row>
    <row r="6" spans="1:18" x14ac:dyDescent="0.25">
      <c r="A6" s="1" t="s">
        <v>11</v>
      </c>
      <c r="B6" s="1" t="str">
        <f>VLOOKUP(A6,LISTADHERENT!A$5:H$52,2,0)</f>
        <v>BAKOP ACHILLE</v>
      </c>
      <c r="C6" s="6">
        <f t="shared" ref="C6:C52" si="0">$N$56/$D$56*D6</f>
        <v>1427.7464405489461</v>
      </c>
      <c r="D6" s="6">
        <f>TONT20000FEV!C6+TONT20000FEV!D6+TONT20000MARS!G6</f>
        <v>443013.76050845691</v>
      </c>
      <c r="E6" s="1"/>
      <c r="F6" s="7">
        <f t="shared" ref="F6:F52" si="1">G6+H6+I6+J6+K6+L6</f>
        <v>20000</v>
      </c>
      <c r="G6" s="7">
        <v>3000</v>
      </c>
      <c r="H6" s="7">
        <v>500</v>
      </c>
      <c r="I6" s="7">
        <v>1000</v>
      </c>
      <c r="J6" s="7">
        <v>2500</v>
      </c>
      <c r="K6" s="7"/>
      <c r="L6" s="7">
        <v>13000</v>
      </c>
      <c r="M6" s="7"/>
      <c r="N6" s="7">
        <f>IF(M6&lt;=500000,(M6*1*3/100),(M6*12/100))</f>
        <v>0</v>
      </c>
    </row>
    <row r="7" spans="1:18" x14ac:dyDescent="0.25">
      <c r="A7" s="1" t="s">
        <v>12</v>
      </c>
      <c r="B7" s="1" t="str">
        <f>VLOOKUP(A7,LISTADHERENT!A$5:H$51,2)</f>
        <v>BOUTCHOUANG WILLIAM</v>
      </c>
      <c r="C7" s="6">
        <f t="shared" si="0"/>
        <v>1323.3689875674552</v>
      </c>
      <c r="D7" s="6">
        <f>TONT20000FEV!C7+TONT20000FEV!D7+TONT20000MARS!G7</f>
        <v>410626.60362656263</v>
      </c>
      <c r="E7" s="1"/>
      <c r="F7" s="7">
        <f t="shared" si="1"/>
        <v>20000</v>
      </c>
      <c r="G7" s="7">
        <v>3000</v>
      </c>
      <c r="H7" s="7">
        <v>500</v>
      </c>
      <c r="I7" s="7">
        <v>1000</v>
      </c>
      <c r="J7" s="7">
        <v>2500</v>
      </c>
      <c r="K7" s="7"/>
      <c r="L7" s="7">
        <v>13000</v>
      </c>
      <c r="M7" s="7"/>
      <c r="N7" s="7">
        <f t="shared" ref="N7:N54" si="2">IF(M7&lt;=500000,(M7*1*3/100),(M7*12/100))</f>
        <v>0</v>
      </c>
    </row>
    <row r="8" spans="1:18" x14ac:dyDescent="0.25">
      <c r="A8" s="1" t="s">
        <v>13</v>
      </c>
      <c r="B8" s="1" t="str">
        <f>VLOOKUP(A8,LISTADHERENT!A$5:H$51,2)</f>
        <v>CHINGUE FABRICE</v>
      </c>
      <c r="C8" s="6">
        <f t="shared" si="0"/>
        <v>1323.8214909763346</v>
      </c>
      <c r="D8" s="6">
        <f>TONT20000FEV!C8+TONT20000FEV!D8+TONT20000MARS!G8</f>
        <v>410767.0103760506</v>
      </c>
      <c r="E8" s="1"/>
      <c r="F8" s="7">
        <f t="shared" si="1"/>
        <v>20000</v>
      </c>
      <c r="G8" s="7">
        <v>3000</v>
      </c>
      <c r="H8" s="7">
        <v>500</v>
      </c>
      <c r="I8" s="7">
        <v>1000</v>
      </c>
      <c r="J8" s="7">
        <v>2500</v>
      </c>
      <c r="K8" s="7"/>
      <c r="L8" s="7">
        <v>13000</v>
      </c>
      <c r="N8" s="7">
        <f t="shared" si="2"/>
        <v>0</v>
      </c>
    </row>
    <row r="9" spans="1:18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1344.5251614376671</v>
      </c>
      <c r="D9" s="6">
        <f>TONT20000FEV!C9+TONT20000FEV!D9+TONT20000MARS!G9</f>
        <v>417191.12788523262</v>
      </c>
      <c r="E9" s="1"/>
      <c r="F9" s="7">
        <f t="shared" si="1"/>
        <v>20000</v>
      </c>
      <c r="G9" s="7">
        <v>3000</v>
      </c>
      <c r="H9" s="7">
        <v>500</v>
      </c>
      <c r="I9" s="7">
        <v>1000</v>
      </c>
      <c r="J9" s="7">
        <v>2500</v>
      </c>
      <c r="K9" s="7"/>
      <c r="L9" s="7">
        <v>13000</v>
      </c>
      <c r="N9" s="7">
        <f t="shared" si="2"/>
        <v>0</v>
      </c>
    </row>
    <row r="10" spans="1:18" x14ac:dyDescent="0.25">
      <c r="A10" s="1" t="s">
        <v>15</v>
      </c>
      <c r="B10" s="1" t="str">
        <f>VLOOKUP(A10,LISTADHERENT!A$5:H$51,2)</f>
        <v>DJOUKWE GUY</v>
      </c>
      <c r="C10" s="6">
        <f t="shared" si="0"/>
        <v>1353.5391605029508</v>
      </c>
      <c r="D10" s="6">
        <f>TONT20000FEV!C10+TONT20000FEV!D10+TONT20000MARS!G10</f>
        <v>419988.07103264169</v>
      </c>
      <c r="E10" s="1"/>
      <c r="F10" s="7">
        <f t="shared" si="1"/>
        <v>20000</v>
      </c>
      <c r="G10" s="7">
        <v>3000</v>
      </c>
      <c r="H10" s="7">
        <v>500</v>
      </c>
      <c r="I10" s="7">
        <v>1000</v>
      </c>
      <c r="J10" s="7">
        <v>2500</v>
      </c>
      <c r="K10" s="7"/>
      <c r="L10" s="7">
        <v>13000</v>
      </c>
      <c r="N10" s="7">
        <f t="shared" si="2"/>
        <v>0</v>
      </c>
    </row>
    <row r="11" spans="1:18" x14ac:dyDescent="0.25">
      <c r="A11" s="1" t="s">
        <v>16</v>
      </c>
      <c r="B11" s="1" t="str">
        <f>VLOOKUP(A11,LISTADHERENT!A$5:H$51,2)</f>
        <v>DJOSSEU JOSUE</v>
      </c>
      <c r="C11" s="6">
        <f t="shared" si="0"/>
        <v>16.395051046351256</v>
      </c>
      <c r="D11" s="6">
        <f>TONT20000FEV!C11+TONT20000FEV!D11+TONT20000MARS!G11</f>
        <v>5087.2010684051029</v>
      </c>
      <c r="E11" s="1"/>
      <c r="F11" s="7">
        <f t="shared" si="1"/>
        <v>0</v>
      </c>
      <c r="G11" s="7"/>
      <c r="H11" s="7"/>
      <c r="I11" s="7"/>
      <c r="J11" s="7"/>
      <c r="K11" s="7"/>
      <c r="L11" s="7"/>
      <c r="N11" s="7">
        <f t="shared" si="2"/>
        <v>0</v>
      </c>
    </row>
    <row r="12" spans="1:18" x14ac:dyDescent="0.25">
      <c r="A12" s="1" t="s">
        <v>17</v>
      </c>
      <c r="B12" s="1" t="str">
        <f>VLOOKUP(A12,LISTADHERENT!A$5:H$51,2)</f>
        <v>DJOUNKEP SAMUEL</v>
      </c>
      <c r="C12" s="6">
        <f t="shared" si="0"/>
        <v>4614.7493604141828</v>
      </c>
      <c r="D12" s="6">
        <f>TONT20000FEV!C12+TONT20000FEV!D12+TONT20000MARS!G12</f>
        <v>1431905.1407860944</v>
      </c>
      <c r="E12" s="1"/>
      <c r="F12" s="7">
        <f t="shared" si="1"/>
        <v>20000</v>
      </c>
      <c r="G12" s="7">
        <v>3000</v>
      </c>
      <c r="H12" s="7">
        <v>500</v>
      </c>
      <c r="I12" s="7">
        <v>1000</v>
      </c>
      <c r="J12" s="7">
        <v>2500</v>
      </c>
      <c r="K12" s="7"/>
      <c r="L12" s="7">
        <v>13000</v>
      </c>
      <c r="N12" s="7">
        <f t="shared" si="2"/>
        <v>0</v>
      </c>
    </row>
    <row r="13" spans="1:18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1085.4112166807133</v>
      </c>
      <c r="D13" s="6">
        <f>TONT20000FEV!C13+TONT20000FEV!D13+TONT20000MARS!G13</f>
        <v>336790.96731973102</v>
      </c>
      <c r="E13" s="1"/>
      <c r="F13" s="7">
        <f t="shared" si="1"/>
        <v>20000</v>
      </c>
      <c r="G13" s="7">
        <v>3000</v>
      </c>
      <c r="H13" s="7">
        <v>500</v>
      </c>
      <c r="I13" s="7">
        <v>1000</v>
      </c>
      <c r="J13" s="7">
        <v>2500</v>
      </c>
      <c r="K13" s="7"/>
      <c r="L13" s="7">
        <v>13000</v>
      </c>
      <c r="N13" s="7">
        <f t="shared" si="2"/>
        <v>0</v>
      </c>
    </row>
    <row r="14" spans="1:18" x14ac:dyDescent="0.25">
      <c r="A14" s="1" t="s">
        <v>19</v>
      </c>
      <c r="B14" s="1" t="str">
        <f>VLOOKUP(A14,LISTADHERENT!A$5:H$51,2)</f>
        <v>DONHOU DAVID</v>
      </c>
      <c r="C14" s="6">
        <f t="shared" si="0"/>
        <v>1464.4647968723543</v>
      </c>
      <c r="D14" s="6">
        <f>TONT20000FEV!C14+TONT20000FEV!D14+TONT20000MARS!G14</f>
        <v>454407.05602125695</v>
      </c>
      <c r="E14" s="1"/>
      <c r="F14" s="7">
        <f t="shared" si="1"/>
        <v>20000</v>
      </c>
      <c r="G14" s="7">
        <v>3000</v>
      </c>
      <c r="H14" s="7">
        <v>500</v>
      </c>
      <c r="I14" s="7">
        <v>1000</v>
      </c>
      <c r="J14" s="7">
        <v>2500</v>
      </c>
      <c r="K14" s="7"/>
      <c r="L14" s="7">
        <v>13000</v>
      </c>
      <c r="N14" s="7">
        <f t="shared" si="2"/>
        <v>0</v>
      </c>
    </row>
    <row r="15" spans="1:18" x14ac:dyDescent="0.25">
      <c r="A15" s="1" t="s">
        <v>20</v>
      </c>
      <c r="B15" s="1" t="str">
        <f>VLOOKUP(A15,LISTADHERENT!A$5:H$51,2)</f>
        <v>FOTSO THOMAS</v>
      </c>
      <c r="C15" s="6">
        <f t="shared" si="0"/>
        <v>1328.6613100452178</v>
      </c>
      <c r="D15" s="6">
        <f>TONT20000FEV!C15+TONT20000FEV!D15+TONT20000MARS!G15</f>
        <v>412268.75213144388</v>
      </c>
      <c r="E15" s="1"/>
      <c r="F15" s="7">
        <f t="shared" si="1"/>
        <v>20000</v>
      </c>
      <c r="G15" s="7">
        <v>3000</v>
      </c>
      <c r="H15" s="7">
        <v>500</v>
      </c>
      <c r="I15" s="7">
        <v>1000</v>
      </c>
      <c r="J15" s="7">
        <v>2500</v>
      </c>
      <c r="K15" s="7"/>
      <c r="L15" s="7">
        <v>13000</v>
      </c>
      <c r="N15" s="7">
        <f t="shared" si="2"/>
        <v>0</v>
      </c>
    </row>
    <row r="16" spans="1:18" x14ac:dyDescent="0.25">
      <c r="A16" s="1" t="s">
        <v>21</v>
      </c>
      <c r="B16" s="1" t="str">
        <f>VLOOKUP(A16,LISTADHERENT!A$5:H$51,2)</f>
        <v>HENGUE PAUL OMER</v>
      </c>
      <c r="C16" s="6">
        <f t="shared" si="0"/>
        <v>1317.781554170859</v>
      </c>
      <c r="D16" s="6">
        <f>TONT20000FEV!C16+TONT20000FEV!D16+TONT20000MARS!G16</f>
        <v>408892.88550245023</v>
      </c>
      <c r="E16" s="1"/>
      <c r="F16" s="7">
        <f t="shared" si="1"/>
        <v>20000</v>
      </c>
      <c r="G16" s="7">
        <v>3000</v>
      </c>
      <c r="H16" s="7">
        <v>500</v>
      </c>
      <c r="I16" s="7">
        <v>1000</v>
      </c>
      <c r="J16" s="7">
        <v>2500</v>
      </c>
      <c r="K16" s="7"/>
      <c r="L16" s="7">
        <v>13000</v>
      </c>
      <c r="N16" s="7">
        <f t="shared" si="2"/>
        <v>0</v>
      </c>
    </row>
    <row r="17" spans="1:15" x14ac:dyDescent="0.25">
      <c r="A17" s="1" t="s">
        <v>22</v>
      </c>
      <c r="B17" s="1" t="str">
        <f>VLOOKUP(A17,LISTADHERENT!A$5:H$51,2)</f>
        <v>HODIEP JULES</v>
      </c>
      <c r="C17" s="6">
        <f t="shared" si="0"/>
        <v>38.967572555461153</v>
      </c>
      <c r="D17" s="6">
        <f>TONT20000FEV!C17+TONT20000FEV!D17+TONT20000MARS!G17</f>
        <v>12091.202166852237</v>
      </c>
      <c r="E17" s="1"/>
      <c r="F17" s="7">
        <f t="shared" si="1"/>
        <v>20000</v>
      </c>
      <c r="G17" s="7">
        <v>3000</v>
      </c>
      <c r="H17" s="7">
        <v>500</v>
      </c>
      <c r="I17" s="7">
        <v>1000</v>
      </c>
      <c r="J17" s="7">
        <v>2500</v>
      </c>
      <c r="K17" s="7"/>
      <c r="L17" s="7">
        <v>13000</v>
      </c>
      <c r="N17" s="7">
        <f t="shared" si="2"/>
        <v>0</v>
      </c>
    </row>
    <row r="18" spans="1:15" x14ac:dyDescent="0.25">
      <c r="A18" s="1" t="s">
        <v>23</v>
      </c>
      <c r="B18" s="1" t="str">
        <f>VLOOKUP(A18,LISTADHERENT!A$5:H$51,2)</f>
        <v>HOTCHO BENJAMIN</v>
      </c>
      <c r="C18" s="6">
        <f t="shared" si="0"/>
        <v>1346.3843602263232</v>
      </c>
      <c r="D18" s="6">
        <f>TONT20000FEV!C18+TONT20000FEV!D18+TONT20000MARS!G18</f>
        <v>417768.01648638974</v>
      </c>
      <c r="E18" s="1"/>
      <c r="F18" s="7">
        <f t="shared" si="1"/>
        <v>20000</v>
      </c>
      <c r="G18" s="7">
        <v>3000</v>
      </c>
      <c r="H18" s="7">
        <v>500</v>
      </c>
      <c r="I18" s="7">
        <v>1000</v>
      </c>
      <c r="J18" s="7">
        <v>2500</v>
      </c>
      <c r="K18" s="7"/>
      <c r="L18" s="7">
        <v>13000</v>
      </c>
      <c r="N18" s="7">
        <f t="shared" si="2"/>
        <v>0</v>
      </c>
    </row>
    <row r="19" spans="1:15" x14ac:dyDescent="0.25">
      <c r="A19" s="1" t="s">
        <v>24</v>
      </c>
      <c r="B19" s="1" t="str">
        <f>VLOOKUP(A19,LISTADHERENT!A$5:H$51,2)</f>
        <v>KEPHE DAVID</v>
      </c>
      <c r="C19" s="6">
        <f t="shared" si="0"/>
        <v>80.922508183074001</v>
      </c>
      <c r="D19" s="6">
        <f>TONT20000FEV!C19+TONT20000FEV!D19+TONT20000MARS!G19</f>
        <v>25109.349700900893</v>
      </c>
      <c r="E19" s="1"/>
      <c r="F19" s="7">
        <f t="shared" si="1"/>
        <v>20000</v>
      </c>
      <c r="G19" s="7">
        <v>3000</v>
      </c>
      <c r="H19" s="7">
        <v>500</v>
      </c>
      <c r="I19" s="7">
        <v>1000</v>
      </c>
      <c r="J19" s="7">
        <v>2500</v>
      </c>
      <c r="K19" s="7"/>
      <c r="L19" s="7">
        <v>13000</v>
      </c>
      <c r="N19" s="7">
        <f t="shared" si="2"/>
        <v>0</v>
      </c>
    </row>
    <row r="20" spans="1:15" x14ac:dyDescent="0.25">
      <c r="A20" s="1" t="s">
        <v>25</v>
      </c>
      <c r="B20" s="1" t="str">
        <f>VLOOKUP(A20,LISTADHERENT!A$5:H$51,2)</f>
        <v>KEPSEU FRANCIS</v>
      </c>
      <c r="C20" s="6">
        <f t="shared" si="0"/>
        <v>2421.1067339040774</v>
      </c>
      <c r="D20" s="6">
        <f>TONT20000FEV!C20+TONT20000FEV!D20+TONT20000MARS!G20</f>
        <v>751242.35530701221</v>
      </c>
      <c r="E20" s="1"/>
      <c r="F20" s="7">
        <f t="shared" si="1"/>
        <v>163000</v>
      </c>
      <c r="G20" s="7">
        <v>146000</v>
      </c>
      <c r="H20" s="7">
        <v>500</v>
      </c>
      <c r="I20" s="7">
        <v>1000</v>
      </c>
      <c r="J20" s="7">
        <v>2500</v>
      </c>
      <c r="K20" s="7"/>
      <c r="L20" s="7">
        <v>13000</v>
      </c>
      <c r="N20" s="7">
        <f t="shared" si="2"/>
        <v>0</v>
      </c>
    </row>
    <row r="21" spans="1:15" x14ac:dyDescent="0.25">
      <c r="A21" s="1" t="s">
        <v>26</v>
      </c>
      <c r="B21" s="1" t="str">
        <f>VLOOKUP(A21,LISTADHERENT!A$5:H$51,2)</f>
        <v>KOUAMOU EMMANUEL</v>
      </c>
      <c r="C21" s="6">
        <f t="shared" si="0"/>
        <v>1326.7102989707016</v>
      </c>
      <c r="D21" s="6">
        <f>TONT20000FEV!C21+TONT20000FEV!D21+TONT20000MARS!G21</f>
        <v>411663.37520430359</v>
      </c>
      <c r="E21" s="1"/>
      <c r="F21" s="7">
        <f t="shared" si="1"/>
        <v>20000</v>
      </c>
      <c r="G21" s="7">
        <v>3000</v>
      </c>
      <c r="H21" s="7">
        <v>500</v>
      </c>
      <c r="I21" s="7">
        <v>1000</v>
      </c>
      <c r="J21" s="7">
        <v>2500</v>
      </c>
      <c r="K21" s="7"/>
      <c r="L21" s="7">
        <v>13000</v>
      </c>
      <c r="N21" s="7">
        <f t="shared" si="2"/>
        <v>0</v>
      </c>
    </row>
    <row r="22" spans="1:15" x14ac:dyDescent="0.25">
      <c r="A22" s="1" t="s">
        <v>27</v>
      </c>
      <c r="B22" s="1" t="str">
        <f>VLOOKUP(A22,LISTADHERENT!A$5:H$51,2)</f>
        <v>KOUAMOU MOISE</v>
      </c>
      <c r="C22" s="6">
        <f t="shared" si="0"/>
        <v>1078.7384309048482</v>
      </c>
      <c r="D22" s="6">
        <f>TONT20000FEV!C22+TONT20000FEV!D22+TONT20000MARS!G22</f>
        <v>334720.4764848901</v>
      </c>
      <c r="E22" s="1"/>
      <c r="F22" s="7">
        <f t="shared" si="1"/>
        <v>20000</v>
      </c>
      <c r="G22" s="7">
        <v>3000</v>
      </c>
      <c r="H22" s="7">
        <v>500</v>
      </c>
      <c r="I22" s="7">
        <v>1000</v>
      </c>
      <c r="J22" s="7">
        <v>2500</v>
      </c>
      <c r="K22" s="7"/>
      <c r="L22" s="7">
        <v>13000</v>
      </c>
      <c r="N22" s="7">
        <f t="shared" si="2"/>
        <v>0</v>
      </c>
    </row>
    <row r="23" spans="1:15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1437.8884191262187</v>
      </c>
      <c r="D23" s="6">
        <f>TONT20000FEV!C23+TONT20000FEV!D23+TONT20000MARS!G23</f>
        <v>446160.70308937225</v>
      </c>
      <c r="E23" s="1"/>
      <c r="F23" s="7">
        <f t="shared" si="1"/>
        <v>20000</v>
      </c>
      <c r="G23" s="7">
        <v>3000</v>
      </c>
      <c r="H23" s="7">
        <v>500</v>
      </c>
      <c r="I23" s="7">
        <v>1000</v>
      </c>
      <c r="J23" s="7">
        <v>2500</v>
      </c>
      <c r="K23" s="7"/>
      <c r="L23" s="7">
        <v>13000</v>
      </c>
      <c r="N23" s="7">
        <f t="shared" si="2"/>
        <v>0</v>
      </c>
    </row>
    <row r="24" spans="1:15" x14ac:dyDescent="0.25">
      <c r="A24" s="1" t="s">
        <v>29</v>
      </c>
      <c r="B24" s="1" t="str">
        <f>VLOOKUP(A24,LISTADHERENT!A$5:H$51,2)</f>
        <v>KOUATCHO MESSACK</v>
      </c>
      <c r="C24" s="6">
        <f t="shared" si="0"/>
        <v>1317.781554170859</v>
      </c>
      <c r="D24" s="6">
        <f>TONT20000FEV!C24+TONT20000FEV!D24+TONT20000MARS!G24</f>
        <v>408892.88550245023</v>
      </c>
      <c r="E24" s="1"/>
      <c r="F24" s="7">
        <f t="shared" si="1"/>
        <v>20000</v>
      </c>
      <c r="G24" s="7">
        <v>3000</v>
      </c>
      <c r="H24" s="7">
        <v>500</v>
      </c>
      <c r="I24" s="7">
        <v>1000</v>
      </c>
      <c r="J24" s="7">
        <v>2500</v>
      </c>
      <c r="K24" s="7"/>
      <c r="L24" s="7">
        <v>13000</v>
      </c>
      <c r="M24" s="7"/>
      <c r="N24" s="7">
        <f t="shared" si="2"/>
        <v>0</v>
      </c>
    </row>
    <row r="25" spans="1:15" x14ac:dyDescent="0.25">
      <c r="A25" s="1" t="s">
        <v>30</v>
      </c>
      <c r="B25" s="1" t="str">
        <f>VLOOKUP(A25,LISTADHERENT!A$5:H$51,2)</f>
        <v>LOWE JEAN</v>
      </c>
      <c r="C25" s="6">
        <f t="shared" si="0"/>
        <v>1331.9829473872085</v>
      </c>
      <c r="D25" s="6">
        <f>TONT20000FEV!C25+TONT20000FEV!D25+TONT20000MARS!G25</f>
        <v>413299.41906790272</v>
      </c>
      <c r="E25" s="1"/>
      <c r="F25" s="7">
        <f t="shared" si="1"/>
        <v>20000</v>
      </c>
      <c r="G25" s="7">
        <v>3000</v>
      </c>
      <c r="H25" s="7">
        <v>500</v>
      </c>
      <c r="I25" s="7">
        <v>1000</v>
      </c>
      <c r="J25" s="7">
        <v>2500</v>
      </c>
      <c r="K25" s="7"/>
      <c r="L25" s="7">
        <v>13000</v>
      </c>
      <c r="M25" s="7">
        <v>80000</v>
      </c>
      <c r="N25" s="7">
        <f t="shared" si="2"/>
        <v>2400</v>
      </c>
    </row>
    <row r="26" spans="1:15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1332.24526820395</v>
      </c>
      <c r="D26" s="6">
        <f>TONT20000FEV!C26+TONT20000FEV!D26+TONT20000MARS!G26</f>
        <v>413380.81428499718</v>
      </c>
      <c r="E26" s="1"/>
      <c r="F26" s="7">
        <f t="shared" si="1"/>
        <v>20000</v>
      </c>
      <c r="G26" s="7">
        <v>3000</v>
      </c>
      <c r="H26" s="7">
        <v>500</v>
      </c>
      <c r="I26" s="7">
        <v>1000</v>
      </c>
      <c r="J26" s="7">
        <v>2500</v>
      </c>
      <c r="K26" s="7"/>
      <c r="L26" s="7">
        <v>13000</v>
      </c>
      <c r="N26" s="7">
        <f t="shared" si="2"/>
        <v>0</v>
      </c>
    </row>
    <row r="27" spans="1:15" x14ac:dyDescent="0.25">
      <c r="A27" s="1" t="s">
        <v>32</v>
      </c>
      <c r="B27" s="1" t="str">
        <f>VLOOKUP(A27,LISTADHERENT!A$5:H$51,2)</f>
        <v>NDJOMO ETIENNE</v>
      </c>
      <c r="C27" s="6">
        <f t="shared" si="0"/>
        <v>1389.4822694610575</v>
      </c>
      <c r="D27" s="6">
        <f>TONT20000FEV!C27+TONT20000FEV!D27+TONT20000MARS!G27</f>
        <v>431140.81595405348</v>
      </c>
      <c r="E27" s="1"/>
      <c r="F27" s="7">
        <f t="shared" si="1"/>
        <v>25000</v>
      </c>
      <c r="G27" s="7">
        <v>8000</v>
      </c>
      <c r="H27" s="7">
        <v>500</v>
      </c>
      <c r="I27" s="7">
        <v>1000</v>
      </c>
      <c r="J27" s="7">
        <v>2500</v>
      </c>
      <c r="K27" s="7"/>
      <c r="L27" s="7">
        <v>13000</v>
      </c>
      <c r="M27" s="7">
        <v>400000</v>
      </c>
      <c r="N27" s="7">
        <f t="shared" si="2"/>
        <v>12000</v>
      </c>
      <c r="O27" s="7">
        <v>400000</v>
      </c>
    </row>
    <row r="28" spans="1:15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TONT20000FEV!C28+TONT20000FEV!D28+TONT20000MARS!G28</f>
        <v>0</v>
      </c>
      <c r="E28" s="1"/>
      <c r="F28" s="7">
        <f t="shared" si="1"/>
        <v>0</v>
      </c>
      <c r="G28" s="7"/>
      <c r="H28" s="7"/>
      <c r="I28" s="7"/>
      <c r="J28" s="7"/>
      <c r="K28" s="7"/>
      <c r="L28" s="7"/>
      <c r="N28" s="7">
        <f t="shared" si="2"/>
        <v>0</v>
      </c>
    </row>
    <row r="29" spans="1:15" x14ac:dyDescent="0.25">
      <c r="A29" s="1" t="s">
        <v>34</v>
      </c>
      <c r="B29" s="1" t="str">
        <f>VLOOKUP(A29,LISTADHERENT!A$5:H$51,2)</f>
        <v>NGONDIEP CLAUDE</v>
      </c>
      <c r="C29" s="6">
        <f t="shared" si="0"/>
        <v>1906.6065334903549</v>
      </c>
      <c r="D29" s="6">
        <f>TONT20000FEV!C29+TONT20000FEV!D29+TONT20000MARS!G29</f>
        <v>591598.69443400577</v>
      </c>
      <c r="E29" s="1"/>
      <c r="F29" s="7">
        <f t="shared" si="1"/>
        <v>20000</v>
      </c>
      <c r="G29" s="7">
        <v>3000</v>
      </c>
      <c r="H29" s="7">
        <v>500</v>
      </c>
      <c r="I29" s="7">
        <v>1000</v>
      </c>
      <c r="J29" s="7">
        <v>2500</v>
      </c>
      <c r="K29" s="7"/>
      <c r="L29" s="7">
        <v>13000</v>
      </c>
      <c r="N29" s="7">
        <f t="shared" si="2"/>
        <v>0</v>
      </c>
    </row>
    <row r="30" spans="1:15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38.967572555461153</v>
      </c>
      <c r="D30" s="6">
        <f>TONT20000FEV!C30+TONT20000FEV!D30+TONT20000MARS!G30</f>
        <v>12091.202166852237</v>
      </c>
      <c r="E30" s="1"/>
      <c r="F30" s="7">
        <f t="shared" si="1"/>
        <v>20000</v>
      </c>
      <c r="G30" s="7">
        <v>3000</v>
      </c>
      <c r="H30" s="7">
        <v>500</v>
      </c>
      <c r="I30" s="7">
        <v>1000</v>
      </c>
      <c r="J30" s="7">
        <v>2500</v>
      </c>
      <c r="K30" s="7"/>
      <c r="L30" s="7">
        <v>13000</v>
      </c>
      <c r="N30" s="7">
        <f t="shared" si="2"/>
        <v>0</v>
      </c>
    </row>
    <row r="31" spans="1:15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87.78875556128591</v>
      </c>
      <c r="D31" s="6">
        <f>TONT20000FEV!C31+TONT20000FEV!D31+TONT20000MARS!G31</f>
        <v>27239.869508348947</v>
      </c>
      <c r="E31" s="1"/>
      <c r="F31" s="7">
        <f t="shared" si="1"/>
        <v>20000</v>
      </c>
      <c r="G31" s="7">
        <v>3000</v>
      </c>
      <c r="H31" s="7">
        <v>500</v>
      </c>
      <c r="I31" s="7">
        <v>1000</v>
      </c>
      <c r="J31" s="7">
        <v>2500</v>
      </c>
      <c r="K31" s="7"/>
      <c r="L31" s="7">
        <v>13000</v>
      </c>
      <c r="N31" s="7">
        <f t="shared" si="2"/>
        <v>0</v>
      </c>
    </row>
    <row r="32" spans="1:15" x14ac:dyDescent="0.25">
      <c r="A32" s="1" t="s">
        <v>37</v>
      </c>
      <c r="B32" s="1" t="str">
        <f>VLOOKUP(A32,LISTADHERENT!A$5:H$51,2)</f>
        <v>NJEPDJIO MBOUKAM DELUXE</v>
      </c>
      <c r="C32" s="6">
        <f t="shared" si="0"/>
        <v>1355.8278205863812</v>
      </c>
      <c r="D32" s="6">
        <f>TONT20000FEV!C32+TONT20000FEV!D32+TONT20000MARS!G32</f>
        <v>420698.21667285514</v>
      </c>
      <c r="E32" s="1"/>
      <c r="F32" s="7">
        <f t="shared" si="1"/>
        <v>23000</v>
      </c>
      <c r="G32" s="7">
        <v>6000</v>
      </c>
      <c r="H32" s="7">
        <v>500</v>
      </c>
      <c r="I32" s="7">
        <v>1000</v>
      </c>
      <c r="J32" s="7">
        <v>2500</v>
      </c>
      <c r="K32" s="7"/>
      <c r="L32" s="7">
        <v>13000</v>
      </c>
      <c r="M32" s="7">
        <v>1000000</v>
      </c>
      <c r="N32" s="7">
        <f>IF(M32&lt;=500000,(M32*1*3/100),(M32*12/100))/4</f>
        <v>30000</v>
      </c>
    </row>
    <row r="33" spans="1:15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77.935145110922306</v>
      </c>
      <c r="D33" s="6">
        <f>TONT20000FEV!C33+TONT20000FEV!D33+TONT20000MARS!G33</f>
        <v>24182.404333704475</v>
      </c>
      <c r="E33" s="1"/>
      <c r="F33" s="7">
        <f t="shared" si="1"/>
        <v>23000</v>
      </c>
      <c r="G33" s="7">
        <v>6000</v>
      </c>
      <c r="H33" s="7">
        <v>500</v>
      </c>
      <c r="I33" s="7">
        <v>1000</v>
      </c>
      <c r="J33" s="7">
        <v>2500</v>
      </c>
      <c r="K33" s="7"/>
      <c r="L33" s="7">
        <v>13000</v>
      </c>
      <c r="M33" s="11"/>
      <c r="N33" s="7">
        <f t="shared" si="2"/>
        <v>0</v>
      </c>
    </row>
    <row r="34" spans="1:15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1411.3827786487736</v>
      </c>
      <c r="D34" s="6">
        <f>TONT20000FEV!C34+TONT20000FEV!D34+TONT20000MARS!G34</f>
        <v>437936.29914122907</v>
      </c>
      <c r="E34" s="1"/>
      <c r="F34" s="10">
        <f>G34+H34+I34+J34+K34+L34</f>
        <v>25000</v>
      </c>
      <c r="G34" s="7">
        <v>8000</v>
      </c>
      <c r="H34" s="7">
        <v>500</v>
      </c>
      <c r="I34" s="7">
        <v>1000</v>
      </c>
      <c r="J34" s="7">
        <v>2500</v>
      </c>
      <c r="K34" s="7"/>
      <c r="L34" s="7">
        <v>13000</v>
      </c>
      <c r="M34"/>
      <c r="N34" s="7">
        <f t="shared" si="2"/>
        <v>0</v>
      </c>
    </row>
    <row r="35" spans="1:15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1343.9578926714632</v>
      </c>
      <c r="D35" s="6">
        <f>TONT20000FEV!C35+TONT20000FEV!D35+TONT20000MARS!G35</f>
        <v>417015.11072826578</v>
      </c>
      <c r="E35" s="1"/>
      <c r="F35" s="7">
        <f t="shared" si="1"/>
        <v>20000</v>
      </c>
      <c r="G35" s="7">
        <v>3000</v>
      </c>
      <c r="H35" s="7">
        <v>500</v>
      </c>
      <c r="I35" s="7">
        <v>1000</v>
      </c>
      <c r="J35" s="7">
        <v>2500</v>
      </c>
      <c r="K35" s="7"/>
      <c r="L35" s="7">
        <v>13000</v>
      </c>
      <c r="N35" s="7">
        <f t="shared" si="2"/>
        <v>0</v>
      </c>
    </row>
    <row r="36" spans="1:15" x14ac:dyDescent="0.25">
      <c r="A36" s="1" t="s">
        <v>41</v>
      </c>
      <c r="B36" s="1" t="str">
        <f>VLOOKUP(A36,LISTADHERENT!A$5:H$51,2)</f>
        <v>NTEPDIE TUEMAC MZ</v>
      </c>
      <c r="C36" s="6">
        <f t="shared" si="0"/>
        <v>19.61874259264091</v>
      </c>
      <c r="D36" s="6">
        <f>TONT20000FEV!C36+TONT20000FEV!D36+TONT20000MARS!G36</f>
        <v>6087.4765193402181</v>
      </c>
      <c r="E36" s="1"/>
      <c r="F36" s="7">
        <f t="shared" si="1"/>
        <v>0</v>
      </c>
      <c r="G36" s="7"/>
      <c r="H36" s="7"/>
      <c r="I36" s="7"/>
      <c r="J36" s="7"/>
      <c r="K36" s="7"/>
      <c r="L36" s="7"/>
      <c r="N36" s="7">
        <f t="shared" si="2"/>
        <v>0</v>
      </c>
    </row>
    <row r="37" spans="1:15" x14ac:dyDescent="0.25">
      <c r="A37" s="1" t="s">
        <v>42</v>
      </c>
      <c r="B37" s="1" t="str">
        <f>VLOOKUP(A37,LISTADHERENT!A$5:H$51,2)</f>
        <v>NTOMBOU ADOLPHE</v>
      </c>
      <c r="C37" s="6">
        <f t="shared" si="0"/>
        <v>38.967572555461153</v>
      </c>
      <c r="D37" s="6">
        <f>TONT20000FEV!C37+TONT20000FEV!D37+TONT20000MARS!G37</f>
        <v>12091.202166852237</v>
      </c>
      <c r="E37" s="1"/>
      <c r="F37" s="7">
        <f t="shared" si="1"/>
        <v>20000</v>
      </c>
      <c r="G37" s="7">
        <v>3000</v>
      </c>
      <c r="H37" s="7">
        <v>500</v>
      </c>
      <c r="I37" s="7">
        <v>1000</v>
      </c>
      <c r="J37" s="7">
        <v>2500</v>
      </c>
      <c r="K37" s="7"/>
      <c r="L37" s="7">
        <v>13000</v>
      </c>
      <c r="N37" s="7">
        <f t="shared" si="2"/>
        <v>0</v>
      </c>
    </row>
    <row r="38" spans="1:15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1318.2406156001566</v>
      </c>
      <c r="D38" s="6">
        <f>TONT20000FEV!C38+TONT20000FEV!D38+TONT20000MARS!G38</f>
        <v>409035.32713236555</v>
      </c>
      <c r="E38" s="1"/>
      <c r="F38" s="7">
        <f t="shared" si="1"/>
        <v>20000</v>
      </c>
      <c r="G38" s="7">
        <v>3000</v>
      </c>
      <c r="H38" s="7">
        <v>500</v>
      </c>
      <c r="I38" s="7">
        <v>1000</v>
      </c>
      <c r="J38" s="7">
        <v>2500</v>
      </c>
      <c r="K38" s="7"/>
      <c r="L38" s="7">
        <v>13000</v>
      </c>
      <c r="N38" s="7">
        <f t="shared" si="2"/>
        <v>0</v>
      </c>
    </row>
    <row r="39" spans="1:15" x14ac:dyDescent="0.25">
      <c r="A39" s="1" t="s">
        <v>44</v>
      </c>
      <c r="B39" s="1" t="str">
        <f>VLOOKUP(A39,LISTADHERENT!A$5:H$51,2)</f>
        <v>SEUNOU RICHELOT</v>
      </c>
      <c r="C39" s="6">
        <f t="shared" si="0"/>
        <v>1326.411909041658</v>
      </c>
      <c r="D39" s="6">
        <f>TONT20000FEV!C39+TONT20000FEV!D39+TONT20000MARS!G39</f>
        <v>411570.78814485861</v>
      </c>
      <c r="E39" s="1"/>
      <c r="F39" s="7">
        <f t="shared" si="1"/>
        <v>20000</v>
      </c>
      <c r="G39" s="7">
        <v>3000</v>
      </c>
      <c r="H39" s="7">
        <v>500</v>
      </c>
      <c r="I39" s="7">
        <v>1000</v>
      </c>
      <c r="J39" s="7">
        <v>2500</v>
      </c>
      <c r="K39" s="7"/>
      <c r="L39" s="7">
        <v>13000</v>
      </c>
      <c r="N39" s="7">
        <f t="shared" si="2"/>
        <v>0</v>
      </c>
    </row>
    <row r="40" spans="1:15" x14ac:dyDescent="0.25">
      <c r="A40" s="1" t="s">
        <v>45</v>
      </c>
      <c r="B40" s="1" t="str">
        <f>VLOOKUP(A40,LISTADHERENT!A$5:H$51,2)</f>
        <v>SIME ABEL</v>
      </c>
      <c r="C40" s="6">
        <f t="shared" si="0"/>
        <v>38.967572555461153</v>
      </c>
      <c r="D40" s="6">
        <f>TONT20000FEV!C40+TONT20000FEV!D40+TONT20000MARS!G40</f>
        <v>12091.202166852237</v>
      </c>
      <c r="E40" s="1"/>
      <c r="F40" s="7">
        <f t="shared" si="1"/>
        <v>20000</v>
      </c>
      <c r="G40" s="7">
        <v>3000</v>
      </c>
      <c r="H40" s="7">
        <v>500</v>
      </c>
      <c r="I40" s="7">
        <v>1000</v>
      </c>
      <c r="J40" s="7">
        <v>2500</v>
      </c>
      <c r="K40" s="7"/>
      <c r="L40" s="7">
        <v>13000</v>
      </c>
      <c r="N40" s="7">
        <f t="shared" si="2"/>
        <v>0</v>
      </c>
    </row>
    <row r="41" spans="1:15" x14ac:dyDescent="0.25">
      <c r="A41" s="1" t="s">
        <v>46</v>
      </c>
      <c r="B41" s="1" t="str">
        <f>VLOOKUP(A41,LISTADHERENT!A$5:H$51,2)</f>
        <v>SIME FONGANG ERIC</v>
      </c>
      <c r="C41" s="6">
        <f t="shared" si="0"/>
        <v>1321.0015421963622</v>
      </c>
      <c r="D41" s="6">
        <f>TONT20000FEV!C41+TONT20000FEV!D41+TONT20000MARS!G41</f>
        <v>409892.01179228496</v>
      </c>
      <c r="E41" s="1"/>
      <c r="F41" s="7">
        <f t="shared" si="1"/>
        <v>20000</v>
      </c>
      <c r="G41" s="7">
        <v>3000</v>
      </c>
      <c r="H41" s="7">
        <v>500</v>
      </c>
      <c r="I41" s="7">
        <v>1000</v>
      </c>
      <c r="J41" s="7">
        <v>2500</v>
      </c>
      <c r="K41" s="7"/>
      <c r="L41" s="7">
        <v>13000</v>
      </c>
      <c r="N41" s="7">
        <f t="shared" si="2"/>
        <v>0</v>
      </c>
    </row>
    <row r="42" spans="1:15" x14ac:dyDescent="0.25">
      <c r="A42" s="1" t="s">
        <v>47</v>
      </c>
      <c r="B42" s="1" t="str">
        <f>VLOOKUP(A42,LISTADHERENT!A$5:H$51,2)</f>
        <v>SIME MATHIEU</v>
      </c>
      <c r="C42" s="6">
        <f t="shared" si="0"/>
        <v>1319.8670046639547</v>
      </c>
      <c r="D42" s="6">
        <f>TONT20000FEV!C42+TONT20000FEV!D42+TONT20000MARS!G42</f>
        <v>409539.97747835133</v>
      </c>
      <c r="E42" s="1"/>
      <c r="F42" s="7">
        <f t="shared" si="1"/>
        <v>20000</v>
      </c>
      <c r="G42" s="7">
        <v>3000</v>
      </c>
      <c r="H42" s="7">
        <v>500</v>
      </c>
      <c r="I42" s="7">
        <v>1000</v>
      </c>
      <c r="J42" s="7">
        <v>2500</v>
      </c>
      <c r="K42" s="7"/>
      <c r="L42" s="7">
        <v>13000</v>
      </c>
      <c r="N42" s="7">
        <f t="shared" si="2"/>
        <v>0</v>
      </c>
    </row>
    <row r="43" spans="1:15" x14ac:dyDescent="0.25">
      <c r="A43" s="1" t="s">
        <v>48</v>
      </c>
      <c r="B43" s="1" t="str">
        <f>VLOOKUP(A43,LISTADHERENT!A$5:H$51,2)</f>
        <v>SIME PIERRE</v>
      </c>
      <c r="C43" s="6">
        <f t="shared" si="0"/>
        <v>4682.3050706886679</v>
      </c>
      <c r="D43" s="6">
        <f>TONT20000FEV!C43+TONT20000FEV!D43+TONT20000MARS!G43</f>
        <v>1452866.922516058</v>
      </c>
      <c r="E43" s="1"/>
      <c r="F43" s="7">
        <f t="shared" si="1"/>
        <v>20000</v>
      </c>
      <c r="G43" s="7">
        <v>3000</v>
      </c>
      <c r="H43" s="7">
        <v>500</v>
      </c>
      <c r="I43" s="7">
        <v>1000</v>
      </c>
      <c r="J43" s="7">
        <v>2500</v>
      </c>
      <c r="K43" s="7"/>
      <c r="L43" s="7">
        <v>13000</v>
      </c>
      <c r="N43" s="7">
        <f t="shared" si="2"/>
        <v>0</v>
      </c>
    </row>
    <row r="44" spans="1:15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38.967572555461153</v>
      </c>
      <c r="D44" s="6">
        <f>TONT20000FEV!C44+TONT20000FEV!D44+TONT20000MARS!G44</f>
        <v>12091.202166852237</v>
      </c>
      <c r="E44" s="1"/>
      <c r="F44" s="7">
        <f t="shared" si="1"/>
        <v>20000</v>
      </c>
      <c r="G44" s="7">
        <v>3000</v>
      </c>
      <c r="H44" s="7">
        <v>500</v>
      </c>
      <c r="I44" s="7">
        <v>1000</v>
      </c>
      <c r="J44" s="7">
        <v>2500</v>
      </c>
      <c r="K44" s="7"/>
      <c r="L44" s="7">
        <v>13000</v>
      </c>
      <c r="N44" s="7">
        <f t="shared" si="2"/>
        <v>0</v>
      </c>
    </row>
    <row r="45" spans="1:15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38.967572555461153</v>
      </c>
      <c r="D45" s="6">
        <f>TONT20000FEV!C45+TONT20000FEV!D45+TONT20000MARS!G45</f>
        <v>12091.202166852237</v>
      </c>
      <c r="E45" s="1"/>
      <c r="F45" s="7">
        <f t="shared" si="1"/>
        <v>20000</v>
      </c>
      <c r="G45" s="7">
        <v>3000</v>
      </c>
      <c r="H45" s="7">
        <v>500</v>
      </c>
      <c r="I45" s="7">
        <v>1000</v>
      </c>
      <c r="J45" s="7">
        <v>2500</v>
      </c>
      <c r="K45" s="7"/>
      <c r="L45" s="7">
        <v>13000</v>
      </c>
      <c r="N45" s="7">
        <f t="shared" si="2"/>
        <v>0</v>
      </c>
    </row>
    <row r="46" spans="1:15" x14ac:dyDescent="0.25">
      <c r="A46" s="1" t="s">
        <v>51</v>
      </c>
      <c r="B46" s="1" t="str">
        <f>VLOOKUP(A46,LISTADHERENT!A$5:H$51,2)</f>
        <v>TCHOUAMOU MATHIEU</v>
      </c>
      <c r="C46" s="6">
        <f t="shared" si="0"/>
        <v>1329.0515122601207</v>
      </c>
      <c r="D46" s="6">
        <f>TONT20000FEV!C46+TONT20000FEV!D46+TONT20000MARS!G46</f>
        <v>412389.82751687185</v>
      </c>
      <c r="E46" s="1"/>
      <c r="F46" s="7">
        <f t="shared" si="1"/>
        <v>20000</v>
      </c>
      <c r="G46" s="7">
        <v>3000</v>
      </c>
      <c r="H46" s="7">
        <v>500</v>
      </c>
      <c r="I46" s="7">
        <v>1000</v>
      </c>
      <c r="J46" s="7">
        <v>2500</v>
      </c>
      <c r="K46" s="7"/>
      <c r="L46" s="7">
        <v>13000</v>
      </c>
      <c r="M46" s="7">
        <v>500000</v>
      </c>
      <c r="N46" s="7">
        <f t="shared" si="2"/>
        <v>15000</v>
      </c>
      <c r="O46" s="7">
        <v>500000</v>
      </c>
    </row>
    <row r="47" spans="1:15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937.18009638893591</v>
      </c>
      <c r="D47" s="6">
        <f>TONT20000FEV!C47+TONT20000FEV!D47+TONT20000MARS!G47</f>
        <v>290796.5076875338</v>
      </c>
      <c r="E47" s="1"/>
      <c r="F47" s="7">
        <f t="shared" si="1"/>
        <v>23000</v>
      </c>
      <c r="G47" s="7">
        <v>6000</v>
      </c>
      <c r="H47" s="7">
        <v>500</v>
      </c>
      <c r="I47" s="7">
        <v>1000</v>
      </c>
      <c r="J47" s="7">
        <v>2500</v>
      </c>
      <c r="K47" s="7"/>
      <c r="L47" s="7">
        <v>13000</v>
      </c>
      <c r="N47" s="7">
        <f t="shared" si="2"/>
        <v>0</v>
      </c>
    </row>
    <row r="48" spans="1:15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19.517449124741379</v>
      </c>
      <c r="D48" s="6">
        <f>TONT20000FEV!C48+TONT20000FEV!D48+TONT20000MARS!G48</f>
        <v>6056.0462885550787</v>
      </c>
      <c r="E48" s="1"/>
      <c r="F48" s="7">
        <f t="shared" si="1"/>
        <v>0</v>
      </c>
      <c r="G48" s="7"/>
      <c r="H48" s="7"/>
      <c r="I48" s="7"/>
      <c r="J48" s="7"/>
      <c r="K48" s="7"/>
      <c r="L48" s="7"/>
      <c r="N48" s="7">
        <f t="shared" si="2"/>
        <v>0</v>
      </c>
    </row>
    <row r="49" spans="1:17" x14ac:dyDescent="0.25">
      <c r="A49" s="1" t="s">
        <v>54</v>
      </c>
      <c r="B49" s="1" t="str">
        <f>VLOOKUP(A49,LISTADHERENT!A$5:H$51,2)</f>
        <v>TIEYAM ERNEST</v>
      </c>
      <c r="C49" s="6">
        <f t="shared" si="0"/>
        <v>1320.4178783791122</v>
      </c>
      <c r="D49" s="6">
        <f>TONT20000FEV!C49+TONT20000FEV!D49+TONT20000MARS!G49</f>
        <v>409710.90743424976</v>
      </c>
      <c r="E49" s="1"/>
      <c r="F49" s="7">
        <f t="shared" si="1"/>
        <v>20000</v>
      </c>
      <c r="G49" s="7">
        <v>3000</v>
      </c>
      <c r="H49" s="7">
        <v>500</v>
      </c>
      <c r="I49" s="7">
        <v>1000</v>
      </c>
      <c r="J49" s="7">
        <v>2500</v>
      </c>
      <c r="K49" s="7"/>
      <c r="L49" s="7">
        <v>13000</v>
      </c>
      <c r="N49" s="7">
        <f t="shared" si="2"/>
        <v>0</v>
      </c>
    </row>
    <row r="50" spans="1:17" x14ac:dyDescent="0.25">
      <c r="A50" s="1" t="s">
        <v>55</v>
      </c>
      <c r="B50" s="1" t="str">
        <f>VLOOKUP(A50,LISTADHERENT!A$5:H$51,2)</f>
        <v>TUGMA PIERRE LOTI</v>
      </c>
      <c r="C50" s="6">
        <f t="shared" si="0"/>
        <v>1375.6101782215489</v>
      </c>
      <c r="D50" s="6">
        <f>TONT20000FEV!C50+TONT20000FEV!D50+TONT20000MARS!G50</f>
        <v>426836.46111092868</v>
      </c>
      <c r="E50" s="1"/>
      <c r="F50" s="7">
        <f t="shared" si="1"/>
        <v>20000</v>
      </c>
      <c r="G50" s="7">
        <v>3000</v>
      </c>
      <c r="H50" s="7">
        <v>500</v>
      </c>
      <c r="I50" s="7">
        <v>1000</v>
      </c>
      <c r="J50" s="7">
        <v>2500</v>
      </c>
      <c r="K50" s="7"/>
      <c r="L50" s="7">
        <v>13000</v>
      </c>
      <c r="N50" s="7">
        <f t="shared" si="2"/>
        <v>0</v>
      </c>
    </row>
    <row r="51" spans="1:17" ht="18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2699.0219776932313</v>
      </c>
      <c r="D51" s="6">
        <f>TONT20000FEV!C51+TONT20000FEV!D51+TONT20000MARS!G51</f>
        <v>837476.34879280219</v>
      </c>
      <c r="E51" s="1"/>
      <c r="F51" s="7">
        <f t="shared" si="1"/>
        <v>20000</v>
      </c>
      <c r="G51" s="7">
        <v>3000</v>
      </c>
      <c r="H51" s="7">
        <v>500</v>
      </c>
      <c r="I51" s="7">
        <v>1000</v>
      </c>
      <c r="J51" s="7">
        <v>2500</v>
      </c>
      <c r="K51" s="7"/>
      <c r="L51" s="7">
        <v>13000</v>
      </c>
      <c r="M51" s="9"/>
      <c r="N51" s="7">
        <f t="shared" si="2"/>
        <v>0</v>
      </c>
    </row>
    <row r="52" spans="1:17" x14ac:dyDescent="0.25">
      <c r="A52" s="1" t="s">
        <v>178</v>
      </c>
      <c r="B52" s="1" t="str">
        <f>VLOOKUP(A52,LISTADHERENT!A$5:H$51,2)</f>
        <v>YOUMBI EMMANUEL</v>
      </c>
      <c r="C52" s="6">
        <f t="shared" si="0"/>
        <v>4607.5436379173061</v>
      </c>
      <c r="D52" s="6">
        <f>TONT20000FEV!C52+TONT20000FEV!D52+TONT20000MARS!G52</f>
        <v>1429669.2856441305</v>
      </c>
      <c r="E52" s="1"/>
      <c r="F52" s="7">
        <f t="shared" si="1"/>
        <v>20000</v>
      </c>
      <c r="G52" s="7">
        <v>3000</v>
      </c>
      <c r="H52" s="7">
        <v>500</v>
      </c>
      <c r="I52" s="7">
        <v>1000</v>
      </c>
      <c r="J52" s="7">
        <v>2500</v>
      </c>
      <c r="L52" s="7">
        <v>13000</v>
      </c>
      <c r="N52" s="7">
        <f t="shared" si="2"/>
        <v>0</v>
      </c>
    </row>
    <row r="53" spans="1:17" x14ac:dyDescent="0.25">
      <c r="A53" s="1"/>
      <c r="B53" s="1"/>
      <c r="C53" s="1"/>
      <c r="D53" s="1"/>
      <c r="E53" s="1"/>
      <c r="F53" s="7"/>
      <c r="G53" s="7"/>
      <c r="H53" s="7"/>
      <c r="I53" s="7"/>
      <c r="J53" s="7"/>
      <c r="L53" s="7"/>
      <c r="N53" s="7"/>
    </row>
    <row r="54" spans="1:17" ht="18" x14ac:dyDescent="0.25">
      <c r="A54" s="1"/>
      <c r="B54" s="1" t="s">
        <v>180</v>
      </c>
      <c r="C54" s="1"/>
      <c r="D54" s="1"/>
      <c r="E54" s="1"/>
      <c r="H54" s="4"/>
      <c r="L54" s="7">
        <v>50500</v>
      </c>
      <c r="N54" s="7">
        <f t="shared" si="2"/>
        <v>0</v>
      </c>
      <c r="O54" s="9"/>
    </row>
    <row r="55" spans="1:17" ht="18" x14ac:dyDescent="0.25">
      <c r="A55" s="1"/>
      <c r="B55" s="1"/>
      <c r="C55" s="1"/>
      <c r="D55" s="1"/>
      <c r="E55" s="1"/>
      <c r="H55" s="4"/>
      <c r="O55" s="9"/>
    </row>
    <row r="56" spans="1:17" ht="18" x14ac:dyDescent="0.25">
      <c r="A56" s="8" t="s">
        <v>56</v>
      </c>
      <c r="B56" s="8"/>
      <c r="C56" s="9">
        <f>SUM(C5:C52)</f>
        <v>59400.000000000015</v>
      </c>
      <c r="D56" s="9">
        <f t="shared" ref="D56:Q56" si="3">SUM(D5:D52)</f>
        <v>18431155.999999993</v>
      </c>
      <c r="E56" s="9">
        <f t="shared" si="3"/>
        <v>0</v>
      </c>
      <c r="F56" s="9">
        <f t="shared" si="3"/>
        <v>1022000</v>
      </c>
      <c r="G56" s="9">
        <f t="shared" si="3"/>
        <v>291000</v>
      </c>
      <c r="H56" s="9">
        <f t="shared" si="3"/>
        <v>21500</v>
      </c>
      <c r="I56" s="9">
        <f t="shared" si="3"/>
        <v>43000</v>
      </c>
      <c r="J56" s="9">
        <f t="shared" si="3"/>
        <v>107500</v>
      </c>
      <c r="K56" s="9">
        <f t="shared" si="3"/>
        <v>0</v>
      </c>
      <c r="L56" s="9">
        <f t="shared" si="3"/>
        <v>559000</v>
      </c>
      <c r="M56" s="9">
        <f t="shared" si="3"/>
        <v>1980000</v>
      </c>
      <c r="N56" s="9">
        <f t="shared" si="3"/>
        <v>59400</v>
      </c>
      <c r="O56" s="9">
        <f t="shared" si="3"/>
        <v>900000</v>
      </c>
      <c r="P56" s="9">
        <f t="shared" si="3"/>
        <v>0</v>
      </c>
      <c r="Q56" s="9">
        <f t="shared" si="3"/>
        <v>0</v>
      </c>
    </row>
  </sheetData>
  <autoFilter ref="A4:O51"/>
  <dataValidations count="1">
    <dataValidation type="list" allowBlank="1" showInputMessage="1" showErrorMessage="1" promptTitle="Saissisez le mode de VERSEMENT" sqref="H6:H53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pane xSplit="2" ySplit="4" topLeftCell="D29" activePane="bottomRight" state="frozen"/>
      <selection activeCell="B22" sqref="B22"/>
      <selection pane="topRight" activeCell="B22" sqref="B22"/>
      <selection pane="bottomLeft" activeCell="B22" sqref="B22"/>
      <selection pane="bottomRight" activeCell="A33" sqref="A33:XFD3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8" customWidth="1"/>
    <col min="4" max="4" width="20.85546875" customWidth="1"/>
    <col min="5" max="5" width="29.5703125" customWidth="1"/>
    <col min="6" max="6" width="15" style="2" bestFit="1" customWidth="1"/>
    <col min="7" max="7" width="12.5703125" bestFit="1" customWidth="1"/>
    <col min="8" max="8" width="17.5703125" style="3" bestFit="1" customWidth="1"/>
    <col min="9" max="9" width="15.7109375" style="2" customWidth="1"/>
    <col min="10" max="10" width="14.7109375" style="2" customWidth="1"/>
    <col min="11" max="11" width="18.140625" style="2" bestFit="1" customWidth="1"/>
    <col min="12" max="12" width="18.140625" customWidth="1"/>
    <col min="13" max="13" width="15" bestFit="1" customWidth="1"/>
    <col min="14" max="14" width="12.5703125" bestFit="1" customWidth="1"/>
    <col min="15" max="15" width="18.140625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</row>
    <row r="2" spans="1:18" x14ac:dyDescent="0.25">
      <c r="A2" s="1" t="s">
        <v>2</v>
      </c>
      <c r="B2" s="1" t="s">
        <v>3</v>
      </c>
      <c r="C2" s="1"/>
      <c r="D2" s="1"/>
      <c r="E2" s="1"/>
    </row>
    <row r="3" spans="1:18" x14ac:dyDescent="0.25">
      <c r="A3" s="1" t="s">
        <v>4</v>
      </c>
      <c r="B3" s="1" t="s">
        <v>5</v>
      </c>
      <c r="C3" s="1"/>
      <c r="D3" s="1"/>
      <c r="E3" s="1"/>
    </row>
    <row r="4" spans="1:18" ht="29.25" x14ac:dyDescent="0.25">
      <c r="A4" s="1" t="s">
        <v>6</v>
      </c>
      <c r="B4" s="1" t="s">
        <v>7</v>
      </c>
      <c r="C4" s="5" t="s">
        <v>186</v>
      </c>
      <c r="D4" s="5" t="s">
        <v>187</v>
      </c>
      <c r="E4" s="1" t="s">
        <v>184</v>
      </c>
      <c r="F4" s="5" t="s">
        <v>65</v>
      </c>
      <c r="G4" s="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8</v>
      </c>
      <c r="P4" s="5" t="s">
        <v>182</v>
      </c>
      <c r="Q4" s="5" t="s">
        <v>181</v>
      </c>
    </row>
    <row r="5" spans="1:18" x14ac:dyDescent="0.25">
      <c r="A5" s="1" t="s">
        <v>185</v>
      </c>
      <c r="B5" s="1" t="str">
        <f>VLOOKUP(A5,LISTADHERENT!A$5:H$52,2,0)</f>
        <v>ASELBY</v>
      </c>
      <c r="C5" s="6">
        <f>$N$56/$D$56*D5</f>
        <v>4206.7983317359185</v>
      </c>
      <c r="D5" s="6">
        <f>TONT20000MARS!C5+TONT20000MARS!D5+TONT20000AVRIL!G5</f>
        <v>324736.71748457651</v>
      </c>
      <c r="E5" s="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</row>
    <row r="6" spans="1:18" x14ac:dyDescent="0.25">
      <c r="A6" s="1" t="s">
        <v>11</v>
      </c>
      <c r="B6" s="1" t="str">
        <f>VLOOKUP(A6,LISTADHERENT!A$5:H$51,2)</f>
        <v>BAKOP ACHILLE</v>
      </c>
      <c r="C6" s="6">
        <f t="shared" ref="C6:C52" si="0">$N$56/$D$56*D6</f>
        <v>5796.3762138227676</v>
      </c>
      <c r="D6" s="6">
        <f>TONT20000MARS!C6+TONT20000MARS!D6+TONT20000AVRIL!G6</f>
        <v>447441.50694900588</v>
      </c>
      <c r="E6" s="1"/>
      <c r="F6" s="7">
        <f t="shared" ref="F6:F52" si="1">G6+H6+I6+J6+K6+L6</f>
        <v>20000</v>
      </c>
      <c r="G6" s="7">
        <v>3000</v>
      </c>
      <c r="H6" s="7">
        <v>500</v>
      </c>
      <c r="I6" s="7">
        <v>1000</v>
      </c>
      <c r="J6" s="7">
        <v>2500</v>
      </c>
      <c r="K6" s="7"/>
      <c r="L6" s="7">
        <v>13000</v>
      </c>
      <c r="M6" s="7"/>
      <c r="N6" s="7">
        <f>IF(M6&lt;=500000,(M6*1*3/100),(M6*12/100))</f>
        <v>0</v>
      </c>
    </row>
    <row r="7" spans="1:18" x14ac:dyDescent="0.25">
      <c r="A7" s="1" t="s">
        <v>12</v>
      </c>
      <c r="B7" s="1" t="str">
        <f>VLOOKUP(A7,LISTADHERENT!A$5:H$51,2)</f>
        <v>BOUTCHOUANG WILLIAM</v>
      </c>
      <c r="C7" s="6">
        <f t="shared" si="0"/>
        <v>5375.464979964564</v>
      </c>
      <c r="D7" s="6">
        <f>TONT20000MARS!C7+TONT20000MARS!D7+TONT20000AVRIL!G7</f>
        <v>414949.97261413006</v>
      </c>
      <c r="E7" s="1"/>
      <c r="F7" s="7">
        <f t="shared" si="1"/>
        <v>20000</v>
      </c>
      <c r="G7" s="7">
        <v>3000</v>
      </c>
      <c r="H7" s="7">
        <v>500</v>
      </c>
      <c r="I7" s="7">
        <v>1000</v>
      </c>
      <c r="J7" s="7">
        <v>2500</v>
      </c>
      <c r="K7" s="7"/>
      <c r="L7" s="7">
        <v>13000</v>
      </c>
      <c r="M7" s="7"/>
      <c r="N7" s="7">
        <f t="shared" ref="N7:N54" si="2">IF(M7&lt;=500000,(M7*1*3/100),(M7*12/100))</f>
        <v>0</v>
      </c>
    </row>
    <row r="8" spans="1:18" x14ac:dyDescent="0.25">
      <c r="A8" s="1" t="s">
        <v>13</v>
      </c>
      <c r="B8" s="1" t="str">
        <f>VLOOKUP(A8,LISTADHERENT!A$5:H$51,2)</f>
        <v>CHINGUE FABRICE</v>
      </c>
      <c r="C8" s="6">
        <f t="shared" si="0"/>
        <v>5377.2897396489207</v>
      </c>
      <c r="D8" s="6">
        <f>TONT20000MARS!C8+TONT20000MARS!D8+TONT20000AVRIL!G8</f>
        <v>415090.83186702692</v>
      </c>
      <c r="E8" s="1"/>
      <c r="F8" s="7">
        <f t="shared" si="1"/>
        <v>20000</v>
      </c>
      <c r="G8" s="7">
        <v>3000</v>
      </c>
      <c r="H8" s="7">
        <v>500</v>
      </c>
      <c r="I8" s="7">
        <v>1000</v>
      </c>
      <c r="J8" s="7">
        <v>2500</v>
      </c>
      <c r="K8" s="7"/>
      <c r="L8" s="7">
        <v>13000</v>
      </c>
      <c r="N8" s="7">
        <f t="shared" si="2"/>
        <v>0</v>
      </c>
    </row>
    <row r="9" spans="1:18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5460.7791066563577</v>
      </c>
      <c r="D9" s="6">
        <f>TONT20000MARS!C9+TONT20000MARS!D9+TONT20000AVRIL!G9</f>
        <v>421535.65304667031</v>
      </c>
      <c r="E9" s="1"/>
      <c r="F9" s="7">
        <f t="shared" si="1"/>
        <v>20000</v>
      </c>
      <c r="G9" s="7">
        <v>3000</v>
      </c>
      <c r="H9" s="7">
        <v>500</v>
      </c>
      <c r="I9" s="7">
        <v>1000</v>
      </c>
      <c r="J9" s="7">
        <v>2500</v>
      </c>
      <c r="K9" s="7"/>
      <c r="L9" s="7">
        <v>13000</v>
      </c>
      <c r="N9" s="7">
        <f t="shared" si="2"/>
        <v>0</v>
      </c>
    </row>
    <row r="10" spans="1:18" x14ac:dyDescent="0.25">
      <c r="A10" s="1" t="s">
        <v>15</v>
      </c>
      <c r="B10" s="1" t="str">
        <f>VLOOKUP(A10,LISTADHERENT!A$5:H$51,2)</f>
        <v>DJOUKWE GUY</v>
      </c>
      <c r="C10" s="6">
        <f t="shared" si="0"/>
        <v>5561.9012949809658</v>
      </c>
      <c r="D10" s="6">
        <f>TONT20000MARS!C10+TONT20000MARS!D10+TONT20000AVRIL!G10</f>
        <v>429341.61019314465</v>
      </c>
      <c r="E10" s="1"/>
      <c r="F10" s="7">
        <f t="shared" si="1"/>
        <v>25000</v>
      </c>
      <c r="G10" s="7">
        <v>8000</v>
      </c>
      <c r="H10" s="7">
        <v>500</v>
      </c>
      <c r="I10" s="7">
        <v>1000</v>
      </c>
      <c r="J10" s="7">
        <v>2500</v>
      </c>
      <c r="K10" s="7"/>
      <c r="L10" s="7">
        <v>13000</v>
      </c>
      <c r="N10" s="7">
        <f t="shared" si="2"/>
        <v>0</v>
      </c>
    </row>
    <row r="11" spans="1:18" x14ac:dyDescent="0.25">
      <c r="A11" s="1" t="s">
        <v>16</v>
      </c>
      <c r="B11" s="1" t="str">
        <f>VLOOKUP(A11,LISTADHERENT!A$5:H$51,2)</f>
        <v>DJOSSEU JOSUE</v>
      </c>
      <c r="C11" s="6">
        <f t="shared" si="0"/>
        <v>66.114481317259731</v>
      </c>
      <c r="D11" s="6">
        <f>TONT20000MARS!C11+TONT20000MARS!D11+TONT20000AVRIL!G11</f>
        <v>5103.5961194514539</v>
      </c>
      <c r="E11" s="1"/>
      <c r="F11" s="7">
        <f t="shared" si="1"/>
        <v>0</v>
      </c>
      <c r="G11" s="7"/>
      <c r="H11" s="7"/>
      <c r="I11" s="7"/>
      <c r="J11" s="7"/>
      <c r="K11" s="7"/>
      <c r="L11" s="7"/>
      <c r="N11" s="7">
        <f t="shared" si="2"/>
        <v>0</v>
      </c>
    </row>
    <row r="12" spans="1:18" x14ac:dyDescent="0.25">
      <c r="A12" s="1" t="s">
        <v>17</v>
      </c>
      <c r="B12" s="1" t="str">
        <f>VLOOKUP(A12,LISTADHERENT!A$5:H$51,2)</f>
        <v>DJOUNKEP SAMUEL</v>
      </c>
      <c r="C12" s="6">
        <f t="shared" si="0"/>
        <v>18648.245012997726</v>
      </c>
      <c r="D12" s="6">
        <f>TONT20000MARS!C12+TONT20000MARS!D12+TONT20000AVRIL!G12</f>
        <v>1439519.8901465086</v>
      </c>
      <c r="E12" s="1"/>
      <c r="F12" s="7">
        <f t="shared" si="1"/>
        <v>20000</v>
      </c>
      <c r="G12" s="7">
        <v>3000</v>
      </c>
      <c r="H12" s="7">
        <v>500</v>
      </c>
      <c r="I12" s="7">
        <v>1000</v>
      </c>
      <c r="J12" s="7">
        <v>2500</v>
      </c>
      <c r="K12" s="7"/>
      <c r="L12" s="7">
        <v>13000</v>
      </c>
      <c r="N12" s="7">
        <f t="shared" si="2"/>
        <v>0</v>
      </c>
    </row>
    <row r="13" spans="1:18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4415.8793981258577</v>
      </c>
      <c r="D13" s="6">
        <f>TONT20000MARS!C13+TONT20000MARS!D13+TONT20000AVRIL!G13</f>
        <v>340876.37853641174</v>
      </c>
      <c r="E13" s="1"/>
      <c r="F13" s="7">
        <f t="shared" si="1"/>
        <v>20000</v>
      </c>
      <c r="G13" s="7">
        <v>3000</v>
      </c>
      <c r="H13" s="7">
        <v>500</v>
      </c>
      <c r="I13" s="7">
        <v>1000</v>
      </c>
      <c r="J13" s="7">
        <v>2500</v>
      </c>
      <c r="K13" s="7"/>
      <c r="L13" s="7">
        <v>13000</v>
      </c>
      <c r="N13" s="7">
        <f t="shared" si="2"/>
        <v>0</v>
      </c>
    </row>
    <row r="14" spans="1:18" x14ac:dyDescent="0.25">
      <c r="A14" s="1" t="s">
        <v>19</v>
      </c>
      <c r="B14" s="1" t="str">
        <f>VLOOKUP(A14,LISTADHERENT!A$5:H$51,2)</f>
        <v>DONHOU DAVID</v>
      </c>
      <c r="C14" s="6">
        <f t="shared" si="0"/>
        <v>5944.4462061809018</v>
      </c>
      <c r="D14" s="6">
        <f>TONT20000MARS!C14+TONT20000MARS!D14+TONT20000AVRIL!G14</f>
        <v>458871.5208181293</v>
      </c>
      <c r="E14" s="1"/>
      <c r="F14" s="7">
        <f t="shared" si="1"/>
        <v>20000</v>
      </c>
      <c r="G14" s="7">
        <v>3000</v>
      </c>
      <c r="H14" s="7">
        <v>500</v>
      </c>
      <c r="I14" s="7">
        <v>1000</v>
      </c>
      <c r="J14" s="7">
        <v>2500</v>
      </c>
      <c r="K14" s="7"/>
      <c r="L14" s="7">
        <v>13000</v>
      </c>
      <c r="N14" s="7">
        <f t="shared" si="2"/>
        <v>0</v>
      </c>
    </row>
    <row r="15" spans="1:18" x14ac:dyDescent="0.25">
      <c r="A15" s="1" t="s">
        <v>20</v>
      </c>
      <c r="B15" s="1" t="str">
        <f>VLOOKUP(A15,LISTADHERENT!A$5:H$51,2)</f>
        <v>FOTSO THOMAS</v>
      </c>
      <c r="C15" s="6">
        <f t="shared" si="0"/>
        <v>5396.8067345337768</v>
      </c>
      <c r="D15" s="6">
        <f>TONT20000MARS!C15+TONT20000MARS!D15+TONT20000AVRIL!G15</f>
        <v>416597.4134414891</v>
      </c>
      <c r="E15" s="1"/>
      <c r="F15" s="7">
        <f t="shared" si="1"/>
        <v>20000</v>
      </c>
      <c r="G15" s="7">
        <v>3000</v>
      </c>
      <c r="H15" s="7">
        <v>500</v>
      </c>
      <c r="I15" s="7">
        <v>1000</v>
      </c>
      <c r="J15" s="7">
        <v>2500</v>
      </c>
      <c r="K15" s="7"/>
      <c r="L15" s="7">
        <v>13000</v>
      </c>
      <c r="M15" s="7">
        <v>1000000</v>
      </c>
      <c r="N15" s="7">
        <f t="shared" si="2"/>
        <v>120000</v>
      </c>
    </row>
    <row r="16" spans="1:18" x14ac:dyDescent="0.25">
      <c r="A16" s="1" t="s">
        <v>21</v>
      </c>
      <c r="B16" s="1" t="str">
        <f>VLOOKUP(A16,LISTADHERENT!A$5:H$51,2)</f>
        <v>HENGUE PAUL OMER</v>
      </c>
      <c r="C16" s="6">
        <f t="shared" si="0"/>
        <v>5352.933164731644</v>
      </c>
      <c r="D16" s="6">
        <f>TONT20000MARS!C16+TONT20000MARS!D16+TONT20000AVRIL!G16</f>
        <v>413210.66705662111</v>
      </c>
      <c r="E16" s="1"/>
      <c r="F16" s="7">
        <f t="shared" si="1"/>
        <v>20000</v>
      </c>
      <c r="G16" s="7">
        <v>3000</v>
      </c>
      <c r="H16" s="7">
        <v>500</v>
      </c>
      <c r="I16" s="7">
        <v>1000</v>
      </c>
      <c r="J16" s="7">
        <v>2500</v>
      </c>
      <c r="K16" s="7"/>
      <c r="L16" s="7">
        <v>13000</v>
      </c>
      <c r="N16" s="7">
        <f t="shared" si="2"/>
        <v>0</v>
      </c>
    </row>
    <row r="17" spans="1:14" x14ac:dyDescent="0.25">
      <c r="A17" s="1" t="s">
        <v>22</v>
      </c>
      <c r="B17" s="1" t="str">
        <f>VLOOKUP(A17,LISTADHERENT!A$5:H$51,2)</f>
        <v>HODIEP JULES</v>
      </c>
      <c r="C17" s="6">
        <f t="shared" si="0"/>
        <v>196.00362198538465</v>
      </c>
      <c r="D17" s="6">
        <f>TONT20000MARS!C17+TONT20000MARS!D17+TONT20000AVRIL!G17</f>
        <v>15130.169739407698</v>
      </c>
      <c r="E17" s="1"/>
      <c r="F17" s="7">
        <f t="shared" si="1"/>
        <v>20000</v>
      </c>
      <c r="G17" s="7">
        <v>3000</v>
      </c>
      <c r="H17" s="7">
        <v>500</v>
      </c>
      <c r="I17" s="7">
        <v>1000</v>
      </c>
      <c r="J17" s="7">
        <v>2500</v>
      </c>
      <c r="K17" s="7"/>
      <c r="L17" s="7">
        <v>13000</v>
      </c>
      <c r="N17" s="7">
        <f t="shared" si="2"/>
        <v>0</v>
      </c>
    </row>
    <row r="18" spans="1:14" x14ac:dyDescent="0.25">
      <c r="A18" s="1" t="s">
        <v>23</v>
      </c>
      <c r="B18" s="1" t="str">
        <f>VLOOKUP(A18,LISTADHERENT!A$5:H$51,2)</f>
        <v>HOTCHO BENJAMIN</v>
      </c>
      <c r="C18" s="6">
        <f t="shared" si="0"/>
        <v>5468.2764888377342</v>
      </c>
      <c r="D18" s="6">
        <f>TONT20000MARS!C18+TONT20000MARS!D18+TONT20000AVRIL!G18</f>
        <v>422114.40084661607</v>
      </c>
      <c r="E18" s="1"/>
      <c r="F18" s="7">
        <f t="shared" si="1"/>
        <v>20000</v>
      </c>
      <c r="G18" s="7">
        <v>3000</v>
      </c>
      <c r="H18" s="7">
        <v>500</v>
      </c>
      <c r="I18" s="7">
        <v>1000</v>
      </c>
      <c r="J18" s="7">
        <v>2500</v>
      </c>
      <c r="K18" s="7"/>
      <c r="L18" s="7">
        <v>13000</v>
      </c>
      <c r="N18" s="7">
        <f t="shared" si="2"/>
        <v>0</v>
      </c>
    </row>
    <row r="19" spans="1:14" x14ac:dyDescent="0.25">
      <c r="A19" s="1" t="s">
        <v>24</v>
      </c>
      <c r="B19" s="1" t="str">
        <f>VLOOKUP(A19,LISTADHERENT!A$5:H$51,2)</f>
        <v>KEPHE DAVID</v>
      </c>
      <c r="C19" s="6">
        <f t="shared" si="0"/>
        <v>365.1905796762523</v>
      </c>
      <c r="D19" s="6">
        <f>TONT20000MARS!C19+TONT20000MARS!D19+TONT20000AVRIL!G19</f>
        <v>28190.272209083967</v>
      </c>
      <c r="E19" s="1"/>
      <c r="F19" s="7">
        <f t="shared" si="1"/>
        <v>20000</v>
      </c>
      <c r="G19" s="7">
        <v>3000</v>
      </c>
      <c r="H19" s="7">
        <v>500</v>
      </c>
      <c r="I19" s="7">
        <v>1000</v>
      </c>
      <c r="J19" s="7">
        <v>2500</v>
      </c>
      <c r="K19" s="7"/>
      <c r="L19" s="7">
        <v>13000</v>
      </c>
      <c r="N19" s="7">
        <f t="shared" si="2"/>
        <v>0</v>
      </c>
    </row>
    <row r="20" spans="1:14" x14ac:dyDescent="0.25">
      <c r="A20" s="1" t="s">
        <v>25</v>
      </c>
      <c r="B20" s="1" t="str">
        <f>VLOOKUP(A20,LISTADHERENT!A$5:H$51,2)</f>
        <v>KEPSEU FRANCIS</v>
      </c>
      <c r="C20" s="6">
        <f t="shared" si="0"/>
        <v>14245.578551813711</v>
      </c>
      <c r="D20" s="6">
        <f>TONT20000MARS!C20+TONT20000MARS!D20+TONT20000AVRIL!G20</f>
        <v>1099663.4620409163</v>
      </c>
      <c r="E20" s="1"/>
      <c r="F20" s="7">
        <f t="shared" si="1"/>
        <v>363000</v>
      </c>
      <c r="G20" s="7">
        <v>346000</v>
      </c>
      <c r="H20" s="7">
        <v>500</v>
      </c>
      <c r="I20" s="7">
        <v>1000</v>
      </c>
      <c r="J20" s="7">
        <v>2500</v>
      </c>
      <c r="K20" s="7"/>
      <c r="L20" s="7">
        <v>13000</v>
      </c>
      <c r="N20" s="7">
        <f t="shared" si="2"/>
        <v>0</v>
      </c>
    </row>
    <row r="21" spans="1:14" x14ac:dyDescent="0.25">
      <c r="A21" s="1" t="s">
        <v>26</v>
      </c>
      <c r="B21" s="1" t="str">
        <f>VLOOKUP(A21,LISTADHERENT!A$5:H$51,2)</f>
        <v>KOUAMOU EMMANUEL</v>
      </c>
      <c r="C21" s="6">
        <f t="shared" si="0"/>
        <v>5388.939111257022</v>
      </c>
      <c r="D21" s="6">
        <f>TONT20000MARS!C21+TONT20000MARS!D21+TONT20000AVRIL!G21</f>
        <v>415990.08550327428</v>
      </c>
      <c r="E21" s="1"/>
      <c r="F21" s="7">
        <f t="shared" si="1"/>
        <v>20000</v>
      </c>
      <c r="G21" s="7">
        <v>3000</v>
      </c>
      <c r="H21" s="7">
        <v>500</v>
      </c>
      <c r="I21" s="7">
        <v>1000</v>
      </c>
      <c r="J21" s="7">
        <v>2500</v>
      </c>
      <c r="K21" s="7"/>
      <c r="L21" s="7">
        <v>13000</v>
      </c>
      <c r="N21" s="7">
        <f t="shared" si="2"/>
        <v>0</v>
      </c>
    </row>
    <row r="22" spans="1:14" x14ac:dyDescent="0.25">
      <c r="A22" s="1" t="s">
        <v>27</v>
      </c>
      <c r="B22" s="1" t="str">
        <f>VLOOKUP(A22,LISTADHERENT!A$5:H$51,2)</f>
        <v>KOUAMOU MOISE</v>
      </c>
      <c r="C22" s="6">
        <f t="shared" si="0"/>
        <v>4388.9708042297325</v>
      </c>
      <c r="D22" s="6">
        <f>TONT20000MARS!C22+TONT20000MARS!D22+TONT20000AVRIL!G22</f>
        <v>338799.21491579496</v>
      </c>
      <c r="E22" s="1"/>
      <c r="F22" s="7">
        <f t="shared" si="1"/>
        <v>20000</v>
      </c>
      <c r="G22" s="7">
        <v>3000</v>
      </c>
      <c r="H22" s="7">
        <v>500</v>
      </c>
      <c r="I22" s="7">
        <v>1000</v>
      </c>
      <c r="J22" s="7">
        <v>2500</v>
      </c>
      <c r="K22" s="7"/>
      <c r="L22" s="7">
        <v>13000</v>
      </c>
      <c r="N22" s="7">
        <f t="shared" si="2"/>
        <v>0</v>
      </c>
    </row>
    <row r="23" spans="1:14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5837.2746319656235</v>
      </c>
      <c r="D23" s="6">
        <f>TONT20000MARS!C23+TONT20000MARS!D23+TONT20000AVRIL!G23</f>
        <v>450598.59150849847</v>
      </c>
      <c r="E23" s="1"/>
      <c r="F23" s="7">
        <f t="shared" si="1"/>
        <v>20000</v>
      </c>
      <c r="G23" s="7">
        <v>3000</v>
      </c>
      <c r="H23" s="7">
        <v>500</v>
      </c>
      <c r="I23" s="7">
        <v>1000</v>
      </c>
      <c r="J23" s="7">
        <v>2500</v>
      </c>
      <c r="K23" s="7"/>
      <c r="L23" s="7">
        <v>13000</v>
      </c>
      <c r="N23" s="7">
        <f t="shared" si="2"/>
        <v>0</v>
      </c>
    </row>
    <row r="24" spans="1:14" x14ac:dyDescent="0.25">
      <c r="A24" s="1" t="s">
        <v>29</v>
      </c>
      <c r="B24" s="1" t="str">
        <f>VLOOKUP(A24,LISTADHERENT!A$5:H$51,2)</f>
        <v>KOUATCHO MESSACK</v>
      </c>
      <c r="C24" s="6">
        <f t="shared" si="0"/>
        <v>5352.933164731644</v>
      </c>
      <c r="D24" s="6">
        <f>TONT20000MARS!C24+TONT20000MARS!D24+TONT20000AVRIL!G24</f>
        <v>413210.66705662111</v>
      </c>
      <c r="E24" s="1"/>
      <c r="F24" s="7">
        <f t="shared" si="1"/>
        <v>20000</v>
      </c>
      <c r="G24" s="7">
        <v>3000</v>
      </c>
      <c r="H24" s="7">
        <v>500</v>
      </c>
      <c r="I24" s="7">
        <v>1000</v>
      </c>
      <c r="J24" s="7">
        <v>2500</v>
      </c>
      <c r="K24" s="7"/>
      <c r="L24" s="7">
        <v>13000</v>
      </c>
      <c r="M24" s="7">
        <v>1000000</v>
      </c>
      <c r="N24" s="7">
        <f t="shared" si="2"/>
        <v>120000</v>
      </c>
    </row>
    <row r="25" spans="1:14" x14ac:dyDescent="0.25">
      <c r="A25" s="1" t="s">
        <v>30</v>
      </c>
      <c r="B25" s="1" t="str">
        <f>VLOOKUP(A25,LISTADHERENT!A$5:H$51,2)</f>
        <v>LOWE JEAN</v>
      </c>
      <c r="C25" s="6">
        <f t="shared" si="0"/>
        <v>5410.2015284486533</v>
      </c>
      <c r="D25" s="6">
        <f>TONT20000MARS!C25+TONT20000MARS!D25+TONT20000AVRIL!G25</f>
        <v>417631.40201528993</v>
      </c>
      <c r="E25" s="1"/>
      <c r="F25" s="7">
        <f t="shared" si="1"/>
        <v>20000</v>
      </c>
      <c r="G25" s="7">
        <v>3000</v>
      </c>
      <c r="H25" s="7">
        <v>500</v>
      </c>
      <c r="I25" s="7">
        <v>1000</v>
      </c>
      <c r="J25" s="7">
        <v>2500</v>
      </c>
      <c r="K25" s="7"/>
      <c r="L25" s="7">
        <v>13000</v>
      </c>
      <c r="N25" s="7">
        <f t="shared" si="2"/>
        <v>0</v>
      </c>
    </row>
    <row r="26" spans="1:14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5411.2593601497292</v>
      </c>
      <c r="D26" s="6">
        <f>TONT20000MARS!C26+TONT20000MARS!D26+TONT20000AVRIL!G26</f>
        <v>417713.05955320114</v>
      </c>
      <c r="E26" s="1"/>
      <c r="F26" s="7">
        <f t="shared" si="1"/>
        <v>20000</v>
      </c>
      <c r="G26" s="7">
        <v>3000</v>
      </c>
      <c r="H26" s="7">
        <v>500</v>
      </c>
      <c r="I26" s="7">
        <v>1000</v>
      </c>
      <c r="J26" s="7">
        <v>2500</v>
      </c>
      <c r="K26" s="7"/>
      <c r="L26" s="7">
        <v>13000</v>
      </c>
      <c r="N26" s="7">
        <f t="shared" si="2"/>
        <v>0</v>
      </c>
    </row>
    <row r="27" spans="1:14" x14ac:dyDescent="0.25">
      <c r="A27" s="1" t="s">
        <v>32</v>
      </c>
      <c r="B27" s="1" t="str">
        <f>VLOOKUP(A27,LISTADHERENT!A$5:H$51,2)</f>
        <v>NDJOMO ETIENNE</v>
      </c>
      <c r="C27" s="6">
        <f t="shared" si="0"/>
        <v>5706.8450343433278</v>
      </c>
      <c r="D27" s="6">
        <f>TONT20000MARS!C27+TONT20000MARS!D27+TONT20000AVRIL!G27</f>
        <v>440530.29822351452</v>
      </c>
      <c r="E27" s="1"/>
      <c r="F27" s="7">
        <f t="shared" si="1"/>
        <v>25000</v>
      </c>
      <c r="G27" s="7">
        <v>8000</v>
      </c>
      <c r="H27" s="7">
        <v>500</v>
      </c>
      <c r="I27" s="7">
        <v>1000</v>
      </c>
      <c r="J27" s="7">
        <v>2500</v>
      </c>
      <c r="K27" s="7"/>
      <c r="L27" s="7">
        <v>13000</v>
      </c>
      <c r="M27" s="7"/>
      <c r="N27" s="7">
        <f t="shared" si="2"/>
        <v>0</v>
      </c>
    </row>
    <row r="28" spans="1:14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TONT20000MARS!C28+TONT20000MARS!D28+TONT20000AVRIL!G28</f>
        <v>0</v>
      </c>
      <c r="E28" s="1"/>
      <c r="F28" s="7">
        <f t="shared" si="1"/>
        <v>0</v>
      </c>
      <c r="G28" s="7"/>
      <c r="H28" s="7"/>
      <c r="I28" s="7"/>
      <c r="J28" s="7"/>
      <c r="K28" s="7"/>
      <c r="L28" s="7"/>
      <c r="N28" s="7">
        <f t="shared" si="2"/>
        <v>0</v>
      </c>
    </row>
    <row r="29" spans="1:14" x14ac:dyDescent="0.25">
      <c r="A29" s="1" t="s">
        <v>34</v>
      </c>
      <c r="B29" s="1" t="str">
        <f>VLOOKUP(A29,LISTADHERENT!A$5:H$51,2)</f>
        <v>NGONDIEP CLAUDE</v>
      </c>
      <c r="C29" s="6">
        <f t="shared" si="0"/>
        <v>7727.4215383447627</v>
      </c>
      <c r="D29" s="6">
        <f>TONT20000MARS!C29+TONT20000MARS!D29+TONT20000AVRIL!G29</f>
        <v>596505.30096749612</v>
      </c>
      <c r="E29" s="1"/>
      <c r="F29" s="7">
        <f t="shared" si="1"/>
        <v>20000</v>
      </c>
      <c r="G29" s="7">
        <v>3000</v>
      </c>
      <c r="H29" s="7">
        <v>500</v>
      </c>
      <c r="I29" s="7">
        <v>1000</v>
      </c>
      <c r="J29" s="7">
        <v>2500</v>
      </c>
      <c r="K29" s="7"/>
      <c r="L29" s="7">
        <v>13000</v>
      </c>
      <c r="N29" s="7">
        <f t="shared" si="2"/>
        <v>0</v>
      </c>
    </row>
    <row r="30" spans="1:14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196.00362198538465</v>
      </c>
      <c r="D30" s="6">
        <f>TONT20000MARS!C30+TONT20000MARS!D30+TONT20000AVRIL!G30</f>
        <v>15130.169739407698</v>
      </c>
      <c r="E30" s="1"/>
      <c r="F30" s="7">
        <f t="shared" si="1"/>
        <v>20000</v>
      </c>
      <c r="G30" s="7">
        <v>3000</v>
      </c>
      <c r="H30" s="7">
        <v>500</v>
      </c>
      <c r="I30" s="7">
        <v>1000</v>
      </c>
      <c r="J30" s="7">
        <v>2500</v>
      </c>
      <c r="K30" s="7"/>
      <c r="L30" s="7">
        <v>13000</v>
      </c>
      <c r="N30" s="7">
        <f t="shared" si="2"/>
        <v>0</v>
      </c>
    </row>
    <row r="31" spans="1:14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392.87932445192064</v>
      </c>
      <c r="D31" s="6">
        <f>TONT20000MARS!C31+TONT20000MARS!D31+TONT20000AVRIL!G31</f>
        <v>30327.658263910234</v>
      </c>
      <c r="E31" s="1"/>
      <c r="F31" s="7">
        <f t="shared" si="1"/>
        <v>20000</v>
      </c>
      <c r="G31" s="7">
        <v>3000</v>
      </c>
      <c r="H31" s="7">
        <v>500</v>
      </c>
      <c r="I31" s="7">
        <v>1000</v>
      </c>
      <c r="J31" s="7">
        <v>2500</v>
      </c>
      <c r="K31" s="7"/>
      <c r="L31" s="7">
        <v>13000</v>
      </c>
      <c r="N31" s="7">
        <f t="shared" si="2"/>
        <v>0</v>
      </c>
    </row>
    <row r="32" spans="1:14" x14ac:dyDescent="0.25">
      <c r="A32" s="1" t="s">
        <v>37</v>
      </c>
      <c r="B32" s="1" t="str">
        <f>VLOOKUP(A32,LISTADHERENT!A$5:H$51,2)</f>
        <v>NJEPDJIO MBOUKAM DELUXE</v>
      </c>
      <c r="C32" s="6">
        <f t="shared" si="0"/>
        <v>5545.2215389020466</v>
      </c>
      <c r="D32" s="6">
        <f>TONT20000MARS!C32+TONT20000MARS!D32+TONT20000AVRIL!G32</f>
        <v>428054.04449344153</v>
      </c>
      <c r="E32" s="1"/>
      <c r="F32" s="7">
        <f t="shared" si="1"/>
        <v>23000</v>
      </c>
      <c r="G32" s="7">
        <v>6000</v>
      </c>
      <c r="H32" s="7">
        <v>500</v>
      </c>
      <c r="I32" s="7">
        <v>1000</v>
      </c>
      <c r="J32" s="7">
        <v>2500</v>
      </c>
      <c r="K32" s="7"/>
      <c r="L32" s="7">
        <v>13000</v>
      </c>
      <c r="N32" s="7">
        <f t="shared" si="2"/>
        <v>0</v>
      </c>
    </row>
    <row r="33" spans="1:15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392.00724397076931</v>
      </c>
      <c r="D33" s="6">
        <f>TONT20000MARS!C33+TONT20000MARS!D33+TONT20000AVRIL!G33</f>
        <v>30260.339478815396</v>
      </c>
      <c r="E33" s="1"/>
      <c r="F33" s="7">
        <f t="shared" si="1"/>
        <v>23000</v>
      </c>
      <c r="G33" s="7">
        <v>6000</v>
      </c>
      <c r="H33" s="7">
        <v>500</v>
      </c>
      <c r="I33" s="7">
        <v>1000</v>
      </c>
      <c r="J33" s="7">
        <v>2500</v>
      </c>
      <c r="K33" s="7"/>
      <c r="L33" s="7">
        <v>13000</v>
      </c>
      <c r="M33" s="11"/>
      <c r="N33" s="7">
        <f t="shared" si="2"/>
        <v>0</v>
      </c>
    </row>
    <row r="34" spans="1:15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5795.1607584869244</v>
      </c>
      <c r="D34" s="6">
        <f>TONT20000MARS!C34+TONT20000MARS!D34+TONT20000AVRIL!G34</f>
        <v>447347.68191987782</v>
      </c>
      <c r="E34" s="1"/>
      <c r="F34" s="10">
        <f>G34+H34+I34+J34+K34+L34</f>
        <v>25000</v>
      </c>
      <c r="G34" s="7">
        <v>8000</v>
      </c>
      <c r="H34" s="7">
        <v>500</v>
      </c>
      <c r="I34" s="7">
        <v>1000</v>
      </c>
      <c r="J34" s="7">
        <v>2500</v>
      </c>
      <c r="K34" s="7"/>
      <c r="L34" s="7">
        <v>13000</v>
      </c>
      <c r="M34"/>
      <c r="N34" s="7">
        <f t="shared" si="2"/>
        <v>0</v>
      </c>
    </row>
    <row r="35" spans="1:15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5458.4915456027793</v>
      </c>
      <c r="D35" s="6">
        <f>TONT20000MARS!C35+TONT20000MARS!D35+TONT20000AVRIL!G35</f>
        <v>421359.06862093724</v>
      </c>
      <c r="E35" s="1"/>
      <c r="F35" s="7">
        <f t="shared" si="1"/>
        <v>20000</v>
      </c>
      <c r="G35" s="7">
        <v>3000</v>
      </c>
      <c r="H35" s="7">
        <v>500</v>
      </c>
      <c r="I35" s="7">
        <v>1000</v>
      </c>
      <c r="J35" s="7">
        <v>2500</v>
      </c>
      <c r="K35" s="7"/>
      <c r="L35" s="7">
        <v>13000</v>
      </c>
      <c r="N35" s="7">
        <f t="shared" si="2"/>
        <v>0</v>
      </c>
    </row>
    <row r="36" spans="1:15" x14ac:dyDescent="0.25">
      <c r="A36" s="1" t="s">
        <v>41</v>
      </c>
      <c r="B36" s="1" t="str">
        <f>VLOOKUP(A36,LISTADHERENT!A$5:H$51,2)</f>
        <v>NTEPDIE TUEMAC MZ</v>
      </c>
      <c r="C36" s="6">
        <f t="shared" si="0"/>
        <v>79.11430022036761</v>
      </c>
      <c r="D36" s="6">
        <f>TONT20000MARS!C36+TONT20000MARS!D36+TONT20000AVRIL!G36</f>
        <v>6107.0952619328591</v>
      </c>
      <c r="E36" s="1"/>
      <c r="F36" s="7">
        <f t="shared" si="1"/>
        <v>0</v>
      </c>
      <c r="G36" s="7"/>
      <c r="H36" s="7"/>
      <c r="I36" s="7"/>
      <c r="J36" s="7"/>
      <c r="K36" s="7"/>
      <c r="L36" s="7"/>
      <c r="N36" s="7">
        <f t="shared" si="2"/>
        <v>0</v>
      </c>
    </row>
    <row r="37" spans="1:15" x14ac:dyDescent="0.25">
      <c r="A37" s="1" t="s">
        <v>42</v>
      </c>
      <c r="B37" s="1" t="str">
        <f>VLOOKUP(A37,LISTADHERENT!A$5:H$51,2)</f>
        <v>NTOMBOU ADOLPHE</v>
      </c>
      <c r="C37" s="6">
        <f t="shared" si="0"/>
        <v>196.00362198538465</v>
      </c>
      <c r="D37" s="6">
        <f>TONT20000MARS!C37+TONT20000MARS!D37+TONT20000AVRIL!G37</f>
        <v>15130.169739407698</v>
      </c>
      <c r="E37" s="1"/>
      <c r="F37" s="7">
        <f t="shared" si="1"/>
        <v>20000</v>
      </c>
      <c r="G37" s="7">
        <v>3000</v>
      </c>
      <c r="H37" s="7">
        <v>500</v>
      </c>
      <c r="I37" s="7">
        <v>1000</v>
      </c>
      <c r="J37" s="7">
        <v>2500</v>
      </c>
      <c r="K37" s="7"/>
      <c r="L37" s="7">
        <v>13000</v>
      </c>
      <c r="N37" s="7">
        <f t="shared" si="2"/>
        <v>0</v>
      </c>
    </row>
    <row r="38" spans="1:15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5354.7843702085256</v>
      </c>
      <c r="D38" s="6">
        <f>TONT20000MARS!C38+TONT20000MARS!D38+TONT20000AVRIL!G38</f>
        <v>413353.56774796569</v>
      </c>
      <c r="E38" s="1"/>
      <c r="F38" s="7">
        <f t="shared" si="1"/>
        <v>20000</v>
      </c>
      <c r="G38" s="7">
        <v>3000</v>
      </c>
      <c r="H38" s="7">
        <v>500</v>
      </c>
      <c r="I38" s="7">
        <v>1000</v>
      </c>
      <c r="J38" s="7">
        <v>2500</v>
      </c>
      <c r="K38" s="7"/>
      <c r="L38" s="7">
        <v>13000</v>
      </c>
      <c r="N38" s="7">
        <f t="shared" si="2"/>
        <v>0</v>
      </c>
    </row>
    <row r="39" spans="1:15" x14ac:dyDescent="0.25">
      <c r="A39" s="1" t="s">
        <v>44</v>
      </c>
      <c r="B39" s="1" t="str">
        <f>VLOOKUP(A39,LISTADHERENT!A$5:H$51,2)</f>
        <v>SEUNOU RICHELOT</v>
      </c>
      <c r="C39" s="6">
        <f t="shared" si="0"/>
        <v>5387.7358276970481</v>
      </c>
      <c r="D39" s="6">
        <f>TONT20000MARS!C39+TONT20000MARS!D39+TONT20000AVRIL!G39</f>
        <v>415897.20005390025</v>
      </c>
      <c r="E39" s="1"/>
      <c r="F39" s="7">
        <f t="shared" si="1"/>
        <v>20000</v>
      </c>
      <c r="G39" s="7">
        <v>3000</v>
      </c>
      <c r="H39" s="7">
        <v>500</v>
      </c>
      <c r="I39" s="7">
        <v>1000</v>
      </c>
      <c r="J39" s="7">
        <v>2500</v>
      </c>
      <c r="K39" s="7"/>
      <c r="L39" s="7">
        <v>13000</v>
      </c>
      <c r="N39" s="7">
        <f t="shared" si="2"/>
        <v>0</v>
      </c>
    </row>
    <row r="40" spans="1:15" x14ac:dyDescent="0.25">
      <c r="A40" s="1" t="s">
        <v>45</v>
      </c>
      <c r="B40" s="1" t="str">
        <f>VLOOKUP(A40,LISTADHERENT!A$5:H$51,2)</f>
        <v>SIME ABEL</v>
      </c>
      <c r="C40" s="6">
        <f t="shared" si="0"/>
        <v>196.00362198538465</v>
      </c>
      <c r="D40" s="6">
        <f>TONT20000MARS!C40+TONT20000MARS!D40+TONT20000AVRIL!G40</f>
        <v>15130.169739407698</v>
      </c>
      <c r="E40" s="1"/>
      <c r="F40" s="7">
        <f t="shared" si="1"/>
        <v>20000</v>
      </c>
      <c r="G40" s="7">
        <v>3000</v>
      </c>
      <c r="H40" s="7">
        <v>500</v>
      </c>
      <c r="I40" s="7">
        <v>1000</v>
      </c>
      <c r="J40" s="7">
        <v>2500</v>
      </c>
      <c r="K40" s="7"/>
      <c r="L40" s="7">
        <v>13000</v>
      </c>
      <c r="N40" s="7">
        <f t="shared" si="2"/>
        <v>0</v>
      </c>
    </row>
    <row r="41" spans="1:15" x14ac:dyDescent="0.25">
      <c r="A41" s="1" t="s">
        <v>46</v>
      </c>
      <c r="B41" s="1" t="str">
        <f>VLOOKUP(A41,LISTADHERENT!A$5:H$51,2)</f>
        <v>SIME FONGANG ERIC</v>
      </c>
      <c r="C41" s="6">
        <f t="shared" si="0"/>
        <v>5365.9180488623533</v>
      </c>
      <c r="D41" s="6">
        <f>TONT20000MARS!C41+TONT20000MARS!D41+TONT20000AVRIL!G41</f>
        <v>414213.01333448134</v>
      </c>
      <c r="E41" s="1"/>
      <c r="F41" s="7">
        <f t="shared" si="1"/>
        <v>20000</v>
      </c>
      <c r="G41" s="7">
        <v>3000</v>
      </c>
      <c r="H41" s="7">
        <v>500</v>
      </c>
      <c r="I41" s="7">
        <v>1000</v>
      </c>
      <c r="J41" s="7">
        <v>2500</v>
      </c>
      <c r="K41" s="7"/>
      <c r="L41" s="7">
        <v>13000</v>
      </c>
      <c r="N41" s="7">
        <f t="shared" si="2"/>
        <v>0</v>
      </c>
    </row>
    <row r="42" spans="1:15" x14ac:dyDescent="0.25">
      <c r="A42" s="1" t="s">
        <v>47</v>
      </c>
      <c r="B42" s="1" t="str">
        <f>VLOOKUP(A42,LISTADHERENT!A$5:H$51,2)</f>
        <v>SIME MATHIEU</v>
      </c>
      <c r="C42" s="6">
        <f t="shared" si="0"/>
        <v>5361.3429267551983</v>
      </c>
      <c r="D42" s="6">
        <f>TONT20000MARS!C42+TONT20000MARS!D42+TONT20000AVRIL!G42</f>
        <v>413859.8444830153</v>
      </c>
      <c r="E42" s="1"/>
      <c r="F42" s="7">
        <f t="shared" si="1"/>
        <v>20000</v>
      </c>
      <c r="G42" s="7">
        <v>3000</v>
      </c>
      <c r="H42" s="7">
        <v>500</v>
      </c>
      <c r="I42" s="7">
        <v>1000</v>
      </c>
      <c r="J42" s="7">
        <v>2500</v>
      </c>
      <c r="K42" s="7"/>
      <c r="L42" s="7">
        <v>13000</v>
      </c>
      <c r="N42" s="7">
        <f t="shared" si="2"/>
        <v>0</v>
      </c>
    </row>
    <row r="43" spans="1:15" x14ac:dyDescent="0.25">
      <c r="A43" s="1" t="s">
        <v>48</v>
      </c>
      <c r="B43" s="1" t="str">
        <f>VLOOKUP(A43,LISTADHERENT!A$5:H$51,2)</f>
        <v>SIME PIERRE</v>
      </c>
      <c r="C43" s="6">
        <f t="shared" si="0"/>
        <v>18920.66933983815</v>
      </c>
      <c r="D43" s="6">
        <f>TONT20000MARS!C43+TONT20000MARS!D43+TONT20000AVRIL!G43</f>
        <v>1460549.2275867467</v>
      </c>
      <c r="E43" s="1"/>
      <c r="F43" s="7">
        <f t="shared" si="1"/>
        <v>20000</v>
      </c>
      <c r="G43" s="7">
        <v>3000</v>
      </c>
      <c r="H43" s="7">
        <v>500</v>
      </c>
      <c r="I43" s="7">
        <v>1000</v>
      </c>
      <c r="J43" s="7">
        <v>2500</v>
      </c>
      <c r="K43" s="7"/>
      <c r="L43" s="7">
        <v>13000</v>
      </c>
      <c r="M43" s="7">
        <v>200000</v>
      </c>
      <c r="N43" s="7">
        <f t="shared" si="2"/>
        <v>6000</v>
      </c>
      <c r="O43" s="7">
        <v>200000</v>
      </c>
    </row>
    <row r="44" spans="1:15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196.00362198538465</v>
      </c>
      <c r="D44" s="6">
        <f>TONT20000MARS!C44+TONT20000MARS!D44+TONT20000AVRIL!G44</f>
        <v>15130.169739407698</v>
      </c>
      <c r="E44" s="1"/>
      <c r="F44" s="7">
        <f t="shared" si="1"/>
        <v>20000</v>
      </c>
      <c r="G44" s="7">
        <v>3000</v>
      </c>
      <c r="H44" s="7">
        <v>500</v>
      </c>
      <c r="I44" s="7">
        <v>1000</v>
      </c>
      <c r="J44" s="7">
        <v>2500</v>
      </c>
      <c r="K44" s="7"/>
      <c r="L44" s="7">
        <v>13000</v>
      </c>
      <c r="N44" s="7">
        <f t="shared" si="2"/>
        <v>0</v>
      </c>
    </row>
    <row r="45" spans="1:15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196.00362198538465</v>
      </c>
      <c r="D45" s="6">
        <f>TONT20000MARS!C45+TONT20000MARS!D45+TONT20000AVRIL!G45</f>
        <v>15130.169739407698</v>
      </c>
      <c r="E45" s="1"/>
      <c r="F45" s="7">
        <f t="shared" si="1"/>
        <v>20000</v>
      </c>
      <c r="G45" s="7">
        <v>3000</v>
      </c>
      <c r="H45" s="7">
        <v>500</v>
      </c>
      <c r="I45" s="7">
        <v>1000</v>
      </c>
      <c r="J45" s="7">
        <v>2500</v>
      </c>
      <c r="K45" s="7"/>
      <c r="L45" s="7">
        <v>13000</v>
      </c>
      <c r="N45" s="7">
        <f t="shared" si="2"/>
        <v>0</v>
      </c>
    </row>
    <row r="46" spans="1:15" x14ac:dyDescent="0.25">
      <c r="A46" s="1" t="s">
        <v>51</v>
      </c>
      <c r="B46" s="1" t="str">
        <f>VLOOKUP(A46,LISTADHERENT!A$5:H$51,2)</f>
        <v>TCHOUAMOU MATHIEU</v>
      </c>
      <c r="C46" s="6">
        <f t="shared" si="0"/>
        <v>5398.3802591891272</v>
      </c>
      <c r="D46" s="6">
        <f>TONT20000MARS!C46+TONT20000MARS!D46+TONT20000AVRIL!G46</f>
        <v>416718.87902913196</v>
      </c>
      <c r="E46" s="1"/>
      <c r="F46" s="7">
        <f t="shared" si="1"/>
        <v>20000</v>
      </c>
      <c r="G46" s="7">
        <v>3000</v>
      </c>
      <c r="H46" s="7">
        <v>500</v>
      </c>
      <c r="I46" s="7">
        <v>1000</v>
      </c>
      <c r="J46" s="7">
        <v>2500</v>
      </c>
      <c r="K46" s="7"/>
      <c r="L46" s="7">
        <v>13000</v>
      </c>
      <c r="M46" s="7"/>
      <c r="N46" s="7">
        <f t="shared" si="2"/>
        <v>0</v>
      </c>
    </row>
    <row r="47" spans="1:15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3856.9878724307705</v>
      </c>
      <c r="D47" s="6">
        <f>TONT20000MARS!C47+TONT20000MARS!D47+TONT20000AVRIL!G47</f>
        <v>297733.68778392271</v>
      </c>
      <c r="E47" s="1"/>
      <c r="F47" s="7">
        <f t="shared" si="1"/>
        <v>23000</v>
      </c>
      <c r="G47" s="7">
        <v>6000</v>
      </c>
      <c r="H47" s="7">
        <v>500</v>
      </c>
      <c r="I47" s="7">
        <v>1000</v>
      </c>
      <c r="J47" s="7">
        <v>2500</v>
      </c>
      <c r="K47" s="7"/>
      <c r="L47" s="7">
        <v>13000</v>
      </c>
      <c r="N47" s="7">
        <f t="shared" si="2"/>
        <v>0</v>
      </c>
    </row>
    <row r="48" spans="1:15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117.56929332466937</v>
      </c>
      <c r="D48" s="6">
        <f>TONT20000MARS!C48+TONT20000MARS!D48+TONT20000AVRIL!G48</f>
        <v>9075.5637376798204</v>
      </c>
      <c r="E48" s="1"/>
      <c r="F48" s="7">
        <f t="shared" si="1"/>
        <v>20000</v>
      </c>
      <c r="G48" s="7">
        <v>3000</v>
      </c>
      <c r="H48" s="7">
        <v>500</v>
      </c>
      <c r="I48" s="7">
        <v>1000</v>
      </c>
      <c r="J48" s="7">
        <v>2500</v>
      </c>
      <c r="K48" s="7"/>
      <c r="L48" s="7">
        <v>13000</v>
      </c>
      <c r="N48" s="7">
        <f t="shared" si="2"/>
        <v>0</v>
      </c>
    </row>
    <row r="49" spans="1:17" x14ac:dyDescent="0.25">
      <c r="A49" s="1" t="s">
        <v>54</v>
      </c>
      <c r="B49" s="1" t="str">
        <f>VLOOKUP(A49,LISTADHERENT!A$5:H$51,2)</f>
        <v>TIEYAM ERNEST</v>
      </c>
      <c r="C49" s="6">
        <f t="shared" si="0"/>
        <v>5363.5643733274583</v>
      </c>
      <c r="D49" s="6">
        <f>TONT20000MARS!C49+TONT20000MARS!D49+TONT20000AVRIL!G49</f>
        <v>414031.32531262888</v>
      </c>
      <c r="E49" s="1"/>
      <c r="F49" s="7">
        <f t="shared" si="1"/>
        <v>20000</v>
      </c>
      <c r="G49" s="7">
        <v>3000</v>
      </c>
      <c r="H49" s="7">
        <v>500</v>
      </c>
      <c r="I49" s="7">
        <v>1000</v>
      </c>
      <c r="J49" s="7">
        <v>2500</v>
      </c>
      <c r="K49" s="7"/>
      <c r="L49" s="7">
        <v>13000</v>
      </c>
      <c r="N49" s="7">
        <f t="shared" si="2"/>
        <v>0</v>
      </c>
    </row>
    <row r="50" spans="1:17" x14ac:dyDescent="0.25">
      <c r="A50" s="1" t="s">
        <v>55</v>
      </c>
      <c r="B50" s="1" t="str">
        <f>VLOOKUP(A50,LISTADHERENT!A$5:H$51,2)</f>
        <v>TUGMA PIERRE LOTI</v>
      </c>
      <c r="C50" s="6">
        <f t="shared" si="0"/>
        <v>5586.1321632338813</v>
      </c>
      <c r="D50" s="6">
        <f>TONT20000MARS!C50+TONT20000MARS!D50+TONT20000AVRIL!G50</f>
        <v>431212.07128915022</v>
      </c>
      <c r="E50" s="1"/>
      <c r="F50" s="7">
        <f t="shared" si="1"/>
        <v>20000</v>
      </c>
      <c r="G50" s="7">
        <v>3000</v>
      </c>
      <c r="H50" s="7">
        <v>500</v>
      </c>
      <c r="I50" s="7">
        <v>1000</v>
      </c>
      <c r="J50" s="7">
        <v>2500</v>
      </c>
      <c r="K50" s="7"/>
      <c r="L50" s="7">
        <v>13000</v>
      </c>
      <c r="N50" s="7">
        <f t="shared" si="2"/>
        <v>0</v>
      </c>
    </row>
    <row r="51" spans="1:17" ht="18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10922.906318059349</v>
      </c>
      <c r="D51" s="6">
        <f>TONT20000MARS!C51+TONT20000MARS!D51+TONT20000AVRIL!G51</f>
        <v>843175.37077049538</v>
      </c>
      <c r="E51" s="1"/>
      <c r="F51" s="7">
        <f t="shared" si="1"/>
        <v>20000</v>
      </c>
      <c r="G51" s="7">
        <v>3000</v>
      </c>
      <c r="H51" s="7">
        <v>500</v>
      </c>
      <c r="I51" s="7">
        <v>1000</v>
      </c>
      <c r="J51" s="7">
        <v>2500</v>
      </c>
      <c r="K51" s="7"/>
      <c r="L51" s="7">
        <v>13000</v>
      </c>
      <c r="M51" s="9"/>
      <c r="N51" s="7">
        <f t="shared" si="2"/>
        <v>0</v>
      </c>
    </row>
    <row r="52" spans="1:17" x14ac:dyDescent="0.25">
      <c r="A52" s="1" t="s">
        <v>178</v>
      </c>
      <c r="B52" s="1" t="str">
        <f>VLOOKUP(A52,LISTADHERENT!A$5:H$51,2)</f>
        <v>YOUMBI EMMANUEL</v>
      </c>
      <c r="C52" s="6">
        <f t="shared" si="0"/>
        <v>18619.187305031446</v>
      </c>
      <c r="D52" s="6">
        <f>TONT20000MARS!C52+TONT20000MARS!D52+TONT20000AVRIL!G52</f>
        <v>1437276.8292820479</v>
      </c>
      <c r="E52" s="1"/>
      <c r="F52" s="7">
        <f t="shared" si="1"/>
        <v>20000</v>
      </c>
      <c r="G52" s="7">
        <v>3000</v>
      </c>
      <c r="H52" s="7">
        <v>500</v>
      </c>
      <c r="I52" s="7">
        <v>1000</v>
      </c>
      <c r="J52" s="7">
        <v>2500</v>
      </c>
      <c r="L52" s="7">
        <v>13000</v>
      </c>
      <c r="N52" s="7">
        <f t="shared" si="2"/>
        <v>0</v>
      </c>
    </row>
    <row r="53" spans="1:17" x14ac:dyDescent="0.25">
      <c r="A53" s="1"/>
      <c r="B53" s="1"/>
      <c r="C53" s="1"/>
      <c r="D53" s="1"/>
      <c r="E53" s="1"/>
      <c r="F53" s="7"/>
      <c r="G53" s="7"/>
      <c r="H53" s="7"/>
      <c r="I53" s="7"/>
      <c r="J53" s="7"/>
      <c r="L53" s="7"/>
      <c r="N53" s="7"/>
    </row>
    <row r="54" spans="1:17" ht="18" x14ac:dyDescent="0.25">
      <c r="A54" s="1"/>
      <c r="B54" s="1" t="s">
        <v>180</v>
      </c>
      <c r="C54" s="1"/>
      <c r="D54" s="1"/>
      <c r="E54" s="1"/>
      <c r="H54" s="4"/>
      <c r="L54" s="7">
        <v>60500</v>
      </c>
      <c r="N54" s="7">
        <f t="shared" si="2"/>
        <v>0</v>
      </c>
      <c r="O54" s="9"/>
    </row>
    <row r="55" spans="1:17" ht="18" x14ac:dyDescent="0.25">
      <c r="A55" s="1"/>
      <c r="B55" s="1"/>
      <c r="C55" s="1"/>
      <c r="D55" s="1"/>
      <c r="E55" s="1"/>
      <c r="H55" s="4"/>
      <c r="O55" s="9"/>
    </row>
    <row r="56" spans="1:17" ht="18" x14ac:dyDescent="0.25">
      <c r="A56" s="8" t="s">
        <v>56</v>
      </c>
      <c r="B56" s="8"/>
      <c r="C56" s="9">
        <f>SUM(C5:C52)</f>
        <v>245999.99999999988</v>
      </c>
      <c r="D56" s="9">
        <f t="shared" ref="D56:Q56" si="3">SUM(D5:D52)</f>
        <v>18989556.000000004</v>
      </c>
      <c r="E56" s="9">
        <f t="shared" si="3"/>
        <v>0</v>
      </c>
      <c r="F56" s="9">
        <f t="shared" si="3"/>
        <v>1247000</v>
      </c>
      <c r="G56" s="9">
        <f t="shared" si="3"/>
        <v>499000</v>
      </c>
      <c r="H56" s="9">
        <f t="shared" si="3"/>
        <v>22000</v>
      </c>
      <c r="I56" s="9">
        <f t="shared" si="3"/>
        <v>44000</v>
      </c>
      <c r="J56" s="9">
        <f t="shared" si="3"/>
        <v>110000</v>
      </c>
      <c r="K56" s="9">
        <f t="shared" si="3"/>
        <v>0</v>
      </c>
      <c r="L56" s="9">
        <f t="shared" si="3"/>
        <v>572000</v>
      </c>
      <c r="M56" s="9">
        <f t="shared" si="3"/>
        <v>2200000</v>
      </c>
      <c r="N56" s="9">
        <f t="shared" si="3"/>
        <v>246000</v>
      </c>
      <c r="O56" s="9">
        <f t="shared" si="3"/>
        <v>200000</v>
      </c>
      <c r="P56" s="9">
        <f t="shared" si="3"/>
        <v>0</v>
      </c>
      <c r="Q56" s="9">
        <f t="shared" si="3"/>
        <v>0</v>
      </c>
    </row>
  </sheetData>
  <autoFilter ref="A4:O51"/>
  <dataValidations count="1">
    <dataValidation type="list" allowBlank="1" showInputMessage="1" showErrorMessage="1" promptTitle="Saissisez le mode de VERSEMENT" sqref="H6:H53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pane xSplit="2" ySplit="4" topLeftCell="C26" activePane="bottomRight" state="frozen"/>
      <selection activeCell="B22" sqref="B22"/>
      <selection pane="topRight" activeCell="B22" sqref="B22"/>
      <selection pane="bottomLeft" activeCell="B22" sqref="B22"/>
      <selection pane="bottomRight" activeCell="A33" sqref="A33:XFD3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8.42578125" customWidth="1"/>
    <col min="4" max="4" width="16.85546875" customWidth="1"/>
    <col min="5" max="5" width="14.5703125" customWidth="1"/>
    <col min="6" max="6" width="15" style="2" bestFit="1" customWidth="1"/>
    <col min="7" max="7" width="12.5703125" bestFit="1" customWidth="1"/>
    <col min="8" max="8" width="17.5703125" style="3" bestFit="1" customWidth="1"/>
    <col min="9" max="9" width="15.7109375" style="2" customWidth="1"/>
    <col min="10" max="10" width="14.7109375" style="2" customWidth="1"/>
    <col min="11" max="11" width="18.140625" style="2" bestFit="1" customWidth="1"/>
    <col min="12" max="12" width="18.140625" customWidth="1"/>
    <col min="13" max="13" width="15" bestFit="1" customWidth="1"/>
    <col min="14" max="14" width="12.5703125" bestFit="1" customWidth="1"/>
    <col min="15" max="15" width="18.140625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</row>
    <row r="2" spans="1:18" x14ac:dyDescent="0.25">
      <c r="A2" s="1" t="s">
        <v>2</v>
      </c>
      <c r="B2" s="1" t="s">
        <v>3</v>
      </c>
      <c r="C2" s="1"/>
      <c r="D2" s="1"/>
      <c r="E2" s="1"/>
    </row>
    <row r="3" spans="1:18" x14ac:dyDescent="0.25">
      <c r="A3" s="1" t="s">
        <v>4</v>
      </c>
      <c r="B3" s="1" t="s">
        <v>5</v>
      </c>
      <c r="C3" s="1"/>
      <c r="D3" s="1"/>
      <c r="E3" s="1"/>
    </row>
    <row r="4" spans="1:18" ht="29.25" x14ac:dyDescent="0.25">
      <c r="A4" s="1" t="s">
        <v>6</v>
      </c>
      <c r="B4" s="1" t="s">
        <v>7</v>
      </c>
      <c r="C4" s="5" t="s">
        <v>186</v>
      </c>
      <c r="D4" s="5" t="s">
        <v>187</v>
      </c>
      <c r="E4" s="1" t="s">
        <v>184</v>
      </c>
      <c r="F4" s="5" t="s">
        <v>65</v>
      </c>
      <c r="G4" s="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8</v>
      </c>
      <c r="P4" s="5" t="s">
        <v>182</v>
      </c>
      <c r="Q4" s="5" t="s">
        <v>181</v>
      </c>
    </row>
    <row r="5" spans="1:18" x14ac:dyDescent="0.25">
      <c r="A5" s="1" t="s">
        <v>185</v>
      </c>
      <c r="B5" s="1" t="str">
        <f>VLOOKUP(A5,LISTADHERENT!A$5:H$52,2,0)</f>
        <v>ASELBY</v>
      </c>
      <c r="C5" s="6">
        <f>$N$56/$D$56*D5</f>
        <v>1489.1392586539394</v>
      </c>
      <c r="D5" s="6">
        <f>TONT20000AVRIL!C5+TONT20000AVRIL!D5+TONT20000MAI!G5</f>
        <v>328943.51581631246</v>
      </c>
      <c r="E5" s="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</row>
    <row r="6" spans="1:18" x14ac:dyDescent="0.25">
      <c r="A6" s="1" t="s">
        <v>11</v>
      </c>
      <c r="B6" s="1" t="str">
        <f>VLOOKUP(A6,LISTADHERENT!A$5:H$51,2)</f>
        <v>BAKOP ACHILLE</v>
      </c>
      <c r="C6" s="6">
        <f t="shared" ref="C6:C52" si="0">$N$56/$D$56*D6</f>
        <v>2065.4054888934988</v>
      </c>
      <c r="D6" s="6">
        <f>TONT20000AVRIL!C6+TONT20000AVRIL!D6+TONT20000MAI!G6</f>
        <v>456237.88316282863</v>
      </c>
      <c r="E6" s="1"/>
      <c r="F6" s="7">
        <f t="shared" ref="F6:F52" si="1">G6+H6+I6+J6+K6+L6</f>
        <v>20000</v>
      </c>
      <c r="G6" s="7">
        <v>3000</v>
      </c>
      <c r="H6" s="7">
        <v>500</v>
      </c>
      <c r="I6" s="7">
        <v>1000</v>
      </c>
      <c r="J6" s="7">
        <v>2500</v>
      </c>
      <c r="K6" s="7"/>
      <c r="L6" s="7">
        <v>13000</v>
      </c>
      <c r="M6" s="7"/>
      <c r="N6" s="7">
        <f>IF(M6&lt;=500000,(M6*1*3/100),(M6*12/100))</f>
        <v>0</v>
      </c>
    </row>
    <row r="7" spans="1:18" x14ac:dyDescent="0.25">
      <c r="A7" s="1" t="s">
        <v>12</v>
      </c>
      <c r="B7" s="1" t="str">
        <f>VLOOKUP(A7,LISTADHERENT!A$5:H$51,2)</f>
        <v>BOUTCHOUANG WILLIAM</v>
      </c>
      <c r="C7" s="6">
        <f t="shared" si="0"/>
        <v>1916.409650890474</v>
      </c>
      <c r="D7" s="6">
        <f>TONT20000AVRIL!C7+TONT20000AVRIL!D7+TONT20000MAI!G7</f>
        <v>423325.4375940946</v>
      </c>
      <c r="E7" s="1"/>
      <c r="F7" s="7">
        <f t="shared" si="1"/>
        <v>20000</v>
      </c>
      <c r="G7" s="7">
        <v>3000</v>
      </c>
      <c r="H7" s="7">
        <v>500</v>
      </c>
      <c r="I7" s="7">
        <v>1000</v>
      </c>
      <c r="J7" s="7">
        <v>2500</v>
      </c>
      <c r="K7" s="7"/>
      <c r="L7" s="7">
        <v>13000</v>
      </c>
      <c r="M7" s="7"/>
      <c r="N7" s="7">
        <f t="shared" ref="N7:N54" si="2">IF(M7&lt;=500000,(M7*1*3/100),(M7*12/100))</f>
        <v>0</v>
      </c>
    </row>
    <row r="8" spans="1:18" x14ac:dyDescent="0.25">
      <c r="A8" s="1" t="s">
        <v>13</v>
      </c>
      <c r="B8" s="1" t="str">
        <f>VLOOKUP(A8,LISTADHERENT!A$5:H$51,2)</f>
        <v>CHINGUE FABRICE</v>
      </c>
      <c r="C8" s="6">
        <f t="shared" si="0"/>
        <v>1917.0555866043601</v>
      </c>
      <c r="D8" s="6">
        <f>TONT20000AVRIL!C8+TONT20000AVRIL!D8+TONT20000MAI!G8</f>
        <v>423468.12160667585</v>
      </c>
      <c r="E8" s="1"/>
      <c r="F8" s="7">
        <f t="shared" si="1"/>
        <v>20000</v>
      </c>
      <c r="G8" s="7">
        <v>3000</v>
      </c>
      <c r="H8" s="7">
        <v>500</v>
      </c>
      <c r="I8" s="7">
        <v>1000</v>
      </c>
      <c r="J8" s="7">
        <v>2500</v>
      </c>
      <c r="K8" s="7"/>
      <c r="L8" s="7">
        <v>13000</v>
      </c>
      <c r="N8" s="7">
        <f t="shared" si="2"/>
        <v>0</v>
      </c>
    </row>
    <row r="9" spans="1:18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1946.6094858614319</v>
      </c>
      <c r="D9" s="6">
        <f>TONT20000AVRIL!C9+TONT20000AVRIL!D9+TONT20000MAI!G9</f>
        <v>429996.43215332669</v>
      </c>
      <c r="E9" s="1"/>
      <c r="F9" s="7">
        <f t="shared" si="1"/>
        <v>20000</v>
      </c>
      <c r="G9" s="7">
        <v>3000</v>
      </c>
      <c r="H9" s="7">
        <v>500</v>
      </c>
      <c r="I9" s="7">
        <v>1000</v>
      </c>
      <c r="J9" s="7">
        <v>2500</v>
      </c>
      <c r="K9" s="7"/>
      <c r="L9" s="7">
        <v>13000</v>
      </c>
      <c r="N9" s="7">
        <f t="shared" si="2"/>
        <v>0</v>
      </c>
    </row>
    <row r="10" spans="1:18" x14ac:dyDescent="0.25">
      <c r="A10" s="1" t="s">
        <v>15</v>
      </c>
      <c r="B10" s="1" t="str">
        <f>VLOOKUP(A10,LISTADHERENT!A$5:H$51,2)</f>
        <v>DJOUKWE GUY</v>
      </c>
      <c r="C10" s="6">
        <f t="shared" si="0"/>
        <v>1982.4051215635675</v>
      </c>
      <c r="D10" s="6">
        <f>TONT20000AVRIL!C10+TONT20000AVRIL!D10+TONT20000MAI!G10</f>
        <v>437903.5114881256</v>
      </c>
      <c r="E10" s="1"/>
      <c r="F10" s="7">
        <f t="shared" si="1"/>
        <v>20000</v>
      </c>
      <c r="G10" s="7">
        <v>3000</v>
      </c>
      <c r="H10" s="7">
        <v>500</v>
      </c>
      <c r="I10" s="7">
        <v>1000</v>
      </c>
      <c r="J10" s="7">
        <v>2500</v>
      </c>
      <c r="K10" s="7"/>
      <c r="L10" s="7">
        <v>13000</v>
      </c>
      <c r="N10" s="7">
        <f t="shared" si="2"/>
        <v>0</v>
      </c>
    </row>
    <row r="11" spans="1:18" x14ac:dyDescent="0.25">
      <c r="A11" s="1" t="s">
        <v>16</v>
      </c>
      <c r="B11" s="1" t="str">
        <f>VLOOKUP(A11,LISTADHERENT!A$5:H$51,2)</f>
        <v>DJOSSEU JOSUE</v>
      </c>
      <c r="C11" s="6">
        <f t="shared" si="0"/>
        <v>23.403467894418259</v>
      </c>
      <c r="D11" s="6">
        <f>TONT20000AVRIL!C11+TONT20000AVRIL!D11+TONT20000MAI!G11</f>
        <v>5169.7106007687134</v>
      </c>
      <c r="E11" s="1"/>
      <c r="F11" s="7">
        <f t="shared" si="1"/>
        <v>0</v>
      </c>
      <c r="G11" s="7"/>
      <c r="H11" s="7"/>
      <c r="I11" s="7"/>
      <c r="J11" s="7"/>
      <c r="K11" s="7"/>
      <c r="L11" s="7"/>
      <c r="N11" s="7">
        <f t="shared" si="2"/>
        <v>0</v>
      </c>
    </row>
    <row r="12" spans="1:18" x14ac:dyDescent="0.25">
      <c r="A12" s="1" t="s">
        <v>17</v>
      </c>
      <c r="B12" s="1" t="str">
        <f>VLOOKUP(A12,LISTADHERENT!A$5:H$51,2)</f>
        <v>DJOUNKEP SAMUEL</v>
      </c>
      <c r="C12" s="6">
        <f t="shared" si="0"/>
        <v>8878.2794688617159</v>
      </c>
      <c r="D12" s="6">
        <f>TONT20000AVRIL!C12+TONT20000AVRIL!D12+TONT20000MAI!G12</f>
        <v>1961168.1351595062</v>
      </c>
      <c r="E12" s="1"/>
      <c r="F12" s="7">
        <f t="shared" si="1"/>
        <v>520000</v>
      </c>
      <c r="G12" s="7">
        <v>503000</v>
      </c>
      <c r="H12" s="7">
        <v>500</v>
      </c>
      <c r="I12" s="7">
        <v>1000</v>
      </c>
      <c r="J12" s="7">
        <v>2500</v>
      </c>
      <c r="K12" s="7"/>
      <c r="L12" s="7">
        <v>13000</v>
      </c>
      <c r="N12" s="7">
        <f t="shared" si="2"/>
        <v>0</v>
      </c>
    </row>
    <row r="13" spans="1:18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1576.7317178708879</v>
      </c>
      <c r="D13" s="6">
        <f>TONT20000AVRIL!C13+TONT20000AVRIL!D13+TONT20000MAI!G13</f>
        <v>348292.2579345376</v>
      </c>
      <c r="E13" s="1"/>
      <c r="F13" s="7">
        <f t="shared" si="1"/>
        <v>20000</v>
      </c>
      <c r="G13" s="7">
        <v>3000</v>
      </c>
      <c r="H13" s="7">
        <v>500</v>
      </c>
      <c r="I13" s="7">
        <v>1000</v>
      </c>
      <c r="J13" s="7">
        <v>2500</v>
      </c>
      <c r="K13" s="7"/>
      <c r="L13" s="7">
        <v>13000</v>
      </c>
      <c r="N13" s="7">
        <f t="shared" si="2"/>
        <v>0</v>
      </c>
    </row>
    <row r="14" spans="1:18" x14ac:dyDescent="0.25">
      <c r="A14" s="1" t="s">
        <v>19</v>
      </c>
      <c r="B14" s="1" t="str">
        <f>VLOOKUP(A14,LISTADHERENT!A$5:H$51,2)</f>
        <v>DONHOU DAVID</v>
      </c>
      <c r="C14" s="6">
        <f t="shared" si="0"/>
        <v>2117.8198955898379</v>
      </c>
      <c r="D14" s="6">
        <f>TONT20000AVRIL!C14+TONT20000AVRIL!D14+TONT20000MAI!G14</f>
        <v>467815.9670243102</v>
      </c>
      <c r="E14" s="1"/>
      <c r="F14" s="7">
        <f t="shared" si="1"/>
        <v>20000</v>
      </c>
      <c r="G14" s="7">
        <v>3000</v>
      </c>
      <c r="H14" s="7">
        <v>500</v>
      </c>
      <c r="I14" s="7">
        <v>1000</v>
      </c>
      <c r="J14" s="7">
        <v>2500</v>
      </c>
      <c r="K14" s="7"/>
      <c r="L14" s="7">
        <v>13000</v>
      </c>
      <c r="N14" s="7">
        <f t="shared" si="2"/>
        <v>0</v>
      </c>
    </row>
    <row r="15" spans="1:18" x14ac:dyDescent="0.25">
      <c r="A15" s="1" t="s">
        <v>20</v>
      </c>
      <c r="B15" s="1" t="str">
        <f>VLOOKUP(A15,LISTADHERENT!A$5:H$51,2)</f>
        <v>FOTSO THOMAS</v>
      </c>
      <c r="C15" s="6">
        <f t="shared" si="0"/>
        <v>1923.9642903267927</v>
      </c>
      <c r="D15" s="6">
        <f>TONT20000AVRIL!C15+TONT20000AVRIL!D15+TONT20000MAI!G15</f>
        <v>424994.22017602285</v>
      </c>
      <c r="E15" s="1"/>
      <c r="F15" s="7">
        <f t="shared" si="1"/>
        <v>20000</v>
      </c>
      <c r="G15" s="7">
        <v>3000</v>
      </c>
      <c r="H15" s="7">
        <v>500</v>
      </c>
      <c r="I15" s="7">
        <v>1000</v>
      </c>
      <c r="J15" s="7">
        <v>2500</v>
      </c>
      <c r="K15" s="7"/>
      <c r="L15" s="7">
        <v>13000</v>
      </c>
      <c r="N15" s="7">
        <f t="shared" si="2"/>
        <v>0</v>
      </c>
    </row>
    <row r="16" spans="1:18" x14ac:dyDescent="0.25">
      <c r="A16" s="1" t="s">
        <v>21</v>
      </c>
      <c r="B16" s="1" t="str">
        <f>VLOOKUP(A16,LISTADHERENT!A$5:H$51,2)</f>
        <v>HENGUE PAUL OMER</v>
      </c>
      <c r="C16" s="6">
        <f t="shared" si="0"/>
        <v>1908.433749032057</v>
      </c>
      <c r="D16" s="6">
        <f>TONT20000AVRIL!C16+TONT20000AVRIL!D16+TONT20000MAI!G16</f>
        <v>421563.60022135277</v>
      </c>
      <c r="E16" s="1"/>
      <c r="F16" s="7">
        <f t="shared" si="1"/>
        <v>20000</v>
      </c>
      <c r="G16" s="7">
        <v>3000</v>
      </c>
      <c r="H16" s="7">
        <v>500</v>
      </c>
      <c r="I16" s="7">
        <v>1000</v>
      </c>
      <c r="J16" s="7">
        <v>2500</v>
      </c>
      <c r="K16" s="7"/>
      <c r="L16" s="7">
        <v>13000</v>
      </c>
      <c r="N16" s="7">
        <f t="shared" si="2"/>
        <v>0</v>
      </c>
    </row>
    <row r="17" spans="1:14" x14ac:dyDescent="0.25">
      <c r="A17" s="1" t="s">
        <v>22</v>
      </c>
      <c r="B17" s="1" t="str">
        <f>VLOOKUP(A17,LISTADHERENT!A$5:H$51,2)</f>
        <v>HODIEP JULES</v>
      </c>
      <c r="C17" s="6">
        <f t="shared" si="0"/>
        <v>82.963253267432648</v>
      </c>
      <c r="D17" s="6">
        <f>TONT20000AVRIL!C17+TONT20000AVRIL!D17+TONT20000MAI!G17</f>
        <v>18326.173361393085</v>
      </c>
      <c r="E17" s="1"/>
      <c r="F17" s="7">
        <f t="shared" si="1"/>
        <v>20000</v>
      </c>
      <c r="G17" s="7">
        <v>3000</v>
      </c>
      <c r="H17" s="7">
        <v>500</v>
      </c>
      <c r="I17" s="7">
        <v>1000</v>
      </c>
      <c r="J17" s="7">
        <v>2500</v>
      </c>
      <c r="K17" s="7"/>
      <c r="L17" s="7">
        <v>13000</v>
      </c>
      <c r="N17" s="7">
        <f t="shared" si="2"/>
        <v>0</v>
      </c>
    </row>
    <row r="18" spans="1:14" x14ac:dyDescent="0.25">
      <c r="A18" s="1" t="s">
        <v>23</v>
      </c>
      <c r="B18" s="1" t="str">
        <f>VLOOKUP(A18,LISTADHERENT!A$5:H$51,2)</f>
        <v>HOTCHO BENJAMIN</v>
      </c>
      <c r="C18" s="6">
        <f t="shared" si="0"/>
        <v>1949.2634391206589</v>
      </c>
      <c r="D18" s="6">
        <f>TONT20000AVRIL!C18+TONT20000AVRIL!D18+TONT20000MAI!G18</f>
        <v>430582.6773354538</v>
      </c>
      <c r="E18" s="1"/>
      <c r="F18" s="7">
        <f t="shared" si="1"/>
        <v>20000</v>
      </c>
      <c r="G18" s="7">
        <v>3000</v>
      </c>
      <c r="H18" s="7">
        <v>500</v>
      </c>
      <c r="I18" s="7">
        <v>1000</v>
      </c>
      <c r="J18" s="7">
        <v>2500</v>
      </c>
      <c r="K18" s="7"/>
      <c r="L18" s="7">
        <v>13000</v>
      </c>
      <c r="N18" s="7">
        <f t="shared" si="2"/>
        <v>0</v>
      </c>
    </row>
    <row r="19" spans="1:14" x14ac:dyDescent="0.25">
      <c r="A19" s="1" t="s">
        <v>24</v>
      </c>
      <c r="B19" s="1" t="str">
        <f>VLOOKUP(A19,LISTADHERENT!A$5:H$51,2)</f>
        <v>KEPHE DAVID</v>
      </c>
      <c r="C19" s="6">
        <f t="shared" si="0"/>
        <v>142.85272760924894</v>
      </c>
      <c r="D19" s="6">
        <f>TONT20000AVRIL!C19+TONT20000AVRIL!D19+TONT20000MAI!G19</f>
        <v>31555.462788760218</v>
      </c>
      <c r="E19" s="1"/>
      <c r="F19" s="7">
        <f t="shared" si="1"/>
        <v>20000</v>
      </c>
      <c r="G19" s="7">
        <v>3000</v>
      </c>
      <c r="H19" s="7">
        <v>500</v>
      </c>
      <c r="I19" s="7">
        <v>1000</v>
      </c>
      <c r="J19" s="7">
        <v>2500</v>
      </c>
      <c r="K19" s="7"/>
      <c r="L19" s="7">
        <v>13000</v>
      </c>
      <c r="N19" s="7">
        <f t="shared" si="2"/>
        <v>0</v>
      </c>
    </row>
    <row r="20" spans="1:14" x14ac:dyDescent="0.25">
      <c r="A20" s="1" t="s">
        <v>25</v>
      </c>
      <c r="B20" s="1" t="str">
        <f>VLOOKUP(A20,LISTADHERENT!A$5:H$51,2)</f>
        <v>KEPSEU FRANCIS</v>
      </c>
      <c r="C20" s="6">
        <f t="shared" si="0"/>
        <v>5069.8689540345713</v>
      </c>
      <c r="D20" s="6">
        <f>TONT20000AVRIL!C20+TONT20000AVRIL!D20+TONT20000MAI!G20</f>
        <v>1119909.04059273</v>
      </c>
      <c r="E20" s="1"/>
      <c r="F20" s="7">
        <f t="shared" si="1"/>
        <v>23000</v>
      </c>
      <c r="G20" s="7">
        <v>6000</v>
      </c>
      <c r="H20" s="7">
        <v>500</v>
      </c>
      <c r="I20" s="7">
        <v>1000</v>
      </c>
      <c r="J20" s="7">
        <v>2500</v>
      </c>
      <c r="K20" s="7"/>
      <c r="L20" s="7">
        <v>13000</v>
      </c>
      <c r="N20" s="7">
        <f t="shared" si="2"/>
        <v>0</v>
      </c>
    </row>
    <row r="21" spans="1:14" x14ac:dyDescent="0.25">
      <c r="A21" s="1" t="s">
        <v>26</v>
      </c>
      <c r="B21" s="1" t="str">
        <f>VLOOKUP(A21,LISTADHERENT!A$5:H$51,2)</f>
        <v>KOUAMOU EMMANUEL</v>
      </c>
      <c r="C21" s="6">
        <f t="shared" si="0"/>
        <v>1921.1792776473567</v>
      </c>
      <c r="D21" s="6">
        <f>TONT20000AVRIL!C21+TONT20000AVRIL!D21+TONT20000MAI!G21</f>
        <v>424379.02461453131</v>
      </c>
      <c r="E21" s="1"/>
      <c r="F21" s="7">
        <f t="shared" si="1"/>
        <v>20000</v>
      </c>
      <c r="G21" s="7">
        <v>3000</v>
      </c>
      <c r="H21" s="7">
        <v>500</v>
      </c>
      <c r="I21" s="7">
        <v>1000</v>
      </c>
      <c r="J21" s="7">
        <v>2500</v>
      </c>
      <c r="K21" s="7"/>
      <c r="L21" s="7">
        <v>13000</v>
      </c>
      <c r="N21" s="7">
        <f t="shared" si="2"/>
        <v>0</v>
      </c>
    </row>
    <row r="22" spans="1:14" x14ac:dyDescent="0.25">
      <c r="A22" s="1" t="s">
        <v>27</v>
      </c>
      <c r="B22" s="1" t="str">
        <f>VLOOKUP(A22,LISTADHERENT!A$5:H$51,2)</f>
        <v>KOUAMOU MOISE</v>
      </c>
      <c r="C22" s="6">
        <f t="shared" si="0"/>
        <v>1567.2065064378594</v>
      </c>
      <c r="D22" s="6">
        <f>TONT20000AVRIL!C22+TONT20000AVRIL!D22+TONT20000MAI!G22</f>
        <v>346188.18572002469</v>
      </c>
      <c r="E22" s="1"/>
      <c r="F22" s="7">
        <f t="shared" si="1"/>
        <v>20000</v>
      </c>
      <c r="G22" s="7">
        <v>3000</v>
      </c>
      <c r="H22" s="7">
        <v>500</v>
      </c>
      <c r="I22" s="7">
        <v>1000</v>
      </c>
      <c r="J22" s="7">
        <v>2500</v>
      </c>
      <c r="K22" s="7"/>
      <c r="L22" s="7">
        <v>13000</v>
      </c>
      <c r="N22" s="7">
        <f t="shared" si="2"/>
        <v>0</v>
      </c>
    </row>
    <row r="23" spans="1:14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2079.8828741329858</v>
      </c>
      <c r="D23" s="6">
        <f>TONT20000AVRIL!C23+TONT20000AVRIL!D23+TONT20000MAI!G23</f>
        <v>459435.86614046409</v>
      </c>
      <c r="E23" s="1"/>
      <c r="F23" s="7">
        <f t="shared" si="1"/>
        <v>20000</v>
      </c>
      <c r="G23" s="7">
        <v>3000</v>
      </c>
      <c r="H23" s="7">
        <v>500</v>
      </c>
      <c r="I23" s="7">
        <v>1000</v>
      </c>
      <c r="J23" s="7">
        <v>2500</v>
      </c>
      <c r="K23" s="7"/>
      <c r="L23" s="7">
        <v>13000</v>
      </c>
      <c r="N23" s="7">
        <f t="shared" si="2"/>
        <v>0</v>
      </c>
    </row>
    <row r="24" spans="1:14" x14ac:dyDescent="0.25">
      <c r="A24" s="1" t="s">
        <v>29</v>
      </c>
      <c r="B24" s="1" t="str">
        <f>VLOOKUP(A24,LISTADHERENT!A$5:H$51,2)</f>
        <v>KOUATCHO MESSACK</v>
      </c>
      <c r="C24" s="6">
        <f t="shared" si="0"/>
        <v>1908.433749032057</v>
      </c>
      <c r="D24" s="6">
        <f>TONT20000AVRIL!C24+TONT20000AVRIL!D24+TONT20000MAI!G24</f>
        <v>421563.60022135277</v>
      </c>
      <c r="E24" s="1"/>
      <c r="F24" s="7">
        <f t="shared" si="1"/>
        <v>20000</v>
      </c>
      <c r="G24" s="7">
        <v>3000</v>
      </c>
      <c r="H24" s="7">
        <v>500</v>
      </c>
      <c r="I24" s="7">
        <v>1000</v>
      </c>
      <c r="J24" s="7">
        <v>2500</v>
      </c>
      <c r="K24" s="7"/>
      <c r="L24" s="7">
        <v>13000</v>
      </c>
      <c r="M24" s="7"/>
      <c r="N24" s="7">
        <f t="shared" si="2"/>
        <v>0</v>
      </c>
    </row>
    <row r="25" spans="1:14" x14ac:dyDescent="0.25">
      <c r="A25" s="1" t="s">
        <v>30</v>
      </c>
      <c r="B25" s="1" t="str">
        <f>VLOOKUP(A25,LISTADHERENT!A$5:H$51,2)</f>
        <v>LOWE JEAN</v>
      </c>
      <c r="C25" s="6">
        <f t="shared" si="0"/>
        <v>1928.705832922202</v>
      </c>
      <c r="D25" s="6">
        <f>TONT20000AVRIL!C25+TONT20000AVRIL!D25+TONT20000MAI!G25</f>
        <v>426041.6035437386</v>
      </c>
      <c r="E25" s="1"/>
      <c r="F25" s="7">
        <f t="shared" si="1"/>
        <v>20000</v>
      </c>
      <c r="G25" s="7">
        <v>3000</v>
      </c>
      <c r="H25" s="7">
        <v>500</v>
      </c>
      <c r="I25" s="7">
        <v>1000</v>
      </c>
      <c r="J25" s="7">
        <v>2500</v>
      </c>
      <c r="K25" s="7"/>
      <c r="L25" s="7">
        <v>13000</v>
      </c>
      <c r="N25" s="7">
        <f t="shared" si="2"/>
        <v>0</v>
      </c>
    </row>
    <row r="26" spans="1:14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1929.0802884085124</v>
      </c>
      <c r="D26" s="6">
        <f>TONT20000AVRIL!C26+TONT20000AVRIL!D26+TONT20000MAI!G26</f>
        <v>426124.31891335087</v>
      </c>
      <c r="E26" s="1"/>
      <c r="F26" s="7">
        <f t="shared" si="1"/>
        <v>20000</v>
      </c>
      <c r="G26" s="7">
        <v>3000</v>
      </c>
      <c r="H26" s="7">
        <v>500</v>
      </c>
      <c r="I26" s="7">
        <v>1000</v>
      </c>
      <c r="J26" s="7">
        <v>2500</v>
      </c>
      <c r="K26" s="7"/>
      <c r="L26" s="7">
        <v>13000</v>
      </c>
      <c r="N26" s="7">
        <f t="shared" si="2"/>
        <v>0</v>
      </c>
    </row>
    <row r="27" spans="1:14" x14ac:dyDescent="0.25">
      <c r="A27" s="1" t="s">
        <v>32</v>
      </c>
      <c r="B27" s="1" t="str">
        <f>VLOOKUP(A27,LISTADHERENT!A$5:H$51,2)</f>
        <v>NDJOMO ETIENNE</v>
      </c>
      <c r="C27" s="6">
        <f t="shared" si="0"/>
        <v>2056.3480665836109</v>
      </c>
      <c r="D27" s="6">
        <f>TONT20000AVRIL!C27+TONT20000AVRIL!D27+TONT20000MAI!G27</f>
        <v>454237.14325785782</v>
      </c>
      <c r="E27" s="1"/>
      <c r="F27" s="7">
        <f t="shared" si="1"/>
        <v>25000</v>
      </c>
      <c r="G27" s="7">
        <v>8000</v>
      </c>
      <c r="H27" s="7">
        <v>500</v>
      </c>
      <c r="I27" s="7">
        <v>1000</v>
      </c>
      <c r="J27" s="7">
        <v>2500</v>
      </c>
      <c r="K27" s="7"/>
      <c r="L27" s="7">
        <v>13000</v>
      </c>
      <c r="M27" s="7"/>
      <c r="N27" s="7">
        <f t="shared" si="2"/>
        <v>0</v>
      </c>
    </row>
    <row r="28" spans="1:14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TONT20000AVRIL!C28+TONT20000AVRIL!D28+TONT20000MAI!G28</f>
        <v>0</v>
      </c>
      <c r="E28" s="1"/>
      <c r="F28" s="7">
        <f t="shared" si="1"/>
        <v>0</v>
      </c>
      <c r="G28" s="7"/>
      <c r="H28" s="7"/>
      <c r="I28" s="7"/>
      <c r="J28" s="7"/>
      <c r="K28" s="7"/>
      <c r="L28" s="7"/>
      <c r="N28" s="7">
        <f t="shared" si="2"/>
        <v>0</v>
      </c>
    </row>
    <row r="29" spans="1:14" x14ac:dyDescent="0.25">
      <c r="A29" s="1" t="s">
        <v>34</v>
      </c>
      <c r="B29" s="1" t="str">
        <f>VLOOKUP(A29,LISTADHERENT!A$5:H$51,2)</f>
        <v>NGONDIEP CLAUDE</v>
      </c>
      <c r="C29" s="6">
        <f t="shared" si="0"/>
        <v>2748.9646177665099</v>
      </c>
      <c r="D29" s="6">
        <f>TONT20000AVRIL!C29+TONT20000AVRIL!D29+TONT20000MAI!G29</f>
        <v>607232.72250584094</v>
      </c>
      <c r="E29" s="1"/>
      <c r="F29" s="7">
        <f t="shared" si="1"/>
        <v>20000</v>
      </c>
      <c r="G29" s="7">
        <v>3000</v>
      </c>
      <c r="H29" s="7">
        <v>500</v>
      </c>
      <c r="I29" s="7">
        <v>1000</v>
      </c>
      <c r="J29" s="7">
        <v>2500</v>
      </c>
      <c r="K29" s="7"/>
      <c r="L29" s="7">
        <v>13000</v>
      </c>
      <c r="N29" s="7">
        <f t="shared" si="2"/>
        <v>0</v>
      </c>
    </row>
    <row r="30" spans="1:14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82.963253267432648</v>
      </c>
      <c r="D30" s="6">
        <f>TONT20000AVRIL!C30+TONT20000AVRIL!D30+TONT20000MAI!G30</f>
        <v>18326.173361393085</v>
      </c>
      <c r="E30" s="1"/>
      <c r="F30" s="7">
        <f t="shared" si="1"/>
        <v>20000</v>
      </c>
      <c r="G30" s="7">
        <v>3000</v>
      </c>
      <c r="H30" s="7">
        <v>500</v>
      </c>
      <c r="I30" s="7">
        <v>1000</v>
      </c>
      <c r="J30" s="7">
        <v>2500</v>
      </c>
      <c r="K30" s="7"/>
      <c r="L30" s="7">
        <v>13000</v>
      </c>
      <c r="N30" s="7">
        <f t="shared" si="2"/>
        <v>0</v>
      </c>
    </row>
    <row r="31" spans="1:14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152.65409996343135</v>
      </c>
      <c r="D31" s="6">
        <f>TONT20000AVRIL!C31+TONT20000AVRIL!D31+TONT20000MAI!G31</f>
        <v>33720.53758836216</v>
      </c>
      <c r="E31" s="1"/>
      <c r="F31" s="7">
        <f t="shared" si="1"/>
        <v>20000</v>
      </c>
      <c r="G31" s="7">
        <v>3000</v>
      </c>
      <c r="H31" s="7">
        <v>500</v>
      </c>
      <c r="I31" s="7">
        <v>1000</v>
      </c>
      <c r="J31" s="7">
        <v>2500</v>
      </c>
      <c r="K31" s="7"/>
      <c r="L31" s="7">
        <v>13000</v>
      </c>
      <c r="N31" s="7">
        <f t="shared" si="2"/>
        <v>0</v>
      </c>
    </row>
    <row r="32" spans="1:14" x14ac:dyDescent="0.25">
      <c r="A32" s="1" t="s">
        <v>37</v>
      </c>
      <c r="B32" s="1" t="str">
        <f>VLOOKUP(A32,LISTADHERENT!A$5:H$51,2)</f>
        <v>NJEPDJIO MBOUKAM DELUXE</v>
      </c>
      <c r="C32" s="6">
        <f t="shared" si="0"/>
        <v>1976.5007549542843</v>
      </c>
      <c r="D32" s="6">
        <f>TONT20000AVRIL!C32+TONT20000AVRIL!D32+TONT20000MAI!G32</f>
        <v>436599.26603234356</v>
      </c>
      <c r="E32" s="1"/>
      <c r="F32" s="7">
        <f t="shared" si="1"/>
        <v>20000</v>
      </c>
      <c r="G32" s="7">
        <v>3000</v>
      </c>
      <c r="H32" s="7">
        <v>500</v>
      </c>
      <c r="I32" s="7">
        <v>1000</v>
      </c>
      <c r="J32" s="7">
        <v>2500</v>
      </c>
      <c r="K32" s="7"/>
      <c r="L32" s="7">
        <v>13000</v>
      </c>
      <c r="N32" s="7">
        <f t="shared" si="2"/>
        <v>0</v>
      </c>
    </row>
    <row r="33" spans="1:14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165.9265065348653</v>
      </c>
      <c r="D33" s="6">
        <f>TONT20000AVRIL!C33+TONT20000AVRIL!D33+TONT20000MAI!G33</f>
        <v>36652.346722786169</v>
      </c>
      <c r="E33" s="1"/>
      <c r="F33" s="7">
        <f t="shared" si="1"/>
        <v>23000</v>
      </c>
      <c r="G33" s="7">
        <v>6000</v>
      </c>
      <c r="H33" s="7">
        <v>500</v>
      </c>
      <c r="I33" s="7">
        <v>1000</v>
      </c>
      <c r="J33" s="7">
        <v>2500</v>
      </c>
      <c r="K33" s="7"/>
      <c r="L33" s="7">
        <v>13000</v>
      </c>
      <c r="M33" s="11"/>
      <c r="N33" s="7">
        <f t="shared" si="2"/>
        <v>0</v>
      </c>
    </row>
    <row r="34" spans="1:14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2087.6104189969756</v>
      </c>
      <c r="D34" s="6">
        <f>TONT20000AVRIL!C34+TONT20000AVRIL!D34+TONT20000MAI!G34</f>
        <v>461142.84267836477</v>
      </c>
      <c r="E34" s="1"/>
      <c r="F34" s="10">
        <f>G34+H34+I34+J34+K34+L34</f>
        <v>25000</v>
      </c>
      <c r="G34" s="7">
        <v>8000</v>
      </c>
      <c r="H34" s="7">
        <v>500</v>
      </c>
      <c r="I34" s="7">
        <v>1000</v>
      </c>
      <c r="J34" s="7">
        <v>2500</v>
      </c>
      <c r="K34" s="7"/>
      <c r="L34" s="7">
        <v>13000</v>
      </c>
      <c r="M34"/>
      <c r="N34" s="7">
        <f t="shared" si="2"/>
        <v>0</v>
      </c>
    </row>
    <row r="35" spans="1:14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1945.7997258722849</v>
      </c>
      <c r="D35" s="6">
        <f>TONT20000AVRIL!C35+TONT20000AVRIL!D35+TONT20000MAI!G35</f>
        <v>429817.56016654003</v>
      </c>
      <c r="E35" s="1"/>
      <c r="F35" s="7">
        <f t="shared" si="1"/>
        <v>20000</v>
      </c>
      <c r="G35" s="7">
        <v>3000</v>
      </c>
      <c r="H35" s="7">
        <v>500</v>
      </c>
      <c r="I35" s="7">
        <v>1000</v>
      </c>
      <c r="J35" s="7">
        <v>2500</v>
      </c>
      <c r="K35" s="7"/>
      <c r="L35" s="7">
        <v>13000</v>
      </c>
      <c r="N35" s="7">
        <f t="shared" si="2"/>
        <v>0</v>
      </c>
    </row>
    <row r="36" spans="1:14" x14ac:dyDescent="0.25">
      <c r="A36" s="1" t="s">
        <v>41</v>
      </c>
      <c r="B36" s="1" t="str">
        <f>VLOOKUP(A36,LISTADHERENT!A$5:H$51,2)</f>
        <v>NTEPDIE TUEMAC MZ</v>
      </c>
      <c r="C36" s="6">
        <f t="shared" si="0"/>
        <v>28.005195659205434</v>
      </c>
      <c r="D36" s="6">
        <f>TONT20000AVRIL!C36+TONT20000AVRIL!D36+TONT20000MAI!G36</f>
        <v>6186.2095621532271</v>
      </c>
      <c r="E36" s="1"/>
      <c r="F36" s="7">
        <f t="shared" si="1"/>
        <v>0</v>
      </c>
      <c r="G36" s="7"/>
      <c r="H36" s="7"/>
      <c r="I36" s="7"/>
      <c r="J36" s="7"/>
      <c r="K36" s="7"/>
      <c r="L36" s="7"/>
      <c r="N36" s="7">
        <f t="shared" si="2"/>
        <v>0</v>
      </c>
    </row>
    <row r="37" spans="1:14" x14ac:dyDescent="0.25">
      <c r="A37" s="1" t="s">
        <v>42</v>
      </c>
      <c r="B37" s="1" t="str">
        <f>VLOOKUP(A37,LISTADHERENT!A$5:H$51,2)</f>
        <v>NTOMBOU ADOLPHE</v>
      </c>
      <c r="C37" s="6">
        <f t="shared" si="0"/>
        <v>82.963253267432648</v>
      </c>
      <c r="D37" s="6">
        <f>TONT20000AVRIL!C37+TONT20000AVRIL!D37+TONT20000MAI!G37</f>
        <v>18326.173361393085</v>
      </c>
      <c r="E37" s="1"/>
      <c r="F37" s="7">
        <f t="shared" si="1"/>
        <v>20000</v>
      </c>
      <c r="G37" s="7">
        <v>3000</v>
      </c>
      <c r="H37" s="7">
        <v>500</v>
      </c>
      <c r="I37" s="7">
        <v>1000</v>
      </c>
      <c r="J37" s="7">
        <v>2500</v>
      </c>
      <c r="K37" s="7"/>
      <c r="L37" s="7">
        <v>13000</v>
      </c>
      <c r="N37" s="7">
        <f t="shared" si="2"/>
        <v>0</v>
      </c>
    </row>
    <row r="38" spans="1:14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1909.0890461331003</v>
      </c>
      <c r="D38" s="6">
        <f>TONT20000AVRIL!C38+TONT20000AVRIL!D38+TONT20000MAI!G38</f>
        <v>421708.3521181742</v>
      </c>
      <c r="E38" s="1"/>
      <c r="F38" s="7">
        <f t="shared" si="1"/>
        <v>20000</v>
      </c>
      <c r="G38" s="7">
        <v>3000</v>
      </c>
      <c r="H38" s="7">
        <v>500</v>
      </c>
      <c r="I38" s="7">
        <v>1000</v>
      </c>
      <c r="J38" s="7">
        <v>2500</v>
      </c>
      <c r="K38" s="7"/>
      <c r="L38" s="7">
        <v>13000</v>
      </c>
      <c r="N38" s="7">
        <f t="shared" si="2"/>
        <v>0</v>
      </c>
    </row>
    <row r="39" spans="1:14" x14ac:dyDescent="0.25">
      <c r="A39" s="1" t="s">
        <v>44</v>
      </c>
      <c r="B39" s="1" t="str">
        <f>VLOOKUP(A39,LISTADHERENT!A$5:H$51,2)</f>
        <v>SEUNOU RICHELOT</v>
      </c>
      <c r="C39" s="6">
        <f t="shared" si="0"/>
        <v>1920.7533345316781</v>
      </c>
      <c r="D39" s="6">
        <f>TONT20000AVRIL!C39+TONT20000AVRIL!D39+TONT20000MAI!G39</f>
        <v>424284.93588159728</v>
      </c>
      <c r="E39" s="1"/>
      <c r="F39" s="7">
        <f t="shared" si="1"/>
        <v>20000</v>
      </c>
      <c r="G39" s="7">
        <v>3000</v>
      </c>
      <c r="H39" s="7">
        <v>500</v>
      </c>
      <c r="I39" s="7">
        <v>1000</v>
      </c>
      <c r="J39" s="7">
        <v>2500</v>
      </c>
      <c r="K39" s="7"/>
      <c r="L39" s="7">
        <v>13000</v>
      </c>
      <c r="N39" s="7">
        <f t="shared" si="2"/>
        <v>0</v>
      </c>
    </row>
    <row r="40" spans="1:14" x14ac:dyDescent="0.25">
      <c r="A40" s="1" t="s">
        <v>45</v>
      </c>
      <c r="B40" s="1" t="str">
        <f>VLOOKUP(A40,LISTADHERENT!A$5:H$51,2)</f>
        <v>SIME ABEL</v>
      </c>
      <c r="C40" s="6">
        <f t="shared" si="0"/>
        <v>82.963253267432648</v>
      </c>
      <c r="D40" s="6">
        <f>TONT20000AVRIL!C40+TONT20000AVRIL!D40+TONT20000MAI!G40</f>
        <v>18326.173361393085</v>
      </c>
      <c r="E40" s="1"/>
      <c r="F40" s="7">
        <f t="shared" si="1"/>
        <v>20000</v>
      </c>
      <c r="G40" s="7">
        <v>3000</v>
      </c>
      <c r="H40" s="7">
        <v>500</v>
      </c>
      <c r="I40" s="7">
        <v>1000</v>
      </c>
      <c r="J40" s="7">
        <v>2500</v>
      </c>
      <c r="K40" s="7"/>
      <c r="L40" s="7">
        <v>13000</v>
      </c>
      <c r="N40" s="7">
        <f t="shared" si="2"/>
        <v>0</v>
      </c>
    </row>
    <row r="41" spans="1:14" x14ac:dyDescent="0.25">
      <c r="A41" s="1" t="s">
        <v>46</v>
      </c>
      <c r="B41" s="1" t="str">
        <f>VLOOKUP(A41,LISTADHERENT!A$5:H$51,2)</f>
        <v>SIME FONGANG ERIC</v>
      </c>
      <c r="C41" s="6">
        <f t="shared" si="0"/>
        <v>1913.0301901265204</v>
      </c>
      <c r="D41" s="6">
        <f>TONT20000AVRIL!C41+TONT20000AVRIL!D41+TONT20000MAI!G41</f>
        <v>422578.9313833437</v>
      </c>
      <c r="E41" s="1"/>
      <c r="F41" s="7">
        <f t="shared" si="1"/>
        <v>20000</v>
      </c>
      <c r="G41" s="7">
        <v>3000</v>
      </c>
      <c r="H41" s="7">
        <v>500</v>
      </c>
      <c r="I41" s="7">
        <v>1000</v>
      </c>
      <c r="J41" s="7">
        <v>2500</v>
      </c>
      <c r="K41" s="7"/>
      <c r="L41" s="7">
        <v>13000</v>
      </c>
      <c r="N41" s="7">
        <f t="shared" si="2"/>
        <v>0</v>
      </c>
    </row>
    <row r="42" spans="1:14" x14ac:dyDescent="0.25">
      <c r="A42" s="1" t="s">
        <v>47</v>
      </c>
      <c r="B42" s="1" t="str">
        <f>VLOOKUP(A42,LISTADHERENT!A$5:H$51,2)</f>
        <v>SIME MATHIEU</v>
      </c>
      <c r="C42" s="6">
        <f t="shared" si="0"/>
        <v>1911.4106701482267</v>
      </c>
      <c r="D42" s="6">
        <f>TONT20000AVRIL!C42+TONT20000AVRIL!D42+TONT20000MAI!G42</f>
        <v>422221.1874097705</v>
      </c>
      <c r="E42" s="1"/>
      <c r="F42" s="7">
        <f t="shared" si="1"/>
        <v>20000</v>
      </c>
      <c r="G42" s="7">
        <v>3000</v>
      </c>
      <c r="H42" s="7">
        <v>500</v>
      </c>
      <c r="I42" s="7">
        <v>1000</v>
      </c>
      <c r="J42" s="7">
        <v>2500</v>
      </c>
      <c r="K42" s="7"/>
      <c r="L42" s="7">
        <v>13000</v>
      </c>
      <c r="N42" s="7">
        <f t="shared" si="2"/>
        <v>0</v>
      </c>
    </row>
    <row r="43" spans="1:14" x14ac:dyDescent="0.25">
      <c r="A43" s="1" t="s">
        <v>48</v>
      </c>
      <c r="B43" s="1" t="str">
        <f>VLOOKUP(A43,LISTADHERENT!A$5:H$51,2)</f>
        <v>SIME PIERRE</v>
      </c>
      <c r="C43" s="6">
        <f t="shared" si="0"/>
        <v>6711.1951357594153</v>
      </c>
      <c r="D43" s="6">
        <f>TONT20000AVRIL!C43+TONT20000AVRIL!D43+TONT20000MAI!G43</f>
        <v>1482469.8969265849</v>
      </c>
      <c r="E43" s="1"/>
      <c r="F43" s="7">
        <f t="shared" si="1"/>
        <v>20000</v>
      </c>
      <c r="G43" s="7">
        <v>3000</v>
      </c>
      <c r="H43" s="7">
        <v>500</v>
      </c>
      <c r="I43" s="7">
        <v>1000</v>
      </c>
      <c r="J43" s="7">
        <v>2500</v>
      </c>
      <c r="K43" s="7"/>
      <c r="L43" s="7">
        <v>13000</v>
      </c>
      <c r="N43" s="7">
        <f t="shared" si="2"/>
        <v>0</v>
      </c>
    </row>
    <row r="44" spans="1:14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82.963253267432648</v>
      </c>
      <c r="D44" s="6">
        <f>TONT20000AVRIL!C44+TONT20000AVRIL!D44+TONT20000MAI!G44</f>
        <v>18326.173361393085</v>
      </c>
      <c r="E44" s="1"/>
      <c r="F44" s="7">
        <f t="shared" si="1"/>
        <v>20000</v>
      </c>
      <c r="G44" s="7">
        <v>3000</v>
      </c>
      <c r="H44" s="7">
        <v>500</v>
      </c>
      <c r="I44" s="7">
        <v>1000</v>
      </c>
      <c r="J44" s="7">
        <v>2500</v>
      </c>
      <c r="K44" s="7"/>
      <c r="L44" s="7">
        <v>13000</v>
      </c>
      <c r="N44" s="7">
        <f t="shared" si="2"/>
        <v>0</v>
      </c>
    </row>
    <row r="45" spans="1:14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82.963253267432648</v>
      </c>
      <c r="D45" s="6">
        <f>TONT20000AVRIL!C45+TONT20000AVRIL!D45+TONT20000MAI!G45</f>
        <v>18326.173361393085</v>
      </c>
      <c r="E45" s="1"/>
      <c r="F45" s="7">
        <f t="shared" si="1"/>
        <v>20000</v>
      </c>
      <c r="G45" s="7">
        <v>3000</v>
      </c>
      <c r="H45" s="7">
        <v>500</v>
      </c>
      <c r="I45" s="7">
        <v>1000</v>
      </c>
      <c r="J45" s="7">
        <v>2500</v>
      </c>
      <c r="K45" s="7"/>
      <c r="L45" s="7">
        <v>13000</v>
      </c>
      <c r="N45" s="7">
        <f t="shared" si="2"/>
        <v>0</v>
      </c>
    </row>
    <row r="46" spans="1:14" x14ac:dyDescent="0.25">
      <c r="A46" s="1" t="s">
        <v>51</v>
      </c>
      <c r="B46" s="1" t="str">
        <f>VLOOKUP(A46,LISTADHERENT!A$5:H$51,2)</f>
        <v>TCHOUAMOU MATHIEU</v>
      </c>
      <c r="C46" s="6">
        <f t="shared" si="0"/>
        <v>1924.5212928626795</v>
      </c>
      <c r="D46" s="6">
        <f>TONT20000AVRIL!C46+TONT20000AVRIL!D46+TONT20000MAI!G46</f>
        <v>425117.25928832107</v>
      </c>
      <c r="E46" s="1"/>
      <c r="F46" s="7">
        <f t="shared" si="1"/>
        <v>20000</v>
      </c>
      <c r="G46" s="7">
        <v>3000</v>
      </c>
      <c r="H46" s="7">
        <v>500</v>
      </c>
      <c r="I46" s="7">
        <v>1000</v>
      </c>
      <c r="J46" s="7">
        <v>2500</v>
      </c>
      <c r="K46" s="7"/>
      <c r="L46" s="7">
        <v>13000</v>
      </c>
      <c r="M46" s="7"/>
      <c r="N46" s="7">
        <f t="shared" si="2"/>
        <v>0</v>
      </c>
    </row>
    <row r="47" spans="1:14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1392.4741747198527</v>
      </c>
      <c r="D47" s="6">
        <f>TONT20000AVRIL!C47+TONT20000AVRIL!D47+TONT20000MAI!G47</f>
        <v>307590.67565635347</v>
      </c>
      <c r="E47" s="1"/>
      <c r="F47" s="7">
        <f t="shared" si="1"/>
        <v>23000</v>
      </c>
      <c r="G47" s="7">
        <v>6000</v>
      </c>
      <c r="H47" s="7">
        <v>500</v>
      </c>
      <c r="I47" s="7">
        <v>1000</v>
      </c>
      <c r="J47" s="7">
        <v>2500</v>
      </c>
      <c r="K47" s="7"/>
      <c r="L47" s="7">
        <v>13000</v>
      </c>
      <c r="M47" s="7">
        <v>750000</v>
      </c>
      <c r="N47" s="7">
        <f t="shared" si="2"/>
        <v>90000</v>
      </c>
    </row>
    <row r="48" spans="1:14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41.617647554243668</v>
      </c>
      <c r="D48" s="6">
        <f>TONT20000AVRIL!C48+TONT20000AVRIL!D48+TONT20000MAI!G48</f>
        <v>9193.1330310044905</v>
      </c>
      <c r="E48" s="1"/>
      <c r="F48" s="7">
        <f t="shared" si="1"/>
        <v>0</v>
      </c>
      <c r="G48" s="7"/>
      <c r="H48" s="7"/>
      <c r="I48" s="7"/>
      <c r="J48" s="7"/>
      <c r="K48" s="7"/>
      <c r="L48" s="7"/>
      <c r="N48" s="7">
        <f t="shared" si="2"/>
        <v>0</v>
      </c>
    </row>
    <row r="49" spans="1:17" x14ac:dyDescent="0.25">
      <c r="A49" s="1" t="s">
        <v>54</v>
      </c>
      <c r="B49" s="1" t="str">
        <f>VLOOKUP(A49,LISTADHERENT!A$5:H$51,2)</f>
        <v>TIEYAM ERNEST</v>
      </c>
      <c r="C49" s="6">
        <f t="shared" si="0"/>
        <v>1898.6159175697137</v>
      </c>
      <c r="D49" s="6">
        <f>TONT20000AVRIL!C49+TONT20000AVRIL!D49+TONT20000MAI!G49</f>
        <v>419394.88968595635</v>
      </c>
      <c r="E49" s="1"/>
      <c r="F49" s="7">
        <f t="shared" si="1"/>
        <v>0</v>
      </c>
      <c r="G49" s="7"/>
      <c r="H49" s="7"/>
      <c r="I49" s="7"/>
      <c r="J49" s="7"/>
      <c r="K49" s="7"/>
      <c r="L49" s="7"/>
      <c r="N49" s="7">
        <f t="shared" si="2"/>
        <v>0</v>
      </c>
    </row>
    <row r="50" spans="1:17" x14ac:dyDescent="0.25">
      <c r="A50" s="1" t="s">
        <v>55</v>
      </c>
      <c r="B50" s="1" t="str">
        <f>VLOOKUP(A50,LISTADHERENT!A$5:H$51,2)</f>
        <v>TUGMA PIERRE LOTI</v>
      </c>
      <c r="C50" s="6">
        <f t="shared" si="0"/>
        <v>1990.9824609892487</v>
      </c>
      <c r="D50" s="6">
        <f>TONT20000AVRIL!C50+TONT20000AVRIL!D50+TONT20000MAI!G50</f>
        <v>439798.2034523841</v>
      </c>
      <c r="E50" s="1"/>
      <c r="F50" s="7">
        <f t="shared" si="1"/>
        <v>20000</v>
      </c>
      <c r="G50" s="7">
        <v>3000</v>
      </c>
      <c r="H50" s="7">
        <v>500</v>
      </c>
      <c r="I50" s="7">
        <v>1000</v>
      </c>
      <c r="J50" s="7">
        <v>2500</v>
      </c>
      <c r="K50" s="7"/>
      <c r="L50" s="7">
        <v>13000</v>
      </c>
      <c r="N50" s="7">
        <f t="shared" si="2"/>
        <v>0</v>
      </c>
    </row>
    <row r="51" spans="1:17" ht="18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3880.1150701202687</v>
      </c>
      <c r="D51" s="6">
        <f>TONT20000AVRIL!C51+TONT20000AVRIL!D51+TONT20000MAI!G51</f>
        <v>857098.27708855469</v>
      </c>
      <c r="E51" s="1"/>
      <c r="F51" s="7">
        <f t="shared" si="1"/>
        <v>20000</v>
      </c>
      <c r="G51" s="7">
        <v>3000</v>
      </c>
      <c r="H51" s="7">
        <v>500</v>
      </c>
      <c r="I51" s="7">
        <v>1000</v>
      </c>
      <c r="J51" s="7">
        <v>2500</v>
      </c>
      <c r="K51" s="7"/>
      <c r="L51" s="7">
        <v>13000</v>
      </c>
      <c r="M51" s="9"/>
      <c r="N51" s="7">
        <f t="shared" si="2"/>
        <v>0</v>
      </c>
    </row>
    <row r="52" spans="1:17" x14ac:dyDescent="0.25">
      <c r="A52" s="1" t="s">
        <v>178</v>
      </c>
      <c r="B52" s="1" t="str">
        <f>VLOOKUP(A52,LISTADHERENT!A$5:H$51,2)</f>
        <v>YOUMBI EMMANUEL</v>
      </c>
      <c r="C52" s="6">
        <f t="shared" si="0"/>
        <v>6604.4753221608671</v>
      </c>
      <c r="D52" s="6">
        <f>TONT20000AVRIL!C52+TONT20000AVRIL!D52+TONT20000MAI!G52</f>
        <v>1458896.0165870793</v>
      </c>
      <c r="E52" s="1"/>
      <c r="F52" s="7">
        <f t="shared" si="1"/>
        <v>20000</v>
      </c>
      <c r="G52" s="7">
        <v>3000</v>
      </c>
      <c r="H52" s="7">
        <v>500</v>
      </c>
      <c r="I52" s="7">
        <v>1000</v>
      </c>
      <c r="J52" s="7">
        <v>2500</v>
      </c>
      <c r="L52" s="7">
        <v>13000</v>
      </c>
      <c r="N52" s="7">
        <f t="shared" si="2"/>
        <v>0</v>
      </c>
    </row>
    <row r="53" spans="1:17" x14ac:dyDescent="0.25">
      <c r="A53" s="1"/>
      <c r="B53" s="1"/>
      <c r="C53" s="1"/>
      <c r="D53" s="1"/>
      <c r="E53" s="1"/>
      <c r="F53" s="7"/>
      <c r="G53" s="7"/>
      <c r="H53" s="7"/>
      <c r="I53" s="7"/>
      <c r="J53" s="7"/>
      <c r="L53" s="7"/>
      <c r="N53" s="7"/>
    </row>
    <row r="54" spans="1:17" ht="18" x14ac:dyDescent="0.25">
      <c r="A54" s="1"/>
      <c r="B54" s="1" t="s">
        <v>180</v>
      </c>
      <c r="C54" s="1"/>
      <c r="D54" s="1"/>
      <c r="E54" s="1"/>
      <c r="H54" s="4"/>
      <c r="L54" s="7">
        <f>52500+140000</f>
        <v>192500</v>
      </c>
      <c r="N54" s="7">
        <f t="shared" si="2"/>
        <v>0</v>
      </c>
      <c r="O54" s="9"/>
    </row>
    <row r="55" spans="1:17" ht="18" x14ac:dyDescent="0.25">
      <c r="A55" s="1"/>
      <c r="B55" s="1"/>
      <c r="C55" s="1"/>
      <c r="D55" s="1"/>
      <c r="E55" s="1"/>
      <c r="H55" s="4"/>
      <c r="O55" s="9"/>
    </row>
    <row r="56" spans="1:17" ht="18" x14ac:dyDescent="0.25">
      <c r="A56" s="8" t="s">
        <v>56</v>
      </c>
      <c r="B56" s="8"/>
      <c r="C56" s="9">
        <f>SUM(C5:C52)</f>
        <v>90000.000000000029</v>
      </c>
      <c r="D56" s="9">
        <f t="shared" ref="D56:Q56" si="3">SUM(D5:D52)</f>
        <v>19880555.999999996</v>
      </c>
      <c r="E56" s="9">
        <f t="shared" si="3"/>
        <v>0</v>
      </c>
      <c r="F56" s="9">
        <f t="shared" si="3"/>
        <v>1359000</v>
      </c>
      <c r="G56" s="9">
        <f t="shared" si="3"/>
        <v>645000</v>
      </c>
      <c r="H56" s="9">
        <f t="shared" si="3"/>
        <v>21000</v>
      </c>
      <c r="I56" s="9">
        <f t="shared" si="3"/>
        <v>42000</v>
      </c>
      <c r="J56" s="9">
        <f t="shared" si="3"/>
        <v>105000</v>
      </c>
      <c r="K56" s="9">
        <f t="shared" si="3"/>
        <v>0</v>
      </c>
      <c r="L56" s="9">
        <f t="shared" si="3"/>
        <v>546000</v>
      </c>
      <c r="M56" s="9">
        <f t="shared" si="3"/>
        <v>750000</v>
      </c>
      <c r="N56" s="9">
        <f t="shared" si="3"/>
        <v>90000</v>
      </c>
      <c r="O56" s="9">
        <f t="shared" si="3"/>
        <v>0</v>
      </c>
      <c r="P56" s="9">
        <f t="shared" si="3"/>
        <v>0</v>
      </c>
      <c r="Q56" s="9">
        <f t="shared" si="3"/>
        <v>0</v>
      </c>
    </row>
  </sheetData>
  <autoFilter ref="A4:O51"/>
  <dataValidations count="1">
    <dataValidation type="list" allowBlank="1" showInputMessage="1" showErrorMessage="1" promptTitle="Saissisez le mode de VERSEMENT" sqref="H6:H53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pane xSplit="2" ySplit="4" topLeftCell="C26" activePane="bottomRight" state="frozen"/>
      <selection activeCell="B22" sqref="B22"/>
      <selection pane="topRight" activeCell="B22" sqref="B22"/>
      <selection pane="bottomLeft" activeCell="B22" sqref="B22"/>
      <selection pane="bottomRight" activeCell="A33" sqref="A33:XFD3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5" width="29.5703125" customWidth="1"/>
    <col min="6" max="6" width="15" style="2" bestFit="1" customWidth="1"/>
    <col min="7" max="7" width="12.5703125" bestFit="1" customWidth="1"/>
    <col min="8" max="8" width="17.5703125" style="3" bestFit="1" customWidth="1"/>
    <col min="9" max="9" width="15.7109375" style="2" customWidth="1"/>
    <col min="10" max="10" width="14.7109375" style="2" customWidth="1"/>
    <col min="11" max="11" width="18.140625" style="2" bestFit="1" customWidth="1"/>
    <col min="12" max="12" width="18.140625" customWidth="1"/>
    <col min="13" max="13" width="15" bestFit="1" customWidth="1"/>
    <col min="14" max="14" width="12.5703125" bestFit="1" customWidth="1"/>
    <col min="15" max="15" width="18.140625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</row>
    <row r="2" spans="1:18" x14ac:dyDescent="0.25">
      <c r="A2" s="1" t="s">
        <v>2</v>
      </c>
      <c r="B2" s="1" t="s">
        <v>3</v>
      </c>
      <c r="C2" s="1"/>
      <c r="D2" s="1"/>
      <c r="E2" s="1"/>
    </row>
    <row r="3" spans="1:18" x14ac:dyDescent="0.25">
      <c r="A3" s="1" t="s">
        <v>4</v>
      </c>
      <c r="B3" s="1" t="s">
        <v>5</v>
      </c>
      <c r="C3" s="1"/>
      <c r="D3" s="1"/>
      <c r="E3" s="1"/>
    </row>
    <row r="4" spans="1:18" ht="29.25" x14ac:dyDescent="0.25">
      <c r="A4" s="1" t="s">
        <v>6</v>
      </c>
      <c r="B4" s="1" t="s">
        <v>7</v>
      </c>
      <c r="C4" s="5" t="s">
        <v>186</v>
      </c>
      <c r="D4" s="5" t="s">
        <v>187</v>
      </c>
      <c r="E4" s="1" t="s">
        <v>184</v>
      </c>
      <c r="F4" s="5" t="s">
        <v>65</v>
      </c>
      <c r="G4" s="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8</v>
      </c>
      <c r="P4" s="5" t="s">
        <v>182</v>
      </c>
      <c r="Q4" s="5" t="s">
        <v>181</v>
      </c>
    </row>
    <row r="5" spans="1:18" x14ac:dyDescent="0.25">
      <c r="A5" s="1" t="s">
        <v>185</v>
      </c>
      <c r="B5" s="1" t="str">
        <f>VLOOKUP(A5,LISTADHERENT!A$5:H$52,2,0)</f>
        <v>ASELBY</v>
      </c>
      <c r="C5" s="6">
        <f>$N$56/$D$56*D5</f>
        <v>4585.7297697109252</v>
      </c>
      <c r="D5" s="6">
        <f>TONT20000MAI!C5+TONT20000MAI!D5+TONT20000JUIN!G5</f>
        <v>330432.65507496637</v>
      </c>
      <c r="E5" s="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</row>
    <row r="6" spans="1:18" x14ac:dyDescent="0.25">
      <c r="A6" s="1" t="s">
        <v>11</v>
      </c>
      <c r="B6" s="1" t="str">
        <f>VLOOKUP(A6,LISTADHERENT!A$5:H$51,2)</f>
        <v>BAKOP ACHILLE</v>
      </c>
      <c r="C6" s="6">
        <f t="shared" ref="C6:C52" si="0">$N$56/$D$56*D6</f>
        <v>6401.9466331371623</v>
      </c>
      <c r="D6" s="6">
        <f>TONT20000MAI!C6+TONT20000MAI!D6+TONT20000JUIN!G6</f>
        <v>461303.28865172213</v>
      </c>
      <c r="E6" s="1"/>
      <c r="F6" s="7">
        <f t="shared" ref="F6:F52" si="1">G6+H6+I6+J6+K6+L6</f>
        <v>20000</v>
      </c>
      <c r="G6" s="7">
        <v>3000</v>
      </c>
      <c r="H6" s="7">
        <v>500</v>
      </c>
      <c r="I6" s="7">
        <v>1000</v>
      </c>
      <c r="J6" s="7">
        <v>2500</v>
      </c>
      <c r="K6" s="7"/>
      <c r="L6" s="7">
        <v>13000</v>
      </c>
      <c r="M6" s="7"/>
      <c r="N6" s="7">
        <f>IF(M6&lt;=500000,(M6*1*3/100),(M6*12/100))</f>
        <v>0</v>
      </c>
    </row>
    <row r="7" spans="1:18" x14ac:dyDescent="0.25">
      <c r="A7" s="1" t="s">
        <v>12</v>
      </c>
      <c r="B7" s="1" t="str">
        <f>VLOOKUP(A7,LISTADHERENT!A$5:H$51,2)</f>
        <v>BOUTCHOUANG WILLIAM</v>
      </c>
      <c r="C7" s="6">
        <f t="shared" si="0"/>
        <v>5943.1214118404623</v>
      </c>
      <c r="D7" s="6">
        <f>TONT20000MAI!C7+TONT20000MAI!D7+TONT20000JUIN!G7</f>
        <v>428241.84724498505</v>
      </c>
      <c r="E7" s="1"/>
      <c r="F7" s="7">
        <f t="shared" si="1"/>
        <v>20000</v>
      </c>
      <c r="G7" s="7">
        <v>3000</v>
      </c>
      <c r="H7" s="7">
        <v>500</v>
      </c>
      <c r="I7" s="7">
        <v>1000</v>
      </c>
      <c r="J7" s="7">
        <v>2500</v>
      </c>
      <c r="K7" s="7"/>
      <c r="L7" s="7">
        <v>13000</v>
      </c>
      <c r="M7" s="7"/>
      <c r="N7" s="7">
        <f t="shared" ref="N7:N54" si="2">IF(M7&lt;=500000,(M7*1*3/100),(M7*12/100))</f>
        <v>0</v>
      </c>
    </row>
    <row r="8" spans="1:18" s="21" customFormat="1" x14ac:dyDescent="0.25">
      <c r="A8" s="19" t="s">
        <v>13</v>
      </c>
      <c r="B8" s="19" t="str">
        <f>VLOOKUP(A8,LISTADHERENT!A$5:H$51,2)</f>
        <v>CHINGUE FABRICE</v>
      </c>
      <c r="C8" s="6">
        <f t="shared" si="0"/>
        <v>5945.1105385223846</v>
      </c>
      <c r="D8" s="6">
        <f>TONT20000MAI!C8+TONT20000MAI!D8+TONT20000JUIN!G8</f>
        <v>428385.17719328019</v>
      </c>
      <c r="E8" s="19"/>
      <c r="F8" s="20">
        <f t="shared" si="1"/>
        <v>20000</v>
      </c>
      <c r="G8" s="20">
        <v>3000</v>
      </c>
      <c r="H8" s="20">
        <v>500</v>
      </c>
      <c r="I8" s="20">
        <v>1000</v>
      </c>
      <c r="J8" s="20">
        <v>2500</v>
      </c>
      <c r="K8" s="20"/>
      <c r="L8" s="20">
        <v>13000</v>
      </c>
      <c r="M8" s="20">
        <v>1000000</v>
      </c>
      <c r="N8" s="20">
        <f t="shared" si="2"/>
        <v>120000</v>
      </c>
      <c r="O8" s="20">
        <v>1000000</v>
      </c>
    </row>
    <row r="9" spans="1:18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6036.1202912010549</v>
      </c>
      <c r="D9" s="6">
        <f>TONT20000MAI!C9+TONT20000MAI!D9+TONT20000JUIN!G9</f>
        <v>434943.04163918813</v>
      </c>
      <c r="E9" s="1"/>
      <c r="F9" s="7">
        <f t="shared" si="1"/>
        <v>20000</v>
      </c>
      <c r="G9" s="7">
        <v>3000</v>
      </c>
      <c r="H9" s="7">
        <v>500</v>
      </c>
      <c r="I9" s="7">
        <v>1000</v>
      </c>
      <c r="J9" s="7">
        <v>2500</v>
      </c>
      <c r="K9" s="7"/>
      <c r="L9" s="7">
        <v>13000</v>
      </c>
      <c r="N9" s="7">
        <f t="shared" si="2"/>
        <v>0</v>
      </c>
    </row>
    <row r="10" spans="1:18" x14ac:dyDescent="0.25">
      <c r="A10" s="1" t="s">
        <v>15</v>
      </c>
      <c r="B10" s="1" t="str">
        <f>VLOOKUP(A10,LISTADHERENT!A$5:H$51,2)</f>
        <v>DJOUKWE GUY</v>
      </c>
      <c r="C10" s="6">
        <f t="shared" si="0"/>
        <v>6562.6898315546596</v>
      </c>
      <c r="D10" s="6">
        <f>TONT20000MAI!C10+TONT20000MAI!D10+TONT20000JUIN!G10</f>
        <v>472885.91660968919</v>
      </c>
      <c r="E10" s="1"/>
      <c r="F10" s="7">
        <f t="shared" si="1"/>
        <v>50000</v>
      </c>
      <c r="G10" s="7">
        <v>33000</v>
      </c>
      <c r="H10" s="7">
        <v>500</v>
      </c>
      <c r="I10" s="7">
        <v>1000</v>
      </c>
      <c r="J10" s="7">
        <v>2500</v>
      </c>
      <c r="K10" s="7"/>
      <c r="L10" s="7">
        <v>13000</v>
      </c>
      <c r="N10" s="7">
        <f t="shared" si="2"/>
        <v>0</v>
      </c>
    </row>
    <row r="11" spans="1:18" x14ac:dyDescent="0.25">
      <c r="A11" s="1" t="s">
        <v>16</v>
      </c>
      <c r="B11" s="1" t="str">
        <f>VLOOKUP(A11,LISTADHERENT!A$5:H$51,2)</f>
        <v>DJOSSEU JOSUE</v>
      </c>
      <c r="C11" s="6">
        <f t="shared" si="0"/>
        <v>72.069807316018256</v>
      </c>
      <c r="D11" s="6">
        <f>TONT20000MAI!C11+TONT20000MAI!D11+TONT20000JUIN!G11</f>
        <v>5193.1140686631315</v>
      </c>
      <c r="E11" s="1"/>
      <c r="F11" s="7">
        <f t="shared" si="1"/>
        <v>0</v>
      </c>
      <c r="G11" s="7"/>
      <c r="H11" s="7"/>
      <c r="I11" s="7"/>
      <c r="J11" s="7"/>
      <c r="K11" s="7"/>
      <c r="L11" s="7"/>
      <c r="N11" s="7">
        <f t="shared" si="2"/>
        <v>0</v>
      </c>
    </row>
    <row r="12" spans="1:18" x14ac:dyDescent="0.25">
      <c r="A12" s="1" t="s">
        <v>17</v>
      </c>
      <c r="B12" s="1" t="str">
        <f>VLOOKUP(A12,LISTADHERENT!A$5:H$51,2)</f>
        <v>DJOUNKEP SAMUEL</v>
      </c>
      <c r="C12" s="6">
        <f t="shared" si="0"/>
        <v>27381.850860139701</v>
      </c>
      <c r="D12" s="6">
        <f>TONT20000MAI!C12+TONT20000MAI!D12+TONT20000JUIN!G12</f>
        <v>1973046.4146283679</v>
      </c>
      <c r="E12" s="1"/>
      <c r="F12" s="7">
        <f t="shared" si="1"/>
        <v>20000</v>
      </c>
      <c r="G12" s="7">
        <v>3000</v>
      </c>
      <c r="H12" s="7">
        <v>500</v>
      </c>
      <c r="I12" s="7">
        <v>1000</v>
      </c>
      <c r="J12" s="7">
        <v>2500</v>
      </c>
      <c r="K12" s="7"/>
      <c r="L12" s="7">
        <v>13000</v>
      </c>
      <c r="N12" s="7">
        <f t="shared" si="2"/>
        <v>0</v>
      </c>
    </row>
    <row r="13" spans="1:18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4897.1002284557744</v>
      </c>
      <c r="D13" s="6">
        <f>TONT20000MAI!C13+TONT20000MAI!D13+TONT20000JUIN!G13</f>
        <v>352868.98965240846</v>
      </c>
      <c r="E13" s="1"/>
      <c r="F13" s="7">
        <f t="shared" si="1"/>
        <v>20000</v>
      </c>
      <c r="G13" s="7">
        <v>3000</v>
      </c>
      <c r="H13" s="7">
        <v>500</v>
      </c>
      <c r="I13" s="7">
        <v>1000</v>
      </c>
      <c r="J13" s="7">
        <v>2500</v>
      </c>
      <c r="K13" s="7"/>
      <c r="L13" s="7">
        <v>13000</v>
      </c>
      <c r="N13" s="7">
        <f t="shared" si="2"/>
        <v>0</v>
      </c>
    </row>
    <row r="14" spans="1:18" x14ac:dyDescent="0.25">
      <c r="A14" s="1" t="s">
        <v>19</v>
      </c>
      <c r="B14" s="1" t="str">
        <f>VLOOKUP(A14,LISTADHERENT!A$5:H$51,2)</f>
        <v>DONHOU DAVID</v>
      </c>
      <c r="C14" s="6">
        <f t="shared" si="0"/>
        <v>6563.354173602117</v>
      </c>
      <c r="D14" s="6">
        <f>TONT20000MAI!C14+TONT20000MAI!D14+TONT20000JUIN!G14</f>
        <v>472933.78691990004</v>
      </c>
      <c r="E14" s="1"/>
      <c r="F14" s="7">
        <f t="shared" si="1"/>
        <v>20000</v>
      </c>
      <c r="G14" s="7">
        <v>3000</v>
      </c>
      <c r="H14" s="7">
        <v>500</v>
      </c>
      <c r="I14" s="7">
        <v>1000</v>
      </c>
      <c r="J14" s="7">
        <v>2500</v>
      </c>
      <c r="K14" s="7"/>
      <c r="L14" s="7">
        <v>13000</v>
      </c>
      <c r="N14" s="7">
        <f t="shared" si="2"/>
        <v>0</v>
      </c>
    </row>
    <row r="15" spans="1:18" x14ac:dyDescent="0.25">
      <c r="A15" s="1" t="s">
        <v>20</v>
      </c>
      <c r="B15" s="1" t="str">
        <f>VLOOKUP(A15,LISTADHERENT!A$5:H$51,2)</f>
        <v>FOTSO THOMAS</v>
      </c>
      <c r="C15" s="6">
        <f t="shared" si="0"/>
        <v>5966.3855456420752</v>
      </c>
      <c r="D15" s="6">
        <f>TONT20000MAI!C15+TONT20000MAI!D15+TONT20000JUIN!G15</f>
        <v>429918.18446634966</v>
      </c>
      <c r="E15" s="1"/>
      <c r="F15" s="7">
        <f t="shared" si="1"/>
        <v>20000</v>
      </c>
      <c r="G15" s="7">
        <v>3000</v>
      </c>
      <c r="H15" s="7">
        <v>500</v>
      </c>
      <c r="I15" s="7">
        <v>1000</v>
      </c>
      <c r="J15" s="7">
        <v>2500</v>
      </c>
      <c r="K15" s="7"/>
      <c r="L15" s="7">
        <v>13000</v>
      </c>
      <c r="N15" s="7">
        <f t="shared" si="2"/>
        <v>0</v>
      </c>
    </row>
    <row r="16" spans="1:18" x14ac:dyDescent="0.25">
      <c r="A16" s="1" t="s">
        <v>21</v>
      </c>
      <c r="B16" s="1" t="str">
        <f>VLOOKUP(A16,LISTADHERENT!A$5:H$51,2)</f>
        <v>HENGUE PAUL OMER</v>
      </c>
      <c r="C16" s="6">
        <f t="shared" si="0"/>
        <v>5918.5600215071654</v>
      </c>
      <c r="D16" s="6">
        <f>TONT20000MAI!C16+TONT20000MAI!D16+TONT20000JUIN!G16</f>
        <v>426472.0339703848</v>
      </c>
      <c r="E16" s="1"/>
      <c r="F16" s="7">
        <f t="shared" si="1"/>
        <v>20000</v>
      </c>
      <c r="G16" s="7">
        <v>3000</v>
      </c>
      <c r="H16" s="7">
        <v>500</v>
      </c>
      <c r="I16" s="7">
        <v>1000</v>
      </c>
      <c r="J16" s="7">
        <v>2500</v>
      </c>
      <c r="K16" s="7"/>
      <c r="L16" s="7">
        <v>13000</v>
      </c>
      <c r="N16" s="7">
        <f t="shared" si="2"/>
        <v>0</v>
      </c>
    </row>
    <row r="17" spans="1:15" x14ac:dyDescent="0.25">
      <c r="A17" s="1" t="s">
        <v>22</v>
      </c>
      <c r="B17" s="1" t="str">
        <f>VLOOKUP(A17,LISTADHERENT!A$5:H$51,2)</f>
        <v>HODIEP JULES</v>
      </c>
      <c r="C17" s="6">
        <f t="shared" si="0"/>
        <v>991.01283899713405</v>
      </c>
      <c r="D17" s="6">
        <f>TONT20000MAI!C17+TONT20000MAI!D17+TONT20000JUIN!G17+50000</f>
        <v>71409.136614660514</v>
      </c>
      <c r="E17" s="1"/>
      <c r="F17" s="7">
        <f t="shared" si="1"/>
        <v>20000</v>
      </c>
      <c r="G17" s="7">
        <v>3000</v>
      </c>
      <c r="H17" s="7">
        <v>500</v>
      </c>
      <c r="I17" s="7">
        <v>1000</v>
      </c>
      <c r="J17" s="7">
        <v>2500</v>
      </c>
      <c r="K17" s="7"/>
      <c r="L17" s="7">
        <v>13000</v>
      </c>
      <c r="N17" s="7">
        <f t="shared" si="2"/>
        <v>0</v>
      </c>
    </row>
    <row r="18" spans="1:15" x14ac:dyDescent="0.25">
      <c r="A18" s="1" t="s">
        <v>23</v>
      </c>
      <c r="B18" s="1" t="str">
        <f>VLOOKUP(A18,LISTADHERENT!A$5:H$51,2)</f>
        <v>HOTCHO BENJAMIN</v>
      </c>
      <c r="C18" s="6">
        <f t="shared" si="0"/>
        <v>6044.2930073506905</v>
      </c>
      <c r="D18" s="6">
        <f>TONT20000MAI!C18+TONT20000MAI!D18+TONT20000JUIN!G18</f>
        <v>435531.94077457447</v>
      </c>
      <c r="E18" s="1"/>
      <c r="F18" s="7">
        <f t="shared" si="1"/>
        <v>20000</v>
      </c>
      <c r="G18" s="7">
        <v>3000</v>
      </c>
      <c r="H18" s="7">
        <v>500</v>
      </c>
      <c r="I18" s="7">
        <v>1000</v>
      </c>
      <c r="J18" s="7">
        <v>2500</v>
      </c>
      <c r="K18" s="7"/>
      <c r="L18" s="7">
        <v>13000</v>
      </c>
      <c r="N18" s="7">
        <f t="shared" si="2"/>
        <v>0</v>
      </c>
    </row>
    <row r="19" spans="1:15" x14ac:dyDescent="0.25">
      <c r="A19" s="1" t="s">
        <v>24</v>
      </c>
      <c r="B19" s="1" t="str">
        <f>VLOOKUP(A19,LISTADHERENT!A$5:H$51,2)</f>
        <v>KEPHE DAVID</v>
      </c>
      <c r="C19" s="6">
        <f t="shared" si="0"/>
        <v>481.54168777943136</v>
      </c>
      <c r="D19" s="6">
        <f>TONT20000MAI!C19+TONT20000MAI!D19+TONT20000JUIN!G19</f>
        <v>34698.315516369468</v>
      </c>
      <c r="E19" s="1"/>
      <c r="F19" s="7">
        <f t="shared" si="1"/>
        <v>20000</v>
      </c>
      <c r="G19" s="7">
        <v>3000</v>
      </c>
      <c r="H19" s="7">
        <v>500</v>
      </c>
      <c r="I19" s="7">
        <v>1000</v>
      </c>
      <c r="J19" s="7">
        <v>2500</v>
      </c>
      <c r="K19" s="7"/>
      <c r="L19" s="7">
        <v>13000</v>
      </c>
      <c r="N19" s="7">
        <f t="shared" si="2"/>
        <v>0</v>
      </c>
    </row>
    <row r="20" spans="1:15" x14ac:dyDescent="0.25">
      <c r="A20" s="1" t="s">
        <v>25</v>
      </c>
      <c r="B20" s="1" t="str">
        <f>VLOOKUP(A20,LISTADHERENT!A$5:H$51,2)</f>
        <v>KEPSEU FRANCIS</v>
      </c>
      <c r="C20" s="6">
        <f t="shared" si="0"/>
        <v>15695.675275336062</v>
      </c>
      <c r="D20" s="6">
        <f>TONT20000MAI!C20+TONT20000MAI!D20+TONT20000JUIN!G20</f>
        <v>1130978.9095467646</v>
      </c>
      <c r="E20" s="1"/>
      <c r="F20" s="7">
        <f t="shared" si="1"/>
        <v>23000</v>
      </c>
      <c r="G20" s="7">
        <v>6000</v>
      </c>
      <c r="H20" s="7">
        <v>500</v>
      </c>
      <c r="I20" s="7">
        <v>1000</v>
      </c>
      <c r="J20" s="7">
        <v>2500</v>
      </c>
      <c r="K20" s="7"/>
      <c r="L20" s="7">
        <v>13000</v>
      </c>
      <c r="N20" s="7">
        <f t="shared" si="2"/>
        <v>0</v>
      </c>
    </row>
    <row r="21" spans="1:15" x14ac:dyDescent="0.25">
      <c r="A21" s="1" t="s">
        <v>26</v>
      </c>
      <c r="B21" s="1" t="str">
        <f>VLOOKUP(A21,LISTADHERENT!A$5:H$51,2)</f>
        <v>KOUAMOU EMMANUEL</v>
      </c>
      <c r="C21" s="6">
        <f t="shared" si="0"/>
        <v>5957.8092385714681</v>
      </c>
      <c r="D21" s="6">
        <f>TONT20000MAI!C21+TONT20000MAI!D21+TONT20000JUIN!G21</f>
        <v>429300.20389217866</v>
      </c>
      <c r="E21" s="1"/>
      <c r="F21" s="7">
        <f t="shared" si="1"/>
        <v>20000</v>
      </c>
      <c r="G21" s="7">
        <v>3000</v>
      </c>
      <c r="H21" s="7">
        <v>500</v>
      </c>
      <c r="I21" s="7">
        <v>1000</v>
      </c>
      <c r="J21" s="7">
        <v>2500</v>
      </c>
      <c r="K21" s="7"/>
      <c r="L21" s="7">
        <v>13000</v>
      </c>
      <c r="N21" s="7">
        <f t="shared" si="2"/>
        <v>0</v>
      </c>
    </row>
    <row r="22" spans="1:15" x14ac:dyDescent="0.25">
      <c r="A22" s="1" t="s">
        <v>27</v>
      </c>
      <c r="B22" s="1" t="str">
        <f>VLOOKUP(A22,LISTADHERENT!A$5:H$51,2)</f>
        <v>KOUAMOU MOISE</v>
      </c>
      <c r="C22" s="6">
        <f t="shared" si="0"/>
        <v>5908.6144990872453</v>
      </c>
      <c r="D22" s="6">
        <f>TONT20000MAI!C22+TONT20000MAI!D22+TONT20000JUIN!G22+75000</f>
        <v>425755.39222646254</v>
      </c>
      <c r="E22" s="1"/>
      <c r="F22" s="7">
        <f t="shared" si="1"/>
        <v>20000</v>
      </c>
      <c r="G22" s="7">
        <v>3000</v>
      </c>
      <c r="H22" s="7">
        <v>500</v>
      </c>
      <c r="I22" s="7">
        <v>1000</v>
      </c>
      <c r="J22" s="7">
        <v>2500</v>
      </c>
      <c r="K22" s="7"/>
      <c r="L22" s="7">
        <v>13000</v>
      </c>
      <c r="M22" s="7">
        <v>60000</v>
      </c>
      <c r="N22" s="7">
        <f t="shared" si="2"/>
        <v>1800</v>
      </c>
    </row>
    <row r="23" spans="1:15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6446.5290159428505</v>
      </c>
      <c r="D23" s="6">
        <f>TONT20000MAI!C23+TONT20000MAI!D23+TONT20000JUIN!G23</f>
        <v>464515.7490145971</v>
      </c>
      <c r="E23" s="1"/>
      <c r="F23" s="7">
        <f t="shared" si="1"/>
        <v>20000</v>
      </c>
      <c r="G23" s="7">
        <v>3000</v>
      </c>
      <c r="H23" s="7">
        <v>500</v>
      </c>
      <c r="I23" s="7">
        <v>1000</v>
      </c>
      <c r="J23" s="7">
        <v>2500</v>
      </c>
      <c r="K23" s="7"/>
      <c r="L23" s="7">
        <v>13000</v>
      </c>
      <c r="N23" s="7">
        <f t="shared" si="2"/>
        <v>0</v>
      </c>
    </row>
    <row r="24" spans="1:15" x14ac:dyDescent="0.25">
      <c r="A24" s="1" t="s">
        <v>29</v>
      </c>
      <c r="B24" s="1" t="str">
        <f>VLOOKUP(A24,LISTADHERENT!A$5:H$51,2)</f>
        <v>KOUATCHO MESSACK</v>
      </c>
      <c r="C24" s="6">
        <f t="shared" si="0"/>
        <v>5918.5600215071654</v>
      </c>
      <c r="D24" s="6">
        <f>TONT20000MAI!C24+TONT20000MAI!D24+TONT20000JUIN!G24</f>
        <v>426472.0339703848</v>
      </c>
      <c r="E24" s="1"/>
      <c r="F24" s="7">
        <f t="shared" si="1"/>
        <v>20000</v>
      </c>
      <c r="G24" s="7">
        <v>3000</v>
      </c>
      <c r="H24" s="7">
        <v>500</v>
      </c>
      <c r="I24" s="7">
        <v>1000</v>
      </c>
      <c r="J24" s="7">
        <v>2500</v>
      </c>
      <c r="K24" s="7"/>
      <c r="L24" s="7">
        <v>13000</v>
      </c>
      <c r="M24" s="7"/>
      <c r="N24" s="7">
        <f t="shared" si="2"/>
        <v>0</v>
      </c>
    </row>
    <row r="25" spans="1:15" x14ac:dyDescent="0.25">
      <c r="A25" s="1" t="s">
        <v>30</v>
      </c>
      <c r="B25" s="1" t="str">
        <f>VLOOKUP(A25,LISTADHERENT!A$5:H$51,2)</f>
        <v>LOWE JEAN</v>
      </c>
      <c r="C25" s="6">
        <f t="shared" si="0"/>
        <v>5980.9868886043005</v>
      </c>
      <c r="D25" s="6">
        <f>TONT20000MAI!C25+TONT20000MAI!D25+TONT20000JUIN!G25</f>
        <v>430970.30937666079</v>
      </c>
      <c r="E25" s="1"/>
      <c r="F25" s="7">
        <f t="shared" si="1"/>
        <v>20000</v>
      </c>
      <c r="G25" s="7">
        <v>3000</v>
      </c>
      <c r="H25" s="7">
        <v>500</v>
      </c>
      <c r="I25" s="7">
        <v>1000</v>
      </c>
      <c r="J25" s="7">
        <v>2500</v>
      </c>
      <c r="K25" s="7"/>
      <c r="L25" s="7">
        <v>13000</v>
      </c>
      <c r="M25" s="7">
        <v>80000</v>
      </c>
      <c r="N25" s="7">
        <f t="shared" si="2"/>
        <v>2400</v>
      </c>
      <c r="O25" s="7">
        <v>80000</v>
      </c>
    </row>
    <row r="26" spans="1:15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5982.1400055213562</v>
      </c>
      <c r="D26" s="6">
        <f>TONT20000MAI!C26+TONT20000MAI!D26+TONT20000JUIN!G26</f>
        <v>431053.39920175937</v>
      </c>
      <c r="E26" s="1"/>
      <c r="F26" s="7">
        <f t="shared" si="1"/>
        <v>20000</v>
      </c>
      <c r="G26" s="7">
        <v>3000</v>
      </c>
      <c r="H26" s="7">
        <v>500</v>
      </c>
      <c r="I26" s="7">
        <v>1000</v>
      </c>
      <c r="J26" s="7">
        <v>2500</v>
      </c>
      <c r="K26" s="7"/>
      <c r="L26" s="7">
        <v>13000</v>
      </c>
      <c r="N26" s="7">
        <f t="shared" si="2"/>
        <v>0</v>
      </c>
    </row>
    <row r="27" spans="1:15" x14ac:dyDescent="0.25">
      <c r="A27" s="1" t="s">
        <v>32</v>
      </c>
      <c r="B27" s="1" t="str">
        <f>VLOOKUP(A27,LISTADHERENT!A$5:H$51,2)</f>
        <v>NDJOMO ETIENNE</v>
      </c>
      <c r="C27" s="6">
        <f t="shared" si="0"/>
        <v>6443.4445335509317</v>
      </c>
      <c r="D27" s="6">
        <f>TONT20000MAI!C27+TONT20000MAI!D27+TONT20000JUIN!G27</f>
        <v>464293.49132444145</v>
      </c>
      <c r="E27" s="1"/>
      <c r="F27" s="7">
        <f t="shared" si="1"/>
        <v>25000</v>
      </c>
      <c r="G27" s="7">
        <v>8000</v>
      </c>
      <c r="H27" s="7">
        <v>500</v>
      </c>
      <c r="I27" s="7">
        <v>1000</v>
      </c>
      <c r="J27" s="7">
        <v>2500</v>
      </c>
      <c r="K27" s="7"/>
      <c r="L27" s="7">
        <v>13000</v>
      </c>
      <c r="M27" s="7">
        <v>400000</v>
      </c>
      <c r="N27" s="7">
        <f t="shared" si="2"/>
        <v>12000</v>
      </c>
      <c r="O27" s="7">
        <v>400000</v>
      </c>
    </row>
    <row r="28" spans="1:15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TONT20000MAI!C28+TONT20000MAI!D28+TONT20000JUIN!G28</f>
        <v>0</v>
      </c>
      <c r="E28" s="1"/>
      <c r="F28" s="7">
        <f t="shared" si="1"/>
        <v>0</v>
      </c>
      <c r="G28" s="7"/>
      <c r="H28" s="7"/>
      <c r="I28" s="7"/>
      <c r="J28" s="7"/>
      <c r="K28" s="7"/>
      <c r="L28" s="7"/>
      <c r="N28" s="7">
        <f t="shared" si="2"/>
        <v>0</v>
      </c>
    </row>
    <row r="29" spans="1:15" x14ac:dyDescent="0.25">
      <c r="A29" s="1" t="s">
        <v>34</v>
      </c>
      <c r="B29" s="1" t="str">
        <f>VLOOKUP(A29,LISTADHERENT!A$5:H$51,2)</f>
        <v>NGONDIEP CLAUDE</v>
      </c>
      <c r="C29" s="6">
        <f t="shared" si="0"/>
        <v>8506.932737300498</v>
      </c>
      <c r="D29" s="6">
        <f>TONT20000MAI!C29+TONT20000MAI!D29+TONT20000JUIN!G29</f>
        <v>612981.68712360749</v>
      </c>
      <c r="E29" s="1"/>
      <c r="F29" s="7">
        <f t="shared" si="1"/>
        <v>20000</v>
      </c>
      <c r="G29" s="7">
        <v>3000</v>
      </c>
      <c r="H29" s="7">
        <v>500</v>
      </c>
      <c r="I29" s="7">
        <v>1000</v>
      </c>
      <c r="J29" s="7">
        <v>2500</v>
      </c>
      <c r="K29" s="7"/>
      <c r="L29" s="7">
        <v>13000</v>
      </c>
      <c r="N29" s="7">
        <f t="shared" si="2"/>
        <v>0</v>
      </c>
    </row>
    <row r="30" spans="1:15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297.1150508577407</v>
      </c>
      <c r="D30" s="6">
        <f>TONT20000MAI!C30+TONT20000MAI!D30+TONT20000JUIN!G30</f>
        <v>21409.136614660518</v>
      </c>
      <c r="E30" s="1"/>
      <c r="F30" s="7">
        <f t="shared" si="1"/>
        <v>20000</v>
      </c>
      <c r="G30" s="7">
        <v>3000</v>
      </c>
      <c r="H30" s="7">
        <v>500</v>
      </c>
      <c r="I30" s="7">
        <v>1000</v>
      </c>
      <c r="J30" s="7">
        <v>2500</v>
      </c>
      <c r="K30" s="7"/>
      <c r="L30" s="7">
        <v>13000</v>
      </c>
      <c r="N30" s="7">
        <f t="shared" si="2"/>
        <v>0</v>
      </c>
    </row>
    <row r="31" spans="1:15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2177.0792146179242</v>
      </c>
      <c r="D31" s="6">
        <f>TONT20000MAI!C31+TONT20000MAI!D31+TONT20000JUIN!G31</f>
        <v>156873.19168832561</v>
      </c>
      <c r="E31" s="1"/>
      <c r="F31" s="7">
        <f t="shared" si="1"/>
        <v>140000</v>
      </c>
      <c r="G31" s="7">
        <v>123000</v>
      </c>
      <c r="H31" s="7">
        <v>500</v>
      </c>
      <c r="I31" s="7">
        <v>1000</v>
      </c>
      <c r="J31" s="7">
        <v>2500</v>
      </c>
      <c r="K31" s="7"/>
      <c r="L31" s="7">
        <v>13000</v>
      </c>
      <c r="N31" s="7">
        <f t="shared" si="2"/>
        <v>0</v>
      </c>
    </row>
    <row r="32" spans="1:15" s="21" customFormat="1" x14ac:dyDescent="0.25">
      <c r="A32" s="19" t="s">
        <v>37</v>
      </c>
      <c r="B32" s="19" t="str">
        <f>VLOOKUP(A32,LISTADHERENT!A$5:H$51,2)</f>
        <v>NJEPDJIO MBOUKAM DELUXE</v>
      </c>
      <c r="C32" s="6">
        <f t="shared" si="0"/>
        <v>6169.8028246816157</v>
      </c>
      <c r="D32" s="6">
        <f>TONT20000MAI!C32+TONT20000MAI!D32+TONT20000JUIN!G32</f>
        <v>444575.76678729785</v>
      </c>
      <c r="E32" s="19"/>
      <c r="F32" s="20">
        <f t="shared" si="1"/>
        <v>23000</v>
      </c>
      <c r="G32" s="20">
        <v>6000</v>
      </c>
      <c r="H32" s="20">
        <v>500</v>
      </c>
      <c r="I32" s="20">
        <v>1000</v>
      </c>
      <c r="J32" s="20">
        <v>2500</v>
      </c>
      <c r="K32" s="20"/>
      <c r="L32" s="20">
        <v>13000</v>
      </c>
      <c r="M32" s="20">
        <v>1000000</v>
      </c>
      <c r="N32" s="20">
        <f t="shared" si="2"/>
        <v>120000</v>
      </c>
      <c r="O32" s="20">
        <v>1000000</v>
      </c>
    </row>
    <row r="33" spans="1:15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594.2301017154814</v>
      </c>
      <c r="D33" s="6">
        <f>TONT20000MAI!C33+TONT20000MAI!D33+TONT20000JUIN!G33</f>
        <v>42818.273229321036</v>
      </c>
      <c r="E33" s="1"/>
      <c r="F33" s="7">
        <f t="shared" si="1"/>
        <v>23000</v>
      </c>
      <c r="G33" s="7">
        <v>6000</v>
      </c>
      <c r="H33" s="7">
        <v>500</v>
      </c>
      <c r="I33" s="7">
        <v>1000</v>
      </c>
      <c r="J33" s="7">
        <v>2500</v>
      </c>
      <c r="K33" s="7"/>
      <c r="L33" s="7">
        <v>13000</v>
      </c>
      <c r="M33" s="11"/>
      <c r="N33" s="7">
        <f t="shared" si="2"/>
        <v>0</v>
      </c>
    </row>
    <row r="34" spans="1:15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6539.7153821636693</v>
      </c>
      <c r="D34" s="6">
        <f>TONT20000MAI!C34+TONT20000MAI!D34+TONT20000JUIN!G34</f>
        <v>471230.45309736172</v>
      </c>
      <c r="E34" s="1"/>
      <c r="F34" s="10">
        <f>G34+H34+I34+J34+K34+L34</f>
        <v>25000</v>
      </c>
      <c r="G34" s="7">
        <v>8000</v>
      </c>
      <c r="H34" s="7">
        <v>500</v>
      </c>
      <c r="I34" s="7">
        <v>1000</v>
      </c>
      <c r="J34" s="7">
        <v>2500</v>
      </c>
      <c r="K34" s="7"/>
      <c r="L34" s="7">
        <v>13000</v>
      </c>
      <c r="M34"/>
      <c r="N34" s="7">
        <f t="shared" si="2"/>
        <v>0</v>
      </c>
    </row>
    <row r="35" spans="1:15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6033.6266758679194</v>
      </c>
      <c r="D35" s="6">
        <f>TONT20000MAI!C35+TONT20000MAI!D35+TONT20000JUIN!G35</f>
        <v>434763.35989241232</v>
      </c>
      <c r="E35" s="1"/>
      <c r="F35" s="7">
        <f t="shared" si="1"/>
        <v>20000</v>
      </c>
      <c r="G35" s="7">
        <v>3000</v>
      </c>
      <c r="H35" s="7">
        <v>500</v>
      </c>
      <c r="I35" s="7">
        <v>1000</v>
      </c>
      <c r="J35" s="7">
        <v>2500</v>
      </c>
      <c r="K35" s="7"/>
      <c r="L35" s="7">
        <v>13000</v>
      </c>
      <c r="N35" s="7">
        <f t="shared" si="2"/>
        <v>0</v>
      </c>
    </row>
    <row r="36" spans="1:15" x14ac:dyDescent="0.25">
      <c r="A36" s="1" t="s">
        <v>41</v>
      </c>
      <c r="B36" s="1" t="str">
        <f>VLOOKUP(A36,LISTADHERENT!A$5:H$51,2)</f>
        <v>NTEPDIE TUEMAC MZ</v>
      </c>
      <c r="C36" s="6">
        <f t="shared" si="0"/>
        <v>86.240597509384457</v>
      </c>
      <c r="D36" s="6">
        <f>TONT20000MAI!C36+TONT20000MAI!D36+TONT20000JUIN!G36</f>
        <v>6214.2147578124323</v>
      </c>
      <c r="E36" s="1"/>
      <c r="F36" s="7">
        <f t="shared" si="1"/>
        <v>0</v>
      </c>
      <c r="G36" s="7"/>
      <c r="H36" s="7"/>
      <c r="I36" s="7"/>
      <c r="J36" s="7"/>
      <c r="K36" s="7"/>
      <c r="L36" s="7"/>
      <c r="N36" s="7">
        <f t="shared" si="2"/>
        <v>0</v>
      </c>
    </row>
    <row r="37" spans="1:15" x14ac:dyDescent="0.25">
      <c r="A37" s="1" t="s">
        <v>42</v>
      </c>
      <c r="B37" s="1" t="str">
        <f>VLOOKUP(A37,LISTADHERENT!A$5:H$51,2)</f>
        <v>NTOMBOU ADOLPHE</v>
      </c>
      <c r="C37" s="6">
        <f t="shared" si="0"/>
        <v>297.1150508577407</v>
      </c>
      <c r="D37" s="6">
        <f>TONT20000MAI!C37+TONT20000MAI!D37+TONT20000JUIN!G37</f>
        <v>21409.136614660518</v>
      </c>
      <c r="E37" s="1"/>
      <c r="F37" s="7">
        <f t="shared" si="1"/>
        <v>20000</v>
      </c>
      <c r="G37" s="7">
        <v>3000</v>
      </c>
      <c r="H37" s="7">
        <v>500</v>
      </c>
      <c r="I37" s="7">
        <v>1000</v>
      </c>
      <c r="J37" s="7">
        <v>2500</v>
      </c>
      <c r="K37" s="7"/>
      <c r="L37" s="7">
        <v>13000</v>
      </c>
      <c r="N37" s="7">
        <f t="shared" si="2"/>
        <v>0</v>
      </c>
    </row>
    <row r="38" spans="1:15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5920.5779761120129</v>
      </c>
      <c r="D38" s="6">
        <f>TONT20000MAI!C38+TONT20000MAI!D38+TONT20000JUIN!G38</f>
        <v>426617.4411643073</v>
      </c>
      <c r="E38" s="1"/>
      <c r="F38" s="7">
        <f t="shared" si="1"/>
        <v>20000</v>
      </c>
      <c r="G38" s="7">
        <v>3000</v>
      </c>
      <c r="H38" s="7">
        <v>500</v>
      </c>
      <c r="I38" s="7">
        <v>1000</v>
      </c>
      <c r="J38" s="7">
        <v>2500</v>
      </c>
      <c r="K38" s="7"/>
      <c r="L38" s="7">
        <v>13000</v>
      </c>
      <c r="N38" s="7">
        <f t="shared" si="2"/>
        <v>0</v>
      </c>
    </row>
    <row r="39" spans="1:15" x14ac:dyDescent="0.25">
      <c r="A39" s="1" t="s">
        <v>44</v>
      </c>
      <c r="B39" s="1" t="str">
        <f>VLOOKUP(A39,LISTADHERENT!A$5:H$51,2)</f>
        <v>SEUNOU RICHELOT</v>
      </c>
      <c r="C39" s="6">
        <f t="shared" si="0"/>
        <v>5956.4975680783155</v>
      </c>
      <c r="D39" s="6">
        <f>TONT20000MAI!C39+TONT20000MAI!D39+TONT20000JUIN!G39</f>
        <v>429205.68921612896</v>
      </c>
      <c r="E39" s="1"/>
      <c r="F39" s="7">
        <f t="shared" si="1"/>
        <v>20000</v>
      </c>
      <c r="G39" s="7">
        <v>3000</v>
      </c>
      <c r="H39" s="7">
        <v>500</v>
      </c>
      <c r="I39" s="7">
        <v>1000</v>
      </c>
      <c r="J39" s="7">
        <v>2500</v>
      </c>
      <c r="K39" s="7"/>
      <c r="L39" s="7">
        <v>13000</v>
      </c>
      <c r="N39" s="7">
        <f t="shared" si="2"/>
        <v>0</v>
      </c>
    </row>
    <row r="40" spans="1:15" x14ac:dyDescent="0.25">
      <c r="A40" s="1" t="s">
        <v>45</v>
      </c>
      <c r="B40" s="1" t="str">
        <f>VLOOKUP(A40,LISTADHERENT!A$5:H$51,2)</f>
        <v>SIME ABEL</v>
      </c>
      <c r="C40" s="6">
        <f t="shared" si="0"/>
        <v>297.1150508577407</v>
      </c>
      <c r="D40" s="6">
        <f>TONT20000MAI!C40+TONT20000MAI!D40+TONT20000JUIN!G40</f>
        <v>21409.136614660518</v>
      </c>
      <c r="E40" s="1"/>
      <c r="F40" s="7">
        <f t="shared" si="1"/>
        <v>20000</v>
      </c>
      <c r="G40" s="7">
        <v>3000</v>
      </c>
      <c r="H40" s="7">
        <v>500</v>
      </c>
      <c r="I40" s="7">
        <v>1000</v>
      </c>
      <c r="J40" s="7">
        <v>2500</v>
      </c>
      <c r="K40" s="7"/>
      <c r="L40" s="7">
        <v>13000</v>
      </c>
      <c r="N40" s="7">
        <f t="shared" si="2"/>
        <v>0</v>
      </c>
    </row>
    <row r="41" spans="1:15" x14ac:dyDescent="0.25">
      <c r="A41" s="1" t="s">
        <v>46</v>
      </c>
      <c r="B41" s="1" t="str">
        <f>VLOOKUP(A41,LISTADHERENT!A$5:H$51,2)</f>
        <v>SIME FONGANG ERIC</v>
      </c>
      <c r="C41" s="6">
        <f t="shared" si="0"/>
        <v>5932.7145316640308</v>
      </c>
      <c r="D41" s="6">
        <f>TONT20000MAI!C41+TONT20000MAI!D41+TONT20000JUIN!G41</f>
        <v>427491.96157347021</v>
      </c>
      <c r="E41" s="1"/>
      <c r="F41" s="7">
        <f t="shared" si="1"/>
        <v>20000</v>
      </c>
      <c r="G41" s="7">
        <v>3000</v>
      </c>
      <c r="H41" s="7">
        <v>500</v>
      </c>
      <c r="I41" s="7">
        <v>1000</v>
      </c>
      <c r="J41" s="7">
        <v>2500</v>
      </c>
      <c r="K41" s="7"/>
      <c r="L41" s="7">
        <v>13000</v>
      </c>
      <c r="N41" s="7">
        <f t="shared" si="2"/>
        <v>0</v>
      </c>
    </row>
    <row r="42" spans="1:15" x14ac:dyDescent="0.25">
      <c r="A42" s="1" t="s">
        <v>47</v>
      </c>
      <c r="B42" s="1" t="str">
        <f>VLOOKUP(A42,LISTADHERENT!A$5:H$51,2)</f>
        <v>SIME MATHIEU</v>
      </c>
      <c r="C42" s="6">
        <f t="shared" si="0"/>
        <v>5927.7273009977625</v>
      </c>
      <c r="D42" s="6">
        <f>TONT20000MAI!C42+TONT20000MAI!D42+TONT20000JUIN!G42</f>
        <v>427132.59807991871</v>
      </c>
      <c r="E42" s="1"/>
      <c r="F42" s="7">
        <f t="shared" si="1"/>
        <v>20000</v>
      </c>
      <c r="G42" s="7">
        <v>3000</v>
      </c>
      <c r="H42" s="7">
        <v>500</v>
      </c>
      <c r="I42" s="7">
        <v>1000</v>
      </c>
      <c r="J42" s="7">
        <v>2500</v>
      </c>
      <c r="K42" s="7"/>
      <c r="L42" s="7">
        <v>13000</v>
      </c>
      <c r="N42" s="7">
        <f t="shared" si="2"/>
        <v>0</v>
      </c>
    </row>
    <row r="43" spans="1:15" x14ac:dyDescent="0.25">
      <c r="A43" s="1" t="s">
        <v>48</v>
      </c>
      <c r="B43" s="1" t="str">
        <f>VLOOKUP(A43,LISTADHERENT!A$5:H$51,2)</f>
        <v>SIME PIERRE</v>
      </c>
      <c r="C43" s="6">
        <f t="shared" si="0"/>
        <v>8845.9213044842309</v>
      </c>
      <c r="D43" s="6">
        <f>TONT20000MAI!C43+TONT20000MAI!D43+TONT20000JUIN!G43-854773</f>
        <v>637408.09206234431</v>
      </c>
      <c r="E43" s="1"/>
      <c r="F43" s="7">
        <f t="shared" si="1"/>
        <v>20000</v>
      </c>
      <c r="G43" s="7">
        <v>3000</v>
      </c>
      <c r="H43" s="7">
        <v>500</v>
      </c>
      <c r="I43" s="7">
        <v>1000</v>
      </c>
      <c r="J43" s="7">
        <v>2500</v>
      </c>
      <c r="K43" s="7"/>
      <c r="L43" s="7">
        <v>13000</v>
      </c>
      <c r="N43" s="7">
        <f t="shared" si="2"/>
        <v>0</v>
      </c>
    </row>
    <row r="44" spans="1:15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297.1150508577407</v>
      </c>
      <c r="D44" s="6">
        <f>TONT20000MAI!C44+TONT20000MAI!D44+TONT20000JUIN!G44</f>
        <v>21409.136614660518</v>
      </c>
      <c r="E44" s="1"/>
      <c r="F44" s="7">
        <f t="shared" si="1"/>
        <v>20000</v>
      </c>
      <c r="G44" s="7">
        <v>3000</v>
      </c>
      <c r="H44" s="7">
        <v>500</v>
      </c>
      <c r="I44" s="7">
        <v>1000</v>
      </c>
      <c r="J44" s="7">
        <v>2500</v>
      </c>
      <c r="K44" s="7"/>
      <c r="L44" s="7">
        <v>13000</v>
      </c>
      <c r="N44" s="7">
        <f t="shared" si="2"/>
        <v>0</v>
      </c>
    </row>
    <row r="45" spans="1:15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297.1150508577407</v>
      </c>
      <c r="D45" s="6">
        <f>TONT20000MAI!C45+TONT20000MAI!D45+TONT20000JUIN!G45</f>
        <v>21409.136614660518</v>
      </c>
      <c r="E45" s="1"/>
      <c r="F45" s="7">
        <f t="shared" si="1"/>
        <v>20000</v>
      </c>
      <c r="G45" s="7">
        <v>3000</v>
      </c>
      <c r="H45" s="7">
        <v>500</v>
      </c>
      <c r="I45" s="7">
        <v>1000</v>
      </c>
      <c r="J45" s="7">
        <v>2500</v>
      </c>
      <c r="K45" s="7"/>
      <c r="L45" s="7">
        <v>13000</v>
      </c>
      <c r="N45" s="7">
        <f t="shared" si="2"/>
        <v>0</v>
      </c>
    </row>
    <row r="46" spans="1:15" x14ac:dyDescent="0.25">
      <c r="A46" s="1" t="s">
        <v>51</v>
      </c>
      <c r="B46" s="1" t="str">
        <f>VLOOKUP(A46,LISTADHERENT!A$5:H$51,2)</f>
        <v>TCHOUAMOU MATHIEU</v>
      </c>
      <c r="C46" s="6">
        <f t="shared" si="0"/>
        <v>5968.1008070561948</v>
      </c>
      <c r="D46" s="6">
        <f>TONT20000MAI!C46+TONT20000MAI!D46+TONT20000JUIN!G46</f>
        <v>430041.78058118373</v>
      </c>
      <c r="E46" s="1"/>
      <c r="F46" s="7">
        <f t="shared" si="1"/>
        <v>20000</v>
      </c>
      <c r="G46" s="7">
        <v>3000</v>
      </c>
      <c r="H46" s="7">
        <v>500</v>
      </c>
      <c r="I46" s="7">
        <v>1000</v>
      </c>
      <c r="J46" s="7">
        <v>2500</v>
      </c>
      <c r="K46" s="7"/>
      <c r="L46" s="7">
        <v>13000</v>
      </c>
      <c r="M46" s="7">
        <v>500000</v>
      </c>
      <c r="N46" s="7">
        <f t="shared" si="2"/>
        <v>15000</v>
      </c>
      <c r="O46" s="7">
        <v>500000</v>
      </c>
    </row>
    <row r="47" spans="1:15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4371.322219379218</v>
      </c>
      <c r="D47" s="6">
        <f>TONT20000MAI!C47+TONT20000MAI!D47+TONT20000JUIN!G47</f>
        <v>314983.1498310733</v>
      </c>
      <c r="E47" s="1"/>
      <c r="F47" s="7">
        <f t="shared" si="1"/>
        <v>23000</v>
      </c>
      <c r="G47" s="7">
        <v>6000</v>
      </c>
      <c r="H47" s="7">
        <v>500</v>
      </c>
      <c r="I47" s="7">
        <v>1000</v>
      </c>
      <c r="J47" s="7">
        <v>2500</v>
      </c>
      <c r="K47" s="7"/>
      <c r="L47" s="7">
        <v>13000</v>
      </c>
      <c r="N47" s="7">
        <f t="shared" si="2"/>
        <v>0</v>
      </c>
    </row>
    <row r="48" spans="1:15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128.15946139741337</v>
      </c>
      <c r="D48" s="6">
        <f>TONT20000MAI!C48+TONT20000MAI!D48+TONT20000JUIN!G48</f>
        <v>9234.7506785587339</v>
      </c>
      <c r="E48" s="1"/>
      <c r="F48" s="7">
        <f t="shared" si="1"/>
        <v>0</v>
      </c>
      <c r="G48" s="7"/>
      <c r="H48" s="7"/>
      <c r="I48" s="7"/>
      <c r="J48" s="7"/>
      <c r="K48" s="7"/>
      <c r="L48" s="7"/>
      <c r="N48" s="7">
        <f t="shared" si="2"/>
        <v>0</v>
      </c>
    </row>
    <row r="49" spans="1:17" x14ac:dyDescent="0.25">
      <c r="A49" s="1" t="s">
        <v>54</v>
      </c>
      <c r="B49" s="1" t="str">
        <f>VLOOKUP(A49,LISTADHERENT!A$5:H$51,2)</f>
        <v>TIEYAM ERNEST</v>
      </c>
      <c r="C49" s="6">
        <f t="shared" si="0"/>
        <v>5888.3265012039219</v>
      </c>
      <c r="D49" s="6">
        <f>TONT20000MAI!C49+TONT20000MAI!D49+TONT20000JUIN!G49</f>
        <v>424293.50560352608</v>
      </c>
      <c r="E49" s="1"/>
      <c r="F49" s="7">
        <f t="shared" si="1"/>
        <v>20000</v>
      </c>
      <c r="G49" s="7">
        <v>3000</v>
      </c>
      <c r="H49" s="7">
        <v>500</v>
      </c>
      <c r="I49" s="7">
        <v>1000</v>
      </c>
      <c r="J49" s="7">
        <v>2500</v>
      </c>
      <c r="K49" s="7"/>
      <c r="L49" s="7">
        <v>13000</v>
      </c>
      <c r="N49" s="7">
        <f t="shared" si="2"/>
        <v>0</v>
      </c>
    </row>
    <row r="50" spans="1:17" x14ac:dyDescent="0.25">
      <c r="A50" s="1" t="s">
        <v>55</v>
      </c>
      <c r="B50" s="1" t="str">
        <f>VLOOKUP(A50,LISTADHERENT!A$5:H$51,2)</f>
        <v>TUGMA PIERRE LOTI</v>
      </c>
      <c r="C50" s="6">
        <f t="shared" si="0"/>
        <v>6172.7646458722247</v>
      </c>
      <c r="D50" s="6">
        <f>TONT20000MAI!C50+TONT20000MAI!D50+TONT20000JUIN!G50</f>
        <v>444789.18591337337</v>
      </c>
      <c r="E50" s="1"/>
      <c r="F50" s="7">
        <f t="shared" si="1"/>
        <v>20000</v>
      </c>
      <c r="G50" s="7">
        <v>3000</v>
      </c>
      <c r="H50" s="7">
        <v>500</v>
      </c>
      <c r="I50" s="7">
        <v>1000</v>
      </c>
      <c r="J50" s="7">
        <v>2500</v>
      </c>
      <c r="K50" s="7"/>
      <c r="L50" s="7">
        <v>13000</v>
      </c>
      <c r="N50" s="7">
        <f t="shared" si="2"/>
        <v>0</v>
      </c>
    </row>
    <row r="51" spans="1:17" ht="18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11990.253906382681</v>
      </c>
      <c r="D51" s="6">
        <f>TONT20000MAI!C51+TONT20000MAI!D51+TONT20000JUIN!G51</f>
        <v>863978.39215867501</v>
      </c>
      <c r="E51" s="1"/>
      <c r="F51" s="7">
        <f t="shared" si="1"/>
        <v>20000</v>
      </c>
      <c r="G51" s="7">
        <v>3000</v>
      </c>
      <c r="H51" s="7">
        <v>500</v>
      </c>
      <c r="I51" s="7">
        <v>1000</v>
      </c>
      <c r="J51" s="7">
        <v>2500</v>
      </c>
      <c r="K51" s="7"/>
      <c r="L51" s="7">
        <v>13000</v>
      </c>
      <c r="M51" s="9"/>
      <c r="N51" s="7">
        <f t="shared" si="2"/>
        <v>0</v>
      </c>
    </row>
    <row r="52" spans="1:17" x14ac:dyDescent="0.25">
      <c r="A52" s="1" t="s">
        <v>178</v>
      </c>
      <c r="B52" s="1" t="str">
        <f>VLOOKUP(A52,LISTADHERENT!A$5:H$51,2)</f>
        <v>YOUMBI EMMANUEL</v>
      </c>
      <c r="C52" s="6">
        <f t="shared" si="0"/>
        <v>20379.784864348658</v>
      </c>
      <c r="D52" s="6">
        <f>TONT20000MAI!C52+TONT20000MAI!D52+TONT20000JUIN!G52</f>
        <v>1468500.4919092401</v>
      </c>
      <c r="E52" s="1"/>
      <c r="F52" s="7">
        <f t="shared" si="1"/>
        <v>20000</v>
      </c>
      <c r="G52" s="7">
        <v>3000</v>
      </c>
      <c r="H52" s="7">
        <v>500</v>
      </c>
      <c r="I52" s="7">
        <v>1000</v>
      </c>
      <c r="J52" s="7">
        <v>2500</v>
      </c>
      <c r="L52" s="7">
        <v>13000</v>
      </c>
      <c r="N52" s="7">
        <f t="shared" si="2"/>
        <v>0</v>
      </c>
    </row>
    <row r="53" spans="1:17" x14ac:dyDescent="0.25">
      <c r="A53" s="1"/>
      <c r="B53" s="1"/>
      <c r="C53" s="1"/>
      <c r="D53" s="1"/>
      <c r="E53" s="1"/>
      <c r="F53" s="7"/>
      <c r="G53" s="7"/>
      <c r="H53" s="7"/>
      <c r="I53" s="7"/>
      <c r="J53" s="7"/>
      <c r="L53" s="7"/>
      <c r="N53" s="7"/>
    </row>
    <row r="54" spans="1:17" ht="18" x14ac:dyDescent="0.25">
      <c r="A54" s="1"/>
      <c r="B54" s="1" t="s">
        <v>180</v>
      </c>
      <c r="C54" s="1"/>
      <c r="D54" s="1"/>
      <c r="E54" s="1"/>
      <c r="H54" s="4"/>
      <c r="L54" s="7">
        <f>87500+28000</f>
        <v>115500</v>
      </c>
      <c r="N54" s="7">
        <f t="shared" si="2"/>
        <v>0</v>
      </c>
      <c r="O54" s="9"/>
    </row>
    <row r="55" spans="1:17" ht="18" x14ac:dyDescent="0.25">
      <c r="A55" s="1"/>
      <c r="B55" s="1"/>
      <c r="C55" s="1"/>
      <c r="D55" s="1"/>
      <c r="E55" s="1"/>
      <c r="H55" s="4"/>
      <c r="O55" s="9"/>
    </row>
    <row r="56" spans="1:17" ht="18" x14ac:dyDescent="0.25">
      <c r="A56" s="8" t="s">
        <v>56</v>
      </c>
      <c r="B56" s="8"/>
      <c r="C56" s="9">
        <f>SUM(C5:C52)</f>
        <v>271200.00000000006</v>
      </c>
      <c r="D56" s="9">
        <f t="shared" ref="D56:Q56" si="3">SUM(D5:D52)</f>
        <v>19541783</v>
      </c>
      <c r="E56" s="9">
        <f t="shared" si="3"/>
        <v>0</v>
      </c>
      <c r="F56" s="9">
        <f t="shared" si="3"/>
        <v>1032000</v>
      </c>
      <c r="G56" s="9">
        <f t="shared" si="3"/>
        <v>301000</v>
      </c>
      <c r="H56" s="9">
        <f t="shared" si="3"/>
        <v>21500</v>
      </c>
      <c r="I56" s="9">
        <f t="shared" si="3"/>
        <v>43000</v>
      </c>
      <c r="J56" s="9">
        <f t="shared" si="3"/>
        <v>107500</v>
      </c>
      <c r="K56" s="9">
        <f t="shared" si="3"/>
        <v>0</v>
      </c>
      <c r="L56" s="9">
        <f t="shared" si="3"/>
        <v>559000</v>
      </c>
      <c r="M56" s="9">
        <f t="shared" si="3"/>
        <v>3040000</v>
      </c>
      <c r="N56" s="9">
        <f t="shared" si="3"/>
        <v>271200</v>
      </c>
      <c r="O56" s="9">
        <f t="shared" si="3"/>
        <v>2980000</v>
      </c>
      <c r="P56" s="9">
        <f t="shared" si="3"/>
        <v>0</v>
      </c>
      <c r="Q56" s="9">
        <f t="shared" si="3"/>
        <v>0</v>
      </c>
    </row>
  </sheetData>
  <autoFilter ref="A4:O51"/>
  <dataValidations count="1">
    <dataValidation type="list" allowBlank="1" showInputMessage="1" showErrorMessage="1" promptTitle="Saissisez le mode de VERSEMENT" sqref="H6:H53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18</vt:i4>
      </vt:variant>
      <vt:variant>
        <vt:lpstr>Plages nommées</vt:lpstr>
      </vt:variant>
      <vt:variant>
        <vt:i4>1</vt:i4>
      </vt:variant>
    </vt:vector>
  </HeadingPairs>
  <TitlesOfParts>
    <vt:vector size="19" baseType="lpstr">
      <vt:lpstr>RECAPEMPRUNTREMB</vt:lpstr>
      <vt:lpstr>LISTADHERENT</vt:lpstr>
      <vt:lpstr>TRAVAUXINVENTAIREBACKUP</vt:lpstr>
      <vt:lpstr>TRAVAUXINVENTAIRE</vt:lpstr>
      <vt:lpstr>FONDSDECAISSE</vt:lpstr>
      <vt:lpstr>TONT20000DEC2015</vt:lpstr>
      <vt:lpstr>TONT20000JANV</vt:lpstr>
      <vt:lpstr>TONT20000FEV</vt:lpstr>
      <vt:lpstr>TONT20000MARS</vt:lpstr>
      <vt:lpstr>TONT20000AVRIL</vt:lpstr>
      <vt:lpstr>TONT20000MAI</vt:lpstr>
      <vt:lpstr>TONT20000JUIN</vt:lpstr>
      <vt:lpstr>TONT20000JUIL</vt:lpstr>
      <vt:lpstr>TONT20000AOUT</vt:lpstr>
      <vt:lpstr>TONT20000SEPT</vt:lpstr>
      <vt:lpstr>TONT20000OCT</vt:lpstr>
      <vt:lpstr>TONT20000NOV</vt:lpstr>
      <vt:lpstr>RECAPTONT20000</vt:lpstr>
      <vt:lpstr>LISTADHERENT!Impression_des_titres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ASELBY</cp:lastModifiedBy>
  <dcterms:created xsi:type="dcterms:W3CDTF">2016-12-07T22:17:38Z</dcterms:created>
  <dcterms:modified xsi:type="dcterms:W3CDTF">2017-01-06T09:50:31Z</dcterms:modified>
</cp:coreProperties>
</file>