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calcPr calcId="145621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</sheets>
</workbook>
</file>

<file path=xl/sharedStrings.xml><?xml version="1.0" encoding="utf-8"?>
<sst xmlns="http://schemas.openxmlformats.org/spreadsheetml/2006/main" count="1529" uniqueCount="226">
  <si>
    <t>ASSOCIATION</t>
  </si>
  <si>
    <t>ASELBY</t>
  </si>
  <si>
    <t>ANNEE</t>
  </si>
  <si>
    <t>2016/2017</t>
  </si>
  <si>
    <t xml:space="preserve">TONTINE </t>
  </si>
  <si>
    <t>20 000</t>
  </si>
  <si>
    <t>MATRICULE</t>
  </si>
  <si>
    <t>NOM ET PRENOM</t>
  </si>
  <si>
    <t>REMBOURSEMENT</t>
  </si>
  <si>
    <t>INTERET ACHAT</t>
  </si>
  <si>
    <t>DATE ACHAT</t>
  </si>
  <si>
    <t>AS201601</t>
  </si>
  <si>
    <t>AS201602</t>
  </si>
  <si>
    <t>AS201603</t>
  </si>
  <si>
    <t>AS201604</t>
  </si>
  <si>
    <t>AS201605</t>
  </si>
  <si>
    <t>AS201606</t>
  </si>
  <si>
    <t>AS201607</t>
  </si>
  <si>
    <t>AS201608</t>
  </si>
  <si>
    <t>AS201609</t>
  </si>
  <si>
    <t>AS201610</t>
  </si>
  <si>
    <t>AS201611</t>
  </si>
  <si>
    <t>AS201612</t>
  </si>
  <si>
    <t>AS201613</t>
  </si>
  <si>
    <t>AS201614</t>
  </si>
  <si>
    <t>AS201615</t>
  </si>
  <si>
    <t>AS201616</t>
  </si>
  <si>
    <t>AS201617</t>
  </si>
  <si>
    <t>AS201618</t>
  </si>
  <si>
    <t>AS201619</t>
  </si>
  <si>
    <t>AS201620</t>
  </si>
  <si>
    <t>AS201621</t>
  </si>
  <si>
    <t>AS201622</t>
  </si>
  <si>
    <t>AS201623</t>
  </si>
  <si>
    <t>AS201624</t>
  </si>
  <si>
    <t>AS201625</t>
  </si>
  <si>
    <t>AS201626</t>
  </si>
  <si>
    <t>AS201627</t>
  </si>
  <si>
    <t>AS201628</t>
  </si>
  <si>
    <t>AS201629</t>
  </si>
  <si>
    <t>AS201630</t>
  </si>
  <si>
    <t>AS201631</t>
  </si>
  <si>
    <t>AS201632</t>
  </si>
  <si>
    <t>AS201633</t>
  </si>
  <si>
    <t>AS201634</t>
  </si>
  <si>
    <t>AS201635</t>
  </si>
  <si>
    <t>AS201636</t>
  </si>
  <si>
    <t>AS201637</t>
  </si>
  <si>
    <t>AS201638</t>
  </si>
  <si>
    <t>AS201639</t>
  </si>
  <si>
    <t>AS201640</t>
  </si>
  <si>
    <t>AS201641</t>
  </si>
  <si>
    <t>AS201642</t>
  </si>
  <si>
    <t>AS201643</t>
  </si>
  <si>
    <t>AS201644</t>
  </si>
  <si>
    <t>AS201645</t>
  </si>
  <si>
    <t>TOTAL</t>
  </si>
  <si>
    <t>EPARGNE</t>
  </si>
  <si>
    <t>FONDS DE ROULEMENT</t>
  </si>
  <si>
    <t>FRAIS EXCEPTIONNEL</t>
  </si>
  <si>
    <t>COLLATION</t>
  </si>
  <si>
    <t>MUTUELLE</t>
  </si>
  <si>
    <t>TONTINE</t>
  </si>
  <si>
    <t>EMPRUNT</t>
  </si>
  <si>
    <t>INTERET EMPRUNT</t>
  </si>
  <si>
    <t>MONTANT VERSE</t>
  </si>
  <si>
    <t>AS201646</t>
  </si>
  <si>
    <t>LOWE JEAN</t>
  </si>
  <si>
    <t>BAKOP ACHILLE</t>
  </si>
  <si>
    <t>BOUTCHOUANG WILLIAM</t>
  </si>
  <si>
    <t>CHINGUE FABRICE</t>
  </si>
  <si>
    <t xml:space="preserve">DJOMO JEAN PAUL </t>
  </si>
  <si>
    <t>DJOUKWE GUY</t>
  </si>
  <si>
    <t>DJOUNKEP SAMUEL</t>
  </si>
  <si>
    <t>DJUOMBESSY ANTOINE</t>
  </si>
  <si>
    <t>DONHOU DAVID</t>
  </si>
  <si>
    <t>FOTSO THOMAS</t>
  </si>
  <si>
    <t>HENGUE PAUL OMER</t>
  </si>
  <si>
    <t>HODIEP JULES</t>
  </si>
  <si>
    <t>HOTCHO BENJAMIN</t>
  </si>
  <si>
    <t>KEPHE DAVID</t>
  </si>
  <si>
    <t>KEPSEU FRANCIS</t>
  </si>
  <si>
    <t>KOUAMOU EMMANUEL</t>
  </si>
  <si>
    <t>KOUAMOU MOISE</t>
  </si>
  <si>
    <t>KOUAMOU VICTOR PEGUY</t>
  </si>
  <si>
    <t>NANKAM APPOLINAIRE</t>
  </si>
  <si>
    <t>NDJOMO ETIENNE</t>
  </si>
  <si>
    <t>NDOMBOU JEAN CLAUDE</t>
  </si>
  <si>
    <t>NGONDIEP CLAUDE</t>
  </si>
  <si>
    <t>NGONGANG JEAN THEODORE</t>
  </si>
  <si>
    <t>NGUIEMEGNI MATHIEU BLAISE</t>
  </si>
  <si>
    <t>NJEPDJIO MBOUKAM DELUXE</t>
  </si>
  <si>
    <t>NKAMGANG JUSTIN DEJOLIE</t>
  </si>
  <si>
    <t>NKEPSEU DIEUDONNE</t>
  </si>
  <si>
    <t>NTEPDIE TUEMAC MZ</t>
  </si>
  <si>
    <t>PATEGO NJOSSU GUSTAVE</t>
  </si>
  <si>
    <t>SEUNOU RICHELOT</t>
  </si>
  <si>
    <t>SIME ABEL</t>
  </si>
  <si>
    <t>SIME FONGANG ERIC</t>
  </si>
  <si>
    <t>SIME MATHIEU</t>
  </si>
  <si>
    <t>SIME PIERRE</t>
  </si>
  <si>
    <t>TCHOUANTE FRANCOIS</t>
  </si>
  <si>
    <t>TCHOUTOU NANA CLAUDE</t>
  </si>
  <si>
    <t>TIEYAM ERNEST</t>
  </si>
  <si>
    <t>TUGMA PIERRE LOTI</t>
  </si>
  <si>
    <t>YEPMOU JEAN JACQUES</t>
  </si>
  <si>
    <t>YOUMBI EMMANUEL</t>
  </si>
  <si>
    <t>NKEPSEU HENANG RENE</t>
  </si>
  <si>
    <t>LISTE DES ADHERENTS 19 JUN 2016</t>
  </si>
  <si>
    <t>MLE</t>
  </si>
  <si>
    <t>NOM ET  PRENOM</t>
  </si>
  <si>
    <t>FONCTION</t>
  </si>
  <si>
    <t>DATE ADHESION</t>
  </si>
  <si>
    <t>CONTACT</t>
  </si>
  <si>
    <t>CONTACT 2</t>
  </si>
  <si>
    <t>RESIDENCE</t>
  </si>
  <si>
    <t>DATE RECEPTION</t>
  </si>
  <si>
    <t>FONCTIONNAIRE DE POLICE</t>
  </si>
  <si>
    <t>NKOLBISSON</t>
  </si>
  <si>
    <t>OPERATEUR ECONOMIQUE</t>
  </si>
  <si>
    <t>EMANA</t>
  </si>
  <si>
    <t>SANTA BARBARA</t>
  </si>
  <si>
    <t>RETRAITE</t>
  </si>
  <si>
    <t>RUE MANGUIERS</t>
  </si>
  <si>
    <t>PROFESSEUR DES LYCEES TECHNIQUE</t>
  </si>
  <si>
    <t>COMPTABLE RETRAITE</t>
  </si>
  <si>
    <t>BIYEM ASSI LYCEE</t>
  </si>
  <si>
    <t>ANALYSTE CONCEPTEUR SI</t>
  </si>
  <si>
    <t>MESSASSI</t>
  </si>
  <si>
    <t>MAGISTRAT</t>
  </si>
  <si>
    <t>TONGOLO</t>
  </si>
  <si>
    <t>CADRE BANQUE</t>
  </si>
  <si>
    <t>OYOMABANG</t>
  </si>
  <si>
    <t>SOCIOLOGUE</t>
  </si>
  <si>
    <t>CADRE CNPS</t>
  </si>
  <si>
    <t>NYOM 2</t>
  </si>
  <si>
    <t>COMPTABLE</t>
  </si>
  <si>
    <t>DAMAS</t>
  </si>
  <si>
    <t>OFFICIER DE POLICE RETRAITE</t>
  </si>
  <si>
    <t>SIMBOCK</t>
  </si>
  <si>
    <t>CADRE SONEL RETRAITE</t>
  </si>
  <si>
    <t>MONTEE JOUVENCE</t>
  </si>
  <si>
    <t>INGENIEUR E-F</t>
  </si>
  <si>
    <t>S/OFFICIER SUPERIEUR</t>
  </si>
  <si>
    <t>KOUATCHO MESSACK</t>
  </si>
  <si>
    <t>INSPECTEUR DE TRAVAIL</t>
  </si>
  <si>
    <t>SECRETAIRE D'ADMINISTRATION</t>
  </si>
  <si>
    <t>ENSEIGNANT</t>
  </si>
  <si>
    <t>ING AGRONOME RETRAITE</t>
  </si>
  <si>
    <t>ETOUG EBE</t>
  </si>
  <si>
    <t>DAS(DIRECTEUR ADMINISTRATEUR SOCIETE)</t>
  </si>
  <si>
    <t>CITE VERTE</t>
  </si>
  <si>
    <t>CHEF ENTREPRISE</t>
  </si>
  <si>
    <t>CADRE CADASTRE</t>
  </si>
  <si>
    <t>MONATELE</t>
  </si>
  <si>
    <t>MENDONG</t>
  </si>
  <si>
    <t>DELEGUE COMMERCIAL</t>
  </si>
  <si>
    <t>ESSOS</t>
  </si>
  <si>
    <t>NTOMBOU ADOLPHE</t>
  </si>
  <si>
    <t xml:space="preserve">INGENIEUR </t>
  </si>
  <si>
    <t>INGENIEUR T-P</t>
  </si>
  <si>
    <t>EBOGO 1(SOA)</t>
  </si>
  <si>
    <t>ELEVEUR</t>
  </si>
  <si>
    <t>PARC NATIONAL</t>
  </si>
  <si>
    <t>TECHNICIEN DE SANTE RETRAITE</t>
  </si>
  <si>
    <t>TCHOUAMOU JEAN PAUL</t>
  </si>
  <si>
    <t>TCHOUAMOU MATHIEU</t>
  </si>
  <si>
    <t>OFFICIER SUPERIEUR</t>
  </si>
  <si>
    <t>NKOL FOULOU</t>
  </si>
  <si>
    <t>INGENIEUR ELECTRONICIEN</t>
  </si>
  <si>
    <t>BASTOS</t>
  </si>
  <si>
    <t>PROFESSEUR DES LYCEES RETRAITE</t>
  </si>
  <si>
    <t>ADMINISTRATEUR CIVIL</t>
  </si>
  <si>
    <t>MENDONG (NKOLZIE)</t>
  </si>
  <si>
    <t>PROFESSEUR DES UNIVERSITES</t>
  </si>
  <si>
    <t>MENDONG (GUINNESS)</t>
  </si>
  <si>
    <t>TAGNE NANGUEN MARTIN</t>
  </si>
  <si>
    <t>PROFESSEUR DE LYCEE</t>
  </si>
  <si>
    <t>AS201647</t>
  </si>
  <si>
    <t>DJOSSEU JOSUE</t>
  </si>
  <si>
    <t>REMBOURSEMENT INTERET</t>
  </si>
  <si>
    <t>PENALITE FONDS</t>
  </si>
  <si>
    <t>PENALITE EMPRUNT</t>
  </si>
  <si>
    <t>RELIQUAT 2015</t>
  </si>
  <si>
    <t>SANCTION</t>
  </si>
  <si>
    <t>AS201648</t>
  </si>
  <si>
    <t>REPARTITION INTERET</t>
  </si>
  <si>
    <t>CAPITAL COMPOSE</t>
  </si>
  <si>
    <t>FONDS DE CAISSE</t>
  </si>
  <si>
    <t>CAPITAL COMPOSE REPARTITION</t>
  </si>
  <si>
    <t>CAPITAL DEPART</t>
  </si>
  <si>
    <t>CAPITAL COMPOSE FIN</t>
  </si>
  <si>
    <t>FRAIS FIXE A PRELEVER</t>
  </si>
  <si>
    <t>CAPITAL A DISTRIBUER</t>
  </si>
  <si>
    <t>ASSOCIATION DES ELITES BANGOU DE YAOUNDE</t>
  </si>
  <si>
    <t>INTERET 2016</t>
  </si>
  <si>
    <t>FRAIS FIXE A COMPLETER</t>
  </si>
  <si>
    <t>DECEMBRE 2015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</si>
  <si>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</si>
  <si>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</si>
  <si>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</si>
  <si>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</si>
  <si>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</si>
  <si>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</si>
  <si>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</si>
  <si>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</si>
  <si>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</si>
  <si>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</si>
  <si>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</si>
  <si>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RETOUR EN CAISSE MUTUELLE</t>
  </si>
  <si>
    <t>RETOUR MUTUELLE</t>
  </si>
  <si>
    <t>DECEMBRE</t>
  </si>
  <si>
    <t>COMPLEMENT FONDS</t>
  </si>
  <si>
    <t>TOTAL A DISTRIBUER</t>
  </si>
  <si>
    <t>RELIQUAT</t>
  </si>
  <si>
    <t>CAPITAL TOTAL A PERCEVOIR</t>
  </si>
  <si>
    <t>RETENUE</t>
  </si>
  <si>
    <t>CAPITAL  A DISTRIBUER</t>
  </si>
  <si>
    <t>EPARGNE 2016</t>
  </si>
  <si>
    <t>MONTANT EFFECTIVEMENT VERSE</t>
  </si>
  <si>
    <t>CAPITAL EFFECTIVEMENT DISTRIBUE</t>
  </si>
  <si>
    <t>SORTIE</t>
  </si>
  <si>
    <t>FONDS DISTRIBUE</t>
  </si>
  <si>
    <t>RETOUR BANQUE</t>
  </si>
  <si>
    <t>FRAIS DE TAXI</t>
  </si>
  <si>
    <t>RELIQUAT 2016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</si>
</sst>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pane xSplit="2" ySplit="4" topLeftCell="C26" activePane="bottomRight" state="frozen"/>
      <selection activeCell="B22" sqref="B22"/>
      <selection pane="topRight" activeCell="B22" sqref="B22"/>
      <selection pane="bottomLeft" activeCell="B22" sqref="B22"/>
      <selection pane="bottomRight" activeCell="A33" sqref="A33:XFD3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5" width="29.5703125" customWidth="1"/>
    <col min="6" max="6" width="15" style="2" bestFit="1" customWidth="1"/>
    <col min="7" max="7" width="12.5703125" bestFit="1" customWidth="1"/>
    <col min="8" max="8" width="17.5703125" style="3" bestFit="1" customWidth="1"/>
    <col min="9" max="9" width="15.7109375" style="2" customWidth="1"/>
    <col min="10" max="10" width="14.7109375" style="2" customWidth="1"/>
    <col min="11" max="11" width="18.140625" style="2" bestFit="1" customWidth="1"/>
    <col min="12" max="12" width="18.140625" customWidth="1"/>
    <col min="13" max="13" width="15" bestFit="1" customWidth="1"/>
    <col min="14" max="14" width="12.5703125" bestFit="1" customWidth="1"/>
    <col min="15" max="15" width="18.140625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</row>
    <row r="2" spans="1:18" x14ac:dyDescent="0.25">
      <c r="A2" s="1" t="s">
        <v>2</v>
      </c>
      <c r="B2" s="1" t="s">
        <v>3</v>
      </c>
      <c r="C2" s="1"/>
      <c r="D2" s="1"/>
      <c r="E2" s="1"/>
    </row>
    <row r="3" spans="1:18" x14ac:dyDescent="0.25">
      <c r="A3" s="1" t="s">
        <v>4</v>
      </c>
      <c r="B3" s="1" t="s">
        <v>5</v>
      </c>
      <c r="C3" s="1"/>
      <c r="D3" s="1"/>
      <c r="E3" s="1"/>
    </row>
    <row r="4" spans="1:18" ht="29.25" x14ac:dyDescent="0.25">
      <c r="A4" s="1" t="s">
        <v>6</v>
      </c>
      <c r="B4" s="1" t="s">
        <v>7</v>
      </c>
      <c r="C4" s="5" t="s">
        <v>186</v>
      </c>
      <c r="D4" s="5" t="s">
        <v>187</v>
      </c>
      <c r="E4" s="1" t="s">
        <v>184</v>
      </c>
      <c r="F4" s="5" t="s">
        <v>65</v>
      </c>
      <c r="G4" s="1" t="s">
        <v>57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62</v>
      </c>
      <c r="M4" s="5" t="s">
        <v>63</v>
      </c>
      <c r="N4" s="5" t="s">
        <v>64</v>
      </c>
      <c r="O4" s="5" t="s">
        <v>8</v>
      </c>
      <c r="P4" s="5" t="s">
        <v>182</v>
      </c>
      <c r="Q4" s="5" t="s">
        <v>181</v>
      </c>
    </row>
    <row r="5" spans="1:18" x14ac:dyDescent="0.25">
      <c r="A5" s="1" t="s">
        <v>185</v>
      </c>
      <c r="B5" s="1" t="str">
        <f>VLOOKUP(A5,LISTADHERENT!A$5:H$52,2,0)</f>
        <v>ASELBY</v>
      </c>
      <c r="C5" s="6">
        <f>$N$56/$D$56*D5</f>
        <v>4585.7297697109252</v>
      </c>
      <c r="D5" s="6">
        <f>TONT20000MAI!C5+TONT20000MAI!D5+TONT20000JUIN!G5</f>
        <v>330432.65507496637</v>
      </c>
      <c r="E5" s="1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"/>
    </row>
    <row r="6" spans="1:18" x14ac:dyDescent="0.25">
      <c r="A6" s="1" t="s">
        <v>11</v>
      </c>
      <c r="B6" s="1" t="str">
        <f>VLOOKUP(A6,LISTADHERENT!A$5:H$51,2)</f>
        <v>BAKOP ACHILLE</v>
      </c>
      <c r="C6" s="6">
        <f t="shared" ref="C6:C52" si="0">$N$56/$D$56*D6</f>
        <v>6401.9466331371623</v>
      </c>
      <c r="D6" s="6">
        <f>TONT20000MAI!C6+TONT20000MAI!D6+TONT20000JUIN!G6</f>
        <v>461303.28865172213</v>
      </c>
      <c r="E6" s="1"/>
      <c r="F6" s="7">
        <f t="shared" ref="F6:F52" si="1">G6+H6+I6+J6+K6+L6</f>
        <v>20000</v>
      </c>
      <c r="G6" s="7">
        <v>3000</v>
      </c>
      <c r="H6" s="7">
        <v>500</v>
      </c>
      <c r="I6" s="7">
        <v>1000</v>
      </c>
      <c r="J6" s="7">
        <v>2500</v>
      </c>
      <c r="K6" s="7"/>
      <c r="L6" s="7">
        <v>13000</v>
      </c>
      <c r="M6" s="7"/>
      <c r="N6" s="7">
        <f>IF(M6&lt;=500000,(M6*1*3/100),(M6*12/100))</f>
        <v>0</v>
      </c>
    </row>
    <row r="7" spans="1:18" x14ac:dyDescent="0.25">
      <c r="A7" s="1" t="s">
        <v>12</v>
      </c>
      <c r="B7" s="1" t="str">
        <f>VLOOKUP(A7,LISTADHERENT!A$5:H$51,2)</f>
        <v>BOUTCHOUANG WILLIAM</v>
      </c>
      <c r="C7" s="6">
        <f t="shared" si="0"/>
        <v>5943.1214118404623</v>
      </c>
      <c r="D7" s="6">
        <f>TONT20000MAI!C7+TONT20000MAI!D7+TONT20000JUIN!G7</f>
        <v>428241.84724498505</v>
      </c>
      <c r="E7" s="1"/>
      <c r="F7" s="7">
        <f t="shared" si="1"/>
        <v>20000</v>
      </c>
      <c r="G7" s="7">
        <v>3000</v>
      </c>
      <c r="H7" s="7">
        <v>500</v>
      </c>
      <c r="I7" s="7">
        <v>1000</v>
      </c>
      <c r="J7" s="7">
        <v>2500</v>
      </c>
      <c r="K7" s="7"/>
      <c r="L7" s="7">
        <v>13000</v>
      </c>
      <c r="M7" s="7"/>
      <c r="N7" s="7">
        <f t="shared" ref="N7:N54" si="2">IF(M7&lt;=500000,(M7*1*3/100),(M7*12/100))</f>
        <v>0</v>
      </c>
    </row>
    <row r="8" spans="1:18" s="21" customFormat="1" x14ac:dyDescent="0.25">
      <c r="A8" s="19" t="s">
        <v>13</v>
      </c>
      <c r="B8" s="19" t="str">
        <f>VLOOKUP(A8,LISTADHERENT!A$5:H$51,2)</f>
        <v>CHINGUE FABRICE</v>
      </c>
      <c r="C8" s="6">
        <f t="shared" si="0"/>
        <v>5945.1105385223846</v>
      </c>
      <c r="D8" s="6">
        <f>TONT20000MAI!C8+TONT20000MAI!D8+TONT20000JUIN!G8</f>
        <v>428385.17719328019</v>
      </c>
      <c r="E8" s="19"/>
      <c r="F8" s="20">
        <f t="shared" si="1"/>
        <v>20000</v>
      </c>
      <c r="G8" s="20">
        <v>3000</v>
      </c>
      <c r="H8" s="20">
        <v>500</v>
      </c>
      <c r="I8" s="20">
        <v>1000</v>
      </c>
      <c r="J8" s="20">
        <v>2500</v>
      </c>
      <c r="K8" s="20"/>
      <c r="L8" s="20">
        <v>13000</v>
      </c>
      <c r="M8" s="20">
        <v>1000000</v>
      </c>
      <c r="N8" s="20">
        <f t="shared" si="2"/>
        <v>120000</v>
      </c>
      <c r="O8" s="20">
        <v>1000000</v>
      </c>
    </row>
    <row r="9" spans="1:18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6036.1202912010549</v>
      </c>
      <c r="D9" s="6">
        <f>TONT20000MAI!C9+TONT20000MAI!D9+TONT20000JUIN!G9</f>
        <v>434943.04163918813</v>
      </c>
      <c r="E9" s="1"/>
      <c r="F9" s="7">
        <f t="shared" si="1"/>
        <v>20000</v>
      </c>
      <c r="G9" s="7">
        <v>3000</v>
      </c>
      <c r="H9" s="7">
        <v>500</v>
      </c>
      <c r="I9" s="7">
        <v>1000</v>
      </c>
      <c r="J9" s="7">
        <v>2500</v>
      </c>
      <c r="K9" s="7"/>
      <c r="L9" s="7">
        <v>13000</v>
      </c>
      <c r="N9" s="7">
        <f t="shared" si="2"/>
        <v>0</v>
      </c>
    </row>
    <row r="10" spans="1:18" x14ac:dyDescent="0.25">
      <c r="A10" s="1" t="s">
        <v>15</v>
      </c>
      <c r="B10" s="1" t="str">
        <f>VLOOKUP(A10,LISTADHERENT!A$5:H$51,2)</f>
        <v>DJOUKWE GUY</v>
      </c>
      <c r="C10" s="6">
        <f t="shared" si="0"/>
        <v>6562.6898315546596</v>
      </c>
      <c r="D10" s="6">
        <f>TONT20000MAI!C10+TONT20000MAI!D10+TONT20000JUIN!G10</f>
        <v>472885.91660968919</v>
      </c>
      <c r="E10" s="1"/>
      <c r="F10" s="7">
        <f t="shared" si="1"/>
        <v>50000</v>
      </c>
      <c r="G10" s="7">
        <v>33000</v>
      </c>
      <c r="H10" s="7">
        <v>500</v>
      </c>
      <c r="I10" s="7">
        <v>1000</v>
      </c>
      <c r="J10" s="7">
        <v>2500</v>
      </c>
      <c r="K10" s="7"/>
      <c r="L10" s="7">
        <v>13000</v>
      </c>
      <c r="N10" s="7">
        <f t="shared" si="2"/>
        <v>0</v>
      </c>
    </row>
    <row r="11" spans="1:18" x14ac:dyDescent="0.25">
      <c r="A11" s="1" t="s">
        <v>16</v>
      </c>
      <c r="B11" s="1" t="str">
        <f>VLOOKUP(A11,LISTADHERENT!A$5:H$51,2)</f>
        <v>DJOSSEU JOSUE</v>
      </c>
      <c r="C11" s="6">
        <f t="shared" si="0"/>
        <v>72.069807316018256</v>
      </c>
      <c r="D11" s="6">
        <f>TONT20000MAI!C11+TONT20000MAI!D11+TONT20000JUIN!G11</f>
        <v>5193.1140686631315</v>
      </c>
      <c r="E11" s="1"/>
      <c r="F11" s="7">
        <f t="shared" si="1"/>
        <v>0</v>
      </c>
      <c r="G11" s="7"/>
      <c r="H11" s="7"/>
      <c r="I11" s="7"/>
      <c r="J11" s="7"/>
      <c r="K11" s="7"/>
      <c r="L11" s="7"/>
      <c r="N11" s="7">
        <f t="shared" si="2"/>
        <v>0</v>
      </c>
    </row>
    <row r="12" spans="1:18" x14ac:dyDescent="0.25">
      <c r="A12" s="1" t="s">
        <v>17</v>
      </c>
      <c r="B12" s="1" t="str">
        <f>VLOOKUP(A12,LISTADHERENT!A$5:H$51,2)</f>
        <v>DJOUNKEP SAMUEL</v>
      </c>
      <c r="C12" s="6">
        <f t="shared" si="0"/>
        <v>27381.850860139701</v>
      </c>
      <c r="D12" s="6">
        <f>TONT20000MAI!C12+TONT20000MAI!D12+TONT20000JUIN!G12</f>
        <v>1973046.4146283679</v>
      </c>
      <c r="E12" s="1"/>
      <c r="F12" s="7">
        <f t="shared" si="1"/>
        <v>20000</v>
      </c>
      <c r="G12" s="7">
        <v>3000</v>
      </c>
      <c r="H12" s="7">
        <v>500</v>
      </c>
      <c r="I12" s="7">
        <v>1000</v>
      </c>
      <c r="J12" s="7">
        <v>2500</v>
      </c>
      <c r="K12" s="7"/>
      <c r="L12" s="7">
        <v>13000</v>
      </c>
      <c r="N12" s="7">
        <f t="shared" si="2"/>
        <v>0</v>
      </c>
    </row>
    <row r="13" spans="1:18" x14ac:dyDescent="0.25">
      <c r="A13" s="1" t="s">
        <v>18</v>
      </c>
      <c r="B13" s="1" t="str">
        <f>VLOOKUP(A13,LISTADHERENT!A$5:H$51,2)</f>
        <v>DJUOMBESSY ANTOINE</v>
      </c>
      <c r="C13" s="6">
        <f t="shared" si="0"/>
        <v>4897.1002284557744</v>
      </c>
      <c r="D13" s="6">
        <f>TONT20000MAI!C13+TONT20000MAI!D13+TONT20000JUIN!G13</f>
        <v>352868.98965240846</v>
      </c>
      <c r="E13" s="1"/>
      <c r="F13" s="7">
        <f t="shared" si="1"/>
        <v>20000</v>
      </c>
      <c r="G13" s="7">
        <v>3000</v>
      </c>
      <c r="H13" s="7">
        <v>500</v>
      </c>
      <c r="I13" s="7">
        <v>1000</v>
      </c>
      <c r="J13" s="7">
        <v>2500</v>
      </c>
      <c r="K13" s="7"/>
      <c r="L13" s="7">
        <v>13000</v>
      </c>
      <c r="N13" s="7">
        <f t="shared" si="2"/>
        <v>0</v>
      </c>
    </row>
    <row r="14" spans="1:18" x14ac:dyDescent="0.25">
      <c r="A14" s="1" t="s">
        <v>19</v>
      </c>
      <c r="B14" s="1" t="str">
        <f>VLOOKUP(A14,LISTADHERENT!A$5:H$51,2)</f>
        <v>DONHOU DAVID</v>
      </c>
      <c r="C14" s="6">
        <f t="shared" si="0"/>
        <v>6563.354173602117</v>
      </c>
      <c r="D14" s="6">
        <f>TONT20000MAI!C14+TONT20000MAI!D14+TONT20000JUIN!G14</f>
        <v>472933.78691990004</v>
      </c>
      <c r="E14" s="1"/>
      <c r="F14" s="7">
        <f t="shared" si="1"/>
        <v>20000</v>
      </c>
      <c r="G14" s="7">
        <v>3000</v>
      </c>
      <c r="H14" s="7">
        <v>500</v>
      </c>
      <c r="I14" s="7">
        <v>1000</v>
      </c>
      <c r="J14" s="7">
        <v>2500</v>
      </c>
      <c r="K14" s="7"/>
      <c r="L14" s="7">
        <v>13000</v>
      </c>
      <c r="N14" s="7">
        <f t="shared" si="2"/>
        <v>0</v>
      </c>
    </row>
    <row r="15" spans="1:18" x14ac:dyDescent="0.25">
      <c r="A15" s="1" t="s">
        <v>20</v>
      </c>
      <c r="B15" s="1" t="str">
        <f>VLOOKUP(A15,LISTADHERENT!A$5:H$51,2)</f>
        <v>FOTSO THOMAS</v>
      </c>
      <c r="C15" s="6">
        <f t="shared" si="0"/>
        <v>5966.3855456420752</v>
      </c>
      <c r="D15" s="6">
        <f>TONT20000MAI!C15+TONT20000MAI!D15+TONT20000JUIN!G15</f>
        <v>429918.18446634966</v>
      </c>
      <c r="E15" s="1"/>
      <c r="F15" s="7">
        <f t="shared" si="1"/>
        <v>20000</v>
      </c>
      <c r="G15" s="7">
        <v>3000</v>
      </c>
      <c r="H15" s="7">
        <v>500</v>
      </c>
      <c r="I15" s="7">
        <v>1000</v>
      </c>
      <c r="J15" s="7">
        <v>2500</v>
      </c>
      <c r="K15" s="7"/>
      <c r="L15" s="7">
        <v>13000</v>
      </c>
      <c r="N15" s="7">
        <f t="shared" si="2"/>
        <v>0</v>
      </c>
    </row>
    <row r="16" spans="1:18" x14ac:dyDescent="0.25">
      <c r="A16" s="1" t="s">
        <v>21</v>
      </c>
      <c r="B16" s="1" t="str">
        <f>VLOOKUP(A16,LISTADHERENT!A$5:H$51,2)</f>
        <v>HENGUE PAUL OMER</v>
      </c>
      <c r="C16" s="6">
        <f t="shared" si="0"/>
        <v>5918.5600215071654</v>
      </c>
      <c r="D16" s="6">
        <f>TONT20000MAI!C16+TONT20000MAI!D16+TONT20000JUIN!G16</f>
        <v>426472.0339703848</v>
      </c>
      <c r="E16" s="1"/>
      <c r="F16" s="7">
        <f t="shared" si="1"/>
        <v>20000</v>
      </c>
      <c r="G16" s="7">
        <v>3000</v>
      </c>
      <c r="H16" s="7">
        <v>500</v>
      </c>
      <c r="I16" s="7">
        <v>1000</v>
      </c>
      <c r="J16" s="7">
        <v>2500</v>
      </c>
      <c r="K16" s="7"/>
      <c r="L16" s="7">
        <v>13000</v>
      </c>
      <c r="N16" s="7">
        <f t="shared" si="2"/>
        <v>0</v>
      </c>
    </row>
    <row r="17" spans="1:15" x14ac:dyDescent="0.25">
      <c r="A17" s="1" t="s">
        <v>22</v>
      </c>
      <c r="B17" s="1" t="str">
        <f>VLOOKUP(A17,LISTADHERENT!A$5:H$51,2)</f>
        <v>HODIEP JULES</v>
      </c>
      <c r="C17" s="6">
        <f t="shared" si="0"/>
        <v>991.01283899713405</v>
      </c>
      <c r="D17" s="6">
        <f>TONT20000MAI!C17+TONT20000MAI!D17+TONT20000JUIN!G17+50000</f>
        <v>71409.136614660514</v>
      </c>
      <c r="E17" s="1"/>
      <c r="F17" s="7">
        <f t="shared" si="1"/>
        <v>20000</v>
      </c>
      <c r="G17" s="7">
        <v>3000</v>
      </c>
      <c r="H17" s="7">
        <v>500</v>
      </c>
      <c r="I17" s="7">
        <v>1000</v>
      </c>
      <c r="J17" s="7">
        <v>2500</v>
      </c>
      <c r="K17" s="7"/>
      <c r="L17" s="7">
        <v>13000</v>
      </c>
      <c r="N17" s="7">
        <f t="shared" si="2"/>
        <v>0</v>
      </c>
    </row>
    <row r="18" spans="1:15" x14ac:dyDescent="0.25">
      <c r="A18" s="1" t="s">
        <v>23</v>
      </c>
      <c r="B18" s="1" t="str">
        <f>VLOOKUP(A18,LISTADHERENT!A$5:H$51,2)</f>
        <v>HOTCHO BENJAMIN</v>
      </c>
      <c r="C18" s="6">
        <f t="shared" si="0"/>
        <v>6044.2930073506905</v>
      </c>
      <c r="D18" s="6">
        <f>TONT20000MAI!C18+TONT20000MAI!D18+TONT20000JUIN!G18</f>
        <v>435531.94077457447</v>
      </c>
      <c r="E18" s="1"/>
      <c r="F18" s="7">
        <f t="shared" si="1"/>
        <v>20000</v>
      </c>
      <c r="G18" s="7">
        <v>3000</v>
      </c>
      <c r="H18" s="7">
        <v>500</v>
      </c>
      <c r="I18" s="7">
        <v>1000</v>
      </c>
      <c r="J18" s="7">
        <v>2500</v>
      </c>
      <c r="K18" s="7"/>
      <c r="L18" s="7">
        <v>13000</v>
      </c>
      <c r="N18" s="7">
        <f t="shared" si="2"/>
        <v>0</v>
      </c>
    </row>
    <row r="19" spans="1:15" x14ac:dyDescent="0.25">
      <c r="A19" s="1" t="s">
        <v>24</v>
      </c>
      <c r="B19" s="1" t="str">
        <f>VLOOKUP(A19,LISTADHERENT!A$5:H$51,2)</f>
        <v>KEPHE DAVID</v>
      </c>
      <c r="C19" s="6">
        <f t="shared" si="0"/>
        <v>481.54168777943136</v>
      </c>
      <c r="D19" s="6">
        <f>TONT20000MAI!C19+TONT20000MAI!D19+TONT20000JUIN!G19</f>
        <v>34698.315516369468</v>
      </c>
      <c r="E19" s="1"/>
      <c r="F19" s="7">
        <f t="shared" si="1"/>
        <v>20000</v>
      </c>
      <c r="G19" s="7">
        <v>3000</v>
      </c>
      <c r="H19" s="7">
        <v>500</v>
      </c>
      <c r="I19" s="7">
        <v>1000</v>
      </c>
      <c r="J19" s="7">
        <v>2500</v>
      </c>
      <c r="K19" s="7"/>
      <c r="L19" s="7">
        <v>13000</v>
      </c>
      <c r="N19" s="7">
        <f t="shared" si="2"/>
        <v>0</v>
      </c>
    </row>
    <row r="20" spans="1:15" x14ac:dyDescent="0.25">
      <c r="A20" s="1" t="s">
        <v>25</v>
      </c>
      <c r="B20" s="1" t="str">
        <f>VLOOKUP(A20,LISTADHERENT!A$5:H$51,2)</f>
        <v>KEPSEU FRANCIS</v>
      </c>
      <c r="C20" s="6">
        <f t="shared" si="0"/>
        <v>15695.675275336062</v>
      </c>
      <c r="D20" s="6">
        <f>TONT20000MAI!C20+TONT20000MAI!D20+TONT20000JUIN!G20</f>
        <v>1130978.9095467646</v>
      </c>
      <c r="E20" s="1"/>
      <c r="F20" s="7">
        <f t="shared" si="1"/>
        <v>23000</v>
      </c>
      <c r="G20" s="7">
        <v>6000</v>
      </c>
      <c r="H20" s="7">
        <v>500</v>
      </c>
      <c r="I20" s="7">
        <v>1000</v>
      </c>
      <c r="J20" s="7">
        <v>2500</v>
      </c>
      <c r="K20" s="7"/>
      <c r="L20" s="7">
        <v>13000</v>
      </c>
      <c r="N20" s="7">
        <f t="shared" si="2"/>
        <v>0</v>
      </c>
    </row>
    <row r="21" spans="1:15" x14ac:dyDescent="0.25">
      <c r="A21" s="1" t="s">
        <v>26</v>
      </c>
      <c r="B21" s="1" t="str">
        <f>VLOOKUP(A21,LISTADHERENT!A$5:H$51,2)</f>
        <v>KOUAMOU EMMANUEL</v>
      </c>
      <c r="C21" s="6">
        <f t="shared" si="0"/>
        <v>5957.8092385714681</v>
      </c>
      <c r="D21" s="6">
        <f>TONT20000MAI!C21+TONT20000MAI!D21+TONT20000JUIN!G21</f>
        <v>429300.20389217866</v>
      </c>
      <c r="E21" s="1"/>
      <c r="F21" s="7">
        <f t="shared" si="1"/>
        <v>20000</v>
      </c>
      <c r="G21" s="7">
        <v>3000</v>
      </c>
      <c r="H21" s="7">
        <v>500</v>
      </c>
      <c r="I21" s="7">
        <v>1000</v>
      </c>
      <c r="J21" s="7">
        <v>2500</v>
      </c>
      <c r="K21" s="7"/>
      <c r="L21" s="7">
        <v>13000</v>
      </c>
      <c r="N21" s="7">
        <f t="shared" si="2"/>
        <v>0</v>
      </c>
    </row>
    <row r="22" spans="1:15" x14ac:dyDescent="0.25">
      <c r="A22" s="1" t="s">
        <v>27</v>
      </c>
      <c r="B22" s="1" t="str">
        <f>VLOOKUP(A22,LISTADHERENT!A$5:H$51,2)</f>
        <v>KOUAMOU MOISE</v>
      </c>
      <c r="C22" s="6">
        <f t="shared" si="0"/>
        <v>5908.6144990872453</v>
      </c>
      <c r="D22" s="6">
        <f>TONT20000MAI!C22+TONT20000MAI!D22+TONT20000JUIN!G22+75000</f>
        <v>425755.39222646254</v>
      </c>
      <c r="E22" s="1"/>
      <c r="F22" s="7">
        <f t="shared" si="1"/>
        <v>20000</v>
      </c>
      <c r="G22" s="7">
        <v>3000</v>
      </c>
      <c r="H22" s="7">
        <v>500</v>
      </c>
      <c r="I22" s="7">
        <v>1000</v>
      </c>
      <c r="J22" s="7">
        <v>2500</v>
      </c>
      <c r="K22" s="7"/>
      <c r="L22" s="7">
        <v>13000</v>
      </c>
      <c r="M22" s="7">
        <v>60000</v>
      </c>
      <c r="N22" s="7">
        <f t="shared" si="2"/>
        <v>1800</v>
      </c>
    </row>
    <row r="23" spans="1:15" x14ac:dyDescent="0.25">
      <c r="A23" s="1" t="s">
        <v>28</v>
      </c>
      <c r="B23" s="1" t="str">
        <f>VLOOKUP(A23,LISTADHERENT!A$5:H$51,2)</f>
        <v>KOUAMOU VICTOR PEGUY</v>
      </c>
      <c r="C23" s="6">
        <f t="shared" si="0"/>
        <v>6446.5290159428505</v>
      </c>
      <c r="D23" s="6">
        <f>TONT20000MAI!C23+TONT20000MAI!D23+TONT20000JUIN!G23</f>
        <v>464515.7490145971</v>
      </c>
      <c r="E23" s="1"/>
      <c r="F23" s="7">
        <f t="shared" si="1"/>
        <v>20000</v>
      </c>
      <c r="G23" s="7">
        <v>3000</v>
      </c>
      <c r="H23" s="7">
        <v>500</v>
      </c>
      <c r="I23" s="7">
        <v>1000</v>
      </c>
      <c r="J23" s="7">
        <v>2500</v>
      </c>
      <c r="K23" s="7"/>
      <c r="L23" s="7">
        <v>13000</v>
      </c>
      <c r="N23" s="7">
        <f t="shared" si="2"/>
        <v>0</v>
      </c>
    </row>
    <row r="24" spans="1:15" x14ac:dyDescent="0.25">
      <c r="A24" s="1" t="s">
        <v>29</v>
      </c>
      <c r="B24" s="1" t="str">
        <f>VLOOKUP(A24,LISTADHERENT!A$5:H$51,2)</f>
        <v>KOUATCHO MESSACK</v>
      </c>
      <c r="C24" s="6">
        <f t="shared" si="0"/>
        <v>5918.5600215071654</v>
      </c>
      <c r="D24" s="6">
        <f>TONT20000MAI!C24+TONT20000MAI!D24+TONT20000JUIN!G24</f>
        <v>426472.0339703848</v>
      </c>
      <c r="E24" s="1"/>
      <c r="F24" s="7">
        <f t="shared" si="1"/>
        <v>20000</v>
      </c>
      <c r="G24" s="7">
        <v>3000</v>
      </c>
      <c r="H24" s="7">
        <v>500</v>
      </c>
      <c r="I24" s="7">
        <v>1000</v>
      </c>
      <c r="J24" s="7">
        <v>2500</v>
      </c>
      <c r="K24" s="7"/>
      <c r="L24" s="7">
        <v>13000</v>
      </c>
      <c r="M24" s="7"/>
      <c r="N24" s="7">
        <f t="shared" si="2"/>
        <v>0</v>
      </c>
    </row>
    <row r="25" spans="1:15" x14ac:dyDescent="0.25">
      <c r="A25" s="1" t="s">
        <v>30</v>
      </c>
      <c r="B25" s="1" t="str">
        <f>VLOOKUP(A25,LISTADHERENT!A$5:H$51,2)</f>
        <v>LOWE JEAN</v>
      </c>
      <c r="C25" s="6">
        <f t="shared" si="0"/>
        <v>5980.9868886043005</v>
      </c>
      <c r="D25" s="6">
        <f>TONT20000MAI!C25+TONT20000MAI!D25+TONT20000JUIN!G25</f>
        <v>430970.30937666079</v>
      </c>
      <c r="E25" s="1"/>
      <c r="F25" s="7">
        <f t="shared" si="1"/>
        <v>20000</v>
      </c>
      <c r="G25" s="7">
        <v>3000</v>
      </c>
      <c r="H25" s="7">
        <v>500</v>
      </c>
      <c r="I25" s="7">
        <v>1000</v>
      </c>
      <c r="J25" s="7">
        <v>2500</v>
      </c>
      <c r="K25" s="7"/>
      <c r="L25" s="7">
        <v>13000</v>
      </c>
      <c r="M25" s="7">
        <v>80000</v>
      </c>
      <c r="N25" s="7">
        <f t="shared" si="2"/>
        <v>2400</v>
      </c>
      <c r="O25" s="7">
        <v>80000</v>
      </c>
    </row>
    <row r="26" spans="1:15" x14ac:dyDescent="0.25">
      <c r="A26" s="1" t="s">
        <v>31</v>
      </c>
      <c r="B26" s="1" t="str">
        <f>VLOOKUP(A26,LISTADHERENT!A$5:H$51,2)</f>
        <v>NANKAM APPOLINAIRE</v>
      </c>
      <c r="C26" s="6">
        <f t="shared" si="0"/>
        <v>5982.1400055213562</v>
      </c>
      <c r="D26" s="6">
        <f>TONT20000MAI!C26+TONT20000MAI!D26+TONT20000JUIN!G26</f>
        <v>431053.39920175937</v>
      </c>
      <c r="E26" s="1"/>
      <c r="F26" s="7">
        <f t="shared" si="1"/>
        <v>20000</v>
      </c>
      <c r="G26" s="7">
        <v>3000</v>
      </c>
      <c r="H26" s="7">
        <v>500</v>
      </c>
      <c r="I26" s="7">
        <v>1000</v>
      </c>
      <c r="J26" s="7">
        <v>2500</v>
      </c>
      <c r="K26" s="7"/>
      <c r="L26" s="7">
        <v>13000</v>
      </c>
      <c r="N26" s="7">
        <f t="shared" si="2"/>
        <v>0</v>
      </c>
    </row>
    <row r="27" spans="1:15" x14ac:dyDescent="0.25">
      <c r="A27" s="1" t="s">
        <v>32</v>
      </c>
      <c r="B27" s="1" t="str">
        <f>VLOOKUP(A27,LISTADHERENT!A$5:H$51,2)</f>
        <v>NDJOMO ETIENNE</v>
      </c>
      <c r="C27" s="6">
        <f t="shared" si="0"/>
        <v>6443.4445335509317</v>
      </c>
      <c r="D27" s="6">
        <f>TONT20000MAI!C27+TONT20000MAI!D27+TONT20000JUIN!G27</f>
        <v>464293.49132444145</v>
      </c>
      <c r="E27" s="1"/>
      <c r="F27" s="7">
        <f t="shared" si="1"/>
        <v>25000</v>
      </c>
      <c r="G27" s="7">
        <v>8000</v>
      </c>
      <c r="H27" s="7">
        <v>500</v>
      </c>
      <c r="I27" s="7">
        <v>1000</v>
      </c>
      <c r="J27" s="7">
        <v>2500</v>
      </c>
      <c r="K27" s="7"/>
      <c r="L27" s="7">
        <v>13000</v>
      </c>
      <c r="M27" s="7">
        <v>400000</v>
      </c>
      <c r="N27" s="7">
        <f t="shared" si="2"/>
        <v>12000</v>
      </c>
      <c r="O27" s="7">
        <v>400000</v>
      </c>
    </row>
    <row r="28" spans="1:15" x14ac:dyDescent="0.25">
      <c r="A28" s="1" t="s">
        <v>33</v>
      </c>
      <c r="B28" s="1" t="str">
        <f>VLOOKUP(A28,LISTADHERENT!A$5:H$51,2)</f>
        <v>NDOMBOU JEAN CLAUDE</v>
      </c>
      <c r="C28" s="6">
        <f t="shared" si="0"/>
        <v>0</v>
      </c>
      <c r="D28" s="6">
        <f>TONT20000MAI!C28+TONT20000MAI!D28+TONT20000JUIN!G28</f>
        <v>0</v>
      </c>
      <c r="E28" s="1"/>
      <c r="F28" s="7">
        <f t="shared" si="1"/>
        <v>0</v>
      </c>
      <c r="G28" s="7"/>
      <c r="H28" s="7"/>
      <c r="I28" s="7"/>
      <c r="J28" s="7"/>
      <c r="K28" s="7"/>
      <c r="L28" s="7"/>
      <c r="N28" s="7">
        <f t="shared" si="2"/>
        <v>0</v>
      </c>
    </row>
    <row r="29" spans="1:15" x14ac:dyDescent="0.25">
      <c r="A29" s="1" t="s">
        <v>34</v>
      </c>
      <c r="B29" s="1" t="str">
        <f>VLOOKUP(A29,LISTADHERENT!A$5:H$51,2)</f>
        <v>NGONDIEP CLAUDE</v>
      </c>
      <c r="C29" s="6">
        <f t="shared" si="0"/>
        <v>8506.932737300498</v>
      </c>
      <c r="D29" s="6">
        <f>TONT20000MAI!C29+TONT20000MAI!D29+TONT20000JUIN!G29</f>
        <v>612981.68712360749</v>
      </c>
      <c r="E29" s="1"/>
      <c r="F29" s="7">
        <f t="shared" si="1"/>
        <v>20000</v>
      </c>
      <c r="G29" s="7">
        <v>3000</v>
      </c>
      <c r="H29" s="7">
        <v>500</v>
      </c>
      <c r="I29" s="7">
        <v>1000</v>
      </c>
      <c r="J29" s="7">
        <v>2500</v>
      </c>
      <c r="K29" s="7"/>
      <c r="L29" s="7">
        <v>13000</v>
      </c>
      <c r="N29" s="7">
        <f t="shared" si="2"/>
        <v>0</v>
      </c>
    </row>
    <row r="30" spans="1:15" x14ac:dyDescent="0.25">
      <c r="A30" s="1" t="s">
        <v>35</v>
      </c>
      <c r="B30" s="1" t="str">
        <f>VLOOKUP(A30,LISTADHERENT!A$5:H$51,2)</f>
        <v>NGONGANG JEAN THEODORE</v>
      </c>
      <c r="C30" s="6">
        <f t="shared" si="0"/>
        <v>297.1150508577407</v>
      </c>
      <c r="D30" s="6">
        <f>TONT20000MAI!C30+TONT20000MAI!D30+TONT20000JUIN!G30</f>
        <v>21409.136614660518</v>
      </c>
      <c r="E30" s="1"/>
      <c r="F30" s="7">
        <f t="shared" si="1"/>
        <v>20000</v>
      </c>
      <c r="G30" s="7">
        <v>3000</v>
      </c>
      <c r="H30" s="7">
        <v>500</v>
      </c>
      <c r="I30" s="7">
        <v>1000</v>
      </c>
      <c r="J30" s="7">
        <v>2500</v>
      </c>
      <c r="K30" s="7"/>
      <c r="L30" s="7">
        <v>13000</v>
      </c>
      <c r="N30" s="7">
        <f t="shared" si="2"/>
        <v>0</v>
      </c>
    </row>
    <row r="31" spans="1:15" x14ac:dyDescent="0.25">
      <c r="A31" s="1" t="s">
        <v>36</v>
      </c>
      <c r="B31" s="1" t="str">
        <f>VLOOKUP(A31,LISTADHERENT!A$5:H$51,2)</f>
        <v>NGUIEMEGNI MATHIEU BLAISE</v>
      </c>
      <c r="C31" s="6">
        <f t="shared" si="0"/>
        <v>2177.0792146179242</v>
      </c>
      <c r="D31" s="6">
        <f>TONT20000MAI!C31+TONT20000MAI!D31+TONT20000JUIN!G31</f>
        <v>156873.19168832561</v>
      </c>
      <c r="E31" s="1"/>
      <c r="F31" s="7">
        <f t="shared" si="1"/>
        <v>140000</v>
      </c>
      <c r="G31" s="7">
        <v>123000</v>
      </c>
      <c r="H31" s="7">
        <v>500</v>
      </c>
      <c r="I31" s="7">
        <v>1000</v>
      </c>
      <c r="J31" s="7">
        <v>2500</v>
      </c>
      <c r="K31" s="7"/>
      <c r="L31" s="7">
        <v>13000</v>
      </c>
      <c r="N31" s="7">
        <f t="shared" si="2"/>
        <v>0</v>
      </c>
    </row>
    <row r="32" spans="1:15" s="21" customFormat="1" x14ac:dyDescent="0.25">
      <c r="A32" s="19" t="s">
        <v>37</v>
      </c>
      <c r="B32" s="19" t="str">
        <f>VLOOKUP(A32,LISTADHERENT!A$5:H$51,2)</f>
        <v>NJEPDJIO MBOUKAM DELUXE</v>
      </c>
      <c r="C32" s="6">
        <f t="shared" si="0"/>
        <v>6169.8028246816157</v>
      </c>
      <c r="D32" s="6">
        <f>TONT20000MAI!C32+TONT20000MAI!D32+TONT20000JUIN!G32</f>
        <v>444575.76678729785</v>
      </c>
      <c r="E32" s="19"/>
      <c r="F32" s="20">
        <f t="shared" si="1"/>
        <v>23000</v>
      </c>
      <c r="G32" s="20">
        <v>6000</v>
      </c>
      <c r="H32" s="20">
        <v>500</v>
      </c>
      <c r="I32" s="20">
        <v>1000</v>
      </c>
      <c r="J32" s="20">
        <v>2500</v>
      </c>
      <c r="K32" s="20"/>
      <c r="L32" s="20">
        <v>13000</v>
      </c>
      <c r="M32" s="20">
        <v>1000000</v>
      </c>
      <c r="N32" s="20">
        <f t="shared" si="2"/>
        <v>120000</v>
      </c>
      <c r="O32" s="20">
        <v>1000000</v>
      </c>
    </row>
    <row r="33" spans="1:15" x14ac:dyDescent="0.25">
      <c r="A33" s="1" t="s">
        <v>38</v>
      </c>
      <c r="B33" s="1" t="str">
        <f>VLOOKUP(A33,LISTADHERENT!A$5:H$51,2)</f>
        <v>NKAMGANG JUSTIN DEJOLIE</v>
      </c>
      <c r="C33" s="6">
        <f t="shared" si="0"/>
        <v>594.2301017154814</v>
      </c>
      <c r="D33" s="6">
        <f>TONT20000MAI!C33+TONT20000MAI!D33+TONT20000JUIN!G33</f>
        <v>42818.273229321036</v>
      </c>
      <c r="E33" s="1"/>
      <c r="F33" s="7">
        <f t="shared" si="1"/>
        <v>23000</v>
      </c>
      <c r="G33" s="7">
        <v>6000</v>
      </c>
      <c r="H33" s="7">
        <v>500</v>
      </c>
      <c r="I33" s="7">
        <v>1000</v>
      </c>
      <c r="J33" s="7">
        <v>2500</v>
      </c>
      <c r="K33" s="7"/>
      <c r="L33" s="7">
        <v>13000</v>
      </c>
      <c r="M33" s="11"/>
      <c r="N33" s="7">
        <f t="shared" si="2"/>
        <v>0</v>
      </c>
    </row>
    <row r="34" spans="1:15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0"/>
        <v>6539.7153821636693</v>
      </c>
      <c r="D34" s="6">
        <f>TONT20000MAI!C34+TONT20000MAI!D34+TONT20000JUIN!G34</f>
        <v>471230.45309736172</v>
      </c>
      <c r="E34" s="1"/>
      <c r="F34" s="10">
        <f>G34+H34+I34+J34+K34+L34</f>
        <v>25000</v>
      </c>
      <c r="G34" s="7">
        <v>8000</v>
      </c>
      <c r="H34" s="7">
        <v>500</v>
      </c>
      <c r="I34" s="7">
        <v>1000</v>
      </c>
      <c r="J34" s="7">
        <v>2500</v>
      </c>
      <c r="K34" s="7"/>
      <c r="L34" s="7">
        <v>13000</v>
      </c>
      <c r="M34"/>
      <c r="N34" s="7">
        <f t="shared" si="2"/>
        <v>0</v>
      </c>
    </row>
    <row r="35" spans="1:15" x14ac:dyDescent="0.25">
      <c r="A35" s="1" t="s">
        <v>40</v>
      </c>
      <c r="B35" s="1" t="str">
        <f>VLOOKUP(A35,LISTADHERENT!A$5:H$51,2)</f>
        <v>NKEPSEU HENANG RENE</v>
      </c>
      <c r="C35" s="6">
        <f t="shared" si="0"/>
        <v>6033.6266758679194</v>
      </c>
      <c r="D35" s="6">
        <f>TONT20000MAI!C35+TONT20000MAI!D35+TONT20000JUIN!G35</f>
        <v>434763.35989241232</v>
      </c>
      <c r="E35" s="1"/>
      <c r="F35" s="7">
        <f t="shared" si="1"/>
        <v>20000</v>
      </c>
      <c r="G35" s="7">
        <v>3000</v>
      </c>
      <c r="H35" s="7">
        <v>500</v>
      </c>
      <c r="I35" s="7">
        <v>1000</v>
      </c>
      <c r="J35" s="7">
        <v>2500</v>
      </c>
      <c r="K35" s="7"/>
      <c r="L35" s="7">
        <v>13000</v>
      </c>
      <c r="N35" s="7">
        <f t="shared" si="2"/>
        <v>0</v>
      </c>
    </row>
    <row r="36" spans="1:15" x14ac:dyDescent="0.25">
      <c r="A36" s="1" t="s">
        <v>41</v>
      </c>
      <c r="B36" s="1" t="str">
        <f>VLOOKUP(A36,LISTADHERENT!A$5:H$51,2)</f>
        <v>NTEPDIE TUEMAC MZ</v>
      </c>
      <c r="C36" s="6">
        <f t="shared" si="0"/>
        <v>86.240597509384457</v>
      </c>
      <c r="D36" s="6">
        <f>TONT20000MAI!C36+TONT20000MAI!D36+TONT20000JUIN!G36</f>
        <v>6214.2147578124323</v>
      </c>
      <c r="E36" s="1"/>
      <c r="F36" s="7">
        <f t="shared" si="1"/>
        <v>0</v>
      </c>
      <c r="G36" s="7"/>
      <c r="H36" s="7"/>
      <c r="I36" s="7"/>
      <c r="J36" s="7"/>
      <c r="K36" s="7"/>
      <c r="L36" s="7"/>
      <c r="N36" s="7">
        <f t="shared" si="2"/>
        <v>0</v>
      </c>
    </row>
    <row r="37" spans="1:15" x14ac:dyDescent="0.25">
      <c r="A37" s="1" t="s">
        <v>42</v>
      </c>
      <c r="B37" s="1" t="str">
        <f>VLOOKUP(A37,LISTADHERENT!A$5:H$51,2)</f>
        <v>NTOMBOU ADOLPHE</v>
      </c>
      <c r="C37" s="6">
        <f t="shared" si="0"/>
        <v>297.1150508577407</v>
      </c>
      <c r="D37" s="6">
        <f>TONT20000MAI!C37+TONT20000MAI!D37+TONT20000JUIN!G37</f>
        <v>21409.136614660518</v>
      </c>
      <c r="E37" s="1"/>
      <c r="F37" s="7">
        <f t="shared" si="1"/>
        <v>20000</v>
      </c>
      <c r="G37" s="7">
        <v>3000</v>
      </c>
      <c r="H37" s="7">
        <v>500</v>
      </c>
      <c r="I37" s="7">
        <v>1000</v>
      </c>
      <c r="J37" s="7">
        <v>2500</v>
      </c>
      <c r="K37" s="7"/>
      <c r="L37" s="7">
        <v>13000</v>
      </c>
      <c r="N37" s="7">
        <f t="shared" si="2"/>
        <v>0</v>
      </c>
    </row>
    <row r="38" spans="1:15" x14ac:dyDescent="0.25">
      <c r="A38" s="1" t="s">
        <v>43</v>
      </c>
      <c r="B38" s="1" t="str">
        <f>VLOOKUP(A38,LISTADHERENT!A$5:H$51,2)</f>
        <v>PATEGO NJOSSU GUSTAVE</v>
      </c>
      <c r="C38" s="6">
        <f t="shared" si="0"/>
        <v>5920.5779761120129</v>
      </c>
      <c r="D38" s="6">
        <f>TONT20000MAI!C38+TONT20000MAI!D38+TONT20000JUIN!G38</f>
        <v>426617.4411643073</v>
      </c>
      <c r="E38" s="1"/>
      <c r="F38" s="7">
        <f t="shared" si="1"/>
        <v>20000</v>
      </c>
      <c r="G38" s="7">
        <v>3000</v>
      </c>
      <c r="H38" s="7">
        <v>500</v>
      </c>
      <c r="I38" s="7">
        <v>1000</v>
      </c>
      <c r="J38" s="7">
        <v>2500</v>
      </c>
      <c r="K38" s="7"/>
      <c r="L38" s="7">
        <v>13000</v>
      </c>
      <c r="N38" s="7">
        <f t="shared" si="2"/>
        <v>0</v>
      </c>
    </row>
    <row r="39" spans="1:15" x14ac:dyDescent="0.25">
      <c r="A39" s="1" t="s">
        <v>44</v>
      </c>
      <c r="B39" s="1" t="str">
        <f>VLOOKUP(A39,LISTADHERENT!A$5:H$51,2)</f>
        <v>SEUNOU RICHELOT</v>
      </c>
      <c r="C39" s="6">
        <f t="shared" si="0"/>
        <v>5956.4975680783155</v>
      </c>
      <c r="D39" s="6">
        <f>TONT20000MAI!C39+TONT20000MAI!D39+TONT20000JUIN!G39</f>
        <v>429205.68921612896</v>
      </c>
      <c r="E39" s="1"/>
      <c r="F39" s="7">
        <f t="shared" si="1"/>
        <v>20000</v>
      </c>
      <c r="G39" s="7">
        <v>3000</v>
      </c>
      <c r="H39" s="7">
        <v>500</v>
      </c>
      <c r="I39" s="7">
        <v>1000</v>
      </c>
      <c r="J39" s="7">
        <v>2500</v>
      </c>
      <c r="K39" s="7"/>
      <c r="L39" s="7">
        <v>13000</v>
      </c>
      <c r="N39" s="7">
        <f t="shared" si="2"/>
        <v>0</v>
      </c>
    </row>
    <row r="40" spans="1:15" x14ac:dyDescent="0.25">
      <c r="A40" s="1" t="s">
        <v>45</v>
      </c>
      <c r="B40" s="1" t="str">
        <f>VLOOKUP(A40,LISTADHERENT!A$5:H$51,2)</f>
        <v>SIME ABEL</v>
      </c>
      <c r="C40" s="6">
        <f t="shared" si="0"/>
        <v>297.1150508577407</v>
      </c>
      <c r="D40" s="6">
        <f>TONT20000MAI!C40+TONT20000MAI!D40+TONT20000JUIN!G40</f>
        <v>21409.136614660518</v>
      </c>
      <c r="E40" s="1"/>
      <c r="F40" s="7">
        <f t="shared" si="1"/>
        <v>20000</v>
      </c>
      <c r="G40" s="7">
        <v>3000</v>
      </c>
      <c r="H40" s="7">
        <v>500</v>
      </c>
      <c r="I40" s="7">
        <v>1000</v>
      </c>
      <c r="J40" s="7">
        <v>2500</v>
      </c>
      <c r="K40" s="7"/>
      <c r="L40" s="7">
        <v>13000</v>
      </c>
      <c r="N40" s="7">
        <f t="shared" si="2"/>
        <v>0</v>
      </c>
    </row>
    <row r="41" spans="1:15" x14ac:dyDescent="0.25">
      <c r="A41" s="1" t="s">
        <v>46</v>
      </c>
      <c r="B41" s="1" t="str">
        <f>VLOOKUP(A41,LISTADHERENT!A$5:H$51,2)</f>
        <v>SIME FONGANG ERIC</v>
      </c>
      <c r="C41" s="6">
        <f t="shared" si="0"/>
        <v>5932.7145316640308</v>
      </c>
      <c r="D41" s="6">
        <f>TONT20000MAI!C41+TONT20000MAI!D41+TONT20000JUIN!G41</f>
        <v>427491.96157347021</v>
      </c>
      <c r="E41" s="1"/>
      <c r="F41" s="7">
        <f t="shared" si="1"/>
        <v>20000</v>
      </c>
      <c r="G41" s="7">
        <v>3000</v>
      </c>
      <c r="H41" s="7">
        <v>500</v>
      </c>
      <c r="I41" s="7">
        <v>1000</v>
      </c>
      <c r="J41" s="7">
        <v>2500</v>
      </c>
      <c r="K41" s="7"/>
      <c r="L41" s="7">
        <v>13000</v>
      </c>
      <c r="N41" s="7">
        <f t="shared" si="2"/>
        <v>0</v>
      </c>
    </row>
    <row r="42" spans="1:15" x14ac:dyDescent="0.25">
      <c r="A42" s="1" t="s">
        <v>47</v>
      </c>
      <c r="B42" s="1" t="str">
        <f>VLOOKUP(A42,LISTADHERENT!A$5:H$51,2)</f>
        <v>SIME MATHIEU</v>
      </c>
      <c r="C42" s="6">
        <f t="shared" si="0"/>
        <v>5927.7273009977625</v>
      </c>
      <c r="D42" s="6">
        <f>TONT20000MAI!C42+TONT20000MAI!D42+TONT20000JUIN!G42</f>
        <v>427132.59807991871</v>
      </c>
      <c r="E42" s="1"/>
      <c r="F42" s="7">
        <f t="shared" si="1"/>
        <v>20000</v>
      </c>
      <c r="G42" s="7">
        <v>3000</v>
      </c>
      <c r="H42" s="7">
        <v>500</v>
      </c>
      <c r="I42" s="7">
        <v>1000</v>
      </c>
      <c r="J42" s="7">
        <v>2500</v>
      </c>
      <c r="K42" s="7"/>
      <c r="L42" s="7">
        <v>13000</v>
      </c>
      <c r="N42" s="7">
        <f t="shared" si="2"/>
        <v>0</v>
      </c>
    </row>
    <row r="43" spans="1:15" x14ac:dyDescent="0.25">
      <c r="A43" s="1" t="s">
        <v>48</v>
      </c>
      <c r="B43" s="1" t="str">
        <f>VLOOKUP(A43,LISTADHERENT!A$5:H$51,2)</f>
        <v>SIME PIERRE</v>
      </c>
      <c r="C43" s="6">
        <f t="shared" si="0"/>
        <v>8845.9213044842309</v>
      </c>
      <c r="D43" s="6">
        <f>TONT20000MAI!C43+TONT20000MAI!D43+TONT20000JUIN!G43-854773</f>
        <v>637408.09206234431</v>
      </c>
      <c r="E43" s="1"/>
      <c r="F43" s="7">
        <f t="shared" si="1"/>
        <v>20000</v>
      </c>
      <c r="G43" s="7">
        <v>3000</v>
      </c>
      <c r="H43" s="7">
        <v>500</v>
      </c>
      <c r="I43" s="7">
        <v>1000</v>
      </c>
      <c r="J43" s="7">
        <v>2500</v>
      </c>
      <c r="K43" s="7"/>
      <c r="L43" s="7">
        <v>13000</v>
      </c>
      <c r="N43" s="7">
        <f t="shared" si="2"/>
        <v>0</v>
      </c>
    </row>
    <row r="44" spans="1:15" x14ac:dyDescent="0.25">
      <c r="A44" s="1" t="s">
        <v>49</v>
      </c>
      <c r="B44" s="1" t="str">
        <f>VLOOKUP(A44,LISTADHERENT!A$5:H$51,2)</f>
        <v>TAGNE NANGUEN MARTIN</v>
      </c>
      <c r="C44" s="6">
        <f t="shared" si="0"/>
        <v>297.1150508577407</v>
      </c>
      <c r="D44" s="6">
        <f>TONT20000MAI!C44+TONT20000MAI!D44+TONT20000JUIN!G44</f>
        <v>21409.136614660518</v>
      </c>
      <c r="E44" s="1"/>
      <c r="F44" s="7">
        <f t="shared" si="1"/>
        <v>20000</v>
      </c>
      <c r="G44" s="7">
        <v>3000</v>
      </c>
      <c r="H44" s="7">
        <v>500</v>
      </c>
      <c r="I44" s="7">
        <v>1000</v>
      </c>
      <c r="J44" s="7">
        <v>2500</v>
      </c>
      <c r="K44" s="7"/>
      <c r="L44" s="7">
        <v>13000</v>
      </c>
      <c r="N44" s="7">
        <f t="shared" si="2"/>
        <v>0</v>
      </c>
    </row>
    <row r="45" spans="1:15" x14ac:dyDescent="0.25">
      <c r="A45" s="1" t="s">
        <v>50</v>
      </c>
      <c r="B45" s="1" t="str">
        <f>VLOOKUP(A45,LISTADHERENT!A$5:H$51,2)</f>
        <v>TCHOUAMOU JEAN PAUL</v>
      </c>
      <c r="C45" s="6">
        <f t="shared" si="0"/>
        <v>297.1150508577407</v>
      </c>
      <c r="D45" s="6">
        <f>TONT20000MAI!C45+TONT20000MAI!D45+TONT20000JUIN!G45</f>
        <v>21409.136614660518</v>
      </c>
      <c r="E45" s="1"/>
      <c r="F45" s="7">
        <f t="shared" si="1"/>
        <v>20000</v>
      </c>
      <c r="G45" s="7">
        <v>3000</v>
      </c>
      <c r="H45" s="7">
        <v>500</v>
      </c>
      <c r="I45" s="7">
        <v>1000</v>
      </c>
      <c r="J45" s="7">
        <v>2500</v>
      </c>
      <c r="K45" s="7"/>
      <c r="L45" s="7">
        <v>13000</v>
      </c>
      <c r="N45" s="7">
        <f t="shared" si="2"/>
        <v>0</v>
      </c>
    </row>
    <row r="46" spans="1:15" x14ac:dyDescent="0.25">
      <c r="A46" s="1" t="s">
        <v>51</v>
      </c>
      <c r="B46" s="1" t="str">
        <f>VLOOKUP(A46,LISTADHERENT!A$5:H$51,2)</f>
        <v>TCHOUAMOU MATHIEU</v>
      </c>
      <c r="C46" s="6">
        <f t="shared" si="0"/>
        <v>5968.1008070561948</v>
      </c>
      <c r="D46" s="6">
        <f>TONT20000MAI!C46+TONT20000MAI!D46+TONT20000JUIN!G46</f>
        <v>430041.78058118373</v>
      </c>
      <c r="E46" s="1"/>
      <c r="F46" s="7">
        <f t="shared" si="1"/>
        <v>20000</v>
      </c>
      <c r="G46" s="7">
        <v>3000</v>
      </c>
      <c r="H46" s="7">
        <v>500</v>
      </c>
      <c r="I46" s="7">
        <v>1000</v>
      </c>
      <c r="J46" s="7">
        <v>2500</v>
      </c>
      <c r="K46" s="7"/>
      <c r="L46" s="7">
        <v>13000</v>
      </c>
      <c r="M46" s="7">
        <v>500000</v>
      </c>
      <c r="N46" s="7">
        <f t="shared" si="2"/>
        <v>15000</v>
      </c>
      <c r="O46" s="7">
        <v>500000</v>
      </c>
    </row>
    <row r="47" spans="1:15" x14ac:dyDescent="0.25">
      <c r="A47" s="1" t="s">
        <v>52</v>
      </c>
      <c r="B47" s="1" t="str">
        <f>VLOOKUP(A47,LISTADHERENT!A$5:H$51,2)</f>
        <v>TCHOUANTE FRANCOIS</v>
      </c>
      <c r="C47" s="6">
        <f t="shared" si="0"/>
        <v>4371.322219379218</v>
      </c>
      <c r="D47" s="6">
        <f>TONT20000MAI!C47+TONT20000MAI!D47+TONT20000JUIN!G47</f>
        <v>314983.1498310733</v>
      </c>
      <c r="E47" s="1"/>
      <c r="F47" s="7">
        <f t="shared" si="1"/>
        <v>23000</v>
      </c>
      <c r="G47" s="7">
        <v>6000</v>
      </c>
      <c r="H47" s="7">
        <v>500</v>
      </c>
      <c r="I47" s="7">
        <v>1000</v>
      </c>
      <c r="J47" s="7">
        <v>2500</v>
      </c>
      <c r="K47" s="7"/>
      <c r="L47" s="7">
        <v>13000</v>
      </c>
      <c r="N47" s="7">
        <f t="shared" si="2"/>
        <v>0</v>
      </c>
    </row>
    <row r="48" spans="1:15" x14ac:dyDescent="0.25">
      <c r="A48" s="1" t="s">
        <v>53</v>
      </c>
      <c r="B48" s="1" t="str">
        <f>VLOOKUP(A48,LISTADHERENT!A$5:H$51,2)</f>
        <v>TCHOUTOU NANA CLAUDE</v>
      </c>
      <c r="C48" s="6">
        <f t="shared" si="0"/>
        <v>128.15946139741337</v>
      </c>
      <c r="D48" s="6">
        <f>TONT20000MAI!C48+TONT20000MAI!D48+TONT20000JUIN!G48</f>
        <v>9234.7506785587339</v>
      </c>
      <c r="E48" s="1"/>
      <c r="F48" s="7">
        <f t="shared" si="1"/>
        <v>0</v>
      </c>
      <c r="G48" s="7"/>
      <c r="H48" s="7"/>
      <c r="I48" s="7"/>
      <c r="J48" s="7"/>
      <c r="K48" s="7"/>
      <c r="L48" s="7"/>
      <c r="N48" s="7">
        <f t="shared" si="2"/>
        <v>0</v>
      </c>
    </row>
    <row r="49" spans="1:17" x14ac:dyDescent="0.25">
      <c r="A49" s="1" t="s">
        <v>54</v>
      </c>
      <c r="B49" s="1" t="str">
        <f>VLOOKUP(A49,LISTADHERENT!A$5:H$51,2)</f>
        <v>TIEYAM ERNEST</v>
      </c>
      <c r="C49" s="6">
        <f t="shared" si="0"/>
        <v>5888.3265012039219</v>
      </c>
      <c r="D49" s="6">
        <f>TONT20000MAI!C49+TONT20000MAI!D49+TONT20000JUIN!G49</f>
        <v>424293.50560352608</v>
      </c>
      <c r="E49" s="1"/>
      <c r="F49" s="7">
        <f t="shared" si="1"/>
        <v>20000</v>
      </c>
      <c r="G49" s="7">
        <v>3000</v>
      </c>
      <c r="H49" s="7">
        <v>500</v>
      </c>
      <c r="I49" s="7">
        <v>1000</v>
      </c>
      <c r="J49" s="7">
        <v>2500</v>
      </c>
      <c r="K49" s="7"/>
      <c r="L49" s="7">
        <v>13000</v>
      </c>
      <c r="N49" s="7">
        <f t="shared" si="2"/>
        <v>0</v>
      </c>
    </row>
    <row r="50" spans="1:17" x14ac:dyDescent="0.25">
      <c r="A50" s="1" t="s">
        <v>55</v>
      </c>
      <c r="B50" s="1" t="str">
        <f>VLOOKUP(A50,LISTADHERENT!A$5:H$51,2)</f>
        <v>TUGMA PIERRE LOTI</v>
      </c>
      <c r="C50" s="6">
        <f t="shared" si="0"/>
        <v>6172.7646458722247</v>
      </c>
      <c r="D50" s="6">
        <f>TONT20000MAI!C50+TONT20000MAI!D50+TONT20000JUIN!G50</f>
        <v>444789.18591337337</v>
      </c>
      <c r="E50" s="1"/>
      <c r="F50" s="7">
        <f t="shared" si="1"/>
        <v>20000</v>
      </c>
      <c r="G50" s="7">
        <v>3000</v>
      </c>
      <c r="H50" s="7">
        <v>500</v>
      </c>
      <c r="I50" s="7">
        <v>1000</v>
      </c>
      <c r="J50" s="7">
        <v>2500</v>
      </c>
      <c r="K50" s="7"/>
      <c r="L50" s="7">
        <v>13000</v>
      </c>
      <c r="N50" s="7">
        <f t="shared" si="2"/>
        <v>0</v>
      </c>
    </row>
    <row r="51" spans="1:17" ht="18" x14ac:dyDescent="0.25">
      <c r="A51" s="1" t="s">
        <v>66</v>
      </c>
      <c r="B51" s="1" t="str">
        <f>VLOOKUP(A51,LISTADHERENT!A$5:H$51,2)</f>
        <v>YEPMOU JEAN JACQUES</v>
      </c>
      <c r="C51" s="6">
        <f t="shared" si="0"/>
        <v>11990.253906382681</v>
      </c>
      <c r="D51" s="6">
        <f>TONT20000MAI!C51+TONT20000MAI!D51+TONT20000JUIN!G51</f>
        <v>863978.39215867501</v>
      </c>
      <c r="E51" s="1"/>
      <c r="F51" s="7">
        <f t="shared" si="1"/>
        <v>20000</v>
      </c>
      <c r="G51" s="7">
        <v>3000</v>
      </c>
      <c r="H51" s="7">
        <v>500</v>
      </c>
      <c r="I51" s="7">
        <v>1000</v>
      </c>
      <c r="J51" s="7">
        <v>2500</v>
      </c>
      <c r="K51" s="7"/>
      <c r="L51" s="7">
        <v>13000</v>
      </c>
      <c r="M51" s="9"/>
      <c r="N51" s="7">
        <f t="shared" si="2"/>
        <v>0</v>
      </c>
    </row>
    <row r="52" spans="1:17" x14ac:dyDescent="0.25">
      <c r="A52" s="1" t="s">
        <v>178</v>
      </c>
      <c r="B52" s="1" t="str">
        <f>VLOOKUP(A52,LISTADHERENT!A$5:H$51,2)</f>
        <v>YOUMBI EMMANUEL</v>
      </c>
      <c r="C52" s="6">
        <f t="shared" si="0"/>
        <v>20379.784864348658</v>
      </c>
      <c r="D52" s="6">
        <f>TONT20000MAI!C52+TONT20000MAI!D52+TONT20000JUIN!G52</f>
        <v>1468500.4919092401</v>
      </c>
      <c r="E52" s="1"/>
      <c r="F52" s="7">
        <f t="shared" si="1"/>
        <v>20000</v>
      </c>
      <c r="G52" s="7">
        <v>3000</v>
      </c>
      <c r="H52" s="7">
        <v>500</v>
      </c>
      <c r="I52" s="7">
        <v>1000</v>
      </c>
      <c r="J52" s="7">
        <v>2500</v>
      </c>
      <c r="L52" s="7">
        <v>13000</v>
      </c>
      <c r="N52" s="7">
        <f t="shared" si="2"/>
        <v>0</v>
      </c>
    </row>
    <row r="53" spans="1:17" x14ac:dyDescent="0.25">
      <c r="A53" s="1"/>
      <c r="B53" s="1"/>
      <c r="C53" s="1"/>
      <c r="D53" s="1"/>
      <c r="E53" s="1"/>
      <c r="F53" s="7"/>
      <c r="G53" s="7"/>
      <c r="H53" s="7"/>
      <c r="I53" s="7"/>
      <c r="J53" s="7"/>
      <c r="L53" s="7"/>
      <c r="N53" s="7"/>
    </row>
    <row r="54" spans="1:17" ht="18" x14ac:dyDescent="0.25">
      <c r="A54" s="1"/>
      <c r="B54" s="1" t="s">
        <v>180</v>
      </c>
      <c r="C54" s="1"/>
      <c r="D54" s="1"/>
      <c r="E54" s="1"/>
      <c r="H54" s="4"/>
      <c r="L54" s="7">
        <f>87500+28000</f>
        <v>115500</v>
      </c>
      <c r="N54" s="7">
        <f t="shared" si="2"/>
        <v>0</v>
      </c>
      <c r="O54" s="9"/>
    </row>
    <row r="55" spans="1:17" ht="18" x14ac:dyDescent="0.25">
      <c r="A55" s="1"/>
      <c r="B55" s="1"/>
      <c r="C55" s="1"/>
      <c r="D55" s="1"/>
      <c r="E55" s="1"/>
      <c r="H55" s="4"/>
      <c r="O55" s="9"/>
    </row>
    <row r="56" spans="1:17" ht="18" x14ac:dyDescent="0.25">
      <c r="A56" s="8" t="s">
        <v>56</v>
      </c>
      <c r="B56" s="8"/>
      <c r="C56" s="9">
        <f>SUM(C5:C52)</f>
        <v>271200.00000000006</v>
      </c>
      <c r="D56" s="9">
        <f t="shared" ref="D56:Q56" si="3">SUM(D5:D52)</f>
        <v>19541783</v>
      </c>
      <c r="E56" s="9">
        <f t="shared" si="3"/>
        <v>0</v>
      </c>
      <c r="F56" s="9">
        <f t="shared" si="3"/>
        <v>1032000</v>
      </c>
      <c r="G56" s="9">
        <f t="shared" si="3"/>
        <v>301000</v>
      </c>
      <c r="H56" s="9">
        <f t="shared" si="3"/>
        <v>21500</v>
      </c>
      <c r="I56" s="9">
        <f t="shared" si="3"/>
        <v>43000</v>
      </c>
      <c r="J56" s="9">
        <f t="shared" si="3"/>
        <v>107500</v>
      </c>
      <c r="K56" s="9">
        <f t="shared" si="3"/>
        <v>0</v>
      </c>
      <c r="L56" s="9">
        <f t="shared" si="3"/>
        <v>559000</v>
      </c>
      <c r="M56" s="9">
        <f t="shared" si="3"/>
        <v>3040000</v>
      </c>
      <c r="N56" s="9">
        <f t="shared" si="3"/>
        <v>271200</v>
      </c>
      <c r="O56" s="9">
        <f t="shared" si="3"/>
        <v>2980000</v>
      </c>
      <c r="P56" s="9">
        <f t="shared" si="3"/>
        <v>0</v>
      </c>
      <c r="Q56" s="9">
        <f t="shared" si="3"/>
        <v>0</v>
      </c>
    </row>
  </sheetData>
  <autoFilter ref="A4:O51"/>
  <dataValidations count="1">
    <dataValidation type="list" allowBlank="1" showInputMessage="1" showErrorMessage="1" promptTitle="Saissisez le mode de VERSEMENT" sqref="H6:H53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/>
  <dcterms:created xsi:type="dcterms:W3CDTF">2020-03-01T01:00:00Z</dcterms:created>
</cp:coreProperties>
</file>