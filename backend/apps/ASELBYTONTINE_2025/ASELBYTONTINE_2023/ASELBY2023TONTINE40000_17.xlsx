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SELBYTONTINE_2023\"/>
    </mc:Choice>
  </mc:AlternateContent>
  <bookViews>
    <workbookView xWindow="0" yWindow="0" windowWidth="15480" windowHeight="6810" firstSheet="8" activeTab="13"/>
  </bookViews>
  <sheets>
    <sheet name="MODEVERSEMENT" sheetId="2" r:id="rId1"/>
    <sheet name="TONTJANV23" sheetId="78" r:id="rId2"/>
    <sheet name="TONTFEV23" sheetId="79" r:id="rId3"/>
    <sheet name="TONTMARS23" sheetId="80" r:id="rId4"/>
    <sheet name="TONTAVRIL23" sheetId="81" r:id="rId5"/>
    <sheet name="TONTMAI23" sheetId="82" r:id="rId6"/>
    <sheet name="TONTJUIN23" sheetId="83" r:id="rId7"/>
    <sheet name="TONTJUIL23" sheetId="84" r:id="rId8"/>
    <sheet name="TONTAOUT23" sheetId="85" r:id="rId9"/>
    <sheet name="TONTSEPT23" sheetId="86" r:id="rId10"/>
    <sheet name="TONTOCT23" sheetId="87" r:id="rId11"/>
    <sheet name="TONTNOV23" sheetId="88" r:id="rId12"/>
    <sheet name="TONTDEC23" sheetId="89" r:id="rId13"/>
    <sheet name="TONTRESUME23" sheetId="91" r:id="rId14"/>
    <sheet name="DEFAILLANCETONTINE" sheetId="50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xlnm._FilterDatabase" localSheetId="8" hidden="1">TONTAOUT23!$A$5:$R$25</definedName>
    <definedName name="_xlnm._FilterDatabase" localSheetId="4" hidden="1">TONTAVRIL23!$A$5:$R$25</definedName>
    <definedName name="_xlnm._FilterDatabase" localSheetId="12" hidden="1">TONTDEC23!$A$5:$R$25</definedName>
    <definedName name="_xlnm._FilterDatabase" localSheetId="2" hidden="1">TONTFEV23!$A$5:$R$25</definedName>
    <definedName name="_xlnm._FilterDatabase" localSheetId="1" hidden="1">TONTJANV23!$A$5:$R$25</definedName>
    <definedName name="_xlnm._FilterDatabase" localSheetId="7" hidden="1">TONTJUIL23!$A$5:$R$25</definedName>
    <definedName name="_xlnm._FilterDatabase" localSheetId="6" hidden="1">TONTJUIN23!$A$5:$R$25</definedName>
    <definedName name="_xlnm._FilterDatabase" localSheetId="5" hidden="1">TONTMAI23!$A$5:$R$25</definedName>
    <definedName name="_xlnm._FilterDatabase" localSheetId="3" hidden="1">TONTMARS23!$A$5:$R$25</definedName>
    <definedName name="_xlnm._FilterDatabase" localSheetId="11" hidden="1">TONTNOV23!$A$5:$R$25</definedName>
    <definedName name="_xlnm._FilterDatabase" localSheetId="10" hidden="1">TONTOCT23!$A$5:$R$25</definedName>
    <definedName name="_xlnm._FilterDatabase" localSheetId="13" hidden="1">TONTRESUME23!$A$5:$R$25</definedName>
    <definedName name="_xlnm._FilterDatabase" localSheetId="9" hidden="1">TONTSEPT23!$A$5:$R$25</definedName>
    <definedName name="BANQUE" localSheetId="0">#REF!</definedName>
    <definedName name="BANQUE" localSheetId="8">#REF!</definedName>
    <definedName name="BANQUE" localSheetId="4">#REF!</definedName>
    <definedName name="BANQUE" localSheetId="12">#REF!</definedName>
    <definedName name="BANQUE" localSheetId="2">#REF!</definedName>
    <definedName name="BANQUE" localSheetId="1">#REF!</definedName>
    <definedName name="BANQUE" localSheetId="7">#REF!</definedName>
    <definedName name="BANQUE" localSheetId="6">#REF!</definedName>
    <definedName name="BANQUE" localSheetId="5">#REF!</definedName>
    <definedName name="BANQUE" localSheetId="3">#REF!</definedName>
    <definedName name="BANQUE" localSheetId="11">#REF!</definedName>
    <definedName name="BANQUE" localSheetId="10">#REF!</definedName>
    <definedName name="BANQUE" localSheetId="13">#REF!</definedName>
    <definedName name="BANQUE" localSheetId="9">#REF!</definedName>
    <definedName name="BANQUE">#REF!</definedName>
    <definedName name="MODEPAID" localSheetId="14">#REF!</definedName>
    <definedName name="MODEPAID">[1]Feuil2!$A$1:$A$3</definedName>
    <definedName name="MODET25000">[2]MODEVERSEMENT!$A$1:$A$3</definedName>
    <definedName name="MODEVERSEMENT" localSheetId="0">#REF!</definedName>
    <definedName name="MODEVERSEMENT" localSheetId="8">#REF!</definedName>
    <definedName name="MODEVERSEMENT" localSheetId="4">#REF!</definedName>
    <definedName name="MODEVERSEMENT" localSheetId="12">#REF!</definedName>
    <definedName name="MODEVERSEMENT" localSheetId="2">#REF!</definedName>
    <definedName name="MODEVERSEMENT" localSheetId="1">#REF!</definedName>
    <definedName name="MODEVERSEMENT" localSheetId="7">#REF!</definedName>
    <definedName name="MODEVERSEMENT" localSheetId="6">#REF!</definedName>
    <definedName name="MODEVERSEMENT" localSheetId="5">#REF!</definedName>
    <definedName name="MODEVERSEMENT" localSheetId="3">#REF!</definedName>
    <definedName name="MODEVERSEMENT" localSheetId="11">#REF!</definedName>
    <definedName name="MODEVERSEMENT" localSheetId="10">#REF!</definedName>
    <definedName name="MODEVERSEMENT" localSheetId="13">#REF!</definedName>
    <definedName name="MODEVERSEMENT" localSheetId="9">#REF!</definedName>
    <definedName name="MODEVERSEMENT">#REF!</definedName>
    <definedName name="MODEVERSEMENTS" localSheetId="8">[3]MODEVERSEMENT!$A$1:$A$3</definedName>
    <definedName name="MODEVERSEMENTS" localSheetId="4">[3]MODEVERSEMENT!$A$1:$A$3</definedName>
    <definedName name="MODEVERSEMENTS" localSheetId="12">[3]MODEVERSEMENT!$A$1:$A$3</definedName>
    <definedName name="MODEVERSEMENTS" localSheetId="2">[3]MODEVERSEMENT!$A$1:$A$3</definedName>
    <definedName name="MODEVERSEMENTS" localSheetId="1">[3]MODEVERSEMENT!$A$1:$A$3</definedName>
    <definedName name="MODEVERSEMENTS" localSheetId="7">[3]MODEVERSEMENT!$A$1:$A$3</definedName>
    <definedName name="MODEVERSEMENTS" localSheetId="6">[3]MODEVERSEMENT!$A$1:$A$3</definedName>
    <definedName name="MODEVERSEMENTS" localSheetId="5">[3]MODEVERSEMENT!$A$1:$A$3</definedName>
    <definedName name="MODEVERSEMENTS" localSheetId="3">[3]MODEVERSEMENT!$A$1:$A$3</definedName>
    <definedName name="MODEVERSEMENTS" localSheetId="11">[3]MODEVERSEMENT!$A$1:$A$3</definedName>
    <definedName name="MODEVERSEMENTS" localSheetId="10">[3]MODEVERSEMENT!$A$1:$A$3</definedName>
    <definedName name="MODEVERSEMENTS" localSheetId="13">[3]MODEVERSEMENT!$A$1:$A$3</definedName>
    <definedName name="MODEVERSEMENTS" localSheetId="9">[3]MODEVERSEMENT!$A$1:$A$3</definedName>
    <definedName name="MODEVERSEMENTS">MODEVERSEMENT!$A$1:$A$3</definedName>
    <definedName name="MODPAID" localSheetId="8">TONTAOUT23!#REF!</definedName>
    <definedName name="MODPAID" localSheetId="4">TONTAVRIL23!#REF!</definedName>
    <definedName name="MODPAID" localSheetId="12">TONTDEC23!#REF!</definedName>
    <definedName name="MODPAID" localSheetId="2">TONTFEV23!#REF!</definedName>
    <definedName name="MODPAID" localSheetId="1">TONTJANV23!#REF!</definedName>
    <definedName name="MODPAID" localSheetId="7">TONTJUIL23!#REF!</definedName>
    <definedName name="MODPAID" localSheetId="6">TONTJUIN23!#REF!</definedName>
    <definedName name="MODPAID" localSheetId="5">TONTMAI23!#REF!</definedName>
    <definedName name="MODPAID" localSheetId="3">TONTMARS23!#REF!</definedName>
    <definedName name="MODPAID" localSheetId="11">TONTNOV23!#REF!</definedName>
    <definedName name="MODPAID" localSheetId="10">TONTOCT23!#REF!</definedName>
    <definedName name="MODPAID" localSheetId="13">TONTRESUME23!#REF!</definedName>
    <definedName name="MODPAID" localSheetId="9">TONTSEPT23!#REF!</definedName>
    <definedName name="VALMODEPAID" localSheetId="14">[4]MODEPAID!$A$1:$A$3</definedName>
    <definedName name="VALMODEPAID">[5]MODEPAID!$A$1:$A$3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38" i="91" l="1"/>
  <c r="C35" i="91" l="1"/>
  <c r="C34" i="91"/>
  <c r="C33" i="91"/>
  <c r="C32" i="91"/>
  <c r="C31" i="91"/>
  <c r="C30" i="91"/>
  <c r="C29" i="91"/>
  <c r="C28" i="91"/>
  <c r="C27" i="91"/>
  <c r="C26" i="91"/>
  <c r="C25" i="91"/>
  <c r="C24" i="91"/>
  <c r="C23" i="91"/>
  <c r="C22" i="91"/>
  <c r="C21" i="91"/>
  <c r="C20" i="91"/>
  <c r="C19" i="91"/>
  <c r="C18" i="91"/>
  <c r="C17" i="91"/>
  <c r="C16" i="91"/>
  <c r="C15" i="91"/>
  <c r="C14" i="91"/>
  <c r="C13" i="91"/>
  <c r="C12" i="91"/>
  <c r="C11" i="91"/>
  <c r="C10" i="91"/>
  <c r="C9" i="91"/>
  <c r="C8" i="91"/>
  <c r="C7" i="91"/>
  <c r="C6" i="91"/>
  <c r="C3" i="91"/>
  <c r="R35" i="89"/>
  <c r="Q35" i="89" s="1"/>
  <c r="P35" i="89"/>
  <c r="K35" i="89"/>
  <c r="I35" i="89"/>
  <c r="J35" i="89" s="1"/>
  <c r="H35" i="89"/>
  <c r="R34" i="89"/>
  <c r="O34" i="89" s="1"/>
  <c r="P34" i="89"/>
  <c r="K34" i="89"/>
  <c r="I34" i="89"/>
  <c r="J34" i="89" s="1"/>
  <c r="H34" i="89"/>
  <c r="R33" i="89"/>
  <c r="O33" i="89" s="1"/>
  <c r="P33" i="89"/>
  <c r="K33" i="89"/>
  <c r="I33" i="89"/>
  <c r="J33" i="89" s="1"/>
  <c r="H33" i="89"/>
  <c r="R32" i="89"/>
  <c r="O32" i="89" s="1"/>
  <c r="P32" i="89"/>
  <c r="K32" i="89"/>
  <c r="I32" i="89"/>
  <c r="J32" i="89" s="1"/>
  <c r="H32" i="89"/>
  <c r="R31" i="89"/>
  <c r="O31" i="89" s="1"/>
  <c r="P31" i="89"/>
  <c r="K31" i="89"/>
  <c r="I31" i="89"/>
  <c r="J31" i="89" s="1"/>
  <c r="H31" i="89"/>
  <c r="R30" i="89"/>
  <c r="O30" i="89" s="1"/>
  <c r="P30" i="89"/>
  <c r="K30" i="89"/>
  <c r="I30" i="89"/>
  <c r="J30" i="89" s="1"/>
  <c r="H30" i="89"/>
  <c r="R29" i="89"/>
  <c r="O29" i="89" s="1"/>
  <c r="P29" i="89"/>
  <c r="K29" i="89"/>
  <c r="I29" i="89"/>
  <c r="J29" i="89" s="1"/>
  <c r="H29" i="89"/>
  <c r="R28" i="89"/>
  <c r="O28" i="89" s="1"/>
  <c r="P28" i="89"/>
  <c r="K28" i="89"/>
  <c r="I28" i="89"/>
  <c r="J28" i="89" s="1"/>
  <c r="H28" i="89"/>
  <c r="R27" i="89"/>
  <c r="O27" i="89" s="1"/>
  <c r="P27" i="89"/>
  <c r="K27" i="89"/>
  <c r="I27" i="89"/>
  <c r="J27" i="89" s="1"/>
  <c r="H27" i="89"/>
  <c r="R26" i="89"/>
  <c r="Q26" i="89" s="1"/>
  <c r="P26" i="89"/>
  <c r="K26" i="89"/>
  <c r="I26" i="89"/>
  <c r="J26" i="89" s="1"/>
  <c r="H26" i="89"/>
  <c r="R25" i="89"/>
  <c r="O25" i="89" s="1"/>
  <c r="P25" i="89"/>
  <c r="K25" i="89"/>
  <c r="I25" i="89"/>
  <c r="J25" i="89" s="1"/>
  <c r="H25" i="89"/>
  <c r="R24" i="89"/>
  <c r="O24" i="89" s="1"/>
  <c r="P24" i="89"/>
  <c r="K24" i="89"/>
  <c r="I24" i="89"/>
  <c r="J24" i="89" s="1"/>
  <c r="H24" i="89"/>
  <c r="R23" i="89"/>
  <c r="O23" i="89" s="1"/>
  <c r="P23" i="89"/>
  <c r="K23" i="89"/>
  <c r="I23" i="89"/>
  <c r="J23" i="89" s="1"/>
  <c r="H23" i="89"/>
  <c r="R22" i="89"/>
  <c r="O22" i="89" s="1"/>
  <c r="P22" i="89"/>
  <c r="K22" i="89"/>
  <c r="I22" i="89"/>
  <c r="J22" i="89" s="1"/>
  <c r="H22" i="89"/>
  <c r="R21" i="89"/>
  <c r="O21" i="89" s="1"/>
  <c r="P21" i="89"/>
  <c r="K21" i="89"/>
  <c r="I21" i="89"/>
  <c r="J21" i="89" s="1"/>
  <c r="H21" i="89"/>
  <c r="R20" i="89"/>
  <c r="P20" i="89"/>
  <c r="K20" i="89"/>
  <c r="I20" i="89"/>
  <c r="J20" i="89" s="1"/>
  <c r="H20" i="89"/>
  <c r="R19" i="89"/>
  <c r="O19" i="89" s="1"/>
  <c r="P19" i="89"/>
  <c r="K19" i="89"/>
  <c r="I19" i="89"/>
  <c r="J19" i="89" s="1"/>
  <c r="H19" i="89"/>
  <c r="R18" i="89"/>
  <c r="Q18" i="89" s="1"/>
  <c r="P18" i="89"/>
  <c r="K18" i="89"/>
  <c r="I18" i="89"/>
  <c r="J18" i="89" s="1"/>
  <c r="H18" i="89"/>
  <c r="R17" i="89"/>
  <c r="O17" i="89" s="1"/>
  <c r="P17" i="89"/>
  <c r="K17" i="89"/>
  <c r="I17" i="89"/>
  <c r="J17" i="89" s="1"/>
  <c r="H17" i="89"/>
  <c r="R16" i="89"/>
  <c r="O16" i="89" s="1"/>
  <c r="P16" i="89"/>
  <c r="K16" i="89"/>
  <c r="I16" i="89"/>
  <c r="J16" i="89" s="1"/>
  <c r="H16" i="89"/>
  <c r="R15" i="89"/>
  <c r="O15" i="89" s="1"/>
  <c r="P15" i="89"/>
  <c r="K15" i="89"/>
  <c r="I15" i="89"/>
  <c r="J15" i="89" s="1"/>
  <c r="H15" i="89"/>
  <c r="R14" i="89"/>
  <c r="O14" i="89" s="1"/>
  <c r="P14" i="89"/>
  <c r="K14" i="89"/>
  <c r="I14" i="89"/>
  <c r="J14" i="89" s="1"/>
  <c r="H14" i="89"/>
  <c r="R13" i="89"/>
  <c r="O13" i="89" s="1"/>
  <c r="P13" i="89"/>
  <c r="K13" i="89"/>
  <c r="I13" i="89"/>
  <c r="J13" i="89" s="1"/>
  <c r="H13" i="89"/>
  <c r="R12" i="89"/>
  <c r="Q12" i="89" s="1"/>
  <c r="P12" i="89"/>
  <c r="K12" i="89"/>
  <c r="I12" i="89"/>
  <c r="J12" i="89" s="1"/>
  <c r="H12" i="89"/>
  <c r="R11" i="89"/>
  <c r="Q11" i="89" s="1"/>
  <c r="P11" i="89"/>
  <c r="K11" i="89"/>
  <c r="I11" i="89"/>
  <c r="J11" i="89" s="1"/>
  <c r="H11" i="89"/>
  <c r="R10" i="89"/>
  <c r="O10" i="89" s="1"/>
  <c r="P10" i="89"/>
  <c r="K10" i="89"/>
  <c r="I10" i="89"/>
  <c r="J10" i="89" s="1"/>
  <c r="H10" i="89"/>
  <c r="R9" i="89"/>
  <c r="O9" i="89" s="1"/>
  <c r="P9" i="89"/>
  <c r="K9" i="89"/>
  <c r="I9" i="89"/>
  <c r="J9" i="89" s="1"/>
  <c r="H9" i="89"/>
  <c r="R8" i="89"/>
  <c r="Q8" i="89" s="1"/>
  <c r="P8" i="89"/>
  <c r="K8" i="89"/>
  <c r="I8" i="89"/>
  <c r="J8" i="89" s="1"/>
  <c r="H8" i="89"/>
  <c r="R7" i="89"/>
  <c r="O7" i="89" s="1"/>
  <c r="P7" i="89"/>
  <c r="K7" i="89"/>
  <c r="I7" i="89"/>
  <c r="J7" i="89" s="1"/>
  <c r="H7" i="89"/>
  <c r="R6" i="89"/>
  <c r="O6" i="89" s="1"/>
  <c r="P6" i="89"/>
  <c r="K6" i="89"/>
  <c r="I6" i="89"/>
  <c r="J6" i="89" s="1"/>
  <c r="H6" i="89"/>
  <c r="R35" i="88"/>
  <c r="Q35" i="88" s="1"/>
  <c r="P35" i="88"/>
  <c r="K35" i="88"/>
  <c r="I35" i="88"/>
  <c r="J35" i="88" s="1"/>
  <c r="H35" i="88"/>
  <c r="R34" i="88"/>
  <c r="O34" i="88" s="1"/>
  <c r="P34" i="88"/>
  <c r="K34" i="88"/>
  <c r="I34" i="88"/>
  <c r="J34" i="88" s="1"/>
  <c r="H34" i="88"/>
  <c r="R33" i="88"/>
  <c r="O33" i="88" s="1"/>
  <c r="P33" i="88"/>
  <c r="K33" i="88"/>
  <c r="I33" i="88"/>
  <c r="J33" i="88" s="1"/>
  <c r="H33" i="88"/>
  <c r="R32" i="88"/>
  <c r="Q32" i="88" s="1"/>
  <c r="P32" i="88"/>
  <c r="K32" i="88"/>
  <c r="I32" i="88"/>
  <c r="J32" i="88" s="1"/>
  <c r="H32" i="88"/>
  <c r="R31" i="88"/>
  <c r="Q31" i="88" s="1"/>
  <c r="P31" i="88"/>
  <c r="K31" i="88"/>
  <c r="I31" i="88"/>
  <c r="J31" i="88" s="1"/>
  <c r="H31" i="88"/>
  <c r="R30" i="88"/>
  <c r="O30" i="88" s="1"/>
  <c r="P30" i="88"/>
  <c r="K30" i="88"/>
  <c r="I30" i="88"/>
  <c r="J30" i="88" s="1"/>
  <c r="H30" i="88"/>
  <c r="R29" i="88"/>
  <c r="O29" i="88" s="1"/>
  <c r="P29" i="88"/>
  <c r="K29" i="88"/>
  <c r="I29" i="88"/>
  <c r="J29" i="88" s="1"/>
  <c r="H29" i="88"/>
  <c r="R28" i="88"/>
  <c r="Q28" i="88" s="1"/>
  <c r="P28" i="88"/>
  <c r="K28" i="88"/>
  <c r="I28" i="88"/>
  <c r="J28" i="88" s="1"/>
  <c r="H28" i="88"/>
  <c r="R27" i="88"/>
  <c r="Q27" i="88" s="1"/>
  <c r="P27" i="88"/>
  <c r="K27" i="88"/>
  <c r="I27" i="88"/>
  <c r="J27" i="88" s="1"/>
  <c r="H27" i="88"/>
  <c r="R26" i="88"/>
  <c r="O26" i="88" s="1"/>
  <c r="P26" i="88"/>
  <c r="K26" i="88"/>
  <c r="I26" i="88"/>
  <c r="J26" i="88" s="1"/>
  <c r="H26" i="88"/>
  <c r="R25" i="88"/>
  <c r="O25" i="88" s="1"/>
  <c r="P25" i="88"/>
  <c r="K25" i="88"/>
  <c r="I25" i="88"/>
  <c r="J25" i="88" s="1"/>
  <c r="H25" i="88"/>
  <c r="R24" i="88"/>
  <c r="O24" i="88" s="1"/>
  <c r="P24" i="88"/>
  <c r="K24" i="88"/>
  <c r="I24" i="88"/>
  <c r="J24" i="88" s="1"/>
  <c r="H24" i="88"/>
  <c r="R23" i="88"/>
  <c r="O23" i="88" s="1"/>
  <c r="P23" i="88"/>
  <c r="K23" i="88"/>
  <c r="I23" i="88"/>
  <c r="J23" i="88" s="1"/>
  <c r="H23" i="88"/>
  <c r="R22" i="88"/>
  <c r="O22" i="88" s="1"/>
  <c r="P22" i="88"/>
  <c r="K22" i="88"/>
  <c r="I22" i="88"/>
  <c r="J22" i="88" s="1"/>
  <c r="H22" i="88"/>
  <c r="R21" i="88"/>
  <c r="O21" i="88" s="1"/>
  <c r="P21" i="88"/>
  <c r="K21" i="88"/>
  <c r="I21" i="88"/>
  <c r="J21" i="88" s="1"/>
  <c r="H21" i="88"/>
  <c r="R20" i="88"/>
  <c r="O20" i="88" s="1"/>
  <c r="P20" i="88"/>
  <c r="K20" i="88"/>
  <c r="I20" i="88"/>
  <c r="J20" i="88" s="1"/>
  <c r="H20" i="88"/>
  <c r="R19" i="88"/>
  <c r="Q19" i="88" s="1"/>
  <c r="P19" i="88"/>
  <c r="K19" i="88"/>
  <c r="I19" i="88"/>
  <c r="J19" i="88" s="1"/>
  <c r="H19" i="88"/>
  <c r="R18" i="88"/>
  <c r="O18" i="88" s="1"/>
  <c r="P18" i="88"/>
  <c r="K18" i="88"/>
  <c r="I18" i="88"/>
  <c r="J18" i="88" s="1"/>
  <c r="H18" i="88"/>
  <c r="R17" i="88"/>
  <c r="O17" i="88" s="1"/>
  <c r="P17" i="88"/>
  <c r="K17" i="88"/>
  <c r="I17" i="88"/>
  <c r="J17" i="88" s="1"/>
  <c r="H17" i="88"/>
  <c r="R16" i="88"/>
  <c r="Q16" i="88" s="1"/>
  <c r="P16" i="88"/>
  <c r="K16" i="88"/>
  <c r="I16" i="88"/>
  <c r="J16" i="88" s="1"/>
  <c r="H16" i="88"/>
  <c r="R15" i="88"/>
  <c r="O15" i="88" s="1"/>
  <c r="P15" i="88"/>
  <c r="K15" i="88"/>
  <c r="I15" i="88"/>
  <c r="J15" i="88" s="1"/>
  <c r="H15" i="88"/>
  <c r="R14" i="88"/>
  <c r="O14" i="88" s="1"/>
  <c r="P14" i="88"/>
  <c r="K14" i="88"/>
  <c r="I14" i="88"/>
  <c r="J14" i="88" s="1"/>
  <c r="H14" i="88"/>
  <c r="R13" i="88"/>
  <c r="O13" i="88" s="1"/>
  <c r="P13" i="88"/>
  <c r="K13" i="88"/>
  <c r="I13" i="88"/>
  <c r="J13" i="88" s="1"/>
  <c r="H13" i="88"/>
  <c r="R12" i="88"/>
  <c r="Q12" i="88" s="1"/>
  <c r="P12" i="88"/>
  <c r="K12" i="88"/>
  <c r="I12" i="88"/>
  <c r="J12" i="88" s="1"/>
  <c r="H12" i="88"/>
  <c r="R11" i="88"/>
  <c r="Q11" i="88" s="1"/>
  <c r="P11" i="88"/>
  <c r="K11" i="88"/>
  <c r="I11" i="88"/>
  <c r="J11" i="88" s="1"/>
  <c r="H11" i="88"/>
  <c r="R10" i="88"/>
  <c r="O10" i="88" s="1"/>
  <c r="P10" i="88"/>
  <c r="K10" i="88"/>
  <c r="I10" i="88"/>
  <c r="J10" i="88" s="1"/>
  <c r="H10" i="88"/>
  <c r="R9" i="88"/>
  <c r="O9" i="88" s="1"/>
  <c r="P9" i="88"/>
  <c r="K9" i="88"/>
  <c r="I9" i="88"/>
  <c r="J9" i="88" s="1"/>
  <c r="H9" i="88"/>
  <c r="R8" i="88"/>
  <c r="Q8" i="88" s="1"/>
  <c r="P8" i="88"/>
  <c r="K8" i="88"/>
  <c r="I8" i="88"/>
  <c r="J8" i="88" s="1"/>
  <c r="H8" i="88"/>
  <c r="R7" i="88"/>
  <c r="Q7" i="88" s="1"/>
  <c r="P7" i="88"/>
  <c r="K7" i="88"/>
  <c r="I7" i="88"/>
  <c r="J7" i="88" s="1"/>
  <c r="H7" i="88"/>
  <c r="R6" i="88"/>
  <c r="O6" i="88" s="1"/>
  <c r="P6" i="88"/>
  <c r="K6" i="88"/>
  <c r="I6" i="88"/>
  <c r="J6" i="88" s="1"/>
  <c r="H6" i="88"/>
  <c r="R35" i="87"/>
  <c r="P35" i="87"/>
  <c r="K35" i="87"/>
  <c r="I35" i="87"/>
  <c r="J35" i="87" s="1"/>
  <c r="H35" i="87"/>
  <c r="R34" i="87"/>
  <c r="P34" i="87"/>
  <c r="K34" i="87"/>
  <c r="I34" i="87"/>
  <c r="J34" i="87" s="1"/>
  <c r="H34" i="87"/>
  <c r="R33" i="87"/>
  <c r="O33" i="87" s="1"/>
  <c r="P33" i="87"/>
  <c r="K33" i="87"/>
  <c r="I33" i="87"/>
  <c r="J33" i="87" s="1"/>
  <c r="H33" i="87"/>
  <c r="R32" i="87"/>
  <c r="Q32" i="87" s="1"/>
  <c r="P32" i="87"/>
  <c r="K32" i="87"/>
  <c r="I32" i="87"/>
  <c r="J32" i="87" s="1"/>
  <c r="H32" i="87"/>
  <c r="R31" i="87"/>
  <c r="P31" i="87"/>
  <c r="K31" i="87"/>
  <c r="I31" i="87"/>
  <c r="J31" i="87" s="1"/>
  <c r="H31" i="87"/>
  <c r="R30" i="87"/>
  <c r="P30" i="87"/>
  <c r="K30" i="87"/>
  <c r="I30" i="87"/>
  <c r="J30" i="87" s="1"/>
  <c r="H30" i="87"/>
  <c r="R29" i="87"/>
  <c r="O29" i="87" s="1"/>
  <c r="P29" i="87"/>
  <c r="K29" i="87"/>
  <c r="I29" i="87"/>
  <c r="J29" i="87" s="1"/>
  <c r="H29" i="87"/>
  <c r="R28" i="87"/>
  <c r="O28" i="87" s="1"/>
  <c r="P28" i="87"/>
  <c r="K28" i="87"/>
  <c r="I28" i="87"/>
  <c r="J28" i="87" s="1"/>
  <c r="H28" i="87"/>
  <c r="R27" i="87"/>
  <c r="P27" i="87"/>
  <c r="K27" i="87"/>
  <c r="I27" i="87"/>
  <c r="J27" i="87" s="1"/>
  <c r="H27" i="87"/>
  <c r="R26" i="87"/>
  <c r="O26" i="87" s="1"/>
  <c r="P26" i="87"/>
  <c r="K26" i="87"/>
  <c r="I26" i="87"/>
  <c r="J26" i="87" s="1"/>
  <c r="H26" i="87"/>
  <c r="R25" i="87"/>
  <c r="O25" i="87" s="1"/>
  <c r="P25" i="87"/>
  <c r="K25" i="87"/>
  <c r="I25" i="87"/>
  <c r="J25" i="87" s="1"/>
  <c r="H25" i="87"/>
  <c r="R24" i="87"/>
  <c r="O24" i="87" s="1"/>
  <c r="P24" i="87"/>
  <c r="K24" i="87"/>
  <c r="I24" i="87"/>
  <c r="J24" i="87" s="1"/>
  <c r="H24" i="87"/>
  <c r="R23" i="87"/>
  <c r="P23" i="87"/>
  <c r="K23" i="87"/>
  <c r="I23" i="87"/>
  <c r="J23" i="87" s="1"/>
  <c r="H23" i="87"/>
  <c r="R22" i="87"/>
  <c r="O22" i="87" s="1"/>
  <c r="P22" i="87"/>
  <c r="K22" i="87"/>
  <c r="I22" i="87"/>
  <c r="J22" i="87" s="1"/>
  <c r="H22" i="87"/>
  <c r="R21" i="87"/>
  <c r="O21" i="87" s="1"/>
  <c r="P21" i="87"/>
  <c r="K21" i="87"/>
  <c r="I21" i="87"/>
  <c r="J21" i="87" s="1"/>
  <c r="H21" i="87"/>
  <c r="R20" i="87"/>
  <c r="Q20" i="87" s="1"/>
  <c r="P20" i="87"/>
  <c r="K20" i="87"/>
  <c r="I20" i="87"/>
  <c r="J20" i="87" s="1"/>
  <c r="H20" i="87"/>
  <c r="R19" i="87"/>
  <c r="O19" i="87" s="1"/>
  <c r="P19" i="87"/>
  <c r="K19" i="87"/>
  <c r="I19" i="87"/>
  <c r="J19" i="87" s="1"/>
  <c r="H19" i="87"/>
  <c r="R18" i="87"/>
  <c r="O18" i="87" s="1"/>
  <c r="P18" i="87"/>
  <c r="K18" i="87"/>
  <c r="I18" i="87"/>
  <c r="J18" i="87" s="1"/>
  <c r="H18" i="87"/>
  <c r="R17" i="87"/>
  <c r="O17" i="87" s="1"/>
  <c r="P17" i="87"/>
  <c r="K17" i="87"/>
  <c r="I17" i="87"/>
  <c r="J17" i="87" s="1"/>
  <c r="H17" i="87"/>
  <c r="R16" i="87"/>
  <c r="Q16" i="87" s="1"/>
  <c r="P16" i="87"/>
  <c r="K16" i="87"/>
  <c r="I16" i="87"/>
  <c r="J16" i="87" s="1"/>
  <c r="H16" i="87"/>
  <c r="R15" i="87"/>
  <c r="P15" i="87"/>
  <c r="K15" i="87"/>
  <c r="I15" i="87"/>
  <c r="J15" i="87" s="1"/>
  <c r="H15" i="87"/>
  <c r="R14" i="87"/>
  <c r="P14" i="87"/>
  <c r="K14" i="87"/>
  <c r="I14" i="87"/>
  <c r="J14" i="87" s="1"/>
  <c r="H14" i="87"/>
  <c r="R13" i="87"/>
  <c r="O13" i="87" s="1"/>
  <c r="P13" i="87"/>
  <c r="K13" i="87"/>
  <c r="I13" i="87"/>
  <c r="J13" i="87" s="1"/>
  <c r="H13" i="87"/>
  <c r="R12" i="87"/>
  <c r="O12" i="87" s="1"/>
  <c r="P12" i="87"/>
  <c r="K12" i="87"/>
  <c r="I12" i="87"/>
  <c r="J12" i="87" s="1"/>
  <c r="H12" i="87"/>
  <c r="R11" i="87"/>
  <c r="O11" i="87" s="1"/>
  <c r="P11" i="87"/>
  <c r="K11" i="87"/>
  <c r="I11" i="87"/>
  <c r="J11" i="87" s="1"/>
  <c r="H11" i="87"/>
  <c r="R10" i="87"/>
  <c r="O10" i="87" s="1"/>
  <c r="P10" i="87"/>
  <c r="K10" i="87"/>
  <c r="I10" i="87"/>
  <c r="J10" i="87" s="1"/>
  <c r="H10" i="87"/>
  <c r="R9" i="87"/>
  <c r="O9" i="87" s="1"/>
  <c r="P9" i="87"/>
  <c r="K9" i="87"/>
  <c r="I9" i="87"/>
  <c r="J9" i="87" s="1"/>
  <c r="H9" i="87"/>
  <c r="R8" i="87"/>
  <c r="O8" i="87" s="1"/>
  <c r="P8" i="87"/>
  <c r="K8" i="87"/>
  <c r="I8" i="87"/>
  <c r="J8" i="87" s="1"/>
  <c r="H8" i="87"/>
  <c r="R7" i="87"/>
  <c r="O7" i="87" s="1"/>
  <c r="P7" i="87"/>
  <c r="K7" i="87"/>
  <c r="I7" i="87"/>
  <c r="J7" i="87" s="1"/>
  <c r="H7" i="87"/>
  <c r="R6" i="87"/>
  <c r="O6" i="87" s="1"/>
  <c r="P6" i="87"/>
  <c r="K6" i="87"/>
  <c r="I6" i="87"/>
  <c r="J6" i="87" s="1"/>
  <c r="H6" i="87"/>
  <c r="R35" i="86"/>
  <c r="Q35" i="86" s="1"/>
  <c r="P35" i="86"/>
  <c r="K35" i="86"/>
  <c r="I35" i="86"/>
  <c r="J35" i="86" s="1"/>
  <c r="H35" i="86"/>
  <c r="R34" i="86"/>
  <c r="Q34" i="86" s="1"/>
  <c r="P34" i="86"/>
  <c r="K34" i="86"/>
  <c r="I34" i="86"/>
  <c r="J34" i="86" s="1"/>
  <c r="H34" i="86"/>
  <c r="R33" i="86"/>
  <c r="O33" i="86" s="1"/>
  <c r="P33" i="86"/>
  <c r="K33" i="86"/>
  <c r="I33" i="86"/>
  <c r="J33" i="86" s="1"/>
  <c r="H33" i="86"/>
  <c r="R32" i="86"/>
  <c r="O32" i="86" s="1"/>
  <c r="P32" i="86"/>
  <c r="K32" i="86"/>
  <c r="I32" i="86"/>
  <c r="J32" i="86" s="1"/>
  <c r="H32" i="86"/>
  <c r="R31" i="86"/>
  <c r="O31" i="86" s="1"/>
  <c r="P31" i="86"/>
  <c r="K31" i="86"/>
  <c r="I31" i="86"/>
  <c r="J31" i="86" s="1"/>
  <c r="H31" i="86"/>
  <c r="R30" i="86"/>
  <c r="O30" i="86" s="1"/>
  <c r="P30" i="86"/>
  <c r="K30" i="86"/>
  <c r="I30" i="86"/>
  <c r="J30" i="86" s="1"/>
  <c r="H30" i="86"/>
  <c r="R29" i="86"/>
  <c r="O29" i="86" s="1"/>
  <c r="P29" i="86"/>
  <c r="K29" i="86"/>
  <c r="I29" i="86"/>
  <c r="J29" i="86" s="1"/>
  <c r="H29" i="86"/>
  <c r="R28" i="86"/>
  <c r="O28" i="86" s="1"/>
  <c r="P28" i="86"/>
  <c r="K28" i="86"/>
  <c r="I28" i="86"/>
  <c r="J28" i="86" s="1"/>
  <c r="H28" i="86"/>
  <c r="R27" i="86"/>
  <c r="O27" i="86" s="1"/>
  <c r="P27" i="86"/>
  <c r="K27" i="86"/>
  <c r="I27" i="86"/>
  <c r="J27" i="86" s="1"/>
  <c r="H27" i="86"/>
  <c r="R26" i="86"/>
  <c r="O26" i="86" s="1"/>
  <c r="P26" i="86"/>
  <c r="K26" i="86"/>
  <c r="I26" i="86"/>
  <c r="J26" i="86" s="1"/>
  <c r="H26" i="86"/>
  <c r="R25" i="86"/>
  <c r="O25" i="86" s="1"/>
  <c r="P25" i="86"/>
  <c r="K25" i="86"/>
  <c r="I25" i="86"/>
  <c r="J25" i="86" s="1"/>
  <c r="H25" i="86"/>
  <c r="R24" i="86"/>
  <c r="O24" i="86" s="1"/>
  <c r="P24" i="86"/>
  <c r="K24" i="86"/>
  <c r="I24" i="86"/>
  <c r="J24" i="86" s="1"/>
  <c r="H24" i="86"/>
  <c r="R23" i="86"/>
  <c r="O23" i="86" s="1"/>
  <c r="P23" i="86"/>
  <c r="K23" i="86"/>
  <c r="I23" i="86"/>
  <c r="J23" i="86" s="1"/>
  <c r="H23" i="86"/>
  <c r="R22" i="86"/>
  <c r="O22" i="86" s="1"/>
  <c r="P22" i="86"/>
  <c r="K22" i="86"/>
  <c r="I22" i="86"/>
  <c r="H22" i="86"/>
  <c r="R21" i="86"/>
  <c r="O21" i="86" s="1"/>
  <c r="P21" i="86"/>
  <c r="K21" i="86"/>
  <c r="I21" i="86"/>
  <c r="J21" i="86" s="1"/>
  <c r="H21" i="86"/>
  <c r="R20" i="86"/>
  <c r="O20" i="86" s="1"/>
  <c r="P20" i="86"/>
  <c r="K20" i="86"/>
  <c r="I20" i="86"/>
  <c r="J20" i="86" s="1"/>
  <c r="H20" i="86"/>
  <c r="R19" i="86"/>
  <c r="Q19" i="86" s="1"/>
  <c r="P19" i="86"/>
  <c r="K19" i="86"/>
  <c r="I19" i="86"/>
  <c r="J19" i="86" s="1"/>
  <c r="H19" i="86"/>
  <c r="R18" i="86"/>
  <c r="O18" i="86" s="1"/>
  <c r="P18" i="86"/>
  <c r="K18" i="86"/>
  <c r="I18" i="86"/>
  <c r="J18" i="86" s="1"/>
  <c r="H18" i="86"/>
  <c r="R17" i="86"/>
  <c r="O17" i="86" s="1"/>
  <c r="P17" i="86"/>
  <c r="K17" i="86"/>
  <c r="I17" i="86"/>
  <c r="J17" i="86" s="1"/>
  <c r="H17" i="86"/>
  <c r="R16" i="86"/>
  <c r="O16" i="86" s="1"/>
  <c r="P16" i="86"/>
  <c r="K16" i="86"/>
  <c r="I16" i="86"/>
  <c r="J16" i="86" s="1"/>
  <c r="H16" i="86"/>
  <c r="R15" i="86"/>
  <c r="O15" i="86" s="1"/>
  <c r="P15" i="86"/>
  <c r="K15" i="86"/>
  <c r="I15" i="86"/>
  <c r="J15" i="86" s="1"/>
  <c r="H15" i="86"/>
  <c r="R14" i="86"/>
  <c r="O14" i="86" s="1"/>
  <c r="P14" i="86"/>
  <c r="K14" i="86"/>
  <c r="I14" i="86"/>
  <c r="J14" i="86" s="1"/>
  <c r="H14" i="86"/>
  <c r="R13" i="86"/>
  <c r="O13" i="86" s="1"/>
  <c r="P13" i="86"/>
  <c r="K13" i="86"/>
  <c r="I13" i="86"/>
  <c r="J13" i="86" s="1"/>
  <c r="H13" i="86"/>
  <c r="R12" i="86"/>
  <c r="O12" i="86" s="1"/>
  <c r="P12" i="86"/>
  <c r="K12" i="86"/>
  <c r="I12" i="86"/>
  <c r="J12" i="86" s="1"/>
  <c r="H12" i="86"/>
  <c r="R11" i="86"/>
  <c r="O11" i="86" s="1"/>
  <c r="P11" i="86"/>
  <c r="K11" i="86"/>
  <c r="I11" i="86"/>
  <c r="J11" i="86" s="1"/>
  <c r="H11" i="86"/>
  <c r="R10" i="86"/>
  <c r="O10" i="86" s="1"/>
  <c r="P10" i="86"/>
  <c r="K10" i="86"/>
  <c r="I10" i="86"/>
  <c r="J10" i="86" s="1"/>
  <c r="H10" i="86"/>
  <c r="R9" i="86"/>
  <c r="O9" i="86" s="1"/>
  <c r="P9" i="86"/>
  <c r="K9" i="86"/>
  <c r="I9" i="86"/>
  <c r="J9" i="86" s="1"/>
  <c r="H9" i="86"/>
  <c r="R8" i="86"/>
  <c r="P8" i="86"/>
  <c r="K8" i="86"/>
  <c r="I8" i="86"/>
  <c r="J8" i="86" s="1"/>
  <c r="H8" i="86"/>
  <c r="R7" i="86"/>
  <c r="O7" i="86" s="1"/>
  <c r="P7" i="86"/>
  <c r="K7" i="86"/>
  <c r="I7" i="86"/>
  <c r="J7" i="86" s="1"/>
  <c r="H7" i="86"/>
  <c r="R6" i="86"/>
  <c r="O6" i="86" s="1"/>
  <c r="P6" i="86"/>
  <c r="K6" i="86"/>
  <c r="I6" i="86"/>
  <c r="J6" i="86" s="1"/>
  <c r="H6" i="86"/>
  <c r="R35" i="85"/>
  <c r="O35" i="85" s="1"/>
  <c r="P35" i="85"/>
  <c r="K35" i="85"/>
  <c r="I35" i="85"/>
  <c r="J35" i="85" s="1"/>
  <c r="H35" i="85"/>
  <c r="R34" i="85"/>
  <c r="O34" i="85" s="1"/>
  <c r="P34" i="85"/>
  <c r="K34" i="85"/>
  <c r="I34" i="85"/>
  <c r="J34" i="85" s="1"/>
  <c r="H34" i="85"/>
  <c r="R33" i="85"/>
  <c r="Q33" i="85" s="1"/>
  <c r="P33" i="85"/>
  <c r="K33" i="85"/>
  <c r="I33" i="85"/>
  <c r="J33" i="85" s="1"/>
  <c r="H33" i="85"/>
  <c r="R32" i="85"/>
  <c r="O32" i="85" s="1"/>
  <c r="P32" i="85"/>
  <c r="K32" i="85"/>
  <c r="I32" i="85"/>
  <c r="J32" i="85" s="1"/>
  <c r="H32" i="85"/>
  <c r="R31" i="85"/>
  <c r="O31" i="85" s="1"/>
  <c r="P31" i="85"/>
  <c r="K31" i="85"/>
  <c r="I31" i="85"/>
  <c r="J31" i="85" s="1"/>
  <c r="H31" i="85"/>
  <c r="R30" i="85"/>
  <c r="O30" i="85" s="1"/>
  <c r="P30" i="85"/>
  <c r="K30" i="85"/>
  <c r="I30" i="85"/>
  <c r="J30" i="85" s="1"/>
  <c r="H30" i="85"/>
  <c r="R29" i="85"/>
  <c r="O29" i="85" s="1"/>
  <c r="P29" i="85"/>
  <c r="K29" i="85"/>
  <c r="I29" i="85"/>
  <c r="J29" i="85" s="1"/>
  <c r="H29" i="85"/>
  <c r="R28" i="85"/>
  <c r="O28" i="85" s="1"/>
  <c r="P28" i="85"/>
  <c r="K28" i="85"/>
  <c r="I28" i="85"/>
  <c r="J28" i="85" s="1"/>
  <c r="H28" i="85"/>
  <c r="R27" i="85"/>
  <c r="P27" i="85"/>
  <c r="K27" i="85"/>
  <c r="I27" i="85"/>
  <c r="J27" i="85" s="1"/>
  <c r="H27" i="85"/>
  <c r="R26" i="85"/>
  <c r="P26" i="85"/>
  <c r="K26" i="85"/>
  <c r="I26" i="85"/>
  <c r="J26" i="85" s="1"/>
  <c r="H26" i="85"/>
  <c r="R25" i="85"/>
  <c r="Q25" i="85" s="1"/>
  <c r="P25" i="85"/>
  <c r="K25" i="85"/>
  <c r="I25" i="85"/>
  <c r="J25" i="85" s="1"/>
  <c r="H25" i="85"/>
  <c r="R24" i="85"/>
  <c r="Q24" i="85" s="1"/>
  <c r="P24" i="85"/>
  <c r="K24" i="85"/>
  <c r="I24" i="85"/>
  <c r="J24" i="85" s="1"/>
  <c r="H24" i="85"/>
  <c r="R23" i="85"/>
  <c r="P23" i="85"/>
  <c r="K23" i="85"/>
  <c r="I23" i="85"/>
  <c r="J23" i="85" s="1"/>
  <c r="H23" i="85"/>
  <c r="R22" i="85"/>
  <c r="P22" i="85"/>
  <c r="K22" i="85"/>
  <c r="I22" i="85"/>
  <c r="J22" i="85" s="1"/>
  <c r="H22" i="85"/>
  <c r="R21" i="85"/>
  <c r="O21" i="85" s="1"/>
  <c r="P21" i="85"/>
  <c r="K21" i="85"/>
  <c r="I21" i="85"/>
  <c r="J21" i="85" s="1"/>
  <c r="H21" i="85"/>
  <c r="R20" i="85"/>
  <c r="Q20" i="85" s="1"/>
  <c r="P20" i="85"/>
  <c r="K20" i="85"/>
  <c r="I20" i="85"/>
  <c r="J20" i="85" s="1"/>
  <c r="H20" i="85"/>
  <c r="R19" i="85"/>
  <c r="P19" i="85"/>
  <c r="K19" i="85"/>
  <c r="I19" i="85"/>
  <c r="J19" i="85" s="1"/>
  <c r="H19" i="85"/>
  <c r="R18" i="85"/>
  <c r="P18" i="85"/>
  <c r="K18" i="85"/>
  <c r="I18" i="85"/>
  <c r="J18" i="85" s="1"/>
  <c r="H18" i="85"/>
  <c r="R17" i="85"/>
  <c r="O17" i="85" s="1"/>
  <c r="P17" i="85"/>
  <c r="K17" i="85"/>
  <c r="I17" i="85"/>
  <c r="J17" i="85" s="1"/>
  <c r="H17" i="85"/>
  <c r="R16" i="85"/>
  <c r="Q16" i="85" s="1"/>
  <c r="P16" i="85"/>
  <c r="K16" i="85"/>
  <c r="I16" i="85"/>
  <c r="J16" i="85" s="1"/>
  <c r="H16" i="85"/>
  <c r="R15" i="85"/>
  <c r="O15" i="85" s="1"/>
  <c r="P15" i="85"/>
  <c r="K15" i="85"/>
  <c r="I15" i="85"/>
  <c r="J15" i="85" s="1"/>
  <c r="H15" i="85"/>
  <c r="R14" i="85"/>
  <c r="O14" i="85" s="1"/>
  <c r="P14" i="85"/>
  <c r="K14" i="85"/>
  <c r="I14" i="85"/>
  <c r="J14" i="85" s="1"/>
  <c r="H14" i="85"/>
  <c r="R13" i="85"/>
  <c r="O13" i="85" s="1"/>
  <c r="P13" i="85"/>
  <c r="K13" i="85"/>
  <c r="I13" i="85"/>
  <c r="J13" i="85" s="1"/>
  <c r="H13" i="85"/>
  <c r="R12" i="85"/>
  <c r="O12" i="85" s="1"/>
  <c r="P12" i="85"/>
  <c r="K12" i="85"/>
  <c r="I12" i="85"/>
  <c r="J12" i="85" s="1"/>
  <c r="H12" i="85"/>
  <c r="R11" i="85"/>
  <c r="O11" i="85" s="1"/>
  <c r="P11" i="85"/>
  <c r="K11" i="85"/>
  <c r="I11" i="85"/>
  <c r="J11" i="85" s="1"/>
  <c r="H11" i="85"/>
  <c r="R10" i="85"/>
  <c r="Q10" i="85" s="1"/>
  <c r="P10" i="85"/>
  <c r="K10" i="85"/>
  <c r="I10" i="85"/>
  <c r="J10" i="85" s="1"/>
  <c r="H10" i="85"/>
  <c r="R9" i="85"/>
  <c r="O9" i="85" s="1"/>
  <c r="P9" i="85"/>
  <c r="K9" i="85"/>
  <c r="I9" i="85"/>
  <c r="J9" i="85" s="1"/>
  <c r="H9" i="85"/>
  <c r="R8" i="85"/>
  <c r="O8" i="85" s="1"/>
  <c r="P8" i="85"/>
  <c r="K8" i="85"/>
  <c r="I8" i="85"/>
  <c r="J8" i="85" s="1"/>
  <c r="H8" i="85"/>
  <c r="R7" i="85"/>
  <c r="P7" i="85"/>
  <c r="K7" i="85"/>
  <c r="I7" i="85"/>
  <c r="J7" i="85" s="1"/>
  <c r="H7" i="85"/>
  <c r="R6" i="85"/>
  <c r="O6" i="85" s="1"/>
  <c r="P6" i="85"/>
  <c r="K6" i="85"/>
  <c r="I6" i="85"/>
  <c r="J6" i="85" s="1"/>
  <c r="H6" i="85"/>
  <c r="R35" i="84"/>
  <c r="O35" i="84" s="1"/>
  <c r="P35" i="84"/>
  <c r="K35" i="84"/>
  <c r="I35" i="84"/>
  <c r="J35" i="84" s="1"/>
  <c r="H35" i="84"/>
  <c r="R34" i="84"/>
  <c r="O34" i="84" s="1"/>
  <c r="P34" i="84"/>
  <c r="K34" i="84"/>
  <c r="I34" i="84"/>
  <c r="J34" i="84" s="1"/>
  <c r="H34" i="84"/>
  <c r="R33" i="84"/>
  <c r="O33" i="84" s="1"/>
  <c r="P33" i="84"/>
  <c r="K33" i="84"/>
  <c r="I33" i="84"/>
  <c r="J33" i="84" s="1"/>
  <c r="H33" i="84"/>
  <c r="R32" i="84"/>
  <c r="O32" i="84" s="1"/>
  <c r="P32" i="84"/>
  <c r="K32" i="84"/>
  <c r="I32" i="84"/>
  <c r="J32" i="84" s="1"/>
  <c r="H32" i="84"/>
  <c r="R31" i="84"/>
  <c r="Q31" i="84" s="1"/>
  <c r="P31" i="84"/>
  <c r="K31" i="84"/>
  <c r="I31" i="84"/>
  <c r="J31" i="84" s="1"/>
  <c r="H31" i="84"/>
  <c r="R30" i="84"/>
  <c r="O30" i="84" s="1"/>
  <c r="P30" i="84"/>
  <c r="K30" i="84"/>
  <c r="I30" i="84"/>
  <c r="J30" i="84" s="1"/>
  <c r="H30" i="84"/>
  <c r="R29" i="84"/>
  <c r="O29" i="84" s="1"/>
  <c r="P29" i="84"/>
  <c r="K29" i="84"/>
  <c r="I29" i="84"/>
  <c r="J29" i="84" s="1"/>
  <c r="H29" i="84"/>
  <c r="R28" i="84"/>
  <c r="O28" i="84" s="1"/>
  <c r="P28" i="84"/>
  <c r="K28" i="84"/>
  <c r="I28" i="84"/>
  <c r="J28" i="84" s="1"/>
  <c r="H28" i="84"/>
  <c r="R27" i="84"/>
  <c r="Q27" i="84" s="1"/>
  <c r="P27" i="84"/>
  <c r="K27" i="84"/>
  <c r="I27" i="84"/>
  <c r="J27" i="84" s="1"/>
  <c r="H27" i="84"/>
  <c r="R26" i="84"/>
  <c r="O26" i="84" s="1"/>
  <c r="P26" i="84"/>
  <c r="K26" i="84"/>
  <c r="I26" i="84"/>
  <c r="J26" i="84" s="1"/>
  <c r="H26" i="84"/>
  <c r="R25" i="84"/>
  <c r="O25" i="84" s="1"/>
  <c r="P25" i="84"/>
  <c r="K25" i="84"/>
  <c r="I25" i="84"/>
  <c r="J25" i="84" s="1"/>
  <c r="H25" i="84"/>
  <c r="R24" i="84"/>
  <c r="O24" i="84" s="1"/>
  <c r="P24" i="84"/>
  <c r="K24" i="84"/>
  <c r="I24" i="84"/>
  <c r="J24" i="84" s="1"/>
  <c r="H24" i="84"/>
  <c r="R23" i="84"/>
  <c r="O23" i="84" s="1"/>
  <c r="P23" i="84"/>
  <c r="K23" i="84"/>
  <c r="J23" i="84"/>
  <c r="H23" i="84"/>
  <c r="R22" i="84"/>
  <c r="O22" i="84" s="1"/>
  <c r="P22" i="84"/>
  <c r="K22" i="84"/>
  <c r="I22" i="84"/>
  <c r="J22" i="84" s="1"/>
  <c r="H22" i="84"/>
  <c r="R21" i="84"/>
  <c r="O21" i="84" s="1"/>
  <c r="P21" i="84"/>
  <c r="K21" i="84"/>
  <c r="I21" i="84"/>
  <c r="J21" i="84" s="1"/>
  <c r="H21" i="84"/>
  <c r="R20" i="84"/>
  <c r="O20" i="84" s="1"/>
  <c r="P20" i="84"/>
  <c r="K20" i="84"/>
  <c r="I20" i="84"/>
  <c r="J20" i="84" s="1"/>
  <c r="H20" i="84"/>
  <c r="R19" i="84"/>
  <c r="O19" i="84" s="1"/>
  <c r="P19" i="84"/>
  <c r="K19" i="84"/>
  <c r="I19" i="84"/>
  <c r="J19" i="84" s="1"/>
  <c r="H19" i="84"/>
  <c r="R18" i="84"/>
  <c r="O18" i="84" s="1"/>
  <c r="P18" i="84"/>
  <c r="K18" i="84"/>
  <c r="I18" i="84"/>
  <c r="J18" i="84" s="1"/>
  <c r="H18" i="84"/>
  <c r="R17" i="84"/>
  <c r="O17" i="84" s="1"/>
  <c r="P17" i="84"/>
  <c r="K17" i="84"/>
  <c r="I17" i="84"/>
  <c r="J17" i="84" s="1"/>
  <c r="H17" i="84"/>
  <c r="R16" i="84"/>
  <c r="O16" i="84" s="1"/>
  <c r="P16" i="84"/>
  <c r="K16" i="84"/>
  <c r="I16" i="84"/>
  <c r="J16" i="84" s="1"/>
  <c r="H16" i="84"/>
  <c r="R15" i="84"/>
  <c r="O15" i="84" s="1"/>
  <c r="P15" i="84"/>
  <c r="K15" i="84"/>
  <c r="I15" i="84"/>
  <c r="J15" i="84" s="1"/>
  <c r="H15" i="84"/>
  <c r="R14" i="84"/>
  <c r="O14" i="84" s="1"/>
  <c r="P14" i="84"/>
  <c r="K14" i="84"/>
  <c r="I14" i="84"/>
  <c r="J14" i="84" s="1"/>
  <c r="H14" i="84"/>
  <c r="R13" i="84"/>
  <c r="O13" i="84" s="1"/>
  <c r="P13" i="84"/>
  <c r="K13" i="84"/>
  <c r="I13" i="84"/>
  <c r="J13" i="84" s="1"/>
  <c r="H13" i="84"/>
  <c r="R12" i="84"/>
  <c r="Q12" i="84" s="1"/>
  <c r="P12" i="84"/>
  <c r="K12" i="84"/>
  <c r="I12" i="84"/>
  <c r="J12" i="84" s="1"/>
  <c r="H12" i="84"/>
  <c r="R11" i="84"/>
  <c r="O11" i="84" s="1"/>
  <c r="P11" i="84"/>
  <c r="K11" i="84"/>
  <c r="I11" i="84"/>
  <c r="J11" i="84" s="1"/>
  <c r="H11" i="84"/>
  <c r="R10" i="84"/>
  <c r="O10" i="84" s="1"/>
  <c r="P10" i="84"/>
  <c r="K10" i="84"/>
  <c r="I10" i="84"/>
  <c r="J10" i="84" s="1"/>
  <c r="H10" i="84"/>
  <c r="R9" i="84"/>
  <c r="O9" i="84" s="1"/>
  <c r="P9" i="84"/>
  <c r="K9" i="84"/>
  <c r="I9" i="84"/>
  <c r="J9" i="84" s="1"/>
  <c r="H9" i="84"/>
  <c r="R8" i="84"/>
  <c r="O8" i="84" s="1"/>
  <c r="P8" i="84"/>
  <c r="K8" i="84"/>
  <c r="I8" i="84"/>
  <c r="J8" i="84" s="1"/>
  <c r="H8" i="84"/>
  <c r="R7" i="84"/>
  <c r="O7" i="84" s="1"/>
  <c r="P7" i="84"/>
  <c r="K7" i="84"/>
  <c r="I7" i="84"/>
  <c r="J7" i="84" s="1"/>
  <c r="H7" i="84"/>
  <c r="R6" i="84"/>
  <c r="Q6" i="84" s="1"/>
  <c r="P6" i="84"/>
  <c r="K6" i="84"/>
  <c r="I6" i="84"/>
  <c r="H6" i="84"/>
  <c r="R35" i="83"/>
  <c r="Q35" i="83" s="1"/>
  <c r="P35" i="83"/>
  <c r="K35" i="83"/>
  <c r="I35" i="83"/>
  <c r="J35" i="83" s="1"/>
  <c r="H35" i="83"/>
  <c r="R34" i="83"/>
  <c r="O34" i="83" s="1"/>
  <c r="P34" i="83"/>
  <c r="K34" i="83"/>
  <c r="I34" i="83"/>
  <c r="J34" i="83" s="1"/>
  <c r="H34" i="83"/>
  <c r="R33" i="83"/>
  <c r="O33" i="83" s="1"/>
  <c r="P33" i="83"/>
  <c r="K33" i="83"/>
  <c r="I33" i="83"/>
  <c r="J33" i="83" s="1"/>
  <c r="H33" i="83"/>
  <c r="R32" i="83"/>
  <c r="O32" i="83" s="1"/>
  <c r="P32" i="83"/>
  <c r="K32" i="83"/>
  <c r="I32" i="83"/>
  <c r="J32" i="83" s="1"/>
  <c r="H32" i="83"/>
  <c r="R31" i="83"/>
  <c r="O31" i="83" s="1"/>
  <c r="P31" i="83"/>
  <c r="K31" i="83"/>
  <c r="I31" i="83"/>
  <c r="J31" i="83" s="1"/>
  <c r="H31" i="83"/>
  <c r="R30" i="83"/>
  <c r="O30" i="83" s="1"/>
  <c r="P30" i="83"/>
  <c r="K30" i="83"/>
  <c r="I30" i="83"/>
  <c r="J30" i="83" s="1"/>
  <c r="H30" i="83"/>
  <c r="R29" i="83"/>
  <c r="O29" i="83" s="1"/>
  <c r="P29" i="83"/>
  <c r="K29" i="83"/>
  <c r="I29" i="83"/>
  <c r="J29" i="83" s="1"/>
  <c r="H29" i="83"/>
  <c r="R28" i="83"/>
  <c r="Q28" i="83" s="1"/>
  <c r="P28" i="83"/>
  <c r="K28" i="83"/>
  <c r="I28" i="83"/>
  <c r="J28" i="83" s="1"/>
  <c r="H28" i="83"/>
  <c r="R27" i="83"/>
  <c r="O27" i="83" s="1"/>
  <c r="P27" i="83"/>
  <c r="K27" i="83"/>
  <c r="I27" i="83"/>
  <c r="J27" i="83" s="1"/>
  <c r="H27" i="83"/>
  <c r="R26" i="83"/>
  <c r="O26" i="83" s="1"/>
  <c r="P26" i="83"/>
  <c r="K26" i="83"/>
  <c r="I26" i="83"/>
  <c r="J26" i="83" s="1"/>
  <c r="H26" i="83"/>
  <c r="R25" i="83"/>
  <c r="O25" i="83" s="1"/>
  <c r="P25" i="83"/>
  <c r="K25" i="83"/>
  <c r="I25" i="83"/>
  <c r="J25" i="83" s="1"/>
  <c r="H25" i="83"/>
  <c r="R24" i="83"/>
  <c r="Q24" i="83" s="1"/>
  <c r="P24" i="83"/>
  <c r="K24" i="83"/>
  <c r="I24" i="83"/>
  <c r="H24" i="83"/>
  <c r="R23" i="83"/>
  <c r="O23" i="83" s="1"/>
  <c r="P23" i="83"/>
  <c r="K23" i="83"/>
  <c r="I23" i="83"/>
  <c r="J23" i="83" s="1"/>
  <c r="H23" i="83"/>
  <c r="R22" i="83"/>
  <c r="O22" i="83" s="1"/>
  <c r="P22" i="83"/>
  <c r="K22" i="83"/>
  <c r="I22" i="83"/>
  <c r="J22" i="83" s="1"/>
  <c r="H22" i="83"/>
  <c r="R21" i="83"/>
  <c r="O21" i="83" s="1"/>
  <c r="P21" i="83"/>
  <c r="K21" i="83"/>
  <c r="I21" i="83"/>
  <c r="J21" i="83" s="1"/>
  <c r="H21" i="83"/>
  <c r="R20" i="83"/>
  <c r="O20" i="83" s="1"/>
  <c r="P20" i="83"/>
  <c r="K20" i="83"/>
  <c r="I20" i="83"/>
  <c r="J20" i="83" s="1"/>
  <c r="H20" i="83"/>
  <c r="R19" i="83"/>
  <c r="O19" i="83" s="1"/>
  <c r="P19" i="83"/>
  <c r="K19" i="83"/>
  <c r="I19" i="83"/>
  <c r="J19" i="83" s="1"/>
  <c r="H19" i="83"/>
  <c r="R18" i="83"/>
  <c r="O18" i="83" s="1"/>
  <c r="P18" i="83"/>
  <c r="K18" i="83"/>
  <c r="I18" i="83"/>
  <c r="J18" i="83" s="1"/>
  <c r="H18" i="83"/>
  <c r="R17" i="83"/>
  <c r="O17" i="83" s="1"/>
  <c r="P17" i="83"/>
  <c r="K17" i="83"/>
  <c r="I17" i="83"/>
  <c r="J17" i="83" s="1"/>
  <c r="H17" i="83"/>
  <c r="R16" i="83"/>
  <c r="Q16" i="83" s="1"/>
  <c r="P16" i="83"/>
  <c r="K16" i="83"/>
  <c r="I16" i="83"/>
  <c r="J16" i="83" s="1"/>
  <c r="H16" i="83"/>
  <c r="R15" i="83"/>
  <c r="O15" i="83" s="1"/>
  <c r="P15" i="83"/>
  <c r="K15" i="83"/>
  <c r="I15" i="83"/>
  <c r="J15" i="83" s="1"/>
  <c r="H15" i="83"/>
  <c r="R14" i="83"/>
  <c r="O14" i="83" s="1"/>
  <c r="P14" i="83"/>
  <c r="K14" i="83"/>
  <c r="I14" i="83"/>
  <c r="J14" i="83" s="1"/>
  <c r="H14" i="83"/>
  <c r="R13" i="83"/>
  <c r="O13" i="83" s="1"/>
  <c r="P13" i="83"/>
  <c r="K13" i="83"/>
  <c r="I13" i="83"/>
  <c r="J13" i="83" s="1"/>
  <c r="H13" i="83"/>
  <c r="R12" i="83"/>
  <c r="O12" i="83" s="1"/>
  <c r="P12" i="83"/>
  <c r="K12" i="83"/>
  <c r="I12" i="83"/>
  <c r="H12" i="83"/>
  <c r="R11" i="83"/>
  <c r="Q11" i="83" s="1"/>
  <c r="P11" i="83"/>
  <c r="K11" i="83"/>
  <c r="I11" i="83"/>
  <c r="J11" i="83" s="1"/>
  <c r="H11" i="83"/>
  <c r="R10" i="83"/>
  <c r="O10" i="83" s="1"/>
  <c r="P10" i="83"/>
  <c r="K10" i="83"/>
  <c r="I10" i="83"/>
  <c r="J10" i="83" s="1"/>
  <c r="H10" i="83"/>
  <c r="R9" i="83"/>
  <c r="O9" i="83" s="1"/>
  <c r="P9" i="83"/>
  <c r="K9" i="83"/>
  <c r="I9" i="83"/>
  <c r="J9" i="83" s="1"/>
  <c r="H9" i="83"/>
  <c r="R8" i="83"/>
  <c r="O8" i="83" s="1"/>
  <c r="P8" i="83"/>
  <c r="K8" i="83"/>
  <c r="I8" i="83"/>
  <c r="J8" i="83" s="1"/>
  <c r="H8" i="83"/>
  <c r="R7" i="83"/>
  <c r="O7" i="83" s="1"/>
  <c r="P7" i="83"/>
  <c r="K7" i="83"/>
  <c r="I7" i="83"/>
  <c r="J7" i="83" s="1"/>
  <c r="H7" i="83"/>
  <c r="R6" i="83"/>
  <c r="O6" i="83" s="1"/>
  <c r="P6" i="83"/>
  <c r="K6" i="83"/>
  <c r="I6" i="83"/>
  <c r="H6" i="83"/>
  <c r="R35" i="82"/>
  <c r="Q35" i="82" s="1"/>
  <c r="P35" i="82"/>
  <c r="K35" i="82"/>
  <c r="I35" i="82"/>
  <c r="J35" i="82" s="1"/>
  <c r="H35" i="82"/>
  <c r="R34" i="82"/>
  <c r="Q34" i="82" s="1"/>
  <c r="P34" i="82"/>
  <c r="K34" i="82"/>
  <c r="I34" i="82"/>
  <c r="J34" i="82" s="1"/>
  <c r="H34" i="82"/>
  <c r="R33" i="82"/>
  <c r="O33" i="82" s="1"/>
  <c r="P33" i="82"/>
  <c r="K33" i="82"/>
  <c r="I33" i="82"/>
  <c r="J33" i="82" s="1"/>
  <c r="H33" i="82"/>
  <c r="R32" i="82"/>
  <c r="Q32" i="82" s="1"/>
  <c r="P32" i="82"/>
  <c r="K32" i="82"/>
  <c r="I32" i="82"/>
  <c r="J32" i="82" s="1"/>
  <c r="H32" i="82"/>
  <c r="R31" i="82"/>
  <c r="O31" i="82" s="1"/>
  <c r="P31" i="82"/>
  <c r="K31" i="82"/>
  <c r="I31" i="82"/>
  <c r="J31" i="82" s="1"/>
  <c r="H31" i="82"/>
  <c r="R30" i="82"/>
  <c r="O30" i="82" s="1"/>
  <c r="P30" i="82"/>
  <c r="K30" i="82"/>
  <c r="I30" i="82"/>
  <c r="J30" i="82" s="1"/>
  <c r="H30" i="82"/>
  <c r="R29" i="82"/>
  <c r="O29" i="82" s="1"/>
  <c r="P29" i="82"/>
  <c r="K29" i="82"/>
  <c r="I29" i="82"/>
  <c r="J29" i="82" s="1"/>
  <c r="H29" i="82"/>
  <c r="R28" i="82"/>
  <c r="O28" i="82" s="1"/>
  <c r="P28" i="82"/>
  <c r="K28" i="82"/>
  <c r="I28" i="82"/>
  <c r="J28" i="82" s="1"/>
  <c r="H28" i="82"/>
  <c r="R27" i="82"/>
  <c r="O27" i="82" s="1"/>
  <c r="P27" i="82"/>
  <c r="K27" i="82"/>
  <c r="I27" i="82"/>
  <c r="J27" i="82" s="1"/>
  <c r="H27" i="82"/>
  <c r="R26" i="82"/>
  <c r="Q26" i="82" s="1"/>
  <c r="P26" i="82"/>
  <c r="K26" i="82"/>
  <c r="I26" i="82"/>
  <c r="J26" i="82" s="1"/>
  <c r="H26" i="82"/>
  <c r="R25" i="82"/>
  <c r="O25" i="82" s="1"/>
  <c r="P25" i="82"/>
  <c r="K25" i="82"/>
  <c r="I25" i="82"/>
  <c r="J25" i="82" s="1"/>
  <c r="H25" i="82"/>
  <c r="R24" i="82"/>
  <c r="O24" i="82" s="1"/>
  <c r="P24" i="82"/>
  <c r="K24" i="82"/>
  <c r="I24" i="82"/>
  <c r="J24" i="82" s="1"/>
  <c r="H24" i="82"/>
  <c r="R23" i="82"/>
  <c r="O23" i="82" s="1"/>
  <c r="P23" i="82"/>
  <c r="K23" i="82"/>
  <c r="I23" i="82"/>
  <c r="J23" i="82" s="1"/>
  <c r="H23" i="82"/>
  <c r="R22" i="82"/>
  <c r="O22" i="82" s="1"/>
  <c r="P22" i="82"/>
  <c r="K22" i="82"/>
  <c r="I22" i="82"/>
  <c r="J22" i="82" s="1"/>
  <c r="H22" i="82"/>
  <c r="R21" i="82"/>
  <c r="O21" i="82" s="1"/>
  <c r="P21" i="82"/>
  <c r="K21" i="82"/>
  <c r="I21" i="82"/>
  <c r="J21" i="82" s="1"/>
  <c r="H21" i="82"/>
  <c r="R20" i="82"/>
  <c r="O20" i="82" s="1"/>
  <c r="P20" i="82"/>
  <c r="K20" i="82"/>
  <c r="I20" i="82"/>
  <c r="J20" i="82" s="1"/>
  <c r="H20" i="82"/>
  <c r="R19" i="82"/>
  <c r="O19" i="82" s="1"/>
  <c r="P19" i="82"/>
  <c r="K19" i="82"/>
  <c r="I19" i="82"/>
  <c r="J19" i="82" s="1"/>
  <c r="H19" i="82"/>
  <c r="R18" i="82"/>
  <c r="Q18" i="82" s="1"/>
  <c r="P18" i="82"/>
  <c r="K18" i="82"/>
  <c r="I18" i="82"/>
  <c r="J18" i="82" s="1"/>
  <c r="H18" i="82"/>
  <c r="R17" i="82"/>
  <c r="O17" i="82" s="1"/>
  <c r="P17" i="82"/>
  <c r="K17" i="82"/>
  <c r="I17" i="82"/>
  <c r="J17" i="82" s="1"/>
  <c r="H17" i="82"/>
  <c r="R16" i="82"/>
  <c r="O16" i="82" s="1"/>
  <c r="P16" i="82"/>
  <c r="K16" i="82"/>
  <c r="I16" i="82"/>
  <c r="J16" i="82" s="1"/>
  <c r="H16" i="82"/>
  <c r="R15" i="82"/>
  <c r="O15" i="82" s="1"/>
  <c r="P15" i="82"/>
  <c r="K15" i="82"/>
  <c r="I15" i="82"/>
  <c r="J15" i="82" s="1"/>
  <c r="H15" i="82"/>
  <c r="R14" i="82"/>
  <c r="P14" i="82"/>
  <c r="K14" i="82"/>
  <c r="I14" i="82"/>
  <c r="J14" i="82" s="1"/>
  <c r="H14" i="82"/>
  <c r="R13" i="82"/>
  <c r="O13" i="82" s="1"/>
  <c r="P13" i="82"/>
  <c r="K13" i="82"/>
  <c r="I13" i="82"/>
  <c r="J13" i="82" s="1"/>
  <c r="H13" i="82"/>
  <c r="R12" i="82"/>
  <c r="O12" i="82" s="1"/>
  <c r="P12" i="82"/>
  <c r="K12" i="82"/>
  <c r="I12" i="82"/>
  <c r="J12" i="82" s="1"/>
  <c r="H12" i="82"/>
  <c r="R11" i="82"/>
  <c r="O11" i="82" s="1"/>
  <c r="P11" i="82"/>
  <c r="K11" i="82"/>
  <c r="I11" i="82"/>
  <c r="J11" i="82" s="1"/>
  <c r="H11" i="82"/>
  <c r="R10" i="82"/>
  <c r="Q10" i="82" s="1"/>
  <c r="P10" i="82"/>
  <c r="K10" i="82"/>
  <c r="I10" i="82"/>
  <c r="J10" i="82" s="1"/>
  <c r="H10" i="82"/>
  <c r="R9" i="82"/>
  <c r="O9" i="82" s="1"/>
  <c r="P9" i="82"/>
  <c r="K9" i="82"/>
  <c r="I9" i="82"/>
  <c r="J9" i="82" s="1"/>
  <c r="H9" i="82"/>
  <c r="R8" i="82"/>
  <c r="Q8" i="82" s="1"/>
  <c r="P8" i="82"/>
  <c r="K8" i="82"/>
  <c r="I8" i="82"/>
  <c r="J8" i="82" s="1"/>
  <c r="H8" i="82"/>
  <c r="R7" i="82"/>
  <c r="O7" i="82" s="1"/>
  <c r="P7" i="82"/>
  <c r="K7" i="82"/>
  <c r="I7" i="82"/>
  <c r="H7" i="82"/>
  <c r="R6" i="82"/>
  <c r="O6" i="82" s="1"/>
  <c r="P6" i="82"/>
  <c r="K6" i="82"/>
  <c r="I6" i="82"/>
  <c r="J6" i="82" s="1"/>
  <c r="H6" i="82"/>
  <c r="R35" i="81"/>
  <c r="O35" i="81" s="1"/>
  <c r="P35" i="81"/>
  <c r="K35" i="81"/>
  <c r="I35" i="81"/>
  <c r="J35" i="81" s="1"/>
  <c r="H35" i="81"/>
  <c r="R34" i="81"/>
  <c r="O34" i="81" s="1"/>
  <c r="P34" i="81"/>
  <c r="K34" i="81"/>
  <c r="I34" i="81"/>
  <c r="J34" i="81" s="1"/>
  <c r="H34" i="81"/>
  <c r="R33" i="81"/>
  <c r="O33" i="81" s="1"/>
  <c r="P33" i="81"/>
  <c r="K33" i="81"/>
  <c r="I33" i="81"/>
  <c r="J33" i="81" s="1"/>
  <c r="H33" i="81"/>
  <c r="R32" i="81"/>
  <c r="O32" i="81" s="1"/>
  <c r="P32" i="81"/>
  <c r="K32" i="81"/>
  <c r="I32" i="81"/>
  <c r="H32" i="81"/>
  <c r="R31" i="81"/>
  <c r="O31" i="81" s="1"/>
  <c r="P31" i="81"/>
  <c r="K31" i="81"/>
  <c r="I31" i="81"/>
  <c r="J31" i="81" s="1"/>
  <c r="H31" i="81"/>
  <c r="R30" i="81"/>
  <c r="O30" i="81" s="1"/>
  <c r="P30" i="81"/>
  <c r="K30" i="81"/>
  <c r="I30" i="81"/>
  <c r="J30" i="81" s="1"/>
  <c r="H30" i="81"/>
  <c r="R29" i="81"/>
  <c r="O29" i="81" s="1"/>
  <c r="P29" i="81"/>
  <c r="K29" i="81"/>
  <c r="I29" i="81"/>
  <c r="J29" i="81" s="1"/>
  <c r="H29" i="81"/>
  <c r="R28" i="81"/>
  <c r="O28" i="81" s="1"/>
  <c r="P28" i="81"/>
  <c r="K28" i="81"/>
  <c r="I28" i="81"/>
  <c r="H28" i="81"/>
  <c r="R27" i="81"/>
  <c r="P27" i="81"/>
  <c r="K27" i="81"/>
  <c r="I27" i="81"/>
  <c r="J27" i="81" s="1"/>
  <c r="H27" i="81"/>
  <c r="R26" i="81"/>
  <c r="P26" i="81"/>
  <c r="K26" i="81"/>
  <c r="I26" i="81"/>
  <c r="J26" i="81" s="1"/>
  <c r="H26" i="81"/>
  <c r="R25" i="81"/>
  <c r="O25" i="81" s="1"/>
  <c r="P25" i="81"/>
  <c r="K25" i="81"/>
  <c r="I25" i="81"/>
  <c r="J25" i="81" s="1"/>
  <c r="H25" i="81"/>
  <c r="R24" i="81"/>
  <c r="O24" i="81" s="1"/>
  <c r="P24" i="81"/>
  <c r="K24" i="81"/>
  <c r="I24" i="81"/>
  <c r="H24" i="81"/>
  <c r="R23" i="81"/>
  <c r="O23" i="81" s="1"/>
  <c r="P23" i="81"/>
  <c r="K23" i="81"/>
  <c r="I23" i="81"/>
  <c r="J23" i="81" s="1"/>
  <c r="H23" i="81"/>
  <c r="R22" i="81"/>
  <c r="O22" i="81" s="1"/>
  <c r="P22" i="81"/>
  <c r="K22" i="81"/>
  <c r="I22" i="81"/>
  <c r="J22" i="81" s="1"/>
  <c r="H22" i="81"/>
  <c r="R21" i="81"/>
  <c r="O21" i="81" s="1"/>
  <c r="P21" i="81"/>
  <c r="K21" i="81"/>
  <c r="I21" i="81"/>
  <c r="J21" i="81" s="1"/>
  <c r="H21" i="81"/>
  <c r="R20" i="81"/>
  <c r="O20" i="81" s="1"/>
  <c r="P20" i="81"/>
  <c r="K20" i="81"/>
  <c r="I20" i="81"/>
  <c r="J20" i="81" s="1"/>
  <c r="H20" i="81"/>
  <c r="R19" i="81"/>
  <c r="P19" i="81"/>
  <c r="K19" i="81"/>
  <c r="I19" i="81"/>
  <c r="J19" i="81" s="1"/>
  <c r="H19" i="81"/>
  <c r="R18" i="81"/>
  <c r="Q18" i="81" s="1"/>
  <c r="P18" i="81"/>
  <c r="K18" i="81"/>
  <c r="I18" i="81"/>
  <c r="J18" i="81" s="1"/>
  <c r="H18" i="81"/>
  <c r="R17" i="81"/>
  <c r="Q17" i="81" s="1"/>
  <c r="P17" i="81"/>
  <c r="K17" i="81"/>
  <c r="I17" i="81"/>
  <c r="J17" i="81" s="1"/>
  <c r="H17" i="81"/>
  <c r="R16" i="81"/>
  <c r="O16" i="81" s="1"/>
  <c r="P16" i="81"/>
  <c r="K16" i="81"/>
  <c r="I16" i="81"/>
  <c r="J16" i="81" s="1"/>
  <c r="H16" i="81"/>
  <c r="R15" i="81"/>
  <c r="O15" i="81" s="1"/>
  <c r="P15" i="81"/>
  <c r="K15" i="81"/>
  <c r="I15" i="81"/>
  <c r="J15" i="81" s="1"/>
  <c r="H15" i="81"/>
  <c r="R14" i="81"/>
  <c r="O14" i="81" s="1"/>
  <c r="P14" i="81"/>
  <c r="K14" i="81"/>
  <c r="I14" i="81"/>
  <c r="J14" i="81" s="1"/>
  <c r="H14" i="81"/>
  <c r="R13" i="81"/>
  <c r="O13" i="81" s="1"/>
  <c r="P13" i="81"/>
  <c r="K13" i="81"/>
  <c r="I13" i="81"/>
  <c r="J13" i="81" s="1"/>
  <c r="H13" i="81"/>
  <c r="R12" i="81"/>
  <c r="O12" i="81" s="1"/>
  <c r="P12" i="81"/>
  <c r="K12" i="81"/>
  <c r="I12" i="81"/>
  <c r="J12" i="81" s="1"/>
  <c r="H12" i="81"/>
  <c r="R11" i="81"/>
  <c r="O11" i="81" s="1"/>
  <c r="P11" i="81"/>
  <c r="K11" i="81"/>
  <c r="I11" i="81"/>
  <c r="J11" i="81" s="1"/>
  <c r="H11" i="81"/>
  <c r="R10" i="81"/>
  <c r="O10" i="81" s="1"/>
  <c r="P10" i="81"/>
  <c r="K10" i="81"/>
  <c r="I10" i="81"/>
  <c r="J10" i="81" s="1"/>
  <c r="H10" i="81"/>
  <c r="R9" i="81"/>
  <c r="O9" i="81" s="1"/>
  <c r="P9" i="81"/>
  <c r="K9" i="81"/>
  <c r="I9" i="81"/>
  <c r="J9" i="81" s="1"/>
  <c r="H9" i="81"/>
  <c r="R8" i="81"/>
  <c r="O8" i="81" s="1"/>
  <c r="P8" i="81"/>
  <c r="K8" i="81"/>
  <c r="I8" i="81"/>
  <c r="H8" i="81"/>
  <c r="R7" i="81"/>
  <c r="P7" i="81"/>
  <c r="K7" i="81"/>
  <c r="I7" i="81"/>
  <c r="J7" i="81" s="1"/>
  <c r="H7" i="81"/>
  <c r="R6" i="81"/>
  <c r="O6" i="81" s="1"/>
  <c r="P6" i="81"/>
  <c r="K6" i="81"/>
  <c r="I6" i="81"/>
  <c r="J6" i="81" s="1"/>
  <c r="H6" i="81"/>
  <c r="C35" i="89"/>
  <c r="C34" i="89"/>
  <c r="C33" i="89"/>
  <c r="C32" i="89"/>
  <c r="C31" i="89"/>
  <c r="C30" i="89"/>
  <c r="C29" i="89"/>
  <c r="C28" i="89"/>
  <c r="C27" i="89"/>
  <c r="C26" i="89"/>
  <c r="C25" i="89"/>
  <c r="C24" i="89"/>
  <c r="C23" i="89"/>
  <c r="C22" i="89"/>
  <c r="C21" i="89"/>
  <c r="C20" i="89"/>
  <c r="C19" i="89"/>
  <c r="C18" i="89"/>
  <c r="C17" i="89"/>
  <c r="C16" i="89"/>
  <c r="C15" i="89"/>
  <c r="C14" i="89"/>
  <c r="C13" i="89"/>
  <c r="C12" i="89"/>
  <c r="C11" i="89"/>
  <c r="C10" i="89"/>
  <c r="C9" i="89"/>
  <c r="C8" i="89"/>
  <c r="C7" i="89"/>
  <c r="C6" i="89"/>
  <c r="C3" i="89"/>
  <c r="C35" i="88"/>
  <c r="C34" i="88"/>
  <c r="C33" i="88"/>
  <c r="C32" i="88"/>
  <c r="C31" i="88"/>
  <c r="C30" i="88"/>
  <c r="C29" i="88"/>
  <c r="C28" i="88"/>
  <c r="C27" i="88"/>
  <c r="C26" i="88"/>
  <c r="C25" i="88"/>
  <c r="C24" i="88"/>
  <c r="C23" i="88"/>
  <c r="C22" i="88"/>
  <c r="C21" i="88"/>
  <c r="C20" i="88"/>
  <c r="C19" i="88"/>
  <c r="C18" i="88"/>
  <c r="C17" i="88"/>
  <c r="C16" i="88"/>
  <c r="C15" i="88"/>
  <c r="C14" i="88"/>
  <c r="C13" i="88"/>
  <c r="C12" i="88"/>
  <c r="C11" i="88"/>
  <c r="C10" i="88"/>
  <c r="C9" i="88"/>
  <c r="C8" i="88"/>
  <c r="C7" i="88"/>
  <c r="C6" i="88"/>
  <c r="C3" i="88"/>
  <c r="C35" i="87"/>
  <c r="C34" i="87"/>
  <c r="C33" i="87"/>
  <c r="C32" i="87"/>
  <c r="C31" i="87"/>
  <c r="C30" i="87"/>
  <c r="C29" i="87"/>
  <c r="C28" i="87"/>
  <c r="C27" i="87"/>
  <c r="C26" i="87"/>
  <c r="C25" i="87"/>
  <c r="C24" i="87"/>
  <c r="C23" i="87"/>
  <c r="C22" i="87"/>
  <c r="C21" i="87"/>
  <c r="C20" i="87"/>
  <c r="C19" i="87"/>
  <c r="C18" i="87"/>
  <c r="C17" i="87"/>
  <c r="C16" i="87"/>
  <c r="C15" i="87"/>
  <c r="C14" i="87"/>
  <c r="C13" i="87"/>
  <c r="C12" i="87"/>
  <c r="C11" i="87"/>
  <c r="C10" i="87"/>
  <c r="C9" i="87"/>
  <c r="C8" i="87"/>
  <c r="C7" i="87"/>
  <c r="C6" i="87"/>
  <c r="C3" i="87"/>
  <c r="C35" i="86"/>
  <c r="C34" i="86"/>
  <c r="C33" i="86"/>
  <c r="C32" i="86"/>
  <c r="C31" i="86"/>
  <c r="C30" i="86"/>
  <c r="C29" i="86"/>
  <c r="C28" i="86"/>
  <c r="C27" i="86"/>
  <c r="C26" i="86"/>
  <c r="C25" i="86"/>
  <c r="C24" i="86"/>
  <c r="C23" i="86"/>
  <c r="C22" i="86"/>
  <c r="C21" i="86"/>
  <c r="C20" i="86"/>
  <c r="C19" i="86"/>
  <c r="C18" i="86"/>
  <c r="C17" i="86"/>
  <c r="C16" i="86"/>
  <c r="C15" i="86"/>
  <c r="C14" i="86"/>
  <c r="C13" i="86"/>
  <c r="C12" i="86"/>
  <c r="C11" i="86"/>
  <c r="C10" i="86"/>
  <c r="C9" i="86"/>
  <c r="C8" i="86"/>
  <c r="C7" i="86"/>
  <c r="C6" i="86"/>
  <c r="C3" i="86"/>
  <c r="C35" i="85"/>
  <c r="C34" i="85"/>
  <c r="C33" i="85"/>
  <c r="C32" i="85"/>
  <c r="C31" i="85"/>
  <c r="C30" i="85"/>
  <c r="C29" i="85"/>
  <c r="C28" i="85"/>
  <c r="C27" i="85"/>
  <c r="C26" i="85"/>
  <c r="C25" i="85"/>
  <c r="C24" i="85"/>
  <c r="C23" i="85"/>
  <c r="C22" i="85"/>
  <c r="C21" i="85"/>
  <c r="C20" i="85"/>
  <c r="C19" i="85"/>
  <c r="C18" i="85"/>
  <c r="C17" i="85"/>
  <c r="C16" i="85"/>
  <c r="C15" i="85"/>
  <c r="C14" i="85"/>
  <c r="C13" i="85"/>
  <c r="C12" i="85"/>
  <c r="C11" i="85"/>
  <c r="C10" i="85"/>
  <c r="C9" i="85"/>
  <c r="C8" i="85"/>
  <c r="C7" i="85"/>
  <c r="C6" i="85"/>
  <c r="C3" i="85"/>
  <c r="C35" i="84"/>
  <c r="C34" i="84"/>
  <c r="C33" i="84"/>
  <c r="C32" i="84"/>
  <c r="C31" i="84"/>
  <c r="C30" i="84"/>
  <c r="C29" i="84"/>
  <c r="C28" i="84"/>
  <c r="C27" i="84"/>
  <c r="C26" i="84"/>
  <c r="C25" i="84"/>
  <c r="C24" i="84"/>
  <c r="C23" i="84"/>
  <c r="C22" i="84"/>
  <c r="C21" i="84"/>
  <c r="C20" i="84"/>
  <c r="C19" i="84"/>
  <c r="C18" i="84"/>
  <c r="C17" i="84"/>
  <c r="C16" i="84"/>
  <c r="C15" i="84"/>
  <c r="C14" i="84"/>
  <c r="C13" i="84"/>
  <c r="C12" i="84"/>
  <c r="C11" i="84"/>
  <c r="C10" i="84"/>
  <c r="C9" i="84"/>
  <c r="C8" i="84"/>
  <c r="C7" i="84"/>
  <c r="C6" i="84"/>
  <c r="C3" i="84"/>
  <c r="C35" i="83"/>
  <c r="C34" i="83"/>
  <c r="C33" i="83"/>
  <c r="C32" i="83"/>
  <c r="C31" i="83"/>
  <c r="C30" i="83"/>
  <c r="C29" i="83"/>
  <c r="C28" i="83"/>
  <c r="C27" i="83"/>
  <c r="C26" i="83"/>
  <c r="C25" i="83"/>
  <c r="C24" i="83"/>
  <c r="C23" i="83"/>
  <c r="C22" i="83"/>
  <c r="C21" i="83"/>
  <c r="C20" i="83"/>
  <c r="C19" i="83"/>
  <c r="C18" i="83"/>
  <c r="C17" i="83"/>
  <c r="C16" i="83"/>
  <c r="C15" i="83"/>
  <c r="C14" i="83"/>
  <c r="C13" i="83"/>
  <c r="C12" i="83"/>
  <c r="C11" i="83"/>
  <c r="C10" i="83"/>
  <c r="C9" i="83"/>
  <c r="C8" i="83"/>
  <c r="C7" i="83"/>
  <c r="C6" i="83"/>
  <c r="C3" i="83"/>
  <c r="C35" i="82"/>
  <c r="C34" i="82"/>
  <c r="C33" i="82"/>
  <c r="C32" i="82"/>
  <c r="C31" i="82"/>
  <c r="C30" i="82"/>
  <c r="C29" i="82"/>
  <c r="C28" i="82"/>
  <c r="C27" i="82"/>
  <c r="C26" i="82"/>
  <c r="C25" i="82"/>
  <c r="C24" i="82"/>
  <c r="C23" i="82"/>
  <c r="C22" i="82"/>
  <c r="C21" i="82"/>
  <c r="C20" i="82"/>
  <c r="C19" i="82"/>
  <c r="C18" i="82"/>
  <c r="C17" i="82"/>
  <c r="C16" i="82"/>
  <c r="C15" i="82"/>
  <c r="C14" i="82"/>
  <c r="C13" i="82"/>
  <c r="C12" i="82"/>
  <c r="C11" i="82"/>
  <c r="C10" i="82"/>
  <c r="C9" i="82"/>
  <c r="C8" i="82"/>
  <c r="C7" i="82"/>
  <c r="C6" i="82"/>
  <c r="C3" i="82"/>
  <c r="C35" i="81"/>
  <c r="C34" i="81"/>
  <c r="C33" i="81"/>
  <c r="C32" i="81"/>
  <c r="C31" i="81"/>
  <c r="C30" i="81"/>
  <c r="C29" i="81"/>
  <c r="C28" i="81"/>
  <c r="C27" i="81"/>
  <c r="C26" i="81"/>
  <c r="C25" i="81"/>
  <c r="C24" i="81"/>
  <c r="C23" i="81"/>
  <c r="C22" i="81"/>
  <c r="C21" i="81"/>
  <c r="C20" i="81"/>
  <c r="C19" i="81"/>
  <c r="C18" i="81"/>
  <c r="C17" i="81"/>
  <c r="C16" i="81"/>
  <c r="C15" i="81"/>
  <c r="C14" i="81"/>
  <c r="C13" i="81"/>
  <c r="C12" i="81"/>
  <c r="C11" i="81"/>
  <c r="C10" i="81"/>
  <c r="C9" i="81"/>
  <c r="C8" i="81"/>
  <c r="C7" i="81"/>
  <c r="C6" i="81"/>
  <c r="C3" i="81"/>
  <c r="H38" i="84" l="1"/>
  <c r="J6" i="84"/>
  <c r="J38" i="84" s="1"/>
  <c r="I38" i="84"/>
  <c r="K38" i="84"/>
  <c r="Q23" i="86"/>
  <c r="Q31" i="86"/>
  <c r="Q10" i="86"/>
  <c r="Q22" i="86"/>
  <c r="Q17" i="85"/>
  <c r="L24" i="87"/>
  <c r="Q10" i="88"/>
  <c r="L22" i="87"/>
  <c r="O23" i="87"/>
  <c r="Q23" i="87"/>
  <c r="O27" i="87"/>
  <c r="Q27" i="87"/>
  <c r="O20" i="89"/>
  <c r="Q20" i="89"/>
  <c r="Q30" i="88"/>
  <c r="L12" i="88"/>
  <c r="L16" i="88"/>
  <c r="L24" i="88"/>
  <c r="Q9" i="85"/>
  <c r="L17" i="82"/>
  <c r="L21" i="82"/>
  <c r="L25" i="82"/>
  <c r="L29" i="82"/>
  <c r="L33" i="82"/>
  <c r="L7" i="83"/>
  <c r="L11" i="83"/>
  <c r="L15" i="83"/>
  <c r="L19" i="83"/>
  <c r="L23" i="83"/>
  <c r="L27" i="83"/>
  <c r="L31" i="83"/>
  <c r="L35" i="83"/>
  <c r="L13" i="84"/>
  <c r="L17" i="84"/>
  <c r="L21" i="84"/>
  <c r="L23" i="88"/>
  <c r="Q22" i="87"/>
  <c r="Q22" i="88"/>
  <c r="Q8" i="87"/>
  <c r="Q31" i="85"/>
  <c r="Q12" i="86"/>
  <c r="Q26" i="86"/>
  <c r="L24" i="86"/>
  <c r="L35" i="87"/>
  <c r="Q24" i="87"/>
  <c r="Q33" i="87"/>
  <c r="L22" i="82"/>
  <c r="L26" i="82"/>
  <c r="L30" i="82"/>
  <c r="L34" i="82"/>
  <c r="L6" i="83"/>
  <c r="L10" i="83"/>
  <c r="L14" i="83"/>
  <c r="L18" i="83"/>
  <c r="L22" i="83"/>
  <c r="L26" i="83"/>
  <c r="L30" i="83"/>
  <c r="L34" i="83"/>
  <c r="L8" i="84"/>
  <c r="L20" i="84"/>
  <c r="L6" i="85"/>
  <c r="L14" i="85"/>
  <c r="L18" i="85"/>
  <c r="L26" i="85"/>
  <c r="L34" i="85"/>
  <c r="L6" i="86"/>
  <c r="L11" i="86"/>
  <c r="L26" i="88"/>
  <c r="L30" i="88"/>
  <c r="L34" i="88"/>
  <c r="L21" i="86"/>
  <c r="L25" i="86"/>
  <c r="O35" i="86"/>
  <c r="L10" i="86"/>
  <c r="L11" i="88"/>
  <c r="L15" i="88"/>
  <c r="L29" i="88"/>
  <c r="O32" i="87"/>
  <c r="Q7" i="86"/>
  <c r="Q12" i="87"/>
  <c r="Q25" i="88"/>
  <c r="L12" i="82"/>
  <c r="L16" i="82"/>
  <c r="L26" i="84"/>
  <c r="L30" i="84"/>
  <c r="L34" i="84"/>
  <c r="L8" i="85"/>
  <c r="L12" i="85"/>
  <c r="L16" i="85"/>
  <c r="L20" i="85"/>
  <c r="L28" i="85"/>
  <c r="L32" i="85"/>
  <c r="L19" i="86"/>
  <c r="L23" i="86"/>
  <c r="L34" i="87"/>
  <c r="L10" i="88"/>
  <c r="L14" i="88"/>
  <c r="L22" i="88"/>
  <c r="L28" i="88"/>
  <c r="L32" i="88"/>
  <c r="L23" i="89"/>
  <c r="L7" i="82"/>
  <c r="L11" i="82"/>
  <c r="L15" i="82"/>
  <c r="L12" i="86"/>
  <c r="L22" i="86"/>
  <c r="L34" i="86"/>
  <c r="L8" i="87"/>
  <c r="L12" i="87"/>
  <c r="L13" i="88"/>
  <c r="L21" i="88"/>
  <c r="L27" i="88"/>
  <c r="L31" i="88"/>
  <c r="L9" i="82"/>
  <c r="L23" i="82"/>
  <c r="L27" i="82"/>
  <c r="L31" i="82"/>
  <c r="L35" i="82"/>
  <c r="L9" i="83"/>
  <c r="L13" i="83"/>
  <c r="L17" i="83"/>
  <c r="L21" i="83"/>
  <c r="L25" i="83"/>
  <c r="L7" i="86"/>
  <c r="L29" i="86"/>
  <c r="L35" i="86"/>
  <c r="L9" i="87"/>
  <c r="L32" i="87"/>
  <c r="L26" i="86"/>
  <c r="L20" i="88"/>
  <c r="Q8" i="85"/>
  <c r="L10" i="82"/>
  <c r="Q32" i="85"/>
  <c r="L14" i="82"/>
  <c r="L19" i="82"/>
  <c r="L20" i="82"/>
  <c r="L8" i="86"/>
  <c r="L9" i="86"/>
  <c r="O25" i="85"/>
  <c r="L6" i="87"/>
  <c r="L10" i="87"/>
  <c r="L11" i="87"/>
  <c r="L13" i="87"/>
  <c r="L14" i="87"/>
  <c r="L15" i="87"/>
  <c r="L16" i="87"/>
  <c r="L17" i="87"/>
  <c r="L18" i="87"/>
  <c r="L19" i="87"/>
  <c r="L21" i="87"/>
  <c r="L23" i="87"/>
  <c r="L29" i="87"/>
  <c r="L33" i="87"/>
  <c r="O16" i="87"/>
  <c r="L33" i="86"/>
  <c r="L29" i="83"/>
  <c r="L33" i="83"/>
  <c r="L15" i="86"/>
  <c r="L16" i="86"/>
  <c r="L17" i="86"/>
  <c r="L27" i="86"/>
  <c r="L28" i="86"/>
  <c r="L30" i="86"/>
  <c r="L31" i="86"/>
  <c r="L32" i="86"/>
  <c r="L25" i="87"/>
  <c r="L26" i="87"/>
  <c r="L17" i="88"/>
  <c r="L18" i="88"/>
  <c r="L19" i="88"/>
  <c r="O20" i="87"/>
  <c r="L33" i="88"/>
  <c r="L6" i="89"/>
  <c r="L20" i="89"/>
  <c r="L22" i="89"/>
  <c r="P38" i="91"/>
  <c r="L6" i="88"/>
  <c r="L7" i="88"/>
  <c r="L8" i="88"/>
  <c r="L9" i="88"/>
  <c r="L25" i="88"/>
  <c r="L9" i="89"/>
  <c r="L11" i="89"/>
  <c r="L21" i="89"/>
  <c r="H42" i="91"/>
  <c r="D41" i="91"/>
  <c r="H41" i="91"/>
  <c r="E41" i="91"/>
  <c r="E42" i="91"/>
  <c r="D42" i="91"/>
  <c r="M47" i="91"/>
  <c r="Q14" i="88"/>
  <c r="L24" i="89"/>
  <c r="L25" i="89"/>
  <c r="L26" i="89"/>
  <c r="L29" i="89"/>
  <c r="O11" i="88"/>
  <c r="L12" i="89"/>
  <c r="L13" i="89"/>
  <c r="L14" i="89"/>
  <c r="L15" i="89"/>
  <c r="O31" i="88"/>
  <c r="L32" i="89"/>
  <c r="L17" i="89"/>
  <c r="L19" i="89"/>
  <c r="O19" i="88"/>
  <c r="L33" i="89"/>
  <c r="L34" i="89"/>
  <c r="Q10" i="89"/>
  <c r="Q24" i="89"/>
  <c r="O8" i="89"/>
  <c r="O11" i="89"/>
  <c r="O35" i="89"/>
  <c r="O12" i="89"/>
  <c r="Q32" i="89"/>
  <c r="L28" i="89"/>
  <c r="L16" i="89"/>
  <c r="L8" i="89"/>
  <c r="Q6" i="88"/>
  <c r="L35" i="89"/>
  <c r="L31" i="89"/>
  <c r="L27" i="89"/>
  <c r="L7" i="89"/>
  <c r="Q29" i="88"/>
  <c r="L30" i="89"/>
  <c r="L18" i="89"/>
  <c r="L10" i="89"/>
  <c r="H38" i="88"/>
  <c r="O35" i="88"/>
  <c r="Q28" i="87"/>
  <c r="H38" i="87"/>
  <c r="L35" i="88"/>
  <c r="Q7" i="87"/>
  <c r="L28" i="87"/>
  <c r="L20" i="87"/>
  <c r="R38" i="86"/>
  <c r="J22" i="86"/>
  <c r="L31" i="87"/>
  <c r="L27" i="87"/>
  <c r="L7" i="87"/>
  <c r="Q6" i="86"/>
  <c r="O19" i="86"/>
  <c r="L30" i="87"/>
  <c r="Q15" i="86"/>
  <c r="Q28" i="86"/>
  <c r="L18" i="86"/>
  <c r="L14" i="86"/>
  <c r="L13" i="86"/>
  <c r="Q21" i="85"/>
  <c r="O33" i="85"/>
  <c r="L20" i="86"/>
  <c r="O20" i="85"/>
  <c r="Q11" i="84"/>
  <c r="L7" i="84"/>
  <c r="L11" i="84"/>
  <c r="L23" i="84"/>
  <c r="L27" i="84"/>
  <c r="L31" i="84"/>
  <c r="L13" i="85"/>
  <c r="L17" i="85"/>
  <c r="L21" i="85"/>
  <c r="L25" i="85"/>
  <c r="L29" i="85"/>
  <c r="L33" i="85"/>
  <c r="L14" i="84"/>
  <c r="L10" i="84"/>
  <c r="L25" i="84"/>
  <c r="L29" i="84"/>
  <c r="L33" i="84"/>
  <c r="L11" i="85"/>
  <c r="L23" i="85"/>
  <c r="L31" i="85"/>
  <c r="L35" i="85"/>
  <c r="J28" i="81"/>
  <c r="L28" i="82"/>
  <c r="J32" i="81"/>
  <c r="L32" i="82"/>
  <c r="L18" i="82"/>
  <c r="L32" i="83"/>
  <c r="L24" i="83"/>
  <c r="L16" i="83"/>
  <c r="L8" i="83"/>
  <c r="J8" i="81"/>
  <c r="L8" i="82"/>
  <c r="O14" i="82"/>
  <c r="Q14" i="82"/>
  <c r="L10" i="85"/>
  <c r="L27" i="85"/>
  <c r="L19" i="85"/>
  <c r="L6" i="82"/>
  <c r="L15" i="84"/>
  <c r="L28" i="84"/>
  <c r="L32" i="84"/>
  <c r="L35" i="84"/>
  <c r="L9" i="85"/>
  <c r="L22" i="85"/>
  <c r="L28" i="83"/>
  <c r="L20" i="83"/>
  <c r="L12" i="83"/>
  <c r="L18" i="84"/>
  <c r="L24" i="85"/>
  <c r="J24" i="81"/>
  <c r="L24" i="82"/>
  <c r="J6" i="83"/>
  <c r="L6" i="84"/>
  <c r="L30" i="85"/>
  <c r="L22" i="84"/>
  <c r="Q31" i="81"/>
  <c r="J12" i="83"/>
  <c r="L12" i="84"/>
  <c r="L16" i="84"/>
  <c r="L19" i="84"/>
  <c r="J24" i="83"/>
  <c r="L24" i="84"/>
  <c r="L13" i="82"/>
  <c r="L9" i="84"/>
  <c r="L15" i="85"/>
  <c r="L7" i="85"/>
  <c r="Q31" i="83"/>
  <c r="Q23" i="82"/>
  <c r="Q25" i="82"/>
  <c r="Q15" i="81"/>
  <c r="Q21" i="84"/>
  <c r="Q8" i="84"/>
  <c r="Q7" i="84"/>
  <c r="Q23" i="84"/>
  <c r="Q34" i="84"/>
  <c r="P38" i="84"/>
  <c r="Q28" i="84"/>
  <c r="O27" i="84"/>
  <c r="Q33" i="84"/>
  <c r="Q15" i="84"/>
  <c r="Q24" i="84"/>
  <c r="Q25" i="84"/>
  <c r="Q32" i="84"/>
  <c r="O12" i="84"/>
  <c r="O31" i="84"/>
  <c r="Q18" i="84"/>
  <c r="Q22" i="84"/>
  <c r="Q20" i="83"/>
  <c r="O28" i="83"/>
  <c r="Q6" i="83"/>
  <c r="Q14" i="83"/>
  <c r="O16" i="83"/>
  <c r="Q10" i="83"/>
  <c r="Q19" i="83"/>
  <c r="Q12" i="83"/>
  <c r="Q22" i="83"/>
  <c r="Q21" i="83"/>
  <c r="Q22" i="82"/>
  <c r="Q17" i="82"/>
  <c r="Q13" i="82"/>
  <c r="Q16" i="82"/>
  <c r="O34" i="82"/>
  <c r="Q6" i="82"/>
  <c r="Q9" i="82"/>
  <c r="Q12" i="82"/>
  <c r="Q19" i="82"/>
  <c r="Q29" i="82"/>
  <c r="O26" i="82"/>
  <c r="O35" i="82"/>
  <c r="Q28" i="82"/>
  <c r="Q31" i="82"/>
  <c r="O10" i="82"/>
  <c r="Q14" i="89"/>
  <c r="Q28" i="89"/>
  <c r="H38" i="89"/>
  <c r="Q7" i="89"/>
  <c r="Q22" i="89"/>
  <c r="Q31" i="89"/>
  <c r="R38" i="89"/>
  <c r="Q16" i="89"/>
  <c r="Q15" i="88"/>
  <c r="Q23" i="88"/>
  <c r="O7" i="88"/>
  <c r="O27" i="88"/>
  <c r="Q21" i="88"/>
  <c r="Q26" i="88"/>
  <c r="Q18" i="86"/>
  <c r="O34" i="86"/>
  <c r="H38" i="86"/>
  <c r="H38" i="85"/>
  <c r="Q12" i="85"/>
  <c r="Q13" i="85"/>
  <c r="O16" i="85"/>
  <c r="O24" i="85"/>
  <c r="Q34" i="85"/>
  <c r="Q30" i="84"/>
  <c r="Q10" i="84"/>
  <c r="Q16" i="84"/>
  <c r="Q20" i="84"/>
  <c r="Q29" i="84"/>
  <c r="Q14" i="84"/>
  <c r="Q26" i="84"/>
  <c r="Q27" i="83"/>
  <c r="Q7" i="83"/>
  <c r="Q8" i="83"/>
  <c r="Q18" i="83"/>
  <c r="Q32" i="83"/>
  <c r="H38" i="83"/>
  <c r="P38" i="83"/>
  <c r="O11" i="83"/>
  <c r="O24" i="83"/>
  <c r="O35" i="83"/>
  <c r="Q17" i="83"/>
  <c r="Q23" i="83"/>
  <c r="Q25" i="83"/>
  <c r="Q15" i="82"/>
  <c r="Q24" i="82"/>
  <c r="Q7" i="82"/>
  <c r="Q21" i="82"/>
  <c r="I38" i="82"/>
  <c r="O18" i="82"/>
  <c r="Q11" i="82"/>
  <c r="Q20" i="82"/>
  <c r="Q27" i="82"/>
  <c r="Q23" i="81"/>
  <c r="Q11" i="81"/>
  <c r="Q29" i="81"/>
  <c r="O17" i="81"/>
  <c r="Q9" i="81"/>
  <c r="Q13" i="81"/>
  <c r="Q25" i="81"/>
  <c r="Q35" i="81"/>
  <c r="Q21" i="81"/>
  <c r="Q30" i="81"/>
  <c r="Q33" i="81"/>
  <c r="Q34" i="81"/>
  <c r="O18" i="81"/>
  <c r="I38" i="89"/>
  <c r="Q9" i="89"/>
  <c r="Q6" i="89"/>
  <c r="Q33" i="89"/>
  <c r="Q34" i="89"/>
  <c r="O18" i="89"/>
  <c r="O26" i="89"/>
  <c r="Q20" i="88"/>
  <c r="Q24" i="88"/>
  <c r="O8" i="88"/>
  <c r="O12" i="88"/>
  <c r="O16" i="88"/>
  <c r="O28" i="88"/>
  <c r="O32" i="88"/>
  <c r="Q9" i="88"/>
  <c r="Q13" i="88"/>
  <c r="Q34" i="87"/>
  <c r="O34" i="87"/>
  <c r="Q26" i="87"/>
  <c r="O35" i="87"/>
  <c r="Q35" i="87"/>
  <c r="Q6" i="87"/>
  <c r="Q18" i="87"/>
  <c r="Q19" i="87"/>
  <c r="Q14" i="87"/>
  <c r="O14" i="87"/>
  <c r="Q30" i="87"/>
  <c r="O30" i="87"/>
  <c r="Q10" i="87"/>
  <c r="Q11" i="87"/>
  <c r="O15" i="87"/>
  <c r="Q15" i="87"/>
  <c r="O31" i="87"/>
  <c r="Q31" i="87"/>
  <c r="Q8" i="86"/>
  <c r="Q16" i="86"/>
  <c r="Q17" i="86"/>
  <c r="Q20" i="86"/>
  <c r="Q21" i="86"/>
  <c r="Q24" i="86"/>
  <c r="Q32" i="86"/>
  <c r="Q33" i="86"/>
  <c r="O8" i="86"/>
  <c r="O7" i="85"/>
  <c r="Q7" i="85"/>
  <c r="Q18" i="85"/>
  <c r="O18" i="85"/>
  <c r="Q26" i="85"/>
  <c r="O26" i="85"/>
  <c r="O19" i="85"/>
  <c r="Q19" i="85"/>
  <c r="O27" i="85"/>
  <c r="Q27" i="85"/>
  <c r="O10" i="85"/>
  <c r="Q22" i="85"/>
  <c r="O22" i="85"/>
  <c r="Q11" i="85"/>
  <c r="Q14" i="85"/>
  <c r="Q30" i="85"/>
  <c r="Q35" i="85"/>
  <c r="O23" i="85"/>
  <c r="Q23" i="85"/>
  <c r="R38" i="84"/>
  <c r="O6" i="84"/>
  <c r="Q9" i="84"/>
  <c r="Q13" i="84"/>
  <c r="Q17" i="84"/>
  <c r="Q13" i="83"/>
  <c r="Q29" i="83"/>
  <c r="Q30" i="83"/>
  <c r="Q33" i="83"/>
  <c r="Q34" i="83"/>
  <c r="I38" i="83"/>
  <c r="Q9" i="83"/>
  <c r="J7" i="82"/>
  <c r="H42" i="82" s="1"/>
  <c r="R38" i="82"/>
  <c r="H38" i="82"/>
  <c r="O8" i="82"/>
  <c r="O32" i="82"/>
  <c r="Q33" i="82"/>
  <c r="O27" i="81"/>
  <c r="Q27" i="81"/>
  <c r="Q22" i="81"/>
  <c r="O7" i="81"/>
  <c r="Q7" i="81"/>
  <c r="O19" i="81"/>
  <c r="Q19" i="81"/>
  <c r="Q26" i="81"/>
  <c r="O26" i="81"/>
  <c r="Q9" i="87"/>
  <c r="Q17" i="87"/>
  <c r="H42" i="88"/>
  <c r="H41" i="88"/>
  <c r="Q25" i="87"/>
  <c r="R38" i="87"/>
  <c r="Q21" i="87"/>
  <c r="I38" i="87"/>
  <c r="P38" i="87"/>
  <c r="Q13" i="87"/>
  <c r="Q29" i="87"/>
  <c r="Q17" i="89"/>
  <c r="Q29" i="89"/>
  <c r="Q13" i="89"/>
  <c r="Q21" i="89"/>
  <c r="I38" i="88"/>
  <c r="Q25" i="89"/>
  <c r="Q30" i="89"/>
  <c r="P38" i="88"/>
  <c r="Q17" i="88"/>
  <c r="Q18" i="88"/>
  <c r="Q33" i="88"/>
  <c r="Q34" i="88"/>
  <c r="Q19" i="89"/>
  <c r="Q27" i="89"/>
  <c r="R38" i="88"/>
  <c r="Q15" i="89"/>
  <c r="Q23" i="89"/>
  <c r="P38" i="89"/>
  <c r="H41" i="85"/>
  <c r="Q13" i="86"/>
  <c r="Q11" i="86"/>
  <c r="Q27" i="86"/>
  <c r="Q28" i="85"/>
  <c r="Q29" i="86"/>
  <c r="I38" i="85"/>
  <c r="Q19" i="84"/>
  <c r="Q35" i="84"/>
  <c r="R38" i="85"/>
  <c r="Q6" i="85"/>
  <c r="H42" i="85"/>
  <c r="Q15" i="85"/>
  <c r="Q29" i="85"/>
  <c r="I38" i="86"/>
  <c r="P38" i="86"/>
  <c r="Q9" i="86"/>
  <c r="Q14" i="86"/>
  <c r="Q25" i="86"/>
  <c r="Q30" i="86"/>
  <c r="P38" i="85"/>
  <c r="R38" i="83"/>
  <c r="P38" i="82"/>
  <c r="Q30" i="82"/>
  <c r="Q15" i="83"/>
  <c r="Q26" i="83"/>
  <c r="I38" i="81"/>
  <c r="Q10" i="81"/>
  <c r="Q16" i="81"/>
  <c r="Q8" i="81"/>
  <c r="H38" i="81"/>
  <c r="Q12" i="81"/>
  <c r="P38" i="81"/>
  <c r="R38" i="81"/>
  <c r="Q6" i="81"/>
  <c r="Q14" i="81"/>
  <c r="Q20" i="81"/>
  <c r="Q24" i="81"/>
  <c r="Q28" i="81"/>
  <c r="Q32" i="81"/>
  <c r="H42" i="81" l="1"/>
  <c r="L38" i="87"/>
  <c r="H42" i="84"/>
  <c r="H41" i="81"/>
  <c r="L38" i="88"/>
  <c r="L38" i="82"/>
  <c r="H44" i="91"/>
  <c r="E44" i="91"/>
  <c r="D44" i="91"/>
  <c r="L38" i="89"/>
  <c r="O38" i="88"/>
  <c r="L38" i="86"/>
  <c r="H41" i="84"/>
  <c r="L38" i="85"/>
  <c r="L38" i="84"/>
  <c r="L38" i="83"/>
  <c r="I41" i="83"/>
  <c r="I42" i="88"/>
  <c r="O38" i="86"/>
  <c r="I41" i="85"/>
  <c r="O41" i="83"/>
  <c r="Q38" i="82"/>
  <c r="O38" i="82"/>
  <c r="I42" i="82"/>
  <c r="Q38" i="89"/>
  <c r="O41" i="89"/>
  <c r="M41" i="88"/>
  <c r="M41" i="87"/>
  <c r="M41" i="86"/>
  <c r="O41" i="86"/>
  <c r="I42" i="85"/>
  <c r="Q38" i="84"/>
  <c r="M41" i="84"/>
  <c r="M41" i="83"/>
  <c r="Q38" i="83"/>
  <c r="H42" i="89"/>
  <c r="H41" i="89"/>
  <c r="Q38" i="88"/>
  <c r="M41" i="89"/>
  <c r="O41" i="88"/>
  <c r="Q38" i="87"/>
  <c r="I41" i="88"/>
  <c r="O38" i="87"/>
  <c r="I42" i="87"/>
  <c r="I41" i="87"/>
  <c r="H41" i="87"/>
  <c r="H42" i="87"/>
  <c r="O41" i="87"/>
  <c r="I41" i="89"/>
  <c r="I42" i="89"/>
  <c r="O38" i="89"/>
  <c r="H44" i="88"/>
  <c r="O41" i="85"/>
  <c r="Q38" i="85"/>
  <c r="M41" i="85"/>
  <c r="H42" i="86"/>
  <c r="H41" i="86"/>
  <c r="Q38" i="86"/>
  <c r="O41" i="84"/>
  <c r="H44" i="85"/>
  <c r="O38" i="85"/>
  <c r="I42" i="84"/>
  <c r="I41" i="84"/>
  <c r="O38" i="84"/>
  <c r="I41" i="86"/>
  <c r="I42" i="86"/>
  <c r="I42" i="83"/>
  <c r="H42" i="83"/>
  <c r="H41" i="83"/>
  <c r="H41" i="82"/>
  <c r="H44" i="82" s="1"/>
  <c r="M41" i="82"/>
  <c r="I41" i="82"/>
  <c r="O41" i="82"/>
  <c r="O38" i="83"/>
  <c r="Q38" i="81"/>
  <c r="O41" i="81"/>
  <c r="I42" i="81"/>
  <c r="I41" i="81"/>
  <c r="O38" i="81"/>
  <c r="M41" i="81"/>
  <c r="I44" i="85" l="1"/>
  <c r="H44" i="81"/>
  <c r="H44" i="84"/>
  <c r="H44" i="89"/>
  <c r="I44" i="88"/>
  <c r="H44" i="86"/>
  <c r="I44" i="82"/>
  <c r="H44" i="83"/>
  <c r="I44" i="84"/>
  <c r="I44" i="83"/>
  <c r="I44" i="81"/>
  <c r="I44" i="87"/>
  <c r="I44" i="89"/>
  <c r="H44" i="87"/>
  <c r="I44" i="86"/>
  <c r="R35" i="80" l="1"/>
  <c r="P35" i="80"/>
  <c r="K35" i="80"/>
  <c r="I35" i="80"/>
  <c r="H35" i="80"/>
  <c r="R34" i="80"/>
  <c r="P34" i="80"/>
  <c r="K34" i="80"/>
  <c r="I34" i="80"/>
  <c r="H34" i="80"/>
  <c r="R33" i="80"/>
  <c r="P33" i="80"/>
  <c r="K33" i="80"/>
  <c r="I33" i="80"/>
  <c r="H33" i="80"/>
  <c r="R32" i="80"/>
  <c r="P32" i="80"/>
  <c r="K32" i="80"/>
  <c r="I32" i="80"/>
  <c r="H32" i="80"/>
  <c r="R31" i="80"/>
  <c r="P31" i="80"/>
  <c r="K31" i="80"/>
  <c r="I31" i="80"/>
  <c r="H31" i="80"/>
  <c r="R30" i="80"/>
  <c r="P30" i="80"/>
  <c r="K30" i="80"/>
  <c r="I30" i="80"/>
  <c r="H30" i="80"/>
  <c r="R29" i="80"/>
  <c r="P29" i="80"/>
  <c r="K29" i="80"/>
  <c r="I29" i="80"/>
  <c r="H29" i="80"/>
  <c r="R28" i="80"/>
  <c r="P28" i="80"/>
  <c r="K28" i="80"/>
  <c r="I28" i="80"/>
  <c r="H28" i="80"/>
  <c r="R27" i="80"/>
  <c r="P27" i="80"/>
  <c r="K27" i="80"/>
  <c r="I27" i="80"/>
  <c r="H27" i="80"/>
  <c r="R26" i="80"/>
  <c r="P26" i="80"/>
  <c r="K26" i="80"/>
  <c r="I26" i="80"/>
  <c r="H26" i="80"/>
  <c r="R25" i="80"/>
  <c r="P25" i="80"/>
  <c r="K25" i="80"/>
  <c r="I25" i="80"/>
  <c r="H25" i="80"/>
  <c r="R24" i="80"/>
  <c r="P24" i="80"/>
  <c r="K24" i="80"/>
  <c r="I24" i="80"/>
  <c r="H24" i="80"/>
  <c r="R23" i="80"/>
  <c r="P23" i="80"/>
  <c r="K23" i="80"/>
  <c r="I23" i="80"/>
  <c r="H23" i="80"/>
  <c r="R22" i="80"/>
  <c r="P22" i="80"/>
  <c r="K22" i="80"/>
  <c r="I22" i="80"/>
  <c r="H22" i="80"/>
  <c r="R21" i="80"/>
  <c r="P21" i="80"/>
  <c r="K21" i="80"/>
  <c r="I21" i="80"/>
  <c r="H21" i="80"/>
  <c r="R20" i="80"/>
  <c r="P20" i="80"/>
  <c r="K20" i="80"/>
  <c r="I20" i="80"/>
  <c r="H20" i="80"/>
  <c r="R19" i="80"/>
  <c r="P19" i="80"/>
  <c r="K19" i="80"/>
  <c r="I19" i="80"/>
  <c r="H19" i="80"/>
  <c r="R18" i="80"/>
  <c r="P18" i="80"/>
  <c r="K18" i="80"/>
  <c r="I18" i="80"/>
  <c r="H18" i="80"/>
  <c r="R17" i="80"/>
  <c r="P17" i="80"/>
  <c r="K17" i="80"/>
  <c r="I17" i="80"/>
  <c r="H17" i="80"/>
  <c r="R16" i="80"/>
  <c r="P16" i="80"/>
  <c r="K16" i="80"/>
  <c r="I16" i="80"/>
  <c r="H16" i="80"/>
  <c r="R15" i="80"/>
  <c r="P15" i="80"/>
  <c r="K15" i="80"/>
  <c r="I15" i="80"/>
  <c r="H15" i="80"/>
  <c r="R14" i="80"/>
  <c r="P14" i="80"/>
  <c r="K14" i="80"/>
  <c r="I14" i="80"/>
  <c r="H14" i="80"/>
  <c r="R13" i="80"/>
  <c r="P13" i="80"/>
  <c r="K13" i="80"/>
  <c r="I13" i="80"/>
  <c r="H13" i="80"/>
  <c r="R12" i="80"/>
  <c r="P12" i="80"/>
  <c r="K12" i="80"/>
  <c r="I12" i="80"/>
  <c r="H12" i="80"/>
  <c r="R11" i="80"/>
  <c r="P11" i="80"/>
  <c r="K11" i="80"/>
  <c r="I11" i="80"/>
  <c r="H11" i="80"/>
  <c r="R10" i="80"/>
  <c r="P10" i="80"/>
  <c r="K10" i="80"/>
  <c r="I10" i="80"/>
  <c r="H10" i="80"/>
  <c r="R9" i="80"/>
  <c r="P9" i="80"/>
  <c r="K9" i="80"/>
  <c r="I9" i="80"/>
  <c r="H9" i="80"/>
  <c r="R8" i="80"/>
  <c r="P8" i="80"/>
  <c r="K8" i="80"/>
  <c r="I8" i="80"/>
  <c r="H8" i="80"/>
  <c r="R7" i="80"/>
  <c r="P7" i="80"/>
  <c r="K7" i="80"/>
  <c r="I7" i="80"/>
  <c r="H7" i="80"/>
  <c r="R6" i="80"/>
  <c r="P6" i="80"/>
  <c r="K6" i="80"/>
  <c r="I6" i="80"/>
  <c r="H6" i="80"/>
  <c r="C35" i="80"/>
  <c r="C34" i="80"/>
  <c r="C33" i="80"/>
  <c r="C32" i="80"/>
  <c r="C31" i="80"/>
  <c r="C30" i="80"/>
  <c r="C29" i="80"/>
  <c r="C28" i="80"/>
  <c r="C27" i="80"/>
  <c r="C26" i="80"/>
  <c r="C25" i="80"/>
  <c r="C24" i="80"/>
  <c r="C23" i="80"/>
  <c r="C22" i="80"/>
  <c r="C21" i="80"/>
  <c r="C20" i="80"/>
  <c r="C19" i="80"/>
  <c r="C18" i="80"/>
  <c r="C17" i="80"/>
  <c r="C16" i="80"/>
  <c r="C15" i="80"/>
  <c r="C14" i="80"/>
  <c r="C13" i="80"/>
  <c r="C12" i="80"/>
  <c r="C11" i="80"/>
  <c r="C10" i="80"/>
  <c r="C9" i="80"/>
  <c r="C8" i="80"/>
  <c r="C7" i="80"/>
  <c r="C6" i="80"/>
  <c r="C3" i="80"/>
  <c r="J9" i="80" l="1"/>
  <c r="J7" i="80"/>
  <c r="L8" i="81"/>
  <c r="O8" i="80"/>
  <c r="J11" i="80"/>
  <c r="L12" i="81"/>
  <c r="O12" i="80"/>
  <c r="J15" i="80"/>
  <c r="L16" i="81"/>
  <c r="O16" i="80"/>
  <c r="J19" i="80"/>
  <c r="L20" i="81"/>
  <c r="O20" i="80"/>
  <c r="J23" i="80"/>
  <c r="L24" i="81"/>
  <c r="O24" i="80"/>
  <c r="J27" i="80"/>
  <c r="L28" i="81"/>
  <c r="O28" i="80"/>
  <c r="J31" i="80"/>
  <c r="L32" i="81"/>
  <c r="O32" i="80"/>
  <c r="J35" i="80"/>
  <c r="J8" i="80"/>
  <c r="O9" i="80"/>
  <c r="J12" i="80"/>
  <c r="O13" i="80"/>
  <c r="J16" i="80"/>
  <c r="O17" i="80"/>
  <c r="J20" i="80"/>
  <c r="O21" i="80"/>
  <c r="J24" i="80"/>
  <c r="O25" i="80"/>
  <c r="J28" i="80"/>
  <c r="O29" i="80"/>
  <c r="J32" i="80"/>
  <c r="O33" i="80"/>
  <c r="Q6" i="80"/>
  <c r="O10" i="80"/>
  <c r="J13" i="80"/>
  <c r="O14" i="80"/>
  <c r="J17" i="80"/>
  <c r="O18" i="80"/>
  <c r="J21" i="80"/>
  <c r="O22" i="80"/>
  <c r="J25" i="80"/>
  <c r="O26" i="80"/>
  <c r="J29" i="80"/>
  <c r="O30" i="80"/>
  <c r="J33" i="80"/>
  <c r="O34" i="80"/>
  <c r="J6" i="80"/>
  <c r="O7" i="80"/>
  <c r="J10" i="80"/>
  <c r="O11" i="80"/>
  <c r="J14" i="80"/>
  <c r="Q15" i="80"/>
  <c r="J18" i="80"/>
  <c r="O19" i="80"/>
  <c r="J22" i="80"/>
  <c r="O23" i="80"/>
  <c r="J26" i="80"/>
  <c r="O27" i="80"/>
  <c r="J30" i="80"/>
  <c r="O31" i="80"/>
  <c r="J34" i="80"/>
  <c r="O35" i="80"/>
  <c r="L9" i="81"/>
  <c r="L13" i="81"/>
  <c r="L17" i="81"/>
  <c r="L21" i="81"/>
  <c r="L25" i="81"/>
  <c r="L29" i="81"/>
  <c r="L33" i="81"/>
  <c r="L6" i="81"/>
  <c r="L10" i="81"/>
  <c r="L14" i="81"/>
  <c r="L18" i="81"/>
  <c r="L22" i="81"/>
  <c r="L26" i="81"/>
  <c r="L30" i="81"/>
  <c r="L34" i="81"/>
  <c r="L7" i="81"/>
  <c r="L11" i="81"/>
  <c r="L15" i="81"/>
  <c r="L19" i="81"/>
  <c r="L23" i="81"/>
  <c r="L27" i="81"/>
  <c r="L31" i="81"/>
  <c r="L35" i="81"/>
  <c r="Q10" i="80"/>
  <c r="Q9" i="80"/>
  <c r="Q11" i="80"/>
  <c r="Q26" i="80"/>
  <c r="Q23" i="80"/>
  <c r="Q31" i="80"/>
  <c r="Q22" i="80"/>
  <c r="Q35" i="80"/>
  <c r="Q27" i="80"/>
  <c r="Q13" i="80"/>
  <c r="Q34" i="80"/>
  <c r="Q33" i="80"/>
  <c r="O6" i="80"/>
  <c r="O15" i="80"/>
  <c r="Q8" i="80"/>
  <c r="Q18" i="80"/>
  <c r="Q19" i="80"/>
  <c r="Q14" i="80"/>
  <c r="Q21" i="80"/>
  <c r="Q20" i="80"/>
  <c r="Q17" i="80"/>
  <c r="Q30" i="80"/>
  <c r="Q12" i="80"/>
  <c r="Q28" i="80"/>
  <c r="Q29" i="80"/>
  <c r="I38" i="80"/>
  <c r="Q25" i="80"/>
  <c r="Q16" i="80"/>
  <c r="H38" i="80"/>
  <c r="Q32" i="80"/>
  <c r="P38" i="80"/>
  <c r="Q24" i="80"/>
  <c r="Q7" i="80"/>
  <c r="R38" i="80"/>
  <c r="L38" i="81" l="1"/>
  <c r="I41" i="80"/>
  <c r="O38" i="80"/>
  <c r="O41" i="80"/>
  <c r="Q38" i="80"/>
  <c r="M41" i="80"/>
  <c r="I42" i="80"/>
  <c r="H41" i="80"/>
  <c r="H42" i="80"/>
  <c r="I44" i="80" l="1"/>
  <c r="H44" i="80"/>
  <c r="C3" i="79" l="1"/>
  <c r="R35" i="79" l="1"/>
  <c r="P35" i="79"/>
  <c r="K35" i="79"/>
  <c r="I35" i="79"/>
  <c r="J35" i="79" s="1"/>
  <c r="H35" i="79"/>
  <c r="C35" i="79"/>
  <c r="R34" i="79"/>
  <c r="P34" i="79"/>
  <c r="K34" i="79"/>
  <c r="I34" i="79"/>
  <c r="J34" i="79" s="1"/>
  <c r="H34" i="79"/>
  <c r="C34" i="79"/>
  <c r="R33" i="79"/>
  <c r="P33" i="79"/>
  <c r="K33" i="79"/>
  <c r="I33" i="79"/>
  <c r="J33" i="79" s="1"/>
  <c r="H33" i="79"/>
  <c r="C33" i="79"/>
  <c r="R32" i="79"/>
  <c r="P32" i="79"/>
  <c r="K32" i="79"/>
  <c r="I32" i="79"/>
  <c r="J32" i="79" s="1"/>
  <c r="H32" i="79"/>
  <c r="C32" i="79"/>
  <c r="R31" i="79"/>
  <c r="P31" i="79"/>
  <c r="K31" i="79"/>
  <c r="I31" i="79"/>
  <c r="J31" i="79" s="1"/>
  <c r="H31" i="79"/>
  <c r="C31" i="79"/>
  <c r="R30" i="79"/>
  <c r="P30" i="79"/>
  <c r="K30" i="79"/>
  <c r="I30" i="79"/>
  <c r="J30" i="79" s="1"/>
  <c r="H30" i="79"/>
  <c r="C30" i="79"/>
  <c r="R29" i="79"/>
  <c r="P29" i="79"/>
  <c r="K29" i="79"/>
  <c r="I29" i="79"/>
  <c r="J29" i="79" s="1"/>
  <c r="H29" i="79"/>
  <c r="C29" i="79"/>
  <c r="R28" i="79"/>
  <c r="P28" i="79"/>
  <c r="K28" i="79"/>
  <c r="I28" i="79"/>
  <c r="J28" i="79" s="1"/>
  <c r="H28" i="79"/>
  <c r="C28" i="79"/>
  <c r="R27" i="79"/>
  <c r="P27" i="79"/>
  <c r="K27" i="79"/>
  <c r="I27" i="79"/>
  <c r="J27" i="79" s="1"/>
  <c r="H27" i="79"/>
  <c r="C27" i="79"/>
  <c r="R26" i="79"/>
  <c r="P26" i="79"/>
  <c r="K26" i="79"/>
  <c r="I26" i="79"/>
  <c r="J26" i="79" s="1"/>
  <c r="H26" i="79"/>
  <c r="C26" i="79"/>
  <c r="R25" i="79"/>
  <c r="P25" i="79"/>
  <c r="K25" i="79"/>
  <c r="I25" i="79"/>
  <c r="J25" i="79" s="1"/>
  <c r="H25" i="79"/>
  <c r="C25" i="79"/>
  <c r="R24" i="79"/>
  <c r="P24" i="79"/>
  <c r="K24" i="79"/>
  <c r="I24" i="79"/>
  <c r="J24" i="79" s="1"/>
  <c r="H24" i="79"/>
  <c r="C24" i="79"/>
  <c r="R23" i="79"/>
  <c r="P23" i="79"/>
  <c r="K23" i="79"/>
  <c r="I23" i="79"/>
  <c r="J23" i="79" s="1"/>
  <c r="H23" i="79"/>
  <c r="C23" i="79"/>
  <c r="R22" i="79"/>
  <c r="P22" i="79"/>
  <c r="K22" i="79"/>
  <c r="I22" i="79"/>
  <c r="J22" i="79" s="1"/>
  <c r="H22" i="79"/>
  <c r="C22" i="79"/>
  <c r="R21" i="79"/>
  <c r="P21" i="79"/>
  <c r="K21" i="79"/>
  <c r="I21" i="79"/>
  <c r="J21" i="79" s="1"/>
  <c r="H21" i="79"/>
  <c r="C21" i="79"/>
  <c r="R20" i="79"/>
  <c r="P20" i="79"/>
  <c r="K20" i="79"/>
  <c r="I20" i="79"/>
  <c r="J20" i="79" s="1"/>
  <c r="H20" i="79"/>
  <c r="C20" i="79"/>
  <c r="R19" i="79"/>
  <c r="P19" i="79"/>
  <c r="K19" i="79"/>
  <c r="I19" i="79"/>
  <c r="J19" i="79" s="1"/>
  <c r="H19" i="79"/>
  <c r="C19" i="79"/>
  <c r="R18" i="79"/>
  <c r="P18" i="79"/>
  <c r="K18" i="79"/>
  <c r="I18" i="79"/>
  <c r="J18" i="79" s="1"/>
  <c r="H18" i="79"/>
  <c r="C18" i="79"/>
  <c r="R17" i="79"/>
  <c r="P17" i="79"/>
  <c r="K17" i="79"/>
  <c r="I17" i="79"/>
  <c r="J17" i="79" s="1"/>
  <c r="H17" i="79"/>
  <c r="C17" i="79"/>
  <c r="R16" i="79"/>
  <c r="P16" i="79"/>
  <c r="K16" i="79"/>
  <c r="I16" i="79"/>
  <c r="J16" i="79" s="1"/>
  <c r="H16" i="79"/>
  <c r="C16" i="79"/>
  <c r="R15" i="79"/>
  <c r="P15" i="79"/>
  <c r="K15" i="79"/>
  <c r="I15" i="79"/>
  <c r="J15" i="79" s="1"/>
  <c r="H15" i="79"/>
  <c r="C15" i="79"/>
  <c r="R14" i="79"/>
  <c r="P14" i="79"/>
  <c r="K14" i="79"/>
  <c r="I14" i="79"/>
  <c r="J14" i="79" s="1"/>
  <c r="H14" i="79"/>
  <c r="C14" i="79"/>
  <c r="R13" i="79"/>
  <c r="P13" i="79"/>
  <c r="K13" i="79"/>
  <c r="I13" i="79"/>
  <c r="J13" i="79" s="1"/>
  <c r="H13" i="79"/>
  <c r="C13" i="79"/>
  <c r="R12" i="79"/>
  <c r="P12" i="79"/>
  <c r="K12" i="79"/>
  <c r="I12" i="79"/>
  <c r="J12" i="79" s="1"/>
  <c r="H12" i="79"/>
  <c r="C12" i="79"/>
  <c r="R11" i="79"/>
  <c r="P11" i="79"/>
  <c r="K11" i="79"/>
  <c r="I11" i="79"/>
  <c r="J11" i="79" s="1"/>
  <c r="H11" i="79"/>
  <c r="C11" i="79"/>
  <c r="R10" i="79"/>
  <c r="P10" i="79"/>
  <c r="K10" i="79"/>
  <c r="I10" i="79"/>
  <c r="J10" i="79" s="1"/>
  <c r="H10" i="79"/>
  <c r="C10" i="79"/>
  <c r="R9" i="79"/>
  <c r="P9" i="79"/>
  <c r="K9" i="79"/>
  <c r="I9" i="79"/>
  <c r="J9" i="79" s="1"/>
  <c r="H9" i="79"/>
  <c r="C9" i="79"/>
  <c r="R8" i="79"/>
  <c r="P8" i="79"/>
  <c r="K8" i="79"/>
  <c r="I8" i="79"/>
  <c r="J8" i="79" s="1"/>
  <c r="H8" i="79"/>
  <c r="C8" i="79"/>
  <c r="R7" i="79"/>
  <c r="P7" i="79"/>
  <c r="K7" i="79"/>
  <c r="I7" i="79"/>
  <c r="J7" i="79" s="1"/>
  <c r="H7" i="79"/>
  <c r="C7" i="79"/>
  <c r="R6" i="79"/>
  <c r="P6" i="79"/>
  <c r="K6" i="79"/>
  <c r="I6" i="79"/>
  <c r="H6" i="79"/>
  <c r="C6" i="79"/>
  <c r="O7" i="79" l="1"/>
  <c r="Q9" i="79"/>
  <c r="O11" i="79"/>
  <c r="Q13" i="79"/>
  <c r="O15" i="79"/>
  <c r="Q17" i="79"/>
  <c r="Q19" i="79"/>
  <c r="Q21" i="79"/>
  <c r="O23" i="79"/>
  <c r="Q25" i="79"/>
  <c r="Q27" i="79"/>
  <c r="Q31" i="79"/>
  <c r="O35" i="79"/>
  <c r="O6" i="79"/>
  <c r="Q8" i="79"/>
  <c r="O10" i="79"/>
  <c r="Q12" i="79"/>
  <c r="O14" i="79"/>
  <c r="Q16" i="79"/>
  <c r="O18" i="79"/>
  <c r="Q20" i="79"/>
  <c r="O22" i="79"/>
  <c r="Q24" i="79"/>
  <c r="O26" i="79"/>
  <c r="Q28" i="79"/>
  <c r="O30" i="79"/>
  <c r="Q32" i="79"/>
  <c r="O34" i="79"/>
  <c r="L6" i="80"/>
  <c r="L8" i="80"/>
  <c r="L10" i="80"/>
  <c r="L12" i="80"/>
  <c r="L14" i="80"/>
  <c r="L16" i="80"/>
  <c r="L18" i="80"/>
  <c r="L20" i="80"/>
  <c r="L22" i="80"/>
  <c r="L24" i="80"/>
  <c r="L26" i="80"/>
  <c r="L28" i="80"/>
  <c r="L30" i="80"/>
  <c r="L32" i="80"/>
  <c r="L34" i="80"/>
  <c r="L7" i="80"/>
  <c r="L9" i="80"/>
  <c r="L11" i="80"/>
  <c r="L13" i="80"/>
  <c r="L15" i="80"/>
  <c r="L17" i="80"/>
  <c r="L19" i="80"/>
  <c r="L21" i="80"/>
  <c r="L23" i="80"/>
  <c r="L25" i="80"/>
  <c r="L27" i="80"/>
  <c r="L29" i="80"/>
  <c r="L31" i="80"/>
  <c r="L33" i="80"/>
  <c r="L35" i="80"/>
  <c r="Q7" i="79"/>
  <c r="O12" i="79"/>
  <c r="Q30" i="79"/>
  <c r="Q10" i="79"/>
  <c r="Q15" i="79"/>
  <c r="Q11" i="79"/>
  <c r="O21" i="79"/>
  <c r="O24" i="79"/>
  <c r="Q23" i="79"/>
  <c r="O16" i="79"/>
  <c r="O20" i="79"/>
  <c r="H38" i="79"/>
  <c r="O9" i="79"/>
  <c r="O19" i="79"/>
  <c r="O27" i="79"/>
  <c r="O31" i="79"/>
  <c r="I38" i="79"/>
  <c r="O28" i="79"/>
  <c r="O32" i="79"/>
  <c r="Q34" i="79"/>
  <c r="Q35" i="79"/>
  <c r="P38" i="79"/>
  <c r="O17" i="79"/>
  <c r="O25" i="79"/>
  <c r="R38" i="79"/>
  <c r="Q6" i="79"/>
  <c r="O8" i="79"/>
  <c r="O13" i="79"/>
  <c r="Q18" i="79"/>
  <c r="Q26" i="79"/>
  <c r="Q29" i="79"/>
  <c r="O29" i="79"/>
  <c r="Q33" i="79"/>
  <c r="O33" i="79"/>
  <c r="J6" i="79"/>
  <c r="Q14" i="79"/>
  <c r="Q22" i="79"/>
  <c r="I42" i="91" l="1"/>
  <c r="L38" i="80"/>
  <c r="O38" i="79"/>
  <c r="I41" i="79"/>
  <c r="I42" i="79"/>
  <c r="Q38" i="79"/>
  <c r="O41" i="79"/>
  <c r="M41" i="79"/>
  <c r="H42" i="79"/>
  <c r="H41" i="79"/>
  <c r="O38" i="91" l="1"/>
  <c r="I41" i="91"/>
  <c r="I44" i="91" s="1"/>
  <c r="H44" i="79"/>
  <c r="I44" i="79"/>
  <c r="K7" i="78" l="1"/>
  <c r="K8" i="78"/>
  <c r="K9" i="78"/>
  <c r="K10" i="78"/>
  <c r="K11" i="78"/>
  <c r="K12" i="78"/>
  <c r="K13" i="78"/>
  <c r="K14" i="78"/>
  <c r="K15" i="78"/>
  <c r="K16" i="78"/>
  <c r="K17" i="78"/>
  <c r="K18" i="78"/>
  <c r="K19" i="78"/>
  <c r="K20" i="78"/>
  <c r="K21" i="78"/>
  <c r="K22" i="78"/>
  <c r="K23" i="78"/>
  <c r="K24" i="78"/>
  <c r="K25" i="78"/>
  <c r="K26" i="78"/>
  <c r="K27" i="78"/>
  <c r="K28" i="78"/>
  <c r="K29" i="78"/>
  <c r="K30" i="78"/>
  <c r="K31" i="78"/>
  <c r="K32" i="78"/>
  <c r="K33" i="78"/>
  <c r="K34" i="78"/>
  <c r="K35" i="78"/>
  <c r="K6" i="78"/>
  <c r="I7" i="78"/>
  <c r="I7" i="91" s="1"/>
  <c r="I8" i="78"/>
  <c r="I8" i="91" s="1"/>
  <c r="I9" i="78"/>
  <c r="I9" i="91" s="1"/>
  <c r="I10" i="78"/>
  <c r="I10" i="91" s="1"/>
  <c r="I11" i="78"/>
  <c r="I11" i="91" s="1"/>
  <c r="I12" i="78"/>
  <c r="I12" i="91" s="1"/>
  <c r="I13" i="78"/>
  <c r="I13" i="91" s="1"/>
  <c r="I14" i="78"/>
  <c r="I14" i="91" s="1"/>
  <c r="I15" i="78"/>
  <c r="I15" i="91" s="1"/>
  <c r="I16" i="78"/>
  <c r="I16" i="91" s="1"/>
  <c r="I17" i="78"/>
  <c r="I17" i="91" s="1"/>
  <c r="I18" i="78"/>
  <c r="I18" i="91" s="1"/>
  <c r="I19" i="78"/>
  <c r="I19" i="91" s="1"/>
  <c r="I20" i="78"/>
  <c r="I20" i="91" s="1"/>
  <c r="I21" i="78"/>
  <c r="I21" i="91" s="1"/>
  <c r="I22" i="78"/>
  <c r="I22" i="91" s="1"/>
  <c r="I23" i="78"/>
  <c r="I23" i="91" s="1"/>
  <c r="I24" i="78"/>
  <c r="I24" i="91" s="1"/>
  <c r="I25" i="78"/>
  <c r="I25" i="91" s="1"/>
  <c r="I26" i="78"/>
  <c r="I26" i="91" s="1"/>
  <c r="I27" i="78"/>
  <c r="I27" i="91" s="1"/>
  <c r="I28" i="78"/>
  <c r="I28" i="91" s="1"/>
  <c r="I29" i="78"/>
  <c r="I29" i="91" s="1"/>
  <c r="I30" i="78"/>
  <c r="I30" i="91" s="1"/>
  <c r="I31" i="78"/>
  <c r="I31" i="91" s="1"/>
  <c r="I32" i="78"/>
  <c r="I32" i="91" s="1"/>
  <c r="I33" i="78"/>
  <c r="I33" i="91" s="1"/>
  <c r="I34" i="78"/>
  <c r="I34" i="91" s="1"/>
  <c r="I35" i="78"/>
  <c r="I35" i="91" s="1"/>
  <c r="I6" i="78"/>
  <c r="I6" i="91" s="1"/>
  <c r="H7" i="78"/>
  <c r="H7" i="91" s="1"/>
  <c r="H8" i="78"/>
  <c r="H8" i="91" s="1"/>
  <c r="H9" i="78"/>
  <c r="H9" i="91" s="1"/>
  <c r="H10" i="78"/>
  <c r="H10" i="91" s="1"/>
  <c r="H11" i="78"/>
  <c r="H11" i="91" s="1"/>
  <c r="H12" i="78"/>
  <c r="H12" i="91" s="1"/>
  <c r="H13" i="78"/>
  <c r="H13" i="91" s="1"/>
  <c r="H14" i="78"/>
  <c r="H14" i="91" s="1"/>
  <c r="H15" i="78"/>
  <c r="H15" i="91" s="1"/>
  <c r="H16" i="78"/>
  <c r="H16" i="91" s="1"/>
  <c r="H17" i="78"/>
  <c r="H17" i="91" s="1"/>
  <c r="H18" i="78"/>
  <c r="H18" i="91" s="1"/>
  <c r="H19" i="78"/>
  <c r="H19" i="91" s="1"/>
  <c r="H20" i="78"/>
  <c r="H20" i="91" s="1"/>
  <c r="H21" i="78"/>
  <c r="H21" i="91" s="1"/>
  <c r="H22" i="78"/>
  <c r="H22" i="91" s="1"/>
  <c r="H23" i="78"/>
  <c r="H23" i="91" s="1"/>
  <c r="H24" i="78"/>
  <c r="H24" i="91" s="1"/>
  <c r="H25" i="78"/>
  <c r="H25" i="91" s="1"/>
  <c r="H26" i="78"/>
  <c r="H26" i="91" s="1"/>
  <c r="H27" i="78"/>
  <c r="H27" i="91" s="1"/>
  <c r="H28" i="78"/>
  <c r="H28" i="91" s="1"/>
  <c r="H29" i="78"/>
  <c r="H29" i="91" s="1"/>
  <c r="H30" i="78"/>
  <c r="H30" i="91" s="1"/>
  <c r="H31" i="78"/>
  <c r="H31" i="91" s="1"/>
  <c r="H32" i="78"/>
  <c r="H32" i="91" s="1"/>
  <c r="H33" i="78"/>
  <c r="H33" i="91" s="1"/>
  <c r="H34" i="78"/>
  <c r="H34" i="91" s="1"/>
  <c r="H35" i="78"/>
  <c r="H35" i="91" s="1"/>
  <c r="H6" i="78"/>
  <c r="H6" i="91" s="1"/>
  <c r="I38" i="91" l="1"/>
  <c r="R40" i="91" s="1"/>
  <c r="H38" i="91"/>
  <c r="L29" i="79"/>
  <c r="L25" i="79"/>
  <c r="L21" i="79"/>
  <c r="L17" i="79"/>
  <c r="L13" i="79"/>
  <c r="L9" i="79"/>
  <c r="L34" i="79"/>
  <c r="L30" i="79"/>
  <c r="L26" i="79"/>
  <c r="L22" i="79"/>
  <c r="L18" i="79"/>
  <c r="L14" i="79"/>
  <c r="L10" i="79"/>
  <c r="L35" i="79"/>
  <c r="L31" i="79"/>
  <c r="L27" i="79"/>
  <c r="L23" i="79"/>
  <c r="L19" i="79"/>
  <c r="L15" i="79"/>
  <c r="L11" i="79"/>
  <c r="L7" i="79"/>
  <c r="L33" i="79"/>
  <c r="L32" i="79"/>
  <c r="L28" i="79"/>
  <c r="L24" i="79"/>
  <c r="L20" i="79"/>
  <c r="L16" i="79"/>
  <c r="L12" i="79"/>
  <c r="L8" i="79"/>
  <c r="J34" i="78"/>
  <c r="J30" i="78"/>
  <c r="J26" i="78"/>
  <c r="J22" i="78"/>
  <c r="J18" i="78"/>
  <c r="J14" i="78"/>
  <c r="J10" i="78"/>
  <c r="J33" i="78"/>
  <c r="J29" i="78"/>
  <c r="J25" i="78"/>
  <c r="J21" i="78"/>
  <c r="J17" i="78"/>
  <c r="J13" i="78"/>
  <c r="J9" i="78"/>
  <c r="J35" i="78"/>
  <c r="J6" i="78"/>
  <c r="L6" i="79"/>
  <c r="J32" i="78"/>
  <c r="J28" i="78"/>
  <c r="J24" i="78"/>
  <c r="J20" i="78"/>
  <c r="J16" i="78"/>
  <c r="J12" i="78"/>
  <c r="J8" i="78"/>
  <c r="J31" i="78"/>
  <c r="J27" i="78"/>
  <c r="J23" i="78"/>
  <c r="J19" i="78"/>
  <c r="J15" i="78"/>
  <c r="J11" i="78"/>
  <c r="J7" i="78"/>
  <c r="L38" i="78"/>
  <c r="R33" i="78"/>
  <c r="R33" i="91" s="1"/>
  <c r="P33" i="78"/>
  <c r="M33" i="78"/>
  <c r="N33" i="78" s="1"/>
  <c r="C33" i="78"/>
  <c r="L6" i="91" l="1"/>
  <c r="L20" i="91"/>
  <c r="L33" i="91"/>
  <c r="L19" i="91"/>
  <c r="L35" i="91"/>
  <c r="L22" i="91"/>
  <c r="L9" i="91"/>
  <c r="L25" i="91"/>
  <c r="L8" i="91"/>
  <c r="L24" i="91"/>
  <c r="L7" i="91"/>
  <c r="L23" i="91"/>
  <c r="L10" i="91"/>
  <c r="L26" i="91"/>
  <c r="L13" i="91"/>
  <c r="L29" i="91"/>
  <c r="L12" i="91"/>
  <c r="L28" i="91"/>
  <c r="L11" i="91"/>
  <c r="L27" i="91"/>
  <c r="L14" i="91"/>
  <c r="L30" i="91"/>
  <c r="L17" i="91"/>
  <c r="L16" i="91"/>
  <c r="L32" i="91"/>
  <c r="L15" i="91"/>
  <c r="L31" i="91"/>
  <c r="L18" i="91"/>
  <c r="L34" i="91"/>
  <c r="L21" i="91"/>
  <c r="Q33" i="78"/>
  <c r="Q33" i="91" s="1"/>
  <c r="L38" i="79"/>
  <c r="H38" i="78"/>
  <c r="J38" i="78"/>
  <c r="O33" i="78"/>
  <c r="C3" i="78"/>
  <c r="M7" i="78"/>
  <c r="N7" i="78" s="1"/>
  <c r="P7" i="78"/>
  <c r="R7" i="78"/>
  <c r="R7" i="91" s="1"/>
  <c r="M8" i="78"/>
  <c r="N8" i="78" s="1"/>
  <c r="P8" i="78"/>
  <c r="R8" i="78"/>
  <c r="R8" i="91" s="1"/>
  <c r="M9" i="78"/>
  <c r="N9" i="78" s="1"/>
  <c r="P9" i="78"/>
  <c r="R9" i="78"/>
  <c r="R9" i="91" s="1"/>
  <c r="M10" i="78"/>
  <c r="N10" i="78" s="1"/>
  <c r="P10" i="78"/>
  <c r="R10" i="78"/>
  <c r="R10" i="91" s="1"/>
  <c r="M11" i="78"/>
  <c r="N11" i="78" s="1"/>
  <c r="P11" i="78"/>
  <c r="R11" i="78"/>
  <c r="R11" i="91" s="1"/>
  <c r="M12" i="78"/>
  <c r="N12" i="78" s="1"/>
  <c r="P12" i="78"/>
  <c r="R12" i="78"/>
  <c r="R12" i="91" s="1"/>
  <c r="M13" i="78"/>
  <c r="N13" i="78" s="1"/>
  <c r="P13" i="78"/>
  <c r="R13" i="78"/>
  <c r="R13" i="91" s="1"/>
  <c r="M14" i="78"/>
  <c r="N14" i="78" s="1"/>
  <c r="P14" i="78"/>
  <c r="R14" i="78"/>
  <c r="R14" i="91" s="1"/>
  <c r="M15" i="78"/>
  <c r="N15" i="78" s="1"/>
  <c r="P15" i="78"/>
  <c r="R15" i="78"/>
  <c r="R15" i="91" s="1"/>
  <c r="M16" i="78"/>
  <c r="N16" i="78" s="1"/>
  <c r="P16" i="78"/>
  <c r="R16" i="78"/>
  <c r="R16" i="91" s="1"/>
  <c r="M17" i="78"/>
  <c r="N17" i="78" s="1"/>
  <c r="P17" i="78"/>
  <c r="R17" i="78"/>
  <c r="R17" i="91" s="1"/>
  <c r="M18" i="78"/>
  <c r="N18" i="78" s="1"/>
  <c r="P18" i="78"/>
  <c r="R18" i="78"/>
  <c r="R18" i="91" s="1"/>
  <c r="M19" i="78"/>
  <c r="N19" i="78" s="1"/>
  <c r="P19" i="78"/>
  <c r="R19" i="78"/>
  <c r="R19" i="91" s="1"/>
  <c r="M20" i="78"/>
  <c r="N20" i="78" s="1"/>
  <c r="P20" i="78"/>
  <c r="R20" i="78"/>
  <c r="R20" i="91" s="1"/>
  <c r="M21" i="78"/>
  <c r="N21" i="78" s="1"/>
  <c r="P21" i="78"/>
  <c r="R21" i="78"/>
  <c r="R21" i="91" s="1"/>
  <c r="M22" i="78"/>
  <c r="N22" i="78" s="1"/>
  <c r="P22" i="78"/>
  <c r="R22" i="78"/>
  <c r="R22" i="91" s="1"/>
  <c r="M23" i="78"/>
  <c r="N23" i="78" s="1"/>
  <c r="P23" i="78"/>
  <c r="R23" i="78"/>
  <c r="R23" i="91" s="1"/>
  <c r="M24" i="78"/>
  <c r="N24" i="78" s="1"/>
  <c r="P24" i="78"/>
  <c r="R24" i="78"/>
  <c r="R24" i="91" s="1"/>
  <c r="M25" i="78"/>
  <c r="N25" i="78" s="1"/>
  <c r="P25" i="78"/>
  <c r="R25" i="78"/>
  <c r="R25" i="91" s="1"/>
  <c r="G26" i="78"/>
  <c r="M26" i="78"/>
  <c r="N26" i="78" s="1"/>
  <c r="P26" i="78"/>
  <c r="R26" i="78"/>
  <c r="R26" i="91" s="1"/>
  <c r="M27" i="78"/>
  <c r="N27" i="78" s="1"/>
  <c r="P27" i="78"/>
  <c r="R27" i="78"/>
  <c r="R27" i="91" s="1"/>
  <c r="G28" i="78"/>
  <c r="M28" i="78"/>
  <c r="N28" i="78" s="1"/>
  <c r="P28" i="78"/>
  <c r="R28" i="78"/>
  <c r="R28" i="91" s="1"/>
  <c r="M29" i="78"/>
  <c r="N29" i="78" s="1"/>
  <c r="P29" i="78"/>
  <c r="R29" i="78"/>
  <c r="R29" i="91" s="1"/>
  <c r="M30" i="78"/>
  <c r="N30" i="78" s="1"/>
  <c r="P30" i="78"/>
  <c r="R30" i="78"/>
  <c r="R30" i="91" s="1"/>
  <c r="M31" i="78"/>
  <c r="N31" i="78" s="1"/>
  <c r="P31" i="78"/>
  <c r="R31" i="78"/>
  <c r="R31" i="91" s="1"/>
  <c r="M32" i="78"/>
  <c r="N32" i="78" s="1"/>
  <c r="P32" i="78"/>
  <c r="R32" i="78"/>
  <c r="R32" i="91" s="1"/>
  <c r="M34" i="78"/>
  <c r="N34" i="78" s="1"/>
  <c r="P34" i="78"/>
  <c r="R34" i="78"/>
  <c r="R34" i="91" s="1"/>
  <c r="M35" i="78"/>
  <c r="N35" i="78" s="1"/>
  <c r="P35" i="78"/>
  <c r="R35" i="78"/>
  <c r="R35" i="91" s="1"/>
  <c r="R6" i="78"/>
  <c r="R6" i="91" s="1"/>
  <c r="P6" i="78"/>
  <c r="M6" i="78"/>
  <c r="R38" i="91" l="1"/>
  <c r="R42" i="91" s="1"/>
  <c r="Q30" i="78"/>
  <c r="Q30" i="91" s="1"/>
  <c r="Q24" i="78"/>
  <c r="Q24" i="91" s="1"/>
  <c r="Q20" i="78"/>
  <c r="Q20" i="91" s="1"/>
  <c r="Q16" i="78"/>
  <c r="Q16" i="91" s="1"/>
  <c r="O12" i="78"/>
  <c r="O8" i="78"/>
  <c r="Q31" i="78"/>
  <c r="Q31" i="91" s="1"/>
  <c r="Q26" i="78"/>
  <c r="Q26" i="91" s="1"/>
  <c r="Q25" i="78"/>
  <c r="Q25" i="91" s="1"/>
  <c r="Q21" i="78"/>
  <c r="Q21" i="91" s="1"/>
  <c r="O17" i="78"/>
  <c r="Q13" i="78"/>
  <c r="Q13" i="91" s="1"/>
  <c r="Q9" i="78"/>
  <c r="Q9" i="91" s="1"/>
  <c r="O35" i="78"/>
  <c r="Q32" i="78"/>
  <c r="Q32" i="91" s="1"/>
  <c r="Q28" i="78"/>
  <c r="Q28" i="91" s="1"/>
  <c r="Q27" i="78"/>
  <c r="Q27" i="91" s="1"/>
  <c r="Q22" i="78"/>
  <c r="Q22" i="91" s="1"/>
  <c r="Q18" i="78"/>
  <c r="Q18" i="91" s="1"/>
  <c r="O14" i="78"/>
  <c r="Q10" i="78"/>
  <c r="Q10" i="91" s="1"/>
  <c r="Q34" i="78"/>
  <c r="Q34" i="91" s="1"/>
  <c r="Q29" i="78"/>
  <c r="Q29" i="91" s="1"/>
  <c r="Q23" i="78"/>
  <c r="Q23" i="91" s="1"/>
  <c r="Q19" i="78"/>
  <c r="Q19" i="91" s="1"/>
  <c r="Q15" i="78"/>
  <c r="Q15" i="91" s="1"/>
  <c r="Q11" i="78"/>
  <c r="Q11" i="91" s="1"/>
  <c r="Q7" i="78"/>
  <c r="Q7" i="91" s="1"/>
  <c r="H42" i="78"/>
  <c r="H41" i="78"/>
  <c r="P38" i="78"/>
  <c r="O6" i="78"/>
  <c r="R38" i="78"/>
  <c r="K38" i="78"/>
  <c r="N6" i="78"/>
  <c r="M38" i="78"/>
  <c r="O34" i="78"/>
  <c r="O31" i="78"/>
  <c r="O29" i="78"/>
  <c r="O27" i="78"/>
  <c r="O25" i="78"/>
  <c r="O23" i="78"/>
  <c r="O21" i="78"/>
  <c r="O19" i="78"/>
  <c r="O15" i="78"/>
  <c r="O13" i="78"/>
  <c r="O11" i="78"/>
  <c r="O9" i="78"/>
  <c r="O7" i="78"/>
  <c r="Q35" i="78"/>
  <c r="Q35" i="91" s="1"/>
  <c r="Q14" i="78"/>
  <c r="Q14" i="91" s="1"/>
  <c r="Q12" i="78"/>
  <c r="Q12" i="91" s="1"/>
  <c r="O32" i="78"/>
  <c r="O30" i="78"/>
  <c r="O28" i="78"/>
  <c r="O26" i="78"/>
  <c r="O24" i="78"/>
  <c r="O22" i="78"/>
  <c r="O20" i="78"/>
  <c r="O18" i="78"/>
  <c r="O16" i="78"/>
  <c r="O10" i="78"/>
  <c r="R44" i="91" l="1"/>
  <c r="U7" i="91" s="1"/>
  <c r="L38" i="91"/>
  <c r="N38" i="78"/>
  <c r="G42" i="78"/>
  <c r="G41" i="78"/>
  <c r="O38" i="78"/>
  <c r="I41" i="78"/>
  <c r="U28" i="91" l="1"/>
  <c r="U24" i="91"/>
  <c r="U29" i="91"/>
  <c r="U35" i="91"/>
  <c r="U25" i="91"/>
  <c r="U31" i="91"/>
  <c r="U18" i="91"/>
  <c r="U13" i="91"/>
  <c r="U12" i="91"/>
  <c r="U19" i="91"/>
  <c r="U14" i="91"/>
  <c r="U9" i="91"/>
  <c r="U8" i="91"/>
  <c r="U15" i="91"/>
  <c r="U30" i="91"/>
  <c r="U10" i="91"/>
  <c r="U21" i="91"/>
  <c r="U6" i="91"/>
  <c r="U20" i="91"/>
  <c r="U34" i="91"/>
  <c r="U27" i="91"/>
  <c r="U11" i="91"/>
  <c r="U22" i="91"/>
  <c r="U33" i="91"/>
  <c r="U17" i="91"/>
  <c r="U32" i="91"/>
  <c r="U16" i="91"/>
  <c r="U26" i="91"/>
  <c r="U23" i="91"/>
  <c r="C6" i="78"/>
  <c r="U38" i="91" l="1"/>
  <c r="X38" i="91" s="1"/>
  <c r="Q6" i="78"/>
  <c r="Q6" i="91" s="1"/>
  <c r="C35" i="78" l="1"/>
  <c r="C34" i="78"/>
  <c r="C32" i="78"/>
  <c r="C31" i="78"/>
  <c r="C30" i="78"/>
  <c r="C29" i="78"/>
  <c r="D28" i="78"/>
  <c r="C28" i="78"/>
  <c r="C27" i="78"/>
  <c r="D26" i="78"/>
  <c r="C26" i="78"/>
  <c r="C25" i="78"/>
  <c r="C24" i="78"/>
  <c r="C23" i="78"/>
  <c r="C22" i="78"/>
  <c r="C21" i="78"/>
  <c r="C20" i="78"/>
  <c r="C19" i="78"/>
  <c r="C18" i="78"/>
  <c r="C17" i="78"/>
  <c r="C16" i="78"/>
  <c r="C15" i="78"/>
  <c r="C14" i="78"/>
  <c r="C13" i="78"/>
  <c r="C12" i="78"/>
  <c r="C11" i="78"/>
  <c r="C10" i="78"/>
  <c r="C9" i="78"/>
  <c r="C8" i="78"/>
  <c r="C7" i="78"/>
  <c r="B28" i="78" l="1"/>
  <c r="B26" i="78"/>
  <c r="Q17" i="78" l="1"/>
  <c r="Q17" i="91" s="1"/>
  <c r="Q8" i="78"/>
  <c r="Q8" i="91" s="1"/>
  <c r="O41" i="91" l="1"/>
  <c r="Q38" i="91"/>
  <c r="M41" i="91"/>
  <c r="I42" i="78"/>
  <c r="I44" i="78" s="1"/>
  <c r="Q38" i="78"/>
  <c r="M41" i="78"/>
  <c r="O41" i="78"/>
  <c r="H44" i="78"/>
  <c r="G44" i="78" l="1"/>
  <c r="M48" i="78" s="1"/>
  <c r="D23" i="50" l="1"/>
  <c r="F22" i="50"/>
  <c r="C20" i="50"/>
  <c r="J5" i="50"/>
  <c r="H5" i="50"/>
  <c r="C6" i="50"/>
  <c r="C5" i="50"/>
  <c r="D5" i="50" s="1"/>
  <c r="D7" i="50"/>
  <c r="C7" i="50"/>
  <c r="D6" i="50"/>
  <c r="C4" i="50"/>
  <c r="D4" i="50" s="1"/>
  <c r="G9" i="50" l="1"/>
  <c r="F9" i="50"/>
  <c r="E9" i="50"/>
  <c r="H7" i="50"/>
  <c r="H6" i="50" l="1"/>
  <c r="H4" i="50"/>
  <c r="D9" i="50"/>
  <c r="C9" i="50"/>
  <c r="H9" i="50" l="1"/>
  <c r="F26" i="78" l="1"/>
  <c r="F28" i="78"/>
  <c r="I38" i="78" l="1"/>
  <c r="N38" i="91" l="1"/>
  <c r="G42" i="91"/>
  <c r="J42" i="91" s="1"/>
  <c r="G41" i="91"/>
  <c r="G44" i="91" l="1"/>
  <c r="J41" i="91"/>
  <c r="J44" i="91" s="1"/>
  <c r="M48" i="91" l="1"/>
  <c r="F34" i="81" l="1"/>
  <c r="G34" i="82" l="1"/>
  <c r="D34" i="82" s="1"/>
  <c r="G33" i="82"/>
  <c r="D33" i="82" s="1"/>
  <c r="G12" i="82"/>
  <c r="D12" i="82" s="1"/>
  <c r="G8" i="82" l="1"/>
  <c r="D8" i="82" s="1"/>
  <c r="G16" i="82"/>
  <c r="D16" i="82" s="1"/>
  <c r="G22" i="83"/>
  <c r="D22" i="83" s="1"/>
  <c r="G30" i="82"/>
  <c r="D30" i="82" s="1"/>
  <c r="G35" i="82"/>
  <c r="D35" i="82" s="1"/>
  <c r="B35" i="82" s="1"/>
  <c r="G10" i="83"/>
  <c r="D10" i="83" s="1"/>
  <c r="G31" i="82"/>
  <c r="D31" i="82" s="1"/>
  <c r="B31" i="82" s="1"/>
  <c r="G15" i="82"/>
  <c r="D15" i="82" s="1"/>
  <c r="B15" i="82" s="1"/>
  <c r="B12" i="82"/>
  <c r="B34" i="82"/>
  <c r="B10" i="83"/>
  <c r="B8" i="82"/>
  <c r="B16" i="82"/>
  <c r="B33" i="82"/>
  <c r="B22" i="83"/>
  <c r="B30" i="82"/>
  <c r="F34" i="82"/>
  <c r="G12" i="81"/>
  <c r="D12" i="81" s="1"/>
  <c r="G32" i="81"/>
  <c r="D32" i="81" s="1"/>
  <c r="G28" i="81"/>
  <c r="D28" i="81" s="1"/>
  <c r="B28" i="81" s="1"/>
  <c r="G20" i="81"/>
  <c r="D20" i="81" s="1"/>
  <c r="B20" i="81" s="1"/>
  <c r="G26" i="81"/>
  <c r="D26" i="81" s="1"/>
  <c r="B26" i="81" s="1"/>
  <c r="G34" i="81"/>
  <c r="D34" i="81" s="1"/>
  <c r="F8" i="82"/>
  <c r="F16" i="82"/>
  <c r="F15" i="82"/>
  <c r="F22" i="83"/>
  <c r="F35" i="82"/>
  <c r="F12" i="82"/>
  <c r="G13" i="82"/>
  <c r="D13" i="82" s="1"/>
  <c r="B13" i="82" s="1"/>
  <c r="G18" i="82"/>
  <c r="D18" i="82" s="1"/>
  <c r="B18" i="82" s="1"/>
  <c r="G20" i="82"/>
  <c r="D20" i="82" s="1"/>
  <c r="G25" i="82"/>
  <c r="D25" i="82" s="1"/>
  <c r="B25" i="82" s="1"/>
  <c r="F30" i="82"/>
  <c r="F31" i="82"/>
  <c r="F10" i="83"/>
  <c r="G9" i="82"/>
  <c r="D9" i="82" s="1"/>
  <c r="B9" i="82" s="1"/>
  <c r="G26" i="82"/>
  <c r="D26" i="82" s="1"/>
  <c r="G28" i="82"/>
  <c r="D28" i="82" s="1"/>
  <c r="E31" i="82"/>
  <c r="G6" i="82"/>
  <c r="F33" i="82"/>
  <c r="G32" i="82"/>
  <c r="D32" i="82" s="1"/>
  <c r="G26" i="83"/>
  <c r="D26" i="83" s="1"/>
  <c r="G6" i="81"/>
  <c r="G13" i="81"/>
  <c r="D13" i="81" s="1"/>
  <c r="B13" i="81" s="1"/>
  <c r="G18" i="81"/>
  <c r="D18" i="81" s="1"/>
  <c r="B18" i="81" s="1"/>
  <c r="G9" i="81"/>
  <c r="D9" i="81" s="1"/>
  <c r="B9" i="81" s="1"/>
  <c r="G25" i="81"/>
  <c r="D25" i="81" s="1"/>
  <c r="B25" i="81" s="1"/>
  <c r="G33" i="81"/>
  <c r="D33" i="81" s="1"/>
  <c r="B33" i="81" s="1"/>
  <c r="E34" i="82" l="1"/>
  <c r="E16" i="82"/>
  <c r="E8" i="82"/>
  <c r="G16" i="81"/>
  <c r="D16" i="81" s="1"/>
  <c r="E22" i="83"/>
  <c r="G22" i="82"/>
  <c r="D22" i="82" s="1"/>
  <c r="B22" i="82" s="1"/>
  <c r="G8" i="81"/>
  <c r="D8" i="81" s="1"/>
  <c r="G22" i="81"/>
  <c r="D22" i="81" s="1"/>
  <c r="B22" i="81" s="1"/>
  <c r="E12" i="82"/>
  <c r="G30" i="81"/>
  <c r="D30" i="81" s="1"/>
  <c r="B30" i="81" s="1"/>
  <c r="G14" i="81"/>
  <c r="D14" i="81" s="1"/>
  <c r="B14" i="81" s="1"/>
  <c r="G19" i="83"/>
  <c r="D19" i="83" s="1"/>
  <c r="B19" i="83" s="1"/>
  <c r="G27" i="82"/>
  <c r="D27" i="82" s="1"/>
  <c r="B27" i="82" s="1"/>
  <c r="G10" i="82"/>
  <c r="D10" i="82" s="1"/>
  <c r="G19" i="82"/>
  <c r="D19" i="82" s="1"/>
  <c r="B19" i="82" s="1"/>
  <c r="G7" i="82"/>
  <c r="D7" i="82" s="1"/>
  <c r="B7" i="82" s="1"/>
  <c r="E30" i="82"/>
  <c r="G21" i="81"/>
  <c r="D21" i="81" s="1"/>
  <c r="B21" i="81" s="1"/>
  <c r="G17" i="83"/>
  <c r="D17" i="83" s="1"/>
  <c r="B17" i="83" s="1"/>
  <c r="G27" i="81"/>
  <c r="D27" i="81" s="1"/>
  <c r="B27" i="81" s="1"/>
  <c r="G29" i="81"/>
  <c r="D29" i="81" s="1"/>
  <c r="B29" i="81" s="1"/>
  <c r="G17" i="81"/>
  <c r="D17" i="81" s="1"/>
  <c r="B17" i="81" s="1"/>
  <c r="G11" i="81"/>
  <c r="D11" i="81" s="1"/>
  <c r="B11" i="81" s="1"/>
  <c r="G31" i="81"/>
  <c r="D31" i="81" s="1"/>
  <c r="G31" i="83"/>
  <c r="D31" i="83" s="1"/>
  <c r="B31" i="83" s="1"/>
  <c r="G11" i="83"/>
  <c r="D11" i="83" s="1"/>
  <c r="E33" i="82"/>
  <c r="G23" i="82"/>
  <c r="D23" i="82" s="1"/>
  <c r="B23" i="82" s="1"/>
  <c r="G21" i="82"/>
  <c r="D21" i="82" s="1"/>
  <c r="B21" i="82" s="1"/>
  <c r="G17" i="82"/>
  <c r="D17" i="82" s="1"/>
  <c r="B17" i="82" s="1"/>
  <c r="E10" i="83"/>
  <c r="G11" i="82"/>
  <c r="D11" i="82" s="1"/>
  <c r="B11" i="82" s="1"/>
  <c r="E35" i="82"/>
  <c r="E15" i="82"/>
  <c r="G23" i="81"/>
  <c r="D23" i="81" s="1"/>
  <c r="G24" i="81"/>
  <c r="D24" i="81" s="1"/>
  <c r="G19" i="81"/>
  <c r="D19" i="81" s="1"/>
  <c r="G24" i="83"/>
  <c r="D24" i="83" s="1"/>
  <c r="G29" i="82"/>
  <c r="D29" i="82" s="1"/>
  <c r="G24" i="82"/>
  <c r="D24" i="82" s="1"/>
  <c r="B24" i="82" s="1"/>
  <c r="G14" i="82"/>
  <c r="D14" i="82" s="1"/>
  <c r="B14" i="82" s="1"/>
  <c r="G7" i="81"/>
  <c r="D7" i="81" s="1"/>
  <c r="G35" i="81"/>
  <c r="D35" i="81" s="1"/>
  <c r="G15" i="81"/>
  <c r="D15" i="81" s="1"/>
  <c r="B15" i="81" s="1"/>
  <c r="G10" i="81"/>
  <c r="D10" i="81" s="1"/>
  <c r="B10" i="81" s="1"/>
  <c r="B31" i="81"/>
  <c r="B26" i="83"/>
  <c r="B11" i="83"/>
  <c r="B23" i="81"/>
  <c r="B8" i="81"/>
  <c r="B24" i="81"/>
  <c r="B12" i="81"/>
  <c r="B19" i="81"/>
  <c r="B24" i="83"/>
  <c r="B32" i="82"/>
  <c r="B29" i="82"/>
  <c r="D6" i="82"/>
  <c r="M47" i="82"/>
  <c r="B28" i="82"/>
  <c r="B20" i="82"/>
  <c r="B7" i="81"/>
  <c r="B35" i="81"/>
  <c r="B32" i="81"/>
  <c r="D6" i="81"/>
  <c r="B10" i="82"/>
  <c r="B16" i="81"/>
  <c r="B26" i="82"/>
  <c r="B34" i="81"/>
  <c r="E34" i="81"/>
  <c r="F12" i="81"/>
  <c r="F10" i="81"/>
  <c r="F30" i="81"/>
  <c r="F8" i="81"/>
  <c r="F28" i="81"/>
  <c r="F22" i="81"/>
  <c r="F20" i="81"/>
  <c r="F32" i="81"/>
  <c r="F24" i="81"/>
  <c r="F7" i="81"/>
  <c r="F15" i="81"/>
  <c r="F23" i="81"/>
  <c r="F26" i="81"/>
  <c r="E7" i="81"/>
  <c r="F35" i="81"/>
  <c r="F27" i="81"/>
  <c r="F24" i="83"/>
  <c r="F11" i="83"/>
  <c r="F27" i="82"/>
  <c r="F10" i="82"/>
  <c r="F14" i="82"/>
  <c r="F22" i="82"/>
  <c r="F11" i="82"/>
  <c r="F19" i="83"/>
  <c r="F6" i="82"/>
  <c r="F26" i="82"/>
  <c r="F19" i="82"/>
  <c r="F9" i="82"/>
  <c r="F20" i="82"/>
  <c r="F31" i="83"/>
  <c r="F17" i="83"/>
  <c r="F23" i="82"/>
  <c r="F28" i="82"/>
  <c r="F7" i="82"/>
  <c r="F18" i="82"/>
  <c r="F26" i="83"/>
  <c r="F32" i="82"/>
  <c r="F29" i="82"/>
  <c r="F24" i="82"/>
  <c r="E24" i="82" s="1"/>
  <c r="F21" i="82"/>
  <c r="F17" i="82"/>
  <c r="F25" i="82"/>
  <c r="F13" i="82"/>
  <c r="F16" i="81"/>
  <c r="F19" i="81"/>
  <c r="F21" i="81"/>
  <c r="F13" i="81"/>
  <c r="F6" i="81"/>
  <c r="F11" i="81"/>
  <c r="F25" i="81"/>
  <c r="F33" i="81"/>
  <c r="F29" i="81"/>
  <c r="F18" i="81"/>
  <c r="F31" i="81"/>
  <c r="F17" i="81"/>
  <c r="F14" i="81"/>
  <c r="F9" i="81"/>
  <c r="E9" i="81" l="1"/>
  <c r="E33" i="81"/>
  <c r="E16" i="81"/>
  <c r="E29" i="82"/>
  <c r="E19" i="82"/>
  <c r="E35" i="81"/>
  <c r="E22" i="81"/>
  <c r="E32" i="82"/>
  <c r="M47" i="81"/>
  <c r="E21" i="82"/>
  <c r="E14" i="81"/>
  <c r="E7" i="82"/>
  <c r="E17" i="83"/>
  <c r="E24" i="83"/>
  <c r="E27" i="81"/>
  <c r="D42" i="81"/>
  <c r="D41" i="82"/>
  <c r="E9" i="82"/>
  <c r="E22" i="82"/>
  <c r="E12" i="81"/>
  <c r="E23" i="81"/>
  <c r="D41" i="81"/>
  <c r="D42" i="82"/>
  <c r="E14" i="82"/>
  <c r="E10" i="82"/>
  <c r="E27" i="82"/>
  <c r="E8" i="81"/>
  <c r="E11" i="83"/>
  <c r="E17" i="82"/>
  <c r="E28" i="82"/>
  <c r="E20" i="82"/>
  <c r="E32" i="81"/>
  <c r="E28" i="81"/>
  <c r="E24" i="81"/>
  <c r="E17" i="81"/>
  <c r="E29" i="81"/>
  <c r="E25" i="81"/>
  <c r="E41" i="81" s="1"/>
  <c r="E26" i="83"/>
  <c r="E18" i="82"/>
  <c r="E26" i="82"/>
  <c r="E30" i="81"/>
  <c r="E31" i="81"/>
  <c r="G10" i="80"/>
  <c r="D10" i="80" s="1"/>
  <c r="B10" i="80" s="1"/>
  <c r="E19" i="81"/>
  <c r="F38" i="82"/>
  <c r="E18" i="81"/>
  <c r="E11" i="81"/>
  <c r="F38" i="81"/>
  <c r="E21" i="81"/>
  <c r="E23" i="82"/>
  <c r="E11" i="82"/>
  <c r="E15" i="81"/>
  <c r="E20" i="81"/>
  <c r="B38" i="81"/>
  <c r="B6" i="81"/>
  <c r="B37" i="81" s="1"/>
  <c r="E6" i="81"/>
  <c r="D38" i="81"/>
  <c r="D38" i="82"/>
  <c r="B38" i="82"/>
  <c r="B6" i="82"/>
  <c r="B37" i="82" s="1"/>
  <c r="E6" i="82"/>
  <c r="D44" i="82"/>
  <c r="E13" i="81"/>
  <c r="E13" i="82"/>
  <c r="E25" i="82"/>
  <c r="E31" i="83"/>
  <c r="E19" i="83"/>
  <c r="E26" i="81"/>
  <c r="E10" i="81"/>
  <c r="G28" i="80"/>
  <c r="D28" i="80" s="1"/>
  <c r="B28" i="80" s="1"/>
  <c r="F10" i="80"/>
  <c r="G26" i="80"/>
  <c r="D26" i="80" s="1"/>
  <c r="G33" i="80"/>
  <c r="D33" i="80" s="1"/>
  <c r="G25" i="80"/>
  <c r="D25" i="80" s="1"/>
  <c r="B25" i="80" s="1"/>
  <c r="G13" i="80"/>
  <c r="D13" i="80" s="1"/>
  <c r="B13" i="80" s="1"/>
  <c r="G32" i="80"/>
  <c r="D32" i="80" s="1"/>
  <c r="B32" i="80" s="1"/>
  <c r="G9" i="80"/>
  <c r="D9" i="80" s="1"/>
  <c r="G6" i="80"/>
  <c r="G34" i="80"/>
  <c r="D34" i="80" s="1"/>
  <c r="G18" i="80"/>
  <c r="D18" i="80" s="1"/>
  <c r="G20" i="80"/>
  <c r="D20" i="80" s="1"/>
  <c r="G12" i="80"/>
  <c r="D12" i="80" s="1"/>
  <c r="D44" i="81" l="1"/>
  <c r="E41" i="82"/>
  <c r="E10" i="80"/>
  <c r="G16" i="80"/>
  <c r="D16" i="80" s="1"/>
  <c r="G8" i="80"/>
  <c r="D8" i="80" s="1"/>
  <c r="G22" i="80"/>
  <c r="D22" i="80" s="1"/>
  <c r="B22" i="80" s="1"/>
  <c r="G30" i="80"/>
  <c r="D30" i="80" s="1"/>
  <c r="G27" i="80"/>
  <c r="D27" i="80" s="1"/>
  <c r="G21" i="80"/>
  <c r="D21" i="80" s="1"/>
  <c r="G29" i="80"/>
  <c r="D29" i="80" s="1"/>
  <c r="G19" i="80"/>
  <c r="D19" i="80" s="1"/>
  <c r="B19" i="80" s="1"/>
  <c r="G14" i="80"/>
  <c r="D14" i="80" s="1"/>
  <c r="G11" i="80"/>
  <c r="D11" i="80" s="1"/>
  <c r="G23" i="80"/>
  <c r="D23" i="80" s="1"/>
  <c r="G17" i="80"/>
  <c r="D17" i="80" s="1"/>
  <c r="G7" i="80"/>
  <c r="D7" i="80" s="1"/>
  <c r="B7" i="80" s="1"/>
  <c r="G35" i="80"/>
  <c r="D35" i="80" s="1"/>
  <c r="B35" i="80" s="1"/>
  <c r="G15" i="80"/>
  <c r="D15" i="80" s="1"/>
  <c r="G24" i="80"/>
  <c r="D24" i="80" s="1"/>
  <c r="B24" i="80" s="1"/>
  <c r="G31" i="80"/>
  <c r="D31" i="80" s="1"/>
  <c r="B34" i="80"/>
  <c r="B14" i="80"/>
  <c r="B11" i="80"/>
  <c r="B23" i="80"/>
  <c r="B20" i="80"/>
  <c r="B17" i="80"/>
  <c r="B33" i="80"/>
  <c r="B16" i="80"/>
  <c r="B8" i="80"/>
  <c r="D6" i="80"/>
  <c r="B9" i="80"/>
  <c r="B30" i="80"/>
  <c r="B15" i="80"/>
  <c r="B26" i="80"/>
  <c r="B31" i="80"/>
  <c r="E38" i="82"/>
  <c r="E42" i="82"/>
  <c r="E44" i="82" s="1"/>
  <c r="B12" i="80"/>
  <c r="B27" i="80"/>
  <c r="B18" i="80"/>
  <c r="B21" i="80"/>
  <c r="B29" i="80"/>
  <c r="E38" i="81"/>
  <c r="E42" i="81"/>
  <c r="E44" i="81" s="1"/>
  <c r="F28" i="80"/>
  <c r="F30" i="80"/>
  <c r="F34" i="80"/>
  <c r="F12" i="80"/>
  <c r="F27" i="80"/>
  <c r="F18" i="80"/>
  <c r="F19" i="80"/>
  <c r="F8" i="80"/>
  <c r="F7" i="80"/>
  <c r="F33" i="80"/>
  <c r="F26" i="80"/>
  <c r="F31" i="80"/>
  <c r="F15" i="80"/>
  <c r="F20" i="80"/>
  <c r="F17" i="80"/>
  <c r="F14" i="80"/>
  <c r="F22" i="80"/>
  <c r="F9" i="80"/>
  <c r="F24" i="80"/>
  <c r="F16" i="80"/>
  <c r="F6" i="80"/>
  <c r="F11" i="80"/>
  <c r="F23" i="80"/>
  <c r="F32" i="80"/>
  <c r="F25" i="80"/>
  <c r="F35" i="80"/>
  <c r="E35" i="80" s="1"/>
  <c r="F21" i="80"/>
  <c r="F29" i="80"/>
  <c r="F13" i="80"/>
  <c r="E33" i="80"/>
  <c r="E17" i="80"/>
  <c r="E18" i="80"/>
  <c r="E29" i="80" l="1"/>
  <c r="D41" i="80"/>
  <c r="E13" i="80"/>
  <c r="D42" i="80"/>
  <c r="D44" i="80" s="1"/>
  <c r="E25" i="80"/>
  <c r="E24" i="80"/>
  <c r="E22" i="80"/>
  <c r="E23" i="80"/>
  <c r="E41" i="80" s="1"/>
  <c r="E26" i="80"/>
  <c r="E21" i="80"/>
  <c r="E16" i="80"/>
  <c r="M47" i="80"/>
  <c r="E34" i="80"/>
  <c r="E11" i="80"/>
  <c r="E14" i="80"/>
  <c r="E31" i="80"/>
  <c r="E8" i="80"/>
  <c r="E12" i="80"/>
  <c r="E19" i="80"/>
  <c r="E30" i="80"/>
  <c r="E9" i="80"/>
  <c r="E20" i="80"/>
  <c r="E15" i="80"/>
  <c r="E7" i="80"/>
  <c r="E27" i="80"/>
  <c r="F38" i="80"/>
  <c r="E32" i="80"/>
  <c r="E28" i="80"/>
  <c r="B38" i="80"/>
  <c r="D38" i="80"/>
  <c r="E6" i="80"/>
  <c r="B6" i="80"/>
  <c r="B37" i="80" s="1"/>
  <c r="E38" i="80" l="1"/>
  <c r="E42" i="80"/>
  <c r="E44" i="80" s="1"/>
  <c r="G32" i="79" l="1"/>
  <c r="D32" i="79" s="1"/>
  <c r="G28" i="79"/>
  <c r="D28" i="79" s="1"/>
  <c r="G20" i="79"/>
  <c r="D20" i="79" s="1"/>
  <c r="G12" i="79"/>
  <c r="D12" i="79" s="1"/>
  <c r="G34" i="79"/>
  <c r="D34" i="79" s="1"/>
  <c r="B34" i="79" s="1"/>
  <c r="G26" i="79"/>
  <c r="D26" i="79" s="1"/>
  <c r="G18" i="79"/>
  <c r="D18" i="79" s="1"/>
  <c r="G6" i="79"/>
  <c r="G33" i="79"/>
  <c r="D33" i="79" s="1"/>
  <c r="B33" i="79" s="1"/>
  <c r="G13" i="79"/>
  <c r="D13" i="79" s="1"/>
  <c r="G30" i="79" l="1"/>
  <c r="D30" i="79" s="1"/>
  <c r="B30" i="79" s="1"/>
  <c r="G16" i="79"/>
  <c r="D16" i="79" s="1"/>
  <c r="G22" i="79"/>
  <c r="D22" i="79" s="1"/>
  <c r="G8" i="79"/>
  <c r="D8" i="79" s="1"/>
  <c r="G17" i="79"/>
  <c r="D17" i="79" s="1"/>
  <c r="B17" i="79" s="1"/>
  <c r="G19" i="79"/>
  <c r="D19" i="79" s="1"/>
  <c r="B19" i="79" s="1"/>
  <c r="G14" i="79"/>
  <c r="D14" i="79" s="1"/>
  <c r="B14" i="79" s="1"/>
  <c r="G31" i="79"/>
  <c r="D31" i="79" s="1"/>
  <c r="G27" i="79"/>
  <c r="D27" i="79" s="1"/>
  <c r="B27" i="79" s="1"/>
  <c r="G21" i="79"/>
  <c r="D21" i="79" s="1"/>
  <c r="B21" i="79" s="1"/>
  <c r="G11" i="79"/>
  <c r="D11" i="79" s="1"/>
  <c r="B11" i="79" s="1"/>
  <c r="G35" i="79"/>
  <c r="D35" i="79" s="1"/>
  <c r="B35" i="79" s="1"/>
  <c r="G29" i="79"/>
  <c r="D29" i="79" s="1"/>
  <c r="G15" i="79"/>
  <c r="D15" i="79" s="1"/>
  <c r="B15" i="79" s="1"/>
  <c r="B13" i="79"/>
  <c r="B28" i="79"/>
  <c r="B22" i="79"/>
  <c r="B8" i="79"/>
  <c r="B31" i="79"/>
  <c r="B18" i="79"/>
  <c r="B16" i="79"/>
  <c r="B29" i="79"/>
  <c r="D6" i="79"/>
  <c r="B26" i="79"/>
  <c r="B12" i="79"/>
  <c r="B20" i="79"/>
  <c r="B32" i="79"/>
  <c r="F11" i="79"/>
  <c r="F29" i="79"/>
  <c r="F27" i="79"/>
  <c r="F20" i="79"/>
  <c r="F31" i="79"/>
  <c r="F26" i="79"/>
  <c r="F28" i="79"/>
  <c r="F17" i="79"/>
  <c r="F14" i="79"/>
  <c r="F35" i="79"/>
  <c r="F18" i="79"/>
  <c r="F19" i="79"/>
  <c r="F22" i="79"/>
  <c r="F16" i="79"/>
  <c r="F30" i="79"/>
  <c r="F12" i="79"/>
  <c r="F32" i="79"/>
  <c r="F6" i="79"/>
  <c r="F8" i="79"/>
  <c r="F34" i="79"/>
  <c r="F13" i="79"/>
  <c r="F15" i="79"/>
  <c r="F33" i="79"/>
  <c r="E33" i="79" s="1"/>
  <c r="F21" i="79"/>
  <c r="E14" i="79" l="1"/>
  <c r="E15" i="79"/>
  <c r="E8" i="79"/>
  <c r="E28" i="79"/>
  <c r="E16" i="79"/>
  <c r="E13" i="79"/>
  <c r="E35" i="79"/>
  <c r="E29" i="79"/>
  <c r="E21" i="79"/>
  <c r="E32" i="79"/>
  <c r="E22" i="79"/>
  <c r="E31" i="79"/>
  <c r="E11" i="79"/>
  <c r="E12" i="79"/>
  <c r="E19" i="79"/>
  <c r="E17" i="79"/>
  <c r="E20" i="79"/>
  <c r="E18" i="79"/>
  <c r="E27" i="79"/>
  <c r="E26" i="79"/>
  <c r="B6" i="79"/>
  <c r="E6" i="79"/>
  <c r="E34" i="79"/>
  <c r="E30" i="79"/>
  <c r="G6" i="78" l="1"/>
  <c r="G33" i="78"/>
  <c r="D33" i="78" s="1"/>
  <c r="D6" i="78" l="1"/>
  <c r="B33" i="78"/>
  <c r="F33" i="78"/>
  <c r="F6" i="78"/>
  <c r="E33" i="78" l="1"/>
  <c r="B6" i="78"/>
  <c r="E6" i="78"/>
  <c r="G32" i="78" l="1"/>
  <c r="D32" i="78" s="1"/>
  <c r="B32" i="78" l="1"/>
  <c r="F32" i="78"/>
  <c r="E28" i="78"/>
  <c r="E26" i="78"/>
  <c r="E32" i="78" l="1"/>
  <c r="G23" i="78" l="1"/>
  <c r="D23" i="78" s="1"/>
  <c r="G27" i="78"/>
  <c r="D27" i="78" s="1"/>
  <c r="B27" i="78" s="1"/>
  <c r="B23" i="78"/>
  <c r="F23" i="78"/>
  <c r="F27" i="78"/>
  <c r="G34" i="78"/>
  <c r="D34" i="78" s="1"/>
  <c r="G9" i="78"/>
  <c r="D9" i="78" s="1"/>
  <c r="G20" i="78"/>
  <c r="D20" i="78" s="1"/>
  <c r="G12" i="78"/>
  <c r="D12" i="78" s="1"/>
  <c r="G18" i="78"/>
  <c r="D18" i="78" s="1"/>
  <c r="G13" i="78"/>
  <c r="D13" i="78" s="1"/>
  <c r="G25" i="78"/>
  <c r="D25" i="78" s="1"/>
  <c r="E23" i="78" l="1"/>
  <c r="E27" i="78"/>
  <c r="G8" i="78"/>
  <c r="D8" i="78" s="1"/>
  <c r="G30" i="78"/>
  <c r="D30" i="78" s="1"/>
  <c r="B30" i="78" s="1"/>
  <c r="G22" i="78"/>
  <c r="D22" i="78" s="1"/>
  <c r="B22" i="78" s="1"/>
  <c r="G16" i="78"/>
  <c r="D16" i="78" s="1"/>
  <c r="G21" i="78"/>
  <c r="D21" i="78" s="1"/>
  <c r="B21" i="78" s="1"/>
  <c r="G31" i="78"/>
  <c r="D31" i="78" s="1"/>
  <c r="G7" i="78"/>
  <c r="D7" i="78" s="1"/>
  <c r="G15" i="78"/>
  <c r="D15" i="78" s="1"/>
  <c r="G11" i="78"/>
  <c r="D11" i="78" s="1"/>
  <c r="B11" i="78" s="1"/>
  <c r="G14" i="78"/>
  <c r="D14" i="78" s="1"/>
  <c r="B14" i="78" s="1"/>
  <c r="G19" i="78"/>
  <c r="D19" i="78" s="1"/>
  <c r="G35" i="78"/>
  <c r="D35" i="78" s="1"/>
  <c r="B35" i="78" s="1"/>
  <c r="G29" i="78"/>
  <c r="D29" i="78" s="1"/>
  <c r="G24" i="78"/>
  <c r="D24" i="78" s="1"/>
  <c r="B24" i="78" s="1"/>
  <c r="G10" i="78"/>
  <c r="D10" i="78" s="1"/>
  <c r="B29" i="78"/>
  <c r="B13" i="78"/>
  <c r="B18" i="78"/>
  <c r="B10" i="78"/>
  <c r="B25" i="78"/>
  <c r="B9" i="78"/>
  <c r="B31" i="78"/>
  <c r="B34" i="78"/>
  <c r="B15" i="78"/>
  <c r="B20" i="78"/>
  <c r="B16" i="78"/>
  <c r="B12" i="78"/>
  <c r="B19" i="78"/>
  <c r="B8" i="78"/>
  <c r="F13" i="78"/>
  <c r="F12" i="78"/>
  <c r="F16" i="78"/>
  <c r="F15" i="78"/>
  <c r="F14" i="78"/>
  <c r="F20" i="78"/>
  <c r="F22" i="78"/>
  <c r="F31" i="78"/>
  <c r="F34" i="78"/>
  <c r="F7" i="78"/>
  <c r="F30" i="78"/>
  <c r="F9" i="78"/>
  <c r="F21" i="78"/>
  <c r="E21" i="78" s="1"/>
  <c r="F24" i="78"/>
  <c r="F10" i="78"/>
  <c r="F11" i="78"/>
  <c r="F25" i="78"/>
  <c r="F29" i="78"/>
  <c r="F18" i="78"/>
  <c r="F19" i="78"/>
  <c r="F8" i="78"/>
  <c r="F35" i="78"/>
  <c r="E19" i="78" l="1"/>
  <c r="E11" i="78"/>
  <c r="E24" i="78"/>
  <c r="E9" i="78"/>
  <c r="E13" i="78"/>
  <c r="E8" i="78"/>
  <c r="E18" i="78"/>
  <c r="E25" i="78"/>
  <c r="E30" i="78"/>
  <c r="E34" i="78"/>
  <c r="E22" i="78"/>
  <c r="E14" i="78"/>
  <c r="E35" i="78"/>
  <c r="E12" i="78"/>
  <c r="E20" i="78"/>
  <c r="E15" i="78"/>
  <c r="B7" i="78"/>
  <c r="E7" i="78"/>
  <c r="E16" i="78"/>
  <c r="E31" i="78"/>
  <c r="E10" i="78"/>
  <c r="E29" i="78"/>
  <c r="G9" i="79" l="1"/>
  <c r="D9" i="79" s="1"/>
  <c r="G23" i="79" l="1"/>
  <c r="D23" i="79" s="1"/>
  <c r="B23" i="79" s="1"/>
  <c r="G7" i="79"/>
  <c r="D7" i="79" s="1"/>
  <c r="G10" i="79"/>
  <c r="D10" i="79" s="1"/>
  <c r="B10" i="79" s="1"/>
  <c r="B9" i="79"/>
  <c r="G25" i="79"/>
  <c r="D25" i="79" s="1"/>
  <c r="F23" i="79"/>
  <c r="F9" i="79"/>
  <c r="F7" i="79"/>
  <c r="F10" i="79"/>
  <c r="E23" i="79" l="1"/>
  <c r="G24" i="79"/>
  <c r="D24" i="79" s="1"/>
  <c r="B38" i="79" s="1"/>
  <c r="B25" i="79"/>
  <c r="E9" i="79"/>
  <c r="E7" i="79"/>
  <c r="B7" i="79"/>
  <c r="E10" i="79"/>
  <c r="F24" i="79"/>
  <c r="F25" i="79"/>
  <c r="M47" i="79" l="1"/>
  <c r="O47" i="79" s="1"/>
  <c r="D38" i="79"/>
  <c r="E25" i="79"/>
  <c r="B24" i="79"/>
  <c r="B37" i="79" s="1"/>
  <c r="D41" i="79"/>
  <c r="D44" i="79" s="1"/>
  <c r="D42" i="79"/>
  <c r="F38" i="79"/>
  <c r="E41" i="79"/>
  <c r="E24" i="79"/>
  <c r="E38" i="79" s="1"/>
  <c r="O47" i="91"/>
  <c r="O47" i="80"/>
  <c r="O47" i="81" s="1"/>
  <c r="O47" i="82" s="1"/>
  <c r="E42" i="79" l="1"/>
  <c r="E44" i="79" s="1"/>
  <c r="G17" i="78" l="1"/>
  <c r="D17" i="78" s="1"/>
  <c r="F17" i="78"/>
  <c r="G38" i="78" l="1"/>
  <c r="D41" i="78"/>
  <c r="J41" i="78" s="1"/>
  <c r="M47" i="78"/>
  <c r="F38" i="78"/>
  <c r="D42" i="78"/>
  <c r="J42" i="78" s="1"/>
  <c r="E17" i="78"/>
  <c r="B17" i="78"/>
  <c r="D38" i="78"/>
  <c r="B38" i="78"/>
  <c r="D44" i="78" l="1"/>
  <c r="M40" i="78" s="1"/>
  <c r="M43" i="78"/>
  <c r="M45" i="78" s="1"/>
  <c r="O45" i="78" s="1"/>
  <c r="M40" i="91" s="1"/>
  <c r="D3" i="78"/>
  <c r="N41" i="78" s="1"/>
  <c r="B37" i="78"/>
  <c r="J44" i="78"/>
  <c r="M43" i="91" l="1"/>
  <c r="M45" i="91" s="1"/>
  <c r="D3" i="91"/>
  <c r="N41" i="91" s="1"/>
  <c r="G9" i="87" l="1"/>
  <c r="D9" i="87" s="1"/>
  <c r="B9" i="87" s="1"/>
  <c r="G25" i="86" l="1"/>
  <c r="D25" i="86" s="1"/>
  <c r="F9" i="87"/>
  <c r="E9" i="87" s="1"/>
  <c r="G33" i="86"/>
  <c r="D33" i="86" s="1"/>
  <c r="G33" i="87"/>
  <c r="D33" i="87" s="1"/>
  <c r="B33" i="87" s="1"/>
  <c r="G30" i="87" l="1"/>
  <c r="D30" i="87" s="1"/>
  <c r="G8" i="86"/>
  <c r="D8" i="86" s="1"/>
  <c r="G19" i="86"/>
  <c r="D19" i="86" s="1"/>
  <c r="G31" i="86"/>
  <c r="D31" i="86" s="1"/>
  <c r="G17" i="87"/>
  <c r="D17" i="87" s="1"/>
  <c r="B17" i="87" s="1"/>
  <c r="G23" i="87"/>
  <c r="D23" i="87" s="1"/>
  <c r="B23" i="87" s="1"/>
  <c r="G35" i="86"/>
  <c r="D35" i="86" s="1"/>
  <c r="G19" i="87"/>
  <c r="D19" i="87" s="1"/>
  <c r="G10" i="86"/>
  <c r="D10" i="86" s="1"/>
  <c r="B10" i="86" s="1"/>
  <c r="G24" i="87"/>
  <c r="D24" i="87" s="1"/>
  <c r="B24" i="87" s="1"/>
  <c r="G35" i="87"/>
  <c r="D35" i="87" s="1"/>
  <c r="B35" i="87" s="1"/>
  <c r="B33" i="86"/>
  <c r="B30" i="87"/>
  <c r="B19" i="86"/>
  <c r="B25" i="86"/>
  <c r="B31" i="86"/>
  <c r="B8" i="86"/>
  <c r="B35" i="86"/>
  <c r="B19" i="87"/>
  <c r="G25" i="85"/>
  <c r="D25" i="85" s="1"/>
  <c r="F33" i="87"/>
  <c r="F30" i="87"/>
  <c r="F19" i="86"/>
  <c r="E19" i="86" s="1"/>
  <c r="F25" i="86"/>
  <c r="F31" i="86"/>
  <c r="E31" i="86" s="1"/>
  <c r="G18" i="85"/>
  <c r="D18" i="85" s="1"/>
  <c r="B18" i="85" s="1"/>
  <c r="F17" i="87"/>
  <c r="F8" i="86"/>
  <c r="F24" i="87"/>
  <c r="F23" i="87"/>
  <c r="F35" i="86"/>
  <c r="F19" i="87"/>
  <c r="E19" i="87" s="1"/>
  <c r="F33" i="86"/>
  <c r="E33" i="86" s="1"/>
  <c r="F10" i="86"/>
  <c r="F35" i="87"/>
  <c r="E35" i="86" l="1"/>
  <c r="E25" i="86"/>
  <c r="E23" i="87"/>
  <c r="E8" i="86"/>
  <c r="E17" i="87"/>
  <c r="G16" i="85"/>
  <c r="D16" i="85" s="1"/>
  <c r="B16" i="85" s="1"/>
  <c r="E30" i="87"/>
  <c r="G23" i="85"/>
  <c r="D23" i="85" s="1"/>
  <c r="G19" i="85"/>
  <c r="D19" i="85" s="1"/>
  <c r="B19" i="85" s="1"/>
  <c r="E35" i="87"/>
  <c r="B23" i="85"/>
  <c r="E24" i="87"/>
  <c r="E33" i="87"/>
  <c r="E10" i="86"/>
  <c r="B25" i="85"/>
  <c r="F18" i="85"/>
  <c r="F19" i="85"/>
  <c r="F23" i="85"/>
  <c r="F16" i="85"/>
  <c r="F25" i="85"/>
  <c r="E19" i="85" l="1"/>
  <c r="E25" i="85"/>
  <c r="E16" i="85"/>
  <c r="E23" i="85"/>
  <c r="E18" i="85"/>
  <c r="G23" i="84" l="1"/>
  <c r="D23" i="84" s="1"/>
  <c r="B23" i="84" s="1"/>
  <c r="F23" i="84"/>
  <c r="E23" i="84" s="1"/>
  <c r="G9" i="86" l="1"/>
  <c r="D9" i="86" s="1"/>
  <c r="G8" i="84" l="1"/>
  <c r="D8" i="84" s="1"/>
  <c r="G8" i="83"/>
  <c r="D8" i="83" s="1"/>
  <c r="B8" i="83" s="1"/>
  <c r="G22" i="85"/>
  <c r="D22" i="85" s="1"/>
  <c r="B22" i="85" s="1"/>
  <c r="G24" i="85"/>
  <c r="D24" i="85" s="1"/>
  <c r="G31" i="85"/>
  <c r="D31" i="85" s="1"/>
  <c r="G11" i="87"/>
  <c r="D11" i="87" s="1"/>
  <c r="G15" i="87"/>
  <c r="D15" i="87" s="1"/>
  <c r="B15" i="87" s="1"/>
  <c r="G19" i="84"/>
  <c r="D19" i="84" s="1"/>
  <c r="G24" i="86"/>
  <c r="D24" i="86" s="1"/>
  <c r="B24" i="86" s="1"/>
  <c r="G24" i="84"/>
  <c r="D24" i="84" s="1"/>
  <c r="B19" i="84"/>
  <c r="B24" i="85"/>
  <c r="B8" i="84"/>
  <c r="B24" i="84"/>
  <c r="B31" i="85"/>
  <c r="B11" i="87"/>
  <c r="B9" i="86"/>
  <c r="F24" i="85"/>
  <c r="E24" i="85" s="1"/>
  <c r="F8" i="84"/>
  <c r="F8" i="83"/>
  <c r="F24" i="86"/>
  <c r="F19" i="84"/>
  <c r="F11" i="87"/>
  <c r="F31" i="85"/>
  <c r="F15" i="87"/>
  <c r="F22" i="85"/>
  <c r="F9" i="86"/>
  <c r="F24" i="84"/>
  <c r="E19" i="84" l="1"/>
  <c r="E24" i="84"/>
  <c r="E22" i="85"/>
  <c r="E31" i="85"/>
  <c r="E8" i="84"/>
  <c r="E24" i="86"/>
  <c r="E9" i="86"/>
  <c r="E15" i="87"/>
  <c r="E11" i="87"/>
  <c r="E8" i="83"/>
  <c r="G32" i="88" l="1"/>
  <c r="D32" i="88" s="1"/>
  <c r="G30" i="88" l="1"/>
  <c r="D30" i="88" s="1"/>
  <c r="G8" i="88"/>
  <c r="D8" i="88" s="1"/>
  <c r="B8" i="88" s="1"/>
  <c r="G35" i="88"/>
  <c r="D35" i="88" s="1"/>
  <c r="B35" i="88" s="1"/>
  <c r="G17" i="88"/>
  <c r="D17" i="88" s="1"/>
  <c r="G24" i="88"/>
  <c r="D24" i="88" s="1"/>
  <c r="B24" i="88" s="1"/>
  <c r="B32" i="88"/>
  <c r="B30" i="88"/>
  <c r="B17" i="88"/>
  <c r="F32" i="88"/>
  <c r="E32" i="88" s="1"/>
  <c r="F8" i="88"/>
  <c r="F17" i="88"/>
  <c r="F30" i="88"/>
  <c r="F35" i="88"/>
  <c r="F24" i="88"/>
  <c r="E24" i="88" l="1"/>
  <c r="E17" i="88"/>
  <c r="E8" i="88"/>
  <c r="E30" i="88"/>
  <c r="E35" i="88"/>
  <c r="M24" i="87" l="1"/>
  <c r="N24" i="87" s="1"/>
  <c r="M22" i="87"/>
  <c r="N22" i="87" s="1"/>
  <c r="M12" i="88"/>
  <c r="N12" i="88" s="1"/>
  <c r="M16" i="88"/>
  <c r="N16" i="88" s="1"/>
  <c r="M24" i="88"/>
  <c r="N24" i="88" s="1"/>
  <c r="M17" i="82"/>
  <c r="N17" i="82" s="1"/>
  <c r="M21" i="82"/>
  <c r="N21" i="82" s="1"/>
  <c r="M25" i="82"/>
  <c r="N25" i="82" s="1"/>
  <c r="M29" i="82"/>
  <c r="N29" i="82" s="1"/>
  <c r="M33" i="82"/>
  <c r="N33" i="82" s="1"/>
  <c r="M7" i="83"/>
  <c r="N7" i="83" s="1"/>
  <c r="M11" i="83"/>
  <c r="N11" i="83" s="1"/>
  <c r="M15" i="83"/>
  <c r="N15" i="83" s="1"/>
  <c r="M19" i="83"/>
  <c r="N19" i="83" s="1"/>
  <c r="M23" i="83"/>
  <c r="N23" i="83" s="1"/>
  <c r="M27" i="83"/>
  <c r="N27" i="83" s="1"/>
  <c r="M31" i="83"/>
  <c r="N31" i="83" s="1"/>
  <c r="M35" i="83"/>
  <c r="N35" i="83" s="1"/>
  <c r="M13" i="84"/>
  <c r="N13" i="84" s="1"/>
  <c r="M17" i="84"/>
  <c r="N17" i="84" s="1"/>
  <c r="M21" i="84"/>
  <c r="N21" i="84" s="1"/>
  <c r="M23" i="88"/>
  <c r="N23" i="88" s="1"/>
  <c r="M24" i="86"/>
  <c r="N24" i="86" s="1"/>
  <c r="M35" i="87"/>
  <c r="N35" i="87" s="1"/>
  <c r="M22" i="82"/>
  <c r="N22" i="82" s="1"/>
  <c r="M26" i="82"/>
  <c r="N26" i="82" s="1"/>
  <c r="M30" i="82"/>
  <c r="N30" i="82" s="1"/>
  <c r="M34" i="82"/>
  <c r="N34" i="82" s="1"/>
  <c r="M6" i="83"/>
  <c r="M10" i="83"/>
  <c r="N10" i="83" s="1"/>
  <c r="M14" i="83"/>
  <c r="N14" i="83" s="1"/>
  <c r="M18" i="83"/>
  <c r="N18" i="83" s="1"/>
  <c r="M22" i="83"/>
  <c r="N22" i="83" s="1"/>
  <c r="M26" i="83"/>
  <c r="N26" i="83" s="1"/>
  <c r="M30" i="83"/>
  <c r="N30" i="83" s="1"/>
  <c r="M34" i="83"/>
  <c r="N34" i="83" s="1"/>
  <c r="M8" i="84"/>
  <c r="N8" i="84" s="1"/>
  <c r="M20" i="84"/>
  <c r="N20" i="84" s="1"/>
  <c r="M6" i="85"/>
  <c r="M14" i="85"/>
  <c r="N14" i="85" s="1"/>
  <c r="M18" i="85"/>
  <c r="N18" i="85" s="1"/>
  <c r="M26" i="85"/>
  <c r="N26" i="85" s="1"/>
  <c r="M34" i="85"/>
  <c r="N34" i="85" s="1"/>
  <c r="M6" i="86"/>
  <c r="M11" i="86"/>
  <c r="N11" i="86" s="1"/>
  <c r="M26" i="88"/>
  <c r="N26" i="88" s="1"/>
  <c r="M30" i="88"/>
  <c r="N30" i="88" s="1"/>
  <c r="M34" i="88"/>
  <c r="N34" i="88" s="1"/>
  <c r="M21" i="86"/>
  <c r="N21" i="86" s="1"/>
  <c r="M25" i="86"/>
  <c r="N25" i="86" s="1"/>
  <c r="M10" i="86"/>
  <c r="N10" i="86" s="1"/>
  <c r="M11" i="88"/>
  <c r="N11" i="88" s="1"/>
  <c r="M15" i="88"/>
  <c r="N15" i="88" s="1"/>
  <c r="M29" i="88"/>
  <c r="N29" i="88" s="1"/>
  <c r="M12" i="82"/>
  <c r="N12" i="82" s="1"/>
  <c r="M16" i="82"/>
  <c r="N16" i="82" s="1"/>
  <c r="M26" i="84"/>
  <c r="N26" i="84" s="1"/>
  <c r="M30" i="84"/>
  <c r="N30" i="84" s="1"/>
  <c r="M34" i="84"/>
  <c r="N34" i="84" s="1"/>
  <c r="M8" i="85"/>
  <c r="N8" i="85" s="1"/>
  <c r="M12" i="85"/>
  <c r="N12" i="85" s="1"/>
  <c r="M16" i="85"/>
  <c r="N16" i="85" s="1"/>
  <c r="M20" i="85"/>
  <c r="N20" i="85" s="1"/>
  <c r="M28" i="85"/>
  <c r="N28" i="85" s="1"/>
  <c r="M32" i="85"/>
  <c r="N32" i="85" s="1"/>
  <c r="M19" i="86"/>
  <c r="N19" i="86" s="1"/>
  <c r="M23" i="86"/>
  <c r="N23" i="86" s="1"/>
  <c r="M34" i="87"/>
  <c r="N34" i="87" s="1"/>
  <c r="M10" i="88"/>
  <c r="N10" i="88" s="1"/>
  <c r="M14" i="88"/>
  <c r="N14" i="88" s="1"/>
  <c r="M22" i="88"/>
  <c r="N22" i="88" s="1"/>
  <c r="M28" i="88"/>
  <c r="N28" i="88" s="1"/>
  <c r="M32" i="88"/>
  <c r="N32" i="88" s="1"/>
  <c r="M23" i="89"/>
  <c r="N23" i="89" s="1"/>
  <c r="M7" i="82"/>
  <c r="N7" i="82" s="1"/>
  <c r="M11" i="82"/>
  <c r="N11" i="82" s="1"/>
  <c r="M15" i="82"/>
  <c r="N15" i="82" s="1"/>
  <c r="M12" i="86"/>
  <c r="N12" i="86" s="1"/>
  <c r="M22" i="86"/>
  <c r="N22" i="86" s="1"/>
  <c r="M34" i="86"/>
  <c r="N34" i="86" s="1"/>
  <c r="M8" i="87"/>
  <c r="N8" i="87" s="1"/>
  <c r="M12" i="87"/>
  <c r="N12" i="87" s="1"/>
  <c r="M13" i="88"/>
  <c r="N13" i="88" s="1"/>
  <c r="M21" i="88"/>
  <c r="N21" i="88" s="1"/>
  <c r="M27" i="88"/>
  <c r="N27" i="88" s="1"/>
  <c r="M31" i="88"/>
  <c r="N31" i="88" s="1"/>
  <c r="M9" i="82"/>
  <c r="N9" i="82" s="1"/>
  <c r="M23" i="82"/>
  <c r="N23" i="82" s="1"/>
  <c r="M27" i="82"/>
  <c r="N27" i="82" s="1"/>
  <c r="M31" i="82"/>
  <c r="N31" i="82" s="1"/>
  <c r="M35" i="82"/>
  <c r="N35" i="82" s="1"/>
  <c r="M9" i="83"/>
  <c r="N9" i="83" s="1"/>
  <c r="M13" i="83"/>
  <c r="N13" i="83" s="1"/>
  <c r="M17" i="83"/>
  <c r="N17" i="83" s="1"/>
  <c r="M21" i="83"/>
  <c r="N21" i="83" s="1"/>
  <c r="M25" i="83"/>
  <c r="N25" i="83" s="1"/>
  <c r="M7" i="86"/>
  <c r="N7" i="86" s="1"/>
  <c r="M29" i="86"/>
  <c r="N29" i="86" s="1"/>
  <c r="M35" i="86"/>
  <c r="N35" i="86" s="1"/>
  <c r="M9" i="87"/>
  <c r="N9" i="87" s="1"/>
  <c r="M32" i="87"/>
  <c r="N32" i="87" s="1"/>
  <c r="M26" i="86"/>
  <c r="N26" i="86" s="1"/>
  <c r="M20" i="88"/>
  <c r="N20" i="88" s="1"/>
  <c r="M10" i="82"/>
  <c r="N10" i="82" s="1"/>
  <c r="M14" i="82"/>
  <c r="N14" i="82" s="1"/>
  <c r="M19" i="82"/>
  <c r="N19" i="82" s="1"/>
  <c r="M20" i="82"/>
  <c r="N20" i="82" s="1"/>
  <c r="M8" i="86"/>
  <c r="N8" i="86" s="1"/>
  <c r="M9" i="86"/>
  <c r="N9" i="86" s="1"/>
  <c r="M6" i="87"/>
  <c r="M10" i="87"/>
  <c r="N10" i="87" s="1"/>
  <c r="M11" i="87"/>
  <c r="N11" i="87" s="1"/>
  <c r="M13" i="87"/>
  <c r="N13" i="87" s="1"/>
  <c r="M14" i="87"/>
  <c r="N14" i="87" s="1"/>
  <c r="M15" i="87"/>
  <c r="N15" i="87" s="1"/>
  <c r="M16" i="87"/>
  <c r="N16" i="87" s="1"/>
  <c r="M17" i="87"/>
  <c r="N17" i="87" s="1"/>
  <c r="M18" i="87"/>
  <c r="N18" i="87" s="1"/>
  <c r="M19" i="87"/>
  <c r="N19" i="87" s="1"/>
  <c r="M21" i="87"/>
  <c r="N21" i="87" s="1"/>
  <c r="M23" i="87"/>
  <c r="N23" i="87" s="1"/>
  <c r="M29" i="87"/>
  <c r="N29" i="87" s="1"/>
  <c r="M33" i="87"/>
  <c r="N33" i="87" s="1"/>
  <c r="M33" i="86"/>
  <c r="N33" i="86" s="1"/>
  <c r="M29" i="83"/>
  <c r="N29" i="83" s="1"/>
  <c r="M33" i="83"/>
  <c r="N33" i="83" s="1"/>
  <c r="M15" i="86"/>
  <c r="N15" i="86" s="1"/>
  <c r="M16" i="86"/>
  <c r="N16" i="86" s="1"/>
  <c r="M17" i="86"/>
  <c r="N17" i="86" s="1"/>
  <c r="M27" i="86"/>
  <c r="N27" i="86" s="1"/>
  <c r="M28" i="86"/>
  <c r="N28" i="86" s="1"/>
  <c r="M30" i="86"/>
  <c r="N30" i="86" s="1"/>
  <c r="M31" i="86"/>
  <c r="N31" i="86" s="1"/>
  <c r="M32" i="86"/>
  <c r="N32" i="86" s="1"/>
  <c r="M25" i="87"/>
  <c r="M26" i="87"/>
  <c r="N26" i="87" s="1"/>
  <c r="M17" i="88"/>
  <c r="N17" i="88" s="1"/>
  <c r="M18" i="88"/>
  <c r="N18" i="88" s="1"/>
  <c r="M19" i="88"/>
  <c r="M33" i="88"/>
  <c r="N33" i="88" s="1"/>
  <c r="M6" i="89"/>
  <c r="M20" i="89"/>
  <c r="N20" i="89" s="1"/>
  <c r="M22" i="89"/>
  <c r="N22" i="89" s="1"/>
  <c r="M6" i="88"/>
  <c r="M7" i="88"/>
  <c r="N7" i="88" s="1"/>
  <c r="M8" i="88"/>
  <c r="N8" i="88" s="1"/>
  <c r="M9" i="88"/>
  <c r="N9" i="88" s="1"/>
  <c r="M25" i="88"/>
  <c r="M9" i="89"/>
  <c r="N9" i="89" s="1"/>
  <c r="M11" i="89"/>
  <c r="N11" i="89" s="1"/>
  <c r="M21" i="89"/>
  <c r="N21" i="89" s="1"/>
  <c r="M24" i="89"/>
  <c r="N24" i="89" s="1"/>
  <c r="M25" i="89"/>
  <c r="N25" i="89" s="1"/>
  <c r="M26" i="89"/>
  <c r="N26" i="89" s="1"/>
  <c r="M29" i="89"/>
  <c r="N29" i="89" s="1"/>
  <c r="M12" i="89"/>
  <c r="N12" i="89" s="1"/>
  <c r="M13" i="89"/>
  <c r="N13" i="89" s="1"/>
  <c r="M14" i="89"/>
  <c r="N14" i="89" s="1"/>
  <c r="M15" i="89"/>
  <c r="N15" i="89" s="1"/>
  <c r="M32" i="89"/>
  <c r="N32" i="89" s="1"/>
  <c r="M17" i="89"/>
  <c r="M19" i="89"/>
  <c r="N19" i="89" s="1"/>
  <c r="M33" i="89"/>
  <c r="N33" i="89" s="1"/>
  <c r="M34" i="89"/>
  <c r="N34" i="89" s="1"/>
  <c r="M28" i="89"/>
  <c r="N28" i="89" s="1"/>
  <c r="M16" i="89"/>
  <c r="N16" i="89" s="1"/>
  <c r="M8" i="89"/>
  <c r="N8" i="89" s="1"/>
  <c r="M35" i="89"/>
  <c r="N35" i="89" s="1"/>
  <c r="M31" i="89"/>
  <c r="N31" i="89" s="1"/>
  <c r="M27" i="89"/>
  <c r="N27" i="89" s="1"/>
  <c r="M7" i="89"/>
  <c r="N7" i="89" s="1"/>
  <c r="M30" i="89"/>
  <c r="N30" i="89" s="1"/>
  <c r="M18" i="89"/>
  <c r="N18" i="89" s="1"/>
  <c r="M10" i="89"/>
  <c r="N10" i="89" s="1"/>
  <c r="M35" i="88"/>
  <c r="N35" i="88" s="1"/>
  <c r="M28" i="87"/>
  <c r="N28" i="87" s="1"/>
  <c r="M20" i="87"/>
  <c r="N20" i="87" s="1"/>
  <c r="M31" i="87"/>
  <c r="N31" i="87" s="1"/>
  <c r="M27" i="87"/>
  <c r="N27" i="87" s="1"/>
  <c r="M7" i="87"/>
  <c r="N7" i="87" s="1"/>
  <c r="M30" i="87"/>
  <c r="N30" i="87" s="1"/>
  <c r="M18" i="86"/>
  <c r="N18" i="86" s="1"/>
  <c r="M14" i="86"/>
  <c r="N14" i="86" s="1"/>
  <c r="M13" i="86"/>
  <c r="N13" i="86" s="1"/>
  <c r="M20" i="86"/>
  <c r="N20" i="86" s="1"/>
  <c r="M7" i="84"/>
  <c r="N7" i="84" s="1"/>
  <c r="M11" i="84"/>
  <c r="M23" i="84"/>
  <c r="N23" i="84" s="1"/>
  <c r="M27" i="84"/>
  <c r="N27" i="84" s="1"/>
  <c r="M31" i="84"/>
  <c r="N31" i="84" s="1"/>
  <c r="M13" i="85"/>
  <c r="N13" i="85" s="1"/>
  <c r="M17" i="85"/>
  <c r="N17" i="85" s="1"/>
  <c r="M21" i="85"/>
  <c r="N21" i="85" s="1"/>
  <c r="M25" i="85"/>
  <c r="N25" i="85" s="1"/>
  <c r="M29" i="85"/>
  <c r="N29" i="85" s="1"/>
  <c r="M33" i="85"/>
  <c r="N33" i="85" s="1"/>
  <c r="M14" i="84"/>
  <c r="N14" i="84" s="1"/>
  <c r="M10" i="84"/>
  <c r="M25" i="84"/>
  <c r="N25" i="84" s="1"/>
  <c r="M29" i="84"/>
  <c r="N29" i="84" s="1"/>
  <c r="M33" i="84"/>
  <c r="N33" i="84" s="1"/>
  <c r="M11" i="85"/>
  <c r="N11" i="85" s="1"/>
  <c r="M23" i="85"/>
  <c r="N23" i="85" s="1"/>
  <c r="M31" i="85"/>
  <c r="N31" i="85" s="1"/>
  <c r="M35" i="85"/>
  <c r="N35" i="85" s="1"/>
  <c r="M28" i="82"/>
  <c r="N28" i="82" s="1"/>
  <c r="M32" i="82"/>
  <c r="N32" i="82" s="1"/>
  <c r="M18" i="82"/>
  <c r="N18" i="82" s="1"/>
  <c r="M32" i="83"/>
  <c r="N32" i="83" s="1"/>
  <c r="M24" i="83"/>
  <c r="N24" i="83" s="1"/>
  <c r="M16" i="83"/>
  <c r="N16" i="83" s="1"/>
  <c r="M8" i="83"/>
  <c r="N8" i="83" s="1"/>
  <c r="M8" i="82"/>
  <c r="N8" i="82" s="1"/>
  <c r="M10" i="85"/>
  <c r="N10" i="85" s="1"/>
  <c r="M27" i="85"/>
  <c r="N27" i="85" s="1"/>
  <c r="M19" i="85"/>
  <c r="N19" i="85" s="1"/>
  <c r="M6" i="82"/>
  <c r="M15" i="84"/>
  <c r="N15" i="84" s="1"/>
  <c r="M28" i="84"/>
  <c r="N28" i="84" s="1"/>
  <c r="M32" i="84"/>
  <c r="N32" i="84" s="1"/>
  <c r="M35" i="84"/>
  <c r="N35" i="84" s="1"/>
  <c r="M9" i="85"/>
  <c r="N9" i="85" s="1"/>
  <c r="M22" i="85"/>
  <c r="N22" i="85" s="1"/>
  <c r="M28" i="83"/>
  <c r="N28" i="83" s="1"/>
  <c r="M20" i="83"/>
  <c r="N20" i="83" s="1"/>
  <c r="M12" i="83"/>
  <c r="N12" i="83" s="1"/>
  <c r="M18" i="84"/>
  <c r="N18" i="84" s="1"/>
  <c r="M24" i="85"/>
  <c r="N24" i="85" s="1"/>
  <c r="M24" i="82"/>
  <c r="N24" i="82" s="1"/>
  <c r="M6" i="84"/>
  <c r="M30" i="85"/>
  <c r="N30" i="85" s="1"/>
  <c r="M22" i="84"/>
  <c r="N22" i="84" s="1"/>
  <c r="M12" i="84"/>
  <c r="N12" i="84" s="1"/>
  <c r="M16" i="84"/>
  <c r="N16" i="84" s="1"/>
  <c r="M19" i="84"/>
  <c r="N19" i="84" s="1"/>
  <c r="M24" i="84"/>
  <c r="N24" i="84" s="1"/>
  <c r="M13" i="82"/>
  <c r="N13" i="82" s="1"/>
  <c r="M9" i="84"/>
  <c r="N9" i="84" s="1"/>
  <c r="M15" i="85"/>
  <c r="N15" i="85" s="1"/>
  <c r="M7" i="85"/>
  <c r="N7" i="85" s="1"/>
  <c r="M38" i="87" l="1"/>
  <c r="N6" i="87"/>
  <c r="M38" i="88"/>
  <c r="N6" i="86"/>
  <c r="M38" i="86"/>
  <c r="M38" i="85"/>
  <c r="N6" i="85"/>
  <c r="M38" i="84"/>
  <c r="M38" i="82"/>
  <c r="N6" i="82"/>
  <c r="M38" i="89"/>
  <c r="N6" i="83"/>
  <c r="M38" i="83"/>
  <c r="G42" i="85" l="1"/>
  <c r="N38" i="85"/>
  <c r="G41" i="85"/>
  <c r="N38" i="86"/>
  <c r="G42" i="86"/>
  <c r="G41" i="86"/>
  <c r="G41" i="83"/>
  <c r="N38" i="83"/>
  <c r="G42" i="83"/>
  <c r="N38" i="82"/>
  <c r="G42" i="82"/>
  <c r="J42" i="82" s="1"/>
  <c r="G41" i="82"/>
  <c r="G44" i="85" l="1"/>
  <c r="M48" i="85" s="1"/>
  <c r="G44" i="86"/>
  <c r="M48" i="86" s="1"/>
  <c r="G44" i="83"/>
  <c r="M48" i="83" s="1"/>
  <c r="G44" i="82"/>
  <c r="M48" i="82" s="1"/>
  <c r="J41" i="82"/>
  <c r="J44" i="82" s="1"/>
  <c r="M8" i="81"/>
  <c r="N8" i="81" s="1"/>
  <c r="M12" i="81"/>
  <c r="N12" i="81" s="1"/>
  <c r="M16" i="81"/>
  <c r="N16" i="81" s="1"/>
  <c r="M20" i="81"/>
  <c r="N20" i="81" s="1"/>
  <c r="M24" i="81"/>
  <c r="N24" i="81" s="1"/>
  <c r="M28" i="81"/>
  <c r="N28" i="81" s="1"/>
  <c r="M32" i="81"/>
  <c r="N32" i="81" s="1"/>
  <c r="M9" i="81"/>
  <c r="N9" i="81" s="1"/>
  <c r="M13" i="81"/>
  <c r="N13" i="81" s="1"/>
  <c r="M17" i="81"/>
  <c r="N17" i="81" s="1"/>
  <c r="M21" i="81"/>
  <c r="N21" i="81" s="1"/>
  <c r="M25" i="81"/>
  <c r="N25" i="81" s="1"/>
  <c r="M29" i="81"/>
  <c r="N29" i="81" s="1"/>
  <c r="M33" i="81"/>
  <c r="N33" i="81" s="1"/>
  <c r="M6" i="81"/>
  <c r="M10" i="81"/>
  <c r="N10" i="81" s="1"/>
  <c r="M14" i="81"/>
  <c r="N14" i="81" s="1"/>
  <c r="M18" i="81"/>
  <c r="N18" i="81" s="1"/>
  <c r="M22" i="81"/>
  <c r="N22" i="81" s="1"/>
  <c r="M26" i="81"/>
  <c r="N26" i="81" s="1"/>
  <c r="M30" i="81"/>
  <c r="N30" i="81" s="1"/>
  <c r="M34" i="81"/>
  <c r="N34" i="81" s="1"/>
  <c r="M7" i="81"/>
  <c r="N7" i="81" s="1"/>
  <c r="M11" i="81"/>
  <c r="N11" i="81" s="1"/>
  <c r="M15" i="81"/>
  <c r="N15" i="81" s="1"/>
  <c r="M19" i="81"/>
  <c r="N19" i="81" s="1"/>
  <c r="M23" i="81"/>
  <c r="N23" i="81" s="1"/>
  <c r="M27" i="81"/>
  <c r="N27" i="81" s="1"/>
  <c r="M31" i="81"/>
  <c r="N31" i="81" s="1"/>
  <c r="M35" i="81"/>
  <c r="N35" i="81" s="1"/>
  <c r="M38" i="81" l="1"/>
  <c r="N6" i="81"/>
  <c r="N38" i="81" l="1"/>
  <c r="G42" i="81"/>
  <c r="J42" i="81" s="1"/>
  <c r="G41" i="81"/>
  <c r="G44" i="81" l="1"/>
  <c r="M48" i="81" s="1"/>
  <c r="J41" i="81"/>
  <c r="J44" i="81" s="1"/>
  <c r="M6" i="80"/>
  <c r="M8" i="80"/>
  <c r="N8" i="80" s="1"/>
  <c r="M10" i="80"/>
  <c r="N10" i="80" s="1"/>
  <c r="M12" i="80"/>
  <c r="N12" i="80" s="1"/>
  <c r="M14" i="80"/>
  <c r="N14" i="80" s="1"/>
  <c r="M16" i="80"/>
  <c r="N16" i="80" s="1"/>
  <c r="M18" i="80"/>
  <c r="N18" i="80" s="1"/>
  <c r="M20" i="80"/>
  <c r="N20" i="80" s="1"/>
  <c r="M22" i="80"/>
  <c r="N22" i="80" s="1"/>
  <c r="M24" i="80"/>
  <c r="N24" i="80" s="1"/>
  <c r="M26" i="80"/>
  <c r="N26" i="80" s="1"/>
  <c r="M28" i="80"/>
  <c r="N28" i="80" s="1"/>
  <c r="M30" i="80"/>
  <c r="N30" i="80" s="1"/>
  <c r="M32" i="80"/>
  <c r="N32" i="80" s="1"/>
  <c r="M34" i="80"/>
  <c r="N34" i="80" s="1"/>
  <c r="M7" i="80"/>
  <c r="N7" i="80" s="1"/>
  <c r="M9" i="80"/>
  <c r="N9" i="80" s="1"/>
  <c r="M11" i="80"/>
  <c r="N11" i="80" s="1"/>
  <c r="M13" i="80"/>
  <c r="N13" i="80" s="1"/>
  <c r="M15" i="80"/>
  <c r="N15" i="80" s="1"/>
  <c r="M17" i="80"/>
  <c r="N17" i="80" s="1"/>
  <c r="M19" i="80"/>
  <c r="N19" i="80" s="1"/>
  <c r="M21" i="80"/>
  <c r="N21" i="80" s="1"/>
  <c r="M23" i="80"/>
  <c r="N23" i="80" s="1"/>
  <c r="M25" i="80"/>
  <c r="N25" i="80" s="1"/>
  <c r="M27" i="80"/>
  <c r="N27" i="80" s="1"/>
  <c r="M29" i="80"/>
  <c r="N29" i="80" s="1"/>
  <c r="M31" i="80"/>
  <c r="N31" i="80" s="1"/>
  <c r="M33" i="80"/>
  <c r="N33" i="80" s="1"/>
  <c r="M35" i="80"/>
  <c r="N35" i="80" s="1"/>
  <c r="M38" i="80" l="1"/>
  <c r="N6" i="80"/>
  <c r="G42" i="80" l="1"/>
  <c r="J42" i="80" s="1"/>
  <c r="N38" i="80"/>
  <c r="G41" i="80"/>
  <c r="G44" i="80" l="1"/>
  <c r="J41" i="80"/>
  <c r="J44" i="80" s="1"/>
  <c r="M29" i="79"/>
  <c r="M25" i="79"/>
  <c r="M21" i="79"/>
  <c r="M17" i="79"/>
  <c r="M13" i="79"/>
  <c r="M9" i="79"/>
  <c r="M34" i="79"/>
  <c r="M30" i="79"/>
  <c r="M26" i="79"/>
  <c r="M22" i="79"/>
  <c r="M18" i="79"/>
  <c r="M14" i="79"/>
  <c r="M10" i="79"/>
  <c r="M35" i="79"/>
  <c r="M31" i="79"/>
  <c r="M27" i="79"/>
  <c r="M23" i="79"/>
  <c r="M19" i="79"/>
  <c r="M15" i="79"/>
  <c r="M11" i="79"/>
  <c r="M7" i="79"/>
  <c r="M33" i="79"/>
  <c r="M32" i="79"/>
  <c r="M28" i="79"/>
  <c r="M24" i="79"/>
  <c r="M20" i="79"/>
  <c r="M16" i="79"/>
  <c r="M12" i="79"/>
  <c r="M8" i="79"/>
  <c r="M6" i="79"/>
  <c r="M6" i="91" l="1"/>
  <c r="N6" i="79"/>
  <c r="M38" i="79"/>
  <c r="M33" i="91"/>
  <c r="N33" i="79"/>
  <c r="M19" i="91"/>
  <c r="N19" i="79"/>
  <c r="M35" i="91"/>
  <c r="N35" i="79"/>
  <c r="M22" i="91"/>
  <c r="N22" i="79"/>
  <c r="M9" i="91"/>
  <c r="N9" i="79"/>
  <c r="M25" i="91"/>
  <c r="N25" i="79"/>
  <c r="M8" i="91"/>
  <c r="N8" i="79"/>
  <c r="N24" i="79"/>
  <c r="M24" i="91"/>
  <c r="N7" i="79"/>
  <c r="M7" i="91"/>
  <c r="M23" i="91"/>
  <c r="N23" i="79"/>
  <c r="M10" i="91"/>
  <c r="N10" i="79"/>
  <c r="M26" i="91"/>
  <c r="N26" i="79"/>
  <c r="M13" i="91"/>
  <c r="N13" i="79"/>
  <c r="M29" i="91"/>
  <c r="N29" i="79"/>
  <c r="N20" i="79"/>
  <c r="M20" i="91"/>
  <c r="M12" i="91"/>
  <c r="N12" i="79"/>
  <c r="M28" i="91"/>
  <c r="N28" i="79"/>
  <c r="M11" i="91"/>
  <c r="N11" i="79"/>
  <c r="N27" i="79"/>
  <c r="M27" i="91"/>
  <c r="N14" i="79"/>
  <c r="M14" i="91"/>
  <c r="M30" i="91"/>
  <c r="N30" i="79"/>
  <c r="M17" i="91"/>
  <c r="N17" i="79"/>
  <c r="M16" i="91"/>
  <c r="N16" i="79"/>
  <c r="N32" i="79"/>
  <c r="M32" i="91"/>
  <c r="M15" i="91"/>
  <c r="N15" i="79"/>
  <c r="N31" i="79"/>
  <c r="M31" i="91"/>
  <c r="M18" i="91"/>
  <c r="N18" i="79"/>
  <c r="M34" i="91"/>
  <c r="N34" i="79"/>
  <c r="M21" i="91"/>
  <c r="N21" i="79"/>
  <c r="M48" i="80"/>
  <c r="N38" i="79" l="1"/>
  <c r="G42" i="79"/>
  <c r="J42" i="79" s="1"/>
  <c r="G41" i="79"/>
  <c r="M38" i="91"/>
  <c r="G44" i="79" l="1"/>
  <c r="J41" i="79"/>
  <c r="J44" i="79" s="1"/>
  <c r="M48" i="79" l="1"/>
  <c r="O48" i="79" s="1"/>
  <c r="M40" i="79"/>
  <c r="D3" i="79" l="1"/>
  <c r="N41" i="79" s="1"/>
  <c r="M43" i="79"/>
  <c r="M45" i="79" s="1"/>
  <c r="O45" i="79" s="1"/>
  <c r="O48" i="80"/>
  <c r="O48" i="81" s="1"/>
  <c r="O48" i="82" s="1"/>
  <c r="O48" i="83" s="1"/>
  <c r="O48" i="91"/>
  <c r="G33" i="88"/>
  <c r="D33" i="88" s="1"/>
  <c r="B33" i="88" s="1"/>
  <c r="G23" i="88" l="1"/>
  <c r="D23" i="88" s="1"/>
  <c r="B23" i="88" s="1"/>
  <c r="O45" i="91"/>
  <c r="M40" i="80"/>
  <c r="F23" i="88"/>
  <c r="F33" i="88"/>
  <c r="E33" i="88" s="1"/>
  <c r="E23" i="88" l="1"/>
  <c r="M43" i="80"/>
  <c r="M45" i="80" s="1"/>
  <c r="O45" i="80" s="1"/>
  <c r="M40" i="81" s="1"/>
  <c r="D3" i="80"/>
  <c r="N41" i="80" s="1"/>
  <c r="D3" i="81" l="1"/>
  <c r="N41" i="81" s="1"/>
  <c r="M43" i="81"/>
  <c r="M45" i="81" s="1"/>
  <c r="O45" i="81" s="1"/>
  <c r="M40" i="82" s="1"/>
  <c r="M43" i="82" l="1"/>
  <c r="M45" i="82" s="1"/>
  <c r="O45" i="82" s="1"/>
  <c r="D3" i="82"/>
  <c r="N41" i="82" s="1"/>
  <c r="G19" i="89" l="1"/>
  <c r="D19" i="89" s="1"/>
  <c r="B19" i="89" s="1"/>
  <c r="F6" i="89"/>
  <c r="G6" i="89"/>
  <c r="N6" i="89"/>
  <c r="F19" i="89" l="1"/>
  <c r="D6" i="89"/>
  <c r="E6" i="89" l="1"/>
  <c r="B6" i="89"/>
  <c r="E19" i="89"/>
  <c r="G25" i="89" l="1"/>
  <c r="D25" i="89" s="1"/>
  <c r="G9" i="89"/>
  <c r="D9" i="89" s="1"/>
  <c r="G28" i="89"/>
  <c r="D28" i="89" s="1"/>
  <c r="G12" i="89"/>
  <c r="D12" i="89" s="1"/>
  <c r="G34" i="89"/>
  <c r="D34" i="89" s="1"/>
  <c r="B12" i="89" l="1"/>
  <c r="B25" i="89"/>
  <c r="B34" i="89"/>
  <c r="B28" i="89"/>
  <c r="B9" i="89"/>
  <c r="G32" i="89"/>
  <c r="D32" i="89" s="1"/>
  <c r="G20" i="89"/>
  <c r="D20" i="89" s="1"/>
  <c r="G22" i="89" l="1"/>
  <c r="D22" i="89" s="1"/>
  <c r="B22" i="89" s="1"/>
  <c r="G30" i="89"/>
  <c r="D30" i="89" s="1"/>
  <c r="G11" i="89"/>
  <c r="D11" i="89" s="1"/>
  <c r="B11" i="89" s="1"/>
  <c r="G21" i="89"/>
  <c r="D21" i="89" s="1"/>
  <c r="B21" i="89" s="1"/>
  <c r="G23" i="89"/>
  <c r="D23" i="89" s="1"/>
  <c r="B23" i="89" s="1"/>
  <c r="F9" i="89"/>
  <c r="E9" i="89" s="1"/>
  <c r="B20" i="89"/>
  <c r="F12" i="89"/>
  <c r="E12" i="89" s="1"/>
  <c r="F34" i="89"/>
  <c r="E34" i="89" s="1"/>
  <c r="F25" i="89"/>
  <c r="E25" i="89" s="1"/>
  <c r="B30" i="89"/>
  <c r="F28" i="89"/>
  <c r="E28" i="89" s="1"/>
  <c r="B32" i="89"/>
  <c r="G17" i="89"/>
  <c r="D17" i="89" s="1"/>
  <c r="B17" i="89" s="1"/>
  <c r="N17" i="89"/>
  <c r="G33" i="89"/>
  <c r="D33" i="89" s="1"/>
  <c r="G16" i="89" l="1"/>
  <c r="D16" i="89" s="1"/>
  <c r="B16" i="89" s="1"/>
  <c r="G8" i="89"/>
  <c r="D8" i="89" s="1"/>
  <c r="G31" i="89"/>
  <c r="D31" i="89" s="1"/>
  <c r="B31" i="89" s="1"/>
  <c r="G24" i="89"/>
  <c r="D24" i="89" s="1"/>
  <c r="D24" i="91" s="1"/>
  <c r="F17" i="89"/>
  <c r="E17" i="89" s="1"/>
  <c r="F21" i="89"/>
  <c r="E21" i="89" s="1"/>
  <c r="F30" i="89"/>
  <c r="E30" i="89" s="1"/>
  <c r="B24" i="89"/>
  <c r="B24" i="91" s="1"/>
  <c r="F20" i="89"/>
  <c r="E20" i="89" s="1"/>
  <c r="F32" i="89"/>
  <c r="E32" i="89" s="1"/>
  <c r="F11" i="89"/>
  <c r="E11" i="89" s="1"/>
  <c r="B33" i="89"/>
  <c r="F22" i="89"/>
  <c r="E22" i="89" s="1"/>
  <c r="B8" i="89"/>
  <c r="F23" i="89"/>
  <c r="E23" i="89" s="1"/>
  <c r="N38" i="89"/>
  <c r="G41" i="89"/>
  <c r="G42" i="89"/>
  <c r="F24" i="89"/>
  <c r="F24" i="91" s="1"/>
  <c r="G10" i="87" l="1"/>
  <c r="D10" i="87" s="1"/>
  <c r="B10" i="87" s="1"/>
  <c r="F31" i="89"/>
  <c r="E31" i="89" s="1"/>
  <c r="F8" i="89"/>
  <c r="E8" i="89" s="1"/>
  <c r="E24" i="89"/>
  <c r="E24" i="91" s="1"/>
  <c r="F16" i="89"/>
  <c r="E16" i="89" s="1"/>
  <c r="F33" i="89"/>
  <c r="E33" i="89" s="1"/>
  <c r="G44" i="89"/>
  <c r="M48" i="89" s="1"/>
  <c r="G7" i="88" l="1"/>
  <c r="D7" i="88" s="1"/>
  <c r="B7" i="88" s="1"/>
  <c r="F10" i="87"/>
  <c r="E10" i="87" s="1"/>
  <c r="F7" i="88" l="1"/>
  <c r="E7" i="88" s="1"/>
  <c r="G19" i="88"/>
  <c r="D19" i="88" s="1"/>
  <c r="N19" i="88"/>
  <c r="F19" i="88"/>
  <c r="F19" i="91" s="1"/>
  <c r="B19" i="88" l="1"/>
  <c r="B19" i="91" s="1"/>
  <c r="E19" i="88"/>
  <c r="E19" i="91" s="1"/>
  <c r="D19" i="91"/>
  <c r="G20" i="85"/>
  <c r="D20" i="85" s="1"/>
  <c r="B20" i="85" s="1"/>
  <c r="G8" i="85" l="1"/>
  <c r="D8" i="85" s="1"/>
  <c r="G8" i="87"/>
  <c r="D8" i="87" s="1"/>
  <c r="B8" i="87" s="1"/>
  <c r="G10" i="85"/>
  <c r="D10" i="85" s="1"/>
  <c r="B10" i="85" s="1"/>
  <c r="G23" i="86"/>
  <c r="D23" i="86" s="1"/>
  <c r="B23" i="86" s="1"/>
  <c r="B8" i="85"/>
  <c r="D8" i="91"/>
  <c r="F8" i="85"/>
  <c r="E8" i="85" s="1"/>
  <c r="B8" i="91" l="1"/>
  <c r="F8" i="87"/>
  <c r="E8" i="87" s="1"/>
  <c r="E8" i="91" s="1"/>
  <c r="F20" i="85"/>
  <c r="E20" i="85" s="1"/>
  <c r="F10" i="85"/>
  <c r="E10" i="85" s="1"/>
  <c r="F23" i="86"/>
  <c r="E23" i="86" s="1"/>
  <c r="F8" i="91" l="1"/>
  <c r="G11" i="84" l="1"/>
  <c r="D11" i="84" s="1"/>
  <c r="N11" i="84"/>
  <c r="F11" i="84"/>
  <c r="B11" i="84" l="1"/>
  <c r="E11" i="84"/>
  <c r="G28" i="85" l="1"/>
  <c r="D28" i="85" s="1"/>
  <c r="B28" i="85" s="1"/>
  <c r="G26" i="87"/>
  <c r="D26" i="87" s="1"/>
  <c r="B26" i="87" s="1"/>
  <c r="G18" i="83"/>
  <c r="D18" i="83" s="1"/>
  <c r="G13" i="84"/>
  <c r="D13" i="84" s="1"/>
  <c r="B13" i="84" s="1"/>
  <c r="G13" i="85"/>
  <c r="D13" i="85" s="1"/>
  <c r="B13" i="85" s="1"/>
  <c r="G34" i="85"/>
  <c r="D34" i="85" s="1"/>
  <c r="B34" i="85" s="1"/>
  <c r="G18" i="86"/>
  <c r="D18" i="86" s="1"/>
  <c r="B18" i="86" s="1"/>
  <c r="G26" i="86"/>
  <c r="D26" i="86" s="1"/>
  <c r="B26" i="86" s="1"/>
  <c r="G6" i="87"/>
  <c r="G32" i="87"/>
  <c r="D32" i="87" s="1"/>
  <c r="B32" i="87" s="1"/>
  <c r="G9" i="88"/>
  <c r="D9" i="88" s="1"/>
  <c r="B9" i="88" s="1"/>
  <c r="G13" i="88"/>
  <c r="D13" i="88" s="1"/>
  <c r="B13" i="88" s="1"/>
  <c r="G18" i="88"/>
  <c r="D18" i="88" s="1"/>
  <c r="B18" i="88" s="1"/>
  <c r="G32" i="83"/>
  <c r="D32" i="83" s="1"/>
  <c r="G9" i="83"/>
  <c r="D9" i="83" s="1"/>
  <c r="G18" i="84"/>
  <c r="D18" i="84" s="1"/>
  <c r="B18" i="84" s="1"/>
  <c r="G9" i="84"/>
  <c r="D9" i="84" s="1"/>
  <c r="B9" i="84" s="1"/>
  <c r="G20" i="87"/>
  <c r="D20" i="87" s="1"/>
  <c r="B20" i="87" s="1"/>
  <c r="G32" i="84"/>
  <c r="D32" i="84" s="1"/>
  <c r="B32" i="84" s="1"/>
  <c r="G20" i="86"/>
  <c r="D20" i="86" s="1"/>
  <c r="B20" i="86" s="1"/>
  <c r="G32" i="86"/>
  <c r="D32" i="86" s="1"/>
  <c r="B32" i="86" s="1"/>
  <c r="G28" i="87"/>
  <c r="D28" i="87" s="1"/>
  <c r="B28" i="87" s="1"/>
  <c r="G34" i="87"/>
  <c r="D34" i="87" s="1"/>
  <c r="B34" i="87" s="1"/>
  <c r="G20" i="88"/>
  <c r="D20" i="88" s="1"/>
  <c r="B20" i="88" s="1"/>
  <c r="G26" i="88"/>
  <c r="D26" i="88" s="1"/>
  <c r="B26" i="88" s="1"/>
  <c r="G18" i="89"/>
  <c r="D18" i="89" s="1"/>
  <c r="G6" i="83"/>
  <c r="G20" i="83"/>
  <c r="D20" i="83" s="1"/>
  <c r="G33" i="84"/>
  <c r="D33" i="84" s="1"/>
  <c r="B33" i="84" s="1"/>
  <c r="G25" i="84"/>
  <c r="D25" i="84" s="1"/>
  <c r="B25" i="84" s="1"/>
  <c r="G6" i="85"/>
  <c r="G12" i="85"/>
  <c r="D12" i="85" s="1"/>
  <c r="B12" i="85" s="1"/>
  <c r="G33" i="85"/>
  <c r="D33" i="85" s="1"/>
  <c r="B33" i="85" s="1"/>
  <c r="G6" i="86"/>
  <c r="G13" i="86"/>
  <c r="D13" i="86" s="1"/>
  <c r="B13" i="86" s="1"/>
  <c r="G13" i="87"/>
  <c r="D13" i="87" s="1"/>
  <c r="B13" i="87" s="1"/>
  <c r="G12" i="88"/>
  <c r="D12" i="88" s="1"/>
  <c r="B12" i="88" s="1"/>
  <c r="G28" i="88"/>
  <c r="D28" i="88" s="1"/>
  <c r="B28" i="88" s="1"/>
  <c r="G25" i="83"/>
  <c r="D25" i="83" s="1"/>
  <c r="G13" i="83"/>
  <c r="D13" i="83" s="1"/>
  <c r="G28" i="84"/>
  <c r="D28" i="84" s="1"/>
  <c r="B28" i="84" s="1"/>
  <c r="G34" i="83"/>
  <c r="D34" i="83" s="1"/>
  <c r="G12" i="83"/>
  <c r="D12" i="83" s="1"/>
  <c r="G12" i="84"/>
  <c r="D12" i="84" s="1"/>
  <c r="B12" i="84" s="1"/>
  <c r="G9" i="85"/>
  <c r="D9" i="85" s="1"/>
  <c r="B9" i="85" s="1"/>
  <c r="G26" i="85"/>
  <c r="D26" i="85" s="1"/>
  <c r="B26" i="85" s="1"/>
  <c r="G33" i="83"/>
  <c r="D33" i="83" s="1"/>
  <c r="G28" i="83"/>
  <c r="D28" i="83" s="1"/>
  <c r="G34" i="84"/>
  <c r="D34" i="84" s="1"/>
  <c r="B34" i="84" s="1"/>
  <c r="G26" i="84"/>
  <c r="D26" i="84" s="1"/>
  <c r="G20" i="84"/>
  <c r="D20" i="84" s="1"/>
  <c r="B20" i="84" s="1"/>
  <c r="G32" i="85"/>
  <c r="D32" i="85" s="1"/>
  <c r="B32" i="85" s="1"/>
  <c r="G12" i="86"/>
  <c r="D12" i="86" s="1"/>
  <c r="B12" i="86" s="1"/>
  <c r="G28" i="86"/>
  <c r="D28" i="86" s="1"/>
  <c r="B28" i="86" s="1"/>
  <c r="G34" i="86"/>
  <c r="D34" i="86" s="1"/>
  <c r="B34" i="86" s="1"/>
  <c r="G12" i="87"/>
  <c r="D12" i="87" s="1"/>
  <c r="B12" i="87" s="1"/>
  <c r="G18" i="87"/>
  <c r="D18" i="87" s="1"/>
  <c r="B18" i="87" s="1"/>
  <c r="G34" i="88"/>
  <c r="D34" i="88" s="1"/>
  <c r="B34" i="88" s="1"/>
  <c r="G13" i="89"/>
  <c r="D13" i="89" s="1"/>
  <c r="G26" i="89"/>
  <c r="D26" i="89" s="1"/>
  <c r="G16" i="83" l="1"/>
  <c r="D16" i="83" s="1"/>
  <c r="G16" i="84"/>
  <c r="D16" i="84" s="1"/>
  <c r="B16" i="84" s="1"/>
  <c r="G30" i="84"/>
  <c r="D30" i="84" s="1"/>
  <c r="B30" i="84" s="1"/>
  <c r="G30" i="83"/>
  <c r="D30" i="83" s="1"/>
  <c r="B30" i="83" s="1"/>
  <c r="G22" i="87"/>
  <c r="D22" i="87" s="1"/>
  <c r="B22" i="87" s="1"/>
  <c r="G16" i="87"/>
  <c r="D16" i="87" s="1"/>
  <c r="B16" i="87" s="1"/>
  <c r="G22" i="88"/>
  <c r="D22" i="88" s="1"/>
  <c r="B22" i="88" s="1"/>
  <c r="G30" i="86"/>
  <c r="D30" i="86" s="1"/>
  <c r="B30" i="86" s="1"/>
  <c r="G16" i="86"/>
  <c r="D16" i="86" s="1"/>
  <c r="B16" i="86" s="1"/>
  <c r="G30" i="85"/>
  <c r="D30" i="85" s="1"/>
  <c r="B30" i="85" s="1"/>
  <c r="G22" i="86"/>
  <c r="D22" i="86" s="1"/>
  <c r="B22" i="86" s="1"/>
  <c r="G22" i="84"/>
  <c r="D22" i="84" s="1"/>
  <c r="D22" i="91" s="1"/>
  <c r="G16" i="88"/>
  <c r="D16" i="88" s="1"/>
  <c r="B16" i="88" s="1"/>
  <c r="G11" i="88"/>
  <c r="D11" i="88" s="1"/>
  <c r="B11" i="88" s="1"/>
  <c r="G29" i="87"/>
  <c r="D29" i="87" s="1"/>
  <c r="B29" i="87" s="1"/>
  <c r="G15" i="85"/>
  <c r="D15" i="85" s="1"/>
  <c r="B15" i="85" s="1"/>
  <c r="G21" i="83"/>
  <c r="D21" i="83" s="1"/>
  <c r="G21" i="84"/>
  <c r="D21" i="84" s="1"/>
  <c r="B21" i="84" s="1"/>
  <c r="G14" i="89"/>
  <c r="D14" i="89" s="1"/>
  <c r="B14" i="89" s="1"/>
  <c r="G14" i="84"/>
  <c r="D14" i="84" s="1"/>
  <c r="B14" i="84" s="1"/>
  <c r="G31" i="88"/>
  <c r="D31" i="88" s="1"/>
  <c r="B31" i="88" s="1"/>
  <c r="G15" i="86"/>
  <c r="D15" i="86" s="1"/>
  <c r="B15" i="86" s="1"/>
  <c r="G15" i="89"/>
  <c r="D15" i="89" s="1"/>
  <c r="G29" i="88"/>
  <c r="D29" i="88" s="1"/>
  <c r="B29" i="88" s="1"/>
  <c r="G21" i="87"/>
  <c r="D21" i="87" s="1"/>
  <c r="B21" i="87" s="1"/>
  <c r="G21" i="85"/>
  <c r="D21" i="85" s="1"/>
  <c r="B21" i="85" s="1"/>
  <c r="G17" i="86"/>
  <c r="D17" i="86" s="1"/>
  <c r="B17" i="86" s="1"/>
  <c r="G29" i="84"/>
  <c r="D29" i="84" s="1"/>
  <c r="B29" i="84" s="1"/>
  <c r="G31" i="87"/>
  <c r="D31" i="87" s="1"/>
  <c r="B31" i="87" s="1"/>
  <c r="G10" i="89"/>
  <c r="D10" i="89" s="1"/>
  <c r="B10" i="89" s="1"/>
  <c r="G17" i="85"/>
  <c r="D17" i="85" s="1"/>
  <c r="B17" i="85" s="1"/>
  <c r="G14" i="83"/>
  <c r="D14" i="83" s="1"/>
  <c r="G14" i="87"/>
  <c r="D14" i="87" s="1"/>
  <c r="B14" i="87" s="1"/>
  <c r="G7" i="85"/>
  <c r="D7" i="85" s="1"/>
  <c r="B7" i="85" s="1"/>
  <c r="G27" i="85"/>
  <c r="D27" i="85" s="1"/>
  <c r="B27" i="85" s="1"/>
  <c r="G15" i="84"/>
  <c r="D15" i="84" s="1"/>
  <c r="B15" i="84" s="1"/>
  <c r="G11" i="86"/>
  <c r="D11" i="86" s="1"/>
  <c r="B11" i="86" s="1"/>
  <c r="G14" i="85"/>
  <c r="D14" i="85" s="1"/>
  <c r="B14" i="85" s="1"/>
  <c r="G27" i="84"/>
  <c r="D27" i="84" s="1"/>
  <c r="B27" i="84" s="1"/>
  <c r="G35" i="84"/>
  <c r="D35" i="84" s="1"/>
  <c r="B35" i="84" s="1"/>
  <c r="G29" i="83"/>
  <c r="D29" i="83" s="1"/>
  <c r="G35" i="89"/>
  <c r="D35" i="89" s="1"/>
  <c r="B35" i="89" s="1"/>
  <c r="G7" i="87"/>
  <c r="D7" i="87" s="1"/>
  <c r="B7" i="87" s="1"/>
  <c r="G27" i="86"/>
  <c r="D27" i="86" s="1"/>
  <c r="B27" i="86" s="1"/>
  <c r="G35" i="85"/>
  <c r="D35" i="85" s="1"/>
  <c r="B35" i="85" s="1"/>
  <c r="G17" i="84"/>
  <c r="D17" i="84" s="1"/>
  <c r="G7" i="89"/>
  <c r="D7" i="89" s="1"/>
  <c r="G27" i="87"/>
  <c r="D27" i="87" s="1"/>
  <c r="B27" i="87" s="1"/>
  <c r="G7" i="86"/>
  <c r="D7" i="86" s="1"/>
  <c r="B7" i="86" s="1"/>
  <c r="G29" i="85"/>
  <c r="D29" i="85" s="1"/>
  <c r="B29" i="85" s="1"/>
  <c r="G27" i="88"/>
  <c r="D27" i="88" s="1"/>
  <c r="B27" i="88" s="1"/>
  <c r="G21" i="88"/>
  <c r="D21" i="88" s="1"/>
  <c r="B21" i="88" s="1"/>
  <c r="G15" i="88"/>
  <c r="D15" i="88" s="1"/>
  <c r="B15" i="88" s="1"/>
  <c r="G21" i="86"/>
  <c r="D21" i="86" s="1"/>
  <c r="B21" i="86" s="1"/>
  <c r="G11" i="85"/>
  <c r="D11" i="85" s="1"/>
  <c r="G7" i="83"/>
  <c r="D7" i="83" s="1"/>
  <c r="G15" i="83"/>
  <c r="D15" i="83" s="1"/>
  <c r="G29" i="86"/>
  <c r="D29" i="86" s="1"/>
  <c r="B29" i="86" s="1"/>
  <c r="G14" i="88"/>
  <c r="D14" i="88" s="1"/>
  <c r="B14" i="88" s="1"/>
  <c r="G10" i="88"/>
  <c r="D10" i="88" s="1"/>
  <c r="B10" i="88" s="1"/>
  <c r="G31" i="84"/>
  <c r="D31" i="84" s="1"/>
  <c r="B31" i="84" s="1"/>
  <c r="B31" i="91" s="1"/>
  <c r="G23" i="83"/>
  <c r="D23" i="83" s="1"/>
  <c r="B23" i="83" s="1"/>
  <c r="B23" i="91" s="1"/>
  <c r="G27" i="89"/>
  <c r="D27" i="89" s="1"/>
  <c r="G29" i="89"/>
  <c r="D29" i="89" s="1"/>
  <c r="B29" i="89" s="1"/>
  <c r="G14" i="86"/>
  <c r="D14" i="86" s="1"/>
  <c r="B14" i="86" s="1"/>
  <c r="G7" i="84"/>
  <c r="D7" i="84" s="1"/>
  <c r="B7" i="84" s="1"/>
  <c r="G35" i="83"/>
  <c r="D35" i="83" s="1"/>
  <c r="B35" i="83" s="1"/>
  <c r="G27" i="83"/>
  <c r="D27" i="83" s="1"/>
  <c r="B27" i="83" s="1"/>
  <c r="B26" i="89"/>
  <c r="G6" i="88"/>
  <c r="N6" i="88"/>
  <c r="B17" i="84"/>
  <c r="B17" i="91" s="1"/>
  <c r="B7" i="83"/>
  <c r="B15" i="83"/>
  <c r="B13" i="83"/>
  <c r="D13" i="91"/>
  <c r="G6" i="84"/>
  <c r="N6" i="84"/>
  <c r="G25" i="88"/>
  <c r="D25" i="88" s="1"/>
  <c r="B25" i="88" s="1"/>
  <c r="N25" i="88"/>
  <c r="B21" i="83"/>
  <c r="B21" i="91" s="1"/>
  <c r="B16" i="83"/>
  <c r="B20" i="83"/>
  <c r="B20" i="91" s="1"/>
  <c r="D20" i="91"/>
  <c r="B9" i="83"/>
  <c r="B9" i="91" s="1"/>
  <c r="D9" i="91"/>
  <c r="B18" i="83"/>
  <c r="D18" i="91"/>
  <c r="B29" i="83"/>
  <c r="B18" i="89"/>
  <c r="D6" i="87"/>
  <c r="B11" i="85"/>
  <c r="B11" i="91" s="1"/>
  <c r="D31" i="91"/>
  <c r="B32" i="83"/>
  <c r="B32" i="91" s="1"/>
  <c r="D32" i="91"/>
  <c r="B22" i="84"/>
  <c r="B22" i="91" s="1"/>
  <c r="B13" i="89"/>
  <c r="G25" i="87"/>
  <c r="D25" i="87" s="1"/>
  <c r="B25" i="87" s="1"/>
  <c r="N25" i="87"/>
  <c r="G10" i="84"/>
  <c r="D10" i="84" s="1"/>
  <c r="N10" i="84"/>
  <c r="B26" i="84"/>
  <c r="D26" i="91"/>
  <c r="B28" i="83"/>
  <c r="B28" i="91" s="1"/>
  <c r="D28" i="91"/>
  <c r="B33" i="83"/>
  <c r="B33" i="91" s="1"/>
  <c r="D33" i="91"/>
  <c r="B12" i="83"/>
  <c r="B12" i="91" s="1"/>
  <c r="D12" i="91"/>
  <c r="B34" i="83"/>
  <c r="B34" i="91" s="1"/>
  <c r="D34" i="91"/>
  <c r="B25" i="83"/>
  <c r="D6" i="86"/>
  <c r="D42" i="86" s="1"/>
  <c r="J42" i="86" s="1"/>
  <c r="D6" i="85"/>
  <c r="M47" i="85"/>
  <c r="D6" i="83"/>
  <c r="B14" i="83"/>
  <c r="F10" i="84"/>
  <c r="F26" i="84"/>
  <c r="F28" i="83"/>
  <c r="F13" i="83"/>
  <c r="F9" i="83"/>
  <c r="F18" i="83"/>
  <c r="F12" i="83"/>
  <c r="F34" i="83"/>
  <c r="F6" i="83"/>
  <c r="F17" i="84"/>
  <c r="F14" i="83"/>
  <c r="F11" i="85"/>
  <c r="F29" i="83"/>
  <c r="F25" i="83"/>
  <c r="F30" i="83"/>
  <c r="F31" i="84"/>
  <c r="F23" i="83"/>
  <c r="F23" i="91" s="1"/>
  <c r="F33" i="83"/>
  <c r="F16" i="83"/>
  <c r="F20" i="83"/>
  <c r="F7" i="83"/>
  <c r="F15" i="83"/>
  <c r="F21" i="83"/>
  <c r="F32" i="83"/>
  <c r="F22" i="84"/>
  <c r="F35" i="83"/>
  <c r="F27" i="83"/>
  <c r="B30" i="91" l="1"/>
  <c r="D16" i="91"/>
  <c r="D27" i="91"/>
  <c r="D14" i="91"/>
  <c r="D17" i="91"/>
  <c r="M47" i="86"/>
  <c r="D41" i="83"/>
  <c r="J41" i="83" s="1"/>
  <c r="D41" i="85"/>
  <c r="D35" i="91"/>
  <c r="D42" i="85"/>
  <c r="J42" i="85" s="1"/>
  <c r="D30" i="91"/>
  <c r="B16" i="91"/>
  <c r="M47" i="83"/>
  <c r="O47" i="83" s="1"/>
  <c r="D11" i="91"/>
  <c r="D21" i="91"/>
  <c r="D7" i="91"/>
  <c r="D15" i="91"/>
  <c r="B15" i="89"/>
  <c r="B27" i="89"/>
  <c r="B27" i="91" s="1"/>
  <c r="D42" i="89"/>
  <c r="J42" i="89" s="1"/>
  <c r="D42" i="83"/>
  <c r="J42" i="83" s="1"/>
  <c r="D41" i="86"/>
  <c r="D23" i="91"/>
  <c r="E15" i="83"/>
  <c r="E33" i="83"/>
  <c r="D41" i="89"/>
  <c r="E32" i="83"/>
  <c r="E41" i="86"/>
  <c r="M47" i="87"/>
  <c r="D29" i="91"/>
  <c r="E16" i="83"/>
  <c r="E13" i="83"/>
  <c r="M47" i="89"/>
  <c r="E30" i="83"/>
  <c r="E17" i="84"/>
  <c r="E18" i="83"/>
  <c r="B25" i="91"/>
  <c r="B26" i="91"/>
  <c r="E41" i="89"/>
  <c r="F25" i="84"/>
  <c r="E25" i="84" s="1"/>
  <c r="F29" i="86"/>
  <c r="E29" i="86" s="1"/>
  <c r="F30" i="85"/>
  <c r="E30" i="85" s="1"/>
  <c r="F28" i="84"/>
  <c r="E28" i="84" s="1"/>
  <c r="F21" i="84"/>
  <c r="E21" i="84" s="1"/>
  <c r="F29" i="85"/>
  <c r="E29" i="85" s="1"/>
  <c r="F7" i="86"/>
  <c r="E7" i="86" s="1"/>
  <c r="F33" i="84"/>
  <c r="E33" i="84" s="1"/>
  <c r="F17" i="86"/>
  <c r="E17" i="86" s="1"/>
  <c r="F21" i="85"/>
  <c r="E21" i="85" s="1"/>
  <c r="F28" i="87"/>
  <c r="E28" i="87" s="1"/>
  <c r="F18" i="89"/>
  <c r="E18" i="89" s="1"/>
  <c r="F29" i="89"/>
  <c r="E29" i="89" s="1"/>
  <c r="F7" i="87"/>
  <c r="E7" i="87" s="1"/>
  <c r="F6" i="86"/>
  <c r="E29" i="83"/>
  <c r="F25" i="87"/>
  <c r="E25" i="87" s="1"/>
  <c r="F15" i="88"/>
  <c r="E15" i="88" s="1"/>
  <c r="F9" i="85"/>
  <c r="E9" i="85" s="1"/>
  <c r="E41" i="85" s="1"/>
  <c r="F7" i="89"/>
  <c r="F6" i="84"/>
  <c r="F13" i="86"/>
  <c r="E13" i="86" s="1"/>
  <c r="F13" i="89"/>
  <c r="E13" i="89" s="1"/>
  <c r="F9" i="88"/>
  <c r="E9" i="88" s="1"/>
  <c r="F13" i="84"/>
  <c r="E13" i="84" s="1"/>
  <c r="F18" i="86"/>
  <c r="E18" i="86" s="1"/>
  <c r="F13" i="88"/>
  <c r="E13" i="88" s="1"/>
  <c r="F20" i="87"/>
  <c r="E20" i="87" s="1"/>
  <c r="F13" i="87"/>
  <c r="E13" i="87" s="1"/>
  <c r="F6" i="88"/>
  <c r="F15" i="84"/>
  <c r="E15" i="84" s="1"/>
  <c r="F21" i="87"/>
  <c r="E21" i="87" s="1"/>
  <c r="F10" i="89"/>
  <c r="E10" i="89" s="1"/>
  <c r="F11" i="88"/>
  <c r="E11" i="88" s="1"/>
  <c r="E12" i="83"/>
  <c r="E10" i="84"/>
  <c r="B10" i="84"/>
  <c r="B10" i="91" s="1"/>
  <c r="D10" i="91"/>
  <c r="D41" i="87"/>
  <c r="B18" i="91"/>
  <c r="E23" i="83"/>
  <c r="E23" i="91" s="1"/>
  <c r="F22" i="86"/>
  <c r="E22" i="86" s="1"/>
  <c r="F12" i="85"/>
  <c r="E12" i="85" s="1"/>
  <c r="F28" i="86"/>
  <c r="E28" i="86" s="1"/>
  <c r="F34" i="88"/>
  <c r="E34" i="88" s="1"/>
  <c r="F14" i="84"/>
  <c r="E14" i="84" s="1"/>
  <c r="F31" i="87"/>
  <c r="E31" i="87" s="1"/>
  <c r="F20" i="84"/>
  <c r="E20" i="84" s="1"/>
  <c r="F34" i="86"/>
  <c r="E34" i="86" s="1"/>
  <c r="F34" i="85"/>
  <c r="E34" i="85" s="1"/>
  <c r="F30" i="86"/>
  <c r="E30" i="86" s="1"/>
  <c r="F27" i="84"/>
  <c r="E27" i="84" s="1"/>
  <c r="F11" i="86"/>
  <c r="E11" i="86" s="1"/>
  <c r="F21" i="86"/>
  <c r="E21" i="86" s="1"/>
  <c r="F7" i="85"/>
  <c r="E7" i="85" s="1"/>
  <c r="F14" i="87"/>
  <c r="E14" i="87" s="1"/>
  <c r="F27" i="86"/>
  <c r="E27" i="86" s="1"/>
  <c r="F38" i="83"/>
  <c r="F12" i="84"/>
  <c r="E12" i="84" s="1"/>
  <c r="F29" i="84"/>
  <c r="E29" i="84" s="1"/>
  <c r="J41" i="86"/>
  <c r="J44" i="86" s="1"/>
  <c r="D44" i="86"/>
  <c r="D25" i="91"/>
  <c r="E34" i="83"/>
  <c r="E31" i="84"/>
  <c r="D38" i="87"/>
  <c r="B38" i="87"/>
  <c r="B6" i="87"/>
  <c r="B37" i="87" s="1"/>
  <c r="E9" i="83"/>
  <c r="E20" i="83"/>
  <c r="B14" i="91"/>
  <c r="E35" i="83"/>
  <c r="B15" i="91"/>
  <c r="F7" i="84"/>
  <c r="E7" i="84" s="1"/>
  <c r="F26" i="86"/>
  <c r="E26" i="86" s="1"/>
  <c r="F34" i="87"/>
  <c r="E34" i="87" s="1"/>
  <c r="F31" i="88"/>
  <c r="E31" i="88" s="1"/>
  <c r="E7" i="83"/>
  <c r="F12" i="87"/>
  <c r="E12" i="87" s="1"/>
  <c r="F29" i="88"/>
  <c r="E29" i="88" s="1"/>
  <c r="F16" i="87"/>
  <c r="E16" i="87" s="1"/>
  <c r="F35" i="84"/>
  <c r="E35" i="84" s="1"/>
  <c r="F12" i="86"/>
  <c r="E12" i="86" s="1"/>
  <c r="F33" i="85"/>
  <c r="E33" i="85" s="1"/>
  <c r="B38" i="85"/>
  <c r="B6" i="85"/>
  <c r="B37" i="85" s="1"/>
  <c r="D38" i="85"/>
  <c r="N38" i="87"/>
  <c r="G41" i="87"/>
  <c r="G42" i="87"/>
  <c r="E21" i="83"/>
  <c r="D41" i="84"/>
  <c r="D6" i="84"/>
  <c r="D42" i="84" s="1"/>
  <c r="M47" i="84"/>
  <c r="O47" i="84" s="1"/>
  <c r="O47" i="85" s="1"/>
  <c r="O47" i="86" s="1"/>
  <c r="O47" i="87" s="1"/>
  <c r="D41" i="88"/>
  <c r="D6" i="88"/>
  <c r="M47" i="88"/>
  <c r="F26" i="87"/>
  <c r="E26" i="87" s="1"/>
  <c r="F27" i="89"/>
  <c r="E27" i="89" s="1"/>
  <c r="F32" i="84"/>
  <c r="E32" i="84" s="1"/>
  <c r="F27" i="85"/>
  <c r="E27" i="85" s="1"/>
  <c r="F32" i="85"/>
  <c r="E32" i="85" s="1"/>
  <c r="F13" i="85"/>
  <c r="E13" i="85" s="1"/>
  <c r="F10" i="88"/>
  <c r="E10" i="88" s="1"/>
  <c r="F26" i="85"/>
  <c r="E26" i="85" s="1"/>
  <c r="F15" i="85"/>
  <c r="E15" i="85" s="1"/>
  <c r="F28" i="85"/>
  <c r="E28" i="85" s="1"/>
  <c r="E14" i="83"/>
  <c r="F17" i="85"/>
  <c r="E17" i="85" s="1"/>
  <c r="F35" i="85"/>
  <c r="E35" i="85" s="1"/>
  <c r="F6" i="85"/>
  <c r="F26" i="89"/>
  <c r="E26" i="89" s="1"/>
  <c r="B38" i="86"/>
  <c r="D38" i="86"/>
  <c r="B6" i="86"/>
  <c r="B37" i="86" s="1"/>
  <c r="E6" i="86"/>
  <c r="E22" i="84"/>
  <c r="F20" i="86"/>
  <c r="E20" i="86" s="1"/>
  <c r="F16" i="88"/>
  <c r="E16" i="88" s="1"/>
  <c r="F14" i="86"/>
  <c r="E14" i="86" s="1"/>
  <c r="F18" i="88"/>
  <c r="E18" i="88" s="1"/>
  <c r="F25" i="88"/>
  <c r="E25" i="88" s="1"/>
  <c r="E41" i="88" s="1"/>
  <c r="F15" i="89"/>
  <c r="E15" i="89" s="1"/>
  <c r="F16" i="84"/>
  <c r="E16" i="84" s="1"/>
  <c r="F15" i="86"/>
  <c r="E15" i="86" s="1"/>
  <c r="F20" i="88"/>
  <c r="E20" i="88" s="1"/>
  <c r="F35" i="89"/>
  <c r="E35" i="89" s="1"/>
  <c r="F34" i="84"/>
  <c r="E34" i="84" s="1"/>
  <c r="F27" i="88"/>
  <c r="E27" i="88" s="1"/>
  <c r="F29" i="87"/>
  <c r="E29" i="87" s="1"/>
  <c r="F32" i="87"/>
  <c r="E32" i="87" s="1"/>
  <c r="F22" i="87"/>
  <c r="E22" i="87" s="1"/>
  <c r="F30" i="84"/>
  <c r="E30" i="84" s="1"/>
  <c r="F16" i="86"/>
  <c r="E16" i="86" s="1"/>
  <c r="F18" i="87"/>
  <c r="E18" i="87" s="1"/>
  <c r="F6" i="87"/>
  <c r="F27" i="87"/>
  <c r="E27" i="87" s="1"/>
  <c r="F18" i="84"/>
  <c r="E18" i="84" s="1"/>
  <c r="F9" i="84"/>
  <c r="E9" i="84" s="1"/>
  <c r="F14" i="88"/>
  <c r="E14" i="88" s="1"/>
  <c r="F12" i="88"/>
  <c r="E12" i="88" s="1"/>
  <c r="F14" i="89"/>
  <c r="E14" i="89" s="1"/>
  <c r="F14" i="85"/>
  <c r="E14" i="85" s="1"/>
  <c r="F21" i="88"/>
  <c r="E21" i="88" s="1"/>
  <c r="F22" i="88"/>
  <c r="E22" i="88" s="1"/>
  <c r="F32" i="86"/>
  <c r="E32" i="86" s="1"/>
  <c r="F26" i="88"/>
  <c r="E26" i="88" s="1"/>
  <c r="F28" i="88"/>
  <c r="E28" i="88" s="1"/>
  <c r="E26" i="84"/>
  <c r="E6" i="83"/>
  <c r="B38" i="83"/>
  <c r="D38" i="83"/>
  <c r="B6" i="83"/>
  <c r="J41" i="85"/>
  <c r="J44" i="85" s="1"/>
  <c r="D44" i="85"/>
  <c r="E25" i="83"/>
  <c r="E28" i="83"/>
  <c r="E11" i="85"/>
  <c r="D42" i="87"/>
  <c r="E27" i="83"/>
  <c r="B35" i="91"/>
  <c r="B29" i="91"/>
  <c r="G41" i="84"/>
  <c r="N38" i="84"/>
  <c r="G42" i="84"/>
  <c r="B13" i="91"/>
  <c r="B7" i="89"/>
  <c r="E7" i="89"/>
  <c r="D38" i="89"/>
  <c r="B38" i="89"/>
  <c r="G41" i="88"/>
  <c r="N38" i="88"/>
  <c r="G42" i="88"/>
  <c r="J44" i="83" l="1"/>
  <c r="F6" i="91"/>
  <c r="E41" i="84"/>
  <c r="E17" i="91"/>
  <c r="J42" i="87"/>
  <c r="E30" i="91"/>
  <c r="D44" i="83"/>
  <c r="M40" i="83" s="1"/>
  <c r="B37" i="89"/>
  <c r="D44" i="89"/>
  <c r="J41" i="89"/>
  <c r="J44" i="89" s="1"/>
  <c r="E32" i="91"/>
  <c r="E20" i="91"/>
  <c r="F20" i="91"/>
  <c r="E33" i="91"/>
  <c r="F26" i="91"/>
  <c r="F11" i="91"/>
  <c r="J42" i="84"/>
  <c r="G44" i="88"/>
  <c r="M48" i="88" s="1"/>
  <c r="E10" i="91"/>
  <c r="G44" i="84"/>
  <c r="M48" i="84" s="1"/>
  <c r="O48" i="84" s="1"/>
  <c r="O48" i="85" s="1"/>
  <c r="O48" i="86" s="1"/>
  <c r="E16" i="91"/>
  <c r="E11" i="91"/>
  <c r="E14" i="91"/>
  <c r="D42" i="88"/>
  <c r="J42" i="88" s="1"/>
  <c r="D38" i="88"/>
  <c r="E6" i="88"/>
  <c r="B38" i="88"/>
  <c r="B6" i="88"/>
  <c r="B37" i="88" s="1"/>
  <c r="D3" i="83"/>
  <c r="N41" i="83" s="1"/>
  <c r="M43" i="83"/>
  <c r="M45" i="83" s="1"/>
  <c r="O45" i="83" s="1"/>
  <c r="F16" i="91"/>
  <c r="E13" i="91"/>
  <c r="F38" i="84"/>
  <c r="B7" i="91"/>
  <c r="F9" i="91"/>
  <c r="E18" i="91"/>
  <c r="F29" i="91"/>
  <c r="E35" i="91"/>
  <c r="F32" i="91"/>
  <c r="F38" i="85"/>
  <c r="G44" i="87"/>
  <c r="M48" i="87" s="1"/>
  <c r="O48" i="87" s="1"/>
  <c r="O48" i="88" s="1"/>
  <c r="O48" i="89" s="1"/>
  <c r="F28" i="91"/>
  <c r="F17" i="91"/>
  <c r="E31" i="91"/>
  <c r="E12" i="91"/>
  <c r="F12" i="91"/>
  <c r="F27" i="91"/>
  <c r="E28" i="91"/>
  <c r="D6" i="91"/>
  <c r="E38" i="83"/>
  <c r="E42" i="83"/>
  <c r="F13" i="91"/>
  <c r="E6" i="87"/>
  <c r="F38" i="87"/>
  <c r="F15" i="91"/>
  <c r="E15" i="91"/>
  <c r="E22" i="91"/>
  <c r="E27" i="91"/>
  <c r="E21" i="91"/>
  <c r="F18" i="91"/>
  <c r="F25" i="91"/>
  <c r="E34" i="91"/>
  <c r="F10" i="91"/>
  <c r="F30" i="91"/>
  <c r="F35" i="91"/>
  <c r="F38" i="88"/>
  <c r="F38" i="89"/>
  <c r="F38" i="86"/>
  <c r="E29" i="91"/>
  <c r="D38" i="84"/>
  <c r="B6" i="84"/>
  <c r="B37" i="84" s="1"/>
  <c r="E6" i="84"/>
  <c r="B38" i="84"/>
  <c r="E41" i="87"/>
  <c r="J41" i="88"/>
  <c r="J41" i="84"/>
  <c r="J44" i="84" s="1"/>
  <c r="D44" i="84"/>
  <c r="M40" i="84" s="1"/>
  <c r="F7" i="91"/>
  <c r="E41" i="83"/>
  <c r="E9" i="91"/>
  <c r="J41" i="87"/>
  <c r="D44" i="87"/>
  <c r="E7" i="91"/>
  <c r="E38" i="89"/>
  <c r="E42" i="89"/>
  <c r="E44" i="89" s="1"/>
  <c r="E25" i="91"/>
  <c r="B37" i="83"/>
  <c r="E38" i="86"/>
  <c r="E42" i="86"/>
  <c r="E44" i="86" s="1"/>
  <c r="E26" i="91"/>
  <c r="F14" i="91"/>
  <c r="F33" i="91"/>
  <c r="O47" i="88"/>
  <c r="O47" i="89" s="1"/>
  <c r="E6" i="85"/>
  <c r="F21" i="91"/>
  <c r="F34" i="91"/>
  <c r="F31" i="91"/>
  <c r="F22" i="91"/>
  <c r="J44" i="87" l="1"/>
  <c r="D44" i="88"/>
  <c r="F38" i="91"/>
  <c r="E44" i="83"/>
  <c r="E38" i="85"/>
  <c r="E42" i="85"/>
  <c r="E44" i="85" s="1"/>
  <c r="E6" i="91"/>
  <c r="E38" i="91" s="1"/>
  <c r="J44" i="88"/>
  <c r="E38" i="87"/>
  <c r="E42" i="87"/>
  <c r="E44" i="87" s="1"/>
  <c r="B6" i="91"/>
  <c r="B37" i="91" s="1"/>
  <c r="D3" i="84"/>
  <c r="N41" i="84" s="1"/>
  <c r="M43" i="84"/>
  <c r="M45" i="84" s="1"/>
  <c r="O45" i="84" s="1"/>
  <c r="M40" i="85" s="1"/>
  <c r="E38" i="84"/>
  <c r="E42" i="84"/>
  <c r="E44" i="84" s="1"/>
  <c r="D38" i="91"/>
  <c r="B38" i="91"/>
  <c r="E38" i="88"/>
  <c r="E42" i="88"/>
  <c r="E44" i="88" s="1"/>
  <c r="M43" i="85" l="1"/>
  <c r="M45" i="85" s="1"/>
  <c r="O45" i="85" s="1"/>
  <c r="M40" i="86" s="1"/>
  <c r="D3" i="85"/>
  <c r="N41" i="85" s="1"/>
  <c r="M43" i="86" l="1"/>
  <c r="M45" i="86" s="1"/>
  <c r="O45" i="86" s="1"/>
  <c r="M40" i="87" s="1"/>
  <c r="D3" i="86"/>
  <c r="N41" i="86" s="1"/>
  <c r="D3" i="87" l="1"/>
  <c r="N41" i="87" s="1"/>
  <c r="M43" i="87"/>
  <c r="M45" i="87" s="1"/>
  <c r="O45" i="87" s="1"/>
  <c r="M40" i="88" s="1"/>
  <c r="M43" i="88" l="1"/>
  <c r="M45" i="88" s="1"/>
  <c r="O45" i="88" s="1"/>
  <c r="M40" i="89" s="1"/>
  <c r="D3" i="88"/>
  <c r="N41" i="88" s="1"/>
  <c r="D3" i="89" l="1"/>
  <c r="N41" i="89" s="1"/>
  <c r="M43" i="89"/>
  <c r="M45" i="89" s="1"/>
  <c r="O45" i="89" s="1"/>
</calcChain>
</file>

<file path=xl/sharedStrings.xml><?xml version="1.0" encoding="utf-8"?>
<sst xmlns="http://schemas.openxmlformats.org/spreadsheetml/2006/main" count="1038" uniqueCount="97">
  <si>
    <t>ASSOCIATION</t>
  </si>
  <si>
    <t>ASELBY</t>
  </si>
  <si>
    <t>ANNEE</t>
  </si>
  <si>
    <t>MATRICULE</t>
  </si>
  <si>
    <t>NOM ET PRENOM</t>
  </si>
  <si>
    <t>MONTANT TONTINE</t>
  </si>
  <si>
    <t>MODE VERSEMENT</t>
  </si>
  <si>
    <t>MONTANT VERSE</t>
  </si>
  <si>
    <t>ECHEC</t>
  </si>
  <si>
    <t>AS201602</t>
  </si>
  <si>
    <t>AS201604</t>
  </si>
  <si>
    <t>AS201605</t>
  </si>
  <si>
    <t>AS201608</t>
  </si>
  <si>
    <t>AS201609</t>
  </si>
  <si>
    <t>AS201611</t>
  </si>
  <si>
    <t>AS201613</t>
  </si>
  <si>
    <t>AS201617</t>
  </si>
  <si>
    <t>AS201619</t>
  </si>
  <si>
    <t>AS201620</t>
  </si>
  <si>
    <t>AS201621</t>
  </si>
  <si>
    <t>AS201622</t>
  </si>
  <si>
    <t>AS201624</t>
  </si>
  <si>
    <t>AS201626</t>
  </si>
  <si>
    <t>AS201628</t>
  </si>
  <si>
    <t>AS201633</t>
  </si>
  <si>
    <t>AS201638</t>
  </si>
  <si>
    <t>AS201639</t>
  </si>
  <si>
    <t>AS201641</t>
  </si>
  <si>
    <t>AS201646</t>
  </si>
  <si>
    <t>AS201647</t>
  </si>
  <si>
    <t>TOTAL</t>
  </si>
  <si>
    <t>RESTE</t>
  </si>
  <si>
    <t>ESPECES</t>
  </si>
  <si>
    <t>BANQUE</t>
  </si>
  <si>
    <t>TONTINE</t>
  </si>
  <si>
    <t>MODE VERSEMENT REMBOURSEMENT</t>
  </si>
  <si>
    <t>REMBOURSEMENT PETIT LOT</t>
  </si>
  <si>
    <t>INTERET PETIT LOT</t>
  </si>
  <si>
    <t>MODE VERSEMENTLOT PRINCIPAL</t>
  </si>
  <si>
    <t>INTERET LOT PRINCIPAL</t>
  </si>
  <si>
    <t>VENTE PETIT LOT</t>
  </si>
  <si>
    <t>MODE VERSEMENT VENTE PETIT LOT</t>
  </si>
  <si>
    <t>VENTE LOT PRINCIPAL</t>
  </si>
  <si>
    <t>SOLDE EN CAISSE</t>
  </si>
  <si>
    <t>PENALITE VERSEMENT ESPECES</t>
  </si>
  <si>
    <t>AS201649</t>
  </si>
  <si>
    <t>AS201651</t>
  </si>
  <si>
    <t>AS201653</t>
  </si>
  <si>
    <t>PETIT LOT</t>
  </si>
  <si>
    <t>TONTINE + REMB + INTERET VENTE</t>
  </si>
  <si>
    <t>NUMERO CHEQUE</t>
  </si>
  <si>
    <t>RELIQUAT</t>
  </si>
  <si>
    <t>TOTAL+DEPOT</t>
  </si>
  <si>
    <t>AS201654</t>
  </si>
  <si>
    <t>CUMUL</t>
  </si>
  <si>
    <t>ECHEC REMBOURSEMENT MOIS</t>
  </si>
  <si>
    <t>ECHEC TONTINE MOIS</t>
  </si>
  <si>
    <t>DEFAILLANCE TONTINE</t>
  </si>
  <si>
    <t>PENALITE</t>
  </si>
  <si>
    <t>REMBOURSEMENT</t>
  </si>
  <si>
    <t>AVANCE</t>
  </si>
  <si>
    <t>NKEHEP DAVID</t>
  </si>
  <si>
    <t>TYAM ERNEST</t>
  </si>
  <si>
    <t>SIME FOGANG</t>
  </si>
  <si>
    <t>FOTSO THOMAS</t>
  </si>
  <si>
    <t>NANGUEN MARTIN</t>
  </si>
  <si>
    <t>SIME BRICE</t>
  </si>
  <si>
    <t>HENGUE PAUL</t>
  </si>
  <si>
    <t>KEPSEU FRANCIS</t>
  </si>
  <si>
    <t>ATTENDU</t>
  </si>
  <si>
    <t>TONTINE DECEMBRE</t>
  </si>
  <si>
    <t>RESTITUTION NGUIEMENI</t>
  </si>
  <si>
    <t>KOUAMOU VICTOR</t>
  </si>
  <si>
    <t>KEHE DAVID</t>
  </si>
  <si>
    <t>SIME FOGANG ERIC</t>
  </si>
  <si>
    <t>BENEFICIAIRE DECEMBRE</t>
  </si>
  <si>
    <t>NBRE PART</t>
  </si>
  <si>
    <t>NBREPART</t>
  </si>
  <si>
    <t>MONTANT A REMBOURSER PETIT LOT</t>
  </si>
  <si>
    <t>MONTANT  LOT PRINCIPAL</t>
  </si>
  <si>
    <t>LOT PRINCIPAL</t>
  </si>
  <si>
    <t>TONIINE</t>
  </si>
  <si>
    <t xml:space="preserve">TAUX TONTINE </t>
  </si>
  <si>
    <t>NBRE ADHERENT</t>
  </si>
  <si>
    <t>TOTAL PART</t>
  </si>
  <si>
    <t>PART VENDUE</t>
  </si>
  <si>
    <t>AS201656</t>
  </si>
  <si>
    <t>AS201657</t>
  </si>
  <si>
    <t>AS201643</t>
  </si>
  <si>
    <t>AS201601</t>
  </si>
  <si>
    <t>AS201658</t>
  </si>
  <si>
    <t>MOIS OBTENTION</t>
  </si>
  <si>
    <t>MOIS OBTENTION 2</t>
  </si>
  <si>
    <t>SYNTHESE</t>
  </si>
  <si>
    <t>REPARTITION INTERET</t>
  </si>
  <si>
    <t>INTERET A REPARTIR</t>
  </si>
  <si>
    <t>INTERET/ADHERENT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</si>
</sst>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C]d\-mmm;@"/>
    <numFmt numFmtId="165" formatCode="[$-40C]mmmm\-yy;@"/>
    <numFmt numFmtId="166" formatCode="[$-40C]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11"/>
      <color theme="1"/>
      <name val="Castellar"/>
      <family val="1"/>
    </font>
    <font>
      <sz val="14"/>
      <color theme="1"/>
      <name val="Britannic Bold"/>
      <family val="2"/>
    </font>
    <font>
      <b/>
      <sz val="18"/>
      <color theme="1"/>
      <name val="Calibri"/>
      <family val="2"/>
      <scheme val="minor"/>
    </font>
    <font>
      <b/>
      <sz val="16"/>
      <name val="Arial"/>
      <family val="2"/>
    </font>
    <font>
      <sz val="14"/>
      <color rgb="FF0070C0"/>
      <name val="Britannic Bold"/>
      <family val="2"/>
    </font>
    <font>
      <b/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00B050"/>
      <name val="Britannic Bold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Alignment="1">
      <alignment horizontal="center"/>
    </xf>
    <xf numFmtId="3" fontId="1" fillId="0" borderId="0" xfId="0" applyNumberFormat="1" applyFont="1" applyAlignment="1">
      <alignment wrapText="1"/>
    </xf>
    <xf numFmtId="0" fontId="1" fillId="0" borderId="0" xfId="0" applyFont="1" applyAlignment="1">
      <alignment horizontal="center"/>
    </xf>
    <xf numFmtId="3" fontId="1" fillId="0" borderId="0" xfId="0" applyNumberFormat="1" applyFont="1"/>
    <xf numFmtId="3" fontId="2" fillId="0" borderId="0" xfId="0" applyNumberFormat="1" applyFont="1"/>
    <xf numFmtId="3" fontId="3" fillId="0" borderId="0" xfId="0" applyNumberFormat="1" applyFont="1"/>
    <xf numFmtId="3" fontId="0" fillId="0" borderId="0" xfId="0" applyNumberForma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/>
    <xf numFmtId="0" fontId="5" fillId="0" borderId="0" xfId="0" applyFont="1" applyFill="1" applyBorder="1" applyAlignment="1">
      <alignment horizontal="left"/>
    </xf>
    <xf numFmtId="164" fontId="0" fillId="0" borderId="0" xfId="0" applyNumberFormat="1"/>
    <xf numFmtId="164" fontId="3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3" fontId="6" fillId="0" borderId="0" xfId="0" applyNumberFormat="1" applyFont="1"/>
    <xf numFmtId="0" fontId="1" fillId="0" borderId="1" xfId="0" applyFont="1" applyBorder="1"/>
    <xf numFmtId="166" fontId="7" fillId="0" borderId="0" xfId="0" applyNumberFormat="1" applyFont="1"/>
    <xf numFmtId="3" fontId="8" fillId="0" borderId="0" xfId="0" applyNumberFormat="1" applyFont="1"/>
    <xf numFmtId="3" fontId="9" fillId="0" borderId="0" xfId="0" applyNumberFormat="1" applyFont="1"/>
    <xf numFmtId="165" fontId="3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BURAEUDPA\ASELBYTONTINE2017\ASELBYTONTINEBACKUP\TONTASELB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TONTINE25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2021/AROUEST2021TONTINE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10000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TONTINE10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TABBOR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LISTEADHER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2018"/>
    </sheetNames>
    <sheetDataSet>
      <sheetData sheetId="0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6">
          <cell r="C6">
            <v>70000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21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RESUMETONTINE"/>
      <sheetName val="TONTOCT (2)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DEFAILLANCETONTINE"/>
      <sheetName val="HISTORIQUE OCT"/>
      <sheetName val="TONT0CT"/>
      <sheetName val="TONTAOUT2019"/>
      <sheetName val="TONTSEPT2019"/>
      <sheetName val="TONTOCT2019"/>
    </sheetNames>
    <sheetDataSet>
      <sheetData sheetId="0" refreshError="1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</sheetNames>
    <sheetDataSet>
      <sheetData sheetId="0" refreshError="1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HISTOMVTDEPENSE"/>
      <sheetName val="COMPTE BANQUE"/>
      <sheetName val="HISTODEC22"/>
      <sheetName val="HISTOJANV23"/>
      <sheetName val="HISTOFEV23"/>
      <sheetName val="HISTOMARS23"/>
      <sheetName val="HISTOAVRIL23"/>
      <sheetName val="HISTOMAI23"/>
      <sheetName val="HISTOJUIN23"/>
      <sheetName val="HISTOJUIL23"/>
      <sheetName val="HISTOAOUT23"/>
      <sheetName val="HISTOSEPT23"/>
      <sheetName val="HISTOOCT23"/>
      <sheetName val="HISTONOV23"/>
      <sheetName val="HISTODEC23"/>
      <sheetName val="HISTORESUME23"/>
      <sheetName val="DETAILSORTIE"/>
    </sheetNames>
    <sheetDataSet>
      <sheetData sheetId="0" refreshError="1"/>
      <sheetData sheetId="1" refreshError="1"/>
      <sheetData sheetId="2" refreshError="1"/>
      <sheetData sheetId="3">
        <row r="6">
          <cell r="A6" t="str">
            <v>AS201648</v>
          </cell>
        </row>
      </sheetData>
      <sheetData sheetId="4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106000</v>
          </cell>
          <cell r="BD6">
            <v>106000</v>
          </cell>
          <cell r="BE6">
            <v>106000</v>
          </cell>
          <cell r="BF6">
            <v>0</v>
          </cell>
          <cell r="BG6">
            <v>11</v>
          </cell>
          <cell r="BH6">
            <v>6000</v>
          </cell>
          <cell r="BI6">
            <v>0</v>
          </cell>
          <cell r="BJ6">
            <v>0</v>
          </cell>
          <cell r="BK6">
            <v>100000</v>
          </cell>
          <cell r="BM6">
            <v>0</v>
          </cell>
          <cell r="BN6" t="str">
            <v>ACHAT FOURNITURE</v>
          </cell>
          <cell r="BO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104000</v>
          </cell>
          <cell r="F7">
            <v>0</v>
          </cell>
          <cell r="G7">
            <v>0</v>
          </cell>
          <cell r="H7" t="str">
            <v>ESPECES</v>
          </cell>
          <cell r="I7">
            <v>64000</v>
          </cell>
          <cell r="J7">
            <v>1</v>
          </cell>
          <cell r="K7">
            <v>40000</v>
          </cell>
          <cell r="M7">
            <v>0</v>
          </cell>
          <cell r="O7">
            <v>0</v>
          </cell>
          <cell r="U7">
            <v>104000</v>
          </cell>
          <cell r="AQ7">
            <v>0</v>
          </cell>
          <cell r="AR7">
            <v>0</v>
          </cell>
          <cell r="AS7">
            <v>79000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11</v>
          </cell>
          <cell r="BH7">
            <v>0</v>
          </cell>
          <cell r="BI7">
            <v>0</v>
          </cell>
          <cell r="BJ7">
            <v>0</v>
          </cell>
          <cell r="BM7">
            <v>0</v>
          </cell>
          <cell r="BN7" t="str">
            <v>COMMUNICATION</v>
          </cell>
          <cell r="BO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105000</v>
          </cell>
          <cell r="E8">
            <v>10000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40000</v>
          </cell>
          <cell r="L8">
            <v>1</v>
          </cell>
          <cell r="M8">
            <v>75000</v>
          </cell>
          <cell r="O8">
            <v>0</v>
          </cell>
          <cell r="Q8">
            <v>0</v>
          </cell>
          <cell r="U8">
            <v>115000</v>
          </cell>
          <cell r="AQ8">
            <v>0</v>
          </cell>
          <cell r="AR8">
            <v>0</v>
          </cell>
          <cell r="AS8">
            <v>15000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11</v>
          </cell>
          <cell r="BN8" t="str">
            <v>COMMISSION</v>
          </cell>
          <cell r="BO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160000</v>
          </cell>
          <cell r="E9">
            <v>0</v>
          </cell>
          <cell r="F9">
            <v>140000</v>
          </cell>
          <cell r="G9">
            <v>0</v>
          </cell>
          <cell r="H9" t="str">
            <v>BANQUE</v>
          </cell>
          <cell r="I9">
            <v>20000</v>
          </cell>
          <cell r="J9">
            <v>1</v>
          </cell>
          <cell r="K9">
            <v>40000</v>
          </cell>
          <cell r="M9">
            <v>0</v>
          </cell>
          <cell r="N9">
            <v>1</v>
          </cell>
          <cell r="O9">
            <v>100000</v>
          </cell>
          <cell r="U9">
            <v>160000</v>
          </cell>
          <cell r="AC9">
            <v>45000</v>
          </cell>
          <cell r="AF9" t="str">
            <v>BANQUE</v>
          </cell>
          <cell r="AK9">
            <v>50000</v>
          </cell>
          <cell r="AN9">
            <v>2000</v>
          </cell>
          <cell r="AP9" t="str">
            <v>BANQUE</v>
          </cell>
          <cell r="AQ9">
            <v>0</v>
          </cell>
          <cell r="AR9">
            <v>0</v>
          </cell>
          <cell r="AS9">
            <v>35000</v>
          </cell>
          <cell r="AW9">
            <v>255000</v>
          </cell>
          <cell r="AX9">
            <v>0</v>
          </cell>
          <cell r="AY9">
            <v>50000</v>
          </cell>
          <cell r="AZ9">
            <v>165000</v>
          </cell>
          <cell r="BA9">
            <v>50000</v>
          </cell>
          <cell r="BB9">
            <v>140000</v>
          </cell>
          <cell r="BD9">
            <v>115000</v>
          </cell>
          <cell r="BE9">
            <v>115000</v>
          </cell>
          <cell r="BF9">
            <v>0</v>
          </cell>
          <cell r="BG9">
            <v>11</v>
          </cell>
          <cell r="BN9" t="str">
            <v>AIDE UEEB ET CONT FEMME</v>
          </cell>
          <cell r="BO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40000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J10">
            <v>1</v>
          </cell>
          <cell r="K10">
            <v>40000</v>
          </cell>
          <cell r="M10">
            <v>0</v>
          </cell>
          <cell r="O10">
            <v>0</v>
          </cell>
          <cell r="U10">
            <v>40000</v>
          </cell>
          <cell r="AI10">
            <v>60000</v>
          </cell>
          <cell r="AL10">
            <v>3000</v>
          </cell>
          <cell r="AP10" t="str">
            <v>BANQUE</v>
          </cell>
          <cell r="AQ10">
            <v>0</v>
          </cell>
          <cell r="AR10">
            <v>0</v>
          </cell>
          <cell r="AS10">
            <v>15000</v>
          </cell>
          <cell r="AW10">
            <v>60000</v>
          </cell>
          <cell r="AX10">
            <v>0</v>
          </cell>
          <cell r="AY10">
            <v>0</v>
          </cell>
          <cell r="AZ10">
            <v>60000</v>
          </cell>
          <cell r="BA10">
            <v>60000</v>
          </cell>
          <cell r="BD10">
            <v>0</v>
          </cell>
          <cell r="BF10">
            <v>0</v>
          </cell>
          <cell r="BG10">
            <v>11</v>
          </cell>
          <cell r="BN10" t="str">
            <v>CREDIT TELEPHONE</v>
          </cell>
          <cell r="BO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115000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40000</v>
          </cell>
          <cell r="L11">
            <v>1</v>
          </cell>
          <cell r="M11">
            <v>75000</v>
          </cell>
          <cell r="O11">
            <v>0</v>
          </cell>
          <cell r="Q11">
            <v>0</v>
          </cell>
          <cell r="U11">
            <v>115000</v>
          </cell>
          <cell r="AI11">
            <v>60000</v>
          </cell>
          <cell r="AL11">
            <v>2000</v>
          </cell>
          <cell r="AP11" t="str">
            <v>BANQUE</v>
          </cell>
          <cell r="AQ11">
            <v>0</v>
          </cell>
          <cell r="AR11">
            <v>0</v>
          </cell>
          <cell r="AS11">
            <v>15000</v>
          </cell>
          <cell r="AW11">
            <v>60000</v>
          </cell>
          <cell r="AX11">
            <v>0</v>
          </cell>
          <cell r="AY11">
            <v>0</v>
          </cell>
          <cell r="AZ11">
            <v>60000</v>
          </cell>
          <cell r="BA11">
            <v>60000</v>
          </cell>
          <cell r="BD11">
            <v>0</v>
          </cell>
          <cell r="BF11">
            <v>0</v>
          </cell>
          <cell r="BG11">
            <v>11</v>
          </cell>
          <cell r="BN11" t="str">
            <v>PRODUCTION RAPPORT</v>
          </cell>
          <cell r="BO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320000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40000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Q12">
            <v>0</v>
          </cell>
          <cell r="U12">
            <v>320000</v>
          </cell>
          <cell r="AQ12">
            <v>0</v>
          </cell>
          <cell r="AR12">
            <v>0</v>
          </cell>
          <cell r="AS12">
            <v>20000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D12">
            <v>0</v>
          </cell>
          <cell r="BF12">
            <v>0</v>
          </cell>
          <cell r="BG12">
            <v>11</v>
          </cell>
          <cell r="BN12" t="str">
            <v>ACHAT SOURIS ET PHOTOCOPIE</v>
          </cell>
          <cell r="BO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40000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40000</v>
          </cell>
          <cell r="M13">
            <v>0</v>
          </cell>
          <cell r="O13">
            <v>0</v>
          </cell>
          <cell r="U13">
            <v>40000</v>
          </cell>
          <cell r="AQ13">
            <v>0</v>
          </cell>
          <cell r="AR13">
            <v>0</v>
          </cell>
          <cell r="AS13">
            <v>15000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11</v>
          </cell>
          <cell r="BN13" t="str">
            <v>TAXI BANQUE</v>
          </cell>
          <cell r="BO13" t="str">
            <v>FONDS DE ROULEMENT</v>
          </cell>
          <cell r="BP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40000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40000</v>
          </cell>
          <cell r="M14">
            <v>0</v>
          </cell>
          <cell r="O14">
            <v>0</v>
          </cell>
          <cell r="U14">
            <v>40000</v>
          </cell>
          <cell r="AQ14">
            <v>0</v>
          </cell>
          <cell r="AR14">
            <v>0</v>
          </cell>
          <cell r="AS14">
            <v>15000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11</v>
          </cell>
          <cell r="BN14" t="str">
            <v>CONFECTION CACHET</v>
          </cell>
          <cell r="BO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115000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40000</v>
          </cell>
          <cell r="L15">
            <v>1</v>
          </cell>
          <cell r="M15">
            <v>75000</v>
          </cell>
          <cell r="O15">
            <v>0</v>
          </cell>
          <cell r="Q15">
            <v>0</v>
          </cell>
          <cell r="U15">
            <v>115000</v>
          </cell>
          <cell r="AQ15">
            <v>0</v>
          </cell>
          <cell r="AR15">
            <v>0</v>
          </cell>
          <cell r="AS15">
            <v>15000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11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40000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Q16">
            <v>0</v>
          </cell>
          <cell r="U16">
            <v>250000</v>
          </cell>
          <cell r="AQ16">
            <v>0</v>
          </cell>
          <cell r="AR16">
            <v>0</v>
          </cell>
          <cell r="AS16">
            <v>50000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D16">
            <v>0</v>
          </cell>
          <cell r="BF16">
            <v>0</v>
          </cell>
          <cell r="BG16">
            <v>11</v>
          </cell>
          <cell r="BN16" t="str">
            <v>S/TOTAL</v>
          </cell>
          <cell r="BP16">
            <v>6000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140000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40000</v>
          </cell>
          <cell r="M17">
            <v>0</v>
          </cell>
          <cell r="N17">
            <v>1</v>
          </cell>
          <cell r="O17">
            <v>100000</v>
          </cell>
          <cell r="U17">
            <v>140000</v>
          </cell>
          <cell r="AQ17">
            <v>0</v>
          </cell>
          <cell r="AR17">
            <v>0</v>
          </cell>
          <cell r="AS17">
            <v>15000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D17">
            <v>0</v>
          </cell>
          <cell r="BF17">
            <v>0</v>
          </cell>
          <cell r="BG17">
            <v>11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180000</v>
          </cell>
          <cell r="E18">
            <v>35000</v>
          </cell>
          <cell r="F18">
            <v>70000</v>
          </cell>
          <cell r="G18">
            <v>0</v>
          </cell>
          <cell r="H18" t="str">
            <v>BANQUE</v>
          </cell>
          <cell r="J18">
            <v>1</v>
          </cell>
          <cell r="K18">
            <v>40000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Q18">
            <v>0</v>
          </cell>
          <cell r="U18">
            <v>215000</v>
          </cell>
          <cell r="AC18">
            <v>40000</v>
          </cell>
          <cell r="AE18">
            <v>125000</v>
          </cell>
          <cell r="AF18" t="str">
            <v>BANQUE</v>
          </cell>
          <cell r="AJ18">
            <v>100000</v>
          </cell>
          <cell r="AM18">
            <v>2000</v>
          </cell>
          <cell r="AP18" t="str">
            <v>BANQUE</v>
          </cell>
          <cell r="AQ18">
            <v>0</v>
          </cell>
          <cell r="AR18">
            <v>0</v>
          </cell>
          <cell r="AS18">
            <v>15000</v>
          </cell>
          <cell r="AW18">
            <v>260000</v>
          </cell>
          <cell r="AX18">
            <v>100000</v>
          </cell>
          <cell r="AY18">
            <v>1075000</v>
          </cell>
          <cell r="AZ18">
            <v>1365000</v>
          </cell>
          <cell r="BB18">
            <v>70000</v>
          </cell>
          <cell r="BD18">
            <v>1365000</v>
          </cell>
          <cell r="BE18">
            <v>1365000</v>
          </cell>
          <cell r="BF18">
            <v>0</v>
          </cell>
          <cell r="BG18">
            <v>11</v>
          </cell>
          <cell r="BN18" t="str">
            <v>GRATIFICATION BUREAU 2021</v>
          </cell>
          <cell r="BO18" t="str">
            <v>PENALITE VERSEMENT ESPECES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40000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40000</v>
          </cell>
          <cell r="M19">
            <v>0</v>
          </cell>
          <cell r="O19">
            <v>0</v>
          </cell>
          <cell r="U19">
            <v>40000</v>
          </cell>
          <cell r="AQ19">
            <v>0</v>
          </cell>
          <cell r="AR19">
            <v>0</v>
          </cell>
          <cell r="AS19">
            <v>15000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11</v>
          </cell>
          <cell r="BN19" t="str">
            <v>ACHAT LAPTOP</v>
          </cell>
          <cell r="BO19" t="str">
            <v>PENALITE VERSEMENT ESPECES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215000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40000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Q20">
            <v>0</v>
          </cell>
          <cell r="U20">
            <v>215000</v>
          </cell>
          <cell r="AE20">
            <v>125000</v>
          </cell>
          <cell r="AF20" t="str">
            <v>BANQUE</v>
          </cell>
          <cell r="AJ20">
            <v>105000</v>
          </cell>
          <cell r="AM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15000</v>
          </cell>
          <cell r="AW20">
            <v>0</v>
          </cell>
          <cell r="AX20">
            <v>105000</v>
          </cell>
          <cell r="AY20">
            <v>1075000</v>
          </cell>
          <cell r="AZ20">
            <v>1180000</v>
          </cell>
          <cell r="BA20">
            <v>55000</v>
          </cell>
          <cell r="BD20">
            <v>1125000</v>
          </cell>
          <cell r="BE20">
            <v>986000</v>
          </cell>
          <cell r="BF20">
            <v>0</v>
          </cell>
          <cell r="BG20">
            <v>11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40000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40000</v>
          </cell>
          <cell r="M21">
            <v>0</v>
          </cell>
          <cell r="O21">
            <v>0</v>
          </cell>
          <cell r="U21">
            <v>40000</v>
          </cell>
          <cell r="AQ21">
            <v>0</v>
          </cell>
          <cell r="AR21">
            <v>0</v>
          </cell>
          <cell r="AS21">
            <v>15000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E21">
            <v>139000</v>
          </cell>
          <cell r="BF21">
            <v>0</v>
          </cell>
          <cell r="BG21">
            <v>11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115000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40000</v>
          </cell>
          <cell r="L22">
            <v>1</v>
          </cell>
          <cell r="M22">
            <v>75000</v>
          </cell>
          <cell r="O22">
            <v>0</v>
          </cell>
          <cell r="Q22">
            <v>0</v>
          </cell>
          <cell r="U22">
            <v>115000</v>
          </cell>
          <cell r="AQ22">
            <v>0</v>
          </cell>
          <cell r="AR22">
            <v>0</v>
          </cell>
          <cell r="AS22">
            <v>15000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11</v>
          </cell>
          <cell r="BN22" t="str">
            <v>S/TOTAL</v>
          </cell>
          <cell r="BP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250000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40000</v>
          </cell>
          <cell r="M23">
            <v>0</v>
          </cell>
          <cell r="N23">
            <v>2</v>
          </cell>
          <cell r="O23">
            <v>200000</v>
          </cell>
          <cell r="U23">
            <v>250000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D23">
            <v>0</v>
          </cell>
          <cell r="BF23">
            <v>0</v>
          </cell>
          <cell r="BG23">
            <v>11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210000</v>
          </cell>
          <cell r="E24">
            <v>5000</v>
          </cell>
          <cell r="F24">
            <v>0</v>
          </cell>
          <cell r="G24">
            <v>0</v>
          </cell>
          <cell r="H24" t="str">
            <v>BANQUE</v>
          </cell>
          <cell r="J24">
            <v>1</v>
          </cell>
          <cell r="K24">
            <v>40000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Q24">
            <v>0</v>
          </cell>
          <cell r="U24">
            <v>215000</v>
          </cell>
          <cell r="AD24">
            <v>105000</v>
          </cell>
          <cell r="AE24">
            <v>125000</v>
          </cell>
          <cell r="AF24" t="str">
            <v>BANQUE</v>
          </cell>
          <cell r="AI24">
            <v>25000</v>
          </cell>
          <cell r="AJ24">
            <v>100000</v>
          </cell>
          <cell r="AK24">
            <v>200000</v>
          </cell>
          <cell r="AL24">
            <v>1000</v>
          </cell>
          <cell r="AM24">
            <v>2000</v>
          </cell>
          <cell r="AN24">
            <v>8000</v>
          </cell>
          <cell r="AP24" t="str">
            <v>BANQUE</v>
          </cell>
          <cell r="AQ24">
            <v>0</v>
          </cell>
          <cell r="AR24">
            <v>0</v>
          </cell>
          <cell r="AS24">
            <v>15000</v>
          </cell>
          <cell r="AW24">
            <v>25000</v>
          </cell>
          <cell r="AX24">
            <v>895000</v>
          </cell>
          <cell r="AY24">
            <v>1275000</v>
          </cell>
          <cell r="AZ24">
            <v>2195000</v>
          </cell>
          <cell r="BD24">
            <v>2195000</v>
          </cell>
          <cell r="BE24">
            <v>2195000</v>
          </cell>
          <cell r="BF24">
            <v>0</v>
          </cell>
          <cell r="BG24">
            <v>11</v>
          </cell>
          <cell r="BN24" t="str">
            <v>GRATIFICATION BUREAU 2021</v>
          </cell>
          <cell r="BO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280000</v>
          </cell>
          <cell r="E25">
            <v>10000</v>
          </cell>
          <cell r="F25">
            <v>0</v>
          </cell>
          <cell r="G25">
            <v>0</v>
          </cell>
          <cell r="H25" t="str">
            <v>BANQUE</v>
          </cell>
          <cell r="J25">
            <v>1</v>
          </cell>
          <cell r="K25">
            <v>40000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Q25">
            <v>0</v>
          </cell>
          <cell r="U25">
            <v>290000</v>
          </cell>
          <cell r="AI25">
            <v>30000</v>
          </cell>
          <cell r="AJ25">
            <v>100000</v>
          </cell>
          <cell r="AK25">
            <v>75000</v>
          </cell>
          <cell r="AL25">
            <v>1000</v>
          </cell>
          <cell r="AM25">
            <v>2000</v>
          </cell>
          <cell r="AN25">
            <v>3000</v>
          </cell>
          <cell r="AP25" t="str">
            <v>BANQUE</v>
          </cell>
          <cell r="AQ25">
            <v>0</v>
          </cell>
          <cell r="AR25">
            <v>0</v>
          </cell>
          <cell r="AS25">
            <v>15000</v>
          </cell>
          <cell r="AW25">
            <v>30000</v>
          </cell>
          <cell r="AX25">
            <v>100000</v>
          </cell>
          <cell r="AY25">
            <v>75000</v>
          </cell>
          <cell r="AZ25">
            <v>205000</v>
          </cell>
          <cell r="BA25">
            <v>205000</v>
          </cell>
          <cell r="BD25">
            <v>0</v>
          </cell>
          <cell r="BF25">
            <v>0</v>
          </cell>
          <cell r="BG25">
            <v>11</v>
          </cell>
          <cell r="BN25" t="str">
            <v>DEVELOPPEMENT LAGWEU</v>
          </cell>
          <cell r="BO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0</v>
          </cell>
          <cell r="E26">
            <v>40000</v>
          </cell>
          <cell r="F26">
            <v>0</v>
          </cell>
          <cell r="G26">
            <v>0</v>
          </cell>
          <cell r="H26" t="str">
            <v>ESPECES</v>
          </cell>
          <cell r="J26">
            <v>1</v>
          </cell>
          <cell r="K26">
            <v>40000</v>
          </cell>
          <cell r="M26">
            <v>0</v>
          </cell>
          <cell r="O26">
            <v>0</v>
          </cell>
          <cell r="U26">
            <v>40000</v>
          </cell>
          <cell r="AI26">
            <v>60000</v>
          </cell>
          <cell r="AL26">
            <v>2000</v>
          </cell>
          <cell r="AP26" t="str">
            <v>BANQUE</v>
          </cell>
          <cell r="AQ26">
            <v>0</v>
          </cell>
          <cell r="AR26">
            <v>0</v>
          </cell>
          <cell r="AS26">
            <v>15000</v>
          </cell>
          <cell r="AW26">
            <v>60000</v>
          </cell>
          <cell r="AX26">
            <v>0</v>
          </cell>
          <cell r="AY26">
            <v>0</v>
          </cell>
          <cell r="AZ26">
            <v>60000</v>
          </cell>
          <cell r="BA26">
            <v>60000</v>
          </cell>
          <cell r="BD26">
            <v>0</v>
          </cell>
          <cell r="BF26">
            <v>0</v>
          </cell>
          <cell r="BG26">
            <v>11</v>
          </cell>
          <cell r="BN26" t="str">
            <v>DEUIL TCHEMNOU EMMANUEL</v>
          </cell>
          <cell r="BO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0</v>
          </cell>
          <cell r="E27">
            <v>65000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40000</v>
          </cell>
          <cell r="M27">
            <v>0</v>
          </cell>
          <cell r="O27">
            <v>0</v>
          </cell>
          <cell r="U27">
            <v>65000</v>
          </cell>
          <cell r="W27">
            <v>25000</v>
          </cell>
          <cell r="AQ27">
            <v>0</v>
          </cell>
          <cell r="AR27">
            <v>0</v>
          </cell>
          <cell r="AS27">
            <v>15000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11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115000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40000</v>
          </cell>
          <cell r="L28">
            <v>1</v>
          </cell>
          <cell r="M28">
            <v>75000</v>
          </cell>
          <cell r="O28">
            <v>0</v>
          </cell>
          <cell r="Q28">
            <v>0</v>
          </cell>
          <cell r="U28">
            <v>115000</v>
          </cell>
          <cell r="AQ28">
            <v>0</v>
          </cell>
          <cell r="AR28">
            <v>0</v>
          </cell>
          <cell r="AS28">
            <v>15000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11</v>
          </cell>
          <cell r="BN28" t="str">
            <v>S/TOTAL</v>
          </cell>
          <cell r="BP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0</v>
          </cell>
          <cell r="E29">
            <v>65000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40000</v>
          </cell>
          <cell r="M29">
            <v>0</v>
          </cell>
          <cell r="O29">
            <v>0</v>
          </cell>
          <cell r="U29">
            <v>65000</v>
          </cell>
          <cell r="W29">
            <v>25000</v>
          </cell>
          <cell r="AQ29">
            <v>0</v>
          </cell>
          <cell r="AR29">
            <v>0</v>
          </cell>
          <cell r="AS29">
            <v>15000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11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0</v>
          </cell>
          <cell r="E30">
            <v>115000</v>
          </cell>
          <cell r="F30">
            <v>0</v>
          </cell>
          <cell r="G30">
            <v>0</v>
          </cell>
          <cell r="H30" t="str">
            <v>ESPECES</v>
          </cell>
          <cell r="J30">
            <v>1</v>
          </cell>
          <cell r="K30">
            <v>40000</v>
          </cell>
          <cell r="L30">
            <v>1</v>
          </cell>
          <cell r="M30">
            <v>75000</v>
          </cell>
          <cell r="O30">
            <v>0</v>
          </cell>
          <cell r="Q30">
            <v>0</v>
          </cell>
          <cell r="U30">
            <v>115000</v>
          </cell>
          <cell r="AQ30">
            <v>0</v>
          </cell>
          <cell r="AR30">
            <v>0</v>
          </cell>
          <cell r="AS30">
            <v>15000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11</v>
          </cell>
          <cell r="BN30" t="str">
            <v xml:space="preserve">DECES </v>
          </cell>
          <cell r="BO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250000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I31">
            <v>110000</v>
          </cell>
          <cell r="J31">
            <v>1</v>
          </cell>
          <cell r="K31">
            <v>40000</v>
          </cell>
          <cell r="M31">
            <v>0</v>
          </cell>
          <cell r="N31">
            <v>1</v>
          </cell>
          <cell r="O31">
            <v>100000</v>
          </cell>
          <cell r="U31">
            <v>250000</v>
          </cell>
          <cell r="AQ31">
            <v>0</v>
          </cell>
          <cell r="AR31">
            <v>0</v>
          </cell>
          <cell r="AS31">
            <v>125000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11</v>
          </cell>
          <cell r="BN31" t="str">
            <v>TRANSPORT DELEGUE</v>
          </cell>
          <cell r="BO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115000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40000</v>
          </cell>
          <cell r="L32">
            <v>1</v>
          </cell>
          <cell r="M32">
            <v>75000</v>
          </cell>
          <cell r="O32">
            <v>0</v>
          </cell>
          <cell r="U32">
            <v>115000</v>
          </cell>
          <cell r="AQ32">
            <v>0</v>
          </cell>
          <cell r="AR32">
            <v>0</v>
          </cell>
          <cell r="AS32">
            <v>15000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D32">
            <v>0</v>
          </cell>
          <cell r="BF32">
            <v>0</v>
          </cell>
          <cell r="BG32">
            <v>11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D33">
            <v>0</v>
          </cell>
          <cell r="E33">
            <v>40000</v>
          </cell>
          <cell r="F33">
            <v>0</v>
          </cell>
          <cell r="G33">
            <v>0</v>
          </cell>
          <cell r="H33" t="str">
            <v>ESPECES</v>
          </cell>
          <cell r="J33">
            <v>1</v>
          </cell>
          <cell r="K33">
            <v>40000</v>
          </cell>
          <cell r="M33">
            <v>0</v>
          </cell>
          <cell r="O33">
            <v>0</v>
          </cell>
          <cell r="U33">
            <v>40000</v>
          </cell>
          <cell r="AQ33">
            <v>0</v>
          </cell>
          <cell r="AR33">
            <v>0</v>
          </cell>
          <cell r="AS33">
            <v>15000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11</v>
          </cell>
          <cell r="BN33" t="str">
            <v>S/TOTAL</v>
          </cell>
          <cell r="BP33">
            <v>0</v>
          </cell>
        </row>
        <row r="34">
          <cell r="A34" t="str">
            <v>AS201658</v>
          </cell>
          <cell r="B34" t="str">
            <v>YANTCHOU GERVAIS</v>
          </cell>
          <cell r="C34">
            <v>35000</v>
          </cell>
          <cell r="D34">
            <v>0</v>
          </cell>
          <cell r="E34">
            <v>100000</v>
          </cell>
          <cell r="F34">
            <v>0</v>
          </cell>
          <cell r="G34">
            <v>0</v>
          </cell>
          <cell r="H34" t="str">
            <v>ESPECES</v>
          </cell>
          <cell r="J34">
            <v>1</v>
          </cell>
          <cell r="K34">
            <v>40000</v>
          </cell>
          <cell r="M34">
            <v>0</v>
          </cell>
          <cell r="O34">
            <v>0</v>
          </cell>
          <cell r="U34">
            <v>65000</v>
          </cell>
          <cell r="W34">
            <v>25000</v>
          </cell>
          <cell r="AQ34">
            <v>0</v>
          </cell>
          <cell r="AR34">
            <v>0</v>
          </cell>
          <cell r="AS34">
            <v>15000</v>
          </cell>
          <cell r="AT34">
            <v>35000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11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40000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J35">
            <v>1</v>
          </cell>
          <cell r="K35">
            <v>40000</v>
          </cell>
          <cell r="M35">
            <v>0</v>
          </cell>
          <cell r="O35">
            <v>0</v>
          </cell>
          <cell r="U35">
            <v>40000</v>
          </cell>
          <cell r="AQ35">
            <v>0</v>
          </cell>
          <cell r="AR35">
            <v>0</v>
          </cell>
          <cell r="AS35">
            <v>15000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11</v>
          </cell>
          <cell r="BN35" t="str">
            <v>COLLATION</v>
          </cell>
          <cell r="BO35" t="str">
            <v>COLLATION</v>
          </cell>
          <cell r="BP35">
            <v>100000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290000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40000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Q36">
            <v>0</v>
          </cell>
          <cell r="U36">
            <v>290000</v>
          </cell>
          <cell r="AQ36">
            <v>0</v>
          </cell>
          <cell r="AR36">
            <v>0</v>
          </cell>
          <cell r="AS36">
            <v>15000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11</v>
          </cell>
          <cell r="BN36" t="str">
            <v>BOISSON</v>
          </cell>
          <cell r="BO36" t="str">
            <v>COLLATION</v>
          </cell>
        </row>
        <row r="38">
          <cell r="B38" t="str">
            <v>TOTAUX</v>
          </cell>
          <cell r="C38">
            <v>35000</v>
          </cell>
          <cell r="D38">
            <v>3640000</v>
          </cell>
          <cell r="E38">
            <v>589000</v>
          </cell>
          <cell r="F38">
            <v>210000</v>
          </cell>
          <cell r="G38">
            <v>0</v>
          </cell>
          <cell r="H38">
            <v>0</v>
          </cell>
          <cell r="I38">
            <v>244000</v>
          </cell>
          <cell r="J38">
            <v>30</v>
          </cell>
          <cell r="K38">
            <v>1200000</v>
          </cell>
          <cell r="L38">
            <v>17</v>
          </cell>
          <cell r="M38">
            <v>1275000</v>
          </cell>
          <cell r="N38">
            <v>14</v>
          </cell>
          <cell r="O38">
            <v>1400000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U38">
            <v>4194000</v>
          </cell>
          <cell r="V38">
            <v>0</v>
          </cell>
          <cell r="W38">
            <v>75000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C38">
            <v>85000</v>
          </cell>
          <cell r="AD38">
            <v>105000</v>
          </cell>
          <cell r="AE38">
            <v>375000</v>
          </cell>
          <cell r="AF38">
            <v>0</v>
          </cell>
          <cell r="AG38">
            <v>0</v>
          </cell>
          <cell r="AI38">
            <v>235000</v>
          </cell>
          <cell r="AJ38">
            <v>405000</v>
          </cell>
          <cell r="AK38">
            <v>325000</v>
          </cell>
          <cell r="AL38">
            <v>9000</v>
          </cell>
          <cell r="AM38">
            <v>8000</v>
          </cell>
          <cell r="AN38">
            <v>13000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694000</v>
          </cell>
          <cell r="AT38">
            <v>35000</v>
          </cell>
          <cell r="AU38">
            <v>0</v>
          </cell>
          <cell r="AV38">
            <v>0</v>
          </cell>
          <cell r="AW38">
            <v>750000</v>
          </cell>
          <cell r="AX38">
            <v>1200000</v>
          </cell>
          <cell r="AY38">
            <v>3550000</v>
          </cell>
          <cell r="AZ38">
            <v>5396000</v>
          </cell>
          <cell r="BA38">
            <v>490000</v>
          </cell>
          <cell r="BB38">
            <v>210000</v>
          </cell>
          <cell r="BC38">
            <v>0</v>
          </cell>
          <cell r="BD38">
            <v>4906000</v>
          </cell>
          <cell r="BE38">
            <v>4906000</v>
          </cell>
          <cell r="BF38">
            <v>0</v>
          </cell>
          <cell r="BH38">
            <v>6000</v>
          </cell>
          <cell r="BI38">
            <v>0</v>
          </cell>
          <cell r="BJ38">
            <v>0</v>
          </cell>
          <cell r="BK38">
            <v>100000</v>
          </cell>
          <cell r="BL38">
            <v>0</v>
          </cell>
          <cell r="BM38">
            <v>0</v>
          </cell>
          <cell r="BN38" t="str">
            <v>S/TOTAL</v>
          </cell>
          <cell r="BP38">
            <v>100000</v>
          </cell>
        </row>
        <row r="40">
          <cell r="Y40" t="str">
            <v>CHINGUE</v>
          </cell>
          <cell r="Z40">
            <v>428899</v>
          </cell>
          <cell r="BA40">
            <v>619000</v>
          </cell>
          <cell r="BD40" t="str">
            <v>BORDEREAU</v>
          </cell>
          <cell r="BE40">
            <v>5024000</v>
          </cell>
        </row>
        <row r="41">
          <cell r="B41" t="str">
            <v>AS201643</v>
          </cell>
          <cell r="Y41" t="str">
            <v>NJIEPDIO DELUX</v>
          </cell>
          <cell r="Z41">
            <v>805000</v>
          </cell>
          <cell r="AZ41">
            <v>5024000</v>
          </cell>
          <cell r="BC41" t="str">
            <v>RETRAIT NGONGANG</v>
          </cell>
          <cell r="BD41">
            <v>257000</v>
          </cell>
          <cell r="BE41">
            <v>118000</v>
          </cell>
          <cell r="BN41" t="str">
            <v>TRANSPORT DELEGUE</v>
          </cell>
          <cell r="BO41" t="str">
            <v>MUTUELLE</v>
          </cell>
        </row>
        <row r="42">
          <cell r="C42" t="str">
            <v>BANQUE</v>
          </cell>
          <cell r="F42" t="str">
            <v>ESPECES</v>
          </cell>
          <cell r="Y42" t="str">
            <v>TCHOUANTE FRANCOIS</v>
          </cell>
          <cell r="Z42">
            <v>243805</v>
          </cell>
          <cell r="BN42" t="str">
            <v>REMBOURSEMENT FOND NGONGANG</v>
          </cell>
          <cell r="BP42">
            <v>257000</v>
          </cell>
        </row>
        <row r="43">
          <cell r="B43" t="str">
            <v>LIBELLE</v>
          </cell>
          <cell r="C43" t="str">
            <v>SORTIE</v>
          </cell>
          <cell r="D43" t="str">
            <v>ENTREE</v>
          </cell>
          <cell r="E43" t="str">
            <v>SOLDE</v>
          </cell>
          <cell r="F43" t="str">
            <v>ENTREE</v>
          </cell>
          <cell r="G43" t="str">
            <v>SORTIE</v>
          </cell>
          <cell r="H43" t="str">
            <v>SOLDE</v>
          </cell>
          <cell r="Y43" t="str">
            <v>TCHOUTCHOU</v>
          </cell>
          <cell r="Z43">
            <v>51454</v>
          </cell>
        </row>
        <row r="44">
          <cell r="B44" t="str">
            <v>REPORT</v>
          </cell>
        </row>
        <row r="45">
          <cell r="B45" t="str">
            <v>TONTINE</v>
          </cell>
          <cell r="C45">
            <v>5396000</v>
          </cell>
          <cell r="D45">
            <v>3465000</v>
          </cell>
          <cell r="F45">
            <v>589000</v>
          </cell>
        </row>
      </sheetData>
      <sheetData sheetId="5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828500</v>
          </cell>
          <cell r="BA6">
            <v>262500</v>
          </cell>
          <cell r="BD6">
            <v>566000</v>
          </cell>
          <cell r="BE6">
            <v>1206700</v>
          </cell>
          <cell r="BF6">
            <v>0</v>
          </cell>
          <cell r="BG6">
            <v>10</v>
          </cell>
          <cell r="BH6">
            <v>68500</v>
          </cell>
          <cell r="BI6">
            <v>0</v>
          </cell>
          <cell r="BJ6">
            <v>560000</v>
          </cell>
          <cell r="BM6">
            <v>200000</v>
          </cell>
          <cell r="BN6" t="str">
            <v>ACHAT FOURNITURE</v>
          </cell>
          <cell r="BO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40000</v>
          </cell>
          <cell r="F7">
            <v>0</v>
          </cell>
          <cell r="G7">
            <v>0</v>
          </cell>
          <cell r="H7" t="str">
            <v>ESPECES</v>
          </cell>
          <cell r="J7">
            <v>1</v>
          </cell>
          <cell r="K7">
            <v>40000</v>
          </cell>
          <cell r="M7">
            <v>0</v>
          </cell>
          <cell r="O7">
            <v>0</v>
          </cell>
          <cell r="P7">
            <v>0</v>
          </cell>
          <cell r="U7">
            <v>40000</v>
          </cell>
          <cell r="AQ7">
            <v>0</v>
          </cell>
          <cell r="AR7">
            <v>0</v>
          </cell>
          <cell r="AS7">
            <v>15000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10</v>
          </cell>
          <cell r="BN7" t="str">
            <v>COMMUNICATION</v>
          </cell>
          <cell r="BO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615000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40000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S8">
            <v>500000</v>
          </cell>
          <cell r="T8" t="str">
            <v>BANQUE</v>
          </cell>
          <cell r="U8">
            <v>615000</v>
          </cell>
          <cell r="AQ8">
            <v>0</v>
          </cell>
          <cell r="AR8">
            <v>0</v>
          </cell>
          <cell r="AS8">
            <v>15000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10</v>
          </cell>
          <cell r="BN8" t="str">
            <v>COMMISSION</v>
          </cell>
          <cell r="BO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120000</v>
          </cell>
          <cell r="E9">
            <v>80000</v>
          </cell>
          <cell r="F9">
            <v>0</v>
          </cell>
          <cell r="G9">
            <v>0</v>
          </cell>
          <cell r="H9" t="str">
            <v>BANQUE</v>
          </cell>
          <cell r="I9">
            <v>8000</v>
          </cell>
          <cell r="J9">
            <v>1</v>
          </cell>
          <cell r="K9">
            <v>40000</v>
          </cell>
          <cell r="M9">
            <v>0</v>
          </cell>
          <cell r="N9">
            <v>1</v>
          </cell>
          <cell r="O9">
            <v>100000</v>
          </cell>
          <cell r="P9">
            <v>0</v>
          </cell>
          <cell r="R9">
            <v>52000</v>
          </cell>
          <cell r="U9">
            <v>200000</v>
          </cell>
          <cell r="AP9" t="str">
            <v>BANQUE</v>
          </cell>
          <cell r="AQ9">
            <v>0</v>
          </cell>
          <cell r="AR9">
            <v>0</v>
          </cell>
          <cell r="AS9">
            <v>23000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D9">
            <v>0</v>
          </cell>
          <cell r="BF9">
            <v>0</v>
          </cell>
          <cell r="BG9">
            <v>10</v>
          </cell>
          <cell r="BN9" t="str">
            <v>AIDE UEEB ET CONT FEMME</v>
          </cell>
          <cell r="BO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103000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J10">
            <v>1</v>
          </cell>
          <cell r="K10">
            <v>40000</v>
          </cell>
          <cell r="M10">
            <v>0</v>
          </cell>
          <cell r="O10">
            <v>0</v>
          </cell>
          <cell r="P10">
            <v>63000</v>
          </cell>
          <cell r="U10">
            <v>103000</v>
          </cell>
          <cell r="AI10">
            <v>40000</v>
          </cell>
          <cell r="AL10">
            <v>1000</v>
          </cell>
          <cell r="AP10" t="str">
            <v>BANQUE</v>
          </cell>
          <cell r="AQ10">
            <v>0</v>
          </cell>
          <cell r="AR10">
            <v>0</v>
          </cell>
          <cell r="AS10">
            <v>15000</v>
          </cell>
          <cell r="AW10">
            <v>40000</v>
          </cell>
          <cell r="AX10">
            <v>0</v>
          </cell>
          <cell r="AY10">
            <v>0</v>
          </cell>
          <cell r="AZ10">
            <v>40000</v>
          </cell>
          <cell r="BA10">
            <v>40000</v>
          </cell>
          <cell r="BD10">
            <v>0</v>
          </cell>
          <cell r="BF10">
            <v>0</v>
          </cell>
          <cell r="BG10">
            <v>10</v>
          </cell>
          <cell r="BN10" t="str">
            <v>CREDIT TELEPHONE</v>
          </cell>
          <cell r="BO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177000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40000</v>
          </cell>
          <cell r="L11">
            <v>1</v>
          </cell>
          <cell r="M11">
            <v>75000</v>
          </cell>
          <cell r="O11">
            <v>0</v>
          </cell>
          <cell r="P11">
            <v>62000</v>
          </cell>
          <cell r="Q11">
            <v>0</v>
          </cell>
          <cell r="U11">
            <v>177000</v>
          </cell>
          <cell r="AP11" t="str">
            <v>BANQUE</v>
          </cell>
          <cell r="AQ11">
            <v>0</v>
          </cell>
          <cell r="AR11">
            <v>0</v>
          </cell>
          <cell r="AS11">
            <v>15000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D11">
            <v>0</v>
          </cell>
          <cell r="BF11">
            <v>0</v>
          </cell>
          <cell r="BG11">
            <v>10</v>
          </cell>
          <cell r="BN11" t="str">
            <v>PRODUCTION RAPPORT</v>
          </cell>
          <cell r="BO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320000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40000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320000</v>
          </cell>
          <cell r="AQ12">
            <v>0</v>
          </cell>
          <cell r="AR12">
            <v>0</v>
          </cell>
          <cell r="AS12">
            <v>20000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D12">
            <v>0</v>
          </cell>
          <cell r="BF12">
            <v>0</v>
          </cell>
          <cell r="BG12">
            <v>10</v>
          </cell>
          <cell r="BN12" t="str">
            <v>ACHAT SOURIS ET PHOTOCOPIE</v>
          </cell>
          <cell r="BO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0</v>
          </cell>
          <cell r="E13">
            <v>40000</v>
          </cell>
          <cell r="F13">
            <v>0</v>
          </cell>
          <cell r="G13">
            <v>0</v>
          </cell>
          <cell r="H13" t="str">
            <v>ESPECES</v>
          </cell>
          <cell r="J13">
            <v>1</v>
          </cell>
          <cell r="K13">
            <v>40000</v>
          </cell>
          <cell r="M13">
            <v>0</v>
          </cell>
          <cell r="O13">
            <v>0</v>
          </cell>
          <cell r="P13">
            <v>0</v>
          </cell>
          <cell r="U13">
            <v>40000</v>
          </cell>
          <cell r="AQ13">
            <v>0</v>
          </cell>
          <cell r="AR13">
            <v>0</v>
          </cell>
          <cell r="AS13">
            <v>15000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10</v>
          </cell>
          <cell r="BN13" t="str">
            <v>TAXI BANQUE</v>
          </cell>
          <cell r="BO13" t="str">
            <v>FONDS DE ROULEMENT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40000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40000</v>
          </cell>
          <cell r="M14">
            <v>0</v>
          </cell>
          <cell r="O14">
            <v>0</v>
          </cell>
          <cell r="P14">
            <v>0</v>
          </cell>
          <cell r="U14">
            <v>40000</v>
          </cell>
          <cell r="AQ14">
            <v>0</v>
          </cell>
          <cell r="AR14">
            <v>0</v>
          </cell>
          <cell r="AS14">
            <v>15000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10</v>
          </cell>
          <cell r="BN14" t="str">
            <v>CONFECTION CACHET</v>
          </cell>
          <cell r="BO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115000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40000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115000</v>
          </cell>
          <cell r="AQ15">
            <v>0</v>
          </cell>
          <cell r="AR15">
            <v>0</v>
          </cell>
          <cell r="AS15">
            <v>15000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10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250000</v>
          </cell>
          <cell r="E16">
            <v>0</v>
          </cell>
          <cell r="F16">
            <v>1000000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40000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S16">
            <v>1000000</v>
          </cell>
          <cell r="T16" t="str">
            <v>BANQUE</v>
          </cell>
          <cell r="U16">
            <v>1250000</v>
          </cell>
          <cell r="AD16">
            <v>20000</v>
          </cell>
          <cell r="AE16">
            <v>28000</v>
          </cell>
          <cell r="AF16" t="str">
            <v>BANQUE</v>
          </cell>
          <cell r="AP16" t="str">
            <v>BANQUE</v>
          </cell>
          <cell r="AQ16">
            <v>0</v>
          </cell>
          <cell r="AR16">
            <v>0</v>
          </cell>
          <cell r="AS16">
            <v>50000</v>
          </cell>
          <cell r="AW16">
            <v>0</v>
          </cell>
          <cell r="AX16">
            <v>880000</v>
          </cell>
          <cell r="AY16">
            <v>1172000</v>
          </cell>
          <cell r="AZ16">
            <v>1052000</v>
          </cell>
          <cell r="BD16">
            <v>1052000</v>
          </cell>
          <cell r="BE16">
            <v>1052000</v>
          </cell>
          <cell r="BF16">
            <v>0</v>
          </cell>
          <cell r="BG16">
            <v>10</v>
          </cell>
          <cell r="BN16" t="str">
            <v>S/TOTAL</v>
          </cell>
        </row>
        <row r="17">
          <cell r="A17" t="str">
            <v>AS201617</v>
          </cell>
          <cell r="B17" t="str">
            <v>KOUAMOU MOISE</v>
          </cell>
          <cell r="C17">
            <v>-70000</v>
          </cell>
          <cell r="D17">
            <v>140000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40000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U17">
            <v>140000</v>
          </cell>
          <cell r="AC17">
            <v>6500</v>
          </cell>
          <cell r="AE17">
            <v>28000</v>
          </cell>
          <cell r="AF17" t="str">
            <v>BANQUE</v>
          </cell>
          <cell r="AP17" t="str">
            <v>BANQUE</v>
          </cell>
          <cell r="AQ17">
            <v>0</v>
          </cell>
          <cell r="AR17">
            <v>0</v>
          </cell>
          <cell r="AS17">
            <v>15000</v>
          </cell>
          <cell r="AW17">
            <v>293500</v>
          </cell>
          <cell r="AX17">
            <v>0</v>
          </cell>
          <cell r="AY17">
            <v>1172000</v>
          </cell>
          <cell r="AZ17">
            <v>1465500</v>
          </cell>
          <cell r="BA17">
            <v>64500</v>
          </cell>
          <cell r="BB17">
            <v>70000</v>
          </cell>
          <cell r="BD17">
            <v>1331000</v>
          </cell>
          <cell r="BE17">
            <v>1331000</v>
          </cell>
          <cell r="BF17">
            <v>0</v>
          </cell>
          <cell r="BG17">
            <v>10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51000</v>
          </cell>
          <cell r="E18">
            <v>266000</v>
          </cell>
          <cell r="F18">
            <v>0</v>
          </cell>
          <cell r="G18">
            <v>0</v>
          </cell>
          <cell r="H18" t="str">
            <v>BANQUE</v>
          </cell>
          <cell r="J18">
            <v>1</v>
          </cell>
          <cell r="K18">
            <v>40000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102000</v>
          </cell>
          <cell r="R18">
            <v>0</v>
          </cell>
          <cell r="U18">
            <v>317000</v>
          </cell>
          <cell r="AP18" t="str">
            <v>BANQUE</v>
          </cell>
          <cell r="AQ18">
            <v>0</v>
          </cell>
          <cell r="AR18">
            <v>0</v>
          </cell>
          <cell r="AS18">
            <v>15000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D18">
            <v>0</v>
          </cell>
          <cell r="BF18">
            <v>0</v>
          </cell>
          <cell r="BG18">
            <v>10</v>
          </cell>
          <cell r="BN18" t="str">
            <v>GRATIFICATION BUREAU 2022</v>
          </cell>
          <cell r="BO18" t="str">
            <v>PENALITE VERSEMENT ESPECES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0</v>
          </cell>
          <cell r="E19">
            <v>40000</v>
          </cell>
          <cell r="F19">
            <v>0</v>
          </cell>
          <cell r="G19">
            <v>0</v>
          </cell>
          <cell r="H19" t="str">
            <v>ESPECES</v>
          </cell>
          <cell r="J19">
            <v>1</v>
          </cell>
          <cell r="K19">
            <v>40000</v>
          </cell>
          <cell r="M19">
            <v>0</v>
          </cell>
          <cell r="O19">
            <v>0</v>
          </cell>
          <cell r="P19">
            <v>0</v>
          </cell>
          <cell r="U19">
            <v>40000</v>
          </cell>
          <cell r="AQ19">
            <v>0</v>
          </cell>
          <cell r="AR19">
            <v>0</v>
          </cell>
          <cell r="AS19">
            <v>15000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10</v>
          </cell>
          <cell r="BN19" t="str">
            <v>ACHAT LAPTOP</v>
          </cell>
          <cell r="BO19" t="str">
            <v>PENALITE VERSEMENT ESPECES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107000</v>
          </cell>
          <cell r="E20">
            <v>215000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40000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107000</v>
          </cell>
          <cell r="R20">
            <v>0</v>
          </cell>
          <cell r="U20">
            <v>322000</v>
          </cell>
          <cell r="AD20">
            <v>22000</v>
          </cell>
          <cell r="AF20" t="str">
            <v>BANQUE</v>
          </cell>
          <cell r="AI20">
            <v>31500</v>
          </cell>
          <cell r="AL20">
            <v>1000</v>
          </cell>
          <cell r="AP20" t="str">
            <v>BANQUE</v>
          </cell>
          <cell r="AQ20">
            <v>0</v>
          </cell>
          <cell r="AR20">
            <v>0</v>
          </cell>
          <cell r="AS20">
            <v>15000</v>
          </cell>
          <cell r="AW20">
            <v>31500</v>
          </cell>
          <cell r="AX20">
            <v>878000</v>
          </cell>
          <cell r="AY20">
            <v>0</v>
          </cell>
          <cell r="AZ20">
            <v>409500</v>
          </cell>
          <cell r="BA20">
            <v>409500</v>
          </cell>
          <cell r="BD20">
            <v>0</v>
          </cell>
          <cell r="BF20">
            <v>0</v>
          </cell>
          <cell r="BG20">
            <v>10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40000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40000</v>
          </cell>
          <cell r="M21">
            <v>0</v>
          </cell>
          <cell r="O21">
            <v>0</v>
          </cell>
          <cell r="P21">
            <v>0</v>
          </cell>
          <cell r="U21">
            <v>40000</v>
          </cell>
          <cell r="AQ21">
            <v>0</v>
          </cell>
          <cell r="AR21">
            <v>0</v>
          </cell>
          <cell r="AS21">
            <v>15000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10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115000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40000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115000</v>
          </cell>
          <cell r="AQ22">
            <v>0</v>
          </cell>
          <cell r="AR22">
            <v>0</v>
          </cell>
          <cell r="AS22">
            <v>15000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10</v>
          </cell>
          <cell r="BN22" t="str">
            <v>S/TOTAL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250000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40000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0</v>
          </cell>
          <cell r="U23">
            <v>250000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D23">
            <v>0</v>
          </cell>
          <cell r="BF23">
            <v>0</v>
          </cell>
          <cell r="BG23">
            <v>10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551000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J24">
            <v>1</v>
          </cell>
          <cell r="K24">
            <v>40000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26000</v>
          </cell>
          <cell r="Q24">
            <v>102000</v>
          </cell>
          <cell r="R24">
            <v>208000</v>
          </cell>
          <cell r="U24">
            <v>551000</v>
          </cell>
          <cell r="AP24" t="str">
            <v>BANQUE</v>
          </cell>
          <cell r="AQ24">
            <v>0</v>
          </cell>
          <cell r="AR24">
            <v>0</v>
          </cell>
          <cell r="AS24">
            <v>15000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D24">
            <v>0</v>
          </cell>
          <cell r="BF24">
            <v>0</v>
          </cell>
          <cell r="BG24">
            <v>10</v>
          </cell>
          <cell r="BN24" t="str">
            <v>GRATIFICATION BUREAU 2021</v>
          </cell>
          <cell r="BO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451000</v>
          </cell>
          <cell r="E25">
            <v>50000</v>
          </cell>
          <cell r="F25">
            <v>70000</v>
          </cell>
          <cell r="G25">
            <v>0</v>
          </cell>
          <cell r="H25" t="str">
            <v>BANQUE</v>
          </cell>
          <cell r="J25">
            <v>1</v>
          </cell>
          <cell r="K25">
            <v>40000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31000</v>
          </cell>
          <cell r="Q25">
            <v>102000</v>
          </cell>
          <cell r="R25">
            <v>78000</v>
          </cell>
          <cell r="U25">
            <v>501000</v>
          </cell>
          <cell r="AC25">
            <v>7500</v>
          </cell>
          <cell r="AF25" t="str">
            <v>BANQUE</v>
          </cell>
          <cell r="AP25" t="str">
            <v>BANQUE</v>
          </cell>
          <cell r="AQ25">
            <v>0</v>
          </cell>
          <cell r="AR25">
            <v>0</v>
          </cell>
          <cell r="AS25">
            <v>15000</v>
          </cell>
          <cell r="AW25">
            <v>292500</v>
          </cell>
          <cell r="AX25">
            <v>0</v>
          </cell>
          <cell r="AY25">
            <v>0</v>
          </cell>
          <cell r="AZ25">
            <v>222500</v>
          </cell>
          <cell r="BB25">
            <v>70000</v>
          </cell>
          <cell r="BD25">
            <v>222500</v>
          </cell>
          <cell r="BE25">
            <v>222500</v>
          </cell>
          <cell r="BF25">
            <v>0</v>
          </cell>
          <cell r="BG25">
            <v>10</v>
          </cell>
          <cell r="BN25" t="str">
            <v>DEVELOPPEMENT LAGWEU</v>
          </cell>
          <cell r="BO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0</v>
          </cell>
          <cell r="E26">
            <v>102000</v>
          </cell>
          <cell r="F26">
            <v>1070000</v>
          </cell>
          <cell r="G26">
            <v>0</v>
          </cell>
          <cell r="H26" t="str">
            <v>ESPECES</v>
          </cell>
          <cell r="J26">
            <v>1</v>
          </cell>
          <cell r="K26">
            <v>40000</v>
          </cell>
          <cell r="M26">
            <v>0</v>
          </cell>
          <cell r="O26">
            <v>0</v>
          </cell>
          <cell r="P26">
            <v>62000</v>
          </cell>
          <cell r="S26">
            <v>1000000</v>
          </cell>
          <cell r="T26" t="str">
            <v>BANQUE</v>
          </cell>
          <cell r="U26">
            <v>1102000</v>
          </cell>
          <cell r="Z26">
            <v>1000000</v>
          </cell>
          <cell r="AA26" t="str">
            <v>BANQUE</v>
          </cell>
          <cell r="AC26">
            <v>3500</v>
          </cell>
          <cell r="AF26" t="str">
            <v>BANQUE</v>
          </cell>
          <cell r="AI26">
            <v>40000</v>
          </cell>
          <cell r="AL26">
            <v>1000</v>
          </cell>
          <cell r="AP26" t="str">
            <v>BANQUE</v>
          </cell>
          <cell r="AQ26">
            <v>0</v>
          </cell>
          <cell r="AR26">
            <v>0</v>
          </cell>
          <cell r="AS26">
            <v>15000</v>
          </cell>
          <cell r="AW26">
            <v>336500</v>
          </cell>
          <cell r="AX26">
            <v>0</v>
          </cell>
          <cell r="AY26">
            <v>0</v>
          </cell>
          <cell r="AZ26">
            <v>236500</v>
          </cell>
          <cell r="BA26">
            <v>236500</v>
          </cell>
          <cell r="BB26">
            <v>70000</v>
          </cell>
          <cell r="BD26">
            <v>0</v>
          </cell>
          <cell r="BF26">
            <v>30000</v>
          </cell>
          <cell r="BG26">
            <v>3</v>
          </cell>
          <cell r="BN26" t="str">
            <v>DEUIL TCHEMNOU EMMANUEL</v>
          </cell>
          <cell r="BO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40000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40000</v>
          </cell>
          <cell r="M27">
            <v>0</v>
          </cell>
          <cell r="O27">
            <v>0</v>
          </cell>
          <cell r="P27">
            <v>0</v>
          </cell>
          <cell r="U27">
            <v>40000</v>
          </cell>
          <cell r="AQ27">
            <v>0</v>
          </cell>
          <cell r="AR27">
            <v>0</v>
          </cell>
          <cell r="AS27">
            <v>15000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10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115000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40000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115000</v>
          </cell>
          <cell r="AQ28">
            <v>0</v>
          </cell>
          <cell r="AR28">
            <v>0</v>
          </cell>
          <cell r="AS28">
            <v>15000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10</v>
          </cell>
          <cell r="BN28" t="str">
            <v>S/TOTAL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40000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40000</v>
          </cell>
          <cell r="M29">
            <v>0</v>
          </cell>
          <cell r="O29">
            <v>0</v>
          </cell>
          <cell r="P29">
            <v>0</v>
          </cell>
          <cell r="U29">
            <v>40000</v>
          </cell>
          <cell r="AQ29">
            <v>0</v>
          </cell>
          <cell r="AR29">
            <v>0</v>
          </cell>
          <cell r="AS29">
            <v>15000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10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115000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40000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115000</v>
          </cell>
          <cell r="AQ30">
            <v>0</v>
          </cell>
          <cell r="AR30">
            <v>0</v>
          </cell>
          <cell r="AS30">
            <v>15000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10</v>
          </cell>
          <cell r="BN30" t="str">
            <v xml:space="preserve">DECES </v>
          </cell>
          <cell r="BO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0</v>
          </cell>
          <cell r="E31">
            <v>140000</v>
          </cell>
          <cell r="F31">
            <v>0</v>
          </cell>
          <cell r="G31">
            <v>0</v>
          </cell>
          <cell r="H31" t="str">
            <v>ESPECES</v>
          </cell>
          <cell r="J31">
            <v>1</v>
          </cell>
          <cell r="K31">
            <v>40000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U31">
            <v>140000</v>
          </cell>
          <cell r="AQ31">
            <v>0</v>
          </cell>
          <cell r="AR31">
            <v>0</v>
          </cell>
          <cell r="AS31">
            <v>15000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10</v>
          </cell>
          <cell r="BN31" t="str">
            <v>TRANSPORT DELEGUE</v>
          </cell>
          <cell r="BO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115000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40000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U32">
            <v>115000</v>
          </cell>
          <cell r="AQ32">
            <v>0</v>
          </cell>
          <cell r="AR32">
            <v>0</v>
          </cell>
          <cell r="AS32">
            <v>15000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D32">
            <v>0</v>
          </cell>
          <cell r="BF32">
            <v>0</v>
          </cell>
          <cell r="BG32">
            <v>10</v>
          </cell>
          <cell r="BN32" t="str">
            <v>REMBOURSEMENT FONDS</v>
          </cell>
          <cell r="BO32" t="str">
            <v>FONDS DE CAISSE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D33">
            <v>0</v>
          </cell>
          <cell r="E33">
            <v>40000</v>
          </cell>
          <cell r="F33">
            <v>0</v>
          </cell>
          <cell r="G33">
            <v>0</v>
          </cell>
          <cell r="H33" t="str">
            <v>ESPECES</v>
          </cell>
          <cell r="J33">
            <v>1</v>
          </cell>
          <cell r="K33">
            <v>40000</v>
          </cell>
          <cell r="M33">
            <v>0</v>
          </cell>
          <cell r="O33">
            <v>0</v>
          </cell>
          <cell r="P33">
            <v>0</v>
          </cell>
          <cell r="U33">
            <v>40000</v>
          </cell>
          <cell r="AQ33">
            <v>0</v>
          </cell>
          <cell r="AR33">
            <v>0</v>
          </cell>
          <cell r="AS33">
            <v>15000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10</v>
          </cell>
          <cell r="BN33" t="str">
            <v>S/TOTAL</v>
          </cell>
        </row>
        <row r="34">
          <cell r="A34" t="str">
            <v>AS201658</v>
          </cell>
          <cell r="B34" t="str">
            <v>YANTCHOU GERVAIS</v>
          </cell>
          <cell r="C34">
            <v>60000</v>
          </cell>
          <cell r="D34">
            <v>100000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40000</v>
          </cell>
          <cell r="M34">
            <v>0</v>
          </cell>
          <cell r="O34">
            <v>0</v>
          </cell>
          <cell r="P34">
            <v>0</v>
          </cell>
          <cell r="U34">
            <v>40000</v>
          </cell>
          <cell r="AQ34">
            <v>0</v>
          </cell>
          <cell r="AR34">
            <v>0</v>
          </cell>
          <cell r="AS34">
            <v>15000</v>
          </cell>
          <cell r="AT34">
            <v>60000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10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40000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J35">
            <v>1</v>
          </cell>
          <cell r="K35">
            <v>40000</v>
          </cell>
          <cell r="M35">
            <v>0</v>
          </cell>
          <cell r="O35">
            <v>0</v>
          </cell>
          <cell r="P35">
            <v>0</v>
          </cell>
          <cell r="U35">
            <v>40000</v>
          </cell>
          <cell r="AQ35">
            <v>0</v>
          </cell>
          <cell r="AR35">
            <v>0</v>
          </cell>
          <cell r="AS35">
            <v>15000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10</v>
          </cell>
          <cell r="BN35" t="str">
            <v>COLLATION</v>
          </cell>
          <cell r="BO35" t="str">
            <v>COLLATION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290000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40000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290000</v>
          </cell>
          <cell r="AQ36">
            <v>0</v>
          </cell>
          <cell r="AR36">
            <v>0</v>
          </cell>
          <cell r="AS36">
            <v>15000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10</v>
          </cell>
          <cell r="BN36" t="str">
            <v>BOISSON</v>
          </cell>
          <cell r="BO36" t="str">
            <v>COLLATION</v>
          </cell>
        </row>
        <row r="38">
          <cell r="B38" t="str">
            <v>TOTAUX</v>
          </cell>
          <cell r="C38">
            <v>-10000</v>
          </cell>
          <cell r="D38">
            <v>4475000</v>
          </cell>
          <cell r="E38">
            <v>1013000</v>
          </cell>
          <cell r="F38">
            <v>2140000</v>
          </cell>
          <cell r="G38">
            <v>0</v>
          </cell>
          <cell r="H38">
            <v>0</v>
          </cell>
          <cell r="I38">
            <v>58000</v>
          </cell>
          <cell r="J38">
            <v>30</v>
          </cell>
          <cell r="K38">
            <v>1200000</v>
          </cell>
          <cell r="L38">
            <v>17</v>
          </cell>
          <cell r="M38">
            <v>1275000</v>
          </cell>
          <cell r="N38">
            <v>14</v>
          </cell>
          <cell r="O38">
            <v>1400000</v>
          </cell>
          <cell r="P38">
            <v>244000</v>
          </cell>
          <cell r="Q38">
            <v>413000</v>
          </cell>
          <cell r="R38">
            <v>338000</v>
          </cell>
          <cell r="S38">
            <v>2500000</v>
          </cell>
          <cell r="U38">
            <v>7428000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1000000</v>
          </cell>
          <cell r="AA38">
            <v>0</v>
          </cell>
          <cell r="AC38">
            <v>17500</v>
          </cell>
          <cell r="AD38">
            <v>42000</v>
          </cell>
          <cell r="AE38">
            <v>56000</v>
          </cell>
          <cell r="AF38">
            <v>0</v>
          </cell>
          <cell r="AG38">
            <v>0</v>
          </cell>
          <cell r="AI38">
            <v>111500</v>
          </cell>
          <cell r="AJ38">
            <v>0</v>
          </cell>
          <cell r="AK38">
            <v>0</v>
          </cell>
          <cell r="AL38">
            <v>3000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508000</v>
          </cell>
          <cell r="AT38">
            <v>60000</v>
          </cell>
          <cell r="AU38">
            <v>0</v>
          </cell>
          <cell r="AV38">
            <v>0</v>
          </cell>
          <cell r="AW38">
            <v>994000</v>
          </cell>
          <cell r="AX38">
            <v>1758000</v>
          </cell>
          <cell r="AY38">
            <v>2344000</v>
          </cell>
          <cell r="AZ38">
            <v>4254500</v>
          </cell>
          <cell r="BA38">
            <v>1013000</v>
          </cell>
          <cell r="BB38">
            <v>210000</v>
          </cell>
          <cell r="BC38">
            <v>0</v>
          </cell>
          <cell r="BD38">
            <v>3171500</v>
          </cell>
          <cell r="BE38">
            <v>3812200</v>
          </cell>
          <cell r="BF38">
            <v>30000</v>
          </cell>
          <cell r="BH38">
            <v>68500</v>
          </cell>
          <cell r="BI38">
            <v>0</v>
          </cell>
          <cell r="BJ38">
            <v>560000</v>
          </cell>
          <cell r="BK38">
            <v>0</v>
          </cell>
          <cell r="BL38">
            <v>0</v>
          </cell>
          <cell r="BM38">
            <v>200000</v>
          </cell>
          <cell r="BN38" t="str">
            <v>S/TOTAL</v>
          </cell>
        </row>
        <row r="40">
          <cell r="C40" t="str">
            <v>BANQUE</v>
          </cell>
          <cell r="F40" t="str">
            <v>ESPECES</v>
          </cell>
          <cell r="BA40">
            <v>0</v>
          </cell>
        </row>
        <row r="41">
          <cell r="B41" t="str">
            <v>LIBELLE</v>
          </cell>
          <cell r="C41" t="str">
            <v>SORTIE</v>
          </cell>
          <cell r="D41" t="str">
            <v>ENTREE</v>
          </cell>
          <cell r="E41" t="str">
            <v>SOLDE</v>
          </cell>
          <cell r="F41" t="str">
            <v>ENTREE</v>
          </cell>
          <cell r="G41" t="str">
            <v>SORTIE</v>
          </cell>
          <cell r="H41" t="str">
            <v>SOLDE</v>
          </cell>
        </row>
        <row r="42">
          <cell r="B42" t="str">
            <v>REPORT</v>
          </cell>
        </row>
        <row r="43">
          <cell r="B43" t="str">
            <v>TONTINE</v>
          </cell>
          <cell r="C43">
            <v>4254500</v>
          </cell>
          <cell r="D43">
            <v>4300000</v>
          </cell>
          <cell r="F43">
            <v>1013000</v>
          </cell>
        </row>
      </sheetData>
      <sheetData sheetId="6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106000</v>
          </cell>
          <cell r="BD6">
            <v>-1644000</v>
          </cell>
          <cell r="BE6">
            <v>1858000</v>
          </cell>
          <cell r="BF6">
            <v>0</v>
          </cell>
          <cell r="BG6">
            <v>9</v>
          </cell>
          <cell r="BH6">
            <v>6000</v>
          </cell>
          <cell r="BI6">
            <v>0</v>
          </cell>
          <cell r="BJ6">
            <v>0</v>
          </cell>
          <cell r="BK6">
            <v>100000</v>
          </cell>
          <cell r="BM6">
            <v>0</v>
          </cell>
          <cell r="BN6" t="str">
            <v>ACHAT FOURNITURE</v>
          </cell>
          <cell r="BO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40000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J7">
            <v>1</v>
          </cell>
          <cell r="K7">
            <v>40000</v>
          </cell>
          <cell r="M7">
            <v>0</v>
          </cell>
          <cell r="O7">
            <v>0</v>
          </cell>
          <cell r="P7">
            <v>0</v>
          </cell>
          <cell r="U7">
            <v>40000</v>
          </cell>
          <cell r="AQ7">
            <v>0</v>
          </cell>
          <cell r="AR7">
            <v>0</v>
          </cell>
          <cell r="AS7">
            <v>15000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9</v>
          </cell>
          <cell r="BH7">
            <v>0</v>
          </cell>
          <cell r="BI7">
            <v>0</v>
          </cell>
          <cell r="BJ7">
            <v>0</v>
          </cell>
          <cell r="BM7">
            <v>0</v>
          </cell>
          <cell r="BN7" t="str">
            <v>COMMUNICATION</v>
          </cell>
          <cell r="BO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115000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40000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115000</v>
          </cell>
          <cell r="AQ8">
            <v>0</v>
          </cell>
          <cell r="AR8">
            <v>0</v>
          </cell>
          <cell r="AS8">
            <v>15000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9</v>
          </cell>
          <cell r="BN8" t="str">
            <v>COMMISSION</v>
          </cell>
          <cell r="BO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140000</v>
          </cell>
          <cell r="E9">
            <v>0</v>
          </cell>
          <cell r="F9">
            <v>690000</v>
          </cell>
          <cell r="G9">
            <v>0</v>
          </cell>
          <cell r="H9" t="str">
            <v>BANQUE</v>
          </cell>
          <cell r="J9">
            <v>1</v>
          </cell>
          <cell r="K9">
            <v>40000</v>
          </cell>
          <cell r="M9">
            <v>0</v>
          </cell>
          <cell r="N9">
            <v>1</v>
          </cell>
          <cell r="O9">
            <v>100000</v>
          </cell>
          <cell r="P9">
            <v>0</v>
          </cell>
          <cell r="R9">
            <v>0</v>
          </cell>
          <cell r="S9">
            <v>690000</v>
          </cell>
          <cell r="T9" t="str">
            <v>BANQUE</v>
          </cell>
          <cell r="U9">
            <v>830000</v>
          </cell>
          <cell r="AE9">
            <v>10000</v>
          </cell>
          <cell r="AQ9">
            <v>0</v>
          </cell>
          <cell r="AR9">
            <v>0</v>
          </cell>
          <cell r="AS9">
            <v>15000</v>
          </cell>
          <cell r="AW9">
            <v>0</v>
          </cell>
          <cell r="AX9">
            <v>0</v>
          </cell>
          <cell r="AY9">
            <v>1190000</v>
          </cell>
          <cell r="AZ9">
            <v>500000</v>
          </cell>
          <cell r="BD9">
            <v>500000</v>
          </cell>
          <cell r="BE9">
            <v>500000</v>
          </cell>
          <cell r="BF9">
            <v>0</v>
          </cell>
          <cell r="BG9">
            <v>9</v>
          </cell>
          <cell r="BN9" t="str">
            <v>AIDE UEEB ET CONT FEMME</v>
          </cell>
          <cell r="BO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82000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1000</v>
          </cell>
          <cell r="J10">
            <v>1</v>
          </cell>
          <cell r="K10">
            <v>40000</v>
          </cell>
          <cell r="M10">
            <v>0</v>
          </cell>
          <cell r="O10">
            <v>0</v>
          </cell>
          <cell r="P10">
            <v>41000</v>
          </cell>
          <cell r="U10">
            <v>82000</v>
          </cell>
          <cell r="AQ10">
            <v>0</v>
          </cell>
          <cell r="AR10">
            <v>0</v>
          </cell>
          <cell r="AS10">
            <v>16000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D10">
            <v>0</v>
          </cell>
          <cell r="BF10">
            <v>0</v>
          </cell>
          <cell r="BG10">
            <v>9</v>
          </cell>
          <cell r="BN10" t="str">
            <v>CREDIT TELEPHONE</v>
          </cell>
          <cell r="BO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-100000</v>
          </cell>
          <cell r="D11">
            <v>912500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5000</v>
          </cell>
          <cell r="J11">
            <v>1</v>
          </cell>
          <cell r="K11">
            <v>40000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0</v>
          </cell>
          <cell r="S11">
            <v>892500</v>
          </cell>
          <cell r="T11" t="str">
            <v>BANQUE</v>
          </cell>
          <cell r="U11">
            <v>1012500</v>
          </cell>
          <cell r="AD11">
            <v>7500</v>
          </cell>
          <cell r="AQ11">
            <v>0</v>
          </cell>
          <cell r="AR11">
            <v>0</v>
          </cell>
          <cell r="AS11">
            <v>20000</v>
          </cell>
          <cell r="AW11">
            <v>0</v>
          </cell>
          <cell r="AX11">
            <v>892500</v>
          </cell>
          <cell r="AY11">
            <v>0</v>
          </cell>
          <cell r="AZ11">
            <v>892500</v>
          </cell>
          <cell r="BA11">
            <v>50000</v>
          </cell>
          <cell r="BD11">
            <v>842500</v>
          </cell>
          <cell r="BF11">
            <v>0</v>
          </cell>
          <cell r="BG11">
            <v>9</v>
          </cell>
          <cell r="BN11" t="str">
            <v>PRODUCTION RAPPORT</v>
          </cell>
          <cell r="BO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320000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40000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320000</v>
          </cell>
          <cell r="AE12">
            <v>10000</v>
          </cell>
          <cell r="AQ12">
            <v>0</v>
          </cell>
          <cell r="AR12">
            <v>0</v>
          </cell>
          <cell r="AS12">
            <v>20000</v>
          </cell>
          <cell r="AW12">
            <v>0</v>
          </cell>
          <cell r="AX12">
            <v>0</v>
          </cell>
          <cell r="AY12">
            <v>1190000</v>
          </cell>
          <cell r="AZ12">
            <v>1190000</v>
          </cell>
          <cell r="BD12">
            <v>1190000</v>
          </cell>
          <cell r="BE12">
            <v>1190000</v>
          </cell>
          <cell r="BF12">
            <v>0</v>
          </cell>
          <cell r="BG12">
            <v>9</v>
          </cell>
          <cell r="BN12" t="str">
            <v>ACHAT SOURIS ET PHOTOCOPIE</v>
          </cell>
          <cell r="BO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40000</v>
          </cell>
          <cell r="E13">
            <v>0</v>
          </cell>
          <cell r="F13">
            <v>70000</v>
          </cell>
          <cell r="G13">
            <v>0</v>
          </cell>
          <cell r="H13" t="str">
            <v>BANQUE</v>
          </cell>
          <cell r="J13">
            <v>1</v>
          </cell>
          <cell r="K13">
            <v>40000</v>
          </cell>
          <cell r="M13">
            <v>0</v>
          </cell>
          <cell r="O13">
            <v>0</v>
          </cell>
          <cell r="P13">
            <v>0</v>
          </cell>
          <cell r="U13">
            <v>40000</v>
          </cell>
          <cell r="AC13">
            <v>10000</v>
          </cell>
          <cell r="AQ13">
            <v>0</v>
          </cell>
          <cell r="AR13">
            <v>0</v>
          </cell>
          <cell r="AS13">
            <v>15000</v>
          </cell>
          <cell r="AW13">
            <v>290000</v>
          </cell>
          <cell r="AX13">
            <v>0</v>
          </cell>
          <cell r="AY13">
            <v>0</v>
          </cell>
          <cell r="AZ13">
            <v>220000</v>
          </cell>
          <cell r="BB13">
            <v>70000</v>
          </cell>
          <cell r="BD13">
            <v>220000</v>
          </cell>
          <cell r="BE13">
            <v>220000</v>
          </cell>
          <cell r="BF13">
            <v>0</v>
          </cell>
          <cell r="BG13">
            <v>9</v>
          </cell>
          <cell r="BN13" t="str">
            <v>TAXI BANQUE</v>
          </cell>
          <cell r="BO13" t="str">
            <v>FONDS DE ROULEMENT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40000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40000</v>
          </cell>
          <cell r="M14">
            <v>0</v>
          </cell>
          <cell r="O14">
            <v>0</v>
          </cell>
          <cell r="P14">
            <v>0</v>
          </cell>
          <cell r="U14">
            <v>40000</v>
          </cell>
          <cell r="AQ14">
            <v>0</v>
          </cell>
          <cell r="AR14">
            <v>0</v>
          </cell>
          <cell r="AS14">
            <v>15000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9</v>
          </cell>
          <cell r="BN14" t="str">
            <v>CONFECTION CACHET</v>
          </cell>
          <cell r="BO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115000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40000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115000</v>
          </cell>
          <cell r="AQ15">
            <v>0</v>
          </cell>
          <cell r="AR15">
            <v>0</v>
          </cell>
          <cell r="AS15">
            <v>15000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9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40000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250000</v>
          </cell>
          <cell r="AK16">
            <v>164000</v>
          </cell>
          <cell r="AN16">
            <v>1000</v>
          </cell>
          <cell r="AQ16">
            <v>0</v>
          </cell>
          <cell r="AR16">
            <v>0</v>
          </cell>
          <cell r="AS16">
            <v>50000</v>
          </cell>
          <cell r="AW16">
            <v>0</v>
          </cell>
          <cell r="AX16">
            <v>0</v>
          </cell>
          <cell r="AY16">
            <v>164000</v>
          </cell>
          <cell r="AZ16">
            <v>164000</v>
          </cell>
          <cell r="BA16">
            <v>44000</v>
          </cell>
          <cell r="BD16">
            <v>120000</v>
          </cell>
          <cell r="BE16">
            <v>220000</v>
          </cell>
          <cell r="BF16">
            <v>0</v>
          </cell>
          <cell r="BG16">
            <v>9</v>
          </cell>
          <cell r="BN16" t="str">
            <v>S/TOTAL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140000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40000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U17">
            <v>140000</v>
          </cell>
          <cell r="AK17">
            <v>200000</v>
          </cell>
          <cell r="AN17">
            <v>2000</v>
          </cell>
          <cell r="AQ17">
            <v>0</v>
          </cell>
          <cell r="AR17">
            <v>0</v>
          </cell>
          <cell r="AS17">
            <v>15000</v>
          </cell>
          <cell r="AW17">
            <v>0</v>
          </cell>
          <cell r="AX17">
            <v>0</v>
          </cell>
          <cell r="AY17">
            <v>200000</v>
          </cell>
          <cell r="AZ17">
            <v>200000</v>
          </cell>
          <cell r="BA17">
            <v>100000</v>
          </cell>
          <cell r="BD17">
            <v>100000</v>
          </cell>
          <cell r="BE17">
            <v>100000</v>
          </cell>
          <cell r="BF17">
            <v>0</v>
          </cell>
          <cell r="BG17">
            <v>9</v>
          </cell>
        </row>
        <row r="18">
          <cell r="A18" t="str">
            <v>AS201619</v>
          </cell>
          <cell r="B18" t="str">
            <v>KOUATCHO MESSACK</v>
          </cell>
          <cell r="C18">
            <v>1000</v>
          </cell>
          <cell r="D18">
            <v>215000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-1000</v>
          </cell>
          <cell r="J18">
            <v>1</v>
          </cell>
          <cell r="K18">
            <v>40000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214000</v>
          </cell>
          <cell r="AK18">
            <v>200000</v>
          </cell>
          <cell r="AN18">
            <v>2000</v>
          </cell>
          <cell r="AQ18">
            <v>0</v>
          </cell>
          <cell r="AR18">
            <v>0</v>
          </cell>
          <cell r="AS18">
            <v>14000</v>
          </cell>
          <cell r="AW18">
            <v>0</v>
          </cell>
          <cell r="AX18">
            <v>0</v>
          </cell>
          <cell r="AY18">
            <v>200000</v>
          </cell>
          <cell r="AZ18">
            <v>200000</v>
          </cell>
          <cell r="BD18">
            <v>300000</v>
          </cell>
          <cell r="BE18">
            <v>200000</v>
          </cell>
          <cell r="BF18">
            <v>0</v>
          </cell>
          <cell r="BG18">
            <v>9</v>
          </cell>
          <cell r="BN18" t="str">
            <v>GRATIFICATION BUREAU 2021</v>
          </cell>
          <cell r="BO18" t="str">
            <v>PENALITE VERSEMENT ESPECES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40000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40000</v>
          </cell>
          <cell r="M19">
            <v>0</v>
          </cell>
          <cell r="O19">
            <v>0</v>
          </cell>
          <cell r="P19">
            <v>0</v>
          </cell>
          <cell r="U19">
            <v>40000</v>
          </cell>
          <cell r="AQ19">
            <v>0</v>
          </cell>
          <cell r="AR19">
            <v>0</v>
          </cell>
          <cell r="AS19">
            <v>15000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9</v>
          </cell>
          <cell r="BN19" t="str">
            <v>ACHAT LAPTOP</v>
          </cell>
          <cell r="BO19" t="str">
            <v>PENALITE VERSEMENT ESPECES</v>
          </cell>
        </row>
        <row r="20">
          <cell r="A20" t="str">
            <v>AS201649</v>
          </cell>
          <cell r="B20" t="str">
            <v>MBOGNING TUGMA GUY</v>
          </cell>
          <cell r="C20">
            <v>93000</v>
          </cell>
          <cell r="D20">
            <v>403500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-7000</v>
          </cell>
          <cell r="J20">
            <v>1</v>
          </cell>
          <cell r="K20">
            <v>40000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32500</v>
          </cell>
          <cell r="Q20">
            <v>0</v>
          </cell>
          <cell r="R20">
            <v>0</v>
          </cell>
          <cell r="U20">
            <v>240500</v>
          </cell>
          <cell r="AC20">
            <v>11000</v>
          </cell>
          <cell r="AK20">
            <v>200000</v>
          </cell>
          <cell r="AN20">
            <v>2000</v>
          </cell>
          <cell r="AQ20">
            <v>0</v>
          </cell>
          <cell r="AR20">
            <v>0</v>
          </cell>
          <cell r="AS20">
            <v>8000</v>
          </cell>
          <cell r="AW20">
            <v>289000</v>
          </cell>
          <cell r="AX20">
            <v>0</v>
          </cell>
          <cell r="AY20">
            <v>200000</v>
          </cell>
          <cell r="AZ20">
            <v>489000</v>
          </cell>
          <cell r="BA20">
            <v>105000</v>
          </cell>
          <cell r="BB20">
            <v>70000</v>
          </cell>
          <cell r="BD20">
            <v>314000</v>
          </cell>
          <cell r="BE20">
            <v>314000</v>
          </cell>
          <cell r="BF20">
            <v>0</v>
          </cell>
          <cell r="BG20">
            <v>9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40000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40000</v>
          </cell>
          <cell r="M21">
            <v>0</v>
          </cell>
          <cell r="O21">
            <v>0</v>
          </cell>
          <cell r="P21">
            <v>0</v>
          </cell>
          <cell r="U21">
            <v>40000</v>
          </cell>
          <cell r="AQ21">
            <v>0</v>
          </cell>
          <cell r="AR21">
            <v>0</v>
          </cell>
          <cell r="AS21">
            <v>15000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9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115000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40000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115000</v>
          </cell>
          <cell r="AQ22">
            <v>0</v>
          </cell>
          <cell r="AR22">
            <v>0</v>
          </cell>
          <cell r="AS22">
            <v>15000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9</v>
          </cell>
          <cell r="BN22" t="str">
            <v>S/TOTAL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250000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40000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0</v>
          </cell>
          <cell r="U23">
            <v>250000</v>
          </cell>
          <cell r="AK23">
            <v>200000</v>
          </cell>
          <cell r="AN23">
            <v>2000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200000</v>
          </cell>
          <cell r="AZ23">
            <v>200000</v>
          </cell>
          <cell r="BA23">
            <v>100000</v>
          </cell>
          <cell r="BD23">
            <v>100000</v>
          </cell>
          <cell r="BE23">
            <v>100000</v>
          </cell>
          <cell r="BF23">
            <v>0</v>
          </cell>
          <cell r="BG23">
            <v>9</v>
          </cell>
        </row>
        <row r="24">
          <cell r="A24" t="str">
            <v>AS201624</v>
          </cell>
          <cell r="B24" t="str">
            <v>NGONDIEP CLAUDE</v>
          </cell>
          <cell r="C24">
            <v>-3000</v>
          </cell>
          <cell r="D24">
            <v>0</v>
          </cell>
          <cell r="E24">
            <v>215000</v>
          </cell>
          <cell r="F24">
            <v>0</v>
          </cell>
          <cell r="G24">
            <v>3000</v>
          </cell>
          <cell r="H24" t="str">
            <v>ESPECES</v>
          </cell>
          <cell r="J24">
            <v>1</v>
          </cell>
          <cell r="K24">
            <v>40000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0</v>
          </cell>
          <cell r="U24">
            <v>218000</v>
          </cell>
          <cell r="AQ24">
            <v>0</v>
          </cell>
          <cell r="AR24">
            <v>0</v>
          </cell>
          <cell r="AS24">
            <v>15000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D24">
            <v>0</v>
          </cell>
          <cell r="BF24">
            <v>0</v>
          </cell>
          <cell r="BG24">
            <v>9</v>
          </cell>
          <cell r="BN24" t="str">
            <v>GRATIFICATION BUREAU 2021</v>
          </cell>
          <cell r="BO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-10000</v>
          </cell>
          <cell r="D25">
            <v>280000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J25">
            <v>1</v>
          </cell>
          <cell r="K25">
            <v>40000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0</v>
          </cell>
          <cell r="U25">
            <v>290000</v>
          </cell>
          <cell r="AQ25">
            <v>0</v>
          </cell>
          <cell r="AR25">
            <v>0</v>
          </cell>
          <cell r="AS25">
            <v>5000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D25">
            <v>0</v>
          </cell>
          <cell r="BF25">
            <v>0</v>
          </cell>
          <cell r="BG25">
            <v>9</v>
          </cell>
          <cell r="BN25" t="str">
            <v>DEVELOPPEMENT LAGWEU</v>
          </cell>
          <cell r="BO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0</v>
          </cell>
          <cell r="E26">
            <v>84000</v>
          </cell>
          <cell r="F26">
            <v>0</v>
          </cell>
          <cell r="G26">
            <v>3000</v>
          </cell>
          <cell r="H26" t="str">
            <v>ESPECES</v>
          </cell>
          <cell r="J26">
            <v>1</v>
          </cell>
          <cell r="K26">
            <v>40000</v>
          </cell>
          <cell r="M26">
            <v>0</v>
          </cell>
          <cell r="O26">
            <v>0</v>
          </cell>
          <cell r="P26">
            <v>41000</v>
          </cell>
          <cell r="U26">
            <v>84000</v>
          </cell>
          <cell r="AQ26">
            <v>0</v>
          </cell>
          <cell r="AR26">
            <v>0</v>
          </cell>
          <cell r="AS26">
            <v>15000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D26">
            <v>0</v>
          </cell>
          <cell r="BF26">
            <v>0</v>
          </cell>
          <cell r="BG26">
            <v>9</v>
          </cell>
          <cell r="BN26" t="str">
            <v>DEUIL TCHEMNOU EMMANUEL</v>
          </cell>
          <cell r="BO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10000</v>
          </cell>
          <cell r="J27">
            <v>1</v>
          </cell>
          <cell r="K27">
            <v>40000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9</v>
          </cell>
          <cell r="BN27" t="str">
            <v>RETRAIT COMPTE FOYER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115000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40000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115000</v>
          </cell>
          <cell r="AQ28">
            <v>0</v>
          </cell>
          <cell r="AR28">
            <v>0</v>
          </cell>
          <cell r="AS28">
            <v>15000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9</v>
          </cell>
          <cell r="BN28" t="str">
            <v>S/TOTAL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40000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40000</v>
          </cell>
          <cell r="M29">
            <v>0</v>
          </cell>
          <cell r="O29">
            <v>0</v>
          </cell>
          <cell r="P29">
            <v>0</v>
          </cell>
          <cell r="U29">
            <v>40000</v>
          </cell>
          <cell r="AQ29">
            <v>0</v>
          </cell>
          <cell r="AR29">
            <v>0</v>
          </cell>
          <cell r="AS29">
            <v>15000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9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115000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40000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115000</v>
          </cell>
          <cell r="AQ30">
            <v>0</v>
          </cell>
          <cell r="AR30">
            <v>0</v>
          </cell>
          <cell r="AS30">
            <v>15000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9</v>
          </cell>
          <cell r="BN30" t="str">
            <v xml:space="preserve">DECES </v>
          </cell>
          <cell r="BO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-70000</v>
          </cell>
          <cell r="D31">
            <v>140000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40000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U31">
            <v>140000</v>
          </cell>
          <cell r="AC31">
            <v>11000</v>
          </cell>
          <cell r="AQ31">
            <v>0</v>
          </cell>
          <cell r="AR31">
            <v>0</v>
          </cell>
          <cell r="AS31">
            <v>15000</v>
          </cell>
          <cell r="AW31">
            <v>289000</v>
          </cell>
          <cell r="AX31">
            <v>0</v>
          </cell>
          <cell r="AY31">
            <v>0</v>
          </cell>
          <cell r="AZ31">
            <v>289000</v>
          </cell>
          <cell r="BB31">
            <v>70000</v>
          </cell>
          <cell r="BD31">
            <v>219000</v>
          </cell>
          <cell r="BE31">
            <v>219000</v>
          </cell>
          <cell r="BF31">
            <v>0</v>
          </cell>
          <cell r="BG31">
            <v>9</v>
          </cell>
          <cell r="BN31" t="str">
            <v>TRANSPORT DELEGUE</v>
          </cell>
          <cell r="BO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115000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40000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U32">
            <v>115000</v>
          </cell>
          <cell r="Z32">
            <v>200000</v>
          </cell>
          <cell r="AA32" t="str">
            <v>BANQUE</v>
          </cell>
          <cell r="AD32">
            <v>7500</v>
          </cell>
          <cell r="AQ32">
            <v>0</v>
          </cell>
          <cell r="AR32">
            <v>0</v>
          </cell>
          <cell r="AS32">
            <v>15000</v>
          </cell>
          <cell r="AW32">
            <v>0</v>
          </cell>
          <cell r="AX32">
            <v>0</v>
          </cell>
          <cell r="AY32">
            <v>0</v>
          </cell>
          <cell r="AZ32">
            <v>194000</v>
          </cell>
          <cell r="BD32">
            <v>194000</v>
          </cell>
          <cell r="BE32">
            <v>86500</v>
          </cell>
          <cell r="BF32">
            <v>6000</v>
          </cell>
          <cell r="BG32">
            <v>3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D33">
            <v>40000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J33">
            <v>1</v>
          </cell>
          <cell r="K33">
            <v>40000</v>
          </cell>
          <cell r="M33">
            <v>0</v>
          </cell>
          <cell r="O33">
            <v>0</v>
          </cell>
          <cell r="P33">
            <v>0</v>
          </cell>
          <cell r="U33">
            <v>40000</v>
          </cell>
          <cell r="AQ33">
            <v>0</v>
          </cell>
          <cell r="AR33">
            <v>0</v>
          </cell>
          <cell r="AS33">
            <v>15000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9</v>
          </cell>
          <cell r="BN33" t="str">
            <v>S/TOTAL</v>
          </cell>
        </row>
        <row r="34">
          <cell r="A34" t="str">
            <v>AS201658</v>
          </cell>
          <cell r="B34" t="str">
            <v>YANTCHOU GERVAIS</v>
          </cell>
          <cell r="C34">
            <v>25000</v>
          </cell>
          <cell r="D34">
            <v>100000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I34">
            <v>35000</v>
          </cell>
          <cell r="J34">
            <v>1</v>
          </cell>
          <cell r="K34">
            <v>40000</v>
          </cell>
          <cell r="M34">
            <v>0</v>
          </cell>
          <cell r="O34">
            <v>0</v>
          </cell>
          <cell r="P34">
            <v>0</v>
          </cell>
          <cell r="U34">
            <v>75000</v>
          </cell>
          <cell r="AQ34">
            <v>0</v>
          </cell>
          <cell r="AR34">
            <v>0</v>
          </cell>
          <cell r="AS34">
            <v>50000</v>
          </cell>
          <cell r="AT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9</v>
          </cell>
        </row>
        <row r="35">
          <cell r="A35" t="str">
            <v>AS201646</v>
          </cell>
          <cell r="B35" t="str">
            <v>YEPMOU JEAN JACQUES</v>
          </cell>
          <cell r="C35">
            <v>-6000</v>
          </cell>
          <cell r="D35">
            <v>34000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J35">
            <v>1</v>
          </cell>
          <cell r="K35">
            <v>40000</v>
          </cell>
          <cell r="M35">
            <v>0</v>
          </cell>
          <cell r="O35">
            <v>0</v>
          </cell>
          <cell r="P35">
            <v>0</v>
          </cell>
          <cell r="U35">
            <v>40000</v>
          </cell>
          <cell r="AQ35">
            <v>0</v>
          </cell>
          <cell r="AR35">
            <v>0</v>
          </cell>
          <cell r="AS35">
            <v>9000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9</v>
          </cell>
          <cell r="BN35" t="str">
            <v>COLLATION</v>
          </cell>
          <cell r="BO35" t="str">
            <v>COLLATION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290000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40000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290000</v>
          </cell>
          <cell r="AQ36">
            <v>0</v>
          </cell>
          <cell r="AR36">
            <v>0</v>
          </cell>
          <cell r="AS36">
            <v>15000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9</v>
          </cell>
          <cell r="BN36" t="str">
            <v>BOISSON</v>
          </cell>
          <cell r="BO36" t="str">
            <v>COLLATION</v>
          </cell>
        </row>
        <row r="38">
          <cell r="B38" t="str">
            <v>TOTAUX</v>
          </cell>
          <cell r="C38">
            <v>-70000</v>
          </cell>
          <cell r="D38">
            <v>4752000</v>
          </cell>
          <cell r="E38">
            <v>299000</v>
          </cell>
          <cell r="F38">
            <v>760000</v>
          </cell>
          <cell r="G38">
            <v>6000</v>
          </cell>
          <cell r="H38">
            <v>0</v>
          </cell>
          <cell r="I38">
            <v>93000</v>
          </cell>
          <cell r="J38">
            <v>30</v>
          </cell>
          <cell r="K38">
            <v>1200000</v>
          </cell>
          <cell r="L38">
            <v>17</v>
          </cell>
          <cell r="M38">
            <v>1275000</v>
          </cell>
          <cell r="N38">
            <v>14</v>
          </cell>
          <cell r="O38">
            <v>1400000</v>
          </cell>
          <cell r="P38">
            <v>114500</v>
          </cell>
          <cell r="Q38">
            <v>0</v>
          </cell>
          <cell r="R38">
            <v>0</v>
          </cell>
          <cell r="S38">
            <v>1582500</v>
          </cell>
          <cell r="U38">
            <v>5671000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200000</v>
          </cell>
          <cell r="AA38">
            <v>0</v>
          </cell>
          <cell r="AC38">
            <v>32000</v>
          </cell>
          <cell r="AD38">
            <v>15000</v>
          </cell>
          <cell r="AE38">
            <v>20000</v>
          </cell>
          <cell r="AF38">
            <v>0</v>
          </cell>
          <cell r="AG38">
            <v>0</v>
          </cell>
          <cell r="AI38">
            <v>0</v>
          </cell>
          <cell r="AJ38">
            <v>0</v>
          </cell>
          <cell r="AK38">
            <v>964000</v>
          </cell>
          <cell r="AL38">
            <v>0</v>
          </cell>
          <cell r="AM38">
            <v>0</v>
          </cell>
          <cell r="AN38">
            <v>9000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527000</v>
          </cell>
          <cell r="AT38">
            <v>25000</v>
          </cell>
          <cell r="AU38">
            <v>0</v>
          </cell>
          <cell r="AV38">
            <v>0</v>
          </cell>
          <cell r="AW38">
            <v>868000</v>
          </cell>
          <cell r="AX38">
            <v>892500</v>
          </cell>
          <cell r="AY38">
            <v>3344000</v>
          </cell>
          <cell r="AZ38">
            <v>4644500</v>
          </cell>
          <cell r="BA38">
            <v>399000</v>
          </cell>
          <cell r="BB38">
            <v>210000</v>
          </cell>
          <cell r="BC38">
            <v>0</v>
          </cell>
          <cell r="BD38">
            <v>2455500</v>
          </cell>
          <cell r="BE38">
            <v>5007500</v>
          </cell>
          <cell r="BF38">
            <v>6000</v>
          </cell>
          <cell r="BH38">
            <v>6000</v>
          </cell>
          <cell r="BI38">
            <v>0</v>
          </cell>
          <cell r="BJ38">
            <v>0</v>
          </cell>
          <cell r="BK38">
            <v>100000</v>
          </cell>
          <cell r="BL38">
            <v>0</v>
          </cell>
          <cell r="BM38">
            <v>0</v>
          </cell>
          <cell r="BN38" t="str">
            <v>S/TOTAL</v>
          </cell>
        </row>
        <row r="39">
          <cell r="BD39" t="str">
            <v>RETRAIT CPTE FOYER</v>
          </cell>
          <cell r="BE39">
            <v>1750000</v>
          </cell>
        </row>
        <row r="40">
          <cell r="C40" t="str">
            <v>BANQUE</v>
          </cell>
          <cell r="F40" t="str">
            <v>ESPECES</v>
          </cell>
          <cell r="AZ40" t="str">
            <v>TOTAL CENTRALISATION</v>
          </cell>
          <cell r="BA40">
            <v>299000</v>
          </cell>
          <cell r="BD40" t="str">
            <v>TOTAL BORDEREAU</v>
          </cell>
          <cell r="BE40">
            <v>5005000</v>
          </cell>
        </row>
        <row r="41">
          <cell r="B41" t="str">
            <v>LIBELLE</v>
          </cell>
          <cell r="C41" t="str">
            <v>SORTIE</v>
          </cell>
          <cell r="D41" t="str">
            <v>ENTREE</v>
          </cell>
          <cell r="E41" t="str">
            <v>SOLDE</v>
          </cell>
          <cell r="F41" t="str">
            <v>ENTREE</v>
          </cell>
          <cell r="G41" t="str">
            <v>SORTIE</v>
          </cell>
          <cell r="H41" t="str">
            <v>SOLDE</v>
          </cell>
        </row>
        <row r="42">
          <cell r="B42" t="str">
            <v>REPORT</v>
          </cell>
        </row>
        <row r="43">
          <cell r="B43" t="str">
            <v>TONTINE</v>
          </cell>
          <cell r="C43">
            <v>4644500</v>
          </cell>
          <cell r="D43">
            <v>4537000</v>
          </cell>
          <cell r="F43">
            <v>299000</v>
          </cell>
        </row>
      </sheetData>
      <sheetData sheetId="7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106000</v>
          </cell>
          <cell r="BD6">
            <v>106000</v>
          </cell>
          <cell r="BE6">
            <v>106000</v>
          </cell>
          <cell r="BF6">
            <v>0</v>
          </cell>
          <cell r="BG6">
            <v>8</v>
          </cell>
          <cell r="BH6">
            <v>6000</v>
          </cell>
          <cell r="BI6">
            <v>0</v>
          </cell>
          <cell r="BJ6">
            <v>0</v>
          </cell>
          <cell r="BK6">
            <v>100000</v>
          </cell>
          <cell r="BM6">
            <v>0</v>
          </cell>
          <cell r="BN6" t="str">
            <v>ACHAT FOURNITURE</v>
          </cell>
          <cell r="BO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40000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J7">
            <v>1</v>
          </cell>
          <cell r="K7">
            <v>40000</v>
          </cell>
          <cell r="M7">
            <v>0</v>
          </cell>
          <cell r="O7">
            <v>0</v>
          </cell>
          <cell r="P7">
            <v>0</v>
          </cell>
          <cell r="U7">
            <v>40000</v>
          </cell>
          <cell r="AQ7">
            <v>0</v>
          </cell>
          <cell r="AR7">
            <v>0</v>
          </cell>
          <cell r="AS7">
            <v>15000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8</v>
          </cell>
          <cell r="BH7">
            <v>0</v>
          </cell>
          <cell r="BI7">
            <v>0</v>
          </cell>
          <cell r="BJ7">
            <v>0</v>
          </cell>
          <cell r="BM7">
            <v>0</v>
          </cell>
          <cell r="BN7" t="str">
            <v>COMMUNICATION</v>
          </cell>
          <cell r="BO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115000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40000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115000</v>
          </cell>
          <cell r="Z8">
            <v>500000</v>
          </cell>
          <cell r="AA8" t="str">
            <v>BANQUE</v>
          </cell>
          <cell r="AQ8">
            <v>0</v>
          </cell>
          <cell r="AR8">
            <v>0</v>
          </cell>
          <cell r="AS8">
            <v>15000</v>
          </cell>
          <cell r="AW8">
            <v>0</v>
          </cell>
          <cell r="AX8">
            <v>0</v>
          </cell>
          <cell r="AY8">
            <v>0</v>
          </cell>
          <cell r="AZ8">
            <v>490000</v>
          </cell>
          <cell r="BD8">
            <v>490000</v>
          </cell>
          <cell r="BE8">
            <v>490000</v>
          </cell>
          <cell r="BF8">
            <v>10000</v>
          </cell>
          <cell r="BG8">
            <v>2</v>
          </cell>
          <cell r="BN8" t="str">
            <v>COMMISSION</v>
          </cell>
          <cell r="BO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145000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5000</v>
          </cell>
          <cell r="J9">
            <v>1</v>
          </cell>
          <cell r="K9">
            <v>40000</v>
          </cell>
          <cell r="M9">
            <v>0</v>
          </cell>
          <cell r="N9">
            <v>1</v>
          </cell>
          <cell r="O9">
            <v>100000</v>
          </cell>
          <cell r="P9">
            <v>0</v>
          </cell>
          <cell r="R9">
            <v>0</v>
          </cell>
          <cell r="U9">
            <v>145000</v>
          </cell>
          <cell r="AI9">
            <v>22500</v>
          </cell>
          <cell r="AL9">
            <v>500</v>
          </cell>
          <cell r="AQ9">
            <v>0</v>
          </cell>
          <cell r="AR9">
            <v>0</v>
          </cell>
          <cell r="AS9">
            <v>20000</v>
          </cell>
          <cell r="AW9">
            <v>22500</v>
          </cell>
          <cell r="AX9">
            <v>0</v>
          </cell>
          <cell r="AY9">
            <v>0</v>
          </cell>
          <cell r="AZ9">
            <v>22500</v>
          </cell>
          <cell r="BA9">
            <v>22500</v>
          </cell>
          <cell r="BD9">
            <v>0</v>
          </cell>
          <cell r="BF9">
            <v>0</v>
          </cell>
          <cell r="BG9">
            <v>8</v>
          </cell>
          <cell r="BN9" t="str">
            <v>AIDE UEEB ET CONT FEMME</v>
          </cell>
          <cell r="BO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-70000</v>
          </cell>
          <cell r="D10">
            <v>0</v>
          </cell>
          <cell r="E10">
            <v>43000</v>
          </cell>
          <cell r="F10">
            <v>0</v>
          </cell>
          <cell r="G10">
            <v>3000</v>
          </cell>
          <cell r="H10" t="str">
            <v>ESPECES</v>
          </cell>
          <cell r="J10">
            <v>1</v>
          </cell>
          <cell r="K10">
            <v>40000</v>
          </cell>
          <cell r="M10">
            <v>0</v>
          </cell>
          <cell r="O10">
            <v>0</v>
          </cell>
          <cell r="P10">
            <v>0</v>
          </cell>
          <cell r="U10">
            <v>43000</v>
          </cell>
          <cell r="AC10">
            <v>11000</v>
          </cell>
          <cell r="AI10">
            <v>60000</v>
          </cell>
          <cell r="AL10">
            <v>2000</v>
          </cell>
          <cell r="AQ10">
            <v>0</v>
          </cell>
          <cell r="AR10">
            <v>0</v>
          </cell>
          <cell r="AS10">
            <v>15000</v>
          </cell>
          <cell r="AW10">
            <v>349000</v>
          </cell>
          <cell r="AX10">
            <v>0</v>
          </cell>
          <cell r="AY10">
            <v>0</v>
          </cell>
          <cell r="AZ10">
            <v>349000</v>
          </cell>
          <cell r="BA10">
            <v>60000</v>
          </cell>
          <cell r="BB10">
            <v>70000</v>
          </cell>
          <cell r="BD10">
            <v>219000</v>
          </cell>
          <cell r="BE10">
            <v>219000</v>
          </cell>
          <cell r="BF10">
            <v>0</v>
          </cell>
          <cell r="BG10">
            <v>8</v>
          </cell>
          <cell r="BN10" t="str">
            <v>CREDIT TELEPHONE</v>
          </cell>
          <cell r="BO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-157500</v>
          </cell>
          <cell r="D11">
            <v>115000</v>
          </cell>
          <cell r="E11">
            <v>0</v>
          </cell>
          <cell r="F11">
            <v>70000</v>
          </cell>
          <cell r="G11">
            <v>0</v>
          </cell>
          <cell r="H11" t="str">
            <v>BANQUE</v>
          </cell>
          <cell r="J11">
            <v>1</v>
          </cell>
          <cell r="K11">
            <v>40000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0</v>
          </cell>
          <cell r="S11">
            <v>157500</v>
          </cell>
          <cell r="U11">
            <v>272500</v>
          </cell>
          <cell r="Z11">
            <v>1000000</v>
          </cell>
          <cell r="AA11" t="str">
            <v>BANQUE</v>
          </cell>
          <cell r="AC11">
            <v>10000</v>
          </cell>
          <cell r="AJ11">
            <v>150000</v>
          </cell>
          <cell r="AM11">
            <v>2000</v>
          </cell>
          <cell r="AQ11">
            <v>0</v>
          </cell>
          <cell r="AR11">
            <v>0</v>
          </cell>
          <cell r="AS11">
            <v>15000</v>
          </cell>
          <cell r="AW11">
            <v>132500</v>
          </cell>
          <cell r="AX11">
            <v>150000</v>
          </cell>
          <cell r="AY11">
            <v>0</v>
          </cell>
          <cell r="AZ11">
            <v>1132500</v>
          </cell>
          <cell r="BB11">
            <v>70000</v>
          </cell>
          <cell r="BD11">
            <v>1132500</v>
          </cell>
          <cell r="BE11">
            <v>1132500</v>
          </cell>
          <cell r="BF11">
            <v>80000</v>
          </cell>
          <cell r="BG11">
            <v>8</v>
          </cell>
          <cell r="BN11" t="str">
            <v>PRODUCTION RAPPORT</v>
          </cell>
          <cell r="BO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320000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40000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320000</v>
          </cell>
          <cell r="AQ12">
            <v>0</v>
          </cell>
          <cell r="AR12">
            <v>0</v>
          </cell>
          <cell r="AS12">
            <v>20000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8</v>
          </cell>
          <cell r="BN12" t="str">
            <v>ACHAT SOURIS ET PHOTOCOPIE</v>
          </cell>
          <cell r="BO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40000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40000</v>
          </cell>
          <cell r="M13">
            <v>0</v>
          </cell>
          <cell r="O13">
            <v>0</v>
          </cell>
          <cell r="P13">
            <v>0</v>
          </cell>
          <cell r="U13">
            <v>40000</v>
          </cell>
          <cell r="AQ13">
            <v>0</v>
          </cell>
          <cell r="AR13">
            <v>0</v>
          </cell>
          <cell r="AS13">
            <v>15000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8</v>
          </cell>
          <cell r="BN13" t="str">
            <v>TAXI BANQUE</v>
          </cell>
          <cell r="BO13" t="str">
            <v>FONDS DE ROULEMENT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40000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40000</v>
          </cell>
          <cell r="M14">
            <v>0</v>
          </cell>
          <cell r="O14">
            <v>0</v>
          </cell>
          <cell r="P14">
            <v>0</v>
          </cell>
          <cell r="U14">
            <v>40000</v>
          </cell>
          <cell r="AQ14">
            <v>0</v>
          </cell>
          <cell r="AR14">
            <v>0</v>
          </cell>
          <cell r="AS14">
            <v>15000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8</v>
          </cell>
          <cell r="BN14" t="str">
            <v>CONFECTION CACHET</v>
          </cell>
          <cell r="BO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115000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40000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115000</v>
          </cell>
          <cell r="AQ15">
            <v>0</v>
          </cell>
          <cell r="AR15">
            <v>0</v>
          </cell>
          <cell r="AS15">
            <v>15000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8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415000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40000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165000</v>
          </cell>
          <cell r="U16">
            <v>415000</v>
          </cell>
          <cell r="AP16" t="str">
            <v>BANQUE</v>
          </cell>
          <cell r="AQ16">
            <v>0</v>
          </cell>
          <cell r="AR16">
            <v>0</v>
          </cell>
          <cell r="AS16">
            <v>50000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D16">
            <v>0</v>
          </cell>
          <cell r="BF16">
            <v>0</v>
          </cell>
          <cell r="BG16">
            <v>8</v>
          </cell>
          <cell r="BN16" t="str">
            <v>S/TOTAL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342000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40000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202000</v>
          </cell>
          <cell r="U17">
            <v>342000</v>
          </cell>
          <cell r="AP17" t="str">
            <v>BANQUE</v>
          </cell>
          <cell r="AQ17">
            <v>0</v>
          </cell>
          <cell r="AR17">
            <v>0</v>
          </cell>
          <cell r="AS17">
            <v>15000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D17">
            <v>0</v>
          </cell>
          <cell r="BF17">
            <v>0</v>
          </cell>
          <cell r="BG17">
            <v>8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419000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2000</v>
          </cell>
          <cell r="J18">
            <v>1</v>
          </cell>
          <cell r="K18">
            <v>40000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202000</v>
          </cell>
          <cell r="U18">
            <v>419000</v>
          </cell>
          <cell r="AD18">
            <v>13000</v>
          </cell>
          <cell r="AJ18">
            <v>100000</v>
          </cell>
          <cell r="AM18">
            <v>1000</v>
          </cell>
          <cell r="AP18" t="str">
            <v>BANQUE</v>
          </cell>
          <cell r="AQ18">
            <v>0</v>
          </cell>
          <cell r="AR18">
            <v>0</v>
          </cell>
          <cell r="AS18">
            <v>17000</v>
          </cell>
          <cell r="AW18">
            <v>0</v>
          </cell>
          <cell r="AX18">
            <v>987000</v>
          </cell>
          <cell r="AY18">
            <v>0</v>
          </cell>
          <cell r="AZ18">
            <v>100000</v>
          </cell>
          <cell r="BD18">
            <v>100000</v>
          </cell>
          <cell r="BE18">
            <v>100000</v>
          </cell>
          <cell r="BF18">
            <v>0</v>
          </cell>
          <cell r="BG18">
            <v>8</v>
          </cell>
          <cell r="BN18" t="str">
            <v>GRATIFICATION BUREAU 2021</v>
          </cell>
          <cell r="BO18" t="str">
            <v>PENALITE VERSEMENT ESPECES</v>
          </cell>
        </row>
        <row r="19">
          <cell r="A19" t="str">
            <v>AS201620</v>
          </cell>
          <cell r="B19" t="str">
            <v>LOWE JEAN</v>
          </cell>
          <cell r="C19">
            <v>-1000000</v>
          </cell>
          <cell r="D19">
            <v>40000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40000</v>
          </cell>
          <cell r="M19">
            <v>0</v>
          </cell>
          <cell r="O19">
            <v>0</v>
          </cell>
          <cell r="P19">
            <v>0</v>
          </cell>
          <cell r="S19">
            <v>1000000</v>
          </cell>
          <cell r="T19" t="str">
            <v>BANQUE</v>
          </cell>
          <cell r="U19">
            <v>1040000</v>
          </cell>
          <cell r="Z19">
            <v>300000</v>
          </cell>
          <cell r="AA19" t="str">
            <v>BANQUE</v>
          </cell>
          <cell r="AQ19">
            <v>0</v>
          </cell>
          <cell r="AR19">
            <v>0</v>
          </cell>
          <cell r="AS19">
            <v>15000</v>
          </cell>
          <cell r="AW19">
            <v>0</v>
          </cell>
          <cell r="AX19">
            <v>0</v>
          </cell>
          <cell r="AY19">
            <v>0</v>
          </cell>
          <cell r="AZ19">
            <v>175000</v>
          </cell>
          <cell r="BD19">
            <v>175000</v>
          </cell>
          <cell r="BE19">
            <v>175000</v>
          </cell>
          <cell r="BF19">
            <v>12000</v>
          </cell>
          <cell r="BG19">
            <v>4</v>
          </cell>
          <cell r="BN19" t="str">
            <v>ACHAT LAPTOP</v>
          </cell>
          <cell r="BO19" t="str">
            <v>PENALITE VERSEMENT ESPECES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422000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5000</v>
          </cell>
          <cell r="J20">
            <v>1</v>
          </cell>
          <cell r="K20">
            <v>40000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0</v>
          </cell>
          <cell r="R20">
            <v>202000</v>
          </cell>
          <cell r="U20">
            <v>422000</v>
          </cell>
          <cell r="AP20" t="str">
            <v>BANQUE</v>
          </cell>
          <cell r="AQ20">
            <v>0</v>
          </cell>
          <cell r="AR20">
            <v>0</v>
          </cell>
          <cell r="AS20">
            <v>20000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D20">
            <v>0</v>
          </cell>
          <cell r="BF20">
            <v>0</v>
          </cell>
          <cell r="BG20">
            <v>8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40000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40000</v>
          </cell>
          <cell r="M21">
            <v>0</v>
          </cell>
          <cell r="O21">
            <v>0</v>
          </cell>
          <cell r="P21">
            <v>0</v>
          </cell>
          <cell r="U21">
            <v>40000</v>
          </cell>
          <cell r="AQ21">
            <v>0</v>
          </cell>
          <cell r="AR21">
            <v>0</v>
          </cell>
          <cell r="AS21">
            <v>15000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8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115000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40000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115000</v>
          </cell>
          <cell r="AQ22">
            <v>0</v>
          </cell>
          <cell r="AR22">
            <v>0</v>
          </cell>
          <cell r="AS22">
            <v>15000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8</v>
          </cell>
          <cell r="BN22" t="str">
            <v>S/TOTAL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452000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40000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202000</v>
          </cell>
          <cell r="U23">
            <v>452000</v>
          </cell>
          <cell r="AP23" t="str">
            <v>BANQUE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D23">
            <v>0</v>
          </cell>
          <cell r="BF23">
            <v>0</v>
          </cell>
          <cell r="BG23">
            <v>8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220000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5000</v>
          </cell>
          <cell r="J24">
            <v>1</v>
          </cell>
          <cell r="K24">
            <v>40000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0</v>
          </cell>
          <cell r="U24">
            <v>220000</v>
          </cell>
          <cell r="AQ24">
            <v>0</v>
          </cell>
          <cell r="AR24">
            <v>0</v>
          </cell>
          <cell r="AS24">
            <v>20000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D24">
            <v>0</v>
          </cell>
          <cell r="BF24">
            <v>0</v>
          </cell>
          <cell r="BG24">
            <v>8</v>
          </cell>
          <cell r="BN24" t="str">
            <v>GRATIFICATION BUREAU 2021</v>
          </cell>
          <cell r="BO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280000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-10000</v>
          </cell>
          <cell r="J25">
            <v>1</v>
          </cell>
          <cell r="K25">
            <v>40000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0</v>
          </cell>
          <cell r="U25">
            <v>280000</v>
          </cell>
          <cell r="AE25">
            <v>20000</v>
          </cell>
          <cell r="AF25" t="str">
            <v>BANQUE</v>
          </cell>
          <cell r="AK25">
            <v>93000</v>
          </cell>
          <cell r="AN25">
            <v>6000</v>
          </cell>
          <cell r="AP25" t="str">
            <v>BANQUE</v>
          </cell>
          <cell r="AQ25">
            <v>0</v>
          </cell>
          <cell r="AR25">
            <v>0</v>
          </cell>
          <cell r="AS25">
            <v>5000</v>
          </cell>
          <cell r="AW25">
            <v>0</v>
          </cell>
          <cell r="AX25">
            <v>0</v>
          </cell>
          <cell r="AY25">
            <v>1273000</v>
          </cell>
          <cell r="AZ25">
            <v>1273000</v>
          </cell>
          <cell r="BD25">
            <v>1273000</v>
          </cell>
          <cell r="BE25">
            <v>1273000</v>
          </cell>
          <cell r="BF25">
            <v>0</v>
          </cell>
          <cell r="BG25">
            <v>8</v>
          </cell>
          <cell r="BN25" t="str">
            <v>DEVELOPPEMENT LAGWEU</v>
          </cell>
          <cell r="BO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0</v>
          </cell>
          <cell r="E26">
            <v>43000</v>
          </cell>
          <cell r="F26">
            <v>0</v>
          </cell>
          <cell r="G26">
            <v>3000</v>
          </cell>
          <cell r="H26" t="str">
            <v>ESPECES</v>
          </cell>
          <cell r="J26">
            <v>1</v>
          </cell>
          <cell r="K26">
            <v>40000</v>
          </cell>
          <cell r="M26">
            <v>0</v>
          </cell>
          <cell r="O26">
            <v>0</v>
          </cell>
          <cell r="P26">
            <v>0</v>
          </cell>
          <cell r="U26">
            <v>43000</v>
          </cell>
          <cell r="AI26">
            <v>60000</v>
          </cell>
          <cell r="AL26">
            <v>1000</v>
          </cell>
          <cell r="AP26" t="str">
            <v>BANQUE</v>
          </cell>
          <cell r="AQ26">
            <v>0</v>
          </cell>
          <cell r="AR26">
            <v>0</v>
          </cell>
          <cell r="AS26">
            <v>15000</v>
          </cell>
          <cell r="AW26">
            <v>60000</v>
          </cell>
          <cell r="AX26">
            <v>0</v>
          </cell>
          <cell r="AY26">
            <v>0</v>
          </cell>
          <cell r="AZ26">
            <v>60000</v>
          </cell>
          <cell r="BA26">
            <v>60000</v>
          </cell>
          <cell r="BD26">
            <v>0</v>
          </cell>
          <cell r="BF26">
            <v>0</v>
          </cell>
          <cell r="BG26">
            <v>8</v>
          </cell>
          <cell r="BN26" t="str">
            <v>DEUIL TCHEMNOU EMMANUEL</v>
          </cell>
          <cell r="BO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10000</v>
          </cell>
          <cell r="J27">
            <v>1</v>
          </cell>
          <cell r="K27">
            <v>40000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8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115000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40000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115000</v>
          </cell>
          <cell r="AQ28">
            <v>0</v>
          </cell>
          <cell r="AR28">
            <v>0</v>
          </cell>
          <cell r="AS28">
            <v>15000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8</v>
          </cell>
          <cell r="BN28" t="str">
            <v>S/TOTAL</v>
          </cell>
        </row>
        <row r="29">
          <cell r="A29" t="str">
            <v>AS201657</v>
          </cell>
          <cell r="B29" t="str">
            <v>SEUMO POLYCARPE</v>
          </cell>
          <cell r="C29">
            <v>120000</v>
          </cell>
          <cell r="D29">
            <v>160000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40000</v>
          </cell>
          <cell r="M29">
            <v>0</v>
          </cell>
          <cell r="O29">
            <v>0</v>
          </cell>
          <cell r="P29">
            <v>0</v>
          </cell>
          <cell r="U29">
            <v>40000</v>
          </cell>
          <cell r="AQ29">
            <v>0</v>
          </cell>
          <cell r="AR29">
            <v>0</v>
          </cell>
          <cell r="AS29">
            <v>15000</v>
          </cell>
          <cell r="AT29">
            <v>120000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8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115000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40000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115000</v>
          </cell>
          <cell r="AQ30">
            <v>0</v>
          </cell>
          <cell r="AR30">
            <v>0</v>
          </cell>
          <cell r="AS30">
            <v>15000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8</v>
          </cell>
          <cell r="BN30" t="str">
            <v xml:space="preserve">DECES </v>
          </cell>
          <cell r="BO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140000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40000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U31">
            <v>140000</v>
          </cell>
          <cell r="AQ31">
            <v>0</v>
          </cell>
          <cell r="AR31">
            <v>0</v>
          </cell>
          <cell r="AS31">
            <v>15000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8</v>
          </cell>
          <cell r="BN31" t="str">
            <v>TRANSPORT DELEGUE</v>
          </cell>
          <cell r="BO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-200000</v>
          </cell>
          <cell r="D32">
            <v>115000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40000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S32">
            <v>200000</v>
          </cell>
          <cell r="T32" t="str">
            <v>BANQUE</v>
          </cell>
          <cell r="U32">
            <v>315000</v>
          </cell>
          <cell r="Z32">
            <v>700000</v>
          </cell>
          <cell r="AA32" t="str">
            <v>BANQUE</v>
          </cell>
          <cell r="AJ32">
            <v>138000</v>
          </cell>
          <cell r="AM32">
            <v>2000</v>
          </cell>
          <cell r="AP32" t="str">
            <v>BANQUE</v>
          </cell>
          <cell r="AQ32">
            <v>0</v>
          </cell>
          <cell r="AR32">
            <v>0</v>
          </cell>
          <cell r="AS32">
            <v>15000</v>
          </cell>
          <cell r="AW32">
            <v>0</v>
          </cell>
          <cell r="AX32">
            <v>138000</v>
          </cell>
          <cell r="AY32">
            <v>0</v>
          </cell>
          <cell r="AZ32">
            <v>596000</v>
          </cell>
          <cell r="BA32">
            <v>86500</v>
          </cell>
          <cell r="BD32">
            <v>509500</v>
          </cell>
          <cell r="BE32">
            <v>509500</v>
          </cell>
          <cell r="BF32">
            <v>42000</v>
          </cell>
          <cell r="BG32">
            <v>6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D33">
            <v>0</v>
          </cell>
          <cell r="E33">
            <v>43000</v>
          </cell>
          <cell r="F33">
            <v>0</v>
          </cell>
          <cell r="G33">
            <v>3000</v>
          </cell>
          <cell r="H33" t="str">
            <v>ESPECES</v>
          </cell>
          <cell r="J33">
            <v>1</v>
          </cell>
          <cell r="K33">
            <v>40000</v>
          </cell>
          <cell r="M33">
            <v>0</v>
          </cell>
          <cell r="O33">
            <v>0</v>
          </cell>
          <cell r="P33">
            <v>0</v>
          </cell>
          <cell r="U33">
            <v>43000</v>
          </cell>
          <cell r="AQ33">
            <v>0</v>
          </cell>
          <cell r="AR33">
            <v>0</v>
          </cell>
          <cell r="AS33">
            <v>15000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8</v>
          </cell>
          <cell r="BN33" t="str">
            <v>S/TOTAL</v>
          </cell>
        </row>
        <row r="34">
          <cell r="A34" t="str">
            <v>AS201658</v>
          </cell>
          <cell r="B34" t="str">
            <v>YANTCHOU GERVAIS</v>
          </cell>
          <cell r="C34">
            <v>0</v>
          </cell>
          <cell r="D34">
            <v>0</v>
          </cell>
          <cell r="E34">
            <v>100000</v>
          </cell>
          <cell r="F34">
            <v>0</v>
          </cell>
          <cell r="G34">
            <v>3000</v>
          </cell>
          <cell r="H34" t="str">
            <v>ESPECES</v>
          </cell>
          <cell r="I34">
            <v>57000</v>
          </cell>
          <cell r="J34">
            <v>1</v>
          </cell>
          <cell r="K34">
            <v>40000</v>
          </cell>
          <cell r="M34">
            <v>0</v>
          </cell>
          <cell r="O34">
            <v>0</v>
          </cell>
          <cell r="P34">
            <v>0</v>
          </cell>
          <cell r="U34">
            <v>100000</v>
          </cell>
          <cell r="AQ34">
            <v>0</v>
          </cell>
          <cell r="AR34">
            <v>0</v>
          </cell>
          <cell r="AS34">
            <v>72000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8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0</v>
          </cell>
          <cell r="E35">
            <v>40000</v>
          </cell>
          <cell r="F35">
            <v>0</v>
          </cell>
          <cell r="G35">
            <v>0</v>
          </cell>
          <cell r="H35" t="str">
            <v>ESPECES</v>
          </cell>
          <cell r="J35">
            <v>1</v>
          </cell>
          <cell r="K35">
            <v>40000</v>
          </cell>
          <cell r="M35">
            <v>0</v>
          </cell>
          <cell r="O35">
            <v>0</v>
          </cell>
          <cell r="P35">
            <v>0</v>
          </cell>
          <cell r="U35">
            <v>40000</v>
          </cell>
          <cell r="AQ35">
            <v>0</v>
          </cell>
          <cell r="AR35">
            <v>4000</v>
          </cell>
          <cell r="AS35">
            <v>14000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8</v>
          </cell>
          <cell r="BN35" t="str">
            <v>COLLATION</v>
          </cell>
          <cell r="BO35" t="str">
            <v>COLLATION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290000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40000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290000</v>
          </cell>
          <cell r="Z36">
            <v>1000000</v>
          </cell>
          <cell r="AA36" t="str">
            <v>BANQUE</v>
          </cell>
          <cell r="AQ36">
            <v>0</v>
          </cell>
          <cell r="AR36">
            <v>0</v>
          </cell>
          <cell r="AS36">
            <v>15000</v>
          </cell>
          <cell r="AW36">
            <v>0</v>
          </cell>
          <cell r="AX36">
            <v>0</v>
          </cell>
          <cell r="AY36">
            <v>0</v>
          </cell>
          <cell r="AZ36">
            <v>940000</v>
          </cell>
          <cell r="BD36">
            <v>940000</v>
          </cell>
          <cell r="BE36">
            <v>940000</v>
          </cell>
          <cell r="BF36">
            <v>60000</v>
          </cell>
          <cell r="BG36">
            <v>6</v>
          </cell>
          <cell r="BN36" t="str">
            <v>BOISSON</v>
          </cell>
          <cell r="BO36" t="str">
            <v>COLLATION</v>
          </cell>
        </row>
        <row r="38">
          <cell r="B38" t="str">
            <v>TOTAUX</v>
          </cell>
          <cell r="C38">
            <v>-1307500</v>
          </cell>
          <cell r="D38">
            <v>4835000</v>
          </cell>
          <cell r="E38">
            <v>269000</v>
          </cell>
          <cell r="F38">
            <v>70000</v>
          </cell>
          <cell r="G38">
            <v>12000</v>
          </cell>
          <cell r="H38">
            <v>0</v>
          </cell>
          <cell r="I38">
            <v>124000</v>
          </cell>
          <cell r="J38">
            <v>30</v>
          </cell>
          <cell r="K38">
            <v>1200000</v>
          </cell>
          <cell r="L38">
            <v>17</v>
          </cell>
          <cell r="M38">
            <v>1275000</v>
          </cell>
          <cell r="N38">
            <v>14</v>
          </cell>
          <cell r="O38">
            <v>1400000</v>
          </cell>
          <cell r="P38">
            <v>0</v>
          </cell>
          <cell r="Q38">
            <v>0</v>
          </cell>
          <cell r="R38">
            <v>973000</v>
          </cell>
          <cell r="S38">
            <v>1357500</v>
          </cell>
          <cell r="U38">
            <v>6341500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3500000</v>
          </cell>
          <cell r="AA38">
            <v>0</v>
          </cell>
          <cell r="AC38">
            <v>21000</v>
          </cell>
          <cell r="AD38">
            <v>13000</v>
          </cell>
          <cell r="AE38">
            <v>20000</v>
          </cell>
          <cell r="AF38">
            <v>0</v>
          </cell>
          <cell r="AG38">
            <v>0</v>
          </cell>
          <cell r="AI38">
            <v>142500</v>
          </cell>
          <cell r="AJ38">
            <v>388000</v>
          </cell>
          <cell r="AK38">
            <v>93000</v>
          </cell>
          <cell r="AL38">
            <v>3500</v>
          </cell>
          <cell r="AM38">
            <v>5000</v>
          </cell>
          <cell r="AN38">
            <v>6000</v>
          </cell>
          <cell r="AO38">
            <v>0</v>
          </cell>
          <cell r="AP38">
            <v>0</v>
          </cell>
          <cell r="AQ38">
            <v>0</v>
          </cell>
          <cell r="AR38">
            <v>4000</v>
          </cell>
          <cell r="AS38">
            <v>573000</v>
          </cell>
          <cell r="AT38">
            <v>120000</v>
          </cell>
          <cell r="AU38">
            <v>0</v>
          </cell>
          <cell r="AV38">
            <v>0</v>
          </cell>
          <cell r="AW38">
            <v>564000</v>
          </cell>
          <cell r="AX38">
            <v>1275000</v>
          </cell>
          <cell r="AY38">
            <v>1273000</v>
          </cell>
          <cell r="AZ38">
            <v>5244000</v>
          </cell>
          <cell r="BA38">
            <v>229000</v>
          </cell>
          <cell r="BB38">
            <v>140000</v>
          </cell>
          <cell r="BC38">
            <v>0</v>
          </cell>
          <cell r="BD38">
            <v>4945000</v>
          </cell>
          <cell r="BE38">
            <v>4945000</v>
          </cell>
          <cell r="BF38">
            <v>204000</v>
          </cell>
          <cell r="BH38">
            <v>6000</v>
          </cell>
          <cell r="BI38">
            <v>0</v>
          </cell>
          <cell r="BJ38">
            <v>0</v>
          </cell>
          <cell r="BK38">
            <v>100000</v>
          </cell>
          <cell r="BL38">
            <v>0</v>
          </cell>
          <cell r="BM38">
            <v>0</v>
          </cell>
          <cell r="BN38" t="str">
            <v>S/TOTAL</v>
          </cell>
        </row>
        <row r="40">
          <cell r="C40" t="str">
            <v>BANQUE</v>
          </cell>
          <cell r="F40" t="str">
            <v>ESPECES</v>
          </cell>
        </row>
        <row r="41">
          <cell r="B41" t="str">
            <v>LIBELLE</v>
          </cell>
          <cell r="C41" t="str">
            <v>SORTIE</v>
          </cell>
          <cell r="D41" t="str">
            <v>ENTREE</v>
          </cell>
          <cell r="E41" t="str">
            <v>SOLDE</v>
          </cell>
          <cell r="F41" t="str">
            <v>ENTREE</v>
          </cell>
          <cell r="G41" t="str">
            <v>SORTIE</v>
          </cell>
          <cell r="H41" t="str">
            <v>SOLDE</v>
          </cell>
        </row>
        <row r="42">
          <cell r="B42" t="str">
            <v>REPORT</v>
          </cell>
        </row>
        <row r="43">
          <cell r="B43" t="str">
            <v>TONTINE</v>
          </cell>
          <cell r="C43">
            <v>5244000</v>
          </cell>
          <cell r="D43">
            <v>4620000</v>
          </cell>
          <cell r="F43">
            <v>269000</v>
          </cell>
        </row>
      </sheetData>
      <sheetData sheetId="8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303000</v>
          </cell>
          <cell r="BA6">
            <v>3000</v>
          </cell>
          <cell r="BD6">
            <v>306000</v>
          </cell>
          <cell r="BE6">
            <v>276000</v>
          </cell>
          <cell r="BF6">
            <v>0</v>
          </cell>
          <cell r="BG6">
            <v>7</v>
          </cell>
          <cell r="BH6">
            <v>6000</v>
          </cell>
          <cell r="BI6">
            <v>0</v>
          </cell>
          <cell r="BJ6">
            <v>200000</v>
          </cell>
          <cell r="BK6">
            <v>100000</v>
          </cell>
          <cell r="BM6">
            <v>0</v>
          </cell>
          <cell r="BN6" t="str">
            <v>ACHAT FOURNITURE</v>
          </cell>
          <cell r="BO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40000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J7">
            <v>1</v>
          </cell>
          <cell r="K7">
            <v>40000</v>
          </cell>
          <cell r="M7">
            <v>0</v>
          </cell>
          <cell r="O7">
            <v>0</v>
          </cell>
          <cell r="P7">
            <v>0</v>
          </cell>
          <cell r="U7">
            <v>40000</v>
          </cell>
          <cell r="AQ7">
            <v>0</v>
          </cell>
          <cell r="AR7">
            <v>0</v>
          </cell>
          <cell r="AS7">
            <v>15000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7</v>
          </cell>
          <cell r="BH7">
            <v>0</v>
          </cell>
          <cell r="BM7">
            <v>0</v>
          </cell>
          <cell r="BN7" t="str">
            <v>COMMUNICATION</v>
          </cell>
          <cell r="BO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115000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40000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115000</v>
          </cell>
          <cell r="AQ8">
            <v>0</v>
          </cell>
          <cell r="AR8">
            <v>0</v>
          </cell>
          <cell r="AS8">
            <v>15000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7</v>
          </cell>
          <cell r="BN8" t="str">
            <v>COMMISSION</v>
          </cell>
          <cell r="BO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145000</v>
          </cell>
          <cell r="E9">
            <v>23000</v>
          </cell>
          <cell r="F9">
            <v>0</v>
          </cell>
          <cell r="G9">
            <v>0</v>
          </cell>
          <cell r="H9" t="str">
            <v>BANQUE</v>
          </cell>
          <cell r="I9">
            <v>5000</v>
          </cell>
          <cell r="J9">
            <v>1</v>
          </cell>
          <cell r="K9">
            <v>40000</v>
          </cell>
          <cell r="M9">
            <v>0</v>
          </cell>
          <cell r="N9">
            <v>1</v>
          </cell>
          <cell r="O9">
            <v>100000</v>
          </cell>
          <cell r="P9">
            <v>23000</v>
          </cell>
          <cell r="R9">
            <v>0</v>
          </cell>
          <cell r="U9">
            <v>168000</v>
          </cell>
          <cell r="AK9">
            <v>50000</v>
          </cell>
          <cell r="AN9">
            <v>1000</v>
          </cell>
          <cell r="AP9" t="str">
            <v>BANQUE</v>
          </cell>
          <cell r="AQ9">
            <v>0</v>
          </cell>
          <cell r="AR9">
            <v>0</v>
          </cell>
          <cell r="AS9">
            <v>20000</v>
          </cell>
          <cell r="AW9">
            <v>0</v>
          </cell>
          <cell r="AX9">
            <v>0</v>
          </cell>
          <cell r="AY9">
            <v>50000</v>
          </cell>
          <cell r="AZ9">
            <v>50000</v>
          </cell>
          <cell r="BA9">
            <v>50000</v>
          </cell>
          <cell r="BD9">
            <v>690000</v>
          </cell>
          <cell r="BE9">
            <v>690000</v>
          </cell>
          <cell r="BF9">
            <v>0</v>
          </cell>
          <cell r="BG9">
            <v>7</v>
          </cell>
          <cell r="BN9" t="str">
            <v>AIDE UEEB ET CONT FEMME</v>
          </cell>
          <cell r="BO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0</v>
          </cell>
          <cell r="E10">
            <v>105000</v>
          </cell>
          <cell r="F10">
            <v>0</v>
          </cell>
          <cell r="G10">
            <v>3000</v>
          </cell>
          <cell r="H10" t="str">
            <v>ESPECES</v>
          </cell>
          <cell r="J10">
            <v>1</v>
          </cell>
          <cell r="K10">
            <v>40000</v>
          </cell>
          <cell r="M10">
            <v>0</v>
          </cell>
          <cell r="O10">
            <v>0</v>
          </cell>
          <cell r="P10">
            <v>62000</v>
          </cell>
          <cell r="U10">
            <v>105000</v>
          </cell>
          <cell r="AP10" t="str">
            <v>BANQUE</v>
          </cell>
          <cell r="AQ10">
            <v>0</v>
          </cell>
          <cell r="AR10">
            <v>0</v>
          </cell>
          <cell r="AS10">
            <v>15000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D10">
            <v>0</v>
          </cell>
          <cell r="BF10">
            <v>0</v>
          </cell>
          <cell r="BG10">
            <v>7</v>
          </cell>
          <cell r="BN10" t="str">
            <v>CREDIT TELEPHONE</v>
          </cell>
          <cell r="BO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267000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40000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152000</v>
          </cell>
          <cell r="U11">
            <v>267000</v>
          </cell>
          <cell r="AI11">
            <v>29500</v>
          </cell>
          <cell r="AJ11">
            <v>100000</v>
          </cell>
          <cell r="AL11">
            <v>1500</v>
          </cell>
          <cell r="AM11">
            <v>2000</v>
          </cell>
          <cell r="AQ11">
            <v>0</v>
          </cell>
          <cell r="AR11">
            <v>0</v>
          </cell>
          <cell r="AS11">
            <v>15000</v>
          </cell>
          <cell r="AW11">
            <v>29500</v>
          </cell>
          <cell r="AX11">
            <v>100000</v>
          </cell>
          <cell r="AY11">
            <v>0</v>
          </cell>
          <cell r="AZ11">
            <v>129500</v>
          </cell>
          <cell r="BA11">
            <v>50000</v>
          </cell>
          <cell r="BD11">
            <v>79500</v>
          </cell>
          <cell r="BE11">
            <v>79500</v>
          </cell>
          <cell r="BF11">
            <v>0</v>
          </cell>
          <cell r="BG11">
            <v>7</v>
          </cell>
          <cell r="BN11" t="str">
            <v>PRODUCTION RAPPORT</v>
          </cell>
          <cell r="BO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420000</v>
          </cell>
          <cell r="E12">
            <v>0</v>
          </cell>
          <cell r="F12">
            <v>70000</v>
          </cell>
          <cell r="G12">
            <v>0</v>
          </cell>
          <cell r="H12" t="str">
            <v>BANQUE</v>
          </cell>
          <cell r="I12">
            <v>105000</v>
          </cell>
          <cell r="J12">
            <v>1</v>
          </cell>
          <cell r="K12">
            <v>40000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420000</v>
          </cell>
          <cell r="AD12">
            <v>10000</v>
          </cell>
          <cell r="AF12" t="str">
            <v>BANQUE</v>
          </cell>
          <cell r="AJ12">
            <v>38000</v>
          </cell>
          <cell r="AK12">
            <v>200000</v>
          </cell>
          <cell r="AM12">
            <v>1000</v>
          </cell>
          <cell r="AN12">
            <v>2000</v>
          </cell>
          <cell r="AQ12">
            <v>0</v>
          </cell>
          <cell r="AR12">
            <v>0</v>
          </cell>
          <cell r="AS12">
            <v>120000</v>
          </cell>
          <cell r="AW12">
            <v>0</v>
          </cell>
          <cell r="AX12">
            <v>928000</v>
          </cell>
          <cell r="AY12">
            <v>200000</v>
          </cell>
          <cell r="AZ12">
            <v>1058000</v>
          </cell>
          <cell r="BA12">
            <v>23000</v>
          </cell>
          <cell r="BB12">
            <v>70000</v>
          </cell>
          <cell r="BD12">
            <v>1035000</v>
          </cell>
          <cell r="BE12">
            <v>1035000</v>
          </cell>
          <cell r="BF12">
            <v>0</v>
          </cell>
          <cell r="BG12">
            <v>7</v>
          </cell>
          <cell r="BN12" t="str">
            <v>ACHAT SOURIS ET PHOTOCOPIE</v>
          </cell>
          <cell r="BO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40000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40000</v>
          </cell>
          <cell r="M13">
            <v>0</v>
          </cell>
          <cell r="O13">
            <v>0</v>
          </cell>
          <cell r="P13">
            <v>0</v>
          </cell>
          <cell r="U13">
            <v>40000</v>
          </cell>
          <cell r="AQ13">
            <v>0</v>
          </cell>
          <cell r="AR13">
            <v>0</v>
          </cell>
          <cell r="AS13">
            <v>15000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7</v>
          </cell>
          <cell r="BN13" t="str">
            <v>TAXI BANQUE</v>
          </cell>
          <cell r="BO13" t="str">
            <v>FONDS DE ROULEMENT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40000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40000</v>
          </cell>
          <cell r="M14">
            <v>0</v>
          </cell>
          <cell r="O14">
            <v>0</v>
          </cell>
          <cell r="P14">
            <v>0</v>
          </cell>
          <cell r="U14">
            <v>40000</v>
          </cell>
          <cell r="AQ14">
            <v>0</v>
          </cell>
          <cell r="AR14">
            <v>0</v>
          </cell>
          <cell r="AS14">
            <v>15000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7</v>
          </cell>
          <cell r="BN14" t="str">
            <v>CONFECTION CACHET</v>
          </cell>
          <cell r="BO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0</v>
          </cell>
          <cell r="E15">
            <v>118000</v>
          </cell>
          <cell r="F15">
            <v>0</v>
          </cell>
          <cell r="G15">
            <v>3000</v>
          </cell>
          <cell r="H15" t="str">
            <v>ESPECES</v>
          </cell>
          <cell r="J15">
            <v>1</v>
          </cell>
          <cell r="K15">
            <v>40000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118000</v>
          </cell>
          <cell r="AQ15">
            <v>0</v>
          </cell>
          <cell r="AR15">
            <v>0</v>
          </cell>
          <cell r="AS15">
            <v>15000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7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230000</v>
          </cell>
          <cell r="E16">
            <v>0</v>
          </cell>
          <cell r="F16">
            <v>70000</v>
          </cell>
          <cell r="G16">
            <v>0</v>
          </cell>
          <cell r="H16" t="str">
            <v>BANQUE</v>
          </cell>
          <cell r="I16">
            <v>15000</v>
          </cell>
          <cell r="J16">
            <v>1</v>
          </cell>
          <cell r="K16">
            <v>40000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230000</v>
          </cell>
          <cell r="AC16">
            <v>2500</v>
          </cell>
          <cell r="AF16" t="str">
            <v>BANQUE</v>
          </cell>
          <cell r="AQ16">
            <v>0</v>
          </cell>
          <cell r="AR16">
            <v>0</v>
          </cell>
          <cell r="AS16">
            <v>30000</v>
          </cell>
          <cell r="AW16">
            <v>297500</v>
          </cell>
          <cell r="AX16">
            <v>0</v>
          </cell>
          <cell r="AY16">
            <v>0</v>
          </cell>
          <cell r="AZ16">
            <v>227500</v>
          </cell>
          <cell r="BB16">
            <v>70000</v>
          </cell>
          <cell r="BD16">
            <v>227500</v>
          </cell>
          <cell r="BE16">
            <v>227500</v>
          </cell>
          <cell r="BF16">
            <v>0</v>
          </cell>
          <cell r="BG16">
            <v>7</v>
          </cell>
          <cell r="BN16" t="str">
            <v>S/TOTAL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140000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40000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U17">
            <v>140000</v>
          </cell>
          <cell r="AQ17">
            <v>0</v>
          </cell>
          <cell r="AR17">
            <v>0</v>
          </cell>
          <cell r="AS17">
            <v>15000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D17">
            <v>0</v>
          </cell>
          <cell r="BF17">
            <v>0</v>
          </cell>
          <cell r="BG17">
            <v>7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315000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-1000</v>
          </cell>
          <cell r="J18">
            <v>1</v>
          </cell>
          <cell r="K18">
            <v>40000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101000</v>
          </cell>
          <cell r="R18">
            <v>0</v>
          </cell>
          <cell r="U18">
            <v>315000</v>
          </cell>
          <cell r="AP18" t="str">
            <v>BANQUE</v>
          </cell>
          <cell r="AQ18">
            <v>0</v>
          </cell>
          <cell r="AR18">
            <v>0</v>
          </cell>
          <cell r="AS18">
            <v>14000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D18">
            <v>0</v>
          </cell>
          <cell r="BF18">
            <v>0</v>
          </cell>
          <cell r="BG18">
            <v>7</v>
          </cell>
          <cell r="BN18" t="str">
            <v>GRATIFICATION BUREAU 2021</v>
          </cell>
          <cell r="BO18" t="str">
            <v>PENALITE VERSEMENT ESPECES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40000</v>
          </cell>
          <cell r="E19">
            <v>0</v>
          </cell>
          <cell r="F19">
            <v>70000</v>
          </cell>
          <cell r="G19">
            <v>0</v>
          </cell>
          <cell r="H19" t="str">
            <v>BANQUE</v>
          </cell>
          <cell r="J19">
            <v>1</v>
          </cell>
          <cell r="K19">
            <v>40000</v>
          </cell>
          <cell r="M19">
            <v>0</v>
          </cell>
          <cell r="O19">
            <v>0</v>
          </cell>
          <cell r="P19">
            <v>0</v>
          </cell>
          <cell r="U19">
            <v>40000</v>
          </cell>
          <cell r="AC19">
            <v>3000</v>
          </cell>
          <cell r="AF19" t="str">
            <v>BANQUE</v>
          </cell>
          <cell r="AQ19">
            <v>0</v>
          </cell>
          <cell r="AR19">
            <v>0</v>
          </cell>
          <cell r="AS19">
            <v>15000</v>
          </cell>
          <cell r="AW19">
            <v>297000</v>
          </cell>
          <cell r="AX19">
            <v>0</v>
          </cell>
          <cell r="AY19">
            <v>0</v>
          </cell>
          <cell r="AZ19">
            <v>227000</v>
          </cell>
          <cell r="BB19">
            <v>70000</v>
          </cell>
          <cell r="BD19">
            <v>227000</v>
          </cell>
          <cell r="BE19">
            <v>227000</v>
          </cell>
          <cell r="BF19">
            <v>0</v>
          </cell>
          <cell r="BG19">
            <v>7</v>
          </cell>
          <cell r="BN19" t="str">
            <v>ACHAT LAPTOP</v>
          </cell>
          <cell r="BO19" t="str">
            <v>PENALITE VERSEMENT ESPECES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215000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40000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0</v>
          </cell>
          <cell r="R20">
            <v>0</v>
          </cell>
          <cell r="U20">
            <v>215000</v>
          </cell>
          <cell r="AQ20">
            <v>0</v>
          </cell>
          <cell r="AR20">
            <v>0</v>
          </cell>
          <cell r="AS20">
            <v>15000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D20">
            <v>0</v>
          </cell>
          <cell r="BF20">
            <v>0</v>
          </cell>
          <cell r="BG20">
            <v>7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40000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40000</v>
          </cell>
          <cell r="M21">
            <v>0</v>
          </cell>
          <cell r="O21">
            <v>0</v>
          </cell>
          <cell r="P21">
            <v>0</v>
          </cell>
          <cell r="U21">
            <v>40000</v>
          </cell>
          <cell r="AQ21">
            <v>0</v>
          </cell>
          <cell r="AR21">
            <v>0</v>
          </cell>
          <cell r="AS21">
            <v>15000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7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115000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40000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115000</v>
          </cell>
          <cell r="AQ22">
            <v>0</v>
          </cell>
          <cell r="AR22">
            <v>0</v>
          </cell>
          <cell r="AS22">
            <v>15000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7</v>
          </cell>
          <cell r="BN22" t="str">
            <v>S/TOTAL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250000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40000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0</v>
          </cell>
          <cell r="U23">
            <v>250000</v>
          </cell>
          <cell r="AK23">
            <v>200000</v>
          </cell>
          <cell r="AN23">
            <v>2000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200000</v>
          </cell>
          <cell r="AZ23">
            <v>200000</v>
          </cell>
          <cell r="BA23">
            <v>200000</v>
          </cell>
          <cell r="BD23">
            <v>0</v>
          </cell>
          <cell r="BF23">
            <v>0</v>
          </cell>
          <cell r="BG23">
            <v>7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210000</v>
          </cell>
          <cell r="E24">
            <v>0</v>
          </cell>
          <cell r="F24">
            <v>70000</v>
          </cell>
          <cell r="G24">
            <v>0</v>
          </cell>
          <cell r="H24" t="str">
            <v>BANQUE</v>
          </cell>
          <cell r="I24">
            <v>-5000</v>
          </cell>
          <cell r="J24">
            <v>1</v>
          </cell>
          <cell r="K24">
            <v>40000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0</v>
          </cell>
          <cell r="U24">
            <v>210000</v>
          </cell>
          <cell r="AC24">
            <v>3000</v>
          </cell>
          <cell r="AF24" t="str">
            <v>BANQUE</v>
          </cell>
          <cell r="AQ24">
            <v>0</v>
          </cell>
          <cell r="AR24">
            <v>0</v>
          </cell>
          <cell r="AS24">
            <v>10000</v>
          </cell>
          <cell r="AW24">
            <v>297000</v>
          </cell>
          <cell r="AX24">
            <v>0</v>
          </cell>
          <cell r="AY24">
            <v>0</v>
          </cell>
          <cell r="AZ24">
            <v>227000</v>
          </cell>
          <cell r="BB24">
            <v>70000</v>
          </cell>
          <cell r="BD24">
            <v>227000</v>
          </cell>
          <cell r="BE24">
            <v>227000</v>
          </cell>
          <cell r="BF24">
            <v>0</v>
          </cell>
          <cell r="BG24">
            <v>7</v>
          </cell>
          <cell r="BN24" t="str">
            <v>GRATIFICATION BUREAU 2021</v>
          </cell>
          <cell r="BO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407000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18000</v>
          </cell>
          <cell r="J25">
            <v>1</v>
          </cell>
          <cell r="K25">
            <v>40000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99000</v>
          </cell>
          <cell r="U25">
            <v>407000</v>
          </cell>
          <cell r="AD25">
            <v>15000</v>
          </cell>
          <cell r="AF25" t="str">
            <v>BANQUE</v>
          </cell>
          <cell r="AJ25">
            <v>50000</v>
          </cell>
          <cell r="AM25">
            <v>1000</v>
          </cell>
          <cell r="AP25" t="str">
            <v>BANQUE</v>
          </cell>
          <cell r="AQ25">
            <v>0</v>
          </cell>
          <cell r="AR25">
            <v>0</v>
          </cell>
          <cell r="AS25">
            <v>33000</v>
          </cell>
          <cell r="AW25">
            <v>0</v>
          </cell>
          <cell r="AX25">
            <v>935000</v>
          </cell>
          <cell r="AY25">
            <v>0</v>
          </cell>
          <cell r="AZ25">
            <v>935000</v>
          </cell>
          <cell r="BA25">
            <v>50000</v>
          </cell>
          <cell r="BD25">
            <v>836000</v>
          </cell>
          <cell r="BE25">
            <v>836000</v>
          </cell>
          <cell r="BF25">
            <v>0</v>
          </cell>
          <cell r="BG25">
            <v>7</v>
          </cell>
          <cell r="BN25" t="str">
            <v>DEVELOPPEMENT LAGWEU</v>
          </cell>
          <cell r="BO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0</v>
          </cell>
          <cell r="E26">
            <v>104000</v>
          </cell>
          <cell r="F26">
            <v>0</v>
          </cell>
          <cell r="G26">
            <v>3000</v>
          </cell>
          <cell r="H26" t="str">
            <v>ESPECES</v>
          </cell>
          <cell r="J26">
            <v>1</v>
          </cell>
          <cell r="K26">
            <v>40000</v>
          </cell>
          <cell r="M26">
            <v>0</v>
          </cell>
          <cell r="O26">
            <v>0</v>
          </cell>
          <cell r="P26">
            <v>61000</v>
          </cell>
          <cell r="U26">
            <v>104000</v>
          </cell>
          <cell r="AQ26">
            <v>0</v>
          </cell>
          <cell r="AR26">
            <v>0</v>
          </cell>
          <cell r="AS26">
            <v>15000</v>
          </cell>
          <cell r="AW26">
            <v>0</v>
          </cell>
          <cell r="AX26">
            <v>0</v>
          </cell>
          <cell r="AY26">
            <v>0</v>
          </cell>
          <cell r="AZ26">
            <v>-30000</v>
          </cell>
          <cell r="BD26">
            <v>0</v>
          </cell>
          <cell r="BE26">
            <v>0</v>
          </cell>
          <cell r="BF26">
            <v>30000</v>
          </cell>
          <cell r="BG26">
            <v>7</v>
          </cell>
          <cell r="BN26" t="str">
            <v>DEUIL TCHEMNOU EMMANUEL</v>
          </cell>
          <cell r="BO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120000</v>
          </cell>
          <cell r="D27">
            <v>560000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400000</v>
          </cell>
          <cell r="J27">
            <v>1</v>
          </cell>
          <cell r="K27">
            <v>40000</v>
          </cell>
          <cell r="M27">
            <v>0</v>
          </cell>
          <cell r="O27">
            <v>0</v>
          </cell>
          <cell r="P27">
            <v>0</v>
          </cell>
          <cell r="U27">
            <v>440000</v>
          </cell>
          <cell r="AQ27">
            <v>0</v>
          </cell>
          <cell r="AR27">
            <v>0</v>
          </cell>
          <cell r="AS27">
            <v>415000</v>
          </cell>
          <cell r="AT27">
            <v>120000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7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115000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40000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115000</v>
          </cell>
          <cell r="AQ28">
            <v>0</v>
          </cell>
          <cell r="AR28">
            <v>0</v>
          </cell>
          <cell r="AS28">
            <v>15000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7</v>
          </cell>
          <cell r="BN28" t="str">
            <v>S/TOTAL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40000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40000</v>
          </cell>
          <cell r="M29">
            <v>0</v>
          </cell>
          <cell r="O29">
            <v>0</v>
          </cell>
          <cell r="P29">
            <v>0</v>
          </cell>
          <cell r="U29">
            <v>40000</v>
          </cell>
          <cell r="AQ29">
            <v>0</v>
          </cell>
          <cell r="AR29">
            <v>0</v>
          </cell>
          <cell r="AS29">
            <v>15000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7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115000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40000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115000</v>
          </cell>
          <cell r="AQ30">
            <v>0</v>
          </cell>
          <cell r="AR30">
            <v>0</v>
          </cell>
          <cell r="AS30">
            <v>15000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7</v>
          </cell>
          <cell r="BN30" t="str">
            <v xml:space="preserve">DECES </v>
          </cell>
          <cell r="BO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140000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40000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U31">
            <v>140000</v>
          </cell>
          <cell r="AE31">
            <v>10000</v>
          </cell>
          <cell r="AF31" t="str">
            <v>BANQUE</v>
          </cell>
          <cell r="AQ31">
            <v>0</v>
          </cell>
          <cell r="AR31">
            <v>0</v>
          </cell>
          <cell r="AS31">
            <v>15000</v>
          </cell>
          <cell r="AW31">
            <v>0</v>
          </cell>
          <cell r="AX31">
            <v>0</v>
          </cell>
          <cell r="AY31">
            <v>1190000</v>
          </cell>
          <cell r="AZ31">
            <v>1190000</v>
          </cell>
          <cell r="BD31">
            <v>1190000</v>
          </cell>
          <cell r="BE31">
            <v>1190000</v>
          </cell>
          <cell r="BF31">
            <v>0</v>
          </cell>
          <cell r="BG31">
            <v>7</v>
          </cell>
          <cell r="BN31" t="str">
            <v>TRANSPORT DELEGUE</v>
          </cell>
          <cell r="BO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255000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40000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140000</v>
          </cell>
          <cell r="U32">
            <v>255000</v>
          </cell>
          <cell r="AJ32">
            <v>100000</v>
          </cell>
          <cell r="AM32">
            <v>2000</v>
          </cell>
          <cell r="AQ32">
            <v>0</v>
          </cell>
          <cell r="AR32">
            <v>0</v>
          </cell>
          <cell r="AS32">
            <v>15000</v>
          </cell>
          <cell r="AW32">
            <v>0</v>
          </cell>
          <cell r="AX32">
            <v>100000</v>
          </cell>
          <cell r="AY32">
            <v>0</v>
          </cell>
          <cell r="AZ32">
            <v>100000</v>
          </cell>
          <cell r="BA32">
            <v>100000</v>
          </cell>
          <cell r="BD32">
            <v>0</v>
          </cell>
          <cell r="BF32">
            <v>0</v>
          </cell>
          <cell r="BG32">
            <v>7</v>
          </cell>
        </row>
        <row r="33">
          <cell r="A33" t="str">
            <v>AS201643</v>
          </cell>
          <cell r="B33" t="str">
            <v>TCHOUTOU NANA CLAUDE</v>
          </cell>
          <cell r="C33">
            <v>-3000</v>
          </cell>
          <cell r="D33">
            <v>0</v>
          </cell>
          <cell r="E33">
            <v>40000</v>
          </cell>
          <cell r="F33">
            <v>0</v>
          </cell>
          <cell r="G33">
            <v>3000</v>
          </cell>
          <cell r="H33" t="str">
            <v>ESPECES</v>
          </cell>
          <cell r="J33">
            <v>1</v>
          </cell>
          <cell r="K33">
            <v>40000</v>
          </cell>
          <cell r="M33">
            <v>0</v>
          </cell>
          <cell r="O33">
            <v>0</v>
          </cell>
          <cell r="P33">
            <v>0</v>
          </cell>
          <cell r="U33">
            <v>43000</v>
          </cell>
          <cell r="AQ33">
            <v>0</v>
          </cell>
          <cell r="AR33">
            <v>0</v>
          </cell>
          <cell r="AS33">
            <v>12000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7</v>
          </cell>
          <cell r="BN33" t="str">
            <v>S/TOTAL</v>
          </cell>
        </row>
        <row r="34">
          <cell r="A34" t="str">
            <v>AS201658</v>
          </cell>
          <cell r="B34" t="str">
            <v>YANTCHOU GERVAIS</v>
          </cell>
          <cell r="C34">
            <v>0</v>
          </cell>
          <cell r="D34">
            <v>100000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I34">
            <v>60000</v>
          </cell>
          <cell r="J34">
            <v>1</v>
          </cell>
          <cell r="K34">
            <v>40000</v>
          </cell>
          <cell r="M34">
            <v>0</v>
          </cell>
          <cell r="O34">
            <v>0</v>
          </cell>
          <cell r="P34">
            <v>0</v>
          </cell>
          <cell r="U34">
            <v>100000</v>
          </cell>
          <cell r="AQ34">
            <v>0</v>
          </cell>
          <cell r="AR34">
            <v>0</v>
          </cell>
          <cell r="AS34">
            <v>75000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7</v>
          </cell>
        </row>
        <row r="35">
          <cell r="A35" t="str">
            <v>AS201646</v>
          </cell>
          <cell r="B35" t="str">
            <v>YEPMOU JEAN JACQUES</v>
          </cell>
          <cell r="C35">
            <v>43000</v>
          </cell>
          <cell r="D35">
            <v>0</v>
          </cell>
          <cell r="E35">
            <v>86000</v>
          </cell>
          <cell r="F35">
            <v>0</v>
          </cell>
          <cell r="G35">
            <v>3000</v>
          </cell>
          <cell r="H35" t="str">
            <v>ESPECES</v>
          </cell>
          <cell r="J35">
            <v>1</v>
          </cell>
          <cell r="K35">
            <v>40000</v>
          </cell>
          <cell r="M35">
            <v>0</v>
          </cell>
          <cell r="O35">
            <v>0</v>
          </cell>
          <cell r="P35">
            <v>0</v>
          </cell>
          <cell r="U35">
            <v>43000</v>
          </cell>
          <cell r="AQ35">
            <v>0</v>
          </cell>
          <cell r="AR35">
            <v>0</v>
          </cell>
          <cell r="AS35">
            <v>23000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7</v>
          </cell>
          <cell r="BN35" t="str">
            <v>COLLATION</v>
          </cell>
          <cell r="BO35" t="str">
            <v>COLLATION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290000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40000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290000</v>
          </cell>
          <cell r="AQ36">
            <v>0</v>
          </cell>
          <cell r="AR36">
            <v>0</v>
          </cell>
          <cell r="AS36">
            <v>15000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7</v>
          </cell>
          <cell r="BN36" t="str">
            <v>BOISSON</v>
          </cell>
          <cell r="BO36" t="str">
            <v>COLLATION</v>
          </cell>
        </row>
        <row r="38">
          <cell r="B38" t="str">
            <v>TOTAUX</v>
          </cell>
          <cell r="C38">
            <v>160000</v>
          </cell>
          <cell r="D38">
            <v>4819000</v>
          </cell>
          <cell r="E38">
            <v>476000</v>
          </cell>
          <cell r="F38">
            <v>280000</v>
          </cell>
          <cell r="G38">
            <v>15000</v>
          </cell>
          <cell r="H38">
            <v>0</v>
          </cell>
          <cell r="I38">
            <v>607000</v>
          </cell>
          <cell r="J38">
            <v>30</v>
          </cell>
          <cell r="K38">
            <v>1200000</v>
          </cell>
          <cell r="L38">
            <v>17</v>
          </cell>
          <cell r="M38">
            <v>1275000</v>
          </cell>
          <cell r="N38">
            <v>14</v>
          </cell>
          <cell r="O38">
            <v>1400000</v>
          </cell>
          <cell r="P38">
            <v>146000</v>
          </cell>
          <cell r="Q38">
            <v>393000</v>
          </cell>
          <cell r="R38">
            <v>99000</v>
          </cell>
          <cell r="S38">
            <v>0</v>
          </cell>
          <cell r="U38">
            <v>5135000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C38">
            <v>8500</v>
          </cell>
          <cell r="AD38">
            <v>25000</v>
          </cell>
          <cell r="AE38">
            <v>10000</v>
          </cell>
          <cell r="AF38">
            <v>0</v>
          </cell>
          <cell r="AG38">
            <v>0</v>
          </cell>
          <cell r="AI38">
            <v>29500</v>
          </cell>
          <cell r="AJ38">
            <v>288000</v>
          </cell>
          <cell r="AK38">
            <v>450000</v>
          </cell>
          <cell r="AL38">
            <v>1500</v>
          </cell>
          <cell r="AM38">
            <v>6000</v>
          </cell>
          <cell r="AN38">
            <v>5000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1062000</v>
          </cell>
          <cell r="AT38">
            <v>120000</v>
          </cell>
          <cell r="AU38">
            <v>0</v>
          </cell>
          <cell r="AV38">
            <v>0</v>
          </cell>
          <cell r="AW38">
            <v>921000</v>
          </cell>
          <cell r="AX38">
            <v>2063000</v>
          </cell>
          <cell r="AY38">
            <v>1640000</v>
          </cell>
          <cell r="AZ38">
            <v>4617000</v>
          </cell>
          <cell r="BA38">
            <v>476000</v>
          </cell>
          <cell r="BB38">
            <v>280000</v>
          </cell>
          <cell r="BC38">
            <v>0</v>
          </cell>
          <cell r="BD38">
            <v>4818000</v>
          </cell>
          <cell r="BE38">
            <v>4788000</v>
          </cell>
          <cell r="BF38">
            <v>30000</v>
          </cell>
          <cell r="BH38">
            <v>6000</v>
          </cell>
          <cell r="BI38">
            <v>0</v>
          </cell>
          <cell r="BJ38">
            <v>200000</v>
          </cell>
          <cell r="BK38">
            <v>100000</v>
          </cell>
          <cell r="BL38">
            <v>0</v>
          </cell>
          <cell r="BM38">
            <v>0</v>
          </cell>
          <cell r="BN38" t="str">
            <v>S/TOTAL</v>
          </cell>
        </row>
        <row r="40">
          <cell r="C40" t="str">
            <v>BANQUE</v>
          </cell>
          <cell r="F40" t="str">
            <v>ESPECES</v>
          </cell>
          <cell r="BD40">
            <v>30000</v>
          </cell>
        </row>
        <row r="41">
          <cell r="B41" t="str">
            <v>LIBELLE</v>
          </cell>
          <cell r="C41" t="str">
            <v>SORTIE</v>
          </cell>
          <cell r="D41" t="str">
            <v>ENTREE</v>
          </cell>
          <cell r="E41" t="str">
            <v>SOLDE</v>
          </cell>
          <cell r="F41" t="str">
            <v>ENTREE</v>
          </cell>
          <cell r="G41" t="str">
            <v>SORTIE</v>
          </cell>
          <cell r="H41" t="str">
            <v>SOLDE</v>
          </cell>
        </row>
        <row r="42">
          <cell r="B42" t="str">
            <v>REPORT</v>
          </cell>
        </row>
        <row r="43">
          <cell r="B43" t="str">
            <v>TONTINE</v>
          </cell>
          <cell r="C43">
            <v>4617000</v>
          </cell>
          <cell r="D43">
            <v>4604000</v>
          </cell>
          <cell r="F43">
            <v>476000</v>
          </cell>
        </row>
      </sheetData>
      <sheetData sheetId="9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144000</v>
          </cell>
          <cell r="BD6">
            <v>144000</v>
          </cell>
          <cell r="BE6">
            <v>109000</v>
          </cell>
          <cell r="BF6">
            <v>0</v>
          </cell>
          <cell r="BG6">
            <v>6</v>
          </cell>
          <cell r="BH6">
            <v>24000</v>
          </cell>
          <cell r="BI6">
            <v>20000</v>
          </cell>
          <cell r="BJ6">
            <v>0</v>
          </cell>
          <cell r="BK6">
            <v>100000</v>
          </cell>
          <cell r="BM6">
            <v>0</v>
          </cell>
          <cell r="BN6" t="str">
            <v>ACHAT FOURNITURE</v>
          </cell>
          <cell r="BO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40000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J7">
            <v>1</v>
          </cell>
          <cell r="K7">
            <v>40000</v>
          </cell>
          <cell r="M7">
            <v>0</v>
          </cell>
          <cell r="O7">
            <v>0</v>
          </cell>
          <cell r="P7">
            <v>0</v>
          </cell>
          <cell r="U7">
            <v>40000</v>
          </cell>
          <cell r="Z7">
            <v>600000</v>
          </cell>
          <cell r="AA7" t="str">
            <v>BANQUE</v>
          </cell>
          <cell r="AI7">
            <v>30000</v>
          </cell>
          <cell r="AL7">
            <v>500</v>
          </cell>
          <cell r="AP7" t="str">
            <v>BANQUE</v>
          </cell>
          <cell r="AQ7">
            <v>0</v>
          </cell>
          <cell r="AR7">
            <v>0</v>
          </cell>
          <cell r="AS7">
            <v>15000</v>
          </cell>
          <cell r="AW7">
            <v>30000</v>
          </cell>
          <cell r="AX7">
            <v>0</v>
          </cell>
          <cell r="AY7">
            <v>0</v>
          </cell>
          <cell r="AZ7">
            <v>594000</v>
          </cell>
          <cell r="BD7">
            <v>594000</v>
          </cell>
          <cell r="BE7">
            <v>594000</v>
          </cell>
          <cell r="BF7">
            <v>36000</v>
          </cell>
          <cell r="BG7">
            <v>6</v>
          </cell>
          <cell r="BH7">
            <v>0</v>
          </cell>
          <cell r="BI7">
            <v>0</v>
          </cell>
          <cell r="BJ7">
            <v>0</v>
          </cell>
          <cell r="BM7">
            <v>0</v>
          </cell>
          <cell r="BN7" t="str">
            <v>COMMUNICATION</v>
          </cell>
          <cell r="BO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615000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40000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S8">
            <v>500000</v>
          </cell>
          <cell r="T8" t="str">
            <v>BANQUE</v>
          </cell>
          <cell r="U8">
            <v>615000</v>
          </cell>
          <cell r="AQ8">
            <v>0</v>
          </cell>
          <cell r="AR8">
            <v>0</v>
          </cell>
          <cell r="AS8">
            <v>15000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6</v>
          </cell>
          <cell r="BN8" t="str">
            <v>COMMISSION</v>
          </cell>
          <cell r="BO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191000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40000</v>
          </cell>
          <cell r="M9">
            <v>0</v>
          </cell>
          <cell r="N9">
            <v>1</v>
          </cell>
          <cell r="O9">
            <v>100000</v>
          </cell>
          <cell r="P9">
            <v>0</v>
          </cell>
          <cell r="R9">
            <v>51000</v>
          </cell>
          <cell r="U9">
            <v>191000</v>
          </cell>
          <cell r="AK9">
            <v>184000</v>
          </cell>
          <cell r="AN9">
            <v>1500</v>
          </cell>
          <cell r="AP9" t="str">
            <v>BANQUE</v>
          </cell>
          <cell r="AQ9">
            <v>0</v>
          </cell>
          <cell r="AR9">
            <v>0</v>
          </cell>
          <cell r="AS9">
            <v>15000</v>
          </cell>
          <cell r="AW9">
            <v>0</v>
          </cell>
          <cell r="AX9">
            <v>0</v>
          </cell>
          <cell r="AY9">
            <v>184000</v>
          </cell>
          <cell r="AZ9">
            <v>184000</v>
          </cell>
          <cell r="BD9">
            <v>184000</v>
          </cell>
          <cell r="BE9">
            <v>184000</v>
          </cell>
          <cell r="BF9">
            <v>0</v>
          </cell>
          <cell r="BG9">
            <v>6</v>
          </cell>
          <cell r="BN9" t="str">
            <v>AIDE UEEB ET CONT FEMME</v>
          </cell>
          <cell r="BO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0</v>
          </cell>
          <cell r="E10">
            <v>43000</v>
          </cell>
          <cell r="F10">
            <v>0</v>
          </cell>
          <cell r="G10">
            <v>3000</v>
          </cell>
          <cell r="H10" t="str">
            <v>ESPECES</v>
          </cell>
          <cell r="J10">
            <v>1</v>
          </cell>
          <cell r="K10">
            <v>40000</v>
          </cell>
          <cell r="M10">
            <v>0</v>
          </cell>
          <cell r="O10">
            <v>0</v>
          </cell>
          <cell r="P10">
            <v>0</v>
          </cell>
          <cell r="U10">
            <v>43000</v>
          </cell>
          <cell r="AQ10">
            <v>0</v>
          </cell>
          <cell r="AR10">
            <v>0</v>
          </cell>
          <cell r="AS10">
            <v>15000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D10">
            <v>0</v>
          </cell>
          <cell r="BF10">
            <v>0</v>
          </cell>
          <cell r="BG10">
            <v>6</v>
          </cell>
          <cell r="BN10" t="str">
            <v>CREDIT TELEPHONE</v>
          </cell>
          <cell r="BO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-500</v>
          </cell>
          <cell r="D11">
            <v>251500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4000</v>
          </cell>
          <cell r="J11">
            <v>1</v>
          </cell>
          <cell r="K11">
            <v>40000</v>
          </cell>
          <cell r="L11">
            <v>1</v>
          </cell>
          <cell r="M11">
            <v>75000</v>
          </cell>
          <cell r="O11">
            <v>0</v>
          </cell>
          <cell r="P11">
            <v>31000</v>
          </cell>
          <cell r="Q11">
            <v>102000</v>
          </cell>
          <cell r="U11">
            <v>252000</v>
          </cell>
          <cell r="AI11">
            <v>30000</v>
          </cell>
          <cell r="AJ11">
            <v>100000</v>
          </cell>
          <cell r="AL11">
            <v>500</v>
          </cell>
          <cell r="AM11">
            <v>2000</v>
          </cell>
          <cell r="AP11" t="str">
            <v>BANQUE</v>
          </cell>
          <cell r="AQ11">
            <v>0</v>
          </cell>
          <cell r="AR11">
            <v>0</v>
          </cell>
          <cell r="AS11">
            <v>19000</v>
          </cell>
          <cell r="AW11">
            <v>30000</v>
          </cell>
          <cell r="AX11">
            <v>100000</v>
          </cell>
          <cell r="AY11">
            <v>0</v>
          </cell>
          <cell r="AZ11">
            <v>130000</v>
          </cell>
          <cell r="BA11">
            <v>50000</v>
          </cell>
          <cell r="BD11">
            <v>80000</v>
          </cell>
          <cell r="BE11">
            <v>80000</v>
          </cell>
          <cell r="BF11">
            <v>0</v>
          </cell>
          <cell r="BG11">
            <v>6</v>
          </cell>
          <cell r="BN11" t="str">
            <v>PRODUCTION RAPPORT</v>
          </cell>
          <cell r="BO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590500</v>
          </cell>
          <cell r="E12">
            <v>0</v>
          </cell>
          <cell r="F12">
            <v>1000000</v>
          </cell>
          <cell r="G12">
            <v>0</v>
          </cell>
          <cell r="H12" t="str">
            <v>BANQUE</v>
          </cell>
          <cell r="I12">
            <v>34500</v>
          </cell>
          <cell r="J12">
            <v>1</v>
          </cell>
          <cell r="K12">
            <v>40000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39000</v>
          </cell>
          <cell r="R12">
            <v>202000</v>
          </cell>
          <cell r="S12">
            <v>1000000</v>
          </cell>
          <cell r="T12" t="str">
            <v>BANQUE</v>
          </cell>
          <cell r="U12">
            <v>1590500</v>
          </cell>
          <cell r="Z12">
            <v>705000</v>
          </cell>
          <cell r="AA12" t="str">
            <v>BANQUE</v>
          </cell>
          <cell r="AC12">
            <v>5000</v>
          </cell>
          <cell r="AI12">
            <v>30000</v>
          </cell>
          <cell r="AL12">
            <v>500</v>
          </cell>
          <cell r="AP12" t="str">
            <v>BANQUE</v>
          </cell>
          <cell r="AQ12">
            <v>0</v>
          </cell>
          <cell r="AR12">
            <v>0</v>
          </cell>
          <cell r="AS12">
            <v>49500</v>
          </cell>
          <cell r="AW12">
            <v>325000</v>
          </cell>
          <cell r="AX12">
            <v>0</v>
          </cell>
          <cell r="AY12">
            <v>0</v>
          </cell>
          <cell r="AZ12">
            <v>1800</v>
          </cell>
          <cell r="BD12">
            <v>0</v>
          </cell>
          <cell r="BF12">
            <v>28200</v>
          </cell>
          <cell r="BG12">
            <v>4</v>
          </cell>
          <cell r="BN12" t="str">
            <v>ACHAT SOURIS ET PHOTOCOPIE</v>
          </cell>
          <cell r="BO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40000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40000</v>
          </cell>
          <cell r="M13">
            <v>0</v>
          </cell>
          <cell r="O13">
            <v>0</v>
          </cell>
          <cell r="P13">
            <v>0</v>
          </cell>
          <cell r="U13">
            <v>40000</v>
          </cell>
          <cell r="AQ13">
            <v>0</v>
          </cell>
          <cell r="AR13">
            <v>0</v>
          </cell>
          <cell r="AS13">
            <v>15000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6</v>
          </cell>
          <cell r="BN13" t="str">
            <v>TAXI BANQUE</v>
          </cell>
          <cell r="BO13" t="str">
            <v>FONDS DE ROULEMENT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40000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40000</v>
          </cell>
          <cell r="M14">
            <v>0</v>
          </cell>
          <cell r="O14">
            <v>0</v>
          </cell>
          <cell r="P14">
            <v>0</v>
          </cell>
          <cell r="U14">
            <v>40000</v>
          </cell>
          <cell r="AQ14">
            <v>0</v>
          </cell>
          <cell r="AR14">
            <v>0</v>
          </cell>
          <cell r="AS14">
            <v>15000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6</v>
          </cell>
          <cell r="BN14" t="str">
            <v>CONFECTION CACHET</v>
          </cell>
          <cell r="BO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115000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40000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115000</v>
          </cell>
          <cell r="AQ15">
            <v>0</v>
          </cell>
          <cell r="AR15">
            <v>0</v>
          </cell>
          <cell r="AS15">
            <v>15000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6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40000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250000</v>
          </cell>
          <cell r="AQ16">
            <v>0</v>
          </cell>
          <cell r="AR16">
            <v>0</v>
          </cell>
          <cell r="AS16">
            <v>50000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D16">
            <v>0</v>
          </cell>
          <cell r="BF16">
            <v>0</v>
          </cell>
          <cell r="BG16">
            <v>6</v>
          </cell>
          <cell r="BN16" t="str">
            <v>S/TOTAL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140000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40000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U17">
            <v>140000</v>
          </cell>
          <cell r="AQ17">
            <v>0</v>
          </cell>
          <cell r="AR17">
            <v>0</v>
          </cell>
          <cell r="AS17">
            <v>15000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D17">
            <v>0</v>
          </cell>
          <cell r="BF17">
            <v>0</v>
          </cell>
          <cell r="BG17">
            <v>6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1215000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J18">
            <v>1</v>
          </cell>
          <cell r="K18">
            <v>40000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S18">
            <v>1000000</v>
          </cell>
          <cell r="T18" t="str">
            <v>BANQUE</v>
          </cell>
          <cell r="U18">
            <v>1215000</v>
          </cell>
          <cell r="Z18">
            <v>250000</v>
          </cell>
          <cell r="AA18" t="str">
            <v>BANQUE</v>
          </cell>
          <cell r="AQ18">
            <v>0</v>
          </cell>
          <cell r="AR18">
            <v>0</v>
          </cell>
          <cell r="AS18">
            <v>15000</v>
          </cell>
          <cell r="AW18">
            <v>0</v>
          </cell>
          <cell r="AX18">
            <v>0</v>
          </cell>
          <cell r="AY18">
            <v>0</v>
          </cell>
          <cell r="AZ18">
            <v>240000</v>
          </cell>
          <cell r="BD18">
            <v>240000</v>
          </cell>
          <cell r="BE18">
            <v>240000</v>
          </cell>
          <cell r="BF18">
            <v>10000</v>
          </cell>
          <cell r="BG18">
            <v>4</v>
          </cell>
          <cell r="BN18" t="str">
            <v>GRATIFICATION BUREAU 2021</v>
          </cell>
          <cell r="BO18" t="str">
            <v>PENALITE VERSEMENT ESPECES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40000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40000</v>
          </cell>
          <cell r="M19">
            <v>0</v>
          </cell>
          <cell r="O19">
            <v>0</v>
          </cell>
          <cell r="P19">
            <v>0</v>
          </cell>
          <cell r="U19">
            <v>40000</v>
          </cell>
          <cell r="AQ19">
            <v>0</v>
          </cell>
          <cell r="AR19">
            <v>0</v>
          </cell>
          <cell r="AS19">
            <v>15000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6</v>
          </cell>
          <cell r="BN19" t="str">
            <v>ACHAT LAPTOP</v>
          </cell>
          <cell r="BO19" t="str">
            <v>PENALITE VERSEMENT ESPECES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997500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-1000</v>
          </cell>
          <cell r="J20">
            <v>1</v>
          </cell>
          <cell r="K20">
            <v>40000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0</v>
          </cell>
          <cell r="R20">
            <v>0</v>
          </cell>
          <cell r="U20">
            <v>214000</v>
          </cell>
          <cell r="AJ20">
            <v>100000</v>
          </cell>
          <cell r="AK20">
            <v>200000</v>
          </cell>
          <cell r="AM20">
            <v>2000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14000</v>
          </cell>
          <cell r="AW20">
            <v>0</v>
          </cell>
          <cell r="AX20">
            <v>100000</v>
          </cell>
          <cell r="AY20">
            <v>200000</v>
          </cell>
          <cell r="AZ20">
            <v>300000</v>
          </cell>
          <cell r="BA20">
            <v>9000</v>
          </cell>
          <cell r="BD20">
            <v>291000</v>
          </cell>
          <cell r="BE20">
            <v>291000</v>
          </cell>
          <cell r="BF20">
            <v>0</v>
          </cell>
          <cell r="BG20">
            <v>6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40000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40000</v>
          </cell>
          <cell r="M21">
            <v>0</v>
          </cell>
          <cell r="O21">
            <v>0</v>
          </cell>
          <cell r="P21">
            <v>0</v>
          </cell>
          <cell r="U21">
            <v>40000</v>
          </cell>
          <cell r="AQ21">
            <v>0</v>
          </cell>
          <cell r="AR21">
            <v>0</v>
          </cell>
          <cell r="AS21">
            <v>15000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6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115000</v>
          </cell>
          <cell r="E22">
            <v>0</v>
          </cell>
          <cell r="F22">
            <v>70000</v>
          </cell>
          <cell r="G22">
            <v>0</v>
          </cell>
          <cell r="H22" t="str">
            <v>BANQUE</v>
          </cell>
          <cell r="J22">
            <v>1</v>
          </cell>
          <cell r="K22">
            <v>40000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115000</v>
          </cell>
          <cell r="AC22">
            <v>4500</v>
          </cell>
          <cell r="AQ22">
            <v>0</v>
          </cell>
          <cell r="AR22">
            <v>0</v>
          </cell>
          <cell r="AS22">
            <v>15000</v>
          </cell>
          <cell r="AW22">
            <v>295500</v>
          </cell>
          <cell r="AX22">
            <v>0</v>
          </cell>
          <cell r="AY22">
            <v>0</v>
          </cell>
          <cell r="AZ22">
            <v>225500</v>
          </cell>
          <cell r="BB22">
            <v>70000</v>
          </cell>
          <cell r="BD22">
            <v>225500</v>
          </cell>
          <cell r="BE22">
            <v>225500</v>
          </cell>
          <cell r="BF22">
            <v>0</v>
          </cell>
          <cell r="BG22">
            <v>6</v>
          </cell>
          <cell r="BN22" t="str">
            <v>S/TOTAL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452000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40000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202000</v>
          </cell>
          <cell r="U23">
            <v>452000</v>
          </cell>
          <cell r="AE23">
            <v>10000</v>
          </cell>
          <cell r="AF23" t="str">
            <v>BANQUE</v>
          </cell>
          <cell r="AK23">
            <v>200000</v>
          </cell>
          <cell r="AN23">
            <v>2000</v>
          </cell>
          <cell r="AP23" t="str">
            <v>BANQUE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1390000</v>
          </cell>
          <cell r="AZ23">
            <v>1390000</v>
          </cell>
          <cell r="BD23">
            <v>1390000</v>
          </cell>
          <cell r="BE23">
            <v>1390000</v>
          </cell>
          <cell r="BF23">
            <v>0</v>
          </cell>
          <cell r="BG23">
            <v>6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215000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J24">
            <v>1</v>
          </cell>
          <cell r="K24">
            <v>40000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0</v>
          </cell>
          <cell r="U24">
            <v>215000</v>
          </cell>
          <cell r="AI24">
            <v>60000</v>
          </cell>
          <cell r="AL24">
            <v>1000</v>
          </cell>
          <cell r="AP24" t="str">
            <v>BANQUE</v>
          </cell>
          <cell r="AQ24">
            <v>0</v>
          </cell>
          <cell r="AR24">
            <v>0</v>
          </cell>
          <cell r="AS24">
            <v>15000</v>
          </cell>
          <cell r="AW24">
            <v>60000</v>
          </cell>
          <cell r="AX24">
            <v>0</v>
          </cell>
          <cell r="AY24">
            <v>0</v>
          </cell>
          <cell r="AZ24">
            <v>60000</v>
          </cell>
          <cell r="BD24">
            <v>60000</v>
          </cell>
          <cell r="BE24">
            <v>60000</v>
          </cell>
          <cell r="BF24">
            <v>0</v>
          </cell>
          <cell r="BG24">
            <v>6</v>
          </cell>
          <cell r="BN24" t="str">
            <v>GRATIFICATION BUREAU 2021</v>
          </cell>
          <cell r="BO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350000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9000</v>
          </cell>
          <cell r="J25">
            <v>1</v>
          </cell>
          <cell r="K25">
            <v>40000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51000</v>
          </cell>
          <cell r="R25">
            <v>0</v>
          </cell>
          <cell r="U25">
            <v>350000</v>
          </cell>
          <cell r="AJ25">
            <v>100000</v>
          </cell>
          <cell r="AM25">
            <v>2000</v>
          </cell>
          <cell r="AP25" t="str">
            <v>BANQUE</v>
          </cell>
          <cell r="AQ25">
            <v>0</v>
          </cell>
          <cell r="AR25">
            <v>0</v>
          </cell>
          <cell r="AS25">
            <v>24000</v>
          </cell>
          <cell r="AW25">
            <v>0</v>
          </cell>
          <cell r="AX25">
            <v>100000</v>
          </cell>
          <cell r="AY25">
            <v>0</v>
          </cell>
          <cell r="AZ25">
            <v>100000</v>
          </cell>
          <cell r="BD25">
            <v>100000</v>
          </cell>
          <cell r="BE25">
            <v>100000</v>
          </cell>
          <cell r="BF25">
            <v>0</v>
          </cell>
          <cell r="BG25">
            <v>6</v>
          </cell>
          <cell r="BN25" t="str">
            <v>DEVELOPPEMENT LAGWEU</v>
          </cell>
          <cell r="BO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40000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40000</v>
          </cell>
          <cell r="M26">
            <v>0</v>
          </cell>
          <cell r="O26">
            <v>0</v>
          </cell>
          <cell r="P26">
            <v>0</v>
          </cell>
          <cell r="U26">
            <v>40000</v>
          </cell>
          <cell r="AQ26">
            <v>0</v>
          </cell>
          <cell r="AR26">
            <v>0</v>
          </cell>
          <cell r="AS26">
            <v>15000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D26">
            <v>0</v>
          </cell>
          <cell r="BF26">
            <v>0</v>
          </cell>
          <cell r="BG26">
            <v>6</v>
          </cell>
          <cell r="BN26" t="str">
            <v>SOUTIEN GERBY</v>
          </cell>
          <cell r="BO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45000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5000</v>
          </cell>
          <cell r="J27">
            <v>1</v>
          </cell>
          <cell r="K27">
            <v>40000</v>
          </cell>
          <cell r="M27">
            <v>0</v>
          </cell>
          <cell r="O27">
            <v>0</v>
          </cell>
          <cell r="P27">
            <v>0</v>
          </cell>
          <cell r="U27">
            <v>45000</v>
          </cell>
          <cell r="AQ27">
            <v>0</v>
          </cell>
          <cell r="AR27">
            <v>0</v>
          </cell>
          <cell r="AS27">
            <v>20000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6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115000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40000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115000</v>
          </cell>
          <cell r="AQ28">
            <v>0</v>
          </cell>
          <cell r="AR28">
            <v>0</v>
          </cell>
          <cell r="AS28">
            <v>15000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6</v>
          </cell>
          <cell r="BN28" t="str">
            <v>S/TOTAL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40000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40000</v>
          </cell>
          <cell r="M29">
            <v>0</v>
          </cell>
          <cell r="O29">
            <v>0</v>
          </cell>
          <cell r="P29">
            <v>0</v>
          </cell>
          <cell r="U29">
            <v>40000</v>
          </cell>
          <cell r="AQ29">
            <v>0</v>
          </cell>
          <cell r="AR29">
            <v>0</v>
          </cell>
          <cell r="AS29">
            <v>15000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6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115000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40000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115000</v>
          </cell>
          <cell r="AQ30">
            <v>0</v>
          </cell>
          <cell r="AR30">
            <v>0</v>
          </cell>
          <cell r="AS30">
            <v>15000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6</v>
          </cell>
          <cell r="BN30" t="str">
            <v xml:space="preserve">DECES </v>
          </cell>
          <cell r="BO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140000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40000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U31">
            <v>140000</v>
          </cell>
          <cell r="AQ31">
            <v>0</v>
          </cell>
          <cell r="AR31">
            <v>0</v>
          </cell>
          <cell r="AS31">
            <v>15000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6</v>
          </cell>
          <cell r="BN31" t="str">
            <v>TRANSPORT DELEGUE</v>
          </cell>
          <cell r="BO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217000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40000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102000</v>
          </cell>
          <cell r="U32">
            <v>217000</v>
          </cell>
          <cell r="AJ32">
            <v>100000</v>
          </cell>
          <cell r="AM32">
            <v>2000</v>
          </cell>
          <cell r="AP32" t="str">
            <v>BANQUE</v>
          </cell>
          <cell r="AQ32">
            <v>0</v>
          </cell>
          <cell r="AR32">
            <v>0</v>
          </cell>
          <cell r="AS32">
            <v>15000</v>
          </cell>
          <cell r="AW32">
            <v>0</v>
          </cell>
          <cell r="AX32">
            <v>100000</v>
          </cell>
          <cell r="AY32">
            <v>0</v>
          </cell>
          <cell r="AZ32">
            <v>100000</v>
          </cell>
          <cell r="BD32">
            <v>100000</v>
          </cell>
          <cell r="BE32">
            <v>100000</v>
          </cell>
          <cell r="BF32">
            <v>0</v>
          </cell>
          <cell r="BG32">
            <v>6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D33">
            <v>40000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J33">
            <v>1</v>
          </cell>
          <cell r="K33">
            <v>40000</v>
          </cell>
          <cell r="M33">
            <v>0</v>
          </cell>
          <cell r="O33">
            <v>0</v>
          </cell>
          <cell r="P33">
            <v>0</v>
          </cell>
          <cell r="U33">
            <v>40000</v>
          </cell>
          <cell r="AQ33">
            <v>0</v>
          </cell>
          <cell r="AR33">
            <v>0</v>
          </cell>
          <cell r="AS33">
            <v>15000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6</v>
          </cell>
          <cell r="BN33" t="str">
            <v>S/TOTAL</v>
          </cell>
        </row>
        <row r="34">
          <cell r="A34" t="str">
            <v>AS201658</v>
          </cell>
          <cell r="B34" t="str">
            <v>YANTCHOU GERVAIS</v>
          </cell>
          <cell r="C34">
            <v>0</v>
          </cell>
          <cell r="D34">
            <v>100000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I34">
            <v>60000</v>
          </cell>
          <cell r="J34">
            <v>1</v>
          </cell>
          <cell r="K34">
            <v>40000</v>
          </cell>
          <cell r="M34">
            <v>0</v>
          </cell>
          <cell r="O34">
            <v>0</v>
          </cell>
          <cell r="P34">
            <v>0</v>
          </cell>
          <cell r="U34">
            <v>100000</v>
          </cell>
          <cell r="AQ34">
            <v>0</v>
          </cell>
          <cell r="AR34">
            <v>0</v>
          </cell>
          <cell r="AS34">
            <v>75000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6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40000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J35">
            <v>1</v>
          </cell>
          <cell r="K35">
            <v>40000</v>
          </cell>
          <cell r="M35">
            <v>0</v>
          </cell>
          <cell r="O35">
            <v>0</v>
          </cell>
          <cell r="P35">
            <v>0</v>
          </cell>
          <cell r="U35">
            <v>40000</v>
          </cell>
          <cell r="AQ35">
            <v>0</v>
          </cell>
          <cell r="AR35">
            <v>0</v>
          </cell>
          <cell r="AS35">
            <v>15000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6</v>
          </cell>
          <cell r="BN35" t="str">
            <v>COLLATION</v>
          </cell>
          <cell r="BO35" t="str">
            <v>COLLATION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290000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40000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290000</v>
          </cell>
          <cell r="AD36">
            <v>7500</v>
          </cell>
          <cell r="AE36">
            <v>10000</v>
          </cell>
          <cell r="AF36" t="str">
            <v>BANQUE</v>
          </cell>
          <cell r="AQ36">
            <v>0</v>
          </cell>
          <cell r="AR36">
            <v>0</v>
          </cell>
          <cell r="AS36">
            <v>15000</v>
          </cell>
          <cell r="AW36">
            <v>0</v>
          </cell>
          <cell r="AX36">
            <v>892500</v>
          </cell>
          <cell r="AY36">
            <v>1190000</v>
          </cell>
          <cell r="AZ36">
            <v>2082500</v>
          </cell>
          <cell r="BD36">
            <v>2082500</v>
          </cell>
          <cell r="BE36">
            <v>2082500</v>
          </cell>
          <cell r="BF36">
            <v>0</v>
          </cell>
          <cell r="BG36">
            <v>6</v>
          </cell>
          <cell r="BN36" t="str">
            <v>BOISSON</v>
          </cell>
          <cell r="BO36" t="str">
            <v>COLLATION</v>
          </cell>
        </row>
        <row r="38">
          <cell r="B38" t="str">
            <v>TOTAUX</v>
          </cell>
          <cell r="C38">
            <v>-500</v>
          </cell>
          <cell r="D38">
            <v>7054500</v>
          </cell>
          <cell r="E38">
            <v>43000</v>
          </cell>
          <cell r="F38">
            <v>1070000</v>
          </cell>
          <cell r="G38">
            <v>3000</v>
          </cell>
          <cell r="H38">
            <v>0</v>
          </cell>
          <cell r="I38">
            <v>156500</v>
          </cell>
          <cell r="J38">
            <v>30</v>
          </cell>
          <cell r="K38">
            <v>1200000</v>
          </cell>
          <cell r="L38">
            <v>17</v>
          </cell>
          <cell r="M38">
            <v>1275000</v>
          </cell>
          <cell r="N38">
            <v>14</v>
          </cell>
          <cell r="O38">
            <v>1400000</v>
          </cell>
          <cell r="P38">
            <v>31000</v>
          </cell>
          <cell r="Q38">
            <v>294000</v>
          </cell>
          <cell r="R38">
            <v>455000</v>
          </cell>
          <cell r="S38">
            <v>2500000</v>
          </cell>
          <cell r="U38">
            <v>7314500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1555000</v>
          </cell>
          <cell r="AA38">
            <v>0</v>
          </cell>
          <cell r="AC38">
            <v>9500</v>
          </cell>
          <cell r="AD38">
            <v>7500</v>
          </cell>
          <cell r="AE38">
            <v>20000</v>
          </cell>
          <cell r="AF38">
            <v>0</v>
          </cell>
          <cell r="AG38">
            <v>0</v>
          </cell>
          <cell r="AI38">
            <v>150000</v>
          </cell>
          <cell r="AJ38">
            <v>400000</v>
          </cell>
          <cell r="AK38">
            <v>584000</v>
          </cell>
          <cell r="AL38">
            <v>2500</v>
          </cell>
          <cell r="AM38">
            <v>8000</v>
          </cell>
          <cell r="AN38">
            <v>5500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606500</v>
          </cell>
          <cell r="AT38">
            <v>0</v>
          </cell>
          <cell r="AU38">
            <v>0</v>
          </cell>
          <cell r="AV38">
            <v>0</v>
          </cell>
          <cell r="AW38">
            <v>740500</v>
          </cell>
          <cell r="AX38">
            <v>1292500</v>
          </cell>
          <cell r="AY38">
            <v>2964000</v>
          </cell>
          <cell r="AZ38">
            <v>5551800</v>
          </cell>
          <cell r="BA38">
            <v>59000</v>
          </cell>
          <cell r="BB38">
            <v>70000</v>
          </cell>
          <cell r="BC38">
            <v>0</v>
          </cell>
          <cell r="BD38">
            <v>5491000</v>
          </cell>
          <cell r="BE38">
            <v>5456000</v>
          </cell>
          <cell r="BF38">
            <v>74200</v>
          </cell>
          <cell r="BH38">
            <v>24000</v>
          </cell>
          <cell r="BI38">
            <v>20000</v>
          </cell>
          <cell r="BJ38">
            <v>0</v>
          </cell>
          <cell r="BK38">
            <v>100000</v>
          </cell>
          <cell r="BL38">
            <v>0</v>
          </cell>
          <cell r="BM38">
            <v>0</v>
          </cell>
          <cell r="BN38" t="str">
            <v>S/TOTAL</v>
          </cell>
        </row>
        <row r="39">
          <cell r="AZ39" t="str">
            <v>CENTRALISATION CAISSE</v>
          </cell>
          <cell r="BA39">
            <v>94000</v>
          </cell>
        </row>
        <row r="40">
          <cell r="C40" t="str">
            <v>BANQUE</v>
          </cell>
          <cell r="F40" t="str">
            <v>ESPECES</v>
          </cell>
          <cell r="BA40">
            <v>35000</v>
          </cell>
        </row>
        <row r="41">
          <cell r="B41" t="str">
            <v>LIBELLE</v>
          </cell>
          <cell r="C41" t="str">
            <v>SORTIE</v>
          </cell>
          <cell r="D41" t="str">
            <v>ENTREE</v>
          </cell>
          <cell r="E41" t="str">
            <v>SOLDE</v>
          </cell>
          <cell r="F41" t="str">
            <v>ENTREE</v>
          </cell>
          <cell r="G41" t="str">
            <v>SORTIE</v>
          </cell>
          <cell r="H41" t="str">
            <v>SOLDE</v>
          </cell>
        </row>
        <row r="42">
          <cell r="B42" t="str">
            <v>REPORT</v>
          </cell>
        </row>
        <row r="43">
          <cell r="B43" t="str">
            <v>TONTINE</v>
          </cell>
          <cell r="C43">
            <v>5551800</v>
          </cell>
          <cell r="D43">
            <v>6839500</v>
          </cell>
          <cell r="F43">
            <v>43000</v>
          </cell>
        </row>
      </sheetData>
      <sheetData sheetId="10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156000</v>
          </cell>
          <cell r="BD6">
            <v>156000</v>
          </cell>
          <cell r="BE6">
            <v>156000</v>
          </cell>
          <cell r="BF6">
            <v>0</v>
          </cell>
          <cell r="BG6">
            <v>5</v>
          </cell>
          <cell r="BH6">
            <v>6000</v>
          </cell>
          <cell r="BI6">
            <v>50000</v>
          </cell>
          <cell r="BJ6">
            <v>0</v>
          </cell>
          <cell r="BK6">
            <v>100000</v>
          </cell>
          <cell r="BM6">
            <v>0</v>
          </cell>
          <cell r="BN6" t="str">
            <v>ACHAT FOURNITURE</v>
          </cell>
          <cell r="BO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40000</v>
          </cell>
          <cell r="E7">
            <v>33500</v>
          </cell>
          <cell r="F7">
            <v>140000</v>
          </cell>
          <cell r="G7">
            <v>3000</v>
          </cell>
          <cell r="H7" t="str">
            <v>BANQUE</v>
          </cell>
          <cell r="J7">
            <v>1</v>
          </cell>
          <cell r="K7">
            <v>40000</v>
          </cell>
          <cell r="M7">
            <v>0</v>
          </cell>
          <cell r="O7">
            <v>0</v>
          </cell>
          <cell r="P7">
            <v>30500</v>
          </cell>
          <cell r="U7">
            <v>73500</v>
          </cell>
          <cell r="AC7">
            <v>3000</v>
          </cell>
          <cell r="AF7" t="str">
            <v>BANQUE</v>
          </cell>
          <cell r="AQ7">
            <v>0</v>
          </cell>
          <cell r="AR7">
            <v>0</v>
          </cell>
          <cell r="AS7">
            <v>12000</v>
          </cell>
          <cell r="AW7">
            <v>297000</v>
          </cell>
          <cell r="AX7">
            <v>0</v>
          </cell>
          <cell r="AY7">
            <v>0</v>
          </cell>
          <cell r="AZ7">
            <v>157000</v>
          </cell>
          <cell r="BB7">
            <v>140000</v>
          </cell>
          <cell r="BD7">
            <v>157000</v>
          </cell>
          <cell r="BE7">
            <v>157000</v>
          </cell>
          <cell r="BF7">
            <v>0</v>
          </cell>
          <cell r="BG7">
            <v>5</v>
          </cell>
          <cell r="BH7">
            <v>0</v>
          </cell>
          <cell r="BI7">
            <v>0</v>
          </cell>
          <cell r="BJ7">
            <v>0</v>
          </cell>
          <cell r="BM7">
            <v>0</v>
          </cell>
          <cell r="BN7" t="str">
            <v>COMMUNICATION</v>
          </cell>
          <cell r="BO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115000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40000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115000</v>
          </cell>
          <cell r="AQ8">
            <v>0</v>
          </cell>
          <cell r="AR8">
            <v>0</v>
          </cell>
          <cell r="AS8">
            <v>15000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5</v>
          </cell>
          <cell r="BN8" t="str">
            <v>COMMISSION</v>
          </cell>
          <cell r="BO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241000</v>
          </cell>
          <cell r="E9">
            <v>87500</v>
          </cell>
          <cell r="F9">
            <v>0</v>
          </cell>
          <cell r="G9">
            <v>3000</v>
          </cell>
          <cell r="H9" t="str">
            <v>BANQUE</v>
          </cell>
          <cell r="J9">
            <v>1</v>
          </cell>
          <cell r="K9">
            <v>40000</v>
          </cell>
          <cell r="M9">
            <v>0</v>
          </cell>
          <cell r="N9">
            <v>1</v>
          </cell>
          <cell r="O9">
            <v>100000</v>
          </cell>
          <cell r="P9">
            <v>0</v>
          </cell>
          <cell r="R9">
            <v>185500</v>
          </cell>
          <cell r="U9">
            <v>328500</v>
          </cell>
          <cell r="AK9">
            <v>200000</v>
          </cell>
          <cell r="AN9">
            <v>2000</v>
          </cell>
          <cell r="AP9" t="str">
            <v>BANQUE</v>
          </cell>
          <cell r="AQ9">
            <v>0</v>
          </cell>
          <cell r="AR9">
            <v>0</v>
          </cell>
          <cell r="AS9">
            <v>15000</v>
          </cell>
          <cell r="AW9">
            <v>0</v>
          </cell>
          <cell r="AX9">
            <v>0</v>
          </cell>
          <cell r="AY9">
            <v>200000</v>
          </cell>
          <cell r="AZ9">
            <v>200000</v>
          </cell>
          <cell r="BA9">
            <v>200000</v>
          </cell>
          <cell r="BD9">
            <v>0</v>
          </cell>
          <cell r="BF9">
            <v>0</v>
          </cell>
          <cell r="BG9">
            <v>5</v>
          </cell>
          <cell r="BN9" t="str">
            <v>AIDE UEEB ET CONT FEMME</v>
          </cell>
          <cell r="BO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0</v>
          </cell>
          <cell r="E10">
            <v>43000</v>
          </cell>
          <cell r="F10">
            <v>0</v>
          </cell>
          <cell r="G10">
            <v>3000</v>
          </cell>
          <cell r="H10" t="str">
            <v>ESPECES</v>
          </cell>
          <cell r="J10">
            <v>1</v>
          </cell>
          <cell r="K10">
            <v>40000</v>
          </cell>
          <cell r="M10">
            <v>0</v>
          </cell>
          <cell r="O10">
            <v>0</v>
          </cell>
          <cell r="P10">
            <v>0</v>
          </cell>
          <cell r="U10">
            <v>43000</v>
          </cell>
          <cell r="AQ10">
            <v>0</v>
          </cell>
          <cell r="AR10">
            <v>0</v>
          </cell>
          <cell r="AS10">
            <v>12000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D10">
            <v>0</v>
          </cell>
          <cell r="BF10">
            <v>0</v>
          </cell>
          <cell r="BG10">
            <v>5</v>
          </cell>
          <cell r="BN10" t="str">
            <v>CREDIT TELEPHONE</v>
          </cell>
          <cell r="BO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165000</v>
          </cell>
          <cell r="E11">
            <v>85500</v>
          </cell>
          <cell r="F11">
            <v>0</v>
          </cell>
          <cell r="G11">
            <v>3000</v>
          </cell>
          <cell r="H11" t="str">
            <v>BANQUE</v>
          </cell>
          <cell r="J11">
            <v>1</v>
          </cell>
          <cell r="K11">
            <v>40000</v>
          </cell>
          <cell r="L11">
            <v>1</v>
          </cell>
          <cell r="M11">
            <v>75000</v>
          </cell>
          <cell r="O11">
            <v>0</v>
          </cell>
          <cell r="P11">
            <v>30500</v>
          </cell>
          <cell r="Q11">
            <v>102000</v>
          </cell>
          <cell r="U11">
            <v>250500</v>
          </cell>
          <cell r="AQ11">
            <v>0</v>
          </cell>
          <cell r="AR11">
            <v>0</v>
          </cell>
          <cell r="AS11">
            <v>15000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D11">
            <v>0</v>
          </cell>
          <cell r="BF11">
            <v>0</v>
          </cell>
          <cell r="BG11">
            <v>5</v>
          </cell>
          <cell r="BN11" t="str">
            <v>PRODUCTION RAPPORT</v>
          </cell>
          <cell r="BO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360000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14500</v>
          </cell>
          <cell r="J12">
            <v>1</v>
          </cell>
          <cell r="K12">
            <v>40000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30500</v>
          </cell>
          <cell r="Q12">
            <v>0</v>
          </cell>
          <cell r="R12">
            <v>0</v>
          </cell>
          <cell r="U12">
            <v>360000</v>
          </cell>
          <cell r="AQ12">
            <v>0</v>
          </cell>
          <cell r="AR12">
            <v>0</v>
          </cell>
          <cell r="AS12">
            <v>31300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D12">
            <v>0</v>
          </cell>
          <cell r="BF12">
            <v>0</v>
          </cell>
          <cell r="BG12">
            <v>5</v>
          </cell>
          <cell r="BN12" t="str">
            <v>ACHAT SOURIS ET PHOTOCOPIE</v>
          </cell>
          <cell r="BO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40000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40000</v>
          </cell>
          <cell r="M13">
            <v>0</v>
          </cell>
          <cell r="O13">
            <v>0</v>
          </cell>
          <cell r="P13">
            <v>0</v>
          </cell>
          <cell r="U13">
            <v>40000</v>
          </cell>
          <cell r="AQ13">
            <v>0</v>
          </cell>
          <cell r="AR13">
            <v>0</v>
          </cell>
          <cell r="AS13">
            <v>15000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5</v>
          </cell>
          <cell r="BN13" t="str">
            <v>TAXI BANQUE</v>
          </cell>
          <cell r="BO13" t="str">
            <v>FONDS DE ROULEMENT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40000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40000</v>
          </cell>
          <cell r="M14">
            <v>0</v>
          </cell>
          <cell r="O14">
            <v>0</v>
          </cell>
          <cell r="P14">
            <v>0</v>
          </cell>
          <cell r="U14">
            <v>40000</v>
          </cell>
          <cell r="AQ14">
            <v>0</v>
          </cell>
          <cell r="AR14">
            <v>0</v>
          </cell>
          <cell r="AS14">
            <v>15000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5</v>
          </cell>
          <cell r="BN14" t="str">
            <v>CONFECTION CACHET</v>
          </cell>
          <cell r="BO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115000</v>
          </cell>
          <cell r="E15">
            <v>0</v>
          </cell>
          <cell r="F15">
            <v>70000</v>
          </cell>
          <cell r="G15">
            <v>0</v>
          </cell>
          <cell r="H15" t="str">
            <v>BANQUE</v>
          </cell>
          <cell r="J15">
            <v>1</v>
          </cell>
          <cell r="K15">
            <v>40000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115000</v>
          </cell>
          <cell r="AC15">
            <v>2500</v>
          </cell>
          <cell r="AD15">
            <v>7500</v>
          </cell>
          <cell r="AF15" t="str">
            <v>BANQUE</v>
          </cell>
          <cell r="AQ15">
            <v>0</v>
          </cell>
          <cell r="AR15">
            <v>0</v>
          </cell>
          <cell r="AS15">
            <v>15000</v>
          </cell>
          <cell r="AW15">
            <v>297500</v>
          </cell>
          <cell r="AX15">
            <v>892500</v>
          </cell>
          <cell r="AY15">
            <v>0</v>
          </cell>
          <cell r="AZ15">
            <v>1120000</v>
          </cell>
          <cell r="BB15">
            <v>70000</v>
          </cell>
          <cell r="BD15">
            <v>1120000</v>
          </cell>
          <cell r="BE15">
            <v>1120000</v>
          </cell>
          <cell r="BF15">
            <v>0</v>
          </cell>
          <cell r="BG15">
            <v>5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40000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250000</v>
          </cell>
          <cell r="AQ16">
            <v>0</v>
          </cell>
          <cell r="AR16">
            <v>0</v>
          </cell>
          <cell r="AS16">
            <v>50000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D16">
            <v>0</v>
          </cell>
          <cell r="BF16">
            <v>0</v>
          </cell>
          <cell r="BG16">
            <v>5</v>
          </cell>
          <cell r="BN16" t="str">
            <v>S/TOTAL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140000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40000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U17">
            <v>140000</v>
          </cell>
          <cell r="Z17">
            <v>1000000</v>
          </cell>
          <cell r="AA17" t="str">
            <v>BANQUE</v>
          </cell>
          <cell r="AK17">
            <v>100000</v>
          </cell>
          <cell r="AN17">
            <v>1000</v>
          </cell>
          <cell r="AP17" t="str">
            <v>BANQUE</v>
          </cell>
          <cell r="AQ17">
            <v>0</v>
          </cell>
          <cell r="AR17">
            <v>0</v>
          </cell>
          <cell r="AS17">
            <v>15000</v>
          </cell>
          <cell r="AW17">
            <v>0</v>
          </cell>
          <cell r="AX17">
            <v>0</v>
          </cell>
          <cell r="AY17">
            <v>100000</v>
          </cell>
          <cell r="AZ17">
            <v>1050000</v>
          </cell>
          <cell r="BD17">
            <v>1050000</v>
          </cell>
          <cell r="BE17">
            <v>1050000</v>
          </cell>
          <cell r="BF17">
            <v>50000</v>
          </cell>
          <cell r="BG17">
            <v>5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215000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J18">
            <v>1</v>
          </cell>
          <cell r="K18">
            <v>40000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215000</v>
          </cell>
          <cell r="AQ18">
            <v>0</v>
          </cell>
          <cell r="AR18">
            <v>0</v>
          </cell>
          <cell r="AS18">
            <v>15000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D18">
            <v>0</v>
          </cell>
          <cell r="BF18">
            <v>0</v>
          </cell>
          <cell r="BG18">
            <v>5</v>
          </cell>
          <cell r="BN18" t="str">
            <v>GRATIFICATION BUREAU 2021</v>
          </cell>
          <cell r="BO18" t="str">
            <v>PENALITE VERSEMENT ESPECES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40000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40000</v>
          </cell>
          <cell r="M19">
            <v>0</v>
          </cell>
          <cell r="O19">
            <v>0</v>
          </cell>
          <cell r="P19">
            <v>0</v>
          </cell>
          <cell r="U19">
            <v>40000</v>
          </cell>
          <cell r="AQ19">
            <v>0</v>
          </cell>
          <cell r="AR19">
            <v>0</v>
          </cell>
          <cell r="AS19">
            <v>15000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5</v>
          </cell>
          <cell r="BN19" t="str">
            <v>ACHAT LAPTOP</v>
          </cell>
          <cell r="BO19" t="str">
            <v>PENALITE VERSEMENT ESPECES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519000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40000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102000</v>
          </cell>
          <cell r="R20">
            <v>202000</v>
          </cell>
          <cell r="U20">
            <v>519000</v>
          </cell>
          <cell r="AJ20">
            <v>75000</v>
          </cell>
          <cell r="AK20">
            <v>289500</v>
          </cell>
          <cell r="AM20">
            <v>1000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15000</v>
          </cell>
          <cell r="AW20">
            <v>0</v>
          </cell>
          <cell r="AX20">
            <v>75000</v>
          </cell>
          <cell r="AY20">
            <v>289500</v>
          </cell>
          <cell r="AZ20">
            <v>364500</v>
          </cell>
          <cell r="BA20">
            <v>112500</v>
          </cell>
          <cell r="BD20">
            <v>252000</v>
          </cell>
          <cell r="BE20">
            <v>252000</v>
          </cell>
          <cell r="BF20">
            <v>0</v>
          </cell>
          <cell r="BG20">
            <v>5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40000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40000</v>
          </cell>
          <cell r="M21">
            <v>0</v>
          </cell>
          <cell r="O21">
            <v>0</v>
          </cell>
          <cell r="P21">
            <v>0</v>
          </cell>
          <cell r="U21">
            <v>40000</v>
          </cell>
          <cell r="AQ21">
            <v>0</v>
          </cell>
          <cell r="AR21">
            <v>0</v>
          </cell>
          <cell r="AS21">
            <v>15000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5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115000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40000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115000</v>
          </cell>
          <cell r="AQ22">
            <v>0</v>
          </cell>
          <cell r="AR22">
            <v>0</v>
          </cell>
          <cell r="AS22">
            <v>15000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5</v>
          </cell>
          <cell r="BN22" t="str">
            <v>S/TOTAL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452000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40000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202000</v>
          </cell>
          <cell r="U23">
            <v>452000</v>
          </cell>
          <cell r="AP23" t="str">
            <v>BANQUE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D23">
            <v>0</v>
          </cell>
          <cell r="BF23">
            <v>0</v>
          </cell>
          <cell r="BG23">
            <v>5</v>
          </cell>
        </row>
        <row r="24">
          <cell r="A24" t="str">
            <v>AS201624</v>
          </cell>
          <cell r="B24" t="str">
            <v>NGONDIEP CLAUDE</v>
          </cell>
          <cell r="C24">
            <v>-122000</v>
          </cell>
          <cell r="D24">
            <v>159000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5000</v>
          </cell>
          <cell r="J24">
            <v>1</v>
          </cell>
          <cell r="K24">
            <v>40000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61000</v>
          </cell>
          <cell r="Q24">
            <v>0</v>
          </cell>
          <cell r="R24">
            <v>0</v>
          </cell>
          <cell r="U24">
            <v>281000</v>
          </cell>
          <cell r="AI24">
            <v>61000</v>
          </cell>
          <cell r="AJ24">
            <v>167000</v>
          </cell>
          <cell r="AK24">
            <v>100000</v>
          </cell>
          <cell r="AL24">
            <v>2000</v>
          </cell>
          <cell r="AM24">
            <v>2000</v>
          </cell>
          <cell r="AN24">
            <v>1000</v>
          </cell>
          <cell r="AP24" t="str">
            <v>BANQUE</v>
          </cell>
          <cell r="AQ24">
            <v>0</v>
          </cell>
          <cell r="AR24">
            <v>0</v>
          </cell>
          <cell r="AS24">
            <v>20000</v>
          </cell>
          <cell r="AW24">
            <v>61000</v>
          </cell>
          <cell r="AX24">
            <v>167000</v>
          </cell>
          <cell r="AY24">
            <v>100000</v>
          </cell>
          <cell r="AZ24">
            <v>267000</v>
          </cell>
          <cell r="BD24">
            <v>46000</v>
          </cell>
          <cell r="BE24">
            <v>46000</v>
          </cell>
          <cell r="BF24">
            <v>0</v>
          </cell>
          <cell r="BG24">
            <v>5</v>
          </cell>
          <cell r="BN24" t="str">
            <v>GRATIFICATION BUREAU 2021</v>
          </cell>
          <cell r="BO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400000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8000</v>
          </cell>
          <cell r="J25">
            <v>1</v>
          </cell>
          <cell r="K25">
            <v>40000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102000</v>
          </cell>
          <cell r="R25">
            <v>0</v>
          </cell>
          <cell r="U25">
            <v>400000</v>
          </cell>
          <cell r="AK25">
            <v>100000</v>
          </cell>
          <cell r="AN25">
            <v>1000</v>
          </cell>
          <cell r="AP25" t="str">
            <v>BANQUE</v>
          </cell>
          <cell r="AQ25">
            <v>0</v>
          </cell>
          <cell r="AR25">
            <v>0</v>
          </cell>
          <cell r="AS25">
            <v>23000</v>
          </cell>
          <cell r="AW25">
            <v>0</v>
          </cell>
          <cell r="AX25">
            <v>0</v>
          </cell>
          <cell r="AY25">
            <v>100000</v>
          </cell>
          <cell r="AZ25">
            <v>100000</v>
          </cell>
          <cell r="BD25">
            <v>100000</v>
          </cell>
          <cell r="BE25">
            <v>100000</v>
          </cell>
          <cell r="BF25">
            <v>0</v>
          </cell>
          <cell r="BG25">
            <v>5</v>
          </cell>
          <cell r="BN25" t="str">
            <v>DEVELOPPEMENT LAGWEU</v>
          </cell>
          <cell r="BO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0</v>
          </cell>
          <cell r="E26">
            <v>43000</v>
          </cell>
          <cell r="F26">
            <v>0</v>
          </cell>
          <cell r="G26">
            <v>3000</v>
          </cell>
          <cell r="H26" t="str">
            <v>ESPECES</v>
          </cell>
          <cell r="J26">
            <v>1</v>
          </cell>
          <cell r="K26">
            <v>40000</v>
          </cell>
          <cell r="M26">
            <v>0</v>
          </cell>
          <cell r="O26">
            <v>0</v>
          </cell>
          <cell r="P26">
            <v>0</v>
          </cell>
          <cell r="U26">
            <v>43000</v>
          </cell>
          <cell r="AQ26">
            <v>0</v>
          </cell>
          <cell r="AR26">
            <v>0</v>
          </cell>
          <cell r="AS26">
            <v>15000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D26">
            <v>0</v>
          </cell>
          <cell r="BF26">
            <v>0</v>
          </cell>
          <cell r="BG26">
            <v>5</v>
          </cell>
          <cell r="BN26" t="str">
            <v>CARBURANT HENGUE ET KOUAMO</v>
          </cell>
          <cell r="BO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10000</v>
          </cell>
          <cell r="J27">
            <v>1</v>
          </cell>
          <cell r="K27">
            <v>40000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5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115000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40000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115000</v>
          </cell>
          <cell r="AQ28">
            <v>0</v>
          </cell>
          <cell r="AR28">
            <v>0</v>
          </cell>
          <cell r="AS28">
            <v>15000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5</v>
          </cell>
          <cell r="BN28" t="str">
            <v>S/TOTAL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40000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40000</v>
          </cell>
          <cell r="M29">
            <v>0</v>
          </cell>
          <cell r="O29">
            <v>0</v>
          </cell>
          <cell r="P29">
            <v>0</v>
          </cell>
          <cell r="U29">
            <v>40000</v>
          </cell>
          <cell r="AQ29">
            <v>0</v>
          </cell>
          <cell r="AR29">
            <v>0</v>
          </cell>
          <cell r="AS29">
            <v>15000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5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115000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40000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115000</v>
          </cell>
          <cell r="AQ30">
            <v>0</v>
          </cell>
          <cell r="AR30">
            <v>0</v>
          </cell>
          <cell r="AS30">
            <v>15000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5</v>
          </cell>
          <cell r="BN30" t="str">
            <v xml:space="preserve">DECES </v>
          </cell>
          <cell r="BO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140000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40000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U31">
            <v>140000</v>
          </cell>
          <cell r="AQ31">
            <v>0</v>
          </cell>
          <cell r="AR31">
            <v>0</v>
          </cell>
          <cell r="AS31">
            <v>15000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5</v>
          </cell>
          <cell r="BN31" t="str">
            <v>TRANSPORT DELEGUE</v>
          </cell>
          <cell r="BO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365000</v>
          </cell>
          <cell r="E32">
            <v>102000</v>
          </cell>
          <cell r="F32">
            <v>70000</v>
          </cell>
          <cell r="G32">
            <v>0</v>
          </cell>
          <cell r="H32" t="str">
            <v>BANQUE</v>
          </cell>
          <cell r="J32">
            <v>1</v>
          </cell>
          <cell r="K32">
            <v>40000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102000</v>
          </cell>
          <cell r="S32">
            <v>250000</v>
          </cell>
          <cell r="U32">
            <v>467000</v>
          </cell>
          <cell r="AC32">
            <v>2500</v>
          </cell>
          <cell r="AF32" t="str">
            <v>BANQUE</v>
          </cell>
          <cell r="AJ32">
            <v>75000</v>
          </cell>
          <cell r="AM32">
            <v>1000</v>
          </cell>
          <cell r="AP32" t="str">
            <v>BANQUE</v>
          </cell>
          <cell r="AQ32">
            <v>0</v>
          </cell>
          <cell r="AR32">
            <v>0</v>
          </cell>
          <cell r="AS32">
            <v>15000</v>
          </cell>
          <cell r="AW32">
            <v>297500</v>
          </cell>
          <cell r="AX32">
            <v>75000</v>
          </cell>
          <cell r="AY32">
            <v>0</v>
          </cell>
          <cell r="AZ32">
            <v>302500</v>
          </cell>
          <cell r="BA32">
            <v>75000</v>
          </cell>
          <cell r="BB32">
            <v>70000</v>
          </cell>
          <cell r="BD32">
            <v>227500</v>
          </cell>
          <cell r="BE32">
            <v>227500</v>
          </cell>
          <cell r="BF32">
            <v>0</v>
          </cell>
          <cell r="BG32">
            <v>5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D33">
            <v>40000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J33">
            <v>1</v>
          </cell>
          <cell r="K33">
            <v>40000</v>
          </cell>
          <cell r="M33">
            <v>0</v>
          </cell>
          <cell r="O33">
            <v>0</v>
          </cell>
          <cell r="P33">
            <v>0</v>
          </cell>
          <cell r="U33">
            <v>40000</v>
          </cell>
          <cell r="AQ33">
            <v>0</v>
          </cell>
          <cell r="AR33">
            <v>0</v>
          </cell>
          <cell r="AS33">
            <v>15000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5</v>
          </cell>
          <cell r="BN33" t="str">
            <v>S/TOTAL</v>
          </cell>
        </row>
        <row r="34">
          <cell r="A34" t="str">
            <v>AS201658</v>
          </cell>
          <cell r="B34" t="str">
            <v>YANTCHOU GERVAIS</v>
          </cell>
          <cell r="C34">
            <v>0</v>
          </cell>
          <cell r="D34">
            <v>100000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I34">
            <v>60000</v>
          </cell>
          <cell r="J34">
            <v>1</v>
          </cell>
          <cell r="K34">
            <v>40000</v>
          </cell>
          <cell r="M34">
            <v>0</v>
          </cell>
          <cell r="O34">
            <v>0</v>
          </cell>
          <cell r="P34">
            <v>0</v>
          </cell>
          <cell r="U34">
            <v>100000</v>
          </cell>
          <cell r="AQ34">
            <v>0</v>
          </cell>
          <cell r="AR34">
            <v>0</v>
          </cell>
          <cell r="AS34">
            <v>75000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5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40000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J35">
            <v>1</v>
          </cell>
          <cell r="K35">
            <v>40000</v>
          </cell>
          <cell r="M35">
            <v>0</v>
          </cell>
          <cell r="O35">
            <v>0</v>
          </cell>
          <cell r="P35">
            <v>0</v>
          </cell>
          <cell r="U35">
            <v>40000</v>
          </cell>
          <cell r="AQ35">
            <v>0</v>
          </cell>
          <cell r="AR35">
            <v>0</v>
          </cell>
          <cell r="AS35">
            <v>15000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5</v>
          </cell>
          <cell r="BN35" t="str">
            <v>COLLATION</v>
          </cell>
          <cell r="BO35" t="str">
            <v>COLLATION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290000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40000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290000</v>
          </cell>
          <cell r="AQ36">
            <v>0</v>
          </cell>
          <cell r="AR36">
            <v>0</v>
          </cell>
          <cell r="AS36">
            <v>15000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5</v>
          </cell>
          <cell r="BN36" t="str">
            <v>BOISSON</v>
          </cell>
          <cell r="BO36" t="str">
            <v>COLLATION</v>
          </cell>
        </row>
        <row r="38">
          <cell r="B38" t="str">
            <v>TOTAUX</v>
          </cell>
          <cell r="C38">
            <v>-122000</v>
          </cell>
          <cell r="D38">
            <v>4916000</v>
          </cell>
          <cell r="E38">
            <v>394500</v>
          </cell>
          <cell r="F38">
            <v>280000</v>
          </cell>
          <cell r="G38">
            <v>15000</v>
          </cell>
          <cell r="H38">
            <v>0</v>
          </cell>
          <cell r="I38">
            <v>142500</v>
          </cell>
          <cell r="J38">
            <v>30</v>
          </cell>
          <cell r="K38">
            <v>1200000</v>
          </cell>
          <cell r="L38">
            <v>17</v>
          </cell>
          <cell r="M38">
            <v>1275000</v>
          </cell>
          <cell r="N38">
            <v>14</v>
          </cell>
          <cell r="O38">
            <v>1400000</v>
          </cell>
          <cell r="P38">
            <v>152500</v>
          </cell>
          <cell r="Q38">
            <v>408000</v>
          </cell>
          <cell r="R38">
            <v>589500</v>
          </cell>
          <cell r="S38">
            <v>250000</v>
          </cell>
          <cell r="U38">
            <v>5432500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1000000</v>
          </cell>
          <cell r="AA38">
            <v>0</v>
          </cell>
          <cell r="AC38">
            <v>8000</v>
          </cell>
          <cell r="AD38">
            <v>7500</v>
          </cell>
          <cell r="AE38">
            <v>0</v>
          </cell>
          <cell r="AF38">
            <v>0</v>
          </cell>
          <cell r="AG38">
            <v>0</v>
          </cell>
          <cell r="AI38">
            <v>61000</v>
          </cell>
          <cell r="AJ38">
            <v>317000</v>
          </cell>
          <cell r="AK38">
            <v>789500</v>
          </cell>
          <cell r="AL38">
            <v>2000</v>
          </cell>
          <cell r="AM38">
            <v>4000</v>
          </cell>
          <cell r="AN38">
            <v>7000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588300</v>
          </cell>
          <cell r="AT38">
            <v>0</v>
          </cell>
          <cell r="AU38">
            <v>0</v>
          </cell>
          <cell r="AV38">
            <v>0</v>
          </cell>
          <cell r="AW38">
            <v>953000</v>
          </cell>
          <cell r="AX38">
            <v>1209500</v>
          </cell>
          <cell r="AY38">
            <v>789500</v>
          </cell>
          <cell r="AZ38">
            <v>3717000</v>
          </cell>
          <cell r="BA38">
            <v>387500</v>
          </cell>
          <cell r="BB38">
            <v>280000</v>
          </cell>
          <cell r="BC38">
            <v>0</v>
          </cell>
          <cell r="BD38">
            <v>3108500</v>
          </cell>
          <cell r="BE38">
            <v>3108500</v>
          </cell>
          <cell r="BF38">
            <v>50000</v>
          </cell>
          <cell r="BH38">
            <v>6000</v>
          </cell>
          <cell r="BI38">
            <v>50000</v>
          </cell>
          <cell r="BJ38">
            <v>0</v>
          </cell>
          <cell r="BK38">
            <v>100000</v>
          </cell>
          <cell r="BL38">
            <v>0</v>
          </cell>
          <cell r="BM38">
            <v>0</v>
          </cell>
          <cell r="BN38" t="str">
            <v>S/TOTAL</v>
          </cell>
        </row>
        <row r="40">
          <cell r="C40" t="str">
            <v>BANQUE</v>
          </cell>
          <cell r="F40" t="str">
            <v>ESPECES</v>
          </cell>
        </row>
        <row r="41">
          <cell r="B41" t="str">
            <v>LIBELLE</v>
          </cell>
          <cell r="C41" t="str">
            <v>SORTIE</v>
          </cell>
          <cell r="D41" t="str">
            <v>ENTREE</v>
          </cell>
          <cell r="E41" t="str">
            <v>SOLDE</v>
          </cell>
          <cell r="F41" t="str">
            <v>ENTREE</v>
          </cell>
          <cell r="G41" t="str">
            <v>SORTIE</v>
          </cell>
          <cell r="H41" t="str">
            <v>SOLDE</v>
          </cell>
        </row>
        <row r="42">
          <cell r="B42" t="str">
            <v>REPORT</v>
          </cell>
        </row>
        <row r="43">
          <cell r="B43" t="str">
            <v>TONTINE</v>
          </cell>
          <cell r="C43">
            <v>3717000</v>
          </cell>
          <cell r="D43">
            <v>4701000</v>
          </cell>
          <cell r="F43">
            <v>394500</v>
          </cell>
        </row>
      </sheetData>
      <sheetData sheetId="11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760000</v>
          </cell>
          <cell r="BD6">
            <v>760000</v>
          </cell>
          <cell r="BE6">
            <v>106000</v>
          </cell>
          <cell r="BF6">
            <v>0</v>
          </cell>
          <cell r="BG6">
            <v>4</v>
          </cell>
          <cell r="BH6">
            <v>45000</v>
          </cell>
          <cell r="BI6">
            <v>155000</v>
          </cell>
          <cell r="BJ6">
            <v>560000</v>
          </cell>
          <cell r="BM6">
            <v>0</v>
          </cell>
          <cell r="BN6" t="str">
            <v>ACHAT FOURNITURE (ECHARPE)</v>
          </cell>
          <cell r="BO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40000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J7">
            <v>1</v>
          </cell>
          <cell r="K7">
            <v>40000</v>
          </cell>
          <cell r="M7">
            <v>0</v>
          </cell>
          <cell r="O7">
            <v>0</v>
          </cell>
          <cell r="P7">
            <v>0</v>
          </cell>
          <cell r="U7">
            <v>40000</v>
          </cell>
          <cell r="AQ7">
            <v>0</v>
          </cell>
          <cell r="AR7">
            <v>0</v>
          </cell>
          <cell r="AS7">
            <v>15000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4</v>
          </cell>
          <cell r="BM7">
            <v>0</v>
          </cell>
          <cell r="BN7" t="str">
            <v>COMMUNICATION</v>
          </cell>
          <cell r="BO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115000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40000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115000</v>
          </cell>
          <cell r="AQ8">
            <v>0</v>
          </cell>
          <cell r="AR8">
            <v>0</v>
          </cell>
          <cell r="AS8">
            <v>15000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4</v>
          </cell>
          <cell r="BN8" t="str">
            <v>COMMISSION</v>
          </cell>
          <cell r="BO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140000</v>
          </cell>
          <cell r="E9">
            <v>202000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40000</v>
          </cell>
          <cell r="M9">
            <v>0</v>
          </cell>
          <cell r="N9">
            <v>1</v>
          </cell>
          <cell r="O9">
            <v>100000</v>
          </cell>
          <cell r="P9">
            <v>0</v>
          </cell>
          <cell r="R9">
            <v>202000</v>
          </cell>
          <cell r="U9">
            <v>342000</v>
          </cell>
          <cell r="AK9">
            <v>300000</v>
          </cell>
          <cell r="AN9">
            <v>3000</v>
          </cell>
          <cell r="AP9" t="str">
            <v>BANQUE</v>
          </cell>
          <cell r="AQ9">
            <v>0</v>
          </cell>
          <cell r="AR9">
            <v>0</v>
          </cell>
          <cell r="AS9">
            <v>15000</v>
          </cell>
          <cell r="AW9">
            <v>0</v>
          </cell>
          <cell r="AX9">
            <v>0</v>
          </cell>
          <cell r="AY9">
            <v>300000</v>
          </cell>
          <cell r="AZ9">
            <v>300000</v>
          </cell>
          <cell r="BA9">
            <v>300000</v>
          </cell>
          <cell r="BD9">
            <v>0</v>
          </cell>
          <cell r="BF9">
            <v>0</v>
          </cell>
          <cell r="BG9">
            <v>4</v>
          </cell>
          <cell r="BN9" t="str">
            <v>ECHARPE</v>
          </cell>
          <cell r="BO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0</v>
          </cell>
          <cell r="E10">
            <v>43000</v>
          </cell>
          <cell r="F10">
            <v>0</v>
          </cell>
          <cell r="G10">
            <v>3000</v>
          </cell>
          <cell r="H10" t="str">
            <v>ESPECES</v>
          </cell>
          <cell r="J10">
            <v>1</v>
          </cell>
          <cell r="K10">
            <v>40000</v>
          </cell>
          <cell r="M10">
            <v>0</v>
          </cell>
          <cell r="O10">
            <v>0</v>
          </cell>
          <cell r="P10">
            <v>0</v>
          </cell>
          <cell r="U10">
            <v>43000</v>
          </cell>
          <cell r="AQ10">
            <v>0</v>
          </cell>
          <cell r="AR10">
            <v>0</v>
          </cell>
          <cell r="AS10">
            <v>15000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D10">
            <v>0</v>
          </cell>
          <cell r="BF10">
            <v>0</v>
          </cell>
          <cell r="BG10">
            <v>4</v>
          </cell>
          <cell r="BN10" t="str">
            <v>CREDIT TELEPHONE</v>
          </cell>
          <cell r="BO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115000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40000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0</v>
          </cell>
          <cell r="U11">
            <v>115000</v>
          </cell>
          <cell r="AI11">
            <v>61500</v>
          </cell>
          <cell r="AJ11">
            <v>167000</v>
          </cell>
          <cell r="AL11">
            <v>1000</v>
          </cell>
          <cell r="AM11">
            <v>2000</v>
          </cell>
          <cell r="AN11">
            <v>1000</v>
          </cell>
          <cell r="AP11" t="str">
            <v>BANQUE</v>
          </cell>
          <cell r="AQ11">
            <v>0</v>
          </cell>
          <cell r="AR11">
            <v>0</v>
          </cell>
          <cell r="AS11">
            <v>15000</v>
          </cell>
          <cell r="AW11">
            <v>61500</v>
          </cell>
          <cell r="AX11">
            <v>167000</v>
          </cell>
          <cell r="AY11">
            <v>0</v>
          </cell>
          <cell r="AZ11">
            <v>228500</v>
          </cell>
          <cell r="BD11">
            <v>228500</v>
          </cell>
          <cell r="BE11">
            <v>228500</v>
          </cell>
          <cell r="BF11">
            <v>0</v>
          </cell>
          <cell r="BG11">
            <v>4</v>
          </cell>
          <cell r="BN11" t="str">
            <v>PRODUCTION RAPPORT</v>
          </cell>
          <cell r="BO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320000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40000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320000</v>
          </cell>
          <cell r="AE12">
            <v>10000</v>
          </cell>
          <cell r="AF12" t="str">
            <v>BANQUE</v>
          </cell>
          <cell r="AQ12">
            <v>0</v>
          </cell>
          <cell r="AR12">
            <v>0</v>
          </cell>
          <cell r="AS12">
            <v>20000</v>
          </cell>
          <cell r="AW12">
            <v>0</v>
          </cell>
          <cell r="AX12">
            <v>0</v>
          </cell>
          <cell r="AY12">
            <v>1190000</v>
          </cell>
          <cell r="AZ12">
            <v>1190000</v>
          </cell>
          <cell r="BD12">
            <v>1190000</v>
          </cell>
          <cell r="BE12">
            <v>1190000</v>
          </cell>
          <cell r="BF12">
            <v>0</v>
          </cell>
          <cell r="BG12">
            <v>4</v>
          </cell>
          <cell r="BN12" t="str">
            <v>ACHAT SOURIS ET PHOTOCOPIE</v>
          </cell>
          <cell r="BO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40000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40000</v>
          </cell>
          <cell r="M13">
            <v>0</v>
          </cell>
          <cell r="O13">
            <v>0</v>
          </cell>
          <cell r="P13">
            <v>0</v>
          </cell>
          <cell r="U13">
            <v>40000</v>
          </cell>
          <cell r="AQ13">
            <v>0</v>
          </cell>
          <cell r="AR13">
            <v>0</v>
          </cell>
          <cell r="AS13">
            <v>15000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4</v>
          </cell>
          <cell r="BN13" t="str">
            <v>TAXI BANQUE</v>
          </cell>
          <cell r="BO13" t="str">
            <v>FONDS DE ROULEMENT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40000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40000</v>
          </cell>
          <cell r="M14">
            <v>0</v>
          </cell>
          <cell r="O14">
            <v>0</v>
          </cell>
          <cell r="P14">
            <v>0</v>
          </cell>
          <cell r="U14">
            <v>40000</v>
          </cell>
          <cell r="AQ14">
            <v>0</v>
          </cell>
          <cell r="AR14">
            <v>0</v>
          </cell>
          <cell r="AS14">
            <v>15000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4</v>
          </cell>
          <cell r="BN14" t="str">
            <v>CONFECTION CACHET</v>
          </cell>
          <cell r="BO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115000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40000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115000</v>
          </cell>
          <cell r="AQ15">
            <v>0</v>
          </cell>
          <cell r="AR15">
            <v>0</v>
          </cell>
          <cell r="AS15">
            <v>15000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4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40000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250000</v>
          </cell>
          <cell r="AQ16">
            <v>0</v>
          </cell>
          <cell r="AR16">
            <v>0</v>
          </cell>
          <cell r="AS16">
            <v>50000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D16">
            <v>0</v>
          </cell>
          <cell r="BF16">
            <v>0</v>
          </cell>
          <cell r="BG16">
            <v>4</v>
          </cell>
          <cell r="BN16" t="str">
            <v>S/TOTAL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241000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40000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101000</v>
          </cell>
          <cell r="U17">
            <v>241000</v>
          </cell>
          <cell r="AP17" t="str">
            <v>BANQUE</v>
          </cell>
          <cell r="AQ17">
            <v>0</v>
          </cell>
          <cell r="AR17">
            <v>0</v>
          </cell>
          <cell r="AS17">
            <v>15000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D17">
            <v>0</v>
          </cell>
          <cell r="BF17">
            <v>0</v>
          </cell>
          <cell r="BG17">
            <v>4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215000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J18">
            <v>1</v>
          </cell>
          <cell r="K18">
            <v>40000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215000</v>
          </cell>
          <cell r="AQ18">
            <v>0</v>
          </cell>
          <cell r="AR18">
            <v>0</v>
          </cell>
          <cell r="AS18">
            <v>15000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D18">
            <v>0</v>
          </cell>
          <cell r="BF18">
            <v>0</v>
          </cell>
          <cell r="BG18">
            <v>4</v>
          </cell>
          <cell r="BN18" t="str">
            <v>GRATIFICATION BUREAU 2021</v>
          </cell>
          <cell r="BO18" t="str">
            <v>PENALITE VERSEMENT ESPECES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340000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40000</v>
          </cell>
          <cell r="M19">
            <v>0</v>
          </cell>
          <cell r="O19">
            <v>0</v>
          </cell>
          <cell r="P19">
            <v>0</v>
          </cell>
          <cell r="S19">
            <v>300000</v>
          </cell>
          <cell r="T19" t="str">
            <v>BANQUE</v>
          </cell>
          <cell r="U19">
            <v>340000</v>
          </cell>
          <cell r="AQ19">
            <v>0</v>
          </cell>
          <cell r="AR19">
            <v>0</v>
          </cell>
          <cell r="AS19">
            <v>15000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4</v>
          </cell>
          <cell r="BN19" t="str">
            <v>ACHAT LAPTOP</v>
          </cell>
          <cell r="BO19" t="str">
            <v>PENALITE VERSEMENT ESPECES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586500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4000</v>
          </cell>
          <cell r="J20">
            <v>1</v>
          </cell>
          <cell r="K20">
            <v>40000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76000</v>
          </cell>
          <cell r="R20">
            <v>291500</v>
          </cell>
          <cell r="U20">
            <v>586500</v>
          </cell>
          <cell r="AI20">
            <v>60000</v>
          </cell>
          <cell r="AJ20">
            <v>150000</v>
          </cell>
          <cell r="AK20">
            <v>100000</v>
          </cell>
          <cell r="AL20">
            <v>1000</v>
          </cell>
          <cell r="AM20">
            <v>2000</v>
          </cell>
          <cell r="AN20">
            <v>1000</v>
          </cell>
          <cell r="AP20" t="str">
            <v>BANQUE</v>
          </cell>
          <cell r="AQ20">
            <v>0</v>
          </cell>
          <cell r="AR20">
            <v>0</v>
          </cell>
          <cell r="AS20">
            <v>19000</v>
          </cell>
          <cell r="AW20">
            <v>60000</v>
          </cell>
          <cell r="AX20">
            <v>150000</v>
          </cell>
          <cell r="AY20">
            <v>100000</v>
          </cell>
          <cell r="AZ20">
            <v>310000</v>
          </cell>
          <cell r="BD20">
            <v>310000</v>
          </cell>
          <cell r="BE20">
            <v>310000</v>
          </cell>
          <cell r="BF20">
            <v>0</v>
          </cell>
          <cell r="BG20">
            <v>4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40000</v>
          </cell>
          <cell r="E21">
            <v>0</v>
          </cell>
          <cell r="F21">
            <v>70000</v>
          </cell>
          <cell r="G21">
            <v>0</v>
          </cell>
          <cell r="H21" t="str">
            <v>BANQUE</v>
          </cell>
          <cell r="J21">
            <v>1</v>
          </cell>
          <cell r="K21">
            <v>40000</v>
          </cell>
          <cell r="M21">
            <v>0</v>
          </cell>
          <cell r="O21">
            <v>0</v>
          </cell>
          <cell r="P21">
            <v>0</v>
          </cell>
          <cell r="U21">
            <v>40000</v>
          </cell>
          <cell r="AC21">
            <v>2500</v>
          </cell>
          <cell r="AF21" t="str">
            <v>BANQUE</v>
          </cell>
          <cell r="AQ21">
            <v>0</v>
          </cell>
          <cell r="AR21">
            <v>0</v>
          </cell>
          <cell r="AS21">
            <v>15000</v>
          </cell>
          <cell r="AW21">
            <v>297500</v>
          </cell>
          <cell r="AX21">
            <v>0</v>
          </cell>
          <cell r="AY21">
            <v>0</v>
          </cell>
          <cell r="AZ21">
            <v>227500</v>
          </cell>
          <cell r="BB21">
            <v>70000</v>
          </cell>
          <cell r="BD21">
            <v>227500</v>
          </cell>
          <cell r="BE21">
            <v>227500</v>
          </cell>
          <cell r="BF21">
            <v>0</v>
          </cell>
          <cell r="BG21">
            <v>4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115000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40000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115000</v>
          </cell>
          <cell r="AQ22">
            <v>0</v>
          </cell>
          <cell r="AR22">
            <v>0</v>
          </cell>
          <cell r="AS22">
            <v>15000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4</v>
          </cell>
          <cell r="BN22" t="str">
            <v>S/TOTAL</v>
          </cell>
        </row>
        <row r="23">
          <cell r="A23" t="str">
            <v>AS201622</v>
          </cell>
          <cell r="B23" t="str">
            <v>NDJOMO ETIENNE</v>
          </cell>
          <cell r="C23">
            <v>-576000</v>
          </cell>
          <cell r="D23">
            <v>270000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6000</v>
          </cell>
          <cell r="J23">
            <v>1</v>
          </cell>
          <cell r="K23">
            <v>40000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0</v>
          </cell>
          <cell r="S23">
            <v>600000</v>
          </cell>
          <cell r="T23" t="str">
            <v>BANQUE</v>
          </cell>
          <cell r="U23">
            <v>846000</v>
          </cell>
          <cell r="Z23">
            <v>600000</v>
          </cell>
          <cell r="AA23" t="str">
            <v>BANQUE</v>
          </cell>
          <cell r="AE23">
            <v>10000</v>
          </cell>
          <cell r="AF23" t="str">
            <v>BANQUE</v>
          </cell>
          <cell r="AQ23">
            <v>0</v>
          </cell>
          <cell r="AR23">
            <v>0</v>
          </cell>
          <cell r="AS23">
            <v>21000</v>
          </cell>
          <cell r="AW23">
            <v>0</v>
          </cell>
          <cell r="AX23">
            <v>0</v>
          </cell>
          <cell r="AY23">
            <v>1190000</v>
          </cell>
          <cell r="AZ23">
            <v>1190000</v>
          </cell>
          <cell r="BD23">
            <v>1190000</v>
          </cell>
          <cell r="BE23">
            <v>1290000</v>
          </cell>
          <cell r="BF23">
            <v>24000</v>
          </cell>
          <cell r="BG23">
            <v>4</v>
          </cell>
        </row>
        <row r="24">
          <cell r="A24" t="str">
            <v>AS201624</v>
          </cell>
          <cell r="B24" t="str">
            <v>NGONDIEP CLAUDE</v>
          </cell>
          <cell r="C24">
            <v>-230000</v>
          </cell>
          <cell r="D24">
            <v>320000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4000</v>
          </cell>
          <cell r="J24">
            <v>1</v>
          </cell>
          <cell r="K24">
            <v>40000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61000</v>
          </cell>
          <cell r="Q24">
            <v>169000</v>
          </cell>
          <cell r="R24">
            <v>101000</v>
          </cell>
          <cell r="U24">
            <v>550000</v>
          </cell>
          <cell r="AJ24">
            <v>167000</v>
          </cell>
          <cell r="AM24">
            <v>4000</v>
          </cell>
          <cell r="AP24" t="str">
            <v>BANQUE</v>
          </cell>
          <cell r="AQ24">
            <v>0</v>
          </cell>
          <cell r="AR24">
            <v>0</v>
          </cell>
          <cell r="AS24">
            <v>19000</v>
          </cell>
          <cell r="AW24">
            <v>0</v>
          </cell>
          <cell r="AX24">
            <v>167000</v>
          </cell>
          <cell r="AY24">
            <v>0</v>
          </cell>
          <cell r="AZ24">
            <v>167000</v>
          </cell>
          <cell r="BD24">
            <v>0</v>
          </cell>
          <cell r="BF24">
            <v>0</v>
          </cell>
          <cell r="BG24">
            <v>4</v>
          </cell>
          <cell r="BN24" t="str">
            <v>GRATIFICATION BUREAU 2021</v>
          </cell>
          <cell r="BO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400000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9000</v>
          </cell>
          <cell r="J25">
            <v>1</v>
          </cell>
          <cell r="K25">
            <v>40000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101000</v>
          </cell>
          <cell r="U25">
            <v>400000</v>
          </cell>
          <cell r="AD25">
            <v>7500</v>
          </cell>
          <cell r="AF25" t="str">
            <v>BANQUE</v>
          </cell>
          <cell r="AP25" t="str">
            <v>BANQUE</v>
          </cell>
          <cell r="AQ25">
            <v>0</v>
          </cell>
          <cell r="AR25">
            <v>0</v>
          </cell>
          <cell r="AS25">
            <v>24000</v>
          </cell>
          <cell r="AW25">
            <v>0</v>
          </cell>
          <cell r="AX25">
            <v>892500</v>
          </cell>
          <cell r="AY25">
            <v>0</v>
          </cell>
          <cell r="AZ25">
            <v>892500</v>
          </cell>
          <cell r="BD25">
            <v>892500</v>
          </cell>
          <cell r="BE25">
            <v>892500</v>
          </cell>
          <cell r="BF25">
            <v>0</v>
          </cell>
          <cell r="BG25">
            <v>4</v>
          </cell>
          <cell r="BN25" t="str">
            <v>DEVELOPPEMENT LAGWEU</v>
          </cell>
          <cell r="BO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-1000000</v>
          </cell>
          <cell r="D26">
            <v>40000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40000</v>
          </cell>
          <cell r="M26">
            <v>0</v>
          </cell>
          <cell r="O26">
            <v>0</v>
          </cell>
          <cell r="P26">
            <v>0</v>
          </cell>
          <cell r="S26">
            <v>1000000</v>
          </cell>
          <cell r="T26" t="str">
            <v>BANQUE</v>
          </cell>
          <cell r="U26">
            <v>1040000</v>
          </cell>
          <cell r="Z26">
            <v>1000000</v>
          </cell>
          <cell r="AA26" t="str">
            <v>BANQUE</v>
          </cell>
          <cell r="AI26">
            <v>60000</v>
          </cell>
          <cell r="AL26">
            <v>1000</v>
          </cell>
          <cell r="AP26" t="str">
            <v>BANQUE</v>
          </cell>
          <cell r="AQ26">
            <v>0</v>
          </cell>
          <cell r="AR26">
            <v>0</v>
          </cell>
          <cell r="AS26">
            <v>15000</v>
          </cell>
          <cell r="AW26">
            <v>60000</v>
          </cell>
          <cell r="AX26">
            <v>0</v>
          </cell>
          <cell r="AY26">
            <v>0</v>
          </cell>
          <cell r="AZ26">
            <v>60000</v>
          </cell>
          <cell r="BA26">
            <v>48000</v>
          </cell>
          <cell r="BD26">
            <v>12000</v>
          </cell>
          <cell r="BE26">
            <v>12000</v>
          </cell>
          <cell r="BF26">
            <v>40000</v>
          </cell>
          <cell r="BG26">
            <v>4</v>
          </cell>
          <cell r="BN26" t="str">
            <v>CONFECTION ECHARPE</v>
          </cell>
          <cell r="BO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10000</v>
          </cell>
          <cell r="J27">
            <v>1</v>
          </cell>
          <cell r="K27">
            <v>40000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4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115000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40000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115000</v>
          </cell>
          <cell r="AQ28">
            <v>0</v>
          </cell>
          <cell r="AR28">
            <v>0</v>
          </cell>
          <cell r="AS28">
            <v>15000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4</v>
          </cell>
          <cell r="BN28" t="str">
            <v>S/TOTAL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40000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40000</v>
          </cell>
          <cell r="M29">
            <v>0</v>
          </cell>
          <cell r="O29">
            <v>0</v>
          </cell>
          <cell r="P29">
            <v>0</v>
          </cell>
          <cell r="U29">
            <v>40000</v>
          </cell>
          <cell r="AQ29">
            <v>0</v>
          </cell>
          <cell r="AR29">
            <v>0</v>
          </cell>
          <cell r="AS29">
            <v>15000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4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115000</v>
          </cell>
          <cell r="E30">
            <v>0</v>
          </cell>
          <cell r="F30">
            <v>70000</v>
          </cell>
          <cell r="G30">
            <v>0</v>
          </cell>
          <cell r="H30" t="str">
            <v>BANQUE</v>
          </cell>
          <cell r="J30">
            <v>1</v>
          </cell>
          <cell r="K30">
            <v>40000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115000</v>
          </cell>
          <cell r="AC30">
            <v>3000</v>
          </cell>
          <cell r="AD30">
            <v>7500</v>
          </cell>
          <cell r="AF30" t="str">
            <v>BANQUE</v>
          </cell>
          <cell r="AQ30">
            <v>0</v>
          </cell>
          <cell r="AR30">
            <v>0</v>
          </cell>
          <cell r="AS30">
            <v>15000</v>
          </cell>
          <cell r="AW30">
            <v>297000</v>
          </cell>
          <cell r="AX30">
            <v>892500</v>
          </cell>
          <cell r="AY30">
            <v>0</v>
          </cell>
          <cell r="AZ30">
            <v>1119500</v>
          </cell>
          <cell r="BB30">
            <v>70000</v>
          </cell>
          <cell r="BD30">
            <v>1119500</v>
          </cell>
          <cell r="BE30">
            <v>1119500</v>
          </cell>
          <cell r="BF30">
            <v>0</v>
          </cell>
          <cell r="BG30">
            <v>4</v>
          </cell>
          <cell r="BN30" t="str">
            <v xml:space="preserve">DECES </v>
          </cell>
          <cell r="BO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140000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40000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U31">
            <v>140000</v>
          </cell>
          <cell r="AQ31">
            <v>0</v>
          </cell>
          <cell r="AR31">
            <v>0</v>
          </cell>
          <cell r="AS31">
            <v>15000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4</v>
          </cell>
          <cell r="BN31" t="str">
            <v>TRANSPORT DELEGUE</v>
          </cell>
          <cell r="BO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441000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40000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76000</v>
          </cell>
          <cell r="S32">
            <v>250000</v>
          </cell>
          <cell r="T32" t="str">
            <v>BANQUE</v>
          </cell>
          <cell r="U32">
            <v>441000</v>
          </cell>
          <cell r="AJ32">
            <v>75000</v>
          </cell>
          <cell r="AM32">
            <v>1000</v>
          </cell>
          <cell r="AP32" t="str">
            <v>BANQUE</v>
          </cell>
          <cell r="AQ32">
            <v>0</v>
          </cell>
          <cell r="AR32">
            <v>0</v>
          </cell>
          <cell r="AS32">
            <v>15000</v>
          </cell>
          <cell r="AW32">
            <v>0</v>
          </cell>
          <cell r="AX32">
            <v>75000</v>
          </cell>
          <cell r="AY32">
            <v>0</v>
          </cell>
          <cell r="AZ32">
            <v>175000</v>
          </cell>
          <cell r="BD32">
            <v>175000</v>
          </cell>
          <cell r="BE32">
            <v>75000</v>
          </cell>
          <cell r="BF32">
            <v>0</v>
          </cell>
          <cell r="BG32">
            <v>4</v>
          </cell>
          <cell r="BK32">
            <v>100000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D33">
            <v>40000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J33">
            <v>1</v>
          </cell>
          <cell r="K33">
            <v>40000</v>
          </cell>
          <cell r="M33">
            <v>0</v>
          </cell>
          <cell r="O33">
            <v>0</v>
          </cell>
          <cell r="P33">
            <v>0</v>
          </cell>
          <cell r="U33">
            <v>40000</v>
          </cell>
          <cell r="AQ33">
            <v>0</v>
          </cell>
          <cell r="AR33">
            <v>0</v>
          </cell>
          <cell r="AS33">
            <v>15000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4</v>
          </cell>
          <cell r="BN33" t="str">
            <v>S/TOTAL</v>
          </cell>
        </row>
        <row r="34">
          <cell r="A34" t="str">
            <v>AS201658</v>
          </cell>
          <cell r="B34" t="str">
            <v>YANTCHOU GERVAIS</v>
          </cell>
          <cell r="C34">
            <v>0</v>
          </cell>
          <cell r="D34">
            <v>100000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I34">
            <v>60000</v>
          </cell>
          <cell r="J34">
            <v>1</v>
          </cell>
          <cell r="K34">
            <v>40000</v>
          </cell>
          <cell r="M34">
            <v>0</v>
          </cell>
          <cell r="O34">
            <v>0</v>
          </cell>
          <cell r="P34">
            <v>0</v>
          </cell>
          <cell r="U34">
            <v>100000</v>
          </cell>
          <cell r="AQ34">
            <v>0</v>
          </cell>
          <cell r="AR34">
            <v>0</v>
          </cell>
          <cell r="AS34">
            <v>75000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4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40000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J35">
            <v>1</v>
          </cell>
          <cell r="K35">
            <v>40000</v>
          </cell>
          <cell r="M35">
            <v>0</v>
          </cell>
          <cell r="O35">
            <v>0</v>
          </cell>
          <cell r="P35">
            <v>0</v>
          </cell>
          <cell r="U35">
            <v>40000</v>
          </cell>
          <cell r="AQ35">
            <v>0</v>
          </cell>
          <cell r="AR35">
            <v>0</v>
          </cell>
          <cell r="AS35">
            <v>15000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4</v>
          </cell>
          <cell r="BN35" t="str">
            <v>COLLATION</v>
          </cell>
          <cell r="BO35" t="str">
            <v>COLLATION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290000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40000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290000</v>
          </cell>
          <cell r="AQ36">
            <v>0</v>
          </cell>
          <cell r="AR36">
            <v>0</v>
          </cell>
          <cell r="AS36">
            <v>15000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4</v>
          </cell>
          <cell r="BN36" t="str">
            <v>BOISSON</v>
          </cell>
          <cell r="BO36" t="str">
            <v>COLLATION</v>
          </cell>
        </row>
        <row r="38">
          <cell r="B38" t="str">
            <v>TOTAUX</v>
          </cell>
          <cell r="C38">
            <v>-1806000</v>
          </cell>
          <cell r="D38">
            <v>5288500</v>
          </cell>
          <cell r="E38">
            <v>245000</v>
          </cell>
          <cell r="F38">
            <v>140000</v>
          </cell>
          <cell r="G38">
            <v>3000</v>
          </cell>
          <cell r="H38">
            <v>0</v>
          </cell>
          <cell r="I38">
            <v>133000</v>
          </cell>
          <cell r="J38">
            <v>30</v>
          </cell>
          <cell r="K38">
            <v>1200000</v>
          </cell>
          <cell r="L38">
            <v>17</v>
          </cell>
          <cell r="M38">
            <v>1275000</v>
          </cell>
          <cell r="N38">
            <v>14</v>
          </cell>
          <cell r="O38">
            <v>1400000</v>
          </cell>
          <cell r="P38">
            <v>61000</v>
          </cell>
          <cell r="Q38">
            <v>321000</v>
          </cell>
          <cell r="R38">
            <v>796500</v>
          </cell>
          <cell r="S38">
            <v>2150000</v>
          </cell>
          <cell r="U38">
            <v>7339500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1600000</v>
          </cell>
          <cell r="AA38">
            <v>0</v>
          </cell>
          <cell r="AC38">
            <v>5500</v>
          </cell>
          <cell r="AD38">
            <v>15000</v>
          </cell>
          <cell r="AE38">
            <v>20000</v>
          </cell>
          <cell r="AF38">
            <v>0</v>
          </cell>
          <cell r="AG38">
            <v>0</v>
          </cell>
          <cell r="AI38">
            <v>181500</v>
          </cell>
          <cell r="AJ38">
            <v>559000</v>
          </cell>
          <cell r="AK38">
            <v>400000</v>
          </cell>
          <cell r="AL38">
            <v>3000</v>
          </cell>
          <cell r="AM38">
            <v>9000</v>
          </cell>
          <cell r="AN38">
            <v>5000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583000</v>
          </cell>
          <cell r="AT38">
            <v>0</v>
          </cell>
          <cell r="AU38">
            <v>0</v>
          </cell>
          <cell r="AV38">
            <v>0</v>
          </cell>
          <cell r="AW38">
            <v>776000</v>
          </cell>
          <cell r="AX38">
            <v>2344000</v>
          </cell>
          <cell r="AY38">
            <v>2780000</v>
          </cell>
          <cell r="AZ38">
            <v>6620000</v>
          </cell>
          <cell r="BA38">
            <v>348000</v>
          </cell>
          <cell r="BB38">
            <v>140000</v>
          </cell>
          <cell r="BC38">
            <v>0</v>
          </cell>
          <cell r="BD38">
            <v>6105000</v>
          </cell>
          <cell r="BE38">
            <v>5451000</v>
          </cell>
          <cell r="BF38">
            <v>64000</v>
          </cell>
          <cell r="BH38">
            <v>45000</v>
          </cell>
          <cell r="BI38">
            <v>155000</v>
          </cell>
          <cell r="BJ38">
            <v>560000</v>
          </cell>
          <cell r="BK38">
            <v>100000</v>
          </cell>
          <cell r="BL38">
            <v>0</v>
          </cell>
          <cell r="BM38">
            <v>0</v>
          </cell>
          <cell r="BN38" t="str">
            <v>S/TOTAL</v>
          </cell>
        </row>
        <row r="40">
          <cell r="C40" t="str">
            <v>BANQUE</v>
          </cell>
          <cell r="F40" t="str">
            <v>ESPECES</v>
          </cell>
          <cell r="AZ40" t="str">
            <v>CENTRALISATION CAISSE</v>
          </cell>
          <cell r="BA40">
            <v>248000</v>
          </cell>
        </row>
        <row r="41">
          <cell r="B41" t="str">
            <v>LIBELLE</v>
          </cell>
          <cell r="C41" t="str">
            <v>SORTIE</v>
          </cell>
          <cell r="D41" t="str">
            <v>ENTREE</v>
          </cell>
          <cell r="E41" t="str">
            <v>SOLDE</v>
          </cell>
          <cell r="F41" t="str">
            <v>ENTREE</v>
          </cell>
          <cell r="G41" t="str">
            <v>SORTIE</v>
          </cell>
          <cell r="H41" t="str">
            <v>SOLDE</v>
          </cell>
        </row>
        <row r="42">
          <cell r="B42" t="str">
            <v>REPORT</v>
          </cell>
        </row>
        <row r="43">
          <cell r="B43" t="str">
            <v>TONTINE</v>
          </cell>
          <cell r="C43">
            <v>6620000</v>
          </cell>
          <cell r="D43">
            <v>5073500</v>
          </cell>
          <cell r="F43">
            <v>245000</v>
          </cell>
        </row>
      </sheetData>
      <sheetData sheetId="12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106000</v>
          </cell>
          <cell r="BD6">
            <v>106000</v>
          </cell>
          <cell r="BE6">
            <v>246000</v>
          </cell>
          <cell r="BF6">
            <v>0</v>
          </cell>
          <cell r="BG6">
            <v>3</v>
          </cell>
          <cell r="BH6">
            <v>6000</v>
          </cell>
          <cell r="BI6">
            <v>0</v>
          </cell>
          <cell r="BJ6">
            <v>0</v>
          </cell>
          <cell r="BK6">
            <v>100000</v>
          </cell>
          <cell r="BM6">
            <v>0</v>
          </cell>
          <cell r="BN6" t="str">
            <v>ACHAT FOURNITURE</v>
          </cell>
          <cell r="BO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40000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J7">
            <v>1</v>
          </cell>
          <cell r="K7">
            <v>40000</v>
          </cell>
          <cell r="M7">
            <v>0</v>
          </cell>
          <cell r="O7">
            <v>0</v>
          </cell>
          <cell r="P7">
            <v>0</v>
          </cell>
          <cell r="U7">
            <v>40000</v>
          </cell>
          <cell r="AQ7">
            <v>0</v>
          </cell>
          <cell r="AR7">
            <v>0</v>
          </cell>
          <cell r="AS7">
            <v>15000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3</v>
          </cell>
          <cell r="BH7">
            <v>0</v>
          </cell>
          <cell r="BI7">
            <v>0</v>
          </cell>
          <cell r="BJ7">
            <v>0</v>
          </cell>
          <cell r="BM7">
            <v>0</v>
          </cell>
          <cell r="BN7" t="str">
            <v>COMMUNICATION</v>
          </cell>
          <cell r="BO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115000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40000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115000</v>
          </cell>
          <cell r="AD8">
            <v>7500</v>
          </cell>
          <cell r="AF8" t="str">
            <v>BANQUE</v>
          </cell>
          <cell r="AQ8">
            <v>0</v>
          </cell>
          <cell r="AR8">
            <v>0</v>
          </cell>
          <cell r="AS8">
            <v>15000</v>
          </cell>
          <cell r="AW8">
            <v>0</v>
          </cell>
          <cell r="AX8">
            <v>892500</v>
          </cell>
          <cell r="AY8">
            <v>0</v>
          </cell>
          <cell r="AZ8">
            <v>892500</v>
          </cell>
          <cell r="BD8">
            <v>892500</v>
          </cell>
          <cell r="BE8">
            <v>892500</v>
          </cell>
          <cell r="BF8">
            <v>0</v>
          </cell>
          <cell r="BG8">
            <v>3</v>
          </cell>
          <cell r="BN8" t="str">
            <v>COMMISSION</v>
          </cell>
          <cell r="BO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441000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-2000</v>
          </cell>
          <cell r="J9">
            <v>1</v>
          </cell>
          <cell r="K9">
            <v>40000</v>
          </cell>
          <cell r="M9">
            <v>0</v>
          </cell>
          <cell r="N9">
            <v>1</v>
          </cell>
          <cell r="O9">
            <v>100000</v>
          </cell>
          <cell r="P9">
            <v>0</v>
          </cell>
          <cell r="R9">
            <v>303000</v>
          </cell>
          <cell r="U9">
            <v>441000</v>
          </cell>
          <cell r="AK9">
            <v>200000</v>
          </cell>
          <cell r="AN9">
            <v>2000</v>
          </cell>
          <cell r="AP9" t="str">
            <v>BANQUE</v>
          </cell>
          <cell r="AQ9">
            <v>0</v>
          </cell>
          <cell r="AR9">
            <v>0</v>
          </cell>
          <cell r="AS9">
            <v>13000</v>
          </cell>
          <cell r="AW9">
            <v>0</v>
          </cell>
          <cell r="AX9">
            <v>0</v>
          </cell>
          <cell r="AY9">
            <v>200000</v>
          </cell>
          <cell r="AZ9">
            <v>200000</v>
          </cell>
          <cell r="BD9">
            <v>200000</v>
          </cell>
          <cell r="BE9">
            <v>200000</v>
          </cell>
          <cell r="BF9">
            <v>0</v>
          </cell>
          <cell r="BG9">
            <v>3</v>
          </cell>
          <cell r="BN9" t="str">
            <v>AIDE UEEB ET CONT FEMME</v>
          </cell>
          <cell r="BO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40000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J10">
            <v>1</v>
          </cell>
          <cell r="K10">
            <v>40000</v>
          </cell>
          <cell r="M10">
            <v>0</v>
          </cell>
          <cell r="O10">
            <v>0</v>
          </cell>
          <cell r="P10">
            <v>0</v>
          </cell>
          <cell r="U10">
            <v>40000</v>
          </cell>
          <cell r="AQ10">
            <v>0</v>
          </cell>
          <cell r="AR10">
            <v>0</v>
          </cell>
          <cell r="AS10">
            <v>15000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D10">
            <v>0</v>
          </cell>
          <cell r="BF10">
            <v>0</v>
          </cell>
          <cell r="BG10">
            <v>3</v>
          </cell>
          <cell r="BN10" t="str">
            <v>CREDIT TELEPHONE</v>
          </cell>
          <cell r="BO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347000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500</v>
          </cell>
          <cell r="J11">
            <v>1</v>
          </cell>
          <cell r="K11">
            <v>40000</v>
          </cell>
          <cell r="L11">
            <v>1</v>
          </cell>
          <cell r="M11">
            <v>75000</v>
          </cell>
          <cell r="O11">
            <v>0</v>
          </cell>
          <cell r="P11">
            <v>62500</v>
          </cell>
          <cell r="Q11">
            <v>169000</v>
          </cell>
          <cell r="U11">
            <v>347000</v>
          </cell>
          <cell r="AJ11">
            <v>58000</v>
          </cell>
          <cell r="AM11">
            <v>1000</v>
          </cell>
          <cell r="AQ11">
            <v>0</v>
          </cell>
          <cell r="AR11">
            <v>0</v>
          </cell>
          <cell r="AS11">
            <v>15500</v>
          </cell>
          <cell r="AW11">
            <v>0</v>
          </cell>
          <cell r="AX11">
            <v>58000</v>
          </cell>
          <cell r="AY11">
            <v>0</v>
          </cell>
          <cell r="AZ11">
            <v>58000</v>
          </cell>
          <cell r="BA11">
            <v>58000</v>
          </cell>
          <cell r="BD11">
            <v>0</v>
          </cell>
          <cell r="BF11">
            <v>0</v>
          </cell>
          <cell r="BG11">
            <v>3</v>
          </cell>
          <cell r="BN11" t="str">
            <v>PRODUCTION RAPPORT</v>
          </cell>
          <cell r="BO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320000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40000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320000</v>
          </cell>
          <cell r="AK12">
            <v>200000</v>
          </cell>
          <cell r="AN12">
            <v>2000</v>
          </cell>
          <cell r="AP12" t="str">
            <v>BANQUE</v>
          </cell>
          <cell r="AQ12">
            <v>0</v>
          </cell>
          <cell r="AR12">
            <v>0</v>
          </cell>
          <cell r="AS12">
            <v>20000</v>
          </cell>
          <cell r="AW12">
            <v>0</v>
          </cell>
          <cell r="AX12">
            <v>0</v>
          </cell>
          <cell r="AY12">
            <v>200000</v>
          </cell>
          <cell r="AZ12">
            <v>200000</v>
          </cell>
          <cell r="BD12">
            <v>200000</v>
          </cell>
          <cell r="BE12">
            <v>200000</v>
          </cell>
          <cell r="BF12">
            <v>0</v>
          </cell>
          <cell r="BG12">
            <v>3</v>
          </cell>
          <cell r="BN12" t="str">
            <v>ACHAT SOURIS ET PHOTOCOPIE</v>
          </cell>
          <cell r="BO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40000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40000</v>
          </cell>
          <cell r="M13">
            <v>0</v>
          </cell>
          <cell r="O13">
            <v>0</v>
          </cell>
          <cell r="P13">
            <v>0</v>
          </cell>
          <cell r="U13">
            <v>40000</v>
          </cell>
          <cell r="AQ13">
            <v>0</v>
          </cell>
          <cell r="AR13">
            <v>0</v>
          </cell>
          <cell r="AS13">
            <v>15000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3</v>
          </cell>
          <cell r="BN13" t="str">
            <v>TAXI BANQUE</v>
          </cell>
          <cell r="BO13" t="str">
            <v>FONDS DE ROULEMENT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40000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40000</v>
          </cell>
          <cell r="M14">
            <v>0</v>
          </cell>
          <cell r="O14">
            <v>0</v>
          </cell>
          <cell r="P14">
            <v>0</v>
          </cell>
          <cell r="U14">
            <v>40000</v>
          </cell>
          <cell r="AQ14">
            <v>0</v>
          </cell>
          <cell r="AR14">
            <v>0</v>
          </cell>
          <cell r="AS14">
            <v>15000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3</v>
          </cell>
          <cell r="BN14" t="str">
            <v>CONFECTION CACHET</v>
          </cell>
          <cell r="BO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115000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40000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115000</v>
          </cell>
          <cell r="AQ15">
            <v>0</v>
          </cell>
          <cell r="AR15">
            <v>0</v>
          </cell>
          <cell r="AS15">
            <v>15000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3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40000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250000</v>
          </cell>
          <cell r="AK16">
            <v>200000</v>
          </cell>
          <cell r="AN16">
            <v>2000</v>
          </cell>
          <cell r="AQ16">
            <v>0</v>
          </cell>
          <cell r="AR16">
            <v>0</v>
          </cell>
          <cell r="AS16">
            <v>50000</v>
          </cell>
          <cell r="AW16">
            <v>0</v>
          </cell>
          <cell r="AX16">
            <v>0</v>
          </cell>
          <cell r="AY16">
            <v>200000</v>
          </cell>
          <cell r="AZ16">
            <v>200000</v>
          </cell>
          <cell r="BA16">
            <v>9000</v>
          </cell>
          <cell r="BD16">
            <v>191000</v>
          </cell>
          <cell r="BE16">
            <v>191000</v>
          </cell>
          <cell r="BF16">
            <v>0</v>
          </cell>
          <cell r="BG16">
            <v>3</v>
          </cell>
          <cell r="BN16" t="str">
            <v>S/TOTAL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140000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40000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U17">
            <v>140000</v>
          </cell>
          <cell r="AQ17">
            <v>0</v>
          </cell>
          <cell r="AR17">
            <v>0</v>
          </cell>
          <cell r="AS17">
            <v>15000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D17">
            <v>0</v>
          </cell>
          <cell r="BF17">
            <v>0</v>
          </cell>
          <cell r="BG17">
            <v>3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215000</v>
          </cell>
          <cell r="E18">
            <v>100000</v>
          </cell>
          <cell r="F18">
            <v>0</v>
          </cell>
          <cell r="G18">
            <v>0</v>
          </cell>
          <cell r="H18" t="str">
            <v>BANQUE</v>
          </cell>
          <cell r="J18">
            <v>1</v>
          </cell>
          <cell r="K18">
            <v>40000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S18">
            <v>100000</v>
          </cell>
          <cell r="T18" t="str">
            <v>BANQUE</v>
          </cell>
          <cell r="U18">
            <v>315000</v>
          </cell>
          <cell r="AK18">
            <v>100000</v>
          </cell>
          <cell r="AN18">
            <v>1000</v>
          </cell>
          <cell r="AQ18">
            <v>0</v>
          </cell>
          <cell r="AR18">
            <v>0</v>
          </cell>
          <cell r="AS18">
            <v>15000</v>
          </cell>
          <cell r="AW18">
            <v>0</v>
          </cell>
          <cell r="AX18">
            <v>0</v>
          </cell>
          <cell r="AY18">
            <v>100000</v>
          </cell>
          <cell r="AZ18">
            <v>100000</v>
          </cell>
          <cell r="BD18">
            <v>100000</v>
          </cell>
          <cell r="BE18">
            <v>100000</v>
          </cell>
          <cell r="BF18">
            <v>0</v>
          </cell>
          <cell r="BG18">
            <v>3</v>
          </cell>
          <cell r="BN18" t="str">
            <v>GRATIFICATION BUREAU 2021</v>
          </cell>
          <cell r="BO18" t="str">
            <v>PENALITE VERSEMENT ESPECES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40000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40000</v>
          </cell>
          <cell r="M19">
            <v>0</v>
          </cell>
          <cell r="O19">
            <v>0</v>
          </cell>
          <cell r="P19">
            <v>0</v>
          </cell>
          <cell r="U19">
            <v>40000</v>
          </cell>
          <cell r="AQ19">
            <v>0</v>
          </cell>
          <cell r="AR19">
            <v>0</v>
          </cell>
          <cell r="AS19">
            <v>15000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3</v>
          </cell>
          <cell r="BN19" t="str">
            <v>ACHAT LAPTOP</v>
          </cell>
          <cell r="BO19" t="str">
            <v>PENALITE VERSEMENT ESPECES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528500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-500</v>
          </cell>
          <cell r="J20">
            <v>1</v>
          </cell>
          <cell r="K20">
            <v>40000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61000</v>
          </cell>
          <cell r="Q20">
            <v>152000</v>
          </cell>
          <cell r="R20">
            <v>101000</v>
          </cell>
          <cell r="U20">
            <v>528500</v>
          </cell>
          <cell r="AK20">
            <v>200000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14500</v>
          </cell>
          <cell r="AW20">
            <v>0</v>
          </cell>
          <cell r="AX20">
            <v>0</v>
          </cell>
          <cell r="AY20">
            <v>200000</v>
          </cell>
          <cell r="AZ20">
            <v>200000</v>
          </cell>
          <cell r="BD20">
            <v>200000</v>
          </cell>
          <cell r="BE20">
            <v>200000</v>
          </cell>
          <cell r="BF20">
            <v>0</v>
          </cell>
          <cell r="BG20">
            <v>3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40000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40000</v>
          </cell>
          <cell r="M21">
            <v>0</v>
          </cell>
          <cell r="O21">
            <v>0</v>
          </cell>
          <cell r="P21">
            <v>0</v>
          </cell>
          <cell r="U21">
            <v>40000</v>
          </cell>
          <cell r="AQ21">
            <v>0</v>
          </cell>
          <cell r="AR21">
            <v>0</v>
          </cell>
          <cell r="AS21">
            <v>15000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3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115000</v>
          </cell>
          <cell r="E22">
            <v>0</v>
          </cell>
          <cell r="F22">
            <v>892500</v>
          </cell>
          <cell r="G22">
            <v>0</v>
          </cell>
          <cell r="H22" t="str">
            <v>BANQUE</v>
          </cell>
          <cell r="J22">
            <v>1</v>
          </cell>
          <cell r="K22">
            <v>40000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S22">
            <v>892500</v>
          </cell>
          <cell r="U22">
            <v>1007500</v>
          </cell>
          <cell r="AD22">
            <v>7500</v>
          </cell>
          <cell r="AF22" t="str">
            <v>BANQUE</v>
          </cell>
          <cell r="AQ22">
            <v>0</v>
          </cell>
          <cell r="AR22">
            <v>0</v>
          </cell>
          <cell r="AS22">
            <v>15000</v>
          </cell>
          <cell r="AW22">
            <v>0</v>
          </cell>
          <cell r="AX22">
            <v>892500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3</v>
          </cell>
          <cell r="BN22" t="str">
            <v>S/TOTAL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250000</v>
          </cell>
          <cell r="E23">
            <v>0</v>
          </cell>
          <cell r="F23">
            <v>70000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40000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0</v>
          </cell>
          <cell r="U23">
            <v>250000</v>
          </cell>
          <cell r="AC23">
            <v>2500</v>
          </cell>
          <cell r="AF23" t="str">
            <v>BANQUE</v>
          </cell>
          <cell r="AK23">
            <v>100000</v>
          </cell>
          <cell r="AN23">
            <v>1000</v>
          </cell>
          <cell r="AQ23">
            <v>0</v>
          </cell>
          <cell r="AR23">
            <v>0</v>
          </cell>
          <cell r="AS23">
            <v>25000</v>
          </cell>
          <cell r="AW23">
            <v>297500</v>
          </cell>
          <cell r="AX23">
            <v>0</v>
          </cell>
          <cell r="AY23">
            <v>100000</v>
          </cell>
          <cell r="AZ23">
            <v>327500</v>
          </cell>
          <cell r="BA23">
            <v>100000</v>
          </cell>
          <cell r="BB23">
            <v>70000</v>
          </cell>
          <cell r="BD23">
            <v>227500</v>
          </cell>
          <cell r="BE23">
            <v>227500</v>
          </cell>
          <cell r="BF23">
            <v>0</v>
          </cell>
          <cell r="BG23">
            <v>3</v>
          </cell>
        </row>
        <row r="24">
          <cell r="A24" t="str">
            <v>AS201624</v>
          </cell>
          <cell r="B24" t="str">
            <v>NGONDIEP CLAUDE</v>
          </cell>
          <cell r="C24">
            <v>-171000</v>
          </cell>
          <cell r="D24">
            <v>215000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J24">
            <v>1</v>
          </cell>
          <cell r="K24">
            <v>40000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171000</v>
          </cell>
          <cell r="R24">
            <v>0</v>
          </cell>
          <cell r="U24">
            <v>386000</v>
          </cell>
          <cell r="AK24">
            <v>200000</v>
          </cell>
          <cell r="AN24">
            <v>2000</v>
          </cell>
          <cell r="AQ24">
            <v>0</v>
          </cell>
          <cell r="AR24">
            <v>0</v>
          </cell>
          <cell r="AS24">
            <v>15000</v>
          </cell>
          <cell r="AW24">
            <v>0</v>
          </cell>
          <cell r="AX24">
            <v>0</v>
          </cell>
          <cell r="AY24">
            <v>200000</v>
          </cell>
          <cell r="AZ24">
            <v>200000</v>
          </cell>
          <cell r="BD24">
            <v>200000</v>
          </cell>
          <cell r="BE24">
            <v>200000</v>
          </cell>
          <cell r="BF24">
            <v>0</v>
          </cell>
          <cell r="BG24">
            <v>3</v>
          </cell>
          <cell r="BN24" t="str">
            <v>GRATIFICATION BUREAU 2021</v>
          </cell>
          <cell r="BO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440000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150000</v>
          </cell>
          <cell r="J25">
            <v>1</v>
          </cell>
          <cell r="K25">
            <v>40000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0</v>
          </cell>
          <cell r="U25">
            <v>440000</v>
          </cell>
          <cell r="AK25">
            <v>200000</v>
          </cell>
          <cell r="AN25">
            <v>2000</v>
          </cell>
          <cell r="AQ25">
            <v>0</v>
          </cell>
          <cell r="AR25">
            <v>0</v>
          </cell>
          <cell r="AS25">
            <v>165000</v>
          </cell>
          <cell r="AW25">
            <v>0</v>
          </cell>
          <cell r="AX25">
            <v>0</v>
          </cell>
          <cell r="AY25">
            <v>200000</v>
          </cell>
          <cell r="AZ25">
            <v>200000</v>
          </cell>
          <cell r="BD25">
            <v>200000</v>
          </cell>
          <cell r="BE25">
            <v>200000</v>
          </cell>
          <cell r="BF25">
            <v>0</v>
          </cell>
          <cell r="BG25">
            <v>3</v>
          </cell>
          <cell r="BN25" t="str">
            <v>DEVELOPPEMENT LAGWEU</v>
          </cell>
          <cell r="BO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40000</v>
          </cell>
          <cell r="D26">
            <v>50000</v>
          </cell>
          <cell r="E26">
            <v>94000</v>
          </cell>
          <cell r="F26">
            <v>0</v>
          </cell>
          <cell r="G26">
            <v>3000</v>
          </cell>
          <cell r="H26" t="str">
            <v>BANQUE</v>
          </cell>
          <cell r="J26">
            <v>1</v>
          </cell>
          <cell r="K26">
            <v>40000</v>
          </cell>
          <cell r="M26">
            <v>0</v>
          </cell>
          <cell r="O26">
            <v>0</v>
          </cell>
          <cell r="P26">
            <v>61000</v>
          </cell>
          <cell r="U26">
            <v>104000</v>
          </cell>
          <cell r="AI26">
            <v>17000</v>
          </cell>
          <cell r="AL26">
            <v>500</v>
          </cell>
          <cell r="AQ26">
            <v>0</v>
          </cell>
          <cell r="AR26">
            <v>0</v>
          </cell>
          <cell r="AS26">
            <v>15000</v>
          </cell>
          <cell r="AW26">
            <v>17000</v>
          </cell>
          <cell r="AX26">
            <v>0</v>
          </cell>
          <cell r="AY26">
            <v>0</v>
          </cell>
          <cell r="AZ26">
            <v>17000</v>
          </cell>
          <cell r="BA26">
            <v>17000</v>
          </cell>
          <cell r="BD26">
            <v>0</v>
          </cell>
          <cell r="BF26">
            <v>0</v>
          </cell>
          <cell r="BG26">
            <v>3</v>
          </cell>
          <cell r="BN26" t="str">
            <v>DEUIL TCHEMNOU EMMANUEL</v>
          </cell>
          <cell r="BO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-127500</v>
          </cell>
          <cell r="D27">
            <v>50000</v>
          </cell>
          <cell r="E27">
            <v>0</v>
          </cell>
          <cell r="F27">
            <v>70000</v>
          </cell>
          <cell r="G27">
            <v>0</v>
          </cell>
          <cell r="H27" t="str">
            <v>BANQUE</v>
          </cell>
          <cell r="I27">
            <v>137500</v>
          </cell>
          <cell r="J27">
            <v>1</v>
          </cell>
          <cell r="K27">
            <v>40000</v>
          </cell>
          <cell r="M27">
            <v>0</v>
          </cell>
          <cell r="O27">
            <v>0</v>
          </cell>
          <cell r="P27">
            <v>0</v>
          </cell>
          <cell r="U27">
            <v>177500</v>
          </cell>
          <cell r="AC27">
            <v>2500</v>
          </cell>
          <cell r="AF27" t="str">
            <v>BANQUE</v>
          </cell>
          <cell r="AQ27">
            <v>0</v>
          </cell>
          <cell r="AR27">
            <v>0</v>
          </cell>
          <cell r="AS27">
            <v>152500</v>
          </cell>
          <cell r="AW27">
            <v>297500</v>
          </cell>
          <cell r="AX27">
            <v>0</v>
          </cell>
          <cell r="AY27">
            <v>0</v>
          </cell>
          <cell r="AZ27">
            <v>227500</v>
          </cell>
          <cell r="BB27">
            <v>70000</v>
          </cell>
          <cell r="BD27">
            <v>100000</v>
          </cell>
          <cell r="BE27">
            <v>100000</v>
          </cell>
          <cell r="BF27">
            <v>0</v>
          </cell>
          <cell r="BG27">
            <v>3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115000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40000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115000</v>
          </cell>
          <cell r="AQ28">
            <v>0</v>
          </cell>
          <cell r="AR28">
            <v>0</v>
          </cell>
          <cell r="AS28">
            <v>15000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3</v>
          </cell>
          <cell r="BN28" t="str">
            <v>S/TOTAL</v>
          </cell>
        </row>
        <row r="29">
          <cell r="A29" t="str">
            <v>AS201657</v>
          </cell>
          <cell r="B29" t="str">
            <v>SEUMO POLYCARPE</v>
          </cell>
          <cell r="C29">
            <v>-177500</v>
          </cell>
          <cell r="D29">
            <v>40000</v>
          </cell>
          <cell r="E29">
            <v>0</v>
          </cell>
          <cell r="F29">
            <v>70000</v>
          </cell>
          <cell r="G29">
            <v>0</v>
          </cell>
          <cell r="H29" t="str">
            <v>BANQUE</v>
          </cell>
          <cell r="I29">
            <v>177500</v>
          </cell>
          <cell r="J29">
            <v>1</v>
          </cell>
          <cell r="K29">
            <v>40000</v>
          </cell>
          <cell r="M29">
            <v>0</v>
          </cell>
          <cell r="O29">
            <v>0</v>
          </cell>
          <cell r="P29">
            <v>0</v>
          </cell>
          <cell r="U29">
            <v>217500</v>
          </cell>
          <cell r="AC29">
            <v>2500</v>
          </cell>
          <cell r="AF29" t="str">
            <v>BANQUE</v>
          </cell>
          <cell r="AQ29">
            <v>0</v>
          </cell>
          <cell r="AR29">
            <v>0</v>
          </cell>
          <cell r="AS29">
            <v>192500</v>
          </cell>
          <cell r="AW29">
            <v>297500</v>
          </cell>
          <cell r="AX29">
            <v>0</v>
          </cell>
          <cell r="AY29">
            <v>0</v>
          </cell>
          <cell r="AZ29">
            <v>227500</v>
          </cell>
          <cell r="BA29">
            <v>50000</v>
          </cell>
          <cell r="BB29">
            <v>70000</v>
          </cell>
          <cell r="BD29">
            <v>0</v>
          </cell>
          <cell r="BF29">
            <v>0</v>
          </cell>
          <cell r="BG29">
            <v>3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115000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40000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115000</v>
          </cell>
          <cell r="AQ30">
            <v>0</v>
          </cell>
          <cell r="AR30">
            <v>0</v>
          </cell>
          <cell r="AS30">
            <v>15000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3</v>
          </cell>
          <cell r="BN30" t="str">
            <v xml:space="preserve">DECES </v>
          </cell>
          <cell r="BO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140000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40000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U31">
            <v>140000</v>
          </cell>
          <cell r="AK31">
            <v>30000</v>
          </cell>
          <cell r="AN31">
            <v>1000</v>
          </cell>
          <cell r="AQ31">
            <v>0</v>
          </cell>
          <cell r="AR31">
            <v>0</v>
          </cell>
          <cell r="AS31">
            <v>15000</v>
          </cell>
          <cell r="AW31">
            <v>0</v>
          </cell>
          <cell r="AX31">
            <v>0</v>
          </cell>
          <cell r="AY31">
            <v>30000</v>
          </cell>
          <cell r="AZ31">
            <v>30000</v>
          </cell>
          <cell r="BA31">
            <v>30000</v>
          </cell>
          <cell r="BD31">
            <v>0</v>
          </cell>
          <cell r="BF31">
            <v>0</v>
          </cell>
          <cell r="BG31">
            <v>3</v>
          </cell>
          <cell r="BN31" t="str">
            <v>TRANSPORT DELEGUE</v>
          </cell>
          <cell r="BO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191000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40000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76000</v>
          </cell>
          <cell r="U32">
            <v>191000</v>
          </cell>
          <cell r="AQ32">
            <v>0</v>
          </cell>
          <cell r="AR32">
            <v>0</v>
          </cell>
          <cell r="AS32">
            <v>15000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D32">
            <v>0</v>
          </cell>
          <cell r="BF32">
            <v>0</v>
          </cell>
          <cell r="BG32">
            <v>3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D33">
            <v>40000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J33">
            <v>1</v>
          </cell>
          <cell r="K33">
            <v>40000</v>
          </cell>
          <cell r="M33">
            <v>0</v>
          </cell>
          <cell r="O33">
            <v>0</v>
          </cell>
          <cell r="P33">
            <v>0</v>
          </cell>
          <cell r="U33">
            <v>40000</v>
          </cell>
          <cell r="AQ33">
            <v>0</v>
          </cell>
          <cell r="AR33">
            <v>0</v>
          </cell>
          <cell r="AS33">
            <v>15000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3</v>
          </cell>
          <cell r="BN33" t="str">
            <v>S/TOTAL</v>
          </cell>
        </row>
        <row r="34">
          <cell r="A34" t="str">
            <v>AS201658</v>
          </cell>
          <cell r="B34" t="str">
            <v>YANTCHOU GERVAIS</v>
          </cell>
          <cell r="C34">
            <v>0</v>
          </cell>
          <cell r="D34">
            <v>40000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40000</v>
          </cell>
          <cell r="M34">
            <v>0</v>
          </cell>
          <cell r="O34">
            <v>0</v>
          </cell>
          <cell r="P34">
            <v>0</v>
          </cell>
          <cell r="U34">
            <v>40000</v>
          </cell>
          <cell r="AQ34">
            <v>0</v>
          </cell>
          <cell r="AR34">
            <v>0</v>
          </cell>
          <cell r="AS34">
            <v>15000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3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40000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J35">
            <v>1</v>
          </cell>
          <cell r="K35">
            <v>40000</v>
          </cell>
          <cell r="M35">
            <v>0</v>
          </cell>
          <cell r="O35">
            <v>0</v>
          </cell>
          <cell r="P35">
            <v>0</v>
          </cell>
          <cell r="U35">
            <v>40000</v>
          </cell>
          <cell r="AQ35">
            <v>0</v>
          </cell>
          <cell r="AR35">
            <v>0</v>
          </cell>
          <cell r="AS35">
            <v>15000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3</v>
          </cell>
          <cell r="BN35" t="str">
            <v>COLLATION</v>
          </cell>
          <cell r="BO35" t="str">
            <v>COLLATION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400000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40000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S36">
            <v>110000</v>
          </cell>
          <cell r="T36" t="str">
            <v>BANQUE</v>
          </cell>
          <cell r="U36">
            <v>400000</v>
          </cell>
          <cell r="AQ36">
            <v>0</v>
          </cell>
          <cell r="AR36">
            <v>0</v>
          </cell>
          <cell r="AS36">
            <v>15000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3</v>
          </cell>
          <cell r="BN36" t="str">
            <v>BOISSON</v>
          </cell>
          <cell r="BO36" t="str">
            <v>COLLATION</v>
          </cell>
        </row>
        <row r="38">
          <cell r="B38" t="str">
            <v>TOTAUX</v>
          </cell>
          <cell r="C38">
            <v>-436000</v>
          </cell>
          <cell r="D38">
            <v>5127500</v>
          </cell>
          <cell r="E38">
            <v>194000</v>
          </cell>
          <cell r="F38">
            <v>1102500</v>
          </cell>
          <cell r="G38">
            <v>3000</v>
          </cell>
          <cell r="H38">
            <v>0</v>
          </cell>
          <cell r="I38">
            <v>513000</v>
          </cell>
          <cell r="J38">
            <v>30</v>
          </cell>
          <cell r="K38">
            <v>1200000</v>
          </cell>
          <cell r="L38">
            <v>17</v>
          </cell>
          <cell r="M38">
            <v>1275000</v>
          </cell>
          <cell r="N38">
            <v>14</v>
          </cell>
          <cell r="O38">
            <v>1400000</v>
          </cell>
          <cell r="P38">
            <v>184500</v>
          </cell>
          <cell r="Q38">
            <v>568000</v>
          </cell>
          <cell r="R38">
            <v>404000</v>
          </cell>
          <cell r="S38">
            <v>1102500</v>
          </cell>
          <cell r="U38">
            <v>6650000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C38">
            <v>7500</v>
          </cell>
          <cell r="AD38">
            <v>15000</v>
          </cell>
          <cell r="AE38">
            <v>0</v>
          </cell>
          <cell r="AF38">
            <v>0</v>
          </cell>
          <cell r="AG38">
            <v>0</v>
          </cell>
          <cell r="AI38">
            <v>17000</v>
          </cell>
          <cell r="AJ38">
            <v>58000</v>
          </cell>
          <cell r="AK38">
            <v>1430000</v>
          </cell>
          <cell r="AL38">
            <v>500</v>
          </cell>
          <cell r="AM38">
            <v>1000</v>
          </cell>
          <cell r="AN38">
            <v>15000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963000</v>
          </cell>
          <cell r="AT38">
            <v>0</v>
          </cell>
          <cell r="AU38">
            <v>0</v>
          </cell>
          <cell r="AV38">
            <v>0</v>
          </cell>
          <cell r="AW38">
            <v>909500</v>
          </cell>
          <cell r="AX38">
            <v>1843000</v>
          </cell>
          <cell r="AY38">
            <v>1430000</v>
          </cell>
          <cell r="AZ38">
            <v>3186000</v>
          </cell>
          <cell r="BA38">
            <v>264000</v>
          </cell>
          <cell r="BB38">
            <v>210000</v>
          </cell>
          <cell r="BC38">
            <v>0</v>
          </cell>
          <cell r="BD38">
            <v>2617000</v>
          </cell>
          <cell r="BE38">
            <v>2757000</v>
          </cell>
          <cell r="BF38">
            <v>0</v>
          </cell>
          <cell r="BH38">
            <v>6000</v>
          </cell>
          <cell r="BI38">
            <v>0</v>
          </cell>
          <cell r="BJ38">
            <v>0</v>
          </cell>
          <cell r="BK38">
            <v>100000</v>
          </cell>
          <cell r="BL38">
            <v>0</v>
          </cell>
          <cell r="BM38">
            <v>0</v>
          </cell>
          <cell r="BN38" t="str">
            <v>S/TOTAL</v>
          </cell>
        </row>
        <row r="40">
          <cell r="C40" t="str">
            <v>BANQUE</v>
          </cell>
          <cell r="F40" t="str">
            <v>ESPECES</v>
          </cell>
        </row>
        <row r="41">
          <cell r="B41" t="str">
            <v>LIBELLE</v>
          </cell>
          <cell r="C41" t="str">
            <v>SORTIE</v>
          </cell>
          <cell r="D41" t="str">
            <v>ENTREE</v>
          </cell>
          <cell r="E41" t="str">
            <v>SOLDE</v>
          </cell>
          <cell r="F41" t="str">
            <v>ENTREE</v>
          </cell>
          <cell r="G41" t="str">
            <v>SORTIE</v>
          </cell>
          <cell r="H41" t="str">
            <v>SOLDE</v>
          </cell>
        </row>
        <row r="42">
          <cell r="B42" t="str">
            <v>REPORT</v>
          </cell>
        </row>
        <row r="43">
          <cell r="B43" t="str">
            <v>TONTINE</v>
          </cell>
          <cell r="C43">
            <v>3186000</v>
          </cell>
          <cell r="D43">
            <v>4912500</v>
          </cell>
          <cell r="F43">
            <v>194000</v>
          </cell>
        </row>
      </sheetData>
      <sheetData sheetId="13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713500</v>
          </cell>
          <cell r="BD6">
            <v>713500</v>
          </cell>
          <cell r="BE6">
            <v>749500</v>
          </cell>
          <cell r="BF6">
            <v>0</v>
          </cell>
          <cell r="BG6">
            <v>2</v>
          </cell>
          <cell r="BH6">
            <v>13500</v>
          </cell>
          <cell r="BI6">
            <v>600000</v>
          </cell>
          <cell r="BJ6">
            <v>0</v>
          </cell>
          <cell r="BK6">
            <v>100000</v>
          </cell>
          <cell r="BM6">
            <v>0</v>
          </cell>
          <cell r="BN6" t="str">
            <v>ACHAT FOURNITURE</v>
          </cell>
          <cell r="BO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40000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J7">
            <v>1</v>
          </cell>
          <cell r="K7">
            <v>40000</v>
          </cell>
          <cell r="M7">
            <v>0</v>
          </cell>
          <cell r="O7">
            <v>0</v>
          </cell>
          <cell r="P7">
            <v>0</v>
          </cell>
          <cell r="U7">
            <v>40000</v>
          </cell>
          <cell r="AI7">
            <v>27500</v>
          </cell>
          <cell r="AL7">
            <v>500</v>
          </cell>
          <cell r="AP7" t="str">
            <v>BANQUE</v>
          </cell>
          <cell r="AQ7">
            <v>0</v>
          </cell>
          <cell r="AR7">
            <v>0</v>
          </cell>
          <cell r="AS7">
            <v>15000</v>
          </cell>
          <cell r="AW7">
            <v>27500</v>
          </cell>
          <cell r="AX7">
            <v>0</v>
          </cell>
          <cell r="AY7">
            <v>0</v>
          </cell>
          <cell r="AZ7">
            <v>27500</v>
          </cell>
          <cell r="BA7">
            <v>27500</v>
          </cell>
          <cell r="BD7">
            <v>0</v>
          </cell>
          <cell r="BF7">
            <v>0</v>
          </cell>
          <cell r="BG7">
            <v>2</v>
          </cell>
          <cell r="BH7">
            <v>0</v>
          </cell>
          <cell r="BI7">
            <v>0</v>
          </cell>
          <cell r="BJ7">
            <v>0</v>
          </cell>
          <cell r="BM7">
            <v>0</v>
          </cell>
          <cell r="BN7" t="str">
            <v>COMMUNICATION</v>
          </cell>
          <cell r="BO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0</v>
          </cell>
          <cell r="E8">
            <v>115000</v>
          </cell>
          <cell r="F8">
            <v>70000</v>
          </cell>
          <cell r="G8">
            <v>0</v>
          </cell>
          <cell r="H8" t="str">
            <v>ESPECES</v>
          </cell>
          <cell r="J8">
            <v>1</v>
          </cell>
          <cell r="K8">
            <v>40000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115000</v>
          </cell>
          <cell r="AC8">
            <v>2500</v>
          </cell>
          <cell r="AF8" t="str">
            <v>BANQUE</v>
          </cell>
          <cell r="AQ8">
            <v>0</v>
          </cell>
          <cell r="AR8">
            <v>0</v>
          </cell>
          <cell r="AS8">
            <v>15000</v>
          </cell>
          <cell r="AW8">
            <v>297500</v>
          </cell>
          <cell r="AX8">
            <v>0</v>
          </cell>
          <cell r="AY8">
            <v>0</v>
          </cell>
          <cell r="AZ8">
            <v>227500</v>
          </cell>
          <cell r="BB8">
            <v>70000</v>
          </cell>
          <cell r="BD8">
            <v>227500</v>
          </cell>
          <cell r="BE8">
            <v>227500</v>
          </cell>
          <cell r="BF8">
            <v>0</v>
          </cell>
          <cell r="BG8">
            <v>2</v>
          </cell>
          <cell r="BN8" t="str">
            <v>COMMISSION</v>
          </cell>
          <cell r="BO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342000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40000</v>
          </cell>
          <cell r="M9">
            <v>0</v>
          </cell>
          <cell r="N9">
            <v>1</v>
          </cell>
          <cell r="O9">
            <v>100000</v>
          </cell>
          <cell r="P9">
            <v>0</v>
          </cell>
          <cell r="R9">
            <v>202000</v>
          </cell>
          <cell r="U9">
            <v>342000</v>
          </cell>
          <cell r="AK9">
            <v>200000</v>
          </cell>
          <cell r="AN9">
            <v>2000</v>
          </cell>
          <cell r="AP9" t="str">
            <v>BANQUE</v>
          </cell>
          <cell r="AQ9">
            <v>0</v>
          </cell>
          <cell r="AR9">
            <v>0</v>
          </cell>
          <cell r="AS9">
            <v>15000</v>
          </cell>
          <cell r="AW9">
            <v>0</v>
          </cell>
          <cell r="AX9">
            <v>0</v>
          </cell>
          <cell r="AY9">
            <v>200000</v>
          </cell>
          <cell r="AZ9">
            <v>200000</v>
          </cell>
          <cell r="BD9">
            <v>200000</v>
          </cell>
          <cell r="BE9">
            <v>100000</v>
          </cell>
          <cell r="BF9">
            <v>0</v>
          </cell>
          <cell r="BG9">
            <v>2</v>
          </cell>
          <cell r="BN9" t="str">
            <v>AIDE UEEB ET CONT FEMME</v>
          </cell>
          <cell r="BO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40000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J10">
            <v>1</v>
          </cell>
          <cell r="K10">
            <v>40000</v>
          </cell>
          <cell r="M10">
            <v>0</v>
          </cell>
          <cell r="O10">
            <v>0</v>
          </cell>
          <cell r="P10">
            <v>0</v>
          </cell>
          <cell r="U10">
            <v>40000</v>
          </cell>
          <cell r="AQ10">
            <v>0</v>
          </cell>
          <cell r="AR10">
            <v>0</v>
          </cell>
          <cell r="AS10">
            <v>15000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D10">
            <v>0</v>
          </cell>
          <cell r="BF10">
            <v>0</v>
          </cell>
          <cell r="BG10">
            <v>2</v>
          </cell>
          <cell r="BN10" t="str">
            <v>CREDIT TELEPHONE</v>
          </cell>
          <cell r="BO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115000</v>
          </cell>
          <cell r="E11">
            <v>59000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40000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59000</v>
          </cell>
          <cell r="U11">
            <v>174000</v>
          </cell>
          <cell r="AJ11">
            <v>75000</v>
          </cell>
          <cell r="AM11">
            <v>1000</v>
          </cell>
          <cell r="AP11" t="str">
            <v>BANQUE</v>
          </cell>
          <cell r="AQ11">
            <v>0</v>
          </cell>
          <cell r="AR11">
            <v>0</v>
          </cell>
          <cell r="AS11">
            <v>15000</v>
          </cell>
          <cell r="AW11">
            <v>0</v>
          </cell>
          <cell r="AX11">
            <v>75000</v>
          </cell>
          <cell r="AY11">
            <v>0</v>
          </cell>
          <cell r="AZ11">
            <v>75000</v>
          </cell>
          <cell r="BA11">
            <v>75000</v>
          </cell>
          <cell r="BD11">
            <v>0</v>
          </cell>
          <cell r="BF11">
            <v>0</v>
          </cell>
          <cell r="BG11">
            <v>2</v>
          </cell>
          <cell r="BN11" t="str">
            <v>PRODUCTION RAPPORT</v>
          </cell>
          <cell r="BO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522000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40000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202000</v>
          </cell>
          <cell r="U12">
            <v>522000</v>
          </cell>
          <cell r="AK12">
            <v>200000</v>
          </cell>
          <cell r="AN12">
            <v>2000</v>
          </cell>
          <cell r="AP12" t="str">
            <v>BANQUE</v>
          </cell>
          <cell r="AQ12">
            <v>0</v>
          </cell>
          <cell r="AR12">
            <v>0</v>
          </cell>
          <cell r="AS12">
            <v>20000</v>
          </cell>
          <cell r="AW12">
            <v>0</v>
          </cell>
          <cell r="AX12">
            <v>0</v>
          </cell>
          <cell r="AY12">
            <v>200000</v>
          </cell>
          <cell r="AZ12">
            <v>200000</v>
          </cell>
          <cell r="BD12">
            <v>200000</v>
          </cell>
          <cell r="BE12">
            <v>200000</v>
          </cell>
          <cell r="BF12">
            <v>0</v>
          </cell>
          <cell r="BG12">
            <v>2</v>
          </cell>
          <cell r="BN12" t="str">
            <v>ACHAT SOURIS ET PHOTOCOPIE</v>
          </cell>
          <cell r="BO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40000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40000</v>
          </cell>
          <cell r="M13">
            <v>0</v>
          </cell>
          <cell r="O13">
            <v>0</v>
          </cell>
          <cell r="P13">
            <v>0</v>
          </cell>
          <cell r="U13">
            <v>40000</v>
          </cell>
          <cell r="AQ13">
            <v>0</v>
          </cell>
          <cell r="AR13">
            <v>0</v>
          </cell>
          <cell r="AS13">
            <v>15000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2</v>
          </cell>
          <cell r="BN13" t="str">
            <v>TAXI BANQUE</v>
          </cell>
          <cell r="BO13" t="str">
            <v>FONDS DE ROULEMENT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40000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40000</v>
          </cell>
          <cell r="M14">
            <v>0</v>
          </cell>
          <cell r="O14">
            <v>0</v>
          </cell>
          <cell r="P14">
            <v>0</v>
          </cell>
          <cell r="U14">
            <v>40000</v>
          </cell>
          <cell r="AQ14">
            <v>0</v>
          </cell>
          <cell r="AR14">
            <v>0</v>
          </cell>
          <cell r="AS14">
            <v>15000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2</v>
          </cell>
          <cell r="BN14" t="str">
            <v>CONFECTION CACHET</v>
          </cell>
          <cell r="BO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115000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40000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115000</v>
          </cell>
          <cell r="AQ15">
            <v>0</v>
          </cell>
          <cell r="AR15">
            <v>0</v>
          </cell>
          <cell r="AS15">
            <v>15000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2</v>
          </cell>
        </row>
        <row r="16">
          <cell r="A16" t="str">
            <v>AS201613</v>
          </cell>
          <cell r="B16" t="str">
            <v>HOTCHO BENJAMIN</v>
          </cell>
          <cell r="C16">
            <v>136500</v>
          </cell>
          <cell r="D16">
            <v>452000</v>
          </cell>
          <cell r="E16">
            <v>136500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40000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202000</v>
          </cell>
          <cell r="U16">
            <v>452000</v>
          </cell>
          <cell r="Z16">
            <v>500000</v>
          </cell>
          <cell r="AA16" t="str">
            <v>BANQUE</v>
          </cell>
          <cell r="AK16">
            <v>200000</v>
          </cell>
          <cell r="AN16">
            <v>2000</v>
          </cell>
          <cell r="AP16" t="str">
            <v>BANQUE</v>
          </cell>
          <cell r="AQ16">
            <v>0</v>
          </cell>
          <cell r="AR16">
            <v>0</v>
          </cell>
          <cell r="AS16">
            <v>50000</v>
          </cell>
          <cell r="AW16">
            <v>0</v>
          </cell>
          <cell r="AX16">
            <v>0</v>
          </cell>
          <cell r="AY16">
            <v>200000</v>
          </cell>
          <cell r="AZ16">
            <v>700000</v>
          </cell>
          <cell r="BD16">
            <v>700000</v>
          </cell>
          <cell r="BE16">
            <v>700000</v>
          </cell>
          <cell r="BF16">
            <v>0</v>
          </cell>
          <cell r="BN16" t="str">
            <v>S/TOTAL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140000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40000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U17">
            <v>140000</v>
          </cell>
          <cell r="AQ17">
            <v>0</v>
          </cell>
          <cell r="AR17">
            <v>0</v>
          </cell>
          <cell r="AS17">
            <v>15000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D17">
            <v>0</v>
          </cell>
          <cell r="BF17">
            <v>0</v>
          </cell>
          <cell r="BG17">
            <v>2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456000</v>
          </cell>
          <cell r="E18">
            <v>10000</v>
          </cell>
          <cell r="F18">
            <v>0</v>
          </cell>
          <cell r="G18">
            <v>0</v>
          </cell>
          <cell r="H18" t="str">
            <v>BANQUE</v>
          </cell>
          <cell r="J18">
            <v>1</v>
          </cell>
          <cell r="K18">
            <v>40000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101000</v>
          </cell>
          <cell r="S18">
            <v>150000</v>
          </cell>
          <cell r="T18" t="str">
            <v>BANQUE</v>
          </cell>
          <cell r="U18">
            <v>466000</v>
          </cell>
          <cell r="Z18">
            <v>1000000</v>
          </cell>
          <cell r="AA18" t="str">
            <v>BANQUE</v>
          </cell>
          <cell r="AJ18">
            <v>150000</v>
          </cell>
          <cell r="AM18">
            <v>2000</v>
          </cell>
          <cell r="AP18" t="str">
            <v>BANQUE</v>
          </cell>
          <cell r="AQ18">
            <v>0</v>
          </cell>
          <cell r="AR18">
            <v>0</v>
          </cell>
          <cell r="AS18">
            <v>15000</v>
          </cell>
          <cell r="AW18">
            <v>0</v>
          </cell>
          <cell r="AX18">
            <v>150000</v>
          </cell>
          <cell r="AY18">
            <v>0</v>
          </cell>
          <cell r="AZ18">
            <v>1130000</v>
          </cell>
          <cell r="BA18">
            <v>100000</v>
          </cell>
          <cell r="BD18">
            <v>1030000</v>
          </cell>
          <cell r="BE18">
            <v>1130000</v>
          </cell>
          <cell r="BF18">
            <v>20000</v>
          </cell>
          <cell r="BG18">
            <v>2</v>
          </cell>
          <cell r="BN18" t="str">
            <v>GRATIFICATION BUREAU 2021</v>
          </cell>
          <cell r="BO18" t="str">
            <v>PENALITE VERSEMENT ESPECES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40000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40000</v>
          </cell>
          <cell r="M19">
            <v>0</v>
          </cell>
          <cell r="O19">
            <v>0</v>
          </cell>
          <cell r="P19">
            <v>0</v>
          </cell>
          <cell r="U19">
            <v>40000</v>
          </cell>
          <cell r="AQ19">
            <v>0</v>
          </cell>
          <cell r="AR19">
            <v>0</v>
          </cell>
          <cell r="AS19">
            <v>15000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2</v>
          </cell>
          <cell r="BN19" t="str">
            <v>ACHAT LAPTOP</v>
          </cell>
          <cell r="BO19" t="str">
            <v>PENALITE VERSEMENT ESPECES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417000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40000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0</v>
          </cell>
          <cell r="R20">
            <v>202000</v>
          </cell>
          <cell r="U20">
            <v>417000</v>
          </cell>
          <cell r="AI20">
            <v>30000</v>
          </cell>
          <cell r="AJ20">
            <v>150000</v>
          </cell>
          <cell r="AK20">
            <v>200000</v>
          </cell>
          <cell r="AL20">
            <v>500</v>
          </cell>
          <cell r="AM20">
            <v>2000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15000</v>
          </cell>
          <cell r="AW20">
            <v>30000</v>
          </cell>
          <cell r="AX20">
            <v>150000</v>
          </cell>
          <cell r="AY20">
            <v>200000</v>
          </cell>
          <cell r="AZ20">
            <v>380000</v>
          </cell>
          <cell r="BA20">
            <v>57000</v>
          </cell>
          <cell r="BD20">
            <v>323000</v>
          </cell>
          <cell r="BE20">
            <v>323000</v>
          </cell>
          <cell r="BF20">
            <v>0</v>
          </cell>
          <cell r="BG20">
            <v>2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40000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40000</v>
          </cell>
          <cell r="M21">
            <v>0</v>
          </cell>
          <cell r="O21">
            <v>0</v>
          </cell>
          <cell r="P21">
            <v>0</v>
          </cell>
          <cell r="U21">
            <v>40000</v>
          </cell>
          <cell r="AQ21">
            <v>0</v>
          </cell>
          <cell r="AR21">
            <v>0</v>
          </cell>
          <cell r="AS21">
            <v>15000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2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115000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40000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115000</v>
          </cell>
          <cell r="AQ22">
            <v>0</v>
          </cell>
          <cell r="AR22">
            <v>0</v>
          </cell>
          <cell r="AS22">
            <v>15000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2</v>
          </cell>
          <cell r="BN22" t="str">
            <v>S/TOTAL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351000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40000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101000</v>
          </cell>
          <cell r="U23">
            <v>351000</v>
          </cell>
          <cell r="AP23" t="str">
            <v>BANQUE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D23">
            <v>0</v>
          </cell>
          <cell r="BF23">
            <v>0</v>
          </cell>
          <cell r="BG23">
            <v>2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400000</v>
          </cell>
          <cell r="E24">
            <v>17000</v>
          </cell>
          <cell r="F24">
            <v>0</v>
          </cell>
          <cell r="G24">
            <v>0</v>
          </cell>
          <cell r="H24" t="str">
            <v>BANQUE</v>
          </cell>
          <cell r="J24">
            <v>1</v>
          </cell>
          <cell r="K24">
            <v>40000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202000</v>
          </cell>
          <cell r="U24">
            <v>417000</v>
          </cell>
          <cell r="AK24">
            <v>200000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15000</v>
          </cell>
          <cell r="AW24">
            <v>0</v>
          </cell>
          <cell r="AX24">
            <v>0</v>
          </cell>
          <cell r="AY24">
            <v>200000</v>
          </cell>
          <cell r="AZ24">
            <v>200000</v>
          </cell>
          <cell r="BA24">
            <v>70000</v>
          </cell>
          <cell r="BD24">
            <v>130000</v>
          </cell>
          <cell r="BE24">
            <v>130000</v>
          </cell>
          <cell r="BF24">
            <v>0</v>
          </cell>
          <cell r="BG24">
            <v>2</v>
          </cell>
          <cell r="BN24" t="str">
            <v>GRATIFICATION BUREAU 2021</v>
          </cell>
          <cell r="BO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500000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8000</v>
          </cell>
          <cell r="J25">
            <v>1</v>
          </cell>
          <cell r="K25">
            <v>40000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202000</v>
          </cell>
          <cell r="U25">
            <v>500000</v>
          </cell>
          <cell r="AK25">
            <v>200000</v>
          </cell>
          <cell r="AN25">
            <v>2000</v>
          </cell>
          <cell r="AP25" t="str">
            <v>BANQUE</v>
          </cell>
          <cell r="AQ25">
            <v>0</v>
          </cell>
          <cell r="AR25">
            <v>0</v>
          </cell>
          <cell r="AS25">
            <v>23000</v>
          </cell>
          <cell r="AW25">
            <v>0</v>
          </cell>
          <cell r="AX25">
            <v>0</v>
          </cell>
          <cell r="AY25">
            <v>200000</v>
          </cell>
          <cell r="AZ25">
            <v>200000</v>
          </cell>
          <cell r="BD25">
            <v>200000</v>
          </cell>
          <cell r="BE25">
            <v>200000</v>
          </cell>
          <cell r="BF25">
            <v>0</v>
          </cell>
          <cell r="BG25">
            <v>2</v>
          </cell>
          <cell r="BN25" t="str">
            <v>NUIT DES ELITES</v>
          </cell>
          <cell r="BO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101000</v>
          </cell>
          <cell r="D26">
            <v>0</v>
          </cell>
          <cell r="E26">
            <v>158500</v>
          </cell>
          <cell r="F26">
            <v>0</v>
          </cell>
          <cell r="G26">
            <v>0</v>
          </cell>
          <cell r="H26" t="str">
            <v>ESPECES</v>
          </cell>
          <cell r="J26">
            <v>1</v>
          </cell>
          <cell r="K26">
            <v>40000</v>
          </cell>
          <cell r="M26">
            <v>0</v>
          </cell>
          <cell r="O26">
            <v>0</v>
          </cell>
          <cell r="P26">
            <v>17500</v>
          </cell>
          <cell r="U26">
            <v>57500</v>
          </cell>
          <cell r="AI26">
            <v>60000</v>
          </cell>
          <cell r="AL26">
            <v>1000</v>
          </cell>
          <cell r="AP26" t="str">
            <v>BANQUE</v>
          </cell>
          <cell r="AQ26">
            <v>0</v>
          </cell>
          <cell r="AR26">
            <v>0</v>
          </cell>
          <cell r="AS26">
            <v>15000</v>
          </cell>
          <cell r="AW26">
            <v>60000</v>
          </cell>
          <cell r="AX26">
            <v>0</v>
          </cell>
          <cell r="AY26">
            <v>0</v>
          </cell>
          <cell r="AZ26">
            <v>60000</v>
          </cell>
          <cell r="BA26">
            <v>60000</v>
          </cell>
          <cell r="BD26">
            <v>0</v>
          </cell>
          <cell r="BF26">
            <v>0</v>
          </cell>
          <cell r="BG26">
            <v>2</v>
          </cell>
          <cell r="BN26" t="str">
            <v>DEUIL TCHEMNOU EMMANUEL</v>
          </cell>
          <cell r="BO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10000</v>
          </cell>
          <cell r="J27">
            <v>1</v>
          </cell>
          <cell r="K27">
            <v>40000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2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115000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40000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115000</v>
          </cell>
          <cell r="AQ28">
            <v>0</v>
          </cell>
          <cell r="AR28">
            <v>0</v>
          </cell>
          <cell r="AS28">
            <v>15000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E28">
            <v>500000</v>
          </cell>
          <cell r="BF28">
            <v>0</v>
          </cell>
          <cell r="BG28">
            <v>2</v>
          </cell>
          <cell r="BN28" t="str">
            <v>S/TOTAL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40000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40000</v>
          </cell>
          <cell r="M29">
            <v>0</v>
          </cell>
          <cell r="O29">
            <v>0</v>
          </cell>
          <cell r="P29">
            <v>0</v>
          </cell>
          <cell r="U29">
            <v>40000</v>
          </cell>
          <cell r="AQ29">
            <v>0</v>
          </cell>
          <cell r="AR29">
            <v>0</v>
          </cell>
          <cell r="AS29">
            <v>15000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2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115000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40000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115000</v>
          </cell>
          <cell r="AQ30">
            <v>0</v>
          </cell>
          <cell r="AR30">
            <v>0</v>
          </cell>
          <cell r="AS30">
            <v>15000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2</v>
          </cell>
          <cell r="BN30" t="str">
            <v xml:space="preserve">DECES </v>
          </cell>
          <cell r="BO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171000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40000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31000</v>
          </cell>
          <cell r="U31">
            <v>171000</v>
          </cell>
          <cell r="AI31">
            <v>30000</v>
          </cell>
          <cell r="AL31">
            <v>500</v>
          </cell>
          <cell r="AP31" t="str">
            <v>BANQUE</v>
          </cell>
          <cell r="AQ31">
            <v>0</v>
          </cell>
          <cell r="AR31">
            <v>0</v>
          </cell>
          <cell r="AS31">
            <v>15000</v>
          </cell>
          <cell r="AW31">
            <v>30000</v>
          </cell>
          <cell r="AX31">
            <v>0</v>
          </cell>
          <cell r="AY31">
            <v>0</v>
          </cell>
          <cell r="AZ31">
            <v>30000</v>
          </cell>
          <cell r="BD31">
            <v>30000</v>
          </cell>
          <cell r="BE31">
            <v>30000</v>
          </cell>
          <cell r="BF31">
            <v>0</v>
          </cell>
          <cell r="BG31">
            <v>2</v>
          </cell>
          <cell r="BN31" t="str">
            <v>TRANSPORT DELEGUE</v>
          </cell>
          <cell r="BO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115000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40000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U32">
            <v>115000</v>
          </cell>
          <cell r="AQ32">
            <v>0</v>
          </cell>
          <cell r="AR32">
            <v>0</v>
          </cell>
          <cell r="AS32">
            <v>15000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D32">
            <v>0</v>
          </cell>
          <cell r="BF32">
            <v>0</v>
          </cell>
          <cell r="BG32">
            <v>2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D33">
            <v>40000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J33">
            <v>1</v>
          </cell>
          <cell r="K33">
            <v>40000</v>
          </cell>
          <cell r="M33">
            <v>0</v>
          </cell>
          <cell r="O33">
            <v>0</v>
          </cell>
          <cell r="P33">
            <v>0</v>
          </cell>
          <cell r="U33">
            <v>40000</v>
          </cell>
          <cell r="AQ33">
            <v>0</v>
          </cell>
          <cell r="AR33">
            <v>0</v>
          </cell>
          <cell r="AS33">
            <v>15000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2</v>
          </cell>
          <cell r="BN33" t="str">
            <v>S/TOTAL</v>
          </cell>
        </row>
        <row r="34">
          <cell r="A34" t="str">
            <v>AS201658</v>
          </cell>
          <cell r="B34" t="str">
            <v>YANTCHOU GERVAIS</v>
          </cell>
          <cell r="C34">
            <v>-227500</v>
          </cell>
          <cell r="D34">
            <v>80000</v>
          </cell>
          <cell r="E34">
            <v>0</v>
          </cell>
          <cell r="F34">
            <v>70000</v>
          </cell>
          <cell r="G34">
            <v>0</v>
          </cell>
          <cell r="H34" t="str">
            <v>BANQUE</v>
          </cell>
          <cell r="I34">
            <v>267500</v>
          </cell>
          <cell r="J34">
            <v>1</v>
          </cell>
          <cell r="K34">
            <v>40000</v>
          </cell>
          <cell r="M34">
            <v>0</v>
          </cell>
          <cell r="O34">
            <v>0</v>
          </cell>
          <cell r="P34">
            <v>0</v>
          </cell>
          <cell r="U34">
            <v>307500</v>
          </cell>
          <cell r="AC34">
            <v>2500</v>
          </cell>
          <cell r="AF34" t="str">
            <v>BANQUE</v>
          </cell>
          <cell r="AQ34">
            <v>0</v>
          </cell>
          <cell r="AR34">
            <v>0</v>
          </cell>
          <cell r="AS34">
            <v>282500</v>
          </cell>
          <cell r="AW34">
            <v>297500</v>
          </cell>
          <cell r="AX34">
            <v>0</v>
          </cell>
          <cell r="AY34">
            <v>0</v>
          </cell>
          <cell r="AZ34">
            <v>227500</v>
          </cell>
          <cell r="BB34">
            <v>70000</v>
          </cell>
          <cell r="BD34">
            <v>0</v>
          </cell>
          <cell r="BF34">
            <v>0</v>
          </cell>
          <cell r="BG34">
            <v>2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0</v>
          </cell>
          <cell r="E35">
            <v>40000</v>
          </cell>
          <cell r="F35">
            <v>0</v>
          </cell>
          <cell r="G35">
            <v>0</v>
          </cell>
          <cell r="H35" t="str">
            <v>ESPECES</v>
          </cell>
          <cell r="J35">
            <v>1</v>
          </cell>
          <cell r="K35">
            <v>40000</v>
          </cell>
          <cell r="M35">
            <v>0</v>
          </cell>
          <cell r="O35">
            <v>0</v>
          </cell>
          <cell r="P35">
            <v>0</v>
          </cell>
          <cell r="U35">
            <v>40000</v>
          </cell>
          <cell r="AQ35">
            <v>0</v>
          </cell>
          <cell r="AR35">
            <v>0</v>
          </cell>
          <cell r="AS35">
            <v>15000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2</v>
          </cell>
          <cell r="BN35" t="str">
            <v>COLLATION</v>
          </cell>
          <cell r="BO35" t="str">
            <v>COLLATION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880000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40000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S36">
            <v>590000</v>
          </cell>
          <cell r="T36" t="str">
            <v>BANQUE</v>
          </cell>
          <cell r="U36">
            <v>880000</v>
          </cell>
          <cell r="AQ36">
            <v>0</v>
          </cell>
          <cell r="AR36">
            <v>0</v>
          </cell>
          <cell r="AS36">
            <v>15000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2</v>
          </cell>
          <cell r="BN36" t="str">
            <v>BOISSON</v>
          </cell>
          <cell r="BO36" t="str">
            <v>COLLATION</v>
          </cell>
        </row>
        <row r="38">
          <cell r="B38" t="str">
            <v>TOTAUX</v>
          </cell>
          <cell r="C38">
            <v>10000</v>
          </cell>
          <cell r="D38">
            <v>5946000</v>
          </cell>
          <cell r="E38">
            <v>536000</v>
          </cell>
          <cell r="F38">
            <v>140000</v>
          </cell>
          <cell r="G38">
            <v>0</v>
          </cell>
          <cell r="H38">
            <v>0</v>
          </cell>
          <cell r="I38">
            <v>335500</v>
          </cell>
          <cell r="J38">
            <v>30</v>
          </cell>
          <cell r="K38">
            <v>1200000</v>
          </cell>
          <cell r="L38">
            <v>17</v>
          </cell>
          <cell r="M38">
            <v>1275000</v>
          </cell>
          <cell r="N38">
            <v>14</v>
          </cell>
          <cell r="O38">
            <v>1400000</v>
          </cell>
          <cell r="P38">
            <v>17500</v>
          </cell>
          <cell r="Q38">
            <v>59000</v>
          </cell>
          <cell r="R38">
            <v>1445000</v>
          </cell>
          <cell r="S38">
            <v>740000</v>
          </cell>
          <cell r="U38">
            <v>6472000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1500000</v>
          </cell>
          <cell r="AA38">
            <v>0</v>
          </cell>
          <cell r="AC38">
            <v>5000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I38">
            <v>147500</v>
          </cell>
          <cell r="AJ38">
            <v>375000</v>
          </cell>
          <cell r="AK38">
            <v>1200000</v>
          </cell>
          <cell r="AL38">
            <v>2500</v>
          </cell>
          <cell r="AM38">
            <v>5000</v>
          </cell>
          <cell r="AN38">
            <v>12000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785500</v>
          </cell>
          <cell r="AT38">
            <v>0</v>
          </cell>
          <cell r="AU38">
            <v>0</v>
          </cell>
          <cell r="AV38">
            <v>0</v>
          </cell>
          <cell r="AW38">
            <v>742500</v>
          </cell>
          <cell r="AX38">
            <v>375000</v>
          </cell>
          <cell r="AY38">
            <v>1200000</v>
          </cell>
          <cell r="AZ38">
            <v>4371000</v>
          </cell>
          <cell r="BA38">
            <v>389500</v>
          </cell>
          <cell r="BB38">
            <v>140000</v>
          </cell>
          <cell r="BC38">
            <v>0</v>
          </cell>
          <cell r="BD38">
            <v>3754000</v>
          </cell>
          <cell r="BE38">
            <v>4290000</v>
          </cell>
          <cell r="BF38">
            <v>20000</v>
          </cell>
          <cell r="BH38">
            <v>13500</v>
          </cell>
          <cell r="BI38">
            <v>600000</v>
          </cell>
          <cell r="BJ38">
            <v>0</v>
          </cell>
          <cell r="BK38">
            <v>100000</v>
          </cell>
          <cell r="BL38">
            <v>0</v>
          </cell>
          <cell r="BM38">
            <v>0</v>
          </cell>
          <cell r="BN38" t="str">
            <v>S/TOTAL</v>
          </cell>
        </row>
        <row r="40">
          <cell r="C40" t="str">
            <v>BANQUE</v>
          </cell>
          <cell r="F40" t="str">
            <v>ESPECES</v>
          </cell>
        </row>
        <row r="41">
          <cell r="B41" t="str">
            <v>LIBELLE</v>
          </cell>
          <cell r="C41" t="str">
            <v>SORTIE</v>
          </cell>
          <cell r="D41" t="str">
            <v>ENTREE</v>
          </cell>
          <cell r="E41" t="str">
            <v>SOLDE</v>
          </cell>
          <cell r="F41" t="str">
            <v>ENTREE</v>
          </cell>
          <cell r="G41" t="str">
            <v>SORTIE</v>
          </cell>
          <cell r="H41" t="str">
            <v>SOLDE</v>
          </cell>
        </row>
        <row r="42">
          <cell r="B42" t="str">
            <v>REPORT</v>
          </cell>
        </row>
        <row r="43">
          <cell r="B43" t="str">
            <v>TONTINE</v>
          </cell>
          <cell r="C43">
            <v>4371000</v>
          </cell>
          <cell r="D43">
            <v>5731000</v>
          </cell>
          <cell r="F43">
            <v>536000</v>
          </cell>
        </row>
      </sheetData>
      <sheetData sheetId="14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-1074000</v>
          </cell>
          <cell r="BD6">
            <v>-1074000</v>
          </cell>
          <cell r="BE6" t="str">
            <v>OK</v>
          </cell>
          <cell r="BF6">
            <v>0</v>
          </cell>
          <cell r="BG6">
            <v>1</v>
          </cell>
          <cell r="BH6">
            <v>6000</v>
          </cell>
          <cell r="BI6">
            <v>0</v>
          </cell>
          <cell r="BJ6">
            <v>0</v>
          </cell>
          <cell r="BK6">
            <v>110000</v>
          </cell>
          <cell r="BM6">
            <v>0</v>
          </cell>
          <cell r="BN6" t="str">
            <v>ACHAT FOURNITURE</v>
          </cell>
          <cell r="BO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68000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J7">
            <v>1</v>
          </cell>
          <cell r="K7">
            <v>40000</v>
          </cell>
          <cell r="M7">
            <v>0</v>
          </cell>
          <cell r="O7">
            <v>0</v>
          </cell>
          <cell r="P7">
            <v>28000</v>
          </cell>
          <cell r="U7">
            <v>68000</v>
          </cell>
          <cell r="AI7">
            <v>28000</v>
          </cell>
          <cell r="AL7">
            <v>1000</v>
          </cell>
          <cell r="AP7" t="str">
            <v>BANQUE</v>
          </cell>
          <cell r="AQ7">
            <v>0</v>
          </cell>
          <cell r="AR7">
            <v>0</v>
          </cell>
          <cell r="AS7">
            <v>15000</v>
          </cell>
          <cell r="AW7">
            <v>28000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1</v>
          </cell>
          <cell r="BH7">
            <v>0</v>
          </cell>
          <cell r="BI7">
            <v>0</v>
          </cell>
          <cell r="BJ7">
            <v>0</v>
          </cell>
          <cell r="BM7">
            <v>0</v>
          </cell>
          <cell r="BN7" t="str">
            <v>COMMUNICATION</v>
          </cell>
          <cell r="BO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115000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40000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115000</v>
          </cell>
          <cell r="AJ8">
            <v>100000</v>
          </cell>
          <cell r="AM8">
            <v>1000</v>
          </cell>
          <cell r="AP8" t="str">
            <v>BANQUE</v>
          </cell>
          <cell r="AQ8">
            <v>0</v>
          </cell>
          <cell r="AR8">
            <v>0</v>
          </cell>
          <cell r="AS8">
            <v>15000</v>
          </cell>
          <cell r="AW8">
            <v>0</v>
          </cell>
          <cell r="AX8">
            <v>100000</v>
          </cell>
          <cell r="AY8">
            <v>0</v>
          </cell>
          <cell r="AZ8">
            <v>100000</v>
          </cell>
          <cell r="BD8">
            <v>100000</v>
          </cell>
          <cell r="BE8" t="str">
            <v>OK</v>
          </cell>
          <cell r="BF8">
            <v>0</v>
          </cell>
          <cell r="BG8">
            <v>1</v>
          </cell>
          <cell r="BN8" t="str">
            <v>COMMISSION</v>
          </cell>
          <cell r="BO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342000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40000</v>
          </cell>
          <cell r="M9">
            <v>0</v>
          </cell>
          <cell r="N9">
            <v>1</v>
          </cell>
          <cell r="O9">
            <v>100000</v>
          </cell>
          <cell r="P9">
            <v>0</v>
          </cell>
          <cell r="R9">
            <v>202000</v>
          </cell>
          <cell r="U9">
            <v>342000</v>
          </cell>
          <cell r="AP9" t="str">
            <v>BANQUE</v>
          </cell>
          <cell r="AQ9">
            <v>0</v>
          </cell>
          <cell r="AR9">
            <v>0</v>
          </cell>
          <cell r="AS9">
            <v>15000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D9">
            <v>0</v>
          </cell>
          <cell r="BF9">
            <v>0</v>
          </cell>
          <cell r="BG9">
            <v>1</v>
          </cell>
          <cell r="BN9" t="str">
            <v>AIDE UEEB ET CONT FEMME</v>
          </cell>
          <cell r="BO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40000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J10">
            <v>1</v>
          </cell>
          <cell r="K10">
            <v>40000</v>
          </cell>
          <cell r="M10">
            <v>0</v>
          </cell>
          <cell r="O10">
            <v>0</v>
          </cell>
          <cell r="P10">
            <v>0</v>
          </cell>
          <cell r="U10">
            <v>40000</v>
          </cell>
          <cell r="AQ10">
            <v>0</v>
          </cell>
          <cell r="AR10">
            <v>0</v>
          </cell>
          <cell r="AS10">
            <v>15000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D10">
            <v>0</v>
          </cell>
          <cell r="BF10">
            <v>0</v>
          </cell>
          <cell r="BG10">
            <v>1</v>
          </cell>
          <cell r="BN10" t="str">
            <v>CREDIT TELEPHONE</v>
          </cell>
          <cell r="BO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191000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40000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76000</v>
          </cell>
          <cell r="U11">
            <v>191000</v>
          </cell>
          <cell r="AJ11">
            <v>76000</v>
          </cell>
          <cell r="AM11">
            <v>1000</v>
          </cell>
          <cell r="AP11" t="str">
            <v>BANQUE</v>
          </cell>
          <cell r="AQ11">
            <v>0</v>
          </cell>
          <cell r="AR11">
            <v>0</v>
          </cell>
          <cell r="AS11">
            <v>15000</v>
          </cell>
          <cell r="AW11">
            <v>0</v>
          </cell>
          <cell r="AX11">
            <v>76000</v>
          </cell>
          <cell r="AY11">
            <v>0</v>
          </cell>
          <cell r="AZ11">
            <v>0</v>
          </cell>
          <cell r="BD11">
            <v>0</v>
          </cell>
          <cell r="BF11">
            <v>0</v>
          </cell>
          <cell r="BG11">
            <v>1</v>
          </cell>
          <cell r="BN11" t="str">
            <v>PRODUCTION RAPPORT</v>
          </cell>
          <cell r="BO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522000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40000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202000</v>
          </cell>
          <cell r="U12">
            <v>522000</v>
          </cell>
          <cell r="AJ12">
            <v>50000</v>
          </cell>
          <cell r="AK12">
            <v>202000</v>
          </cell>
          <cell r="AM12">
            <v>1000</v>
          </cell>
          <cell r="AN12">
            <v>4000</v>
          </cell>
          <cell r="AP12" t="str">
            <v>BANQUE</v>
          </cell>
          <cell r="AQ12">
            <v>0</v>
          </cell>
          <cell r="AR12">
            <v>0</v>
          </cell>
          <cell r="AS12">
            <v>20000</v>
          </cell>
          <cell r="AW12">
            <v>0</v>
          </cell>
          <cell r="AX12">
            <v>50000</v>
          </cell>
          <cell r="AY12">
            <v>202000</v>
          </cell>
          <cell r="AZ12">
            <v>50000</v>
          </cell>
          <cell r="BA12">
            <v>50000</v>
          </cell>
          <cell r="BD12">
            <v>0</v>
          </cell>
          <cell r="BF12">
            <v>0</v>
          </cell>
          <cell r="BG12">
            <v>1</v>
          </cell>
          <cell r="BN12" t="str">
            <v>ACHAT SOURIS ET PHOTOCOPIE</v>
          </cell>
          <cell r="BO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40000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40000</v>
          </cell>
          <cell r="M13">
            <v>0</v>
          </cell>
          <cell r="O13">
            <v>0</v>
          </cell>
          <cell r="P13">
            <v>0</v>
          </cell>
          <cell r="U13">
            <v>40000</v>
          </cell>
          <cell r="AQ13">
            <v>0</v>
          </cell>
          <cell r="AR13">
            <v>0</v>
          </cell>
          <cell r="AS13">
            <v>15000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1</v>
          </cell>
          <cell r="BN13" t="str">
            <v>TAXI BANQUE</v>
          </cell>
          <cell r="BO13" t="str">
            <v>FONDS DE ROULEMENT</v>
          </cell>
        </row>
        <row r="14">
          <cell r="A14" t="str">
            <v>AS201609</v>
          </cell>
          <cell r="B14" t="str">
            <v>DONHOU DAVID</v>
          </cell>
          <cell r="C14">
            <v>-70000</v>
          </cell>
          <cell r="D14">
            <v>40000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40000</v>
          </cell>
          <cell r="M14">
            <v>0</v>
          </cell>
          <cell r="O14">
            <v>0</v>
          </cell>
          <cell r="P14">
            <v>0</v>
          </cell>
          <cell r="U14">
            <v>40000</v>
          </cell>
          <cell r="AC14">
            <v>2500</v>
          </cell>
          <cell r="AQ14">
            <v>0</v>
          </cell>
          <cell r="AR14">
            <v>0</v>
          </cell>
          <cell r="AS14">
            <v>15000</v>
          </cell>
          <cell r="AW14">
            <v>297500</v>
          </cell>
          <cell r="AX14">
            <v>0</v>
          </cell>
          <cell r="AY14">
            <v>0</v>
          </cell>
          <cell r="AZ14">
            <v>297500</v>
          </cell>
          <cell r="BB14">
            <v>70000</v>
          </cell>
          <cell r="BD14">
            <v>227500</v>
          </cell>
          <cell r="BE14" t="str">
            <v>OK</v>
          </cell>
          <cell r="BF14">
            <v>0</v>
          </cell>
          <cell r="BG14">
            <v>1</v>
          </cell>
          <cell r="BN14" t="str">
            <v>CONFECTION CACHET</v>
          </cell>
          <cell r="BO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115000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40000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115000</v>
          </cell>
          <cell r="AQ15">
            <v>0</v>
          </cell>
          <cell r="AR15">
            <v>0</v>
          </cell>
          <cell r="AS15">
            <v>15000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1</v>
          </cell>
        </row>
        <row r="16">
          <cell r="A16" t="str">
            <v>AS201613</v>
          </cell>
          <cell r="B16" t="str">
            <v>HOTCHO BENJAMIN</v>
          </cell>
          <cell r="C16">
            <v>-136500</v>
          </cell>
          <cell r="D16">
            <v>452000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40000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202000</v>
          </cell>
          <cell r="S16">
            <v>136500</v>
          </cell>
          <cell r="U16">
            <v>588500</v>
          </cell>
          <cell r="AK16">
            <v>202000</v>
          </cell>
          <cell r="AN16">
            <v>4000</v>
          </cell>
          <cell r="AP16" t="str">
            <v>BANQUE</v>
          </cell>
          <cell r="AQ16">
            <v>0</v>
          </cell>
          <cell r="AR16">
            <v>0</v>
          </cell>
          <cell r="AS16">
            <v>50000</v>
          </cell>
          <cell r="AW16">
            <v>0</v>
          </cell>
          <cell r="AX16">
            <v>0</v>
          </cell>
          <cell r="AY16">
            <v>202000</v>
          </cell>
          <cell r="AZ16">
            <v>0</v>
          </cell>
          <cell r="BD16">
            <v>0</v>
          </cell>
          <cell r="BF16">
            <v>0</v>
          </cell>
          <cell r="BG16">
            <v>1</v>
          </cell>
          <cell r="BN16" t="str">
            <v>S/TOTAL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140000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40000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U17">
            <v>140000</v>
          </cell>
          <cell r="AQ17">
            <v>0</v>
          </cell>
          <cell r="AR17">
            <v>0</v>
          </cell>
          <cell r="AS17">
            <v>15000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D17">
            <v>0</v>
          </cell>
          <cell r="BF17">
            <v>0</v>
          </cell>
          <cell r="BG17">
            <v>1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367000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J18">
            <v>1</v>
          </cell>
          <cell r="K18">
            <v>40000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152000</v>
          </cell>
          <cell r="R18">
            <v>0</v>
          </cell>
          <cell r="U18">
            <v>367000</v>
          </cell>
          <cell r="AI18">
            <v>30000</v>
          </cell>
          <cell r="AJ18">
            <v>200000</v>
          </cell>
          <cell r="AL18">
            <v>500</v>
          </cell>
          <cell r="AM18">
            <v>2000</v>
          </cell>
          <cell r="AP18" t="str">
            <v>BANQUE</v>
          </cell>
          <cell r="AQ18">
            <v>0</v>
          </cell>
          <cell r="AR18">
            <v>0</v>
          </cell>
          <cell r="AS18">
            <v>15000</v>
          </cell>
          <cell r="AW18">
            <v>30000</v>
          </cell>
          <cell r="AX18">
            <v>200000</v>
          </cell>
          <cell r="AY18">
            <v>0</v>
          </cell>
          <cell r="AZ18">
            <v>230000</v>
          </cell>
          <cell r="BA18">
            <v>47500</v>
          </cell>
          <cell r="BD18">
            <v>182500</v>
          </cell>
          <cell r="BE18" t="str">
            <v>OK</v>
          </cell>
          <cell r="BF18">
            <v>0</v>
          </cell>
          <cell r="BG18">
            <v>1</v>
          </cell>
          <cell r="BN18" t="str">
            <v>GRATIFICATION BUREAU 2021</v>
          </cell>
          <cell r="BO18" t="str">
            <v>PENALITE VERSEMENT ESPECES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40000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40000</v>
          </cell>
          <cell r="M19">
            <v>0</v>
          </cell>
          <cell r="O19">
            <v>0</v>
          </cell>
          <cell r="P19">
            <v>0</v>
          </cell>
          <cell r="U19">
            <v>40000</v>
          </cell>
          <cell r="AQ19">
            <v>0</v>
          </cell>
          <cell r="AR19">
            <v>0</v>
          </cell>
          <cell r="AS19">
            <v>15000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1</v>
          </cell>
          <cell r="BN19" t="str">
            <v>ACHAT LAPTOP</v>
          </cell>
          <cell r="BO19" t="str">
            <v>PENALITE VERSEMENT ESPECES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599500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40000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30500</v>
          </cell>
          <cell r="Q20">
            <v>152000</v>
          </cell>
          <cell r="R20">
            <v>202000</v>
          </cell>
          <cell r="U20">
            <v>599500</v>
          </cell>
          <cell r="AJ20">
            <v>303000</v>
          </cell>
          <cell r="AK20">
            <v>302000</v>
          </cell>
          <cell r="AM20">
            <v>4000</v>
          </cell>
          <cell r="AN20">
            <v>5000</v>
          </cell>
          <cell r="AP20" t="str">
            <v>BANQUE</v>
          </cell>
          <cell r="AQ20">
            <v>0</v>
          </cell>
          <cell r="AR20">
            <v>0</v>
          </cell>
          <cell r="AS20">
            <v>15000</v>
          </cell>
          <cell r="AW20">
            <v>0</v>
          </cell>
          <cell r="AX20">
            <v>303000</v>
          </cell>
          <cell r="AY20">
            <v>302000</v>
          </cell>
          <cell r="AZ20">
            <v>100000</v>
          </cell>
          <cell r="BD20">
            <v>100000</v>
          </cell>
          <cell r="BF20">
            <v>0</v>
          </cell>
          <cell r="BG20">
            <v>1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40000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40000</v>
          </cell>
          <cell r="M21">
            <v>0</v>
          </cell>
          <cell r="O21">
            <v>0</v>
          </cell>
          <cell r="P21">
            <v>0</v>
          </cell>
          <cell r="U21">
            <v>40000</v>
          </cell>
          <cell r="AQ21">
            <v>0</v>
          </cell>
          <cell r="AR21">
            <v>0</v>
          </cell>
          <cell r="AS21">
            <v>15000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1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115000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40000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115000</v>
          </cell>
          <cell r="AQ22">
            <v>0</v>
          </cell>
          <cell r="AR22">
            <v>0</v>
          </cell>
          <cell r="AS22">
            <v>15000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1</v>
          </cell>
          <cell r="BN22" t="str">
            <v>S/TOTAL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250000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40000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0</v>
          </cell>
          <cell r="U23">
            <v>250000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D23">
            <v>0</v>
          </cell>
          <cell r="BF23">
            <v>0</v>
          </cell>
          <cell r="BG23">
            <v>1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420000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3000</v>
          </cell>
          <cell r="J24">
            <v>1</v>
          </cell>
          <cell r="K24">
            <v>40000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202000</v>
          </cell>
          <cell r="U24">
            <v>420000</v>
          </cell>
          <cell r="AK24">
            <v>200000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18000</v>
          </cell>
          <cell r="AW24">
            <v>0</v>
          </cell>
          <cell r="AX24">
            <v>0</v>
          </cell>
          <cell r="AY24">
            <v>200000</v>
          </cell>
          <cell r="AZ24">
            <v>200000</v>
          </cell>
          <cell r="BD24">
            <v>200000</v>
          </cell>
          <cell r="BE24" t="str">
            <v>OK</v>
          </cell>
          <cell r="BF24">
            <v>0</v>
          </cell>
          <cell r="BG24">
            <v>1</v>
          </cell>
          <cell r="BN24" t="str">
            <v>GRATIFICATION BUREAU 2021</v>
          </cell>
          <cell r="BO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500000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8000</v>
          </cell>
          <cell r="J25">
            <v>1</v>
          </cell>
          <cell r="K25">
            <v>40000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202000</v>
          </cell>
          <cell r="U25">
            <v>500000</v>
          </cell>
          <cell r="AK25">
            <v>200000</v>
          </cell>
          <cell r="AN25">
            <v>2000</v>
          </cell>
          <cell r="AP25" t="str">
            <v>BANQUE</v>
          </cell>
          <cell r="AQ25">
            <v>0</v>
          </cell>
          <cell r="AR25">
            <v>0</v>
          </cell>
          <cell r="AS25">
            <v>23000</v>
          </cell>
          <cell r="AW25">
            <v>0</v>
          </cell>
          <cell r="AX25">
            <v>0</v>
          </cell>
          <cell r="AY25">
            <v>200000</v>
          </cell>
          <cell r="AZ25">
            <v>200000</v>
          </cell>
          <cell r="BD25">
            <v>200000</v>
          </cell>
          <cell r="BE25" t="str">
            <v>OK</v>
          </cell>
          <cell r="BF25">
            <v>0</v>
          </cell>
          <cell r="BG25">
            <v>1</v>
          </cell>
          <cell r="BN25" t="str">
            <v>DEVELOPPEMENT LAGWEU</v>
          </cell>
          <cell r="BO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0</v>
          </cell>
          <cell r="E26">
            <v>102000</v>
          </cell>
          <cell r="F26">
            <v>0</v>
          </cell>
          <cell r="G26">
            <v>3000</v>
          </cell>
          <cell r="H26" t="str">
            <v>ESPECES</v>
          </cell>
          <cell r="I26">
            <v>-2000</v>
          </cell>
          <cell r="J26">
            <v>1</v>
          </cell>
          <cell r="K26">
            <v>40000</v>
          </cell>
          <cell r="M26">
            <v>0</v>
          </cell>
          <cell r="O26">
            <v>0</v>
          </cell>
          <cell r="P26">
            <v>61000</v>
          </cell>
          <cell r="U26">
            <v>102000</v>
          </cell>
          <cell r="AQ26">
            <v>0</v>
          </cell>
          <cell r="AR26">
            <v>0</v>
          </cell>
          <cell r="AS26">
            <v>13000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D26">
            <v>0</v>
          </cell>
          <cell r="BF26">
            <v>0</v>
          </cell>
          <cell r="BG26">
            <v>1</v>
          </cell>
          <cell r="BN26" t="str">
            <v>DEUIL TCHEMNOU EMMANUEL</v>
          </cell>
          <cell r="BO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10000</v>
          </cell>
          <cell r="J27">
            <v>1</v>
          </cell>
          <cell r="K27">
            <v>40000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1</v>
          </cell>
        </row>
        <row r="28">
          <cell r="A28" t="str">
            <v>AS201633</v>
          </cell>
          <cell r="B28" t="str">
            <v>PATEGO NJOSSU GUSTAVE</v>
          </cell>
          <cell r="C28">
            <v>-70000</v>
          </cell>
          <cell r="D28">
            <v>115000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40000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115000</v>
          </cell>
          <cell r="AC28">
            <v>2500</v>
          </cell>
          <cell r="AD28">
            <v>7500</v>
          </cell>
          <cell r="AQ28">
            <v>0</v>
          </cell>
          <cell r="AR28">
            <v>0</v>
          </cell>
          <cell r="AS28">
            <v>15000</v>
          </cell>
          <cell r="AW28">
            <v>297500</v>
          </cell>
          <cell r="AX28">
            <v>892500</v>
          </cell>
          <cell r="AY28">
            <v>0</v>
          </cell>
          <cell r="AZ28">
            <v>545000</v>
          </cell>
          <cell r="BB28">
            <v>70000</v>
          </cell>
          <cell r="BD28">
            <v>475000</v>
          </cell>
          <cell r="BE28" t="str">
            <v>OK</v>
          </cell>
          <cell r="BF28">
            <v>0</v>
          </cell>
          <cell r="BG28">
            <v>1</v>
          </cell>
          <cell r="BN28" t="str">
            <v>S/TOTAL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40000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40000</v>
          </cell>
          <cell r="M29">
            <v>0</v>
          </cell>
          <cell r="O29">
            <v>0</v>
          </cell>
          <cell r="P29">
            <v>0</v>
          </cell>
          <cell r="U29">
            <v>40000</v>
          </cell>
          <cell r="AQ29">
            <v>0</v>
          </cell>
          <cell r="AR29">
            <v>0</v>
          </cell>
          <cell r="AS29">
            <v>15000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1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115000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40000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115000</v>
          </cell>
          <cell r="AQ30">
            <v>0</v>
          </cell>
          <cell r="AR30">
            <v>0</v>
          </cell>
          <cell r="AS30">
            <v>15000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1</v>
          </cell>
          <cell r="BN30" t="str">
            <v xml:space="preserve">DECES </v>
          </cell>
          <cell r="BO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171000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I31">
            <v>500</v>
          </cell>
          <cell r="J31">
            <v>1</v>
          </cell>
          <cell r="K31">
            <v>40000</v>
          </cell>
          <cell r="M31">
            <v>0</v>
          </cell>
          <cell r="N31">
            <v>1</v>
          </cell>
          <cell r="O31">
            <v>100000</v>
          </cell>
          <cell r="P31">
            <v>30500</v>
          </cell>
          <cell r="R31">
            <v>0</v>
          </cell>
          <cell r="U31">
            <v>171000</v>
          </cell>
          <cell r="AK31">
            <v>30000</v>
          </cell>
          <cell r="AN31">
            <v>1000</v>
          </cell>
          <cell r="AQ31">
            <v>0</v>
          </cell>
          <cell r="AR31">
            <v>0</v>
          </cell>
          <cell r="AS31">
            <v>15500</v>
          </cell>
          <cell r="AW31">
            <v>0</v>
          </cell>
          <cell r="AX31">
            <v>0</v>
          </cell>
          <cell r="AY31">
            <v>30000</v>
          </cell>
          <cell r="AZ31">
            <v>30000</v>
          </cell>
          <cell r="BA31">
            <v>30000</v>
          </cell>
          <cell r="BD31">
            <v>0</v>
          </cell>
          <cell r="BE31" t="str">
            <v>OK</v>
          </cell>
          <cell r="BF31">
            <v>0</v>
          </cell>
          <cell r="BG31">
            <v>1</v>
          </cell>
          <cell r="BN31" t="str">
            <v>TRANSPORT DELEGUE</v>
          </cell>
          <cell r="BO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115000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40000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U32">
            <v>115000</v>
          </cell>
          <cell r="AJ32">
            <v>100000</v>
          </cell>
          <cell r="AM32">
            <v>1000</v>
          </cell>
          <cell r="AP32" t="str">
            <v>BANQUE</v>
          </cell>
          <cell r="AQ32">
            <v>0</v>
          </cell>
          <cell r="AR32">
            <v>0</v>
          </cell>
          <cell r="AS32">
            <v>15000</v>
          </cell>
          <cell r="AW32">
            <v>0</v>
          </cell>
          <cell r="AX32">
            <v>100000</v>
          </cell>
          <cell r="AY32">
            <v>0</v>
          </cell>
          <cell r="AZ32">
            <v>100000</v>
          </cell>
          <cell r="BD32">
            <v>100000</v>
          </cell>
          <cell r="BE32" t="str">
            <v>OK</v>
          </cell>
          <cell r="BF32">
            <v>0</v>
          </cell>
          <cell r="BG32">
            <v>1</v>
          </cell>
        </row>
        <row r="33">
          <cell r="A33" t="str">
            <v>AS201643</v>
          </cell>
          <cell r="B33" t="str">
            <v>TCHOUTOU NANA CLAUDE</v>
          </cell>
          <cell r="C33">
            <v>80000</v>
          </cell>
          <cell r="D33">
            <v>120000</v>
          </cell>
          <cell r="E33">
            <v>0</v>
          </cell>
          <cell r="F33">
            <v>0</v>
          </cell>
          <cell r="G33">
            <v>12000</v>
          </cell>
          <cell r="H33" t="str">
            <v>BANQUE</v>
          </cell>
          <cell r="I33">
            <v>-12000</v>
          </cell>
          <cell r="J33">
            <v>1</v>
          </cell>
          <cell r="K33">
            <v>40000</v>
          </cell>
          <cell r="M33">
            <v>0</v>
          </cell>
          <cell r="O33">
            <v>0</v>
          </cell>
          <cell r="P33">
            <v>0</v>
          </cell>
          <cell r="U33">
            <v>40000</v>
          </cell>
          <cell r="AQ33">
            <v>0</v>
          </cell>
          <cell r="AR33">
            <v>0</v>
          </cell>
          <cell r="AS33">
            <v>3000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1</v>
          </cell>
          <cell r="BN33" t="str">
            <v>S/TOTAL</v>
          </cell>
        </row>
        <row r="34">
          <cell r="A34" t="str">
            <v>AS201658</v>
          </cell>
          <cell r="B34" t="str">
            <v>YANTCHOU GERVAIS</v>
          </cell>
          <cell r="C34">
            <v>0</v>
          </cell>
          <cell r="D34">
            <v>70000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I34">
            <v>30000</v>
          </cell>
          <cell r="J34">
            <v>1</v>
          </cell>
          <cell r="K34">
            <v>40000</v>
          </cell>
          <cell r="M34">
            <v>0</v>
          </cell>
          <cell r="O34">
            <v>0</v>
          </cell>
          <cell r="P34">
            <v>0</v>
          </cell>
          <cell r="U34">
            <v>70000</v>
          </cell>
          <cell r="AQ34">
            <v>0</v>
          </cell>
          <cell r="AR34">
            <v>0</v>
          </cell>
          <cell r="AS34">
            <v>45000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1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0</v>
          </cell>
          <cell r="E35">
            <v>40000</v>
          </cell>
          <cell r="F35">
            <v>0</v>
          </cell>
          <cell r="G35">
            <v>3000</v>
          </cell>
          <cell r="H35" t="str">
            <v>ESPECES</v>
          </cell>
          <cell r="I35">
            <v>-3000</v>
          </cell>
          <cell r="J35">
            <v>1</v>
          </cell>
          <cell r="K35">
            <v>40000</v>
          </cell>
          <cell r="M35">
            <v>0</v>
          </cell>
          <cell r="O35">
            <v>0</v>
          </cell>
          <cell r="P35">
            <v>0</v>
          </cell>
          <cell r="U35">
            <v>40000</v>
          </cell>
          <cell r="AQ35">
            <v>0</v>
          </cell>
          <cell r="AR35">
            <v>0</v>
          </cell>
          <cell r="AS35">
            <v>12000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1</v>
          </cell>
          <cell r="BN35" t="str">
            <v>COLLATION</v>
          </cell>
          <cell r="BO35" t="str">
            <v>COLLATION</v>
          </cell>
        </row>
        <row r="36">
          <cell r="A36" t="str">
            <v>AS201647</v>
          </cell>
          <cell r="B36" t="str">
            <v>YOUMBI EMMANUEL</v>
          </cell>
          <cell r="C36">
            <v>-70000</v>
          </cell>
          <cell r="D36">
            <v>593000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40000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S36">
            <v>303000</v>
          </cell>
          <cell r="T36" t="str">
            <v>BANQUE</v>
          </cell>
          <cell r="U36">
            <v>593000</v>
          </cell>
          <cell r="AC36">
            <v>2500</v>
          </cell>
          <cell r="AD36">
            <v>7500</v>
          </cell>
          <cell r="AQ36">
            <v>0</v>
          </cell>
          <cell r="AR36">
            <v>0</v>
          </cell>
          <cell r="AS36">
            <v>15000</v>
          </cell>
          <cell r="AW36">
            <v>297500</v>
          </cell>
          <cell r="AX36">
            <v>892500</v>
          </cell>
          <cell r="AY36">
            <v>0</v>
          </cell>
          <cell r="AZ36">
            <v>1190000</v>
          </cell>
          <cell r="BB36">
            <v>70000</v>
          </cell>
          <cell r="BD36">
            <v>1120000</v>
          </cell>
          <cell r="BE36" t="str">
            <v>OK</v>
          </cell>
          <cell r="BF36">
            <v>0</v>
          </cell>
          <cell r="BG36">
            <v>1</v>
          </cell>
          <cell r="BN36" t="str">
            <v>BOISSON</v>
          </cell>
          <cell r="BO36" t="str">
            <v>COLLATION</v>
          </cell>
        </row>
        <row r="38">
          <cell r="B38" t="str">
            <v>TOTAUX</v>
          </cell>
          <cell r="C38">
            <v>-266500</v>
          </cell>
          <cell r="D38">
            <v>5960500</v>
          </cell>
          <cell r="E38">
            <v>142000</v>
          </cell>
          <cell r="F38">
            <v>0</v>
          </cell>
          <cell r="G38">
            <v>18000</v>
          </cell>
          <cell r="H38">
            <v>0</v>
          </cell>
          <cell r="I38">
            <v>84500</v>
          </cell>
          <cell r="J38">
            <v>30</v>
          </cell>
          <cell r="K38">
            <v>1200000</v>
          </cell>
          <cell r="L38">
            <v>17</v>
          </cell>
          <cell r="M38">
            <v>1275000</v>
          </cell>
          <cell r="N38">
            <v>14</v>
          </cell>
          <cell r="O38">
            <v>1400000</v>
          </cell>
          <cell r="P38">
            <v>150000</v>
          </cell>
          <cell r="Q38">
            <v>380000</v>
          </cell>
          <cell r="R38">
            <v>1212000</v>
          </cell>
          <cell r="S38">
            <v>439500</v>
          </cell>
          <cell r="U38">
            <v>6159000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C38">
            <v>7500</v>
          </cell>
          <cell r="AD38">
            <v>15000</v>
          </cell>
          <cell r="AE38">
            <v>0</v>
          </cell>
          <cell r="AF38">
            <v>0</v>
          </cell>
          <cell r="AG38">
            <v>0</v>
          </cell>
          <cell r="AI38">
            <v>58000</v>
          </cell>
          <cell r="AJ38">
            <v>829000</v>
          </cell>
          <cell r="AK38">
            <v>1136000</v>
          </cell>
          <cell r="AL38">
            <v>1500</v>
          </cell>
          <cell r="AM38">
            <v>10000</v>
          </cell>
          <cell r="AN38">
            <v>18000</v>
          </cell>
          <cell r="AQ38">
            <v>0</v>
          </cell>
          <cell r="AR38">
            <v>0</v>
          </cell>
          <cell r="AS38">
            <v>534500</v>
          </cell>
          <cell r="AT38">
            <v>0</v>
          </cell>
          <cell r="AU38">
            <v>0</v>
          </cell>
          <cell r="AV38">
            <v>0</v>
          </cell>
          <cell r="AW38">
            <v>950500</v>
          </cell>
          <cell r="AX38">
            <v>2614000</v>
          </cell>
          <cell r="AY38">
            <v>1136000</v>
          </cell>
          <cell r="AZ38">
            <v>1968500</v>
          </cell>
          <cell r="BA38">
            <v>127500</v>
          </cell>
          <cell r="BB38">
            <v>210000</v>
          </cell>
          <cell r="BC38">
            <v>0</v>
          </cell>
          <cell r="BD38">
            <v>1631000</v>
          </cell>
          <cell r="BF38">
            <v>0</v>
          </cell>
          <cell r="BH38">
            <v>6000</v>
          </cell>
          <cell r="BI38">
            <v>0</v>
          </cell>
          <cell r="BJ38">
            <v>0</v>
          </cell>
          <cell r="BK38">
            <v>110000</v>
          </cell>
          <cell r="BL38">
            <v>0</v>
          </cell>
          <cell r="BM38">
            <v>0</v>
          </cell>
          <cell r="BN38" t="str">
            <v>S/TOTAL</v>
          </cell>
        </row>
        <row r="40">
          <cell r="C40" t="str">
            <v>BANQUE</v>
          </cell>
          <cell r="F40" t="str">
            <v>ESPECES</v>
          </cell>
        </row>
        <row r="41">
          <cell r="B41" t="str">
            <v>LIBELLE</v>
          </cell>
          <cell r="C41" t="str">
            <v>SORTIE</v>
          </cell>
          <cell r="D41" t="str">
            <v>ENTREE</v>
          </cell>
          <cell r="E41" t="str">
            <v>SOLDE</v>
          </cell>
          <cell r="F41" t="str">
            <v>ENTREE</v>
          </cell>
          <cell r="G41" t="str">
            <v>SORTIE</v>
          </cell>
          <cell r="H41" t="str">
            <v>SOLDE</v>
          </cell>
        </row>
        <row r="42">
          <cell r="B42" t="str">
            <v>REPORT</v>
          </cell>
        </row>
        <row r="43">
          <cell r="B43" t="str">
            <v>TONTINE</v>
          </cell>
          <cell r="C43">
            <v>1968500</v>
          </cell>
          <cell r="D43">
            <v>5717500</v>
          </cell>
          <cell r="F43">
            <v>142000</v>
          </cell>
        </row>
      </sheetData>
      <sheetData sheetId="15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Q6">
            <v>0</v>
          </cell>
          <cell r="R6">
            <v>0</v>
          </cell>
          <cell r="U6">
            <v>175000</v>
          </cell>
          <cell r="AD6">
            <v>7500</v>
          </cell>
          <cell r="AE6">
            <v>10000</v>
          </cell>
          <cell r="AQ6">
            <v>0</v>
          </cell>
          <cell r="AR6">
            <v>0</v>
          </cell>
          <cell r="AW6">
            <v>0</v>
          </cell>
          <cell r="AX6">
            <v>892500</v>
          </cell>
          <cell r="AY6">
            <v>1190000</v>
          </cell>
          <cell r="AZ6">
            <v>2088500</v>
          </cell>
          <cell r="BD6">
            <v>2088500</v>
          </cell>
          <cell r="BF6">
            <v>0</v>
          </cell>
          <cell r="BG6">
            <v>12</v>
          </cell>
          <cell r="BH6">
            <v>6000</v>
          </cell>
          <cell r="BI6">
            <v>0</v>
          </cell>
          <cell r="BJ6">
            <v>0</v>
          </cell>
          <cell r="BM6">
            <v>0</v>
          </cell>
          <cell r="BN6" t="str">
            <v>ACHAT FOURNITURE</v>
          </cell>
          <cell r="BO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669000</v>
          </cell>
          <cell r="F7">
            <v>0</v>
          </cell>
          <cell r="G7">
            <v>0</v>
          </cell>
          <cell r="H7" t="str">
            <v>ESPECES</v>
          </cell>
          <cell r="J7">
            <v>1</v>
          </cell>
          <cell r="K7">
            <v>40000</v>
          </cell>
          <cell r="M7">
            <v>0</v>
          </cell>
          <cell r="O7">
            <v>0</v>
          </cell>
          <cell r="P7">
            <v>29000</v>
          </cell>
          <cell r="S7">
            <v>600000</v>
          </cell>
          <cell r="T7" t="str">
            <v>BANQUE</v>
          </cell>
          <cell r="U7">
            <v>669000</v>
          </cell>
          <cell r="Z7">
            <v>600000</v>
          </cell>
          <cell r="AA7" t="str">
            <v>BANQUE</v>
          </cell>
          <cell r="AQ7">
            <v>0</v>
          </cell>
          <cell r="AR7">
            <v>0</v>
          </cell>
          <cell r="AS7">
            <v>15000</v>
          </cell>
          <cell r="AW7">
            <v>0</v>
          </cell>
          <cell r="AX7">
            <v>0</v>
          </cell>
          <cell r="AY7">
            <v>0</v>
          </cell>
          <cell r="AZ7">
            <v>564000</v>
          </cell>
          <cell r="BD7">
            <v>564000</v>
          </cell>
          <cell r="BF7">
            <v>36000</v>
          </cell>
          <cell r="BG7">
            <v>6</v>
          </cell>
          <cell r="BH7">
            <v>0</v>
          </cell>
          <cell r="BI7">
            <v>0</v>
          </cell>
          <cell r="BJ7">
            <v>0</v>
          </cell>
          <cell r="BM7">
            <v>0</v>
          </cell>
          <cell r="BN7" t="str">
            <v>COMMUNICATION</v>
          </cell>
          <cell r="BO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115000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40000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115000</v>
          </cell>
          <cell r="V8">
            <v>19000</v>
          </cell>
          <cell r="Z8">
            <v>500000</v>
          </cell>
          <cell r="AA8" t="str">
            <v>BANQUE</v>
          </cell>
          <cell r="AQ8">
            <v>0</v>
          </cell>
          <cell r="AR8">
            <v>0</v>
          </cell>
          <cell r="AS8">
            <v>15000</v>
          </cell>
          <cell r="AW8">
            <v>0</v>
          </cell>
          <cell r="AX8">
            <v>0</v>
          </cell>
          <cell r="AY8">
            <v>0</v>
          </cell>
          <cell r="AZ8">
            <v>485000</v>
          </cell>
          <cell r="BD8">
            <v>485000</v>
          </cell>
          <cell r="BF8">
            <v>15000</v>
          </cell>
          <cell r="BG8">
            <v>3</v>
          </cell>
          <cell r="BN8" t="str">
            <v>COMMISSION</v>
          </cell>
          <cell r="BO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221000</v>
          </cell>
          <cell r="D9">
            <v>386000</v>
          </cell>
          <cell r="E9">
            <v>1000000</v>
          </cell>
          <cell r="F9">
            <v>0</v>
          </cell>
          <cell r="G9">
            <v>0</v>
          </cell>
          <cell r="H9" t="str">
            <v>BANQUE</v>
          </cell>
          <cell r="I9">
            <v>25000</v>
          </cell>
          <cell r="J9">
            <v>1</v>
          </cell>
          <cell r="K9">
            <v>40000</v>
          </cell>
          <cell r="M9">
            <v>0</v>
          </cell>
          <cell r="N9">
            <v>1</v>
          </cell>
          <cell r="O9">
            <v>100000</v>
          </cell>
          <cell r="P9">
            <v>0</v>
          </cell>
          <cell r="R9">
            <v>0</v>
          </cell>
          <cell r="S9">
            <v>1000000</v>
          </cell>
          <cell r="T9" t="str">
            <v>BANQUE</v>
          </cell>
          <cell r="U9">
            <v>1165000</v>
          </cell>
          <cell r="V9">
            <v>9000</v>
          </cell>
          <cell r="Z9">
            <v>1000000</v>
          </cell>
          <cell r="AA9" t="str">
            <v>BANQUE</v>
          </cell>
          <cell r="AQ9">
            <v>0</v>
          </cell>
          <cell r="AR9">
            <v>0</v>
          </cell>
          <cell r="AS9">
            <v>40000</v>
          </cell>
          <cell r="AW9">
            <v>0</v>
          </cell>
          <cell r="AX9">
            <v>0</v>
          </cell>
          <cell r="AY9">
            <v>0</v>
          </cell>
          <cell r="AZ9">
            <v>880000</v>
          </cell>
          <cell r="BD9">
            <v>880000</v>
          </cell>
          <cell r="BF9">
            <v>120000</v>
          </cell>
          <cell r="BG9">
            <v>12</v>
          </cell>
          <cell r="BN9" t="str">
            <v>AIDE UEEB ET CONT FEMME</v>
          </cell>
          <cell r="BO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0</v>
          </cell>
          <cell r="E10">
            <v>40000</v>
          </cell>
          <cell r="F10">
            <v>0</v>
          </cell>
          <cell r="G10">
            <v>0</v>
          </cell>
          <cell r="H10" t="str">
            <v>ESPECES</v>
          </cell>
          <cell r="J10">
            <v>1</v>
          </cell>
          <cell r="K10">
            <v>40000</v>
          </cell>
          <cell r="M10">
            <v>0</v>
          </cell>
          <cell r="O10">
            <v>0</v>
          </cell>
          <cell r="P10">
            <v>0</v>
          </cell>
          <cell r="U10">
            <v>40000</v>
          </cell>
          <cell r="V10">
            <v>22000</v>
          </cell>
          <cell r="Z10">
            <v>1000000</v>
          </cell>
          <cell r="AA10" t="str">
            <v>BANQUE</v>
          </cell>
          <cell r="AQ10">
            <v>0</v>
          </cell>
          <cell r="AR10">
            <v>0</v>
          </cell>
          <cell r="AS10">
            <v>15000</v>
          </cell>
          <cell r="AW10">
            <v>0</v>
          </cell>
          <cell r="AX10">
            <v>0</v>
          </cell>
          <cell r="AY10">
            <v>0</v>
          </cell>
          <cell r="AZ10">
            <v>880000</v>
          </cell>
          <cell r="BD10">
            <v>929000</v>
          </cell>
          <cell r="BF10">
            <v>120000</v>
          </cell>
          <cell r="BG10">
            <v>12</v>
          </cell>
          <cell r="BN10" t="str">
            <v>CREDIT TELEPHONE</v>
          </cell>
          <cell r="BO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115000</v>
          </cell>
          <cell r="E11">
            <v>1077000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40000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77000</v>
          </cell>
          <cell r="S11">
            <v>1000000</v>
          </cell>
          <cell r="T11" t="str">
            <v>BANQUE</v>
          </cell>
          <cell r="U11">
            <v>1192000</v>
          </cell>
          <cell r="Z11">
            <v>1000000</v>
          </cell>
          <cell r="AA11" t="str">
            <v>BANQUE</v>
          </cell>
          <cell r="AQ11">
            <v>0</v>
          </cell>
          <cell r="AR11">
            <v>0</v>
          </cell>
          <cell r="AS11">
            <v>15000</v>
          </cell>
          <cell r="AW11">
            <v>0</v>
          </cell>
          <cell r="AX11">
            <v>0</v>
          </cell>
          <cell r="AY11">
            <v>0</v>
          </cell>
          <cell r="AZ11">
            <v>980000</v>
          </cell>
          <cell r="BD11">
            <v>980000</v>
          </cell>
          <cell r="BF11">
            <v>20000</v>
          </cell>
          <cell r="BG11">
            <v>2</v>
          </cell>
          <cell r="BN11" t="str">
            <v>PRODUCTION RAPPORT</v>
          </cell>
          <cell r="BO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1040000</v>
          </cell>
          <cell r="E12">
            <v>257000</v>
          </cell>
          <cell r="F12">
            <v>0</v>
          </cell>
          <cell r="G12">
            <v>0</v>
          </cell>
          <cell r="H12" t="str">
            <v>BANQUE</v>
          </cell>
          <cell r="I12">
            <v>5800</v>
          </cell>
          <cell r="J12">
            <v>1</v>
          </cell>
          <cell r="K12">
            <v>40000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51000</v>
          </cell>
          <cell r="R12">
            <v>206000</v>
          </cell>
          <cell r="S12">
            <v>719200</v>
          </cell>
          <cell r="T12" t="str">
            <v>BANQUE</v>
          </cell>
          <cell r="U12">
            <v>1297000</v>
          </cell>
          <cell r="Z12">
            <v>1000000</v>
          </cell>
          <cell r="AA12" t="str">
            <v>BANQUE</v>
          </cell>
          <cell r="AQ12">
            <v>0</v>
          </cell>
          <cell r="AR12">
            <v>0</v>
          </cell>
          <cell r="AS12">
            <v>20800</v>
          </cell>
          <cell r="AW12">
            <v>0</v>
          </cell>
          <cell r="AX12">
            <v>0</v>
          </cell>
          <cell r="AY12">
            <v>0</v>
          </cell>
          <cell r="AZ12">
            <v>940000</v>
          </cell>
          <cell r="BD12">
            <v>1090000</v>
          </cell>
          <cell r="BF12">
            <v>60000</v>
          </cell>
          <cell r="BG12">
            <v>6</v>
          </cell>
          <cell r="BN12" t="str">
            <v>ACHAT SOURIS ET PHOTOCOPIE</v>
          </cell>
          <cell r="BO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1040000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40000</v>
          </cell>
          <cell r="M13">
            <v>0</v>
          </cell>
          <cell r="O13">
            <v>0</v>
          </cell>
          <cell r="P13">
            <v>0</v>
          </cell>
          <cell r="S13">
            <v>1000000</v>
          </cell>
          <cell r="T13" t="str">
            <v>BANQUE</v>
          </cell>
          <cell r="U13">
            <v>1040000</v>
          </cell>
          <cell r="Z13">
            <v>1000000</v>
          </cell>
          <cell r="AA13" t="str">
            <v>BANQUE</v>
          </cell>
          <cell r="AQ13">
            <v>0</v>
          </cell>
          <cell r="AR13">
            <v>0</v>
          </cell>
          <cell r="AS13">
            <v>15000</v>
          </cell>
          <cell r="AW13">
            <v>0</v>
          </cell>
          <cell r="AX13">
            <v>0</v>
          </cell>
          <cell r="AY13">
            <v>0</v>
          </cell>
          <cell r="AZ13">
            <v>880000</v>
          </cell>
          <cell r="BD13">
            <v>901000</v>
          </cell>
          <cell r="BF13">
            <v>120000</v>
          </cell>
          <cell r="BG13">
            <v>12</v>
          </cell>
          <cell r="BN13" t="str">
            <v>TAXI BANQUE</v>
          </cell>
          <cell r="BO13" t="str">
            <v>FONDS DE ROULEMENT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40000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40000</v>
          </cell>
          <cell r="M14">
            <v>0</v>
          </cell>
          <cell r="O14">
            <v>0</v>
          </cell>
          <cell r="P14">
            <v>0</v>
          </cell>
          <cell r="U14">
            <v>40000</v>
          </cell>
          <cell r="AQ14">
            <v>0</v>
          </cell>
          <cell r="AR14">
            <v>0</v>
          </cell>
          <cell r="AS14">
            <v>15000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12</v>
          </cell>
          <cell r="BN14" t="str">
            <v>CONFECTION CACHET</v>
          </cell>
          <cell r="BO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115000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40000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115000</v>
          </cell>
          <cell r="V15">
            <v>18000</v>
          </cell>
          <cell r="AQ15">
            <v>0</v>
          </cell>
          <cell r="AR15">
            <v>0</v>
          </cell>
          <cell r="AS15">
            <v>15000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12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250000</v>
          </cell>
          <cell r="E16">
            <v>569500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40000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206000</v>
          </cell>
          <cell r="S16">
            <v>363500</v>
          </cell>
          <cell r="T16" t="str">
            <v>BANQUE</v>
          </cell>
          <cell r="U16">
            <v>819500</v>
          </cell>
          <cell r="V16">
            <v>12000</v>
          </cell>
          <cell r="Z16">
            <v>363500</v>
          </cell>
          <cell r="AQ16">
            <v>0</v>
          </cell>
          <cell r="AR16">
            <v>0</v>
          </cell>
          <cell r="AS16">
            <v>50000</v>
          </cell>
          <cell r="AW16">
            <v>0</v>
          </cell>
          <cell r="AX16">
            <v>0</v>
          </cell>
          <cell r="AY16">
            <v>0</v>
          </cell>
          <cell r="AZ16">
            <v>363500</v>
          </cell>
          <cell r="BD16">
            <v>763500</v>
          </cell>
          <cell r="BG16">
            <v>12</v>
          </cell>
          <cell r="BN16" t="str">
            <v>S/TOTAL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1140000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40000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S17">
            <v>1000000</v>
          </cell>
          <cell r="T17" t="str">
            <v>BANQUE</v>
          </cell>
          <cell r="U17">
            <v>1140000</v>
          </cell>
          <cell r="V17">
            <v>9000</v>
          </cell>
          <cell r="AQ17">
            <v>0</v>
          </cell>
          <cell r="AR17">
            <v>0</v>
          </cell>
          <cell r="AS17">
            <v>15000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D17">
            <v>0</v>
          </cell>
          <cell r="BF17">
            <v>0</v>
          </cell>
          <cell r="BG17">
            <v>12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1000000</v>
          </cell>
          <cell r="E18">
            <v>447500</v>
          </cell>
          <cell r="F18">
            <v>0</v>
          </cell>
          <cell r="G18">
            <v>0</v>
          </cell>
          <cell r="H18" t="str">
            <v>BANQUE</v>
          </cell>
          <cell r="J18">
            <v>1</v>
          </cell>
          <cell r="K18">
            <v>40000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30500</v>
          </cell>
          <cell r="Q18">
            <v>202000</v>
          </cell>
          <cell r="R18">
            <v>0</v>
          </cell>
          <cell r="S18">
            <v>1000000</v>
          </cell>
          <cell r="T18" t="str">
            <v>BANQUE</v>
          </cell>
          <cell r="U18">
            <v>1447500</v>
          </cell>
          <cell r="V18">
            <v>3000</v>
          </cell>
          <cell r="Z18">
            <v>1000000</v>
          </cell>
          <cell r="AA18" t="str">
            <v>BANQUE</v>
          </cell>
          <cell r="AQ18">
            <v>0</v>
          </cell>
          <cell r="AR18">
            <v>0</v>
          </cell>
          <cell r="AS18">
            <v>15000</v>
          </cell>
          <cell r="AW18">
            <v>0</v>
          </cell>
          <cell r="AX18">
            <v>0</v>
          </cell>
          <cell r="AY18">
            <v>0</v>
          </cell>
          <cell r="AZ18">
            <v>950000</v>
          </cell>
          <cell r="BD18">
            <v>950000</v>
          </cell>
          <cell r="BF18">
            <v>50000</v>
          </cell>
          <cell r="BG18">
            <v>5</v>
          </cell>
          <cell r="BN18" t="str">
            <v>GRATIFICATION BUREAU 2021</v>
          </cell>
          <cell r="BO18" t="str">
            <v>PENALITE VERSEMENT ESPECES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40000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40000</v>
          </cell>
          <cell r="M19">
            <v>0</v>
          </cell>
          <cell r="O19">
            <v>0</v>
          </cell>
          <cell r="P19">
            <v>0</v>
          </cell>
          <cell r="U19">
            <v>40000</v>
          </cell>
          <cell r="V19">
            <v>20000</v>
          </cell>
          <cell r="AQ19">
            <v>0</v>
          </cell>
          <cell r="AR19">
            <v>0</v>
          </cell>
          <cell r="AS19">
            <v>15000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12</v>
          </cell>
          <cell r="BN19" t="str">
            <v>ACHAT LAPTOP</v>
          </cell>
          <cell r="BO19" t="str">
            <v>PENALITE VERSEMENT ESPECES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0</v>
          </cell>
          <cell r="E20">
            <v>1829000</v>
          </cell>
          <cell r="F20">
            <v>0</v>
          </cell>
          <cell r="G20">
            <v>0</v>
          </cell>
          <cell r="H20" t="str">
            <v>ESPECES</v>
          </cell>
          <cell r="J20">
            <v>1</v>
          </cell>
          <cell r="K20">
            <v>40000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307000</v>
          </cell>
          <cell r="R20">
            <v>307000</v>
          </cell>
          <cell r="S20">
            <v>1000000</v>
          </cell>
          <cell r="T20" t="str">
            <v>BANQUE</v>
          </cell>
          <cell r="U20">
            <v>1829000</v>
          </cell>
          <cell r="Z20">
            <v>1000000</v>
          </cell>
          <cell r="AA20" t="str">
            <v>BANQUE</v>
          </cell>
          <cell r="AQ20">
            <v>0</v>
          </cell>
          <cell r="AR20">
            <v>0</v>
          </cell>
          <cell r="AS20">
            <v>15000</v>
          </cell>
          <cell r="AW20">
            <v>0</v>
          </cell>
          <cell r="AX20">
            <v>0</v>
          </cell>
          <cell r="AY20">
            <v>0</v>
          </cell>
          <cell r="AZ20">
            <v>940000</v>
          </cell>
          <cell r="BD20">
            <v>940000</v>
          </cell>
          <cell r="BF20">
            <v>60000</v>
          </cell>
          <cell r="BG20">
            <v>6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540000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40000</v>
          </cell>
          <cell r="M21">
            <v>0</v>
          </cell>
          <cell r="O21">
            <v>0</v>
          </cell>
          <cell r="P21">
            <v>0</v>
          </cell>
          <cell r="S21">
            <v>500000</v>
          </cell>
          <cell r="T21" t="str">
            <v>BANQUE</v>
          </cell>
          <cell r="U21">
            <v>540000</v>
          </cell>
          <cell r="Z21">
            <v>300000</v>
          </cell>
          <cell r="AA21" t="str">
            <v>BANQUE</v>
          </cell>
          <cell r="AQ21">
            <v>0</v>
          </cell>
          <cell r="AR21">
            <v>0</v>
          </cell>
          <cell r="AS21">
            <v>15000</v>
          </cell>
          <cell r="AW21">
            <v>0</v>
          </cell>
          <cell r="AX21">
            <v>0</v>
          </cell>
          <cell r="AY21">
            <v>0</v>
          </cell>
          <cell r="AZ21">
            <v>282000</v>
          </cell>
          <cell r="BD21">
            <v>282000</v>
          </cell>
          <cell r="BF21">
            <v>18000</v>
          </cell>
          <cell r="BG21">
            <v>6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222500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40000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S22">
            <v>107500</v>
          </cell>
          <cell r="T22" t="str">
            <v>BANQUE</v>
          </cell>
          <cell r="U22">
            <v>222500</v>
          </cell>
          <cell r="V22">
            <v>20000</v>
          </cell>
          <cell r="Z22">
            <v>1000000</v>
          </cell>
          <cell r="AA22" t="str">
            <v>BANQUE</v>
          </cell>
          <cell r="AQ22">
            <v>0</v>
          </cell>
          <cell r="AR22">
            <v>0</v>
          </cell>
          <cell r="AS22">
            <v>15000</v>
          </cell>
          <cell r="AW22">
            <v>0</v>
          </cell>
          <cell r="AX22">
            <v>0</v>
          </cell>
          <cell r="AY22">
            <v>0</v>
          </cell>
          <cell r="AZ22">
            <v>880000</v>
          </cell>
          <cell r="BD22">
            <v>933000</v>
          </cell>
          <cell r="BF22">
            <v>120000</v>
          </cell>
          <cell r="BG22">
            <v>12</v>
          </cell>
          <cell r="BN22" t="str">
            <v>S/TOTAL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850000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40000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0</v>
          </cell>
          <cell r="S23">
            <v>600000</v>
          </cell>
          <cell r="T23" t="str">
            <v>BANQUE</v>
          </cell>
          <cell r="U23">
            <v>850000</v>
          </cell>
          <cell r="Z23">
            <v>500000</v>
          </cell>
          <cell r="AA23" t="str">
            <v>BANQUE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470000</v>
          </cell>
          <cell r="BD23">
            <v>690000</v>
          </cell>
          <cell r="BF23">
            <v>30000</v>
          </cell>
          <cell r="BG23">
            <v>6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1215000</v>
          </cell>
          <cell r="E24">
            <v>202000</v>
          </cell>
          <cell r="F24">
            <v>0</v>
          </cell>
          <cell r="G24">
            <v>0</v>
          </cell>
          <cell r="H24" t="str">
            <v>BANQUE</v>
          </cell>
          <cell r="J24">
            <v>1</v>
          </cell>
          <cell r="K24">
            <v>40000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202000</v>
          </cell>
          <cell r="S24">
            <v>1000000</v>
          </cell>
          <cell r="T24" t="str">
            <v>BANQUE</v>
          </cell>
          <cell r="U24">
            <v>1417000</v>
          </cell>
          <cell r="V24">
            <v>15000</v>
          </cell>
          <cell r="Z24">
            <v>1000000</v>
          </cell>
          <cell r="AA24" t="str">
            <v>BANQUE</v>
          </cell>
          <cell r="AQ24">
            <v>0</v>
          </cell>
          <cell r="AR24">
            <v>0</v>
          </cell>
          <cell r="AS24">
            <v>15000</v>
          </cell>
          <cell r="AW24">
            <v>0</v>
          </cell>
          <cell r="AX24">
            <v>0</v>
          </cell>
          <cell r="AY24">
            <v>0</v>
          </cell>
          <cell r="AZ24">
            <v>880000</v>
          </cell>
          <cell r="BD24">
            <v>678000</v>
          </cell>
          <cell r="BF24">
            <v>120000</v>
          </cell>
          <cell r="BG24">
            <v>12</v>
          </cell>
          <cell r="BN24" t="str">
            <v>GRATIFICATION BUREAU 2021</v>
          </cell>
          <cell r="BO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600000</v>
          </cell>
          <cell r="E25">
            <v>1000000</v>
          </cell>
          <cell r="F25">
            <v>0</v>
          </cell>
          <cell r="G25">
            <v>0</v>
          </cell>
          <cell r="H25" t="str">
            <v>BANQUE</v>
          </cell>
          <cell r="I25">
            <v>108000</v>
          </cell>
          <cell r="J25">
            <v>1</v>
          </cell>
          <cell r="K25">
            <v>40000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202000</v>
          </cell>
          <cell r="S25">
            <v>1000000</v>
          </cell>
          <cell r="T25" t="str">
            <v>BANQUE</v>
          </cell>
          <cell r="U25">
            <v>1600000</v>
          </cell>
          <cell r="V25">
            <v>15000</v>
          </cell>
          <cell r="Z25">
            <v>1000000</v>
          </cell>
          <cell r="AA25" t="str">
            <v>BANQUE</v>
          </cell>
          <cell r="AQ25">
            <v>0</v>
          </cell>
          <cell r="AR25">
            <v>0</v>
          </cell>
          <cell r="AS25">
            <v>123000</v>
          </cell>
          <cell r="AW25">
            <v>0</v>
          </cell>
          <cell r="AX25">
            <v>0</v>
          </cell>
          <cell r="AY25">
            <v>0</v>
          </cell>
          <cell r="AZ25">
            <v>880000</v>
          </cell>
          <cell r="BD25">
            <v>1180000</v>
          </cell>
          <cell r="BF25">
            <v>120000</v>
          </cell>
          <cell r="BG25">
            <v>12</v>
          </cell>
          <cell r="BN25" t="str">
            <v>DEVELOPPEMENT LAGWEU</v>
          </cell>
          <cell r="BO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0</v>
          </cell>
          <cell r="E26">
            <v>1040000</v>
          </cell>
          <cell r="F26">
            <v>0</v>
          </cell>
          <cell r="G26">
            <v>0</v>
          </cell>
          <cell r="H26" t="str">
            <v>ESPECES</v>
          </cell>
          <cell r="J26">
            <v>1</v>
          </cell>
          <cell r="K26">
            <v>40000</v>
          </cell>
          <cell r="M26">
            <v>0</v>
          </cell>
          <cell r="O26">
            <v>0</v>
          </cell>
          <cell r="P26">
            <v>0</v>
          </cell>
          <cell r="S26">
            <v>1000000</v>
          </cell>
          <cell r="T26" t="str">
            <v>BANQUE</v>
          </cell>
          <cell r="U26">
            <v>1040000</v>
          </cell>
          <cell r="Z26">
            <v>1000000</v>
          </cell>
          <cell r="AA26" t="str">
            <v>BANQUE</v>
          </cell>
          <cell r="AQ26">
            <v>0</v>
          </cell>
          <cell r="AR26">
            <v>0</v>
          </cell>
          <cell r="AS26">
            <v>15000</v>
          </cell>
          <cell r="AW26">
            <v>0</v>
          </cell>
          <cell r="AX26">
            <v>0</v>
          </cell>
          <cell r="AY26">
            <v>0</v>
          </cell>
          <cell r="AZ26">
            <v>970000</v>
          </cell>
          <cell r="BD26">
            <v>970000</v>
          </cell>
          <cell r="BF26">
            <v>30000</v>
          </cell>
          <cell r="BG26">
            <v>3</v>
          </cell>
          <cell r="BN26" t="str">
            <v>DEUIL TCHEMNOU EMMANUEL</v>
          </cell>
          <cell r="BO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10000</v>
          </cell>
          <cell r="J27">
            <v>1</v>
          </cell>
          <cell r="K27">
            <v>40000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12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115000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40000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115000</v>
          </cell>
          <cell r="AQ28">
            <v>0</v>
          </cell>
          <cell r="AR28">
            <v>0</v>
          </cell>
          <cell r="AS28">
            <v>15000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12</v>
          </cell>
          <cell r="BN28" t="str">
            <v>S/TOTAL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40000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40000</v>
          </cell>
          <cell r="M29">
            <v>0</v>
          </cell>
          <cell r="O29">
            <v>0</v>
          </cell>
          <cell r="P29">
            <v>0</v>
          </cell>
          <cell r="U29">
            <v>40000</v>
          </cell>
          <cell r="AQ29">
            <v>0</v>
          </cell>
          <cell r="AR29">
            <v>0</v>
          </cell>
          <cell r="AS29">
            <v>15000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12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115000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40000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115000</v>
          </cell>
          <cell r="V30">
            <v>34000</v>
          </cell>
          <cell r="Z30">
            <v>1000000</v>
          </cell>
          <cell r="AA30" t="str">
            <v>BANQUE</v>
          </cell>
          <cell r="AQ30">
            <v>0</v>
          </cell>
          <cell r="AR30">
            <v>0</v>
          </cell>
          <cell r="AS30">
            <v>15000</v>
          </cell>
          <cell r="AW30">
            <v>0</v>
          </cell>
          <cell r="AX30">
            <v>0</v>
          </cell>
          <cell r="AY30">
            <v>0</v>
          </cell>
          <cell r="AZ30">
            <v>940000</v>
          </cell>
          <cell r="BD30">
            <v>168000</v>
          </cell>
          <cell r="BF30">
            <v>60000</v>
          </cell>
          <cell r="BG30">
            <v>6</v>
          </cell>
          <cell r="BN30" t="str">
            <v xml:space="preserve">DECES </v>
          </cell>
          <cell r="BO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1171000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40000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31000</v>
          </cell>
          <cell r="S31">
            <v>1000000</v>
          </cell>
          <cell r="T31" t="str">
            <v>BANQUE</v>
          </cell>
          <cell r="U31">
            <v>1171000</v>
          </cell>
          <cell r="Z31">
            <v>250000</v>
          </cell>
          <cell r="AA31" t="str">
            <v>BANQUE</v>
          </cell>
          <cell r="AQ31">
            <v>0</v>
          </cell>
          <cell r="AR31">
            <v>0</v>
          </cell>
          <cell r="AS31">
            <v>15000</v>
          </cell>
          <cell r="AW31">
            <v>0</v>
          </cell>
          <cell r="AX31">
            <v>0</v>
          </cell>
          <cell r="AY31">
            <v>0</v>
          </cell>
          <cell r="AZ31">
            <v>235000</v>
          </cell>
          <cell r="BD31">
            <v>465000</v>
          </cell>
          <cell r="BF31">
            <v>15000</v>
          </cell>
          <cell r="BG31">
            <v>6</v>
          </cell>
          <cell r="BN31" t="str">
            <v>TRANSPORT DELEGUE</v>
          </cell>
          <cell r="BO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416000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40000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101000</v>
          </cell>
          <cell r="S32">
            <v>200000</v>
          </cell>
          <cell r="T32" t="str">
            <v>BANQUE</v>
          </cell>
          <cell r="U32">
            <v>416000</v>
          </cell>
          <cell r="AQ32">
            <v>0</v>
          </cell>
          <cell r="AR32">
            <v>0</v>
          </cell>
          <cell r="AS32">
            <v>15000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D32">
            <v>0</v>
          </cell>
          <cell r="BF32">
            <v>0</v>
          </cell>
          <cell r="BG32">
            <v>12</v>
          </cell>
        </row>
        <row r="33">
          <cell r="A33" t="str">
            <v>AS201643</v>
          </cell>
          <cell r="B33" t="str">
            <v>TCHOUTOU NANA CLAUDE</v>
          </cell>
          <cell r="C33">
            <v>40000</v>
          </cell>
          <cell r="D33">
            <v>90000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10000</v>
          </cell>
          <cell r="J33">
            <v>1</v>
          </cell>
          <cell r="K33">
            <v>40000</v>
          </cell>
          <cell r="M33">
            <v>0</v>
          </cell>
          <cell r="O33">
            <v>0</v>
          </cell>
          <cell r="P33">
            <v>0</v>
          </cell>
          <cell r="U33">
            <v>50000</v>
          </cell>
          <cell r="AC33">
            <v>2500</v>
          </cell>
          <cell r="AQ33">
            <v>0</v>
          </cell>
          <cell r="AR33">
            <v>0</v>
          </cell>
          <cell r="AS33">
            <v>25000</v>
          </cell>
          <cell r="AW33">
            <v>297500</v>
          </cell>
          <cell r="AX33">
            <v>0</v>
          </cell>
          <cell r="AY33">
            <v>0</v>
          </cell>
          <cell r="AZ33">
            <v>297500</v>
          </cell>
          <cell r="BB33">
            <v>70000</v>
          </cell>
          <cell r="BD33">
            <v>176000</v>
          </cell>
          <cell r="BF33">
            <v>0</v>
          </cell>
          <cell r="BG33">
            <v>12</v>
          </cell>
          <cell r="BN33" t="str">
            <v>S/TOTAL</v>
          </cell>
        </row>
        <row r="34">
          <cell r="A34" t="str">
            <v>AS201658</v>
          </cell>
          <cell r="B34" t="str">
            <v>YANTCHOU GERVAIS</v>
          </cell>
          <cell r="C34">
            <v>0</v>
          </cell>
          <cell r="D34">
            <v>40000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40000</v>
          </cell>
          <cell r="M34">
            <v>0</v>
          </cell>
          <cell r="O34">
            <v>0</v>
          </cell>
          <cell r="P34">
            <v>0</v>
          </cell>
          <cell r="U34">
            <v>40000</v>
          </cell>
          <cell r="Z34">
            <v>700000</v>
          </cell>
          <cell r="AA34" t="str">
            <v>BANQUE</v>
          </cell>
          <cell r="AQ34">
            <v>0</v>
          </cell>
          <cell r="AR34">
            <v>0</v>
          </cell>
          <cell r="AS34">
            <v>15000</v>
          </cell>
          <cell r="AW34">
            <v>0</v>
          </cell>
          <cell r="AX34">
            <v>0</v>
          </cell>
          <cell r="AY34">
            <v>0</v>
          </cell>
          <cell r="AZ34">
            <v>616000</v>
          </cell>
          <cell r="BD34">
            <v>616000</v>
          </cell>
          <cell r="BF34">
            <v>84000</v>
          </cell>
          <cell r="BG34">
            <v>12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227500</v>
          </cell>
          <cell r="E35">
            <v>40000</v>
          </cell>
          <cell r="F35">
            <v>0</v>
          </cell>
          <cell r="G35">
            <v>0</v>
          </cell>
          <cell r="H35" t="str">
            <v>BANQUE</v>
          </cell>
          <cell r="J35">
            <v>1</v>
          </cell>
          <cell r="K35">
            <v>40000</v>
          </cell>
          <cell r="M35">
            <v>0</v>
          </cell>
          <cell r="O35">
            <v>0</v>
          </cell>
          <cell r="P35">
            <v>0</v>
          </cell>
          <cell r="S35">
            <v>227500</v>
          </cell>
          <cell r="T35" t="str">
            <v>BANQUE</v>
          </cell>
          <cell r="U35">
            <v>267500</v>
          </cell>
          <cell r="AC35">
            <v>2500</v>
          </cell>
          <cell r="AQ35">
            <v>0</v>
          </cell>
          <cell r="AR35">
            <v>0</v>
          </cell>
          <cell r="AS35">
            <v>15000</v>
          </cell>
          <cell r="AW35">
            <v>297500</v>
          </cell>
          <cell r="AX35">
            <v>0</v>
          </cell>
          <cell r="AY35">
            <v>0</v>
          </cell>
          <cell r="AZ35">
            <v>297500</v>
          </cell>
          <cell r="BB35">
            <v>70000</v>
          </cell>
          <cell r="BD35">
            <v>227500</v>
          </cell>
          <cell r="BF35">
            <v>0</v>
          </cell>
          <cell r="BG35">
            <v>12</v>
          </cell>
          <cell r="BN35" t="str">
            <v>COLLATION</v>
          </cell>
          <cell r="BO35" t="str">
            <v>COLLATION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290000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40000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290000</v>
          </cell>
          <cell r="V36">
            <v>11000</v>
          </cell>
          <cell r="AQ36">
            <v>0</v>
          </cell>
          <cell r="AR36">
            <v>0</v>
          </cell>
          <cell r="AS36">
            <v>15000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12</v>
          </cell>
          <cell r="BN36" t="str">
            <v>BOISSON</v>
          </cell>
          <cell r="BO36" t="str">
            <v>COLLATION</v>
          </cell>
        </row>
        <row r="38">
          <cell r="B38" t="str">
            <v>TOTAUX</v>
          </cell>
          <cell r="C38">
            <v>261000</v>
          </cell>
          <cell r="D38">
            <v>11438000</v>
          </cell>
          <cell r="E38">
            <v>8171000</v>
          </cell>
          <cell r="F38">
            <v>0</v>
          </cell>
          <cell r="G38">
            <v>0</v>
          </cell>
          <cell r="H38">
            <v>0</v>
          </cell>
          <cell r="I38">
            <v>203800</v>
          </cell>
          <cell r="J38">
            <v>30</v>
          </cell>
          <cell r="K38">
            <v>1200000</v>
          </cell>
          <cell r="L38">
            <v>17</v>
          </cell>
          <cell r="M38">
            <v>1275000</v>
          </cell>
          <cell r="N38">
            <v>14</v>
          </cell>
          <cell r="O38">
            <v>1400000</v>
          </cell>
          <cell r="P38">
            <v>59500</v>
          </cell>
          <cell r="Q38">
            <v>738000</v>
          </cell>
          <cell r="R38">
            <v>1154000</v>
          </cell>
          <cell r="S38">
            <v>13317700</v>
          </cell>
          <cell r="U38">
            <v>19348000</v>
          </cell>
          <cell r="V38">
            <v>207000</v>
          </cell>
          <cell r="W38">
            <v>0</v>
          </cell>
          <cell r="X38">
            <v>0</v>
          </cell>
          <cell r="Y38">
            <v>0</v>
          </cell>
          <cell r="Z38">
            <v>15213500</v>
          </cell>
          <cell r="AA38">
            <v>0</v>
          </cell>
          <cell r="AC38">
            <v>5000</v>
          </cell>
          <cell r="AD38">
            <v>7500</v>
          </cell>
          <cell r="AE38">
            <v>10000</v>
          </cell>
          <cell r="AF38">
            <v>0</v>
          </cell>
          <cell r="AG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653800</v>
          </cell>
          <cell r="AT38">
            <v>0</v>
          </cell>
          <cell r="AU38">
            <v>0</v>
          </cell>
          <cell r="AV38">
            <v>0</v>
          </cell>
          <cell r="AW38">
            <v>595000</v>
          </cell>
          <cell r="AX38">
            <v>892500</v>
          </cell>
          <cell r="AY38">
            <v>1190000</v>
          </cell>
          <cell r="AZ38">
            <v>16699000</v>
          </cell>
          <cell r="BA38">
            <v>0</v>
          </cell>
          <cell r="BB38">
            <v>140000</v>
          </cell>
          <cell r="BC38">
            <v>0</v>
          </cell>
          <cell r="BD38">
            <v>16956500</v>
          </cell>
          <cell r="BF38">
            <v>1198000</v>
          </cell>
          <cell r="BH38">
            <v>6000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 t="str">
            <v>S/TOTAL</v>
          </cell>
        </row>
        <row r="40">
          <cell r="C40" t="str">
            <v>BANQUE</v>
          </cell>
          <cell r="F40" t="str">
            <v>ESPECES</v>
          </cell>
        </row>
        <row r="41">
          <cell r="B41" t="str">
            <v>LIBELLE</v>
          </cell>
          <cell r="C41" t="str">
            <v>SORTIE</v>
          </cell>
          <cell r="D41" t="str">
            <v>ENTREE</v>
          </cell>
          <cell r="E41" t="str">
            <v>SOLDE</v>
          </cell>
          <cell r="F41" t="str">
            <v>ENTREE</v>
          </cell>
          <cell r="G41" t="str">
            <v>SORTIE</v>
          </cell>
          <cell r="H41" t="str">
            <v>SOLDE</v>
          </cell>
        </row>
        <row r="42">
          <cell r="B42" t="str">
            <v>REPORT</v>
          </cell>
        </row>
        <row r="43">
          <cell r="B43" t="str">
            <v>TONTINE</v>
          </cell>
          <cell r="C43">
            <v>16699000</v>
          </cell>
          <cell r="D43">
            <v>11263000</v>
          </cell>
          <cell r="F43">
            <v>8171000</v>
          </cell>
        </row>
      </sheetData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RECEPTION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AS201604</v>
          </cell>
          <cell r="B7">
            <v>3</v>
          </cell>
          <cell r="C7" t="str">
            <v xml:space="preserve">DJOMO JEAN PAUL </v>
          </cell>
          <cell r="D7" t="str">
            <v>ENTREPRENEUR DE BATIMENT</v>
          </cell>
          <cell r="E7">
            <v>0</v>
          </cell>
          <cell r="F7">
            <v>677986676</v>
          </cell>
          <cell r="G7">
            <v>0</v>
          </cell>
          <cell r="H7" t="str">
            <v>RUE MANGUIERS</v>
          </cell>
        </row>
        <row r="8">
          <cell r="A8" t="str">
            <v>AS201605</v>
          </cell>
          <cell r="B8">
            <v>4</v>
          </cell>
          <cell r="C8" t="str">
            <v>DJOUKWE NANGUEN GUY BLAISE</v>
          </cell>
          <cell r="D8" t="str">
            <v>PROFESSEUR DES LYCEES TECHNIQUE</v>
          </cell>
          <cell r="E8">
            <v>0</v>
          </cell>
          <cell r="F8">
            <v>675250451</v>
          </cell>
          <cell r="G8">
            <v>0</v>
          </cell>
          <cell r="H8" t="str">
            <v>RUE MANGUIERS</v>
          </cell>
        </row>
        <row r="9">
          <cell r="A9" t="str">
            <v>AS201608</v>
          </cell>
          <cell r="B9">
            <v>5</v>
          </cell>
          <cell r="C9" t="str">
            <v>DJUOMBESSY ANTOINE</v>
          </cell>
          <cell r="D9" t="str">
            <v>ANALYSTE CONCEPTEUR SI</v>
          </cell>
          <cell r="E9">
            <v>0</v>
          </cell>
          <cell r="F9">
            <v>677501239</v>
          </cell>
          <cell r="G9">
            <v>699324095</v>
          </cell>
          <cell r="H9" t="str">
            <v>MESSASSI</v>
          </cell>
        </row>
        <row r="10">
          <cell r="A10" t="str">
            <v>AS201609</v>
          </cell>
          <cell r="B10">
            <v>6</v>
          </cell>
          <cell r="C10" t="str">
            <v>DONHOU DAVID</v>
          </cell>
          <cell r="D10" t="str">
            <v>MAGISTRAT</v>
          </cell>
          <cell r="E10">
            <v>0</v>
          </cell>
          <cell r="F10">
            <v>699908065</v>
          </cell>
          <cell r="G10">
            <v>0</v>
          </cell>
          <cell r="H10" t="str">
            <v>TONGOLO</v>
          </cell>
        </row>
        <row r="11">
          <cell r="A11" t="str">
            <v>AS201611</v>
          </cell>
          <cell r="B11">
            <v>7</v>
          </cell>
          <cell r="C11" t="str">
            <v>HENGUE PAUL OMER</v>
          </cell>
          <cell r="D11" t="str">
            <v>SOCIOLOGUE</v>
          </cell>
          <cell r="E11">
            <v>0</v>
          </cell>
          <cell r="F11">
            <v>694468080</v>
          </cell>
          <cell r="G11">
            <v>0</v>
          </cell>
          <cell r="H11" t="str">
            <v>MESSASSI</v>
          </cell>
        </row>
        <row r="12">
          <cell r="A12" t="str">
            <v>AS201613</v>
          </cell>
          <cell r="B12">
            <v>8</v>
          </cell>
          <cell r="C12" t="str">
            <v>HOTCHO BENJAMIN</v>
          </cell>
          <cell r="D12" t="str">
            <v>COMPTABLE</v>
          </cell>
          <cell r="E12">
            <v>0</v>
          </cell>
          <cell r="F12">
            <v>699956355</v>
          </cell>
          <cell r="G12">
            <v>0</v>
          </cell>
          <cell r="H12" t="str">
            <v>DAMAS</v>
          </cell>
        </row>
        <row r="13">
          <cell r="A13" t="str">
            <v>AS201617</v>
          </cell>
          <cell r="B13">
            <v>9</v>
          </cell>
          <cell r="C13" t="str">
            <v>KOUAMOU MOISE</v>
          </cell>
          <cell r="D13" t="str">
            <v>INGENIEUR E-F</v>
          </cell>
          <cell r="E13">
            <v>0</v>
          </cell>
          <cell r="F13">
            <v>675836725</v>
          </cell>
          <cell r="G13">
            <v>0</v>
          </cell>
          <cell r="H13" t="str">
            <v>DAMAS</v>
          </cell>
        </row>
        <row r="14">
          <cell r="A14" t="str">
            <v>AS201619</v>
          </cell>
          <cell r="B14">
            <v>10</v>
          </cell>
          <cell r="C14" t="str">
            <v>KOUATCHO MESSACK</v>
          </cell>
          <cell r="D14" t="str">
            <v>INSPECTEUR DE TRAVAIL</v>
          </cell>
          <cell r="E14">
            <v>0</v>
          </cell>
          <cell r="F14">
            <v>677735778</v>
          </cell>
          <cell r="G14">
            <v>0</v>
          </cell>
          <cell r="H14" t="str">
            <v>SANTA BARBARA</v>
          </cell>
        </row>
        <row r="15">
          <cell r="A15" t="str">
            <v>AS201620</v>
          </cell>
          <cell r="B15">
            <v>11</v>
          </cell>
          <cell r="C15" t="str">
            <v>LOWE JEAN</v>
          </cell>
          <cell r="D15" t="str">
            <v>PROFESSEUR DE LYCEE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A16" t="str">
            <v>AS201621</v>
          </cell>
          <cell r="B16">
            <v>12</v>
          </cell>
          <cell r="C16" t="str">
            <v>NANKAM APPOLINAIRE</v>
          </cell>
          <cell r="D16" t="str">
            <v>ENSEIGNANT</v>
          </cell>
          <cell r="E16">
            <v>0</v>
          </cell>
          <cell r="F16">
            <v>693055118</v>
          </cell>
          <cell r="G16">
            <v>0</v>
          </cell>
          <cell r="H16" t="str">
            <v>DAMAS</v>
          </cell>
        </row>
        <row r="17">
          <cell r="A17" t="str">
            <v>AS201622</v>
          </cell>
          <cell r="B17">
            <v>13</v>
          </cell>
          <cell r="C17" t="str">
            <v>NDJOMO ETIENNE</v>
          </cell>
          <cell r="D17" t="str">
            <v>COMPTABLE</v>
          </cell>
          <cell r="E17">
            <v>0</v>
          </cell>
          <cell r="F17">
            <v>677553702</v>
          </cell>
          <cell r="G17">
            <v>0</v>
          </cell>
          <cell r="H17" t="str">
            <v>MONTEE JOUVENCE</v>
          </cell>
        </row>
        <row r="18">
          <cell r="A18" t="str">
            <v>AS201624</v>
          </cell>
          <cell r="B18">
            <v>14</v>
          </cell>
          <cell r="C18" t="str">
            <v>NGONDIEP CLAUDE</v>
          </cell>
          <cell r="D18" t="str">
            <v>DAS(DIRECTEUR ADMINISTRATEUR SOCIETE)</v>
          </cell>
          <cell r="E18">
            <v>0</v>
          </cell>
          <cell r="F18">
            <v>675249207</v>
          </cell>
          <cell r="G18">
            <v>0</v>
          </cell>
          <cell r="H18" t="str">
            <v>CITE VERTE</v>
          </cell>
        </row>
        <row r="19">
          <cell r="A19" t="str">
            <v>AS201626</v>
          </cell>
          <cell r="B19">
            <v>15</v>
          </cell>
          <cell r="C19" t="str">
            <v>NGUIEMEGNI MATHIEU BLAISE</v>
          </cell>
          <cell r="D19" t="str">
            <v>CADRE CADASTRE</v>
          </cell>
          <cell r="E19">
            <v>0</v>
          </cell>
          <cell r="F19">
            <v>677068360</v>
          </cell>
          <cell r="G19">
            <v>0</v>
          </cell>
          <cell r="H19" t="str">
            <v>MONATELE</v>
          </cell>
        </row>
        <row r="20">
          <cell r="A20" t="str">
            <v>AS201628</v>
          </cell>
          <cell r="B20">
            <v>16</v>
          </cell>
          <cell r="C20" t="str">
            <v>NKAMGANG JUSTIN DEJOLIE</v>
          </cell>
          <cell r="D20" t="str">
            <v>DELEGUE COMMERCIAL</v>
          </cell>
          <cell r="E20">
            <v>0</v>
          </cell>
          <cell r="F20">
            <v>676659191</v>
          </cell>
          <cell r="G20">
            <v>0</v>
          </cell>
          <cell r="H20" t="str">
            <v>MENDONG</v>
          </cell>
        </row>
        <row r="21">
          <cell r="A21" t="str">
            <v>AS201633</v>
          </cell>
          <cell r="B21">
            <v>17</v>
          </cell>
          <cell r="C21" t="str">
            <v>PATEGO NJOSSU GUSTAVE</v>
          </cell>
          <cell r="D21" t="str">
            <v>INGENIEUR T-P</v>
          </cell>
          <cell r="E21">
            <v>0</v>
          </cell>
          <cell r="F21">
            <v>699995086</v>
          </cell>
          <cell r="G21">
            <v>0</v>
          </cell>
          <cell r="H21" t="str">
            <v>EBOGO 1(SOA)</v>
          </cell>
        </row>
        <row r="22">
          <cell r="A22" t="str">
            <v>AS201638</v>
          </cell>
          <cell r="B22">
            <v>18</v>
          </cell>
          <cell r="C22" t="str">
            <v>SIMO PIERRE</v>
          </cell>
          <cell r="D22" t="str">
            <v>TECHNICIEN DE SANTE RETRAITE</v>
          </cell>
          <cell r="E22">
            <v>0</v>
          </cell>
          <cell r="F22">
            <v>677546060</v>
          </cell>
          <cell r="G22">
            <v>0</v>
          </cell>
          <cell r="H22" t="str">
            <v>OYOMABANG</v>
          </cell>
        </row>
        <row r="23">
          <cell r="A23" t="str">
            <v>AS201639</v>
          </cell>
          <cell r="B23">
            <v>19</v>
          </cell>
          <cell r="C23" t="str">
            <v>NANGUEN MARTIN</v>
          </cell>
          <cell r="D23" t="str">
            <v>SECRETAIRE D'ADMINISTRATION</v>
          </cell>
          <cell r="E23">
            <v>0</v>
          </cell>
          <cell r="F23">
            <v>677648306</v>
          </cell>
          <cell r="G23">
            <v>0</v>
          </cell>
          <cell r="H23" t="str">
            <v>RUE MANGUIERS</v>
          </cell>
        </row>
        <row r="24">
          <cell r="A24" t="str">
            <v>AS201641</v>
          </cell>
          <cell r="B24">
            <v>20</v>
          </cell>
          <cell r="C24" t="str">
            <v>TCHOUAMOU MATHIEU</v>
          </cell>
          <cell r="D24" t="str">
            <v>OFFICIER SUPERIEUR</v>
          </cell>
          <cell r="E24">
            <v>0</v>
          </cell>
          <cell r="F24">
            <v>699778906</v>
          </cell>
          <cell r="G24">
            <v>0</v>
          </cell>
          <cell r="H24" t="str">
            <v>MENDONG</v>
          </cell>
        </row>
        <row r="25">
          <cell r="A25" t="str">
            <v>AS201643</v>
          </cell>
          <cell r="B25">
            <v>21</v>
          </cell>
          <cell r="C25" t="str">
            <v>TCHOUTOU NANA CLAUDE</v>
          </cell>
          <cell r="D25" t="str">
            <v>OPERATEUR ECONOMIQUE</v>
          </cell>
          <cell r="E25">
            <v>0</v>
          </cell>
          <cell r="F25">
            <v>677775940</v>
          </cell>
          <cell r="G25">
            <v>0</v>
          </cell>
          <cell r="H25" t="str">
            <v>NKOL FOULOU</v>
          </cell>
        </row>
        <row r="26">
          <cell r="A26" t="str">
            <v>AS201646</v>
          </cell>
          <cell r="B26">
            <v>22</v>
          </cell>
          <cell r="C26" t="str">
            <v>YEPMOU JEAN JACQUES</v>
          </cell>
          <cell r="D26" t="str">
            <v>ADMINISTRATEUR CIVIL</v>
          </cell>
          <cell r="E26">
            <v>0</v>
          </cell>
          <cell r="F26">
            <v>699663416</v>
          </cell>
          <cell r="G26">
            <v>0</v>
          </cell>
          <cell r="H26" t="str">
            <v>MENDONG (NKOLZIE)</v>
          </cell>
        </row>
        <row r="27">
          <cell r="A27" t="str">
            <v>AS201647</v>
          </cell>
          <cell r="B27">
            <v>23</v>
          </cell>
          <cell r="C27" t="str">
            <v>YOUMBI EMMANUEL</v>
          </cell>
          <cell r="D27" t="str">
            <v>PROFESSEUR DES UNIVERSITES</v>
          </cell>
          <cell r="E27">
            <v>0</v>
          </cell>
          <cell r="F27">
            <v>677547311</v>
          </cell>
          <cell r="G27">
            <v>0</v>
          </cell>
          <cell r="H27" t="str">
            <v>MENDONG (GUINNESS)</v>
          </cell>
        </row>
        <row r="28">
          <cell r="A28" t="str">
            <v>AS201648</v>
          </cell>
          <cell r="B28">
            <v>24</v>
          </cell>
          <cell r="C28" t="str">
            <v>ASELBY</v>
          </cell>
          <cell r="D28" t="str">
            <v>ASSOCIATION DES ELITES BANGOU DE YAOUNDE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A29" t="str">
            <v>AS201649</v>
          </cell>
          <cell r="B29">
            <v>25</v>
          </cell>
          <cell r="C29" t="str">
            <v>MBOGNING TUGMA GUY</v>
          </cell>
          <cell r="D29" t="str">
            <v>TECHNICIEN D'ELEVAGE</v>
          </cell>
          <cell r="E29">
            <v>0</v>
          </cell>
          <cell r="F29">
            <v>694452000</v>
          </cell>
          <cell r="G29">
            <v>0</v>
          </cell>
          <cell r="H29" t="str">
            <v xml:space="preserve">NSIMEYONG </v>
          </cell>
        </row>
        <row r="30">
          <cell r="A30" t="str">
            <v>AS201651</v>
          </cell>
          <cell r="B30">
            <v>26</v>
          </cell>
          <cell r="C30" t="str">
            <v>DOMOU FABIEN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A31" t="str">
            <v>AS201653</v>
          </cell>
          <cell r="B31">
            <v>27</v>
          </cell>
          <cell r="C31" t="str">
            <v>SIME BRICE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A32" t="str">
            <v>AS201654</v>
          </cell>
          <cell r="B32">
            <v>28</v>
          </cell>
          <cell r="C32" t="str">
            <v>DJOMOU TCHAPDA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A33" t="str">
            <v>AS201656</v>
          </cell>
          <cell r="B33">
            <v>29</v>
          </cell>
          <cell r="C33" t="str">
            <v>NOUBE ETIENNE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A34" t="str">
            <v>AS201657</v>
          </cell>
          <cell r="B34">
            <v>30</v>
          </cell>
          <cell r="C34" t="str">
            <v>SEUMO POLYCARPE</v>
          </cell>
          <cell r="D34">
            <v>0</v>
          </cell>
          <cell r="E34">
            <v>0</v>
          </cell>
          <cell r="F34">
            <v>696585118</v>
          </cell>
          <cell r="G34">
            <v>0</v>
          </cell>
          <cell r="H34">
            <v>0</v>
          </cell>
        </row>
        <row r="35">
          <cell r="A35" t="str">
            <v>AS201658</v>
          </cell>
          <cell r="B35">
            <v>31</v>
          </cell>
          <cell r="C35" t="str">
            <v>YANTCHOU GERVAIS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</row>
        <row r="36">
          <cell r="A36" t="str">
            <v>AS201629</v>
          </cell>
          <cell r="B36">
            <v>31</v>
          </cell>
          <cell r="C36" t="str">
            <v>NKEPSEU DIEUDONNE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</row>
        <row r="37">
          <cell r="A37" t="str">
            <v>AS201653</v>
          </cell>
          <cell r="B37">
            <v>32</v>
          </cell>
          <cell r="C37" t="str">
            <v>SIME BRICE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</row>
        <row r="38">
          <cell r="A38" t="str">
            <v>AS201654</v>
          </cell>
          <cell r="B38">
            <v>33</v>
          </cell>
          <cell r="C38" t="str">
            <v>DJOMOU TCHANDA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</row>
        <row r="39">
          <cell r="A39" t="str">
            <v>AS201656</v>
          </cell>
          <cell r="B39">
            <v>34</v>
          </cell>
          <cell r="C39" t="str">
            <v>NOUBE ETIENNE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</row>
        <row r="40">
          <cell r="A40" t="str">
            <v>AS201657</v>
          </cell>
          <cell r="B40">
            <v>35</v>
          </cell>
          <cell r="C40" t="str">
            <v>SEUMO POLYCARPE</v>
          </cell>
          <cell r="D40">
            <v>0</v>
          </cell>
          <cell r="E40">
            <v>0</v>
          </cell>
          <cell r="F40">
            <v>696585118</v>
          </cell>
          <cell r="G40">
            <v>0</v>
          </cell>
          <cell r="H40">
            <v>0</v>
          </cell>
        </row>
        <row r="41">
          <cell r="A41" t="str">
            <v>AS201658</v>
          </cell>
          <cell r="B41">
            <v>36</v>
          </cell>
          <cell r="C41" t="str">
            <v>YANTCHOU GERVAIS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I5" sqref="I5"/>
    </sheetView>
  </sheetViews>
  <sheetFormatPr baseColWidth="10" defaultColWidth="11" defaultRowHeight="15" x14ac:dyDescent="0.25"/>
  <sheetData>
    <row r="1" spans="1:1" x14ac:dyDescent="0.25">
      <c r="A1" t="s">
        <v>33</v>
      </c>
    </row>
    <row r="2" spans="1:1" x14ac:dyDescent="0.25">
      <c r="A2" t="s">
        <v>32</v>
      </c>
    </row>
    <row r="3" spans="1:1" x14ac:dyDescent="0.25">
      <c r="A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8"/>
  <sheetViews>
    <sheetView workbookViewId="0">
      <pane xSplit="3" ySplit="5" topLeftCell="G21" activePane="bottomRight" state="frozen"/>
      <selection activeCell="G6" sqref="G6:G39"/>
      <selection pane="topRight" activeCell="G6" sqref="G6:G39"/>
      <selection pane="bottomLeft" activeCell="G6" sqref="G6:G39"/>
      <selection pane="bottomRight" activeCell="O45" sqref="O45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5" width="21" customWidth="1"/>
    <col min="6" max="6" width="21.42578125" customWidth="1"/>
    <col min="7" max="7" width="16.7109375" customWidth="1"/>
    <col min="8" max="8" width="15" customWidth="1"/>
    <col min="9" max="10" width="17.5703125" style="3" customWidth="1"/>
    <col min="11" max="11" width="16" style="3" customWidth="1"/>
    <col min="12" max="12" width="19.85546875" style="3" customWidth="1"/>
    <col min="13" max="13" width="15.7109375" style="2" customWidth="1"/>
    <col min="14" max="15" width="13" customWidth="1"/>
    <col min="16" max="16" width="15.5703125" style="3" customWidth="1"/>
    <col min="17" max="18" width="18.140625" style="2" customWidth="1"/>
  </cols>
  <sheetData>
    <row r="1" spans="1:19" x14ac:dyDescent="0.2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19" x14ac:dyDescent="0.25">
      <c r="A2" s="1" t="s">
        <v>2</v>
      </c>
      <c r="B2" s="1">
        <v>2023</v>
      </c>
      <c r="C2" s="1" t="s">
        <v>81</v>
      </c>
      <c r="D2" s="1" t="s">
        <v>76</v>
      </c>
      <c r="E2" s="1"/>
      <c r="F2" s="1"/>
      <c r="G2" s="1"/>
      <c r="N2" s="1"/>
      <c r="O2" s="1"/>
    </row>
    <row r="3" spans="1:19" x14ac:dyDescent="0.25">
      <c r="A3" s="1" t="s">
        <v>82</v>
      </c>
      <c r="B3" s="6">
        <v>25000</v>
      </c>
      <c r="C3" s="6">
        <f>B3*12</f>
        <v>300000</v>
      </c>
      <c r="D3" s="1">
        <f>ROUNDDOWN(M40/C3,0)</f>
        <v>2</v>
      </c>
      <c r="E3" s="1"/>
      <c r="F3" s="1"/>
      <c r="G3" s="1"/>
      <c r="N3" s="1"/>
      <c r="O3" s="1"/>
    </row>
    <row r="4" spans="1:19" s="13" customFormat="1" ht="18" x14ac:dyDescent="0.25">
      <c r="B4" s="14"/>
      <c r="C4" s="21">
        <v>44939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15"/>
      <c r="O4" s="15"/>
      <c r="P4" s="15"/>
      <c r="Q4" s="15"/>
    </row>
    <row r="5" spans="1:19" ht="58.5" x14ac:dyDescent="0.3">
      <c r="A5" s="1" t="s">
        <v>3</v>
      </c>
      <c r="B5" s="12" t="s">
        <v>77</v>
      </c>
      <c r="C5" s="1" t="s">
        <v>4</v>
      </c>
      <c r="D5" s="4" t="s">
        <v>5</v>
      </c>
      <c r="E5" s="4" t="s">
        <v>7</v>
      </c>
      <c r="F5" s="1" t="s">
        <v>44</v>
      </c>
      <c r="G5" s="5" t="s">
        <v>6</v>
      </c>
      <c r="H5" s="6" t="s">
        <v>40</v>
      </c>
      <c r="I5" s="4" t="s">
        <v>37</v>
      </c>
      <c r="J5" s="4" t="s">
        <v>41</v>
      </c>
      <c r="K5" s="10" t="s">
        <v>50</v>
      </c>
      <c r="L5" s="4" t="s">
        <v>78</v>
      </c>
      <c r="M5" s="4" t="s">
        <v>36</v>
      </c>
      <c r="N5" s="4" t="s">
        <v>35</v>
      </c>
      <c r="O5" s="4" t="s">
        <v>38</v>
      </c>
      <c r="P5" s="4" t="s">
        <v>50</v>
      </c>
      <c r="Q5" s="4" t="s">
        <v>79</v>
      </c>
      <c r="R5" s="4" t="s">
        <v>39</v>
      </c>
    </row>
    <row r="6" spans="1:19" x14ac:dyDescent="0.25">
      <c r="A6" s="1" t="s">
        <v>89</v>
      </c>
      <c r="B6" s="7">
        <f>IF(D6=0,0,VLOOKUP($A6,[6]HISTOJANV23!$A$6:$BP$42,10,0))</f>
        <v>1</v>
      </c>
      <c r="C6" s="1" t="str">
        <f>VLOOKUP(A6,[7]LISTADHERENT!A$5:H$60,3,0)</f>
        <v>BAKOP ACHILLE</v>
      </c>
      <c r="D6" s="7">
        <f t="shared" ref="D6:D35" si="0">IF(G6="ECHEC",0,B$3)</f>
        <v>25000</v>
      </c>
      <c r="E6" s="7">
        <f>D6+VLOOKUP($A6,[6]HISTOJANV23!$A$7:$AU$40,45,0)+F6</f>
        <v>104000</v>
      </c>
      <c r="F6" s="7">
        <f>VLOOKUP($A6,[6]HISTOJANV23!$A$6:$AV$47,7,0)</f>
        <v>0</v>
      </c>
      <c r="G6" s="7" t="str">
        <f>VLOOKUP($A6,[6]HISTOJANV23!$A$6:$AV$47,8,0)</f>
        <v>ESPECES</v>
      </c>
      <c r="H6" s="7">
        <f>VLOOKUP($A6,[6]HISTOJANV23!$A$6:$AV$47,35,0)</f>
        <v>0</v>
      </c>
      <c r="I6" s="7">
        <f>VLOOKUP($A6,[6]HISTOJANV23!$A$6:$AV$47,38,0)</f>
        <v>0</v>
      </c>
      <c r="J6" s="7">
        <f>IF(H6=0,0,VLOOKUP($A6,[6]HISTOJANV23!$A$6:$AV$47,42,0))</f>
        <v>0</v>
      </c>
      <c r="K6" s="7">
        <f>VLOOKUP($A6,[6]HISTOJANV23!$A$6:$AV$47,41,0)</f>
        <v>0</v>
      </c>
      <c r="L6"/>
      <c r="M6" s="7">
        <f>VLOOKUP($A6,[6]HISTOJANV23!$A$6:$AV$47,16,0)</f>
        <v>0</v>
      </c>
      <c r="N6" s="7" t="str">
        <f>IF(M6&lt;&gt;0,VLOOKUP($A6,[6]HISTOJANV23!$A$6:$AV$47,8,0),"ECHEC")</f>
        <v>ECHEC</v>
      </c>
      <c r="O6" s="7">
        <f>IF(R6=0,0,VLOOKUP($A6,[6]HISTOJANV23!$A$6:$AV$47,32,0))</f>
        <v>0</v>
      </c>
      <c r="P6" s="7">
        <f>VLOOKUP($A6,[6]HISTOJANV23!$A$6:$AV$47,33,0)</f>
        <v>0</v>
      </c>
      <c r="Q6" s="7">
        <f t="shared" ref="Q6" si="1">IF(R6=0,0,($C$3-R6))</f>
        <v>0</v>
      </c>
      <c r="R6" s="7">
        <f>VLOOKUP($A6,[6]HISTOJANV23!$A$6:$AV$47,29,0)</f>
        <v>0</v>
      </c>
    </row>
    <row r="7" spans="1:19" x14ac:dyDescent="0.25">
      <c r="A7" s="1" t="s">
        <v>9</v>
      </c>
      <c r="B7" s="7">
        <f>IF(D7=0,0,VLOOKUP($A7,[6]HISTOJANV23!$A$6:$BP$42,10,0))</f>
        <v>1</v>
      </c>
      <c r="C7" s="1" t="str">
        <f>VLOOKUP(A7,[7]LISTADHERENT!A$5:H$60,3,0)</f>
        <v>BOUTCHOUANG WILLIAM</v>
      </c>
      <c r="D7" s="7">
        <f t="shared" si="0"/>
        <v>25000</v>
      </c>
      <c r="E7" s="7">
        <f>D7+VLOOKUP($A7,[6]HISTOJANV23!$A$7:$AU$40,45,0)+F7</f>
        <v>40000</v>
      </c>
      <c r="F7" s="7">
        <f>VLOOKUP($A7,[6]HISTOJANV23!$A$6:$AV$47,7,0)</f>
        <v>0</v>
      </c>
      <c r="G7" s="7" t="str">
        <f>VLOOKUP($A7,[6]HISTOJANV23!$A$6:$AV$47,8,0)</f>
        <v>BANQUE</v>
      </c>
      <c r="H7" s="7">
        <f>VLOOKUP($A7,[6]HISTOJANV23!$A$6:$AV$47,35,0)</f>
        <v>0</v>
      </c>
      <c r="I7" s="7">
        <f>VLOOKUP($A7,[6]HISTOJANV23!$A$6:$AV$47,38,0)</f>
        <v>0</v>
      </c>
      <c r="J7" s="7">
        <f>IF(H7=0,0,VLOOKUP($A7,[6]HISTOJANV23!$A$6:$AV$47,42,0))</f>
        <v>0</v>
      </c>
      <c r="K7" s="7">
        <f>VLOOKUP($A7,[6]HISTOJANV23!$A$6:$AV$47,41,0)</f>
        <v>0</v>
      </c>
      <c r="L7"/>
      <c r="M7" s="7">
        <f>VLOOKUP($A7,[6]HISTOJANV23!$A$6:$AV$47,16,0)</f>
        <v>0</v>
      </c>
      <c r="N7" s="7" t="str">
        <f>IF(M7&lt;&gt;0,VLOOKUP($A7,[6]HISTOJANV23!$A$6:$AV$47,8,0),"ECHEC")</f>
        <v>ECHEC</v>
      </c>
      <c r="O7" s="7">
        <f>IF(R7=0,0,VLOOKUP($A7,[6]HISTOJANV23!$A$6:$AV$47,32,0))</f>
        <v>0</v>
      </c>
      <c r="P7" s="7">
        <f>VLOOKUP($A7,[6]HISTOJANV23!$A$6:$AV$47,33,0)</f>
        <v>0</v>
      </c>
      <c r="Q7" s="7">
        <f t="shared" ref="Q7:Q35" si="2">IF(R7=0,0,($C$3-R7))</f>
        <v>0</v>
      </c>
      <c r="R7" s="7">
        <f>VLOOKUP($A7,[6]HISTOJANV23!$A$6:$AV$47,29,0)</f>
        <v>0</v>
      </c>
    </row>
    <row r="8" spans="1:19" x14ac:dyDescent="0.25">
      <c r="A8" s="1" t="s">
        <v>10</v>
      </c>
      <c r="B8" s="7">
        <f>IF(D8=0,0,VLOOKUP($A8,[6]HISTOJANV23!$A$6:$BP$42,10,0))</f>
        <v>1</v>
      </c>
      <c r="C8" s="1" t="str">
        <f>VLOOKUP(A8,[7]LISTADHERENT!A$5:H$60,3,0)</f>
        <v xml:space="preserve">DJOMO JEAN PAUL </v>
      </c>
      <c r="D8" s="7">
        <f t="shared" si="0"/>
        <v>25000</v>
      </c>
      <c r="E8" s="7">
        <f>D8+VLOOKUP($A8,[6]HISTOJANV23!$A$7:$AU$40,45,0)+F8</f>
        <v>60000</v>
      </c>
      <c r="F8" s="7">
        <f>VLOOKUP($A8,[6]HISTOJANV23!$A$6:$AV$47,7,0)</f>
        <v>0</v>
      </c>
      <c r="G8" s="7" t="str">
        <f>VLOOKUP($A8,[6]HISTOJANV23!$A$6:$AV$47,8,0)</f>
        <v>BANQUE</v>
      </c>
      <c r="H8" s="7">
        <f>VLOOKUP($A8,[6]HISTOJANV23!$A$6:$AV$47,35,0)</f>
        <v>0</v>
      </c>
      <c r="I8" s="7">
        <f>VLOOKUP($A8,[6]HISTOJANV23!$A$6:$AV$47,38,0)</f>
        <v>0</v>
      </c>
      <c r="J8" s="7">
        <f>IF(H8=0,0,VLOOKUP($A8,[6]HISTOJANV23!$A$6:$AV$47,42,0))</f>
        <v>0</v>
      </c>
      <c r="K8" s="7">
        <f>VLOOKUP($A8,[6]HISTOJANV23!$A$6:$AV$47,41,0)</f>
        <v>0</v>
      </c>
      <c r="L8"/>
      <c r="M8" s="7">
        <f>VLOOKUP($A8,[6]HISTOJANV23!$A$6:$AV$47,16,0)</f>
        <v>0</v>
      </c>
      <c r="N8" s="7" t="str">
        <f>IF(M8&lt;&gt;0,VLOOKUP($A8,[6]HISTOJANV23!$A$6:$AV$47,8,0),"ECHEC")</f>
        <v>ECHEC</v>
      </c>
      <c r="O8" s="7" t="str">
        <f>IF(R8=0,0,VLOOKUP($A8,[6]HISTOJANV23!$A$6:$AV$47,32,0))</f>
        <v>BANQUE</v>
      </c>
      <c r="P8" s="7">
        <f>VLOOKUP($A8,[6]HISTOJANV23!$A$6:$AV$47,33,0)</f>
        <v>0</v>
      </c>
      <c r="Q8" s="7">
        <f t="shared" si="2"/>
        <v>255000</v>
      </c>
      <c r="R8" s="7">
        <f>VLOOKUP($A8,[6]HISTOJANV23!$A$6:$AV$47,29,0)</f>
        <v>45000</v>
      </c>
    </row>
    <row r="9" spans="1:19" x14ac:dyDescent="0.25">
      <c r="A9" s="1" t="s">
        <v>53</v>
      </c>
      <c r="B9" s="7">
        <f>IF(D9=0,0,VLOOKUP($A9,[6]HISTOJANV23!$A$6:$BP$42,10,0))</f>
        <v>1</v>
      </c>
      <c r="C9" s="1" t="str">
        <f>VLOOKUP(A9,[7]LISTADHERENT!A$5:H$60,3,0)</f>
        <v>DJOMOU TCHAPDA</v>
      </c>
      <c r="D9" s="7">
        <f t="shared" si="0"/>
        <v>25000</v>
      </c>
      <c r="E9" s="7">
        <f>D9+VLOOKUP($A9,[6]HISTOJANV23!$A$7:$AU$40,45,0)+F9</f>
        <v>40000</v>
      </c>
      <c r="F9" s="7">
        <f>VLOOKUP($A9,[6]HISTOJANV23!$A$6:$AV$47,7,0)</f>
        <v>0</v>
      </c>
      <c r="G9" s="7" t="str">
        <f>VLOOKUP($A9,[6]HISTOJANV23!$A$6:$AV$47,8,0)</f>
        <v>BANQUE</v>
      </c>
      <c r="H9" s="7">
        <f>VLOOKUP($A9,[6]HISTOJANV23!$A$6:$AV$47,35,0)</f>
        <v>60000</v>
      </c>
      <c r="I9" s="7">
        <f>VLOOKUP($A9,[6]HISTOJANV23!$A$6:$AV$47,38,0)</f>
        <v>3000</v>
      </c>
      <c r="J9" s="7" t="str">
        <f>IF(H9=0,0,VLOOKUP($A9,[6]HISTOJANV23!$A$6:$AV$47,42,0))</f>
        <v>BANQUE</v>
      </c>
      <c r="K9" s="7">
        <f>VLOOKUP($A9,[6]HISTOJANV23!$A$6:$AV$47,41,0)</f>
        <v>0</v>
      </c>
      <c r="L9"/>
      <c r="M9" s="7">
        <f>VLOOKUP($A9,[6]HISTOJANV23!$A$6:$AV$47,16,0)</f>
        <v>0</v>
      </c>
      <c r="N9" s="7" t="str">
        <f>IF(M9&lt;&gt;0,VLOOKUP($A9,[6]HISTOJANV23!$A$6:$AV$47,8,0),"ECHEC")</f>
        <v>ECHEC</v>
      </c>
      <c r="O9" s="7">
        <f>IF(R9=0,0,VLOOKUP($A9,[6]HISTOJANV23!$A$6:$AV$47,32,0))</f>
        <v>0</v>
      </c>
      <c r="P9" s="7">
        <f>VLOOKUP($A9,[6]HISTOJANV23!$A$6:$AV$47,33,0)</f>
        <v>0</v>
      </c>
      <c r="Q9" s="7">
        <f t="shared" si="2"/>
        <v>0</v>
      </c>
      <c r="R9" s="7">
        <f>VLOOKUP($A9,[6]HISTOJANV23!$A$6:$AV$47,29,0)</f>
        <v>0</v>
      </c>
    </row>
    <row r="10" spans="1:19" x14ac:dyDescent="0.25">
      <c r="A10" s="1" t="s">
        <v>11</v>
      </c>
      <c r="B10" s="7">
        <f>IF(D10=0,0,VLOOKUP($A10,[6]HISTOJANV23!$A$6:$BP$42,10,0))</f>
        <v>1</v>
      </c>
      <c r="C10" s="1" t="str">
        <f>VLOOKUP(A10,[7]LISTADHERENT!A$5:H$60,3,0)</f>
        <v>DJOUKWE NANGUEN GUY BLAISE</v>
      </c>
      <c r="D10" s="7">
        <f t="shared" si="0"/>
        <v>25000</v>
      </c>
      <c r="E10" s="7">
        <f>D10+VLOOKUP($A10,[6]HISTOJANV23!$A$7:$AU$40,45,0)+F10</f>
        <v>40000</v>
      </c>
      <c r="F10" s="7">
        <f>VLOOKUP($A10,[6]HISTOJANV23!$A$6:$AV$47,7,0)</f>
        <v>0</v>
      </c>
      <c r="G10" s="7" t="str">
        <f>VLOOKUP($A10,[6]HISTOJANV23!$A$6:$AV$47,8,0)</f>
        <v>BANQUE</v>
      </c>
      <c r="H10" s="7">
        <f>VLOOKUP($A10,[6]HISTOJANV23!$A$6:$AV$47,35,0)</f>
        <v>60000</v>
      </c>
      <c r="I10" s="7">
        <f>VLOOKUP($A10,[6]HISTOJANV23!$A$6:$AV$47,38,0)</f>
        <v>2000</v>
      </c>
      <c r="J10" s="7" t="str">
        <f>IF(H10=0,0,VLOOKUP($A10,[6]HISTOJANV23!$A$6:$AV$47,42,0))</f>
        <v>BANQUE</v>
      </c>
      <c r="K10" s="7">
        <f>VLOOKUP($A10,[6]HISTOJANV23!$A$6:$AV$47,41,0)</f>
        <v>0</v>
      </c>
      <c r="L10"/>
      <c r="M10" s="7">
        <f>VLOOKUP($A10,[6]HISTOJANV23!$A$6:$AV$47,16,0)</f>
        <v>0</v>
      </c>
      <c r="N10" s="7" t="str">
        <f>IF(M10&lt;&gt;0,VLOOKUP($A10,[6]HISTOJANV23!$A$6:$AV$47,8,0),"ECHEC")</f>
        <v>ECHEC</v>
      </c>
      <c r="O10" s="7">
        <f>IF(R10=0,0,VLOOKUP($A10,[6]HISTOJANV23!$A$6:$AV$47,32,0))</f>
        <v>0</v>
      </c>
      <c r="P10" s="7">
        <f>VLOOKUP($A10,[6]HISTOJANV23!$A$6:$AV$47,33,0)</f>
        <v>0</v>
      </c>
      <c r="Q10" s="7">
        <f t="shared" si="2"/>
        <v>0</v>
      </c>
      <c r="R10" s="7">
        <f>VLOOKUP($A10,[6]HISTOJANV23!$A$6:$AV$47,29,0)</f>
        <v>0</v>
      </c>
    </row>
    <row r="11" spans="1:19" x14ac:dyDescent="0.25">
      <c r="A11" s="1" t="s">
        <v>12</v>
      </c>
      <c r="B11" s="7">
        <f>IF(D11=0,0,VLOOKUP($A11,[6]HISTOJANV23!$A$6:$BP$42,10,0))</f>
        <v>1</v>
      </c>
      <c r="C11" s="1" t="str">
        <f>VLOOKUP(A11,[7]LISTADHERENT!A$5:H$60,3,0)</f>
        <v>DJUOMBESSY ANTOINE</v>
      </c>
      <c r="D11" s="7">
        <f t="shared" si="0"/>
        <v>25000</v>
      </c>
      <c r="E11" s="7">
        <f>D11+VLOOKUP($A11,[6]HISTOJANV23!$A$7:$AU$40,45,0)+F11</f>
        <v>45000</v>
      </c>
      <c r="F11" s="7">
        <f>VLOOKUP($A11,[6]HISTOJANV23!$A$6:$AV$47,7,0)</f>
        <v>0</v>
      </c>
      <c r="G11" s="7" t="str">
        <f>VLOOKUP($A11,[6]HISTOJANV23!$A$6:$AV$47,8,0)</f>
        <v>BANQUE</v>
      </c>
      <c r="H11" s="7">
        <f>VLOOKUP($A11,[6]HISTOJANV23!$A$6:$AV$47,35,0)</f>
        <v>0</v>
      </c>
      <c r="I11" s="7">
        <f>VLOOKUP($A11,[6]HISTOJANV23!$A$6:$AV$47,38,0)</f>
        <v>0</v>
      </c>
      <c r="J11" s="7">
        <f>IF(H11=0,0,VLOOKUP($A11,[6]HISTOJANV23!$A$6:$AV$47,42,0))</f>
        <v>0</v>
      </c>
      <c r="K11" s="7">
        <f>VLOOKUP($A11,[6]HISTOJANV23!$A$6:$AV$47,41,0)</f>
        <v>0</v>
      </c>
      <c r="L11"/>
      <c r="M11" s="7">
        <f>VLOOKUP($A11,[6]HISTOJANV23!$A$6:$AV$47,16,0)</f>
        <v>0</v>
      </c>
      <c r="N11" s="7" t="str">
        <f>IF(M11&lt;&gt;0,VLOOKUP($A11,[6]HISTOJANV23!$A$6:$AV$47,8,0),"ECHEC")</f>
        <v>ECHEC</v>
      </c>
      <c r="O11" s="7">
        <f>IF(R11=0,0,VLOOKUP($A11,[6]HISTOJANV23!$A$6:$AV$47,32,0))</f>
        <v>0</v>
      </c>
      <c r="P11" s="7">
        <f>VLOOKUP($A11,[6]HISTOJANV23!$A$6:$AV$47,33,0)</f>
        <v>0</v>
      </c>
      <c r="Q11" s="7">
        <f t="shared" si="2"/>
        <v>0</v>
      </c>
      <c r="R11" s="7">
        <f>VLOOKUP($A11,[6]HISTOJANV23!$A$6:$AV$47,29,0)</f>
        <v>0</v>
      </c>
    </row>
    <row r="12" spans="1:19" x14ac:dyDescent="0.25">
      <c r="A12" s="1" t="s">
        <v>46</v>
      </c>
      <c r="B12" s="7">
        <f>IF(D12=0,0,VLOOKUP($A12,[6]HISTOJANV23!$A$6:$BP$42,10,0))</f>
        <v>1</v>
      </c>
      <c r="C12" s="1" t="str">
        <f>VLOOKUP(A12,[7]LISTADHERENT!A$5:H$60,3,0)</f>
        <v>DOMOU FABIEN</v>
      </c>
      <c r="D12" s="7">
        <f t="shared" si="0"/>
        <v>25000</v>
      </c>
      <c r="E12" s="7">
        <f>D12+VLOOKUP($A12,[6]HISTOJANV23!$A$7:$AU$40,45,0)+F12</f>
        <v>40000</v>
      </c>
      <c r="F12" s="7">
        <f>VLOOKUP($A12,[6]HISTOJANV23!$A$6:$AV$47,7,0)</f>
        <v>0</v>
      </c>
      <c r="G12" s="7" t="str">
        <f>VLOOKUP($A12,[6]HISTOJANV23!$A$6:$AV$47,8,0)</f>
        <v>BANQUE</v>
      </c>
      <c r="H12" s="7">
        <f>VLOOKUP($A12,[6]HISTOJANV23!$A$6:$AV$47,35,0)</f>
        <v>0</v>
      </c>
      <c r="I12" s="7">
        <f>VLOOKUP($A12,[6]HISTOJANV23!$A$6:$AV$47,38,0)</f>
        <v>0</v>
      </c>
      <c r="J12" s="7">
        <f>IF(H12=0,0,VLOOKUP($A12,[6]HISTOJANV23!$A$6:$AV$47,42,0))</f>
        <v>0</v>
      </c>
      <c r="K12" s="7">
        <f>VLOOKUP($A12,[6]HISTOJANV23!$A$6:$AV$47,41,0)</f>
        <v>0</v>
      </c>
      <c r="L12"/>
      <c r="M12" s="7">
        <f>VLOOKUP($A12,[6]HISTOJANV23!$A$6:$AV$47,16,0)</f>
        <v>0</v>
      </c>
      <c r="N12" s="7" t="str">
        <f>IF(M12&lt;&gt;0,VLOOKUP($A12,[6]HISTOJANV23!$A$6:$AV$47,8,0),"ECHEC")</f>
        <v>ECHEC</v>
      </c>
      <c r="O12" s="7">
        <f>IF(R12=0,0,VLOOKUP($A12,[6]HISTOJANV23!$A$6:$AV$47,32,0))</f>
        <v>0</v>
      </c>
      <c r="P12" s="7">
        <f>VLOOKUP($A12,[6]HISTOJANV23!$A$6:$AV$47,33,0)</f>
        <v>0</v>
      </c>
      <c r="Q12" s="7">
        <f t="shared" si="2"/>
        <v>0</v>
      </c>
      <c r="R12" s="7">
        <f>VLOOKUP($A12,[6]HISTOJANV23!$A$6:$AV$47,29,0)</f>
        <v>0</v>
      </c>
    </row>
    <row r="13" spans="1:19" x14ac:dyDescent="0.25">
      <c r="A13" s="1" t="s">
        <v>13</v>
      </c>
      <c r="B13" s="7">
        <f>IF(D13=0,0,VLOOKUP($A13,[6]HISTOJANV23!$A$6:$BP$42,10,0))</f>
        <v>1</v>
      </c>
      <c r="C13" s="1" t="str">
        <f>VLOOKUP(A13,[7]LISTADHERENT!A$5:H$60,3,0)</f>
        <v>DONHOU DAVID</v>
      </c>
      <c r="D13" s="7">
        <f t="shared" si="0"/>
        <v>25000</v>
      </c>
      <c r="E13" s="7">
        <f>D13+VLOOKUP($A13,[6]HISTOJANV23!$A$7:$AU$40,45,0)+F13</f>
        <v>40000</v>
      </c>
      <c r="F13" s="7">
        <f>VLOOKUP($A13,[6]HISTOJANV23!$A$6:$AV$47,7,0)</f>
        <v>0</v>
      </c>
      <c r="G13" s="7" t="str">
        <f>VLOOKUP($A13,[6]HISTOJANV23!$A$6:$AV$47,8,0)</f>
        <v>BANQUE</v>
      </c>
      <c r="H13" s="7">
        <f>VLOOKUP($A13,[6]HISTOJANV23!$A$6:$AV$47,35,0)</f>
        <v>0</v>
      </c>
      <c r="I13" s="7">
        <f>VLOOKUP($A13,[6]HISTOJANV23!$A$6:$AV$47,38,0)</f>
        <v>0</v>
      </c>
      <c r="J13" s="7">
        <f>IF(H13=0,0,VLOOKUP($A13,[6]HISTOJANV23!$A$6:$AV$47,42,0))</f>
        <v>0</v>
      </c>
      <c r="K13" s="7">
        <f>VLOOKUP($A13,[6]HISTOJANV23!$A$6:$AV$47,41,0)</f>
        <v>0</v>
      </c>
      <c r="L13"/>
      <c r="M13" s="7">
        <f>VLOOKUP($A13,[6]HISTOJANV23!$A$6:$AV$47,16,0)</f>
        <v>0</v>
      </c>
      <c r="N13" s="7" t="str">
        <f>IF(M13&lt;&gt;0,VLOOKUP($A13,[6]HISTOJANV23!$A$6:$AV$47,8,0),"ECHEC")</f>
        <v>ECHEC</v>
      </c>
      <c r="O13" s="7">
        <f>IF(R13=0,0,VLOOKUP($A13,[6]HISTOJANV23!$A$6:$AV$47,32,0))</f>
        <v>0</v>
      </c>
      <c r="P13" s="7">
        <f>VLOOKUP($A13,[6]HISTOJANV23!$A$6:$AV$47,33,0)</f>
        <v>0</v>
      </c>
      <c r="Q13" s="7">
        <f t="shared" si="2"/>
        <v>0</v>
      </c>
      <c r="R13" s="7">
        <f>VLOOKUP($A13,[6]HISTOJANV23!$A$6:$AV$47,29,0)</f>
        <v>0</v>
      </c>
    </row>
    <row r="14" spans="1:19" x14ac:dyDescent="0.25">
      <c r="A14" s="1" t="s">
        <v>14</v>
      </c>
      <c r="B14" s="7">
        <f>IF(D14=0,0,VLOOKUP($A14,[6]HISTOJANV23!$A$6:$BP$42,10,0))</f>
        <v>1</v>
      </c>
      <c r="C14" s="1" t="str">
        <f>VLOOKUP(A14,[7]LISTADHERENT!A$5:H$60,3,0)</f>
        <v>HENGUE PAUL OMER</v>
      </c>
      <c r="D14" s="7">
        <f t="shared" si="0"/>
        <v>25000</v>
      </c>
      <c r="E14" s="7">
        <f>D14+VLOOKUP($A14,[6]HISTOJANV23!$A$7:$AU$40,45,0)+F14</f>
        <v>40000</v>
      </c>
      <c r="F14" s="7">
        <f>VLOOKUP($A14,[6]HISTOJANV23!$A$6:$AV$47,7,0)</f>
        <v>0</v>
      </c>
      <c r="G14" s="7" t="str">
        <f>VLOOKUP($A14,[6]HISTOJANV23!$A$6:$AV$47,8,0)</f>
        <v>BANQUE</v>
      </c>
      <c r="H14" s="7">
        <f>VLOOKUP($A14,[6]HISTOJANV23!$A$6:$AV$47,35,0)</f>
        <v>0</v>
      </c>
      <c r="I14" s="7">
        <f>VLOOKUP($A14,[6]HISTOJANV23!$A$6:$AV$47,38,0)</f>
        <v>0</v>
      </c>
      <c r="J14" s="7">
        <f>IF(H14=0,0,VLOOKUP($A14,[6]HISTOJANV23!$A$6:$AV$47,42,0))</f>
        <v>0</v>
      </c>
      <c r="K14" s="7">
        <f>VLOOKUP($A14,[6]HISTOJANV23!$A$6:$AV$47,41,0)</f>
        <v>0</v>
      </c>
      <c r="L14"/>
      <c r="M14" s="7">
        <f>VLOOKUP($A14,[6]HISTOJANV23!$A$6:$AV$47,16,0)</f>
        <v>0</v>
      </c>
      <c r="N14" s="7" t="str">
        <f>IF(M14&lt;&gt;0,VLOOKUP($A14,[6]HISTOJANV23!$A$6:$AV$47,8,0),"ECHEC")</f>
        <v>ECHEC</v>
      </c>
      <c r="O14" s="7">
        <f>IF(R14=0,0,VLOOKUP($A14,[6]HISTOJANV23!$A$6:$AV$47,32,0))</f>
        <v>0</v>
      </c>
      <c r="P14" s="7">
        <f>VLOOKUP($A14,[6]HISTOJANV23!$A$6:$AV$47,33,0)</f>
        <v>0</v>
      </c>
      <c r="Q14" s="7">
        <f t="shared" si="2"/>
        <v>0</v>
      </c>
      <c r="R14" s="7">
        <f>VLOOKUP($A14,[6]HISTOJANV23!$A$6:$AV$47,29,0)</f>
        <v>0</v>
      </c>
      <c r="S14" s="1"/>
    </row>
    <row r="15" spans="1:19" x14ac:dyDescent="0.25">
      <c r="A15" s="1" t="s">
        <v>15</v>
      </c>
      <c r="B15" s="7">
        <f>IF(D15=0,0,VLOOKUP($A15,[6]HISTOJANV23!$A$6:$BP$42,10,0))</f>
        <v>1</v>
      </c>
      <c r="C15" s="1" t="str">
        <f>VLOOKUP(A15,[7]LISTADHERENT!A$5:H$60,3,0)</f>
        <v>HOTCHO BENJAMIN</v>
      </c>
      <c r="D15" s="7">
        <f t="shared" si="0"/>
        <v>25000</v>
      </c>
      <c r="E15" s="7">
        <f>D15+VLOOKUP($A15,[6]HISTOJANV23!$A$7:$AU$40,45,0)+F15</f>
        <v>75000</v>
      </c>
      <c r="F15" s="7">
        <f>VLOOKUP($A15,[6]HISTOJANV23!$A$6:$AV$47,7,0)</f>
        <v>0</v>
      </c>
      <c r="G15" s="7" t="str">
        <f>VLOOKUP($A15,[6]HISTOJANV23!$A$6:$AV$47,8,0)</f>
        <v>BANQUE</v>
      </c>
      <c r="H15" s="7">
        <f>VLOOKUP($A15,[6]HISTOJANV23!$A$6:$AV$47,35,0)</f>
        <v>0</v>
      </c>
      <c r="I15" s="7">
        <f>VLOOKUP($A15,[6]HISTOJANV23!$A$6:$AV$47,38,0)</f>
        <v>0</v>
      </c>
      <c r="J15" s="7">
        <f>IF(H15=0,0,VLOOKUP($A15,[6]HISTOJANV23!$A$6:$AV$47,42,0))</f>
        <v>0</v>
      </c>
      <c r="K15" s="7">
        <f>VLOOKUP($A15,[6]HISTOJANV23!$A$6:$AV$47,41,0)</f>
        <v>0</v>
      </c>
      <c r="L15"/>
      <c r="M15" s="7">
        <f>VLOOKUP($A15,[6]HISTOJANV23!$A$6:$AV$47,16,0)</f>
        <v>0</v>
      </c>
      <c r="N15" s="7" t="str">
        <f>IF(M15&lt;&gt;0,VLOOKUP($A15,[6]HISTOJANV23!$A$6:$AV$47,8,0),"ECHEC")</f>
        <v>ECHEC</v>
      </c>
      <c r="O15" s="7">
        <f>IF(R15=0,0,VLOOKUP($A15,[6]HISTOJANV23!$A$6:$AV$47,32,0))</f>
        <v>0</v>
      </c>
      <c r="P15" s="7">
        <f>VLOOKUP($A15,[6]HISTOJANV23!$A$6:$AV$47,33,0)</f>
        <v>0</v>
      </c>
      <c r="Q15" s="7">
        <f t="shared" si="2"/>
        <v>0</v>
      </c>
      <c r="R15" s="7">
        <f>VLOOKUP($A15,[6]HISTOJANV23!$A$6:$AV$47,29,0)</f>
        <v>0</v>
      </c>
      <c r="S15" s="1"/>
    </row>
    <row r="16" spans="1:19" x14ac:dyDescent="0.25">
      <c r="A16" s="1" t="s">
        <v>16</v>
      </c>
      <c r="B16" s="7">
        <f>IF(D16=0,0,VLOOKUP($A16,[6]HISTOJANV23!$A$6:$BP$42,10,0))</f>
        <v>1</v>
      </c>
      <c r="C16" s="1" t="str">
        <f>VLOOKUP(A16,[7]LISTADHERENT!A$5:H$60,3,0)</f>
        <v>KOUAMOU MOISE</v>
      </c>
      <c r="D16" s="7">
        <f t="shared" si="0"/>
        <v>25000</v>
      </c>
      <c r="E16" s="7">
        <f>D16+VLOOKUP($A16,[6]HISTOJANV23!$A$7:$AU$40,45,0)+F16</f>
        <v>40000</v>
      </c>
      <c r="F16" s="7">
        <f>VLOOKUP($A16,[6]HISTOJANV23!$A$6:$AV$47,7,0)</f>
        <v>0</v>
      </c>
      <c r="G16" s="7" t="str">
        <f>VLOOKUP($A16,[6]HISTOJANV23!$A$6:$AV$47,8,0)</f>
        <v>BANQUE</v>
      </c>
      <c r="H16" s="7">
        <f>VLOOKUP($A16,[6]HISTOJANV23!$A$6:$AV$47,35,0)</f>
        <v>0</v>
      </c>
      <c r="I16" s="7">
        <f>VLOOKUP($A16,[6]HISTOJANV23!$A$6:$AV$47,38,0)</f>
        <v>0</v>
      </c>
      <c r="J16" s="7">
        <f>IF(H16=0,0,VLOOKUP($A16,[6]HISTOJANV23!$A$6:$AV$47,42,0))</f>
        <v>0</v>
      </c>
      <c r="K16" s="7">
        <f>VLOOKUP($A16,[6]HISTOJANV23!$A$6:$AV$47,41,0)</f>
        <v>0</v>
      </c>
      <c r="L16"/>
      <c r="M16" s="7">
        <f>VLOOKUP($A16,[6]HISTOJANV23!$A$6:$AV$47,16,0)</f>
        <v>0</v>
      </c>
      <c r="N16" s="7" t="str">
        <f>IF(M16&lt;&gt;0,VLOOKUP($A16,[6]HISTOJANV23!$A$6:$AV$47,8,0),"ECHEC")</f>
        <v>ECHEC</v>
      </c>
      <c r="O16" s="7">
        <f>IF(R16=0,0,VLOOKUP($A16,[6]HISTOJANV23!$A$6:$AV$47,32,0))</f>
        <v>0</v>
      </c>
      <c r="P16" s="7">
        <f>VLOOKUP($A16,[6]HISTOJANV23!$A$6:$AV$47,33,0)</f>
        <v>0</v>
      </c>
      <c r="Q16" s="7">
        <f t="shared" si="2"/>
        <v>0</v>
      </c>
      <c r="R16" s="7">
        <f>VLOOKUP($A16,[6]HISTOJANV23!$A$6:$AV$47,29,0)</f>
        <v>0</v>
      </c>
      <c r="S16" s="1"/>
    </row>
    <row r="17" spans="1:19" x14ac:dyDescent="0.25">
      <c r="A17" s="1" t="s">
        <v>17</v>
      </c>
      <c r="B17" s="7">
        <f>IF(D17=0,0,VLOOKUP($A17,[6]HISTOJANV23!$A$6:$BP$42,10,0))</f>
        <v>1</v>
      </c>
      <c r="C17" s="1" t="str">
        <f>VLOOKUP(A17,[7]LISTADHERENT!A$5:H$60,3,0)</f>
        <v>KOUATCHO MESSACK</v>
      </c>
      <c r="D17" s="7">
        <f t="shared" si="0"/>
        <v>25000</v>
      </c>
      <c r="E17" s="7">
        <f>D17+VLOOKUP($A17,[6]HISTOJANV23!$A$7:$AU$40,45,0)+F17</f>
        <v>40000</v>
      </c>
      <c r="F17" s="7">
        <f>VLOOKUP($A17,[6]HISTOJANV23!$A$6:$AV$47,7,0)</f>
        <v>0</v>
      </c>
      <c r="G17" s="7" t="str">
        <f>VLOOKUP($A17,[6]HISTOJANV23!$A$6:$AV$47,8,0)</f>
        <v>BANQUE</v>
      </c>
      <c r="H17" s="7">
        <f>VLOOKUP($A17,[6]HISTOJANV23!$A$6:$AV$47,35,0)</f>
        <v>0</v>
      </c>
      <c r="I17" s="7">
        <f>VLOOKUP($A17,[6]HISTOJANV23!$A$6:$AV$47,38,0)</f>
        <v>0</v>
      </c>
      <c r="J17" s="7">
        <f>IF(H17=0,0,VLOOKUP($A17,[6]HISTOJANV23!$A$6:$AV$47,42,0))</f>
        <v>0</v>
      </c>
      <c r="K17" s="7">
        <f>VLOOKUP($A17,[6]HISTOJANV23!$A$6:$AV$47,41,0)</f>
        <v>0</v>
      </c>
      <c r="L17"/>
      <c r="M17" s="7">
        <f>VLOOKUP($A17,[6]HISTOJANV23!$A$6:$AV$47,16,0)</f>
        <v>0</v>
      </c>
      <c r="N17" s="7" t="str">
        <f>IF(M17&lt;&gt;0,VLOOKUP($A17,[6]HISTOJANV23!$A$6:$AV$47,8,0),"ECHEC")</f>
        <v>ECHEC</v>
      </c>
      <c r="O17" s="7" t="str">
        <f>IF(R17=0,0,VLOOKUP($A17,[6]HISTOJANV23!$A$6:$AV$47,32,0))</f>
        <v>BANQUE</v>
      </c>
      <c r="P17" s="7">
        <f>VLOOKUP($A17,[6]HISTOJANV23!$A$6:$AV$47,33,0)</f>
        <v>0</v>
      </c>
      <c r="Q17" s="7">
        <f t="shared" si="2"/>
        <v>260000</v>
      </c>
      <c r="R17" s="7">
        <f>VLOOKUP($A17,[6]HISTOJANV23!$A$6:$AV$47,29,0)</f>
        <v>40000</v>
      </c>
      <c r="S17" s="1"/>
    </row>
    <row r="18" spans="1:19" x14ac:dyDescent="0.25">
      <c r="A18" s="1" t="s">
        <v>18</v>
      </c>
      <c r="B18" s="7">
        <f>IF(D18=0,0,VLOOKUP($A18,[6]HISTOJANV23!$A$6:$BP$42,10,0))</f>
        <v>1</v>
      </c>
      <c r="C18" s="1" t="str">
        <f>VLOOKUP(A18,[7]LISTADHERENT!A$5:H$60,3,0)</f>
        <v>LOWE JEAN</v>
      </c>
      <c r="D18" s="7">
        <f t="shared" si="0"/>
        <v>25000</v>
      </c>
      <c r="E18" s="7">
        <f>D18+VLOOKUP($A18,[6]HISTOJANV23!$A$7:$AU$40,45,0)+F18</f>
        <v>40000</v>
      </c>
      <c r="F18" s="7">
        <f>VLOOKUP($A18,[6]HISTOJANV23!$A$6:$AV$47,7,0)</f>
        <v>0</v>
      </c>
      <c r="G18" s="7" t="str">
        <f>VLOOKUP($A18,[6]HISTOJANV23!$A$6:$AV$47,8,0)</f>
        <v>BANQUE</v>
      </c>
      <c r="H18" s="7">
        <f>VLOOKUP($A18,[6]HISTOJANV23!$A$6:$AV$47,35,0)</f>
        <v>0</v>
      </c>
      <c r="I18" s="7">
        <f>VLOOKUP($A18,[6]HISTOJANV23!$A$6:$AV$47,38,0)</f>
        <v>0</v>
      </c>
      <c r="J18" s="7">
        <f>IF(H18=0,0,VLOOKUP($A18,[6]HISTOJANV23!$A$6:$AV$47,42,0))</f>
        <v>0</v>
      </c>
      <c r="K18" s="7">
        <f>VLOOKUP($A18,[6]HISTOJANV23!$A$6:$AV$47,41,0)</f>
        <v>0</v>
      </c>
      <c r="L18"/>
      <c r="M18" s="7">
        <f>VLOOKUP($A18,[6]HISTOJANV23!$A$6:$AV$47,16,0)</f>
        <v>0</v>
      </c>
      <c r="N18" s="7" t="str">
        <f>IF(M18&lt;&gt;0,VLOOKUP($A18,[6]HISTOJANV23!$A$6:$AV$47,8,0),"ECHEC")</f>
        <v>ECHEC</v>
      </c>
      <c r="O18" s="7">
        <f>IF(R18=0,0,VLOOKUP($A18,[6]HISTOJANV23!$A$6:$AV$47,32,0))</f>
        <v>0</v>
      </c>
      <c r="P18" s="7">
        <f>VLOOKUP($A18,[6]HISTOJANV23!$A$6:$AV$47,33,0)</f>
        <v>0</v>
      </c>
      <c r="Q18" s="7">
        <f t="shared" si="2"/>
        <v>0</v>
      </c>
      <c r="R18" s="7">
        <f>VLOOKUP($A18,[6]HISTOJANV23!$A$6:$AV$47,29,0)</f>
        <v>0</v>
      </c>
      <c r="S18" s="1"/>
    </row>
    <row r="19" spans="1:19" x14ac:dyDescent="0.25">
      <c r="A19" s="1" t="s">
        <v>45</v>
      </c>
      <c r="B19" s="7">
        <f>IF(D19=0,0,VLOOKUP($A19,[6]HISTOJANV23!$A$6:$BP$42,10,0))</f>
        <v>1</v>
      </c>
      <c r="C19" s="1" t="str">
        <f>VLOOKUP(A19,[7]LISTADHERENT!A$5:H$60,3,0)</f>
        <v>MBOGNING TUGMA GUY</v>
      </c>
      <c r="D19" s="7">
        <f t="shared" si="0"/>
        <v>25000</v>
      </c>
      <c r="E19" s="7">
        <f>D19+VLOOKUP($A19,[6]HISTOJANV23!$A$7:$AU$40,45,0)+F19</f>
        <v>40000</v>
      </c>
      <c r="F19" s="7">
        <f>VLOOKUP($A19,[6]HISTOJANV23!$A$6:$AV$47,7,0)</f>
        <v>0</v>
      </c>
      <c r="G19" s="7" t="str">
        <f>VLOOKUP($A19,[6]HISTOJANV23!$A$6:$AV$47,8,0)</f>
        <v>BANQUE</v>
      </c>
      <c r="H19" s="7">
        <f>VLOOKUP($A19,[6]HISTOJANV23!$A$6:$AV$47,35,0)</f>
        <v>0</v>
      </c>
      <c r="I19" s="7">
        <f>VLOOKUP($A19,[6]HISTOJANV23!$A$6:$AV$47,38,0)</f>
        <v>0</v>
      </c>
      <c r="J19" s="7">
        <f>IF(H19=0,0,VLOOKUP($A19,[6]HISTOJANV23!$A$6:$AV$47,42,0))</f>
        <v>0</v>
      </c>
      <c r="K19" s="7">
        <f>VLOOKUP($A19,[6]HISTOJANV23!$A$6:$AV$47,41,0)</f>
        <v>0</v>
      </c>
      <c r="L19"/>
      <c r="M19" s="7">
        <f>VLOOKUP($A19,[6]HISTOJANV23!$A$6:$AV$47,16,0)</f>
        <v>0</v>
      </c>
      <c r="N19" s="7" t="str">
        <f>IF(M19&lt;&gt;0,VLOOKUP($A19,[6]HISTOJANV23!$A$6:$AV$47,8,0),"ECHEC")</f>
        <v>ECHEC</v>
      </c>
      <c r="O19" s="7">
        <f>IF(R19=0,0,VLOOKUP($A19,[6]HISTOJANV23!$A$6:$AV$47,32,0))</f>
        <v>0</v>
      </c>
      <c r="P19" s="7">
        <f>VLOOKUP($A19,[6]HISTOJANV23!$A$6:$AV$47,33,0)</f>
        <v>0</v>
      </c>
      <c r="Q19" s="7">
        <f t="shared" si="2"/>
        <v>0</v>
      </c>
      <c r="R19" s="7">
        <f>VLOOKUP($A19,[6]HISTOJANV23!$A$6:$AV$47,29,0)</f>
        <v>0</v>
      </c>
      <c r="S19" s="1"/>
    </row>
    <row r="20" spans="1:19" x14ac:dyDescent="0.25">
      <c r="A20" s="1" t="s">
        <v>26</v>
      </c>
      <c r="B20" s="7">
        <f>IF(D20=0,0,VLOOKUP($A20,[6]HISTOJANV23!$A$6:$BP$42,10,0))</f>
        <v>1</v>
      </c>
      <c r="C20" s="1" t="str">
        <f>VLOOKUP(A20,[7]LISTADHERENT!A$5:H$60,3,0)</f>
        <v>NANGUEN MARTIN</v>
      </c>
      <c r="D20" s="7">
        <f t="shared" si="0"/>
        <v>25000</v>
      </c>
      <c r="E20" s="7">
        <f>D20+VLOOKUP($A20,[6]HISTOJANV23!$A$7:$AU$40,45,0)+F20</f>
        <v>40000</v>
      </c>
      <c r="F20" s="7">
        <f>VLOOKUP($A20,[6]HISTOJANV23!$A$6:$AV$47,7,0)</f>
        <v>0</v>
      </c>
      <c r="G20" s="7" t="str">
        <f>VLOOKUP($A20,[6]HISTOJANV23!$A$6:$AV$47,8,0)</f>
        <v>BANQUE</v>
      </c>
      <c r="H20" s="7">
        <f>VLOOKUP($A20,[6]HISTOJANV23!$A$6:$AV$47,35,0)</f>
        <v>0</v>
      </c>
      <c r="I20" s="7">
        <f>VLOOKUP($A20,[6]HISTOJANV23!$A$6:$AV$47,38,0)</f>
        <v>0</v>
      </c>
      <c r="J20" s="7">
        <f>IF(H20=0,0,VLOOKUP($A20,[6]HISTOJANV23!$A$6:$AV$47,42,0))</f>
        <v>0</v>
      </c>
      <c r="K20" s="7">
        <f>VLOOKUP($A20,[6]HISTOJANV23!$A$6:$AV$47,41,0)</f>
        <v>0</v>
      </c>
      <c r="L20"/>
      <c r="M20" s="7">
        <f>VLOOKUP($A20,[6]HISTOJANV23!$A$6:$AV$47,16,0)</f>
        <v>0</v>
      </c>
      <c r="N20" s="7" t="str">
        <f>IF(M20&lt;&gt;0,VLOOKUP($A20,[6]HISTOJANV23!$A$6:$AV$47,8,0),"ECHEC")</f>
        <v>ECHEC</v>
      </c>
      <c r="O20" s="7">
        <f>IF(R20=0,0,VLOOKUP($A20,[6]HISTOJANV23!$A$6:$AV$47,32,0))</f>
        <v>0</v>
      </c>
      <c r="P20" s="7">
        <f>VLOOKUP($A20,[6]HISTOJANV23!$A$6:$AV$47,33,0)</f>
        <v>0</v>
      </c>
      <c r="Q20" s="7">
        <f t="shared" si="2"/>
        <v>0</v>
      </c>
      <c r="R20" s="7">
        <f>VLOOKUP($A20,[6]HISTOJANV23!$A$6:$AV$47,29,0)</f>
        <v>0</v>
      </c>
      <c r="S20" s="1"/>
    </row>
    <row r="21" spans="1:19" x14ac:dyDescent="0.25">
      <c r="A21" s="1" t="s">
        <v>19</v>
      </c>
      <c r="B21" s="7">
        <f>IF(D21=0,0,VLOOKUP($A21,[6]HISTOJANV23!$A$6:$BP$42,10,0))</f>
        <v>1</v>
      </c>
      <c r="C21" s="1" t="str">
        <f>VLOOKUP(A21,[7]LISTADHERENT!A$5:H$60,3,0)</f>
        <v>NANKAM APPOLINAIRE</v>
      </c>
      <c r="D21" s="7">
        <f t="shared" si="0"/>
        <v>25000</v>
      </c>
      <c r="E21" s="7">
        <f>D21+VLOOKUP($A21,[6]HISTOJANV23!$A$7:$AU$40,45,0)+F21</f>
        <v>40000</v>
      </c>
      <c r="F21" s="7">
        <f>VLOOKUP($A21,[6]HISTOJANV23!$A$6:$AV$47,7,0)</f>
        <v>0</v>
      </c>
      <c r="G21" s="7" t="str">
        <f>VLOOKUP($A21,[6]HISTOJANV23!$A$6:$AV$47,8,0)</f>
        <v>BANQUE</v>
      </c>
      <c r="H21" s="7">
        <f>VLOOKUP($A21,[6]HISTOJANV23!$A$6:$AV$47,35,0)</f>
        <v>0</v>
      </c>
      <c r="I21" s="7">
        <f>VLOOKUP($A21,[6]HISTOJANV23!$A$6:$AV$47,38,0)</f>
        <v>0</v>
      </c>
      <c r="J21" s="7">
        <f>IF(H21=0,0,VLOOKUP($A21,[6]HISTOJANV23!$A$6:$AV$47,42,0))</f>
        <v>0</v>
      </c>
      <c r="K21" s="7">
        <f>VLOOKUP($A21,[6]HISTOJANV23!$A$6:$AV$47,41,0)</f>
        <v>0</v>
      </c>
      <c r="L21"/>
      <c r="M21" s="7">
        <f>VLOOKUP($A21,[6]HISTOJANV23!$A$6:$AV$47,16,0)</f>
        <v>0</v>
      </c>
      <c r="N21" s="7" t="str">
        <f>IF(M21&lt;&gt;0,VLOOKUP($A21,[6]HISTOJANV23!$A$6:$AV$47,8,0),"ECHEC")</f>
        <v>ECHEC</v>
      </c>
      <c r="O21" s="7">
        <f>IF(R21=0,0,VLOOKUP($A21,[6]HISTOJANV23!$A$6:$AV$47,32,0))</f>
        <v>0</v>
      </c>
      <c r="P21" s="7">
        <f>VLOOKUP($A21,[6]HISTOJANV23!$A$6:$AV$47,33,0)</f>
        <v>0</v>
      </c>
      <c r="Q21" s="7">
        <f t="shared" si="2"/>
        <v>0</v>
      </c>
      <c r="R21" s="7">
        <f>VLOOKUP($A21,[6]HISTOJANV23!$A$6:$AV$47,29,0)</f>
        <v>0</v>
      </c>
      <c r="S21" s="1"/>
    </row>
    <row r="22" spans="1:19" x14ac:dyDescent="0.25">
      <c r="A22" s="1" t="s">
        <v>20</v>
      </c>
      <c r="B22" s="7">
        <f>IF(D22=0,0,VLOOKUP($A22,[6]HISTOJANV23!$A$6:$BP$42,10,0))</f>
        <v>1</v>
      </c>
      <c r="C22" s="1" t="str">
        <f>VLOOKUP(A22,[7]LISTADHERENT!A$5:H$60,3,0)</f>
        <v>NDJOMO ETIENNE</v>
      </c>
      <c r="D22" s="7">
        <f t="shared" si="0"/>
        <v>25000</v>
      </c>
      <c r="E22" s="7">
        <f>D22+VLOOKUP($A22,[6]HISTOJANV23!$A$7:$AU$40,45,0)+F22</f>
        <v>50000</v>
      </c>
      <c r="F22" s="7">
        <f>VLOOKUP($A22,[6]HISTOJANV23!$A$6:$AV$47,7,0)</f>
        <v>0</v>
      </c>
      <c r="G22" s="7" t="str">
        <f>VLOOKUP($A22,[6]HISTOJANV23!$A$6:$AV$47,8,0)</f>
        <v>BANQUE</v>
      </c>
      <c r="H22" s="7">
        <f>VLOOKUP($A22,[6]HISTOJANV23!$A$6:$AV$47,35,0)</f>
        <v>0</v>
      </c>
      <c r="I22" s="7">
        <f>VLOOKUP($A22,[6]HISTOJANV23!$A$6:$AV$47,38,0)</f>
        <v>0</v>
      </c>
      <c r="J22" s="7">
        <f>IF(H22=0,0,VLOOKUP($A22,[6]HISTOJANV23!$A$6:$AV$47,42,0))</f>
        <v>0</v>
      </c>
      <c r="K22" s="7">
        <f>VLOOKUP($A22,[6]HISTOJANV23!$A$6:$AV$47,41,0)</f>
        <v>0</v>
      </c>
      <c r="L22"/>
      <c r="M22" s="7">
        <f>VLOOKUP($A22,[6]HISTOJANV23!$A$6:$AV$47,16,0)</f>
        <v>0</v>
      </c>
      <c r="N22" s="7" t="str">
        <f>IF(M22&lt;&gt;0,VLOOKUP($A22,[6]HISTOJANV23!$A$6:$AV$47,8,0),"ECHEC")</f>
        <v>ECHEC</v>
      </c>
      <c r="O22" s="7">
        <f>IF(R22=0,0,VLOOKUP($A22,[6]HISTOJANV23!$A$6:$AV$47,32,0))</f>
        <v>0</v>
      </c>
      <c r="P22" s="7">
        <f>VLOOKUP($A22,[6]HISTOJANV23!$A$6:$AV$47,33,0)</f>
        <v>0</v>
      </c>
      <c r="Q22" s="7">
        <f t="shared" si="2"/>
        <v>0</v>
      </c>
      <c r="R22" s="7">
        <f>VLOOKUP($A22,[6]HISTOJANV23!$A$6:$AV$47,29,0)</f>
        <v>0</v>
      </c>
      <c r="S22" s="1"/>
    </row>
    <row r="23" spans="1:19" x14ac:dyDescent="0.25">
      <c r="A23" s="1" t="s">
        <v>21</v>
      </c>
      <c r="B23" s="7">
        <f>IF(D23=0,0,VLOOKUP($A23,[6]HISTOJANV23!$A$6:$BP$42,10,0))</f>
        <v>1</v>
      </c>
      <c r="C23" s="1" t="str">
        <f>VLOOKUP(A23,[7]LISTADHERENT!A$5:H$60,3,0)</f>
        <v>NGONDIEP CLAUDE</v>
      </c>
      <c r="D23" s="7">
        <f t="shared" si="0"/>
        <v>25000</v>
      </c>
      <c r="E23" s="7">
        <f>D23+VLOOKUP($A23,[6]HISTOJANV23!$A$7:$AU$40,45,0)+F23</f>
        <v>40000</v>
      </c>
      <c r="F23" s="7">
        <f>VLOOKUP($A23,[6]HISTOJANV23!$A$6:$AV$47,7,0)</f>
        <v>0</v>
      </c>
      <c r="G23" s="7" t="str">
        <f>VLOOKUP($A23,[6]HISTOJANV23!$A$6:$AV$47,8,0)</f>
        <v>BANQUE</v>
      </c>
      <c r="H23" s="7">
        <f>VLOOKUP($A23,[6]HISTOJANV23!$A$6:$AV$47,35,0)</f>
        <v>25000</v>
      </c>
      <c r="I23" s="7">
        <f>VLOOKUP($A23,[6]HISTOJANV23!$A$6:$AV$47,38,0)</f>
        <v>1000</v>
      </c>
      <c r="J23" s="7" t="str">
        <f>IF(H23=0,0,VLOOKUP($A23,[6]HISTOJANV23!$A$6:$AV$47,42,0))</f>
        <v>BANQUE</v>
      </c>
      <c r="K23" s="7">
        <f>VLOOKUP($A23,[6]HISTOJANV23!$A$6:$AV$47,41,0)</f>
        <v>0</v>
      </c>
      <c r="L23"/>
      <c r="M23" s="7">
        <f>VLOOKUP($A23,[6]HISTOJANV23!$A$6:$AV$47,16,0)</f>
        <v>0</v>
      </c>
      <c r="N23" s="7" t="str">
        <f>IF(M23&lt;&gt;0,VLOOKUP($A23,[6]HISTOJANV23!$A$6:$AV$47,8,0),"ECHEC")</f>
        <v>ECHEC</v>
      </c>
      <c r="O23" s="7">
        <f>IF(R23=0,0,VLOOKUP($A23,[6]HISTOJANV23!$A$6:$AV$47,32,0))</f>
        <v>0</v>
      </c>
      <c r="P23" s="7">
        <f>VLOOKUP($A23,[6]HISTOJANV23!$A$6:$AV$47,33,0)</f>
        <v>0</v>
      </c>
      <c r="Q23" s="7">
        <f t="shared" si="2"/>
        <v>0</v>
      </c>
      <c r="R23" s="7">
        <f>VLOOKUP($A23,[6]HISTOJANV23!$A$6:$AV$47,29,0)</f>
        <v>0</v>
      </c>
      <c r="S23" s="1"/>
    </row>
    <row r="24" spans="1:19" x14ac:dyDescent="0.25">
      <c r="A24" s="1" t="s">
        <v>22</v>
      </c>
      <c r="B24" s="7">
        <f>IF(D24=0,0,VLOOKUP($A24,[6]HISTOJANV23!$A$6:$BP$42,10,0))</f>
        <v>1</v>
      </c>
      <c r="C24" s="1" t="str">
        <f>VLOOKUP(A24,[7]LISTADHERENT!A$5:H$60,3,0)</f>
        <v>NGUIEMEGNI MATHIEU BLAISE</v>
      </c>
      <c r="D24" s="7">
        <f t="shared" si="0"/>
        <v>25000</v>
      </c>
      <c r="E24" s="7">
        <f>D24+VLOOKUP($A24,[6]HISTOJANV23!$A$7:$AU$40,45,0)+F24</f>
        <v>40000</v>
      </c>
      <c r="F24" s="7">
        <f>VLOOKUP($A24,[6]HISTOJANV23!$A$6:$AV$47,7,0)</f>
        <v>0</v>
      </c>
      <c r="G24" s="7" t="str">
        <f>VLOOKUP($A24,[6]HISTOJANV23!$A$6:$AV$47,8,0)</f>
        <v>BANQUE</v>
      </c>
      <c r="H24" s="7">
        <f>VLOOKUP($A24,[6]HISTOJANV23!$A$6:$AV$47,35,0)</f>
        <v>30000</v>
      </c>
      <c r="I24" s="7">
        <f>VLOOKUP($A24,[6]HISTOJANV23!$A$6:$AV$47,38,0)</f>
        <v>1000</v>
      </c>
      <c r="J24" s="7" t="str">
        <f>IF(H24=0,0,VLOOKUP($A24,[6]HISTOJANV23!$A$6:$AV$47,42,0))</f>
        <v>BANQUE</v>
      </c>
      <c r="K24" s="7">
        <f>VLOOKUP($A24,[6]HISTOJANV23!$A$6:$AV$47,41,0)</f>
        <v>0</v>
      </c>
      <c r="L24"/>
      <c r="M24" s="7">
        <f>VLOOKUP($A24,[6]HISTOJANV23!$A$6:$AV$47,16,0)</f>
        <v>0</v>
      </c>
      <c r="N24" s="7" t="str">
        <f>IF(M24&lt;&gt;0,VLOOKUP($A24,[6]HISTOJANV23!$A$6:$AV$47,8,0),"ECHEC")</f>
        <v>ECHEC</v>
      </c>
      <c r="O24" s="7">
        <f>IF(R24=0,0,VLOOKUP($A24,[6]HISTOJANV23!$A$6:$AV$47,32,0))</f>
        <v>0</v>
      </c>
      <c r="P24" s="7">
        <f>VLOOKUP($A24,[6]HISTOJANV23!$A$6:$AV$47,33,0)</f>
        <v>0</v>
      </c>
      <c r="Q24" s="7">
        <f t="shared" si="2"/>
        <v>0</v>
      </c>
      <c r="R24" s="7">
        <f>VLOOKUP($A24,[6]HISTOJANV23!$A$6:$AV$47,29,0)</f>
        <v>0</v>
      </c>
      <c r="S24" s="1"/>
    </row>
    <row r="25" spans="1:19" x14ac:dyDescent="0.25">
      <c r="A25" s="1" t="s">
        <v>23</v>
      </c>
      <c r="B25" s="7">
        <f>IF(D25=0,0,VLOOKUP($A25,[6]HISTOJANV23!$A$6:$BP$42,10,0))</f>
        <v>1</v>
      </c>
      <c r="C25" s="1" t="str">
        <f>VLOOKUP(A25,[7]LISTADHERENT!A$5:H$60,3,0)</f>
        <v>NKAMGANG JUSTIN DEJOLIE</v>
      </c>
      <c r="D25" s="7">
        <f t="shared" si="0"/>
        <v>25000</v>
      </c>
      <c r="E25" s="7">
        <f>D25+VLOOKUP($A25,[6]HISTOJANV23!$A$7:$AU$40,45,0)+F25</f>
        <v>40000</v>
      </c>
      <c r="F25" s="7">
        <f>VLOOKUP($A25,[6]HISTOJANV23!$A$6:$AV$47,7,0)</f>
        <v>0</v>
      </c>
      <c r="G25" s="7" t="str">
        <f>VLOOKUP($A25,[6]HISTOJANV23!$A$6:$AV$47,8,0)</f>
        <v>ESPECES</v>
      </c>
      <c r="H25" s="7">
        <f>VLOOKUP($A25,[6]HISTOJANV23!$A$6:$AV$47,35,0)</f>
        <v>60000</v>
      </c>
      <c r="I25" s="7">
        <f>VLOOKUP($A25,[6]HISTOJANV23!$A$6:$AV$47,38,0)</f>
        <v>2000</v>
      </c>
      <c r="J25" s="7" t="str">
        <f>IF(H25=0,0,VLOOKUP($A25,[6]HISTOJANV23!$A$6:$AV$47,42,0))</f>
        <v>BANQUE</v>
      </c>
      <c r="K25" s="7">
        <f>VLOOKUP($A25,[6]HISTOJANV23!$A$6:$AV$47,41,0)</f>
        <v>0</v>
      </c>
      <c r="L25"/>
      <c r="M25" s="7">
        <f>VLOOKUP($A25,[6]HISTOJANV23!$A$6:$AV$47,16,0)</f>
        <v>0</v>
      </c>
      <c r="N25" s="7" t="str">
        <f>IF(M25&lt;&gt;0,VLOOKUP($A25,[6]HISTOJANV23!$A$6:$AV$47,8,0),"ECHEC")</f>
        <v>ECHEC</v>
      </c>
      <c r="O25" s="7">
        <f>IF(R25=0,0,VLOOKUP($A25,[6]HISTOJANV23!$A$6:$AV$47,32,0))</f>
        <v>0</v>
      </c>
      <c r="P25" s="7">
        <f>VLOOKUP($A25,[6]HISTOJANV23!$A$6:$AV$47,33,0)</f>
        <v>0</v>
      </c>
      <c r="Q25" s="7">
        <f t="shared" si="2"/>
        <v>0</v>
      </c>
      <c r="R25" s="7">
        <f>VLOOKUP($A25,[6]HISTOJANV23!$A$6:$AV$47,29,0)</f>
        <v>0</v>
      </c>
      <c r="S25" s="1"/>
    </row>
    <row r="26" spans="1:19" x14ac:dyDescent="0.25">
      <c r="A26" s="1" t="s">
        <v>86</v>
      </c>
      <c r="B26" s="7">
        <f>IF(D26=0,0,VLOOKUP($A26,[6]HISTOJANV23!$A$6:$BP$42,10,0))</f>
        <v>1</v>
      </c>
      <c r="C26" s="1" t="str">
        <f>VLOOKUP(A26,[7]LISTADHERENT!A$5:H$60,3,0)</f>
        <v>NOUBE ETIENNE</v>
      </c>
      <c r="D26" s="7">
        <f t="shared" si="0"/>
        <v>25000</v>
      </c>
      <c r="E26" s="7">
        <f>D26+VLOOKUP($A26,[6]HISTOJANV23!$A$7:$AU$40,45,0)+F26</f>
        <v>40000</v>
      </c>
      <c r="F26" s="7">
        <f>VLOOKUP($A26,[6]HISTOJANV23!$A$6:$AV$47,7,0)</f>
        <v>0</v>
      </c>
      <c r="G26" s="7" t="str">
        <f>VLOOKUP($A26,[6]HISTOJANV23!$A$6:$AV$47,8,0)</f>
        <v>BANQUE</v>
      </c>
      <c r="H26" s="7">
        <f>VLOOKUP($A26,[6]HISTOJANV23!$A$6:$AV$47,35,0)</f>
        <v>0</v>
      </c>
      <c r="I26" s="7">
        <f>VLOOKUP($A26,[6]HISTOJANV23!$A$6:$AV$47,38,0)</f>
        <v>0</v>
      </c>
      <c r="J26" s="7">
        <f>IF(H26=0,0,VLOOKUP($A26,[6]HISTOJANV23!$A$6:$AV$47,42,0))</f>
        <v>0</v>
      </c>
      <c r="K26" s="7">
        <f>VLOOKUP($A26,[6]HISTOJANV23!$A$6:$AV$47,41,0)</f>
        <v>0</v>
      </c>
      <c r="L26"/>
      <c r="M26" s="7">
        <f>VLOOKUP($A26,[6]HISTOJANV23!$A$6:$AV$47,16,0)</f>
        <v>0</v>
      </c>
      <c r="N26" s="7" t="str">
        <f>IF(M26&lt;&gt;0,VLOOKUP($A26,[6]HISTOJANV23!$A$6:$AV$47,8,0),"ECHEC")</f>
        <v>ECHEC</v>
      </c>
      <c r="O26" s="7">
        <f>IF(R26=0,0,VLOOKUP($A26,[6]HISTOJANV23!$A$6:$AV$47,32,0))</f>
        <v>0</v>
      </c>
      <c r="P26" s="7">
        <f>VLOOKUP($A26,[6]HISTOJANV23!$A$6:$AV$47,33,0)</f>
        <v>0</v>
      </c>
      <c r="Q26" s="7">
        <f t="shared" si="2"/>
        <v>0</v>
      </c>
      <c r="R26" s="7">
        <f>VLOOKUP($A26,[6]HISTOJANV23!$A$6:$AV$47,29,0)</f>
        <v>0</v>
      </c>
    </row>
    <row r="27" spans="1:19" x14ac:dyDescent="0.25">
      <c r="A27" s="1" t="s">
        <v>24</v>
      </c>
      <c r="B27" s="7">
        <f>IF(D27=0,0,VLOOKUP($A27,[6]HISTOJANV23!$A$6:$BP$42,10,0))</f>
        <v>1</v>
      </c>
      <c r="C27" s="1" t="str">
        <f>VLOOKUP(A27,[7]LISTADHERENT!A$5:H$60,3,0)</f>
        <v>PATEGO NJOSSU GUSTAVE</v>
      </c>
      <c r="D27" s="7">
        <f t="shared" si="0"/>
        <v>25000</v>
      </c>
      <c r="E27" s="7">
        <f>D27+VLOOKUP($A27,[6]HISTOJANV23!$A$7:$AU$40,45,0)+F27</f>
        <v>40000</v>
      </c>
      <c r="F27" s="7">
        <f>VLOOKUP($A27,[6]HISTOJANV23!$A$6:$AV$47,7,0)</f>
        <v>0</v>
      </c>
      <c r="G27" s="7" t="str">
        <f>VLOOKUP($A27,[6]HISTOJANV23!$A$6:$AV$47,8,0)</f>
        <v>BANQUE</v>
      </c>
      <c r="H27" s="7">
        <f>VLOOKUP($A27,[6]HISTOJANV23!$A$6:$AV$47,35,0)</f>
        <v>0</v>
      </c>
      <c r="I27" s="7">
        <f>VLOOKUP($A27,[6]HISTOJANV23!$A$6:$AV$47,38,0)</f>
        <v>0</v>
      </c>
      <c r="J27" s="7">
        <f>IF(H27=0,0,VLOOKUP($A27,[6]HISTOJANV23!$A$6:$AV$47,42,0))</f>
        <v>0</v>
      </c>
      <c r="K27" s="7">
        <f>VLOOKUP($A27,[6]HISTOJANV23!$A$6:$AV$47,41,0)</f>
        <v>0</v>
      </c>
      <c r="L27"/>
      <c r="M27" s="7">
        <f>VLOOKUP($A27,[6]HISTOJANV23!$A$6:$AV$47,16,0)</f>
        <v>0</v>
      </c>
      <c r="N27" s="7" t="str">
        <f>IF(M27&lt;&gt;0,VLOOKUP($A27,[6]HISTOJANV23!$A$6:$AV$47,8,0),"ECHEC")</f>
        <v>ECHEC</v>
      </c>
      <c r="O27" s="7">
        <f>IF(R27=0,0,VLOOKUP($A27,[6]HISTOJANV23!$A$6:$AV$47,32,0))</f>
        <v>0</v>
      </c>
      <c r="P27" s="7">
        <f>VLOOKUP($A27,[6]HISTOJANV23!$A$6:$AV$47,33,0)</f>
        <v>0</v>
      </c>
      <c r="Q27" s="7">
        <f t="shared" si="2"/>
        <v>0</v>
      </c>
      <c r="R27" s="7">
        <f>VLOOKUP($A27,[6]HISTOJANV23!$A$6:$AV$47,29,0)</f>
        <v>0</v>
      </c>
    </row>
    <row r="28" spans="1:19" x14ac:dyDescent="0.25">
      <c r="A28" s="1" t="s">
        <v>87</v>
      </c>
      <c r="B28" s="7">
        <f>IF(D28=0,0,VLOOKUP($A28,[6]HISTOJANV23!$A$6:$BP$42,10,0))</f>
        <v>1</v>
      </c>
      <c r="C28" s="1" t="str">
        <f>VLOOKUP(A28,[7]LISTADHERENT!A$5:H$60,3,0)</f>
        <v>SEUMO POLYCARPE</v>
      </c>
      <c r="D28" s="7">
        <f t="shared" si="0"/>
        <v>25000</v>
      </c>
      <c r="E28" s="7">
        <f>D28+VLOOKUP($A28,[6]HISTOJANV23!$A$7:$AU$40,45,0)+F28</f>
        <v>40000</v>
      </c>
      <c r="F28" s="7">
        <f>VLOOKUP($A28,[6]HISTOJANV23!$A$6:$AV$47,7,0)</f>
        <v>0</v>
      </c>
      <c r="G28" s="7" t="str">
        <f>VLOOKUP($A28,[6]HISTOJANV23!$A$6:$AV$47,8,0)</f>
        <v>BANQUE</v>
      </c>
      <c r="H28" s="7">
        <f>VLOOKUP($A28,[6]HISTOJANV23!$A$6:$AV$47,35,0)</f>
        <v>0</v>
      </c>
      <c r="I28" s="7">
        <f>VLOOKUP($A28,[6]HISTOJANV23!$A$6:$AV$47,38,0)</f>
        <v>0</v>
      </c>
      <c r="J28" s="7">
        <f>IF(H28=0,0,VLOOKUP($A28,[6]HISTOJANV23!$A$6:$AV$47,42,0))</f>
        <v>0</v>
      </c>
      <c r="K28" s="7">
        <f>VLOOKUP($A28,[6]HISTOJANV23!$A$6:$AV$47,41,0)</f>
        <v>0</v>
      </c>
      <c r="L28"/>
      <c r="M28" s="7">
        <f>VLOOKUP($A28,[6]HISTOJANV23!$A$6:$AV$47,16,0)</f>
        <v>0</v>
      </c>
      <c r="N28" s="7" t="str">
        <f>IF(M28&lt;&gt;0,VLOOKUP($A28,[6]HISTOJANV23!$A$6:$AV$47,8,0),"ECHEC")</f>
        <v>ECHEC</v>
      </c>
      <c r="O28" s="7">
        <f>IF(R28=0,0,VLOOKUP($A28,[6]HISTOJANV23!$A$6:$AV$47,32,0))</f>
        <v>0</v>
      </c>
      <c r="P28" s="7">
        <f>VLOOKUP($A28,[6]HISTOJANV23!$A$6:$AV$47,33,0)</f>
        <v>0</v>
      </c>
      <c r="Q28" s="7">
        <f t="shared" si="2"/>
        <v>0</v>
      </c>
      <c r="R28" s="7">
        <f>VLOOKUP($A28,[6]HISTOJANV23!$A$6:$AV$47,29,0)</f>
        <v>0</v>
      </c>
    </row>
    <row r="29" spans="1:19" x14ac:dyDescent="0.25">
      <c r="A29" s="1" t="s">
        <v>47</v>
      </c>
      <c r="B29" s="7">
        <f>IF(D29=0,0,VLOOKUP($A29,[6]HISTOJANV23!$A$6:$BP$42,10,0))</f>
        <v>1</v>
      </c>
      <c r="C29" s="1" t="str">
        <f>VLOOKUP(A29,[7]LISTADHERENT!A$5:H$60,3,0)</f>
        <v>SIME BRICE</v>
      </c>
      <c r="D29" s="7">
        <f t="shared" si="0"/>
        <v>25000</v>
      </c>
      <c r="E29" s="7">
        <f>D29+VLOOKUP($A29,[6]HISTOJANV23!$A$7:$AU$40,45,0)+F29</f>
        <v>40000</v>
      </c>
      <c r="F29" s="7">
        <f>VLOOKUP($A29,[6]HISTOJANV23!$A$6:$AV$47,7,0)</f>
        <v>0</v>
      </c>
      <c r="G29" s="7" t="str">
        <f>VLOOKUP($A29,[6]HISTOJANV23!$A$6:$AV$47,8,0)</f>
        <v>ESPECES</v>
      </c>
      <c r="H29" s="7">
        <f>VLOOKUP($A29,[6]HISTOJANV23!$A$6:$AV$47,35,0)</f>
        <v>0</v>
      </c>
      <c r="I29" s="7">
        <f>VLOOKUP($A29,[6]HISTOJANV23!$A$6:$AV$47,38,0)</f>
        <v>0</v>
      </c>
      <c r="J29" s="7">
        <f>IF(H29=0,0,VLOOKUP($A29,[6]HISTOJANV23!$A$6:$AV$47,42,0))</f>
        <v>0</v>
      </c>
      <c r="K29" s="7">
        <f>VLOOKUP($A29,[6]HISTOJANV23!$A$6:$AV$47,41,0)</f>
        <v>0</v>
      </c>
      <c r="L29"/>
      <c r="M29" s="7">
        <f>VLOOKUP($A29,[6]HISTOJANV23!$A$6:$AV$47,16,0)</f>
        <v>0</v>
      </c>
      <c r="N29" s="7" t="str">
        <f>IF(M29&lt;&gt;0,VLOOKUP($A29,[6]HISTOJANV23!$A$6:$AV$47,8,0),"ECHEC")</f>
        <v>ECHEC</v>
      </c>
      <c r="O29" s="7">
        <f>IF(R29=0,0,VLOOKUP($A29,[6]HISTOJANV23!$A$6:$AV$47,32,0))</f>
        <v>0</v>
      </c>
      <c r="P29" s="7">
        <f>VLOOKUP($A29,[6]HISTOJANV23!$A$6:$AV$47,33,0)</f>
        <v>0</v>
      </c>
      <c r="Q29" s="7">
        <f t="shared" si="2"/>
        <v>0</v>
      </c>
      <c r="R29" s="7">
        <f>VLOOKUP($A29,[6]HISTOJANV23!$A$6:$AV$47,29,0)</f>
        <v>0</v>
      </c>
    </row>
    <row r="30" spans="1:19" x14ac:dyDescent="0.25">
      <c r="A30" s="1" t="s">
        <v>25</v>
      </c>
      <c r="B30" s="7">
        <f>IF(D30=0,0,VLOOKUP($A30,[6]HISTOJANV23!$A$6:$BP$42,10,0))</f>
        <v>1</v>
      </c>
      <c r="C30" s="1" t="str">
        <f>VLOOKUP(A30,[7]LISTADHERENT!A$5:H$60,3,0)</f>
        <v>SIMO PIERRE</v>
      </c>
      <c r="D30" s="7">
        <f t="shared" si="0"/>
        <v>25000</v>
      </c>
      <c r="E30" s="7">
        <f>D30+VLOOKUP($A30,[6]HISTOJANV23!$A$7:$AU$40,45,0)+F30</f>
        <v>150000</v>
      </c>
      <c r="F30" s="7">
        <f>VLOOKUP($A30,[6]HISTOJANV23!$A$6:$AV$47,7,0)</f>
        <v>0</v>
      </c>
      <c r="G30" s="7" t="str">
        <f>VLOOKUP($A30,[6]HISTOJANV23!$A$6:$AV$47,8,0)</f>
        <v>BANQUE</v>
      </c>
      <c r="H30" s="7">
        <f>VLOOKUP($A30,[6]HISTOJANV23!$A$6:$AV$47,35,0)</f>
        <v>0</v>
      </c>
      <c r="I30" s="7">
        <f>VLOOKUP($A30,[6]HISTOJANV23!$A$6:$AV$47,38,0)</f>
        <v>0</v>
      </c>
      <c r="J30" s="7">
        <f>IF(H30=0,0,VLOOKUP($A30,[6]HISTOJANV23!$A$6:$AV$47,42,0))</f>
        <v>0</v>
      </c>
      <c r="K30" s="7">
        <f>VLOOKUP($A30,[6]HISTOJANV23!$A$6:$AV$47,41,0)</f>
        <v>0</v>
      </c>
      <c r="L30"/>
      <c r="M30" s="7">
        <f>VLOOKUP($A30,[6]HISTOJANV23!$A$6:$AV$47,16,0)</f>
        <v>0</v>
      </c>
      <c r="N30" s="7" t="str">
        <f>IF(M30&lt;&gt;0,VLOOKUP($A30,[6]HISTOJANV23!$A$6:$AV$47,8,0),"ECHEC")</f>
        <v>ECHEC</v>
      </c>
      <c r="O30" s="7">
        <f>IF(R30=0,0,VLOOKUP($A30,[6]HISTOJANV23!$A$6:$AV$47,32,0))</f>
        <v>0</v>
      </c>
      <c r="P30" s="7">
        <f>VLOOKUP($A30,[6]HISTOJANV23!$A$6:$AV$47,33,0)</f>
        <v>0</v>
      </c>
      <c r="Q30" s="7">
        <f t="shared" si="2"/>
        <v>0</v>
      </c>
      <c r="R30" s="7">
        <f>VLOOKUP($A30,[6]HISTOJANV23!$A$6:$AV$47,29,0)</f>
        <v>0</v>
      </c>
    </row>
    <row r="31" spans="1:19" x14ac:dyDescent="0.25">
      <c r="A31" s="1" t="s">
        <v>27</v>
      </c>
      <c r="B31" s="7">
        <f>IF(D31=0,0,VLOOKUP($A31,[6]HISTOJANV23!$A$6:$BP$42,10,0))</f>
        <v>1</v>
      </c>
      <c r="C31" s="1" t="str">
        <f>VLOOKUP(A31,[7]LISTADHERENT!A$5:H$60,3,0)</f>
        <v>TCHOUAMOU MATHIEU</v>
      </c>
      <c r="D31" s="7">
        <f t="shared" si="0"/>
        <v>25000</v>
      </c>
      <c r="E31" s="7">
        <f>D31+VLOOKUP($A31,[6]HISTOJANV23!$A$7:$AU$40,45,0)+F31</f>
        <v>40000</v>
      </c>
      <c r="F31" s="7">
        <f>VLOOKUP($A31,[6]HISTOJANV23!$A$6:$AV$47,7,0)</f>
        <v>0</v>
      </c>
      <c r="G31" s="7" t="str">
        <f>VLOOKUP($A31,[6]HISTOJANV23!$A$6:$AV$47,8,0)</f>
        <v>BANQUE</v>
      </c>
      <c r="H31" s="7">
        <f>VLOOKUP($A31,[6]HISTOJANV23!$A$6:$AV$47,35,0)</f>
        <v>0</v>
      </c>
      <c r="I31" s="7">
        <f>VLOOKUP($A31,[6]HISTOJANV23!$A$6:$AV$47,38,0)</f>
        <v>0</v>
      </c>
      <c r="J31" s="7">
        <f>IF(H31=0,0,VLOOKUP($A31,[6]HISTOJANV23!$A$6:$AV$47,42,0))</f>
        <v>0</v>
      </c>
      <c r="K31" s="7">
        <f>VLOOKUP($A31,[6]HISTOJANV23!$A$6:$AV$47,41,0)</f>
        <v>0</v>
      </c>
      <c r="L31"/>
      <c r="M31" s="7">
        <f>VLOOKUP($A31,[6]HISTOJANV23!$A$6:$AV$47,16,0)</f>
        <v>0</v>
      </c>
      <c r="N31" s="7" t="str">
        <f>IF(M31&lt;&gt;0,VLOOKUP($A31,[6]HISTOJANV23!$A$6:$AV$47,8,0),"ECHEC")</f>
        <v>ECHEC</v>
      </c>
      <c r="O31" s="7">
        <f>IF(R31=0,0,VLOOKUP($A31,[6]HISTOJANV23!$A$6:$AV$47,32,0))</f>
        <v>0</v>
      </c>
      <c r="P31" s="7">
        <f>VLOOKUP($A31,[6]HISTOJANV23!$A$6:$AV$47,33,0)</f>
        <v>0</v>
      </c>
      <c r="Q31" s="7">
        <f t="shared" si="2"/>
        <v>0</v>
      </c>
      <c r="R31" s="7">
        <f>VLOOKUP($A31,[6]HISTOJANV23!$A$6:$AV$47,29,0)</f>
        <v>0</v>
      </c>
    </row>
    <row r="32" spans="1:19" x14ac:dyDescent="0.25">
      <c r="A32" s="1" t="s">
        <v>88</v>
      </c>
      <c r="B32" s="7">
        <f>IF(D32=0,0,VLOOKUP($A32,[6]HISTOJANV23!$A$6:$BP$42,10,0))</f>
        <v>1</v>
      </c>
      <c r="C32" s="1" t="str">
        <f>VLOOKUP(A32,[7]LISTADHERENT!A$5:H$60,3,0)</f>
        <v>TCHOUTOU NANA CLAUDE</v>
      </c>
      <c r="D32" s="7">
        <f t="shared" si="0"/>
        <v>25000</v>
      </c>
      <c r="E32" s="7">
        <f>D32+VLOOKUP($A32,[6]HISTOJANV23!$A$7:$AU$40,45,0)+F32</f>
        <v>40000</v>
      </c>
      <c r="F32" s="7">
        <f>VLOOKUP($A32,[6]HISTOJANV23!$A$6:$AV$47,7,0)</f>
        <v>0</v>
      </c>
      <c r="G32" s="7" t="str">
        <f>VLOOKUP($A32,[6]HISTOJANV23!$A$6:$AV$47,8,0)</f>
        <v>ESPECES</v>
      </c>
      <c r="H32" s="7">
        <f>VLOOKUP($A32,[6]HISTOJANV23!$A$6:$AV$47,35,0)</f>
        <v>0</v>
      </c>
      <c r="I32" s="7">
        <f>VLOOKUP($A32,[6]HISTOJANV23!$A$6:$AV$47,38,0)</f>
        <v>0</v>
      </c>
      <c r="J32" s="7">
        <f>IF(H32=0,0,VLOOKUP($A32,[6]HISTOJANV23!$A$6:$AV$47,42,0))</f>
        <v>0</v>
      </c>
      <c r="K32" s="7">
        <f>VLOOKUP($A32,[6]HISTOJANV23!$A$6:$AV$47,41,0)</f>
        <v>0</v>
      </c>
      <c r="L32"/>
      <c r="M32" s="7">
        <f>VLOOKUP($A32,[6]HISTOJANV23!$A$6:$AV$47,16,0)</f>
        <v>0</v>
      </c>
      <c r="N32" s="7" t="str">
        <f>IF(M32&lt;&gt;0,VLOOKUP($A32,[6]HISTOJANV23!$A$6:$AV$47,8,0),"ECHEC")</f>
        <v>ECHEC</v>
      </c>
      <c r="O32" s="7">
        <f>IF(R32=0,0,VLOOKUP($A32,[6]HISTOJANV23!$A$6:$AV$47,32,0))</f>
        <v>0</v>
      </c>
      <c r="P32" s="7">
        <f>VLOOKUP($A32,[6]HISTOJANV23!$A$6:$AV$47,33,0)</f>
        <v>0</v>
      </c>
      <c r="Q32" s="7">
        <f t="shared" si="2"/>
        <v>0</v>
      </c>
      <c r="R32" s="7">
        <f>VLOOKUP($A32,[6]HISTOJANV23!$A$6:$AV$47,29,0)</f>
        <v>0</v>
      </c>
    </row>
    <row r="33" spans="1:18" x14ac:dyDescent="0.25">
      <c r="A33" s="17" t="s">
        <v>90</v>
      </c>
      <c r="B33" s="7">
        <f>IF(D33=0,0,VLOOKUP($A33,[6]HISTOJANV23!$A$6:$BP$42,10,0))</f>
        <v>1</v>
      </c>
      <c r="C33" s="1" t="str">
        <f>VLOOKUP(A33,[7]LISTADHERENT!A$5:H$60,3,0)</f>
        <v>YANTCHOU GERVAIS</v>
      </c>
      <c r="D33" s="7">
        <f t="shared" si="0"/>
        <v>25000</v>
      </c>
      <c r="E33" s="7">
        <f>D33+VLOOKUP($A33,[6]HISTOJANV23!$A$7:$AU$40,45,0)+F33</f>
        <v>40000</v>
      </c>
      <c r="F33" s="7">
        <f>VLOOKUP($A33,[6]HISTOJANV23!$A$6:$AV$47,7,0)</f>
        <v>0</v>
      </c>
      <c r="G33" s="7" t="str">
        <f>VLOOKUP($A33,[6]HISTOJANV23!$A$6:$AV$47,8,0)</f>
        <v>ESPECES</v>
      </c>
      <c r="H33" s="7">
        <f>VLOOKUP($A33,[6]HISTOJANV23!$A$6:$AV$47,35,0)</f>
        <v>0</v>
      </c>
      <c r="I33" s="7">
        <f>VLOOKUP($A33,[6]HISTOJANV23!$A$6:$AV$47,38,0)</f>
        <v>0</v>
      </c>
      <c r="J33" s="7">
        <f>IF(H33=0,0,VLOOKUP($A33,[6]HISTOJANV23!$A$6:$AV$47,42,0))</f>
        <v>0</v>
      </c>
      <c r="K33" s="7">
        <f>VLOOKUP($A33,[6]HISTOJANV23!$A$6:$AV$47,41,0)</f>
        <v>0</v>
      </c>
      <c r="L33"/>
      <c r="M33" s="7">
        <f>VLOOKUP($A33,[6]HISTOJANV23!$A$6:$AV$47,16,0)</f>
        <v>0</v>
      </c>
      <c r="N33" s="7" t="str">
        <f>IF(M33&lt;&gt;0,VLOOKUP($A33,[6]HISTOJANV23!$A$6:$AV$47,8,0),"ECHEC")</f>
        <v>ECHEC</v>
      </c>
      <c r="O33" s="7">
        <f>IF(R33=0,0,VLOOKUP($A33,[6]HISTOJANV23!$A$6:$AV$47,32,0))</f>
        <v>0</v>
      </c>
      <c r="P33" s="7">
        <f>VLOOKUP($A33,[6]HISTOJANV23!$A$6:$AV$47,33,0)</f>
        <v>0</v>
      </c>
      <c r="Q33" s="7">
        <f t="shared" ref="Q33" si="3">IF(R33=0,0,($C$3-R33))</f>
        <v>0</v>
      </c>
      <c r="R33" s="7">
        <f>VLOOKUP($A33,[6]HISTOJANV23!$A$6:$AV$47,29,0)</f>
        <v>0</v>
      </c>
    </row>
    <row r="34" spans="1:18" x14ac:dyDescent="0.25">
      <c r="A34" s="1" t="s">
        <v>28</v>
      </c>
      <c r="B34" s="7">
        <f>IF(D34=0,0,VLOOKUP($A34,[6]HISTOJANV23!$A$6:$BP$42,10,0))</f>
        <v>1</v>
      </c>
      <c r="C34" s="1" t="str">
        <f>VLOOKUP(A34,[7]LISTADHERENT!A$5:H$60,3,0)</f>
        <v>YEPMOU JEAN JACQUES</v>
      </c>
      <c r="D34" s="7">
        <f t="shared" si="0"/>
        <v>25000</v>
      </c>
      <c r="E34" s="7">
        <f>D34+VLOOKUP($A34,[6]HISTOJANV23!$A$7:$AU$40,45,0)+F34</f>
        <v>40000</v>
      </c>
      <c r="F34" s="7">
        <f>VLOOKUP($A34,[6]HISTOJANV23!$A$6:$AV$47,7,0)</f>
        <v>0</v>
      </c>
      <c r="G34" s="7" t="str">
        <f>VLOOKUP($A34,[6]HISTOJANV23!$A$6:$AV$47,8,0)</f>
        <v>BANQUE</v>
      </c>
      <c r="H34" s="7">
        <f>VLOOKUP($A34,[6]HISTOJANV23!$A$6:$AV$47,35,0)</f>
        <v>0</v>
      </c>
      <c r="I34" s="7">
        <f>VLOOKUP($A34,[6]HISTOJANV23!$A$6:$AV$47,38,0)</f>
        <v>0</v>
      </c>
      <c r="J34" s="7">
        <f>IF(H34=0,0,VLOOKUP($A34,[6]HISTOJANV23!$A$6:$AV$47,42,0))</f>
        <v>0</v>
      </c>
      <c r="K34" s="7">
        <f>VLOOKUP($A34,[6]HISTOJANV23!$A$6:$AV$47,41,0)</f>
        <v>0</v>
      </c>
      <c r="L34"/>
      <c r="M34" s="7">
        <f>VLOOKUP($A34,[6]HISTOJANV23!$A$6:$AV$47,16,0)</f>
        <v>0</v>
      </c>
      <c r="N34" s="7" t="str">
        <f>IF(M34&lt;&gt;0,VLOOKUP($A34,[6]HISTOJANV23!$A$6:$AV$47,8,0),"ECHEC")</f>
        <v>ECHEC</v>
      </c>
      <c r="O34" s="7">
        <f>IF(R34=0,0,VLOOKUP($A34,[6]HISTOJANV23!$A$6:$AV$47,32,0))</f>
        <v>0</v>
      </c>
      <c r="P34" s="7">
        <f>VLOOKUP($A34,[6]HISTOJANV23!$A$6:$AV$47,33,0)</f>
        <v>0</v>
      </c>
      <c r="Q34" s="7">
        <f t="shared" si="2"/>
        <v>0</v>
      </c>
      <c r="R34" s="7">
        <f>VLOOKUP($A34,[6]HISTOJANV23!$A$6:$AV$47,29,0)</f>
        <v>0</v>
      </c>
    </row>
    <row r="35" spans="1:18" x14ac:dyDescent="0.25">
      <c r="A35" s="1" t="s">
        <v>29</v>
      </c>
      <c r="B35" s="7">
        <f>IF(D35=0,0,VLOOKUP($A35,[6]HISTOJANV23!$A$6:$BP$42,10,0))</f>
        <v>1</v>
      </c>
      <c r="C35" s="1" t="str">
        <f>VLOOKUP(A35,[7]LISTADHERENT!A$5:H$60,3,0)</f>
        <v>YOUMBI EMMANUEL</v>
      </c>
      <c r="D35" s="7">
        <f t="shared" si="0"/>
        <v>25000</v>
      </c>
      <c r="E35" s="7">
        <f>D35+VLOOKUP($A35,[6]HISTOJANV23!$A$7:$AU$40,45,0)+F35</f>
        <v>40000</v>
      </c>
      <c r="F35" s="7">
        <f>VLOOKUP($A35,[6]HISTOJANV23!$A$6:$AV$47,7,0)</f>
        <v>0</v>
      </c>
      <c r="G35" s="7" t="str">
        <f>VLOOKUP($A35,[6]HISTOJANV23!$A$6:$AV$47,8,0)</f>
        <v>BANQUE</v>
      </c>
      <c r="H35" s="7">
        <f>VLOOKUP($A35,[6]HISTOJANV23!$A$6:$AV$47,35,0)</f>
        <v>0</v>
      </c>
      <c r="I35" s="7">
        <f>VLOOKUP($A35,[6]HISTOJANV23!$A$6:$AV$47,38,0)</f>
        <v>0</v>
      </c>
      <c r="J35" s="7">
        <f>IF(H35=0,0,VLOOKUP($A35,[6]HISTOJANV23!$A$6:$AV$47,42,0))</f>
        <v>0</v>
      </c>
      <c r="K35" s="7">
        <f>VLOOKUP($A35,[6]HISTOJANV23!$A$6:$AV$47,41,0)</f>
        <v>0</v>
      </c>
      <c r="L35"/>
      <c r="M35" s="7">
        <f>VLOOKUP($A35,[6]HISTOJANV23!$A$6:$AV$47,16,0)</f>
        <v>0</v>
      </c>
      <c r="N35" s="7" t="str">
        <f>IF(M35&lt;&gt;0,VLOOKUP($A35,[6]HISTOJANV23!$A$6:$AV$47,8,0),"ECHEC")</f>
        <v>ECHEC</v>
      </c>
      <c r="O35" s="7">
        <f>IF(R35=0,0,VLOOKUP($A35,[6]HISTOJANV23!$A$6:$AV$47,32,0))</f>
        <v>0</v>
      </c>
      <c r="P35" s="7">
        <f>VLOOKUP($A35,[6]HISTOJANV23!$A$6:$AV$47,33,0)</f>
        <v>0</v>
      </c>
      <c r="Q35" s="7">
        <f t="shared" si="2"/>
        <v>0</v>
      </c>
      <c r="R35" s="7">
        <f>VLOOKUP($A35,[6]HISTOJANV23!$A$6:$AV$47,29,0)</f>
        <v>0</v>
      </c>
    </row>
    <row r="36" spans="1:18" x14ac:dyDescent="0.25">
      <c r="A36" s="1"/>
    </row>
    <row r="37" spans="1:18" ht="18" x14ac:dyDescent="0.25">
      <c r="A37" s="1" t="s">
        <v>84</v>
      </c>
      <c r="B37" s="8">
        <f>SUM(B6:B36)</f>
        <v>30</v>
      </c>
      <c r="I37" s="9"/>
    </row>
    <row r="38" spans="1:18" ht="18" x14ac:dyDescent="0.25">
      <c r="A38" s="1" t="s">
        <v>83</v>
      </c>
      <c r="B38" s="16">
        <f>COUNT(D6:D36)</f>
        <v>30</v>
      </c>
      <c r="C38" s="8"/>
      <c r="D38" s="8">
        <f>SUM(D6:D37)</f>
        <v>750000</v>
      </c>
      <c r="E38" s="8"/>
      <c r="F38" s="8">
        <f t="shared" ref="F38:R38" si="4">SUM(F6:F37)</f>
        <v>0</v>
      </c>
      <c r="G38" s="8">
        <f t="shared" si="4"/>
        <v>0</v>
      </c>
      <c r="H38" s="8">
        <f t="shared" si="4"/>
        <v>235000</v>
      </c>
      <c r="I38" s="8">
        <f t="shared" si="4"/>
        <v>9000</v>
      </c>
      <c r="J38" s="8">
        <f t="shared" si="4"/>
        <v>0</v>
      </c>
      <c r="K38" s="8">
        <f t="shared" si="4"/>
        <v>0</v>
      </c>
      <c r="L38" s="8">
        <f t="shared" si="4"/>
        <v>0</v>
      </c>
      <c r="M38" s="8">
        <f t="shared" si="4"/>
        <v>0</v>
      </c>
      <c r="N38" s="8">
        <f t="shared" si="4"/>
        <v>0</v>
      </c>
      <c r="O38" s="8">
        <f t="shared" si="4"/>
        <v>0</v>
      </c>
      <c r="P38" s="8">
        <f t="shared" si="4"/>
        <v>0</v>
      </c>
      <c r="Q38" s="8">
        <f t="shared" si="4"/>
        <v>515000</v>
      </c>
      <c r="R38" s="8">
        <f t="shared" si="4"/>
        <v>85000</v>
      </c>
    </row>
    <row r="39" spans="1:18" s="2" customFormat="1" ht="29.25" x14ac:dyDescent="0.25">
      <c r="B39"/>
      <c r="C39"/>
      <c r="D39"/>
      <c r="E39"/>
      <c r="F39"/>
      <c r="G39"/>
      <c r="H39"/>
      <c r="I39" s="9"/>
      <c r="J39" s="3"/>
      <c r="K39" s="3"/>
      <c r="L39" s="3"/>
      <c r="N39" s="4" t="s">
        <v>76</v>
      </c>
      <c r="O39" s="4" t="s">
        <v>85</v>
      </c>
      <c r="P39" s="3"/>
    </row>
    <row r="40" spans="1:18" s="2" customFormat="1" ht="29.25" x14ac:dyDescent="0.25">
      <c r="D40" s="4" t="s">
        <v>5</v>
      </c>
      <c r="E40" s="4"/>
      <c r="F40"/>
      <c r="G40" s="4" t="s">
        <v>36</v>
      </c>
      <c r="H40" s="4" t="s">
        <v>40</v>
      </c>
      <c r="I40" s="4" t="s">
        <v>42</v>
      </c>
      <c r="J40" s="4" t="s">
        <v>43</v>
      </c>
      <c r="K40" s="4"/>
      <c r="L40" s="8" t="s">
        <v>49</v>
      </c>
      <c r="M40" s="8">
        <f>D44+G44+R38</f>
        <v>835000</v>
      </c>
      <c r="N40" s="4"/>
      <c r="O40"/>
      <c r="P40" s="4"/>
    </row>
    <row r="41" spans="1:18" s="2" customFormat="1" ht="18" x14ac:dyDescent="0.25">
      <c r="D41" s="8">
        <f>SUMIFS(D6:D37,G6:G37,"ESPECES")</f>
        <v>125000</v>
      </c>
      <c r="E41" s="8"/>
      <c r="F41" s="8" t="s">
        <v>32</v>
      </c>
      <c r="G41" s="8">
        <f>SUMIFS(M6:M32,N6:N32,"ESPECES")</f>
        <v>0</v>
      </c>
      <c r="H41" s="8">
        <f>SUMIFS(H6:H37,J6:J37,"ESPECES")</f>
        <v>0</v>
      </c>
      <c r="I41" s="8">
        <f>SUMIFS(Q6:Q37,O6:O37,"ESPECES")</f>
        <v>0</v>
      </c>
      <c r="J41" s="8">
        <f>D41+G41-H41-I41</f>
        <v>125000</v>
      </c>
      <c r="K41" s="8"/>
      <c r="L41" s="8" t="s">
        <v>80</v>
      </c>
      <c r="M41" s="8">
        <f>C3*COUNTIF(Q7:Q37,"&gt;0")</f>
        <v>600000</v>
      </c>
      <c r="N41" s="8">
        <f>D3</f>
        <v>2</v>
      </c>
      <c r="O41" s="8">
        <f>COUNTIF(Q7:Q32,"&gt;0")</f>
        <v>2</v>
      </c>
      <c r="P41" s="8"/>
    </row>
    <row r="42" spans="1:18" s="2" customFormat="1" ht="18" x14ac:dyDescent="0.25">
      <c r="D42" s="8">
        <f>SUMIFS(D6:D37,G6:G37,"BANQUE")</f>
        <v>625000</v>
      </c>
      <c r="E42" s="8"/>
      <c r="F42" s="8" t="s">
        <v>33</v>
      </c>
      <c r="G42" s="8">
        <f>SUMIFS(M6:M32,N6:N32,"BANQUE")</f>
        <v>0</v>
      </c>
      <c r="H42" s="8">
        <f>SUMIFS(H6:H37,J6:J37,"BANQUE")</f>
        <v>235000</v>
      </c>
      <c r="I42" s="8">
        <f>SUMIFS(Q6:Q37,O6:O37,"BANQUE")</f>
        <v>515000</v>
      </c>
      <c r="J42" s="8">
        <f>D42+G42-H42-I42</f>
        <v>-125000</v>
      </c>
      <c r="K42" s="8"/>
      <c r="M42" s="8"/>
      <c r="N42" s="8"/>
      <c r="O42" s="8"/>
      <c r="P42" s="8"/>
    </row>
    <row r="43" spans="1:18" s="2" customFormat="1" ht="18" x14ac:dyDescent="0.25">
      <c r="D43" s="8"/>
      <c r="E43" s="8"/>
      <c r="F43" s="8"/>
      <c r="G43" s="8"/>
      <c r="H43" s="8"/>
      <c r="I43" s="8"/>
      <c r="K43" s="8"/>
      <c r="L43" s="8" t="s">
        <v>48</v>
      </c>
      <c r="M43" s="8">
        <f>M40-M41</f>
        <v>235000</v>
      </c>
      <c r="N43" s="8"/>
      <c r="O43" s="8"/>
      <c r="P43" s="8"/>
    </row>
    <row r="44" spans="1:18" s="2" customFormat="1" ht="18" x14ac:dyDescent="0.25">
      <c r="D44" s="8">
        <f>D41+D42</f>
        <v>750000</v>
      </c>
      <c r="E44" s="8"/>
      <c r="F44" s="8" t="s">
        <v>30</v>
      </c>
      <c r="G44" s="8">
        <f>G41+G42</f>
        <v>0</v>
      </c>
      <c r="H44" s="8">
        <f>H41+H42</f>
        <v>235000</v>
      </c>
      <c r="I44" s="8">
        <f t="shared" ref="I44:J44" si="5">I41+I42</f>
        <v>515000</v>
      </c>
      <c r="J44" s="8">
        <f t="shared" si="5"/>
        <v>0</v>
      </c>
      <c r="K44" s="8"/>
      <c r="M44" s="8"/>
      <c r="N44" s="8"/>
      <c r="O44" s="8"/>
      <c r="P44" s="8"/>
    </row>
    <row r="45" spans="1:18" s="2" customFormat="1" ht="18" x14ac:dyDescent="0.25">
      <c r="D45" s="8"/>
      <c r="E45" s="8"/>
      <c r="F45" s="8" t="s">
        <v>52</v>
      </c>
      <c r="G45"/>
      <c r="H45"/>
      <c r="I45" s="3"/>
      <c r="J45" s="3"/>
      <c r="K45" s="3"/>
      <c r="L45" s="8" t="s">
        <v>51</v>
      </c>
      <c r="M45" s="8">
        <f>M43-H38</f>
        <v>0</v>
      </c>
      <c r="N45"/>
      <c r="O45" s="8">
        <f>M45</f>
        <v>0</v>
      </c>
      <c r="P45" s="8" t="s">
        <v>54</v>
      </c>
    </row>
    <row r="46" spans="1:18" s="2" customFormat="1" ht="18" x14ac:dyDescent="0.25">
      <c r="D46" s="4"/>
      <c r="E46" s="4"/>
      <c r="F46" s="8"/>
      <c r="G46"/>
      <c r="H46"/>
      <c r="I46" s="3"/>
      <c r="J46" s="3"/>
      <c r="K46" s="3"/>
      <c r="N46"/>
      <c r="O46" s="3"/>
      <c r="P46" s="3"/>
    </row>
    <row r="47" spans="1:18" ht="18" x14ac:dyDescent="0.25">
      <c r="L47" s="8" t="s">
        <v>56</v>
      </c>
      <c r="M47" s="8">
        <f>COUNTIFS(G7:G36,"ECHEC")*23000</f>
        <v>0</v>
      </c>
      <c r="O47" s="8"/>
      <c r="P47" s="8" t="s">
        <v>54</v>
      </c>
    </row>
    <row r="48" spans="1:18" ht="18" x14ac:dyDescent="0.25">
      <c r="F48" s="2"/>
      <c r="L48" s="8" t="s">
        <v>55</v>
      </c>
      <c r="M48" s="8">
        <f>L38-G44</f>
        <v>0</v>
      </c>
      <c r="O48" s="8"/>
      <c r="P48" s="8" t="s">
        <v>54</v>
      </c>
    </row>
  </sheetData>
  <autoFilter ref="A5:R25">
    <sortState ref="A5:N48">
      <sortCondition ref="C5:C48"/>
    </sortState>
  </autoFilter>
  <mergeCells count="1">
    <mergeCell ref="C4:M4"/>
  </mergeCell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"/>
  <sheetViews>
    <sheetView workbookViewId="0">
      <pane xSplit="3" ySplit="5" topLeftCell="G36" activePane="bottomRight" state="frozen"/>
      <selection activeCell="G6" sqref="G6:G39"/>
      <selection pane="topRight" activeCell="G6" sqref="G6:G39"/>
      <selection pane="bottomLeft" activeCell="G6" sqref="G6:G39"/>
      <selection pane="bottomRight" activeCell="M40" sqref="M40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5" width="21" customWidth="1"/>
    <col min="6" max="6" width="21.42578125" customWidth="1"/>
    <col min="7" max="7" width="16.7109375" customWidth="1"/>
    <col min="8" max="8" width="15" customWidth="1"/>
    <col min="9" max="10" width="17.5703125" style="3" customWidth="1"/>
    <col min="11" max="11" width="16" style="3" customWidth="1"/>
    <col min="12" max="12" width="19.85546875" style="3" customWidth="1"/>
    <col min="13" max="13" width="15.7109375" style="2" customWidth="1"/>
    <col min="14" max="14" width="13" customWidth="1"/>
    <col min="15" max="15" width="14.5703125" bestFit="1" customWidth="1"/>
    <col min="16" max="16" width="15.5703125" style="3" customWidth="1"/>
    <col min="17" max="18" width="18.140625" style="2" customWidth="1"/>
  </cols>
  <sheetData>
    <row r="1" spans="1:18" x14ac:dyDescent="0.2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18" x14ac:dyDescent="0.25">
      <c r="A2" s="1" t="s">
        <v>2</v>
      </c>
      <c r="B2" s="1">
        <v>2023</v>
      </c>
      <c r="C2" s="1" t="s">
        <v>81</v>
      </c>
      <c r="D2" s="1" t="s">
        <v>76</v>
      </c>
      <c r="E2" s="1"/>
      <c r="F2" s="1"/>
      <c r="G2" s="1"/>
      <c r="N2" s="1"/>
      <c r="O2" s="1"/>
    </row>
    <row r="3" spans="1:18" x14ac:dyDescent="0.25">
      <c r="A3" s="1" t="s">
        <v>82</v>
      </c>
      <c r="B3" s="6">
        <v>25000</v>
      </c>
      <c r="C3" s="6">
        <f>B3*12</f>
        <v>300000</v>
      </c>
      <c r="D3" s="1">
        <f>ROUNDDOWN(M40/C3,0)</f>
        <v>3</v>
      </c>
      <c r="E3" s="1"/>
      <c r="F3" s="1"/>
      <c r="G3" s="1"/>
      <c r="N3" s="1"/>
      <c r="O3" s="1"/>
    </row>
    <row r="4" spans="1:18" s="13" customFormat="1" ht="18" x14ac:dyDescent="0.25">
      <c r="B4" s="14"/>
      <c r="C4" s="21">
        <v>44970</v>
      </c>
      <c r="D4" s="22"/>
      <c r="E4" s="22"/>
      <c r="F4" s="22"/>
      <c r="G4" s="22"/>
      <c r="H4" s="22"/>
      <c r="I4" s="22"/>
      <c r="J4" s="22"/>
      <c r="K4" s="22"/>
      <c r="L4" s="22"/>
      <c r="N4" s="15"/>
      <c r="O4" s="15"/>
      <c r="P4" s="15"/>
      <c r="Q4" s="15"/>
    </row>
    <row r="5" spans="1:18" ht="58.5" x14ac:dyDescent="0.3">
      <c r="A5" s="1" t="s">
        <v>3</v>
      </c>
      <c r="B5" s="12" t="s">
        <v>77</v>
      </c>
      <c r="C5" s="1" t="s">
        <v>4</v>
      </c>
      <c r="D5" s="4" t="s">
        <v>5</v>
      </c>
      <c r="E5" s="4" t="s">
        <v>7</v>
      </c>
      <c r="F5" s="1" t="s">
        <v>44</v>
      </c>
      <c r="G5" s="5" t="s">
        <v>6</v>
      </c>
      <c r="H5" s="6" t="s">
        <v>40</v>
      </c>
      <c r="I5" s="4" t="s">
        <v>37</v>
      </c>
      <c r="J5" s="4" t="s">
        <v>41</v>
      </c>
      <c r="K5" s="10" t="s">
        <v>50</v>
      </c>
      <c r="L5" s="4" t="s">
        <v>78</v>
      </c>
      <c r="M5" s="4" t="s">
        <v>36</v>
      </c>
      <c r="N5" s="4" t="s">
        <v>35</v>
      </c>
      <c r="O5" s="4" t="s">
        <v>38</v>
      </c>
      <c r="P5" s="4" t="s">
        <v>50</v>
      </c>
      <c r="Q5" s="4" t="s">
        <v>79</v>
      </c>
      <c r="R5" s="4" t="s">
        <v>39</v>
      </c>
    </row>
    <row r="6" spans="1:18" x14ac:dyDescent="0.25">
      <c r="A6" s="1" t="s">
        <v>89</v>
      </c>
      <c r="B6" s="7">
        <f>IF(D6=0,0,VLOOKUP($A6,[6]HISTOFEV23!$A$6:$BO$40,10,0))</f>
        <v>1</v>
      </c>
      <c r="C6" s="1" t="str">
        <f>VLOOKUP(A6,[7]LISTADHERENT!A$5:H$60,3,0)</f>
        <v>BAKOP ACHILLE</v>
      </c>
      <c r="D6" s="7">
        <f>IF(G6="ECHEC",0,B$3)</f>
        <v>25000</v>
      </c>
      <c r="E6" s="7">
        <f>D6+VLOOKUP($A6,[6]HISTOFEV23!$A$7:$AU$40,45,0)+F6</f>
        <v>40000</v>
      </c>
      <c r="F6" s="7">
        <f>VLOOKUP($A6,[6]HISTOFEV23!$A$7:$AU$45,7,0)</f>
        <v>0</v>
      </c>
      <c r="G6" s="7" t="str">
        <f>VLOOKUP($A6,[6]HISTOFEV23!$A$7:$AU$45,8,0)</f>
        <v>ESPECES</v>
      </c>
      <c r="H6" s="7">
        <f>VLOOKUP($A6,[6]HISTOFEV23!$A$6:$AU$45,35,0)</f>
        <v>0</v>
      </c>
      <c r="I6" s="7">
        <f>VLOOKUP($A6,[6]HISTOFEV23!$A$7:$AU$45,38,0)</f>
        <v>0</v>
      </c>
      <c r="J6" s="7">
        <f>IF(I6=0,0,VLOOKUP($A6,[6]HISTOFEV23!$A$7:$AU$45,42,0))</f>
        <v>0</v>
      </c>
      <c r="K6" s="7">
        <f>VLOOKUP($A6,[6]HISTOFEV23!$A$7:$AU$45,41,0)</f>
        <v>0</v>
      </c>
      <c r="L6" s="7">
        <f>TONTJANV23!H6+TONTJANV23!I6</f>
        <v>0</v>
      </c>
      <c r="M6" s="7">
        <f>VLOOKUP($A6,[6]HISTOFEV23!$A$7:$AU$45,16,0)</f>
        <v>0</v>
      </c>
      <c r="N6" s="7" t="str">
        <f>IF(M6&lt;&gt;0,VLOOKUP($A6,[6]HISTOFEV23!$A$7:$AU$45,8,0),"ECHEC")</f>
        <v>ECHEC</v>
      </c>
      <c r="O6" s="7">
        <f>IF(R6=0,0,VLOOKUP($A6,[6]HISTOFEV23!$A$7:$AU$45,32,0))</f>
        <v>0</v>
      </c>
      <c r="P6" s="7">
        <f>VLOOKUP($A6,[6]HISTOFEV23!$A$7:$AU$45,33,0)</f>
        <v>0</v>
      </c>
      <c r="Q6" s="7">
        <f t="shared" ref="Q6:Q35" si="0">IF(R6=0,0,($C$3-R6))</f>
        <v>0</v>
      </c>
      <c r="R6" s="7">
        <f>VLOOKUP($A6,[6]HISTOFEV23!$A$7:$AU$45,29,0)</f>
        <v>0</v>
      </c>
    </row>
    <row r="7" spans="1:18" x14ac:dyDescent="0.25">
      <c r="A7" s="1" t="s">
        <v>9</v>
      </c>
      <c r="B7" s="7">
        <f>IF(D7=0,0,VLOOKUP($A7,[6]HISTOFEV23!$A$6:$BO$40,10,0))</f>
        <v>1</v>
      </c>
      <c r="C7" s="1" t="str">
        <f>VLOOKUP(A7,[7]LISTADHERENT!A$5:H$60,3,0)</f>
        <v>BOUTCHOUANG WILLIAM</v>
      </c>
      <c r="D7" s="7">
        <f>IF(G7="ECHEC",0,B$3)</f>
        <v>25000</v>
      </c>
      <c r="E7" s="7">
        <f>D7+VLOOKUP($A7,[6]HISTOFEV23!$A$7:$AU$40,45,0)+F7</f>
        <v>40000</v>
      </c>
      <c r="F7" s="7">
        <f>VLOOKUP($A7,[6]HISTOFEV23!$A$7:$AU$45,7,0)</f>
        <v>0</v>
      </c>
      <c r="G7" s="7" t="str">
        <f>VLOOKUP($A7,[6]HISTOFEV23!$A$7:$AU$45,8,0)</f>
        <v>BANQUE</v>
      </c>
      <c r="H7" s="7">
        <f>VLOOKUP($A7,[6]HISTOFEV23!$A$6:$AU$45,35,0)</f>
        <v>0</v>
      </c>
      <c r="I7" s="7">
        <f>VLOOKUP($A7,[6]HISTOFEV23!$A$7:$AU$45,38,0)</f>
        <v>0</v>
      </c>
      <c r="J7" s="7">
        <f>IF(I7=0,0,VLOOKUP($A7,[6]HISTOFEV23!$A$7:$AU$45,42,0))</f>
        <v>0</v>
      </c>
      <c r="K7" s="7">
        <f>VLOOKUP($A7,[6]HISTOFEV23!$A$7:$AU$45,41,0)</f>
        <v>0</v>
      </c>
      <c r="L7" s="7">
        <f>TONTJANV23!H7+TONTJANV23!I7</f>
        <v>0</v>
      </c>
      <c r="M7" s="7">
        <f>VLOOKUP($A7,[6]HISTOFEV23!$A$7:$AU$45,16,0)</f>
        <v>0</v>
      </c>
      <c r="N7" s="7" t="str">
        <f>IF(M7&lt;&gt;0,VLOOKUP($A7,[6]HISTOFEV23!$A$7:$AU$45,8,0),"ECHEC")</f>
        <v>ECHEC</v>
      </c>
      <c r="O7" s="7">
        <f>IF(R7=0,0,VLOOKUP($A7,[6]HISTOFEV23!$A$7:$AU$45,32,0))</f>
        <v>0</v>
      </c>
      <c r="P7" s="7">
        <f>VLOOKUP($A7,[6]HISTOFEV23!$A$7:$AU$45,33,0)</f>
        <v>0</v>
      </c>
      <c r="Q7" s="7">
        <f t="shared" si="0"/>
        <v>0</v>
      </c>
      <c r="R7" s="7">
        <f>VLOOKUP($A7,[6]HISTOFEV23!$A$7:$AU$45,29,0)</f>
        <v>0</v>
      </c>
    </row>
    <row r="8" spans="1:18" x14ac:dyDescent="0.25">
      <c r="A8" s="1" t="s">
        <v>10</v>
      </c>
      <c r="B8" s="7">
        <f>IF(D8=0,0,VLOOKUP($A8,[6]HISTOFEV23!$A$6:$BO$40,10,0))</f>
        <v>1</v>
      </c>
      <c r="C8" s="1" t="str">
        <f>VLOOKUP(A8,[7]LISTADHERENT!A$5:H$60,3,0)</f>
        <v xml:space="preserve">DJOMO JEAN PAUL </v>
      </c>
      <c r="D8" s="7">
        <f t="shared" ref="D8:D35" si="1">IF(G8="ECHEC",0,B$3)</f>
        <v>25000</v>
      </c>
      <c r="E8" s="7">
        <f>D8+VLOOKUP($A8,[6]HISTOFEV23!$A$7:$AU$40,45,0)+F8</f>
        <v>48000</v>
      </c>
      <c r="F8" s="7">
        <f>VLOOKUP($A8,[6]HISTOFEV23!$A$7:$AU$45,7,0)</f>
        <v>0</v>
      </c>
      <c r="G8" s="7" t="str">
        <f>VLOOKUP($A8,[6]HISTOFEV23!$A$7:$AU$45,8,0)</f>
        <v>BANQUE</v>
      </c>
      <c r="H8" s="7">
        <f>VLOOKUP($A8,[6]HISTOFEV23!$A$6:$AU$45,35,0)</f>
        <v>0</v>
      </c>
      <c r="I8" s="7">
        <f>VLOOKUP($A8,[6]HISTOFEV23!$A$7:$AU$45,38,0)</f>
        <v>0</v>
      </c>
      <c r="J8" s="7">
        <f>IF(I8=0,0,VLOOKUP($A8,[6]HISTOFEV23!$A$7:$AU$45,42,0))</f>
        <v>0</v>
      </c>
      <c r="K8" s="7">
        <f>VLOOKUP($A8,[6]HISTOFEV23!$A$7:$AU$45,41,0)</f>
        <v>0</v>
      </c>
      <c r="L8" s="7">
        <f>TONTJANV23!H8+TONTJANV23!I8</f>
        <v>0</v>
      </c>
      <c r="M8" s="7">
        <f>VLOOKUP($A8,[6]HISTOFEV23!$A$7:$AU$45,16,0)</f>
        <v>0</v>
      </c>
      <c r="N8" s="7" t="str">
        <f>IF(M8&lt;&gt;0,VLOOKUP($A8,[6]HISTOFEV23!$A$7:$AU$45,8,0),"ECHEC")</f>
        <v>ECHEC</v>
      </c>
      <c r="O8" s="7">
        <f>IF(R8=0,0,VLOOKUP($A8,[6]HISTOFEV23!$A$7:$AU$45,32,0))</f>
        <v>0</v>
      </c>
      <c r="P8" s="7">
        <f>VLOOKUP($A8,[6]HISTOFEV23!$A$7:$AU$45,33,0)</f>
        <v>0</v>
      </c>
      <c r="Q8" s="7">
        <f t="shared" si="0"/>
        <v>0</v>
      </c>
      <c r="R8" s="7">
        <f>VLOOKUP($A8,[6]HISTOFEV23!$A$7:$AU$45,29,0)</f>
        <v>0</v>
      </c>
    </row>
    <row r="9" spans="1:18" x14ac:dyDescent="0.25">
      <c r="A9" s="1" t="s">
        <v>53</v>
      </c>
      <c r="B9" s="7">
        <f>IF(D9=0,0,VLOOKUP($A9,[6]HISTOFEV23!$A$6:$BO$40,10,0))</f>
        <v>1</v>
      </c>
      <c r="C9" s="1" t="str">
        <f>VLOOKUP(A9,[7]LISTADHERENT!A$5:H$60,3,0)</f>
        <v>DJOMOU TCHAPDA</v>
      </c>
      <c r="D9" s="7">
        <f t="shared" si="1"/>
        <v>25000</v>
      </c>
      <c r="E9" s="7">
        <f>D9+VLOOKUP($A9,[6]HISTOFEV23!$A$7:$AU$40,45,0)+F9</f>
        <v>40000</v>
      </c>
      <c r="F9" s="7">
        <f>VLOOKUP($A9,[6]HISTOFEV23!$A$7:$AU$45,7,0)</f>
        <v>0</v>
      </c>
      <c r="G9" s="7" t="str">
        <f>VLOOKUP($A9,[6]HISTOFEV23!$A$7:$AU$45,8,0)</f>
        <v>BANQUE</v>
      </c>
      <c r="H9" s="7">
        <f>VLOOKUP($A9,[6]HISTOFEV23!$A$6:$AU$45,35,0)</f>
        <v>40000</v>
      </c>
      <c r="I9" s="7">
        <f>VLOOKUP($A9,[6]HISTOFEV23!$A$7:$AU$45,38,0)</f>
        <v>1000</v>
      </c>
      <c r="J9" s="7" t="str">
        <f>IF(I9=0,0,VLOOKUP($A9,[6]HISTOFEV23!$A$7:$AU$45,42,0))</f>
        <v>BANQUE</v>
      </c>
      <c r="K9" s="7">
        <f>VLOOKUP($A9,[6]HISTOFEV23!$A$7:$AU$45,41,0)</f>
        <v>0</v>
      </c>
      <c r="L9" s="7">
        <f>TONTJANV23!H9+TONTJANV23!I9</f>
        <v>63000</v>
      </c>
      <c r="M9" s="7">
        <f>VLOOKUP($A9,[6]HISTOFEV23!$A$7:$AU$45,16,0)</f>
        <v>63000</v>
      </c>
      <c r="N9" s="7" t="str">
        <f>IF(M9&lt;&gt;0,VLOOKUP($A9,[6]HISTOFEV23!$A$7:$AU$45,8,0),"ECHEC")</f>
        <v>BANQUE</v>
      </c>
      <c r="O9" s="7">
        <f>IF(R9=0,0,VLOOKUP($A9,[6]HISTOFEV23!$A$7:$AU$45,32,0))</f>
        <v>0</v>
      </c>
      <c r="P9" s="7">
        <f>VLOOKUP($A9,[6]HISTOFEV23!$A$7:$AU$45,33,0)</f>
        <v>0</v>
      </c>
      <c r="Q9" s="7">
        <f t="shared" si="0"/>
        <v>0</v>
      </c>
      <c r="R9" s="7">
        <f>VLOOKUP($A9,[6]HISTOFEV23!$A$7:$AU$45,29,0)</f>
        <v>0</v>
      </c>
    </row>
    <row r="10" spans="1:18" x14ac:dyDescent="0.25">
      <c r="A10" s="1" t="s">
        <v>11</v>
      </c>
      <c r="B10" s="7">
        <f>IF(D10=0,0,VLOOKUP($A10,[6]HISTOFEV23!$A$6:$BO$40,10,0))</f>
        <v>1</v>
      </c>
      <c r="C10" s="1" t="str">
        <f>VLOOKUP(A10,[7]LISTADHERENT!A$5:H$60,3,0)</f>
        <v>DJOUKWE NANGUEN GUY BLAISE</v>
      </c>
      <c r="D10" s="7">
        <f t="shared" si="1"/>
        <v>25000</v>
      </c>
      <c r="E10" s="7">
        <f>D10+VLOOKUP($A10,[6]HISTOFEV23!$A$7:$AU$40,45,0)+F10</f>
        <v>40000</v>
      </c>
      <c r="F10" s="7">
        <f>VLOOKUP($A10,[6]HISTOFEV23!$A$7:$AU$45,7,0)</f>
        <v>0</v>
      </c>
      <c r="G10" s="7" t="str">
        <f>VLOOKUP($A10,[6]HISTOFEV23!$A$7:$AU$45,8,0)</f>
        <v>BANQUE</v>
      </c>
      <c r="H10" s="7">
        <f>VLOOKUP($A10,[6]HISTOFEV23!$A$6:$AU$45,35,0)</f>
        <v>0</v>
      </c>
      <c r="I10" s="7">
        <f>VLOOKUP($A10,[6]HISTOFEV23!$A$7:$AU$45,38,0)</f>
        <v>0</v>
      </c>
      <c r="J10" s="7">
        <f>IF(I10=0,0,VLOOKUP($A10,[6]HISTOFEV23!$A$7:$AU$45,42,0))</f>
        <v>0</v>
      </c>
      <c r="K10" s="7">
        <f>VLOOKUP($A10,[6]HISTOFEV23!$A$7:$AU$45,41,0)</f>
        <v>0</v>
      </c>
      <c r="L10" s="7">
        <f>TONTJANV23!H10+TONTJANV23!I10</f>
        <v>62000</v>
      </c>
      <c r="M10" s="7">
        <f>VLOOKUP($A10,[6]HISTOFEV23!$A$7:$AU$45,16,0)</f>
        <v>62000</v>
      </c>
      <c r="N10" s="7" t="str">
        <f>IF(M10&lt;&gt;0,VLOOKUP($A10,[6]HISTOFEV23!$A$7:$AU$45,8,0),"ECHEC")</f>
        <v>BANQUE</v>
      </c>
      <c r="O10" s="7">
        <f>IF(R10=0,0,VLOOKUP($A10,[6]HISTOFEV23!$A$7:$AU$45,32,0))</f>
        <v>0</v>
      </c>
      <c r="P10" s="7">
        <f>VLOOKUP($A10,[6]HISTOFEV23!$A$7:$AU$45,33,0)</f>
        <v>0</v>
      </c>
      <c r="Q10" s="7">
        <f t="shared" si="0"/>
        <v>0</v>
      </c>
      <c r="R10" s="7">
        <f>VLOOKUP($A10,[6]HISTOFEV23!$A$7:$AU$45,29,0)</f>
        <v>0</v>
      </c>
    </row>
    <row r="11" spans="1:18" x14ac:dyDescent="0.25">
      <c r="A11" s="1" t="s">
        <v>12</v>
      </c>
      <c r="B11" s="7">
        <f>IF(D11=0,0,VLOOKUP($A11,[6]HISTOFEV23!$A$6:$BO$40,10,0))</f>
        <v>1</v>
      </c>
      <c r="C11" s="1" t="str">
        <f>VLOOKUP(A11,[7]LISTADHERENT!A$5:H$60,3,0)</f>
        <v>DJUOMBESSY ANTOINE</v>
      </c>
      <c r="D11" s="7">
        <f t="shared" si="1"/>
        <v>25000</v>
      </c>
      <c r="E11" s="7">
        <f>D11+VLOOKUP($A11,[6]HISTOFEV23!$A$7:$AU$40,45,0)+F11</f>
        <v>45000</v>
      </c>
      <c r="F11" s="7">
        <f>VLOOKUP($A11,[6]HISTOFEV23!$A$7:$AU$45,7,0)</f>
        <v>0</v>
      </c>
      <c r="G11" s="7" t="str">
        <f>VLOOKUP($A11,[6]HISTOFEV23!$A$7:$AU$45,8,0)</f>
        <v>BANQUE</v>
      </c>
      <c r="H11" s="7">
        <f>VLOOKUP($A11,[6]HISTOFEV23!$A$6:$AU$45,35,0)</f>
        <v>0</v>
      </c>
      <c r="I11" s="7">
        <f>VLOOKUP($A11,[6]HISTOFEV23!$A$7:$AU$45,38,0)</f>
        <v>0</v>
      </c>
      <c r="J11" s="7">
        <f>IF(I11=0,0,VLOOKUP($A11,[6]HISTOFEV23!$A$7:$AU$45,42,0))</f>
        <v>0</v>
      </c>
      <c r="K11" s="7">
        <f>VLOOKUP($A11,[6]HISTOFEV23!$A$7:$AU$45,41,0)</f>
        <v>0</v>
      </c>
      <c r="L11" s="7">
        <f>TONTJANV23!H11+TONTJANV23!I11</f>
        <v>0</v>
      </c>
      <c r="M11" s="7">
        <f>VLOOKUP($A11,[6]HISTOFEV23!$A$7:$AU$45,16,0)</f>
        <v>0</v>
      </c>
      <c r="N11" s="7" t="str">
        <f>IF(M11&lt;&gt;0,VLOOKUP($A11,[6]HISTOFEV23!$A$7:$AU$45,8,0),"ECHEC")</f>
        <v>ECHEC</v>
      </c>
      <c r="O11" s="7">
        <f>IF(R11=0,0,VLOOKUP($A11,[6]HISTOFEV23!$A$7:$AU$45,32,0))</f>
        <v>0</v>
      </c>
      <c r="P11" s="7">
        <f>VLOOKUP($A11,[6]HISTOFEV23!$A$7:$AU$45,33,0)</f>
        <v>0</v>
      </c>
      <c r="Q11" s="7">
        <f t="shared" si="0"/>
        <v>0</v>
      </c>
      <c r="R11" s="7">
        <f>VLOOKUP($A11,[6]HISTOFEV23!$A$7:$AU$45,29,0)</f>
        <v>0</v>
      </c>
    </row>
    <row r="12" spans="1:18" x14ac:dyDescent="0.25">
      <c r="A12" s="1" t="s">
        <v>46</v>
      </c>
      <c r="B12" s="7">
        <f>IF(D12=0,0,VLOOKUP($A12,[6]HISTOFEV23!$A$6:$BO$40,10,0))</f>
        <v>1</v>
      </c>
      <c r="C12" s="1" t="str">
        <f>VLOOKUP(A12,[7]LISTADHERENT!A$5:H$60,3,0)</f>
        <v>DOMOU FABIEN</v>
      </c>
      <c r="D12" s="7">
        <f t="shared" si="1"/>
        <v>25000</v>
      </c>
      <c r="E12" s="7">
        <f>D12+VLOOKUP($A12,[6]HISTOFEV23!$A$7:$AU$40,45,0)+F12</f>
        <v>40000</v>
      </c>
      <c r="F12" s="7">
        <f>VLOOKUP($A12,[6]HISTOFEV23!$A$7:$AU$45,7,0)</f>
        <v>0</v>
      </c>
      <c r="G12" s="7" t="str">
        <f>VLOOKUP($A12,[6]HISTOFEV23!$A$7:$AU$45,8,0)</f>
        <v>ESPECES</v>
      </c>
      <c r="H12" s="7">
        <f>VLOOKUP($A12,[6]HISTOFEV23!$A$6:$AU$45,35,0)</f>
        <v>0</v>
      </c>
      <c r="I12" s="7">
        <f>VLOOKUP($A12,[6]HISTOFEV23!$A$7:$AU$45,38,0)</f>
        <v>0</v>
      </c>
      <c r="J12" s="7">
        <f>IF(I12=0,0,VLOOKUP($A12,[6]HISTOFEV23!$A$7:$AU$45,42,0))</f>
        <v>0</v>
      </c>
      <c r="K12" s="7">
        <f>VLOOKUP($A12,[6]HISTOFEV23!$A$7:$AU$45,41,0)</f>
        <v>0</v>
      </c>
      <c r="L12" s="7">
        <f>TONTJANV23!H12+TONTJANV23!I12</f>
        <v>0</v>
      </c>
      <c r="M12" s="7">
        <f>VLOOKUP($A12,[6]HISTOFEV23!$A$7:$AU$45,16,0)</f>
        <v>0</v>
      </c>
      <c r="N12" s="7" t="str">
        <f>IF(M12&lt;&gt;0,VLOOKUP($A12,[6]HISTOFEV23!$A$7:$AU$45,8,0),"ECHEC")</f>
        <v>ECHEC</v>
      </c>
      <c r="O12" s="7">
        <f>IF(R12=0,0,VLOOKUP($A12,[6]HISTOFEV23!$A$7:$AU$45,32,0))</f>
        <v>0</v>
      </c>
      <c r="P12" s="7">
        <f>VLOOKUP($A12,[6]HISTOFEV23!$A$7:$AU$45,33,0)</f>
        <v>0</v>
      </c>
      <c r="Q12" s="7">
        <f t="shared" si="0"/>
        <v>0</v>
      </c>
      <c r="R12" s="7">
        <f>VLOOKUP($A12,[6]HISTOFEV23!$A$7:$AU$45,29,0)</f>
        <v>0</v>
      </c>
    </row>
    <row r="13" spans="1:18" x14ac:dyDescent="0.25">
      <c r="A13" s="1" t="s">
        <v>13</v>
      </c>
      <c r="B13" s="7">
        <f>IF(D13=0,0,VLOOKUP($A13,[6]HISTOFEV23!$A$6:$BO$40,10,0))</f>
        <v>1</v>
      </c>
      <c r="C13" s="1" t="str">
        <f>VLOOKUP(A13,[7]LISTADHERENT!A$5:H$60,3,0)</f>
        <v>DONHOU DAVID</v>
      </c>
      <c r="D13" s="7">
        <f t="shared" si="1"/>
        <v>25000</v>
      </c>
      <c r="E13" s="7">
        <f>D13+VLOOKUP($A13,[6]HISTOFEV23!$A$7:$AU$40,45,0)+F13</f>
        <v>40000</v>
      </c>
      <c r="F13" s="7">
        <f>VLOOKUP($A13,[6]HISTOFEV23!$A$7:$AU$45,7,0)</f>
        <v>0</v>
      </c>
      <c r="G13" s="7" t="str">
        <f>VLOOKUP($A13,[6]HISTOFEV23!$A$7:$AU$45,8,0)</f>
        <v>BANQUE</v>
      </c>
      <c r="H13" s="7">
        <f>VLOOKUP($A13,[6]HISTOFEV23!$A$6:$AU$45,35,0)</f>
        <v>0</v>
      </c>
      <c r="I13" s="7">
        <f>VLOOKUP($A13,[6]HISTOFEV23!$A$7:$AU$45,38,0)</f>
        <v>0</v>
      </c>
      <c r="J13" s="7">
        <f>IF(I13=0,0,VLOOKUP($A13,[6]HISTOFEV23!$A$7:$AU$45,42,0))</f>
        <v>0</v>
      </c>
      <c r="K13" s="7">
        <f>VLOOKUP($A13,[6]HISTOFEV23!$A$7:$AU$45,41,0)</f>
        <v>0</v>
      </c>
      <c r="L13" s="7">
        <f>TONTJANV23!H13+TONTJANV23!I13</f>
        <v>0</v>
      </c>
      <c r="M13" s="7">
        <f>VLOOKUP($A13,[6]HISTOFEV23!$A$7:$AU$45,16,0)</f>
        <v>0</v>
      </c>
      <c r="N13" s="7" t="str">
        <f>IF(M13&lt;&gt;0,VLOOKUP($A13,[6]HISTOFEV23!$A$7:$AU$45,8,0),"ECHEC")</f>
        <v>ECHEC</v>
      </c>
      <c r="O13" s="7">
        <f>IF(R13=0,0,VLOOKUP($A13,[6]HISTOFEV23!$A$7:$AU$45,32,0))</f>
        <v>0</v>
      </c>
      <c r="P13" s="7">
        <f>VLOOKUP($A13,[6]HISTOFEV23!$A$7:$AU$45,33,0)</f>
        <v>0</v>
      </c>
      <c r="Q13" s="7">
        <f t="shared" si="0"/>
        <v>0</v>
      </c>
      <c r="R13" s="7">
        <f>VLOOKUP($A13,[6]HISTOFEV23!$A$7:$AU$45,29,0)</f>
        <v>0</v>
      </c>
    </row>
    <row r="14" spans="1:18" x14ac:dyDescent="0.25">
      <c r="A14" s="1" t="s">
        <v>14</v>
      </c>
      <c r="B14" s="7">
        <f>IF(D14=0,0,VLOOKUP($A14,[6]HISTOFEV23!$A$6:$BO$40,10,0))</f>
        <v>1</v>
      </c>
      <c r="C14" s="1" t="str">
        <f>VLOOKUP(A14,[7]LISTADHERENT!A$5:H$60,3,0)</f>
        <v>HENGUE PAUL OMER</v>
      </c>
      <c r="D14" s="7">
        <f t="shared" si="1"/>
        <v>25000</v>
      </c>
      <c r="E14" s="7">
        <f>D14+VLOOKUP($A14,[6]HISTOFEV23!$A$7:$AU$40,45,0)+F14</f>
        <v>40000</v>
      </c>
      <c r="F14" s="7">
        <f>VLOOKUP($A14,[6]HISTOFEV23!$A$7:$AU$45,7,0)</f>
        <v>0</v>
      </c>
      <c r="G14" s="7" t="str">
        <f>VLOOKUP($A14,[6]HISTOFEV23!$A$7:$AU$45,8,0)</f>
        <v>BANQUE</v>
      </c>
      <c r="H14" s="7">
        <f>VLOOKUP($A14,[6]HISTOFEV23!$A$6:$AU$45,35,0)</f>
        <v>0</v>
      </c>
      <c r="I14" s="7">
        <f>VLOOKUP($A14,[6]HISTOFEV23!$A$7:$AU$45,38,0)</f>
        <v>0</v>
      </c>
      <c r="J14" s="7">
        <f>IF(I14=0,0,VLOOKUP($A14,[6]HISTOFEV23!$A$7:$AU$45,42,0))</f>
        <v>0</v>
      </c>
      <c r="K14" s="7">
        <f>VLOOKUP($A14,[6]HISTOFEV23!$A$7:$AU$45,41,0)</f>
        <v>0</v>
      </c>
      <c r="L14" s="7">
        <f>TONTJANV23!H14+TONTJANV23!I14</f>
        <v>0</v>
      </c>
      <c r="M14" s="7">
        <f>VLOOKUP($A14,[6]HISTOFEV23!$A$7:$AU$45,16,0)</f>
        <v>0</v>
      </c>
      <c r="N14" s="7" t="str">
        <f>IF(M14&lt;&gt;0,VLOOKUP($A14,[6]HISTOFEV23!$A$7:$AU$45,8,0),"ECHEC")</f>
        <v>ECHEC</v>
      </c>
      <c r="O14" s="7">
        <f>IF(R14=0,0,VLOOKUP($A14,[6]HISTOFEV23!$A$7:$AU$45,32,0))</f>
        <v>0</v>
      </c>
      <c r="P14" s="7">
        <f>VLOOKUP($A14,[6]HISTOFEV23!$A$7:$AU$45,33,0)</f>
        <v>0</v>
      </c>
      <c r="Q14" s="7">
        <f t="shared" si="0"/>
        <v>0</v>
      </c>
      <c r="R14" s="7">
        <f>VLOOKUP($A14,[6]HISTOFEV23!$A$7:$AU$45,29,0)</f>
        <v>0</v>
      </c>
    </row>
    <row r="15" spans="1:18" x14ac:dyDescent="0.25">
      <c r="A15" s="1" t="s">
        <v>15</v>
      </c>
      <c r="B15" s="7">
        <f>IF(D15=0,0,VLOOKUP($A15,[6]HISTOFEV23!$A$6:$BO$40,10,0))</f>
        <v>1</v>
      </c>
      <c r="C15" s="1" t="str">
        <f>VLOOKUP(A15,[7]LISTADHERENT!A$5:H$60,3,0)</f>
        <v>HOTCHO BENJAMIN</v>
      </c>
      <c r="D15" s="7">
        <f t="shared" si="1"/>
        <v>25000</v>
      </c>
      <c r="E15" s="7">
        <f>D15+VLOOKUP($A15,[6]HISTOFEV23!$A$7:$AU$40,45,0)+F15</f>
        <v>75000</v>
      </c>
      <c r="F15" s="7">
        <f>VLOOKUP($A15,[6]HISTOFEV23!$A$7:$AU$45,7,0)</f>
        <v>0</v>
      </c>
      <c r="G15" s="7" t="str">
        <f>VLOOKUP($A15,[6]HISTOFEV23!$A$7:$AU$45,8,0)</f>
        <v>BANQUE</v>
      </c>
      <c r="H15" s="7">
        <f>VLOOKUP($A15,[6]HISTOFEV23!$A$6:$AU$45,35,0)</f>
        <v>0</v>
      </c>
      <c r="I15" s="7">
        <f>VLOOKUP($A15,[6]HISTOFEV23!$A$7:$AU$45,38,0)</f>
        <v>0</v>
      </c>
      <c r="J15" s="7">
        <f>IF(I15=0,0,VLOOKUP($A15,[6]HISTOFEV23!$A$7:$AU$45,42,0))</f>
        <v>0</v>
      </c>
      <c r="K15" s="7">
        <f>VLOOKUP($A15,[6]HISTOFEV23!$A$7:$AU$45,41,0)</f>
        <v>0</v>
      </c>
      <c r="L15" s="7">
        <f>TONTJANV23!H15+TONTJANV23!I15</f>
        <v>0</v>
      </c>
      <c r="M15" s="7">
        <f>VLOOKUP($A15,[6]HISTOFEV23!$A$7:$AU$45,16,0)</f>
        <v>0</v>
      </c>
      <c r="N15" s="7" t="str">
        <f>IF(M15&lt;&gt;0,VLOOKUP($A15,[6]HISTOFEV23!$A$7:$AU$45,8,0),"ECHEC")</f>
        <v>ECHEC</v>
      </c>
      <c r="O15" s="7">
        <f>IF(R15=0,0,VLOOKUP($A15,[6]HISTOFEV23!$A$7:$AU$45,32,0))</f>
        <v>0</v>
      </c>
      <c r="P15" s="7">
        <f>VLOOKUP($A15,[6]HISTOFEV23!$A$7:$AU$45,33,0)</f>
        <v>0</v>
      </c>
      <c r="Q15" s="7">
        <f t="shared" si="0"/>
        <v>0</v>
      </c>
      <c r="R15" s="7">
        <f>VLOOKUP($A15,[6]HISTOFEV23!$A$7:$AU$45,29,0)</f>
        <v>0</v>
      </c>
    </row>
    <row r="16" spans="1:18" x14ac:dyDescent="0.25">
      <c r="A16" s="1" t="s">
        <v>16</v>
      </c>
      <c r="B16" s="7">
        <f>IF(D16=0,0,VLOOKUP($A16,[6]HISTOFEV23!$A$6:$BO$40,10,0))</f>
        <v>1</v>
      </c>
      <c r="C16" s="1" t="str">
        <f>VLOOKUP(A16,[7]LISTADHERENT!A$5:H$60,3,0)</f>
        <v>KOUAMOU MOISE</v>
      </c>
      <c r="D16" s="7">
        <f t="shared" si="1"/>
        <v>25000</v>
      </c>
      <c r="E16" s="7">
        <f>D16+VLOOKUP($A16,[6]HISTOFEV23!$A$7:$AU$40,45,0)+F16</f>
        <v>40000</v>
      </c>
      <c r="F16" s="7">
        <f>VLOOKUP($A16,[6]HISTOFEV23!$A$7:$AU$45,7,0)</f>
        <v>0</v>
      </c>
      <c r="G16" s="7" t="str">
        <f>VLOOKUP($A16,[6]HISTOFEV23!$A$7:$AU$45,8,0)</f>
        <v>BANQUE</v>
      </c>
      <c r="H16" s="7">
        <f>VLOOKUP($A16,[6]HISTOFEV23!$A$6:$AU$45,35,0)</f>
        <v>0</v>
      </c>
      <c r="I16" s="7">
        <f>VLOOKUP($A16,[6]HISTOFEV23!$A$7:$AU$45,38,0)</f>
        <v>0</v>
      </c>
      <c r="J16" s="7">
        <f>IF(I16=0,0,VLOOKUP($A16,[6]HISTOFEV23!$A$7:$AU$45,42,0))</f>
        <v>0</v>
      </c>
      <c r="K16" s="7">
        <f>VLOOKUP($A16,[6]HISTOFEV23!$A$7:$AU$45,41,0)</f>
        <v>0</v>
      </c>
      <c r="L16" s="7">
        <f>TONTJANV23!H16+TONTJANV23!I16</f>
        <v>0</v>
      </c>
      <c r="M16" s="7">
        <f>VLOOKUP($A16,[6]HISTOFEV23!$A$7:$AU$45,16,0)</f>
        <v>0</v>
      </c>
      <c r="N16" s="7" t="str">
        <f>IF(M16&lt;&gt;0,VLOOKUP($A16,[6]HISTOFEV23!$A$7:$AU$45,8,0),"ECHEC")</f>
        <v>ECHEC</v>
      </c>
      <c r="O16" s="7" t="str">
        <f>IF(R16=0,0,VLOOKUP($A16,[6]HISTOFEV23!$A$7:$AU$45,32,0))</f>
        <v>BANQUE</v>
      </c>
      <c r="P16" s="7">
        <f>VLOOKUP($A16,[6]HISTOFEV23!$A$7:$AU$45,33,0)</f>
        <v>0</v>
      </c>
      <c r="Q16" s="7">
        <f t="shared" si="0"/>
        <v>293500</v>
      </c>
      <c r="R16" s="7">
        <f>VLOOKUP($A16,[6]HISTOFEV23!$A$7:$AU$45,29,0)</f>
        <v>6500</v>
      </c>
    </row>
    <row r="17" spans="1:18" x14ac:dyDescent="0.25">
      <c r="A17" s="1" t="s">
        <v>17</v>
      </c>
      <c r="B17" s="7">
        <f>IF(D17=0,0,VLOOKUP($A17,[6]HISTOFEV23!$A$6:$BO$40,10,0))</f>
        <v>1</v>
      </c>
      <c r="C17" s="1" t="str">
        <f>VLOOKUP(A17,[7]LISTADHERENT!A$5:H$60,3,0)</f>
        <v>KOUATCHO MESSACK</v>
      </c>
      <c r="D17" s="7">
        <f t="shared" si="1"/>
        <v>25000</v>
      </c>
      <c r="E17" s="7">
        <f>D17+VLOOKUP($A17,[6]HISTOFEV23!$A$7:$AU$40,45,0)+F17</f>
        <v>40000</v>
      </c>
      <c r="F17" s="7">
        <f>VLOOKUP($A17,[6]HISTOFEV23!$A$7:$AU$45,7,0)</f>
        <v>0</v>
      </c>
      <c r="G17" s="7" t="str">
        <f>VLOOKUP($A17,[6]HISTOFEV23!$A$7:$AU$45,8,0)</f>
        <v>BANQUE</v>
      </c>
      <c r="H17" s="7">
        <f>VLOOKUP($A17,[6]HISTOFEV23!$A$6:$AU$45,35,0)</f>
        <v>0</v>
      </c>
      <c r="I17" s="7">
        <f>VLOOKUP($A17,[6]HISTOFEV23!$A$7:$AU$45,38,0)</f>
        <v>0</v>
      </c>
      <c r="J17" s="7">
        <f>IF(I17=0,0,VLOOKUP($A17,[6]HISTOFEV23!$A$7:$AU$45,42,0))</f>
        <v>0</v>
      </c>
      <c r="K17" s="7">
        <f>VLOOKUP($A17,[6]HISTOFEV23!$A$7:$AU$45,41,0)</f>
        <v>0</v>
      </c>
      <c r="L17" s="7">
        <f>TONTJANV23!H17+TONTJANV23!I17</f>
        <v>0</v>
      </c>
      <c r="M17" s="7">
        <f>VLOOKUP($A17,[6]HISTOFEV23!$A$7:$AU$45,16,0)</f>
        <v>0</v>
      </c>
      <c r="N17" s="7" t="str">
        <f>IF(M17&lt;&gt;0,VLOOKUP($A17,[6]HISTOFEV23!$A$7:$AU$45,8,0),"ECHEC")</f>
        <v>ECHEC</v>
      </c>
      <c r="O17" s="7">
        <f>IF(R17=0,0,VLOOKUP($A17,[6]HISTOFEV23!$A$7:$AU$45,32,0))</f>
        <v>0</v>
      </c>
      <c r="P17" s="7">
        <f>VLOOKUP($A17,[6]HISTOFEV23!$A$7:$AU$45,33,0)</f>
        <v>0</v>
      </c>
      <c r="Q17" s="7">
        <f t="shared" si="0"/>
        <v>0</v>
      </c>
      <c r="R17" s="7">
        <f>VLOOKUP($A17,[6]HISTOFEV23!$A$7:$AU$45,29,0)</f>
        <v>0</v>
      </c>
    </row>
    <row r="18" spans="1:18" x14ac:dyDescent="0.25">
      <c r="A18" s="1" t="s">
        <v>18</v>
      </c>
      <c r="B18" s="7">
        <f>IF(D18=0,0,VLOOKUP($A18,[6]HISTOFEV23!$A$6:$BO$40,10,0))</f>
        <v>1</v>
      </c>
      <c r="C18" s="1" t="str">
        <f>VLOOKUP(A18,[7]LISTADHERENT!A$5:H$60,3,0)</f>
        <v>LOWE JEAN</v>
      </c>
      <c r="D18" s="7">
        <f t="shared" si="1"/>
        <v>25000</v>
      </c>
      <c r="E18" s="7">
        <f>D18+VLOOKUP($A18,[6]HISTOFEV23!$A$7:$AU$40,45,0)+F18</f>
        <v>40000</v>
      </c>
      <c r="F18" s="7">
        <f>VLOOKUP($A18,[6]HISTOFEV23!$A$7:$AU$45,7,0)</f>
        <v>0</v>
      </c>
      <c r="G18" s="7" t="str">
        <f>VLOOKUP($A18,[6]HISTOFEV23!$A$7:$AU$45,8,0)</f>
        <v>ESPECES</v>
      </c>
      <c r="H18" s="7">
        <f>VLOOKUP($A18,[6]HISTOFEV23!$A$6:$AU$45,35,0)</f>
        <v>0</v>
      </c>
      <c r="I18" s="7">
        <f>VLOOKUP($A18,[6]HISTOFEV23!$A$7:$AU$45,38,0)</f>
        <v>0</v>
      </c>
      <c r="J18" s="7">
        <f>IF(I18=0,0,VLOOKUP($A18,[6]HISTOFEV23!$A$7:$AU$45,42,0))</f>
        <v>0</v>
      </c>
      <c r="K18" s="7">
        <f>VLOOKUP($A18,[6]HISTOFEV23!$A$7:$AU$45,41,0)</f>
        <v>0</v>
      </c>
      <c r="L18" s="7">
        <f>TONTJANV23!H18+TONTJANV23!I18</f>
        <v>0</v>
      </c>
      <c r="M18" s="7">
        <f>VLOOKUP($A18,[6]HISTOFEV23!$A$7:$AU$45,16,0)</f>
        <v>0</v>
      </c>
      <c r="N18" s="7" t="str">
        <f>IF(M18&lt;&gt;0,VLOOKUP($A18,[6]HISTOFEV23!$A$7:$AU$45,8,0),"ECHEC")</f>
        <v>ECHEC</v>
      </c>
      <c r="O18" s="7">
        <f>IF(R18=0,0,VLOOKUP($A18,[6]HISTOFEV23!$A$7:$AU$45,32,0))</f>
        <v>0</v>
      </c>
      <c r="P18" s="7">
        <f>VLOOKUP($A18,[6]HISTOFEV23!$A$7:$AU$45,33,0)</f>
        <v>0</v>
      </c>
      <c r="Q18" s="7">
        <f t="shared" si="0"/>
        <v>0</v>
      </c>
      <c r="R18" s="7">
        <f>VLOOKUP($A18,[6]HISTOFEV23!$A$7:$AU$45,29,0)</f>
        <v>0</v>
      </c>
    </row>
    <row r="19" spans="1:18" x14ac:dyDescent="0.25">
      <c r="A19" s="1" t="s">
        <v>45</v>
      </c>
      <c r="B19" s="7">
        <f>IF(D19=0,0,VLOOKUP($A19,[6]HISTOFEV23!$A$6:$BO$40,10,0))</f>
        <v>1</v>
      </c>
      <c r="C19" s="1" t="str">
        <f>VLOOKUP(A19,[7]LISTADHERENT!A$5:H$60,3,0)</f>
        <v>MBOGNING TUGMA GUY</v>
      </c>
      <c r="D19" s="7">
        <f t="shared" si="1"/>
        <v>25000</v>
      </c>
      <c r="E19" s="7">
        <f>D19+VLOOKUP($A19,[6]HISTOFEV23!$A$7:$AU$40,45,0)+F19</f>
        <v>40000</v>
      </c>
      <c r="F19" s="7">
        <f>VLOOKUP($A19,[6]HISTOFEV23!$A$7:$AU$45,7,0)</f>
        <v>0</v>
      </c>
      <c r="G19" s="7" t="str">
        <f>VLOOKUP($A19,[6]HISTOFEV23!$A$7:$AU$45,8,0)</f>
        <v>BANQUE</v>
      </c>
      <c r="H19" s="7">
        <f>VLOOKUP($A19,[6]HISTOFEV23!$A$6:$AU$45,35,0)</f>
        <v>31500</v>
      </c>
      <c r="I19" s="7">
        <f>VLOOKUP($A19,[6]HISTOFEV23!$A$7:$AU$45,38,0)</f>
        <v>1000</v>
      </c>
      <c r="J19" s="7" t="str">
        <f>IF(I19=0,0,VLOOKUP($A19,[6]HISTOFEV23!$A$7:$AU$45,42,0))</f>
        <v>BANQUE</v>
      </c>
      <c r="K19" s="7">
        <f>VLOOKUP($A19,[6]HISTOFEV23!$A$7:$AU$45,41,0)</f>
        <v>0</v>
      </c>
      <c r="L19" s="7">
        <f>TONTJANV23!H19+TONTJANV23!I19</f>
        <v>0</v>
      </c>
      <c r="M19" s="7">
        <f>VLOOKUP($A19,[6]HISTOFEV23!$A$7:$AU$45,16,0)</f>
        <v>0</v>
      </c>
      <c r="N19" s="7" t="str">
        <f>IF(M19&lt;&gt;0,VLOOKUP($A19,[6]HISTOFEV23!$A$7:$AU$45,8,0),"ECHEC")</f>
        <v>ECHEC</v>
      </c>
      <c r="O19" s="7">
        <f>IF(R19=0,0,VLOOKUP($A19,[6]HISTOFEV23!$A$7:$AU$45,32,0))</f>
        <v>0</v>
      </c>
      <c r="P19" s="7">
        <f>VLOOKUP($A19,[6]HISTOFEV23!$A$7:$AU$45,33,0)</f>
        <v>0</v>
      </c>
      <c r="Q19" s="7">
        <f t="shared" si="0"/>
        <v>0</v>
      </c>
      <c r="R19" s="7">
        <f>VLOOKUP($A19,[6]HISTOFEV23!$A$7:$AU$45,29,0)</f>
        <v>0</v>
      </c>
    </row>
    <row r="20" spans="1:18" x14ac:dyDescent="0.25">
      <c r="A20" s="1" t="s">
        <v>26</v>
      </c>
      <c r="B20" s="7">
        <f>IF(D20=0,0,VLOOKUP($A20,[6]HISTOFEV23!$A$6:$BO$40,10,0))</f>
        <v>1</v>
      </c>
      <c r="C20" s="1" t="str">
        <f>VLOOKUP(A20,[7]LISTADHERENT!A$5:H$60,3,0)</f>
        <v>NANGUEN MARTIN</v>
      </c>
      <c r="D20" s="7">
        <f t="shared" si="1"/>
        <v>25000</v>
      </c>
      <c r="E20" s="7">
        <f>D20+VLOOKUP($A20,[6]HISTOFEV23!$A$7:$AU$40,45,0)+F20</f>
        <v>40000</v>
      </c>
      <c r="F20" s="7">
        <f>VLOOKUP($A20,[6]HISTOFEV23!$A$7:$AU$45,7,0)</f>
        <v>0</v>
      </c>
      <c r="G20" s="7" t="str">
        <f>VLOOKUP($A20,[6]HISTOFEV23!$A$7:$AU$45,8,0)</f>
        <v>BANQUE</v>
      </c>
      <c r="H20" s="7">
        <f>VLOOKUP($A20,[6]HISTOFEV23!$A$6:$AU$45,35,0)</f>
        <v>0</v>
      </c>
      <c r="I20" s="7">
        <f>VLOOKUP($A20,[6]HISTOFEV23!$A$7:$AU$45,38,0)</f>
        <v>0</v>
      </c>
      <c r="J20" s="7">
        <f>IF(I20=0,0,VLOOKUP($A20,[6]HISTOFEV23!$A$7:$AU$45,42,0))</f>
        <v>0</v>
      </c>
      <c r="K20" s="7">
        <f>VLOOKUP($A20,[6]HISTOFEV23!$A$7:$AU$45,41,0)</f>
        <v>0</v>
      </c>
      <c r="L20" s="7">
        <f>TONTJANV23!H20+TONTJANV23!I20</f>
        <v>0</v>
      </c>
      <c r="M20" s="7">
        <f>VLOOKUP($A20,[6]HISTOFEV23!$A$7:$AU$45,16,0)</f>
        <v>0</v>
      </c>
      <c r="N20" s="7" t="str">
        <f>IF(M20&lt;&gt;0,VLOOKUP($A20,[6]HISTOFEV23!$A$7:$AU$45,8,0),"ECHEC")</f>
        <v>ECHEC</v>
      </c>
      <c r="O20" s="7">
        <f>IF(R20=0,0,VLOOKUP($A20,[6]HISTOFEV23!$A$7:$AU$45,32,0))</f>
        <v>0</v>
      </c>
      <c r="P20" s="7">
        <f>VLOOKUP($A20,[6]HISTOFEV23!$A$7:$AU$45,33,0)</f>
        <v>0</v>
      </c>
      <c r="Q20" s="7">
        <f t="shared" si="0"/>
        <v>0</v>
      </c>
      <c r="R20" s="7">
        <f>VLOOKUP($A20,[6]HISTOFEV23!$A$7:$AU$45,29,0)</f>
        <v>0</v>
      </c>
    </row>
    <row r="21" spans="1:18" x14ac:dyDescent="0.25">
      <c r="A21" s="1" t="s">
        <v>19</v>
      </c>
      <c r="B21" s="7">
        <f>IF(D21=0,0,VLOOKUP($A21,[6]HISTOFEV23!$A$6:$BO$40,10,0))</f>
        <v>1</v>
      </c>
      <c r="C21" s="1" t="str">
        <f>VLOOKUP(A21,[7]LISTADHERENT!A$5:H$60,3,0)</f>
        <v>NANKAM APPOLINAIRE</v>
      </c>
      <c r="D21" s="7">
        <f t="shared" si="1"/>
        <v>25000</v>
      </c>
      <c r="E21" s="7">
        <f>D21+VLOOKUP($A21,[6]HISTOFEV23!$A$7:$AU$40,45,0)+F21</f>
        <v>40000</v>
      </c>
      <c r="F21" s="7">
        <f>VLOOKUP($A21,[6]HISTOFEV23!$A$7:$AU$45,7,0)</f>
        <v>0</v>
      </c>
      <c r="G21" s="7" t="str">
        <f>VLOOKUP($A21,[6]HISTOFEV23!$A$7:$AU$45,8,0)</f>
        <v>BANQUE</v>
      </c>
      <c r="H21" s="7">
        <f>VLOOKUP($A21,[6]HISTOFEV23!$A$6:$AU$45,35,0)</f>
        <v>0</v>
      </c>
      <c r="I21" s="7">
        <f>VLOOKUP($A21,[6]HISTOFEV23!$A$7:$AU$45,38,0)</f>
        <v>0</v>
      </c>
      <c r="J21" s="7">
        <f>IF(I21=0,0,VLOOKUP($A21,[6]HISTOFEV23!$A$7:$AU$45,42,0))</f>
        <v>0</v>
      </c>
      <c r="K21" s="7">
        <f>VLOOKUP($A21,[6]HISTOFEV23!$A$7:$AU$45,41,0)</f>
        <v>0</v>
      </c>
      <c r="L21" s="7">
        <f>TONTJANV23!H21+TONTJANV23!I21</f>
        <v>0</v>
      </c>
      <c r="M21" s="7">
        <f>VLOOKUP($A21,[6]HISTOFEV23!$A$7:$AU$45,16,0)</f>
        <v>0</v>
      </c>
      <c r="N21" s="7" t="str">
        <f>IF(M21&lt;&gt;0,VLOOKUP($A21,[6]HISTOFEV23!$A$7:$AU$45,8,0),"ECHEC")</f>
        <v>ECHEC</v>
      </c>
      <c r="O21" s="7">
        <f>IF(R21=0,0,VLOOKUP($A21,[6]HISTOFEV23!$A$7:$AU$45,32,0))</f>
        <v>0</v>
      </c>
      <c r="P21" s="7">
        <f>VLOOKUP($A21,[6]HISTOFEV23!$A$7:$AU$45,33,0)</f>
        <v>0</v>
      </c>
      <c r="Q21" s="7">
        <f t="shared" si="0"/>
        <v>0</v>
      </c>
      <c r="R21" s="7">
        <f>VLOOKUP($A21,[6]HISTOFEV23!$A$7:$AU$45,29,0)</f>
        <v>0</v>
      </c>
    </row>
    <row r="22" spans="1:18" x14ac:dyDescent="0.25">
      <c r="A22" s="1" t="s">
        <v>20</v>
      </c>
      <c r="B22" s="7">
        <f>IF(D22=0,0,VLOOKUP($A22,[6]HISTOFEV23!$A$6:$BO$40,10,0))</f>
        <v>1</v>
      </c>
      <c r="C22" s="1" t="str">
        <f>VLOOKUP(A22,[7]LISTADHERENT!A$5:H$60,3,0)</f>
        <v>NDJOMO ETIENNE</v>
      </c>
      <c r="D22" s="7">
        <f t="shared" si="1"/>
        <v>25000</v>
      </c>
      <c r="E22" s="7">
        <f>D22+VLOOKUP($A22,[6]HISTOFEV23!$A$7:$AU$40,45,0)+F22</f>
        <v>50000</v>
      </c>
      <c r="F22" s="7">
        <f>VLOOKUP($A22,[6]HISTOFEV23!$A$7:$AU$45,7,0)</f>
        <v>0</v>
      </c>
      <c r="G22" s="7" t="str">
        <f>VLOOKUP($A22,[6]HISTOFEV23!$A$7:$AU$45,8,0)</f>
        <v>BANQUE</v>
      </c>
      <c r="H22" s="7">
        <f>VLOOKUP($A22,[6]HISTOFEV23!$A$6:$AU$45,35,0)</f>
        <v>0</v>
      </c>
      <c r="I22" s="7">
        <f>VLOOKUP($A22,[6]HISTOFEV23!$A$7:$AU$45,38,0)</f>
        <v>0</v>
      </c>
      <c r="J22" s="7">
        <f>IF(I22=0,0,VLOOKUP($A22,[6]HISTOFEV23!$A$7:$AU$45,42,0))</f>
        <v>0</v>
      </c>
      <c r="K22" s="7">
        <f>VLOOKUP($A22,[6]HISTOFEV23!$A$7:$AU$45,41,0)</f>
        <v>0</v>
      </c>
      <c r="L22" s="7">
        <f>TONTJANV23!H22+TONTJANV23!I22</f>
        <v>0</v>
      </c>
      <c r="M22" s="7">
        <f>VLOOKUP($A22,[6]HISTOFEV23!$A$7:$AU$45,16,0)</f>
        <v>0</v>
      </c>
      <c r="N22" s="7" t="str">
        <f>IF(M22&lt;&gt;0,VLOOKUP($A22,[6]HISTOFEV23!$A$7:$AU$45,8,0),"ECHEC")</f>
        <v>ECHEC</v>
      </c>
      <c r="O22" s="7">
        <f>IF(R22=0,0,VLOOKUP($A22,[6]HISTOFEV23!$A$7:$AU$45,32,0))</f>
        <v>0</v>
      </c>
      <c r="P22" s="7">
        <f>VLOOKUP($A22,[6]HISTOFEV23!$A$7:$AU$45,33,0)</f>
        <v>0</v>
      </c>
      <c r="Q22" s="7">
        <f t="shared" si="0"/>
        <v>0</v>
      </c>
      <c r="R22" s="7">
        <f>VLOOKUP($A22,[6]HISTOFEV23!$A$7:$AU$45,29,0)</f>
        <v>0</v>
      </c>
    </row>
    <row r="23" spans="1:18" x14ac:dyDescent="0.25">
      <c r="A23" s="1" t="s">
        <v>21</v>
      </c>
      <c r="B23" s="7">
        <f>IF(D23=0,0,VLOOKUP($A23,[6]HISTOFEV23!$A$6:$BO$40,10,0))</f>
        <v>1</v>
      </c>
      <c r="C23" s="1" t="str">
        <f>VLOOKUP(A23,[7]LISTADHERENT!A$5:H$60,3,0)</f>
        <v>NGONDIEP CLAUDE</v>
      </c>
      <c r="D23" s="7">
        <f t="shared" si="1"/>
        <v>25000</v>
      </c>
      <c r="E23" s="7">
        <f>D23+VLOOKUP($A23,[6]HISTOFEV23!$A$7:$AU$40,45,0)+F23</f>
        <v>40000</v>
      </c>
      <c r="F23" s="7">
        <f>VLOOKUP($A23,[6]HISTOFEV23!$A$7:$AU$45,7,0)</f>
        <v>0</v>
      </c>
      <c r="G23" s="7" t="str">
        <f>VLOOKUP($A23,[6]HISTOFEV23!$A$7:$AU$45,8,0)</f>
        <v>BANQUE</v>
      </c>
      <c r="H23" s="7">
        <f>VLOOKUP($A23,[6]HISTOFEV23!$A$6:$AU$45,35,0)</f>
        <v>0</v>
      </c>
      <c r="I23" s="7">
        <f>VLOOKUP($A23,[6]HISTOFEV23!$A$7:$AU$45,38,0)</f>
        <v>0</v>
      </c>
      <c r="J23" s="7">
        <f>IF(I23=0,0,VLOOKUP($A23,[6]HISTOFEV23!$A$7:$AU$45,42,0))</f>
        <v>0</v>
      </c>
      <c r="K23" s="7">
        <f>VLOOKUP($A23,[6]HISTOFEV23!$A$7:$AU$45,41,0)</f>
        <v>0</v>
      </c>
      <c r="L23" s="7">
        <f>TONTJANV23!H23+TONTJANV23!I23</f>
        <v>26000</v>
      </c>
      <c r="M23" s="7">
        <f>VLOOKUP($A23,[6]HISTOFEV23!$A$7:$AU$45,16,0)</f>
        <v>26000</v>
      </c>
      <c r="N23" s="7" t="str">
        <f>IF(M23&lt;&gt;0,VLOOKUP($A23,[6]HISTOFEV23!$A$7:$AU$45,8,0),"ECHEC")</f>
        <v>BANQUE</v>
      </c>
      <c r="O23" s="7">
        <f>IF(R23=0,0,VLOOKUP($A23,[6]HISTOFEV23!$A$7:$AU$45,32,0))</f>
        <v>0</v>
      </c>
      <c r="P23" s="7">
        <f>VLOOKUP($A23,[6]HISTOFEV23!$A$7:$AU$45,33,0)</f>
        <v>0</v>
      </c>
      <c r="Q23" s="7">
        <f t="shared" si="0"/>
        <v>0</v>
      </c>
      <c r="R23" s="7">
        <f>VLOOKUP($A23,[6]HISTOFEV23!$A$7:$AU$45,29,0)</f>
        <v>0</v>
      </c>
    </row>
    <row r="24" spans="1:18" x14ac:dyDescent="0.25">
      <c r="A24" s="1" t="s">
        <v>22</v>
      </c>
      <c r="B24" s="7">
        <f>IF(D24=0,0,VLOOKUP($A24,[6]HISTOFEV23!$A$6:$BO$40,10,0))</f>
        <v>1</v>
      </c>
      <c r="C24" s="1" t="str">
        <f>VLOOKUP(A24,[7]LISTADHERENT!A$5:H$60,3,0)</f>
        <v>NGUIEMEGNI MATHIEU BLAISE</v>
      </c>
      <c r="D24" s="7">
        <f t="shared" si="1"/>
        <v>25000</v>
      </c>
      <c r="E24" s="7">
        <f>D24+VLOOKUP($A24,[6]HISTOFEV23!$A$7:$AU$40,45,0)+F24</f>
        <v>40000</v>
      </c>
      <c r="F24" s="7">
        <f>VLOOKUP($A24,[6]HISTOFEV23!$A$7:$AU$45,7,0)</f>
        <v>0</v>
      </c>
      <c r="G24" s="7" t="str">
        <f>VLOOKUP($A24,[6]HISTOFEV23!$A$7:$AU$45,8,0)</f>
        <v>BANQUE</v>
      </c>
      <c r="H24" s="7">
        <f>VLOOKUP($A24,[6]HISTOFEV23!$A$6:$AU$45,35,0)</f>
        <v>0</v>
      </c>
      <c r="I24" s="7">
        <f>VLOOKUP($A24,[6]HISTOFEV23!$A$7:$AU$45,38,0)</f>
        <v>0</v>
      </c>
      <c r="J24" s="7">
        <f>IF(I24=0,0,VLOOKUP($A24,[6]HISTOFEV23!$A$7:$AU$45,42,0))</f>
        <v>0</v>
      </c>
      <c r="K24" s="7">
        <f>VLOOKUP($A24,[6]HISTOFEV23!$A$7:$AU$45,41,0)</f>
        <v>0</v>
      </c>
      <c r="L24" s="7">
        <f>TONTJANV23!H24+TONTJANV23!I24</f>
        <v>31000</v>
      </c>
      <c r="M24" s="7">
        <f>VLOOKUP($A24,[6]HISTOFEV23!$A$7:$AU$45,16,0)</f>
        <v>31000</v>
      </c>
      <c r="N24" s="7" t="str">
        <f>IF(M24&lt;&gt;0,VLOOKUP($A24,[6]HISTOFEV23!$A$7:$AU$45,8,0),"ECHEC")</f>
        <v>BANQUE</v>
      </c>
      <c r="O24" s="7" t="str">
        <f>IF(R24=0,0,VLOOKUP($A24,[6]HISTOFEV23!$A$7:$AU$45,32,0))</f>
        <v>BANQUE</v>
      </c>
      <c r="P24" s="7">
        <f>VLOOKUP($A24,[6]HISTOFEV23!$A$7:$AU$45,33,0)</f>
        <v>0</v>
      </c>
      <c r="Q24" s="7">
        <f t="shared" si="0"/>
        <v>292500</v>
      </c>
      <c r="R24" s="7">
        <f>VLOOKUP($A24,[6]HISTOFEV23!$A$7:$AU$45,29,0)</f>
        <v>7500</v>
      </c>
    </row>
    <row r="25" spans="1:18" x14ac:dyDescent="0.25">
      <c r="A25" s="1" t="s">
        <v>23</v>
      </c>
      <c r="B25" s="7">
        <f>IF(D25=0,0,VLOOKUP($A25,[6]HISTOFEV23!$A$6:$BO$40,10,0))</f>
        <v>1</v>
      </c>
      <c r="C25" s="1" t="str">
        <f>VLOOKUP(A25,[7]LISTADHERENT!A$5:H$60,3,0)</f>
        <v>NKAMGANG JUSTIN DEJOLIE</v>
      </c>
      <c r="D25" s="7">
        <f t="shared" si="1"/>
        <v>25000</v>
      </c>
      <c r="E25" s="7">
        <f>D25+VLOOKUP($A25,[6]HISTOFEV23!$A$7:$AU$40,45,0)+F25</f>
        <v>40000</v>
      </c>
      <c r="F25" s="7">
        <f>VLOOKUP($A25,[6]HISTOFEV23!$A$7:$AU$45,7,0)</f>
        <v>0</v>
      </c>
      <c r="G25" s="7" t="str">
        <f>VLOOKUP($A25,[6]HISTOFEV23!$A$7:$AU$45,8,0)</f>
        <v>ESPECES</v>
      </c>
      <c r="H25" s="7">
        <f>VLOOKUP($A25,[6]HISTOFEV23!$A$6:$AU$45,35,0)</f>
        <v>40000</v>
      </c>
      <c r="I25" s="7">
        <f>VLOOKUP($A25,[6]HISTOFEV23!$A$7:$AU$45,38,0)</f>
        <v>1000</v>
      </c>
      <c r="J25" s="7" t="str">
        <f>IF(I25=0,0,VLOOKUP($A25,[6]HISTOFEV23!$A$7:$AU$45,42,0))</f>
        <v>BANQUE</v>
      </c>
      <c r="K25" s="7">
        <f>VLOOKUP($A25,[6]HISTOFEV23!$A$7:$AU$45,41,0)</f>
        <v>0</v>
      </c>
      <c r="L25" s="7">
        <f>TONTJANV23!H25+TONTJANV23!I25</f>
        <v>62000</v>
      </c>
      <c r="M25" s="7">
        <f>VLOOKUP($A25,[6]HISTOFEV23!$A$7:$AU$45,16,0)</f>
        <v>62000</v>
      </c>
      <c r="N25" s="7" t="str">
        <f>IF(M25&lt;&gt;0,VLOOKUP($A25,[6]HISTOFEV23!$A$7:$AU$45,8,0),"ECHEC")</f>
        <v>ESPECES</v>
      </c>
      <c r="O25" s="7" t="str">
        <f>IF(R25=0,0,VLOOKUP($A25,[6]HISTOFEV23!$A$7:$AU$45,32,0))</f>
        <v>BANQUE</v>
      </c>
      <c r="P25" s="7">
        <f>VLOOKUP($A25,[6]HISTOFEV23!$A$7:$AU$45,33,0)</f>
        <v>0</v>
      </c>
      <c r="Q25" s="7">
        <f t="shared" si="0"/>
        <v>296500</v>
      </c>
      <c r="R25" s="7">
        <f>VLOOKUP($A25,[6]HISTOFEV23!$A$7:$AU$45,29,0)</f>
        <v>3500</v>
      </c>
    </row>
    <row r="26" spans="1:18" x14ac:dyDescent="0.25">
      <c r="A26" s="1" t="s">
        <v>86</v>
      </c>
      <c r="B26" s="7">
        <f>IF(D26=0,0,VLOOKUP($A26,[6]HISTOFEV23!$A$6:$BO$40,10,0))</f>
        <v>1</v>
      </c>
      <c r="C26" s="1" t="str">
        <f>VLOOKUP(A26,[7]LISTADHERENT!A$5:H$60,3,0)</f>
        <v>NOUBE ETIENNE</v>
      </c>
      <c r="D26" s="7">
        <f t="shared" si="1"/>
        <v>25000</v>
      </c>
      <c r="E26" s="7">
        <f>D26+VLOOKUP($A26,[6]HISTOFEV23!$A$7:$AU$40,45,0)+F26</f>
        <v>40000</v>
      </c>
      <c r="F26" s="7">
        <f>VLOOKUP($A26,[6]HISTOFEV23!$A$7:$AU$45,7,0)</f>
        <v>0</v>
      </c>
      <c r="G26" s="7" t="str">
        <f>VLOOKUP($A26,[6]HISTOFEV23!$A$7:$AU$45,8,0)</f>
        <v>BANQUE</v>
      </c>
      <c r="H26" s="7">
        <f>VLOOKUP($A26,[6]HISTOFEV23!$A$6:$AU$45,35,0)</f>
        <v>0</v>
      </c>
      <c r="I26" s="7">
        <f>VLOOKUP($A26,[6]HISTOFEV23!$A$7:$AU$45,38,0)</f>
        <v>0</v>
      </c>
      <c r="J26" s="7">
        <f>IF(I26=0,0,VLOOKUP($A26,[6]HISTOFEV23!$A$7:$AU$45,42,0))</f>
        <v>0</v>
      </c>
      <c r="K26" s="7">
        <f>VLOOKUP($A26,[6]HISTOFEV23!$A$7:$AU$45,41,0)</f>
        <v>0</v>
      </c>
      <c r="L26" s="7">
        <f>TONTJANV23!H26+TONTJANV23!I26</f>
        <v>0</v>
      </c>
      <c r="M26" s="7">
        <f>VLOOKUP($A26,[6]HISTOFEV23!$A$7:$AU$45,16,0)</f>
        <v>0</v>
      </c>
      <c r="N26" s="7" t="str">
        <f>IF(M26&lt;&gt;0,VLOOKUP($A26,[6]HISTOFEV23!$A$7:$AU$45,8,0),"ECHEC")</f>
        <v>ECHEC</v>
      </c>
      <c r="O26" s="7">
        <f>IF(R26=0,0,VLOOKUP($A26,[6]HISTOFEV23!$A$7:$AU$45,32,0))</f>
        <v>0</v>
      </c>
      <c r="P26" s="7">
        <f>VLOOKUP($A26,[6]HISTOFEV23!$A$7:$AU$45,33,0)</f>
        <v>0</v>
      </c>
      <c r="Q26" s="7">
        <f t="shared" si="0"/>
        <v>0</v>
      </c>
      <c r="R26" s="7">
        <f>VLOOKUP($A26,[6]HISTOFEV23!$A$7:$AU$45,29,0)</f>
        <v>0</v>
      </c>
    </row>
    <row r="27" spans="1:18" x14ac:dyDescent="0.25">
      <c r="A27" s="1" t="s">
        <v>24</v>
      </c>
      <c r="B27" s="7">
        <f>IF(D27=0,0,VLOOKUP($A27,[6]HISTOFEV23!$A$6:$BO$40,10,0))</f>
        <v>1</v>
      </c>
      <c r="C27" s="1" t="str">
        <f>VLOOKUP(A27,[7]LISTADHERENT!A$5:H$60,3,0)</f>
        <v>PATEGO NJOSSU GUSTAVE</v>
      </c>
      <c r="D27" s="7">
        <f t="shared" si="1"/>
        <v>25000</v>
      </c>
      <c r="E27" s="7">
        <f>D27+VLOOKUP($A27,[6]HISTOFEV23!$A$7:$AU$40,45,0)+F27</f>
        <v>40000</v>
      </c>
      <c r="F27" s="7">
        <f>VLOOKUP($A27,[6]HISTOFEV23!$A$7:$AU$45,7,0)</f>
        <v>0</v>
      </c>
      <c r="G27" s="7" t="str">
        <f>VLOOKUP($A27,[6]HISTOFEV23!$A$7:$AU$45,8,0)</f>
        <v>BANQUE</v>
      </c>
      <c r="H27" s="7">
        <f>VLOOKUP($A27,[6]HISTOFEV23!$A$6:$AU$45,35,0)</f>
        <v>0</v>
      </c>
      <c r="I27" s="7">
        <f>VLOOKUP($A27,[6]HISTOFEV23!$A$7:$AU$45,38,0)</f>
        <v>0</v>
      </c>
      <c r="J27" s="7">
        <f>IF(I27=0,0,VLOOKUP($A27,[6]HISTOFEV23!$A$7:$AU$45,42,0))</f>
        <v>0</v>
      </c>
      <c r="K27" s="7">
        <f>VLOOKUP($A27,[6]HISTOFEV23!$A$7:$AU$45,41,0)</f>
        <v>0</v>
      </c>
      <c r="L27" s="7">
        <f>TONTJANV23!H27+TONTJANV23!I27</f>
        <v>0</v>
      </c>
      <c r="M27" s="7">
        <f>VLOOKUP($A27,[6]HISTOFEV23!$A$7:$AU$45,16,0)</f>
        <v>0</v>
      </c>
      <c r="N27" s="7" t="str">
        <f>IF(M27&lt;&gt;0,VLOOKUP($A27,[6]HISTOFEV23!$A$7:$AU$45,8,0),"ECHEC")</f>
        <v>ECHEC</v>
      </c>
      <c r="O27" s="7">
        <f>IF(R27=0,0,VLOOKUP($A27,[6]HISTOFEV23!$A$7:$AU$45,32,0))</f>
        <v>0</v>
      </c>
      <c r="P27" s="7">
        <f>VLOOKUP($A27,[6]HISTOFEV23!$A$7:$AU$45,33,0)</f>
        <v>0</v>
      </c>
      <c r="Q27" s="7">
        <f t="shared" si="0"/>
        <v>0</v>
      </c>
      <c r="R27" s="7">
        <f>VLOOKUP($A27,[6]HISTOFEV23!$A$7:$AU$45,29,0)</f>
        <v>0</v>
      </c>
    </row>
    <row r="28" spans="1:18" x14ac:dyDescent="0.25">
      <c r="A28" s="1" t="s">
        <v>87</v>
      </c>
      <c r="B28" s="7">
        <f>IF(D28=0,0,VLOOKUP($A28,[6]HISTOFEV23!$A$6:$BO$40,10,0))</f>
        <v>1</v>
      </c>
      <c r="C28" s="1" t="str">
        <f>VLOOKUP(A28,[7]LISTADHERENT!A$5:H$60,3,0)</f>
        <v>SEUMO POLYCARPE</v>
      </c>
      <c r="D28" s="7">
        <f t="shared" si="1"/>
        <v>25000</v>
      </c>
      <c r="E28" s="7">
        <f>D28+VLOOKUP($A28,[6]HISTOFEV23!$A$7:$AU$40,45,0)+F28</f>
        <v>40000</v>
      </c>
      <c r="F28" s="7">
        <f>VLOOKUP($A28,[6]HISTOFEV23!$A$7:$AU$45,7,0)</f>
        <v>0</v>
      </c>
      <c r="G28" s="7" t="str">
        <f>VLOOKUP($A28,[6]HISTOFEV23!$A$7:$AU$45,8,0)</f>
        <v>BANQUE</v>
      </c>
      <c r="H28" s="7">
        <f>VLOOKUP($A28,[6]HISTOFEV23!$A$6:$AU$45,35,0)</f>
        <v>0</v>
      </c>
      <c r="I28" s="7">
        <f>VLOOKUP($A28,[6]HISTOFEV23!$A$7:$AU$45,38,0)</f>
        <v>0</v>
      </c>
      <c r="J28" s="7">
        <f>IF(I28=0,0,VLOOKUP($A28,[6]HISTOFEV23!$A$7:$AU$45,42,0))</f>
        <v>0</v>
      </c>
      <c r="K28" s="7">
        <f>VLOOKUP($A28,[6]HISTOFEV23!$A$7:$AU$45,41,0)</f>
        <v>0</v>
      </c>
      <c r="L28" s="7">
        <f>TONTJANV23!H28+TONTJANV23!I28</f>
        <v>0</v>
      </c>
      <c r="M28" s="7">
        <f>VLOOKUP($A28,[6]HISTOFEV23!$A$7:$AU$45,16,0)</f>
        <v>0</v>
      </c>
      <c r="N28" s="7" t="str">
        <f>IF(M28&lt;&gt;0,VLOOKUP($A28,[6]HISTOFEV23!$A$7:$AU$45,8,0),"ECHEC")</f>
        <v>ECHEC</v>
      </c>
      <c r="O28" s="7">
        <f>IF(R28=0,0,VLOOKUP($A28,[6]HISTOFEV23!$A$7:$AU$45,32,0))</f>
        <v>0</v>
      </c>
      <c r="P28" s="7">
        <f>VLOOKUP($A28,[6]HISTOFEV23!$A$7:$AU$45,33,0)</f>
        <v>0</v>
      </c>
      <c r="Q28" s="7">
        <f t="shared" si="0"/>
        <v>0</v>
      </c>
      <c r="R28" s="7">
        <f>VLOOKUP($A28,[6]HISTOFEV23!$A$7:$AU$45,29,0)</f>
        <v>0</v>
      </c>
    </row>
    <row r="29" spans="1:18" x14ac:dyDescent="0.25">
      <c r="A29" s="1" t="s">
        <v>47</v>
      </c>
      <c r="B29" s="7">
        <f>IF(D29=0,0,VLOOKUP($A29,[6]HISTOFEV23!$A$6:$BO$40,10,0))</f>
        <v>1</v>
      </c>
      <c r="C29" s="1" t="str">
        <f>VLOOKUP(A29,[7]LISTADHERENT!A$5:H$60,3,0)</f>
        <v>SIME BRICE</v>
      </c>
      <c r="D29" s="7">
        <f t="shared" si="1"/>
        <v>25000</v>
      </c>
      <c r="E29" s="7">
        <f>D29+VLOOKUP($A29,[6]HISTOFEV23!$A$7:$AU$40,45,0)+F29</f>
        <v>40000</v>
      </c>
      <c r="F29" s="7">
        <f>VLOOKUP($A29,[6]HISTOFEV23!$A$7:$AU$45,7,0)</f>
        <v>0</v>
      </c>
      <c r="G29" s="7" t="str">
        <f>VLOOKUP($A29,[6]HISTOFEV23!$A$7:$AU$45,8,0)</f>
        <v>BANQUE</v>
      </c>
      <c r="H29" s="7">
        <f>VLOOKUP($A29,[6]HISTOFEV23!$A$6:$AU$45,35,0)</f>
        <v>0</v>
      </c>
      <c r="I29" s="7">
        <f>VLOOKUP($A29,[6]HISTOFEV23!$A$7:$AU$45,38,0)</f>
        <v>0</v>
      </c>
      <c r="J29" s="7">
        <f>IF(I29=0,0,VLOOKUP($A29,[6]HISTOFEV23!$A$7:$AU$45,42,0))</f>
        <v>0</v>
      </c>
      <c r="K29" s="7">
        <f>VLOOKUP($A29,[6]HISTOFEV23!$A$7:$AU$45,41,0)</f>
        <v>0</v>
      </c>
      <c r="L29" s="7">
        <f>TONTJANV23!H29+TONTJANV23!I29</f>
        <v>0</v>
      </c>
      <c r="M29" s="7">
        <f>VLOOKUP($A29,[6]HISTOFEV23!$A$7:$AU$45,16,0)</f>
        <v>0</v>
      </c>
      <c r="N29" s="7" t="str">
        <f>IF(M29&lt;&gt;0,VLOOKUP($A29,[6]HISTOFEV23!$A$7:$AU$45,8,0),"ECHEC")</f>
        <v>ECHEC</v>
      </c>
      <c r="O29" s="7">
        <f>IF(R29=0,0,VLOOKUP($A29,[6]HISTOFEV23!$A$7:$AU$45,32,0))</f>
        <v>0</v>
      </c>
      <c r="P29" s="7">
        <f>VLOOKUP($A29,[6]HISTOFEV23!$A$7:$AU$45,33,0)</f>
        <v>0</v>
      </c>
      <c r="Q29" s="7">
        <f t="shared" si="0"/>
        <v>0</v>
      </c>
      <c r="R29" s="7">
        <f>VLOOKUP($A29,[6]HISTOFEV23!$A$7:$AU$45,29,0)</f>
        <v>0</v>
      </c>
    </row>
    <row r="30" spans="1:18" x14ac:dyDescent="0.25">
      <c r="A30" s="1" t="s">
        <v>25</v>
      </c>
      <c r="B30" s="7">
        <f>IF(D30=0,0,VLOOKUP($A30,[6]HISTOFEV23!$A$6:$BO$40,10,0))</f>
        <v>1</v>
      </c>
      <c r="C30" s="1" t="str">
        <f>VLOOKUP(A30,[7]LISTADHERENT!A$5:H$60,3,0)</f>
        <v>SIMO PIERRE</v>
      </c>
      <c r="D30" s="7">
        <f t="shared" si="1"/>
        <v>25000</v>
      </c>
      <c r="E30" s="7">
        <f>D30+VLOOKUP($A30,[6]HISTOFEV23!$A$7:$AU$40,45,0)+F30</f>
        <v>40000</v>
      </c>
      <c r="F30" s="7">
        <f>VLOOKUP($A30,[6]HISTOFEV23!$A$7:$AU$45,7,0)</f>
        <v>0</v>
      </c>
      <c r="G30" s="7" t="str">
        <f>VLOOKUP($A30,[6]HISTOFEV23!$A$7:$AU$45,8,0)</f>
        <v>ESPECES</v>
      </c>
      <c r="H30" s="7">
        <f>VLOOKUP($A30,[6]HISTOFEV23!$A$6:$AU$45,35,0)</f>
        <v>0</v>
      </c>
      <c r="I30" s="7">
        <f>VLOOKUP($A30,[6]HISTOFEV23!$A$7:$AU$45,38,0)</f>
        <v>0</v>
      </c>
      <c r="J30" s="7">
        <f>IF(I30=0,0,VLOOKUP($A30,[6]HISTOFEV23!$A$7:$AU$45,42,0))</f>
        <v>0</v>
      </c>
      <c r="K30" s="7">
        <f>VLOOKUP($A30,[6]HISTOFEV23!$A$7:$AU$45,41,0)</f>
        <v>0</v>
      </c>
      <c r="L30" s="7">
        <f>TONTJANV23!H30+TONTJANV23!I30</f>
        <v>0</v>
      </c>
      <c r="M30" s="7">
        <f>VLOOKUP($A30,[6]HISTOFEV23!$A$7:$AU$45,16,0)</f>
        <v>0</v>
      </c>
      <c r="N30" s="7" t="str">
        <f>IF(M30&lt;&gt;0,VLOOKUP($A30,[6]HISTOFEV23!$A$7:$AU$45,8,0),"ECHEC")</f>
        <v>ECHEC</v>
      </c>
      <c r="O30" s="7">
        <f>IF(R30=0,0,VLOOKUP($A30,[6]HISTOFEV23!$A$7:$AU$45,32,0))</f>
        <v>0</v>
      </c>
      <c r="P30" s="7">
        <f>VLOOKUP($A30,[6]HISTOFEV23!$A$7:$AU$45,33,0)</f>
        <v>0</v>
      </c>
      <c r="Q30" s="7">
        <f t="shared" si="0"/>
        <v>0</v>
      </c>
      <c r="R30" s="7">
        <f>VLOOKUP($A30,[6]HISTOFEV23!$A$7:$AU$45,29,0)</f>
        <v>0</v>
      </c>
    </row>
    <row r="31" spans="1:18" x14ac:dyDescent="0.25">
      <c r="A31" s="1" t="s">
        <v>27</v>
      </c>
      <c r="B31" s="7">
        <f>IF(D31=0,0,VLOOKUP($A31,[6]HISTOFEV23!$A$6:$BO$40,10,0))</f>
        <v>1</v>
      </c>
      <c r="C31" s="1" t="str">
        <f>VLOOKUP(A31,[7]LISTADHERENT!A$5:H$60,3,0)</f>
        <v>TCHOUAMOU MATHIEU</v>
      </c>
      <c r="D31" s="7">
        <f t="shared" si="1"/>
        <v>25000</v>
      </c>
      <c r="E31" s="7">
        <f>D31+VLOOKUP($A31,[6]HISTOFEV23!$A$7:$AU$40,45,0)+F31</f>
        <v>40000</v>
      </c>
      <c r="F31" s="7">
        <f>VLOOKUP($A31,[6]HISTOFEV23!$A$7:$AU$45,7,0)</f>
        <v>0</v>
      </c>
      <c r="G31" s="7" t="str">
        <f>VLOOKUP($A31,[6]HISTOFEV23!$A$7:$AU$45,8,0)</f>
        <v>BANQUE</v>
      </c>
      <c r="H31" s="7">
        <f>VLOOKUP($A31,[6]HISTOFEV23!$A$6:$AU$45,35,0)</f>
        <v>0</v>
      </c>
      <c r="I31" s="7">
        <f>VLOOKUP($A31,[6]HISTOFEV23!$A$7:$AU$45,38,0)</f>
        <v>0</v>
      </c>
      <c r="J31" s="7">
        <f>IF(I31=0,0,VLOOKUP($A31,[6]HISTOFEV23!$A$7:$AU$45,42,0))</f>
        <v>0</v>
      </c>
      <c r="K31" s="7">
        <f>VLOOKUP($A31,[6]HISTOFEV23!$A$7:$AU$45,41,0)</f>
        <v>0</v>
      </c>
      <c r="L31" s="7">
        <f>TONTJANV23!H31+TONTJANV23!I31</f>
        <v>0</v>
      </c>
      <c r="M31" s="7">
        <f>VLOOKUP($A31,[6]HISTOFEV23!$A$7:$AU$45,16,0)</f>
        <v>0</v>
      </c>
      <c r="N31" s="7" t="str">
        <f>IF(M31&lt;&gt;0,VLOOKUP($A31,[6]HISTOFEV23!$A$7:$AU$45,8,0),"ECHEC")</f>
        <v>ECHEC</v>
      </c>
      <c r="O31" s="7">
        <f>IF(R31=0,0,VLOOKUP($A31,[6]HISTOFEV23!$A$7:$AU$45,32,0))</f>
        <v>0</v>
      </c>
      <c r="P31" s="7">
        <f>VLOOKUP($A31,[6]HISTOFEV23!$A$7:$AU$45,33,0)</f>
        <v>0</v>
      </c>
      <c r="Q31" s="7">
        <f t="shared" si="0"/>
        <v>0</v>
      </c>
      <c r="R31" s="7">
        <f>VLOOKUP($A31,[6]HISTOFEV23!$A$7:$AU$45,29,0)</f>
        <v>0</v>
      </c>
    </row>
    <row r="32" spans="1:18" x14ac:dyDescent="0.25">
      <c r="A32" s="1" t="s">
        <v>88</v>
      </c>
      <c r="B32" s="7">
        <f>IF(D32=0,0,VLOOKUP($A32,[6]HISTOFEV23!$A$6:$BO$40,10,0))</f>
        <v>1</v>
      </c>
      <c r="C32" s="1" t="str">
        <f>VLOOKUP(A32,[7]LISTADHERENT!A$5:H$60,3,0)</f>
        <v>TCHOUTOU NANA CLAUDE</v>
      </c>
      <c r="D32" s="7">
        <f t="shared" si="1"/>
        <v>25000</v>
      </c>
      <c r="E32" s="7">
        <f>D32+VLOOKUP($A32,[6]HISTOFEV23!$A$7:$AU$40,45,0)+F32</f>
        <v>40000</v>
      </c>
      <c r="F32" s="7">
        <f>VLOOKUP($A32,[6]HISTOFEV23!$A$7:$AU$45,7,0)</f>
        <v>0</v>
      </c>
      <c r="G32" s="7" t="str">
        <f>VLOOKUP($A32,[6]HISTOFEV23!$A$7:$AU$45,8,0)</f>
        <v>ESPECES</v>
      </c>
      <c r="H32" s="7">
        <f>VLOOKUP($A32,[6]HISTOFEV23!$A$6:$AU$45,35,0)</f>
        <v>0</v>
      </c>
      <c r="I32" s="7">
        <f>VLOOKUP($A32,[6]HISTOFEV23!$A$7:$AU$45,38,0)</f>
        <v>0</v>
      </c>
      <c r="J32" s="7">
        <f>IF(I32=0,0,VLOOKUP($A32,[6]HISTOFEV23!$A$7:$AU$45,42,0))</f>
        <v>0</v>
      </c>
      <c r="K32" s="7">
        <f>VLOOKUP($A32,[6]HISTOFEV23!$A$7:$AU$45,41,0)</f>
        <v>0</v>
      </c>
      <c r="L32" s="7">
        <f>TONTJANV23!H32+TONTJANV23!I32</f>
        <v>0</v>
      </c>
      <c r="M32" s="7">
        <f>VLOOKUP($A32,[6]HISTOFEV23!$A$7:$AU$45,16,0)</f>
        <v>0</v>
      </c>
      <c r="N32" s="7" t="str">
        <f>IF(M32&lt;&gt;0,VLOOKUP($A32,[6]HISTOFEV23!$A$7:$AU$45,8,0),"ECHEC")</f>
        <v>ECHEC</v>
      </c>
      <c r="O32" s="7">
        <f>IF(R32=0,0,VLOOKUP($A32,[6]HISTOFEV23!$A$7:$AU$45,32,0))</f>
        <v>0</v>
      </c>
      <c r="P32" s="7">
        <f>VLOOKUP($A32,[6]HISTOFEV23!$A$7:$AU$45,33,0)</f>
        <v>0</v>
      </c>
      <c r="Q32" s="7">
        <f t="shared" si="0"/>
        <v>0</v>
      </c>
      <c r="R32" s="7">
        <f>VLOOKUP($A32,[6]HISTOFEV23!$A$7:$AU$45,29,0)</f>
        <v>0</v>
      </c>
    </row>
    <row r="33" spans="1:18" x14ac:dyDescent="0.25">
      <c r="A33" s="1" t="s">
        <v>90</v>
      </c>
      <c r="B33" s="7">
        <f>IF(D33=0,0,VLOOKUP($A33,[6]HISTOFEV23!$A$6:$BO$40,10,0))</f>
        <v>1</v>
      </c>
      <c r="C33" s="1" t="str">
        <f>VLOOKUP(A33,[7]LISTADHERENT!A$5:H$60,3,0)</f>
        <v>YANTCHOU GERVAIS</v>
      </c>
      <c r="D33" s="7">
        <f t="shared" si="1"/>
        <v>25000</v>
      </c>
      <c r="E33" s="7">
        <f>D33+VLOOKUP($A33,[6]HISTOFEV23!$A$7:$AU$40,45,0)+F33</f>
        <v>40000</v>
      </c>
      <c r="F33" s="7">
        <f>VLOOKUP($A33,[6]HISTOFEV23!$A$7:$AU$45,7,0)</f>
        <v>0</v>
      </c>
      <c r="G33" s="7" t="str">
        <f>VLOOKUP($A33,[6]HISTOFEV23!$A$7:$AU$45,8,0)</f>
        <v>BANQUE</v>
      </c>
      <c r="H33" s="7">
        <f>VLOOKUP($A33,[6]HISTOFEV23!$A$6:$AU$45,35,0)</f>
        <v>0</v>
      </c>
      <c r="I33" s="7">
        <f>VLOOKUP($A33,[6]HISTOFEV23!$A$7:$AU$45,38,0)</f>
        <v>0</v>
      </c>
      <c r="J33" s="7">
        <f>IF(I33=0,0,VLOOKUP($A33,[6]HISTOFEV23!$A$7:$AU$45,42,0))</f>
        <v>0</v>
      </c>
      <c r="K33" s="7">
        <f>VLOOKUP($A33,[6]HISTOFEV23!$A$7:$AU$45,41,0)</f>
        <v>0</v>
      </c>
      <c r="L33" s="7">
        <f>TONTJANV23!H33+TONTJANV23!I33</f>
        <v>0</v>
      </c>
      <c r="M33" s="7">
        <f>VLOOKUP($A33,[6]HISTOFEV23!$A$7:$AU$45,16,0)</f>
        <v>0</v>
      </c>
      <c r="N33" s="7" t="str">
        <f>IF(M33&lt;&gt;0,VLOOKUP($A33,[6]HISTOFEV23!$A$7:$AU$45,8,0),"ECHEC")</f>
        <v>ECHEC</v>
      </c>
      <c r="O33" s="7">
        <f>IF(R33=0,0,VLOOKUP($A33,[6]HISTOFEV23!$A$7:$AU$45,32,0))</f>
        <v>0</v>
      </c>
      <c r="P33" s="7">
        <f>VLOOKUP($A33,[6]HISTOFEV23!$A$7:$AU$45,33,0)</f>
        <v>0</v>
      </c>
      <c r="Q33" s="7">
        <f t="shared" si="0"/>
        <v>0</v>
      </c>
      <c r="R33" s="7">
        <f>VLOOKUP($A33,[6]HISTOFEV23!$A$7:$AU$45,29,0)</f>
        <v>0</v>
      </c>
    </row>
    <row r="34" spans="1:18" x14ac:dyDescent="0.25">
      <c r="A34" s="1" t="s">
        <v>28</v>
      </c>
      <c r="B34" s="7">
        <f>IF(D34=0,0,VLOOKUP($A34,[6]HISTOFEV23!$A$6:$BO$40,10,0))</f>
        <v>1</v>
      </c>
      <c r="C34" s="1" t="str">
        <f>VLOOKUP(A34,[7]LISTADHERENT!A$5:H$60,3,0)</f>
        <v>YEPMOU JEAN JACQUES</v>
      </c>
      <c r="D34" s="7">
        <f t="shared" si="1"/>
        <v>25000</v>
      </c>
      <c r="E34" s="7">
        <f>D34+VLOOKUP($A34,[6]HISTOFEV23!$A$7:$AU$40,45,0)+F34</f>
        <v>40000</v>
      </c>
      <c r="F34" s="7">
        <f>VLOOKUP($A34,[6]HISTOFEV23!$A$7:$AU$45,7,0)</f>
        <v>0</v>
      </c>
      <c r="G34" s="7" t="str">
        <f>VLOOKUP($A34,[6]HISTOFEV23!$A$7:$AU$45,8,0)</f>
        <v>BANQUE</v>
      </c>
      <c r="H34" s="7">
        <f>VLOOKUP($A34,[6]HISTOFEV23!$A$6:$AU$45,35,0)</f>
        <v>0</v>
      </c>
      <c r="I34" s="7">
        <f>VLOOKUP($A34,[6]HISTOFEV23!$A$7:$AU$45,38,0)</f>
        <v>0</v>
      </c>
      <c r="J34" s="7">
        <f>IF(I34=0,0,VLOOKUP($A34,[6]HISTOFEV23!$A$7:$AU$45,42,0))</f>
        <v>0</v>
      </c>
      <c r="K34" s="7">
        <f>VLOOKUP($A34,[6]HISTOFEV23!$A$7:$AU$45,41,0)</f>
        <v>0</v>
      </c>
      <c r="L34" s="7">
        <f>TONTJANV23!H34+TONTJANV23!I34</f>
        <v>0</v>
      </c>
      <c r="M34" s="7">
        <f>VLOOKUP($A34,[6]HISTOFEV23!$A$7:$AU$45,16,0)</f>
        <v>0</v>
      </c>
      <c r="N34" s="7" t="str">
        <f>IF(M34&lt;&gt;0,VLOOKUP($A34,[6]HISTOFEV23!$A$7:$AU$45,8,0),"ECHEC")</f>
        <v>ECHEC</v>
      </c>
      <c r="O34" s="7">
        <f>IF(R34=0,0,VLOOKUP($A34,[6]HISTOFEV23!$A$7:$AU$45,32,0))</f>
        <v>0</v>
      </c>
      <c r="P34" s="7">
        <f>VLOOKUP($A34,[6]HISTOFEV23!$A$7:$AU$45,33,0)</f>
        <v>0</v>
      </c>
      <c r="Q34" s="7">
        <f t="shared" si="0"/>
        <v>0</v>
      </c>
      <c r="R34" s="7">
        <f>VLOOKUP($A34,[6]HISTOFEV23!$A$7:$AU$45,29,0)</f>
        <v>0</v>
      </c>
    </row>
    <row r="35" spans="1:18" x14ac:dyDescent="0.25">
      <c r="A35" s="1" t="s">
        <v>29</v>
      </c>
      <c r="B35" s="7">
        <f>IF(D35=0,0,VLOOKUP($A35,[6]HISTOFEV23!$A$6:$BO$40,10,0))</f>
        <v>1</v>
      </c>
      <c r="C35" s="1" t="str">
        <f>VLOOKUP(A35,[7]LISTADHERENT!A$5:H$60,3,0)</f>
        <v>YOUMBI EMMANUEL</v>
      </c>
      <c r="D35" s="7">
        <f t="shared" si="1"/>
        <v>25000</v>
      </c>
      <c r="E35" s="7">
        <f>D35+VLOOKUP($A35,[6]HISTOFEV23!$A$7:$AU$40,45,0)+F35</f>
        <v>40000</v>
      </c>
      <c r="F35" s="7">
        <f>VLOOKUP($A35,[6]HISTOFEV23!$A$7:$AU$45,7,0)</f>
        <v>0</v>
      </c>
      <c r="G35" s="7" t="str">
        <f>VLOOKUP($A35,[6]HISTOFEV23!$A$7:$AU$45,8,0)</f>
        <v>BANQUE</v>
      </c>
      <c r="H35" s="7">
        <f>VLOOKUP($A35,[6]HISTOFEV23!$A$6:$AU$45,35,0)</f>
        <v>0</v>
      </c>
      <c r="I35" s="7">
        <f>VLOOKUP($A35,[6]HISTOFEV23!$A$7:$AU$45,38,0)</f>
        <v>0</v>
      </c>
      <c r="J35" s="7">
        <f>IF(I35=0,0,VLOOKUP($A35,[6]HISTOFEV23!$A$7:$AU$45,42,0))</f>
        <v>0</v>
      </c>
      <c r="K35" s="7">
        <f>VLOOKUP($A35,[6]HISTOFEV23!$A$7:$AU$45,41,0)</f>
        <v>0</v>
      </c>
      <c r="L35" s="7">
        <f>TONTJANV23!H35+TONTJANV23!I35</f>
        <v>0</v>
      </c>
      <c r="M35" s="7">
        <f>VLOOKUP($A35,[6]HISTOFEV23!$A$7:$AU$45,16,0)</f>
        <v>0</v>
      </c>
      <c r="N35" s="7" t="str">
        <f>IF(M35&lt;&gt;0,VLOOKUP($A35,[6]HISTOFEV23!$A$7:$AU$45,8,0),"ECHEC")</f>
        <v>ECHEC</v>
      </c>
      <c r="O35" s="7">
        <f>IF(R35=0,0,VLOOKUP($A35,[6]HISTOFEV23!$A$7:$AU$45,32,0))</f>
        <v>0</v>
      </c>
      <c r="P35" s="7">
        <f>VLOOKUP($A35,[6]HISTOFEV23!$A$7:$AU$45,33,0)</f>
        <v>0</v>
      </c>
      <c r="Q35" s="7">
        <f t="shared" si="0"/>
        <v>0</v>
      </c>
      <c r="R35" s="7">
        <f>VLOOKUP($A35,[6]HISTOFEV23!$A$7:$AU$45,29,0)</f>
        <v>0</v>
      </c>
    </row>
    <row r="36" spans="1:18" x14ac:dyDescent="0.25">
      <c r="A36" s="1"/>
    </row>
    <row r="37" spans="1:18" ht="18" x14ac:dyDescent="0.25">
      <c r="A37" s="1" t="s">
        <v>84</v>
      </c>
      <c r="B37" s="8">
        <f>SUM(B6:B36)</f>
        <v>30</v>
      </c>
      <c r="I37" s="9"/>
    </row>
    <row r="38" spans="1:18" ht="18" x14ac:dyDescent="0.25">
      <c r="A38" s="1" t="s">
        <v>83</v>
      </c>
      <c r="B38" s="16">
        <f>COUNT(D6:D35)</f>
        <v>30</v>
      </c>
      <c r="C38" s="8"/>
      <c r="D38" s="8">
        <f>SUM(D6:D37)</f>
        <v>750000</v>
      </c>
      <c r="E38" s="8">
        <f>SUM(E6:E37)</f>
        <v>1258000</v>
      </c>
      <c r="F38" s="8">
        <f>SUM(F6:F37)</f>
        <v>0</v>
      </c>
      <c r="G38" s="8"/>
      <c r="H38" s="8">
        <f t="shared" ref="H38:R38" si="2">SUM(H6:H37)</f>
        <v>111500</v>
      </c>
      <c r="I38" s="8">
        <f t="shared" si="2"/>
        <v>3000</v>
      </c>
      <c r="J38" s="8"/>
      <c r="K38" s="8"/>
      <c r="L38" s="8">
        <f t="shared" si="2"/>
        <v>244000</v>
      </c>
      <c r="M38" s="8">
        <f t="shared" si="2"/>
        <v>244000</v>
      </c>
      <c r="N38" s="8">
        <f t="shared" si="2"/>
        <v>0</v>
      </c>
      <c r="O38" s="8">
        <f t="shared" si="2"/>
        <v>0</v>
      </c>
      <c r="P38" s="8">
        <f t="shared" si="2"/>
        <v>0</v>
      </c>
      <c r="Q38" s="8">
        <f t="shared" si="2"/>
        <v>882500</v>
      </c>
      <c r="R38" s="8">
        <f t="shared" si="2"/>
        <v>17500</v>
      </c>
    </row>
    <row r="39" spans="1:18" s="2" customFormat="1" x14ac:dyDescent="0.25">
      <c r="B39"/>
      <c r="C39"/>
      <c r="D39"/>
      <c r="E39"/>
      <c r="F39"/>
      <c r="G39"/>
      <c r="H39"/>
      <c r="I39" s="9"/>
      <c r="J39" s="3"/>
      <c r="K39" s="3"/>
      <c r="L39" s="3"/>
      <c r="N39" s="4" t="s">
        <v>76</v>
      </c>
      <c r="O39" s="4" t="s">
        <v>85</v>
      </c>
      <c r="P39" s="3"/>
    </row>
    <row r="40" spans="1:18" s="2" customFormat="1" ht="29.25" x14ac:dyDescent="0.25">
      <c r="D40" s="4" t="s">
        <v>5</v>
      </c>
      <c r="E40" s="4" t="s">
        <v>7</v>
      </c>
      <c r="F40"/>
      <c r="G40" s="4" t="s">
        <v>36</v>
      </c>
      <c r="H40" s="4" t="s">
        <v>40</v>
      </c>
      <c r="I40" s="4" t="s">
        <v>42</v>
      </c>
      <c r="J40" s="4" t="s">
        <v>43</v>
      </c>
      <c r="K40" s="4"/>
      <c r="L40" s="8" t="s">
        <v>49</v>
      </c>
      <c r="M40" s="8">
        <f>D44+G44+R38+TONTJANV23!O45</f>
        <v>1011500</v>
      </c>
      <c r="N40" s="4"/>
      <c r="O40"/>
      <c r="P40" s="4"/>
    </row>
    <row r="41" spans="1:18" s="2" customFormat="1" ht="18" x14ac:dyDescent="0.25">
      <c r="D41" s="8">
        <f>SUMIFS(D6:D37,G6:G37,"ESPECES")</f>
        <v>150000</v>
      </c>
      <c r="E41" s="8">
        <f>SUMIFS(E6:E37,G6:G37,"ESPECES")</f>
        <v>240000</v>
      </c>
      <c r="F41" s="8" t="s">
        <v>32</v>
      </c>
      <c r="G41" s="8">
        <f>SUMIFS(M6:M35,N6:N35,"ESPECES")</f>
        <v>62000</v>
      </c>
      <c r="H41" s="8">
        <f>SUMIFS(H6:H37,J6:J37,"ESPECES")</f>
        <v>0</v>
      </c>
      <c r="I41" s="8">
        <f>SUMIFS(Q6:Q37,O6:O37,"ESPECES")</f>
        <v>0</v>
      </c>
      <c r="J41" s="8">
        <f>D41+G41-H41-I41</f>
        <v>212000</v>
      </c>
      <c r="K41" s="8"/>
      <c r="L41" s="8" t="s">
        <v>80</v>
      </c>
      <c r="M41" s="8">
        <f>C3*COUNTIF(Q6:Q37,"&gt;0")</f>
        <v>900000</v>
      </c>
      <c r="N41" s="8">
        <f>D3</f>
        <v>3</v>
      </c>
      <c r="O41" s="8">
        <f>COUNTIF(Q6:Q35,"&gt;0")</f>
        <v>3</v>
      </c>
      <c r="P41" s="8"/>
    </row>
    <row r="42" spans="1:18" s="2" customFormat="1" ht="18" x14ac:dyDescent="0.25">
      <c r="D42" s="8">
        <f>SUMIFS(D6:D37,G6:G37,"BANQUE")</f>
        <v>600000</v>
      </c>
      <c r="E42" s="8">
        <f>SUMIFS(E6:E38,G6:G38,"BANQUE")</f>
        <v>1018000</v>
      </c>
      <c r="F42" s="8" t="s">
        <v>33</v>
      </c>
      <c r="G42" s="8">
        <f>SUMIFS(M6:M35,N6:N35,"BANQUE")</f>
        <v>182000</v>
      </c>
      <c r="H42" s="8">
        <f>SUMIFS(H6:H37,J6:J37,"BANQUE")</f>
        <v>111500</v>
      </c>
      <c r="I42" s="8">
        <f>SUMIFS(Q6:Q37,O6:O37,"BANQUE")</f>
        <v>882500</v>
      </c>
      <c r="J42" s="8">
        <f>D42+G42-H42-I42</f>
        <v>-212000</v>
      </c>
      <c r="K42" s="8"/>
      <c r="M42" s="8"/>
      <c r="N42" s="8"/>
      <c r="O42" s="8"/>
      <c r="P42" s="8"/>
    </row>
    <row r="43" spans="1:18" s="2" customFormat="1" ht="18" x14ac:dyDescent="0.25">
      <c r="D43" s="8"/>
      <c r="E43" s="8"/>
      <c r="F43" s="8"/>
      <c r="G43" s="8"/>
      <c r="H43" s="8"/>
      <c r="I43" s="8"/>
      <c r="K43" s="8"/>
      <c r="L43" s="8" t="s">
        <v>48</v>
      </c>
      <c r="M43" s="8">
        <f>M40-M41</f>
        <v>111500</v>
      </c>
      <c r="N43" s="8"/>
      <c r="O43" s="8"/>
      <c r="P43" s="8"/>
    </row>
    <row r="44" spans="1:18" s="2" customFormat="1" ht="18" x14ac:dyDescent="0.25">
      <c r="D44" s="8">
        <f>D41+D42</f>
        <v>750000</v>
      </c>
      <c r="E44" s="8">
        <f>E41+E42</f>
        <v>1258000</v>
      </c>
      <c r="F44" s="8" t="s">
        <v>30</v>
      </c>
      <c r="G44" s="8">
        <f>G41+G42</f>
        <v>244000</v>
      </c>
      <c r="H44" s="8">
        <f>H41+H42</f>
        <v>111500</v>
      </c>
      <c r="I44" s="8">
        <f t="shared" ref="I44:J44" si="3">I41+I42</f>
        <v>882500</v>
      </c>
      <c r="J44" s="8">
        <f t="shared" si="3"/>
        <v>0</v>
      </c>
      <c r="K44" s="8"/>
      <c r="M44" s="8"/>
      <c r="N44" s="8"/>
      <c r="O44" s="8"/>
      <c r="P44" s="8"/>
    </row>
    <row r="45" spans="1:18" s="2" customFormat="1" ht="18" x14ac:dyDescent="0.25">
      <c r="D45" s="8"/>
      <c r="E45" s="8"/>
      <c r="F45" s="8" t="s">
        <v>52</v>
      </c>
      <c r="G45"/>
      <c r="H45"/>
      <c r="I45" s="3"/>
      <c r="J45" s="3"/>
      <c r="K45" s="3"/>
      <c r="L45" s="8" t="s">
        <v>51</v>
      </c>
      <c r="M45" s="8">
        <f>M43-H38</f>
        <v>0</v>
      </c>
      <c r="N45"/>
      <c r="O45" s="8">
        <f>TONTFEV23!M45</f>
        <v>0</v>
      </c>
      <c r="P45" s="8" t="s">
        <v>54</v>
      </c>
    </row>
    <row r="46" spans="1:18" s="2" customFormat="1" ht="18" x14ac:dyDescent="0.25">
      <c r="D46" s="4"/>
      <c r="E46" s="4"/>
      <c r="F46" s="8"/>
      <c r="G46"/>
      <c r="H46"/>
      <c r="I46" s="3"/>
      <c r="J46" s="3"/>
      <c r="K46" s="3"/>
      <c r="N46"/>
      <c r="O46" s="3"/>
      <c r="P46" s="3"/>
    </row>
    <row r="47" spans="1:18" ht="18" x14ac:dyDescent="0.25">
      <c r="L47" s="8" t="s">
        <v>56</v>
      </c>
      <c r="M47" s="8">
        <f>COUNTIFS(G6:G36,"ECHEC")*25000</f>
        <v>0</v>
      </c>
      <c r="O47" s="8">
        <f>TONTFEV23!M47</f>
        <v>0</v>
      </c>
      <c r="P47" s="8" t="s">
        <v>54</v>
      </c>
    </row>
    <row r="48" spans="1:18" ht="18" x14ac:dyDescent="0.25">
      <c r="F48" s="2"/>
      <c r="L48" s="8" t="s">
        <v>55</v>
      </c>
      <c r="M48" s="8">
        <f>L38-G44</f>
        <v>0</v>
      </c>
      <c r="O48" s="8">
        <f>TONTFEV23!M48</f>
        <v>0</v>
      </c>
      <c r="P48" s="8" t="s">
        <v>54</v>
      </c>
    </row>
  </sheetData>
  <autoFilter ref="A5:R25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"/>
  <sheetViews>
    <sheetView workbookViewId="0">
      <pane xSplit="3" ySplit="5" topLeftCell="G36" activePane="bottomRight" state="frozen"/>
      <selection activeCell="O49" sqref="O49"/>
      <selection pane="topRight" activeCell="O49" sqref="O49"/>
      <selection pane="bottomLeft" activeCell="O49" sqref="O49"/>
      <selection pane="bottomRight" activeCell="O45" sqref="O45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5" width="21" customWidth="1"/>
    <col min="6" max="6" width="21.42578125" customWidth="1"/>
    <col min="7" max="7" width="16.7109375" customWidth="1"/>
    <col min="8" max="8" width="15" customWidth="1"/>
    <col min="9" max="10" width="17.5703125" style="3" customWidth="1"/>
    <col min="11" max="11" width="16" style="3" customWidth="1"/>
    <col min="12" max="12" width="19.85546875" style="3" customWidth="1"/>
    <col min="13" max="13" width="15.7109375" style="2" customWidth="1"/>
    <col min="14" max="14" width="13" customWidth="1"/>
    <col min="15" max="15" width="14.5703125" bestFit="1" customWidth="1"/>
    <col min="16" max="16" width="15.5703125" style="3" customWidth="1"/>
    <col min="17" max="18" width="18.140625" style="2" customWidth="1"/>
  </cols>
  <sheetData>
    <row r="1" spans="1:18" x14ac:dyDescent="0.2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18" x14ac:dyDescent="0.25">
      <c r="A2" s="1" t="s">
        <v>2</v>
      </c>
      <c r="B2" s="1">
        <v>2023</v>
      </c>
      <c r="C2" s="1" t="s">
        <v>81</v>
      </c>
      <c r="D2" s="1" t="s">
        <v>76</v>
      </c>
      <c r="E2" s="1"/>
      <c r="F2" s="1"/>
      <c r="G2" s="1"/>
      <c r="N2" s="1"/>
      <c r="O2" s="1"/>
    </row>
    <row r="3" spans="1:18" x14ac:dyDescent="0.25">
      <c r="A3" s="1" t="s">
        <v>82</v>
      </c>
      <c r="B3" s="6">
        <v>25000</v>
      </c>
      <c r="C3" s="6">
        <f>B3*12</f>
        <v>300000</v>
      </c>
      <c r="D3" s="1">
        <f>ROUNDDOWN(M40/C3,0)</f>
        <v>2</v>
      </c>
      <c r="E3" s="1"/>
      <c r="F3" s="1"/>
      <c r="G3" s="1"/>
      <c r="N3" s="1"/>
      <c r="O3" s="1"/>
    </row>
    <row r="4" spans="1:18" s="13" customFormat="1" ht="18" x14ac:dyDescent="0.25">
      <c r="B4" s="14"/>
      <c r="C4" s="21">
        <v>44998</v>
      </c>
      <c r="D4" s="22"/>
      <c r="E4" s="22"/>
      <c r="F4" s="22"/>
      <c r="G4" s="22"/>
      <c r="H4" s="22"/>
      <c r="I4" s="22"/>
      <c r="J4" s="22"/>
      <c r="K4" s="22"/>
      <c r="L4" s="22"/>
      <c r="N4" s="15"/>
      <c r="O4" s="15"/>
      <c r="P4" s="15"/>
      <c r="Q4" s="15"/>
    </row>
    <row r="5" spans="1:18" ht="58.5" x14ac:dyDescent="0.3">
      <c r="A5" s="1" t="s">
        <v>3</v>
      </c>
      <c r="B5" s="12" t="s">
        <v>77</v>
      </c>
      <c r="C5" s="1" t="s">
        <v>4</v>
      </c>
      <c r="D5" s="4" t="s">
        <v>5</v>
      </c>
      <c r="E5" s="4" t="s">
        <v>7</v>
      </c>
      <c r="F5" s="1" t="s">
        <v>44</v>
      </c>
      <c r="G5" s="5" t="s">
        <v>6</v>
      </c>
      <c r="H5" s="6" t="s">
        <v>40</v>
      </c>
      <c r="I5" s="4" t="s">
        <v>37</v>
      </c>
      <c r="J5" s="4" t="s">
        <v>41</v>
      </c>
      <c r="K5" s="10" t="s">
        <v>50</v>
      </c>
      <c r="L5" s="4" t="s">
        <v>78</v>
      </c>
      <c r="M5" s="4" t="s">
        <v>36</v>
      </c>
      <c r="N5" s="4" t="s">
        <v>35</v>
      </c>
      <c r="O5" s="4" t="s">
        <v>38</v>
      </c>
      <c r="P5" s="4" t="s">
        <v>50</v>
      </c>
      <c r="Q5" s="4" t="s">
        <v>79</v>
      </c>
      <c r="R5" s="4" t="s">
        <v>39</v>
      </c>
    </row>
    <row r="6" spans="1:18" x14ac:dyDescent="0.25">
      <c r="A6" s="1" t="s">
        <v>89</v>
      </c>
      <c r="B6" s="7">
        <f>IF(D6=0,0,VLOOKUP($A6,[6]HISTOMARS23!$A$6:$BO$40,10,0))</f>
        <v>1</v>
      </c>
      <c r="C6" s="1" t="str">
        <f>VLOOKUP(A6,[7]LISTADHERENT!A$5:H$60,3,0)</f>
        <v>BAKOP ACHILLE</v>
      </c>
      <c r="D6" s="7">
        <f>IF(G6="ECHEC",0,B$3)</f>
        <v>25000</v>
      </c>
      <c r="E6" s="7">
        <f>D6+VLOOKUP($A6,[6]HISTOMARS23!$A$7:$AU$40,45,0)+F6</f>
        <v>40000</v>
      </c>
      <c r="F6" s="7">
        <f>VLOOKUP($A6,[6]HISTOMARS23!$A$7:$AU$45,7,0)</f>
        <v>0</v>
      </c>
      <c r="G6" s="7" t="str">
        <f>VLOOKUP($A6,[6]HISTOMARS23!$A$7:$AU$45,8,0)</f>
        <v>BANQUE</v>
      </c>
      <c r="H6" s="7">
        <f>VLOOKUP($A6,[6]HISTOMARS23!$A$6:$AU$45,35,0)</f>
        <v>0</v>
      </c>
      <c r="I6" s="7">
        <f>VLOOKUP($A6,[6]HISTOMARS23!$A$7:$AU$45,38,0)</f>
        <v>0</v>
      </c>
      <c r="J6" s="7">
        <f>IF(I6=0,0,VLOOKUP($A6,[6]HISTOMARS23!$A$7:$AU$45,42,0))</f>
        <v>0</v>
      </c>
      <c r="K6" s="7">
        <f>VLOOKUP($A6,[6]HISTOMARS23!$A$7:$AU$45,41,0)</f>
        <v>0</v>
      </c>
      <c r="L6" s="7">
        <f>TONTFEV23!H6+TONTFEV23!I6</f>
        <v>0</v>
      </c>
      <c r="M6" s="7">
        <f>VLOOKUP($A6,[6]HISTOMARS23!$A$7:$AU$45,16,0)</f>
        <v>0</v>
      </c>
      <c r="N6" s="7" t="str">
        <f>IF(M6&lt;&gt;0,VLOOKUP($A6,[6]HISTOMARS23!$A$7:$AU$45,8,0),"ECHEC")</f>
        <v>ECHEC</v>
      </c>
      <c r="O6" s="7">
        <f>IF(R6=0,0,VLOOKUP($A6,[6]HISTOMARS23!$A$7:$AU$45,32,0))</f>
        <v>0</v>
      </c>
      <c r="P6" s="7">
        <f>VLOOKUP($A6,[6]HISTOMARS23!$A$7:$AU$45,33,0)</f>
        <v>0</v>
      </c>
      <c r="Q6" s="7">
        <f t="shared" ref="Q6:Q35" si="0">IF(R6=0,0,($C$3-R6))</f>
        <v>0</v>
      </c>
      <c r="R6" s="7">
        <f>VLOOKUP($A6,[6]HISTOMARS23!$A$7:$AU$45,29,0)</f>
        <v>0</v>
      </c>
    </row>
    <row r="7" spans="1:18" x14ac:dyDescent="0.25">
      <c r="A7" s="1" t="s">
        <v>9</v>
      </c>
      <c r="B7" s="7">
        <f>IF(D7=0,0,VLOOKUP($A7,[6]HISTOMARS23!$A$6:$BO$40,10,0))</f>
        <v>1</v>
      </c>
      <c r="C7" s="1" t="str">
        <f>VLOOKUP(A7,[7]LISTADHERENT!A$5:H$60,3,0)</f>
        <v>BOUTCHOUANG WILLIAM</v>
      </c>
      <c r="D7" s="7">
        <f>IF(G7="ECHEC",0,B$3)</f>
        <v>25000</v>
      </c>
      <c r="E7" s="7">
        <f>D7+VLOOKUP($A7,[6]HISTOMARS23!$A$7:$AU$40,45,0)+F7</f>
        <v>40000</v>
      </c>
      <c r="F7" s="7">
        <f>VLOOKUP($A7,[6]HISTOMARS23!$A$7:$AU$45,7,0)</f>
        <v>0</v>
      </c>
      <c r="G7" s="7" t="str">
        <f>VLOOKUP($A7,[6]HISTOMARS23!$A$7:$AU$45,8,0)</f>
        <v>BANQUE</v>
      </c>
      <c r="H7" s="7">
        <f>VLOOKUP($A7,[6]HISTOMARS23!$A$6:$AU$45,35,0)</f>
        <v>0</v>
      </c>
      <c r="I7" s="7">
        <f>VLOOKUP($A7,[6]HISTOMARS23!$A$7:$AU$45,38,0)</f>
        <v>0</v>
      </c>
      <c r="J7" s="7">
        <f>IF(I7=0,0,VLOOKUP($A7,[6]HISTOMARS23!$A$7:$AU$45,42,0))</f>
        <v>0</v>
      </c>
      <c r="K7" s="7">
        <f>VLOOKUP($A7,[6]HISTOMARS23!$A$7:$AU$45,41,0)</f>
        <v>0</v>
      </c>
      <c r="L7" s="7">
        <f>TONTFEV23!H7+TONTFEV23!I7</f>
        <v>0</v>
      </c>
      <c r="M7" s="7">
        <f>VLOOKUP($A7,[6]HISTOMARS23!$A$7:$AU$45,16,0)</f>
        <v>0</v>
      </c>
      <c r="N7" s="7" t="str">
        <f>IF(M7&lt;&gt;0,VLOOKUP($A7,[6]HISTOMARS23!$A$7:$AU$45,8,0),"ECHEC")</f>
        <v>ECHEC</v>
      </c>
      <c r="O7" s="7">
        <f>IF(R7=0,0,VLOOKUP($A7,[6]HISTOMARS23!$A$7:$AU$45,32,0))</f>
        <v>0</v>
      </c>
      <c r="P7" s="7">
        <f>VLOOKUP($A7,[6]HISTOMARS23!$A$7:$AU$45,33,0)</f>
        <v>0</v>
      </c>
      <c r="Q7" s="7">
        <f t="shared" si="0"/>
        <v>0</v>
      </c>
      <c r="R7" s="7">
        <f>VLOOKUP($A7,[6]HISTOMARS23!$A$7:$AU$45,29,0)</f>
        <v>0</v>
      </c>
    </row>
    <row r="8" spans="1:18" x14ac:dyDescent="0.25">
      <c r="A8" s="1" t="s">
        <v>10</v>
      </c>
      <c r="B8" s="7">
        <f>IF(D8=0,0,VLOOKUP($A8,[6]HISTOMARS23!$A$6:$BO$40,10,0))</f>
        <v>1</v>
      </c>
      <c r="C8" s="1" t="str">
        <f>VLOOKUP(A8,[7]LISTADHERENT!A$5:H$60,3,0)</f>
        <v xml:space="preserve">DJOMO JEAN PAUL </v>
      </c>
      <c r="D8" s="7">
        <f t="shared" ref="D8:D35" si="1">IF(G8="ECHEC",0,B$3)</f>
        <v>25000</v>
      </c>
      <c r="E8" s="7">
        <f>D8+VLOOKUP($A8,[6]HISTOMARS23!$A$7:$AU$40,45,0)+F8</f>
        <v>40000</v>
      </c>
      <c r="F8" s="7">
        <f>VLOOKUP($A8,[6]HISTOMARS23!$A$7:$AU$45,7,0)</f>
        <v>0</v>
      </c>
      <c r="G8" s="7" t="str">
        <f>VLOOKUP($A8,[6]HISTOMARS23!$A$7:$AU$45,8,0)</f>
        <v>BANQUE</v>
      </c>
      <c r="H8" s="7">
        <f>VLOOKUP($A8,[6]HISTOMARS23!$A$6:$AU$45,35,0)</f>
        <v>0</v>
      </c>
      <c r="I8" s="7">
        <f>VLOOKUP($A8,[6]HISTOMARS23!$A$7:$AU$45,38,0)</f>
        <v>0</v>
      </c>
      <c r="J8" s="7">
        <f>IF(I8=0,0,VLOOKUP($A8,[6]HISTOMARS23!$A$7:$AU$45,42,0))</f>
        <v>0</v>
      </c>
      <c r="K8" s="7">
        <f>VLOOKUP($A8,[6]HISTOMARS23!$A$7:$AU$45,41,0)</f>
        <v>0</v>
      </c>
      <c r="L8" s="7">
        <f>TONTFEV23!H8+TONTFEV23!I8</f>
        <v>0</v>
      </c>
      <c r="M8" s="7">
        <f>VLOOKUP($A8,[6]HISTOMARS23!$A$7:$AU$45,16,0)</f>
        <v>0</v>
      </c>
      <c r="N8" s="7" t="str">
        <f>IF(M8&lt;&gt;0,VLOOKUP($A8,[6]HISTOMARS23!$A$7:$AU$45,8,0),"ECHEC")</f>
        <v>ECHEC</v>
      </c>
      <c r="O8" s="7">
        <f>IF(R8=0,0,VLOOKUP($A8,[6]HISTOMARS23!$A$7:$AU$45,32,0))</f>
        <v>0</v>
      </c>
      <c r="P8" s="7">
        <f>VLOOKUP($A8,[6]HISTOMARS23!$A$7:$AU$45,33,0)</f>
        <v>0</v>
      </c>
      <c r="Q8" s="7">
        <f t="shared" si="0"/>
        <v>0</v>
      </c>
      <c r="R8" s="7">
        <f>VLOOKUP($A8,[6]HISTOMARS23!$A$7:$AU$45,29,0)</f>
        <v>0</v>
      </c>
    </row>
    <row r="9" spans="1:18" x14ac:dyDescent="0.25">
      <c r="A9" s="1" t="s">
        <v>53</v>
      </c>
      <c r="B9" s="7">
        <f>IF(D9=0,0,VLOOKUP($A9,[6]HISTOMARS23!$A$6:$BO$40,10,0))</f>
        <v>1</v>
      </c>
      <c r="C9" s="1" t="str">
        <f>VLOOKUP(A9,[7]LISTADHERENT!A$5:H$60,3,0)</f>
        <v>DJOMOU TCHAPDA</v>
      </c>
      <c r="D9" s="7">
        <f t="shared" si="1"/>
        <v>25000</v>
      </c>
      <c r="E9" s="7">
        <f>D9+VLOOKUP($A9,[6]HISTOMARS23!$A$7:$AU$40,45,0)+F9</f>
        <v>41000</v>
      </c>
      <c r="F9" s="7">
        <f>VLOOKUP($A9,[6]HISTOMARS23!$A$7:$AU$45,7,0)</f>
        <v>0</v>
      </c>
      <c r="G9" s="7" t="str">
        <f>VLOOKUP($A9,[6]HISTOMARS23!$A$7:$AU$45,8,0)</f>
        <v>BANQUE</v>
      </c>
      <c r="H9" s="7">
        <f>VLOOKUP($A9,[6]HISTOMARS23!$A$6:$AU$45,35,0)</f>
        <v>0</v>
      </c>
      <c r="I9" s="7">
        <f>VLOOKUP($A9,[6]HISTOMARS23!$A$7:$AU$45,38,0)</f>
        <v>0</v>
      </c>
      <c r="J9" s="7">
        <f>IF(I9=0,0,VLOOKUP($A9,[6]HISTOMARS23!$A$7:$AU$45,42,0))</f>
        <v>0</v>
      </c>
      <c r="K9" s="7">
        <f>VLOOKUP($A9,[6]HISTOMARS23!$A$7:$AU$45,41,0)</f>
        <v>0</v>
      </c>
      <c r="L9" s="7">
        <f>TONTFEV23!H9+TONTFEV23!I9</f>
        <v>41000</v>
      </c>
      <c r="M9" s="7">
        <f>VLOOKUP($A9,[6]HISTOMARS23!$A$7:$AU$45,16,0)</f>
        <v>41000</v>
      </c>
      <c r="N9" s="7" t="str">
        <f>IF(M9&lt;&gt;0,VLOOKUP($A9,[6]HISTOMARS23!$A$7:$AU$45,8,0),"ECHEC")</f>
        <v>BANQUE</v>
      </c>
      <c r="O9" s="7">
        <f>IF(R9=0,0,VLOOKUP($A9,[6]HISTOMARS23!$A$7:$AU$45,32,0))</f>
        <v>0</v>
      </c>
      <c r="P9" s="7">
        <f>VLOOKUP($A9,[6]HISTOMARS23!$A$7:$AU$45,33,0)</f>
        <v>0</v>
      </c>
      <c r="Q9" s="7">
        <f t="shared" si="0"/>
        <v>0</v>
      </c>
      <c r="R9" s="7">
        <f>VLOOKUP($A9,[6]HISTOMARS23!$A$7:$AU$45,29,0)</f>
        <v>0</v>
      </c>
    </row>
    <row r="10" spans="1:18" x14ac:dyDescent="0.25">
      <c r="A10" s="1" t="s">
        <v>11</v>
      </c>
      <c r="B10" s="7">
        <f>IF(D10=0,0,VLOOKUP($A10,[6]HISTOMARS23!$A$6:$BO$40,10,0))</f>
        <v>1</v>
      </c>
      <c r="C10" s="1" t="str">
        <f>VLOOKUP(A10,[7]LISTADHERENT!A$5:H$60,3,0)</f>
        <v>DJOUKWE NANGUEN GUY BLAISE</v>
      </c>
      <c r="D10" s="7">
        <f t="shared" si="1"/>
        <v>25000</v>
      </c>
      <c r="E10" s="7">
        <f>D10+VLOOKUP($A10,[6]HISTOMARS23!$A$7:$AU$40,45,0)+F10</f>
        <v>45000</v>
      </c>
      <c r="F10" s="7">
        <f>VLOOKUP($A10,[6]HISTOMARS23!$A$7:$AU$45,7,0)</f>
        <v>0</v>
      </c>
      <c r="G10" s="7" t="str">
        <f>VLOOKUP($A10,[6]HISTOMARS23!$A$7:$AU$45,8,0)</f>
        <v>BANQUE</v>
      </c>
      <c r="H10" s="7">
        <f>VLOOKUP($A10,[6]HISTOMARS23!$A$6:$AU$45,35,0)</f>
        <v>0</v>
      </c>
      <c r="I10" s="7">
        <f>VLOOKUP($A10,[6]HISTOMARS23!$A$7:$AU$45,38,0)</f>
        <v>0</v>
      </c>
      <c r="J10" s="7">
        <f>IF(I10=0,0,VLOOKUP($A10,[6]HISTOMARS23!$A$7:$AU$45,42,0))</f>
        <v>0</v>
      </c>
      <c r="K10" s="7">
        <f>VLOOKUP($A10,[6]HISTOMARS23!$A$7:$AU$45,41,0)</f>
        <v>0</v>
      </c>
      <c r="L10" s="7">
        <f>TONTFEV23!H10+TONTFEV23!I10</f>
        <v>0</v>
      </c>
      <c r="M10" s="7">
        <f>VLOOKUP($A10,[6]HISTOMARS23!$A$7:$AU$45,16,0)</f>
        <v>0</v>
      </c>
      <c r="N10" s="7" t="str">
        <f>IF(M10&lt;&gt;0,VLOOKUP($A10,[6]HISTOMARS23!$A$7:$AU$45,8,0),"ECHEC")</f>
        <v>ECHEC</v>
      </c>
      <c r="O10" s="7">
        <f>IF(R10=0,0,VLOOKUP($A10,[6]HISTOMARS23!$A$7:$AU$45,32,0))</f>
        <v>0</v>
      </c>
      <c r="P10" s="7">
        <f>VLOOKUP($A10,[6]HISTOMARS23!$A$7:$AU$45,33,0)</f>
        <v>0</v>
      </c>
      <c r="Q10" s="7">
        <f t="shared" si="0"/>
        <v>0</v>
      </c>
      <c r="R10" s="7">
        <f>VLOOKUP($A10,[6]HISTOMARS23!$A$7:$AU$45,29,0)</f>
        <v>0</v>
      </c>
    </row>
    <row r="11" spans="1:18" x14ac:dyDescent="0.25">
      <c r="A11" s="1" t="s">
        <v>12</v>
      </c>
      <c r="B11" s="7">
        <f>IF(D11=0,0,VLOOKUP($A11,[6]HISTOMARS23!$A$6:$BO$40,10,0))</f>
        <v>1</v>
      </c>
      <c r="C11" s="1" t="str">
        <f>VLOOKUP(A11,[7]LISTADHERENT!A$5:H$60,3,0)</f>
        <v>DJUOMBESSY ANTOINE</v>
      </c>
      <c r="D11" s="7">
        <f t="shared" si="1"/>
        <v>25000</v>
      </c>
      <c r="E11" s="7">
        <f>D11+VLOOKUP($A11,[6]HISTOMARS23!$A$7:$AU$40,45,0)+F11</f>
        <v>45000</v>
      </c>
      <c r="F11" s="7">
        <f>VLOOKUP($A11,[6]HISTOMARS23!$A$7:$AU$45,7,0)</f>
        <v>0</v>
      </c>
      <c r="G11" s="7" t="str">
        <f>VLOOKUP($A11,[6]HISTOMARS23!$A$7:$AU$45,8,0)</f>
        <v>BANQUE</v>
      </c>
      <c r="H11" s="7">
        <f>VLOOKUP($A11,[6]HISTOMARS23!$A$6:$AU$45,35,0)</f>
        <v>0</v>
      </c>
      <c r="I11" s="7">
        <f>VLOOKUP($A11,[6]HISTOMARS23!$A$7:$AU$45,38,0)</f>
        <v>0</v>
      </c>
      <c r="J11" s="7">
        <f>IF(I11=0,0,VLOOKUP($A11,[6]HISTOMARS23!$A$7:$AU$45,42,0))</f>
        <v>0</v>
      </c>
      <c r="K11" s="7">
        <f>VLOOKUP($A11,[6]HISTOMARS23!$A$7:$AU$45,41,0)</f>
        <v>0</v>
      </c>
      <c r="L11" s="7">
        <f>TONTFEV23!H11+TONTFEV23!I11</f>
        <v>0</v>
      </c>
      <c r="M11" s="7">
        <f>VLOOKUP($A11,[6]HISTOMARS23!$A$7:$AU$45,16,0)</f>
        <v>0</v>
      </c>
      <c r="N11" s="7" t="str">
        <f>IF(M11&lt;&gt;0,VLOOKUP($A11,[6]HISTOMARS23!$A$7:$AU$45,8,0),"ECHEC")</f>
        <v>ECHEC</v>
      </c>
      <c r="O11" s="7">
        <f>IF(R11=0,0,VLOOKUP($A11,[6]HISTOMARS23!$A$7:$AU$45,32,0))</f>
        <v>0</v>
      </c>
      <c r="P11" s="7">
        <f>VLOOKUP($A11,[6]HISTOMARS23!$A$7:$AU$45,33,0)</f>
        <v>0</v>
      </c>
      <c r="Q11" s="7">
        <f t="shared" si="0"/>
        <v>0</v>
      </c>
      <c r="R11" s="7">
        <f>VLOOKUP($A11,[6]HISTOMARS23!$A$7:$AU$45,29,0)</f>
        <v>0</v>
      </c>
    </row>
    <row r="12" spans="1:18" x14ac:dyDescent="0.25">
      <c r="A12" s="1" t="s">
        <v>46</v>
      </c>
      <c r="B12" s="7">
        <f>IF(D12=0,0,VLOOKUP($A12,[6]HISTOMARS23!$A$6:$BO$40,10,0))</f>
        <v>1</v>
      </c>
      <c r="C12" s="1" t="str">
        <f>VLOOKUP(A12,[7]LISTADHERENT!A$5:H$60,3,0)</f>
        <v>DOMOU FABIEN</v>
      </c>
      <c r="D12" s="7">
        <f t="shared" si="1"/>
        <v>25000</v>
      </c>
      <c r="E12" s="7">
        <f>D12+VLOOKUP($A12,[6]HISTOMARS23!$A$7:$AU$40,45,0)+F12</f>
        <v>40000</v>
      </c>
      <c r="F12" s="7">
        <f>VLOOKUP($A12,[6]HISTOMARS23!$A$7:$AU$45,7,0)</f>
        <v>0</v>
      </c>
      <c r="G12" s="7" t="str">
        <f>VLOOKUP($A12,[6]HISTOMARS23!$A$7:$AU$45,8,0)</f>
        <v>BANQUE</v>
      </c>
      <c r="H12" s="7">
        <f>VLOOKUP($A12,[6]HISTOMARS23!$A$6:$AU$45,35,0)</f>
        <v>0</v>
      </c>
      <c r="I12" s="7">
        <f>VLOOKUP($A12,[6]HISTOMARS23!$A$7:$AU$45,38,0)</f>
        <v>0</v>
      </c>
      <c r="J12" s="7">
        <f>IF(I12=0,0,VLOOKUP($A12,[6]HISTOMARS23!$A$7:$AU$45,42,0))</f>
        <v>0</v>
      </c>
      <c r="K12" s="7">
        <f>VLOOKUP($A12,[6]HISTOMARS23!$A$7:$AU$45,41,0)</f>
        <v>0</v>
      </c>
      <c r="L12" s="7">
        <f>TONTFEV23!H12+TONTFEV23!I12</f>
        <v>0</v>
      </c>
      <c r="M12" s="7">
        <f>VLOOKUP($A12,[6]HISTOMARS23!$A$7:$AU$45,16,0)</f>
        <v>0</v>
      </c>
      <c r="N12" s="7" t="str">
        <f>IF(M12&lt;&gt;0,VLOOKUP($A12,[6]HISTOMARS23!$A$7:$AU$45,8,0),"ECHEC")</f>
        <v>ECHEC</v>
      </c>
      <c r="O12" s="7">
        <f>IF(R12=0,0,VLOOKUP($A12,[6]HISTOMARS23!$A$7:$AU$45,32,0))</f>
        <v>0</v>
      </c>
      <c r="P12" s="7">
        <f>VLOOKUP($A12,[6]HISTOMARS23!$A$7:$AU$45,33,0)</f>
        <v>0</v>
      </c>
      <c r="Q12" s="7">
        <f t="shared" si="0"/>
        <v>290000</v>
      </c>
      <c r="R12" s="7">
        <f>VLOOKUP($A12,[6]HISTOMARS23!$A$7:$AU$45,29,0)</f>
        <v>10000</v>
      </c>
    </row>
    <row r="13" spans="1:18" x14ac:dyDescent="0.25">
      <c r="A13" s="1" t="s">
        <v>13</v>
      </c>
      <c r="B13" s="7">
        <f>IF(D13=0,0,VLOOKUP($A13,[6]HISTOMARS23!$A$6:$BO$40,10,0))</f>
        <v>1</v>
      </c>
      <c r="C13" s="1" t="str">
        <f>VLOOKUP(A13,[7]LISTADHERENT!A$5:H$60,3,0)</f>
        <v>DONHOU DAVID</v>
      </c>
      <c r="D13" s="7">
        <f t="shared" si="1"/>
        <v>25000</v>
      </c>
      <c r="E13" s="7">
        <f>D13+VLOOKUP($A13,[6]HISTOMARS23!$A$7:$AU$40,45,0)+F13</f>
        <v>40000</v>
      </c>
      <c r="F13" s="7">
        <f>VLOOKUP($A13,[6]HISTOMARS23!$A$7:$AU$45,7,0)</f>
        <v>0</v>
      </c>
      <c r="G13" s="7" t="str">
        <f>VLOOKUP($A13,[6]HISTOMARS23!$A$7:$AU$45,8,0)</f>
        <v>BANQUE</v>
      </c>
      <c r="H13" s="7">
        <f>VLOOKUP($A13,[6]HISTOMARS23!$A$6:$AU$45,35,0)</f>
        <v>0</v>
      </c>
      <c r="I13" s="7">
        <f>VLOOKUP($A13,[6]HISTOMARS23!$A$7:$AU$45,38,0)</f>
        <v>0</v>
      </c>
      <c r="J13" s="7">
        <f>IF(I13=0,0,VLOOKUP($A13,[6]HISTOMARS23!$A$7:$AU$45,42,0))</f>
        <v>0</v>
      </c>
      <c r="K13" s="7">
        <f>VLOOKUP($A13,[6]HISTOMARS23!$A$7:$AU$45,41,0)</f>
        <v>0</v>
      </c>
      <c r="L13" s="7">
        <f>TONTFEV23!H13+TONTFEV23!I13</f>
        <v>0</v>
      </c>
      <c r="M13" s="7">
        <f>VLOOKUP($A13,[6]HISTOMARS23!$A$7:$AU$45,16,0)</f>
        <v>0</v>
      </c>
      <c r="N13" s="7" t="str">
        <f>IF(M13&lt;&gt;0,VLOOKUP($A13,[6]HISTOMARS23!$A$7:$AU$45,8,0),"ECHEC")</f>
        <v>ECHEC</v>
      </c>
      <c r="O13" s="7">
        <f>IF(R13=0,0,VLOOKUP($A13,[6]HISTOMARS23!$A$7:$AU$45,32,0))</f>
        <v>0</v>
      </c>
      <c r="P13" s="7">
        <f>VLOOKUP($A13,[6]HISTOMARS23!$A$7:$AU$45,33,0)</f>
        <v>0</v>
      </c>
      <c r="Q13" s="7">
        <f t="shared" si="0"/>
        <v>0</v>
      </c>
      <c r="R13" s="7">
        <f>VLOOKUP($A13,[6]HISTOMARS23!$A$7:$AU$45,29,0)</f>
        <v>0</v>
      </c>
    </row>
    <row r="14" spans="1:18" x14ac:dyDescent="0.25">
      <c r="A14" s="1" t="s">
        <v>14</v>
      </c>
      <c r="B14" s="7">
        <f>IF(D14=0,0,VLOOKUP($A14,[6]HISTOMARS23!$A$6:$BO$40,10,0))</f>
        <v>1</v>
      </c>
      <c r="C14" s="1" t="str">
        <f>VLOOKUP(A14,[7]LISTADHERENT!A$5:H$60,3,0)</f>
        <v>HENGUE PAUL OMER</v>
      </c>
      <c r="D14" s="7">
        <f t="shared" si="1"/>
        <v>25000</v>
      </c>
      <c r="E14" s="7">
        <f>D14+VLOOKUP($A14,[6]HISTOMARS23!$A$7:$AU$40,45,0)+F14</f>
        <v>40000</v>
      </c>
      <c r="F14" s="7">
        <f>VLOOKUP($A14,[6]HISTOMARS23!$A$7:$AU$45,7,0)</f>
        <v>0</v>
      </c>
      <c r="G14" s="7" t="str">
        <f>VLOOKUP($A14,[6]HISTOMARS23!$A$7:$AU$45,8,0)</f>
        <v>BANQUE</v>
      </c>
      <c r="H14" s="7">
        <f>VLOOKUP($A14,[6]HISTOMARS23!$A$6:$AU$45,35,0)</f>
        <v>0</v>
      </c>
      <c r="I14" s="7">
        <f>VLOOKUP($A14,[6]HISTOMARS23!$A$7:$AU$45,38,0)</f>
        <v>0</v>
      </c>
      <c r="J14" s="7">
        <f>IF(I14=0,0,VLOOKUP($A14,[6]HISTOMARS23!$A$7:$AU$45,42,0))</f>
        <v>0</v>
      </c>
      <c r="K14" s="7">
        <f>VLOOKUP($A14,[6]HISTOMARS23!$A$7:$AU$45,41,0)</f>
        <v>0</v>
      </c>
      <c r="L14" s="7">
        <f>TONTFEV23!H14+TONTFEV23!I14</f>
        <v>0</v>
      </c>
      <c r="M14" s="7">
        <f>VLOOKUP($A14,[6]HISTOMARS23!$A$7:$AU$45,16,0)</f>
        <v>0</v>
      </c>
      <c r="N14" s="7" t="str">
        <f>IF(M14&lt;&gt;0,VLOOKUP($A14,[6]HISTOMARS23!$A$7:$AU$45,8,0),"ECHEC")</f>
        <v>ECHEC</v>
      </c>
      <c r="O14" s="7">
        <f>IF(R14=0,0,VLOOKUP($A14,[6]HISTOMARS23!$A$7:$AU$45,32,0))</f>
        <v>0</v>
      </c>
      <c r="P14" s="7">
        <f>VLOOKUP($A14,[6]HISTOMARS23!$A$7:$AU$45,33,0)</f>
        <v>0</v>
      </c>
      <c r="Q14" s="7">
        <f t="shared" si="0"/>
        <v>0</v>
      </c>
      <c r="R14" s="7">
        <f>VLOOKUP($A14,[6]HISTOMARS23!$A$7:$AU$45,29,0)</f>
        <v>0</v>
      </c>
    </row>
    <row r="15" spans="1:18" x14ac:dyDescent="0.25">
      <c r="A15" s="1" t="s">
        <v>15</v>
      </c>
      <c r="B15" s="7">
        <f>IF(D15=0,0,VLOOKUP($A15,[6]HISTOMARS23!$A$6:$BO$40,10,0))</f>
        <v>1</v>
      </c>
      <c r="C15" s="1" t="str">
        <f>VLOOKUP(A15,[7]LISTADHERENT!A$5:H$60,3,0)</f>
        <v>HOTCHO BENJAMIN</v>
      </c>
      <c r="D15" s="7">
        <f t="shared" si="1"/>
        <v>25000</v>
      </c>
      <c r="E15" s="7">
        <f>D15+VLOOKUP($A15,[6]HISTOMARS23!$A$7:$AU$40,45,0)+F15</f>
        <v>75000</v>
      </c>
      <c r="F15" s="7">
        <f>VLOOKUP($A15,[6]HISTOMARS23!$A$7:$AU$45,7,0)</f>
        <v>0</v>
      </c>
      <c r="G15" s="7" t="str">
        <f>VLOOKUP($A15,[6]HISTOMARS23!$A$7:$AU$45,8,0)</f>
        <v>BANQUE</v>
      </c>
      <c r="H15" s="7">
        <f>VLOOKUP($A15,[6]HISTOMARS23!$A$6:$AU$45,35,0)</f>
        <v>0</v>
      </c>
      <c r="I15" s="7">
        <f>VLOOKUP($A15,[6]HISTOMARS23!$A$7:$AU$45,38,0)</f>
        <v>0</v>
      </c>
      <c r="J15" s="7">
        <f>IF(I15=0,0,VLOOKUP($A15,[6]HISTOMARS23!$A$7:$AU$45,42,0))</f>
        <v>0</v>
      </c>
      <c r="K15" s="7">
        <f>VLOOKUP($A15,[6]HISTOMARS23!$A$7:$AU$45,41,0)</f>
        <v>0</v>
      </c>
      <c r="L15" s="7">
        <f>TONTFEV23!H15+TONTFEV23!I15</f>
        <v>0</v>
      </c>
      <c r="M15" s="7">
        <f>VLOOKUP($A15,[6]HISTOMARS23!$A$7:$AU$45,16,0)</f>
        <v>0</v>
      </c>
      <c r="N15" s="7" t="str">
        <f>IF(M15&lt;&gt;0,VLOOKUP($A15,[6]HISTOMARS23!$A$7:$AU$45,8,0),"ECHEC")</f>
        <v>ECHEC</v>
      </c>
      <c r="O15" s="7">
        <f>IF(R15=0,0,VLOOKUP($A15,[6]HISTOMARS23!$A$7:$AU$45,32,0))</f>
        <v>0</v>
      </c>
      <c r="P15" s="7">
        <f>VLOOKUP($A15,[6]HISTOMARS23!$A$7:$AU$45,33,0)</f>
        <v>0</v>
      </c>
      <c r="Q15" s="7">
        <f t="shared" si="0"/>
        <v>0</v>
      </c>
      <c r="R15" s="7">
        <f>VLOOKUP($A15,[6]HISTOMARS23!$A$7:$AU$45,29,0)</f>
        <v>0</v>
      </c>
    </row>
    <row r="16" spans="1:18" x14ac:dyDescent="0.25">
      <c r="A16" s="1" t="s">
        <v>16</v>
      </c>
      <c r="B16" s="7">
        <f>IF(D16=0,0,VLOOKUP($A16,[6]HISTOMARS23!$A$6:$BO$40,10,0))</f>
        <v>1</v>
      </c>
      <c r="C16" s="1" t="str">
        <f>VLOOKUP(A16,[7]LISTADHERENT!A$5:H$60,3,0)</f>
        <v>KOUAMOU MOISE</v>
      </c>
      <c r="D16" s="7">
        <f t="shared" si="1"/>
        <v>25000</v>
      </c>
      <c r="E16" s="7">
        <f>D16+VLOOKUP($A16,[6]HISTOMARS23!$A$7:$AU$40,45,0)+F16</f>
        <v>40000</v>
      </c>
      <c r="F16" s="7">
        <f>VLOOKUP($A16,[6]HISTOMARS23!$A$7:$AU$45,7,0)</f>
        <v>0</v>
      </c>
      <c r="G16" s="7" t="str">
        <f>VLOOKUP($A16,[6]HISTOMARS23!$A$7:$AU$45,8,0)</f>
        <v>BANQUE</v>
      </c>
      <c r="H16" s="7">
        <f>VLOOKUP($A16,[6]HISTOMARS23!$A$6:$AU$45,35,0)</f>
        <v>0</v>
      </c>
      <c r="I16" s="7">
        <f>VLOOKUP($A16,[6]HISTOMARS23!$A$7:$AU$45,38,0)</f>
        <v>0</v>
      </c>
      <c r="J16" s="7">
        <f>IF(I16=0,0,VLOOKUP($A16,[6]HISTOMARS23!$A$7:$AU$45,42,0))</f>
        <v>0</v>
      </c>
      <c r="K16" s="7">
        <f>VLOOKUP($A16,[6]HISTOMARS23!$A$7:$AU$45,41,0)</f>
        <v>0</v>
      </c>
      <c r="L16" s="7">
        <f>TONTFEV23!H16+TONTFEV23!I16</f>
        <v>0</v>
      </c>
      <c r="M16" s="7">
        <f>VLOOKUP($A16,[6]HISTOMARS23!$A$7:$AU$45,16,0)</f>
        <v>0</v>
      </c>
      <c r="N16" s="7" t="str">
        <f>IF(M16&lt;&gt;0,VLOOKUP($A16,[6]HISTOMARS23!$A$7:$AU$45,8,0),"ECHEC")</f>
        <v>ECHEC</v>
      </c>
      <c r="O16" s="7">
        <f>IF(R16=0,0,VLOOKUP($A16,[6]HISTOMARS23!$A$7:$AU$45,32,0))</f>
        <v>0</v>
      </c>
      <c r="P16" s="7">
        <f>VLOOKUP($A16,[6]HISTOMARS23!$A$7:$AU$45,33,0)</f>
        <v>0</v>
      </c>
      <c r="Q16" s="7">
        <f t="shared" si="0"/>
        <v>0</v>
      </c>
      <c r="R16" s="7">
        <f>VLOOKUP($A16,[6]HISTOMARS23!$A$7:$AU$45,29,0)</f>
        <v>0</v>
      </c>
    </row>
    <row r="17" spans="1:18" x14ac:dyDescent="0.25">
      <c r="A17" s="1" t="s">
        <v>17</v>
      </c>
      <c r="B17" s="7">
        <f>IF(D17=0,0,VLOOKUP($A17,[6]HISTOMARS23!$A$6:$BO$40,10,0))</f>
        <v>1</v>
      </c>
      <c r="C17" s="1" t="str">
        <f>VLOOKUP(A17,[7]LISTADHERENT!A$5:H$60,3,0)</f>
        <v>KOUATCHO MESSACK</v>
      </c>
      <c r="D17" s="7">
        <f t="shared" si="1"/>
        <v>25000</v>
      </c>
      <c r="E17" s="7">
        <f>D17+VLOOKUP($A17,[6]HISTOMARS23!$A$7:$AU$40,45,0)+F17</f>
        <v>39000</v>
      </c>
      <c r="F17" s="7">
        <f>VLOOKUP($A17,[6]HISTOMARS23!$A$7:$AU$45,7,0)</f>
        <v>0</v>
      </c>
      <c r="G17" s="7" t="str">
        <f>VLOOKUP($A17,[6]HISTOMARS23!$A$7:$AU$45,8,0)</f>
        <v>BANQUE</v>
      </c>
      <c r="H17" s="7">
        <f>VLOOKUP($A17,[6]HISTOMARS23!$A$6:$AU$45,35,0)</f>
        <v>0</v>
      </c>
      <c r="I17" s="7">
        <f>VLOOKUP($A17,[6]HISTOMARS23!$A$7:$AU$45,38,0)</f>
        <v>0</v>
      </c>
      <c r="J17" s="7">
        <f>IF(I17=0,0,VLOOKUP($A17,[6]HISTOMARS23!$A$7:$AU$45,42,0))</f>
        <v>0</v>
      </c>
      <c r="K17" s="7">
        <f>VLOOKUP($A17,[6]HISTOMARS23!$A$7:$AU$45,41,0)</f>
        <v>0</v>
      </c>
      <c r="L17" s="7">
        <f>TONTFEV23!H17+TONTFEV23!I17</f>
        <v>0</v>
      </c>
      <c r="M17" s="7">
        <f>VLOOKUP($A17,[6]HISTOMARS23!$A$7:$AU$45,16,0)</f>
        <v>0</v>
      </c>
      <c r="N17" s="7" t="str">
        <f>IF(M17&lt;&gt;0,VLOOKUP($A17,[6]HISTOMARS23!$A$7:$AU$45,8,0),"ECHEC")</f>
        <v>ECHEC</v>
      </c>
      <c r="O17" s="7">
        <f>IF(R17=0,0,VLOOKUP($A17,[6]HISTOMARS23!$A$7:$AU$45,32,0))</f>
        <v>0</v>
      </c>
      <c r="P17" s="7">
        <f>VLOOKUP($A17,[6]HISTOMARS23!$A$7:$AU$45,33,0)</f>
        <v>0</v>
      </c>
      <c r="Q17" s="7">
        <f t="shared" si="0"/>
        <v>0</v>
      </c>
      <c r="R17" s="7">
        <f>VLOOKUP($A17,[6]HISTOMARS23!$A$7:$AU$45,29,0)</f>
        <v>0</v>
      </c>
    </row>
    <row r="18" spans="1:18" x14ac:dyDescent="0.25">
      <c r="A18" s="1" t="s">
        <v>18</v>
      </c>
      <c r="B18" s="7">
        <f>IF(D18=0,0,VLOOKUP($A18,[6]HISTOMARS23!$A$6:$BO$40,10,0))</f>
        <v>1</v>
      </c>
      <c r="C18" s="1" t="str">
        <f>VLOOKUP(A18,[7]LISTADHERENT!A$5:H$60,3,0)</f>
        <v>LOWE JEAN</v>
      </c>
      <c r="D18" s="7">
        <f t="shared" si="1"/>
        <v>25000</v>
      </c>
      <c r="E18" s="7">
        <f>D18+VLOOKUP($A18,[6]HISTOMARS23!$A$7:$AU$40,45,0)+F18</f>
        <v>40000</v>
      </c>
      <c r="F18" s="7">
        <f>VLOOKUP($A18,[6]HISTOMARS23!$A$7:$AU$45,7,0)</f>
        <v>0</v>
      </c>
      <c r="G18" s="7" t="str">
        <f>VLOOKUP($A18,[6]HISTOMARS23!$A$7:$AU$45,8,0)</f>
        <v>BANQUE</v>
      </c>
      <c r="H18" s="7">
        <f>VLOOKUP($A18,[6]HISTOMARS23!$A$6:$AU$45,35,0)</f>
        <v>0</v>
      </c>
      <c r="I18" s="7">
        <f>VLOOKUP($A18,[6]HISTOMARS23!$A$7:$AU$45,38,0)</f>
        <v>0</v>
      </c>
      <c r="J18" s="7">
        <f>IF(I18=0,0,VLOOKUP($A18,[6]HISTOMARS23!$A$7:$AU$45,42,0))</f>
        <v>0</v>
      </c>
      <c r="K18" s="7">
        <f>VLOOKUP($A18,[6]HISTOMARS23!$A$7:$AU$45,41,0)</f>
        <v>0</v>
      </c>
      <c r="L18" s="7">
        <f>TONTFEV23!H18+TONTFEV23!I18</f>
        <v>0</v>
      </c>
      <c r="M18" s="7">
        <f>VLOOKUP($A18,[6]HISTOMARS23!$A$7:$AU$45,16,0)</f>
        <v>0</v>
      </c>
      <c r="N18" s="7" t="str">
        <f>IF(M18&lt;&gt;0,VLOOKUP($A18,[6]HISTOMARS23!$A$7:$AU$45,8,0),"ECHEC")</f>
        <v>ECHEC</v>
      </c>
      <c r="O18" s="7">
        <f>IF(R18=0,0,VLOOKUP($A18,[6]HISTOMARS23!$A$7:$AU$45,32,0))</f>
        <v>0</v>
      </c>
      <c r="P18" s="7">
        <f>VLOOKUP($A18,[6]HISTOMARS23!$A$7:$AU$45,33,0)</f>
        <v>0</v>
      </c>
      <c r="Q18" s="7">
        <f t="shared" si="0"/>
        <v>0</v>
      </c>
      <c r="R18" s="7">
        <f>VLOOKUP($A18,[6]HISTOMARS23!$A$7:$AU$45,29,0)</f>
        <v>0</v>
      </c>
    </row>
    <row r="19" spans="1:18" x14ac:dyDescent="0.25">
      <c r="A19" s="1" t="s">
        <v>45</v>
      </c>
      <c r="B19" s="7">
        <f>IF(D19=0,0,VLOOKUP($A19,[6]HISTOMARS23!$A$6:$BO$40,10,0))</f>
        <v>1</v>
      </c>
      <c r="C19" s="1" t="str">
        <f>VLOOKUP(A19,[7]LISTADHERENT!A$5:H$60,3,0)</f>
        <v>MBOGNING TUGMA GUY</v>
      </c>
      <c r="D19" s="7">
        <f t="shared" si="1"/>
        <v>25000</v>
      </c>
      <c r="E19" s="7">
        <f>D19+VLOOKUP($A19,[6]HISTOMARS23!$A$7:$AU$40,45,0)+F19</f>
        <v>33000</v>
      </c>
      <c r="F19" s="7">
        <f>VLOOKUP($A19,[6]HISTOMARS23!$A$7:$AU$45,7,0)</f>
        <v>0</v>
      </c>
      <c r="G19" s="7" t="str">
        <f>VLOOKUP($A19,[6]HISTOMARS23!$A$7:$AU$45,8,0)</f>
        <v>BANQUE</v>
      </c>
      <c r="H19" s="7">
        <f>VLOOKUP($A19,[6]HISTOMARS23!$A$6:$AU$45,35,0)</f>
        <v>0</v>
      </c>
      <c r="I19" s="7">
        <f>VLOOKUP($A19,[6]HISTOMARS23!$A$7:$AU$45,38,0)</f>
        <v>0</v>
      </c>
      <c r="J19" s="7">
        <f>IF(I19=0,0,VLOOKUP($A19,[6]HISTOMARS23!$A$7:$AU$45,42,0))</f>
        <v>0</v>
      </c>
      <c r="K19" s="7">
        <f>VLOOKUP($A19,[6]HISTOMARS23!$A$7:$AU$45,41,0)</f>
        <v>0</v>
      </c>
      <c r="L19" s="7">
        <f>TONTFEV23!H19+TONTFEV23!I19</f>
        <v>32500</v>
      </c>
      <c r="M19" s="7">
        <f>VLOOKUP($A19,[6]HISTOMARS23!$A$7:$AU$45,16,0)</f>
        <v>32500</v>
      </c>
      <c r="N19" s="7" t="str">
        <f>IF(M19&lt;&gt;0,VLOOKUP($A19,[6]HISTOMARS23!$A$7:$AU$45,8,0),"ECHEC")</f>
        <v>BANQUE</v>
      </c>
      <c r="O19" s="7">
        <f>IF(R19=0,0,VLOOKUP($A19,[6]HISTOMARS23!$A$7:$AU$45,32,0))</f>
        <v>0</v>
      </c>
      <c r="P19" s="7">
        <f>VLOOKUP($A19,[6]HISTOMARS23!$A$7:$AU$45,33,0)</f>
        <v>0</v>
      </c>
      <c r="Q19" s="7">
        <f t="shared" si="0"/>
        <v>289000</v>
      </c>
      <c r="R19" s="7">
        <f>VLOOKUP($A19,[6]HISTOMARS23!$A$7:$AU$45,29,0)</f>
        <v>11000</v>
      </c>
    </row>
    <row r="20" spans="1:18" x14ac:dyDescent="0.25">
      <c r="A20" s="1" t="s">
        <v>26</v>
      </c>
      <c r="B20" s="7">
        <f>IF(D20=0,0,VLOOKUP($A20,[6]HISTOMARS23!$A$6:$BO$40,10,0))</f>
        <v>1</v>
      </c>
      <c r="C20" s="1" t="str">
        <f>VLOOKUP(A20,[7]LISTADHERENT!A$5:H$60,3,0)</f>
        <v>NANGUEN MARTIN</v>
      </c>
      <c r="D20" s="7">
        <f t="shared" si="1"/>
        <v>25000</v>
      </c>
      <c r="E20" s="7">
        <f>D20+VLOOKUP($A20,[6]HISTOMARS23!$A$7:$AU$40,45,0)+F20</f>
        <v>40000</v>
      </c>
      <c r="F20" s="7">
        <f>VLOOKUP($A20,[6]HISTOMARS23!$A$7:$AU$45,7,0)</f>
        <v>0</v>
      </c>
      <c r="G20" s="7" t="str">
        <f>VLOOKUP($A20,[6]HISTOMARS23!$A$7:$AU$45,8,0)</f>
        <v>BANQUE</v>
      </c>
      <c r="H20" s="7">
        <f>VLOOKUP($A20,[6]HISTOMARS23!$A$6:$AU$45,35,0)</f>
        <v>0</v>
      </c>
      <c r="I20" s="7">
        <f>VLOOKUP($A20,[6]HISTOMARS23!$A$7:$AU$45,38,0)</f>
        <v>0</v>
      </c>
      <c r="J20" s="7">
        <f>IF(I20=0,0,VLOOKUP($A20,[6]HISTOMARS23!$A$7:$AU$45,42,0))</f>
        <v>0</v>
      </c>
      <c r="K20" s="7">
        <f>VLOOKUP($A20,[6]HISTOMARS23!$A$7:$AU$45,41,0)</f>
        <v>0</v>
      </c>
      <c r="L20" s="7">
        <f>TONTFEV23!H20+TONTFEV23!I20</f>
        <v>0</v>
      </c>
      <c r="M20" s="7">
        <f>VLOOKUP($A20,[6]HISTOMARS23!$A$7:$AU$45,16,0)</f>
        <v>0</v>
      </c>
      <c r="N20" s="7" t="str">
        <f>IF(M20&lt;&gt;0,VLOOKUP($A20,[6]HISTOMARS23!$A$7:$AU$45,8,0),"ECHEC")</f>
        <v>ECHEC</v>
      </c>
      <c r="O20" s="7">
        <f>IF(R20=0,0,VLOOKUP($A20,[6]HISTOMARS23!$A$7:$AU$45,32,0))</f>
        <v>0</v>
      </c>
      <c r="P20" s="7">
        <f>VLOOKUP($A20,[6]HISTOMARS23!$A$7:$AU$45,33,0)</f>
        <v>0</v>
      </c>
      <c r="Q20" s="7">
        <f t="shared" si="0"/>
        <v>0</v>
      </c>
      <c r="R20" s="7">
        <f>VLOOKUP($A20,[6]HISTOMARS23!$A$7:$AU$45,29,0)</f>
        <v>0</v>
      </c>
    </row>
    <row r="21" spans="1:18" x14ac:dyDescent="0.25">
      <c r="A21" s="1" t="s">
        <v>19</v>
      </c>
      <c r="B21" s="7">
        <f>IF(D21=0,0,VLOOKUP($A21,[6]HISTOMARS23!$A$6:$BO$40,10,0))</f>
        <v>1</v>
      </c>
      <c r="C21" s="1" t="str">
        <f>VLOOKUP(A21,[7]LISTADHERENT!A$5:H$60,3,0)</f>
        <v>NANKAM APPOLINAIRE</v>
      </c>
      <c r="D21" s="7">
        <f t="shared" si="1"/>
        <v>25000</v>
      </c>
      <c r="E21" s="7">
        <f>D21+VLOOKUP($A21,[6]HISTOMARS23!$A$7:$AU$40,45,0)+F21</f>
        <v>40000</v>
      </c>
      <c r="F21" s="7">
        <f>VLOOKUP($A21,[6]HISTOMARS23!$A$7:$AU$45,7,0)</f>
        <v>0</v>
      </c>
      <c r="G21" s="7" t="str">
        <f>VLOOKUP($A21,[6]HISTOMARS23!$A$7:$AU$45,8,0)</f>
        <v>BANQUE</v>
      </c>
      <c r="H21" s="7">
        <f>VLOOKUP($A21,[6]HISTOMARS23!$A$6:$AU$45,35,0)</f>
        <v>0</v>
      </c>
      <c r="I21" s="7">
        <f>VLOOKUP($A21,[6]HISTOMARS23!$A$7:$AU$45,38,0)</f>
        <v>0</v>
      </c>
      <c r="J21" s="7">
        <f>IF(I21=0,0,VLOOKUP($A21,[6]HISTOMARS23!$A$7:$AU$45,42,0))</f>
        <v>0</v>
      </c>
      <c r="K21" s="7">
        <f>VLOOKUP($A21,[6]HISTOMARS23!$A$7:$AU$45,41,0)</f>
        <v>0</v>
      </c>
      <c r="L21" s="7">
        <f>TONTFEV23!H21+TONTFEV23!I21</f>
        <v>0</v>
      </c>
      <c r="M21" s="7">
        <f>VLOOKUP($A21,[6]HISTOMARS23!$A$7:$AU$45,16,0)</f>
        <v>0</v>
      </c>
      <c r="N21" s="7" t="str">
        <f>IF(M21&lt;&gt;0,VLOOKUP($A21,[6]HISTOMARS23!$A$7:$AU$45,8,0),"ECHEC")</f>
        <v>ECHEC</v>
      </c>
      <c r="O21" s="7">
        <f>IF(R21=0,0,VLOOKUP($A21,[6]HISTOMARS23!$A$7:$AU$45,32,0))</f>
        <v>0</v>
      </c>
      <c r="P21" s="7">
        <f>VLOOKUP($A21,[6]HISTOMARS23!$A$7:$AU$45,33,0)</f>
        <v>0</v>
      </c>
      <c r="Q21" s="7">
        <f t="shared" si="0"/>
        <v>0</v>
      </c>
      <c r="R21" s="7">
        <f>VLOOKUP($A21,[6]HISTOMARS23!$A$7:$AU$45,29,0)</f>
        <v>0</v>
      </c>
    </row>
    <row r="22" spans="1:18" x14ac:dyDescent="0.25">
      <c r="A22" s="1" t="s">
        <v>20</v>
      </c>
      <c r="B22" s="7">
        <f>IF(D22=0,0,VLOOKUP($A22,[6]HISTOMARS23!$A$6:$BO$40,10,0))</f>
        <v>1</v>
      </c>
      <c r="C22" s="1" t="str">
        <f>VLOOKUP(A22,[7]LISTADHERENT!A$5:H$60,3,0)</f>
        <v>NDJOMO ETIENNE</v>
      </c>
      <c r="D22" s="7">
        <f t="shared" si="1"/>
        <v>25000</v>
      </c>
      <c r="E22" s="7">
        <f>D22+VLOOKUP($A22,[6]HISTOMARS23!$A$7:$AU$40,45,0)+F22</f>
        <v>50000</v>
      </c>
      <c r="F22" s="7">
        <f>VLOOKUP($A22,[6]HISTOMARS23!$A$7:$AU$45,7,0)</f>
        <v>0</v>
      </c>
      <c r="G22" s="7" t="str">
        <f>VLOOKUP($A22,[6]HISTOMARS23!$A$7:$AU$45,8,0)</f>
        <v>BANQUE</v>
      </c>
      <c r="H22" s="7">
        <f>VLOOKUP($A22,[6]HISTOMARS23!$A$6:$AU$45,35,0)</f>
        <v>0</v>
      </c>
      <c r="I22" s="7">
        <f>VLOOKUP($A22,[6]HISTOMARS23!$A$7:$AU$45,38,0)</f>
        <v>0</v>
      </c>
      <c r="J22" s="7">
        <f>IF(I22=0,0,VLOOKUP($A22,[6]HISTOMARS23!$A$7:$AU$45,42,0))</f>
        <v>0</v>
      </c>
      <c r="K22" s="7">
        <f>VLOOKUP($A22,[6]HISTOMARS23!$A$7:$AU$45,41,0)</f>
        <v>0</v>
      </c>
      <c r="L22" s="7">
        <f>TONTFEV23!H22+TONTFEV23!I22</f>
        <v>0</v>
      </c>
      <c r="M22" s="7">
        <f>VLOOKUP($A22,[6]HISTOMARS23!$A$7:$AU$45,16,0)</f>
        <v>0</v>
      </c>
      <c r="N22" s="7" t="str">
        <f>IF(M22&lt;&gt;0,VLOOKUP($A22,[6]HISTOMARS23!$A$7:$AU$45,8,0),"ECHEC")</f>
        <v>ECHEC</v>
      </c>
      <c r="O22" s="7">
        <f>IF(R22=0,0,VLOOKUP($A22,[6]HISTOMARS23!$A$7:$AU$45,32,0))</f>
        <v>0</v>
      </c>
      <c r="P22" s="7">
        <f>VLOOKUP($A22,[6]HISTOMARS23!$A$7:$AU$45,33,0)</f>
        <v>0</v>
      </c>
      <c r="Q22" s="7">
        <f t="shared" si="0"/>
        <v>0</v>
      </c>
      <c r="R22" s="7">
        <f>VLOOKUP($A22,[6]HISTOMARS23!$A$7:$AU$45,29,0)</f>
        <v>0</v>
      </c>
    </row>
    <row r="23" spans="1:18" x14ac:dyDescent="0.25">
      <c r="A23" s="1" t="s">
        <v>21</v>
      </c>
      <c r="B23" s="7">
        <f>IF(D23=0,0,VLOOKUP($A23,[6]HISTOMARS23!$A$6:$BO$40,10,0))</f>
        <v>1</v>
      </c>
      <c r="C23" s="1" t="str">
        <f>VLOOKUP(A23,[7]LISTADHERENT!A$5:H$60,3,0)</f>
        <v>NGONDIEP CLAUDE</v>
      </c>
      <c r="D23" s="7">
        <f t="shared" si="1"/>
        <v>25000</v>
      </c>
      <c r="E23" s="7">
        <f>D23+VLOOKUP($A23,[6]HISTOMARS23!$A$7:$AU$40,45,0)+F23</f>
        <v>43000</v>
      </c>
      <c r="F23" s="7">
        <f>VLOOKUP($A23,[6]HISTOMARS23!$A$7:$AU$45,7,0)</f>
        <v>3000</v>
      </c>
      <c r="G23" s="7" t="str">
        <f>VLOOKUP($A23,[6]HISTOMARS23!$A$7:$AU$45,8,0)</f>
        <v>ESPECES</v>
      </c>
      <c r="H23" s="7">
        <f>VLOOKUP($A23,[6]HISTOMARS23!$A$6:$AU$45,35,0)</f>
        <v>0</v>
      </c>
      <c r="I23" s="7">
        <f>VLOOKUP($A23,[6]HISTOMARS23!$A$7:$AU$45,38,0)</f>
        <v>0</v>
      </c>
      <c r="J23" s="7">
        <f>IF(I23=0,0,VLOOKUP($A23,[6]HISTOMARS23!$A$7:$AU$45,42,0))</f>
        <v>0</v>
      </c>
      <c r="K23" s="7">
        <f>VLOOKUP($A23,[6]HISTOMARS23!$A$7:$AU$45,41,0)</f>
        <v>0</v>
      </c>
      <c r="L23" s="7">
        <f>TONTFEV23!H23+TONTFEV23!I23</f>
        <v>0</v>
      </c>
      <c r="M23" s="7">
        <f>VLOOKUP($A23,[6]HISTOMARS23!$A$7:$AU$45,16,0)</f>
        <v>0</v>
      </c>
      <c r="N23" s="7" t="str">
        <f>IF(M23&lt;&gt;0,VLOOKUP($A23,[6]HISTOMARS23!$A$7:$AU$45,8,0),"ECHEC")</f>
        <v>ECHEC</v>
      </c>
      <c r="O23" s="7">
        <f>IF(R23=0,0,VLOOKUP($A23,[6]HISTOMARS23!$A$7:$AU$45,32,0))</f>
        <v>0</v>
      </c>
      <c r="P23" s="7">
        <f>VLOOKUP($A23,[6]HISTOMARS23!$A$7:$AU$45,33,0)</f>
        <v>0</v>
      </c>
      <c r="Q23" s="7">
        <f t="shared" si="0"/>
        <v>0</v>
      </c>
      <c r="R23" s="7">
        <f>VLOOKUP($A23,[6]HISTOMARS23!$A$7:$AU$45,29,0)</f>
        <v>0</v>
      </c>
    </row>
    <row r="24" spans="1:18" x14ac:dyDescent="0.25">
      <c r="A24" s="1" t="s">
        <v>22</v>
      </c>
      <c r="B24" s="7">
        <f>IF(D24=0,0,VLOOKUP($A24,[6]HISTOMARS23!$A$6:$BO$40,10,0))</f>
        <v>1</v>
      </c>
      <c r="C24" s="1" t="str">
        <f>VLOOKUP(A24,[7]LISTADHERENT!A$5:H$60,3,0)</f>
        <v>NGUIEMEGNI MATHIEU BLAISE</v>
      </c>
      <c r="D24" s="7">
        <f t="shared" si="1"/>
        <v>25000</v>
      </c>
      <c r="E24" s="7">
        <f>D24+VLOOKUP($A24,[6]HISTOMARS23!$A$7:$AU$40,45,0)+F24</f>
        <v>30000</v>
      </c>
      <c r="F24" s="7">
        <f>VLOOKUP($A24,[6]HISTOMARS23!$A$7:$AU$45,7,0)</f>
        <v>0</v>
      </c>
      <c r="G24" s="7" t="str">
        <f>VLOOKUP($A24,[6]HISTOMARS23!$A$7:$AU$45,8,0)</f>
        <v>BANQUE</v>
      </c>
      <c r="H24" s="7">
        <f>VLOOKUP($A24,[6]HISTOMARS23!$A$6:$AU$45,35,0)</f>
        <v>0</v>
      </c>
      <c r="I24" s="7">
        <f>VLOOKUP($A24,[6]HISTOMARS23!$A$7:$AU$45,38,0)</f>
        <v>0</v>
      </c>
      <c r="J24" s="7">
        <f>IF(I24=0,0,VLOOKUP($A24,[6]HISTOMARS23!$A$7:$AU$45,42,0))</f>
        <v>0</v>
      </c>
      <c r="K24" s="7">
        <f>VLOOKUP($A24,[6]HISTOMARS23!$A$7:$AU$45,41,0)</f>
        <v>0</v>
      </c>
      <c r="L24" s="7">
        <f>TONTFEV23!H24+TONTFEV23!I24</f>
        <v>0</v>
      </c>
      <c r="M24" s="7">
        <f>VLOOKUP($A24,[6]HISTOMARS23!$A$7:$AU$45,16,0)</f>
        <v>0</v>
      </c>
      <c r="N24" s="7" t="str">
        <f>IF(M24&lt;&gt;0,VLOOKUP($A24,[6]HISTOMARS23!$A$7:$AU$45,8,0),"ECHEC")</f>
        <v>ECHEC</v>
      </c>
      <c r="O24" s="7">
        <f>IF(R24=0,0,VLOOKUP($A24,[6]HISTOMARS23!$A$7:$AU$45,32,0))</f>
        <v>0</v>
      </c>
      <c r="P24" s="7">
        <f>VLOOKUP($A24,[6]HISTOMARS23!$A$7:$AU$45,33,0)</f>
        <v>0</v>
      </c>
      <c r="Q24" s="7">
        <f t="shared" si="0"/>
        <v>0</v>
      </c>
      <c r="R24" s="7">
        <f>VLOOKUP($A24,[6]HISTOMARS23!$A$7:$AU$45,29,0)</f>
        <v>0</v>
      </c>
    </row>
    <row r="25" spans="1:18" x14ac:dyDescent="0.25">
      <c r="A25" s="1" t="s">
        <v>23</v>
      </c>
      <c r="B25" s="7">
        <f>IF(D25=0,0,VLOOKUP($A25,[6]HISTOMARS23!$A$6:$BO$40,10,0))</f>
        <v>1</v>
      </c>
      <c r="C25" s="1" t="str">
        <f>VLOOKUP(A25,[7]LISTADHERENT!A$5:H$60,3,0)</f>
        <v>NKAMGANG JUSTIN DEJOLIE</v>
      </c>
      <c r="D25" s="7">
        <f t="shared" si="1"/>
        <v>25000</v>
      </c>
      <c r="E25" s="7">
        <f>D25+VLOOKUP($A25,[6]HISTOMARS23!$A$7:$AU$40,45,0)+F25</f>
        <v>43000</v>
      </c>
      <c r="F25" s="7">
        <f>VLOOKUP($A25,[6]HISTOMARS23!$A$7:$AU$45,7,0)</f>
        <v>3000</v>
      </c>
      <c r="G25" s="7" t="str">
        <f>VLOOKUP($A25,[6]HISTOMARS23!$A$7:$AU$45,8,0)</f>
        <v>ESPECES</v>
      </c>
      <c r="H25" s="7">
        <f>VLOOKUP($A25,[6]HISTOMARS23!$A$6:$AU$45,35,0)</f>
        <v>0</v>
      </c>
      <c r="I25" s="7">
        <f>VLOOKUP($A25,[6]HISTOMARS23!$A$7:$AU$45,38,0)</f>
        <v>0</v>
      </c>
      <c r="J25" s="7">
        <f>IF(I25=0,0,VLOOKUP($A25,[6]HISTOMARS23!$A$7:$AU$45,42,0))</f>
        <v>0</v>
      </c>
      <c r="K25" s="7">
        <f>VLOOKUP($A25,[6]HISTOMARS23!$A$7:$AU$45,41,0)</f>
        <v>0</v>
      </c>
      <c r="L25" s="7">
        <f>TONTFEV23!H25+TONTFEV23!I25</f>
        <v>41000</v>
      </c>
      <c r="M25" s="7">
        <f>VLOOKUP($A25,[6]HISTOMARS23!$A$7:$AU$45,16,0)</f>
        <v>41000</v>
      </c>
      <c r="N25" s="7" t="str">
        <f>IF(M25&lt;&gt;0,VLOOKUP($A25,[6]HISTOMARS23!$A$7:$AU$45,8,0),"ECHEC")</f>
        <v>ESPECES</v>
      </c>
      <c r="O25" s="7">
        <f>IF(R25=0,0,VLOOKUP($A25,[6]HISTOMARS23!$A$7:$AU$45,32,0))</f>
        <v>0</v>
      </c>
      <c r="P25" s="7">
        <f>VLOOKUP($A25,[6]HISTOMARS23!$A$7:$AU$45,33,0)</f>
        <v>0</v>
      </c>
      <c r="Q25" s="7">
        <f t="shared" si="0"/>
        <v>0</v>
      </c>
      <c r="R25" s="7">
        <f>VLOOKUP($A25,[6]HISTOMARS23!$A$7:$AU$45,29,0)</f>
        <v>0</v>
      </c>
    </row>
    <row r="26" spans="1:18" x14ac:dyDescent="0.25">
      <c r="A26" s="1" t="s">
        <v>86</v>
      </c>
      <c r="B26" s="7">
        <f>IF(D26=0,0,VLOOKUP($A26,[6]HISTOMARS23!$A$6:$BO$40,10,0))</f>
        <v>1</v>
      </c>
      <c r="C26" s="1" t="str">
        <f>VLOOKUP(A26,[7]LISTADHERENT!A$5:H$60,3,0)</f>
        <v>NOUBE ETIENNE</v>
      </c>
      <c r="D26" s="7">
        <f t="shared" si="1"/>
        <v>25000</v>
      </c>
      <c r="E26" s="7">
        <f>D26+VLOOKUP($A26,[6]HISTOMARS23!$A$7:$AU$40,45,0)+F26</f>
        <v>50000</v>
      </c>
      <c r="F26" s="7">
        <f>VLOOKUP($A26,[6]HISTOMARS23!$A$7:$AU$45,7,0)</f>
        <v>0</v>
      </c>
      <c r="G26" s="7" t="str">
        <f>VLOOKUP($A26,[6]HISTOMARS23!$A$7:$AU$45,8,0)</f>
        <v>BANQUE</v>
      </c>
      <c r="H26" s="7">
        <f>VLOOKUP($A26,[6]HISTOMARS23!$A$6:$AU$45,35,0)</f>
        <v>0</v>
      </c>
      <c r="I26" s="7">
        <f>VLOOKUP($A26,[6]HISTOMARS23!$A$7:$AU$45,38,0)</f>
        <v>0</v>
      </c>
      <c r="J26" s="7">
        <f>IF(I26=0,0,VLOOKUP($A26,[6]HISTOMARS23!$A$7:$AU$45,42,0))</f>
        <v>0</v>
      </c>
      <c r="K26" s="7">
        <f>VLOOKUP($A26,[6]HISTOMARS23!$A$7:$AU$45,41,0)</f>
        <v>0</v>
      </c>
      <c r="L26" s="7">
        <f>TONTFEV23!H26+TONTFEV23!I26</f>
        <v>0</v>
      </c>
      <c r="M26" s="7">
        <f>VLOOKUP($A26,[6]HISTOMARS23!$A$7:$AU$45,16,0)</f>
        <v>0</v>
      </c>
      <c r="N26" s="7" t="str">
        <f>IF(M26&lt;&gt;0,VLOOKUP($A26,[6]HISTOMARS23!$A$7:$AU$45,8,0),"ECHEC")</f>
        <v>ECHEC</v>
      </c>
      <c r="O26" s="7">
        <f>IF(R26=0,0,VLOOKUP($A26,[6]HISTOMARS23!$A$7:$AU$45,32,0))</f>
        <v>0</v>
      </c>
      <c r="P26" s="7">
        <f>VLOOKUP($A26,[6]HISTOMARS23!$A$7:$AU$45,33,0)</f>
        <v>0</v>
      </c>
      <c r="Q26" s="7">
        <f t="shared" si="0"/>
        <v>0</v>
      </c>
      <c r="R26" s="7">
        <f>VLOOKUP($A26,[6]HISTOMARS23!$A$7:$AU$45,29,0)</f>
        <v>0</v>
      </c>
    </row>
    <row r="27" spans="1:18" x14ac:dyDescent="0.25">
      <c r="A27" s="1" t="s">
        <v>24</v>
      </c>
      <c r="B27" s="7">
        <f>IF(D27=0,0,VLOOKUP($A27,[6]HISTOMARS23!$A$6:$BO$40,10,0))</f>
        <v>1</v>
      </c>
      <c r="C27" s="1" t="str">
        <f>VLOOKUP(A27,[7]LISTADHERENT!A$5:H$60,3,0)</f>
        <v>PATEGO NJOSSU GUSTAVE</v>
      </c>
      <c r="D27" s="7">
        <f t="shared" si="1"/>
        <v>25000</v>
      </c>
      <c r="E27" s="7">
        <f>D27+VLOOKUP($A27,[6]HISTOMARS23!$A$7:$AU$40,45,0)+F27</f>
        <v>40000</v>
      </c>
      <c r="F27" s="7">
        <f>VLOOKUP($A27,[6]HISTOMARS23!$A$7:$AU$45,7,0)</f>
        <v>0</v>
      </c>
      <c r="G27" s="7" t="str">
        <f>VLOOKUP($A27,[6]HISTOMARS23!$A$7:$AU$45,8,0)</f>
        <v>BANQUE</v>
      </c>
      <c r="H27" s="7">
        <f>VLOOKUP($A27,[6]HISTOMARS23!$A$6:$AU$45,35,0)</f>
        <v>0</v>
      </c>
      <c r="I27" s="7">
        <f>VLOOKUP($A27,[6]HISTOMARS23!$A$7:$AU$45,38,0)</f>
        <v>0</v>
      </c>
      <c r="J27" s="7">
        <f>IF(I27=0,0,VLOOKUP($A27,[6]HISTOMARS23!$A$7:$AU$45,42,0))</f>
        <v>0</v>
      </c>
      <c r="K27" s="7">
        <f>VLOOKUP($A27,[6]HISTOMARS23!$A$7:$AU$45,41,0)</f>
        <v>0</v>
      </c>
      <c r="L27" s="7">
        <f>TONTFEV23!H27+TONTFEV23!I27</f>
        <v>0</v>
      </c>
      <c r="M27" s="7">
        <f>VLOOKUP($A27,[6]HISTOMARS23!$A$7:$AU$45,16,0)</f>
        <v>0</v>
      </c>
      <c r="N27" s="7" t="str">
        <f>IF(M27&lt;&gt;0,VLOOKUP($A27,[6]HISTOMARS23!$A$7:$AU$45,8,0),"ECHEC")</f>
        <v>ECHEC</v>
      </c>
      <c r="O27" s="7">
        <f>IF(R27=0,0,VLOOKUP($A27,[6]HISTOMARS23!$A$7:$AU$45,32,0))</f>
        <v>0</v>
      </c>
      <c r="P27" s="7">
        <f>VLOOKUP($A27,[6]HISTOMARS23!$A$7:$AU$45,33,0)</f>
        <v>0</v>
      </c>
      <c r="Q27" s="7">
        <f t="shared" si="0"/>
        <v>0</v>
      </c>
      <c r="R27" s="7">
        <f>VLOOKUP($A27,[6]HISTOMARS23!$A$7:$AU$45,29,0)</f>
        <v>0</v>
      </c>
    </row>
    <row r="28" spans="1:18" x14ac:dyDescent="0.25">
      <c r="A28" s="1" t="s">
        <v>87</v>
      </c>
      <c r="B28" s="7">
        <f>IF(D28=0,0,VLOOKUP($A28,[6]HISTOMARS23!$A$6:$BO$40,10,0))</f>
        <v>1</v>
      </c>
      <c r="C28" s="1" t="str">
        <f>VLOOKUP(A28,[7]LISTADHERENT!A$5:H$60,3,0)</f>
        <v>SEUMO POLYCARPE</v>
      </c>
      <c r="D28" s="7">
        <f t="shared" si="1"/>
        <v>25000</v>
      </c>
      <c r="E28" s="7">
        <f>D28+VLOOKUP($A28,[6]HISTOMARS23!$A$7:$AU$40,45,0)+F28</f>
        <v>40000</v>
      </c>
      <c r="F28" s="7">
        <f>VLOOKUP($A28,[6]HISTOMARS23!$A$7:$AU$45,7,0)</f>
        <v>0</v>
      </c>
      <c r="G28" s="7" t="str">
        <f>VLOOKUP($A28,[6]HISTOMARS23!$A$7:$AU$45,8,0)</f>
        <v>BANQUE</v>
      </c>
      <c r="H28" s="7">
        <f>VLOOKUP($A28,[6]HISTOMARS23!$A$6:$AU$45,35,0)</f>
        <v>0</v>
      </c>
      <c r="I28" s="7">
        <f>VLOOKUP($A28,[6]HISTOMARS23!$A$7:$AU$45,38,0)</f>
        <v>0</v>
      </c>
      <c r="J28" s="7">
        <f>IF(I28=0,0,VLOOKUP($A28,[6]HISTOMARS23!$A$7:$AU$45,42,0))</f>
        <v>0</v>
      </c>
      <c r="K28" s="7">
        <f>VLOOKUP($A28,[6]HISTOMARS23!$A$7:$AU$45,41,0)</f>
        <v>0</v>
      </c>
      <c r="L28" s="7">
        <f>TONTFEV23!H28+TONTFEV23!I28</f>
        <v>0</v>
      </c>
      <c r="M28" s="7">
        <f>VLOOKUP($A28,[6]HISTOMARS23!$A$7:$AU$45,16,0)</f>
        <v>0</v>
      </c>
      <c r="N28" s="7" t="str">
        <f>IF(M28&lt;&gt;0,VLOOKUP($A28,[6]HISTOMARS23!$A$7:$AU$45,8,0),"ECHEC")</f>
        <v>ECHEC</v>
      </c>
      <c r="O28" s="7">
        <f>IF(R28=0,0,VLOOKUP($A28,[6]HISTOMARS23!$A$7:$AU$45,32,0))</f>
        <v>0</v>
      </c>
      <c r="P28" s="7">
        <f>VLOOKUP($A28,[6]HISTOMARS23!$A$7:$AU$45,33,0)</f>
        <v>0</v>
      </c>
      <c r="Q28" s="7">
        <f t="shared" si="0"/>
        <v>0</v>
      </c>
      <c r="R28" s="7">
        <f>VLOOKUP($A28,[6]HISTOMARS23!$A$7:$AU$45,29,0)</f>
        <v>0</v>
      </c>
    </row>
    <row r="29" spans="1:18" x14ac:dyDescent="0.25">
      <c r="A29" s="1" t="s">
        <v>47</v>
      </c>
      <c r="B29" s="7">
        <f>IF(D29=0,0,VLOOKUP($A29,[6]HISTOMARS23!$A$6:$BO$40,10,0))</f>
        <v>1</v>
      </c>
      <c r="C29" s="1" t="str">
        <f>VLOOKUP(A29,[7]LISTADHERENT!A$5:H$60,3,0)</f>
        <v>SIME BRICE</v>
      </c>
      <c r="D29" s="7">
        <f t="shared" si="1"/>
        <v>25000</v>
      </c>
      <c r="E29" s="7">
        <f>D29+VLOOKUP($A29,[6]HISTOMARS23!$A$7:$AU$40,45,0)+F29</f>
        <v>40000</v>
      </c>
      <c r="F29" s="7">
        <f>VLOOKUP($A29,[6]HISTOMARS23!$A$7:$AU$45,7,0)</f>
        <v>0</v>
      </c>
      <c r="G29" s="7" t="str">
        <f>VLOOKUP($A29,[6]HISTOMARS23!$A$7:$AU$45,8,0)</f>
        <v>BANQUE</v>
      </c>
      <c r="H29" s="7">
        <f>VLOOKUP($A29,[6]HISTOMARS23!$A$6:$AU$45,35,0)</f>
        <v>0</v>
      </c>
      <c r="I29" s="7">
        <f>VLOOKUP($A29,[6]HISTOMARS23!$A$7:$AU$45,38,0)</f>
        <v>0</v>
      </c>
      <c r="J29" s="7">
        <f>IF(I29=0,0,VLOOKUP($A29,[6]HISTOMARS23!$A$7:$AU$45,42,0))</f>
        <v>0</v>
      </c>
      <c r="K29" s="7">
        <f>VLOOKUP($A29,[6]HISTOMARS23!$A$7:$AU$45,41,0)</f>
        <v>0</v>
      </c>
      <c r="L29" s="7">
        <f>TONTFEV23!H29+TONTFEV23!I29</f>
        <v>0</v>
      </c>
      <c r="M29" s="7">
        <f>VLOOKUP($A29,[6]HISTOMARS23!$A$7:$AU$45,16,0)</f>
        <v>0</v>
      </c>
      <c r="N29" s="7" t="str">
        <f>IF(M29&lt;&gt;0,VLOOKUP($A29,[6]HISTOMARS23!$A$7:$AU$45,8,0),"ECHEC")</f>
        <v>ECHEC</v>
      </c>
      <c r="O29" s="7">
        <f>IF(R29=0,0,VLOOKUP($A29,[6]HISTOMARS23!$A$7:$AU$45,32,0))</f>
        <v>0</v>
      </c>
      <c r="P29" s="7">
        <f>VLOOKUP($A29,[6]HISTOMARS23!$A$7:$AU$45,33,0)</f>
        <v>0</v>
      </c>
      <c r="Q29" s="7">
        <f t="shared" si="0"/>
        <v>0</v>
      </c>
      <c r="R29" s="7">
        <f>VLOOKUP($A29,[6]HISTOMARS23!$A$7:$AU$45,29,0)</f>
        <v>0</v>
      </c>
    </row>
    <row r="30" spans="1:18" x14ac:dyDescent="0.25">
      <c r="A30" s="1" t="s">
        <v>25</v>
      </c>
      <c r="B30" s="7">
        <f>IF(D30=0,0,VLOOKUP($A30,[6]HISTOMARS23!$A$6:$BO$40,10,0))</f>
        <v>1</v>
      </c>
      <c r="C30" s="1" t="str">
        <f>VLOOKUP(A30,[7]LISTADHERENT!A$5:H$60,3,0)</f>
        <v>SIMO PIERRE</v>
      </c>
      <c r="D30" s="7">
        <f t="shared" si="1"/>
        <v>25000</v>
      </c>
      <c r="E30" s="7">
        <f>D30+VLOOKUP($A30,[6]HISTOMARS23!$A$7:$AU$40,45,0)+F30</f>
        <v>40000</v>
      </c>
      <c r="F30" s="7">
        <f>VLOOKUP($A30,[6]HISTOMARS23!$A$7:$AU$45,7,0)</f>
        <v>0</v>
      </c>
      <c r="G30" s="7" t="str">
        <f>VLOOKUP($A30,[6]HISTOMARS23!$A$7:$AU$45,8,0)</f>
        <v>BANQUE</v>
      </c>
      <c r="H30" s="7">
        <f>VLOOKUP($A30,[6]HISTOMARS23!$A$6:$AU$45,35,0)</f>
        <v>0</v>
      </c>
      <c r="I30" s="7">
        <f>VLOOKUP($A30,[6]HISTOMARS23!$A$7:$AU$45,38,0)</f>
        <v>0</v>
      </c>
      <c r="J30" s="7">
        <f>IF(I30=0,0,VLOOKUP($A30,[6]HISTOMARS23!$A$7:$AU$45,42,0))</f>
        <v>0</v>
      </c>
      <c r="K30" s="7">
        <f>VLOOKUP($A30,[6]HISTOMARS23!$A$7:$AU$45,41,0)</f>
        <v>0</v>
      </c>
      <c r="L30" s="7">
        <f>TONTFEV23!H30+TONTFEV23!I30</f>
        <v>0</v>
      </c>
      <c r="M30" s="7">
        <f>VLOOKUP($A30,[6]HISTOMARS23!$A$7:$AU$45,16,0)</f>
        <v>0</v>
      </c>
      <c r="N30" s="7" t="str">
        <f>IF(M30&lt;&gt;0,VLOOKUP($A30,[6]HISTOMARS23!$A$7:$AU$45,8,0),"ECHEC")</f>
        <v>ECHEC</v>
      </c>
      <c r="O30" s="7">
        <f>IF(R30=0,0,VLOOKUP($A30,[6]HISTOMARS23!$A$7:$AU$45,32,0))</f>
        <v>0</v>
      </c>
      <c r="P30" s="7">
        <f>VLOOKUP($A30,[6]HISTOMARS23!$A$7:$AU$45,33,0)</f>
        <v>0</v>
      </c>
      <c r="Q30" s="7">
        <f t="shared" si="0"/>
        <v>289000</v>
      </c>
      <c r="R30" s="7">
        <f>VLOOKUP($A30,[6]HISTOMARS23!$A$7:$AU$45,29,0)</f>
        <v>11000</v>
      </c>
    </row>
    <row r="31" spans="1:18" x14ac:dyDescent="0.25">
      <c r="A31" s="1" t="s">
        <v>27</v>
      </c>
      <c r="B31" s="7">
        <f>IF(D31=0,0,VLOOKUP($A31,[6]HISTOMARS23!$A$6:$BO$40,10,0))</f>
        <v>1</v>
      </c>
      <c r="C31" s="1" t="str">
        <f>VLOOKUP(A31,[7]LISTADHERENT!A$5:H$60,3,0)</f>
        <v>TCHOUAMOU MATHIEU</v>
      </c>
      <c r="D31" s="7">
        <f t="shared" si="1"/>
        <v>25000</v>
      </c>
      <c r="E31" s="7">
        <f>D31+VLOOKUP($A31,[6]HISTOMARS23!$A$7:$AU$40,45,0)+F31</f>
        <v>40000</v>
      </c>
      <c r="F31" s="7">
        <f>VLOOKUP($A31,[6]HISTOMARS23!$A$7:$AU$45,7,0)</f>
        <v>0</v>
      </c>
      <c r="G31" s="7" t="str">
        <f>VLOOKUP($A31,[6]HISTOMARS23!$A$7:$AU$45,8,0)</f>
        <v>BANQUE</v>
      </c>
      <c r="H31" s="7">
        <f>VLOOKUP($A31,[6]HISTOMARS23!$A$6:$AU$45,35,0)</f>
        <v>0</v>
      </c>
      <c r="I31" s="7">
        <f>VLOOKUP($A31,[6]HISTOMARS23!$A$7:$AU$45,38,0)</f>
        <v>0</v>
      </c>
      <c r="J31" s="7">
        <f>IF(I31=0,0,VLOOKUP($A31,[6]HISTOMARS23!$A$7:$AU$45,42,0))</f>
        <v>0</v>
      </c>
      <c r="K31" s="7">
        <f>VLOOKUP($A31,[6]HISTOMARS23!$A$7:$AU$45,41,0)</f>
        <v>0</v>
      </c>
      <c r="L31" s="7">
        <f>TONTFEV23!H31+TONTFEV23!I31</f>
        <v>0</v>
      </c>
      <c r="M31" s="7">
        <f>VLOOKUP($A31,[6]HISTOMARS23!$A$7:$AU$45,16,0)</f>
        <v>0</v>
      </c>
      <c r="N31" s="7" t="str">
        <f>IF(M31&lt;&gt;0,VLOOKUP($A31,[6]HISTOMARS23!$A$7:$AU$45,8,0),"ECHEC")</f>
        <v>ECHEC</v>
      </c>
      <c r="O31" s="7">
        <f>IF(R31=0,0,VLOOKUP($A31,[6]HISTOMARS23!$A$7:$AU$45,32,0))</f>
        <v>0</v>
      </c>
      <c r="P31" s="7">
        <f>VLOOKUP($A31,[6]HISTOMARS23!$A$7:$AU$45,33,0)</f>
        <v>0</v>
      </c>
      <c r="Q31" s="7">
        <f t="shared" si="0"/>
        <v>0</v>
      </c>
      <c r="R31" s="7">
        <f>VLOOKUP($A31,[6]HISTOMARS23!$A$7:$AU$45,29,0)</f>
        <v>0</v>
      </c>
    </row>
    <row r="32" spans="1:18" x14ac:dyDescent="0.25">
      <c r="A32" s="1" t="s">
        <v>88</v>
      </c>
      <c r="B32" s="7">
        <f>IF(D32=0,0,VLOOKUP($A32,[6]HISTOMARS23!$A$6:$BO$40,10,0))</f>
        <v>1</v>
      </c>
      <c r="C32" s="1" t="str">
        <f>VLOOKUP(A32,[7]LISTADHERENT!A$5:H$60,3,0)</f>
        <v>TCHOUTOU NANA CLAUDE</v>
      </c>
      <c r="D32" s="7">
        <f t="shared" si="1"/>
        <v>25000</v>
      </c>
      <c r="E32" s="7">
        <f>D32+VLOOKUP($A32,[6]HISTOMARS23!$A$7:$AU$40,45,0)+F32</f>
        <v>40000</v>
      </c>
      <c r="F32" s="7">
        <f>VLOOKUP($A32,[6]HISTOMARS23!$A$7:$AU$45,7,0)</f>
        <v>0</v>
      </c>
      <c r="G32" s="7" t="str">
        <f>VLOOKUP($A32,[6]HISTOMARS23!$A$7:$AU$45,8,0)</f>
        <v>BANQUE</v>
      </c>
      <c r="H32" s="7">
        <f>VLOOKUP($A32,[6]HISTOMARS23!$A$6:$AU$45,35,0)</f>
        <v>0</v>
      </c>
      <c r="I32" s="7">
        <f>VLOOKUP($A32,[6]HISTOMARS23!$A$7:$AU$45,38,0)</f>
        <v>0</v>
      </c>
      <c r="J32" s="7">
        <f>IF(I32=0,0,VLOOKUP($A32,[6]HISTOMARS23!$A$7:$AU$45,42,0))</f>
        <v>0</v>
      </c>
      <c r="K32" s="7">
        <f>VLOOKUP($A32,[6]HISTOMARS23!$A$7:$AU$45,41,0)</f>
        <v>0</v>
      </c>
      <c r="L32" s="7">
        <f>TONTFEV23!H32+TONTFEV23!I32</f>
        <v>0</v>
      </c>
      <c r="M32" s="7">
        <f>VLOOKUP($A32,[6]HISTOMARS23!$A$7:$AU$45,16,0)</f>
        <v>0</v>
      </c>
      <c r="N32" s="7" t="str">
        <f>IF(M32&lt;&gt;0,VLOOKUP($A32,[6]HISTOMARS23!$A$7:$AU$45,8,0),"ECHEC")</f>
        <v>ECHEC</v>
      </c>
      <c r="O32" s="7">
        <f>IF(R32=0,0,VLOOKUP($A32,[6]HISTOMARS23!$A$7:$AU$45,32,0))</f>
        <v>0</v>
      </c>
      <c r="P32" s="7">
        <f>VLOOKUP($A32,[6]HISTOMARS23!$A$7:$AU$45,33,0)</f>
        <v>0</v>
      </c>
      <c r="Q32" s="7">
        <f t="shared" si="0"/>
        <v>0</v>
      </c>
      <c r="R32" s="7">
        <f>VLOOKUP($A32,[6]HISTOMARS23!$A$7:$AU$45,29,0)</f>
        <v>0</v>
      </c>
    </row>
    <row r="33" spans="1:18" x14ac:dyDescent="0.25">
      <c r="A33" s="1" t="s">
        <v>90</v>
      </c>
      <c r="B33" s="7">
        <f>IF(D33=0,0,VLOOKUP($A33,[6]HISTOMARS23!$A$6:$BO$40,10,0))</f>
        <v>1</v>
      </c>
      <c r="C33" s="1" t="str">
        <f>VLOOKUP(A33,[7]LISTADHERENT!A$5:H$60,3,0)</f>
        <v>YANTCHOU GERVAIS</v>
      </c>
      <c r="D33" s="7">
        <f t="shared" si="1"/>
        <v>25000</v>
      </c>
      <c r="E33" s="7">
        <f>D33+VLOOKUP($A33,[6]HISTOMARS23!$A$7:$AU$40,45,0)+F33</f>
        <v>75000</v>
      </c>
      <c r="F33" s="7">
        <f>VLOOKUP($A33,[6]HISTOMARS23!$A$7:$AU$45,7,0)</f>
        <v>0</v>
      </c>
      <c r="G33" s="7" t="str">
        <f>VLOOKUP($A33,[6]HISTOMARS23!$A$7:$AU$45,8,0)</f>
        <v>BANQUE</v>
      </c>
      <c r="H33" s="7">
        <f>VLOOKUP($A33,[6]HISTOMARS23!$A$6:$AU$45,35,0)</f>
        <v>0</v>
      </c>
      <c r="I33" s="7">
        <f>VLOOKUP($A33,[6]HISTOMARS23!$A$7:$AU$45,38,0)</f>
        <v>0</v>
      </c>
      <c r="J33" s="7">
        <f>IF(I33=0,0,VLOOKUP($A33,[6]HISTOMARS23!$A$7:$AU$45,42,0))</f>
        <v>0</v>
      </c>
      <c r="K33" s="7">
        <f>VLOOKUP($A33,[6]HISTOMARS23!$A$7:$AU$45,41,0)</f>
        <v>0</v>
      </c>
      <c r="L33" s="7">
        <f>TONTFEV23!H33+TONTFEV23!I33</f>
        <v>0</v>
      </c>
      <c r="M33" s="7">
        <f>VLOOKUP($A33,[6]HISTOMARS23!$A$7:$AU$45,16,0)</f>
        <v>0</v>
      </c>
      <c r="N33" s="7" t="str">
        <f>IF(M33&lt;&gt;0,VLOOKUP($A33,[6]HISTOMARS23!$A$7:$AU$45,8,0),"ECHEC")</f>
        <v>ECHEC</v>
      </c>
      <c r="O33" s="7">
        <f>IF(R33=0,0,VLOOKUP($A33,[6]HISTOMARS23!$A$7:$AU$45,32,0))</f>
        <v>0</v>
      </c>
      <c r="P33" s="7">
        <f>VLOOKUP($A33,[6]HISTOMARS23!$A$7:$AU$45,33,0)</f>
        <v>0</v>
      </c>
      <c r="Q33" s="7">
        <f t="shared" si="0"/>
        <v>0</v>
      </c>
      <c r="R33" s="7">
        <f>VLOOKUP($A33,[6]HISTOMARS23!$A$7:$AU$45,29,0)</f>
        <v>0</v>
      </c>
    </row>
    <row r="34" spans="1:18" x14ac:dyDescent="0.25">
      <c r="A34" s="1" t="s">
        <v>28</v>
      </c>
      <c r="B34" s="7">
        <f>IF(D34=0,0,VLOOKUP($A34,[6]HISTOMARS23!$A$6:$BO$40,10,0))</f>
        <v>1</v>
      </c>
      <c r="C34" s="1" t="str">
        <f>VLOOKUP(A34,[7]LISTADHERENT!A$5:H$60,3,0)</f>
        <v>YEPMOU JEAN JACQUES</v>
      </c>
      <c r="D34" s="7">
        <f t="shared" si="1"/>
        <v>25000</v>
      </c>
      <c r="E34" s="7">
        <f>D34+VLOOKUP($A34,[6]HISTOMARS23!$A$7:$AU$40,45,0)+F34</f>
        <v>34000</v>
      </c>
      <c r="F34" s="7">
        <f>VLOOKUP($A34,[6]HISTOMARS23!$A$7:$AU$45,7,0)</f>
        <v>0</v>
      </c>
      <c r="G34" s="7" t="str">
        <f>VLOOKUP($A34,[6]HISTOMARS23!$A$7:$AU$45,8,0)</f>
        <v>BANQUE</v>
      </c>
      <c r="H34" s="7">
        <f>VLOOKUP($A34,[6]HISTOMARS23!$A$6:$AU$45,35,0)</f>
        <v>0</v>
      </c>
      <c r="I34" s="7">
        <f>VLOOKUP($A34,[6]HISTOMARS23!$A$7:$AU$45,38,0)</f>
        <v>0</v>
      </c>
      <c r="J34" s="7">
        <f>IF(I34=0,0,VLOOKUP($A34,[6]HISTOMARS23!$A$7:$AU$45,42,0))</f>
        <v>0</v>
      </c>
      <c r="K34" s="7">
        <f>VLOOKUP($A34,[6]HISTOMARS23!$A$7:$AU$45,41,0)</f>
        <v>0</v>
      </c>
      <c r="L34" s="7">
        <f>TONTFEV23!H34+TONTFEV23!I34</f>
        <v>0</v>
      </c>
      <c r="M34" s="7">
        <f>VLOOKUP($A34,[6]HISTOMARS23!$A$7:$AU$45,16,0)</f>
        <v>0</v>
      </c>
      <c r="N34" s="7" t="str">
        <f>IF(M34&lt;&gt;0,VLOOKUP($A34,[6]HISTOMARS23!$A$7:$AU$45,8,0),"ECHEC")</f>
        <v>ECHEC</v>
      </c>
      <c r="O34" s="7">
        <f>IF(R34=0,0,VLOOKUP($A34,[6]HISTOMARS23!$A$7:$AU$45,32,0))</f>
        <v>0</v>
      </c>
      <c r="P34" s="7">
        <f>VLOOKUP($A34,[6]HISTOMARS23!$A$7:$AU$45,33,0)</f>
        <v>0</v>
      </c>
      <c r="Q34" s="7">
        <f t="shared" si="0"/>
        <v>0</v>
      </c>
      <c r="R34" s="7">
        <f>VLOOKUP($A34,[6]HISTOMARS23!$A$7:$AU$45,29,0)</f>
        <v>0</v>
      </c>
    </row>
    <row r="35" spans="1:18" x14ac:dyDescent="0.25">
      <c r="A35" s="1" t="s">
        <v>29</v>
      </c>
      <c r="B35" s="7">
        <f>IF(D35=0,0,VLOOKUP($A35,[6]HISTOMARS23!$A$6:$BO$40,10,0))</f>
        <v>1</v>
      </c>
      <c r="C35" s="1" t="str">
        <f>VLOOKUP(A35,[7]LISTADHERENT!A$5:H$60,3,0)</f>
        <v>YOUMBI EMMANUEL</v>
      </c>
      <c r="D35" s="7">
        <f t="shared" si="1"/>
        <v>25000</v>
      </c>
      <c r="E35" s="7">
        <f>D35+VLOOKUP($A35,[6]HISTOMARS23!$A$7:$AU$40,45,0)+F35</f>
        <v>40000</v>
      </c>
      <c r="F35" s="7">
        <f>VLOOKUP($A35,[6]HISTOMARS23!$A$7:$AU$45,7,0)</f>
        <v>0</v>
      </c>
      <c r="G35" s="7" t="str">
        <f>VLOOKUP($A35,[6]HISTOMARS23!$A$7:$AU$45,8,0)</f>
        <v>BANQUE</v>
      </c>
      <c r="H35" s="7">
        <f>VLOOKUP($A35,[6]HISTOMARS23!$A$6:$AU$45,35,0)</f>
        <v>0</v>
      </c>
      <c r="I35" s="7">
        <f>VLOOKUP($A35,[6]HISTOMARS23!$A$7:$AU$45,38,0)</f>
        <v>0</v>
      </c>
      <c r="J35" s="7">
        <f>IF(I35=0,0,VLOOKUP($A35,[6]HISTOMARS23!$A$7:$AU$45,42,0))</f>
        <v>0</v>
      </c>
      <c r="K35" s="7">
        <f>VLOOKUP($A35,[6]HISTOMARS23!$A$7:$AU$45,41,0)</f>
        <v>0</v>
      </c>
      <c r="L35" s="7">
        <f>TONTFEV23!H35+TONTFEV23!I35</f>
        <v>0</v>
      </c>
      <c r="M35" s="7">
        <f>VLOOKUP($A35,[6]HISTOMARS23!$A$7:$AU$45,16,0)</f>
        <v>0</v>
      </c>
      <c r="N35" s="7" t="str">
        <f>IF(M35&lt;&gt;0,VLOOKUP($A35,[6]HISTOMARS23!$A$7:$AU$45,8,0),"ECHEC")</f>
        <v>ECHEC</v>
      </c>
      <c r="O35" s="7">
        <f>IF(R35=0,0,VLOOKUP($A35,[6]HISTOMARS23!$A$7:$AU$45,32,0))</f>
        <v>0</v>
      </c>
      <c r="P35" s="7">
        <f>VLOOKUP($A35,[6]HISTOMARS23!$A$7:$AU$45,33,0)</f>
        <v>0</v>
      </c>
      <c r="Q35" s="7">
        <f t="shared" si="0"/>
        <v>0</v>
      </c>
      <c r="R35" s="7">
        <f>VLOOKUP($A35,[6]HISTOMARS23!$A$7:$AU$45,29,0)</f>
        <v>0</v>
      </c>
    </row>
    <row r="36" spans="1:18" x14ac:dyDescent="0.25">
      <c r="A36" s="1"/>
    </row>
    <row r="37" spans="1:18" ht="18" x14ac:dyDescent="0.25">
      <c r="A37" s="1" t="s">
        <v>84</v>
      </c>
      <c r="B37" s="8">
        <f>SUM(B6:B36)</f>
        <v>30</v>
      </c>
      <c r="I37" s="9"/>
    </row>
    <row r="38" spans="1:18" ht="18" x14ac:dyDescent="0.25">
      <c r="A38" s="1" t="s">
        <v>83</v>
      </c>
      <c r="B38" s="16">
        <f>COUNT(D6:D35)</f>
        <v>30</v>
      </c>
      <c r="C38" s="8"/>
      <c r="D38" s="8">
        <f>SUM(D6:D37)</f>
        <v>750000</v>
      </c>
      <c r="E38" s="8">
        <f>SUM(E6:E37)</f>
        <v>1283000</v>
      </c>
      <c r="F38" s="8">
        <f>SUM(F6:F37)</f>
        <v>6000</v>
      </c>
      <c r="G38" s="8"/>
      <c r="H38" s="8">
        <f t="shared" ref="H38:R38" si="2">SUM(H6:H37)</f>
        <v>0</v>
      </c>
      <c r="I38" s="8">
        <f t="shared" si="2"/>
        <v>0</v>
      </c>
      <c r="J38" s="8"/>
      <c r="K38" s="8"/>
      <c r="L38" s="8">
        <f t="shared" si="2"/>
        <v>114500</v>
      </c>
      <c r="M38" s="8">
        <f t="shared" si="2"/>
        <v>114500</v>
      </c>
      <c r="N38" s="8">
        <f t="shared" si="2"/>
        <v>0</v>
      </c>
      <c r="O38" s="8">
        <f t="shared" si="2"/>
        <v>0</v>
      </c>
      <c r="P38" s="8">
        <f t="shared" si="2"/>
        <v>0</v>
      </c>
      <c r="Q38" s="8">
        <f t="shared" si="2"/>
        <v>868000</v>
      </c>
      <c r="R38" s="8">
        <f t="shared" si="2"/>
        <v>32000</v>
      </c>
    </row>
    <row r="39" spans="1:18" s="2" customFormat="1" x14ac:dyDescent="0.25">
      <c r="B39"/>
      <c r="C39"/>
      <c r="D39"/>
      <c r="E39"/>
      <c r="F39"/>
      <c r="G39"/>
      <c r="H39"/>
      <c r="I39" s="9"/>
      <c r="J39" s="3"/>
      <c r="K39" s="3"/>
      <c r="L39" s="3"/>
      <c r="N39" s="4" t="s">
        <v>76</v>
      </c>
      <c r="O39" s="4" t="s">
        <v>85</v>
      </c>
      <c r="P39" s="3"/>
    </row>
    <row r="40" spans="1:18" s="2" customFormat="1" ht="29.25" x14ac:dyDescent="0.25">
      <c r="D40" s="4" t="s">
        <v>5</v>
      </c>
      <c r="E40" s="4" t="s">
        <v>7</v>
      </c>
      <c r="F40"/>
      <c r="G40" s="4" t="s">
        <v>36</v>
      </c>
      <c r="H40" s="4" t="s">
        <v>40</v>
      </c>
      <c r="I40" s="4" t="s">
        <v>42</v>
      </c>
      <c r="J40" s="4" t="s">
        <v>43</v>
      </c>
      <c r="K40" s="4"/>
      <c r="L40" s="8" t="s">
        <v>49</v>
      </c>
      <c r="M40" s="8">
        <f>D44+G44+R38+TONTFEV23!O45</f>
        <v>896500</v>
      </c>
      <c r="N40" s="4"/>
      <c r="O40"/>
      <c r="P40" s="4"/>
    </row>
    <row r="41" spans="1:18" s="2" customFormat="1" ht="18" x14ac:dyDescent="0.25">
      <c r="D41" s="8">
        <f>SUMIFS(D6:D37,G6:G37,"ESPECES")</f>
        <v>50000</v>
      </c>
      <c r="E41" s="8">
        <f>SUMIFS(E6:E37,G6:G37,"ESPECES")</f>
        <v>86000</v>
      </c>
      <c r="F41" s="8" t="s">
        <v>32</v>
      </c>
      <c r="G41" s="8">
        <f>SUMIFS(M6:M35,N6:N35,"ESPECES")</f>
        <v>41000</v>
      </c>
      <c r="H41" s="8">
        <f>SUMIFS(H6:H37,J6:J37,"ESPECES")</f>
        <v>0</v>
      </c>
      <c r="I41" s="8">
        <f>SUMIFS(Q6:Q37,O6:O37,"ESPECES")</f>
        <v>0</v>
      </c>
      <c r="J41" s="8">
        <f>D41+G41-H41-I41</f>
        <v>91000</v>
      </c>
      <c r="K41" s="8"/>
      <c r="L41" s="8" t="s">
        <v>80</v>
      </c>
      <c r="M41" s="8">
        <f>C3*COUNTIF(Q6:Q37,"&gt;0")</f>
        <v>900000</v>
      </c>
      <c r="N41" s="8">
        <f>D3</f>
        <v>2</v>
      </c>
      <c r="O41" s="8">
        <f>COUNTIF(Q6:Q35,"&gt;0")</f>
        <v>3</v>
      </c>
      <c r="P41" s="8"/>
    </row>
    <row r="42" spans="1:18" s="2" customFormat="1" ht="18" x14ac:dyDescent="0.25">
      <c r="D42" s="8">
        <f>SUMIFS(D6:D37,G6:G37,"BANQUE")</f>
        <v>700000</v>
      </c>
      <c r="E42" s="8">
        <f>SUMIFS(E6:E38,G6:G38,"BANQUE")</f>
        <v>1197000</v>
      </c>
      <c r="F42" s="8" t="s">
        <v>33</v>
      </c>
      <c r="G42" s="8">
        <f>SUMIFS(M6:M35,N6:N35,"BANQUE")</f>
        <v>73500</v>
      </c>
      <c r="H42" s="8">
        <f>SUMIFS(H6:H37,J6:J37,"BANQUE")</f>
        <v>0</v>
      </c>
      <c r="I42" s="8">
        <f>SUMIFS(Q6:Q37,O6:O37,"BANQUE")</f>
        <v>0</v>
      </c>
      <c r="J42" s="8">
        <f>D42+G42-H42-I42</f>
        <v>773500</v>
      </c>
      <c r="K42" s="8"/>
      <c r="M42" s="8"/>
      <c r="N42" s="8"/>
      <c r="O42" s="8"/>
      <c r="P42" s="8"/>
    </row>
    <row r="43" spans="1:18" s="2" customFormat="1" ht="18" x14ac:dyDescent="0.25">
      <c r="D43" s="8"/>
      <c r="E43" s="8"/>
      <c r="F43" s="8"/>
      <c r="G43" s="8"/>
      <c r="H43" s="8"/>
      <c r="I43" s="8"/>
      <c r="K43" s="8"/>
      <c r="L43" s="8" t="s">
        <v>48</v>
      </c>
      <c r="M43" s="8">
        <f>M40-M41</f>
        <v>-3500</v>
      </c>
      <c r="N43" s="8"/>
      <c r="O43" s="8"/>
      <c r="P43" s="8"/>
    </row>
    <row r="44" spans="1:18" s="2" customFormat="1" ht="18" x14ac:dyDescent="0.25">
      <c r="D44" s="8">
        <f>D41+D42</f>
        <v>750000</v>
      </c>
      <c r="E44" s="8">
        <f>E41+E42</f>
        <v>1283000</v>
      </c>
      <c r="F44" s="8" t="s">
        <v>30</v>
      </c>
      <c r="G44" s="8">
        <f>G41+G42</f>
        <v>114500</v>
      </c>
      <c r="H44" s="8">
        <f>H41+H42</f>
        <v>0</v>
      </c>
      <c r="I44" s="8">
        <f t="shared" ref="I44:J44" si="3">I41+I42</f>
        <v>0</v>
      </c>
      <c r="J44" s="8">
        <f t="shared" si="3"/>
        <v>864500</v>
      </c>
      <c r="K44" s="8"/>
      <c r="M44" s="8"/>
      <c r="N44" s="8"/>
      <c r="O44" s="8"/>
      <c r="P44" s="8"/>
    </row>
    <row r="45" spans="1:18" s="2" customFormat="1" ht="18" x14ac:dyDescent="0.25">
      <c r="D45" s="8"/>
      <c r="E45" s="8"/>
      <c r="F45" s="8" t="s">
        <v>52</v>
      </c>
      <c r="G45"/>
      <c r="H45"/>
      <c r="I45" s="3"/>
      <c r="J45" s="3"/>
      <c r="K45" s="3"/>
      <c r="L45" s="8" t="s">
        <v>51</v>
      </c>
      <c r="M45" s="8">
        <f>M43-H38</f>
        <v>-3500</v>
      </c>
      <c r="N45"/>
      <c r="O45" s="8">
        <f>TONTMARS23!M45</f>
        <v>-3500</v>
      </c>
      <c r="P45" s="8" t="s">
        <v>54</v>
      </c>
    </row>
    <row r="46" spans="1:18" s="2" customFormat="1" ht="18" x14ac:dyDescent="0.25">
      <c r="D46" s="4"/>
      <c r="E46" s="4"/>
      <c r="F46" s="8"/>
      <c r="G46"/>
      <c r="H46"/>
      <c r="I46" s="3"/>
      <c r="J46" s="3"/>
      <c r="K46" s="3"/>
      <c r="N46"/>
      <c r="O46" s="3"/>
      <c r="P46" s="3"/>
    </row>
    <row r="47" spans="1:18" ht="18" x14ac:dyDescent="0.25">
      <c r="L47" s="8" t="s">
        <v>56</v>
      </c>
      <c r="M47" s="8">
        <f>COUNTIFS(G6:G36,"ECHEC")*25000</f>
        <v>0</v>
      </c>
      <c r="O47" s="8">
        <f>TONTFEV23!O47+TONTMARS23!M47</f>
        <v>0</v>
      </c>
      <c r="P47" s="8" t="s">
        <v>54</v>
      </c>
    </row>
    <row r="48" spans="1:18" ht="18" x14ac:dyDescent="0.25">
      <c r="F48" s="2"/>
      <c r="L48" s="8" t="s">
        <v>55</v>
      </c>
      <c r="M48" s="8">
        <f>L38-G44</f>
        <v>0</v>
      </c>
      <c r="O48" s="8">
        <f>TONTFEV23!O48+TONTMARS23!M48</f>
        <v>0</v>
      </c>
      <c r="P48" s="8" t="s">
        <v>54</v>
      </c>
    </row>
  </sheetData>
  <autoFilter ref="A5:R25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"/>
  <sheetViews>
    <sheetView workbookViewId="0">
      <pane xSplit="3" ySplit="5" topLeftCell="H36" activePane="bottomRight" state="frozen"/>
      <selection activeCell="O49" sqref="O49"/>
      <selection pane="topRight" activeCell="O49" sqref="O49"/>
      <selection pane="bottomLeft" activeCell="O49" sqref="O49"/>
      <selection pane="bottomRight" activeCell="O45" sqref="O45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5" width="21" customWidth="1"/>
    <col min="6" max="6" width="21.42578125" customWidth="1"/>
    <col min="7" max="7" width="16.7109375" customWidth="1"/>
    <col min="8" max="8" width="15" customWidth="1"/>
    <col min="9" max="10" width="17.5703125" style="3" customWidth="1"/>
    <col min="11" max="11" width="16" style="3" customWidth="1"/>
    <col min="12" max="12" width="19.85546875" style="3" customWidth="1"/>
    <col min="13" max="13" width="15.7109375" style="2" customWidth="1"/>
    <col min="14" max="14" width="13" customWidth="1"/>
    <col min="15" max="15" width="14.5703125" bestFit="1" customWidth="1"/>
    <col min="16" max="16" width="15.5703125" style="3" customWidth="1"/>
    <col min="17" max="18" width="18.140625" style="2" customWidth="1"/>
  </cols>
  <sheetData>
    <row r="1" spans="1:18" x14ac:dyDescent="0.2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18" x14ac:dyDescent="0.25">
      <c r="A2" s="1" t="s">
        <v>2</v>
      </c>
      <c r="B2" s="1">
        <v>2023</v>
      </c>
      <c r="C2" s="1" t="s">
        <v>81</v>
      </c>
      <c r="D2" s="1" t="s">
        <v>76</v>
      </c>
      <c r="E2" s="1"/>
      <c r="F2" s="1"/>
      <c r="G2" s="1"/>
      <c r="N2" s="1"/>
      <c r="O2" s="1"/>
    </row>
    <row r="3" spans="1:18" x14ac:dyDescent="0.25">
      <c r="A3" s="1" t="s">
        <v>82</v>
      </c>
      <c r="B3" s="6">
        <v>25000</v>
      </c>
      <c r="C3" s="6">
        <f>B3*12</f>
        <v>300000</v>
      </c>
      <c r="D3" s="1">
        <f>ROUNDDOWN(M40/C3,0)</f>
        <v>2</v>
      </c>
      <c r="E3" s="1"/>
      <c r="F3" s="1"/>
      <c r="G3" s="1"/>
      <c r="N3" s="1"/>
      <c r="O3" s="1"/>
    </row>
    <row r="4" spans="1:18" s="13" customFormat="1" ht="18" x14ac:dyDescent="0.25">
      <c r="B4" s="14"/>
      <c r="C4" s="21">
        <v>45029</v>
      </c>
      <c r="D4" s="22"/>
      <c r="E4" s="22"/>
      <c r="F4" s="22"/>
      <c r="G4" s="22"/>
      <c r="H4" s="22"/>
      <c r="I4" s="22"/>
      <c r="J4" s="22"/>
      <c r="K4" s="22"/>
      <c r="L4" s="22"/>
      <c r="N4" s="15"/>
      <c r="O4" s="15"/>
      <c r="P4" s="15"/>
      <c r="Q4" s="15"/>
    </row>
    <row r="5" spans="1:18" ht="58.5" x14ac:dyDescent="0.3">
      <c r="A5" s="1" t="s">
        <v>3</v>
      </c>
      <c r="B5" s="12" t="s">
        <v>77</v>
      </c>
      <c r="C5" s="1" t="s">
        <v>4</v>
      </c>
      <c r="D5" s="4" t="s">
        <v>5</v>
      </c>
      <c r="E5" s="4" t="s">
        <v>7</v>
      </c>
      <c r="F5" s="1" t="s">
        <v>44</v>
      </c>
      <c r="G5" s="5" t="s">
        <v>6</v>
      </c>
      <c r="H5" s="6" t="s">
        <v>40</v>
      </c>
      <c r="I5" s="4" t="s">
        <v>37</v>
      </c>
      <c r="J5" s="4" t="s">
        <v>41</v>
      </c>
      <c r="K5" s="10" t="s">
        <v>50</v>
      </c>
      <c r="L5" s="4" t="s">
        <v>78</v>
      </c>
      <c r="M5" s="4" t="s">
        <v>36</v>
      </c>
      <c r="N5" s="4" t="s">
        <v>35</v>
      </c>
      <c r="O5" s="4" t="s">
        <v>38</v>
      </c>
      <c r="P5" s="4" t="s">
        <v>50</v>
      </c>
      <c r="Q5" s="4" t="s">
        <v>79</v>
      </c>
      <c r="R5" s="4" t="s">
        <v>39</v>
      </c>
    </row>
    <row r="6" spans="1:18" x14ac:dyDescent="0.25">
      <c r="A6" s="1" t="s">
        <v>89</v>
      </c>
      <c r="B6" s="7">
        <f>IF(D6=0,0,VLOOKUP($A6,[6]HISTOAVRIL23!$A$6:$BO$40,10,0))</f>
        <v>1</v>
      </c>
      <c r="C6" s="1" t="str">
        <f>VLOOKUP(A6,[7]LISTADHERENT!A$5:H$60,3,0)</f>
        <v>BAKOP ACHILLE</v>
      </c>
      <c r="D6" s="7">
        <f>IF(G6="ECHEC",0,B$3)</f>
        <v>25000</v>
      </c>
      <c r="E6" s="7">
        <f>D6+VLOOKUP($A6,[6]HISTOAVRIL23!$A$7:$AU$40,45,0)+F6</f>
        <v>40000</v>
      </c>
      <c r="F6" s="7">
        <f>VLOOKUP($A6,[6]HISTOAVRIL23!$A$7:$AU$45,7,0)</f>
        <v>0</v>
      </c>
      <c r="G6" s="7" t="str">
        <f>VLOOKUP($A6,[6]HISTOAVRIL23!$A$7:$AU$45,8,0)</f>
        <v>BANQUE</v>
      </c>
      <c r="H6" s="7">
        <f>VLOOKUP($A6,[6]HISTOAVRIL23!$A$6:$AU$45,35,0)</f>
        <v>0</v>
      </c>
      <c r="I6" s="7">
        <f>VLOOKUP($A6,[6]HISTOAVRIL23!$A$7:$AU$45,38,0)</f>
        <v>0</v>
      </c>
      <c r="J6" s="7">
        <f>IF(I6=0,0,VLOOKUP($A6,[6]HISTOAVRIL23!$A$7:$AU$45,42,0))</f>
        <v>0</v>
      </c>
      <c r="K6" s="7">
        <f>VLOOKUP($A6,[6]HISTOAVRIL23!$A$7:$AU$45,41,0)</f>
        <v>0</v>
      </c>
      <c r="L6" s="7">
        <f>TONTMARS23!H6+TONTMARS23!I6</f>
        <v>0</v>
      </c>
      <c r="M6" s="7">
        <f>VLOOKUP($A6,[6]HISTOAVRIL23!$A$7:$AU$45,16,0)</f>
        <v>0</v>
      </c>
      <c r="N6" s="7" t="str">
        <f>IF(M6&lt;&gt;0,VLOOKUP($A6,[6]HISTOAVRIL23!$A$7:$AU$45,8,0),"ECHEC")</f>
        <v>ECHEC</v>
      </c>
      <c r="O6" s="7">
        <f>IF(R6=0,0,VLOOKUP($A6,[6]HISTOAVRIL23!$A$7:$AU$45,32,0))</f>
        <v>0</v>
      </c>
      <c r="P6" s="7">
        <f>VLOOKUP($A6,[6]HISTOAVRIL23!$A$7:$AU$45,33,0)</f>
        <v>0</v>
      </c>
      <c r="Q6" s="7">
        <f t="shared" ref="Q6:Q35" si="0">IF(R6=0,0,($C$3-R6))</f>
        <v>0</v>
      </c>
      <c r="R6" s="7">
        <f>VLOOKUP($A6,[6]HISTOAVRIL23!$A$7:$AU$45,29,0)</f>
        <v>0</v>
      </c>
    </row>
    <row r="7" spans="1:18" x14ac:dyDescent="0.25">
      <c r="A7" s="1" t="s">
        <v>9</v>
      </c>
      <c r="B7" s="7">
        <f>IF(D7=0,0,VLOOKUP($A7,[6]HISTOAVRIL23!$A$6:$BO$40,10,0))</f>
        <v>1</v>
      </c>
      <c r="C7" s="1" t="str">
        <f>VLOOKUP(A7,[7]LISTADHERENT!A$5:H$60,3,0)</f>
        <v>BOUTCHOUANG WILLIAM</v>
      </c>
      <c r="D7" s="7">
        <f>IF(G7="ECHEC",0,B$3)</f>
        <v>25000</v>
      </c>
      <c r="E7" s="7">
        <f>D7+VLOOKUP($A7,[6]HISTOAVRIL23!$A$7:$AU$40,45,0)+F7</f>
        <v>40000</v>
      </c>
      <c r="F7" s="7">
        <f>VLOOKUP($A7,[6]HISTOAVRIL23!$A$7:$AU$45,7,0)</f>
        <v>0</v>
      </c>
      <c r="G7" s="7" t="str">
        <f>VLOOKUP($A7,[6]HISTOAVRIL23!$A$7:$AU$45,8,0)</f>
        <v>BANQUE</v>
      </c>
      <c r="H7" s="7">
        <f>VLOOKUP($A7,[6]HISTOAVRIL23!$A$6:$AU$45,35,0)</f>
        <v>0</v>
      </c>
      <c r="I7" s="7">
        <f>VLOOKUP($A7,[6]HISTOAVRIL23!$A$7:$AU$45,38,0)</f>
        <v>0</v>
      </c>
      <c r="J7" s="7">
        <f>IF(I7=0,0,VLOOKUP($A7,[6]HISTOAVRIL23!$A$7:$AU$45,42,0))</f>
        <v>0</v>
      </c>
      <c r="K7" s="7">
        <f>VLOOKUP($A7,[6]HISTOAVRIL23!$A$7:$AU$45,41,0)</f>
        <v>0</v>
      </c>
      <c r="L7" s="7">
        <f>TONTMARS23!H7+TONTMARS23!I7</f>
        <v>0</v>
      </c>
      <c r="M7" s="7">
        <f>VLOOKUP($A7,[6]HISTOAVRIL23!$A$7:$AU$45,16,0)</f>
        <v>0</v>
      </c>
      <c r="N7" s="7" t="str">
        <f>IF(M7&lt;&gt;0,VLOOKUP($A7,[6]HISTOAVRIL23!$A$7:$AU$45,8,0),"ECHEC")</f>
        <v>ECHEC</v>
      </c>
      <c r="O7" s="7">
        <f>IF(R7=0,0,VLOOKUP($A7,[6]HISTOAVRIL23!$A$7:$AU$45,32,0))</f>
        <v>0</v>
      </c>
      <c r="P7" s="7">
        <f>VLOOKUP($A7,[6]HISTOAVRIL23!$A$7:$AU$45,33,0)</f>
        <v>0</v>
      </c>
      <c r="Q7" s="7">
        <f t="shared" si="0"/>
        <v>0</v>
      </c>
      <c r="R7" s="7">
        <f>VLOOKUP($A7,[6]HISTOAVRIL23!$A$7:$AU$45,29,0)</f>
        <v>0</v>
      </c>
    </row>
    <row r="8" spans="1:18" x14ac:dyDescent="0.25">
      <c r="A8" s="1" t="s">
        <v>10</v>
      </c>
      <c r="B8" s="7">
        <f>IF(D8=0,0,VLOOKUP($A8,[6]HISTOAVRIL23!$A$6:$BO$40,10,0))</f>
        <v>1</v>
      </c>
      <c r="C8" s="1" t="str">
        <f>VLOOKUP(A8,[7]LISTADHERENT!A$5:H$60,3,0)</f>
        <v xml:space="preserve">DJOMO JEAN PAUL </v>
      </c>
      <c r="D8" s="7">
        <f t="shared" ref="D8:D35" si="1">IF(G8="ECHEC",0,B$3)</f>
        <v>25000</v>
      </c>
      <c r="E8" s="7">
        <f>D8+VLOOKUP($A8,[6]HISTOAVRIL23!$A$7:$AU$40,45,0)+F8</f>
        <v>45000</v>
      </c>
      <c r="F8" s="7">
        <f>VLOOKUP($A8,[6]HISTOAVRIL23!$A$7:$AU$45,7,0)</f>
        <v>0</v>
      </c>
      <c r="G8" s="7" t="str">
        <f>VLOOKUP($A8,[6]HISTOAVRIL23!$A$7:$AU$45,8,0)</f>
        <v>BANQUE</v>
      </c>
      <c r="H8" s="7">
        <f>VLOOKUP($A8,[6]HISTOAVRIL23!$A$6:$AU$45,35,0)</f>
        <v>22500</v>
      </c>
      <c r="I8" s="7">
        <f>VLOOKUP($A8,[6]HISTOAVRIL23!$A$7:$AU$45,38,0)</f>
        <v>500</v>
      </c>
      <c r="J8" s="7">
        <f>IF(I8=0,0,VLOOKUP($A8,[6]HISTOAVRIL23!$A$7:$AU$45,42,0))</f>
        <v>0</v>
      </c>
      <c r="K8" s="7">
        <f>VLOOKUP($A8,[6]HISTOAVRIL23!$A$7:$AU$45,41,0)</f>
        <v>0</v>
      </c>
      <c r="L8" s="7">
        <f>TONTMARS23!H8+TONTMARS23!I8</f>
        <v>0</v>
      </c>
      <c r="M8" s="7">
        <f>VLOOKUP($A8,[6]HISTOAVRIL23!$A$7:$AU$45,16,0)</f>
        <v>0</v>
      </c>
      <c r="N8" s="7" t="str">
        <f>IF(M8&lt;&gt;0,VLOOKUP($A8,[6]HISTOAVRIL23!$A$7:$AU$45,8,0),"ECHEC")</f>
        <v>ECHEC</v>
      </c>
      <c r="O8" s="7">
        <f>IF(R8=0,0,VLOOKUP($A8,[6]HISTOAVRIL23!$A$7:$AU$45,32,0))</f>
        <v>0</v>
      </c>
      <c r="P8" s="7">
        <f>VLOOKUP($A8,[6]HISTOAVRIL23!$A$7:$AU$45,33,0)</f>
        <v>0</v>
      </c>
      <c r="Q8" s="7">
        <f t="shared" si="0"/>
        <v>0</v>
      </c>
      <c r="R8" s="7">
        <f>VLOOKUP($A8,[6]HISTOAVRIL23!$A$7:$AU$45,29,0)</f>
        <v>0</v>
      </c>
    </row>
    <row r="9" spans="1:18" x14ac:dyDescent="0.25">
      <c r="A9" s="1" t="s">
        <v>53</v>
      </c>
      <c r="B9" s="7">
        <f>IF(D9=0,0,VLOOKUP($A9,[6]HISTOAVRIL23!$A$6:$BO$40,10,0))</f>
        <v>1</v>
      </c>
      <c r="C9" s="1" t="str">
        <f>VLOOKUP(A9,[7]LISTADHERENT!A$5:H$60,3,0)</f>
        <v>DJOMOU TCHAPDA</v>
      </c>
      <c r="D9" s="7">
        <f t="shared" si="1"/>
        <v>25000</v>
      </c>
      <c r="E9" s="7">
        <f>D9+VLOOKUP($A9,[6]HISTOAVRIL23!$A$7:$AU$40,45,0)+F9</f>
        <v>43000</v>
      </c>
      <c r="F9" s="7">
        <f>VLOOKUP($A9,[6]HISTOAVRIL23!$A$7:$AU$45,7,0)</f>
        <v>3000</v>
      </c>
      <c r="G9" s="7" t="str">
        <f>VLOOKUP($A9,[6]HISTOAVRIL23!$A$7:$AU$45,8,0)</f>
        <v>ESPECES</v>
      </c>
      <c r="H9" s="7">
        <f>VLOOKUP($A9,[6]HISTOAVRIL23!$A$6:$AU$45,35,0)</f>
        <v>60000</v>
      </c>
      <c r="I9" s="7">
        <f>VLOOKUP($A9,[6]HISTOAVRIL23!$A$7:$AU$45,38,0)</f>
        <v>2000</v>
      </c>
      <c r="J9" s="7">
        <f>IF(I9=0,0,VLOOKUP($A9,[6]HISTOAVRIL23!$A$7:$AU$45,42,0))</f>
        <v>0</v>
      </c>
      <c r="K9" s="7">
        <f>VLOOKUP($A9,[6]HISTOAVRIL23!$A$7:$AU$45,41,0)</f>
        <v>0</v>
      </c>
      <c r="L9" s="7">
        <f>TONTMARS23!H9+TONTMARS23!I9</f>
        <v>0</v>
      </c>
      <c r="M9" s="7">
        <f>VLOOKUP($A9,[6]HISTOAVRIL23!$A$7:$AU$45,16,0)</f>
        <v>0</v>
      </c>
      <c r="N9" s="7" t="str">
        <f>IF(M9&lt;&gt;0,VLOOKUP($A9,[6]HISTOAVRIL23!$A$7:$AU$45,8,0),"ECHEC")</f>
        <v>ECHEC</v>
      </c>
      <c r="O9" s="7">
        <f>IF(R9=0,0,VLOOKUP($A9,[6]HISTOAVRIL23!$A$7:$AU$45,32,0))</f>
        <v>0</v>
      </c>
      <c r="P9" s="7">
        <f>VLOOKUP($A9,[6]HISTOAVRIL23!$A$7:$AU$45,33,0)</f>
        <v>0</v>
      </c>
      <c r="Q9" s="7">
        <f t="shared" si="0"/>
        <v>289000</v>
      </c>
      <c r="R9" s="7">
        <f>VLOOKUP($A9,[6]HISTOAVRIL23!$A$7:$AU$45,29,0)</f>
        <v>11000</v>
      </c>
    </row>
    <row r="10" spans="1:18" x14ac:dyDescent="0.25">
      <c r="A10" s="1" t="s">
        <v>11</v>
      </c>
      <c r="B10" s="7">
        <f>IF(D10=0,0,VLOOKUP($A10,[6]HISTOAVRIL23!$A$6:$BO$40,10,0))</f>
        <v>1</v>
      </c>
      <c r="C10" s="1" t="str">
        <f>VLOOKUP(A10,[7]LISTADHERENT!A$5:H$60,3,0)</f>
        <v>DJOUKWE NANGUEN GUY BLAISE</v>
      </c>
      <c r="D10" s="7">
        <f t="shared" si="1"/>
        <v>25000</v>
      </c>
      <c r="E10" s="7">
        <f>D10+VLOOKUP($A10,[6]HISTOAVRIL23!$A$7:$AU$40,45,0)+F10</f>
        <v>40000</v>
      </c>
      <c r="F10" s="7">
        <f>VLOOKUP($A10,[6]HISTOAVRIL23!$A$7:$AU$45,7,0)</f>
        <v>0</v>
      </c>
      <c r="G10" s="7" t="str">
        <f>VLOOKUP($A10,[6]HISTOAVRIL23!$A$7:$AU$45,8,0)</f>
        <v>BANQUE</v>
      </c>
      <c r="H10" s="7">
        <f>VLOOKUP($A10,[6]HISTOAVRIL23!$A$6:$AU$45,35,0)</f>
        <v>0</v>
      </c>
      <c r="I10" s="7">
        <f>VLOOKUP($A10,[6]HISTOAVRIL23!$A$7:$AU$45,38,0)</f>
        <v>0</v>
      </c>
      <c r="J10" s="7">
        <f>IF(I10=0,0,VLOOKUP($A10,[6]HISTOAVRIL23!$A$7:$AU$45,42,0))</f>
        <v>0</v>
      </c>
      <c r="K10" s="7">
        <f>VLOOKUP($A10,[6]HISTOAVRIL23!$A$7:$AU$45,41,0)</f>
        <v>0</v>
      </c>
      <c r="L10" s="7">
        <f>TONTMARS23!H10+TONTMARS23!I10</f>
        <v>0</v>
      </c>
      <c r="M10" s="7">
        <f>VLOOKUP($A10,[6]HISTOAVRIL23!$A$7:$AU$45,16,0)</f>
        <v>0</v>
      </c>
      <c r="N10" s="7" t="str">
        <f>IF(M10&lt;&gt;0,VLOOKUP($A10,[6]HISTOAVRIL23!$A$7:$AU$45,8,0),"ECHEC")</f>
        <v>ECHEC</v>
      </c>
      <c r="O10" s="7">
        <f>IF(R10=0,0,VLOOKUP($A10,[6]HISTOAVRIL23!$A$7:$AU$45,32,0))</f>
        <v>0</v>
      </c>
      <c r="P10" s="7">
        <f>VLOOKUP($A10,[6]HISTOAVRIL23!$A$7:$AU$45,33,0)</f>
        <v>0</v>
      </c>
      <c r="Q10" s="7">
        <f t="shared" si="0"/>
        <v>290000</v>
      </c>
      <c r="R10" s="7">
        <f>VLOOKUP($A10,[6]HISTOAVRIL23!$A$7:$AU$45,29,0)</f>
        <v>10000</v>
      </c>
    </row>
    <row r="11" spans="1:18" x14ac:dyDescent="0.25">
      <c r="A11" s="1" t="s">
        <v>12</v>
      </c>
      <c r="B11" s="7">
        <f>IF(D11=0,0,VLOOKUP($A11,[6]HISTOAVRIL23!$A$6:$BO$40,10,0))</f>
        <v>1</v>
      </c>
      <c r="C11" s="1" t="str">
        <f>VLOOKUP(A11,[7]LISTADHERENT!A$5:H$60,3,0)</f>
        <v>DJUOMBESSY ANTOINE</v>
      </c>
      <c r="D11" s="7">
        <f t="shared" si="1"/>
        <v>25000</v>
      </c>
      <c r="E11" s="7">
        <f>D11+VLOOKUP($A11,[6]HISTOAVRIL23!$A$7:$AU$40,45,0)+F11</f>
        <v>45000</v>
      </c>
      <c r="F11" s="7">
        <f>VLOOKUP($A11,[6]HISTOAVRIL23!$A$7:$AU$45,7,0)</f>
        <v>0</v>
      </c>
      <c r="G11" s="7" t="str">
        <f>VLOOKUP($A11,[6]HISTOAVRIL23!$A$7:$AU$45,8,0)</f>
        <v>BANQUE</v>
      </c>
      <c r="H11" s="7">
        <f>VLOOKUP($A11,[6]HISTOAVRIL23!$A$6:$AU$45,35,0)</f>
        <v>0</v>
      </c>
      <c r="I11" s="7">
        <f>VLOOKUP($A11,[6]HISTOAVRIL23!$A$7:$AU$45,38,0)</f>
        <v>0</v>
      </c>
      <c r="J11" s="7">
        <f>IF(I11=0,0,VLOOKUP($A11,[6]HISTOAVRIL23!$A$7:$AU$45,42,0))</f>
        <v>0</v>
      </c>
      <c r="K11" s="7">
        <f>VLOOKUP($A11,[6]HISTOAVRIL23!$A$7:$AU$45,41,0)</f>
        <v>0</v>
      </c>
      <c r="L11" s="7">
        <f>TONTMARS23!H11+TONTMARS23!I11</f>
        <v>0</v>
      </c>
      <c r="M11" s="7">
        <f>VLOOKUP($A11,[6]HISTOAVRIL23!$A$7:$AU$45,16,0)</f>
        <v>0</v>
      </c>
      <c r="N11" s="7" t="str">
        <f>IF(M11&lt;&gt;0,VLOOKUP($A11,[6]HISTOAVRIL23!$A$7:$AU$45,8,0),"ECHEC")</f>
        <v>ECHEC</v>
      </c>
      <c r="O11" s="7">
        <f>IF(R11=0,0,VLOOKUP($A11,[6]HISTOAVRIL23!$A$7:$AU$45,32,0))</f>
        <v>0</v>
      </c>
      <c r="P11" s="7">
        <f>VLOOKUP($A11,[6]HISTOAVRIL23!$A$7:$AU$45,33,0)</f>
        <v>0</v>
      </c>
      <c r="Q11" s="7">
        <f t="shared" si="0"/>
        <v>0</v>
      </c>
      <c r="R11" s="7">
        <f>VLOOKUP($A11,[6]HISTOAVRIL23!$A$7:$AU$45,29,0)</f>
        <v>0</v>
      </c>
    </row>
    <row r="12" spans="1:18" x14ac:dyDescent="0.25">
      <c r="A12" s="1" t="s">
        <v>46</v>
      </c>
      <c r="B12" s="7">
        <f>IF(D12=0,0,VLOOKUP($A12,[6]HISTOAVRIL23!$A$6:$BO$40,10,0))</f>
        <v>1</v>
      </c>
      <c r="C12" s="1" t="str">
        <f>VLOOKUP(A12,[7]LISTADHERENT!A$5:H$60,3,0)</f>
        <v>DOMOU FABIEN</v>
      </c>
      <c r="D12" s="7">
        <f t="shared" si="1"/>
        <v>25000</v>
      </c>
      <c r="E12" s="7">
        <f>D12+VLOOKUP($A12,[6]HISTOAVRIL23!$A$7:$AU$40,45,0)+F12</f>
        <v>40000</v>
      </c>
      <c r="F12" s="7">
        <f>VLOOKUP($A12,[6]HISTOAVRIL23!$A$7:$AU$45,7,0)</f>
        <v>0</v>
      </c>
      <c r="G12" s="7" t="str">
        <f>VLOOKUP($A12,[6]HISTOAVRIL23!$A$7:$AU$45,8,0)</f>
        <v>BANQUE</v>
      </c>
      <c r="H12" s="7">
        <f>VLOOKUP($A12,[6]HISTOAVRIL23!$A$6:$AU$45,35,0)</f>
        <v>0</v>
      </c>
      <c r="I12" s="7">
        <f>VLOOKUP($A12,[6]HISTOAVRIL23!$A$7:$AU$45,38,0)</f>
        <v>0</v>
      </c>
      <c r="J12" s="7">
        <f>IF(I12=0,0,VLOOKUP($A12,[6]HISTOAVRIL23!$A$7:$AU$45,42,0))</f>
        <v>0</v>
      </c>
      <c r="K12" s="7">
        <f>VLOOKUP($A12,[6]HISTOAVRIL23!$A$7:$AU$45,41,0)</f>
        <v>0</v>
      </c>
      <c r="L12" s="7">
        <f>TONTMARS23!H12+TONTMARS23!I12</f>
        <v>0</v>
      </c>
      <c r="M12" s="7">
        <f>VLOOKUP($A12,[6]HISTOAVRIL23!$A$7:$AU$45,16,0)</f>
        <v>0</v>
      </c>
      <c r="N12" s="7" t="str">
        <f>IF(M12&lt;&gt;0,VLOOKUP($A12,[6]HISTOAVRIL23!$A$7:$AU$45,8,0),"ECHEC")</f>
        <v>ECHEC</v>
      </c>
      <c r="O12" s="7">
        <f>IF(R12=0,0,VLOOKUP($A12,[6]HISTOAVRIL23!$A$7:$AU$45,32,0))</f>
        <v>0</v>
      </c>
      <c r="P12" s="7">
        <f>VLOOKUP($A12,[6]HISTOAVRIL23!$A$7:$AU$45,33,0)</f>
        <v>0</v>
      </c>
      <c r="Q12" s="7">
        <f t="shared" si="0"/>
        <v>0</v>
      </c>
      <c r="R12" s="7">
        <f>VLOOKUP($A12,[6]HISTOAVRIL23!$A$7:$AU$45,29,0)</f>
        <v>0</v>
      </c>
    </row>
    <row r="13" spans="1:18" x14ac:dyDescent="0.25">
      <c r="A13" s="1" t="s">
        <v>13</v>
      </c>
      <c r="B13" s="7">
        <f>IF(D13=0,0,VLOOKUP($A13,[6]HISTOAVRIL23!$A$6:$BO$40,10,0))</f>
        <v>1</v>
      </c>
      <c r="C13" s="1" t="str">
        <f>VLOOKUP(A13,[7]LISTADHERENT!A$5:H$60,3,0)</f>
        <v>DONHOU DAVID</v>
      </c>
      <c r="D13" s="7">
        <f t="shared" si="1"/>
        <v>25000</v>
      </c>
      <c r="E13" s="7">
        <f>D13+VLOOKUP($A13,[6]HISTOAVRIL23!$A$7:$AU$40,45,0)+F13</f>
        <v>40000</v>
      </c>
      <c r="F13" s="7">
        <f>VLOOKUP($A13,[6]HISTOAVRIL23!$A$7:$AU$45,7,0)</f>
        <v>0</v>
      </c>
      <c r="G13" s="7" t="str">
        <f>VLOOKUP($A13,[6]HISTOAVRIL23!$A$7:$AU$45,8,0)</f>
        <v>BANQUE</v>
      </c>
      <c r="H13" s="7">
        <f>VLOOKUP($A13,[6]HISTOAVRIL23!$A$6:$AU$45,35,0)</f>
        <v>0</v>
      </c>
      <c r="I13" s="7">
        <f>VLOOKUP($A13,[6]HISTOAVRIL23!$A$7:$AU$45,38,0)</f>
        <v>0</v>
      </c>
      <c r="J13" s="7">
        <f>IF(I13=0,0,VLOOKUP($A13,[6]HISTOAVRIL23!$A$7:$AU$45,42,0))</f>
        <v>0</v>
      </c>
      <c r="K13" s="7">
        <f>VLOOKUP($A13,[6]HISTOAVRIL23!$A$7:$AU$45,41,0)</f>
        <v>0</v>
      </c>
      <c r="L13" s="7">
        <f>TONTMARS23!H13+TONTMARS23!I13</f>
        <v>0</v>
      </c>
      <c r="M13" s="7">
        <f>VLOOKUP($A13,[6]HISTOAVRIL23!$A$7:$AU$45,16,0)</f>
        <v>0</v>
      </c>
      <c r="N13" s="7" t="str">
        <f>IF(M13&lt;&gt;0,VLOOKUP($A13,[6]HISTOAVRIL23!$A$7:$AU$45,8,0),"ECHEC")</f>
        <v>ECHEC</v>
      </c>
      <c r="O13" s="7">
        <f>IF(R13=0,0,VLOOKUP($A13,[6]HISTOAVRIL23!$A$7:$AU$45,32,0))</f>
        <v>0</v>
      </c>
      <c r="P13" s="7">
        <f>VLOOKUP($A13,[6]HISTOAVRIL23!$A$7:$AU$45,33,0)</f>
        <v>0</v>
      </c>
      <c r="Q13" s="7">
        <f t="shared" si="0"/>
        <v>0</v>
      </c>
      <c r="R13" s="7">
        <f>VLOOKUP($A13,[6]HISTOAVRIL23!$A$7:$AU$45,29,0)</f>
        <v>0</v>
      </c>
    </row>
    <row r="14" spans="1:18" x14ac:dyDescent="0.25">
      <c r="A14" s="1" t="s">
        <v>14</v>
      </c>
      <c r="B14" s="7">
        <f>IF(D14=0,0,VLOOKUP($A14,[6]HISTOAVRIL23!$A$6:$BO$40,10,0))</f>
        <v>1</v>
      </c>
      <c r="C14" s="1" t="str">
        <f>VLOOKUP(A14,[7]LISTADHERENT!A$5:H$60,3,0)</f>
        <v>HENGUE PAUL OMER</v>
      </c>
      <c r="D14" s="7">
        <f t="shared" si="1"/>
        <v>25000</v>
      </c>
      <c r="E14" s="7">
        <f>D14+VLOOKUP($A14,[6]HISTOAVRIL23!$A$7:$AU$40,45,0)+F14</f>
        <v>40000</v>
      </c>
      <c r="F14" s="7">
        <f>VLOOKUP($A14,[6]HISTOAVRIL23!$A$7:$AU$45,7,0)</f>
        <v>0</v>
      </c>
      <c r="G14" s="7" t="str">
        <f>VLOOKUP($A14,[6]HISTOAVRIL23!$A$7:$AU$45,8,0)</f>
        <v>BANQUE</v>
      </c>
      <c r="H14" s="7">
        <f>VLOOKUP($A14,[6]HISTOAVRIL23!$A$6:$AU$45,35,0)</f>
        <v>0</v>
      </c>
      <c r="I14" s="7">
        <f>VLOOKUP($A14,[6]HISTOAVRIL23!$A$7:$AU$45,38,0)</f>
        <v>0</v>
      </c>
      <c r="J14" s="7">
        <f>IF(I14=0,0,VLOOKUP($A14,[6]HISTOAVRIL23!$A$7:$AU$45,42,0))</f>
        <v>0</v>
      </c>
      <c r="K14" s="7">
        <f>VLOOKUP($A14,[6]HISTOAVRIL23!$A$7:$AU$45,41,0)</f>
        <v>0</v>
      </c>
      <c r="L14" s="7">
        <f>TONTMARS23!H14+TONTMARS23!I14</f>
        <v>0</v>
      </c>
      <c r="M14" s="7">
        <f>VLOOKUP($A14,[6]HISTOAVRIL23!$A$7:$AU$45,16,0)</f>
        <v>0</v>
      </c>
      <c r="N14" s="7" t="str">
        <f>IF(M14&lt;&gt;0,VLOOKUP($A14,[6]HISTOAVRIL23!$A$7:$AU$45,8,0),"ECHEC")</f>
        <v>ECHEC</v>
      </c>
      <c r="O14" s="7">
        <f>IF(R14=0,0,VLOOKUP($A14,[6]HISTOAVRIL23!$A$7:$AU$45,32,0))</f>
        <v>0</v>
      </c>
      <c r="P14" s="7">
        <f>VLOOKUP($A14,[6]HISTOAVRIL23!$A$7:$AU$45,33,0)</f>
        <v>0</v>
      </c>
      <c r="Q14" s="7">
        <f t="shared" si="0"/>
        <v>0</v>
      </c>
      <c r="R14" s="7">
        <f>VLOOKUP($A14,[6]HISTOAVRIL23!$A$7:$AU$45,29,0)</f>
        <v>0</v>
      </c>
    </row>
    <row r="15" spans="1:18" x14ac:dyDescent="0.25">
      <c r="A15" s="1" t="s">
        <v>15</v>
      </c>
      <c r="B15" s="7">
        <f>IF(D15=0,0,VLOOKUP($A15,[6]HISTOAVRIL23!$A$6:$BO$40,10,0))</f>
        <v>1</v>
      </c>
      <c r="C15" s="1" t="str">
        <f>VLOOKUP(A15,[7]LISTADHERENT!A$5:H$60,3,0)</f>
        <v>HOTCHO BENJAMIN</v>
      </c>
      <c r="D15" s="7">
        <f t="shared" si="1"/>
        <v>25000</v>
      </c>
      <c r="E15" s="7">
        <f>D15+VLOOKUP($A15,[6]HISTOAVRIL23!$A$7:$AU$40,45,0)+F15</f>
        <v>75000</v>
      </c>
      <c r="F15" s="7">
        <f>VLOOKUP($A15,[6]HISTOAVRIL23!$A$7:$AU$45,7,0)</f>
        <v>0</v>
      </c>
      <c r="G15" s="7" t="str">
        <f>VLOOKUP($A15,[6]HISTOAVRIL23!$A$7:$AU$45,8,0)</f>
        <v>BANQUE</v>
      </c>
      <c r="H15" s="7">
        <f>VLOOKUP($A15,[6]HISTOAVRIL23!$A$6:$AU$45,35,0)</f>
        <v>0</v>
      </c>
      <c r="I15" s="7">
        <f>VLOOKUP($A15,[6]HISTOAVRIL23!$A$7:$AU$45,38,0)</f>
        <v>0</v>
      </c>
      <c r="J15" s="7">
        <f>IF(I15=0,0,VLOOKUP($A15,[6]HISTOAVRIL23!$A$7:$AU$45,42,0))</f>
        <v>0</v>
      </c>
      <c r="K15" s="7">
        <f>VLOOKUP($A15,[6]HISTOAVRIL23!$A$7:$AU$45,41,0)</f>
        <v>0</v>
      </c>
      <c r="L15" s="7">
        <f>TONTMARS23!H15+TONTMARS23!I15</f>
        <v>0</v>
      </c>
      <c r="M15" s="7">
        <f>VLOOKUP($A15,[6]HISTOAVRIL23!$A$7:$AU$45,16,0)</f>
        <v>0</v>
      </c>
      <c r="N15" s="7" t="str">
        <f>IF(M15&lt;&gt;0,VLOOKUP($A15,[6]HISTOAVRIL23!$A$7:$AU$45,8,0),"ECHEC")</f>
        <v>ECHEC</v>
      </c>
      <c r="O15" s="7">
        <f>IF(R15=0,0,VLOOKUP($A15,[6]HISTOAVRIL23!$A$7:$AU$45,32,0))</f>
        <v>0</v>
      </c>
      <c r="P15" s="7">
        <f>VLOOKUP($A15,[6]HISTOAVRIL23!$A$7:$AU$45,33,0)</f>
        <v>0</v>
      </c>
      <c r="Q15" s="7">
        <f t="shared" si="0"/>
        <v>0</v>
      </c>
      <c r="R15" s="7">
        <f>VLOOKUP($A15,[6]HISTOAVRIL23!$A$7:$AU$45,29,0)</f>
        <v>0</v>
      </c>
    </row>
    <row r="16" spans="1:18" x14ac:dyDescent="0.25">
      <c r="A16" s="1" t="s">
        <v>16</v>
      </c>
      <c r="B16" s="7">
        <f>IF(D16=0,0,VLOOKUP($A16,[6]HISTOAVRIL23!$A$6:$BO$40,10,0))</f>
        <v>1</v>
      </c>
      <c r="C16" s="1" t="str">
        <f>VLOOKUP(A16,[7]LISTADHERENT!A$5:H$60,3,0)</f>
        <v>KOUAMOU MOISE</v>
      </c>
      <c r="D16" s="7">
        <f t="shared" si="1"/>
        <v>25000</v>
      </c>
      <c r="E16" s="7">
        <f>D16+VLOOKUP($A16,[6]HISTOAVRIL23!$A$7:$AU$40,45,0)+F16</f>
        <v>40000</v>
      </c>
      <c r="F16" s="7">
        <f>VLOOKUP($A16,[6]HISTOAVRIL23!$A$7:$AU$45,7,0)</f>
        <v>0</v>
      </c>
      <c r="G16" s="7" t="str">
        <f>VLOOKUP($A16,[6]HISTOAVRIL23!$A$7:$AU$45,8,0)</f>
        <v>BANQUE</v>
      </c>
      <c r="H16" s="7">
        <f>VLOOKUP($A16,[6]HISTOAVRIL23!$A$6:$AU$45,35,0)</f>
        <v>0</v>
      </c>
      <c r="I16" s="7">
        <f>VLOOKUP($A16,[6]HISTOAVRIL23!$A$7:$AU$45,38,0)</f>
        <v>0</v>
      </c>
      <c r="J16" s="7">
        <f>IF(I16=0,0,VLOOKUP($A16,[6]HISTOAVRIL23!$A$7:$AU$45,42,0))</f>
        <v>0</v>
      </c>
      <c r="K16" s="7">
        <f>VLOOKUP($A16,[6]HISTOAVRIL23!$A$7:$AU$45,41,0)</f>
        <v>0</v>
      </c>
      <c r="L16" s="7">
        <f>TONTMARS23!H16+TONTMARS23!I16</f>
        <v>0</v>
      </c>
      <c r="M16" s="7">
        <f>VLOOKUP($A16,[6]HISTOAVRIL23!$A$7:$AU$45,16,0)</f>
        <v>0</v>
      </c>
      <c r="N16" s="7" t="str">
        <f>IF(M16&lt;&gt;0,VLOOKUP($A16,[6]HISTOAVRIL23!$A$7:$AU$45,8,0),"ECHEC")</f>
        <v>ECHEC</v>
      </c>
      <c r="O16" s="7">
        <f>IF(R16=0,0,VLOOKUP($A16,[6]HISTOAVRIL23!$A$7:$AU$45,32,0))</f>
        <v>0</v>
      </c>
      <c r="P16" s="7">
        <f>VLOOKUP($A16,[6]HISTOAVRIL23!$A$7:$AU$45,33,0)</f>
        <v>0</v>
      </c>
      <c r="Q16" s="7">
        <f t="shared" si="0"/>
        <v>0</v>
      </c>
      <c r="R16" s="7">
        <f>VLOOKUP($A16,[6]HISTOAVRIL23!$A$7:$AU$45,29,0)</f>
        <v>0</v>
      </c>
    </row>
    <row r="17" spans="1:18" x14ac:dyDescent="0.25">
      <c r="A17" s="1" t="s">
        <v>17</v>
      </c>
      <c r="B17" s="7">
        <f>IF(D17=0,0,VLOOKUP($A17,[6]HISTOAVRIL23!$A$6:$BO$40,10,0))</f>
        <v>1</v>
      </c>
      <c r="C17" s="1" t="str">
        <f>VLOOKUP(A17,[7]LISTADHERENT!A$5:H$60,3,0)</f>
        <v>KOUATCHO MESSACK</v>
      </c>
      <c r="D17" s="7">
        <f t="shared" si="1"/>
        <v>25000</v>
      </c>
      <c r="E17" s="7">
        <f>D17+VLOOKUP($A17,[6]HISTOAVRIL23!$A$7:$AU$40,45,0)+F17</f>
        <v>42000</v>
      </c>
      <c r="F17" s="7">
        <f>VLOOKUP($A17,[6]HISTOAVRIL23!$A$7:$AU$45,7,0)</f>
        <v>0</v>
      </c>
      <c r="G17" s="7" t="str">
        <f>VLOOKUP($A17,[6]HISTOAVRIL23!$A$7:$AU$45,8,0)</f>
        <v>BANQUE</v>
      </c>
      <c r="H17" s="7">
        <f>VLOOKUP($A17,[6]HISTOAVRIL23!$A$6:$AU$45,35,0)</f>
        <v>0</v>
      </c>
      <c r="I17" s="7">
        <f>VLOOKUP($A17,[6]HISTOAVRIL23!$A$7:$AU$45,38,0)</f>
        <v>0</v>
      </c>
      <c r="J17" s="7">
        <f>IF(I17=0,0,VLOOKUP($A17,[6]HISTOAVRIL23!$A$7:$AU$45,42,0))</f>
        <v>0</v>
      </c>
      <c r="K17" s="7">
        <f>VLOOKUP($A17,[6]HISTOAVRIL23!$A$7:$AU$45,41,0)</f>
        <v>0</v>
      </c>
      <c r="L17" s="7">
        <f>TONTMARS23!H17+TONTMARS23!I17</f>
        <v>0</v>
      </c>
      <c r="M17" s="7">
        <f>VLOOKUP($A17,[6]HISTOAVRIL23!$A$7:$AU$45,16,0)</f>
        <v>0</v>
      </c>
      <c r="N17" s="7" t="str">
        <f>IF(M17&lt;&gt;0,VLOOKUP($A17,[6]HISTOAVRIL23!$A$7:$AU$45,8,0),"ECHEC")</f>
        <v>ECHEC</v>
      </c>
      <c r="O17" s="7">
        <f>IF(R17=0,0,VLOOKUP($A17,[6]HISTOAVRIL23!$A$7:$AU$45,32,0))</f>
        <v>0</v>
      </c>
      <c r="P17" s="7">
        <f>VLOOKUP($A17,[6]HISTOAVRIL23!$A$7:$AU$45,33,0)</f>
        <v>0</v>
      </c>
      <c r="Q17" s="7">
        <f t="shared" si="0"/>
        <v>0</v>
      </c>
      <c r="R17" s="7">
        <f>VLOOKUP($A17,[6]HISTOAVRIL23!$A$7:$AU$45,29,0)</f>
        <v>0</v>
      </c>
    </row>
    <row r="18" spans="1:18" x14ac:dyDescent="0.25">
      <c r="A18" s="1" t="s">
        <v>18</v>
      </c>
      <c r="B18" s="7">
        <f>IF(D18=0,0,VLOOKUP($A18,[6]HISTOAVRIL23!$A$6:$BO$40,10,0))</f>
        <v>1</v>
      </c>
      <c r="C18" s="1" t="str">
        <f>VLOOKUP(A18,[7]LISTADHERENT!A$5:H$60,3,0)</f>
        <v>LOWE JEAN</v>
      </c>
      <c r="D18" s="7">
        <f t="shared" si="1"/>
        <v>25000</v>
      </c>
      <c r="E18" s="7">
        <f>D18+VLOOKUP($A18,[6]HISTOAVRIL23!$A$7:$AU$40,45,0)+F18</f>
        <v>40000</v>
      </c>
      <c r="F18" s="7">
        <f>VLOOKUP($A18,[6]HISTOAVRIL23!$A$7:$AU$45,7,0)</f>
        <v>0</v>
      </c>
      <c r="G18" s="7" t="str">
        <f>VLOOKUP($A18,[6]HISTOAVRIL23!$A$7:$AU$45,8,0)</f>
        <v>BANQUE</v>
      </c>
      <c r="H18" s="7">
        <f>VLOOKUP($A18,[6]HISTOAVRIL23!$A$6:$AU$45,35,0)</f>
        <v>0</v>
      </c>
      <c r="I18" s="7">
        <f>VLOOKUP($A18,[6]HISTOAVRIL23!$A$7:$AU$45,38,0)</f>
        <v>0</v>
      </c>
      <c r="J18" s="7">
        <f>IF(I18=0,0,VLOOKUP($A18,[6]HISTOAVRIL23!$A$7:$AU$45,42,0))</f>
        <v>0</v>
      </c>
      <c r="K18" s="7">
        <f>VLOOKUP($A18,[6]HISTOAVRIL23!$A$7:$AU$45,41,0)</f>
        <v>0</v>
      </c>
      <c r="L18" s="7">
        <f>TONTMARS23!H18+TONTMARS23!I18</f>
        <v>0</v>
      </c>
      <c r="M18" s="7">
        <f>VLOOKUP($A18,[6]HISTOAVRIL23!$A$7:$AU$45,16,0)</f>
        <v>0</v>
      </c>
      <c r="N18" s="7" t="str">
        <f>IF(M18&lt;&gt;0,VLOOKUP($A18,[6]HISTOAVRIL23!$A$7:$AU$45,8,0),"ECHEC")</f>
        <v>ECHEC</v>
      </c>
      <c r="O18" s="7">
        <f>IF(R18=0,0,VLOOKUP($A18,[6]HISTOAVRIL23!$A$7:$AU$45,32,0))</f>
        <v>0</v>
      </c>
      <c r="P18" s="7">
        <f>VLOOKUP($A18,[6]HISTOAVRIL23!$A$7:$AU$45,33,0)</f>
        <v>0</v>
      </c>
      <c r="Q18" s="7">
        <f t="shared" si="0"/>
        <v>0</v>
      </c>
      <c r="R18" s="7">
        <f>VLOOKUP($A18,[6]HISTOAVRIL23!$A$7:$AU$45,29,0)</f>
        <v>0</v>
      </c>
    </row>
    <row r="19" spans="1:18" x14ac:dyDescent="0.25">
      <c r="A19" s="1" t="s">
        <v>45</v>
      </c>
      <c r="B19" s="7">
        <f>IF(D19=0,0,VLOOKUP($A19,[6]HISTOAVRIL23!$A$6:$BO$40,10,0))</f>
        <v>1</v>
      </c>
      <c r="C19" s="1" t="str">
        <f>VLOOKUP(A19,[7]LISTADHERENT!A$5:H$60,3,0)</f>
        <v>MBOGNING TUGMA GUY</v>
      </c>
      <c r="D19" s="7">
        <f t="shared" si="1"/>
        <v>25000</v>
      </c>
      <c r="E19" s="7">
        <f>D19+VLOOKUP($A19,[6]HISTOAVRIL23!$A$7:$AU$40,45,0)+F19</f>
        <v>45000</v>
      </c>
      <c r="F19" s="7">
        <f>VLOOKUP($A19,[6]HISTOAVRIL23!$A$7:$AU$45,7,0)</f>
        <v>0</v>
      </c>
      <c r="G19" s="7" t="str">
        <f>VLOOKUP($A19,[6]HISTOAVRIL23!$A$7:$AU$45,8,0)</f>
        <v>BANQUE</v>
      </c>
      <c r="H19" s="7">
        <f>VLOOKUP($A19,[6]HISTOAVRIL23!$A$6:$AU$45,35,0)</f>
        <v>0</v>
      </c>
      <c r="I19" s="7">
        <f>VLOOKUP($A19,[6]HISTOAVRIL23!$A$7:$AU$45,38,0)</f>
        <v>0</v>
      </c>
      <c r="J19" s="7">
        <f>IF(I19=0,0,VLOOKUP($A19,[6]HISTOAVRIL23!$A$7:$AU$45,42,0))</f>
        <v>0</v>
      </c>
      <c r="K19" s="7">
        <f>VLOOKUP($A19,[6]HISTOAVRIL23!$A$7:$AU$45,41,0)</f>
        <v>0</v>
      </c>
      <c r="L19" s="7">
        <f>TONTMARS23!H19+TONTMARS23!I19</f>
        <v>0</v>
      </c>
      <c r="M19" s="7">
        <f>VLOOKUP($A19,[6]HISTOAVRIL23!$A$7:$AU$45,16,0)</f>
        <v>0</v>
      </c>
      <c r="N19" s="7" t="str">
        <f>IF(M19&lt;&gt;0,VLOOKUP($A19,[6]HISTOAVRIL23!$A$7:$AU$45,8,0),"ECHEC")</f>
        <v>ECHEC</v>
      </c>
      <c r="O19" s="7">
        <f>IF(R19=0,0,VLOOKUP($A19,[6]HISTOAVRIL23!$A$7:$AU$45,32,0))</f>
        <v>0</v>
      </c>
      <c r="P19" s="7">
        <f>VLOOKUP($A19,[6]HISTOAVRIL23!$A$7:$AU$45,33,0)</f>
        <v>0</v>
      </c>
      <c r="Q19" s="7">
        <f t="shared" si="0"/>
        <v>0</v>
      </c>
      <c r="R19" s="7">
        <f>VLOOKUP($A19,[6]HISTOAVRIL23!$A$7:$AU$45,29,0)</f>
        <v>0</v>
      </c>
    </row>
    <row r="20" spans="1:18" x14ac:dyDescent="0.25">
      <c r="A20" s="1" t="s">
        <v>26</v>
      </c>
      <c r="B20" s="7">
        <f>IF(D20=0,0,VLOOKUP($A20,[6]HISTOAVRIL23!$A$6:$BO$40,10,0))</f>
        <v>1</v>
      </c>
      <c r="C20" s="1" t="str">
        <f>VLOOKUP(A20,[7]LISTADHERENT!A$5:H$60,3,0)</f>
        <v>NANGUEN MARTIN</v>
      </c>
      <c r="D20" s="7">
        <f t="shared" si="1"/>
        <v>25000</v>
      </c>
      <c r="E20" s="7">
        <f>D20+VLOOKUP($A20,[6]HISTOAVRIL23!$A$7:$AU$40,45,0)+F20</f>
        <v>40000</v>
      </c>
      <c r="F20" s="7">
        <f>VLOOKUP($A20,[6]HISTOAVRIL23!$A$7:$AU$45,7,0)</f>
        <v>0</v>
      </c>
      <c r="G20" s="7" t="str">
        <f>VLOOKUP($A20,[6]HISTOAVRIL23!$A$7:$AU$45,8,0)</f>
        <v>BANQUE</v>
      </c>
      <c r="H20" s="7">
        <f>VLOOKUP($A20,[6]HISTOAVRIL23!$A$6:$AU$45,35,0)</f>
        <v>0</v>
      </c>
      <c r="I20" s="7">
        <f>VLOOKUP($A20,[6]HISTOAVRIL23!$A$7:$AU$45,38,0)</f>
        <v>0</v>
      </c>
      <c r="J20" s="7">
        <f>IF(I20=0,0,VLOOKUP($A20,[6]HISTOAVRIL23!$A$7:$AU$45,42,0))</f>
        <v>0</v>
      </c>
      <c r="K20" s="7">
        <f>VLOOKUP($A20,[6]HISTOAVRIL23!$A$7:$AU$45,41,0)</f>
        <v>0</v>
      </c>
      <c r="L20" s="7">
        <f>TONTMARS23!H20+TONTMARS23!I20</f>
        <v>0</v>
      </c>
      <c r="M20" s="7">
        <f>VLOOKUP($A20,[6]HISTOAVRIL23!$A$7:$AU$45,16,0)</f>
        <v>0</v>
      </c>
      <c r="N20" s="7" t="str">
        <f>IF(M20&lt;&gt;0,VLOOKUP($A20,[6]HISTOAVRIL23!$A$7:$AU$45,8,0),"ECHEC")</f>
        <v>ECHEC</v>
      </c>
      <c r="O20" s="7">
        <f>IF(R20=0,0,VLOOKUP($A20,[6]HISTOAVRIL23!$A$7:$AU$45,32,0))</f>
        <v>0</v>
      </c>
      <c r="P20" s="7">
        <f>VLOOKUP($A20,[6]HISTOAVRIL23!$A$7:$AU$45,33,0)</f>
        <v>0</v>
      </c>
      <c r="Q20" s="7">
        <f t="shared" si="0"/>
        <v>0</v>
      </c>
      <c r="R20" s="7">
        <f>VLOOKUP($A20,[6]HISTOAVRIL23!$A$7:$AU$45,29,0)</f>
        <v>0</v>
      </c>
    </row>
    <row r="21" spans="1:18" x14ac:dyDescent="0.25">
      <c r="A21" s="1" t="s">
        <v>19</v>
      </c>
      <c r="B21" s="7">
        <f>IF(D21=0,0,VLOOKUP($A21,[6]HISTOAVRIL23!$A$6:$BO$40,10,0))</f>
        <v>1</v>
      </c>
      <c r="C21" s="1" t="str">
        <f>VLOOKUP(A21,[7]LISTADHERENT!A$5:H$60,3,0)</f>
        <v>NANKAM APPOLINAIRE</v>
      </c>
      <c r="D21" s="7">
        <f t="shared" si="1"/>
        <v>25000</v>
      </c>
      <c r="E21" s="7">
        <f>D21+VLOOKUP($A21,[6]HISTOAVRIL23!$A$7:$AU$40,45,0)+F21</f>
        <v>40000</v>
      </c>
      <c r="F21" s="7">
        <f>VLOOKUP($A21,[6]HISTOAVRIL23!$A$7:$AU$45,7,0)</f>
        <v>0</v>
      </c>
      <c r="G21" s="7" t="str">
        <f>VLOOKUP($A21,[6]HISTOAVRIL23!$A$7:$AU$45,8,0)</f>
        <v>BANQUE</v>
      </c>
      <c r="H21" s="7">
        <f>VLOOKUP($A21,[6]HISTOAVRIL23!$A$6:$AU$45,35,0)</f>
        <v>0</v>
      </c>
      <c r="I21" s="7">
        <f>VLOOKUP($A21,[6]HISTOAVRIL23!$A$7:$AU$45,38,0)</f>
        <v>0</v>
      </c>
      <c r="J21" s="7">
        <f>IF(I21=0,0,VLOOKUP($A21,[6]HISTOAVRIL23!$A$7:$AU$45,42,0))</f>
        <v>0</v>
      </c>
      <c r="K21" s="7">
        <f>VLOOKUP($A21,[6]HISTOAVRIL23!$A$7:$AU$45,41,0)</f>
        <v>0</v>
      </c>
      <c r="L21" s="7">
        <f>TONTMARS23!H21+TONTMARS23!I21</f>
        <v>0</v>
      </c>
      <c r="M21" s="7">
        <f>VLOOKUP($A21,[6]HISTOAVRIL23!$A$7:$AU$45,16,0)</f>
        <v>0</v>
      </c>
      <c r="N21" s="7" t="str">
        <f>IF(M21&lt;&gt;0,VLOOKUP($A21,[6]HISTOAVRIL23!$A$7:$AU$45,8,0),"ECHEC")</f>
        <v>ECHEC</v>
      </c>
      <c r="O21" s="7">
        <f>IF(R21=0,0,VLOOKUP($A21,[6]HISTOAVRIL23!$A$7:$AU$45,32,0))</f>
        <v>0</v>
      </c>
      <c r="P21" s="7">
        <f>VLOOKUP($A21,[6]HISTOAVRIL23!$A$7:$AU$45,33,0)</f>
        <v>0</v>
      </c>
      <c r="Q21" s="7">
        <f t="shared" si="0"/>
        <v>0</v>
      </c>
      <c r="R21" s="7">
        <f>VLOOKUP($A21,[6]HISTOAVRIL23!$A$7:$AU$45,29,0)</f>
        <v>0</v>
      </c>
    </row>
    <row r="22" spans="1:18" x14ac:dyDescent="0.25">
      <c r="A22" s="1" t="s">
        <v>20</v>
      </c>
      <c r="B22" s="7">
        <f>IF(D22=0,0,VLOOKUP($A22,[6]HISTOAVRIL23!$A$6:$BO$40,10,0))</f>
        <v>1</v>
      </c>
      <c r="C22" s="1" t="str">
        <f>VLOOKUP(A22,[7]LISTADHERENT!A$5:H$60,3,0)</f>
        <v>NDJOMO ETIENNE</v>
      </c>
      <c r="D22" s="7">
        <f t="shared" si="1"/>
        <v>25000</v>
      </c>
      <c r="E22" s="7">
        <f>D22+VLOOKUP($A22,[6]HISTOAVRIL23!$A$7:$AU$40,45,0)+F22</f>
        <v>50000</v>
      </c>
      <c r="F22" s="7">
        <f>VLOOKUP($A22,[6]HISTOAVRIL23!$A$7:$AU$45,7,0)</f>
        <v>0</v>
      </c>
      <c r="G22" s="7" t="str">
        <f>VLOOKUP($A22,[6]HISTOAVRIL23!$A$7:$AU$45,8,0)</f>
        <v>BANQUE</v>
      </c>
      <c r="H22" s="7">
        <f>VLOOKUP($A22,[6]HISTOAVRIL23!$A$6:$AU$45,35,0)</f>
        <v>0</v>
      </c>
      <c r="I22" s="7">
        <f>VLOOKUP($A22,[6]HISTOAVRIL23!$A$7:$AU$45,38,0)</f>
        <v>0</v>
      </c>
      <c r="J22" s="7">
        <f>IF(I22=0,0,VLOOKUP($A22,[6]HISTOAVRIL23!$A$7:$AU$45,42,0))</f>
        <v>0</v>
      </c>
      <c r="K22" s="7">
        <f>VLOOKUP($A22,[6]HISTOAVRIL23!$A$7:$AU$45,41,0)</f>
        <v>0</v>
      </c>
      <c r="L22" s="7">
        <f>TONTMARS23!H22+TONTMARS23!I22</f>
        <v>0</v>
      </c>
      <c r="M22" s="7">
        <f>VLOOKUP($A22,[6]HISTOAVRIL23!$A$7:$AU$45,16,0)</f>
        <v>0</v>
      </c>
      <c r="N22" s="7" t="str">
        <f>IF(M22&lt;&gt;0,VLOOKUP($A22,[6]HISTOAVRIL23!$A$7:$AU$45,8,0),"ECHEC")</f>
        <v>ECHEC</v>
      </c>
      <c r="O22" s="7">
        <f>IF(R22=0,0,VLOOKUP($A22,[6]HISTOAVRIL23!$A$7:$AU$45,32,0))</f>
        <v>0</v>
      </c>
      <c r="P22" s="7">
        <f>VLOOKUP($A22,[6]HISTOAVRIL23!$A$7:$AU$45,33,0)</f>
        <v>0</v>
      </c>
      <c r="Q22" s="7">
        <f t="shared" si="0"/>
        <v>0</v>
      </c>
      <c r="R22" s="7">
        <f>VLOOKUP($A22,[6]HISTOAVRIL23!$A$7:$AU$45,29,0)</f>
        <v>0</v>
      </c>
    </row>
    <row r="23" spans="1:18" x14ac:dyDescent="0.25">
      <c r="A23" s="1" t="s">
        <v>21</v>
      </c>
      <c r="B23" s="7">
        <f>IF(D23=0,0,VLOOKUP($A23,[6]HISTOAVRIL23!$A$6:$BO$40,10,0))</f>
        <v>1</v>
      </c>
      <c r="C23" s="1" t="str">
        <f>VLOOKUP(A23,[7]LISTADHERENT!A$5:H$60,3,0)</f>
        <v>NGONDIEP CLAUDE</v>
      </c>
      <c r="D23" s="7">
        <f t="shared" si="1"/>
        <v>25000</v>
      </c>
      <c r="E23" s="7">
        <f>D23+VLOOKUP($A23,[6]HISTOAVRIL23!$A$7:$AU$40,45,0)+F23</f>
        <v>45000</v>
      </c>
      <c r="F23" s="7">
        <f>VLOOKUP($A23,[6]HISTOAVRIL23!$A$7:$AU$45,7,0)</f>
        <v>0</v>
      </c>
      <c r="G23" s="7" t="str">
        <f>VLOOKUP($A23,[6]HISTOAVRIL23!$A$7:$AU$45,8,0)</f>
        <v>BANQUE</v>
      </c>
      <c r="H23" s="7">
        <f>VLOOKUP($A23,[6]HISTOAVRIL23!$A$6:$AU$45,35,0)</f>
        <v>0</v>
      </c>
      <c r="I23" s="7">
        <f>VLOOKUP($A23,[6]HISTOAVRIL23!$A$7:$AU$45,38,0)</f>
        <v>0</v>
      </c>
      <c r="J23" s="7">
        <f>IF(I23=0,0,VLOOKUP($A23,[6]HISTOAVRIL23!$A$7:$AU$45,42,0))</f>
        <v>0</v>
      </c>
      <c r="K23" s="7">
        <f>VLOOKUP($A23,[6]HISTOAVRIL23!$A$7:$AU$45,41,0)</f>
        <v>0</v>
      </c>
      <c r="L23" s="7">
        <f>TONTMARS23!H23+TONTMARS23!I23</f>
        <v>0</v>
      </c>
      <c r="M23" s="7">
        <f>VLOOKUP($A23,[6]HISTOAVRIL23!$A$7:$AU$45,16,0)</f>
        <v>0</v>
      </c>
      <c r="N23" s="7" t="str">
        <f>IF(M23&lt;&gt;0,VLOOKUP($A23,[6]HISTOAVRIL23!$A$7:$AU$45,8,0),"ECHEC")</f>
        <v>ECHEC</v>
      </c>
      <c r="O23" s="7">
        <f>IF(R23=0,0,VLOOKUP($A23,[6]HISTOAVRIL23!$A$7:$AU$45,32,0))</f>
        <v>0</v>
      </c>
      <c r="P23" s="7">
        <f>VLOOKUP($A23,[6]HISTOAVRIL23!$A$7:$AU$45,33,0)</f>
        <v>0</v>
      </c>
      <c r="Q23" s="7">
        <f t="shared" si="0"/>
        <v>0</v>
      </c>
      <c r="R23" s="7">
        <f>VLOOKUP($A23,[6]HISTOAVRIL23!$A$7:$AU$45,29,0)</f>
        <v>0</v>
      </c>
    </row>
    <row r="24" spans="1:18" x14ac:dyDescent="0.25">
      <c r="A24" s="1" t="s">
        <v>22</v>
      </c>
      <c r="B24" s="7">
        <f>IF(D24=0,0,VLOOKUP($A24,[6]HISTOAVRIL23!$A$6:$BO$40,10,0))</f>
        <v>1</v>
      </c>
      <c r="C24" s="1" t="str">
        <f>VLOOKUP(A24,[7]LISTADHERENT!A$5:H$60,3,0)</f>
        <v>NGUIEMEGNI MATHIEU BLAISE</v>
      </c>
      <c r="D24" s="7">
        <f t="shared" si="1"/>
        <v>25000</v>
      </c>
      <c r="E24" s="7">
        <f>D24+VLOOKUP($A24,[6]HISTOAVRIL23!$A$7:$AU$40,45,0)+F24</f>
        <v>30000</v>
      </c>
      <c r="F24" s="7">
        <f>VLOOKUP($A24,[6]HISTOAVRIL23!$A$7:$AU$45,7,0)</f>
        <v>0</v>
      </c>
      <c r="G24" s="7" t="str">
        <f>VLOOKUP($A24,[6]HISTOAVRIL23!$A$7:$AU$45,8,0)</f>
        <v>BANQUE</v>
      </c>
      <c r="H24" s="7">
        <f>VLOOKUP($A24,[6]HISTOAVRIL23!$A$6:$AU$45,35,0)</f>
        <v>0</v>
      </c>
      <c r="I24" s="7">
        <f>VLOOKUP($A24,[6]HISTOAVRIL23!$A$7:$AU$45,38,0)</f>
        <v>0</v>
      </c>
      <c r="J24" s="7">
        <f>IF(I24=0,0,VLOOKUP($A24,[6]HISTOAVRIL23!$A$7:$AU$45,42,0))</f>
        <v>0</v>
      </c>
      <c r="K24" s="7">
        <f>VLOOKUP($A24,[6]HISTOAVRIL23!$A$7:$AU$45,41,0)</f>
        <v>0</v>
      </c>
      <c r="L24" s="7">
        <f>TONTMARS23!H24+TONTMARS23!I24</f>
        <v>0</v>
      </c>
      <c r="M24" s="7">
        <f>VLOOKUP($A24,[6]HISTOAVRIL23!$A$7:$AU$45,16,0)</f>
        <v>0</v>
      </c>
      <c r="N24" s="7" t="str">
        <f>IF(M24&lt;&gt;0,VLOOKUP($A24,[6]HISTOAVRIL23!$A$7:$AU$45,8,0),"ECHEC")</f>
        <v>ECHEC</v>
      </c>
      <c r="O24" s="7">
        <f>IF(R24=0,0,VLOOKUP($A24,[6]HISTOAVRIL23!$A$7:$AU$45,32,0))</f>
        <v>0</v>
      </c>
      <c r="P24" s="7">
        <f>VLOOKUP($A24,[6]HISTOAVRIL23!$A$7:$AU$45,33,0)</f>
        <v>0</v>
      </c>
      <c r="Q24" s="7">
        <f t="shared" si="0"/>
        <v>0</v>
      </c>
      <c r="R24" s="7">
        <f>VLOOKUP($A24,[6]HISTOAVRIL23!$A$7:$AU$45,29,0)</f>
        <v>0</v>
      </c>
    </row>
    <row r="25" spans="1:18" x14ac:dyDescent="0.25">
      <c r="A25" s="1" t="s">
        <v>23</v>
      </c>
      <c r="B25" s="7">
        <f>IF(D25=0,0,VLOOKUP($A25,[6]HISTOAVRIL23!$A$6:$BO$40,10,0))</f>
        <v>1</v>
      </c>
      <c r="C25" s="1" t="str">
        <f>VLOOKUP(A25,[7]LISTADHERENT!A$5:H$60,3,0)</f>
        <v>NKAMGANG JUSTIN DEJOLIE</v>
      </c>
      <c r="D25" s="7">
        <f t="shared" si="1"/>
        <v>25000</v>
      </c>
      <c r="E25" s="7">
        <f>D25+VLOOKUP($A25,[6]HISTOAVRIL23!$A$7:$AU$40,45,0)+F25</f>
        <v>43000</v>
      </c>
      <c r="F25" s="7">
        <f>VLOOKUP($A25,[6]HISTOAVRIL23!$A$7:$AU$45,7,0)</f>
        <v>3000</v>
      </c>
      <c r="G25" s="7" t="str">
        <f>VLOOKUP($A25,[6]HISTOAVRIL23!$A$7:$AU$45,8,0)</f>
        <v>ESPECES</v>
      </c>
      <c r="H25" s="7">
        <f>VLOOKUP($A25,[6]HISTOAVRIL23!$A$6:$AU$45,35,0)</f>
        <v>60000</v>
      </c>
      <c r="I25" s="7">
        <f>VLOOKUP($A25,[6]HISTOAVRIL23!$A$7:$AU$45,38,0)</f>
        <v>1000</v>
      </c>
      <c r="J25" s="7" t="str">
        <f>IF(I25=0,0,VLOOKUP($A25,[6]HISTOAVRIL23!$A$7:$AU$45,42,0))</f>
        <v>BANQUE</v>
      </c>
      <c r="K25" s="7">
        <f>VLOOKUP($A25,[6]HISTOAVRIL23!$A$7:$AU$45,41,0)</f>
        <v>0</v>
      </c>
      <c r="L25" s="7">
        <f>TONTMARS23!H25+TONTMARS23!I25</f>
        <v>0</v>
      </c>
      <c r="M25" s="7">
        <f>VLOOKUP($A25,[6]HISTOAVRIL23!$A$7:$AU$45,16,0)</f>
        <v>0</v>
      </c>
      <c r="N25" s="7" t="str">
        <f>IF(M25&lt;&gt;0,VLOOKUP($A25,[6]HISTOAVRIL23!$A$7:$AU$45,8,0),"ECHEC")</f>
        <v>ECHEC</v>
      </c>
      <c r="O25" s="7">
        <f>IF(R25=0,0,VLOOKUP($A25,[6]HISTOAVRIL23!$A$7:$AU$45,32,0))</f>
        <v>0</v>
      </c>
      <c r="P25" s="7">
        <f>VLOOKUP($A25,[6]HISTOAVRIL23!$A$7:$AU$45,33,0)</f>
        <v>0</v>
      </c>
      <c r="Q25" s="7">
        <f t="shared" si="0"/>
        <v>0</v>
      </c>
      <c r="R25" s="7">
        <f>VLOOKUP($A25,[6]HISTOAVRIL23!$A$7:$AU$45,29,0)</f>
        <v>0</v>
      </c>
    </row>
    <row r="26" spans="1:18" x14ac:dyDescent="0.25">
      <c r="A26" s="1" t="s">
        <v>86</v>
      </c>
      <c r="B26" s="7">
        <f>IF(D26=0,0,VLOOKUP($A26,[6]HISTOAVRIL23!$A$6:$BO$40,10,0))</f>
        <v>1</v>
      </c>
      <c r="C26" s="1" t="str">
        <f>VLOOKUP(A26,[7]LISTADHERENT!A$5:H$60,3,0)</f>
        <v>NOUBE ETIENNE</v>
      </c>
      <c r="D26" s="7">
        <f t="shared" si="1"/>
        <v>25000</v>
      </c>
      <c r="E26" s="7">
        <f>D26+VLOOKUP($A26,[6]HISTOAVRIL23!$A$7:$AU$40,45,0)+F26</f>
        <v>50000</v>
      </c>
      <c r="F26" s="7">
        <f>VLOOKUP($A26,[6]HISTOAVRIL23!$A$7:$AU$45,7,0)</f>
        <v>0</v>
      </c>
      <c r="G26" s="7" t="str">
        <f>VLOOKUP($A26,[6]HISTOAVRIL23!$A$7:$AU$45,8,0)</f>
        <v>BANQUE</v>
      </c>
      <c r="H26" s="7">
        <f>VLOOKUP($A26,[6]HISTOAVRIL23!$A$6:$AU$45,35,0)</f>
        <v>0</v>
      </c>
      <c r="I26" s="7">
        <f>VLOOKUP($A26,[6]HISTOAVRIL23!$A$7:$AU$45,38,0)</f>
        <v>0</v>
      </c>
      <c r="J26" s="7">
        <f>IF(I26=0,0,VLOOKUP($A26,[6]HISTOAVRIL23!$A$7:$AU$45,42,0))</f>
        <v>0</v>
      </c>
      <c r="K26" s="7">
        <f>VLOOKUP($A26,[6]HISTOAVRIL23!$A$7:$AU$45,41,0)</f>
        <v>0</v>
      </c>
      <c r="L26" s="7">
        <f>TONTMARS23!H26+TONTMARS23!I26</f>
        <v>0</v>
      </c>
      <c r="M26" s="7">
        <f>VLOOKUP($A26,[6]HISTOAVRIL23!$A$7:$AU$45,16,0)</f>
        <v>0</v>
      </c>
      <c r="N26" s="7" t="str">
        <f>IF(M26&lt;&gt;0,VLOOKUP($A26,[6]HISTOAVRIL23!$A$7:$AU$45,8,0),"ECHEC")</f>
        <v>ECHEC</v>
      </c>
      <c r="O26" s="7">
        <f>IF(R26=0,0,VLOOKUP($A26,[6]HISTOAVRIL23!$A$7:$AU$45,32,0))</f>
        <v>0</v>
      </c>
      <c r="P26" s="7">
        <f>VLOOKUP($A26,[6]HISTOAVRIL23!$A$7:$AU$45,33,0)</f>
        <v>0</v>
      </c>
      <c r="Q26" s="7">
        <f t="shared" si="0"/>
        <v>0</v>
      </c>
      <c r="R26" s="7">
        <f>VLOOKUP($A26,[6]HISTOAVRIL23!$A$7:$AU$45,29,0)</f>
        <v>0</v>
      </c>
    </row>
    <row r="27" spans="1:18" x14ac:dyDescent="0.25">
      <c r="A27" s="1" t="s">
        <v>24</v>
      </c>
      <c r="B27" s="7">
        <f>IF(D27=0,0,VLOOKUP($A27,[6]HISTOAVRIL23!$A$6:$BO$40,10,0))</f>
        <v>1</v>
      </c>
      <c r="C27" s="1" t="str">
        <f>VLOOKUP(A27,[7]LISTADHERENT!A$5:H$60,3,0)</f>
        <v>PATEGO NJOSSU GUSTAVE</v>
      </c>
      <c r="D27" s="7">
        <f t="shared" si="1"/>
        <v>25000</v>
      </c>
      <c r="E27" s="7">
        <f>D27+VLOOKUP($A27,[6]HISTOAVRIL23!$A$7:$AU$40,45,0)+F27</f>
        <v>40000</v>
      </c>
      <c r="F27" s="7">
        <f>VLOOKUP($A27,[6]HISTOAVRIL23!$A$7:$AU$45,7,0)</f>
        <v>0</v>
      </c>
      <c r="G27" s="7" t="str">
        <f>VLOOKUP($A27,[6]HISTOAVRIL23!$A$7:$AU$45,8,0)</f>
        <v>BANQUE</v>
      </c>
      <c r="H27" s="7">
        <f>VLOOKUP($A27,[6]HISTOAVRIL23!$A$6:$AU$45,35,0)</f>
        <v>0</v>
      </c>
      <c r="I27" s="7">
        <f>VLOOKUP($A27,[6]HISTOAVRIL23!$A$7:$AU$45,38,0)</f>
        <v>0</v>
      </c>
      <c r="J27" s="7">
        <f>IF(I27=0,0,VLOOKUP($A27,[6]HISTOAVRIL23!$A$7:$AU$45,42,0))</f>
        <v>0</v>
      </c>
      <c r="K27" s="7">
        <f>VLOOKUP($A27,[6]HISTOAVRIL23!$A$7:$AU$45,41,0)</f>
        <v>0</v>
      </c>
      <c r="L27" s="7">
        <f>TONTMARS23!H27+TONTMARS23!I27</f>
        <v>0</v>
      </c>
      <c r="M27" s="7">
        <f>VLOOKUP($A27,[6]HISTOAVRIL23!$A$7:$AU$45,16,0)</f>
        <v>0</v>
      </c>
      <c r="N27" s="7" t="str">
        <f>IF(M27&lt;&gt;0,VLOOKUP($A27,[6]HISTOAVRIL23!$A$7:$AU$45,8,0),"ECHEC")</f>
        <v>ECHEC</v>
      </c>
      <c r="O27" s="7">
        <f>IF(R27=0,0,VLOOKUP($A27,[6]HISTOAVRIL23!$A$7:$AU$45,32,0))</f>
        <v>0</v>
      </c>
      <c r="P27" s="7">
        <f>VLOOKUP($A27,[6]HISTOAVRIL23!$A$7:$AU$45,33,0)</f>
        <v>0</v>
      </c>
      <c r="Q27" s="7">
        <f t="shared" si="0"/>
        <v>0</v>
      </c>
      <c r="R27" s="7">
        <f>VLOOKUP($A27,[6]HISTOAVRIL23!$A$7:$AU$45,29,0)</f>
        <v>0</v>
      </c>
    </row>
    <row r="28" spans="1:18" x14ac:dyDescent="0.25">
      <c r="A28" s="1" t="s">
        <v>87</v>
      </c>
      <c r="B28" s="7">
        <f>IF(D28=0,0,VLOOKUP($A28,[6]HISTOAVRIL23!$A$6:$BO$40,10,0))</f>
        <v>1</v>
      </c>
      <c r="C28" s="1" t="str">
        <f>VLOOKUP(A28,[7]LISTADHERENT!A$5:H$60,3,0)</f>
        <v>SEUMO POLYCARPE</v>
      </c>
      <c r="D28" s="7">
        <f t="shared" si="1"/>
        <v>25000</v>
      </c>
      <c r="E28" s="7">
        <f>D28+VLOOKUP($A28,[6]HISTOAVRIL23!$A$7:$AU$40,45,0)+F28</f>
        <v>40000</v>
      </c>
      <c r="F28" s="7">
        <f>VLOOKUP($A28,[6]HISTOAVRIL23!$A$7:$AU$45,7,0)</f>
        <v>0</v>
      </c>
      <c r="G28" s="7" t="str">
        <f>VLOOKUP($A28,[6]HISTOAVRIL23!$A$7:$AU$45,8,0)</f>
        <v>BANQUE</v>
      </c>
      <c r="H28" s="7">
        <f>VLOOKUP($A28,[6]HISTOAVRIL23!$A$6:$AU$45,35,0)</f>
        <v>0</v>
      </c>
      <c r="I28" s="7">
        <f>VLOOKUP($A28,[6]HISTOAVRIL23!$A$7:$AU$45,38,0)</f>
        <v>0</v>
      </c>
      <c r="J28" s="7">
        <f>IF(I28=0,0,VLOOKUP($A28,[6]HISTOAVRIL23!$A$7:$AU$45,42,0))</f>
        <v>0</v>
      </c>
      <c r="K28" s="7">
        <f>VLOOKUP($A28,[6]HISTOAVRIL23!$A$7:$AU$45,41,0)</f>
        <v>0</v>
      </c>
      <c r="L28" s="7">
        <f>TONTMARS23!H28+TONTMARS23!I28</f>
        <v>0</v>
      </c>
      <c r="M28" s="7">
        <f>VLOOKUP($A28,[6]HISTOAVRIL23!$A$7:$AU$45,16,0)</f>
        <v>0</v>
      </c>
      <c r="N28" s="7" t="str">
        <f>IF(M28&lt;&gt;0,VLOOKUP($A28,[6]HISTOAVRIL23!$A$7:$AU$45,8,0),"ECHEC")</f>
        <v>ECHEC</v>
      </c>
      <c r="O28" s="7">
        <f>IF(R28=0,0,VLOOKUP($A28,[6]HISTOAVRIL23!$A$7:$AU$45,32,0))</f>
        <v>0</v>
      </c>
      <c r="P28" s="7">
        <f>VLOOKUP($A28,[6]HISTOAVRIL23!$A$7:$AU$45,33,0)</f>
        <v>0</v>
      </c>
      <c r="Q28" s="7">
        <f t="shared" si="0"/>
        <v>0</v>
      </c>
      <c r="R28" s="7">
        <f>VLOOKUP($A28,[6]HISTOAVRIL23!$A$7:$AU$45,29,0)</f>
        <v>0</v>
      </c>
    </row>
    <row r="29" spans="1:18" x14ac:dyDescent="0.25">
      <c r="A29" s="1" t="s">
        <v>47</v>
      </c>
      <c r="B29" s="7">
        <f>IF(D29=0,0,VLOOKUP($A29,[6]HISTOAVRIL23!$A$6:$BO$40,10,0))</f>
        <v>1</v>
      </c>
      <c r="C29" s="1" t="str">
        <f>VLOOKUP(A29,[7]LISTADHERENT!A$5:H$60,3,0)</f>
        <v>SIME BRICE</v>
      </c>
      <c r="D29" s="7">
        <f t="shared" si="1"/>
        <v>25000</v>
      </c>
      <c r="E29" s="7">
        <f>D29+VLOOKUP($A29,[6]HISTOAVRIL23!$A$7:$AU$40,45,0)+F29</f>
        <v>40000</v>
      </c>
      <c r="F29" s="7">
        <f>VLOOKUP($A29,[6]HISTOAVRIL23!$A$7:$AU$45,7,0)</f>
        <v>0</v>
      </c>
      <c r="G29" s="7" t="str">
        <f>VLOOKUP($A29,[6]HISTOAVRIL23!$A$7:$AU$45,8,0)</f>
        <v>BANQUE</v>
      </c>
      <c r="H29" s="7">
        <f>VLOOKUP($A29,[6]HISTOAVRIL23!$A$6:$AU$45,35,0)</f>
        <v>0</v>
      </c>
      <c r="I29" s="7">
        <f>VLOOKUP($A29,[6]HISTOAVRIL23!$A$7:$AU$45,38,0)</f>
        <v>0</v>
      </c>
      <c r="J29" s="7">
        <f>IF(I29=0,0,VLOOKUP($A29,[6]HISTOAVRIL23!$A$7:$AU$45,42,0))</f>
        <v>0</v>
      </c>
      <c r="K29" s="7">
        <f>VLOOKUP($A29,[6]HISTOAVRIL23!$A$7:$AU$45,41,0)</f>
        <v>0</v>
      </c>
      <c r="L29" s="7">
        <f>TONTMARS23!H29+TONTMARS23!I29</f>
        <v>0</v>
      </c>
      <c r="M29" s="7">
        <f>VLOOKUP($A29,[6]HISTOAVRIL23!$A$7:$AU$45,16,0)</f>
        <v>0</v>
      </c>
      <c r="N29" s="7" t="str">
        <f>IF(M29&lt;&gt;0,VLOOKUP($A29,[6]HISTOAVRIL23!$A$7:$AU$45,8,0),"ECHEC")</f>
        <v>ECHEC</v>
      </c>
      <c r="O29" s="7">
        <f>IF(R29=0,0,VLOOKUP($A29,[6]HISTOAVRIL23!$A$7:$AU$45,32,0))</f>
        <v>0</v>
      </c>
      <c r="P29" s="7">
        <f>VLOOKUP($A29,[6]HISTOAVRIL23!$A$7:$AU$45,33,0)</f>
        <v>0</v>
      </c>
      <c r="Q29" s="7">
        <f t="shared" si="0"/>
        <v>0</v>
      </c>
      <c r="R29" s="7">
        <f>VLOOKUP($A29,[6]HISTOAVRIL23!$A$7:$AU$45,29,0)</f>
        <v>0</v>
      </c>
    </row>
    <row r="30" spans="1:18" x14ac:dyDescent="0.25">
      <c r="A30" s="1" t="s">
        <v>25</v>
      </c>
      <c r="B30" s="7">
        <f>IF(D30=0,0,VLOOKUP($A30,[6]HISTOAVRIL23!$A$6:$BO$40,10,0))</f>
        <v>1</v>
      </c>
      <c r="C30" s="1" t="str">
        <f>VLOOKUP(A30,[7]LISTADHERENT!A$5:H$60,3,0)</f>
        <v>SIMO PIERRE</v>
      </c>
      <c r="D30" s="7">
        <f t="shared" si="1"/>
        <v>25000</v>
      </c>
      <c r="E30" s="7">
        <f>D30+VLOOKUP($A30,[6]HISTOAVRIL23!$A$7:$AU$40,45,0)+F30</f>
        <v>40000</v>
      </c>
      <c r="F30" s="7">
        <f>VLOOKUP($A30,[6]HISTOAVRIL23!$A$7:$AU$45,7,0)</f>
        <v>0</v>
      </c>
      <c r="G30" s="7" t="str">
        <f>VLOOKUP($A30,[6]HISTOAVRIL23!$A$7:$AU$45,8,0)</f>
        <v>BANQUE</v>
      </c>
      <c r="H30" s="7">
        <f>VLOOKUP($A30,[6]HISTOAVRIL23!$A$6:$AU$45,35,0)</f>
        <v>0</v>
      </c>
      <c r="I30" s="7">
        <f>VLOOKUP($A30,[6]HISTOAVRIL23!$A$7:$AU$45,38,0)</f>
        <v>0</v>
      </c>
      <c r="J30" s="7">
        <f>IF(I30=0,0,VLOOKUP($A30,[6]HISTOAVRIL23!$A$7:$AU$45,42,0))</f>
        <v>0</v>
      </c>
      <c r="K30" s="7">
        <f>VLOOKUP($A30,[6]HISTOAVRIL23!$A$7:$AU$45,41,0)</f>
        <v>0</v>
      </c>
      <c r="L30" s="7">
        <f>TONTMARS23!H30+TONTMARS23!I30</f>
        <v>0</v>
      </c>
      <c r="M30" s="7">
        <f>VLOOKUP($A30,[6]HISTOAVRIL23!$A$7:$AU$45,16,0)</f>
        <v>0</v>
      </c>
      <c r="N30" s="7" t="str">
        <f>IF(M30&lt;&gt;0,VLOOKUP($A30,[6]HISTOAVRIL23!$A$7:$AU$45,8,0),"ECHEC")</f>
        <v>ECHEC</v>
      </c>
      <c r="O30" s="7">
        <f>IF(R30=0,0,VLOOKUP($A30,[6]HISTOAVRIL23!$A$7:$AU$45,32,0))</f>
        <v>0</v>
      </c>
      <c r="P30" s="7">
        <f>VLOOKUP($A30,[6]HISTOAVRIL23!$A$7:$AU$45,33,0)</f>
        <v>0</v>
      </c>
      <c r="Q30" s="7">
        <f t="shared" si="0"/>
        <v>0</v>
      </c>
      <c r="R30" s="7">
        <f>VLOOKUP($A30,[6]HISTOAVRIL23!$A$7:$AU$45,29,0)</f>
        <v>0</v>
      </c>
    </row>
    <row r="31" spans="1:18" x14ac:dyDescent="0.25">
      <c r="A31" s="1" t="s">
        <v>27</v>
      </c>
      <c r="B31" s="7">
        <f>IF(D31=0,0,VLOOKUP($A31,[6]HISTOAVRIL23!$A$6:$BO$40,10,0))</f>
        <v>1</v>
      </c>
      <c r="C31" s="1" t="str">
        <f>VLOOKUP(A31,[7]LISTADHERENT!A$5:H$60,3,0)</f>
        <v>TCHOUAMOU MATHIEU</v>
      </c>
      <c r="D31" s="7">
        <f t="shared" si="1"/>
        <v>25000</v>
      </c>
      <c r="E31" s="7">
        <f>D31+VLOOKUP($A31,[6]HISTOAVRIL23!$A$7:$AU$40,45,0)+F31</f>
        <v>40000</v>
      </c>
      <c r="F31" s="7">
        <f>VLOOKUP($A31,[6]HISTOAVRIL23!$A$7:$AU$45,7,0)</f>
        <v>0</v>
      </c>
      <c r="G31" s="7" t="str">
        <f>VLOOKUP($A31,[6]HISTOAVRIL23!$A$7:$AU$45,8,0)</f>
        <v>BANQUE</v>
      </c>
      <c r="H31" s="7">
        <f>VLOOKUP($A31,[6]HISTOAVRIL23!$A$6:$AU$45,35,0)</f>
        <v>0</v>
      </c>
      <c r="I31" s="7">
        <f>VLOOKUP($A31,[6]HISTOAVRIL23!$A$7:$AU$45,38,0)</f>
        <v>0</v>
      </c>
      <c r="J31" s="7">
        <f>IF(I31=0,0,VLOOKUP($A31,[6]HISTOAVRIL23!$A$7:$AU$45,42,0))</f>
        <v>0</v>
      </c>
      <c r="K31" s="7">
        <f>VLOOKUP($A31,[6]HISTOAVRIL23!$A$7:$AU$45,41,0)</f>
        <v>0</v>
      </c>
      <c r="L31" s="7">
        <f>TONTMARS23!H31+TONTMARS23!I31</f>
        <v>0</v>
      </c>
      <c r="M31" s="7">
        <f>VLOOKUP($A31,[6]HISTOAVRIL23!$A$7:$AU$45,16,0)</f>
        <v>0</v>
      </c>
      <c r="N31" s="7" t="str">
        <f>IF(M31&lt;&gt;0,VLOOKUP($A31,[6]HISTOAVRIL23!$A$7:$AU$45,8,0),"ECHEC")</f>
        <v>ECHEC</v>
      </c>
      <c r="O31" s="7">
        <f>IF(R31=0,0,VLOOKUP($A31,[6]HISTOAVRIL23!$A$7:$AU$45,32,0))</f>
        <v>0</v>
      </c>
      <c r="P31" s="7">
        <f>VLOOKUP($A31,[6]HISTOAVRIL23!$A$7:$AU$45,33,0)</f>
        <v>0</v>
      </c>
      <c r="Q31" s="7">
        <f t="shared" si="0"/>
        <v>0</v>
      </c>
      <c r="R31" s="7">
        <f>VLOOKUP($A31,[6]HISTOAVRIL23!$A$7:$AU$45,29,0)</f>
        <v>0</v>
      </c>
    </row>
    <row r="32" spans="1:18" x14ac:dyDescent="0.25">
      <c r="A32" s="1" t="s">
        <v>88</v>
      </c>
      <c r="B32" s="7">
        <f>IF(D32=0,0,VLOOKUP($A32,[6]HISTOAVRIL23!$A$6:$BO$40,10,0))</f>
        <v>1</v>
      </c>
      <c r="C32" s="1" t="str">
        <f>VLOOKUP(A32,[7]LISTADHERENT!A$5:H$60,3,0)</f>
        <v>TCHOUTOU NANA CLAUDE</v>
      </c>
      <c r="D32" s="7">
        <f t="shared" si="1"/>
        <v>25000</v>
      </c>
      <c r="E32" s="7">
        <f>D32+VLOOKUP($A32,[6]HISTOAVRIL23!$A$7:$AU$40,45,0)+F32</f>
        <v>43000</v>
      </c>
      <c r="F32" s="7">
        <f>VLOOKUP($A32,[6]HISTOAVRIL23!$A$7:$AU$45,7,0)</f>
        <v>3000</v>
      </c>
      <c r="G32" s="7" t="str">
        <f>VLOOKUP($A32,[6]HISTOAVRIL23!$A$7:$AU$45,8,0)</f>
        <v>ESPECES</v>
      </c>
      <c r="H32" s="7">
        <f>VLOOKUP($A32,[6]HISTOAVRIL23!$A$6:$AU$45,35,0)</f>
        <v>0</v>
      </c>
      <c r="I32" s="7">
        <f>VLOOKUP($A32,[6]HISTOAVRIL23!$A$7:$AU$45,38,0)</f>
        <v>0</v>
      </c>
      <c r="J32" s="7">
        <f>IF(I32=0,0,VLOOKUP($A32,[6]HISTOAVRIL23!$A$7:$AU$45,42,0))</f>
        <v>0</v>
      </c>
      <c r="K32" s="7">
        <f>VLOOKUP($A32,[6]HISTOAVRIL23!$A$7:$AU$45,41,0)</f>
        <v>0</v>
      </c>
      <c r="L32" s="7">
        <f>TONTMARS23!H32+TONTMARS23!I32</f>
        <v>0</v>
      </c>
      <c r="M32" s="7">
        <f>VLOOKUP($A32,[6]HISTOAVRIL23!$A$7:$AU$45,16,0)</f>
        <v>0</v>
      </c>
      <c r="N32" s="7" t="str">
        <f>IF(M32&lt;&gt;0,VLOOKUP($A32,[6]HISTOAVRIL23!$A$7:$AU$45,8,0),"ECHEC")</f>
        <v>ECHEC</v>
      </c>
      <c r="O32" s="7">
        <f>IF(R32=0,0,VLOOKUP($A32,[6]HISTOAVRIL23!$A$7:$AU$45,32,0))</f>
        <v>0</v>
      </c>
      <c r="P32" s="7">
        <f>VLOOKUP($A32,[6]HISTOAVRIL23!$A$7:$AU$45,33,0)</f>
        <v>0</v>
      </c>
      <c r="Q32" s="7">
        <f t="shared" si="0"/>
        <v>0</v>
      </c>
      <c r="R32" s="7">
        <f>VLOOKUP($A32,[6]HISTOAVRIL23!$A$7:$AU$45,29,0)</f>
        <v>0</v>
      </c>
    </row>
    <row r="33" spans="1:18" x14ac:dyDescent="0.25">
      <c r="A33" s="1" t="s">
        <v>90</v>
      </c>
      <c r="B33" s="7">
        <f>IF(D33=0,0,VLOOKUP($A33,[6]HISTOAVRIL23!$A$6:$BO$40,10,0))</f>
        <v>1</v>
      </c>
      <c r="C33" s="1" t="str">
        <f>VLOOKUP(A33,[7]LISTADHERENT!A$5:H$60,3,0)</f>
        <v>YANTCHOU GERVAIS</v>
      </c>
      <c r="D33" s="7">
        <f t="shared" si="1"/>
        <v>25000</v>
      </c>
      <c r="E33" s="7">
        <f>D33+VLOOKUP($A33,[6]HISTOAVRIL23!$A$7:$AU$40,45,0)+F33</f>
        <v>100000</v>
      </c>
      <c r="F33" s="7">
        <f>VLOOKUP($A33,[6]HISTOAVRIL23!$A$7:$AU$45,7,0)</f>
        <v>3000</v>
      </c>
      <c r="G33" s="7" t="str">
        <f>VLOOKUP($A33,[6]HISTOAVRIL23!$A$7:$AU$45,8,0)</f>
        <v>ESPECES</v>
      </c>
      <c r="H33" s="7">
        <f>VLOOKUP($A33,[6]HISTOAVRIL23!$A$6:$AU$45,35,0)</f>
        <v>0</v>
      </c>
      <c r="I33" s="7">
        <f>VLOOKUP($A33,[6]HISTOAVRIL23!$A$7:$AU$45,38,0)</f>
        <v>0</v>
      </c>
      <c r="J33" s="7">
        <f>IF(I33=0,0,VLOOKUP($A33,[6]HISTOAVRIL23!$A$7:$AU$45,42,0))</f>
        <v>0</v>
      </c>
      <c r="K33" s="7">
        <f>VLOOKUP($A33,[6]HISTOAVRIL23!$A$7:$AU$45,41,0)</f>
        <v>0</v>
      </c>
      <c r="L33" s="7">
        <f>TONTMARS23!H33+TONTMARS23!I33</f>
        <v>0</v>
      </c>
      <c r="M33" s="7">
        <f>VLOOKUP($A33,[6]HISTOAVRIL23!$A$7:$AU$45,16,0)</f>
        <v>0</v>
      </c>
      <c r="N33" s="7" t="str">
        <f>IF(M33&lt;&gt;0,VLOOKUP($A33,[6]HISTOAVRIL23!$A$7:$AU$45,8,0),"ECHEC")</f>
        <v>ECHEC</v>
      </c>
      <c r="O33" s="7">
        <f>IF(R33=0,0,VLOOKUP($A33,[6]HISTOAVRIL23!$A$7:$AU$45,32,0))</f>
        <v>0</v>
      </c>
      <c r="P33" s="7">
        <f>VLOOKUP($A33,[6]HISTOAVRIL23!$A$7:$AU$45,33,0)</f>
        <v>0</v>
      </c>
      <c r="Q33" s="7">
        <f t="shared" si="0"/>
        <v>0</v>
      </c>
      <c r="R33" s="7">
        <f>VLOOKUP($A33,[6]HISTOAVRIL23!$A$7:$AU$45,29,0)</f>
        <v>0</v>
      </c>
    </row>
    <row r="34" spans="1:18" x14ac:dyDescent="0.25">
      <c r="A34" s="1" t="s">
        <v>28</v>
      </c>
      <c r="B34" s="7">
        <f>IF(D34=0,0,VLOOKUP($A34,[6]HISTOAVRIL23!$A$6:$BO$40,10,0))</f>
        <v>1</v>
      </c>
      <c r="C34" s="1" t="str">
        <f>VLOOKUP(A34,[7]LISTADHERENT!A$5:H$60,3,0)</f>
        <v>YEPMOU JEAN JACQUES</v>
      </c>
      <c r="D34" s="7">
        <f t="shared" si="1"/>
        <v>25000</v>
      </c>
      <c r="E34" s="7">
        <f>D34+VLOOKUP($A34,[6]HISTOAVRIL23!$A$7:$AU$40,45,0)+F34</f>
        <v>39000</v>
      </c>
      <c r="F34" s="7">
        <f>VLOOKUP($A34,[6]HISTOAVRIL23!$A$7:$AU$45,7,0)</f>
        <v>0</v>
      </c>
      <c r="G34" s="7" t="str">
        <f>VLOOKUP($A34,[6]HISTOAVRIL23!$A$7:$AU$45,8,0)</f>
        <v>ESPECES</v>
      </c>
      <c r="H34" s="7">
        <f>VLOOKUP($A34,[6]HISTOAVRIL23!$A$6:$AU$45,35,0)</f>
        <v>0</v>
      </c>
      <c r="I34" s="7">
        <f>VLOOKUP($A34,[6]HISTOAVRIL23!$A$7:$AU$45,38,0)</f>
        <v>0</v>
      </c>
      <c r="J34" s="7">
        <f>IF(I34=0,0,VLOOKUP($A34,[6]HISTOAVRIL23!$A$7:$AU$45,42,0))</f>
        <v>0</v>
      </c>
      <c r="K34" s="7">
        <f>VLOOKUP($A34,[6]HISTOAVRIL23!$A$7:$AU$45,41,0)</f>
        <v>0</v>
      </c>
      <c r="L34" s="7">
        <f>TONTMARS23!H34+TONTMARS23!I34</f>
        <v>0</v>
      </c>
      <c r="M34" s="7">
        <f>VLOOKUP($A34,[6]HISTOAVRIL23!$A$7:$AU$45,16,0)</f>
        <v>0</v>
      </c>
      <c r="N34" s="7" t="str">
        <f>IF(M34&lt;&gt;0,VLOOKUP($A34,[6]HISTOAVRIL23!$A$7:$AU$45,8,0),"ECHEC")</f>
        <v>ECHEC</v>
      </c>
      <c r="O34" s="7">
        <f>IF(R34=0,0,VLOOKUP($A34,[6]HISTOAVRIL23!$A$7:$AU$45,32,0))</f>
        <v>0</v>
      </c>
      <c r="P34" s="7">
        <f>VLOOKUP($A34,[6]HISTOAVRIL23!$A$7:$AU$45,33,0)</f>
        <v>0</v>
      </c>
      <c r="Q34" s="7">
        <f t="shared" si="0"/>
        <v>0</v>
      </c>
      <c r="R34" s="7">
        <f>VLOOKUP($A34,[6]HISTOAVRIL23!$A$7:$AU$45,29,0)</f>
        <v>0</v>
      </c>
    </row>
    <row r="35" spans="1:18" x14ac:dyDescent="0.25">
      <c r="A35" s="1" t="s">
        <v>29</v>
      </c>
      <c r="B35" s="7">
        <f>IF(D35=0,0,VLOOKUP($A35,[6]HISTOAVRIL23!$A$6:$BO$40,10,0))</f>
        <v>1</v>
      </c>
      <c r="C35" s="1" t="str">
        <f>VLOOKUP(A35,[7]LISTADHERENT!A$5:H$60,3,0)</f>
        <v>YOUMBI EMMANUEL</v>
      </c>
      <c r="D35" s="7">
        <f t="shared" si="1"/>
        <v>25000</v>
      </c>
      <c r="E35" s="7">
        <f>D35+VLOOKUP($A35,[6]HISTOAVRIL23!$A$7:$AU$40,45,0)+F35</f>
        <v>40000</v>
      </c>
      <c r="F35" s="7">
        <f>VLOOKUP($A35,[6]HISTOAVRIL23!$A$7:$AU$45,7,0)</f>
        <v>0</v>
      </c>
      <c r="G35" s="7" t="str">
        <f>VLOOKUP($A35,[6]HISTOAVRIL23!$A$7:$AU$45,8,0)</f>
        <v>BANQUE</v>
      </c>
      <c r="H35" s="7">
        <f>VLOOKUP($A35,[6]HISTOAVRIL23!$A$6:$AU$45,35,0)</f>
        <v>0</v>
      </c>
      <c r="I35" s="7">
        <f>VLOOKUP($A35,[6]HISTOAVRIL23!$A$7:$AU$45,38,0)</f>
        <v>0</v>
      </c>
      <c r="J35" s="7">
        <f>IF(I35=0,0,VLOOKUP($A35,[6]HISTOAVRIL23!$A$7:$AU$45,42,0))</f>
        <v>0</v>
      </c>
      <c r="K35" s="7">
        <f>VLOOKUP($A35,[6]HISTOAVRIL23!$A$7:$AU$45,41,0)</f>
        <v>0</v>
      </c>
      <c r="L35" s="7">
        <f>TONTMARS23!H35+TONTMARS23!I35</f>
        <v>0</v>
      </c>
      <c r="M35" s="7">
        <f>VLOOKUP($A35,[6]HISTOAVRIL23!$A$7:$AU$45,16,0)</f>
        <v>0</v>
      </c>
      <c r="N35" s="7" t="str">
        <f>IF(M35&lt;&gt;0,VLOOKUP($A35,[6]HISTOAVRIL23!$A$7:$AU$45,8,0),"ECHEC")</f>
        <v>ECHEC</v>
      </c>
      <c r="O35" s="7">
        <f>IF(R35=0,0,VLOOKUP($A35,[6]HISTOAVRIL23!$A$7:$AU$45,32,0))</f>
        <v>0</v>
      </c>
      <c r="P35" s="7">
        <f>VLOOKUP($A35,[6]HISTOAVRIL23!$A$7:$AU$45,33,0)</f>
        <v>0</v>
      </c>
      <c r="Q35" s="7">
        <f t="shared" si="0"/>
        <v>0</v>
      </c>
      <c r="R35" s="7">
        <f>VLOOKUP($A35,[6]HISTOAVRIL23!$A$7:$AU$45,29,0)</f>
        <v>0</v>
      </c>
    </row>
    <row r="36" spans="1:18" x14ac:dyDescent="0.25">
      <c r="A36" s="1"/>
    </row>
    <row r="37" spans="1:18" ht="18" x14ac:dyDescent="0.25">
      <c r="A37" s="1" t="s">
        <v>84</v>
      </c>
      <c r="B37" s="8">
        <f>SUM(B6:B36)</f>
        <v>30</v>
      </c>
      <c r="I37" s="9"/>
    </row>
    <row r="38" spans="1:18" ht="18" x14ac:dyDescent="0.25">
      <c r="A38" s="1" t="s">
        <v>83</v>
      </c>
      <c r="B38" s="16">
        <f>COUNT(D6:D35)</f>
        <v>30</v>
      </c>
      <c r="C38" s="8"/>
      <c r="D38" s="8">
        <f>SUM(D6:D37)</f>
        <v>750000</v>
      </c>
      <c r="E38" s="8">
        <f>SUM(E6:E37)</f>
        <v>1335000</v>
      </c>
      <c r="F38" s="8">
        <f>SUM(F6:F37)</f>
        <v>12000</v>
      </c>
      <c r="G38" s="8"/>
      <c r="H38" s="8">
        <f t="shared" ref="H38:R38" si="2">SUM(H6:H37)</f>
        <v>142500</v>
      </c>
      <c r="I38" s="8">
        <f t="shared" si="2"/>
        <v>3500</v>
      </c>
      <c r="J38" s="8"/>
      <c r="K38" s="8"/>
      <c r="L38" s="8">
        <f t="shared" si="2"/>
        <v>0</v>
      </c>
      <c r="M38" s="8">
        <f t="shared" si="2"/>
        <v>0</v>
      </c>
      <c r="N38" s="8">
        <f t="shared" si="2"/>
        <v>0</v>
      </c>
      <c r="O38" s="8">
        <f t="shared" si="2"/>
        <v>0</v>
      </c>
      <c r="P38" s="8">
        <f t="shared" si="2"/>
        <v>0</v>
      </c>
      <c r="Q38" s="8">
        <f t="shared" si="2"/>
        <v>579000</v>
      </c>
      <c r="R38" s="8">
        <f t="shared" si="2"/>
        <v>21000</v>
      </c>
    </row>
    <row r="39" spans="1:18" s="2" customFormat="1" x14ac:dyDescent="0.25">
      <c r="B39"/>
      <c r="C39"/>
      <c r="D39"/>
      <c r="E39"/>
      <c r="F39"/>
      <c r="G39"/>
      <c r="H39"/>
      <c r="I39" s="9"/>
      <c r="J39" s="3"/>
      <c r="K39" s="3"/>
      <c r="L39" s="3"/>
      <c r="N39" s="4" t="s">
        <v>76</v>
      </c>
      <c r="O39" s="4" t="s">
        <v>85</v>
      </c>
      <c r="P39" s="3"/>
    </row>
    <row r="40" spans="1:18" s="2" customFormat="1" ht="29.25" x14ac:dyDescent="0.25">
      <c r="D40" s="4" t="s">
        <v>5</v>
      </c>
      <c r="E40" s="4" t="s">
        <v>7</v>
      </c>
      <c r="F40"/>
      <c r="G40" s="4" t="s">
        <v>36</v>
      </c>
      <c r="H40" s="4" t="s">
        <v>40</v>
      </c>
      <c r="I40" s="4" t="s">
        <v>42</v>
      </c>
      <c r="J40" s="4" t="s">
        <v>43</v>
      </c>
      <c r="K40" s="4"/>
      <c r="L40" s="8" t="s">
        <v>49</v>
      </c>
      <c r="M40" s="8">
        <f>D44+G44+R38+TONTMARS23!O45</f>
        <v>767500</v>
      </c>
      <c r="N40" s="4"/>
      <c r="O40"/>
      <c r="P40" s="4"/>
    </row>
    <row r="41" spans="1:18" s="2" customFormat="1" ht="18" x14ac:dyDescent="0.25">
      <c r="D41" s="8">
        <f>SUMIFS(D6:D37,G6:G37,"ESPECES")</f>
        <v>125000</v>
      </c>
      <c r="E41" s="8">
        <f>SUMIFS(E6:E37,G6:G37,"ESPECES")</f>
        <v>268000</v>
      </c>
      <c r="F41" s="8" t="s">
        <v>32</v>
      </c>
      <c r="G41" s="8">
        <f>SUMIFS(M6:M35,N6:N35,"ESPECES")</f>
        <v>0</v>
      </c>
      <c r="H41" s="8">
        <f>SUMIFS(H6:H37,J6:J37,"ESPECES")</f>
        <v>0</v>
      </c>
      <c r="I41" s="8">
        <f>SUMIFS(Q6:Q37,O6:O37,"ESPECES")</f>
        <v>0</v>
      </c>
      <c r="J41" s="8">
        <f>D41+G41-H41-I41</f>
        <v>125000</v>
      </c>
      <c r="K41" s="8"/>
      <c r="L41" s="8" t="s">
        <v>80</v>
      </c>
      <c r="M41" s="8">
        <f>C3*COUNTIF(Q6:Q37,"&gt;0")</f>
        <v>600000</v>
      </c>
      <c r="N41" s="8">
        <f>D3</f>
        <v>2</v>
      </c>
      <c r="O41" s="8">
        <f>COUNTIF(Q6:Q35,"&gt;0")</f>
        <v>2</v>
      </c>
      <c r="P41" s="8"/>
    </row>
    <row r="42" spans="1:18" s="2" customFormat="1" ht="18" x14ac:dyDescent="0.25">
      <c r="D42" s="8">
        <f>SUMIFS(D6:D37,G6:G37,"BANQUE")</f>
        <v>625000</v>
      </c>
      <c r="E42" s="8">
        <f>SUMIFS(E6:E38,G6:G38,"BANQUE")</f>
        <v>1067000</v>
      </c>
      <c r="F42" s="8" t="s">
        <v>33</v>
      </c>
      <c r="G42" s="8">
        <f>SUMIFS(M6:M35,N6:N35,"BANQUE")</f>
        <v>0</v>
      </c>
      <c r="H42" s="8">
        <f>SUMIFS(H6:H37,J6:J37,"BANQUE")</f>
        <v>60000</v>
      </c>
      <c r="I42" s="8">
        <f>SUMIFS(Q6:Q37,O6:O37,"BANQUE")</f>
        <v>0</v>
      </c>
      <c r="J42" s="8">
        <f>D42+G42-H42-I42</f>
        <v>565000</v>
      </c>
      <c r="K42" s="8"/>
      <c r="M42" s="8"/>
      <c r="N42" s="8"/>
      <c r="O42" s="8"/>
      <c r="P42" s="8"/>
    </row>
    <row r="43" spans="1:18" s="2" customFormat="1" ht="18" x14ac:dyDescent="0.25">
      <c r="D43" s="8"/>
      <c r="E43" s="8"/>
      <c r="F43" s="8"/>
      <c r="G43" s="8"/>
      <c r="H43" s="8"/>
      <c r="I43" s="8"/>
      <c r="K43" s="8"/>
      <c r="L43" s="8" t="s">
        <v>48</v>
      </c>
      <c r="M43" s="8">
        <f>M40-M41-25000</f>
        <v>142500</v>
      </c>
      <c r="N43" s="8"/>
      <c r="O43" s="8"/>
      <c r="P43" s="8"/>
    </row>
    <row r="44" spans="1:18" s="2" customFormat="1" ht="18" x14ac:dyDescent="0.25">
      <c r="D44" s="8">
        <f>D41+D42</f>
        <v>750000</v>
      </c>
      <c r="E44" s="8">
        <f>E41+E42</f>
        <v>1335000</v>
      </c>
      <c r="F44" s="8" t="s">
        <v>30</v>
      </c>
      <c r="G44" s="8">
        <f>G41+G42</f>
        <v>0</v>
      </c>
      <c r="H44" s="8">
        <f>H41+H42</f>
        <v>60000</v>
      </c>
      <c r="I44" s="8">
        <f t="shared" ref="I44:J44" si="3">I41+I42</f>
        <v>0</v>
      </c>
      <c r="J44" s="8">
        <f t="shared" si="3"/>
        <v>690000</v>
      </c>
      <c r="K44" s="8"/>
      <c r="M44" s="8"/>
      <c r="N44" s="8"/>
      <c r="O44" s="8"/>
      <c r="P44" s="8"/>
    </row>
    <row r="45" spans="1:18" s="2" customFormat="1" ht="18" x14ac:dyDescent="0.25">
      <c r="D45" s="8"/>
      <c r="E45" s="8"/>
      <c r="F45" s="8" t="s">
        <v>52</v>
      </c>
      <c r="G45"/>
      <c r="H45"/>
      <c r="I45" s="3"/>
      <c r="J45" s="3"/>
      <c r="K45" s="3"/>
      <c r="L45" s="8" t="s">
        <v>51</v>
      </c>
      <c r="M45" s="8">
        <f>M43-H38</f>
        <v>0</v>
      </c>
      <c r="N45"/>
      <c r="O45" s="8">
        <f>TONTAVRIL23!M45</f>
        <v>0</v>
      </c>
      <c r="P45" s="8" t="s">
        <v>54</v>
      </c>
    </row>
    <row r="46" spans="1:18" s="2" customFormat="1" ht="18" x14ac:dyDescent="0.25">
      <c r="D46" s="4"/>
      <c r="E46" s="4"/>
      <c r="F46" s="8"/>
      <c r="G46"/>
      <c r="H46"/>
      <c r="I46" s="3"/>
      <c r="J46" s="3"/>
      <c r="K46" s="3"/>
      <c r="N46"/>
      <c r="O46" s="3"/>
      <c r="P46" s="3"/>
    </row>
    <row r="47" spans="1:18" ht="18" x14ac:dyDescent="0.25">
      <c r="L47" s="8" t="s">
        <v>56</v>
      </c>
      <c r="M47" s="8">
        <f>COUNTIFS(G6:G36,"ECHEC")*25000</f>
        <v>0</v>
      </c>
      <c r="O47" s="8">
        <f>TONTMARS23!O47+TONTAVRIL23!M47</f>
        <v>0</v>
      </c>
      <c r="P47" s="8" t="s">
        <v>54</v>
      </c>
    </row>
    <row r="48" spans="1:18" ht="18" x14ac:dyDescent="0.25">
      <c r="F48" s="2"/>
      <c r="L48" s="8" t="s">
        <v>55</v>
      </c>
      <c r="M48" s="8">
        <f>L38-G44</f>
        <v>0</v>
      </c>
      <c r="O48" s="8">
        <f>TONTMARS23!O48+TONTAVRIL23!M48</f>
        <v>0</v>
      </c>
      <c r="P48" s="8" t="s">
        <v>54</v>
      </c>
    </row>
  </sheetData>
  <autoFilter ref="A5:R25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"/>
  <sheetViews>
    <sheetView workbookViewId="0">
      <pane xSplit="3" ySplit="5" topLeftCell="H33" activePane="bottomRight" state="frozen"/>
      <selection activeCell="O49" sqref="O49"/>
      <selection pane="topRight" activeCell="O49" sqref="O49"/>
      <selection pane="bottomLeft" activeCell="O49" sqref="O49"/>
      <selection pane="bottomRight" activeCell="O45" sqref="O45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5" width="21" customWidth="1"/>
    <col min="6" max="6" width="21.42578125" customWidth="1"/>
    <col min="7" max="7" width="16.7109375" customWidth="1"/>
    <col min="8" max="8" width="15" customWidth="1"/>
    <col min="9" max="10" width="17.5703125" style="3" customWidth="1"/>
    <col min="11" max="11" width="16" style="3" customWidth="1"/>
    <col min="12" max="12" width="19.85546875" style="3" customWidth="1"/>
    <col min="13" max="13" width="15.7109375" style="2" customWidth="1"/>
    <col min="14" max="14" width="13" customWidth="1"/>
    <col min="15" max="15" width="15" bestFit="1" customWidth="1"/>
    <col min="16" max="16" width="15.5703125" style="3" customWidth="1"/>
    <col min="17" max="18" width="18.140625" style="2" customWidth="1"/>
  </cols>
  <sheetData>
    <row r="1" spans="1:18" x14ac:dyDescent="0.2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18" x14ac:dyDescent="0.25">
      <c r="A2" s="1" t="s">
        <v>2</v>
      </c>
      <c r="B2" s="1">
        <v>2023</v>
      </c>
      <c r="C2" s="1" t="s">
        <v>81</v>
      </c>
      <c r="D2" s="1" t="s">
        <v>76</v>
      </c>
      <c r="E2" s="1"/>
      <c r="F2" s="1"/>
      <c r="G2" s="1"/>
      <c r="N2" s="1"/>
      <c r="O2" s="1"/>
    </row>
    <row r="3" spans="1:18" x14ac:dyDescent="0.25">
      <c r="A3" s="1" t="s">
        <v>82</v>
      </c>
      <c r="B3" s="6">
        <v>25000</v>
      </c>
      <c r="C3" s="6">
        <f>B3*12</f>
        <v>300000</v>
      </c>
      <c r="D3" s="1">
        <f>ROUNDDOWN(M40/C3,0)</f>
        <v>3</v>
      </c>
      <c r="E3" s="1"/>
      <c r="F3" s="1"/>
      <c r="G3" s="1"/>
      <c r="N3" s="1"/>
      <c r="O3" s="1"/>
    </row>
    <row r="4" spans="1:18" s="13" customFormat="1" ht="18" x14ac:dyDescent="0.25">
      <c r="B4" s="14"/>
      <c r="C4" s="21">
        <v>45059</v>
      </c>
      <c r="D4" s="22"/>
      <c r="E4" s="22"/>
      <c r="F4" s="22"/>
      <c r="G4" s="22"/>
      <c r="H4" s="22"/>
      <c r="I4" s="22"/>
      <c r="J4" s="22"/>
      <c r="K4" s="22"/>
      <c r="L4" s="22"/>
      <c r="N4" s="15"/>
      <c r="O4" s="15"/>
      <c r="P4" s="15"/>
      <c r="Q4" s="15"/>
    </row>
    <row r="5" spans="1:18" ht="58.5" x14ac:dyDescent="0.3">
      <c r="A5" s="1" t="s">
        <v>3</v>
      </c>
      <c r="B5" s="12" t="s">
        <v>77</v>
      </c>
      <c r="C5" s="1" t="s">
        <v>4</v>
      </c>
      <c r="D5" s="4" t="s">
        <v>5</v>
      </c>
      <c r="E5" s="4" t="s">
        <v>7</v>
      </c>
      <c r="F5" s="1" t="s">
        <v>44</v>
      </c>
      <c r="G5" s="5" t="s">
        <v>6</v>
      </c>
      <c r="H5" s="6" t="s">
        <v>40</v>
      </c>
      <c r="I5" s="4" t="s">
        <v>37</v>
      </c>
      <c r="J5" s="4" t="s">
        <v>41</v>
      </c>
      <c r="K5" s="10" t="s">
        <v>50</v>
      </c>
      <c r="L5" s="4" t="s">
        <v>78</v>
      </c>
      <c r="M5" s="4" t="s">
        <v>36</v>
      </c>
      <c r="N5" s="4" t="s">
        <v>35</v>
      </c>
      <c r="O5" s="4" t="s">
        <v>38</v>
      </c>
      <c r="P5" s="4" t="s">
        <v>50</v>
      </c>
      <c r="Q5" s="4" t="s">
        <v>79</v>
      </c>
      <c r="R5" s="4" t="s">
        <v>39</v>
      </c>
    </row>
    <row r="6" spans="1:18" x14ac:dyDescent="0.25">
      <c r="A6" s="1" t="s">
        <v>89</v>
      </c>
      <c r="B6" s="7">
        <f>IF(D6=0,0,VLOOKUP($A6,[6]HISTOMAI23!$A$6:$BO$40,10,0))</f>
        <v>1</v>
      </c>
      <c r="C6" s="1" t="str">
        <f>VLOOKUP(A6,[7]LISTADHERENT!A$5:H$60,3,0)</f>
        <v>BAKOP ACHILLE</v>
      </c>
      <c r="D6" s="7">
        <f>IF(G6="ECHEC",0,B$3)</f>
        <v>25000</v>
      </c>
      <c r="E6" s="7">
        <f>D6+VLOOKUP($A6,[6]HISTOMAI23!$A$7:$AU$40,45,0)+F6</f>
        <v>40000</v>
      </c>
      <c r="F6" s="7">
        <f>VLOOKUP($A6,[6]HISTOMAI23!$A$7:$AU$45,7,0)</f>
        <v>0</v>
      </c>
      <c r="G6" s="7" t="str">
        <f>VLOOKUP($A6,[6]HISTOMAI23!$A$7:$AU$45,8,0)</f>
        <v>BANQUE</v>
      </c>
      <c r="H6" s="7">
        <f>VLOOKUP($A6,[6]HISTOMAI23!$A$6:$AU$45,35,0)</f>
        <v>0</v>
      </c>
      <c r="I6" s="7">
        <f>VLOOKUP($A6,[6]HISTOMAI23!$A$7:$AU$45,38,0)</f>
        <v>0</v>
      </c>
      <c r="J6" s="7">
        <f>IF(I6=0,0,VLOOKUP($A6,[6]HISTOMAI23!$A$7:$AU$45,42,0))</f>
        <v>0</v>
      </c>
      <c r="K6" s="7">
        <f>VLOOKUP($A6,[6]HISTOMAI23!$A$7:$AU$45,41,0)</f>
        <v>0</v>
      </c>
      <c r="L6" s="7">
        <f>TONTAVRIL23!H6+TONTAVRIL23!I6</f>
        <v>0</v>
      </c>
      <c r="M6" s="7">
        <f>VLOOKUP($A6,[6]HISTOMAI23!$A$7:$AU$45,16,0)</f>
        <v>0</v>
      </c>
      <c r="N6" s="7" t="str">
        <f>IF(M6&lt;&gt;0,VLOOKUP($A6,[6]HISTOMAI23!$A$7:$AU$45,8,0),"ECHEC")</f>
        <v>ECHEC</v>
      </c>
      <c r="O6" s="7">
        <f>IF(R6=0,0,VLOOKUP($A6,[6]HISTOMAI23!$A$7:$AU$45,32,0))</f>
        <v>0</v>
      </c>
      <c r="P6" s="7">
        <f>VLOOKUP($A6,[6]HISTOMAI23!$A$7:$AU$45,33,0)</f>
        <v>0</v>
      </c>
      <c r="Q6" s="7">
        <f t="shared" ref="Q6:Q35" si="0">IF(R6=0,0,($C$3-R6))</f>
        <v>0</v>
      </c>
      <c r="R6" s="7">
        <f>VLOOKUP($A6,[6]HISTOMAI23!$A$7:$AU$45,29,0)</f>
        <v>0</v>
      </c>
    </row>
    <row r="7" spans="1:18" x14ac:dyDescent="0.25">
      <c r="A7" s="1" t="s">
        <v>9</v>
      </c>
      <c r="B7" s="7">
        <f>IF(D7=0,0,VLOOKUP($A7,[6]HISTOMAI23!$A$6:$BO$40,10,0))</f>
        <v>1</v>
      </c>
      <c r="C7" s="1" t="str">
        <f>VLOOKUP(A7,[7]LISTADHERENT!A$5:H$60,3,0)</f>
        <v>BOUTCHOUANG WILLIAM</v>
      </c>
      <c r="D7" s="7">
        <f>IF(G7="ECHEC",0,B$3)</f>
        <v>25000</v>
      </c>
      <c r="E7" s="7">
        <f>D7+VLOOKUP($A7,[6]HISTOMAI23!$A$7:$AU$40,45,0)+F7</f>
        <v>40000</v>
      </c>
      <c r="F7" s="7">
        <f>VLOOKUP($A7,[6]HISTOMAI23!$A$7:$AU$45,7,0)</f>
        <v>0</v>
      </c>
      <c r="G7" s="7" t="str">
        <f>VLOOKUP($A7,[6]HISTOMAI23!$A$7:$AU$45,8,0)</f>
        <v>BANQUE</v>
      </c>
      <c r="H7" s="7">
        <f>VLOOKUP($A7,[6]HISTOMAI23!$A$6:$AU$45,35,0)</f>
        <v>0</v>
      </c>
      <c r="I7" s="7">
        <f>VLOOKUP($A7,[6]HISTOMAI23!$A$7:$AU$45,38,0)</f>
        <v>0</v>
      </c>
      <c r="J7" s="7">
        <f>IF(I7=0,0,VLOOKUP($A7,[6]HISTOMAI23!$A$7:$AU$45,42,0))</f>
        <v>0</v>
      </c>
      <c r="K7" s="7">
        <f>VLOOKUP($A7,[6]HISTOMAI23!$A$7:$AU$45,41,0)</f>
        <v>0</v>
      </c>
      <c r="L7" s="7">
        <f>TONTAVRIL23!H7+TONTAVRIL23!I7</f>
        <v>0</v>
      </c>
      <c r="M7" s="7">
        <f>VLOOKUP($A7,[6]HISTOMAI23!$A$7:$AU$45,16,0)</f>
        <v>0</v>
      </c>
      <c r="N7" s="7" t="str">
        <f>IF(M7&lt;&gt;0,VLOOKUP($A7,[6]HISTOMAI23!$A$7:$AU$45,8,0),"ECHEC")</f>
        <v>ECHEC</v>
      </c>
      <c r="O7" s="7">
        <f>IF(R7=0,0,VLOOKUP($A7,[6]HISTOMAI23!$A$7:$AU$45,32,0))</f>
        <v>0</v>
      </c>
      <c r="P7" s="7">
        <f>VLOOKUP($A7,[6]HISTOMAI23!$A$7:$AU$45,33,0)</f>
        <v>0</v>
      </c>
      <c r="Q7" s="7">
        <f t="shared" si="0"/>
        <v>0</v>
      </c>
      <c r="R7" s="7">
        <f>VLOOKUP($A7,[6]HISTOMAI23!$A$7:$AU$45,29,0)</f>
        <v>0</v>
      </c>
    </row>
    <row r="8" spans="1:18" x14ac:dyDescent="0.25">
      <c r="A8" s="1" t="s">
        <v>10</v>
      </c>
      <c r="B8" s="7">
        <f>IF(D8=0,0,VLOOKUP($A8,[6]HISTOMAI23!$A$6:$BO$40,10,0))</f>
        <v>1</v>
      </c>
      <c r="C8" s="1" t="str">
        <f>VLOOKUP(A8,[7]LISTADHERENT!A$5:H$60,3,0)</f>
        <v xml:space="preserve">DJOMO JEAN PAUL </v>
      </c>
      <c r="D8" s="7">
        <f t="shared" ref="D8:D35" si="1">IF(G8="ECHEC",0,B$3)</f>
        <v>25000</v>
      </c>
      <c r="E8" s="7">
        <f>D8+VLOOKUP($A8,[6]HISTOMAI23!$A$7:$AU$40,45,0)+F8</f>
        <v>45000</v>
      </c>
      <c r="F8" s="7">
        <f>VLOOKUP($A8,[6]HISTOMAI23!$A$7:$AU$45,7,0)</f>
        <v>0</v>
      </c>
      <c r="G8" s="7" t="str">
        <f>VLOOKUP($A8,[6]HISTOMAI23!$A$7:$AU$45,8,0)</f>
        <v>BANQUE</v>
      </c>
      <c r="H8" s="7">
        <f>VLOOKUP($A8,[6]HISTOMAI23!$A$6:$AU$45,35,0)</f>
        <v>0</v>
      </c>
      <c r="I8" s="7">
        <f>VLOOKUP($A8,[6]HISTOMAI23!$A$7:$AU$45,38,0)</f>
        <v>0</v>
      </c>
      <c r="J8" s="7">
        <f>IF(I8=0,0,VLOOKUP($A8,[6]HISTOMAI23!$A$7:$AU$45,42,0))</f>
        <v>0</v>
      </c>
      <c r="K8" s="7">
        <f>VLOOKUP($A8,[6]HISTOMAI23!$A$7:$AU$45,41,0)</f>
        <v>0</v>
      </c>
      <c r="L8" s="7">
        <f>TONTAVRIL23!H8+TONTAVRIL23!I8</f>
        <v>23000</v>
      </c>
      <c r="M8" s="7">
        <f>VLOOKUP($A8,[6]HISTOMAI23!$A$7:$AU$45,16,0)</f>
        <v>23000</v>
      </c>
      <c r="N8" s="7" t="str">
        <f>IF(M8&lt;&gt;0,VLOOKUP($A8,[6]HISTOMAI23!$A$7:$AU$45,8,0),"ECHEC")</f>
        <v>BANQUE</v>
      </c>
      <c r="O8" s="7">
        <f>IF(R8=0,0,VLOOKUP($A8,[6]HISTOMAI23!$A$7:$AU$45,32,0))</f>
        <v>0</v>
      </c>
      <c r="P8" s="7">
        <f>VLOOKUP($A8,[6]HISTOMAI23!$A$7:$AU$45,33,0)</f>
        <v>0</v>
      </c>
      <c r="Q8" s="7">
        <f t="shared" si="0"/>
        <v>0</v>
      </c>
      <c r="R8" s="7">
        <f>VLOOKUP($A8,[6]HISTOMAI23!$A$7:$AU$45,29,0)</f>
        <v>0</v>
      </c>
    </row>
    <row r="9" spans="1:18" x14ac:dyDescent="0.25">
      <c r="A9" s="1" t="s">
        <v>53</v>
      </c>
      <c r="B9" s="7">
        <f>IF(D9=0,0,VLOOKUP($A9,[6]HISTOMAI23!$A$6:$BO$40,10,0))</f>
        <v>1</v>
      </c>
      <c r="C9" s="1" t="str">
        <f>VLOOKUP(A9,[7]LISTADHERENT!A$5:H$60,3,0)</f>
        <v>DJOMOU TCHAPDA</v>
      </c>
      <c r="D9" s="7">
        <f t="shared" si="1"/>
        <v>25000</v>
      </c>
      <c r="E9" s="7">
        <f>D9+VLOOKUP($A9,[6]HISTOMAI23!$A$7:$AU$40,45,0)+F9</f>
        <v>43000</v>
      </c>
      <c r="F9" s="7">
        <f>VLOOKUP($A9,[6]HISTOMAI23!$A$7:$AU$45,7,0)</f>
        <v>3000</v>
      </c>
      <c r="G9" s="7" t="str">
        <f>VLOOKUP($A9,[6]HISTOMAI23!$A$7:$AU$45,8,0)</f>
        <v>ESPECES</v>
      </c>
      <c r="H9" s="7">
        <f>VLOOKUP($A9,[6]HISTOMAI23!$A$6:$AU$45,35,0)</f>
        <v>0</v>
      </c>
      <c r="I9" s="7">
        <f>VLOOKUP($A9,[6]HISTOMAI23!$A$7:$AU$45,38,0)</f>
        <v>0</v>
      </c>
      <c r="J9" s="7">
        <f>IF(I9=0,0,VLOOKUP($A9,[6]HISTOMAI23!$A$7:$AU$45,42,0))</f>
        <v>0</v>
      </c>
      <c r="K9" s="7">
        <f>VLOOKUP($A9,[6]HISTOMAI23!$A$7:$AU$45,41,0)</f>
        <v>0</v>
      </c>
      <c r="L9" s="7">
        <f>TONTAVRIL23!H9+TONTAVRIL23!I9</f>
        <v>62000</v>
      </c>
      <c r="M9" s="7">
        <f>VLOOKUP($A9,[6]HISTOMAI23!$A$7:$AU$45,16,0)</f>
        <v>62000</v>
      </c>
      <c r="N9" s="7" t="str">
        <f>IF(M9&lt;&gt;0,VLOOKUP($A9,[6]HISTOMAI23!$A$7:$AU$45,8,0),"ECHEC")</f>
        <v>ESPECES</v>
      </c>
      <c r="O9" s="7">
        <f>IF(R9=0,0,VLOOKUP($A9,[6]HISTOMAI23!$A$7:$AU$45,32,0))</f>
        <v>0</v>
      </c>
      <c r="P9" s="7">
        <f>VLOOKUP($A9,[6]HISTOMAI23!$A$7:$AU$45,33,0)</f>
        <v>0</v>
      </c>
      <c r="Q9" s="7">
        <f t="shared" si="0"/>
        <v>0</v>
      </c>
      <c r="R9" s="7">
        <f>VLOOKUP($A9,[6]HISTOMAI23!$A$7:$AU$45,29,0)</f>
        <v>0</v>
      </c>
    </row>
    <row r="10" spans="1:18" x14ac:dyDescent="0.25">
      <c r="A10" s="1" t="s">
        <v>11</v>
      </c>
      <c r="B10" s="7">
        <f>IF(D10=0,0,VLOOKUP($A10,[6]HISTOMAI23!$A$6:$BO$40,10,0))</f>
        <v>1</v>
      </c>
      <c r="C10" s="1" t="str">
        <f>VLOOKUP(A10,[7]LISTADHERENT!A$5:H$60,3,0)</f>
        <v>DJOUKWE NANGUEN GUY BLAISE</v>
      </c>
      <c r="D10" s="7">
        <f t="shared" si="1"/>
        <v>25000</v>
      </c>
      <c r="E10" s="7">
        <f>D10+VLOOKUP($A10,[6]HISTOMAI23!$A$7:$AU$40,45,0)+F10</f>
        <v>40000</v>
      </c>
      <c r="F10" s="7">
        <f>VLOOKUP($A10,[6]HISTOMAI23!$A$7:$AU$45,7,0)</f>
        <v>0</v>
      </c>
      <c r="G10" s="7" t="str">
        <f>VLOOKUP($A10,[6]HISTOMAI23!$A$7:$AU$45,8,0)</f>
        <v>BANQUE</v>
      </c>
      <c r="H10" s="7">
        <f>VLOOKUP($A10,[6]HISTOMAI23!$A$6:$AU$45,35,0)</f>
        <v>29500</v>
      </c>
      <c r="I10" s="7">
        <f>VLOOKUP($A10,[6]HISTOMAI23!$A$7:$AU$45,38,0)</f>
        <v>1500</v>
      </c>
      <c r="J10" s="7">
        <f>IF(I10=0,0,VLOOKUP($A10,[6]HISTOMAI23!$A$7:$AU$45,42,0))</f>
        <v>0</v>
      </c>
      <c r="K10" s="7">
        <f>VLOOKUP($A10,[6]HISTOMAI23!$A$7:$AU$45,41,0)</f>
        <v>0</v>
      </c>
      <c r="L10" s="7">
        <f>TONTAVRIL23!H10+TONTAVRIL23!I10</f>
        <v>0</v>
      </c>
      <c r="M10" s="7">
        <f>VLOOKUP($A10,[6]HISTOMAI23!$A$7:$AU$45,16,0)</f>
        <v>0</v>
      </c>
      <c r="N10" s="7" t="str">
        <f>IF(M10&lt;&gt;0,VLOOKUP($A10,[6]HISTOMAI23!$A$7:$AU$45,8,0),"ECHEC")</f>
        <v>ECHEC</v>
      </c>
      <c r="O10" s="7">
        <f>IF(R10=0,0,VLOOKUP($A10,[6]HISTOMAI23!$A$7:$AU$45,32,0))</f>
        <v>0</v>
      </c>
      <c r="P10" s="7">
        <f>VLOOKUP($A10,[6]HISTOMAI23!$A$7:$AU$45,33,0)</f>
        <v>0</v>
      </c>
      <c r="Q10" s="7">
        <f t="shared" si="0"/>
        <v>0</v>
      </c>
      <c r="R10" s="7">
        <f>VLOOKUP($A10,[6]HISTOMAI23!$A$7:$AU$45,29,0)</f>
        <v>0</v>
      </c>
    </row>
    <row r="11" spans="1:18" x14ac:dyDescent="0.25">
      <c r="A11" s="1" t="s">
        <v>12</v>
      </c>
      <c r="B11" s="7">
        <f>IF(D11=0,0,VLOOKUP($A11,[6]HISTOMAI23!$A$6:$BO$40,10,0))</f>
        <v>1</v>
      </c>
      <c r="C11" s="1" t="str">
        <f>VLOOKUP(A11,[7]LISTADHERENT!A$5:H$60,3,0)</f>
        <v>DJUOMBESSY ANTOINE</v>
      </c>
      <c r="D11" s="7">
        <f t="shared" si="1"/>
        <v>25000</v>
      </c>
      <c r="E11" s="7">
        <f>D11+VLOOKUP($A11,[6]HISTOMAI23!$A$7:$AU$40,45,0)+F11</f>
        <v>145000</v>
      </c>
      <c r="F11" s="7">
        <f>VLOOKUP($A11,[6]HISTOMAI23!$A$7:$AU$45,7,0)</f>
        <v>0</v>
      </c>
      <c r="G11" s="7" t="str">
        <f>VLOOKUP($A11,[6]HISTOMAI23!$A$7:$AU$45,8,0)</f>
        <v>BANQUE</v>
      </c>
      <c r="H11" s="7">
        <f>VLOOKUP($A11,[6]HISTOMAI23!$A$6:$AU$45,35,0)</f>
        <v>0</v>
      </c>
      <c r="I11" s="7">
        <f>VLOOKUP($A11,[6]HISTOMAI23!$A$7:$AU$45,38,0)</f>
        <v>0</v>
      </c>
      <c r="J11" s="7">
        <f>IF(I11=0,0,VLOOKUP($A11,[6]HISTOMAI23!$A$7:$AU$45,42,0))</f>
        <v>0</v>
      </c>
      <c r="K11" s="7">
        <f>VLOOKUP($A11,[6]HISTOMAI23!$A$7:$AU$45,41,0)</f>
        <v>0</v>
      </c>
      <c r="L11" s="7">
        <f>TONTAVRIL23!H11+TONTAVRIL23!I11</f>
        <v>0</v>
      </c>
      <c r="M11" s="7">
        <f>VLOOKUP($A11,[6]HISTOMAI23!$A$7:$AU$45,16,0)</f>
        <v>0</v>
      </c>
      <c r="N11" s="7" t="str">
        <f>IF(M11&lt;&gt;0,VLOOKUP($A11,[6]HISTOMAI23!$A$7:$AU$45,8,0),"ECHEC")</f>
        <v>ECHEC</v>
      </c>
      <c r="O11" s="7">
        <f>IF(R11=0,0,VLOOKUP($A11,[6]HISTOMAI23!$A$7:$AU$45,32,0))</f>
        <v>0</v>
      </c>
      <c r="P11" s="7">
        <f>VLOOKUP($A11,[6]HISTOMAI23!$A$7:$AU$45,33,0)</f>
        <v>0</v>
      </c>
      <c r="Q11" s="7">
        <f t="shared" si="0"/>
        <v>0</v>
      </c>
      <c r="R11" s="7">
        <f>VLOOKUP($A11,[6]HISTOMAI23!$A$7:$AU$45,29,0)</f>
        <v>0</v>
      </c>
    </row>
    <row r="12" spans="1:18" x14ac:dyDescent="0.25">
      <c r="A12" s="1" t="s">
        <v>46</v>
      </c>
      <c r="B12" s="7">
        <f>IF(D12=0,0,VLOOKUP($A12,[6]HISTOMAI23!$A$6:$BO$40,10,0))</f>
        <v>1</v>
      </c>
      <c r="C12" s="1" t="str">
        <f>VLOOKUP(A12,[7]LISTADHERENT!A$5:H$60,3,0)</f>
        <v>DOMOU FABIEN</v>
      </c>
      <c r="D12" s="7">
        <f t="shared" si="1"/>
        <v>25000</v>
      </c>
      <c r="E12" s="7">
        <f>D12+VLOOKUP($A12,[6]HISTOMAI23!$A$7:$AU$40,45,0)+F12</f>
        <v>40000</v>
      </c>
      <c r="F12" s="7">
        <f>VLOOKUP($A12,[6]HISTOMAI23!$A$7:$AU$45,7,0)</f>
        <v>0</v>
      </c>
      <c r="G12" s="7" t="str">
        <f>VLOOKUP($A12,[6]HISTOMAI23!$A$7:$AU$45,8,0)</f>
        <v>BANQUE</v>
      </c>
      <c r="H12" s="7">
        <f>VLOOKUP($A12,[6]HISTOMAI23!$A$6:$AU$45,35,0)</f>
        <v>0</v>
      </c>
      <c r="I12" s="7">
        <f>VLOOKUP($A12,[6]HISTOMAI23!$A$7:$AU$45,38,0)</f>
        <v>0</v>
      </c>
      <c r="J12" s="7">
        <f>IF(I12=0,0,VLOOKUP($A12,[6]HISTOMAI23!$A$7:$AU$45,42,0))</f>
        <v>0</v>
      </c>
      <c r="K12" s="7">
        <f>VLOOKUP($A12,[6]HISTOMAI23!$A$7:$AU$45,41,0)</f>
        <v>0</v>
      </c>
      <c r="L12" s="7">
        <f>TONTAVRIL23!H12+TONTAVRIL23!I12</f>
        <v>0</v>
      </c>
      <c r="M12" s="7">
        <f>VLOOKUP($A12,[6]HISTOMAI23!$A$7:$AU$45,16,0)</f>
        <v>0</v>
      </c>
      <c r="N12" s="7" t="str">
        <f>IF(M12&lt;&gt;0,VLOOKUP($A12,[6]HISTOMAI23!$A$7:$AU$45,8,0),"ECHEC")</f>
        <v>ECHEC</v>
      </c>
      <c r="O12" s="7">
        <f>IF(R12=0,0,VLOOKUP($A12,[6]HISTOMAI23!$A$7:$AU$45,32,0))</f>
        <v>0</v>
      </c>
      <c r="P12" s="7">
        <f>VLOOKUP($A12,[6]HISTOMAI23!$A$7:$AU$45,33,0)</f>
        <v>0</v>
      </c>
      <c r="Q12" s="7">
        <f t="shared" si="0"/>
        <v>0</v>
      </c>
      <c r="R12" s="7">
        <f>VLOOKUP($A12,[6]HISTOMAI23!$A$7:$AU$45,29,0)</f>
        <v>0</v>
      </c>
    </row>
    <row r="13" spans="1:18" x14ac:dyDescent="0.25">
      <c r="A13" s="1" t="s">
        <v>13</v>
      </c>
      <c r="B13" s="7">
        <f>IF(D13=0,0,VLOOKUP($A13,[6]HISTOMAI23!$A$6:$BO$40,10,0))</f>
        <v>1</v>
      </c>
      <c r="C13" s="1" t="str">
        <f>VLOOKUP(A13,[7]LISTADHERENT!A$5:H$60,3,0)</f>
        <v>DONHOU DAVID</v>
      </c>
      <c r="D13" s="7">
        <f t="shared" si="1"/>
        <v>25000</v>
      </c>
      <c r="E13" s="7">
        <f>D13+VLOOKUP($A13,[6]HISTOMAI23!$A$7:$AU$40,45,0)+F13</f>
        <v>40000</v>
      </c>
      <c r="F13" s="7">
        <f>VLOOKUP($A13,[6]HISTOMAI23!$A$7:$AU$45,7,0)</f>
        <v>0</v>
      </c>
      <c r="G13" s="7" t="str">
        <f>VLOOKUP($A13,[6]HISTOMAI23!$A$7:$AU$45,8,0)</f>
        <v>BANQUE</v>
      </c>
      <c r="H13" s="7">
        <f>VLOOKUP($A13,[6]HISTOMAI23!$A$6:$AU$45,35,0)</f>
        <v>0</v>
      </c>
      <c r="I13" s="7">
        <f>VLOOKUP($A13,[6]HISTOMAI23!$A$7:$AU$45,38,0)</f>
        <v>0</v>
      </c>
      <c r="J13" s="7">
        <f>IF(I13=0,0,VLOOKUP($A13,[6]HISTOMAI23!$A$7:$AU$45,42,0))</f>
        <v>0</v>
      </c>
      <c r="K13" s="7">
        <f>VLOOKUP($A13,[6]HISTOMAI23!$A$7:$AU$45,41,0)</f>
        <v>0</v>
      </c>
      <c r="L13" s="7">
        <f>TONTAVRIL23!H13+TONTAVRIL23!I13</f>
        <v>0</v>
      </c>
      <c r="M13" s="7">
        <f>VLOOKUP($A13,[6]HISTOMAI23!$A$7:$AU$45,16,0)</f>
        <v>0</v>
      </c>
      <c r="N13" s="7" t="str">
        <f>IF(M13&lt;&gt;0,VLOOKUP($A13,[6]HISTOMAI23!$A$7:$AU$45,8,0),"ECHEC")</f>
        <v>ECHEC</v>
      </c>
      <c r="O13" s="7">
        <f>IF(R13=0,0,VLOOKUP($A13,[6]HISTOMAI23!$A$7:$AU$45,32,0))</f>
        <v>0</v>
      </c>
      <c r="P13" s="7">
        <f>VLOOKUP($A13,[6]HISTOMAI23!$A$7:$AU$45,33,0)</f>
        <v>0</v>
      </c>
      <c r="Q13" s="7">
        <f t="shared" si="0"/>
        <v>0</v>
      </c>
      <c r="R13" s="7">
        <f>VLOOKUP($A13,[6]HISTOMAI23!$A$7:$AU$45,29,0)</f>
        <v>0</v>
      </c>
    </row>
    <row r="14" spans="1:18" x14ac:dyDescent="0.25">
      <c r="A14" s="1" t="s">
        <v>14</v>
      </c>
      <c r="B14" s="7">
        <f>IF(D14=0,0,VLOOKUP($A14,[6]HISTOMAI23!$A$6:$BO$40,10,0))</f>
        <v>1</v>
      </c>
      <c r="C14" s="1" t="str">
        <f>VLOOKUP(A14,[7]LISTADHERENT!A$5:H$60,3,0)</f>
        <v>HENGUE PAUL OMER</v>
      </c>
      <c r="D14" s="7">
        <f t="shared" si="1"/>
        <v>25000</v>
      </c>
      <c r="E14" s="7">
        <f>D14+VLOOKUP($A14,[6]HISTOMAI23!$A$7:$AU$40,45,0)+F14</f>
        <v>43000</v>
      </c>
      <c r="F14" s="7">
        <f>VLOOKUP($A14,[6]HISTOMAI23!$A$7:$AU$45,7,0)</f>
        <v>3000</v>
      </c>
      <c r="G14" s="7" t="str">
        <f>VLOOKUP($A14,[6]HISTOMAI23!$A$7:$AU$45,8,0)</f>
        <v>ESPECES</v>
      </c>
      <c r="H14" s="7">
        <f>VLOOKUP($A14,[6]HISTOMAI23!$A$6:$AU$45,35,0)</f>
        <v>0</v>
      </c>
      <c r="I14" s="7">
        <f>VLOOKUP($A14,[6]HISTOMAI23!$A$7:$AU$45,38,0)</f>
        <v>0</v>
      </c>
      <c r="J14" s="7">
        <f>IF(I14=0,0,VLOOKUP($A14,[6]HISTOMAI23!$A$7:$AU$45,42,0))</f>
        <v>0</v>
      </c>
      <c r="K14" s="7">
        <f>VLOOKUP($A14,[6]HISTOMAI23!$A$7:$AU$45,41,0)</f>
        <v>0</v>
      </c>
      <c r="L14" s="7">
        <f>TONTAVRIL23!H14+TONTAVRIL23!I14</f>
        <v>0</v>
      </c>
      <c r="M14" s="7">
        <f>VLOOKUP($A14,[6]HISTOMAI23!$A$7:$AU$45,16,0)</f>
        <v>0</v>
      </c>
      <c r="N14" s="7" t="str">
        <f>IF(M14&lt;&gt;0,VLOOKUP($A14,[6]HISTOMAI23!$A$7:$AU$45,8,0),"ECHEC")</f>
        <v>ECHEC</v>
      </c>
      <c r="O14" s="7">
        <f>IF(R14=0,0,VLOOKUP($A14,[6]HISTOMAI23!$A$7:$AU$45,32,0))</f>
        <v>0</v>
      </c>
      <c r="P14" s="7">
        <f>VLOOKUP($A14,[6]HISTOMAI23!$A$7:$AU$45,33,0)</f>
        <v>0</v>
      </c>
      <c r="Q14" s="7">
        <f t="shared" si="0"/>
        <v>0</v>
      </c>
      <c r="R14" s="7">
        <f>VLOOKUP($A14,[6]HISTOMAI23!$A$7:$AU$45,29,0)</f>
        <v>0</v>
      </c>
    </row>
    <row r="15" spans="1:18" x14ac:dyDescent="0.25">
      <c r="A15" s="1" t="s">
        <v>15</v>
      </c>
      <c r="B15" s="7">
        <f>IF(D15=0,0,VLOOKUP($A15,[6]HISTOMAI23!$A$6:$BO$40,10,0))</f>
        <v>1</v>
      </c>
      <c r="C15" s="1" t="str">
        <f>VLOOKUP(A15,[7]LISTADHERENT!A$5:H$60,3,0)</f>
        <v>HOTCHO BENJAMIN</v>
      </c>
      <c r="D15" s="7">
        <f t="shared" si="1"/>
        <v>25000</v>
      </c>
      <c r="E15" s="7">
        <f>D15+VLOOKUP($A15,[6]HISTOMAI23!$A$7:$AU$40,45,0)+F15</f>
        <v>55000</v>
      </c>
      <c r="F15" s="7">
        <f>VLOOKUP($A15,[6]HISTOMAI23!$A$7:$AU$45,7,0)</f>
        <v>0</v>
      </c>
      <c r="G15" s="7" t="str">
        <f>VLOOKUP($A15,[6]HISTOMAI23!$A$7:$AU$45,8,0)</f>
        <v>BANQUE</v>
      </c>
      <c r="H15" s="7">
        <f>VLOOKUP($A15,[6]HISTOMAI23!$A$6:$AU$45,35,0)</f>
        <v>0</v>
      </c>
      <c r="I15" s="7">
        <f>VLOOKUP($A15,[6]HISTOMAI23!$A$7:$AU$45,38,0)</f>
        <v>0</v>
      </c>
      <c r="J15" s="7">
        <f>IF(I15=0,0,VLOOKUP($A15,[6]HISTOMAI23!$A$7:$AU$45,42,0))</f>
        <v>0</v>
      </c>
      <c r="K15" s="7">
        <f>VLOOKUP($A15,[6]HISTOMAI23!$A$7:$AU$45,41,0)</f>
        <v>0</v>
      </c>
      <c r="L15" s="7">
        <f>TONTAVRIL23!H15+TONTAVRIL23!I15</f>
        <v>0</v>
      </c>
      <c r="M15" s="7">
        <f>VLOOKUP($A15,[6]HISTOMAI23!$A$7:$AU$45,16,0)</f>
        <v>0</v>
      </c>
      <c r="N15" s="7" t="str">
        <f>IF(M15&lt;&gt;0,VLOOKUP($A15,[6]HISTOMAI23!$A$7:$AU$45,8,0),"ECHEC")</f>
        <v>ECHEC</v>
      </c>
      <c r="O15" s="7" t="str">
        <f>IF(R15=0,0,VLOOKUP($A15,[6]HISTOMAI23!$A$7:$AU$45,32,0))</f>
        <v>BANQUE</v>
      </c>
      <c r="P15" s="7">
        <f>VLOOKUP($A15,[6]HISTOMAI23!$A$7:$AU$45,33,0)</f>
        <v>0</v>
      </c>
      <c r="Q15" s="7">
        <f t="shared" si="0"/>
        <v>297500</v>
      </c>
      <c r="R15" s="7">
        <f>VLOOKUP($A15,[6]HISTOMAI23!$A$7:$AU$45,29,0)</f>
        <v>2500</v>
      </c>
    </row>
    <row r="16" spans="1:18" x14ac:dyDescent="0.25">
      <c r="A16" s="1" t="s">
        <v>16</v>
      </c>
      <c r="B16" s="7">
        <f>IF(D16=0,0,VLOOKUP($A16,[6]HISTOMAI23!$A$6:$BO$40,10,0))</f>
        <v>1</v>
      </c>
      <c r="C16" s="1" t="str">
        <f>VLOOKUP(A16,[7]LISTADHERENT!A$5:H$60,3,0)</f>
        <v>KOUAMOU MOISE</v>
      </c>
      <c r="D16" s="7">
        <f t="shared" si="1"/>
        <v>25000</v>
      </c>
      <c r="E16" s="7">
        <f>D16+VLOOKUP($A16,[6]HISTOMAI23!$A$7:$AU$40,45,0)+F16</f>
        <v>40000</v>
      </c>
      <c r="F16" s="7">
        <f>VLOOKUP($A16,[6]HISTOMAI23!$A$7:$AU$45,7,0)</f>
        <v>0</v>
      </c>
      <c r="G16" s="7" t="str">
        <f>VLOOKUP($A16,[6]HISTOMAI23!$A$7:$AU$45,8,0)</f>
        <v>BANQUE</v>
      </c>
      <c r="H16" s="7">
        <f>VLOOKUP($A16,[6]HISTOMAI23!$A$6:$AU$45,35,0)</f>
        <v>0</v>
      </c>
      <c r="I16" s="7">
        <f>VLOOKUP($A16,[6]HISTOMAI23!$A$7:$AU$45,38,0)</f>
        <v>0</v>
      </c>
      <c r="J16" s="7">
        <f>IF(I16=0,0,VLOOKUP($A16,[6]HISTOMAI23!$A$7:$AU$45,42,0))</f>
        <v>0</v>
      </c>
      <c r="K16" s="7">
        <f>VLOOKUP($A16,[6]HISTOMAI23!$A$7:$AU$45,41,0)</f>
        <v>0</v>
      </c>
      <c r="L16" s="7">
        <f>TONTAVRIL23!H16+TONTAVRIL23!I16</f>
        <v>0</v>
      </c>
      <c r="M16" s="7">
        <f>VLOOKUP($A16,[6]HISTOMAI23!$A$7:$AU$45,16,0)</f>
        <v>0</v>
      </c>
      <c r="N16" s="7" t="str">
        <f>IF(M16&lt;&gt;0,VLOOKUP($A16,[6]HISTOMAI23!$A$7:$AU$45,8,0),"ECHEC")</f>
        <v>ECHEC</v>
      </c>
      <c r="O16" s="7">
        <f>IF(R16=0,0,VLOOKUP($A16,[6]HISTOMAI23!$A$7:$AU$45,32,0))</f>
        <v>0</v>
      </c>
      <c r="P16" s="7">
        <f>VLOOKUP($A16,[6]HISTOMAI23!$A$7:$AU$45,33,0)</f>
        <v>0</v>
      </c>
      <c r="Q16" s="7">
        <f t="shared" si="0"/>
        <v>0</v>
      </c>
      <c r="R16" s="7">
        <f>VLOOKUP($A16,[6]HISTOMAI23!$A$7:$AU$45,29,0)</f>
        <v>0</v>
      </c>
    </row>
    <row r="17" spans="1:18" x14ac:dyDescent="0.25">
      <c r="A17" s="1" t="s">
        <v>17</v>
      </c>
      <c r="B17" s="7">
        <f>IF(D17=0,0,VLOOKUP($A17,[6]HISTOMAI23!$A$6:$BO$40,10,0))</f>
        <v>1</v>
      </c>
      <c r="C17" s="1" t="str">
        <f>VLOOKUP(A17,[7]LISTADHERENT!A$5:H$60,3,0)</f>
        <v>KOUATCHO MESSACK</v>
      </c>
      <c r="D17" s="7">
        <f t="shared" si="1"/>
        <v>25000</v>
      </c>
      <c r="E17" s="7">
        <f>D17+VLOOKUP($A17,[6]HISTOMAI23!$A$7:$AU$40,45,0)+F17</f>
        <v>39000</v>
      </c>
      <c r="F17" s="7">
        <f>VLOOKUP($A17,[6]HISTOMAI23!$A$7:$AU$45,7,0)</f>
        <v>0</v>
      </c>
      <c r="G17" s="7" t="str">
        <f>VLOOKUP($A17,[6]HISTOMAI23!$A$7:$AU$45,8,0)</f>
        <v>BANQUE</v>
      </c>
      <c r="H17" s="7">
        <f>VLOOKUP($A17,[6]HISTOMAI23!$A$6:$AU$45,35,0)</f>
        <v>0</v>
      </c>
      <c r="I17" s="7">
        <f>VLOOKUP($A17,[6]HISTOMAI23!$A$7:$AU$45,38,0)</f>
        <v>0</v>
      </c>
      <c r="J17" s="7">
        <f>IF(I17=0,0,VLOOKUP($A17,[6]HISTOMAI23!$A$7:$AU$45,42,0))</f>
        <v>0</v>
      </c>
      <c r="K17" s="7">
        <f>VLOOKUP($A17,[6]HISTOMAI23!$A$7:$AU$45,41,0)</f>
        <v>0</v>
      </c>
      <c r="L17" s="7">
        <f>TONTAVRIL23!H17+TONTAVRIL23!I17</f>
        <v>0</v>
      </c>
      <c r="M17" s="7">
        <f>VLOOKUP($A17,[6]HISTOMAI23!$A$7:$AU$45,16,0)</f>
        <v>0</v>
      </c>
      <c r="N17" s="7" t="str">
        <f>IF(M17&lt;&gt;0,VLOOKUP($A17,[6]HISTOMAI23!$A$7:$AU$45,8,0),"ECHEC")</f>
        <v>ECHEC</v>
      </c>
      <c r="O17" s="7">
        <f>IF(R17=0,0,VLOOKUP($A17,[6]HISTOMAI23!$A$7:$AU$45,32,0))</f>
        <v>0</v>
      </c>
      <c r="P17" s="7">
        <f>VLOOKUP($A17,[6]HISTOMAI23!$A$7:$AU$45,33,0)</f>
        <v>0</v>
      </c>
      <c r="Q17" s="7">
        <f t="shared" si="0"/>
        <v>0</v>
      </c>
      <c r="R17" s="7">
        <f>VLOOKUP($A17,[6]HISTOMAI23!$A$7:$AU$45,29,0)</f>
        <v>0</v>
      </c>
    </row>
    <row r="18" spans="1:18" x14ac:dyDescent="0.25">
      <c r="A18" s="1" t="s">
        <v>18</v>
      </c>
      <c r="B18" s="7">
        <f>IF(D18=0,0,VLOOKUP($A18,[6]HISTOMAI23!$A$6:$BO$40,10,0))</f>
        <v>1</v>
      </c>
      <c r="C18" s="1" t="str">
        <f>VLOOKUP(A18,[7]LISTADHERENT!A$5:H$60,3,0)</f>
        <v>LOWE JEAN</v>
      </c>
      <c r="D18" s="7">
        <f t="shared" si="1"/>
        <v>25000</v>
      </c>
      <c r="E18" s="7">
        <f>D18+VLOOKUP($A18,[6]HISTOMAI23!$A$7:$AU$40,45,0)+F18</f>
        <v>40000</v>
      </c>
      <c r="F18" s="7">
        <f>VLOOKUP($A18,[6]HISTOMAI23!$A$7:$AU$45,7,0)</f>
        <v>0</v>
      </c>
      <c r="G18" s="7" t="str">
        <f>VLOOKUP($A18,[6]HISTOMAI23!$A$7:$AU$45,8,0)</f>
        <v>BANQUE</v>
      </c>
      <c r="H18" s="7">
        <f>VLOOKUP($A18,[6]HISTOMAI23!$A$6:$AU$45,35,0)</f>
        <v>0</v>
      </c>
      <c r="I18" s="7">
        <f>VLOOKUP($A18,[6]HISTOMAI23!$A$7:$AU$45,38,0)</f>
        <v>0</v>
      </c>
      <c r="J18" s="7">
        <f>IF(I18=0,0,VLOOKUP($A18,[6]HISTOMAI23!$A$7:$AU$45,42,0))</f>
        <v>0</v>
      </c>
      <c r="K18" s="7">
        <f>VLOOKUP($A18,[6]HISTOMAI23!$A$7:$AU$45,41,0)</f>
        <v>0</v>
      </c>
      <c r="L18" s="7">
        <f>TONTAVRIL23!H18+TONTAVRIL23!I18</f>
        <v>0</v>
      </c>
      <c r="M18" s="7">
        <f>VLOOKUP($A18,[6]HISTOMAI23!$A$7:$AU$45,16,0)</f>
        <v>0</v>
      </c>
      <c r="N18" s="7" t="str">
        <f>IF(M18&lt;&gt;0,VLOOKUP($A18,[6]HISTOMAI23!$A$7:$AU$45,8,0),"ECHEC")</f>
        <v>ECHEC</v>
      </c>
      <c r="O18" s="7" t="str">
        <f>IF(R18=0,0,VLOOKUP($A18,[6]HISTOMAI23!$A$7:$AU$45,32,0))</f>
        <v>BANQUE</v>
      </c>
      <c r="P18" s="7">
        <f>VLOOKUP($A18,[6]HISTOMAI23!$A$7:$AU$45,33,0)</f>
        <v>0</v>
      </c>
      <c r="Q18" s="7">
        <f t="shared" si="0"/>
        <v>297000</v>
      </c>
      <c r="R18" s="7">
        <f>VLOOKUP($A18,[6]HISTOMAI23!$A$7:$AU$45,29,0)</f>
        <v>3000</v>
      </c>
    </row>
    <row r="19" spans="1:18" x14ac:dyDescent="0.25">
      <c r="A19" s="1" t="s">
        <v>45</v>
      </c>
      <c r="B19" s="7">
        <f>IF(D19=0,0,VLOOKUP($A19,[6]HISTOMAI23!$A$6:$BO$40,10,0))</f>
        <v>1</v>
      </c>
      <c r="C19" s="1" t="str">
        <f>VLOOKUP(A19,[7]LISTADHERENT!A$5:H$60,3,0)</f>
        <v>MBOGNING TUGMA GUY</v>
      </c>
      <c r="D19" s="7">
        <f t="shared" si="1"/>
        <v>25000</v>
      </c>
      <c r="E19" s="7">
        <f>D19+VLOOKUP($A19,[6]HISTOMAI23!$A$7:$AU$40,45,0)+F19</f>
        <v>40000</v>
      </c>
      <c r="F19" s="7">
        <f>VLOOKUP($A19,[6]HISTOMAI23!$A$7:$AU$45,7,0)</f>
        <v>0</v>
      </c>
      <c r="G19" s="7" t="str">
        <f>VLOOKUP($A19,[6]HISTOMAI23!$A$7:$AU$45,8,0)</f>
        <v>BANQUE</v>
      </c>
      <c r="H19" s="7">
        <f>VLOOKUP($A19,[6]HISTOMAI23!$A$6:$AU$45,35,0)</f>
        <v>0</v>
      </c>
      <c r="I19" s="7">
        <f>VLOOKUP($A19,[6]HISTOMAI23!$A$7:$AU$45,38,0)</f>
        <v>0</v>
      </c>
      <c r="J19" s="7">
        <f>IF(I19=0,0,VLOOKUP($A19,[6]HISTOMAI23!$A$7:$AU$45,42,0))</f>
        <v>0</v>
      </c>
      <c r="K19" s="7">
        <f>VLOOKUP($A19,[6]HISTOMAI23!$A$7:$AU$45,41,0)</f>
        <v>0</v>
      </c>
      <c r="L19" s="7">
        <f>TONTAVRIL23!H19+TONTAVRIL23!I19</f>
        <v>0</v>
      </c>
      <c r="M19" s="7">
        <f>VLOOKUP($A19,[6]HISTOMAI23!$A$7:$AU$45,16,0)</f>
        <v>0</v>
      </c>
      <c r="N19" s="7" t="str">
        <f>IF(M19&lt;&gt;0,VLOOKUP($A19,[6]HISTOMAI23!$A$7:$AU$45,8,0),"ECHEC")</f>
        <v>ECHEC</v>
      </c>
      <c r="O19" s="7">
        <f>IF(R19=0,0,VLOOKUP($A19,[6]HISTOMAI23!$A$7:$AU$45,32,0))</f>
        <v>0</v>
      </c>
      <c r="P19" s="7">
        <f>VLOOKUP($A19,[6]HISTOMAI23!$A$7:$AU$45,33,0)</f>
        <v>0</v>
      </c>
      <c r="Q19" s="7">
        <f t="shared" si="0"/>
        <v>0</v>
      </c>
      <c r="R19" s="7">
        <f>VLOOKUP($A19,[6]HISTOMAI23!$A$7:$AU$45,29,0)</f>
        <v>0</v>
      </c>
    </row>
    <row r="20" spans="1:18" x14ac:dyDescent="0.25">
      <c r="A20" s="1" t="s">
        <v>26</v>
      </c>
      <c r="B20" s="7">
        <f>IF(D20=0,0,VLOOKUP($A20,[6]HISTOMAI23!$A$6:$BO$40,10,0))</f>
        <v>1</v>
      </c>
      <c r="C20" s="1" t="str">
        <f>VLOOKUP(A20,[7]LISTADHERENT!A$5:H$60,3,0)</f>
        <v>NANGUEN MARTIN</v>
      </c>
      <c r="D20" s="7">
        <f t="shared" si="1"/>
        <v>25000</v>
      </c>
      <c r="E20" s="7">
        <f>D20+VLOOKUP($A20,[6]HISTOMAI23!$A$7:$AU$40,45,0)+F20</f>
        <v>40000</v>
      </c>
      <c r="F20" s="7">
        <f>VLOOKUP($A20,[6]HISTOMAI23!$A$7:$AU$45,7,0)</f>
        <v>0</v>
      </c>
      <c r="G20" s="7" t="str">
        <f>VLOOKUP($A20,[6]HISTOMAI23!$A$7:$AU$45,8,0)</f>
        <v>BANQUE</v>
      </c>
      <c r="H20" s="7">
        <f>VLOOKUP($A20,[6]HISTOMAI23!$A$6:$AU$45,35,0)</f>
        <v>0</v>
      </c>
      <c r="I20" s="7">
        <f>VLOOKUP($A20,[6]HISTOMAI23!$A$7:$AU$45,38,0)</f>
        <v>0</v>
      </c>
      <c r="J20" s="7">
        <f>IF(I20=0,0,VLOOKUP($A20,[6]HISTOMAI23!$A$7:$AU$45,42,0))</f>
        <v>0</v>
      </c>
      <c r="K20" s="7">
        <f>VLOOKUP($A20,[6]HISTOMAI23!$A$7:$AU$45,41,0)</f>
        <v>0</v>
      </c>
      <c r="L20" s="7">
        <f>TONTAVRIL23!H20+TONTAVRIL23!I20</f>
        <v>0</v>
      </c>
      <c r="M20" s="7">
        <f>VLOOKUP($A20,[6]HISTOMAI23!$A$7:$AU$45,16,0)</f>
        <v>0</v>
      </c>
      <c r="N20" s="7" t="str">
        <f>IF(M20&lt;&gt;0,VLOOKUP($A20,[6]HISTOMAI23!$A$7:$AU$45,8,0),"ECHEC")</f>
        <v>ECHEC</v>
      </c>
      <c r="O20" s="7">
        <f>IF(R20=0,0,VLOOKUP($A20,[6]HISTOMAI23!$A$7:$AU$45,32,0))</f>
        <v>0</v>
      </c>
      <c r="P20" s="7">
        <f>VLOOKUP($A20,[6]HISTOMAI23!$A$7:$AU$45,33,0)</f>
        <v>0</v>
      </c>
      <c r="Q20" s="7">
        <f t="shared" si="0"/>
        <v>0</v>
      </c>
      <c r="R20" s="7">
        <f>VLOOKUP($A20,[6]HISTOMAI23!$A$7:$AU$45,29,0)</f>
        <v>0</v>
      </c>
    </row>
    <row r="21" spans="1:18" x14ac:dyDescent="0.25">
      <c r="A21" s="1" t="s">
        <v>19</v>
      </c>
      <c r="B21" s="7">
        <f>IF(D21=0,0,VLOOKUP($A21,[6]HISTOMAI23!$A$6:$BO$40,10,0))</f>
        <v>1</v>
      </c>
      <c r="C21" s="1" t="str">
        <f>VLOOKUP(A21,[7]LISTADHERENT!A$5:H$60,3,0)</f>
        <v>NANKAM APPOLINAIRE</v>
      </c>
      <c r="D21" s="7">
        <f t="shared" si="1"/>
        <v>25000</v>
      </c>
      <c r="E21" s="7">
        <f>D21+VLOOKUP($A21,[6]HISTOMAI23!$A$7:$AU$40,45,0)+F21</f>
        <v>40000</v>
      </c>
      <c r="F21" s="7">
        <f>VLOOKUP($A21,[6]HISTOMAI23!$A$7:$AU$45,7,0)</f>
        <v>0</v>
      </c>
      <c r="G21" s="7" t="str">
        <f>VLOOKUP($A21,[6]HISTOMAI23!$A$7:$AU$45,8,0)</f>
        <v>BANQUE</v>
      </c>
      <c r="H21" s="7">
        <f>VLOOKUP($A21,[6]HISTOMAI23!$A$6:$AU$45,35,0)</f>
        <v>0</v>
      </c>
      <c r="I21" s="7">
        <f>VLOOKUP($A21,[6]HISTOMAI23!$A$7:$AU$45,38,0)</f>
        <v>0</v>
      </c>
      <c r="J21" s="7">
        <f>IF(I21=0,0,VLOOKUP($A21,[6]HISTOMAI23!$A$7:$AU$45,42,0))</f>
        <v>0</v>
      </c>
      <c r="K21" s="7">
        <f>VLOOKUP($A21,[6]HISTOMAI23!$A$7:$AU$45,41,0)</f>
        <v>0</v>
      </c>
      <c r="L21" s="7">
        <f>TONTAVRIL23!H21+TONTAVRIL23!I21</f>
        <v>0</v>
      </c>
      <c r="M21" s="7">
        <f>VLOOKUP($A21,[6]HISTOMAI23!$A$7:$AU$45,16,0)</f>
        <v>0</v>
      </c>
      <c r="N21" s="7" t="str">
        <f>IF(M21&lt;&gt;0,VLOOKUP($A21,[6]HISTOMAI23!$A$7:$AU$45,8,0),"ECHEC")</f>
        <v>ECHEC</v>
      </c>
      <c r="O21" s="7">
        <f>IF(R21=0,0,VLOOKUP($A21,[6]HISTOMAI23!$A$7:$AU$45,32,0))</f>
        <v>0</v>
      </c>
      <c r="P21" s="7">
        <f>VLOOKUP($A21,[6]HISTOMAI23!$A$7:$AU$45,33,0)</f>
        <v>0</v>
      </c>
      <c r="Q21" s="7">
        <f t="shared" si="0"/>
        <v>0</v>
      </c>
      <c r="R21" s="7">
        <f>VLOOKUP($A21,[6]HISTOMAI23!$A$7:$AU$45,29,0)</f>
        <v>0</v>
      </c>
    </row>
    <row r="22" spans="1:18" x14ac:dyDescent="0.25">
      <c r="A22" s="1" t="s">
        <v>20</v>
      </c>
      <c r="B22" s="7">
        <f>IF(D22=0,0,VLOOKUP($A22,[6]HISTOMAI23!$A$6:$BO$40,10,0))</f>
        <v>1</v>
      </c>
      <c r="C22" s="1" t="str">
        <f>VLOOKUP(A22,[7]LISTADHERENT!A$5:H$60,3,0)</f>
        <v>NDJOMO ETIENNE</v>
      </c>
      <c r="D22" s="7">
        <f t="shared" si="1"/>
        <v>25000</v>
      </c>
      <c r="E22" s="7">
        <f>D22+VLOOKUP($A22,[6]HISTOMAI23!$A$7:$AU$40,45,0)+F22</f>
        <v>50000</v>
      </c>
      <c r="F22" s="7">
        <f>VLOOKUP($A22,[6]HISTOMAI23!$A$7:$AU$45,7,0)</f>
        <v>0</v>
      </c>
      <c r="G22" s="7" t="str">
        <f>VLOOKUP($A22,[6]HISTOMAI23!$A$7:$AU$45,8,0)</f>
        <v>BANQUE</v>
      </c>
      <c r="H22" s="7">
        <f>VLOOKUP($A22,[6]HISTOMAI23!$A$6:$AU$45,35,0)</f>
        <v>0</v>
      </c>
      <c r="I22" s="7">
        <f>VLOOKUP($A22,[6]HISTOMAI23!$A$7:$AU$45,38,0)</f>
        <v>0</v>
      </c>
      <c r="J22" s="7">
        <f>IF(I22=0,0,VLOOKUP($A22,[6]HISTOMAI23!$A$7:$AU$45,42,0))</f>
        <v>0</v>
      </c>
      <c r="K22" s="7">
        <f>VLOOKUP($A22,[6]HISTOMAI23!$A$7:$AU$45,41,0)</f>
        <v>0</v>
      </c>
      <c r="L22" s="7">
        <f>TONTAVRIL23!H22+TONTAVRIL23!I22</f>
        <v>0</v>
      </c>
      <c r="M22" s="7">
        <f>VLOOKUP($A22,[6]HISTOMAI23!$A$7:$AU$45,16,0)</f>
        <v>0</v>
      </c>
      <c r="N22" s="7" t="str">
        <f>IF(M22&lt;&gt;0,VLOOKUP($A22,[6]HISTOMAI23!$A$7:$AU$45,8,0),"ECHEC")</f>
        <v>ECHEC</v>
      </c>
      <c r="O22" s="7">
        <f>IF(R22=0,0,VLOOKUP($A22,[6]HISTOMAI23!$A$7:$AU$45,32,0))</f>
        <v>0</v>
      </c>
      <c r="P22" s="7">
        <f>VLOOKUP($A22,[6]HISTOMAI23!$A$7:$AU$45,33,0)</f>
        <v>0</v>
      </c>
      <c r="Q22" s="7">
        <f t="shared" si="0"/>
        <v>0</v>
      </c>
      <c r="R22" s="7">
        <f>VLOOKUP($A22,[6]HISTOMAI23!$A$7:$AU$45,29,0)</f>
        <v>0</v>
      </c>
    </row>
    <row r="23" spans="1:18" x14ac:dyDescent="0.25">
      <c r="A23" s="1" t="s">
        <v>21</v>
      </c>
      <c r="B23" s="7">
        <f>IF(D23=0,0,VLOOKUP($A23,[6]HISTOMAI23!$A$6:$BO$40,10,0))</f>
        <v>1</v>
      </c>
      <c r="C23" s="1" t="str">
        <f>VLOOKUP(A23,[7]LISTADHERENT!A$5:H$60,3,0)</f>
        <v>NGONDIEP CLAUDE</v>
      </c>
      <c r="D23" s="7">
        <f t="shared" si="1"/>
        <v>25000</v>
      </c>
      <c r="E23" s="7">
        <f>D23+VLOOKUP($A23,[6]HISTOMAI23!$A$7:$AU$40,45,0)+F23</f>
        <v>35000</v>
      </c>
      <c r="F23" s="7">
        <f>VLOOKUP($A23,[6]HISTOMAI23!$A$7:$AU$45,7,0)</f>
        <v>0</v>
      </c>
      <c r="G23" s="7" t="str">
        <f>VLOOKUP($A23,[6]HISTOMAI23!$A$7:$AU$45,8,0)</f>
        <v>BANQUE</v>
      </c>
      <c r="H23" s="7">
        <f>VLOOKUP($A23,[6]HISTOMAI23!$A$6:$AU$45,35,0)</f>
        <v>0</v>
      </c>
      <c r="I23" s="7">
        <f>VLOOKUP($A23,[6]HISTOMAI23!$A$7:$AU$45,38,0)</f>
        <v>0</v>
      </c>
      <c r="J23" s="7">
        <f>IF(I23=0,0,VLOOKUP($A23,[6]HISTOMAI23!$A$7:$AU$45,42,0))</f>
        <v>0</v>
      </c>
      <c r="K23" s="7">
        <f>VLOOKUP($A23,[6]HISTOMAI23!$A$7:$AU$45,41,0)</f>
        <v>0</v>
      </c>
      <c r="L23" s="7">
        <f>TONTAVRIL23!H23+TONTAVRIL23!I23</f>
        <v>0</v>
      </c>
      <c r="M23" s="7">
        <f>VLOOKUP($A23,[6]HISTOMAI23!$A$7:$AU$45,16,0)</f>
        <v>0</v>
      </c>
      <c r="N23" s="7" t="str">
        <f>IF(M23&lt;&gt;0,VLOOKUP($A23,[6]HISTOMAI23!$A$7:$AU$45,8,0),"ECHEC")</f>
        <v>ECHEC</v>
      </c>
      <c r="O23" s="7" t="str">
        <f>IF(R23=0,0,VLOOKUP($A23,[6]HISTOMAI23!$A$7:$AU$45,32,0))</f>
        <v>BANQUE</v>
      </c>
      <c r="P23" s="7">
        <f>VLOOKUP($A23,[6]HISTOMAI23!$A$7:$AU$45,33,0)</f>
        <v>0</v>
      </c>
      <c r="Q23" s="7">
        <f t="shared" si="0"/>
        <v>297000</v>
      </c>
      <c r="R23" s="7">
        <f>VLOOKUP($A23,[6]HISTOMAI23!$A$7:$AU$45,29,0)</f>
        <v>3000</v>
      </c>
    </row>
    <row r="24" spans="1:18" x14ac:dyDescent="0.25">
      <c r="A24" s="1" t="s">
        <v>22</v>
      </c>
      <c r="B24" s="7">
        <f>IF(D24=0,0,VLOOKUP($A24,[6]HISTOMAI23!$A$6:$BO$40,10,0))</f>
        <v>1</v>
      </c>
      <c r="C24" s="1" t="str">
        <f>VLOOKUP(A24,[7]LISTADHERENT!A$5:H$60,3,0)</f>
        <v>NGUIEMEGNI MATHIEU BLAISE</v>
      </c>
      <c r="D24" s="7">
        <f t="shared" si="1"/>
        <v>25000</v>
      </c>
      <c r="E24" s="7">
        <f>D24+VLOOKUP($A24,[6]HISTOMAI23!$A$7:$AU$40,45,0)+F24</f>
        <v>58000</v>
      </c>
      <c r="F24" s="7">
        <f>VLOOKUP($A24,[6]HISTOMAI23!$A$7:$AU$45,7,0)</f>
        <v>0</v>
      </c>
      <c r="G24" s="7" t="str">
        <f>VLOOKUP($A24,[6]HISTOMAI23!$A$7:$AU$45,8,0)</f>
        <v>BANQUE</v>
      </c>
      <c r="H24" s="7">
        <f>VLOOKUP($A24,[6]HISTOMAI23!$A$6:$AU$45,35,0)</f>
        <v>0</v>
      </c>
      <c r="I24" s="7">
        <f>VLOOKUP($A24,[6]HISTOMAI23!$A$7:$AU$45,38,0)</f>
        <v>0</v>
      </c>
      <c r="J24" s="7">
        <f>IF(I24=0,0,VLOOKUP($A24,[6]HISTOMAI23!$A$7:$AU$45,42,0))</f>
        <v>0</v>
      </c>
      <c r="K24" s="7">
        <f>VLOOKUP($A24,[6]HISTOMAI23!$A$7:$AU$45,41,0)</f>
        <v>0</v>
      </c>
      <c r="L24" s="7">
        <f>TONTAVRIL23!H24+TONTAVRIL23!I24</f>
        <v>0</v>
      </c>
      <c r="M24" s="7">
        <f>VLOOKUP($A24,[6]HISTOMAI23!$A$7:$AU$45,16,0)</f>
        <v>0</v>
      </c>
      <c r="N24" s="7" t="str">
        <f>IF(M24&lt;&gt;0,VLOOKUP($A24,[6]HISTOMAI23!$A$7:$AU$45,8,0),"ECHEC")</f>
        <v>ECHEC</v>
      </c>
      <c r="O24" s="7">
        <f>IF(R24=0,0,VLOOKUP($A24,[6]HISTOMAI23!$A$7:$AU$45,32,0))</f>
        <v>0</v>
      </c>
      <c r="P24" s="7">
        <f>VLOOKUP($A24,[6]HISTOMAI23!$A$7:$AU$45,33,0)</f>
        <v>0</v>
      </c>
      <c r="Q24" s="7">
        <f t="shared" si="0"/>
        <v>0</v>
      </c>
      <c r="R24" s="7">
        <f>VLOOKUP($A24,[6]HISTOMAI23!$A$7:$AU$45,29,0)</f>
        <v>0</v>
      </c>
    </row>
    <row r="25" spans="1:18" x14ac:dyDescent="0.25">
      <c r="A25" s="1" t="s">
        <v>23</v>
      </c>
      <c r="B25" s="7">
        <f>IF(D25=0,0,VLOOKUP($A25,[6]HISTOMAI23!$A$6:$BO$40,10,0))</f>
        <v>1</v>
      </c>
      <c r="C25" s="1" t="str">
        <f>VLOOKUP(A25,[7]LISTADHERENT!A$5:H$60,3,0)</f>
        <v>NKAMGANG JUSTIN DEJOLIE</v>
      </c>
      <c r="D25" s="7">
        <f t="shared" si="1"/>
        <v>25000</v>
      </c>
      <c r="E25" s="7">
        <f>D25+VLOOKUP($A25,[6]HISTOMAI23!$A$7:$AU$40,45,0)+F25</f>
        <v>43000</v>
      </c>
      <c r="F25" s="7">
        <f>VLOOKUP($A25,[6]HISTOMAI23!$A$7:$AU$45,7,0)</f>
        <v>3000</v>
      </c>
      <c r="G25" s="7" t="str">
        <f>VLOOKUP($A25,[6]HISTOMAI23!$A$7:$AU$45,8,0)</f>
        <v>ESPECES</v>
      </c>
      <c r="H25" s="7">
        <f>VLOOKUP($A25,[6]HISTOMAI23!$A$6:$AU$45,35,0)</f>
        <v>0</v>
      </c>
      <c r="I25" s="7">
        <f>VLOOKUP($A25,[6]HISTOMAI23!$A$7:$AU$45,38,0)</f>
        <v>0</v>
      </c>
      <c r="J25" s="7">
        <f>IF(I25=0,0,VLOOKUP($A25,[6]HISTOMAI23!$A$7:$AU$45,42,0))</f>
        <v>0</v>
      </c>
      <c r="K25" s="7">
        <f>VLOOKUP($A25,[6]HISTOMAI23!$A$7:$AU$45,41,0)</f>
        <v>0</v>
      </c>
      <c r="L25" s="7">
        <f>TONTAVRIL23!H25+TONTAVRIL23!I25</f>
        <v>61000</v>
      </c>
      <c r="M25" s="7">
        <f>VLOOKUP($A25,[6]HISTOMAI23!$A$7:$AU$45,16,0)</f>
        <v>61000</v>
      </c>
      <c r="N25" s="7" t="str">
        <f>IF(M25&lt;&gt;0,VLOOKUP($A25,[6]HISTOMAI23!$A$7:$AU$45,8,0),"ECHEC")</f>
        <v>ESPECES</v>
      </c>
      <c r="O25" s="7">
        <f>IF(R25=0,0,VLOOKUP($A25,[6]HISTOMAI23!$A$7:$AU$45,32,0))</f>
        <v>0</v>
      </c>
      <c r="P25" s="7">
        <f>VLOOKUP($A25,[6]HISTOMAI23!$A$7:$AU$45,33,0)</f>
        <v>0</v>
      </c>
      <c r="Q25" s="7">
        <f t="shared" si="0"/>
        <v>0</v>
      </c>
      <c r="R25" s="7">
        <f>VLOOKUP($A25,[6]HISTOMAI23!$A$7:$AU$45,29,0)</f>
        <v>0</v>
      </c>
    </row>
    <row r="26" spans="1:18" x14ac:dyDescent="0.25">
      <c r="A26" s="1" t="s">
        <v>86</v>
      </c>
      <c r="B26" s="7">
        <f>IF(D26=0,0,VLOOKUP($A26,[6]HISTOMAI23!$A$6:$BO$40,10,0))</f>
        <v>1</v>
      </c>
      <c r="C26" s="1" t="str">
        <f>VLOOKUP(A26,[7]LISTADHERENT!A$5:H$60,3,0)</f>
        <v>NOUBE ETIENNE</v>
      </c>
      <c r="D26" s="7">
        <f t="shared" si="1"/>
        <v>25000</v>
      </c>
      <c r="E26" s="7">
        <f>D26+VLOOKUP($A26,[6]HISTOMAI23!$A$7:$AU$40,45,0)+F26</f>
        <v>440000</v>
      </c>
      <c r="F26" s="7">
        <f>VLOOKUP($A26,[6]HISTOMAI23!$A$7:$AU$45,7,0)</f>
        <v>0</v>
      </c>
      <c r="G26" s="7" t="str">
        <f>VLOOKUP($A26,[6]HISTOMAI23!$A$7:$AU$45,8,0)</f>
        <v>BANQUE</v>
      </c>
      <c r="H26" s="7">
        <f>VLOOKUP($A26,[6]HISTOMAI23!$A$6:$AU$45,35,0)</f>
        <v>0</v>
      </c>
      <c r="I26" s="7">
        <f>VLOOKUP($A26,[6]HISTOMAI23!$A$7:$AU$45,38,0)</f>
        <v>0</v>
      </c>
      <c r="J26" s="7">
        <f>IF(I26=0,0,VLOOKUP($A26,[6]HISTOMAI23!$A$7:$AU$45,42,0))</f>
        <v>0</v>
      </c>
      <c r="K26" s="7">
        <f>VLOOKUP($A26,[6]HISTOMAI23!$A$7:$AU$45,41,0)</f>
        <v>0</v>
      </c>
      <c r="L26" s="7">
        <f>TONTAVRIL23!H26+TONTAVRIL23!I26</f>
        <v>0</v>
      </c>
      <c r="M26" s="7">
        <f>VLOOKUP($A26,[6]HISTOMAI23!$A$7:$AU$45,16,0)</f>
        <v>0</v>
      </c>
      <c r="N26" s="7" t="str">
        <f>IF(M26&lt;&gt;0,VLOOKUP($A26,[6]HISTOMAI23!$A$7:$AU$45,8,0),"ECHEC")</f>
        <v>ECHEC</v>
      </c>
      <c r="O26" s="7">
        <f>IF(R26=0,0,VLOOKUP($A26,[6]HISTOMAI23!$A$7:$AU$45,32,0))</f>
        <v>0</v>
      </c>
      <c r="P26" s="7">
        <f>VLOOKUP($A26,[6]HISTOMAI23!$A$7:$AU$45,33,0)</f>
        <v>0</v>
      </c>
      <c r="Q26" s="7">
        <f t="shared" si="0"/>
        <v>0</v>
      </c>
      <c r="R26" s="7">
        <f>VLOOKUP($A26,[6]HISTOMAI23!$A$7:$AU$45,29,0)</f>
        <v>0</v>
      </c>
    </row>
    <row r="27" spans="1:18" x14ac:dyDescent="0.25">
      <c r="A27" s="1" t="s">
        <v>24</v>
      </c>
      <c r="B27" s="7">
        <f>IF(D27=0,0,VLOOKUP($A27,[6]HISTOMAI23!$A$6:$BO$40,10,0))</f>
        <v>1</v>
      </c>
      <c r="C27" s="1" t="str">
        <f>VLOOKUP(A27,[7]LISTADHERENT!A$5:H$60,3,0)</f>
        <v>PATEGO NJOSSU GUSTAVE</v>
      </c>
      <c r="D27" s="7">
        <f t="shared" si="1"/>
        <v>25000</v>
      </c>
      <c r="E27" s="7">
        <f>D27+VLOOKUP($A27,[6]HISTOMAI23!$A$7:$AU$40,45,0)+F27</f>
        <v>40000</v>
      </c>
      <c r="F27" s="7">
        <f>VLOOKUP($A27,[6]HISTOMAI23!$A$7:$AU$45,7,0)</f>
        <v>0</v>
      </c>
      <c r="G27" s="7" t="str">
        <f>VLOOKUP($A27,[6]HISTOMAI23!$A$7:$AU$45,8,0)</f>
        <v>BANQUE</v>
      </c>
      <c r="H27" s="7">
        <f>VLOOKUP($A27,[6]HISTOMAI23!$A$6:$AU$45,35,0)</f>
        <v>0</v>
      </c>
      <c r="I27" s="7">
        <f>VLOOKUP($A27,[6]HISTOMAI23!$A$7:$AU$45,38,0)</f>
        <v>0</v>
      </c>
      <c r="J27" s="7">
        <f>IF(I27=0,0,VLOOKUP($A27,[6]HISTOMAI23!$A$7:$AU$45,42,0))</f>
        <v>0</v>
      </c>
      <c r="K27" s="7">
        <f>VLOOKUP($A27,[6]HISTOMAI23!$A$7:$AU$45,41,0)</f>
        <v>0</v>
      </c>
      <c r="L27" s="7">
        <f>TONTAVRIL23!H27+TONTAVRIL23!I27</f>
        <v>0</v>
      </c>
      <c r="M27" s="7">
        <f>VLOOKUP($A27,[6]HISTOMAI23!$A$7:$AU$45,16,0)</f>
        <v>0</v>
      </c>
      <c r="N27" s="7" t="str">
        <f>IF(M27&lt;&gt;0,VLOOKUP($A27,[6]HISTOMAI23!$A$7:$AU$45,8,0),"ECHEC")</f>
        <v>ECHEC</v>
      </c>
      <c r="O27" s="7">
        <f>IF(R27=0,0,VLOOKUP($A27,[6]HISTOMAI23!$A$7:$AU$45,32,0))</f>
        <v>0</v>
      </c>
      <c r="P27" s="7">
        <f>VLOOKUP($A27,[6]HISTOMAI23!$A$7:$AU$45,33,0)</f>
        <v>0</v>
      </c>
      <c r="Q27" s="7">
        <f t="shared" si="0"/>
        <v>0</v>
      </c>
      <c r="R27" s="7">
        <f>VLOOKUP($A27,[6]HISTOMAI23!$A$7:$AU$45,29,0)</f>
        <v>0</v>
      </c>
    </row>
    <row r="28" spans="1:18" x14ac:dyDescent="0.25">
      <c r="A28" s="1" t="s">
        <v>87</v>
      </c>
      <c r="B28" s="7">
        <f>IF(D28=0,0,VLOOKUP($A28,[6]HISTOMAI23!$A$6:$BO$40,10,0))</f>
        <v>1</v>
      </c>
      <c r="C28" s="1" t="str">
        <f>VLOOKUP(A28,[7]LISTADHERENT!A$5:H$60,3,0)</f>
        <v>SEUMO POLYCARPE</v>
      </c>
      <c r="D28" s="7">
        <f t="shared" si="1"/>
        <v>25000</v>
      </c>
      <c r="E28" s="7">
        <f>D28+VLOOKUP($A28,[6]HISTOMAI23!$A$7:$AU$40,45,0)+F28</f>
        <v>40000</v>
      </c>
      <c r="F28" s="7">
        <f>VLOOKUP($A28,[6]HISTOMAI23!$A$7:$AU$45,7,0)</f>
        <v>0</v>
      </c>
      <c r="G28" s="7" t="str">
        <f>VLOOKUP($A28,[6]HISTOMAI23!$A$7:$AU$45,8,0)</f>
        <v>BANQUE</v>
      </c>
      <c r="H28" s="7">
        <f>VLOOKUP($A28,[6]HISTOMAI23!$A$6:$AU$45,35,0)</f>
        <v>0</v>
      </c>
      <c r="I28" s="7">
        <f>VLOOKUP($A28,[6]HISTOMAI23!$A$7:$AU$45,38,0)</f>
        <v>0</v>
      </c>
      <c r="J28" s="7">
        <f>IF(I28=0,0,VLOOKUP($A28,[6]HISTOMAI23!$A$7:$AU$45,42,0))</f>
        <v>0</v>
      </c>
      <c r="K28" s="7">
        <f>VLOOKUP($A28,[6]HISTOMAI23!$A$7:$AU$45,41,0)</f>
        <v>0</v>
      </c>
      <c r="L28" s="7">
        <f>TONTAVRIL23!H28+TONTAVRIL23!I28</f>
        <v>0</v>
      </c>
      <c r="M28" s="7">
        <f>VLOOKUP($A28,[6]HISTOMAI23!$A$7:$AU$45,16,0)</f>
        <v>0</v>
      </c>
      <c r="N28" s="7" t="str">
        <f>IF(M28&lt;&gt;0,VLOOKUP($A28,[6]HISTOMAI23!$A$7:$AU$45,8,0),"ECHEC")</f>
        <v>ECHEC</v>
      </c>
      <c r="O28" s="7">
        <f>IF(R28=0,0,VLOOKUP($A28,[6]HISTOMAI23!$A$7:$AU$45,32,0))</f>
        <v>0</v>
      </c>
      <c r="P28" s="7">
        <f>VLOOKUP($A28,[6]HISTOMAI23!$A$7:$AU$45,33,0)</f>
        <v>0</v>
      </c>
      <c r="Q28" s="7">
        <f t="shared" si="0"/>
        <v>0</v>
      </c>
      <c r="R28" s="7">
        <f>VLOOKUP($A28,[6]HISTOMAI23!$A$7:$AU$45,29,0)</f>
        <v>0</v>
      </c>
    </row>
    <row r="29" spans="1:18" x14ac:dyDescent="0.25">
      <c r="A29" s="1" t="s">
        <v>47</v>
      </c>
      <c r="B29" s="7">
        <f>IF(D29=0,0,VLOOKUP($A29,[6]HISTOMAI23!$A$6:$BO$40,10,0))</f>
        <v>1</v>
      </c>
      <c r="C29" s="1" t="str">
        <f>VLOOKUP(A29,[7]LISTADHERENT!A$5:H$60,3,0)</f>
        <v>SIME BRICE</v>
      </c>
      <c r="D29" s="7">
        <f t="shared" si="1"/>
        <v>25000</v>
      </c>
      <c r="E29" s="7">
        <f>D29+VLOOKUP($A29,[6]HISTOMAI23!$A$7:$AU$40,45,0)+F29</f>
        <v>40000</v>
      </c>
      <c r="F29" s="7">
        <f>VLOOKUP($A29,[6]HISTOMAI23!$A$7:$AU$45,7,0)</f>
        <v>0</v>
      </c>
      <c r="G29" s="7" t="str">
        <f>VLOOKUP($A29,[6]HISTOMAI23!$A$7:$AU$45,8,0)</f>
        <v>BANQUE</v>
      </c>
      <c r="H29" s="7">
        <f>VLOOKUP($A29,[6]HISTOMAI23!$A$6:$AU$45,35,0)</f>
        <v>0</v>
      </c>
      <c r="I29" s="7">
        <f>VLOOKUP($A29,[6]HISTOMAI23!$A$7:$AU$45,38,0)</f>
        <v>0</v>
      </c>
      <c r="J29" s="7">
        <f>IF(I29=0,0,VLOOKUP($A29,[6]HISTOMAI23!$A$7:$AU$45,42,0))</f>
        <v>0</v>
      </c>
      <c r="K29" s="7">
        <f>VLOOKUP($A29,[6]HISTOMAI23!$A$7:$AU$45,41,0)</f>
        <v>0</v>
      </c>
      <c r="L29" s="7">
        <f>TONTAVRIL23!H29+TONTAVRIL23!I29</f>
        <v>0</v>
      </c>
      <c r="M29" s="7">
        <f>VLOOKUP($A29,[6]HISTOMAI23!$A$7:$AU$45,16,0)</f>
        <v>0</v>
      </c>
      <c r="N29" s="7" t="str">
        <f>IF(M29&lt;&gt;0,VLOOKUP($A29,[6]HISTOMAI23!$A$7:$AU$45,8,0),"ECHEC")</f>
        <v>ECHEC</v>
      </c>
      <c r="O29" s="7">
        <f>IF(R29=0,0,VLOOKUP($A29,[6]HISTOMAI23!$A$7:$AU$45,32,0))</f>
        <v>0</v>
      </c>
      <c r="P29" s="7">
        <f>VLOOKUP($A29,[6]HISTOMAI23!$A$7:$AU$45,33,0)</f>
        <v>0</v>
      </c>
      <c r="Q29" s="7">
        <f t="shared" si="0"/>
        <v>0</v>
      </c>
      <c r="R29" s="7">
        <f>VLOOKUP($A29,[6]HISTOMAI23!$A$7:$AU$45,29,0)</f>
        <v>0</v>
      </c>
    </row>
    <row r="30" spans="1:18" x14ac:dyDescent="0.25">
      <c r="A30" s="1" t="s">
        <v>25</v>
      </c>
      <c r="B30" s="7">
        <f>IF(D30=0,0,VLOOKUP($A30,[6]HISTOMAI23!$A$6:$BO$40,10,0))</f>
        <v>1</v>
      </c>
      <c r="C30" s="1" t="str">
        <f>VLOOKUP(A30,[7]LISTADHERENT!A$5:H$60,3,0)</f>
        <v>SIMO PIERRE</v>
      </c>
      <c r="D30" s="7">
        <f t="shared" si="1"/>
        <v>25000</v>
      </c>
      <c r="E30" s="7">
        <f>D30+VLOOKUP($A30,[6]HISTOMAI23!$A$7:$AU$40,45,0)+F30</f>
        <v>40000</v>
      </c>
      <c r="F30" s="7">
        <f>VLOOKUP($A30,[6]HISTOMAI23!$A$7:$AU$45,7,0)</f>
        <v>0</v>
      </c>
      <c r="G30" s="7" t="str">
        <f>VLOOKUP($A30,[6]HISTOMAI23!$A$7:$AU$45,8,0)</f>
        <v>BANQUE</v>
      </c>
      <c r="H30" s="7">
        <f>VLOOKUP($A30,[6]HISTOMAI23!$A$6:$AU$45,35,0)</f>
        <v>0</v>
      </c>
      <c r="I30" s="7">
        <f>VLOOKUP($A30,[6]HISTOMAI23!$A$7:$AU$45,38,0)</f>
        <v>0</v>
      </c>
      <c r="J30" s="7">
        <f>IF(I30=0,0,VLOOKUP($A30,[6]HISTOMAI23!$A$7:$AU$45,42,0))</f>
        <v>0</v>
      </c>
      <c r="K30" s="7">
        <f>VLOOKUP($A30,[6]HISTOMAI23!$A$7:$AU$45,41,0)</f>
        <v>0</v>
      </c>
      <c r="L30" s="7">
        <f>TONTAVRIL23!H30+TONTAVRIL23!I30</f>
        <v>0</v>
      </c>
      <c r="M30" s="7">
        <f>VLOOKUP($A30,[6]HISTOMAI23!$A$7:$AU$45,16,0)</f>
        <v>0</v>
      </c>
      <c r="N30" s="7" t="str">
        <f>IF(M30&lt;&gt;0,VLOOKUP($A30,[6]HISTOMAI23!$A$7:$AU$45,8,0),"ECHEC")</f>
        <v>ECHEC</v>
      </c>
      <c r="O30" s="7">
        <f>IF(R30=0,0,VLOOKUP($A30,[6]HISTOMAI23!$A$7:$AU$45,32,0))</f>
        <v>0</v>
      </c>
      <c r="P30" s="7">
        <f>VLOOKUP($A30,[6]HISTOMAI23!$A$7:$AU$45,33,0)</f>
        <v>0</v>
      </c>
      <c r="Q30" s="7">
        <f t="shared" si="0"/>
        <v>0</v>
      </c>
      <c r="R30" s="7">
        <f>VLOOKUP($A30,[6]HISTOMAI23!$A$7:$AU$45,29,0)</f>
        <v>0</v>
      </c>
    </row>
    <row r="31" spans="1:18" x14ac:dyDescent="0.25">
      <c r="A31" s="1" t="s">
        <v>27</v>
      </c>
      <c r="B31" s="7">
        <f>IF(D31=0,0,VLOOKUP($A31,[6]HISTOMAI23!$A$6:$BO$40,10,0))</f>
        <v>1</v>
      </c>
      <c r="C31" s="1" t="str">
        <f>VLOOKUP(A31,[7]LISTADHERENT!A$5:H$60,3,0)</f>
        <v>TCHOUAMOU MATHIEU</v>
      </c>
      <c r="D31" s="7">
        <f t="shared" si="1"/>
        <v>25000</v>
      </c>
      <c r="E31" s="7">
        <f>D31+VLOOKUP($A31,[6]HISTOMAI23!$A$7:$AU$40,45,0)+F31</f>
        <v>40000</v>
      </c>
      <c r="F31" s="7">
        <f>VLOOKUP($A31,[6]HISTOMAI23!$A$7:$AU$45,7,0)</f>
        <v>0</v>
      </c>
      <c r="G31" s="7" t="str">
        <f>VLOOKUP($A31,[6]HISTOMAI23!$A$7:$AU$45,8,0)</f>
        <v>BANQUE</v>
      </c>
      <c r="H31" s="7">
        <f>VLOOKUP($A31,[6]HISTOMAI23!$A$6:$AU$45,35,0)</f>
        <v>0</v>
      </c>
      <c r="I31" s="7">
        <f>VLOOKUP($A31,[6]HISTOMAI23!$A$7:$AU$45,38,0)</f>
        <v>0</v>
      </c>
      <c r="J31" s="7">
        <f>IF(I31=0,0,VLOOKUP($A31,[6]HISTOMAI23!$A$7:$AU$45,42,0))</f>
        <v>0</v>
      </c>
      <c r="K31" s="7">
        <f>VLOOKUP($A31,[6]HISTOMAI23!$A$7:$AU$45,41,0)</f>
        <v>0</v>
      </c>
      <c r="L31" s="7">
        <f>TONTAVRIL23!H31+TONTAVRIL23!I31</f>
        <v>0</v>
      </c>
      <c r="M31" s="7">
        <f>VLOOKUP($A31,[6]HISTOMAI23!$A$7:$AU$45,16,0)</f>
        <v>0</v>
      </c>
      <c r="N31" s="7" t="str">
        <f>IF(M31&lt;&gt;0,VLOOKUP($A31,[6]HISTOMAI23!$A$7:$AU$45,8,0),"ECHEC")</f>
        <v>ECHEC</v>
      </c>
      <c r="O31" s="7">
        <f>IF(R31=0,0,VLOOKUP($A31,[6]HISTOMAI23!$A$7:$AU$45,32,0))</f>
        <v>0</v>
      </c>
      <c r="P31" s="7">
        <f>VLOOKUP($A31,[6]HISTOMAI23!$A$7:$AU$45,33,0)</f>
        <v>0</v>
      </c>
      <c r="Q31" s="7">
        <f t="shared" si="0"/>
        <v>0</v>
      </c>
      <c r="R31" s="7">
        <f>VLOOKUP($A31,[6]HISTOMAI23!$A$7:$AU$45,29,0)</f>
        <v>0</v>
      </c>
    </row>
    <row r="32" spans="1:18" x14ac:dyDescent="0.25">
      <c r="A32" s="1" t="s">
        <v>88</v>
      </c>
      <c r="B32" s="7">
        <f>IF(D32=0,0,VLOOKUP($A32,[6]HISTOMAI23!$A$6:$BO$40,10,0))</f>
        <v>1</v>
      </c>
      <c r="C32" s="1" t="str">
        <f>VLOOKUP(A32,[7]LISTADHERENT!A$5:H$60,3,0)</f>
        <v>TCHOUTOU NANA CLAUDE</v>
      </c>
      <c r="D32" s="7">
        <f t="shared" si="1"/>
        <v>25000</v>
      </c>
      <c r="E32" s="7">
        <f>D32+VLOOKUP($A32,[6]HISTOMAI23!$A$7:$AU$40,45,0)+F32</f>
        <v>40000</v>
      </c>
      <c r="F32" s="7">
        <f>VLOOKUP($A32,[6]HISTOMAI23!$A$7:$AU$45,7,0)</f>
        <v>3000</v>
      </c>
      <c r="G32" s="7" t="str">
        <f>VLOOKUP($A32,[6]HISTOMAI23!$A$7:$AU$45,8,0)</f>
        <v>ESPECES</v>
      </c>
      <c r="H32" s="7">
        <f>VLOOKUP($A32,[6]HISTOMAI23!$A$6:$AU$45,35,0)</f>
        <v>0</v>
      </c>
      <c r="I32" s="7">
        <f>VLOOKUP($A32,[6]HISTOMAI23!$A$7:$AU$45,38,0)</f>
        <v>0</v>
      </c>
      <c r="J32" s="7">
        <f>IF(I32=0,0,VLOOKUP($A32,[6]HISTOMAI23!$A$7:$AU$45,42,0))</f>
        <v>0</v>
      </c>
      <c r="K32" s="7">
        <f>VLOOKUP($A32,[6]HISTOMAI23!$A$7:$AU$45,41,0)</f>
        <v>0</v>
      </c>
      <c r="L32" s="7">
        <f>TONTAVRIL23!H32+TONTAVRIL23!I32</f>
        <v>0</v>
      </c>
      <c r="M32" s="7">
        <f>VLOOKUP($A32,[6]HISTOMAI23!$A$7:$AU$45,16,0)</f>
        <v>0</v>
      </c>
      <c r="N32" s="7" t="str">
        <f>IF(M32&lt;&gt;0,VLOOKUP($A32,[6]HISTOMAI23!$A$7:$AU$45,8,0),"ECHEC")</f>
        <v>ECHEC</v>
      </c>
      <c r="O32" s="7">
        <f>IF(R32=0,0,VLOOKUP($A32,[6]HISTOMAI23!$A$7:$AU$45,32,0))</f>
        <v>0</v>
      </c>
      <c r="P32" s="7">
        <f>VLOOKUP($A32,[6]HISTOMAI23!$A$7:$AU$45,33,0)</f>
        <v>0</v>
      </c>
      <c r="Q32" s="7">
        <f t="shared" si="0"/>
        <v>0</v>
      </c>
      <c r="R32" s="7">
        <f>VLOOKUP($A32,[6]HISTOMAI23!$A$7:$AU$45,29,0)</f>
        <v>0</v>
      </c>
    </row>
    <row r="33" spans="1:18" x14ac:dyDescent="0.25">
      <c r="A33" s="1" t="s">
        <v>90</v>
      </c>
      <c r="B33" s="7">
        <f>IF(D33=0,0,VLOOKUP($A33,[6]HISTOMAI23!$A$6:$BO$40,10,0))</f>
        <v>1</v>
      </c>
      <c r="C33" s="1" t="str">
        <f>VLOOKUP(A33,[7]LISTADHERENT!A$5:H$60,3,0)</f>
        <v>YANTCHOU GERVAIS</v>
      </c>
      <c r="D33" s="7">
        <f t="shared" si="1"/>
        <v>25000</v>
      </c>
      <c r="E33" s="7">
        <f>D33+VLOOKUP($A33,[6]HISTOMAI23!$A$7:$AU$40,45,0)+F33</f>
        <v>100000</v>
      </c>
      <c r="F33" s="7">
        <f>VLOOKUP($A33,[6]HISTOMAI23!$A$7:$AU$45,7,0)</f>
        <v>0</v>
      </c>
      <c r="G33" s="7" t="str">
        <f>VLOOKUP($A33,[6]HISTOMAI23!$A$7:$AU$45,8,0)</f>
        <v>BANQUE</v>
      </c>
      <c r="H33" s="7">
        <f>VLOOKUP($A33,[6]HISTOMAI23!$A$6:$AU$45,35,0)</f>
        <v>0</v>
      </c>
      <c r="I33" s="7">
        <f>VLOOKUP($A33,[6]HISTOMAI23!$A$7:$AU$45,38,0)</f>
        <v>0</v>
      </c>
      <c r="J33" s="7">
        <f>IF(I33=0,0,VLOOKUP($A33,[6]HISTOMAI23!$A$7:$AU$45,42,0))</f>
        <v>0</v>
      </c>
      <c r="K33" s="7">
        <f>VLOOKUP($A33,[6]HISTOMAI23!$A$7:$AU$45,41,0)</f>
        <v>0</v>
      </c>
      <c r="L33" s="7">
        <f>TONTAVRIL23!H33+TONTAVRIL23!I33</f>
        <v>0</v>
      </c>
      <c r="M33" s="7">
        <f>VLOOKUP($A33,[6]HISTOMAI23!$A$7:$AU$45,16,0)</f>
        <v>0</v>
      </c>
      <c r="N33" s="7" t="str">
        <f>IF(M33&lt;&gt;0,VLOOKUP($A33,[6]HISTOMAI23!$A$7:$AU$45,8,0),"ECHEC")</f>
        <v>ECHEC</v>
      </c>
      <c r="O33" s="7">
        <f>IF(R33=0,0,VLOOKUP($A33,[6]HISTOMAI23!$A$7:$AU$45,32,0))</f>
        <v>0</v>
      </c>
      <c r="P33" s="7">
        <f>VLOOKUP($A33,[6]HISTOMAI23!$A$7:$AU$45,33,0)</f>
        <v>0</v>
      </c>
      <c r="Q33" s="7">
        <f t="shared" si="0"/>
        <v>0</v>
      </c>
      <c r="R33" s="7">
        <f>VLOOKUP($A33,[6]HISTOMAI23!$A$7:$AU$45,29,0)</f>
        <v>0</v>
      </c>
    </row>
    <row r="34" spans="1:18" x14ac:dyDescent="0.25">
      <c r="A34" s="1" t="s">
        <v>28</v>
      </c>
      <c r="B34" s="7">
        <f>IF(D34=0,0,VLOOKUP($A34,[6]HISTOMAI23!$A$6:$BO$40,10,0))</f>
        <v>1</v>
      </c>
      <c r="C34" s="1" t="str">
        <f>VLOOKUP(A34,[7]LISTADHERENT!A$5:H$60,3,0)</f>
        <v>YEPMOU JEAN JACQUES</v>
      </c>
      <c r="D34" s="7">
        <f t="shared" si="1"/>
        <v>25000</v>
      </c>
      <c r="E34" s="7">
        <f>D34+VLOOKUP($A34,[6]HISTOMAI23!$A$7:$AU$40,45,0)+F34</f>
        <v>51000</v>
      </c>
      <c r="F34" s="7">
        <f>VLOOKUP($A34,[6]HISTOMAI23!$A$7:$AU$45,7,0)</f>
        <v>3000</v>
      </c>
      <c r="G34" s="7" t="str">
        <f>VLOOKUP($A34,[6]HISTOMAI23!$A$7:$AU$45,8,0)</f>
        <v>ESPECES</v>
      </c>
      <c r="H34" s="7">
        <f>VLOOKUP($A34,[6]HISTOMAI23!$A$6:$AU$45,35,0)</f>
        <v>0</v>
      </c>
      <c r="I34" s="7">
        <f>VLOOKUP($A34,[6]HISTOMAI23!$A$7:$AU$45,38,0)</f>
        <v>0</v>
      </c>
      <c r="J34" s="7">
        <f>IF(I34=0,0,VLOOKUP($A34,[6]HISTOMAI23!$A$7:$AU$45,42,0))</f>
        <v>0</v>
      </c>
      <c r="K34" s="7">
        <f>VLOOKUP($A34,[6]HISTOMAI23!$A$7:$AU$45,41,0)</f>
        <v>0</v>
      </c>
      <c r="L34" s="7">
        <f>TONTAVRIL23!H34+TONTAVRIL23!I34</f>
        <v>0</v>
      </c>
      <c r="M34" s="7">
        <f>VLOOKUP($A34,[6]HISTOMAI23!$A$7:$AU$45,16,0)</f>
        <v>0</v>
      </c>
      <c r="N34" s="7" t="str">
        <f>IF(M34&lt;&gt;0,VLOOKUP($A34,[6]HISTOMAI23!$A$7:$AU$45,8,0),"ECHEC")</f>
        <v>ECHEC</v>
      </c>
      <c r="O34" s="7">
        <f>IF(R34=0,0,VLOOKUP($A34,[6]HISTOMAI23!$A$7:$AU$45,32,0))</f>
        <v>0</v>
      </c>
      <c r="P34" s="7">
        <f>VLOOKUP($A34,[6]HISTOMAI23!$A$7:$AU$45,33,0)</f>
        <v>0</v>
      </c>
      <c r="Q34" s="7">
        <f t="shared" si="0"/>
        <v>0</v>
      </c>
      <c r="R34" s="7">
        <f>VLOOKUP($A34,[6]HISTOMAI23!$A$7:$AU$45,29,0)</f>
        <v>0</v>
      </c>
    </row>
    <row r="35" spans="1:18" x14ac:dyDescent="0.25">
      <c r="A35" s="1" t="s">
        <v>29</v>
      </c>
      <c r="B35" s="7">
        <f>IF(D35=0,0,VLOOKUP($A35,[6]HISTOMAI23!$A$6:$BO$40,10,0))</f>
        <v>1</v>
      </c>
      <c r="C35" s="1" t="str">
        <f>VLOOKUP(A35,[7]LISTADHERENT!A$5:H$60,3,0)</f>
        <v>YOUMBI EMMANUEL</v>
      </c>
      <c r="D35" s="7">
        <f t="shared" si="1"/>
        <v>25000</v>
      </c>
      <c r="E35" s="7">
        <f>D35+VLOOKUP($A35,[6]HISTOMAI23!$A$7:$AU$40,45,0)+F35</f>
        <v>40000</v>
      </c>
      <c r="F35" s="7">
        <f>VLOOKUP($A35,[6]HISTOMAI23!$A$7:$AU$45,7,0)</f>
        <v>0</v>
      </c>
      <c r="G35" s="7" t="str">
        <f>VLOOKUP($A35,[6]HISTOMAI23!$A$7:$AU$45,8,0)</f>
        <v>BANQUE</v>
      </c>
      <c r="H35" s="7">
        <f>VLOOKUP($A35,[6]HISTOMAI23!$A$6:$AU$45,35,0)</f>
        <v>0</v>
      </c>
      <c r="I35" s="7">
        <f>VLOOKUP($A35,[6]HISTOMAI23!$A$7:$AU$45,38,0)</f>
        <v>0</v>
      </c>
      <c r="J35" s="7">
        <f>IF(I35=0,0,VLOOKUP($A35,[6]HISTOMAI23!$A$7:$AU$45,42,0))</f>
        <v>0</v>
      </c>
      <c r="K35" s="7">
        <f>VLOOKUP($A35,[6]HISTOMAI23!$A$7:$AU$45,41,0)</f>
        <v>0</v>
      </c>
      <c r="L35" s="7">
        <f>TONTAVRIL23!H35+TONTAVRIL23!I35</f>
        <v>0</v>
      </c>
      <c r="M35" s="7">
        <f>VLOOKUP($A35,[6]HISTOMAI23!$A$7:$AU$45,16,0)</f>
        <v>0</v>
      </c>
      <c r="N35" s="7" t="str">
        <f>IF(M35&lt;&gt;0,VLOOKUP($A35,[6]HISTOMAI23!$A$7:$AU$45,8,0),"ECHEC")</f>
        <v>ECHEC</v>
      </c>
      <c r="O35" s="7">
        <f>IF(R35=0,0,VLOOKUP($A35,[6]HISTOMAI23!$A$7:$AU$45,32,0))</f>
        <v>0</v>
      </c>
      <c r="P35" s="7">
        <f>VLOOKUP($A35,[6]HISTOMAI23!$A$7:$AU$45,33,0)</f>
        <v>0</v>
      </c>
      <c r="Q35" s="7">
        <f t="shared" si="0"/>
        <v>0</v>
      </c>
      <c r="R35" s="7">
        <f>VLOOKUP($A35,[6]HISTOMAI23!$A$7:$AU$45,29,0)</f>
        <v>0</v>
      </c>
    </row>
    <row r="36" spans="1:18" x14ac:dyDescent="0.25">
      <c r="A36" s="1"/>
    </row>
    <row r="37" spans="1:18" ht="18" x14ac:dyDescent="0.25">
      <c r="A37" s="1" t="s">
        <v>84</v>
      </c>
      <c r="B37" s="8">
        <f>SUM(B6:B36)</f>
        <v>30</v>
      </c>
      <c r="I37" s="9"/>
    </row>
    <row r="38" spans="1:18" ht="18" x14ac:dyDescent="0.25">
      <c r="A38" s="1" t="s">
        <v>83</v>
      </c>
      <c r="B38" s="16">
        <f>COUNT(D6:D35)</f>
        <v>30</v>
      </c>
      <c r="C38" s="8"/>
      <c r="D38" s="8">
        <f>SUM(D6:D37)</f>
        <v>750000</v>
      </c>
      <c r="E38" s="8">
        <f>SUM(E6:E37)</f>
        <v>1827000</v>
      </c>
      <c r="F38" s="8">
        <f>SUM(F6:F37)</f>
        <v>15000</v>
      </c>
      <c r="G38" s="8"/>
      <c r="H38" s="8">
        <f t="shared" ref="H38:R38" si="2">SUM(H6:H37)</f>
        <v>29500</v>
      </c>
      <c r="I38" s="8">
        <f t="shared" si="2"/>
        <v>1500</v>
      </c>
      <c r="J38" s="8"/>
      <c r="K38" s="8"/>
      <c r="L38" s="8">
        <f t="shared" si="2"/>
        <v>146000</v>
      </c>
      <c r="M38" s="8">
        <f t="shared" si="2"/>
        <v>146000</v>
      </c>
      <c r="N38" s="8">
        <f t="shared" si="2"/>
        <v>0</v>
      </c>
      <c r="O38" s="8">
        <f t="shared" si="2"/>
        <v>0</v>
      </c>
      <c r="P38" s="8">
        <f t="shared" si="2"/>
        <v>0</v>
      </c>
      <c r="Q38" s="8">
        <f t="shared" si="2"/>
        <v>891500</v>
      </c>
      <c r="R38" s="8">
        <f t="shared" si="2"/>
        <v>8500</v>
      </c>
    </row>
    <row r="39" spans="1:18" s="2" customFormat="1" x14ac:dyDescent="0.25">
      <c r="B39"/>
      <c r="C39"/>
      <c r="D39"/>
      <c r="E39"/>
      <c r="F39"/>
      <c r="G39"/>
      <c r="H39"/>
      <c r="I39" s="9"/>
      <c r="J39" s="3"/>
      <c r="K39" s="3"/>
      <c r="L39" s="3"/>
      <c r="N39" s="4" t="s">
        <v>76</v>
      </c>
      <c r="O39" s="4" t="s">
        <v>85</v>
      </c>
      <c r="P39" s="3"/>
    </row>
    <row r="40" spans="1:18" s="2" customFormat="1" ht="29.25" x14ac:dyDescent="0.25">
      <c r="D40" s="4" t="s">
        <v>5</v>
      </c>
      <c r="E40" s="4" t="s">
        <v>7</v>
      </c>
      <c r="F40"/>
      <c r="G40" s="4" t="s">
        <v>36</v>
      </c>
      <c r="H40" s="4" t="s">
        <v>40</v>
      </c>
      <c r="I40" s="4" t="s">
        <v>42</v>
      </c>
      <c r="J40" s="4" t="s">
        <v>43</v>
      </c>
      <c r="K40" s="4"/>
      <c r="L40" s="8" t="s">
        <v>49</v>
      </c>
      <c r="M40" s="8">
        <f>D44+G44+R38+TONTAVRIL23!O45+25000</f>
        <v>929500</v>
      </c>
      <c r="N40" s="4"/>
      <c r="O40"/>
      <c r="P40" s="4"/>
    </row>
    <row r="41" spans="1:18" s="2" customFormat="1" ht="18" x14ac:dyDescent="0.25">
      <c r="D41" s="8">
        <f>SUMIFS(D6:D37,G6:G37,"ESPECES")</f>
        <v>125000</v>
      </c>
      <c r="E41" s="8">
        <f>SUMIFS(E6:E37,G6:G37,"ESPECES")</f>
        <v>220000</v>
      </c>
      <c r="F41" s="8" t="s">
        <v>32</v>
      </c>
      <c r="G41" s="8">
        <f>SUMIFS(M6:M35,N6:N35,"ESPECES")</f>
        <v>123000</v>
      </c>
      <c r="H41" s="8">
        <f>SUMIFS(H6:H37,J6:J37,"ESPECES")</f>
        <v>0</v>
      </c>
      <c r="I41" s="8">
        <f>SUMIFS(Q6:Q37,O6:O37,"ESPECES")</f>
        <v>0</v>
      </c>
      <c r="J41" s="8">
        <f>D41+G41-H41-I41</f>
        <v>248000</v>
      </c>
      <c r="K41" s="8"/>
      <c r="L41" s="8" t="s">
        <v>80</v>
      </c>
      <c r="M41" s="8">
        <f>C3*COUNTIF(Q6:Q37,"&gt;0")</f>
        <v>900000</v>
      </c>
      <c r="N41" s="8">
        <f>D3</f>
        <v>3</v>
      </c>
      <c r="O41" s="8">
        <f>COUNTIF(Q6:Q35,"&gt;0")</f>
        <v>3</v>
      </c>
      <c r="P41" s="8"/>
    </row>
    <row r="42" spans="1:18" s="2" customFormat="1" ht="18" x14ac:dyDescent="0.25">
      <c r="D42" s="8">
        <f>SUMIFS(D6:D37,G6:G37,"BANQUE")</f>
        <v>625000</v>
      </c>
      <c r="E42" s="8">
        <f>SUMIFS(E6:E38,G6:G38,"BANQUE")</f>
        <v>1607000</v>
      </c>
      <c r="F42" s="8" t="s">
        <v>33</v>
      </c>
      <c r="G42" s="8">
        <f>SUMIFS(M6:M35,N6:N35,"BANQUE")</f>
        <v>23000</v>
      </c>
      <c r="H42" s="8">
        <f>SUMIFS(H6:H37,J6:J37,"BANQUE")</f>
        <v>0</v>
      </c>
      <c r="I42" s="8">
        <f>SUMIFS(Q6:Q37,O6:O37,"BANQUE")</f>
        <v>891500</v>
      </c>
      <c r="J42" s="8">
        <f>D42+G42-H42-I42</f>
        <v>-243500</v>
      </c>
      <c r="K42" s="8"/>
      <c r="M42" s="8"/>
      <c r="N42" s="8"/>
      <c r="O42" s="8"/>
      <c r="P42" s="8"/>
    </row>
    <row r="43" spans="1:18" s="2" customFormat="1" ht="18" x14ac:dyDescent="0.25">
      <c r="D43" s="8"/>
      <c r="E43" s="8"/>
      <c r="F43" s="8"/>
      <c r="G43" s="8"/>
      <c r="H43" s="8"/>
      <c r="I43" s="8"/>
      <c r="K43" s="8"/>
      <c r="L43" s="8" t="s">
        <v>48</v>
      </c>
      <c r="M43" s="8">
        <f>M40-M41</f>
        <v>29500</v>
      </c>
      <c r="N43" s="8"/>
      <c r="O43" s="8"/>
      <c r="P43" s="8"/>
    </row>
    <row r="44" spans="1:18" s="2" customFormat="1" ht="18" x14ac:dyDescent="0.25">
      <c r="D44" s="8">
        <f>D41+D42</f>
        <v>750000</v>
      </c>
      <c r="E44" s="8">
        <f>E41+E42</f>
        <v>1827000</v>
      </c>
      <c r="F44" s="8" t="s">
        <v>30</v>
      </c>
      <c r="G44" s="8">
        <f>G41+G42</f>
        <v>146000</v>
      </c>
      <c r="H44" s="8">
        <f>H41+H42</f>
        <v>0</v>
      </c>
      <c r="I44" s="8">
        <f t="shared" ref="I44:J44" si="3">I41+I42</f>
        <v>891500</v>
      </c>
      <c r="J44" s="8">
        <f t="shared" si="3"/>
        <v>4500</v>
      </c>
      <c r="K44" s="8"/>
      <c r="M44" s="8"/>
      <c r="N44" s="8"/>
      <c r="O44" s="8"/>
      <c r="P44" s="8"/>
    </row>
    <row r="45" spans="1:18" s="2" customFormat="1" ht="18" x14ac:dyDescent="0.25">
      <c r="D45" s="8"/>
      <c r="E45" s="8"/>
      <c r="F45" s="8" t="s">
        <v>52</v>
      </c>
      <c r="G45"/>
      <c r="H45"/>
      <c r="I45" s="3"/>
      <c r="J45" s="3"/>
      <c r="K45" s="3"/>
      <c r="L45" s="8" t="s">
        <v>51</v>
      </c>
      <c r="M45" s="8">
        <f>M43-H38</f>
        <v>0</v>
      </c>
      <c r="N45"/>
      <c r="O45" s="8">
        <f>TONTMAI23!M45</f>
        <v>0</v>
      </c>
      <c r="P45" s="8" t="s">
        <v>54</v>
      </c>
    </row>
    <row r="46" spans="1:18" s="2" customFormat="1" ht="18" x14ac:dyDescent="0.25">
      <c r="D46" s="4"/>
      <c r="E46" s="4"/>
      <c r="F46" s="8"/>
      <c r="G46"/>
      <c r="H46"/>
      <c r="I46" s="3"/>
      <c r="J46" s="3"/>
      <c r="K46" s="3"/>
      <c r="N46"/>
      <c r="O46" s="3"/>
      <c r="P46" s="3"/>
    </row>
    <row r="47" spans="1:18" ht="18" x14ac:dyDescent="0.25">
      <c r="L47" s="8" t="s">
        <v>56</v>
      </c>
      <c r="M47" s="8">
        <f>COUNTIFS(G6:G36,"ECHEC")*25000</f>
        <v>0</v>
      </c>
      <c r="O47" s="8">
        <f>TONTAVRIL23!O47+TONTMAI23!M47</f>
        <v>0</v>
      </c>
      <c r="P47" s="8" t="s">
        <v>54</v>
      </c>
    </row>
    <row r="48" spans="1:18" ht="18" x14ac:dyDescent="0.25">
      <c r="F48" s="2"/>
      <c r="L48" s="8" t="s">
        <v>55</v>
      </c>
      <c r="M48" s="8">
        <f>L38-G44</f>
        <v>0</v>
      </c>
      <c r="O48" s="8">
        <f>TONTAVRIL23!O48+TONTMAI23!M48</f>
        <v>0</v>
      </c>
      <c r="P48" s="8" t="s">
        <v>54</v>
      </c>
    </row>
  </sheetData>
  <autoFilter ref="A5:R25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"/>
  <sheetViews>
    <sheetView workbookViewId="0">
      <pane xSplit="3" ySplit="5" topLeftCell="H36" activePane="bottomRight" state="frozen"/>
      <selection activeCell="O49" sqref="O49"/>
      <selection pane="topRight" activeCell="O49" sqref="O49"/>
      <selection pane="bottomLeft" activeCell="O49" sqref="O49"/>
      <selection pane="bottomRight" activeCell="O45" sqref="O45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5" width="21" customWidth="1"/>
    <col min="6" max="6" width="21.42578125" customWidth="1"/>
    <col min="7" max="7" width="16.7109375" customWidth="1"/>
    <col min="8" max="8" width="15" customWidth="1"/>
    <col min="9" max="10" width="17.5703125" style="3" customWidth="1"/>
    <col min="11" max="11" width="16" style="3" customWidth="1"/>
    <col min="12" max="12" width="19.85546875" style="3" customWidth="1"/>
    <col min="13" max="13" width="15.7109375" style="2" customWidth="1"/>
    <col min="14" max="14" width="13" customWidth="1"/>
    <col min="15" max="15" width="14.5703125" bestFit="1" customWidth="1"/>
    <col min="16" max="16" width="15.5703125" style="3" customWidth="1"/>
    <col min="17" max="18" width="18.140625" style="2" customWidth="1"/>
  </cols>
  <sheetData>
    <row r="1" spans="1:18" x14ac:dyDescent="0.2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18" x14ac:dyDescent="0.25">
      <c r="A2" s="1" t="s">
        <v>2</v>
      </c>
      <c r="B2" s="1">
        <v>2023</v>
      </c>
      <c r="C2" s="1" t="s">
        <v>81</v>
      </c>
      <c r="D2" s="1" t="s">
        <v>76</v>
      </c>
      <c r="E2" s="1"/>
      <c r="F2" s="1"/>
      <c r="G2" s="1"/>
      <c r="N2" s="1"/>
      <c r="O2" s="1"/>
    </row>
    <row r="3" spans="1:18" x14ac:dyDescent="0.25">
      <c r="A3" s="1" t="s">
        <v>82</v>
      </c>
      <c r="B3" s="6">
        <v>25000</v>
      </c>
      <c r="C3" s="6">
        <f>B3*12</f>
        <v>300000</v>
      </c>
      <c r="D3" s="1">
        <f>ROUNDDOWN(M40/C3,0)</f>
        <v>2</v>
      </c>
      <c r="E3" s="1"/>
      <c r="F3" s="1"/>
      <c r="G3" s="1"/>
      <c r="N3" s="1"/>
      <c r="O3" s="1"/>
    </row>
    <row r="4" spans="1:18" s="13" customFormat="1" ht="18" x14ac:dyDescent="0.25">
      <c r="B4" s="14"/>
      <c r="C4" s="21">
        <v>45090</v>
      </c>
      <c r="D4" s="22"/>
      <c r="E4" s="22"/>
      <c r="F4" s="22"/>
      <c r="G4" s="22"/>
      <c r="H4" s="22"/>
      <c r="I4" s="22"/>
      <c r="J4" s="22"/>
      <c r="K4" s="22"/>
      <c r="L4" s="22"/>
      <c r="N4" s="15"/>
      <c r="O4" s="15"/>
      <c r="P4" s="15"/>
      <c r="Q4" s="15"/>
    </row>
    <row r="5" spans="1:18" ht="58.5" x14ac:dyDescent="0.3">
      <c r="A5" s="1" t="s">
        <v>3</v>
      </c>
      <c r="B5" s="12" t="s">
        <v>77</v>
      </c>
      <c r="C5" s="1" t="s">
        <v>4</v>
      </c>
      <c r="D5" s="4" t="s">
        <v>5</v>
      </c>
      <c r="E5" s="4" t="s">
        <v>7</v>
      </c>
      <c r="F5" s="1" t="s">
        <v>44</v>
      </c>
      <c r="G5" s="5" t="s">
        <v>6</v>
      </c>
      <c r="H5" s="6" t="s">
        <v>40</v>
      </c>
      <c r="I5" s="4" t="s">
        <v>37</v>
      </c>
      <c r="J5" s="4" t="s">
        <v>41</v>
      </c>
      <c r="K5" s="10" t="s">
        <v>50</v>
      </c>
      <c r="L5" s="4" t="s">
        <v>78</v>
      </c>
      <c r="M5" s="4" t="s">
        <v>36</v>
      </c>
      <c r="N5" s="4" t="s">
        <v>35</v>
      </c>
      <c r="O5" s="4" t="s">
        <v>38</v>
      </c>
      <c r="P5" s="4" t="s">
        <v>50</v>
      </c>
      <c r="Q5" s="4" t="s">
        <v>79</v>
      </c>
      <c r="R5" s="4" t="s">
        <v>39</v>
      </c>
    </row>
    <row r="6" spans="1:18" x14ac:dyDescent="0.25">
      <c r="A6" s="1" t="s">
        <v>89</v>
      </c>
      <c r="B6" s="7">
        <f>IF(D6=0,0,VLOOKUP($A6,[6]HISTOJUIN23!$A$6:$BO$40,10,0))</f>
        <v>1</v>
      </c>
      <c r="C6" s="1" t="str">
        <f>VLOOKUP(A6,[7]LISTADHERENT!A$5:H$60,3,0)</f>
        <v>BAKOP ACHILLE</v>
      </c>
      <c r="D6" s="7">
        <f>IF(G6="ECHEC",0,B$3)</f>
        <v>25000</v>
      </c>
      <c r="E6" s="7">
        <f>D6+VLOOKUP($A6,[6]HISTOJUIN23!$A$7:$AU$40,45,0)+F6</f>
        <v>40000</v>
      </c>
      <c r="F6" s="7">
        <f>VLOOKUP($A6,[6]HISTOJUIN23!$A$7:$AU$45,7,0)</f>
        <v>0</v>
      </c>
      <c r="G6" s="7" t="str">
        <f>VLOOKUP($A6,[6]HISTOJUIN23!$A$7:$AU$45,8,0)</f>
        <v>BANQUE</v>
      </c>
      <c r="H6" s="7">
        <f>VLOOKUP($A6,[6]HISTOJUIN23!$A$6:$AU$45,35,0)</f>
        <v>30000</v>
      </c>
      <c r="I6" s="7">
        <f>VLOOKUP($A6,[6]HISTOJUIN23!$A$7:$AU$45,38,0)</f>
        <v>500</v>
      </c>
      <c r="J6" s="7" t="str">
        <f>IF(I6=0,0,VLOOKUP($A6,[6]HISTOJUIN23!$A$7:$AU$45,42,0))</f>
        <v>BANQUE</v>
      </c>
      <c r="K6" s="7">
        <f>VLOOKUP($A6,[6]HISTOJUIN23!$A$7:$AU$45,41,0)</f>
        <v>0</v>
      </c>
      <c r="L6" s="7">
        <f>TONTMAI23!H6+TONTMAI23!I6</f>
        <v>0</v>
      </c>
      <c r="M6" s="7">
        <f>VLOOKUP($A6,[6]HISTOJUIN23!$A$7:$AU$45,16,0)</f>
        <v>0</v>
      </c>
      <c r="N6" s="7" t="str">
        <f>IF(M6&lt;&gt;0,VLOOKUP($A6,[6]HISTOJUIN23!$A$7:$AU$45,8,0),"ECHEC")</f>
        <v>ECHEC</v>
      </c>
      <c r="O6" s="7">
        <f>IF(R6=0,0,VLOOKUP($A6,[6]HISTOJUIN23!$A$7:$AU$45,32,0))</f>
        <v>0</v>
      </c>
      <c r="P6" s="7">
        <f>VLOOKUP($A6,[6]HISTOJUIN23!$A$7:$AU$45,33,0)</f>
        <v>0</v>
      </c>
      <c r="Q6" s="7">
        <f t="shared" ref="Q6:Q35" si="0">IF(R6=0,0,($C$3-R6))</f>
        <v>0</v>
      </c>
      <c r="R6" s="7">
        <f>VLOOKUP($A6,[6]HISTOJUIN23!$A$7:$AU$45,29,0)</f>
        <v>0</v>
      </c>
    </row>
    <row r="7" spans="1:18" x14ac:dyDescent="0.25">
      <c r="A7" s="1" t="s">
        <v>9</v>
      </c>
      <c r="B7" s="7">
        <f>IF(D7=0,0,VLOOKUP($A7,[6]HISTOJUIN23!$A$6:$BO$40,10,0))</f>
        <v>1</v>
      </c>
      <c r="C7" s="1" t="str">
        <f>VLOOKUP(A7,[7]LISTADHERENT!A$5:H$60,3,0)</f>
        <v>BOUTCHOUANG WILLIAM</v>
      </c>
      <c r="D7" s="7">
        <f>IF(G7="ECHEC",0,B$3)</f>
        <v>25000</v>
      </c>
      <c r="E7" s="7">
        <f>D7+VLOOKUP($A7,[6]HISTOJUIN23!$A$7:$AU$40,45,0)+F7</f>
        <v>40000</v>
      </c>
      <c r="F7" s="7">
        <f>VLOOKUP($A7,[6]HISTOJUIN23!$A$7:$AU$45,7,0)</f>
        <v>0</v>
      </c>
      <c r="G7" s="7" t="str">
        <f>VLOOKUP($A7,[6]HISTOJUIN23!$A$7:$AU$45,8,0)</f>
        <v>BANQUE</v>
      </c>
      <c r="H7" s="7">
        <f>VLOOKUP($A7,[6]HISTOJUIN23!$A$6:$AU$45,35,0)</f>
        <v>0</v>
      </c>
      <c r="I7" s="7">
        <f>VLOOKUP($A7,[6]HISTOJUIN23!$A$7:$AU$45,38,0)</f>
        <v>0</v>
      </c>
      <c r="J7" s="7">
        <f>IF(I7=0,0,VLOOKUP($A7,[6]HISTOJUIN23!$A$7:$AU$45,42,0))</f>
        <v>0</v>
      </c>
      <c r="K7" s="7">
        <f>VLOOKUP($A7,[6]HISTOJUIN23!$A$7:$AU$45,41,0)</f>
        <v>0</v>
      </c>
      <c r="L7" s="7">
        <f>TONTMAI23!H7+TONTMAI23!I7</f>
        <v>0</v>
      </c>
      <c r="M7" s="7">
        <f>VLOOKUP($A7,[6]HISTOJUIN23!$A$7:$AU$45,16,0)</f>
        <v>0</v>
      </c>
      <c r="N7" s="7" t="str">
        <f>IF(M7&lt;&gt;0,VLOOKUP($A7,[6]HISTOJUIN23!$A$7:$AU$45,8,0),"ECHEC")</f>
        <v>ECHEC</v>
      </c>
      <c r="O7" s="7">
        <f>IF(R7=0,0,VLOOKUP($A7,[6]HISTOJUIN23!$A$7:$AU$45,32,0))</f>
        <v>0</v>
      </c>
      <c r="P7" s="7">
        <f>VLOOKUP($A7,[6]HISTOJUIN23!$A$7:$AU$45,33,0)</f>
        <v>0</v>
      </c>
      <c r="Q7" s="7">
        <f t="shared" si="0"/>
        <v>0</v>
      </c>
      <c r="R7" s="7">
        <f>VLOOKUP($A7,[6]HISTOJUIN23!$A$7:$AU$45,29,0)</f>
        <v>0</v>
      </c>
    </row>
    <row r="8" spans="1:18" x14ac:dyDescent="0.25">
      <c r="A8" s="1" t="s">
        <v>10</v>
      </c>
      <c r="B8" s="7">
        <f>IF(D8=0,0,VLOOKUP($A8,[6]HISTOJUIN23!$A$6:$BO$40,10,0))</f>
        <v>1</v>
      </c>
      <c r="C8" s="1" t="str">
        <f>VLOOKUP(A8,[7]LISTADHERENT!A$5:H$60,3,0)</f>
        <v xml:space="preserve">DJOMO JEAN PAUL </v>
      </c>
      <c r="D8" s="7">
        <f t="shared" ref="D8:D35" si="1">IF(G8="ECHEC",0,B$3)</f>
        <v>25000</v>
      </c>
      <c r="E8" s="7">
        <f>D8+VLOOKUP($A8,[6]HISTOJUIN23!$A$7:$AU$40,45,0)+F8</f>
        <v>40000</v>
      </c>
      <c r="F8" s="7">
        <f>VLOOKUP($A8,[6]HISTOJUIN23!$A$7:$AU$45,7,0)</f>
        <v>0</v>
      </c>
      <c r="G8" s="7" t="str">
        <f>VLOOKUP($A8,[6]HISTOJUIN23!$A$7:$AU$45,8,0)</f>
        <v>BANQUE</v>
      </c>
      <c r="H8" s="7">
        <f>VLOOKUP($A8,[6]HISTOJUIN23!$A$6:$AU$45,35,0)</f>
        <v>0</v>
      </c>
      <c r="I8" s="7">
        <f>VLOOKUP($A8,[6]HISTOJUIN23!$A$7:$AU$45,38,0)</f>
        <v>0</v>
      </c>
      <c r="J8" s="7">
        <f>IF(I8=0,0,VLOOKUP($A8,[6]HISTOJUIN23!$A$7:$AU$45,42,0))</f>
        <v>0</v>
      </c>
      <c r="K8" s="7">
        <f>VLOOKUP($A8,[6]HISTOJUIN23!$A$7:$AU$45,41,0)</f>
        <v>0</v>
      </c>
      <c r="L8" s="7">
        <f>TONTMAI23!H8+TONTMAI23!I8</f>
        <v>0</v>
      </c>
      <c r="M8" s="7">
        <f>VLOOKUP($A8,[6]HISTOJUIN23!$A$7:$AU$45,16,0)</f>
        <v>0</v>
      </c>
      <c r="N8" s="7" t="str">
        <f>IF(M8&lt;&gt;0,VLOOKUP($A8,[6]HISTOJUIN23!$A$7:$AU$45,8,0),"ECHEC")</f>
        <v>ECHEC</v>
      </c>
      <c r="O8" s="7">
        <f>IF(R8=0,0,VLOOKUP($A8,[6]HISTOJUIN23!$A$7:$AU$45,32,0))</f>
        <v>0</v>
      </c>
      <c r="P8" s="7">
        <f>VLOOKUP($A8,[6]HISTOJUIN23!$A$7:$AU$45,33,0)</f>
        <v>0</v>
      </c>
      <c r="Q8" s="7">
        <f t="shared" si="0"/>
        <v>0</v>
      </c>
      <c r="R8" s="7">
        <f>VLOOKUP($A8,[6]HISTOJUIN23!$A$7:$AU$45,29,0)</f>
        <v>0</v>
      </c>
    </row>
    <row r="9" spans="1:18" x14ac:dyDescent="0.25">
      <c r="A9" s="1" t="s">
        <v>53</v>
      </c>
      <c r="B9" s="7">
        <f>IF(D9=0,0,VLOOKUP($A9,[6]HISTOJUIN23!$A$6:$BO$40,10,0))</f>
        <v>1</v>
      </c>
      <c r="C9" s="1" t="str">
        <f>VLOOKUP(A9,[7]LISTADHERENT!A$5:H$60,3,0)</f>
        <v>DJOMOU TCHAPDA</v>
      </c>
      <c r="D9" s="7">
        <f t="shared" si="1"/>
        <v>25000</v>
      </c>
      <c r="E9" s="7">
        <f>D9+VLOOKUP($A9,[6]HISTOJUIN23!$A$7:$AU$40,45,0)+F9</f>
        <v>43000</v>
      </c>
      <c r="F9" s="7">
        <f>VLOOKUP($A9,[6]HISTOJUIN23!$A$7:$AU$45,7,0)</f>
        <v>3000</v>
      </c>
      <c r="G9" s="7" t="str">
        <f>VLOOKUP($A9,[6]HISTOJUIN23!$A$7:$AU$45,8,0)</f>
        <v>ESPECES</v>
      </c>
      <c r="H9" s="7">
        <f>VLOOKUP($A9,[6]HISTOJUIN23!$A$6:$AU$45,35,0)</f>
        <v>0</v>
      </c>
      <c r="I9" s="7">
        <f>VLOOKUP($A9,[6]HISTOJUIN23!$A$7:$AU$45,38,0)</f>
        <v>0</v>
      </c>
      <c r="J9" s="7">
        <f>IF(I9=0,0,VLOOKUP($A9,[6]HISTOJUIN23!$A$7:$AU$45,42,0))</f>
        <v>0</v>
      </c>
      <c r="K9" s="7">
        <f>VLOOKUP($A9,[6]HISTOJUIN23!$A$7:$AU$45,41,0)</f>
        <v>0</v>
      </c>
      <c r="L9" s="7">
        <f>TONTMAI23!H9+TONTMAI23!I9</f>
        <v>0</v>
      </c>
      <c r="M9" s="7">
        <f>VLOOKUP($A9,[6]HISTOJUIN23!$A$7:$AU$45,16,0)</f>
        <v>0</v>
      </c>
      <c r="N9" s="7" t="str">
        <f>IF(M9&lt;&gt;0,VLOOKUP($A9,[6]HISTOJUIN23!$A$7:$AU$45,8,0),"ECHEC")</f>
        <v>ECHEC</v>
      </c>
      <c r="O9" s="7">
        <f>IF(R9=0,0,VLOOKUP($A9,[6]HISTOJUIN23!$A$7:$AU$45,32,0))</f>
        <v>0</v>
      </c>
      <c r="P9" s="7">
        <f>VLOOKUP($A9,[6]HISTOJUIN23!$A$7:$AU$45,33,0)</f>
        <v>0</v>
      </c>
      <c r="Q9" s="7">
        <f t="shared" si="0"/>
        <v>0</v>
      </c>
      <c r="R9" s="7">
        <f>VLOOKUP($A9,[6]HISTOJUIN23!$A$7:$AU$45,29,0)</f>
        <v>0</v>
      </c>
    </row>
    <row r="10" spans="1:18" x14ac:dyDescent="0.25">
      <c r="A10" s="1" t="s">
        <v>11</v>
      </c>
      <c r="B10" s="7">
        <f>IF(D10=0,0,VLOOKUP($A10,[6]HISTOJUIN23!$A$6:$BO$40,10,0))</f>
        <v>1</v>
      </c>
      <c r="C10" s="1" t="str">
        <f>VLOOKUP(A10,[7]LISTADHERENT!A$5:H$60,3,0)</f>
        <v>DJOUKWE NANGUEN GUY BLAISE</v>
      </c>
      <c r="D10" s="7">
        <f t="shared" si="1"/>
        <v>25000</v>
      </c>
      <c r="E10" s="7">
        <f>D10+VLOOKUP($A10,[6]HISTOJUIN23!$A$7:$AU$40,45,0)+F10</f>
        <v>44000</v>
      </c>
      <c r="F10" s="7">
        <f>VLOOKUP($A10,[6]HISTOJUIN23!$A$7:$AU$45,7,0)</f>
        <v>0</v>
      </c>
      <c r="G10" s="7" t="str">
        <f>VLOOKUP($A10,[6]HISTOJUIN23!$A$7:$AU$45,8,0)</f>
        <v>BANQUE</v>
      </c>
      <c r="H10" s="7">
        <f>VLOOKUP($A10,[6]HISTOJUIN23!$A$6:$AU$45,35,0)</f>
        <v>30000</v>
      </c>
      <c r="I10" s="7">
        <f>VLOOKUP($A10,[6]HISTOJUIN23!$A$7:$AU$45,38,0)</f>
        <v>500</v>
      </c>
      <c r="J10" s="7" t="str">
        <f>IF(I10=0,0,VLOOKUP($A10,[6]HISTOJUIN23!$A$7:$AU$45,42,0))</f>
        <v>BANQUE</v>
      </c>
      <c r="K10" s="7">
        <f>VLOOKUP($A10,[6]HISTOJUIN23!$A$7:$AU$45,41,0)</f>
        <v>0</v>
      </c>
      <c r="L10" s="7">
        <f>TONTMAI23!H10+TONTMAI23!I10</f>
        <v>31000</v>
      </c>
      <c r="M10" s="7">
        <f>VLOOKUP($A10,[6]HISTOJUIN23!$A$7:$AU$45,16,0)</f>
        <v>31000</v>
      </c>
      <c r="N10" s="7" t="str">
        <f>IF(M10&lt;&gt;0,VLOOKUP($A10,[6]HISTOJUIN23!$A$7:$AU$45,8,0),"ECHEC")</f>
        <v>BANQUE</v>
      </c>
      <c r="O10" s="7">
        <f>IF(R10=0,0,VLOOKUP($A10,[6]HISTOJUIN23!$A$7:$AU$45,32,0))</f>
        <v>0</v>
      </c>
      <c r="P10" s="7">
        <f>VLOOKUP($A10,[6]HISTOJUIN23!$A$7:$AU$45,33,0)</f>
        <v>0</v>
      </c>
      <c r="Q10" s="7">
        <f t="shared" si="0"/>
        <v>0</v>
      </c>
      <c r="R10" s="7">
        <f>VLOOKUP($A10,[6]HISTOJUIN23!$A$7:$AU$45,29,0)</f>
        <v>0</v>
      </c>
    </row>
    <row r="11" spans="1:18" x14ac:dyDescent="0.25">
      <c r="A11" s="1" t="s">
        <v>12</v>
      </c>
      <c r="B11" s="7">
        <f>IF(D11=0,0,VLOOKUP($A11,[6]HISTOJUIN23!$A$6:$BO$40,10,0))</f>
        <v>1</v>
      </c>
      <c r="C11" s="1" t="str">
        <f>VLOOKUP(A11,[7]LISTADHERENT!A$5:H$60,3,0)</f>
        <v>DJUOMBESSY ANTOINE</v>
      </c>
      <c r="D11" s="7">
        <f t="shared" si="1"/>
        <v>25000</v>
      </c>
      <c r="E11" s="7">
        <f>D11+VLOOKUP($A11,[6]HISTOJUIN23!$A$7:$AU$40,45,0)+F11</f>
        <v>74500</v>
      </c>
      <c r="F11" s="7">
        <f>VLOOKUP($A11,[6]HISTOJUIN23!$A$7:$AU$45,7,0)</f>
        <v>0</v>
      </c>
      <c r="G11" s="7" t="str">
        <f>VLOOKUP($A11,[6]HISTOJUIN23!$A$7:$AU$45,8,0)</f>
        <v>BANQUE</v>
      </c>
      <c r="H11" s="7">
        <f>VLOOKUP($A11,[6]HISTOJUIN23!$A$6:$AU$45,35,0)</f>
        <v>30000</v>
      </c>
      <c r="I11" s="7">
        <f>VLOOKUP($A11,[6]HISTOJUIN23!$A$7:$AU$45,38,0)</f>
        <v>500</v>
      </c>
      <c r="J11" s="7" t="str">
        <f>IF(I11=0,0,VLOOKUP($A11,[6]HISTOJUIN23!$A$7:$AU$45,42,0))</f>
        <v>BANQUE</v>
      </c>
      <c r="K11" s="7">
        <f>VLOOKUP($A11,[6]HISTOJUIN23!$A$7:$AU$45,41,0)</f>
        <v>0</v>
      </c>
      <c r="L11" s="7">
        <f>TONTMAI23!H11+TONTMAI23!I11</f>
        <v>0</v>
      </c>
      <c r="M11" s="7">
        <f>VLOOKUP($A11,[6]HISTOJUIN23!$A$7:$AU$45,16,0)</f>
        <v>0</v>
      </c>
      <c r="N11" s="7" t="str">
        <f>IF(M11&lt;&gt;0,VLOOKUP($A11,[6]HISTOJUIN23!$A$7:$AU$45,8,0),"ECHEC")</f>
        <v>ECHEC</v>
      </c>
      <c r="O11" s="7">
        <f>IF(R11=0,0,VLOOKUP($A11,[6]HISTOJUIN23!$A$7:$AU$45,32,0))</f>
        <v>0</v>
      </c>
      <c r="P11" s="7">
        <f>VLOOKUP($A11,[6]HISTOJUIN23!$A$7:$AU$45,33,0)</f>
        <v>0</v>
      </c>
      <c r="Q11" s="7">
        <f t="shared" si="0"/>
        <v>295000</v>
      </c>
      <c r="R11" s="7">
        <f>VLOOKUP($A11,[6]HISTOJUIN23!$A$7:$AU$45,29,0)</f>
        <v>5000</v>
      </c>
    </row>
    <row r="12" spans="1:18" x14ac:dyDescent="0.25">
      <c r="A12" s="1" t="s">
        <v>46</v>
      </c>
      <c r="B12" s="7">
        <f>IF(D12=0,0,VLOOKUP($A12,[6]HISTOJUIN23!$A$6:$BO$40,10,0))</f>
        <v>1</v>
      </c>
      <c r="C12" s="1" t="str">
        <f>VLOOKUP(A12,[7]LISTADHERENT!A$5:H$60,3,0)</f>
        <v>DOMOU FABIEN</v>
      </c>
      <c r="D12" s="7">
        <f t="shared" si="1"/>
        <v>25000</v>
      </c>
      <c r="E12" s="7">
        <f>D12+VLOOKUP($A12,[6]HISTOJUIN23!$A$7:$AU$40,45,0)+F12</f>
        <v>40000</v>
      </c>
      <c r="F12" s="7">
        <f>VLOOKUP($A12,[6]HISTOJUIN23!$A$7:$AU$45,7,0)</f>
        <v>0</v>
      </c>
      <c r="G12" s="7" t="str">
        <f>VLOOKUP($A12,[6]HISTOJUIN23!$A$7:$AU$45,8,0)</f>
        <v>BANQUE</v>
      </c>
      <c r="H12" s="7">
        <f>VLOOKUP($A12,[6]HISTOJUIN23!$A$6:$AU$45,35,0)</f>
        <v>0</v>
      </c>
      <c r="I12" s="7">
        <f>VLOOKUP($A12,[6]HISTOJUIN23!$A$7:$AU$45,38,0)</f>
        <v>0</v>
      </c>
      <c r="J12" s="7">
        <f>IF(I12=0,0,VLOOKUP($A12,[6]HISTOJUIN23!$A$7:$AU$45,42,0))</f>
        <v>0</v>
      </c>
      <c r="K12" s="7">
        <f>VLOOKUP($A12,[6]HISTOJUIN23!$A$7:$AU$45,41,0)</f>
        <v>0</v>
      </c>
      <c r="L12" s="7">
        <f>TONTMAI23!H12+TONTMAI23!I12</f>
        <v>0</v>
      </c>
      <c r="M12" s="7">
        <f>VLOOKUP($A12,[6]HISTOJUIN23!$A$7:$AU$45,16,0)</f>
        <v>0</v>
      </c>
      <c r="N12" s="7" t="str">
        <f>IF(M12&lt;&gt;0,VLOOKUP($A12,[6]HISTOJUIN23!$A$7:$AU$45,8,0),"ECHEC")</f>
        <v>ECHEC</v>
      </c>
      <c r="O12" s="7">
        <f>IF(R12=0,0,VLOOKUP($A12,[6]HISTOJUIN23!$A$7:$AU$45,32,0))</f>
        <v>0</v>
      </c>
      <c r="P12" s="7">
        <f>VLOOKUP($A12,[6]HISTOJUIN23!$A$7:$AU$45,33,0)</f>
        <v>0</v>
      </c>
      <c r="Q12" s="7">
        <f t="shared" si="0"/>
        <v>0</v>
      </c>
      <c r="R12" s="7">
        <f>VLOOKUP($A12,[6]HISTOJUIN23!$A$7:$AU$45,29,0)</f>
        <v>0</v>
      </c>
    </row>
    <row r="13" spans="1:18" x14ac:dyDescent="0.25">
      <c r="A13" s="1" t="s">
        <v>13</v>
      </c>
      <c r="B13" s="7">
        <f>IF(D13=0,0,VLOOKUP($A13,[6]HISTOJUIN23!$A$6:$BO$40,10,0))</f>
        <v>1</v>
      </c>
      <c r="C13" s="1" t="str">
        <f>VLOOKUP(A13,[7]LISTADHERENT!A$5:H$60,3,0)</f>
        <v>DONHOU DAVID</v>
      </c>
      <c r="D13" s="7">
        <f t="shared" si="1"/>
        <v>25000</v>
      </c>
      <c r="E13" s="7">
        <f>D13+VLOOKUP($A13,[6]HISTOJUIN23!$A$7:$AU$40,45,0)+F13</f>
        <v>40000</v>
      </c>
      <c r="F13" s="7">
        <f>VLOOKUP($A13,[6]HISTOJUIN23!$A$7:$AU$45,7,0)</f>
        <v>0</v>
      </c>
      <c r="G13" s="7" t="str">
        <f>VLOOKUP($A13,[6]HISTOJUIN23!$A$7:$AU$45,8,0)</f>
        <v>BANQUE</v>
      </c>
      <c r="H13" s="7">
        <f>VLOOKUP($A13,[6]HISTOJUIN23!$A$6:$AU$45,35,0)</f>
        <v>0</v>
      </c>
      <c r="I13" s="7">
        <f>VLOOKUP($A13,[6]HISTOJUIN23!$A$7:$AU$45,38,0)</f>
        <v>0</v>
      </c>
      <c r="J13" s="7">
        <f>IF(I13=0,0,VLOOKUP($A13,[6]HISTOJUIN23!$A$7:$AU$45,42,0))</f>
        <v>0</v>
      </c>
      <c r="K13" s="7">
        <f>VLOOKUP($A13,[6]HISTOJUIN23!$A$7:$AU$45,41,0)</f>
        <v>0</v>
      </c>
      <c r="L13" s="7">
        <f>TONTMAI23!H13+TONTMAI23!I13</f>
        <v>0</v>
      </c>
      <c r="M13" s="7">
        <f>VLOOKUP($A13,[6]HISTOJUIN23!$A$7:$AU$45,16,0)</f>
        <v>0</v>
      </c>
      <c r="N13" s="7" t="str">
        <f>IF(M13&lt;&gt;0,VLOOKUP($A13,[6]HISTOJUIN23!$A$7:$AU$45,8,0),"ECHEC")</f>
        <v>ECHEC</v>
      </c>
      <c r="O13" s="7">
        <f>IF(R13=0,0,VLOOKUP($A13,[6]HISTOJUIN23!$A$7:$AU$45,32,0))</f>
        <v>0</v>
      </c>
      <c r="P13" s="7">
        <f>VLOOKUP($A13,[6]HISTOJUIN23!$A$7:$AU$45,33,0)</f>
        <v>0</v>
      </c>
      <c r="Q13" s="7">
        <f t="shared" si="0"/>
        <v>0</v>
      </c>
      <c r="R13" s="7">
        <f>VLOOKUP($A13,[6]HISTOJUIN23!$A$7:$AU$45,29,0)</f>
        <v>0</v>
      </c>
    </row>
    <row r="14" spans="1:18" x14ac:dyDescent="0.25">
      <c r="A14" s="1" t="s">
        <v>14</v>
      </c>
      <c r="B14" s="7">
        <f>IF(D14=0,0,VLOOKUP($A14,[6]HISTOJUIN23!$A$6:$BO$40,10,0))</f>
        <v>1</v>
      </c>
      <c r="C14" s="1" t="str">
        <f>VLOOKUP(A14,[7]LISTADHERENT!A$5:H$60,3,0)</f>
        <v>HENGUE PAUL OMER</v>
      </c>
      <c r="D14" s="7">
        <f t="shared" si="1"/>
        <v>25000</v>
      </c>
      <c r="E14" s="7">
        <f>D14+VLOOKUP($A14,[6]HISTOJUIN23!$A$7:$AU$40,45,0)+F14</f>
        <v>40000</v>
      </c>
      <c r="F14" s="7">
        <f>VLOOKUP($A14,[6]HISTOJUIN23!$A$7:$AU$45,7,0)</f>
        <v>0</v>
      </c>
      <c r="G14" s="7" t="str">
        <f>VLOOKUP($A14,[6]HISTOJUIN23!$A$7:$AU$45,8,0)</f>
        <v>BANQUE</v>
      </c>
      <c r="H14" s="7">
        <f>VLOOKUP($A14,[6]HISTOJUIN23!$A$6:$AU$45,35,0)</f>
        <v>0</v>
      </c>
      <c r="I14" s="7">
        <f>VLOOKUP($A14,[6]HISTOJUIN23!$A$7:$AU$45,38,0)</f>
        <v>0</v>
      </c>
      <c r="J14" s="7">
        <f>IF(I14=0,0,VLOOKUP($A14,[6]HISTOJUIN23!$A$7:$AU$45,42,0))</f>
        <v>0</v>
      </c>
      <c r="K14" s="7">
        <f>VLOOKUP($A14,[6]HISTOJUIN23!$A$7:$AU$45,41,0)</f>
        <v>0</v>
      </c>
      <c r="L14" s="7">
        <f>TONTMAI23!H14+TONTMAI23!I14</f>
        <v>0</v>
      </c>
      <c r="M14" s="7">
        <f>VLOOKUP($A14,[6]HISTOJUIN23!$A$7:$AU$45,16,0)</f>
        <v>0</v>
      </c>
      <c r="N14" s="7" t="str">
        <f>IF(M14&lt;&gt;0,VLOOKUP($A14,[6]HISTOJUIN23!$A$7:$AU$45,8,0),"ECHEC")</f>
        <v>ECHEC</v>
      </c>
      <c r="O14" s="7">
        <f>IF(R14=0,0,VLOOKUP($A14,[6]HISTOJUIN23!$A$7:$AU$45,32,0))</f>
        <v>0</v>
      </c>
      <c r="P14" s="7">
        <f>VLOOKUP($A14,[6]HISTOJUIN23!$A$7:$AU$45,33,0)</f>
        <v>0</v>
      </c>
      <c r="Q14" s="7">
        <f t="shared" si="0"/>
        <v>0</v>
      </c>
      <c r="R14" s="7">
        <f>VLOOKUP($A14,[6]HISTOJUIN23!$A$7:$AU$45,29,0)</f>
        <v>0</v>
      </c>
    </row>
    <row r="15" spans="1:18" x14ac:dyDescent="0.25">
      <c r="A15" s="1" t="s">
        <v>15</v>
      </c>
      <c r="B15" s="7">
        <f>IF(D15=0,0,VLOOKUP($A15,[6]HISTOJUIN23!$A$6:$BO$40,10,0))</f>
        <v>1</v>
      </c>
      <c r="C15" s="1" t="str">
        <f>VLOOKUP(A15,[7]LISTADHERENT!A$5:H$60,3,0)</f>
        <v>HOTCHO BENJAMIN</v>
      </c>
      <c r="D15" s="7">
        <f t="shared" si="1"/>
        <v>25000</v>
      </c>
      <c r="E15" s="7">
        <f>D15+VLOOKUP($A15,[6]HISTOJUIN23!$A$7:$AU$40,45,0)+F15</f>
        <v>75000</v>
      </c>
      <c r="F15" s="7">
        <f>VLOOKUP($A15,[6]HISTOJUIN23!$A$7:$AU$45,7,0)</f>
        <v>0</v>
      </c>
      <c r="G15" s="7" t="str">
        <f>VLOOKUP($A15,[6]HISTOJUIN23!$A$7:$AU$45,8,0)</f>
        <v>BANQUE</v>
      </c>
      <c r="H15" s="7">
        <f>VLOOKUP($A15,[6]HISTOJUIN23!$A$6:$AU$45,35,0)</f>
        <v>0</v>
      </c>
      <c r="I15" s="7">
        <f>VLOOKUP($A15,[6]HISTOJUIN23!$A$7:$AU$45,38,0)</f>
        <v>0</v>
      </c>
      <c r="J15" s="7">
        <f>IF(I15=0,0,VLOOKUP($A15,[6]HISTOJUIN23!$A$7:$AU$45,42,0))</f>
        <v>0</v>
      </c>
      <c r="K15" s="7">
        <f>VLOOKUP($A15,[6]HISTOJUIN23!$A$7:$AU$45,41,0)</f>
        <v>0</v>
      </c>
      <c r="L15" s="7">
        <f>TONTMAI23!H15+TONTMAI23!I15</f>
        <v>0</v>
      </c>
      <c r="M15" s="7">
        <f>VLOOKUP($A15,[6]HISTOJUIN23!$A$7:$AU$45,16,0)</f>
        <v>0</v>
      </c>
      <c r="N15" s="7" t="str">
        <f>IF(M15&lt;&gt;0,VLOOKUP($A15,[6]HISTOJUIN23!$A$7:$AU$45,8,0),"ECHEC")</f>
        <v>ECHEC</v>
      </c>
      <c r="O15" s="7">
        <f>IF(R15=0,0,VLOOKUP($A15,[6]HISTOJUIN23!$A$7:$AU$45,32,0))</f>
        <v>0</v>
      </c>
      <c r="P15" s="7">
        <f>VLOOKUP($A15,[6]HISTOJUIN23!$A$7:$AU$45,33,0)</f>
        <v>0</v>
      </c>
      <c r="Q15" s="7">
        <f t="shared" si="0"/>
        <v>0</v>
      </c>
      <c r="R15" s="7">
        <f>VLOOKUP($A15,[6]HISTOJUIN23!$A$7:$AU$45,29,0)</f>
        <v>0</v>
      </c>
    </row>
    <row r="16" spans="1:18" x14ac:dyDescent="0.25">
      <c r="A16" s="1" t="s">
        <v>16</v>
      </c>
      <c r="B16" s="7">
        <f>IF(D16=0,0,VLOOKUP($A16,[6]HISTOJUIN23!$A$6:$BO$40,10,0))</f>
        <v>1</v>
      </c>
      <c r="C16" s="1" t="str">
        <f>VLOOKUP(A16,[7]LISTADHERENT!A$5:H$60,3,0)</f>
        <v>KOUAMOU MOISE</v>
      </c>
      <c r="D16" s="7">
        <f t="shared" si="1"/>
        <v>25000</v>
      </c>
      <c r="E16" s="7">
        <f>D16+VLOOKUP($A16,[6]HISTOJUIN23!$A$7:$AU$40,45,0)+F16</f>
        <v>40000</v>
      </c>
      <c r="F16" s="7">
        <f>VLOOKUP($A16,[6]HISTOJUIN23!$A$7:$AU$45,7,0)</f>
        <v>0</v>
      </c>
      <c r="G16" s="7" t="str">
        <f>VLOOKUP($A16,[6]HISTOJUIN23!$A$7:$AU$45,8,0)</f>
        <v>BANQUE</v>
      </c>
      <c r="H16" s="7">
        <f>VLOOKUP($A16,[6]HISTOJUIN23!$A$6:$AU$45,35,0)</f>
        <v>0</v>
      </c>
      <c r="I16" s="7">
        <f>VLOOKUP($A16,[6]HISTOJUIN23!$A$7:$AU$45,38,0)</f>
        <v>0</v>
      </c>
      <c r="J16" s="7">
        <f>IF(I16=0,0,VLOOKUP($A16,[6]HISTOJUIN23!$A$7:$AU$45,42,0))</f>
        <v>0</v>
      </c>
      <c r="K16" s="7">
        <f>VLOOKUP($A16,[6]HISTOJUIN23!$A$7:$AU$45,41,0)</f>
        <v>0</v>
      </c>
      <c r="L16" s="7">
        <f>TONTMAI23!H16+TONTMAI23!I16</f>
        <v>0</v>
      </c>
      <c r="M16" s="7">
        <f>VLOOKUP($A16,[6]HISTOJUIN23!$A$7:$AU$45,16,0)</f>
        <v>0</v>
      </c>
      <c r="N16" s="7" t="str">
        <f>IF(M16&lt;&gt;0,VLOOKUP($A16,[6]HISTOJUIN23!$A$7:$AU$45,8,0),"ECHEC")</f>
        <v>ECHEC</v>
      </c>
      <c r="O16" s="7">
        <f>IF(R16=0,0,VLOOKUP($A16,[6]HISTOJUIN23!$A$7:$AU$45,32,0))</f>
        <v>0</v>
      </c>
      <c r="P16" s="7">
        <f>VLOOKUP($A16,[6]HISTOJUIN23!$A$7:$AU$45,33,0)</f>
        <v>0</v>
      </c>
      <c r="Q16" s="7">
        <f t="shared" si="0"/>
        <v>0</v>
      </c>
      <c r="R16" s="7">
        <f>VLOOKUP($A16,[6]HISTOJUIN23!$A$7:$AU$45,29,0)</f>
        <v>0</v>
      </c>
    </row>
    <row r="17" spans="1:18" x14ac:dyDescent="0.25">
      <c r="A17" s="1" t="s">
        <v>17</v>
      </c>
      <c r="B17" s="7">
        <f>IF(D17=0,0,VLOOKUP($A17,[6]HISTOJUIN23!$A$6:$BO$40,10,0))</f>
        <v>1</v>
      </c>
      <c r="C17" s="1" t="str">
        <f>VLOOKUP(A17,[7]LISTADHERENT!A$5:H$60,3,0)</f>
        <v>KOUATCHO MESSACK</v>
      </c>
      <c r="D17" s="7">
        <f t="shared" si="1"/>
        <v>25000</v>
      </c>
      <c r="E17" s="7">
        <f>D17+VLOOKUP($A17,[6]HISTOJUIN23!$A$7:$AU$40,45,0)+F17</f>
        <v>40000</v>
      </c>
      <c r="F17" s="7">
        <f>VLOOKUP($A17,[6]HISTOJUIN23!$A$7:$AU$45,7,0)</f>
        <v>0</v>
      </c>
      <c r="G17" s="7" t="str">
        <f>VLOOKUP($A17,[6]HISTOJUIN23!$A$7:$AU$45,8,0)</f>
        <v>BANQUE</v>
      </c>
      <c r="H17" s="7">
        <f>VLOOKUP($A17,[6]HISTOJUIN23!$A$6:$AU$45,35,0)</f>
        <v>0</v>
      </c>
      <c r="I17" s="7">
        <f>VLOOKUP($A17,[6]HISTOJUIN23!$A$7:$AU$45,38,0)</f>
        <v>0</v>
      </c>
      <c r="J17" s="7">
        <f>IF(I17=0,0,VLOOKUP($A17,[6]HISTOJUIN23!$A$7:$AU$45,42,0))</f>
        <v>0</v>
      </c>
      <c r="K17" s="7">
        <f>VLOOKUP($A17,[6]HISTOJUIN23!$A$7:$AU$45,41,0)</f>
        <v>0</v>
      </c>
      <c r="L17" s="7">
        <f>TONTMAI23!H17+TONTMAI23!I17</f>
        <v>0</v>
      </c>
      <c r="M17" s="7">
        <f>VLOOKUP($A17,[6]HISTOJUIN23!$A$7:$AU$45,16,0)</f>
        <v>0</v>
      </c>
      <c r="N17" s="7" t="str">
        <f>IF(M17&lt;&gt;0,VLOOKUP($A17,[6]HISTOJUIN23!$A$7:$AU$45,8,0),"ECHEC")</f>
        <v>ECHEC</v>
      </c>
      <c r="O17" s="7">
        <f>IF(R17=0,0,VLOOKUP($A17,[6]HISTOJUIN23!$A$7:$AU$45,32,0))</f>
        <v>0</v>
      </c>
      <c r="P17" s="7">
        <f>VLOOKUP($A17,[6]HISTOJUIN23!$A$7:$AU$45,33,0)</f>
        <v>0</v>
      </c>
      <c r="Q17" s="7">
        <f t="shared" si="0"/>
        <v>0</v>
      </c>
      <c r="R17" s="7">
        <f>VLOOKUP($A17,[6]HISTOJUIN23!$A$7:$AU$45,29,0)</f>
        <v>0</v>
      </c>
    </row>
    <row r="18" spans="1:18" x14ac:dyDescent="0.25">
      <c r="A18" s="1" t="s">
        <v>18</v>
      </c>
      <c r="B18" s="7">
        <f>IF(D18=0,0,VLOOKUP($A18,[6]HISTOJUIN23!$A$6:$BO$40,10,0))</f>
        <v>1</v>
      </c>
      <c r="C18" s="1" t="str">
        <f>VLOOKUP(A18,[7]LISTADHERENT!A$5:H$60,3,0)</f>
        <v>LOWE JEAN</v>
      </c>
      <c r="D18" s="7">
        <f t="shared" si="1"/>
        <v>25000</v>
      </c>
      <c r="E18" s="7">
        <f>D18+VLOOKUP($A18,[6]HISTOJUIN23!$A$7:$AU$40,45,0)+F18</f>
        <v>40000</v>
      </c>
      <c r="F18" s="7">
        <f>VLOOKUP($A18,[6]HISTOJUIN23!$A$7:$AU$45,7,0)</f>
        <v>0</v>
      </c>
      <c r="G18" s="7" t="str">
        <f>VLOOKUP($A18,[6]HISTOJUIN23!$A$7:$AU$45,8,0)</f>
        <v>BANQUE</v>
      </c>
      <c r="H18" s="7">
        <f>VLOOKUP($A18,[6]HISTOJUIN23!$A$6:$AU$45,35,0)</f>
        <v>0</v>
      </c>
      <c r="I18" s="7">
        <f>VLOOKUP($A18,[6]HISTOJUIN23!$A$7:$AU$45,38,0)</f>
        <v>0</v>
      </c>
      <c r="J18" s="7">
        <f>IF(I18=0,0,VLOOKUP($A18,[6]HISTOJUIN23!$A$7:$AU$45,42,0))</f>
        <v>0</v>
      </c>
      <c r="K18" s="7">
        <f>VLOOKUP($A18,[6]HISTOJUIN23!$A$7:$AU$45,41,0)</f>
        <v>0</v>
      </c>
      <c r="L18" s="7">
        <f>TONTMAI23!H18+TONTMAI23!I18</f>
        <v>0</v>
      </c>
      <c r="M18" s="7">
        <f>VLOOKUP($A18,[6]HISTOJUIN23!$A$7:$AU$45,16,0)</f>
        <v>0</v>
      </c>
      <c r="N18" s="7" t="str">
        <f>IF(M18&lt;&gt;0,VLOOKUP($A18,[6]HISTOJUIN23!$A$7:$AU$45,8,0),"ECHEC")</f>
        <v>ECHEC</v>
      </c>
      <c r="O18" s="7">
        <f>IF(R18=0,0,VLOOKUP($A18,[6]HISTOJUIN23!$A$7:$AU$45,32,0))</f>
        <v>0</v>
      </c>
      <c r="P18" s="7">
        <f>VLOOKUP($A18,[6]HISTOJUIN23!$A$7:$AU$45,33,0)</f>
        <v>0</v>
      </c>
      <c r="Q18" s="7">
        <f t="shared" si="0"/>
        <v>0</v>
      </c>
      <c r="R18" s="7">
        <f>VLOOKUP($A18,[6]HISTOJUIN23!$A$7:$AU$45,29,0)</f>
        <v>0</v>
      </c>
    </row>
    <row r="19" spans="1:18" x14ac:dyDescent="0.25">
      <c r="A19" s="1" t="s">
        <v>45</v>
      </c>
      <c r="B19" s="7">
        <f>IF(D19=0,0,VLOOKUP($A19,[6]HISTOJUIN23!$A$6:$BO$40,10,0))</f>
        <v>1</v>
      </c>
      <c r="C19" s="1" t="str">
        <f>VLOOKUP(A19,[7]LISTADHERENT!A$5:H$60,3,0)</f>
        <v>MBOGNING TUGMA GUY</v>
      </c>
      <c r="D19" s="7">
        <f t="shared" si="1"/>
        <v>25000</v>
      </c>
      <c r="E19" s="7">
        <f>D19+VLOOKUP($A19,[6]HISTOJUIN23!$A$7:$AU$40,45,0)+F19</f>
        <v>39000</v>
      </c>
      <c r="F19" s="7">
        <f>VLOOKUP($A19,[6]HISTOJUIN23!$A$7:$AU$45,7,0)</f>
        <v>0</v>
      </c>
      <c r="G19" s="7" t="str">
        <f>VLOOKUP($A19,[6]HISTOJUIN23!$A$7:$AU$45,8,0)</f>
        <v>BANQUE</v>
      </c>
      <c r="H19" s="7">
        <f>VLOOKUP($A19,[6]HISTOJUIN23!$A$6:$AU$45,35,0)</f>
        <v>0</v>
      </c>
      <c r="I19" s="7">
        <f>VLOOKUP($A19,[6]HISTOJUIN23!$A$7:$AU$45,38,0)</f>
        <v>0</v>
      </c>
      <c r="J19" s="7">
        <f>IF(I19=0,0,VLOOKUP($A19,[6]HISTOJUIN23!$A$7:$AU$45,42,0))</f>
        <v>0</v>
      </c>
      <c r="K19" s="7">
        <f>VLOOKUP($A19,[6]HISTOJUIN23!$A$7:$AU$45,41,0)</f>
        <v>0</v>
      </c>
      <c r="L19" s="7">
        <f>TONTMAI23!H19+TONTMAI23!I19</f>
        <v>0</v>
      </c>
      <c r="M19" s="7">
        <f>VLOOKUP($A19,[6]HISTOJUIN23!$A$7:$AU$45,16,0)</f>
        <v>0</v>
      </c>
      <c r="N19" s="7" t="str">
        <f>IF(M19&lt;&gt;0,VLOOKUP($A19,[6]HISTOJUIN23!$A$7:$AU$45,8,0),"ECHEC")</f>
        <v>ECHEC</v>
      </c>
      <c r="O19" s="7">
        <f>IF(R19=0,0,VLOOKUP($A19,[6]HISTOJUIN23!$A$7:$AU$45,32,0))</f>
        <v>0</v>
      </c>
      <c r="P19" s="7">
        <f>VLOOKUP($A19,[6]HISTOJUIN23!$A$7:$AU$45,33,0)</f>
        <v>0</v>
      </c>
      <c r="Q19" s="7">
        <f t="shared" si="0"/>
        <v>0</v>
      </c>
      <c r="R19" s="7">
        <f>VLOOKUP($A19,[6]HISTOJUIN23!$A$7:$AU$45,29,0)</f>
        <v>0</v>
      </c>
    </row>
    <row r="20" spans="1:18" x14ac:dyDescent="0.25">
      <c r="A20" s="1" t="s">
        <v>26</v>
      </c>
      <c r="B20" s="7">
        <f>IF(D20=0,0,VLOOKUP($A20,[6]HISTOJUIN23!$A$6:$BO$40,10,0))</f>
        <v>1</v>
      </c>
      <c r="C20" s="1" t="str">
        <f>VLOOKUP(A20,[7]LISTADHERENT!A$5:H$60,3,0)</f>
        <v>NANGUEN MARTIN</v>
      </c>
      <c r="D20" s="7">
        <f t="shared" si="1"/>
        <v>25000</v>
      </c>
      <c r="E20" s="7">
        <f>D20+VLOOKUP($A20,[6]HISTOJUIN23!$A$7:$AU$40,45,0)+F20</f>
        <v>40000</v>
      </c>
      <c r="F20" s="7">
        <f>VLOOKUP($A20,[6]HISTOJUIN23!$A$7:$AU$45,7,0)</f>
        <v>0</v>
      </c>
      <c r="G20" s="7" t="str">
        <f>VLOOKUP($A20,[6]HISTOJUIN23!$A$7:$AU$45,8,0)</f>
        <v>BANQUE</v>
      </c>
      <c r="H20" s="7">
        <f>VLOOKUP($A20,[6]HISTOJUIN23!$A$6:$AU$45,35,0)</f>
        <v>0</v>
      </c>
      <c r="I20" s="7">
        <f>VLOOKUP($A20,[6]HISTOJUIN23!$A$7:$AU$45,38,0)</f>
        <v>0</v>
      </c>
      <c r="J20" s="7">
        <f>IF(I20=0,0,VLOOKUP($A20,[6]HISTOJUIN23!$A$7:$AU$45,42,0))</f>
        <v>0</v>
      </c>
      <c r="K20" s="7">
        <f>VLOOKUP($A20,[6]HISTOJUIN23!$A$7:$AU$45,41,0)</f>
        <v>0</v>
      </c>
      <c r="L20" s="7">
        <f>TONTMAI23!H20+TONTMAI23!I20</f>
        <v>0</v>
      </c>
      <c r="M20" s="7">
        <f>VLOOKUP($A20,[6]HISTOJUIN23!$A$7:$AU$45,16,0)</f>
        <v>0</v>
      </c>
      <c r="N20" s="7" t="str">
        <f>IF(M20&lt;&gt;0,VLOOKUP($A20,[6]HISTOJUIN23!$A$7:$AU$45,8,0),"ECHEC")</f>
        <v>ECHEC</v>
      </c>
      <c r="O20" s="7">
        <f>IF(R20=0,0,VLOOKUP($A20,[6]HISTOJUIN23!$A$7:$AU$45,32,0))</f>
        <v>0</v>
      </c>
      <c r="P20" s="7">
        <f>VLOOKUP($A20,[6]HISTOJUIN23!$A$7:$AU$45,33,0)</f>
        <v>0</v>
      </c>
      <c r="Q20" s="7">
        <f t="shared" si="0"/>
        <v>0</v>
      </c>
      <c r="R20" s="7">
        <f>VLOOKUP($A20,[6]HISTOJUIN23!$A$7:$AU$45,29,0)</f>
        <v>0</v>
      </c>
    </row>
    <row r="21" spans="1:18" x14ac:dyDescent="0.25">
      <c r="A21" s="1" t="s">
        <v>19</v>
      </c>
      <c r="B21" s="7">
        <f>IF(D21=0,0,VLOOKUP($A21,[6]HISTOJUIN23!$A$6:$BO$40,10,0))</f>
        <v>1</v>
      </c>
      <c r="C21" s="1" t="str">
        <f>VLOOKUP(A21,[7]LISTADHERENT!A$5:H$60,3,0)</f>
        <v>NANKAM APPOLINAIRE</v>
      </c>
      <c r="D21" s="7">
        <f t="shared" si="1"/>
        <v>25000</v>
      </c>
      <c r="E21" s="7">
        <f>D21+VLOOKUP($A21,[6]HISTOJUIN23!$A$7:$AU$40,45,0)+F21</f>
        <v>40000</v>
      </c>
      <c r="F21" s="7">
        <f>VLOOKUP($A21,[6]HISTOJUIN23!$A$7:$AU$45,7,0)</f>
        <v>0</v>
      </c>
      <c r="G21" s="7" t="str">
        <f>VLOOKUP($A21,[6]HISTOJUIN23!$A$7:$AU$45,8,0)</f>
        <v>BANQUE</v>
      </c>
      <c r="H21" s="7">
        <f>VLOOKUP($A21,[6]HISTOJUIN23!$A$6:$AU$45,35,0)</f>
        <v>0</v>
      </c>
      <c r="I21" s="7">
        <f>VLOOKUP($A21,[6]HISTOJUIN23!$A$7:$AU$45,38,0)</f>
        <v>0</v>
      </c>
      <c r="J21" s="7">
        <f>IF(I21=0,0,VLOOKUP($A21,[6]HISTOJUIN23!$A$7:$AU$45,42,0))</f>
        <v>0</v>
      </c>
      <c r="K21" s="7">
        <f>VLOOKUP($A21,[6]HISTOJUIN23!$A$7:$AU$45,41,0)</f>
        <v>0</v>
      </c>
      <c r="L21" s="7">
        <f>TONTMAI23!H21+TONTMAI23!I21</f>
        <v>0</v>
      </c>
      <c r="M21" s="7">
        <f>VLOOKUP($A21,[6]HISTOJUIN23!$A$7:$AU$45,16,0)</f>
        <v>0</v>
      </c>
      <c r="N21" s="7" t="str">
        <f>IF(M21&lt;&gt;0,VLOOKUP($A21,[6]HISTOJUIN23!$A$7:$AU$45,8,0),"ECHEC")</f>
        <v>ECHEC</v>
      </c>
      <c r="O21" s="7">
        <f>IF(R21=0,0,VLOOKUP($A21,[6]HISTOJUIN23!$A$7:$AU$45,32,0))</f>
        <v>0</v>
      </c>
      <c r="P21" s="7">
        <f>VLOOKUP($A21,[6]HISTOJUIN23!$A$7:$AU$45,33,0)</f>
        <v>0</v>
      </c>
      <c r="Q21" s="7">
        <f t="shared" si="0"/>
        <v>295500</v>
      </c>
      <c r="R21" s="7">
        <f>VLOOKUP($A21,[6]HISTOJUIN23!$A$7:$AU$45,29,0)</f>
        <v>4500</v>
      </c>
    </row>
    <row r="22" spans="1:18" x14ac:dyDescent="0.25">
      <c r="A22" s="1" t="s">
        <v>20</v>
      </c>
      <c r="B22" s="7">
        <f>IF(D22=0,0,VLOOKUP($A22,[6]HISTOJUIN23!$A$6:$BO$40,10,0))</f>
        <v>1</v>
      </c>
      <c r="C22" s="1" t="str">
        <f>VLOOKUP(A22,[7]LISTADHERENT!A$5:H$60,3,0)</f>
        <v>NDJOMO ETIENNE</v>
      </c>
      <c r="D22" s="7">
        <f t="shared" si="1"/>
        <v>25000</v>
      </c>
      <c r="E22" s="7">
        <f>D22+VLOOKUP($A22,[6]HISTOJUIN23!$A$7:$AU$40,45,0)+F22</f>
        <v>50000</v>
      </c>
      <c r="F22" s="7">
        <f>VLOOKUP($A22,[6]HISTOJUIN23!$A$7:$AU$45,7,0)</f>
        <v>0</v>
      </c>
      <c r="G22" s="7" t="str">
        <f>VLOOKUP($A22,[6]HISTOJUIN23!$A$7:$AU$45,8,0)</f>
        <v>BANQUE</v>
      </c>
      <c r="H22" s="7">
        <f>VLOOKUP($A22,[6]HISTOJUIN23!$A$6:$AU$45,35,0)</f>
        <v>0</v>
      </c>
      <c r="I22" s="7">
        <f>VLOOKUP($A22,[6]HISTOJUIN23!$A$7:$AU$45,38,0)</f>
        <v>0</v>
      </c>
      <c r="J22" s="7">
        <f>IF(I22=0,0,VLOOKUP($A22,[6]HISTOJUIN23!$A$7:$AU$45,42,0))</f>
        <v>0</v>
      </c>
      <c r="K22" s="7">
        <f>VLOOKUP($A22,[6]HISTOJUIN23!$A$7:$AU$45,41,0)</f>
        <v>0</v>
      </c>
      <c r="L22" s="7">
        <f>TONTMAI23!H22+TONTMAI23!I22</f>
        <v>0</v>
      </c>
      <c r="M22" s="7">
        <f>VLOOKUP($A22,[6]HISTOJUIN23!$A$7:$AU$45,16,0)</f>
        <v>0</v>
      </c>
      <c r="N22" s="7" t="str">
        <f>IF(M22&lt;&gt;0,VLOOKUP($A22,[6]HISTOJUIN23!$A$7:$AU$45,8,0),"ECHEC")</f>
        <v>ECHEC</v>
      </c>
      <c r="O22" s="7">
        <f>IF(R22=0,0,VLOOKUP($A22,[6]HISTOJUIN23!$A$7:$AU$45,32,0))</f>
        <v>0</v>
      </c>
      <c r="P22" s="7">
        <f>VLOOKUP($A22,[6]HISTOJUIN23!$A$7:$AU$45,33,0)</f>
        <v>0</v>
      </c>
      <c r="Q22" s="7">
        <f t="shared" si="0"/>
        <v>0</v>
      </c>
      <c r="R22" s="7">
        <f>VLOOKUP($A22,[6]HISTOJUIN23!$A$7:$AU$45,29,0)</f>
        <v>0</v>
      </c>
    </row>
    <row r="23" spans="1:18" x14ac:dyDescent="0.25">
      <c r="A23" s="1" t="s">
        <v>21</v>
      </c>
      <c r="B23" s="7">
        <f>IF(D23=0,0,VLOOKUP($A23,[6]HISTOJUIN23!$A$6:$BO$40,10,0))</f>
        <v>1</v>
      </c>
      <c r="C23" s="1" t="str">
        <f>VLOOKUP(A23,[7]LISTADHERENT!A$5:H$60,3,0)</f>
        <v>NGONDIEP CLAUDE</v>
      </c>
      <c r="D23" s="7">
        <f t="shared" si="1"/>
        <v>25000</v>
      </c>
      <c r="E23" s="7">
        <f>D23+VLOOKUP($A23,[6]HISTOJUIN23!$A$7:$AU$40,45,0)+F23</f>
        <v>40000</v>
      </c>
      <c r="F23" s="7">
        <f>VLOOKUP($A23,[6]HISTOJUIN23!$A$7:$AU$45,7,0)</f>
        <v>0</v>
      </c>
      <c r="G23" s="7" t="str">
        <f>VLOOKUP($A23,[6]HISTOJUIN23!$A$7:$AU$45,8,0)</f>
        <v>BANQUE</v>
      </c>
      <c r="H23" s="7">
        <f>VLOOKUP($A23,[6]HISTOJUIN23!$A$6:$AU$45,35,0)</f>
        <v>60000</v>
      </c>
      <c r="I23" s="7">
        <f>VLOOKUP($A23,[6]HISTOJUIN23!$A$7:$AU$45,38,0)</f>
        <v>1000</v>
      </c>
      <c r="J23" s="7" t="str">
        <f>IF(I23=0,0,VLOOKUP($A23,[6]HISTOJUIN23!$A$7:$AU$45,42,0))</f>
        <v>BANQUE</v>
      </c>
      <c r="K23" s="7">
        <f>VLOOKUP($A23,[6]HISTOJUIN23!$A$7:$AU$45,41,0)</f>
        <v>0</v>
      </c>
      <c r="L23" s="7">
        <f>TONTMAI23!H23+TONTMAI23!I23</f>
        <v>0</v>
      </c>
      <c r="M23" s="7">
        <f>VLOOKUP($A23,[6]HISTOJUIN23!$A$7:$AU$45,16,0)</f>
        <v>0</v>
      </c>
      <c r="N23" s="7" t="str">
        <f>IF(M23&lt;&gt;0,VLOOKUP($A23,[6]HISTOJUIN23!$A$7:$AU$45,8,0),"ECHEC")</f>
        <v>ECHEC</v>
      </c>
      <c r="O23" s="7">
        <f>IF(R23=0,0,VLOOKUP($A23,[6]HISTOJUIN23!$A$7:$AU$45,32,0))</f>
        <v>0</v>
      </c>
      <c r="P23" s="7">
        <f>VLOOKUP($A23,[6]HISTOJUIN23!$A$7:$AU$45,33,0)</f>
        <v>0</v>
      </c>
      <c r="Q23" s="7">
        <f t="shared" si="0"/>
        <v>0</v>
      </c>
      <c r="R23" s="7">
        <f>VLOOKUP($A23,[6]HISTOJUIN23!$A$7:$AU$45,29,0)</f>
        <v>0</v>
      </c>
    </row>
    <row r="24" spans="1:18" x14ac:dyDescent="0.25">
      <c r="A24" s="1" t="s">
        <v>22</v>
      </c>
      <c r="B24" s="7">
        <f>IF(D24=0,0,VLOOKUP($A24,[6]HISTOJUIN23!$A$6:$BO$40,10,0))</f>
        <v>1</v>
      </c>
      <c r="C24" s="1" t="str">
        <f>VLOOKUP(A24,[7]LISTADHERENT!A$5:H$60,3,0)</f>
        <v>NGUIEMEGNI MATHIEU BLAISE</v>
      </c>
      <c r="D24" s="7">
        <f t="shared" si="1"/>
        <v>25000</v>
      </c>
      <c r="E24" s="7">
        <f>D24+VLOOKUP($A24,[6]HISTOJUIN23!$A$7:$AU$40,45,0)+F24</f>
        <v>49000</v>
      </c>
      <c r="F24" s="7">
        <f>VLOOKUP($A24,[6]HISTOJUIN23!$A$7:$AU$45,7,0)</f>
        <v>0</v>
      </c>
      <c r="G24" s="7" t="str">
        <f>VLOOKUP($A24,[6]HISTOJUIN23!$A$7:$AU$45,8,0)</f>
        <v>BANQUE</v>
      </c>
      <c r="H24" s="7">
        <f>VLOOKUP($A24,[6]HISTOJUIN23!$A$6:$AU$45,35,0)</f>
        <v>0</v>
      </c>
      <c r="I24" s="7">
        <f>VLOOKUP($A24,[6]HISTOJUIN23!$A$7:$AU$45,38,0)</f>
        <v>0</v>
      </c>
      <c r="J24" s="7">
        <f>IF(I24=0,0,VLOOKUP($A24,[6]HISTOJUIN23!$A$7:$AU$45,42,0))</f>
        <v>0</v>
      </c>
      <c r="K24" s="7">
        <f>VLOOKUP($A24,[6]HISTOJUIN23!$A$7:$AU$45,41,0)</f>
        <v>0</v>
      </c>
      <c r="L24" s="7">
        <f>TONTMAI23!H24+TONTMAI23!I24</f>
        <v>0</v>
      </c>
      <c r="M24" s="7">
        <f>VLOOKUP($A24,[6]HISTOJUIN23!$A$7:$AU$45,16,0)</f>
        <v>0</v>
      </c>
      <c r="N24" s="7" t="str">
        <f>IF(M24&lt;&gt;0,VLOOKUP($A24,[6]HISTOJUIN23!$A$7:$AU$45,8,0),"ECHEC")</f>
        <v>ECHEC</v>
      </c>
      <c r="O24" s="7">
        <f>IF(R24=0,0,VLOOKUP($A24,[6]HISTOJUIN23!$A$7:$AU$45,32,0))</f>
        <v>0</v>
      </c>
      <c r="P24" s="7">
        <f>VLOOKUP($A24,[6]HISTOJUIN23!$A$7:$AU$45,33,0)</f>
        <v>0</v>
      </c>
      <c r="Q24" s="7">
        <f t="shared" si="0"/>
        <v>0</v>
      </c>
      <c r="R24" s="7">
        <f>VLOOKUP($A24,[6]HISTOJUIN23!$A$7:$AU$45,29,0)</f>
        <v>0</v>
      </c>
    </row>
    <row r="25" spans="1:18" x14ac:dyDescent="0.25">
      <c r="A25" s="1" t="s">
        <v>23</v>
      </c>
      <c r="B25" s="7">
        <f>IF(D25=0,0,VLOOKUP($A25,[6]HISTOJUIN23!$A$6:$BO$40,10,0))</f>
        <v>1</v>
      </c>
      <c r="C25" s="1" t="str">
        <f>VLOOKUP(A25,[7]LISTADHERENT!A$5:H$60,3,0)</f>
        <v>NKAMGANG JUSTIN DEJOLIE</v>
      </c>
      <c r="D25" s="7">
        <f t="shared" si="1"/>
        <v>25000</v>
      </c>
      <c r="E25" s="7">
        <f>D25+VLOOKUP($A25,[6]HISTOJUIN23!$A$7:$AU$40,45,0)+F25</f>
        <v>40000</v>
      </c>
      <c r="F25" s="7">
        <f>VLOOKUP($A25,[6]HISTOJUIN23!$A$7:$AU$45,7,0)</f>
        <v>0</v>
      </c>
      <c r="G25" s="7" t="str">
        <f>VLOOKUP($A25,[6]HISTOJUIN23!$A$7:$AU$45,8,0)</f>
        <v>BANQUE</v>
      </c>
      <c r="H25" s="7">
        <f>VLOOKUP($A25,[6]HISTOJUIN23!$A$6:$AU$45,35,0)</f>
        <v>0</v>
      </c>
      <c r="I25" s="7">
        <f>VLOOKUP($A25,[6]HISTOJUIN23!$A$7:$AU$45,38,0)</f>
        <v>0</v>
      </c>
      <c r="J25" s="7">
        <f>IF(I25=0,0,VLOOKUP($A25,[6]HISTOJUIN23!$A$7:$AU$45,42,0))</f>
        <v>0</v>
      </c>
      <c r="K25" s="7">
        <f>VLOOKUP($A25,[6]HISTOJUIN23!$A$7:$AU$45,41,0)</f>
        <v>0</v>
      </c>
      <c r="L25" s="7">
        <f>TONTMAI23!H25+TONTMAI23!I25</f>
        <v>0</v>
      </c>
      <c r="M25" s="7">
        <f>VLOOKUP($A25,[6]HISTOJUIN23!$A$7:$AU$45,16,0)</f>
        <v>0</v>
      </c>
      <c r="N25" s="7" t="str">
        <f>IF(M25&lt;&gt;0,VLOOKUP($A25,[6]HISTOJUIN23!$A$7:$AU$45,8,0),"ECHEC")</f>
        <v>ECHEC</v>
      </c>
      <c r="O25" s="7">
        <f>IF(R25=0,0,VLOOKUP($A25,[6]HISTOJUIN23!$A$7:$AU$45,32,0))</f>
        <v>0</v>
      </c>
      <c r="P25" s="7">
        <f>VLOOKUP($A25,[6]HISTOJUIN23!$A$7:$AU$45,33,0)</f>
        <v>0</v>
      </c>
      <c r="Q25" s="7">
        <f t="shared" si="0"/>
        <v>0</v>
      </c>
      <c r="R25" s="7">
        <f>VLOOKUP($A25,[6]HISTOJUIN23!$A$7:$AU$45,29,0)</f>
        <v>0</v>
      </c>
    </row>
    <row r="26" spans="1:18" x14ac:dyDescent="0.25">
      <c r="A26" s="1" t="s">
        <v>86</v>
      </c>
      <c r="B26" s="7">
        <f>IF(D26=0,0,VLOOKUP($A26,[6]HISTOJUIN23!$A$6:$BO$40,10,0))</f>
        <v>1</v>
      </c>
      <c r="C26" s="1" t="str">
        <f>VLOOKUP(A26,[7]LISTADHERENT!A$5:H$60,3,0)</f>
        <v>NOUBE ETIENNE</v>
      </c>
      <c r="D26" s="7">
        <f t="shared" si="1"/>
        <v>25000</v>
      </c>
      <c r="E26" s="7">
        <f>D26+VLOOKUP($A26,[6]HISTOJUIN23!$A$7:$AU$40,45,0)+F26</f>
        <v>45000</v>
      </c>
      <c r="F26" s="7">
        <f>VLOOKUP($A26,[6]HISTOJUIN23!$A$7:$AU$45,7,0)</f>
        <v>0</v>
      </c>
      <c r="G26" s="7" t="str">
        <f>VLOOKUP($A26,[6]HISTOJUIN23!$A$7:$AU$45,8,0)</f>
        <v>BANQUE</v>
      </c>
      <c r="H26" s="7">
        <f>VLOOKUP($A26,[6]HISTOJUIN23!$A$6:$AU$45,35,0)</f>
        <v>0</v>
      </c>
      <c r="I26" s="7">
        <f>VLOOKUP($A26,[6]HISTOJUIN23!$A$7:$AU$45,38,0)</f>
        <v>0</v>
      </c>
      <c r="J26" s="7">
        <f>IF(I26=0,0,VLOOKUP($A26,[6]HISTOJUIN23!$A$7:$AU$45,42,0))</f>
        <v>0</v>
      </c>
      <c r="K26" s="7">
        <f>VLOOKUP($A26,[6]HISTOJUIN23!$A$7:$AU$45,41,0)</f>
        <v>0</v>
      </c>
      <c r="L26" s="7">
        <f>TONTMAI23!H26+TONTMAI23!I26</f>
        <v>0</v>
      </c>
      <c r="M26" s="7">
        <f>VLOOKUP($A26,[6]HISTOJUIN23!$A$7:$AU$45,16,0)</f>
        <v>0</v>
      </c>
      <c r="N26" s="7" t="str">
        <f>IF(M26&lt;&gt;0,VLOOKUP($A26,[6]HISTOJUIN23!$A$7:$AU$45,8,0),"ECHEC")</f>
        <v>ECHEC</v>
      </c>
      <c r="O26" s="7">
        <f>IF(R26=0,0,VLOOKUP($A26,[6]HISTOJUIN23!$A$7:$AU$45,32,0))</f>
        <v>0</v>
      </c>
      <c r="P26" s="7">
        <f>VLOOKUP($A26,[6]HISTOJUIN23!$A$7:$AU$45,33,0)</f>
        <v>0</v>
      </c>
      <c r="Q26" s="7">
        <f t="shared" si="0"/>
        <v>0</v>
      </c>
      <c r="R26" s="7">
        <f>VLOOKUP($A26,[6]HISTOJUIN23!$A$7:$AU$45,29,0)</f>
        <v>0</v>
      </c>
    </row>
    <row r="27" spans="1:18" x14ac:dyDescent="0.25">
      <c r="A27" s="1" t="s">
        <v>24</v>
      </c>
      <c r="B27" s="7">
        <f>IF(D27=0,0,VLOOKUP($A27,[6]HISTOJUIN23!$A$6:$BO$40,10,0))</f>
        <v>1</v>
      </c>
      <c r="C27" s="1" t="str">
        <f>VLOOKUP(A27,[7]LISTADHERENT!A$5:H$60,3,0)</f>
        <v>PATEGO NJOSSU GUSTAVE</v>
      </c>
      <c r="D27" s="7">
        <f t="shared" si="1"/>
        <v>25000</v>
      </c>
      <c r="E27" s="7">
        <f>D27+VLOOKUP($A27,[6]HISTOJUIN23!$A$7:$AU$40,45,0)+F27</f>
        <v>40000</v>
      </c>
      <c r="F27" s="7">
        <f>VLOOKUP($A27,[6]HISTOJUIN23!$A$7:$AU$45,7,0)</f>
        <v>0</v>
      </c>
      <c r="G27" s="7" t="str">
        <f>VLOOKUP($A27,[6]HISTOJUIN23!$A$7:$AU$45,8,0)</f>
        <v>BANQUE</v>
      </c>
      <c r="H27" s="7">
        <f>VLOOKUP($A27,[6]HISTOJUIN23!$A$6:$AU$45,35,0)</f>
        <v>0</v>
      </c>
      <c r="I27" s="7">
        <f>VLOOKUP($A27,[6]HISTOJUIN23!$A$7:$AU$45,38,0)</f>
        <v>0</v>
      </c>
      <c r="J27" s="7">
        <f>IF(I27=0,0,VLOOKUP($A27,[6]HISTOJUIN23!$A$7:$AU$45,42,0))</f>
        <v>0</v>
      </c>
      <c r="K27" s="7">
        <f>VLOOKUP($A27,[6]HISTOJUIN23!$A$7:$AU$45,41,0)</f>
        <v>0</v>
      </c>
      <c r="L27" s="7">
        <f>TONTMAI23!H27+TONTMAI23!I27</f>
        <v>0</v>
      </c>
      <c r="M27" s="7">
        <f>VLOOKUP($A27,[6]HISTOJUIN23!$A$7:$AU$45,16,0)</f>
        <v>0</v>
      </c>
      <c r="N27" s="7" t="str">
        <f>IF(M27&lt;&gt;0,VLOOKUP($A27,[6]HISTOJUIN23!$A$7:$AU$45,8,0),"ECHEC")</f>
        <v>ECHEC</v>
      </c>
      <c r="O27" s="7">
        <f>IF(R27=0,0,VLOOKUP($A27,[6]HISTOJUIN23!$A$7:$AU$45,32,0))</f>
        <v>0</v>
      </c>
      <c r="P27" s="7">
        <f>VLOOKUP($A27,[6]HISTOJUIN23!$A$7:$AU$45,33,0)</f>
        <v>0</v>
      </c>
      <c r="Q27" s="7">
        <f t="shared" si="0"/>
        <v>0</v>
      </c>
      <c r="R27" s="7">
        <f>VLOOKUP($A27,[6]HISTOJUIN23!$A$7:$AU$45,29,0)</f>
        <v>0</v>
      </c>
    </row>
    <row r="28" spans="1:18" x14ac:dyDescent="0.25">
      <c r="A28" s="1" t="s">
        <v>87</v>
      </c>
      <c r="B28" s="7">
        <f>IF(D28=0,0,VLOOKUP($A28,[6]HISTOJUIN23!$A$6:$BO$40,10,0))</f>
        <v>1</v>
      </c>
      <c r="C28" s="1" t="str">
        <f>VLOOKUP(A28,[7]LISTADHERENT!A$5:H$60,3,0)</f>
        <v>SEUMO POLYCARPE</v>
      </c>
      <c r="D28" s="7">
        <f t="shared" si="1"/>
        <v>25000</v>
      </c>
      <c r="E28" s="7">
        <f>D28+VLOOKUP($A28,[6]HISTOJUIN23!$A$7:$AU$40,45,0)+F28</f>
        <v>40000</v>
      </c>
      <c r="F28" s="7">
        <f>VLOOKUP($A28,[6]HISTOJUIN23!$A$7:$AU$45,7,0)</f>
        <v>0</v>
      </c>
      <c r="G28" s="7" t="str">
        <f>VLOOKUP($A28,[6]HISTOJUIN23!$A$7:$AU$45,8,0)</f>
        <v>BANQUE</v>
      </c>
      <c r="H28" s="7">
        <f>VLOOKUP($A28,[6]HISTOJUIN23!$A$6:$AU$45,35,0)</f>
        <v>0</v>
      </c>
      <c r="I28" s="7">
        <f>VLOOKUP($A28,[6]HISTOJUIN23!$A$7:$AU$45,38,0)</f>
        <v>0</v>
      </c>
      <c r="J28" s="7">
        <f>IF(I28=0,0,VLOOKUP($A28,[6]HISTOJUIN23!$A$7:$AU$45,42,0))</f>
        <v>0</v>
      </c>
      <c r="K28" s="7">
        <f>VLOOKUP($A28,[6]HISTOJUIN23!$A$7:$AU$45,41,0)</f>
        <v>0</v>
      </c>
      <c r="L28" s="7">
        <f>TONTMAI23!H28+TONTMAI23!I28</f>
        <v>0</v>
      </c>
      <c r="M28" s="7">
        <f>VLOOKUP($A28,[6]HISTOJUIN23!$A$7:$AU$45,16,0)</f>
        <v>0</v>
      </c>
      <c r="N28" s="7" t="str">
        <f>IF(M28&lt;&gt;0,VLOOKUP($A28,[6]HISTOJUIN23!$A$7:$AU$45,8,0),"ECHEC")</f>
        <v>ECHEC</v>
      </c>
      <c r="O28" s="7">
        <f>IF(R28=0,0,VLOOKUP($A28,[6]HISTOJUIN23!$A$7:$AU$45,32,0))</f>
        <v>0</v>
      </c>
      <c r="P28" s="7">
        <f>VLOOKUP($A28,[6]HISTOJUIN23!$A$7:$AU$45,33,0)</f>
        <v>0</v>
      </c>
      <c r="Q28" s="7">
        <f t="shared" si="0"/>
        <v>0</v>
      </c>
      <c r="R28" s="7">
        <f>VLOOKUP($A28,[6]HISTOJUIN23!$A$7:$AU$45,29,0)</f>
        <v>0</v>
      </c>
    </row>
    <row r="29" spans="1:18" x14ac:dyDescent="0.25">
      <c r="A29" s="1" t="s">
        <v>47</v>
      </c>
      <c r="B29" s="7">
        <f>IF(D29=0,0,VLOOKUP($A29,[6]HISTOJUIN23!$A$6:$BO$40,10,0))</f>
        <v>1</v>
      </c>
      <c r="C29" s="1" t="str">
        <f>VLOOKUP(A29,[7]LISTADHERENT!A$5:H$60,3,0)</f>
        <v>SIME BRICE</v>
      </c>
      <c r="D29" s="7">
        <f t="shared" si="1"/>
        <v>25000</v>
      </c>
      <c r="E29" s="7">
        <f>D29+VLOOKUP($A29,[6]HISTOJUIN23!$A$7:$AU$40,45,0)+F29</f>
        <v>40000</v>
      </c>
      <c r="F29" s="7">
        <f>VLOOKUP($A29,[6]HISTOJUIN23!$A$7:$AU$45,7,0)</f>
        <v>0</v>
      </c>
      <c r="G29" s="7" t="str">
        <f>VLOOKUP($A29,[6]HISTOJUIN23!$A$7:$AU$45,8,0)</f>
        <v>BANQUE</v>
      </c>
      <c r="H29" s="7">
        <f>VLOOKUP($A29,[6]HISTOJUIN23!$A$6:$AU$45,35,0)</f>
        <v>0</v>
      </c>
      <c r="I29" s="7">
        <f>VLOOKUP($A29,[6]HISTOJUIN23!$A$7:$AU$45,38,0)</f>
        <v>0</v>
      </c>
      <c r="J29" s="7">
        <f>IF(I29=0,0,VLOOKUP($A29,[6]HISTOJUIN23!$A$7:$AU$45,42,0))</f>
        <v>0</v>
      </c>
      <c r="K29" s="7">
        <f>VLOOKUP($A29,[6]HISTOJUIN23!$A$7:$AU$45,41,0)</f>
        <v>0</v>
      </c>
      <c r="L29" s="7">
        <f>TONTMAI23!H29+TONTMAI23!I29</f>
        <v>0</v>
      </c>
      <c r="M29" s="7">
        <f>VLOOKUP($A29,[6]HISTOJUIN23!$A$7:$AU$45,16,0)</f>
        <v>0</v>
      </c>
      <c r="N29" s="7" t="str">
        <f>IF(M29&lt;&gt;0,VLOOKUP($A29,[6]HISTOJUIN23!$A$7:$AU$45,8,0),"ECHEC")</f>
        <v>ECHEC</v>
      </c>
      <c r="O29" s="7">
        <f>IF(R29=0,0,VLOOKUP($A29,[6]HISTOJUIN23!$A$7:$AU$45,32,0))</f>
        <v>0</v>
      </c>
      <c r="P29" s="7">
        <f>VLOOKUP($A29,[6]HISTOJUIN23!$A$7:$AU$45,33,0)</f>
        <v>0</v>
      </c>
      <c r="Q29" s="7">
        <f t="shared" si="0"/>
        <v>0</v>
      </c>
      <c r="R29" s="7">
        <f>VLOOKUP($A29,[6]HISTOJUIN23!$A$7:$AU$45,29,0)</f>
        <v>0</v>
      </c>
    </row>
    <row r="30" spans="1:18" x14ac:dyDescent="0.25">
      <c r="A30" s="1" t="s">
        <v>25</v>
      </c>
      <c r="B30" s="7">
        <f>IF(D30=0,0,VLOOKUP($A30,[6]HISTOJUIN23!$A$6:$BO$40,10,0))</f>
        <v>1</v>
      </c>
      <c r="C30" s="1" t="str">
        <f>VLOOKUP(A30,[7]LISTADHERENT!A$5:H$60,3,0)</f>
        <v>SIMO PIERRE</v>
      </c>
      <c r="D30" s="7">
        <f t="shared" si="1"/>
        <v>25000</v>
      </c>
      <c r="E30" s="7">
        <f>D30+VLOOKUP($A30,[6]HISTOJUIN23!$A$7:$AU$40,45,0)+F30</f>
        <v>40000</v>
      </c>
      <c r="F30" s="7">
        <f>VLOOKUP($A30,[6]HISTOJUIN23!$A$7:$AU$45,7,0)</f>
        <v>0</v>
      </c>
      <c r="G30" s="7" t="str">
        <f>VLOOKUP($A30,[6]HISTOJUIN23!$A$7:$AU$45,8,0)</f>
        <v>BANQUE</v>
      </c>
      <c r="H30" s="7">
        <f>VLOOKUP($A30,[6]HISTOJUIN23!$A$6:$AU$45,35,0)</f>
        <v>0</v>
      </c>
      <c r="I30" s="7">
        <f>VLOOKUP($A30,[6]HISTOJUIN23!$A$7:$AU$45,38,0)</f>
        <v>0</v>
      </c>
      <c r="J30" s="7">
        <f>IF(I30=0,0,VLOOKUP($A30,[6]HISTOJUIN23!$A$7:$AU$45,42,0))</f>
        <v>0</v>
      </c>
      <c r="K30" s="7">
        <f>VLOOKUP($A30,[6]HISTOJUIN23!$A$7:$AU$45,41,0)</f>
        <v>0</v>
      </c>
      <c r="L30" s="7">
        <f>TONTMAI23!H30+TONTMAI23!I30</f>
        <v>0</v>
      </c>
      <c r="M30" s="7">
        <f>VLOOKUP($A30,[6]HISTOJUIN23!$A$7:$AU$45,16,0)</f>
        <v>0</v>
      </c>
      <c r="N30" s="7" t="str">
        <f>IF(M30&lt;&gt;0,VLOOKUP($A30,[6]HISTOJUIN23!$A$7:$AU$45,8,0),"ECHEC")</f>
        <v>ECHEC</v>
      </c>
      <c r="O30" s="7">
        <f>IF(R30=0,0,VLOOKUP($A30,[6]HISTOJUIN23!$A$7:$AU$45,32,0))</f>
        <v>0</v>
      </c>
      <c r="P30" s="7">
        <f>VLOOKUP($A30,[6]HISTOJUIN23!$A$7:$AU$45,33,0)</f>
        <v>0</v>
      </c>
      <c r="Q30" s="7">
        <f t="shared" si="0"/>
        <v>0</v>
      </c>
      <c r="R30" s="7">
        <f>VLOOKUP($A30,[6]HISTOJUIN23!$A$7:$AU$45,29,0)</f>
        <v>0</v>
      </c>
    </row>
    <row r="31" spans="1:18" x14ac:dyDescent="0.25">
      <c r="A31" s="1" t="s">
        <v>27</v>
      </c>
      <c r="B31" s="7">
        <f>IF(D31=0,0,VLOOKUP($A31,[6]HISTOJUIN23!$A$6:$BO$40,10,0))</f>
        <v>1</v>
      </c>
      <c r="C31" s="1" t="str">
        <f>VLOOKUP(A31,[7]LISTADHERENT!A$5:H$60,3,0)</f>
        <v>TCHOUAMOU MATHIEU</v>
      </c>
      <c r="D31" s="7">
        <f t="shared" si="1"/>
        <v>25000</v>
      </c>
      <c r="E31" s="7">
        <f>D31+VLOOKUP($A31,[6]HISTOJUIN23!$A$7:$AU$40,45,0)+F31</f>
        <v>40000</v>
      </c>
      <c r="F31" s="7">
        <f>VLOOKUP($A31,[6]HISTOJUIN23!$A$7:$AU$45,7,0)</f>
        <v>0</v>
      </c>
      <c r="G31" s="7" t="str">
        <f>VLOOKUP($A31,[6]HISTOJUIN23!$A$7:$AU$45,8,0)</f>
        <v>BANQUE</v>
      </c>
      <c r="H31" s="7">
        <f>VLOOKUP($A31,[6]HISTOJUIN23!$A$6:$AU$45,35,0)</f>
        <v>0</v>
      </c>
      <c r="I31" s="7">
        <f>VLOOKUP($A31,[6]HISTOJUIN23!$A$7:$AU$45,38,0)</f>
        <v>0</v>
      </c>
      <c r="J31" s="7">
        <f>IF(I31=0,0,VLOOKUP($A31,[6]HISTOJUIN23!$A$7:$AU$45,42,0))</f>
        <v>0</v>
      </c>
      <c r="K31" s="7">
        <f>VLOOKUP($A31,[6]HISTOJUIN23!$A$7:$AU$45,41,0)</f>
        <v>0</v>
      </c>
      <c r="L31" s="7">
        <f>TONTMAI23!H31+TONTMAI23!I31</f>
        <v>0</v>
      </c>
      <c r="M31" s="7">
        <f>VLOOKUP($A31,[6]HISTOJUIN23!$A$7:$AU$45,16,0)</f>
        <v>0</v>
      </c>
      <c r="N31" s="7" t="str">
        <f>IF(M31&lt;&gt;0,VLOOKUP($A31,[6]HISTOJUIN23!$A$7:$AU$45,8,0),"ECHEC")</f>
        <v>ECHEC</v>
      </c>
      <c r="O31" s="7">
        <f>IF(R31=0,0,VLOOKUP($A31,[6]HISTOJUIN23!$A$7:$AU$45,32,0))</f>
        <v>0</v>
      </c>
      <c r="P31" s="7">
        <f>VLOOKUP($A31,[6]HISTOJUIN23!$A$7:$AU$45,33,0)</f>
        <v>0</v>
      </c>
      <c r="Q31" s="7">
        <f t="shared" si="0"/>
        <v>0</v>
      </c>
      <c r="R31" s="7">
        <f>VLOOKUP($A31,[6]HISTOJUIN23!$A$7:$AU$45,29,0)</f>
        <v>0</v>
      </c>
    </row>
    <row r="32" spans="1:18" x14ac:dyDescent="0.25">
      <c r="A32" s="1" t="s">
        <v>88</v>
      </c>
      <c r="B32" s="7">
        <f>IF(D32=0,0,VLOOKUP($A32,[6]HISTOJUIN23!$A$6:$BO$40,10,0))</f>
        <v>1</v>
      </c>
      <c r="C32" s="1" t="str">
        <f>VLOOKUP(A32,[7]LISTADHERENT!A$5:H$60,3,0)</f>
        <v>TCHOUTOU NANA CLAUDE</v>
      </c>
      <c r="D32" s="7">
        <f t="shared" si="1"/>
        <v>25000</v>
      </c>
      <c r="E32" s="7">
        <f>D32+VLOOKUP($A32,[6]HISTOJUIN23!$A$7:$AU$40,45,0)+F32</f>
        <v>40000</v>
      </c>
      <c r="F32" s="7">
        <f>VLOOKUP($A32,[6]HISTOJUIN23!$A$7:$AU$45,7,0)</f>
        <v>0</v>
      </c>
      <c r="G32" s="7" t="str">
        <f>VLOOKUP($A32,[6]HISTOJUIN23!$A$7:$AU$45,8,0)</f>
        <v>BANQUE</v>
      </c>
      <c r="H32" s="7">
        <f>VLOOKUP($A32,[6]HISTOJUIN23!$A$6:$AU$45,35,0)</f>
        <v>0</v>
      </c>
      <c r="I32" s="7">
        <f>VLOOKUP($A32,[6]HISTOJUIN23!$A$7:$AU$45,38,0)</f>
        <v>0</v>
      </c>
      <c r="J32" s="7">
        <f>IF(I32=0,0,VLOOKUP($A32,[6]HISTOJUIN23!$A$7:$AU$45,42,0))</f>
        <v>0</v>
      </c>
      <c r="K32" s="7">
        <f>VLOOKUP($A32,[6]HISTOJUIN23!$A$7:$AU$45,41,0)</f>
        <v>0</v>
      </c>
      <c r="L32" s="7">
        <f>TONTMAI23!H32+TONTMAI23!I32</f>
        <v>0</v>
      </c>
      <c r="M32" s="7">
        <f>VLOOKUP($A32,[6]HISTOJUIN23!$A$7:$AU$45,16,0)</f>
        <v>0</v>
      </c>
      <c r="N32" s="7" t="str">
        <f>IF(M32&lt;&gt;0,VLOOKUP($A32,[6]HISTOJUIN23!$A$7:$AU$45,8,0),"ECHEC")</f>
        <v>ECHEC</v>
      </c>
      <c r="O32" s="7">
        <f>IF(R32=0,0,VLOOKUP($A32,[6]HISTOJUIN23!$A$7:$AU$45,32,0))</f>
        <v>0</v>
      </c>
      <c r="P32" s="7">
        <f>VLOOKUP($A32,[6]HISTOJUIN23!$A$7:$AU$45,33,0)</f>
        <v>0</v>
      </c>
      <c r="Q32" s="7">
        <f t="shared" si="0"/>
        <v>0</v>
      </c>
      <c r="R32" s="7">
        <f>VLOOKUP($A32,[6]HISTOJUIN23!$A$7:$AU$45,29,0)</f>
        <v>0</v>
      </c>
    </row>
    <row r="33" spans="1:18" x14ac:dyDescent="0.25">
      <c r="A33" s="1" t="s">
        <v>90</v>
      </c>
      <c r="B33" s="7">
        <f>IF(D33=0,0,VLOOKUP($A33,[6]HISTOJUIN23!$A$6:$BO$40,10,0))</f>
        <v>1</v>
      </c>
      <c r="C33" s="1" t="str">
        <f>VLOOKUP(A33,[7]LISTADHERENT!A$5:H$60,3,0)</f>
        <v>YANTCHOU GERVAIS</v>
      </c>
      <c r="D33" s="7">
        <f t="shared" si="1"/>
        <v>25000</v>
      </c>
      <c r="E33" s="7">
        <f>D33+VLOOKUP($A33,[6]HISTOJUIN23!$A$7:$AU$40,45,0)+F33</f>
        <v>100000</v>
      </c>
      <c r="F33" s="7">
        <f>VLOOKUP($A33,[6]HISTOJUIN23!$A$7:$AU$45,7,0)</f>
        <v>0</v>
      </c>
      <c r="G33" s="7" t="str">
        <f>VLOOKUP($A33,[6]HISTOJUIN23!$A$7:$AU$45,8,0)</f>
        <v>BANQUE</v>
      </c>
      <c r="H33" s="7">
        <f>VLOOKUP($A33,[6]HISTOJUIN23!$A$6:$AU$45,35,0)</f>
        <v>0</v>
      </c>
      <c r="I33" s="7">
        <f>VLOOKUP($A33,[6]HISTOJUIN23!$A$7:$AU$45,38,0)</f>
        <v>0</v>
      </c>
      <c r="J33" s="7">
        <f>IF(I33=0,0,VLOOKUP($A33,[6]HISTOJUIN23!$A$7:$AU$45,42,0))</f>
        <v>0</v>
      </c>
      <c r="K33" s="7">
        <f>VLOOKUP($A33,[6]HISTOJUIN23!$A$7:$AU$45,41,0)</f>
        <v>0</v>
      </c>
      <c r="L33" s="7">
        <f>TONTMAI23!H33+TONTMAI23!I33</f>
        <v>0</v>
      </c>
      <c r="M33" s="7">
        <f>VLOOKUP($A33,[6]HISTOJUIN23!$A$7:$AU$45,16,0)</f>
        <v>0</v>
      </c>
      <c r="N33" s="7" t="str">
        <f>IF(M33&lt;&gt;0,VLOOKUP($A33,[6]HISTOJUIN23!$A$7:$AU$45,8,0),"ECHEC")</f>
        <v>ECHEC</v>
      </c>
      <c r="O33" s="7">
        <f>IF(R33=0,0,VLOOKUP($A33,[6]HISTOJUIN23!$A$7:$AU$45,32,0))</f>
        <v>0</v>
      </c>
      <c r="P33" s="7">
        <f>VLOOKUP($A33,[6]HISTOJUIN23!$A$7:$AU$45,33,0)</f>
        <v>0</v>
      </c>
      <c r="Q33" s="7">
        <f t="shared" si="0"/>
        <v>0</v>
      </c>
      <c r="R33" s="7">
        <f>VLOOKUP($A33,[6]HISTOJUIN23!$A$7:$AU$45,29,0)</f>
        <v>0</v>
      </c>
    </row>
    <row r="34" spans="1:18" x14ac:dyDescent="0.25">
      <c r="A34" s="1" t="s">
        <v>28</v>
      </c>
      <c r="B34" s="7">
        <f>IF(D34=0,0,VLOOKUP($A34,[6]HISTOJUIN23!$A$6:$BO$40,10,0))</f>
        <v>1</v>
      </c>
      <c r="C34" s="1" t="str">
        <f>VLOOKUP(A34,[7]LISTADHERENT!A$5:H$60,3,0)</f>
        <v>YEPMOU JEAN JACQUES</v>
      </c>
      <c r="D34" s="7">
        <f t="shared" si="1"/>
        <v>25000</v>
      </c>
      <c r="E34" s="7">
        <f>D34+VLOOKUP($A34,[6]HISTOJUIN23!$A$7:$AU$40,45,0)+F34</f>
        <v>40000</v>
      </c>
      <c r="F34" s="7">
        <f>VLOOKUP($A34,[6]HISTOJUIN23!$A$7:$AU$45,7,0)</f>
        <v>0</v>
      </c>
      <c r="G34" s="7" t="str">
        <f>VLOOKUP($A34,[6]HISTOJUIN23!$A$7:$AU$45,8,0)</f>
        <v>BANQUE</v>
      </c>
      <c r="H34" s="7">
        <f>VLOOKUP($A34,[6]HISTOJUIN23!$A$6:$AU$45,35,0)</f>
        <v>0</v>
      </c>
      <c r="I34" s="7">
        <f>VLOOKUP($A34,[6]HISTOJUIN23!$A$7:$AU$45,38,0)</f>
        <v>0</v>
      </c>
      <c r="J34" s="7">
        <f>IF(I34=0,0,VLOOKUP($A34,[6]HISTOJUIN23!$A$7:$AU$45,42,0))</f>
        <v>0</v>
      </c>
      <c r="K34" s="7">
        <f>VLOOKUP($A34,[6]HISTOJUIN23!$A$7:$AU$45,41,0)</f>
        <v>0</v>
      </c>
      <c r="L34" s="7">
        <f>TONTMAI23!H34+TONTMAI23!I34</f>
        <v>0</v>
      </c>
      <c r="M34" s="7">
        <f>VLOOKUP($A34,[6]HISTOJUIN23!$A$7:$AU$45,16,0)</f>
        <v>0</v>
      </c>
      <c r="N34" s="7" t="str">
        <f>IF(M34&lt;&gt;0,VLOOKUP($A34,[6]HISTOJUIN23!$A$7:$AU$45,8,0),"ECHEC")</f>
        <v>ECHEC</v>
      </c>
      <c r="O34" s="7">
        <f>IF(R34=0,0,VLOOKUP($A34,[6]HISTOJUIN23!$A$7:$AU$45,32,0))</f>
        <v>0</v>
      </c>
      <c r="P34" s="7">
        <f>VLOOKUP($A34,[6]HISTOJUIN23!$A$7:$AU$45,33,0)</f>
        <v>0</v>
      </c>
      <c r="Q34" s="7">
        <f t="shared" si="0"/>
        <v>0</v>
      </c>
      <c r="R34" s="7">
        <f>VLOOKUP($A34,[6]HISTOJUIN23!$A$7:$AU$45,29,0)</f>
        <v>0</v>
      </c>
    </row>
    <row r="35" spans="1:18" x14ac:dyDescent="0.25">
      <c r="A35" s="1" t="s">
        <v>29</v>
      </c>
      <c r="B35" s="7">
        <f>IF(D35=0,0,VLOOKUP($A35,[6]HISTOJUIN23!$A$6:$BO$40,10,0))</f>
        <v>1</v>
      </c>
      <c r="C35" s="1" t="str">
        <f>VLOOKUP(A35,[7]LISTADHERENT!A$5:H$60,3,0)</f>
        <v>YOUMBI EMMANUEL</v>
      </c>
      <c r="D35" s="7">
        <f t="shared" si="1"/>
        <v>25000</v>
      </c>
      <c r="E35" s="7">
        <f>D35+VLOOKUP($A35,[6]HISTOJUIN23!$A$7:$AU$40,45,0)+F35</f>
        <v>40000</v>
      </c>
      <c r="F35" s="7">
        <f>VLOOKUP($A35,[6]HISTOJUIN23!$A$7:$AU$45,7,0)</f>
        <v>0</v>
      </c>
      <c r="G35" s="7" t="str">
        <f>VLOOKUP($A35,[6]HISTOJUIN23!$A$7:$AU$45,8,0)</f>
        <v>BANQUE</v>
      </c>
      <c r="H35" s="7">
        <f>VLOOKUP($A35,[6]HISTOJUIN23!$A$6:$AU$45,35,0)</f>
        <v>0</v>
      </c>
      <c r="I35" s="7">
        <f>VLOOKUP($A35,[6]HISTOJUIN23!$A$7:$AU$45,38,0)</f>
        <v>0</v>
      </c>
      <c r="J35" s="7">
        <f>IF(I35=0,0,VLOOKUP($A35,[6]HISTOJUIN23!$A$7:$AU$45,42,0))</f>
        <v>0</v>
      </c>
      <c r="K35" s="7">
        <f>VLOOKUP($A35,[6]HISTOJUIN23!$A$7:$AU$45,41,0)</f>
        <v>0</v>
      </c>
      <c r="L35" s="7">
        <f>TONTMAI23!H35+TONTMAI23!I35</f>
        <v>0</v>
      </c>
      <c r="M35" s="7">
        <f>VLOOKUP($A35,[6]HISTOJUIN23!$A$7:$AU$45,16,0)</f>
        <v>0</v>
      </c>
      <c r="N35" s="7" t="str">
        <f>IF(M35&lt;&gt;0,VLOOKUP($A35,[6]HISTOJUIN23!$A$7:$AU$45,8,0),"ECHEC")</f>
        <v>ECHEC</v>
      </c>
      <c r="O35" s="7">
        <f>IF(R35=0,0,VLOOKUP($A35,[6]HISTOJUIN23!$A$7:$AU$45,32,0))</f>
        <v>0</v>
      </c>
      <c r="P35" s="7">
        <f>VLOOKUP($A35,[6]HISTOJUIN23!$A$7:$AU$45,33,0)</f>
        <v>0</v>
      </c>
      <c r="Q35" s="7">
        <f t="shared" si="0"/>
        <v>0</v>
      </c>
      <c r="R35" s="7">
        <f>VLOOKUP($A35,[6]HISTOJUIN23!$A$7:$AU$45,29,0)</f>
        <v>0</v>
      </c>
    </row>
    <row r="36" spans="1:18" x14ac:dyDescent="0.25">
      <c r="A36" s="1"/>
    </row>
    <row r="37" spans="1:18" ht="18" x14ac:dyDescent="0.25">
      <c r="A37" s="1" t="s">
        <v>84</v>
      </c>
      <c r="B37" s="8">
        <f>SUM(B6:B36)</f>
        <v>30</v>
      </c>
      <c r="I37" s="9"/>
    </row>
    <row r="38" spans="1:18" ht="18" x14ac:dyDescent="0.25">
      <c r="A38" s="1" t="s">
        <v>83</v>
      </c>
      <c r="B38" s="16">
        <f>COUNT(D6:D35)</f>
        <v>30</v>
      </c>
      <c r="C38" s="8"/>
      <c r="D38" s="8">
        <f>SUM(D6:D37)</f>
        <v>750000</v>
      </c>
      <c r="E38" s="8">
        <f>SUM(E6:E37)</f>
        <v>1359500</v>
      </c>
      <c r="F38" s="8">
        <f>SUM(F6:F37)</f>
        <v>3000</v>
      </c>
      <c r="G38" s="8"/>
      <c r="H38" s="8">
        <f t="shared" ref="H38:R38" si="2">SUM(H6:H37)</f>
        <v>150000</v>
      </c>
      <c r="I38" s="8">
        <f t="shared" si="2"/>
        <v>2500</v>
      </c>
      <c r="J38" s="8"/>
      <c r="K38" s="8"/>
      <c r="L38" s="8">
        <f t="shared" si="2"/>
        <v>31000</v>
      </c>
      <c r="M38" s="8">
        <f t="shared" si="2"/>
        <v>31000</v>
      </c>
      <c r="N38" s="8">
        <f t="shared" si="2"/>
        <v>0</v>
      </c>
      <c r="O38" s="8">
        <f t="shared" si="2"/>
        <v>0</v>
      </c>
      <c r="P38" s="8">
        <f t="shared" si="2"/>
        <v>0</v>
      </c>
      <c r="Q38" s="8">
        <f t="shared" si="2"/>
        <v>590500</v>
      </c>
      <c r="R38" s="8">
        <f t="shared" si="2"/>
        <v>9500</v>
      </c>
    </row>
    <row r="39" spans="1:18" s="2" customFormat="1" x14ac:dyDescent="0.25">
      <c r="B39"/>
      <c r="C39"/>
      <c r="D39"/>
      <c r="E39"/>
      <c r="F39"/>
      <c r="G39"/>
      <c r="H39"/>
      <c r="I39" s="9"/>
      <c r="J39" s="3"/>
      <c r="K39" s="3"/>
      <c r="L39" s="3"/>
      <c r="N39" s="4" t="s">
        <v>76</v>
      </c>
      <c r="O39" s="4" t="s">
        <v>85</v>
      </c>
      <c r="P39" s="3"/>
    </row>
    <row r="40" spans="1:18" s="2" customFormat="1" ht="29.25" x14ac:dyDescent="0.25">
      <c r="D40" s="4" t="s">
        <v>5</v>
      </c>
      <c r="E40" s="4" t="s">
        <v>7</v>
      </c>
      <c r="F40"/>
      <c r="G40" s="4" t="s">
        <v>36</v>
      </c>
      <c r="H40" s="4" t="s">
        <v>40</v>
      </c>
      <c r="I40" s="4" t="s">
        <v>42</v>
      </c>
      <c r="J40" s="4" t="s">
        <v>43</v>
      </c>
      <c r="K40" s="4"/>
      <c r="L40" s="8" t="s">
        <v>49</v>
      </c>
      <c r="M40" s="8">
        <f>D44+G44+R38+TONTJANV23!O45</f>
        <v>790500</v>
      </c>
      <c r="N40" s="4"/>
      <c r="O40"/>
      <c r="P40" s="4"/>
    </row>
    <row r="41" spans="1:18" s="2" customFormat="1" ht="18" x14ac:dyDescent="0.25">
      <c r="D41" s="8">
        <f>SUMIFS(D6:D37,G6:G37,"ESPECES")</f>
        <v>25000</v>
      </c>
      <c r="E41" s="8">
        <f>SUMIFS(E6:E37,G6:G37,"ESPECES")</f>
        <v>43000</v>
      </c>
      <c r="F41" s="8" t="s">
        <v>32</v>
      </c>
      <c r="G41" s="8">
        <f>SUMIFS(M6:M35,N6:N35,"ESPECES")</f>
        <v>0</v>
      </c>
      <c r="H41" s="8">
        <f>SUMIFS(H6:H37,J6:J37,"ESPECES")</f>
        <v>0</v>
      </c>
      <c r="I41" s="8">
        <f>SUMIFS(Q6:Q37,O6:O37,"ESPECES")</f>
        <v>0</v>
      </c>
      <c r="J41" s="8">
        <f>D41+G41-H41-I41</f>
        <v>25000</v>
      </c>
      <c r="K41" s="8"/>
      <c r="L41" s="8" t="s">
        <v>80</v>
      </c>
      <c r="M41" s="8">
        <f>C3*COUNTIF(Q6:Q37,"&gt;0")</f>
        <v>600000</v>
      </c>
      <c r="N41" s="8">
        <f>D3</f>
        <v>2</v>
      </c>
      <c r="O41" s="8">
        <f>COUNTIF(Q6:Q35,"&gt;0")</f>
        <v>2</v>
      </c>
      <c r="P41" s="8"/>
    </row>
    <row r="42" spans="1:18" s="2" customFormat="1" ht="18" x14ac:dyDescent="0.25">
      <c r="D42" s="8">
        <f>SUMIFS(D6:D37,G6:G37,"BANQUE")</f>
        <v>725000</v>
      </c>
      <c r="E42" s="8">
        <f>SUMIFS(E6:E38,G6:G38,"BANQUE")</f>
        <v>1316500</v>
      </c>
      <c r="F42" s="8" t="s">
        <v>33</v>
      </c>
      <c r="G42" s="8">
        <f>SUMIFS(M6:M35,N6:N35,"BANQUE")</f>
        <v>31000</v>
      </c>
      <c r="H42" s="8">
        <f>SUMIFS(H6:H37,J6:J37,"BANQUE")</f>
        <v>150000</v>
      </c>
      <c r="I42" s="8">
        <f>SUMIFS(Q6:Q37,O6:O37,"BANQUE")</f>
        <v>0</v>
      </c>
      <c r="J42" s="8">
        <f>D42+G42-H42-I42</f>
        <v>606000</v>
      </c>
      <c r="K42" s="8"/>
      <c r="M42" s="8"/>
      <c r="N42" s="8"/>
      <c r="O42" s="8"/>
      <c r="P42" s="8"/>
    </row>
    <row r="43" spans="1:18" s="2" customFormat="1" ht="18" x14ac:dyDescent="0.25">
      <c r="D43" s="8"/>
      <c r="E43" s="8"/>
      <c r="F43" s="8"/>
      <c r="G43" s="8"/>
      <c r="H43" s="8"/>
      <c r="I43" s="8"/>
      <c r="K43" s="8"/>
      <c r="L43" s="8" t="s">
        <v>48</v>
      </c>
      <c r="M43" s="8">
        <f>M40-M41</f>
        <v>190500</v>
      </c>
      <c r="N43" s="8"/>
      <c r="O43" s="8"/>
      <c r="P43" s="8"/>
    </row>
    <row r="44" spans="1:18" s="2" customFormat="1" ht="18" x14ac:dyDescent="0.25">
      <c r="D44" s="8">
        <f>D41+D42</f>
        <v>750000</v>
      </c>
      <c r="E44" s="8">
        <f>E41+E42</f>
        <v>1359500</v>
      </c>
      <c r="F44" s="8" t="s">
        <v>30</v>
      </c>
      <c r="G44" s="8">
        <f>G41+G42</f>
        <v>31000</v>
      </c>
      <c r="H44" s="8">
        <f>H41+H42</f>
        <v>150000</v>
      </c>
      <c r="I44" s="8">
        <f t="shared" ref="I44:J44" si="3">I41+I42</f>
        <v>0</v>
      </c>
      <c r="J44" s="8">
        <f t="shared" si="3"/>
        <v>631000</v>
      </c>
      <c r="K44" s="8"/>
      <c r="M44" s="8"/>
      <c r="N44" s="8"/>
      <c r="O44" s="8"/>
      <c r="P44" s="8"/>
    </row>
    <row r="45" spans="1:18" s="2" customFormat="1" ht="18" x14ac:dyDescent="0.25">
      <c r="D45" s="8"/>
      <c r="E45" s="8"/>
      <c r="F45" s="8" t="s">
        <v>52</v>
      </c>
      <c r="G45"/>
      <c r="H45"/>
      <c r="I45" s="3"/>
      <c r="J45" s="3"/>
      <c r="K45" s="3"/>
      <c r="L45" s="8" t="s">
        <v>51</v>
      </c>
      <c r="M45" s="8">
        <f>M43-H38</f>
        <v>40500</v>
      </c>
      <c r="N45"/>
      <c r="O45" s="8">
        <f>TONTJUIN23!M45</f>
        <v>40500</v>
      </c>
      <c r="P45" s="8" t="s">
        <v>54</v>
      </c>
    </row>
    <row r="46" spans="1:18" s="2" customFormat="1" ht="18" x14ac:dyDescent="0.25">
      <c r="D46" s="4"/>
      <c r="E46" s="4"/>
      <c r="F46" s="8"/>
      <c r="G46"/>
      <c r="H46"/>
      <c r="I46" s="3"/>
      <c r="J46" s="3"/>
      <c r="K46" s="3"/>
      <c r="N46"/>
      <c r="O46" s="3"/>
      <c r="P46" s="3"/>
    </row>
    <row r="47" spans="1:18" ht="18" x14ac:dyDescent="0.25">
      <c r="L47" s="8" t="s">
        <v>56</v>
      </c>
      <c r="M47" s="8">
        <f>COUNTIFS(G6:G36,"ECHEC")*25000</f>
        <v>0</v>
      </c>
      <c r="O47" s="8">
        <f>TONTMAI23!O47+TONTJUIN23!M47</f>
        <v>0</v>
      </c>
      <c r="P47" s="8" t="s">
        <v>54</v>
      </c>
    </row>
    <row r="48" spans="1:18" ht="18" x14ac:dyDescent="0.25">
      <c r="F48" s="2"/>
      <c r="L48" s="8" t="s">
        <v>55</v>
      </c>
      <c r="M48" s="8">
        <f>L38-G44</f>
        <v>0</v>
      </c>
      <c r="O48" s="8">
        <f>TONTMAI23!O48+TONTJUIN23!M48</f>
        <v>0</v>
      </c>
      <c r="P48" s="8" t="s">
        <v>54</v>
      </c>
    </row>
  </sheetData>
  <autoFilter ref="A5:R25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"/>
  <sheetViews>
    <sheetView workbookViewId="0">
      <pane xSplit="3" ySplit="5" topLeftCell="F34" activePane="bottomRight" state="frozen"/>
      <selection activeCell="O49" sqref="O49"/>
      <selection pane="topRight" activeCell="O49" sqref="O49"/>
      <selection pane="bottomLeft" activeCell="O49" sqref="O49"/>
      <selection pane="bottomRight" activeCell="I23" sqref="I23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5" width="21" customWidth="1"/>
    <col min="6" max="6" width="21.42578125" customWidth="1"/>
    <col min="7" max="7" width="16.7109375" customWidth="1"/>
    <col min="8" max="8" width="15" customWidth="1"/>
    <col min="9" max="10" width="17.5703125" style="3" customWidth="1"/>
    <col min="11" max="11" width="16" style="3" customWidth="1"/>
    <col min="12" max="12" width="19.85546875" style="3" customWidth="1"/>
    <col min="13" max="13" width="15.7109375" style="2" customWidth="1"/>
    <col min="14" max="14" width="13" customWidth="1"/>
    <col min="15" max="15" width="14.5703125" bestFit="1" customWidth="1"/>
    <col min="16" max="16" width="15.5703125" style="3" customWidth="1"/>
    <col min="17" max="18" width="18.140625" style="2" customWidth="1"/>
  </cols>
  <sheetData>
    <row r="1" spans="1:18" x14ac:dyDescent="0.2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18" x14ac:dyDescent="0.25">
      <c r="A2" s="1" t="s">
        <v>2</v>
      </c>
      <c r="B2" s="1">
        <v>2023</v>
      </c>
      <c r="C2" s="1" t="s">
        <v>81</v>
      </c>
      <c r="D2" s="1" t="s">
        <v>76</v>
      </c>
      <c r="E2" s="1"/>
      <c r="F2" s="1"/>
      <c r="G2" s="1"/>
      <c r="N2" s="1"/>
      <c r="O2" s="1"/>
    </row>
    <row r="3" spans="1:18" x14ac:dyDescent="0.25">
      <c r="A3" s="1" t="s">
        <v>82</v>
      </c>
      <c r="B3" s="6">
        <v>25000</v>
      </c>
      <c r="C3" s="6">
        <f>B3*12</f>
        <v>300000</v>
      </c>
      <c r="D3" s="1">
        <f>ROUNDDOWN(M40/C3,0)</f>
        <v>3</v>
      </c>
      <c r="E3" s="1"/>
      <c r="F3" s="1"/>
      <c r="G3" s="1"/>
      <c r="N3" s="1"/>
      <c r="O3" s="1"/>
    </row>
    <row r="4" spans="1:18" s="13" customFormat="1" ht="18" x14ac:dyDescent="0.25">
      <c r="B4" s="14"/>
      <c r="C4" s="21">
        <v>45120</v>
      </c>
      <c r="D4" s="22"/>
      <c r="E4" s="22"/>
      <c r="F4" s="22"/>
      <c r="G4" s="22"/>
      <c r="H4" s="22"/>
      <c r="I4" s="22"/>
      <c r="J4" s="22"/>
      <c r="K4" s="22"/>
      <c r="L4" s="22"/>
      <c r="N4" s="15"/>
      <c r="O4" s="15"/>
      <c r="P4" s="15"/>
      <c r="Q4" s="15"/>
    </row>
    <row r="5" spans="1:18" ht="58.5" x14ac:dyDescent="0.3">
      <c r="A5" s="1" t="s">
        <v>3</v>
      </c>
      <c r="B5" s="12" t="s">
        <v>77</v>
      </c>
      <c r="C5" s="1" t="s">
        <v>4</v>
      </c>
      <c r="D5" s="4" t="s">
        <v>5</v>
      </c>
      <c r="E5" s="4" t="s">
        <v>7</v>
      </c>
      <c r="F5" s="1" t="s">
        <v>44</v>
      </c>
      <c r="G5" s="5" t="s">
        <v>6</v>
      </c>
      <c r="H5" s="6" t="s">
        <v>40</v>
      </c>
      <c r="I5" s="4" t="s">
        <v>37</v>
      </c>
      <c r="J5" s="4" t="s">
        <v>41</v>
      </c>
      <c r="K5" s="10" t="s">
        <v>50</v>
      </c>
      <c r="L5" s="4" t="s">
        <v>78</v>
      </c>
      <c r="M5" s="4" t="s">
        <v>36</v>
      </c>
      <c r="N5" s="4" t="s">
        <v>35</v>
      </c>
      <c r="O5" s="4" t="s">
        <v>38</v>
      </c>
      <c r="P5" s="4" t="s">
        <v>50</v>
      </c>
      <c r="Q5" s="4" t="s">
        <v>79</v>
      </c>
      <c r="R5" s="4" t="s">
        <v>39</v>
      </c>
    </row>
    <row r="6" spans="1:18" x14ac:dyDescent="0.25">
      <c r="A6" s="1" t="s">
        <v>89</v>
      </c>
      <c r="B6" s="7">
        <f>IF(D6=0,0,VLOOKUP($A6,[6]HISTOJUIL23!$A$6:$BO$40,10,0))</f>
        <v>1</v>
      </c>
      <c r="C6" s="1" t="str">
        <f>VLOOKUP(A6,[7]LISTADHERENT!A$5:H$60,3,0)</f>
        <v>BAKOP ACHILLE</v>
      </c>
      <c r="D6" s="7">
        <f>IF(G6="ECHEC",0,B$3)</f>
        <v>25000</v>
      </c>
      <c r="E6" s="7">
        <f>D6+VLOOKUP($A6,[6]HISTOJUIL23!$A$7:$AU$40,45,0)+F6</f>
        <v>40000</v>
      </c>
      <c r="F6" s="7">
        <f>VLOOKUP($A6,[6]HISTOJUIL23!$A$7:$AU$45,7,0)</f>
        <v>3000</v>
      </c>
      <c r="G6" s="7" t="str">
        <f>VLOOKUP($A6,[6]HISTOJUIL23!$A$7:$AU$45,8,0)</f>
        <v>BANQUE</v>
      </c>
      <c r="H6" s="7">
        <f>VLOOKUP($A6,[6]HISTOJUIL23!$A$6:$AU$45,35,0)</f>
        <v>0</v>
      </c>
      <c r="I6" s="7">
        <f>VLOOKUP($A6,[6]HISTOJUIL23!$A$7:$AU$45,38,0)</f>
        <v>0</v>
      </c>
      <c r="J6" s="7">
        <f>IF(I6=0,0,VLOOKUP($A6,[6]HISTOJUIL23!$A$7:$AU$45,42,0))</f>
        <v>0</v>
      </c>
      <c r="K6" s="7">
        <f>VLOOKUP($A6,[6]HISTOJUIL23!$A$7:$AU$45,41,0)</f>
        <v>0</v>
      </c>
      <c r="L6" s="7">
        <f>TONTJUIN23!H6+TONTJUIN23!I6</f>
        <v>30500</v>
      </c>
      <c r="M6" s="7">
        <f>VLOOKUP($A6,[6]HISTOJUIL23!$A$7:$AU$45,16,0)</f>
        <v>30500</v>
      </c>
      <c r="N6" s="7" t="str">
        <f>IF(M6&lt;&gt;0,VLOOKUP($A6,[6]HISTOJUIL23!$A$7:$AU$45,8,0),"ECHEC")</f>
        <v>BANQUE</v>
      </c>
      <c r="O6" s="7" t="str">
        <f>IF(R6=0,0,VLOOKUP($A6,[6]HISTOJUIL23!$A$7:$AU$45,32,0))</f>
        <v>BANQUE</v>
      </c>
      <c r="P6" s="7">
        <f>VLOOKUP($A6,[6]HISTOJUIL23!$A$7:$AU$45,33,0)</f>
        <v>0</v>
      </c>
      <c r="Q6" s="7">
        <f t="shared" ref="Q6:Q35" si="0">IF(R6=0,0,($C$3-R6))</f>
        <v>297000</v>
      </c>
      <c r="R6" s="7">
        <f>VLOOKUP($A6,[6]HISTOJUIL23!$A$7:$AU$45,29,0)</f>
        <v>3000</v>
      </c>
    </row>
    <row r="7" spans="1:18" x14ac:dyDescent="0.25">
      <c r="A7" s="1" t="s">
        <v>9</v>
      </c>
      <c r="B7" s="7">
        <f>IF(D7=0,0,VLOOKUP($A7,[6]HISTOJUIL23!$A$6:$BO$40,10,0))</f>
        <v>1</v>
      </c>
      <c r="C7" s="1" t="str">
        <f>VLOOKUP(A7,[7]LISTADHERENT!A$5:H$60,3,0)</f>
        <v>BOUTCHOUANG WILLIAM</v>
      </c>
      <c r="D7" s="7">
        <f>IF(G7="ECHEC",0,B$3)</f>
        <v>25000</v>
      </c>
      <c r="E7" s="7">
        <f>D7+VLOOKUP($A7,[6]HISTOJUIL23!$A$7:$AU$40,45,0)+F7</f>
        <v>40000</v>
      </c>
      <c r="F7" s="7">
        <f>VLOOKUP($A7,[6]HISTOJUIL23!$A$7:$AU$45,7,0)</f>
        <v>0</v>
      </c>
      <c r="G7" s="7" t="str">
        <f>VLOOKUP($A7,[6]HISTOJUIL23!$A$7:$AU$45,8,0)</f>
        <v>BANQUE</v>
      </c>
      <c r="H7" s="7">
        <f>VLOOKUP($A7,[6]HISTOJUIL23!$A$6:$AU$45,35,0)</f>
        <v>0</v>
      </c>
      <c r="I7" s="7">
        <f>VLOOKUP($A7,[6]HISTOJUIL23!$A$7:$AU$45,38,0)</f>
        <v>0</v>
      </c>
      <c r="J7" s="7">
        <f>IF(I7=0,0,VLOOKUP($A7,[6]HISTOJUIL23!$A$7:$AU$45,42,0))</f>
        <v>0</v>
      </c>
      <c r="K7" s="7">
        <f>VLOOKUP($A7,[6]HISTOJUIL23!$A$7:$AU$45,41,0)</f>
        <v>0</v>
      </c>
      <c r="L7" s="7">
        <f>TONTJUIN23!H7+TONTJUIN23!I7</f>
        <v>0</v>
      </c>
      <c r="M7" s="7">
        <f>VLOOKUP($A7,[6]HISTOJUIL23!$A$7:$AU$45,16,0)</f>
        <v>0</v>
      </c>
      <c r="N7" s="7" t="str">
        <f>IF(M7&lt;&gt;0,VLOOKUP($A7,[6]HISTOJUIL23!$A$7:$AU$45,8,0),"ECHEC")</f>
        <v>ECHEC</v>
      </c>
      <c r="O7" s="7">
        <f>IF(R7=0,0,VLOOKUP($A7,[6]HISTOJUIL23!$A$7:$AU$45,32,0))</f>
        <v>0</v>
      </c>
      <c r="P7" s="7">
        <f>VLOOKUP($A7,[6]HISTOJUIL23!$A$7:$AU$45,33,0)</f>
        <v>0</v>
      </c>
      <c r="Q7" s="7">
        <f t="shared" si="0"/>
        <v>0</v>
      </c>
      <c r="R7" s="7">
        <f>VLOOKUP($A7,[6]HISTOJUIL23!$A$7:$AU$45,29,0)</f>
        <v>0</v>
      </c>
    </row>
    <row r="8" spans="1:18" x14ac:dyDescent="0.25">
      <c r="A8" s="1" t="s">
        <v>10</v>
      </c>
      <c r="B8" s="7">
        <f>IF(D8=0,0,VLOOKUP($A8,[6]HISTOJUIL23!$A$6:$BO$40,10,0))</f>
        <v>1</v>
      </c>
      <c r="C8" s="1" t="str">
        <f>VLOOKUP(A8,[7]LISTADHERENT!A$5:H$60,3,0)</f>
        <v xml:space="preserve">DJOMO JEAN PAUL </v>
      </c>
      <c r="D8" s="7">
        <f t="shared" ref="D8:D35" si="1">IF(G8="ECHEC",0,B$3)</f>
        <v>25000</v>
      </c>
      <c r="E8" s="7">
        <f>D8+VLOOKUP($A8,[6]HISTOJUIL23!$A$7:$AU$40,45,0)+F8</f>
        <v>43000</v>
      </c>
      <c r="F8" s="7">
        <f>VLOOKUP($A8,[6]HISTOJUIL23!$A$7:$AU$45,7,0)</f>
        <v>3000</v>
      </c>
      <c r="G8" s="7" t="str">
        <f>VLOOKUP($A8,[6]HISTOJUIL23!$A$7:$AU$45,8,0)</f>
        <v>BANQUE</v>
      </c>
      <c r="H8" s="7">
        <f>VLOOKUP($A8,[6]HISTOJUIL23!$A$6:$AU$45,35,0)</f>
        <v>0</v>
      </c>
      <c r="I8" s="7">
        <f>VLOOKUP($A8,[6]HISTOJUIL23!$A$7:$AU$45,38,0)</f>
        <v>0</v>
      </c>
      <c r="J8" s="7">
        <f>IF(I8=0,0,VLOOKUP($A8,[6]HISTOJUIL23!$A$7:$AU$45,42,0))</f>
        <v>0</v>
      </c>
      <c r="K8" s="7">
        <f>VLOOKUP($A8,[6]HISTOJUIL23!$A$7:$AU$45,41,0)</f>
        <v>0</v>
      </c>
      <c r="L8" s="7">
        <f>TONTJUIN23!H8+TONTJUIN23!I8</f>
        <v>0</v>
      </c>
      <c r="M8" s="7">
        <f>VLOOKUP($A8,[6]HISTOJUIL23!$A$7:$AU$45,16,0)</f>
        <v>0</v>
      </c>
      <c r="N8" s="7" t="str">
        <f>IF(M8&lt;&gt;0,VLOOKUP($A8,[6]HISTOJUIL23!$A$7:$AU$45,8,0),"ECHEC")</f>
        <v>ECHEC</v>
      </c>
      <c r="O8" s="7">
        <f>IF(R8=0,0,VLOOKUP($A8,[6]HISTOJUIL23!$A$7:$AU$45,32,0))</f>
        <v>0</v>
      </c>
      <c r="P8" s="7">
        <f>VLOOKUP($A8,[6]HISTOJUIL23!$A$7:$AU$45,33,0)</f>
        <v>0</v>
      </c>
      <c r="Q8" s="7">
        <f t="shared" si="0"/>
        <v>0</v>
      </c>
      <c r="R8" s="7">
        <f>VLOOKUP($A8,[6]HISTOJUIL23!$A$7:$AU$45,29,0)</f>
        <v>0</v>
      </c>
    </row>
    <row r="9" spans="1:18" x14ac:dyDescent="0.25">
      <c r="A9" s="1" t="s">
        <v>53</v>
      </c>
      <c r="B9" s="7">
        <f>IF(D9=0,0,VLOOKUP($A9,[6]HISTOJUIL23!$A$6:$BO$40,10,0))</f>
        <v>1</v>
      </c>
      <c r="C9" s="1" t="str">
        <f>VLOOKUP(A9,[7]LISTADHERENT!A$5:H$60,3,0)</f>
        <v>DJOMOU TCHAPDA</v>
      </c>
      <c r="D9" s="7">
        <f t="shared" si="1"/>
        <v>25000</v>
      </c>
      <c r="E9" s="7">
        <f>D9+VLOOKUP($A9,[6]HISTOJUIL23!$A$7:$AU$40,45,0)+F9</f>
        <v>40000</v>
      </c>
      <c r="F9" s="7">
        <f>VLOOKUP($A9,[6]HISTOJUIL23!$A$7:$AU$45,7,0)</f>
        <v>3000</v>
      </c>
      <c r="G9" s="7" t="str">
        <f>VLOOKUP($A9,[6]HISTOJUIL23!$A$7:$AU$45,8,0)</f>
        <v>ESPECES</v>
      </c>
      <c r="H9" s="7">
        <f>VLOOKUP($A9,[6]HISTOJUIL23!$A$6:$AU$45,35,0)</f>
        <v>0</v>
      </c>
      <c r="I9" s="7">
        <f>VLOOKUP($A9,[6]HISTOJUIL23!$A$7:$AU$45,38,0)</f>
        <v>0</v>
      </c>
      <c r="J9" s="7">
        <f>IF(I9=0,0,VLOOKUP($A9,[6]HISTOJUIL23!$A$7:$AU$45,42,0))</f>
        <v>0</v>
      </c>
      <c r="K9" s="7">
        <f>VLOOKUP($A9,[6]HISTOJUIL23!$A$7:$AU$45,41,0)</f>
        <v>0</v>
      </c>
      <c r="L9" s="7">
        <f>TONTJUIN23!H9+TONTJUIN23!I9</f>
        <v>0</v>
      </c>
      <c r="M9" s="7">
        <f>VLOOKUP($A9,[6]HISTOJUIL23!$A$7:$AU$45,16,0)</f>
        <v>0</v>
      </c>
      <c r="N9" s="7" t="str">
        <f>IF(M9&lt;&gt;0,VLOOKUP($A9,[6]HISTOJUIL23!$A$7:$AU$45,8,0),"ECHEC")</f>
        <v>ECHEC</v>
      </c>
      <c r="O9" s="7">
        <f>IF(R9=0,0,VLOOKUP($A9,[6]HISTOJUIL23!$A$7:$AU$45,32,0))</f>
        <v>0</v>
      </c>
      <c r="P9" s="7">
        <f>VLOOKUP($A9,[6]HISTOJUIL23!$A$7:$AU$45,33,0)</f>
        <v>0</v>
      </c>
      <c r="Q9" s="7">
        <f t="shared" si="0"/>
        <v>0</v>
      </c>
      <c r="R9" s="7">
        <f>VLOOKUP($A9,[6]HISTOJUIL23!$A$7:$AU$45,29,0)</f>
        <v>0</v>
      </c>
    </row>
    <row r="10" spans="1:18" x14ac:dyDescent="0.25">
      <c r="A10" s="1" t="s">
        <v>11</v>
      </c>
      <c r="B10" s="7">
        <f>IF(D10=0,0,VLOOKUP($A10,[6]HISTOJUIL23!$A$6:$BO$40,10,0))</f>
        <v>1</v>
      </c>
      <c r="C10" s="1" t="str">
        <f>VLOOKUP(A10,[7]LISTADHERENT!A$5:H$60,3,0)</f>
        <v>DJOUKWE NANGUEN GUY BLAISE</v>
      </c>
      <c r="D10" s="7">
        <f t="shared" si="1"/>
        <v>25000</v>
      </c>
      <c r="E10" s="7">
        <f>D10+VLOOKUP($A10,[6]HISTOJUIL23!$A$7:$AU$40,45,0)+F10</f>
        <v>43000</v>
      </c>
      <c r="F10" s="7">
        <f>VLOOKUP($A10,[6]HISTOJUIL23!$A$7:$AU$45,7,0)</f>
        <v>3000</v>
      </c>
      <c r="G10" s="7" t="str">
        <f>VLOOKUP($A10,[6]HISTOJUIL23!$A$7:$AU$45,8,0)</f>
        <v>BANQUE</v>
      </c>
      <c r="H10" s="7">
        <f>VLOOKUP($A10,[6]HISTOJUIL23!$A$6:$AU$45,35,0)</f>
        <v>0</v>
      </c>
      <c r="I10" s="7">
        <f>VLOOKUP($A10,[6]HISTOJUIL23!$A$7:$AU$45,38,0)</f>
        <v>0</v>
      </c>
      <c r="J10" s="7">
        <f>IF(I10=0,0,VLOOKUP($A10,[6]HISTOJUIL23!$A$7:$AU$45,42,0))</f>
        <v>0</v>
      </c>
      <c r="K10" s="7">
        <f>VLOOKUP($A10,[6]HISTOJUIL23!$A$7:$AU$45,41,0)</f>
        <v>0</v>
      </c>
      <c r="L10" s="7">
        <f>TONTJUIN23!H10+TONTJUIN23!I10</f>
        <v>30500</v>
      </c>
      <c r="M10" s="7">
        <f>VLOOKUP($A10,[6]HISTOJUIL23!$A$7:$AU$45,16,0)</f>
        <v>30500</v>
      </c>
      <c r="N10" s="7" t="str">
        <f>IF(M10&lt;&gt;0,VLOOKUP($A10,[6]HISTOJUIL23!$A$7:$AU$45,8,0),"ECHEC")</f>
        <v>BANQUE</v>
      </c>
      <c r="O10" s="7">
        <f>IF(R10=0,0,VLOOKUP($A10,[6]HISTOJUIL23!$A$7:$AU$45,32,0))</f>
        <v>0</v>
      </c>
      <c r="P10" s="7">
        <f>VLOOKUP($A10,[6]HISTOJUIL23!$A$7:$AU$45,33,0)</f>
        <v>0</v>
      </c>
      <c r="Q10" s="7">
        <f t="shared" si="0"/>
        <v>0</v>
      </c>
      <c r="R10" s="7">
        <f>VLOOKUP($A10,[6]HISTOJUIL23!$A$7:$AU$45,29,0)</f>
        <v>0</v>
      </c>
    </row>
    <row r="11" spans="1:18" x14ac:dyDescent="0.25">
      <c r="A11" s="1" t="s">
        <v>12</v>
      </c>
      <c r="B11" s="7">
        <f>IF(D11=0,0,VLOOKUP($A11,[6]HISTOJUIL23!$A$6:$BO$40,10,0))</f>
        <v>1</v>
      </c>
      <c r="C11" s="1" t="str">
        <f>VLOOKUP(A11,[7]LISTADHERENT!A$5:H$60,3,0)</f>
        <v>DJUOMBESSY ANTOINE</v>
      </c>
      <c r="D11" s="7">
        <f t="shared" si="1"/>
        <v>25000</v>
      </c>
      <c r="E11" s="7">
        <f>D11+VLOOKUP($A11,[6]HISTOJUIL23!$A$7:$AU$40,45,0)+F11</f>
        <v>56300</v>
      </c>
      <c r="F11" s="7">
        <f>VLOOKUP($A11,[6]HISTOJUIL23!$A$7:$AU$45,7,0)</f>
        <v>0</v>
      </c>
      <c r="G11" s="7" t="str">
        <f>VLOOKUP($A11,[6]HISTOJUIL23!$A$7:$AU$45,8,0)</f>
        <v>BANQUE</v>
      </c>
      <c r="H11" s="7">
        <f>VLOOKUP($A11,[6]HISTOJUIL23!$A$6:$AU$45,35,0)</f>
        <v>0</v>
      </c>
      <c r="I11" s="7">
        <f>VLOOKUP($A11,[6]HISTOJUIL23!$A$7:$AU$45,38,0)</f>
        <v>0</v>
      </c>
      <c r="J11" s="7">
        <f>IF(I11=0,0,VLOOKUP($A11,[6]HISTOJUIL23!$A$7:$AU$45,42,0))</f>
        <v>0</v>
      </c>
      <c r="K11" s="7">
        <f>VLOOKUP($A11,[6]HISTOJUIL23!$A$7:$AU$45,41,0)</f>
        <v>0</v>
      </c>
      <c r="L11" s="7">
        <f>TONTJUIN23!H11+TONTJUIN23!I11</f>
        <v>30500</v>
      </c>
      <c r="M11" s="7">
        <f>VLOOKUP($A11,[6]HISTOJUIL23!$A$7:$AU$45,16,0)</f>
        <v>30500</v>
      </c>
      <c r="N11" s="7" t="str">
        <f>IF(M11&lt;&gt;0,VLOOKUP($A11,[6]HISTOJUIL23!$A$7:$AU$45,8,0),"ECHEC")</f>
        <v>BANQUE</v>
      </c>
      <c r="O11" s="7">
        <f>IF(R11=0,0,VLOOKUP($A11,[6]HISTOJUIL23!$A$7:$AU$45,32,0))</f>
        <v>0</v>
      </c>
      <c r="P11" s="7">
        <f>VLOOKUP($A11,[6]HISTOJUIL23!$A$7:$AU$45,33,0)</f>
        <v>0</v>
      </c>
      <c r="Q11" s="7">
        <f t="shared" si="0"/>
        <v>0</v>
      </c>
      <c r="R11" s="7">
        <f>VLOOKUP($A11,[6]HISTOJUIL23!$A$7:$AU$45,29,0)</f>
        <v>0</v>
      </c>
    </row>
    <row r="12" spans="1:18" x14ac:dyDescent="0.25">
      <c r="A12" s="1" t="s">
        <v>46</v>
      </c>
      <c r="B12" s="7">
        <f>IF(D12=0,0,VLOOKUP($A12,[6]HISTOJUIL23!$A$6:$BO$40,10,0))</f>
        <v>1</v>
      </c>
      <c r="C12" s="1" t="str">
        <f>VLOOKUP(A12,[7]LISTADHERENT!A$5:H$60,3,0)</f>
        <v>DOMOU FABIEN</v>
      </c>
      <c r="D12" s="7">
        <f t="shared" si="1"/>
        <v>25000</v>
      </c>
      <c r="E12" s="7">
        <f>D12+VLOOKUP($A12,[6]HISTOJUIL23!$A$7:$AU$40,45,0)+F12</f>
        <v>40000</v>
      </c>
      <c r="F12" s="7">
        <f>VLOOKUP($A12,[6]HISTOJUIL23!$A$7:$AU$45,7,0)</f>
        <v>0</v>
      </c>
      <c r="G12" s="7" t="str">
        <f>VLOOKUP($A12,[6]HISTOJUIL23!$A$7:$AU$45,8,0)</f>
        <v>BANQUE</v>
      </c>
      <c r="H12" s="7">
        <f>VLOOKUP($A12,[6]HISTOJUIL23!$A$6:$AU$45,35,0)</f>
        <v>0</v>
      </c>
      <c r="I12" s="7">
        <f>VLOOKUP($A12,[6]HISTOJUIL23!$A$7:$AU$45,38,0)</f>
        <v>0</v>
      </c>
      <c r="J12" s="7">
        <f>IF(I12=0,0,VLOOKUP($A12,[6]HISTOJUIL23!$A$7:$AU$45,42,0))</f>
        <v>0</v>
      </c>
      <c r="K12" s="7">
        <f>VLOOKUP($A12,[6]HISTOJUIL23!$A$7:$AU$45,41,0)</f>
        <v>0</v>
      </c>
      <c r="L12" s="7">
        <f>TONTJUIN23!H12+TONTJUIN23!I12</f>
        <v>0</v>
      </c>
      <c r="M12" s="7">
        <f>VLOOKUP($A12,[6]HISTOJUIL23!$A$7:$AU$45,16,0)</f>
        <v>0</v>
      </c>
      <c r="N12" s="7" t="str">
        <f>IF(M12&lt;&gt;0,VLOOKUP($A12,[6]HISTOJUIL23!$A$7:$AU$45,8,0),"ECHEC")</f>
        <v>ECHEC</v>
      </c>
      <c r="O12" s="7">
        <f>IF(R12=0,0,VLOOKUP($A12,[6]HISTOJUIL23!$A$7:$AU$45,32,0))</f>
        <v>0</v>
      </c>
      <c r="P12" s="7">
        <f>VLOOKUP($A12,[6]HISTOJUIL23!$A$7:$AU$45,33,0)</f>
        <v>0</v>
      </c>
      <c r="Q12" s="7">
        <f t="shared" si="0"/>
        <v>0</v>
      </c>
      <c r="R12" s="7">
        <f>VLOOKUP($A12,[6]HISTOJUIL23!$A$7:$AU$45,29,0)</f>
        <v>0</v>
      </c>
    </row>
    <row r="13" spans="1:18" x14ac:dyDescent="0.25">
      <c r="A13" s="1" t="s">
        <v>13</v>
      </c>
      <c r="B13" s="7">
        <f>IF(D13=0,0,VLOOKUP($A13,[6]HISTOJUIL23!$A$6:$BO$40,10,0))</f>
        <v>1</v>
      </c>
      <c r="C13" s="1" t="str">
        <f>VLOOKUP(A13,[7]LISTADHERENT!A$5:H$60,3,0)</f>
        <v>DONHOU DAVID</v>
      </c>
      <c r="D13" s="7">
        <f t="shared" si="1"/>
        <v>25000</v>
      </c>
      <c r="E13" s="7">
        <f>D13+VLOOKUP($A13,[6]HISTOJUIL23!$A$7:$AU$40,45,0)+F13</f>
        <v>40000</v>
      </c>
      <c r="F13" s="7">
        <f>VLOOKUP($A13,[6]HISTOJUIL23!$A$7:$AU$45,7,0)</f>
        <v>0</v>
      </c>
      <c r="G13" s="7" t="str">
        <f>VLOOKUP($A13,[6]HISTOJUIL23!$A$7:$AU$45,8,0)</f>
        <v>BANQUE</v>
      </c>
      <c r="H13" s="7">
        <f>VLOOKUP($A13,[6]HISTOJUIL23!$A$6:$AU$45,35,0)</f>
        <v>0</v>
      </c>
      <c r="I13" s="7">
        <f>VLOOKUP($A13,[6]HISTOJUIL23!$A$7:$AU$45,38,0)</f>
        <v>0</v>
      </c>
      <c r="J13" s="7">
        <f>IF(I13=0,0,VLOOKUP($A13,[6]HISTOJUIL23!$A$7:$AU$45,42,0))</f>
        <v>0</v>
      </c>
      <c r="K13" s="7">
        <f>VLOOKUP($A13,[6]HISTOJUIL23!$A$7:$AU$45,41,0)</f>
        <v>0</v>
      </c>
      <c r="L13" s="7">
        <f>TONTJUIN23!H13+TONTJUIN23!I13</f>
        <v>0</v>
      </c>
      <c r="M13" s="7">
        <f>VLOOKUP($A13,[6]HISTOJUIL23!$A$7:$AU$45,16,0)</f>
        <v>0</v>
      </c>
      <c r="N13" s="7" t="str">
        <f>IF(M13&lt;&gt;0,VLOOKUP($A13,[6]HISTOJUIL23!$A$7:$AU$45,8,0),"ECHEC")</f>
        <v>ECHEC</v>
      </c>
      <c r="O13" s="7">
        <f>IF(R13=0,0,VLOOKUP($A13,[6]HISTOJUIL23!$A$7:$AU$45,32,0))</f>
        <v>0</v>
      </c>
      <c r="P13" s="7">
        <f>VLOOKUP($A13,[6]HISTOJUIL23!$A$7:$AU$45,33,0)</f>
        <v>0</v>
      </c>
      <c r="Q13" s="7">
        <f t="shared" si="0"/>
        <v>0</v>
      </c>
      <c r="R13" s="7">
        <f>VLOOKUP($A13,[6]HISTOJUIL23!$A$7:$AU$45,29,0)</f>
        <v>0</v>
      </c>
    </row>
    <row r="14" spans="1:18" x14ac:dyDescent="0.25">
      <c r="A14" s="1" t="s">
        <v>14</v>
      </c>
      <c r="B14" s="7">
        <f>IF(D14=0,0,VLOOKUP($A14,[6]HISTOJUIL23!$A$6:$BO$40,10,0))</f>
        <v>1</v>
      </c>
      <c r="C14" s="1" t="str">
        <f>VLOOKUP(A14,[7]LISTADHERENT!A$5:H$60,3,0)</f>
        <v>HENGUE PAUL OMER</v>
      </c>
      <c r="D14" s="7">
        <f t="shared" si="1"/>
        <v>25000</v>
      </c>
      <c r="E14" s="7">
        <f>D14+VLOOKUP($A14,[6]HISTOJUIL23!$A$7:$AU$40,45,0)+F14</f>
        <v>40000</v>
      </c>
      <c r="F14" s="7">
        <f>VLOOKUP($A14,[6]HISTOJUIL23!$A$7:$AU$45,7,0)</f>
        <v>0</v>
      </c>
      <c r="G14" s="7" t="str">
        <f>VLOOKUP($A14,[6]HISTOJUIL23!$A$7:$AU$45,8,0)</f>
        <v>BANQUE</v>
      </c>
      <c r="H14" s="7">
        <f>VLOOKUP($A14,[6]HISTOJUIL23!$A$6:$AU$45,35,0)</f>
        <v>0</v>
      </c>
      <c r="I14" s="7">
        <f>VLOOKUP($A14,[6]HISTOJUIL23!$A$7:$AU$45,38,0)</f>
        <v>0</v>
      </c>
      <c r="J14" s="7">
        <f>IF(I14=0,0,VLOOKUP($A14,[6]HISTOJUIL23!$A$7:$AU$45,42,0))</f>
        <v>0</v>
      </c>
      <c r="K14" s="7">
        <f>VLOOKUP($A14,[6]HISTOJUIL23!$A$7:$AU$45,41,0)</f>
        <v>0</v>
      </c>
      <c r="L14" s="7">
        <f>TONTJUIN23!H14+TONTJUIN23!I14</f>
        <v>0</v>
      </c>
      <c r="M14" s="7">
        <f>VLOOKUP($A14,[6]HISTOJUIL23!$A$7:$AU$45,16,0)</f>
        <v>0</v>
      </c>
      <c r="N14" s="7" t="str">
        <f>IF(M14&lt;&gt;0,VLOOKUP($A14,[6]HISTOJUIL23!$A$7:$AU$45,8,0),"ECHEC")</f>
        <v>ECHEC</v>
      </c>
      <c r="O14" s="7" t="str">
        <f>IF(R14=0,0,VLOOKUP($A14,[6]HISTOJUIL23!$A$7:$AU$45,32,0))</f>
        <v>BANQUE</v>
      </c>
      <c r="P14" s="7">
        <f>VLOOKUP($A14,[6]HISTOJUIL23!$A$7:$AU$45,33,0)</f>
        <v>0</v>
      </c>
      <c r="Q14" s="7">
        <f t="shared" si="0"/>
        <v>297500</v>
      </c>
      <c r="R14" s="7">
        <f>VLOOKUP($A14,[6]HISTOJUIL23!$A$7:$AU$45,29,0)</f>
        <v>2500</v>
      </c>
    </row>
    <row r="15" spans="1:18" x14ac:dyDescent="0.25">
      <c r="A15" s="1" t="s">
        <v>15</v>
      </c>
      <c r="B15" s="7">
        <f>IF(D15=0,0,VLOOKUP($A15,[6]HISTOJUIL23!$A$6:$BO$40,10,0))</f>
        <v>1</v>
      </c>
      <c r="C15" s="1" t="str">
        <f>VLOOKUP(A15,[7]LISTADHERENT!A$5:H$60,3,0)</f>
        <v>HOTCHO BENJAMIN</v>
      </c>
      <c r="D15" s="7">
        <f t="shared" si="1"/>
        <v>25000</v>
      </c>
      <c r="E15" s="7">
        <f>D15+VLOOKUP($A15,[6]HISTOJUIL23!$A$7:$AU$40,45,0)+F15</f>
        <v>75000</v>
      </c>
      <c r="F15" s="7">
        <f>VLOOKUP($A15,[6]HISTOJUIL23!$A$7:$AU$45,7,0)</f>
        <v>0</v>
      </c>
      <c r="G15" s="7" t="str">
        <f>VLOOKUP($A15,[6]HISTOJUIL23!$A$7:$AU$45,8,0)</f>
        <v>BANQUE</v>
      </c>
      <c r="H15" s="7">
        <f>VLOOKUP($A15,[6]HISTOJUIL23!$A$6:$AU$45,35,0)</f>
        <v>0</v>
      </c>
      <c r="I15" s="7">
        <f>VLOOKUP($A15,[6]HISTOJUIL23!$A$7:$AU$45,38,0)</f>
        <v>0</v>
      </c>
      <c r="J15" s="7">
        <f>IF(I15=0,0,VLOOKUP($A15,[6]HISTOJUIL23!$A$7:$AU$45,42,0))</f>
        <v>0</v>
      </c>
      <c r="K15" s="7">
        <f>VLOOKUP($A15,[6]HISTOJUIL23!$A$7:$AU$45,41,0)</f>
        <v>0</v>
      </c>
      <c r="L15" s="7">
        <f>TONTJUIN23!H15+TONTJUIN23!I15</f>
        <v>0</v>
      </c>
      <c r="M15" s="7">
        <f>VLOOKUP($A15,[6]HISTOJUIL23!$A$7:$AU$45,16,0)</f>
        <v>0</v>
      </c>
      <c r="N15" s="7" t="str">
        <f>IF(M15&lt;&gt;0,VLOOKUP($A15,[6]HISTOJUIL23!$A$7:$AU$45,8,0),"ECHEC")</f>
        <v>ECHEC</v>
      </c>
      <c r="O15" s="7">
        <f>IF(R15=0,0,VLOOKUP($A15,[6]HISTOJUIL23!$A$7:$AU$45,32,0))</f>
        <v>0</v>
      </c>
      <c r="P15" s="7">
        <f>VLOOKUP($A15,[6]HISTOJUIL23!$A$7:$AU$45,33,0)</f>
        <v>0</v>
      </c>
      <c r="Q15" s="7">
        <f t="shared" si="0"/>
        <v>0</v>
      </c>
      <c r="R15" s="7">
        <f>VLOOKUP($A15,[6]HISTOJUIL23!$A$7:$AU$45,29,0)</f>
        <v>0</v>
      </c>
    </row>
    <row r="16" spans="1:18" x14ac:dyDescent="0.25">
      <c r="A16" s="1" t="s">
        <v>16</v>
      </c>
      <c r="B16" s="7">
        <f>IF(D16=0,0,VLOOKUP($A16,[6]HISTOJUIL23!$A$6:$BO$40,10,0))</f>
        <v>1</v>
      </c>
      <c r="C16" s="1" t="str">
        <f>VLOOKUP(A16,[7]LISTADHERENT!A$5:H$60,3,0)</f>
        <v>KOUAMOU MOISE</v>
      </c>
      <c r="D16" s="7">
        <f t="shared" si="1"/>
        <v>25000</v>
      </c>
      <c r="E16" s="7">
        <f>D16+VLOOKUP($A16,[6]HISTOJUIL23!$A$7:$AU$40,45,0)+F16</f>
        <v>40000</v>
      </c>
      <c r="F16" s="7">
        <f>VLOOKUP($A16,[6]HISTOJUIL23!$A$7:$AU$45,7,0)</f>
        <v>0</v>
      </c>
      <c r="G16" s="7" t="str">
        <f>VLOOKUP($A16,[6]HISTOJUIL23!$A$7:$AU$45,8,0)</f>
        <v>BANQUE</v>
      </c>
      <c r="H16" s="7">
        <f>VLOOKUP($A16,[6]HISTOJUIL23!$A$6:$AU$45,35,0)</f>
        <v>0</v>
      </c>
      <c r="I16" s="7">
        <f>VLOOKUP($A16,[6]HISTOJUIL23!$A$7:$AU$45,38,0)</f>
        <v>0</v>
      </c>
      <c r="J16" s="7">
        <f>IF(I16=0,0,VLOOKUP($A16,[6]HISTOJUIL23!$A$7:$AU$45,42,0))</f>
        <v>0</v>
      </c>
      <c r="K16" s="7">
        <f>VLOOKUP($A16,[6]HISTOJUIL23!$A$7:$AU$45,41,0)</f>
        <v>0</v>
      </c>
      <c r="L16" s="7">
        <f>TONTJUIN23!H16+TONTJUIN23!I16</f>
        <v>0</v>
      </c>
      <c r="M16" s="7">
        <f>VLOOKUP($A16,[6]HISTOJUIL23!$A$7:$AU$45,16,0)</f>
        <v>0</v>
      </c>
      <c r="N16" s="7" t="str">
        <f>IF(M16&lt;&gt;0,VLOOKUP($A16,[6]HISTOJUIL23!$A$7:$AU$45,8,0),"ECHEC")</f>
        <v>ECHEC</v>
      </c>
      <c r="O16" s="7">
        <f>IF(R16=0,0,VLOOKUP($A16,[6]HISTOJUIL23!$A$7:$AU$45,32,0))</f>
        <v>0</v>
      </c>
      <c r="P16" s="7">
        <f>VLOOKUP($A16,[6]HISTOJUIL23!$A$7:$AU$45,33,0)</f>
        <v>0</v>
      </c>
      <c r="Q16" s="7">
        <f t="shared" si="0"/>
        <v>0</v>
      </c>
      <c r="R16" s="7">
        <f>VLOOKUP($A16,[6]HISTOJUIL23!$A$7:$AU$45,29,0)</f>
        <v>0</v>
      </c>
    </row>
    <row r="17" spans="1:18" x14ac:dyDescent="0.25">
      <c r="A17" s="1" t="s">
        <v>17</v>
      </c>
      <c r="B17" s="7">
        <f>IF(D17=0,0,VLOOKUP($A17,[6]HISTOJUIL23!$A$6:$BO$40,10,0))</f>
        <v>1</v>
      </c>
      <c r="C17" s="1" t="str">
        <f>VLOOKUP(A17,[7]LISTADHERENT!A$5:H$60,3,0)</f>
        <v>KOUATCHO MESSACK</v>
      </c>
      <c r="D17" s="7">
        <f t="shared" si="1"/>
        <v>25000</v>
      </c>
      <c r="E17" s="7">
        <f>D17+VLOOKUP($A17,[6]HISTOJUIL23!$A$7:$AU$40,45,0)+F17</f>
        <v>40000</v>
      </c>
      <c r="F17" s="7">
        <f>VLOOKUP($A17,[6]HISTOJUIL23!$A$7:$AU$45,7,0)</f>
        <v>0</v>
      </c>
      <c r="G17" s="7" t="str">
        <f>VLOOKUP($A17,[6]HISTOJUIL23!$A$7:$AU$45,8,0)</f>
        <v>BANQUE</v>
      </c>
      <c r="H17" s="7">
        <f>VLOOKUP($A17,[6]HISTOJUIL23!$A$6:$AU$45,35,0)</f>
        <v>0</v>
      </c>
      <c r="I17" s="7">
        <f>VLOOKUP($A17,[6]HISTOJUIL23!$A$7:$AU$45,38,0)</f>
        <v>0</v>
      </c>
      <c r="J17" s="7">
        <f>IF(I17=0,0,VLOOKUP($A17,[6]HISTOJUIL23!$A$7:$AU$45,42,0))</f>
        <v>0</v>
      </c>
      <c r="K17" s="7">
        <f>VLOOKUP($A17,[6]HISTOJUIL23!$A$7:$AU$45,41,0)</f>
        <v>0</v>
      </c>
      <c r="L17" s="7">
        <f>TONTJUIN23!H17+TONTJUIN23!I17</f>
        <v>0</v>
      </c>
      <c r="M17" s="7">
        <f>VLOOKUP($A17,[6]HISTOJUIL23!$A$7:$AU$45,16,0)</f>
        <v>0</v>
      </c>
      <c r="N17" s="7" t="str">
        <f>IF(M17&lt;&gt;0,VLOOKUP($A17,[6]HISTOJUIL23!$A$7:$AU$45,8,0),"ECHEC")</f>
        <v>ECHEC</v>
      </c>
      <c r="O17" s="7">
        <f>IF(R17=0,0,VLOOKUP($A17,[6]HISTOJUIL23!$A$7:$AU$45,32,0))</f>
        <v>0</v>
      </c>
      <c r="P17" s="7">
        <f>VLOOKUP($A17,[6]HISTOJUIL23!$A$7:$AU$45,33,0)</f>
        <v>0</v>
      </c>
      <c r="Q17" s="7">
        <f t="shared" si="0"/>
        <v>0</v>
      </c>
      <c r="R17" s="7">
        <f>VLOOKUP($A17,[6]HISTOJUIL23!$A$7:$AU$45,29,0)</f>
        <v>0</v>
      </c>
    </row>
    <row r="18" spans="1:18" x14ac:dyDescent="0.25">
      <c r="A18" s="1" t="s">
        <v>18</v>
      </c>
      <c r="B18" s="7">
        <f>IF(D18=0,0,VLOOKUP($A18,[6]HISTOJUIL23!$A$6:$BO$40,10,0))</f>
        <v>1</v>
      </c>
      <c r="C18" s="1" t="str">
        <f>VLOOKUP(A18,[7]LISTADHERENT!A$5:H$60,3,0)</f>
        <v>LOWE JEAN</v>
      </c>
      <c r="D18" s="7">
        <f t="shared" si="1"/>
        <v>25000</v>
      </c>
      <c r="E18" s="7">
        <f>D18+VLOOKUP($A18,[6]HISTOJUIL23!$A$7:$AU$40,45,0)+F18</f>
        <v>40000</v>
      </c>
      <c r="F18" s="7">
        <f>VLOOKUP($A18,[6]HISTOJUIL23!$A$7:$AU$45,7,0)</f>
        <v>0</v>
      </c>
      <c r="G18" s="7" t="str">
        <f>VLOOKUP($A18,[6]HISTOJUIL23!$A$7:$AU$45,8,0)</f>
        <v>BANQUE</v>
      </c>
      <c r="H18" s="7">
        <f>VLOOKUP($A18,[6]HISTOJUIL23!$A$6:$AU$45,35,0)</f>
        <v>0</v>
      </c>
      <c r="I18" s="7">
        <f>VLOOKUP($A18,[6]HISTOJUIL23!$A$7:$AU$45,38,0)</f>
        <v>0</v>
      </c>
      <c r="J18" s="7">
        <f>IF(I18=0,0,VLOOKUP($A18,[6]HISTOJUIL23!$A$7:$AU$45,42,0))</f>
        <v>0</v>
      </c>
      <c r="K18" s="7">
        <f>VLOOKUP($A18,[6]HISTOJUIL23!$A$7:$AU$45,41,0)</f>
        <v>0</v>
      </c>
      <c r="L18" s="7">
        <f>TONTJUIN23!H18+TONTJUIN23!I18</f>
        <v>0</v>
      </c>
      <c r="M18" s="7">
        <f>VLOOKUP($A18,[6]HISTOJUIL23!$A$7:$AU$45,16,0)</f>
        <v>0</v>
      </c>
      <c r="N18" s="7" t="str">
        <f>IF(M18&lt;&gt;0,VLOOKUP($A18,[6]HISTOJUIL23!$A$7:$AU$45,8,0),"ECHEC")</f>
        <v>ECHEC</v>
      </c>
      <c r="O18" s="7">
        <f>IF(R18=0,0,VLOOKUP($A18,[6]HISTOJUIL23!$A$7:$AU$45,32,0))</f>
        <v>0</v>
      </c>
      <c r="P18" s="7">
        <f>VLOOKUP($A18,[6]HISTOJUIL23!$A$7:$AU$45,33,0)</f>
        <v>0</v>
      </c>
      <c r="Q18" s="7">
        <f t="shared" si="0"/>
        <v>0</v>
      </c>
      <c r="R18" s="7">
        <f>VLOOKUP($A18,[6]HISTOJUIL23!$A$7:$AU$45,29,0)</f>
        <v>0</v>
      </c>
    </row>
    <row r="19" spans="1:18" x14ac:dyDescent="0.25">
      <c r="A19" s="1" t="s">
        <v>45</v>
      </c>
      <c r="B19" s="7">
        <f>IF(D19=0,0,VLOOKUP($A19,[6]HISTOJUIL23!$A$6:$BO$40,10,0))</f>
        <v>1</v>
      </c>
      <c r="C19" s="1" t="str">
        <f>VLOOKUP(A19,[7]LISTADHERENT!A$5:H$60,3,0)</f>
        <v>MBOGNING TUGMA GUY</v>
      </c>
      <c r="D19" s="7">
        <f t="shared" si="1"/>
        <v>25000</v>
      </c>
      <c r="E19" s="7">
        <f>D19+VLOOKUP($A19,[6]HISTOJUIL23!$A$7:$AU$40,45,0)+F19</f>
        <v>40000</v>
      </c>
      <c r="F19" s="7">
        <f>VLOOKUP($A19,[6]HISTOJUIL23!$A$7:$AU$45,7,0)</f>
        <v>0</v>
      </c>
      <c r="G19" s="7" t="str">
        <f>VLOOKUP($A19,[6]HISTOJUIL23!$A$7:$AU$45,8,0)</f>
        <v>BANQUE</v>
      </c>
      <c r="H19" s="7">
        <f>VLOOKUP($A19,[6]HISTOJUIL23!$A$6:$AU$45,35,0)</f>
        <v>0</v>
      </c>
      <c r="I19" s="7">
        <f>VLOOKUP($A19,[6]HISTOJUIL23!$A$7:$AU$45,38,0)</f>
        <v>0</v>
      </c>
      <c r="J19" s="7">
        <f>IF(I19=0,0,VLOOKUP($A19,[6]HISTOJUIL23!$A$7:$AU$45,42,0))</f>
        <v>0</v>
      </c>
      <c r="K19" s="7">
        <f>VLOOKUP($A19,[6]HISTOJUIL23!$A$7:$AU$45,41,0)</f>
        <v>0</v>
      </c>
      <c r="L19" s="7">
        <f>TONTJUIN23!H19+TONTJUIN23!I19</f>
        <v>0</v>
      </c>
      <c r="M19" s="7">
        <f>VLOOKUP($A19,[6]HISTOJUIL23!$A$7:$AU$45,16,0)</f>
        <v>0</v>
      </c>
      <c r="N19" s="7" t="str">
        <f>IF(M19&lt;&gt;0,VLOOKUP($A19,[6]HISTOJUIL23!$A$7:$AU$45,8,0),"ECHEC")</f>
        <v>ECHEC</v>
      </c>
      <c r="O19" s="7">
        <f>IF(R19=0,0,VLOOKUP($A19,[6]HISTOJUIL23!$A$7:$AU$45,32,0))</f>
        <v>0</v>
      </c>
      <c r="P19" s="7">
        <f>VLOOKUP($A19,[6]HISTOJUIL23!$A$7:$AU$45,33,0)</f>
        <v>0</v>
      </c>
      <c r="Q19" s="7">
        <f t="shared" si="0"/>
        <v>0</v>
      </c>
      <c r="R19" s="7">
        <f>VLOOKUP($A19,[6]HISTOJUIL23!$A$7:$AU$45,29,0)</f>
        <v>0</v>
      </c>
    </row>
    <row r="20" spans="1:18" x14ac:dyDescent="0.25">
      <c r="A20" s="1" t="s">
        <v>26</v>
      </c>
      <c r="B20" s="7">
        <f>IF(D20=0,0,VLOOKUP($A20,[6]HISTOJUIL23!$A$6:$BO$40,10,0))</f>
        <v>1</v>
      </c>
      <c r="C20" s="1" t="str">
        <f>VLOOKUP(A20,[7]LISTADHERENT!A$5:H$60,3,0)</f>
        <v>NANGUEN MARTIN</v>
      </c>
      <c r="D20" s="7">
        <f t="shared" si="1"/>
        <v>25000</v>
      </c>
      <c r="E20" s="7">
        <f>D20+VLOOKUP($A20,[6]HISTOJUIL23!$A$7:$AU$40,45,0)+F20</f>
        <v>40000</v>
      </c>
      <c r="F20" s="7">
        <f>VLOOKUP($A20,[6]HISTOJUIL23!$A$7:$AU$45,7,0)</f>
        <v>0</v>
      </c>
      <c r="G20" s="7" t="str">
        <f>VLOOKUP($A20,[6]HISTOJUIL23!$A$7:$AU$45,8,0)</f>
        <v>BANQUE</v>
      </c>
      <c r="H20" s="7">
        <f>VLOOKUP($A20,[6]HISTOJUIL23!$A$6:$AU$45,35,0)</f>
        <v>0</v>
      </c>
      <c r="I20" s="7">
        <f>VLOOKUP($A20,[6]HISTOJUIL23!$A$7:$AU$45,38,0)</f>
        <v>0</v>
      </c>
      <c r="J20" s="7">
        <f>IF(I20=0,0,VLOOKUP($A20,[6]HISTOJUIL23!$A$7:$AU$45,42,0))</f>
        <v>0</v>
      </c>
      <c r="K20" s="7">
        <f>VLOOKUP($A20,[6]HISTOJUIL23!$A$7:$AU$45,41,0)</f>
        <v>0</v>
      </c>
      <c r="L20" s="7">
        <f>TONTJUIN23!H20+TONTJUIN23!I20</f>
        <v>0</v>
      </c>
      <c r="M20" s="7">
        <f>VLOOKUP($A20,[6]HISTOJUIL23!$A$7:$AU$45,16,0)</f>
        <v>0</v>
      </c>
      <c r="N20" s="7" t="str">
        <f>IF(M20&lt;&gt;0,VLOOKUP($A20,[6]HISTOJUIL23!$A$7:$AU$45,8,0),"ECHEC")</f>
        <v>ECHEC</v>
      </c>
      <c r="O20" s="7">
        <f>IF(R20=0,0,VLOOKUP($A20,[6]HISTOJUIL23!$A$7:$AU$45,32,0))</f>
        <v>0</v>
      </c>
      <c r="P20" s="7">
        <f>VLOOKUP($A20,[6]HISTOJUIL23!$A$7:$AU$45,33,0)</f>
        <v>0</v>
      </c>
      <c r="Q20" s="7">
        <f t="shared" si="0"/>
        <v>0</v>
      </c>
      <c r="R20" s="7">
        <f>VLOOKUP($A20,[6]HISTOJUIL23!$A$7:$AU$45,29,0)</f>
        <v>0</v>
      </c>
    </row>
    <row r="21" spans="1:18" x14ac:dyDescent="0.25">
      <c r="A21" s="1" t="s">
        <v>19</v>
      </c>
      <c r="B21" s="7">
        <f>IF(D21=0,0,VLOOKUP($A21,[6]HISTOJUIL23!$A$6:$BO$40,10,0))</f>
        <v>1</v>
      </c>
      <c r="C21" s="1" t="str">
        <f>VLOOKUP(A21,[7]LISTADHERENT!A$5:H$60,3,0)</f>
        <v>NANKAM APPOLINAIRE</v>
      </c>
      <c r="D21" s="7">
        <f t="shared" si="1"/>
        <v>25000</v>
      </c>
      <c r="E21" s="7">
        <f>D21+VLOOKUP($A21,[6]HISTOJUIL23!$A$7:$AU$40,45,0)+F21</f>
        <v>40000</v>
      </c>
      <c r="F21" s="7">
        <f>VLOOKUP($A21,[6]HISTOJUIL23!$A$7:$AU$45,7,0)</f>
        <v>0</v>
      </c>
      <c r="G21" s="7" t="str">
        <f>VLOOKUP($A21,[6]HISTOJUIL23!$A$7:$AU$45,8,0)</f>
        <v>BANQUE</v>
      </c>
      <c r="H21" s="7">
        <f>VLOOKUP($A21,[6]HISTOJUIL23!$A$6:$AU$45,35,0)</f>
        <v>0</v>
      </c>
      <c r="I21" s="7">
        <f>VLOOKUP($A21,[6]HISTOJUIL23!$A$7:$AU$45,38,0)</f>
        <v>0</v>
      </c>
      <c r="J21" s="7">
        <f>IF(I21=0,0,VLOOKUP($A21,[6]HISTOJUIL23!$A$7:$AU$45,42,0))</f>
        <v>0</v>
      </c>
      <c r="K21" s="7">
        <f>VLOOKUP($A21,[6]HISTOJUIL23!$A$7:$AU$45,41,0)</f>
        <v>0</v>
      </c>
      <c r="L21" s="7">
        <f>TONTJUIN23!H21+TONTJUIN23!I21</f>
        <v>0</v>
      </c>
      <c r="M21" s="7">
        <f>VLOOKUP($A21,[6]HISTOJUIL23!$A$7:$AU$45,16,0)</f>
        <v>0</v>
      </c>
      <c r="N21" s="7" t="str">
        <f>IF(M21&lt;&gt;0,VLOOKUP($A21,[6]HISTOJUIL23!$A$7:$AU$45,8,0),"ECHEC")</f>
        <v>ECHEC</v>
      </c>
      <c r="O21" s="7">
        <f>IF(R21=0,0,VLOOKUP($A21,[6]HISTOJUIL23!$A$7:$AU$45,32,0))</f>
        <v>0</v>
      </c>
      <c r="P21" s="7">
        <f>VLOOKUP($A21,[6]HISTOJUIL23!$A$7:$AU$45,33,0)</f>
        <v>0</v>
      </c>
      <c r="Q21" s="7">
        <f t="shared" si="0"/>
        <v>0</v>
      </c>
      <c r="R21" s="7">
        <f>VLOOKUP($A21,[6]HISTOJUIL23!$A$7:$AU$45,29,0)</f>
        <v>0</v>
      </c>
    </row>
    <row r="22" spans="1:18" x14ac:dyDescent="0.25">
      <c r="A22" s="1" t="s">
        <v>20</v>
      </c>
      <c r="B22" s="7">
        <f>IF(D22=0,0,VLOOKUP($A22,[6]HISTOJUIL23!$A$6:$BO$40,10,0))</f>
        <v>1</v>
      </c>
      <c r="C22" s="1" t="str">
        <f>VLOOKUP(A22,[7]LISTADHERENT!A$5:H$60,3,0)</f>
        <v>NDJOMO ETIENNE</v>
      </c>
      <c r="D22" s="7">
        <f t="shared" si="1"/>
        <v>25000</v>
      </c>
      <c r="E22" s="7">
        <f>D22+VLOOKUP($A22,[6]HISTOJUIL23!$A$7:$AU$40,45,0)+F22</f>
        <v>50000</v>
      </c>
      <c r="F22" s="7">
        <f>VLOOKUP($A22,[6]HISTOJUIL23!$A$7:$AU$45,7,0)</f>
        <v>0</v>
      </c>
      <c r="G22" s="7" t="str">
        <f>VLOOKUP($A22,[6]HISTOJUIL23!$A$7:$AU$45,8,0)</f>
        <v>BANQUE</v>
      </c>
      <c r="H22" s="7">
        <f>VLOOKUP($A22,[6]HISTOJUIL23!$A$6:$AU$45,35,0)</f>
        <v>0</v>
      </c>
      <c r="I22" s="7">
        <f>VLOOKUP($A22,[6]HISTOJUIL23!$A$7:$AU$45,38,0)</f>
        <v>0</v>
      </c>
      <c r="J22" s="7">
        <f>IF(I22=0,0,VLOOKUP($A22,[6]HISTOJUIL23!$A$7:$AU$45,42,0))</f>
        <v>0</v>
      </c>
      <c r="K22" s="7">
        <f>VLOOKUP($A22,[6]HISTOJUIL23!$A$7:$AU$45,41,0)</f>
        <v>0</v>
      </c>
      <c r="L22" s="7">
        <f>TONTJUIN23!H22+TONTJUIN23!I22</f>
        <v>0</v>
      </c>
      <c r="M22" s="7">
        <f>VLOOKUP($A22,[6]HISTOJUIL23!$A$7:$AU$45,16,0)</f>
        <v>0</v>
      </c>
      <c r="N22" s="7" t="str">
        <f>IF(M22&lt;&gt;0,VLOOKUP($A22,[6]HISTOJUIL23!$A$7:$AU$45,8,0),"ECHEC")</f>
        <v>ECHEC</v>
      </c>
      <c r="O22" s="7">
        <f>IF(R22=0,0,VLOOKUP($A22,[6]HISTOJUIL23!$A$7:$AU$45,32,0))</f>
        <v>0</v>
      </c>
      <c r="P22" s="7">
        <f>VLOOKUP($A22,[6]HISTOJUIL23!$A$7:$AU$45,33,0)</f>
        <v>0</v>
      </c>
      <c r="Q22" s="7">
        <f t="shared" si="0"/>
        <v>0</v>
      </c>
      <c r="R22" s="7">
        <f>VLOOKUP($A22,[6]HISTOJUIL23!$A$7:$AU$45,29,0)</f>
        <v>0</v>
      </c>
    </row>
    <row r="23" spans="1:18" x14ac:dyDescent="0.25">
      <c r="A23" s="1" t="s">
        <v>21</v>
      </c>
      <c r="B23" s="7">
        <f>IF(D23=0,0,VLOOKUP($A23,[6]HISTOJUIL23!$A$6:$BO$40,10,0))</f>
        <v>1</v>
      </c>
      <c r="C23" s="1" t="str">
        <f>VLOOKUP(A23,[7]LISTADHERENT!A$5:H$60,3,0)</f>
        <v>NGONDIEP CLAUDE</v>
      </c>
      <c r="D23" s="7">
        <f t="shared" si="1"/>
        <v>25000</v>
      </c>
      <c r="E23" s="7">
        <f>D23+VLOOKUP($A23,[6]HISTOJUIL23!$A$7:$AU$40,45,0)+F23</f>
        <v>45000</v>
      </c>
      <c r="F23" s="7">
        <f>VLOOKUP($A23,[6]HISTOJUIL23!$A$7:$AU$45,7,0)</f>
        <v>0</v>
      </c>
      <c r="G23" s="7" t="str">
        <f>VLOOKUP($A23,[6]HISTOJUIL23!$A$7:$AU$45,8,0)</f>
        <v>BANQUE</v>
      </c>
      <c r="H23" s="7">
        <f>VLOOKUP($A23,[6]HISTOJUIL23!$A$6:$AU$45,35,0)</f>
        <v>61000</v>
      </c>
      <c r="I23" s="7"/>
      <c r="J23" s="7">
        <f>IF(I23=0,0,VLOOKUP($A23,[6]HISTOJUIL23!$A$7:$AU$45,42,0))</f>
        <v>0</v>
      </c>
      <c r="K23" s="7">
        <f>VLOOKUP($A23,[6]HISTOJUIL23!$A$7:$AU$45,41,0)</f>
        <v>0</v>
      </c>
      <c r="L23" s="7">
        <f>TONTJUIN23!H23+TONTJUIN23!I23</f>
        <v>61000</v>
      </c>
      <c r="M23" s="7">
        <f>VLOOKUP($A23,[6]HISTOJUIL23!$A$7:$AU$45,16,0)</f>
        <v>61000</v>
      </c>
      <c r="N23" s="7" t="str">
        <f>IF(M23&lt;&gt;0,VLOOKUP($A23,[6]HISTOJUIL23!$A$7:$AU$45,8,0),"ECHEC")</f>
        <v>BANQUE</v>
      </c>
      <c r="O23" s="7">
        <f>IF(R23=0,0,VLOOKUP($A23,[6]HISTOJUIL23!$A$7:$AU$45,32,0))</f>
        <v>0</v>
      </c>
      <c r="P23" s="7">
        <f>VLOOKUP($A23,[6]HISTOJUIL23!$A$7:$AU$45,33,0)</f>
        <v>0</v>
      </c>
      <c r="Q23" s="7">
        <f t="shared" si="0"/>
        <v>0</v>
      </c>
      <c r="R23" s="7">
        <f>VLOOKUP($A23,[6]HISTOJUIL23!$A$7:$AU$45,29,0)</f>
        <v>0</v>
      </c>
    </row>
    <row r="24" spans="1:18" x14ac:dyDescent="0.25">
      <c r="A24" s="1" t="s">
        <v>22</v>
      </c>
      <c r="B24" s="7">
        <f>IF(D24=0,0,VLOOKUP($A24,[6]HISTOJUIL23!$A$6:$BO$40,10,0))</f>
        <v>1</v>
      </c>
      <c r="C24" s="1" t="str">
        <f>VLOOKUP(A24,[7]LISTADHERENT!A$5:H$60,3,0)</f>
        <v>NGUIEMEGNI MATHIEU BLAISE</v>
      </c>
      <c r="D24" s="7">
        <f t="shared" si="1"/>
        <v>25000</v>
      </c>
      <c r="E24" s="7">
        <f>D24+VLOOKUP($A24,[6]HISTOJUIL23!$A$7:$AU$40,45,0)+F24</f>
        <v>48000</v>
      </c>
      <c r="F24" s="7">
        <f>VLOOKUP($A24,[6]HISTOJUIL23!$A$7:$AU$45,7,0)</f>
        <v>0</v>
      </c>
      <c r="G24" s="7" t="str">
        <f>VLOOKUP($A24,[6]HISTOJUIL23!$A$7:$AU$45,8,0)</f>
        <v>BANQUE</v>
      </c>
      <c r="H24" s="7">
        <f>VLOOKUP($A24,[6]HISTOJUIL23!$A$6:$AU$45,35,0)</f>
        <v>0</v>
      </c>
      <c r="I24" s="7">
        <f>VLOOKUP($A24,[6]HISTOJUIL23!$A$7:$AU$45,38,0)</f>
        <v>0</v>
      </c>
      <c r="J24" s="7">
        <f>IF(I24=0,0,VLOOKUP($A24,[6]HISTOJUIL23!$A$7:$AU$45,42,0))</f>
        <v>0</v>
      </c>
      <c r="K24" s="7">
        <f>VLOOKUP($A24,[6]HISTOJUIL23!$A$7:$AU$45,41,0)</f>
        <v>0</v>
      </c>
      <c r="L24" s="7">
        <f>TONTJUIN23!H24+TONTJUIN23!I24</f>
        <v>0</v>
      </c>
      <c r="M24" s="7">
        <f>VLOOKUP($A24,[6]HISTOJUIL23!$A$7:$AU$45,16,0)</f>
        <v>0</v>
      </c>
      <c r="N24" s="7" t="str">
        <f>IF(M24&lt;&gt;0,VLOOKUP($A24,[6]HISTOJUIL23!$A$7:$AU$45,8,0),"ECHEC")</f>
        <v>ECHEC</v>
      </c>
      <c r="O24" s="7">
        <f>IF(R24=0,0,VLOOKUP($A24,[6]HISTOJUIL23!$A$7:$AU$45,32,0))</f>
        <v>0</v>
      </c>
      <c r="P24" s="7">
        <f>VLOOKUP($A24,[6]HISTOJUIL23!$A$7:$AU$45,33,0)</f>
        <v>0</v>
      </c>
      <c r="Q24" s="7">
        <f t="shared" si="0"/>
        <v>0</v>
      </c>
      <c r="R24" s="7">
        <f>VLOOKUP($A24,[6]HISTOJUIL23!$A$7:$AU$45,29,0)</f>
        <v>0</v>
      </c>
    </row>
    <row r="25" spans="1:18" x14ac:dyDescent="0.25">
      <c r="A25" s="1" t="s">
        <v>23</v>
      </c>
      <c r="B25" s="7">
        <f>IF(D25=0,0,VLOOKUP($A25,[6]HISTOJUIL23!$A$6:$BO$40,10,0))</f>
        <v>1</v>
      </c>
      <c r="C25" s="1" t="str">
        <f>VLOOKUP(A25,[7]LISTADHERENT!A$5:H$60,3,0)</f>
        <v>NKAMGANG JUSTIN DEJOLIE</v>
      </c>
      <c r="D25" s="7">
        <f t="shared" si="1"/>
        <v>25000</v>
      </c>
      <c r="E25" s="7">
        <f>D25+VLOOKUP($A25,[6]HISTOJUIL23!$A$7:$AU$40,45,0)+F25</f>
        <v>43000</v>
      </c>
      <c r="F25" s="7">
        <f>VLOOKUP($A25,[6]HISTOJUIL23!$A$7:$AU$45,7,0)</f>
        <v>3000</v>
      </c>
      <c r="G25" s="7" t="str">
        <f>VLOOKUP($A25,[6]HISTOJUIL23!$A$7:$AU$45,8,0)</f>
        <v>ESPECES</v>
      </c>
      <c r="H25" s="7">
        <f>VLOOKUP($A25,[6]HISTOJUIL23!$A$6:$AU$45,35,0)</f>
        <v>0</v>
      </c>
      <c r="I25" s="7">
        <f>VLOOKUP($A25,[6]HISTOJUIL23!$A$7:$AU$45,38,0)</f>
        <v>0</v>
      </c>
      <c r="J25" s="7">
        <f>IF(I25=0,0,VLOOKUP($A25,[6]HISTOJUIL23!$A$7:$AU$45,42,0))</f>
        <v>0</v>
      </c>
      <c r="K25" s="7">
        <f>VLOOKUP($A25,[6]HISTOJUIL23!$A$7:$AU$45,41,0)</f>
        <v>0</v>
      </c>
      <c r="L25" s="7">
        <f>TONTJUIN23!H25+TONTJUIN23!I25</f>
        <v>0</v>
      </c>
      <c r="M25" s="7">
        <f>VLOOKUP($A25,[6]HISTOJUIL23!$A$7:$AU$45,16,0)</f>
        <v>0</v>
      </c>
      <c r="N25" s="7" t="str">
        <f>IF(M25&lt;&gt;0,VLOOKUP($A25,[6]HISTOJUIL23!$A$7:$AU$45,8,0),"ECHEC")</f>
        <v>ECHEC</v>
      </c>
      <c r="O25" s="7">
        <f>IF(R25=0,0,VLOOKUP($A25,[6]HISTOJUIL23!$A$7:$AU$45,32,0))</f>
        <v>0</v>
      </c>
      <c r="P25" s="7">
        <f>VLOOKUP($A25,[6]HISTOJUIL23!$A$7:$AU$45,33,0)</f>
        <v>0</v>
      </c>
      <c r="Q25" s="7">
        <f t="shared" si="0"/>
        <v>0</v>
      </c>
      <c r="R25" s="7">
        <f>VLOOKUP($A25,[6]HISTOJUIL23!$A$7:$AU$45,29,0)</f>
        <v>0</v>
      </c>
    </row>
    <row r="26" spans="1:18" x14ac:dyDescent="0.25">
      <c r="A26" s="1" t="s">
        <v>86</v>
      </c>
      <c r="B26" s="7">
        <f>IF(D26=0,0,VLOOKUP($A26,[6]HISTOJUIL23!$A$6:$BO$40,10,0))</f>
        <v>1</v>
      </c>
      <c r="C26" s="1" t="str">
        <f>VLOOKUP(A26,[7]LISTADHERENT!A$5:H$60,3,0)</f>
        <v>NOUBE ETIENNE</v>
      </c>
      <c r="D26" s="7">
        <f t="shared" si="1"/>
        <v>25000</v>
      </c>
      <c r="E26" s="7">
        <f>D26+VLOOKUP($A26,[6]HISTOJUIL23!$A$7:$AU$40,45,0)+F26</f>
        <v>50000</v>
      </c>
      <c r="F26" s="7">
        <f>VLOOKUP($A26,[6]HISTOJUIL23!$A$7:$AU$45,7,0)</f>
        <v>0</v>
      </c>
      <c r="G26" s="7" t="str">
        <f>VLOOKUP($A26,[6]HISTOJUIL23!$A$7:$AU$45,8,0)</f>
        <v>BANQUE</v>
      </c>
      <c r="H26" s="7">
        <f>VLOOKUP($A26,[6]HISTOJUIL23!$A$6:$AU$45,35,0)</f>
        <v>0</v>
      </c>
      <c r="I26" s="7">
        <f>VLOOKUP($A26,[6]HISTOJUIL23!$A$7:$AU$45,38,0)</f>
        <v>0</v>
      </c>
      <c r="J26" s="7">
        <f>IF(I26=0,0,VLOOKUP($A26,[6]HISTOJUIL23!$A$7:$AU$45,42,0))</f>
        <v>0</v>
      </c>
      <c r="K26" s="7">
        <f>VLOOKUP($A26,[6]HISTOJUIL23!$A$7:$AU$45,41,0)</f>
        <v>0</v>
      </c>
      <c r="L26" s="7">
        <f>TONTJUIN23!H26+TONTJUIN23!I26</f>
        <v>0</v>
      </c>
      <c r="M26" s="7">
        <f>VLOOKUP($A26,[6]HISTOJUIL23!$A$7:$AU$45,16,0)</f>
        <v>0</v>
      </c>
      <c r="N26" s="7" t="str">
        <f>IF(M26&lt;&gt;0,VLOOKUP($A26,[6]HISTOJUIL23!$A$7:$AU$45,8,0),"ECHEC")</f>
        <v>ECHEC</v>
      </c>
      <c r="O26" s="7">
        <f>IF(R26=0,0,VLOOKUP($A26,[6]HISTOJUIL23!$A$7:$AU$45,32,0))</f>
        <v>0</v>
      </c>
      <c r="P26" s="7">
        <f>VLOOKUP($A26,[6]HISTOJUIL23!$A$7:$AU$45,33,0)</f>
        <v>0</v>
      </c>
      <c r="Q26" s="7">
        <f t="shared" si="0"/>
        <v>0</v>
      </c>
      <c r="R26" s="7">
        <f>VLOOKUP($A26,[6]HISTOJUIL23!$A$7:$AU$45,29,0)</f>
        <v>0</v>
      </c>
    </row>
    <row r="27" spans="1:18" x14ac:dyDescent="0.25">
      <c r="A27" s="1" t="s">
        <v>24</v>
      </c>
      <c r="B27" s="7">
        <f>IF(D27=0,0,VLOOKUP($A27,[6]HISTOJUIL23!$A$6:$BO$40,10,0))</f>
        <v>1</v>
      </c>
      <c r="C27" s="1" t="str">
        <f>VLOOKUP(A27,[7]LISTADHERENT!A$5:H$60,3,0)</f>
        <v>PATEGO NJOSSU GUSTAVE</v>
      </c>
      <c r="D27" s="7">
        <f t="shared" si="1"/>
        <v>25000</v>
      </c>
      <c r="E27" s="7">
        <f>D27+VLOOKUP($A27,[6]HISTOJUIL23!$A$7:$AU$40,45,0)+F27</f>
        <v>40000</v>
      </c>
      <c r="F27" s="7">
        <f>VLOOKUP($A27,[6]HISTOJUIL23!$A$7:$AU$45,7,0)</f>
        <v>0</v>
      </c>
      <c r="G27" s="7" t="str">
        <f>VLOOKUP($A27,[6]HISTOJUIL23!$A$7:$AU$45,8,0)</f>
        <v>BANQUE</v>
      </c>
      <c r="H27" s="7">
        <f>VLOOKUP($A27,[6]HISTOJUIL23!$A$6:$AU$45,35,0)</f>
        <v>0</v>
      </c>
      <c r="I27" s="7">
        <f>VLOOKUP($A27,[6]HISTOJUIL23!$A$7:$AU$45,38,0)</f>
        <v>0</v>
      </c>
      <c r="J27" s="7">
        <f>IF(I27=0,0,VLOOKUP($A27,[6]HISTOJUIL23!$A$7:$AU$45,42,0))</f>
        <v>0</v>
      </c>
      <c r="K27" s="7">
        <f>VLOOKUP($A27,[6]HISTOJUIL23!$A$7:$AU$45,41,0)</f>
        <v>0</v>
      </c>
      <c r="L27" s="7">
        <f>TONTJUIN23!H27+TONTJUIN23!I27</f>
        <v>0</v>
      </c>
      <c r="M27" s="7">
        <f>VLOOKUP($A27,[6]HISTOJUIL23!$A$7:$AU$45,16,0)</f>
        <v>0</v>
      </c>
      <c r="N27" s="7" t="str">
        <f>IF(M27&lt;&gt;0,VLOOKUP($A27,[6]HISTOJUIL23!$A$7:$AU$45,8,0),"ECHEC")</f>
        <v>ECHEC</v>
      </c>
      <c r="O27" s="7">
        <f>IF(R27=0,0,VLOOKUP($A27,[6]HISTOJUIL23!$A$7:$AU$45,32,0))</f>
        <v>0</v>
      </c>
      <c r="P27" s="7">
        <f>VLOOKUP($A27,[6]HISTOJUIL23!$A$7:$AU$45,33,0)</f>
        <v>0</v>
      </c>
      <c r="Q27" s="7">
        <f t="shared" si="0"/>
        <v>0</v>
      </c>
      <c r="R27" s="7">
        <f>VLOOKUP($A27,[6]HISTOJUIL23!$A$7:$AU$45,29,0)</f>
        <v>0</v>
      </c>
    </row>
    <row r="28" spans="1:18" x14ac:dyDescent="0.25">
      <c r="A28" s="1" t="s">
        <v>87</v>
      </c>
      <c r="B28" s="7">
        <f>IF(D28=0,0,VLOOKUP($A28,[6]HISTOJUIL23!$A$6:$BO$40,10,0))</f>
        <v>1</v>
      </c>
      <c r="C28" s="1" t="str">
        <f>VLOOKUP(A28,[7]LISTADHERENT!A$5:H$60,3,0)</f>
        <v>SEUMO POLYCARPE</v>
      </c>
      <c r="D28" s="7">
        <f t="shared" si="1"/>
        <v>25000</v>
      </c>
      <c r="E28" s="7">
        <f>D28+VLOOKUP($A28,[6]HISTOJUIL23!$A$7:$AU$40,45,0)+F28</f>
        <v>40000</v>
      </c>
      <c r="F28" s="7">
        <f>VLOOKUP($A28,[6]HISTOJUIL23!$A$7:$AU$45,7,0)</f>
        <v>0</v>
      </c>
      <c r="G28" s="7" t="str">
        <f>VLOOKUP($A28,[6]HISTOJUIL23!$A$7:$AU$45,8,0)</f>
        <v>BANQUE</v>
      </c>
      <c r="H28" s="7">
        <f>VLOOKUP($A28,[6]HISTOJUIL23!$A$6:$AU$45,35,0)</f>
        <v>0</v>
      </c>
      <c r="I28" s="7">
        <f>VLOOKUP($A28,[6]HISTOJUIL23!$A$7:$AU$45,38,0)</f>
        <v>0</v>
      </c>
      <c r="J28" s="7">
        <f>IF(I28=0,0,VLOOKUP($A28,[6]HISTOJUIL23!$A$7:$AU$45,42,0))</f>
        <v>0</v>
      </c>
      <c r="K28" s="7">
        <f>VLOOKUP($A28,[6]HISTOJUIL23!$A$7:$AU$45,41,0)</f>
        <v>0</v>
      </c>
      <c r="L28" s="7">
        <f>TONTJUIN23!H28+TONTJUIN23!I28</f>
        <v>0</v>
      </c>
      <c r="M28" s="7">
        <f>VLOOKUP($A28,[6]HISTOJUIL23!$A$7:$AU$45,16,0)</f>
        <v>0</v>
      </c>
      <c r="N28" s="7" t="str">
        <f>IF(M28&lt;&gt;0,VLOOKUP($A28,[6]HISTOJUIL23!$A$7:$AU$45,8,0),"ECHEC")</f>
        <v>ECHEC</v>
      </c>
      <c r="O28" s="7">
        <f>IF(R28=0,0,VLOOKUP($A28,[6]HISTOJUIL23!$A$7:$AU$45,32,0))</f>
        <v>0</v>
      </c>
      <c r="P28" s="7">
        <f>VLOOKUP($A28,[6]HISTOJUIL23!$A$7:$AU$45,33,0)</f>
        <v>0</v>
      </c>
      <c r="Q28" s="7">
        <f t="shared" si="0"/>
        <v>0</v>
      </c>
      <c r="R28" s="7">
        <f>VLOOKUP($A28,[6]HISTOJUIL23!$A$7:$AU$45,29,0)</f>
        <v>0</v>
      </c>
    </row>
    <row r="29" spans="1:18" x14ac:dyDescent="0.25">
      <c r="A29" s="1" t="s">
        <v>47</v>
      </c>
      <c r="B29" s="7">
        <f>IF(D29=0,0,VLOOKUP($A29,[6]HISTOJUIL23!$A$6:$BO$40,10,0))</f>
        <v>1</v>
      </c>
      <c r="C29" s="1" t="str">
        <f>VLOOKUP(A29,[7]LISTADHERENT!A$5:H$60,3,0)</f>
        <v>SIME BRICE</v>
      </c>
      <c r="D29" s="7">
        <f t="shared" si="1"/>
        <v>25000</v>
      </c>
      <c r="E29" s="7">
        <f>D29+VLOOKUP($A29,[6]HISTOJUIL23!$A$7:$AU$40,45,0)+F29</f>
        <v>40000</v>
      </c>
      <c r="F29" s="7">
        <f>VLOOKUP($A29,[6]HISTOJUIL23!$A$7:$AU$45,7,0)</f>
        <v>0</v>
      </c>
      <c r="G29" s="7" t="str">
        <f>VLOOKUP($A29,[6]HISTOJUIL23!$A$7:$AU$45,8,0)</f>
        <v>BANQUE</v>
      </c>
      <c r="H29" s="7">
        <f>VLOOKUP($A29,[6]HISTOJUIL23!$A$6:$AU$45,35,0)</f>
        <v>0</v>
      </c>
      <c r="I29" s="7">
        <f>VLOOKUP($A29,[6]HISTOJUIL23!$A$7:$AU$45,38,0)</f>
        <v>0</v>
      </c>
      <c r="J29" s="7">
        <f>IF(I29=0,0,VLOOKUP($A29,[6]HISTOJUIL23!$A$7:$AU$45,42,0))</f>
        <v>0</v>
      </c>
      <c r="K29" s="7">
        <f>VLOOKUP($A29,[6]HISTOJUIL23!$A$7:$AU$45,41,0)</f>
        <v>0</v>
      </c>
      <c r="L29" s="7">
        <f>TONTJUIN23!H29+TONTJUIN23!I29</f>
        <v>0</v>
      </c>
      <c r="M29" s="7">
        <f>VLOOKUP($A29,[6]HISTOJUIL23!$A$7:$AU$45,16,0)</f>
        <v>0</v>
      </c>
      <c r="N29" s="7" t="str">
        <f>IF(M29&lt;&gt;0,VLOOKUP($A29,[6]HISTOJUIL23!$A$7:$AU$45,8,0),"ECHEC")</f>
        <v>ECHEC</v>
      </c>
      <c r="O29" s="7">
        <f>IF(R29=0,0,VLOOKUP($A29,[6]HISTOJUIL23!$A$7:$AU$45,32,0))</f>
        <v>0</v>
      </c>
      <c r="P29" s="7">
        <f>VLOOKUP($A29,[6]HISTOJUIL23!$A$7:$AU$45,33,0)</f>
        <v>0</v>
      </c>
      <c r="Q29" s="7">
        <f t="shared" si="0"/>
        <v>0</v>
      </c>
      <c r="R29" s="7">
        <f>VLOOKUP($A29,[6]HISTOJUIL23!$A$7:$AU$45,29,0)</f>
        <v>0</v>
      </c>
    </row>
    <row r="30" spans="1:18" x14ac:dyDescent="0.25">
      <c r="A30" s="1" t="s">
        <v>25</v>
      </c>
      <c r="B30" s="7">
        <f>IF(D30=0,0,VLOOKUP($A30,[6]HISTOJUIL23!$A$6:$BO$40,10,0))</f>
        <v>1</v>
      </c>
      <c r="C30" s="1" t="str">
        <f>VLOOKUP(A30,[7]LISTADHERENT!A$5:H$60,3,0)</f>
        <v>SIMO PIERRE</v>
      </c>
      <c r="D30" s="7">
        <f t="shared" si="1"/>
        <v>25000</v>
      </c>
      <c r="E30" s="7">
        <f>D30+VLOOKUP($A30,[6]HISTOJUIL23!$A$7:$AU$40,45,0)+F30</f>
        <v>40000</v>
      </c>
      <c r="F30" s="7">
        <f>VLOOKUP($A30,[6]HISTOJUIL23!$A$7:$AU$45,7,0)</f>
        <v>0</v>
      </c>
      <c r="G30" s="7" t="str">
        <f>VLOOKUP($A30,[6]HISTOJUIL23!$A$7:$AU$45,8,0)</f>
        <v>BANQUE</v>
      </c>
      <c r="H30" s="7">
        <f>VLOOKUP($A30,[6]HISTOJUIL23!$A$6:$AU$45,35,0)</f>
        <v>0</v>
      </c>
      <c r="I30" s="7">
        <f>VLOOKUP($A30,[6]HISTOJUIL23!$A$7:$AU$45,38,0)</f>
        <v>0</v>
      </c>
      <c r="J30" s="7">
        <f>IF(I30=0,0,VLOOKUP($A30,[6]HISTOJUIL23!$A$7:$AU$45,42,0))</f>
        <v>0</v>
      </c>
      <c r="K30" s="7">
        <f>VLOOKUP($A30,[6]HISTOJUIL23!$A$7:$AU$45,41,0)</f>
        <v>0</v>
      </c>
      <c r="L30" s="7">
        <f>TONTJUIN23!H30+TONTJUIN23!I30</f>
        <v>0</v>
      </c>
      <c r="M30" s="7">
        <f>VLOOKUP($A30,[6]HISTOJUIL23!$A$7:$AU$45,16,0)</f>
        <v>0</v>
      </c>
      <c r="N30" s="7" t="str">
        <f>IF(M30&lt;&gt;0,VLOOKUP($A30,[6]HISTOJUIL23!$A$7:$AU$45,8,0),"ECHEC")</f>
        <v>ECHEC</v>
      </c>
      <c r="O30" s="7">
        <f>IF(R30=0,0,VLOOKUP($A30,[6]HISTOJUIL23!$A$7:$AU$45,32,0))</f>
        <v>0</v>
      </c>
      <c r="P30" s="7">
        <f>VLOOKUP($A30,[6]HISTOJUIL23!$A$7:$AU$45,33,0)</f>
        <v>0</v>
      </c>
      <c r="Q30" s="7">
        <f t="shared" si="0"/>
        <v>0</v>
      </c>
      <c r="R30" s="7">
        <f>VLOOKUP($A30,[6]HISTOJUIL23!$A$7:$AU$45,29,0)</f>
        <v>0</v>
      </c>
    </row>
    <row r="31" spans="1:18" x14ac:dyDescent="0.25">
      <c r="A31" s="1" t="s">
        <v>27</v>
      </c>
      <c r="B31" s="7">
        <f>IF(D31=0,0,VLOOKUP($A31,[6]HISTOJUIL23!$A$6:$BO$40,10,0))</f>
        <v>1</v>
      </c>
      <c r="C31" s="1" t="str">
        <f>VLOOKUP(A31,[7]LISTADHERENT!A$5:H$60,3,0)</f>
        <v>TCHOUAMOU MATHIEU</v>
      </c>
      <c r="D31" s="7">
        <f t="shared" si="1"/>
        <v>25000</v>
      </c>
      <c r="E31" s="7">
        <f>D31+VLOOKUP($A31,[6]HISTOJUIL23!$A$7:$AU$40,45,0)+F31</f>
        <v>40000</v>
      </c>
      <c r="F31" s="7">
        <f>VLOOKUP($A31,[6]HISTOJUIL23!$A$7:$AU$45,7,0)</f>
        <v>0</v>
      </c>
      <c r="G31" s="7" t="str">
        <f>VLOOKUP($A31,[6]HISTOJUIL23!$A$7:$AU$45,8,0)</f>
        <v>BANQUE</v>
      </c>
      <c r="H31" s="7">
        <f>VLOOKUP($A31,[6]HISTOJUIL23!$A$6:$AU$45,35,0)</f>
        <v>0</v>
      </c>
      <c r="I31" s="7">
        <f>VLOOKUP($A31,[6]HISTOJUIL23!$A$7:$AU$45,38,0)</f>
        <v>0</v>
      </c>
      <c r="J31" s="7">
        <f>IF(I31=0,0,VLOOKUP($A31,[6]HISTOJUIL23!$A$7:$AU$45,42,0))</f>
        <v>0</v>
      </c>
      <c r="K31" s="7">
        <f>VLOOKUP($A31,[6]HISTOJUIL23!$A$7:$AU$45,41,0)</f>
        <v>0</v>
      </c>
      <c r="L31" s="7">
        <f>TONTJUIN23!H31+TONTJUIN23!I31</f>
        <v>0</v>
      </c>
      <c r="M31" s="7">
        <f>VLOOKUP($A31,[6]HISTOJUIL23!$A$7:$AU$45,16,0)</f>
        <v>0</v>
      </c>
      <c r="N31" s="7" t="str">
        <f>IF(M31&lt;&gt;0,VLOOKUP($A31,[6]HISTOJUIL23!$A$7:$AU$45,8,0),"ECHEC")</f>
        <v>ECHEC</v>
      </c>
      <c r="O31" s="7" t="str">
        <f>IF(R31=0,0,VLOOKUP($A31,[6]HISTOJUIL23!$A$7:$AU$45,32,0))</f>
        <v>BANQUE</v>
      </c>
      <c r="P31" s="7">
        <f>VLOOKUP($A31,[6]HISTOJUIL23!$A$7:$AU$45,33,0)</f>
        <v>0</v>
      </c>
      <c r="Q31" s="7">
        <f t="shared" si="0"/>
        <v>297500</v>
      </c>
      <c r="R31" s="7">
        <f>VLOOKUP($A31,[6]HISTOJUIL23!$A$7:$AU$45,29,0)</f>
        <v>2500</v>
      </c>
    </row>
    <row r="32" spans="1:18" x14ac:dyDescent="0.25">
      <c r="A32" s="1" t="s">
        <v>88</v>
      </c>
      <c r="B32" s="7">
        <f>IF(D32=0,0,VLOOKUP($A32,[6]HISTOJUIL23!$A$6:$BO$40,10,0))</f>
        <v>1</v>
      </c>
      <c r="C32" s="1" t="str">
        <f>VLOOKUP(A32,[7]LISTADHERENT!A$5:H$60,3,0)</f>
        <v>TCHOUTOU NANA CLAUDE</v>
      </c>
      <c r="D32" s="7">
        <f t="shared" si="1"/>
        <v>25000</v>
      </c>
      <c r="E32" s="7">
        <f>D32+VLOOKUP($A32,[6]HISTOJUIL23!$A$7:$AU$40,45,0)+F32</f>
        <v>40000</v>
      </c>
      <c r="F32" s="7">
        <f>VLOOKUP($A32,[6]HISTOJUIL23!$A$7:$AU$45,7,0)</f>
        <v>0</v>
      </c>
      <c r="G32" s="7" t="str">
        <f>VLOOKUP($A32,[6]HISTOJUIL23!$A$7:$AU$45,8,0)</f>
        <v>BANQUE</v>
      </c>
      <c r="H32" s="7">
        <f>VLOOKUP($A32,[6]HISTOJUIL23!$A$6:$AU$45,35,0)</f>
        <v>0</v>
      </c>
      <c r="I32" s="7">
        <f>VLOOKUP($A32,[6]HISTOJUIL23!$A$7:$AU$45,38,0)</f>
        <v>0</v>
      </c>
      <c r="J32" s="7">
        <f>IF(I32=0,0,VLOOKUP($A32,[6]HISTOJUIL23!$A$7:$AU$45,42,0))</f>
        <v>0</v>
      </c>
      <c r="K32" s="7">
        <f>VLOOKUP($A32,[6]HISTOJUIL23!$A$7:$AU$45,41,0)</f>
        <v>0</v>
      </c>
      <c r="L32" s="7">
        <f>TONTJUIN23!H32+TONTJUIN23!I32</f>
        <v>0</v>
      </c>
      <c r="M32" s="7">
        <f>VLOOKUP($A32,[6]HISTOJUIL23!$A$7:$AU$45,16,0)</f>
        <v>0</v>
      </c>
      <c r="N32" s="7" t="str">
        <f>IF(M32&lt;&gt;0,VLOOKUP($A32,[6]HISTOJUIL23!$A$7:$AU$45,8,0),"ECHEC")</f>
        <v>ECHEC</v>
      </c>
      <c r="O32" s="7">
        <f>IF(R32=0,0,VLOOKUP($A32,[6]HISTOJUIL23!$A$7:$AU$45,32,0))</f>
        <v>0</v>
      </c>
      <c r="P32" s="7">
        <f>VLOOKUP($A32,[6]HISTOJUIL23!$A$7:$AU$45,33,0)</f>
        <v>0</v>
      </c>
      <c r="Q32" s="7">
        <f t="shared" si="0"/>
        <v>0</v>
      </c>
      <c r="R32" s="7">
        <f>VLOOKUP($A32,[6]HISTOJUIL23!$A$7:$AU$45,29,0)</f>
        <v>0</v>
      </c>
    </row>
    <row r="33" spans="1:18" x14ac:dyDescent="0.25">
      <c r="A33" s="1" t="s">
        <v>90</v>
      </c>
      <c r="B33" s="7">
        <f>IF(D33=0,0,VLOOKUP($A33,[6]HISTOJUIL23!$A$6:$BO$40,10,0))</f>
        <v>1</v>
      </c>
      <c r="C33" s="1" t="str">
        <f>VLOOKUP(A33,[7]LISTADHERENT!A$5:H$60,3,0)</f>
        <v>YANTCHOU GERVAIS</v>
      </c>
      <c r="D33" s="7">
        <f t="shared" si="1"/>
        <v>25000</v>
      </c>
      <c r="E33" s="7">
        <f>D33+VLOOKUP($A33,[6]HISTOJUIL23!$A$7:$AU$40,45,0)+F33</f>
        <v>100000</v>
      </c>
      <c r="F33" s="7">
        <f>VLOOKUP($A33,[6]HISTOJUIL23!$A$7:$AU$45,7,0)</f>
        <v>0</v>
      </c>
      <c r="G33" s="7" t="str">
        <f>VLOOKUP($A33,[6]HISTOJUIL23!$A$7:$AU$45,8,0)</f>
        <v>BANQUE</v>
      </c>
      <c r="H33" s="7">
        <f>VLOOKUP($A33,[6]HISTOJUIL23!$A$6:$AU$45,35,0)</f>
        <v>0</v>
      </c>
      <c r="I33" s="7">
        <f>VLOOKUP($A33,[6]HISTOJUIL23!$A$7:$AU$45,38,0)</f>
        <v>0</v>
      </c>
      <c r="J33" s="7">
        <f>IF(I33=0,0,VLOOKUP($A33,[6]HISTOJUIL23!$A$7:$AU$45,42,0))</f>
        <v>0</v>
      </c>
      <c r="K33" s="7">
        <f>VLOOKUP($A33,[6]HISTOJUIL23!$A$7:$AU$45,41,0)</f>
        <v>0</v>
      </c>
      <c r="L33" s="7">
        <f>TONTJUIN23!H33+TONTJUIN23!I33</f>
        <v>0</v>
      </c>
      <c r="M33" s="7">
        <f>VLOOKUP($A33,[6]HISTOJUIL23!$A$7:$AU$45,16,0)</f>
        <v>0</v>
      </c>
      <c r="N33" s="7" t="str">
        <f>IF(M33&lt;&gt;0,VLOOKUP($A33,[6]HISTOJUIL23!$A$7:$AU$45,8,0),"ECHEC")</f>
        <v>ECHEC</v>
      </c>
      <c r="O33" s="7">
        <f>IF(R33=0,0,VLOOKUP($A33,[6]HISTOJUIL23!$A$7:$AU$45,32,0))</f>
        <v>0</v>
      </c>
      <c r="P33" s="7">
        <f>VLOOKUP($A33,[6]HISTOJUIL23!$A$7:$AU$45,33,0)</f>
        <v>0</v>
      </c>
      <c r="Q33" s="7">
        <f t="shared" si="0"/>
        <v>0</v>
      </c>
      <c r="R33" s="7">
        <f>VLOOKUP($A33,[6]HISTOJUIL23!$A$7:$AU$45,29,0)</f>
        <v>0</v>
      </c>
    </row>
    <row r="34" spans="1:18" x14ac:dyDescent="0.25">
      <c r="A34" s="1" t="s">
        <v>28</v>
      </c>
      <c r="B34" s="7">
        <f>IF(D34=0,0,VLOOKUP($A34,[6]HISTOJUIL23!$A$6:$BO$40,10,0))</f>
        <v>1</v>
      </c>
      <c r="C34" s="1" t="str">
        <f>VLOOKUP(A34,[7]LISTADHERENT!A$5:H$60,3,0)</f>
        <v>YEPMOU JEAN JACQUES</v>
      </c>
      <c r="D34" s="7">
        <f t="shared" si="1"/>
        <v>25000</v>
      </c>
      <c r="E34" s="7">
        <f>D34+VLOOKUP($A34,[6]HISTOJUIL23!$A$7:$AU$40,45,0)+F34</f>
        <v>40000</v>
      </c>
      <c r="F34" s="7">
        <f>VLOOKUP($A34,[6]HISTOJUIL23!$A$7:$AU$45,7,0)</f>
        <v>0</v>
      </c>
      <c r="G34" s="7" t="str">
        <f>VLOOKUP($A34,[6]HISTOJUIL23!$A$7:$AU$45,8,0)</f>
        <v>BANQUE</v>
      </c>
      <c r="H34" s="7">
        <f>VLOOKUP($A34,[6]HISTOJUIL23!$A$6:$AU$45,35,0)</f>
        <v>0</v>
      </c>
      <c r="I34" s="7">
        <f>VLOOKUP($A34,[6]HISTOJUIL23!$A$7:$AU$45,38,0)</f>
        <v>0</v>
      </c>
      <c r="J34" s="7">
        <f>IF(I34=0,0,VLOOKUP($A34,[6]HISTOJUIL23!$A$7:$AU$45,42,0))</f>
        <v>0</v>
      </c>
      <c r="K34" s="7">
        <f>VLOOKUP($A34,[6]HISTOJUIL23!$A$7:$AU$45,41,0)</f>
        <v>0</v>
      </c>
      <c r="L34" s="7">
        <f>TONTJUIN23!H34+TONTJUIN23!I34</f>
        <v>0</v>
      </c>
      <c r="M34" s="7">
        <f>VLOOKUP($A34,[6]HISTOJUIL23!$A$7:$AU$45,16,0)</f>
        <v>0</v>
      </c>
      <c r="N34" s="7" t="str">
        <f>IF(M34&lt;&gt;0,VLOOKUP($A34,[6]HISTOJUIL23!$A$7:$AU$45,8,0),"ECHEC")</f>
        <v>ECHEC</v>
      </c>
      <c r="O34" s="7">
        <f>IF(R34=0,0,VLOOKUP($A34,[6]HISTOJUIL23!$A$7:$AU$45,32,0))</f>
        <v>0</v>
      </c>
      <c r="P34" s="7">
        <f>VLOOKUP($A34,[6]HISTOJUIL23!$A$7:$AU$45,33,0)</f>
        <v>0</v>
      </c>
      <c r="Q34" s="7">
        <f t="shared" si="0"/>
        <v>0</v>
      </c>
      <c r="R34" s="7">
        <f>VLOOKUP($A34,[6]HISTOJUIL23!$A$7:$AU$45,29,0)</f>
        <v>0</v>
      </c>
    </row>
    <row r="35" spans="1:18" x14ac:dyDescent="0.25">
      <c r="A35" s="1" t="s">
        <v>29</v>
      </c>
      <c r="B35" s="7">
        <f>IF(D35=0,0,VLOOKUP($A35,[6]HISTOJUIL23!$A$6:$BO$40,10,0))</f>
        <v>1</v>
      </c>
      <c r="C35" s="1" t="str">
        <f>VLOOKUP(A35,[7]LISTADHERENT!A$5:H$60,3,0)</f>
        <v>YOUMBI EMMANUEL</v>
      </c>
      <c r="D35" s="7">
        <f t="shared" si="1"/>
        <v>25000</v>
      </c>
      <c r="E35" s="7">
        <f>D35+VLOOKUP($A35,[6]HISTOJUIL23!$A$7:$AU$40,45,0)+F35</f>
        <v>40000</v>
      </c>
      <c r="F35" s="7">
        <f>VLOOKUP($A35,[6]HISTOJUIL23!$A$7:$AU$45,7,0)</f>
        <v>0</v>
      </c>
      <c r="G35" s="7" t="str">
        <f>VLOOKUP($A35,[6]HISTOJUIL23!$A$7:$AU$45,8,0)</f>
        <v>BANQUE</v>
      </c>
      <c r="H35" s="7">
        <f>VLOOKUP($A35,[6]HISTOJUIL23!$A$6:$AU$45,35,0)</f>
        <v>0</v>
      </c>
      <c r="I35" s="7">
        <f>VLOOKUP($A35,[6]HISTOJUIL23!$A$7:$AU$45,38,0)</f>
        <v>0</v>
      </c>
      <c r="J35" s="7">
        <f>IF(I35=0,0,VLOOKUP($A35,[6]HISTOJUIL23!$A$7:$AU$45,42,0))</f>
        <v>0</v>
      </c>
      <c r="K35" s="7">
        <f>VLOOKUP($A35,[6]HISTOJUIL23!$A$7:$AU$45,41,0)</f>
        <v>0</v>
      </c>
      <c r="L35" s="7">
        <f>TONTJUIN23!H35+TONTJUIN23!I35</f>
        <v>0</v>
      </c>
      <c r="M35" s="7">
        <f>VLOOKUP($A35,[6]HISTOJUIL23!$A$7:$AU$45,16,0)</f>
        <v>0</v>
      </c>
      <c r="N35" s="7" t="str">
        <f>IF(M35&lt;&gt;0,VLOOKUP($A35,[6]HISTOJUIL23!$A$7:$AU$45,8,0),"ECHEC")</f>
        <v>ECHEC</v>
      </c>
      <c r="O35" s="7">
        <f>IF(R35=0,0,VLOOKUP($A35,[6]HISTOJUIL23!$A$7:$AU$45,32,0))</f>
        <v>0</v>
      </c>
      <c r="P35" s="7">
        <f>VLOOKUP($A35,[6]HISTOJUIL23!$A$7:$AU$45,33,0)</f>
        <v>0</v>
      </c>
      <c r="Q35" s="7">
        <f t="shared" si="0"/>
        <v>0</v>
      </c>
      <c r="R35" s="7">
        <f>VLOOKUP($A35,[6]HISTOJUIL23!$A$7:$AU$45,29,0)</f>
        <v>0</v>
      </c>
    </row>
    <row r="36" spans="1:18" x14ac:dyDescent="0.25">
      <c r="A36" s="1"/>
    </row>
    <row r="37" spans="1:18" ht="18" x14ac:dyDescent="0.25">
      <c r="A37" s="1" t="s">
        <v>84</v>
      </c>
      <c r="B37" s="8">
        <f>SUM(B6:B36)</f>
        <v>30</v>
      </c>
      <c r="I37" s="9"/>
    </row>
    <row r="38" spans="1:18" ht="18" x14ac:dyDescent="0.25">
      <c r="A38" s="1" t="s">
        <v>83</v>
      </c>
      <c r="B38" s="16">
        <f>COUNT(D6:D35)</f>
        <v>30</v>
      </c>
      <c r="C38" s="8"/>
      <c r="D38" s="8">
        <f>SUM(D6:D37)</f>
        <v>750000</v>
      </c>
      <c r="E38" s="8">
        <f>SUM(E6:E37)</f>
        <v>1353300</v>
      </c>
      <c r="F38" s="8">
        <f>SUM(F6:F37)</f>
        <v>15000</v>
      </c>
      <c r="G38" s="8"/>
      <c r="H38" s="8">
        <f t="shared" ref="H38:K38" si="2">SUM(H6:H37)</f>
        <v>61000</v>
      </c>
      <c r="I38" s="8">
        <f t="shared" si="2"/>
        <v>0</v>
      </c>
      <c r="J38" s="8">
        <f t="shared" si="2"/>
        <v>0</v>
      </c>
      <c r="K38" s="8">
        <f t="shared" si="2"/>
        <v>0</v>
      </c>
      <c r="L38" s="8">
        <f t="shared" ref="L38:R38" si="3">SUM(L6:L37)</f>
        <v>152500</v>
      </c>
      <c r="M38" s="8">
        <f t="shared" si="3"/>
        <v>152500</v>
      </c>
      <c r="N38" s="8">
        <f t="shared" si="3"/>
        <v>0</v>
      </c>
      <c r="O38" s="8">
        <f t="shared" si="3"/>
        <v>0</v>
      </c>
      <c r="P38" s="8">
        <f t="shared" si="3"/>
        <v>0</v>
      </c>
      <c r="Q38" s="8">
        <f t="shared" si="3"/>
        <v>892000</v>
      </c>
      <c r="R38" s="8">
        <f t="shared" si="3"/>
        <v>8000</v>
      </c>
    </row>
    <row r="39" spans="1:18" s="2" customFormat="1" x14ac:dyDescent="0.25">
      <c r="B39"/>
      <c r="C39"/>
      <c r="D39"/>
      <c r="E39"/>
      <c r="F39"/>
      <c r="G39"/>
      <c r="H39"/>
      <c r="I39" s="9"/>
      <c r="J39" s="3"/>
      <c r="K39" s="3"/>
      <c r="L39" s="3"/>
      <c r="N39" s="4" t="s">
        <v>76</v>
      </c>
      <c r="O39" s="4" t="s">
        <v>85</v>
      </c>
      <c r="P39" s="3"/>
    </row>
    <row r="40" spans="1:18" s="2" customFormat="1" ht="29.25" x14ac:dyDescent="0.25">
      <c r="D40" s="4" t="s">
        <v>5</v>
      </c>
      <c r="E40" s="4" t="s">
        <v>7</v>
      </c>
      <c r="F40"/>
      <c r="G40" s="4" t="s">
        <v>36</v>
      </c>
      <c r="H40" s="4" t="s">
        <v>40</v>
      </c>
      <c r="I40" s="4" t="s">
        <v>42</v>
      </c>
      <c r="J40" s="4" t="s">
        <v>43</v>
      </c>
      <c r="K40" s="4"/>
      <c r="L40" s="8" t="s">
        <v>49</v>
      </c>
      <c r="M40" s="8">
        <f>D44+G44+R38+TONTJUIN23!O45</f>
        <v>951000</v>
      </c>
      <c r="N40" s="4"/>
      <c r="O40"/>
      <c r="P40" s="4"/>
    </row>
    <row r="41" spans="1:18" s="2" customFormat="1" ht="18" x14ac:dyDescent="0.25">
      <c r="D41" s="8">
        <f>SUMIFS(D6:D37,G6:G37,"ESPECES")</f>
        <v>50000</v>
      </c>
      <c r="E41" s="8">
        <f>SUMIFS(E6:E37,G6:G37,"ESPECES")</f>
        <v>83000</v>
      </c>
      <c r="F41" s="8" t="s">
        <v>32</v>
      </c>
      <c r="G41" s="8">
        <f>SUMIFS(M6:M35,N6:N35,"ESPECES")</f>
        <v>0</v>
      </c>
      <c r="H41" s="8">
        <f>SUMIFS(H6:H37,J6:J37,"ESPECES")</f>
        <v>0</v>
      </c>
      <c r="I41" s="8">
        <f>SUMIFS(Q6:Q37,O6:O37,"ESPECES")</f>
        <v>0</v>
      </c>
      <c r="J41" s="8">
        <f>D41+G41-H41-I41</f>
        <v>50000</v>
      </c>
      <c r="K41" s="8"/>
      <c r="L41" s="8" t="s">
        <v>80</v>
      </c>
      <c r="M41" s="8">
        <f>C3*COUNTIF(Q6:Q37,"&gt;0")</f>
        <v>900000</v>
      </c>
      <c r="N41" s="8">
        <f>D3</f>
        <v>3</v>
      </c>
      <c r="O41" s="8">
        <f>COUNTIF(Q6:Q35,"&gt;0")</f>
        <v>3</v>
      </c>
      <c r="P41" s="8"/>
    </row>
    <row r="42" spans="1:18" s="2" customFormat="1" ht="18" x14ac:dyDescent="0.25">
      <c r="D42" s="8">
        <f>SUMIFS(D6:D37,G6:G37,"BANQUE")</f>
        <v>700000</v>
      </c>
      <c r="E42" s="8">
        <f>SUMIFS(E6:E38,G6:G38,"BANQUE")</f>
        <v>1270300</v>
      </c>
      <c r="F42" s="8" t="s">
        <v>33</v>
      </c>
      <c r="G42" s="8">
        <f>SUMIFS(M6:M35,N6:N35,"BANQUE")</f>
        <v>152500</v>
      </c>
      <c r="H42" s="8">
        <f>SUMIFS(H6:H37,J6:J37,"BANQUE")</f>
        <v>0</v>
      </c>
      <c r="I42" s="8">
        <f>SUMIFS(Q6:Q37,O6:O37,"BANQUE")</f>
        <v>892000</v>
      </c>
      <c r="J42" s="8">
        <f>D42+G42-H42-I42</f>
        <v>-39500</v>
      </c>
      <c r="K42" s="8"/>
      <c r="M42" s="8"/>
      <c r="N42" s="8"/>
      <c r="O42" s="8"/>
      <c r="P42" s="8"/>
    </row>
    <row r="43" spans="1:18" s="2" customFormat="1" ht="18" x14ac:dyDescent="0.25">
      <c r="D43" s="8"/>
      <c r="E43" s="8"/>
      <c r="F43" s="8"/>
      <c r="G43" s="8"/>
      <c r="H43" s="8"/>
      <c r="I43" s="8"/>
      <c r="K43" s="8"/>
      <c r="L43" s="8" t="s">
        <v>48</v>
      </c>
      <c r="M43" s="8">
        <f>M40-M41</f>
        <v>51000</v>
      </c>
      <c r="N43" s="8"/>
      <c r="O43" s="8"/>
      <c r="P43" s="8"/>
    </row>
    <row r="44" spans="1:18" s="2" customFormat="1" ht="18" x14ac:dyDescent="0.25">
      <c r="D44" s="8">
        <f>D41+D42</f>
        <v>750000</v>
      </c>
      <c r="E44" s="8">
        <f>E41+E42</f>
        <v>1353300</v>
      </c>
      <c r="F44" s="8" t="s">
        <v>30</v>
      </c>
      <c r="G44" s="8">
        <f>G41+G42</f>
        <v>152500</v>
      </c>
      <c r="H44" s="8">
        <f>H41+H42</f>
        <v>0</v>
      </c>
      <c r="I44" s="8">
        <f t="shared" ref="I44:J44" si="4">I41+I42</f>
        <v>892000</v>
      </c>
      <c r="J44" s="8">
        <f t="shared" si="4"/>
        <v>10500</v>
      </c>
      <c r="K44" s="8"/>
      <c r="M44" s="8"/>
      <c r="N44" s="8"/>
      <c r="O44" s="8"/>
      <c r="P44" s="8"/>
    </row>
    <row r="45" spans="1:18" s="2" customFormat="1" ht="18" x14ac:dyDescent="0.25">
      <c r="D45" s="8"/>
      <c r="E45" s="8"/>
      <c r="F45" s="8" t="s">
        <v>52</v>
      </c>
      <c r="G45"/>
      <c r="H45"/>
      <c r="I45" s="3"/>
      <c r="J45" s="3"/>
      <c r="K45" s="3"/>
      <c r="L45" s="8" t="s">
        <v>51</v>
      </c>
      <c r="M45" s="8">
        <f>M43-H38</f>
        <v>-10000</v>
      </c>
      <c r="N45"/>
      <c r="O45" s="8">
        <f>TONTJUIL23!M45</f>
        <v>-10000</v>
      </c>
      <c r="P45" s="8" t="s">
        <v>54</v>
      </c>
    </row>
    <row r="46" spans="1:18" s="2" customFormat="1" ht="18" x14ac:dyDescent="0.25">
      <c r="D46" s="4"/>
      <c r="E46" s="4"/>
      <c r="F46" s="8"/>
      <c r="G46"/>
      <c r="H46"/>
      <c r="I46" s="3"/>
      <c r="J46" s="3"/>
      <c r="K46" s="3"/>
      <c r="N46"/>
      <c r="O46" s="3"/>
      <c r="P46" s="3"/>
    </row>
    <row r="47" spans="1:18" ht="18" x14ac:dyDescent="0.25">
      <c r="L47" s="8" t="s">
        <v>56</v>
      </c>
      <c r="M47" s="8">
        <f>COUNTIFS(G6:G36,"ECHEC")*25000</f>
        <v>0</v>
      </c>
      <c r="O47" s="8">
        <f>TONTJUIN23!O47+TONTJUIL23!M47</f>
        <v>0</v>
      </c>
      <c r="P47" s="8" t="s">
        <v>54</v>
      </c>
    </row>
    <row r="48" spans="1:18" ht="18" x14ac:dyDescent="0.25">
      <c r="F48" s="2"/>
      <c r="L48" s="8" t="s">
        <v>55</v>
      </c>
      <c r="M48" s="8">
        <f>L38-G44</f>
        <v>0</v>
      </c>
      <c r="O48" s="8">
        <f>TONTJUIN23!O48+TONTJUIL23!M48</f>
        <v>0</v>
      </c>
      <c r="P48" s="8" t="s">
        <v>54</v>
      </c>
    </row>
  </sheetData>
  <autoFilter ref="A5:R25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"/>
  <sheetViews>
    <sheetView workbookViewId="0">
      <pane xSplit="3" ySplit="5" topLeftCell="L33" activePane="bottomRight" state="frozen"/>
      <selection activeCell="O49" sqref="O49"/>
      <selection pane="topRight" activeCell="O49" sqref="O49"/>
      <selection pane="bottomLeft" activeCell="O49" sqref="O49"/>
      <selection pane="bottomRight" activeCell="D38" sqref="D38:R38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5" width="21" customWidth="1"/>
    <col min="6" max="6" width="21.42578125" customWidth="1"/>
    <col min="7" max="7" width="16.7109375" customWidth="1"/>
    <col min="8" max="8" width="15" customWidth="1"/>
    <col min="9" max="10" width="17.5703125" style="3" customWidth="1"/>
    <col min="11" max="11" width="16" style="3" customWidth="1"/>
    <col min="12" max="12" width="19.85546875" style="3" customWidth="1"/>
    <col min="13" max="13" width="15.7109375" style="2" customWidth="1"/>
    <col min="14" max="14" width="13" customWidth="1"/>
    <col min="15" max="15" width="14.5703125" bestFit="1" customWidth="1"/>
    <col min="16" max="16" width="15.5703125" style="3" customWidth="1"/>
    <col min="17" max="18" width="18.140625" style="2" customWidth="1"/>
  </cols>
  <sheetData>
    <row r="1" spans="1:18" x14ac:dyDescent="0.2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18" x14ac:dyDescent="0.25">
      <c r="A2" s="1" t="s">
        <v>2</v>
      </c>
      <c r="B2" s="1">
        <v>2023</v>
      </c>
      <c r="C2" s="1" t="s">
        <v>81</v>
      </c>
      <c r="D2" s="1" t="s">
        <v>76</v>
      </c>
      <c r="E2" s="1"/>
      <c r="F2" s="1"/>
      <c r="G2" s="1"/>
      <c r="N2" s="1"/>
      <c r="O2" s="1"/>
    </row>
    <row r="3" spans="1:18" x14ac:dyDescent="0.25">
      <c r="A3" s="1" t="s">
        <v>82</v>
      </c>
      <c r="B3" s="6">
        <v>25000</v>
      </c>
      <c r="C3" s="6">
        <f>B3*12</f>
        <v>300000</v>
      </c>
      <c r="D3" s="1">
        <f>ROUNDDOWN(M40/C3,0)</f>
        <v>2</v>
      </c>
      <c r="E3" s="1"/>
      <c r="F3" s="1"/>
      <c r="G3" s="1"/>
      <c r="N3" s="1"/>
      <c r="O3" s="1"/>
    </row>
    <row r="4" spans="1:18" s="13" customFormat="1" ht="18" x14ac:dyDescent="0.25">
      <c r="B4" s="14"/>
      <c r="C4" s="21">
        <v>45151</v>
      </c>
      <c r="D4" s="22"/>
      <c r="E4" s="22"/>
      <c r="F4" s="22"/>
      <c r="G4" s="22"/>
      <c r="H4" s="22"/>
      <c r="I4" s="22"/>
      <c r="J4" s="22"/>
      <c r="K4" s="22"/>
      <c r="L4" s="22"/>
      <c r="N4" s="15"/>
      <c r="O4" s="15"/>
      <c r="P4" s="15"/>
      <c r="Q4" s="15"/>
    </row>
    <row r="5" spans="1:18" ht="58.5" x14ac:dyDescent="0.3">
      <c r="A5" s="1" t="s">
        <v>3</v>
      </c>
      <c r="B5" s="12" t="s">
        <v>77</v>
      </c>
      <c r="C5" s="1" t="s">
        <v>4</v>
      </c>
      <c r="D5" s="4" t="s">
        <v>5</v>
      </c>
      <c r="E5" s="4" t="s">
        <v>7</v>
      </c>
      <c r="F5" s="1" t="s">
        <v>44</v>
      </c>
      <c r="G5" s="5" t="s">
        <v>6</v>
      </c>
      <c r="H5" s="6" t="s">
        <v>40</v>
      </c>
      <c r="I5" s="4" t="s">
        <v>37</v>
      </c>
      <c r="J5" s="4" t="s">
        <v>41</v>
      </c>
      <c r="K5" s="10" t="s">
        <v>50</v>
      </c>
      <c r="L5" s="4" t="s">
        <v>78</v>
      </c>
      <c r="M5" s="4" t="s">
        <v>36</v>
      </c>
      <c r="N5" s="4" t="s">
        <v>35</v>
      </c>
      <c r="O5" s="4" t="s">
        <v>38</v>
      </c>
      <c r="P5" s="4" t="s">
        <v>50</v>
      </c>
      <c r="Q5" s="4" t="s">
        <v>79</v>
      </c>
      <c r="R5" s="4" t="s">
        <v>39</v>
      </c>
    </row>
    <row r="6" spans="1:18" x14ac:dyDescent="0.25">
      <c r="A6" s="1" t="s">
        <v>89</v>
      </c>
      <c r="B6" s="7">
        <f>IF(D6=0,0,VLOOKUP($A6,[6]HISTOAOUT23!$A$6:$BO$40,10,0))</f>
        <v>1</v>
      </c>
      <c r="C6" s="1" t="str">
        <f>VLOOKUP(A6,[7]LISTADHERENT!A$5:H$60,3,0)</f>
        <v>BAKOP ACHILLE</v>
      </c>
      <c r="D6" s="7">
        <f>IF(G6="ECHEC",0,B$3)</f>
        <v>25000</v>
      </c>
      <c r="E6" s="7">
        <f>D6+VLOOKUP($A6,[6]HISTOAOUT23!$A$7:$AU$40,45,0)+F6</f>
        <v>40000</v>
      </c>
      <c r="F6" s="7">
        <f>VLOOKUP($A6,[6]HISTOAOUT23!$A$7:$AU$45,7,0)</f>
        <v>0</v>
      </c>
      <c r="G6" s="7" t="str">
        <f>VLOOKUP($A6,[6]HISTOAOUT23!$A$7:$AU$45,8,0)</f>
        <v>BANQUE</v>
      </c>
      <c r="H6" s="7">
        <f>VLOOKUP($A6,[6]HISTOAOUT23!$A$6:$AU$45,35,0)</f>
        <v>0</v>
      </c>
      <c r="I6" s="7">
        <f>VLOOKUP($A6,[6]HISTOAOUT23!$A$7:$AU$45,38,0)</f>
        <v>0</v>
      </c>
      <c r="J6" s="7">
        <f>IF(I6=0,0,VLOOKUP($A6,[6]HISTOAOUT23!$A$7:$AU$45,42,0))</f>
        <v>0</v>
      </c>
      <c r="K6" s="7">
        <f>VLOOKUP($A6,[6]HISTOAOUT23!$A$7:$AU$45,41,0)</f>
        <v>0</v>
      </c>
      <c r="L6" s="7">
        <f>TONTJUIL23!H6+TONTJUIL23!I6</f>
        <v>0</v>
      </c>
      <c r="M6" s="7">
        <f>VLOOKUP($A6,[6]HISTOAOUT23!$A$7:$AU$45,16,0)</f>
        <v>0</v>
      </c>
      <c r="N6" s="7" t="str">
        <f>IF(M6&lt;&gt;0,VLOOKUP($A6,[6]HISTOAOUT23!$A$7:$AU$45,8,0),"ECHEC")</f>
        <v>ECHEC</v>
      </c>
      <c r="O6" s="7">
        <f>IF(R6=0,0,VLOOKUP($A6,[6]HISTOAOUT23!$A$7:$AU$45,32,0))</f>
        <v>0</v>
      </c>
      <c r="P6" s="7">
        <f>VLOOKUP($A6,[6]HISTOAOUT23!$A$7:$AU$45,33,0)</f>
        <v>0</v>
      </c>
      <c r="Q6" s="7">
        <f t="shared" ref="Q6:Q35" si="0">IF(R6=0,0,($C$3-R6))</f>
        <v>0</v>
      </c>
      <c r="R6" s="7">
        <f>VLOOKUP($A6,[6]HISTOAOUT23!$A$7:$AU$45,29,0)</f>
        <v>0</v>
      </c>
    </row>
    <row r="7" spans="1:18" x14ac:dyDescent="0.25">
      <c r="A7" s="1" t="s">
        <v>9</v>
      </c>
      <c r="B7" s="7">
        <f>IF(D7=0,0,VLOOKUP($A7,[6]HISTOAOUT23!$A$6:$BO$40,10,0))</f>
        <v>1</v>
      </c>
      <c r="C7" s="1" t="str">
        <f>VLOOKUP(A7,[7]LISTADHERENT!A$5:H$60,3,0)</f>
        <v>BOUTCHOUANG WILLIAM</v>
      </c>
      <c r="D7" s="7">
        <f>IF(G7="ECHEC",0,B$3)</f>
        <v>25000</v>
      </c>
      <c r="E7" s="7">
        <f>D7+VLOOKUP($A7,[6]HISTOAOUT23!$A$7:$AU$40,45,0)+F7</f>
        <v>40000</v>
      </c>
      <c r="F7" s="7">
        <f>VLOOKUP($A7,[6]HISTOAOUT23!$A$7:$AU$45,7,0)</f>
        <v>0</v>
      </c>
      <c r="G7" s="7" t="str">
        <f>VLOOKUP($A7,[6]HISTOAOUT23!$A$7:$AU$45,8,0)</f>
        <v>BANQUE</v>
      </c>
      <c r="H7" s="7">
        <f>VLOOKUP($A7,[6]HISTOAOUT23!$A$6:$AU$45,35,0)</f>
        <v>0</v>
      </c>
      <c r="I7" s="7">
        <f>VLOOKUP($A7,[6]HISTOAOUT23!$A$7:$AU$45,38,0)</f>
        <v>0</v>
      </c>
      <c r="J7" s="7">
        <f>IF(I7=0,0,VLOOKUP($A7,[6]HISTOAOUT23!$A$7:$AU$45,42,0))</f>
        <v>0</v>
      </c>
      <c r="K7" s="7">
        <f>VLOOKUP($A7,[6]HISTOAOUT23!$A$7:$AU$45,41,0)</f>
        <v>0</v>
      </c>
      <c r="L7" s="7">
        <f>TONTJUIL23!H7+TONTJUIL23!I7</f>
        <v>0</v>
      </c>
      <c r="M7" s="7">
        <f>VLOOKUP($A7,[6]HISTOAOUT23!$A$7:$AU$45,16,0)</f>
        <v>0</v>
      </c>
      <c r="N7" s="7" t="str">
        <f>IF(M7&lt;&gt;0,VLOOKUP($A7,[6]HISTOAOUT23!$A$7:$AU$45,8,0),"ECHEC")</f>
        <v>ECHEC</v>
      </c>
      <c r="O7" s="7">
        <f>IF(R7=0,0,VLOOKUP($A7,[6]HISTOAOUT23!$A$7:$AU$45,32,0))</f>
        <v>0</v>
      </c>
      <c r="P7" s="7">
        <f>VLOOKUP($A7,[6]HISTOAOUT23!$A$7:$AU$45,33,0)</f>
        <v>0</v>
      </c>
      <c r="Q7" s="7">
        <f t="shared" si="0"/>
        <v>0</v>
      </c>
      <c r="R7" s="7">
        <f>VLOOKUP($A7,[6]HISTOAOUT23!$A$7:$AU$45,29,0)</f>
        <v>0</v>
      </c>
    </row>
    <row r="8" spans="1:18" x14ac:dyDescent="0.25">
      <c r="A8" s="1" t="s">
        <v>10</v>
      </c>
      <c r="B8" s="7">
        <f>IF(D8=0,0,VLOOKUP($A8,[6]HISTOAOUT23!$A$6:$BO$40,10,0))</f>
        <v>1</v>
      </c>
      <c r="C8" s="1" t="str">
        <f>VLOOKUP(A8,[7]LISTADHERENT!A$5:H$60,3,0)</f>
        <v xml:space="preserve">DJOMO JEAN PAUL </v>
      </c>
      <c r="D8" s="7">
        <f t="shared" ref="D8:D35" si="1">IF(G8="ECHEC",0,B$3)</f>
        <v>25000</v>
      </c>
      <c r="E8" s="7">
        <f>D8+VLOOKUP($A8,[6]HISTOAOUT23!$A$7:$AU$40,45,0)+F8</f>
        <v>40000</v>
      </c>
      <c r="F8" s="7">
        <f>VLOOKUP($A8,[6]HISTOAOUT23!$A$7:$AU$45,7,0)</f>
        <v>0</v>
      </c>
      <c r="G8" s="7" t="str">
        <f>VLOOKUP($A8,[6]HISTOAOUT23!$A$7:$AU$45,8,0)</f>
        <v>BANQUE</v>
      </c>
      <c r="H8" s="7">
        <f>VLOOKUP($A8,[6]HISTOAOUT23!$A$6:$AU$45,35,0)</f>
        <v>0</v>
      </c>
      <c r="I8" s="7">
        <f>VLOOKUP($A8,[6]HISTOAOUT23!$A$7:$AU$45,38,0)</f>
        <v>0</v>
      </c>
      <c r="J8" s="7">
        <f>IF(I8=0,0,VLOOKUP($A8,[6]HISTOAOUT23!$A$7:$AU$45,42,0))</f>
        <v>0</v>
      </c>
      <c r="K8" s="7">
        <f>VLOOKUP($A8,[6]HISTOAOUT23!$A$7:$AU$45,41,0)</f>
        <v>0</v>
      </c>
      <c r="L8" s="7">
        <f>TONTJUIL23!H8+TONTJUIL23!I8</f>
        <v>0</v>
      </c>
      <c r="M8" s="7">
        <f>VLOOKUP($A8,[6]HISTOAOUT23!$A$7:$AU$45,16,0)</f>
        <v>0</v>
      </c>
      <c r="N8" s="7" t="str">
        <f>IF(M8&lt;&gt;0,VLOOKUP($A8,[6]HISTOAOUT23!$A$7:$AU$45,8,0),"ECHEC")</f>
        <v>ECHEC</v>
      </c>
      <c r="O8" s="7">
        <f>IF(R8=0,0,VLOOKUP($A8,[6]HISTOAOUT23!$A$7:$AU$45,32,0))</f>
        <v>0</v>
      </c>
      <c r="P8" s="7">
        <f>VLOOKUP($A8,[6]HISTOAOUT23!$A$7:$AU$45,33,0)</f>
        <v>0</v>
      </c>
      <c r="Q8" s="7">
        <f t="shared" si="0"/>
        <v>0</v>
      </c>
      <c r="R8" s="7">
        <f>VLOOKUP($A8,[6]HISTOAOUT23!$A$7:$AU$45,29,0)</f>
        <v>0</v>
      </c>
    </row>
    <row r="9" spans="1:18" x14ac:dyDescent="0.25">
      <c r="A9" s="1" t="s">
        <v>53</v>
      </c>
      <c r="B9" s="7">
        <f>IF(D9=0,0,VLOOKUP($A9,[6]HISTOAOUT23!$A$6:$BO$40,10,0))</f>
        <v>1</v>
      </c>
      <c r="C9" s="1" t="str">
        <f>VLOOKUP(A9,[7]LISTADHERENT!A$5:H$60,3,0)</f>
        <v>DJOMOU TCHAPDA</v>
      </c>
      <c r="D9" s="7">
        <f t="shared" si="1"/>
        <v>25000</v>
      </c>
      <c r="E9" s="7">
        <f>D9+VLOOKUP($A9,[6]HISTOAOUT23!$A$7:$AU$40,45,0)+F9</f>
        <v>43000</v>
      </c>
      <c r="F9" s="7">
        <f>VLOOKUP($A9,[6]HISTOAOUT23!$A$7:$AU$45,7,0)</f>
        <v>3000</v>
      </c>
      <c r="G9" s="7" t="str">
        <f>VLOOKUP($A9,[6]HISTOAOUT23!$A$7:$AU$45,8,0)</f>
        <v>ESPECES</v>
      </c>
      <c r="H9" s="7">
        <f>VLOOKUP($A9,[6]HISTOAOUT23!$A$6:$AU$45,35,0)</f>
        <v>0</v>
      </c>
      <c r="I9" s="7">
        <f>VLOOKUP($A9,[6]HISTOAOUT23!$A$7:$AU$45,38,0)</f>
        <v>0</v>
      </c>
      <c r="J9" s="7">
        <f>IF(I9=0,0,VLOOKUP($A9,[6]HISTOAOUT23!$A$7:$AU$45,42,0))</f>
        <v>0</v>
      </c>
      <c r="K9" s="7">
        <f>VLOOKUP($A9,[6]HISTOAOUT23!$A$7:$AU$45,41,0)</f>
        <v>0</v>
      </c>
      <c r="L9" s="7">
        <f>TONTJUIL23!H9+TONTJUIL23!I9</f>
        <v>0</v>
      </c>
      <c r="M9" s="7">
        <f>VLOOKUP($A9,[6]HISTOAOUT23!$A$7:$AU$45,16,0)</f>
        <v>0</v>
      </c>
      <c r="N9" s="7" t="str">
        <f>IF(M9&lt;&gt;0,VLOOKUP($A9,[6]HISTOAOUT23!$A$7:$AU$45,8,0),"ECHEC")</f>
        <v>ECHEC</v>
      </c>
      <c r="O9" s="7">
        <f>IF(R9=0,0,VLOOKUP($A9,[6]HISTOAOUT23!$A$7:$AU$45,32,0))</f>
        <v>0</v>
      </c>
      <c r="P9" s="7">
        <f>VLOOKUP($A9,[6]HISTOAOUT23!$A$7:$AU$45,33,0)</f>
        <v>0</v>
      </c>
      <c r="Q9" s="7">
        <f t="shared" si="0"/>
        <v>0</v>
      </c>
      <c r="R9" s="7">
        <f>VLOOKUP($A9,[6]HISTOAOUT23!$A$7:$AU$45,29,0)</f>
        <v>0</v>
      </c>
    </row>
    <row r="10" spans="1:18" x14ac:dyDescent="0.25">
      <c r="A10" s="1" t="s">
        <v>11</v>
      </c>
      <c r="B10" s="7">
        <f>IF(D10=0,0,VLOOKUP($A10,[6]HISTOAOUT23!$A$6:$BO$40,10,0))</f>
        <v>1</v>
      </c>
      <c r="C10" s="1" t="str">
        <f>VLOOKUP(A10,[7]LISTADHERENT!A$5:H$60,3,0)</f>
        <v>DJOUKWE NANGUEN GUY BLAISE</v>
      </c>
      <c r="D10" s="7">
        <f t="shared" si="1"/>
        <v>25000</v>
      </c>
      <c r="E10" s="7">
        <f>D10+VLOOKUP($A10,[6]HISTOAOUT23!$A$7:$AU$40,45,0)+F10</f>
        <v>40000</v>
      </c>
      <c r="F10" s="7">
        <f>VLOOKUP($A10,[6]HISTOAOUT23!$A$7:$AU$45,7,0)</f>
        <v>0</v>
      </c>
      <c r="G10" s="7" t="str">
        <f>VLOOKUP($A10,[6]HISTOAOUT23!$A$7:$AU$45,8,0)</f>
        <v>BANQUE</v>
      </c>
      <c r="H10" s="7">
        <f>VLOOKUP($A10,[6]HISTOAOUT23!$A$6:$AU$45,35,0)</f>
        <v>61500</v>
      </c>
      <c r="I10" s="7">
        <f>VLOOKUP($A10,[6]HISTOAOUT23!$A$7:$AU$45,38,0)</f>
        <v>1000</v>
      </c>
      <c r="J10" s="7" t="str">
        <f>IF(I10=0,0,VLOOKUP($A10,[6]HISTOAOUT23!$A$7:$AU$45,42,0))</f>
        <v>BANQUE</v>
      </c>
      <c r="K10" s="7">
        <f>VLOOKUP($A10,[6]HISTOAOUT23!$A$7:$AU$45,41,0)</f>
        <v>0</v>
      </c>
      <c r="L10" s="7">
        <f>TONTJUIL23!H10+TONTJUIL23!I10</f>
        <v>0</v>
      </c>
      <c r="M10" s="7">
        <f>VLOOKUP($A10,[6]HISTOAOUT23!$A$7:$AU$45,16,0)</f>
        <v>0</v>
      </c>
      <c r="N10" s="7" t="str">
        <f>IF(M10&lt;&gt;0,VLOOKUP($A10,[6]HISTOAOUT23!$A$7:$AU$45,8,0),"ECHEC")</f>
        <v>ECHEC</v>
      </c>
      <c r="O10" s="7">
        <f>IF(R10=0,0,VLOOKUP($A10,[6]HISTOAOUT23!$A$7:$AU$45,32,0))</f>
        <v>0</v>
      </c>
      <c r="P10" s="7">
        <f>VLOOKUP($A10,[6]HISTOAOUT23!$A$7:$AU$45,33,0)</f>
        <v>0</v>
      </c>
      <c r="Q10" s="7">
        <f t="shared" si="0"/>
        <v>0</v>
      </c>
      <c r="R10" s="7">
        <f>VLOOKUP($A10,[6]HISTOAOUT23!$A$7:$AU$45,29,0)</f>
        <v>0</v>
      </c>
    </row>
    <row r="11" spans="1:18" x14ac:dyDescent="0.25">
      <c r="A11" s="1" t="s">
        <v>12</v>
      </c>
      <c r="B11" s="7">
        <f>IF(D11=0,0,VLOOKUP($A11,[6]HISTOAOUT23!$A$6:$BO$40,10,0))</f>
        <v>1</v>
      </c>
      <c r="C11" s="1" t="str">
        <f>VLOOKUP(A11,[7]LISTADHERENT!A$5:H$60,3,0)</f>
        <v>DJUOMBESSY ANTOINE</v>
      </c>
      <c r="D11" s="7">
        <f t="shared" si="1"/>
        <v>25000</v>
      </c>
      <c r="E11" s="7">
        <f>D11+VLOOKUP($A11,[6]HISTOAOUT23!$A$7:$AU$40,45,0)+F11</f>
        <v>45000</v>
      </c>
      <c r="F11" s="7">
        <f>VLOOKUP($A11,[6]HISTOAOUT23!$A$7:$AU$45,7,0)</f>
        <v>0</v>
      </c>
      <c r="G11" s="7" t="str">
        <f>VLOOKUP($A11,[6]HISTOAOUT23!$A$7:$AU$45,8,0)</f>
        <v>BANQUE</v>
      </c>
      <c r="H11" s="7">
        <f>VLOOKUP($A11,[6]HISTOAOUT23!$A$6:$AU$45,35,0)</f>
        <v>0</v>
      </c>
      <c r="I11" s="7">
        <f>VLOOKUP($A11,[6]HISTOAOUT23!$A$7:$AU$45,38,0)</f>
        <v>0</v>
      </c>
      <c r="J11" s="7">
        <f>IF(I11=0,0,VLOOKUP($A11,[6]HISTOAOUT23!$A$7:$AU$45,42,0))</f>
        <v>0</v>
      </c>
      <c r="K11" s="7">
        <f>VLOOKUP($A11,[6]HISTOAOUT23!$A$7:$AU$45,41,0)</f>
        <v>0</v>
      </c>
      <c r="L11" s="7">
        <f>TONTJUIL23!H11+TONTJUIL23!I11</f>
        <v>0</v>
      </c>
      <c r="M11" s="7">
        <f>VLOOKUP($A11,[6]HISTOAOUT23!$A$7:$AU$45,16,0)</f>
        <v>0</v>
      </c>
      <c r="N11" s="7" t="str">
        <f>IF(M11&lt;&gt;0,VLOOKUP($A11,[6]HISTOAOUT23!$A$7:$AU$45,8,0),"ECHEC")</f>
        <v>ECHEC</v>
      </c>
      <c r="O11" s="7">
        <f>IF(R11=0,0,VLOOKUP($A11,[6]HISTOAOUT23!$A$7:$AU$45,32,0))</f>
        <v>0</v>
      </c>
      <c r="P11" s="7">
        <f>VLOOKUP($A11,[6]HISTOAOUT23!$A$7:$AU$45,33,0)</f>
        <v>0</v>
      </c>
      <c r="Q11" s="7">
        <f t="shared" si="0"/>
        <v>0</v>
      </c>
      <c r="R11" s="7">
        <f>VLOOKUP($A11,[6]HISTOAOUT23!$A$7:$AU$45,29,0)</f>
        <v>0</v>
      </c>
    </row>
    <row r="12" spans="1:18" x14ac:dyDescent="0.25">
      <c r="A12" s="1" t="s">
        <v>46</v>
      </c>
      <c r="B12" s="7">
        <f>IF(D12=0,0,VLOOKUP($A12,[6]HISTOAOUT23!$A$6:$BO$40,10,0))</f>
        <v>1</v>
      </c>
      <c r="C12" s="1" t="str">
        <f>VLOOKUP(A12,[7]LISTADHERENT!A$5:H$60,3,0)</f>
        <v>DOMOU FABIEN</v>
      </c>
      <c r="D12" s="7">
        <f t="shared" si="1"/>
        <v>25000</v>
      </c>
      <c r="E12" s="7">
        <f>D12+VLOOKUP($A12,[6]HISTOAOUT23!$A$7:$AU$40,45,0)+F12</f>
        <v>40000</v>
      </c>
      <c r="F12" s="7">
        <f>VLOOKUP($A12,[6]HISTOAOUT23!$A$7:$AU$45,7,0)</f>
        <v>0</v>
      </c>
      <c r="G12" s="7" t="str">
        <f>VLOOKUP($A12,[6]HISTOAOUT23!$A$7:$AU$45,8,0)</f>
        <v>BANQUE</v>
      </c>
      <c r="H12" s="7">
        <f>VLOOKUP($A12,[6]HISTOAOUT23!$A$6:$AU$45,35,0)</f>
        <v>0</v>
      </c>
      <c r="I12" s="7">
        <f>VLOOKUP($A12,[6]HISTOAOUT23!$A$7:$AU$45,38,0)</f>
        <v>0</v>
      </c>
      <c r="J12" s="7">
        <f>IF(I12=0,0,VLOOKUP($A12,[6]HISTOAOUT23!$A$7:$AU$45,42,0))</f>
        <v>0</v>
      </c>
      <c r="K12" s="7">
        <f>VLOOKUP($A12,[6]HISTOAOUT23!$A$7:$AU$45,41,0)</f>
        <v>0</v>
      </c>
      <c r="L12" s="7">
        <f>TONTJUIL23!H12+TONTJUIL23!I12</f>
        <v>0</v>
      </c>
      <c r="M12" s="7">
        <f>VLOOKUP($A12,[6]HISTOAOUT23!$A$7:$AU$45,16,0)</f>
        <v>0</v>
      </c>
      <c r="N12" s="7" t="str">
        <f>IF(M12&lt;&gt;0,VLOOKUP($A12,[6]HISTOAOUT23!$A$7:$AU$45,8,0),"ECHEC")</f>
        <v>ECHEC</v>
      </c>
      <c r="O12" s="7">
        <f>IF(R12=0,0,VLOOKUP($A12,[6]HISTOAOUT23!$A$7:$AU$45,32,0))</f>
        <v>0</v>
      </c>
      <c r="P12" s="7">
        <f>VLOOKUP($A12,[6]HISTOAOUT23!$A$7:$AU$45,33,0)</f>
        <v>0</v>
      </c>
      <c r="Q12" s="7">
        <f t="shared" si="0"/>
        <v>0</v>
      </c>
      <c r="R12" s="7">
        <f>VLOOKUP($A12,[6]HISTOAOUT23!$A$7:$AU$45,29,0)</f>
        <v>0</v>
      </c>
    </row>
    <row r="13" spans="1:18" x14ac:dyDescent="0.25">
      <c r="A13" s="1" t="s">
        <v>13</v>
      </c>
      <c r="B13" s="7">
        <f>IF(D13=0,0,VLOOKUP($A13,[6]HISTOAOUT23!$A$6:$BO$40,10,0))</f>
        <v>1</v>
      </c>
      <c r="C13" s="1" t="str">
        <f>VLOOKUP(A13,[7]LISTADHERENT!A$5:H$60,3,0)</f>
        <v>DONHOU DAVID</v>
      </c>
      <c r="D13" s="7">
        <f t="shared" si="1"/>
        <v>25000</v>
      </c>
      <c r="E13" s="7">
        <f>D13+VLOOKUP($A13,[6]HISTOAOUT23!$A$7:$AU$40,45,0)+F13</f>
        <v>40000</v>
      </c>
      <c r="F13" s="7">
        <f>VLOOKUP($A13,[6]HISTOAOUT23!$A$7:$AU$45,7,0)</f>
        <v>0</v>
      </c>
      <c r="G13" s="7" t="str">
        <f>VLOOKUP($A13,[6]HISTOAOUT23!$A$7:$AU$45,8,0)</f>
        <v>BANQUE</v>
      </c>
      <c r="H13" s="7">
        <f>VLOOKUP($A13,[6]HISTOAOUT23!$A$6:$AU$45,35,0)</f>
        <v>0</v>
      </c>
      <c r="I13" s="7">
        <f>VLOOKUP($A13,[6]HISTOAOUT23!$A$7:$AU$45,38,0)</f>
        <v>0</v>
      </c>
      <c r="J13" s="7">
        <f>IF(I13=0,0,VLOOKUP($A13,[6]HISTOAOUT23!$A$7:$AU$45,42,0))</f>
        <v>0</v>
      </c>
      <c r="K13" s="7">
        <f>VLOOKUP($A13,[6]HISTOAOUT23!$A$7:$AU$45,41,0)</f>
        <v>0</v>
      </c>
      <c r="L13" s="7">
        <f>TONTJUIL23!H13+TONTJUIL23!I13</f>
        <v>0</v>
      </c>
      <c r="M13" s="7">
        <f>VLOOKUP($A13,[6]HISTOAOUT23!$A$7:$AU$45,16,0)</f>
        <v>0</v>
      </c>
      <c r="N13" s="7" t="str">
        <f>IF(M13&lt;&gt;0,VLOOKUP($A13,[6]HISTOAOUT23!$A$7:$AU$45,8,0),"ECHEC")</f>
        <v>ECHEC</v>
      </c>
      <c r="O13" s="7">
        <f>IF(R13=0,0,VLOOKUP($A13,[6]HISTOAOUT23!$A$7:$AU$45,32,0))</f>
        <v>0</v>
      </c>
      <c r="P13" s="7">
        <f>VLOOKUP($A13,[6]HISTOAOUT23!$A$7:$AU$45,33,0)</f>
        <v>0</v>
      </c>
      <c r="Q13" s="7">
        <f t="shared" si="0"/>
        <v>0</v>
      </c>
      <c r="R13" s="7">
        <f>VLOOKUP($A13,[6]HISTOAOUT23!$A$7:$AU$45,29,0)</f>
        <v>0</v>
      </c>
    </row>
    <row r="14" spans="1:18" x14ac:dyDescent="0.25">
      <c r="A14" s="1" t="s">
        <v>14</v>
      </c>
      <c r="B14" s="7">
        <f>IF(D14=0,0,VLOOKUP($A14,[6]HISTOAOUT23!$A$6:$BO$40,10,0))</f>
        <v>1</v>
      </c>
      <c r="C14" s="1" t="str">
        <f>VLOOKUP(A14,[7]LISTADHERENT!A$5:H$60,3,0)</f>
        <v>HENGUE PAUL OMER</v>
      </c>
      <c r="D14" s="7">
        <f t="shared" si="1"/>
        <v>25000</v>
      </c>
      <c r="E14" s="7">
        <f>D14+VLOOKUP($A14,[6]HISTOAOUT23!$A$7:$AU$40,45,0)+F14</f>
        <v>40000</v>
      </c>
      <c r="F14" s="7">
        <f>VLOOKUP($A14,[6]HISTOAOUT23!$A$7:$AU$45,7,0)</f>
        <v>0</v>
      </c>
      <c r="G14" s="7" t="str">
        <f>VLOOKUP($A14,[6]HISTOAOUT23!$A$7:$AU$45,8,0)</f>
        <v>BANQUE</v>
      </c>
      <c r="H14" s="7">
        <f>VLOOKUP($A14,[6]HISTOAOUT23!$A$6:$AU$45,35,0)</f>
        <v>0</v>
      </c>
      <c r="I14" s="7">
        <f>VLOOKUP($A14,[6]HISTOAOUT23!$A$7:$AU$45,38,0)</f>
        <v>0</v>
      </c>
      <c r="J14" s="7">
        <f>IF(I14=0,0,VLOOKUP($A14,[6]HISTOAOUT23!$A$7:$AU$45,42,0))</f>
        <v>0</v>
      </c>
      <c r="K14" s="7">
        <f>VLOOKUP($A14,[6]HISTOAOUT23!$A$7:$AU$45,41,0)</f>
        <v>0</v>
      </c>
      <c r="L14" s="7">
        <f>TONTJUIL23!H14+TONTJUIL23!I14</f>
        <v>0</v>
      </c>
      <c r="M14" s="7">
        <f>VLOOKUP($A14,[6]HISTOAOUT23!$A$7:$AU$45,16,0)</f>
        <v>0</v>
      </c>
      <c r="N14" s="7" t="str">
        <f>IF(M14&lt;&gt;0,VLOOKUP($A14,[6]HISTOAOUT23!$A$7:$AU$45,8,0),"ECHEC")</f>
        <v>ECHEC</v>
      </c>
      <c r="O14" s="7">
        <f>IF(R14=0,0,VLOOKUP($A14,[6]HISTOAOUT23!$A$7:$AU$45,32,0))</f>
        <v>0</v>
      </c>
      <c r="P14" s="7">
        <f>VLOOKUP($A14,[6]HISTOAOUT23!$A$7:$AU$45,33,0)</f>
        <v>0</v>
      </c>
      <c r="Q14" s="7">
        <f t="shared" si="0"/>
        <v>0</v>
      </c>
      <c r="R14" s="7">
        <f>VLOOKUP($A14,[6]HISTOAOUT23!$A$7:$AU$45,29,0)</f>
        <v>0</v>
      </c>
    </row>
    <row r="15" spans="1:18" x14ac:dyDescent="0.25">
      <c r="A15" s="1" t="s">
        <v>15</v>
      </c>
      <c r="B15" s="7">
        <f>IF(D15=0,0,VLOOKUP($A15,[6]HISTOAOUT23!$A$6:$BO$40,10,0))</f>
        <v>1</v>
      </c>
      <c r="C15" s="1" t="str">
        <f>VLOOKUP(A15,[7]LISTADHERENT!A$5:H$60,3,0)</f>
        <v>HOTCHO BENJAMIN</v>
      </c>
      <c r="D15" s="7">
        <f t="shared" si="1"/>
        <v>25000</v>
      </c>
      <c r="E15" s="7">
        <f>D15+VLOOKUP($A15,[6]HISTOAOUT23!$A$7:$AU$40,45,0)+F15</f>
        <v>75000</v>
      </c>
      <c r="F15" s="7">
        <f>VLOOKUP($A15,[6]HISTOAOUT23!$A$7:$AU$45,7,0)</f>
        <v>0</v>
      </c>
      <c r="G15" s="7" t="str">
        <f>VLOOKUP($A15,[6]HISTOAOUT23!$A$7:$AU$45,8,0)</f>
        <v>BANQUE</v>
      </c>
      <c r="H15" s="7">
        <f>VLOOKUP($A15,[6]HISTOAOUT23!$A$6:$AU$45,35,0)</f>
        <v>0</v>
      </c>
      <c r="I15" s="7">
        <f>VLOOKUP($A15,[6]HISTOAOUT23!$A$7:$AU$45,38,0)</f>
        <v>0</v>
      </c>
      <c r="J15" s="7">
        <f>IF(I15=0,0,VLOOKUP($A15,[6]HISTOAOUT23!$A$7:$AU$45,42,0))</f>
        <v>0</v>
      </c>
      <c r="K15" s="7">
        <f>VLOOKUP($A15,[6]HISTOAOUT23!$A$7:$AU$45,41,0)</f>
        <v>0</v>
      </c>
      <c r="L15" s="7">
        <f>TONTJUIL23!H15+TONTJUIL23!I15</f>
        <v>0</v>
      </c>
      <c r="M15" s="7">
        <f>VLOOKUP($A15,[6]HISTOAOUT23!$A$7:$AU$45,16,0)</f>
        <v>0</v>
      </c>
      <c r="N15" s="7" t="str">
        <f>IF(M15&lt;&gt;0,VLOOKUP($A15,[6]HISTOAOUT23!$A$7:$AU$45,8,0),"ECHEC")</f>
        <v>ECHEC</v>
      </c>
      <c r="O15" s="7">
        <f>IF(R15=0,0,VLOOKUP($A15,[6]HISTOAOUT23!$A$7:$AU$45,32,0))</f>
        <v>0</v>
      </c>
      <c r="P15" s="7">
        <f>VLOOKUP($A15,[6]HISTOAOUT23!$A$7:$AU$45,33,0)</f>
        <v>0</v>
      </c>
      <c r="Q15" s="7">
        <f t="shared" si="0"/>
        <v>0</v>
      </c>
      <c r="R15" s="7">
        <f>VLOOKUP($A15,[6]HISTOAOUT23!$A$7:$AU$45,29,0)</f>
        <v>0</v>
      </c>
    </row>
    <row r="16" spans="1:18" x14ac:dyDescent="0.25">
      <c r="A16" s="1" t="s">
        <v>16</v>
      </c>
      <c r="B16" s="7">
        <f>IF(D16=0,0,VLOOKUP($A16,[6]HISTOAOUT23!$A$6:$BO$40,10,0))</f>
        <v>1</v>
      </c>
      <c r="C16" s="1" t="str">
        <f>VLOOKUP(A16,[7]LISTADHERENT!A$5:H$60,3,0)</f>
        <v>KOUAMOU MOISE</v>
      </c>
      <c r="D16" s="7">
        <f t="shared" si="1"/>
        <v>25000</v>
      </c>
      <c r="E16" s="7">
        <f>D16+VLOOKUP($A16,[6]HISTOAOUT23!$A$7:$AU$40,45,0)+F16</f>
        <v>40000</v>
      </c>
      <c r="F16" s="7">
        <f>VLOOKUP($A16,[6]HISTOAOUT23!$A$7:$AU$45,7,0)</f>
        <v>0</v>
      </c>
      <c r="G16" s="7" t="str">
        <f>VLOOKUP($A16,[6]HISTOAOUT23!$A$7:$AU$45,8,0)</f>
        <v>BANQUE</v>
      </c>
      <c r="H16" s="7">
        <f>VLOOKUP($A16,[6]HISTOAOUT23!$A$6:$AU$45,35,0)</f>
        <v>0</v>
      </c>
      <c r="I16" s="7">
        <f>VLOOKUP($A16,[6]HISTOAOUT23!$A$7:$AU$45,38,0)</f>
        <v>0</v>
      </c>
      <c r="J16" s="7">
        <f>IF(I16=0,0,VLOOKUP($A16,[6]HISTOAOUT23!$A$7:$AU$45,42,0))</f>
        <v>0</v>
      </c>
      <c r="K16" s="7">
        <f>VLOOKUP($A16,[6]HISTOAOUT23!$A$7:$AU$45,41,0)</f>
        <v>0</v>
      </c>
      <c r="L16" s="7">
        <f>TONTJUIL23!H16+TONTJUIL23!I16</f>
        <v>0</v>
      </c>
      <c r="M16" s="7">
        <f>VLOOKUP($A16,[6]HISTOAOUT23!$A$7:$AU$45,16,0)</f>
        <v>0</v>
      </c>
      <c r="N16" s="7" t="str">
        <f>IF(M16&lt;&gt;0,VLOOKUP($A16,[6]HISTOAOUT23!$A$7:$AU$45,8,0),"ECHEC")</f>
        <v>ECHEC</v>
      </c>
      <c r="O16" s="7">
        <f>IF(R16=0,0,VLOOKUP($A16,[6]HISTOAOUT23!$A$7:$AU$45,32,0))</f>
        <v>0</v>
      </c>
      <c r="P16" s="7">
        <f>VLOOKUP($A16,[6]HISTOAOUT23!$A$7:$AU$45,33,0)</f>
        <v>0</v>
      </c>
      <c r="Q16" s="7">
        <f t="shared" si="0"/>
        <v>0</v>
      </c>
      <c r="R16" s="7">
        <f>VLOOKUP($A16,[6]HISTOAOUT23!$A$7:$AU$45,29,0)</f>
        <v>0</v>
      </c>
    </row>
    <row r="17" spans="1:18" x14ac:dyDescent="0.25">
      <c r="A17" s="1" t="s">
        <v>17</v>
      </c>
      <c r="B17" s="7">
        <f>IF(D17=0,0,VLOOKUP($A17,[6]HISTOAOUT23!$A$6:$BO$40,10,0))</f>
        <v>1</v>
      </c>
      <c r="C17" s="1" t="str">
        <f>VLOOKUP(A17,[7]LISTADHERENT!A$5:H$60,3,0)</f>
        <v>KOUATCHO MESSACK</v>
      </c>
      <c r="D17" s="7">
        <f t="shared" si="1"/>
        <v>25000</v>
      </c>
      <c r="E17" s="7">
        <f>D17+VLOOKUP($A17,[6]HISTOAOUT23!$A$7:$AU$40,45,0)+F17</f>
        <v>40000</v>
      </c>
      <c r="F17" s="7">
        <f>VLOOKUP($A17,[6]HISTOAOUT23!$A$7:$AU$45,7,0)</f>
        <v>0</v>
      </c>
      <c r="G17" s="7" t="str">
        <f>VLOOKUP($A17,[6]HISTOAOUT23!$A$7:$AU$45,8,0)</f>
        <v>BANQUE</v>
      </c>
      <c r="H17" s="7">
        <f>VLOOKUP($A17,[6]HISTOAOUT23!$A$6:$AU$45,35,0)</f>
        <v>0</v>
      </c>
      <c r="I17" s="7">
        <f>VLOOKUP($A17,[6]HISTOAOUT23!$A$7:$AU$45,38,0)</f>
        <v>0</v>
      </c>
      <c r="J17" s="7">
        <f>IF(I17=0,0,VLOOKUP($A17,[6]HISTOAOUT23!$A$7:$AU$45,42,0))</f>
        <v>0</v>
      </c>
      <c r="K17" s="7">
        <f>VLOOKUP($A17,[6]HISTOAOUT23!$A$7:$AU$45,41,0)</f>
        <v>0</v>
      </c>
      <c r="L17" s="7">
        <f>TONTJUIL23!H17+TONTJUIL23!I17</f>
        <v>0</v>
      </c>
      <c r="M17" s="7">
        <f>VLOOKUP($A17,[6]HISTOAOUT23!$A$7:$AU$45,16,0)</f>
        <v>0</v>
      </c>
      <c r="N17" s="7" t="str">
        <f>IF(M17&lt;&gt;0,VLOOKUP($A17,[6]HISTOAOUT23!$A$7:$AU$45,8,0),"ECHEC")</f>
        <v>ECHEC</v>
      </c>
      <c r="O17" s="7">
        <f>IF(R17=0,0,VLOOKUP($A17,[6]HISTOAOUT23!$A$7:$AU$45,32,0))</f>
        <v>0</v>
      </c>
      <c r="P17" s="7">
        <f>VLOOKUP($A17,[6]HISTOAOUT23!$A$7:$AU$45,33,0)</f>
        <v>0</v>
      </c>
      <c r="Q17" s="7">
        <f t="shared" si="0"/>
        <v>0</v>
      </c>
      <c r="R17" s="7">
        <f>VLOOKUP($A17,[6]HISTOAOUT23!$A$7:$AU$45,29,0)</f>
        <v>0</v>
      </c>
    </row>
    <row r="18" spans="1:18" x14ac:dyDescent="0.25">
      <c r="A18" s="1" t="s">
        <v>18</v>
      </c>
      <c r="B18" s="7">
        <f>IF(D18=0,0,VLOOKUP($A18,[6]HISTOAOUT23!$A$6:$BO$40,10,0))</f>
        <v>1</v>
      </c>
      <c r="C18" s="1" t="str">
        <f>VLOOKUP(A18,[7]LISTADHERENT!A$5:H$60,3,0)</f>
        <v>LOWE JEAN</v>
      </c>
      <c r="D18" s="7">
        <f t="shared" si="1"/>
        <v>25000</v>
      </c>
      <c r="E18" s="7">
        <f>D18+VLOOKUP($A18,[6]HISTOAOUT23!$A$7:$AU$40,45,0)+F18</f>
        <v>40000</v>
      </c>
      <c r="F18" s="7">
        <f>VLOOKUP($A18,[6]HISTOAOUT23!$A$7:$AU$45,7,0)</f>
        <v>0</v>
      </c>
      <c r="G18" s="7" t="str">
        <f>VLOOKUP($A18,[6]HISTOAOUT23!$A$7:$AU$45,8,0)</f>
        <v>BANQUE</v>
      </c>
      <c r="H18" s="7">
        <f>VLOOKUP($A18,[6]HISTOAOUT23!$A$6:$AU$45,35,0)</f>
        <v>0</v>
      </c>
      <c r="I18" s="7">
        <f>VLOOKUP($A18,[6]HISTOAOUT23!$A$7:$AU$45,38,0)</f>
        <v>0</v>
      </c>
      <c r="J18" s="7">
        <f>IF(I18=0,0,VLOOKUP($A18,[6]HISTOAOUT23!$A$7:$AU$45,42,0))</f>
        <v>0</v>
      </c>
      <c r="K18" s="7">
        <f>VLOOKUP($A18,[6]HISTOAOUT23!$A$7:$AU$45,41,0)</f>
        <v>0</v>
      </c>
      <c r="L18" s="7">
        <f>TONTJUIL23!H18+TONTJUIL23!I18</f>
        <v>0</v>
      </c>
      <c r="M18" s="7">
        <f>VLOOKUP($A18,[6]HISTOAOUT23!$A$7:$AU$45,16,0)</f>
        <v>0</v>
      </c>
      <c r="N18" s="7" t="str">
        <f>IF(M18&lt;&gt;0,VLOOKUP($A18,[6]HISTOAOUT23!$A$7:$AU$45,8,0),"ECHEC")</f>
        <v>ECHEC</v>
      </c>
      <c r="O18" s="7">
        <f>IF(R18=0,0,VLOOKUP($A18,[6]HISTOAOUT23!$A$7:$AU$45,32,0))</f>
        <v>0</v>
      </c>
      <c r="P18" s="7">
        <f>VLOOKUP($A18,[6]HISTOAOUT23!$A$7:$AU$45,33,0)</f>
        <v>0</v>
      </c>
      <c r="Q18" s="7">
        <f t="shared" si="0"/>
        <v>0</v>
      </c>
      <c r="R18" s="7">
        <f>VLOOKUP($A18,[6]HISTOAOUT23!$A$7:$AU$45,29,0)</f>
        <v>0</v>
      </c>
    </row>
    <row r="19" spans="1:18" x14ac:dyDescent="0.25">
      <c r="A19" s="1" t="s">
        <v>45</v>
      </c>
      <c r="B19" s="7">
        <f>IF(D19=0,0,VLOOKUP($A19,[6]HISTOAOUT23!$A$6:$BO$40,10,0))</f>
        <v>1</v>
      </c>
      <c r="C19" s="1" t="str">
        <f>VLOOKUP(A19,[7]LISTADHERENT!A$5:H$60,3,0)</f>
        <v>MBOGNING TUGMA GUY</v>
      </c>
      <c r="D19" s="7">
        <f t="shared" si="1"/>
        <v>25000</v>
      </c>
      <c r="E19" s="7">
        <f>D19+VLOOKUP($A19,[6]HISTOAOUT23!$A$7:$AU$40,45,0)+F19</f>
        <v>44000</v>
      </c>
      <c r="F19" s="7">
        <f>VLOOKUP($A19,[6]HISTOAOUT23!$A$7:$AU$45,7,0)</f>
        <v>0</v>
      </c>
      <c r="G19" s="7" t="str">
        <f>VLOOKUP($A19,[6]HISTOAOUT23!$A$7:$AU$45,8,0)</f>
        <v>BANQUE</v>
      </c>
      <c r="H19" s="7">
        <f>VLOOKUP($A19,[6]HISTOAOUT23!$A$6:$AU$45,35,0)</f>
        <v>60000</v>
      </c>
      <c r="I19" s="7">
        <f>VLOOKUP($A19,[6]HISTOAOUT23!$A$7:$AU$45,38,0)</f>
        <v>1000</v>
      </c>
      <c r="J19" s="7" t="str">
        <f>IF(I19=0,0,VLOOKUP($A19,[6]HISTOAOUT23!$A$7:$AU$45,42,0))</f>
        <v>BANQUE</v>
      </c>
      <c r="K19" s="7">
        <f>VLOOKUP($A19,[6]HISTOAOUT23!$A$7:$AU$45,41,0)</f>
        <v>0</v>
      </c>
      <c r="L19" s="7">
        <f>TONTJUIL23!H19+TONTJUIL23!I19</f>
        <v>0</v>
      </c>
      <c r="M19" s="7">
        <f>VLOOKUP($A19,[6]HISTOAOUT23!$A$7:$AU$45,16,0)</f>
        <v>0</v>
      </c>
      <c r="N19" s="7" t="str">
        <f>IF(M19&lt;&gt;0,VLOOKUP($A19,[6]HISTOAOUT23!$A$7:$AU$45,8,0),"ECHEC")</f>
        <v>ECHEC</v>
      </c>
      <c r="O19" s="7">
        <f>IF(R19=0,0,VLOOKUP($A19,[6]HISTOAOUT23!$A$7:$AU$45,32,0))</f>
        <v>0</v>
      </c>
      <c r="P19" s="7">
        <f>VLOOKUP($A19,[6]HISTOAOUT23!$A$7:$AU$45,33,0)</f>
        <v>0</v>
      </c>
      <c r="Q19" s="7">
        <f t="shared" si="0"/>
        <v>0</v>
      </c>
      <c r="R19" s="7">
        <f>VLOOKUP($A19,[6]HISTOAOUT23!$A$7:$AU$45,29,0)</f>
        <v>0</v>
      </c>
    </row>
    <row r="20" spans="1:18" x14ac:dyDescent="0.25">
      <c r="A20" s="1" t="s">
        <v>26</v>
      </c>
      <c r="B20" s="7">
        <f>IF(D20=0,0,VLOOKUP($A20,[6]HISTOAOUT23!$A$6:$BO$40,10,0))</f>
        <v>1</v>
      </c>
      <c r="C20" s="1" t="str">
        <f>VLOOKUP(A20,[7]LISTADHERENT!A$5:H$60,3,0)</f>
        <v>NANGUEN MARTIN</v>
      </c>
      <c r="D20" s="7">
        <f t="shared" si="1"/>
        <v>25000</v>
      </c>
      <c r="E20" s="7">
        <f>D20+VLOOKUP($A20,[6]HISTOAOUT23!$A$7:$AU$40,45,0)+F20</f>
        <v>40000</v>
      </c>
      <c r="F20" s="7">
        <f>VLOOKUP($A20,[6]HISTOAOUT23!$A$7:$AU$45,7,0)</f>
        <v>0</v>
      </c>
      <c r="G20" s="7" t="str">
        <f>VLOOKUP($A20,[6]HISTOAOUT23!$A$7:$AU$45,8,0)</f>
        <v>BANQUE</v>
      </c>
      <c r="H20" s="7">
        <f>VLOOKUP($A20,[6]HISTOAOUT23!$A$6:$AU$45,35,0)</f>
        <v>0</v>
      </c>
      <c r="I20" s="7">
        <f>VLOOKUP($A20,[6]HISTOAOUT23!$A$7:$AU$45,38,0)</f>
        <v>0</v>
      </c>
      <c r="J20" s="7">
        <f>IF(I20=0,0,VLOOKUP($A20,[6]HISTOAOUT23!$A$7:$AU$45,42,0))</f>
        <v>0</v>
      </c>
      <c r="K20" s="7">
        <f>VLOOKUP($A20,[6]HISTOAOUT23!$A$7:$AU$45,41,0)</f>
        <v>0</v>
      </c>
      <c r="L20" s="7">
        <f>TONTJUIL23!H20+TONTJUIL23!I20</f>
        <v>0</v>
      </c>
      <c r="M20" s="7">
        <f>VLOOKUP($A20,[6]HISTOAOUT23!$A$7:$AU$45,16,0)</f>
        <v>0</v>
      </c>
      <c r="N20" s="7" t="str">
        <f>IF(M20&lt;&gt;0,VLOOKUP($A20,[6]HISTOAOUT23!$A$7:$AU$45,8,0),"ECHEC")</f>
        <v>ECHEC</v>
      </c>
      <c r="O20" s="7" t="str">
        <f>IF(R20=0,0,VLOOKUP($A20,[6]HISTOAOUT23!$A$7:$AU$45,32,0))</f>
        <v>BANQUE</v>
      </c>
      <c r="P20" s="7">
        <f>VLOOKUP($A20,[6]HISTOAOUT23!$A$7:$AU$45,33,0)</f>
        <v>0</v>
      </c>
      <c r="Q20" s="7">
        <f t="shared" si="0"/>
        <v>297500</v>
      </c>
      <c r="R20" s="7">
        <f>VLOOKUP($A20,[6]HISTOAOUT23!$A$7:$AU$45,29,0)</f>
        <v>2500</v>
      </c>
    </row>
    <row r="21" spans="1:18" x14ac:dyDescent="0.25">
      <c r="A21" s="1" t="s">
        <v>19</v>
      </c>
      <c r="B21" s="7">
        <f>IF(D21=0,0,VLOOKUP($A21,[6]HISTOAOUT23!$A$6:$BO$40,10,0))</f>
        <v>1</v>
      </c>
      <c r="C21" s="1" t="str">
        <f>VLOOKUP(A21,[7]LISTADHERENT!A$5:H$60,3,0)</f>
        <v>NANKAM APPOLINAIRE</v>
      </c>
      <c r="D21" s="7">
        <f t="shared" si="1"/>
        <v>25000</v>
      </c>
      <c r="E21" s="7">
        <f>D21+VLOOKUP($A21,[6]HISTOAOUT23!$A$7:$AU$40,45,0)+F21</f>
        <v>40000</v>
      </c>
      <c r="F21" s="7">
        <f>VLOOKUP($A21,[6]HISTOAOUT23!$A$7:$AU$45,7,0)</f>
        <v>0</v>
      </c>
      <c r="G21" s="7" t="str">
        <f>VLOOKUP($A21,[6]HISTOAOUT23!$A$7:$AU$45,8,0)</f>
        <v>BANQUE</v>
      </c>
      <c r="H21" s="7">
        <f>VLOOKUP($A21,[6]HISTOAOUT23!$A$6:$AU$45,35,0)</f>
        <v>0</v>
      </c>
      <c r="I21" s="7">
        <f>VLOOKUP($A21,[6]HISTOAOUT23!$A$7:$AU$45,38,0)</f>
        <v>0</v>
      </c>
      <c r="J21" s="7">
        <f>IF(I21=0,0,VLOOKUP($A21,[6]HISTOAOUT23!$A$7:$AU$45,42,0))</f>
        <v>0</v>
      </c>
      <c r="K21" s="7">
        <f>VLOOKUP($A21,[6]HISTOAOUT23!$A$7:$AU$45,41,0)</f>
        <v>0</v>
      </c>
      <c r="L21" s="7">
        <f>TONTJUIL23!H21+TONTJUIL23!I21</f>
        <v>0</v>
      </c>
      <c r="M21" s="7">
        <f>VLOOKUP($A21,[6]HISTOAOUT23!$A$7:$AU$45,16,0)</f>
        <v>0</v>
      </c>
      <c r="N21" s="7" t="str">
        <f>IF(M21&lt;&gt;0,VLOOKUP($A21,[6]HISTOAOUT23!$A$7:$AU$45,8,0),"ECHEC")</f>
        <v>ECHEC</v>
      </c>
      <c r="O21" s="7">
        <f>IF(R21=0,0,VLOOKUP($A21,[6]HISTOAOUT23!$A$7:$AU$45,32,0))</f>
        <v>0</v>
      </c>
      <c r="P21" s="7">
        <f>VLOOKUP($A21,[6]HISTOAOUT23!$A$7:$AU$45,33,0)</f>
        <v>0</v>
      </c>
      <c r="Q21" s="7">
        <f t="shared" si="0"/>
        <v>0</v>
      </c>
      <c r="R21" s="7">
        <f>VLOOKUP($A21,[6]HISTOAOUT23!$A$7:$AU$45,29,0)</f>
        <v>0</v>
      </c>
    </row>
    <row r="22" spans="1:18" x14ac:dyDescent="0.25">
      <c r="A22" s="1" t="s">
        <v>20</v>
      </c>
      <c r="B22" s="7">
        <f>IF(D22=0,0,VLOOKUP($A22,[6]HISTOAOUT23!$A$6:$BO$40,10,0))</f>
        <v>1</v>
      </c>
      <c r="C22" s="1" t="str">
        <f>VLOOKUP(A22,[7]LISTADHERENT!A$5:H$60,3,0)</f>
        <v>NDJOMO ETIENNE</v>
      </c>
      <c r="D22" s="7">
        <f t="shared" si="1"/>
        <v>25000</v>
      </c>
      <c r="E22" s="7">
        <f>D22+VLOOKUP($A22,[6]HISTOAOUT23!$A$7:$AU$40,45,0)+F22</f>
        <v>46000</v>
      </c>
      <c r="F22" s="7">
        <f>VLOOKUP($A22,[6]HISTOAOUT23!$A$7:$AU$45,7,0)</f>
        <v>0</v>
      </c>
      <c r="G22" s="7" t="str">
        <f>VLOOKUP($A22,[6]HISTOAOUT23!$A$7:$AU$45,8,0)</f>
        <v>BANQUE</v>
      </c>
      <c r="H22" s="7">
        <f>VLOOKUP($A22,[6]HISTOAOUT23!$A$6:$AU$45,35,0)</f>
        <v>0</v>
      </c>
      <c r="I22" s="7">
        <f>VLOOKUP($A22,[6]HISTOAOUT23!$A$7:$AU$45,38,0)</f>
        <v>0</v>
      </c>
      <c r="J22" s="7">
        <f>IF(I22=0,0,VLOOKUP($A22,[6]HISTOAOUT23!$A$7:$AU$45,42,0))</f>
        <v>0</v>
      </c>
      <c r="K22" s="7">
        <f>VLOOKUP($A22,[6]HISTOAOUT23!$A$7:$AU$45,41,0)</f>
        <v>0</v>
      </c>
      <c r="L22" s="7">
        <f>TONTJUIL23!H22+TONTJUIL23!I22</f>
        <v>0</v>
      </c>
      <c r="M22" s="7">
        <f>VLOOKUP($A22,[6]HISTOAOUT23!$A$7:$AU$45,16,0)</f>
        <v>0</v>
      </c>
      <c r="N22" s="7" t="str">
        <f>IF(M22&lt;&gt;0,VLOOKUP($A22,[6]HISTOAOUT23!$A$7:$AU$45,8,0),"ECHEC")</f>
        <v>ECHEC</v>
      </c>
      <c r="O22" s="7">
        <f>IF(R22=0,0,VLOOKUP($A22,[6]HISTOAOUT23!$A$7:$AU$45,32,0))</f>
        <v>0</v>
      </c>
      <c r="P22" s="7">
        <f>VLOOKUP($A22,[6]HISTOAOUT23!$A$7:$AU$45,33,0)</f>
        <v>0</v>
      </c>
      <c r="Q22" s="7">
        <f t="shared" si="0"/>
        <v>0</v>
      </c>
      <c r="R22" s="7">
        <f>VLOOKUP($A22,[6]HISTOAOUT23!$A$7:$AU$45,29,0)</f>
        <v>0</v>
      </c>
    </row>
    <row r="23" spans="1:18" x14ac:dyDescent="0.25">
      <c r="A23" s="1" t="s">
        <v>21</v>
      </c>
      <c r="B23" s="7">
        <f>IF(D23=0,0,VLOOKUP($A23,[6]HISTOAOUT23!$A$6:$BO$40,10,0))</f>
        <v>1</v>
      </c>
      <c r="C23" s="1" t="str">
        <f>VLOOKUP(A23,[7]LISTADHERENT!A$5:H$60,3,0)</f>
        <v>NGONDIEP CLAUDE</v>
      </c>
      <c r="D23" s="7">
        <f t="shared" si="1"/>
        <v>25000</v>
      </c>
      <c r="E23" s="7">
        <f>D23+VLOOKUP($A23,[6]HISTOAOUT23!$A$7:$AU$40,45,0)+F23</f>
        <v>44000</v>
      </c>
      <c r="F23" s="7">
        <f>VLOOKUP($A23,[6]HISTOAOUT23!$A$7:$AU$45,7,0)</f>
        <v>0</v>
      </c>
      <c r="G23" s="7" t="str">
        <f>VLOOKUP($A23,[6]HISTOAOUT23!$A$7:$AU$45,8,0)</f>
        <v>BANQUE</v>
      </c>
      <c r="H23" s="7">
        <f>VLOOKUP($A23,[6]HISTOAOUT23!$A$6:$AU$45,35,0)</f>
        <v>0</v>
      </c>
      <c r="I23" s="7">
        <f>VLOOKUP($A23,[6]HISTOAOUT23!$A$7:$AU$45,38,0)</f>
        <v>0</v>
      </c>
      <c r="J23" s="7">
        <f>IF(I23=0,0,VLOOKUP($A23,[6]HISTOAOUT23!$A$7:$AU$45,42,0))</f>
        <v>0</v>
      </c>
      <c r="K23" s="7">
        <f>VLOOKUP($A23,[6]HISTOAOUT23!$A$7:$AU$45,41,0)</f>
        <v>0</v>
      </c>
      <c r="L23" s="7">
        <f>TONTJUIL23!H23+TONTJUIL23!I23</f>
        <v>61000</v>
      </c>
      <c r="M23" s="7">
        <f>VLOOKUP($A23,[6]HISTOAOUT23!$A$7:$AU$45,16,0)</f>
        <v>61000</v>
      </c>
      <c r="N23" s="7" t="str">
        <f>IF(M23&lt;&gt;0,VLOOKUP($A23,[6]HISTOAOUT23!$A$7:$AU$45,8,0),"ECHEC")</f>
        <v>BANQUE</v>
      </c>
      <c r="O23" s="7">
        <f>IF(R23=0,0,VLOOKUP($A23,[6]HISTOAOUT23!$A$7:$AU$45,32,0))</f>
        <v>0</v>
      </c>
      <c r="P23" s="7">
        <f>VLOOKUP($A23,[6]HISTOAOUT23!$A$7:$AU$45,33,0)</f>
        <v>0</v>
      </c>
      <c r="Q23" s="7">
        <f t="shared" si="0"/>
        <v>0</v>
      </c>
      <c r="R23" s="7">
        <f>VLOOKUP($A23,[6]HISTOAOUT23!$A$7:$AU$45,29,0)</f>
        <v>0</v>
      </c>
    </row>
    <row r="24" spans="1:18" x14ac:dyDescent="0.25">
      <c r="A24" s="1" t="s">
        <v>22</v>
      </c>
      <c r="B24" s="7">
        <f>IF(D24=0,0,VLOOKUP($A24,[6]HISTOAOUT23!$A$6:$BO$40,10,0))</f>
        <v>1</v>
      </c>
      <c r="C24" s="1" t="str">
        <f>VLOOKUP(A24,[7]LISTADHERENT!A$5:H$60,3,0)</f>
        <v>NGUIEMEGNI MATHIEU BLAISE</v>
      </c>
      <c r="D24" s="7">
        <f t="shared" si="1"/>
        <v>25000</v>
      </c>
      <c r="E24" s="7">
        <f>D24+VLOOKUP($A24,[6]HISTOAOUT23!$A$7:$AU$40,45,0)+F24</f>
        <v>49000</v>
      </c>
      <c r="F24" s="7">
        <f>VLOOKUP($A24,[6]HISTOAOUT23!$A$7:$AU$45,7,0)</f>
        <v>0</v>
      </c>
      <c r="G24" s="7" t="str">
        <f>VLOOKUP($A24,[6]HISTOAOUT23!$A$7:$AU$45,8,0)</f>
        <v>BANQUE</v>
      </c>
      <c r="H24" s="7">
        <f>VLOOKUP($A24,[6]HISTOAOUT23!$A$6:$AU$45,35,0)</f>
        <v>0</v>
      </c>
      <c r="I24" s="7">
        <f>VLOOKUP($A24,[6]HISTOAOUT23!$A$7:$AU$45,38,0)</f>
        <v>0</v>
      </c>
      <c r="J24" s="7">
        <f>IF(I24=0,0,VLOOKUP($A24,[6]HISTOAOUT23!$A$7:$AU$45,42,0))</f>
        <v>0</v>
      </c>
      <c r="K24" s="7">
        <f>VLOOKUP($A24,[6]HISTOAOUT23!$A$7:$AU$45,41,0)</f>
        <v>0</v>
      </c>
      <c r="L24" s="7">
        <f>TONTJUIL23!H24+TONTJUIL23!I24</f>
        <v>0</v>
      </c>
      <c r="M24" s="7">
        <f>VLOOKUP($A24,[6]HISTOAOUT23!$A$7:$AU$45,16,0)</f>
        <v>0</v>
      </c>
      <c r="N24" s="7" t="str">
        <f>IF(M24&lt;&gt;0,VLOOKUP($A24,[6]HISTOAOUT23!$A$7:$AU$45,8,0),"ECHEC")</f>
        <v>ECHEC</v>
      </c>
      <c r="O24" s="7">
        <f>IF(R24=0,0,VLOOKUP($A24,[6]HISTOAOUT23!$A$7:$AU$45,32,0))</f>
        <v>0</v>
      </c>
      <c r="P24" s="7">
        <f>VLOOKUP($A24,[6]HISTOAOUT23!$A$7:$AU$45,33,0)</f>
        <v>0</v>
      </c>
      <c r="Q24" s="7">
        <f t="shared" si="0"/>
        <v>0</v>
      </c>
      <c r="R24" s="7">
        <f>VLOOKUP($A24,[6]HISTOAOUT23!$A$7:$AU$45,29,0)</f>
        <v>0</v>
      </c>
    </row>
    <row r="25" spans="1:18" x14ac:dyDescent="0.25">
      <c r="A25" s="1" t="s">
        <v>23</v>
      </c>
      <c r="B25" s="7">
        <f>IF(D25=0,0,VLOOKUP($A25,[6]HISTOAOUT23!$A$6:$BO$40,10,0))</f>
        <v>1</v>
      </c>
      <c r="C25" s="1" t="str">
        <f>VLOOKUP(A25,[7]LISTADHERENT!A$5:H$60,3,0)</f>
        <v>NKAMGANG JUSTIN DEJOLIE</v>
      </c>
      <c r="D25" s="7">
        <f t="shared" si="1"/>
        <v>25000</v>
      </c>
      <c r="E25" s="7">
        <f>D25+VLOOKUP($A25,[6]HISTOAOUT23!$A$7:$AU$40,45,0)+F25</f>
        <v>40000</v>
      </c>
      <c r="F25" s="7">
        <f>VLOOKUP($A25,[6]HISTOAOUT23!$A$7:$AU$45,7,0)</f>
        <v>0</v>
      </c>
      <c r="G25" s="7" t="str">
        <f>VLOOKUP($A25,[6]HISTOAOUT23!$A$7:$AU$45,8,0)</f>
        <v>BANQUE</v>
      </c>
      <c r="H25" s="7">
        <f>VLOOKUP($A25,[6]HISTOAOUT23!$A$6:$AU$45,35,0)</f>
        <v>60000</v>
      </c>
      <c r="I25" s="7">
        <f>VLOOKUP($A25,[6]HISTOAOUT23!$A$7:$AU$45,38,0)</f>
        <v>1000</v>
      </c>
      <c r="J25" s="7" t="str">
        <f>IF(I25=0,0,VLOOKUP($A25,[6]HISTOAOUT23!$A$7:$AU$45,42,0))</f>
        <v>BANQUE</v>
      </c>
      <c r="K25" s="7">
        <f>VLOOKUP($A25,[6]HISTOAOUT23!$A$7:$AU$45,41,0)</f>
        <v>0</v>
      </c>
      <c r="L25" s="7">
        <f>TONTJUIL23!H25+TONTJUIL23!I25</f>
        <v>0</v>
      </c>
      <c r="M25" s="7">
        <f>VLOOKUP($A25,[6]HISTOAOUT23!$A$7:$AU$45,16,0)</f>
        <v>0</v>
      </c>
      <c r="N25" s="7" t="str">
        <f>IF(M25&lt;&gt;0,VLOOKUP($A25,[6]HISTOAOUT23!$A$7:$AU$45,8,0),"ECHEC")</f>
        <v>ECHEC</v>
      </c>
      <c r="O25" s="7">
        <f>IF(R25=0,0,VLOOKUP($A25,[6]HISTOAOUT23!$A$7:$AU$45,32,0))</f>
        <v>0</v>
      </c>
      <c r="P25" s="7">
        <f>VLOOKUP($A25,[6]HISTOAOUT23!$A$7:$AU$45,33,0)</f>
        <v>0</v>
      </c>
      <c r="Q25" s="7">
        <f t="shared" si="0"/>
        <v>0</v>
      </c>
      <c r="R25" s="7">
        <f>VLOOKUP($A25,[6]HISTOAOUT23!$A$7:$AU$45,29,0)</f>
        <v>0</v>
      </c>
    </row>
    <row r="26" spans="1:18" x14ac:dyDescent="0.25">
      <c r="A26" s="1" t="s">
        <v>86</v>
      </c>
      <c r="B26" s="7">
        <f>IF(D26=0,0,VLOOKUP($A26,[6]HISTOAOUT23!$A$6:$BO$40,10,0))</f>
        <v>1</v>
      </c>
      <c r="C26" s="1" t="str">
        <f>VLOOKUP(A26,[7]LISTADHERENT!A$5:H$60,3,0)</f>
        <v>NOUBE ETIENNE</v>
      </c>
      <c r="D26" s="7">
        <f t="shared" si="1"/>
        <v>25000</v>
      </c>
      <c r="E26" s="7">
        <f>D26+VLOOKUP($A26,[6]HISTOAOUT23!$A$7:$AU$40,45,0)+F26</f>
        <v>50000</v>
      </c>
      <c r="F26" s="7">
        <f>VLOOKUP($A26,[6]HISTOAOUT23!$A$7:$AU$45,7,0)</f>
        <v>0</v>
      </c>
      <c r="G26" s="7" t="str">
        <f>VLOOKUP($A26,[6]HISTOAOUT23!$A$7:$AU$45,8,0)</f>
        <v>BANQUE</v>
      </c>
      <c r="H26" s="7">
        <f>VLOOKUP($A26,[6]HISTOAOUT23!$A$6:$AU$45,35,0)</f>
        <v>0</v>
      </c>
      <c r="I26" s="7">
        <f>VLOOKUP($A26,[6]HISTOAOUT23!$A$7:$AU$45,38,0)</f>
        <v>0</v>
      </c>
      <c r="J26" s="7">
        <f>IF(I26=0,0,VLOOKUP($A26,[6]HISTOAOUT23!$A$7:$AU$45,42,0))</f>
        <v>0</v>
      </c>
      <c r="K26" s="7">
        <f>VLOOKUP($A26,[6]HISTOAOUT23!$A$7:$AU$45,41,0)</f>
        <v>0</v>
      </c>
      <c r="L26" s="7">
        <f>TONTJUIL23!H26+TONTJUIL23!I26</f>
        <v>0</v>
      </c>
      <c r="M26" s="7">
        <f>VLOOKUP($A26,[6]HISTOAOUT23!$A$7:$AU$45,16,0)</f>
        <v>0</v>
      </c>
      <c r="N26" s="7" t="str">
        <f>IF(M26&lt;&gt;0,VLOOKUP($A26,[6]HISTOAOUT23!$A$7:$AU$45,8,0),"ECHEC")</f>
        <v>ECHEC</v>
      </c>
      <c r="O26" s="7">
        <f>IF(R26=0,0,VLOOKUP($A26,[6]HISTOAOUT23!$A$7:$AU$45,32,0))</f>
        <v>0</v>
      </c>
      <c r="P26" s="7">
        <f>VLOOKUP($A26,[6]HISTOAOUT23!$A$7:$AU$45,33,0)</f>
        <v>0</v>
      </c>
      <c r="Q26" s="7">
        <f t="shared" si="0"/>
        <v>0</v>
      </c>
      <c r="R26" s="7">
        <f>VLOOKUP($A26,[6]HISTOAOUT23!$A$7:$AU$45,29,0)</f>
        <v>0</v>
      </c>
    </row>
    <row r="27" spans="1:18" x14ac:dyDescent="0.25">
      <c r="A27" s="1" t="s">
        <v>24</v>
      </c>
      <c r="B27" s="7">
        <f>IF(D27=0,0,VLOOKUP($A27,[6]HISTOAOUT23!$A$6:$BO$40,10,0))</f>
        <v>1</v>
      </c>
      <c r="C27" s="1" t="str">
        <f>VLOOKUP(A27,[7]LISTADHERENT!A$5:H$60,3,0)</f>
        <v>PATEGO NJOSSU GUSTAVE</v>
      </c>
      <c r="D27" s="7">
        <f t="shared" si="1"/>
        <v>25000</v>
      </c>
      <c r="E27" s="7">
        <f>D27+VLOOKUP($A27,[6]HISTOAOUT23!$A$7:$AU$40,45,0)+F27</f>
        <v>40000</v>
      </c>
      <c r="F27" s="7">
        <f>VLOOKUP($A27,[6]HISTOAOUT23!$A$7:$AU$45,7,0)</f>
        <v>0</v>
      </c>
      <c r="G27" s="7" t="str">
        <f>VLOOKUP($A27,[6]HISTOAOUT23!$A$7:$AU$45,8,0)</f>
        <v>BANQUE</v>
      </c>
      <c r="H27" s="7">
        <f>VLOOKUP($A27,[6]HISTOAOUT23!$A$6:$AU$45,35,0)</f>
        <v>0</v>
      </c>
      <c r="I27" s="7">
        <f>VLOOKUP($A27,[6]HISTOAOUT23!$A$7:$AU$45,38,0)</f>
        <v>0</v>
      </c>
      <c r="J27" s="7">
        <f>IF(I27=0,0,VLOOKUP($A27,[6]HISTOAOUT23!$A$7:$AU$45,42,0))</f>
        <v>0</v>
      </c>
      <c r="K27" s="7">
        <f>VLOOKUP($A27,[6]HISTOAOUT23!$A$7:$AU$45,41,0)</f>
        <v>0</v>
      </c>
      <c r="L27" s="7">
        <f>TONTJUIL23!H27+TONTJUIL23!I27</f>
        <v>0</v>
      </c>
      <c r="M27" s="7">
        <f>VLOOKUP($A27,[6]HISTOAOUT23!$A$7:$AU$45,16,0)</f>
        <v>0</v>
      </c>
      <c r="N27" s="7" t="str">
        <f>IF(M27&lt;&gt;0,VLOOKUP($A27,[6]HISTOAOUT23!$A$7:$AU$45,8,0),"ECHEC")</f>
        <v>ECHEC</v>
      </c>
      <c r="O27" s="7">
        <f>IF(R27=0,0,VLOOKUP($A27,[6]HISTOAOUT23!$A$7:$AU$45,32,0))</f>
        <v>0</v>
      </c>
      <c r="P27" s="7">
        <f>VLOOKUP($A27,[6]HISTOAOUT23!$A$7:$AU$45,33,0)</f>
        <v>0</v>
      </c>
      <c r="Q27" s="7">
        <f t="shared" si="0"/>
        <v>0</v>
      </c>
      <c r="R27" s="7">
        <f>VLOOKUP($A27,[6]HISTOAOUT23!$A$7:$AU$45,29,0)</f>
        <v>0</v>
      </c>
    </row>
    <row r="28" spans="1:18" x14ac:dyDescent="0.25">
      <c r="A28" s="1" t="s">
        <v>87</v>
      </c>
      <c r="B28" s="7">
        <f>IF(D28=0,0,VLOOKUP($A28,[6]HISTOAOUT23!$A$6:$BO$40,10,0))</f>
        <v>1</v>
      </c>
      <c r="C28" s="1" t="str">
        <f>VLOOKUP(A28,[7]LISTADHERENT!A$5:H$60,3,0)</f>
        <v>SEUMO POLYCARPE</v>
      </c>
      <c r="D28" s="7">
        <f t="shared" si="1"/>
        <v>25000</v>
      </c>
      <c r="E28" s="7">
        <f>D28+VLOOKUP($A28,[6]HISTOAOUT23!$A$7:$AU$40,45,0)+F28</f>
        <v>40000</v>
      </c>
      <c r="F28" s="7">
        <f>VLOOKUP($A28,[6]HISTOAOUT23!$A$7:$AU$45,7,0)</f>
        <v>0</v>
      </c>
      <c r="G28" s="7" t="str">
        <f>VLOOKUP($A28,[6]HISTOAOUT23!$A$7:$AU$45,8,0)</f>
        <v>BANQUE</v>
      </c>
      <c r="H28" s="7">
        <f>VLOOKUP($A28,[6]HISTOAOUT23!$A$6:$AU$45,35,0)</f>
        <v>0</v>
      </c>
      <c r="I28" s="7">
        <f>VLOOKUP($A28,[6]HISTOAOUT23!$A$7:$AU$45,38,0)</f>
        <v>0</v>
      </c>
      <c r="J28" s="7">
        <f>IF(I28=0,0,VLOOKUP($A28,[6]HISTOAOUT23!$A$7:$AU$45,42,0))</f>
        <v>0</v>
      </c>
      <c r="K28" s="7">
        <f>VLOOKUP($A28,[6]HISTOAOUT23!$A$7:$AU$45,41,0)</f>
        <v>0</v>
      </c>
      <c r="L28" s="7">
        <f>TONTJUIL23!H28+TONTJUIL23!I28</f>
        <v>0</v>
      </c>
      <c r="M28" s="7">
        <f>VLOOKUP($A28,[6]HISTOAOUT23!$A$7:$AU$45,16,0)</f>
        <v>0</v>
      </c>
      <c r="N28" s="7" t="str">
        <f>IF(M28&lt;&gt;0,VLOOKUP($A28,[6]HISTOAOUT23!$A$7:$AU$45,8,0),"ECHEC")</f>
        <v>ECHEC</v>
      </c>
      <c r="O28" s="7">
        <f>IF(R28=0,0,VLOOKUP($A28,[6]HISTOAOUT23!$A$7:$AU$45,32,0))</f>
        <v>0</v>
      </c>
      <c r="P28" s="7">
        <f>VLOOKUP($A28,[6]HISTOAOUT23!$A$7:$AU$45,33,0)</f>
        <v>0</v>
      </c>
      <c r="Q28" s="7">
        <f t="shared" si="0"/>
        <v>0</v>
      </c>
      <c r="R28" s="7">
        <f>VLOOKUP($A28,[6]HISTOAOUT23!$A$7:$AU$45,29,0)</f>
        <v>0</v>
      </c>
    </row>
    <row r="29" spans="1:18" x14ac:dyDescent="0.25">
      <c r="A29" s="1" t="s">
        <v>47</v>
      </c>
      <c r="B29" s="7">
        <f>IF(D29=0,0,VLOOKUP($A29,[6]HISTOAOUT23!$A$6:$BO$40,10,0))</f>
        <v>1</v>
      </c>
      <c r="C29" s="1" t="str">
        <f>VLOOKUP(A29,[7]LISTADHERENT!A$5:H$60,3,0)</f>
        <v>SIME BRICE</v>
      </c>
      <c r="D29" s="7">
        <f t="shared" si="1"/>
        <v>25000</v>
      </c>
      <c r="E29" s="7">
        <f>D29+VLOOKUP($A29,[6]HISTOAOUT23!$A$7:$AU$40,45,0)+F29</f>
        <v>40000</v>
      </c>
      <c r="F29" s="7">
        <f>VLOOKUP($A29,[6]HISTOAOUT23!$A$7:$AU$45,7,0)</f>
        <v>0</v>
      </c>
      <c r="G29" s="7" t="str">
        <f>VLOOKUP($A29,[6]HISTOAOUT23!$A$7:$AU$45,8,0)</f>
        <v>BANQUE</v>
      </c>
      <c r="H29" s="7">
        <f>VLOOKUP($A29,[6]HISTOAOUT23!$A$6:$AU$45,35,0)</f>
        <v>0</v>
      </c>
      <c r="I29" s="7">
        <f>VLOOKUP($A29,[6]HISTOAOUT23!$A$7:$AU$45,38,0)</f>
        <v>0</v>
      </c>
      <c r="J29" s="7">
        <f>IF(I29=0,0,VLOOKUP($A29,[6]HISTOAOUT23!$A$7:$AU$45,42,0))</f>
        <v>0</v>
      </c>
      <c r="K29" s="7">
        <f>VLOOKUP($A29,[6]HISTOAOUT23!$A$7:$AU$45,41,0)</f>
        <v>0</v>
      </c>
      <c r="L29" s="7">
        <f>TONTJUIL23!H29+TONTJUIL23!I29</f>
        <v>0</v>
      </c>
      <c r="M29" s="7">
        <f>VLOOKUP($A29,[6]HISTOAOUT23!$A$7:$AU$45,16,0)</f>
        <v>0</v>
      </c>
      <c r="N29" s="7" t="str">
        <f>IF(M29&lt;&gt;0,VLOOKUP($A29,[6]HISTOAOUT23!$A$7:$AU$45,8,0),"ECHEC")</f>
        <v>ECHEC</v>
      </c>
      <c r="O29" s="7" t="str">
        <f>IF(R29=0,0,VLOOKUP($A29,[6]HISTOAOUT23!$A$7:$AU$45,32,0))</f>
        <v>BANQUE</v>
      </c>
      <c r="P29" s="7">
        <f>VLOOKUP($A29,[6]HISTOAOUT23!$A$7:$AU$45,33,0)</f>
        <v>0</v>
      </c>
      <c r="Q29" s="7">
        <f t="shared" si="0"/>
        <v>297000</v>
      </c>
      <c r="R29" s="7">
        <f>VLOOKUP($A29,[6]HISTOAOUT23!$A$7:$AU$45,29,0)</f>
        <v>3000</v>
      </c>
    </row>
    <row r="30" spans="1:18" x14ac:dyDescent="0.25">
      <c r="A30" s="1" t="s">
        <v>25</v>
      </c>
      <c r="B30" s="7">
        <f>IF(D30=0,0,VLOOKUP($A30,[6]HISTOAOUT23!$A$6:$BO$40,10,0))</f>
        <v>1</v>
      </c>
      <c r="C30" s="1" t="str">
        <f>VLOOKUP(A30,[7]LISTADHERENT!A$5:H$60,3,0)</f>
        <v>SIMO PIERRE</v>
      </c>
      <c r="D30" s="7">
        <f t="shared" si="1"/>
        <v>25000</v>
      </c>
      <c r="E30" s="7">
        <f>D30+VLOOKUP($A30,[6]HISTOAOUT23!$A$7:$AU$40,45,0)+F30</f>
        <v>40000</v>
      </c>
      <c r="F30" s="7">
        <f>VLOOKUP($A30,[6]HISTOAOUT23!$A$7:$AU$45,7,0)</f>
        <v>0</v>
      </c>
      <c r="G30" s="7" t="str">
        <f>VLOOKUP($A30,[6]HISTOAOUT23!$A$7:$AU$45,8,0)</f>
        <v>BANQUE</v>
      </c>
      <c r="H30" s="7">
        <f>VLOOKUP($A30,[6]HISTOAOUT23!$A$6:$AU$45,35,0)</f>
        <v>0</v>
      </c>
      <c r="I30" s="7">
        <f>VLOOKUP($A30,[6]HISTOAOUT23!$A$7:$AU$45,38,0)</f>
        <v>0</v>
      </c>
      <c r="J30" s="7">
        <f>IF(I30=0,0,VLOOKUP($A30,[6]HISTOAOUT23!$A$7:$AU$45,42,0))</f>
        <v>0</v>
      </c>
      <c r="K30" s="7">
        <f>VLOOKUP($A30,[6]HISTOAOUT23!$A$7:$AU$45,41,0)</f>
        <v>0</v>
      </c>
      <c r="L30" s="7">
        <f>TONTJUIL23!H30+TONTJUIL23!I30</f>
        <v>0</v>
      </c>
      <c r="M30" s="7">
        <f>VLOOKUP($A30,[6]HISTOAOUT23!$A$7:$AU$45,16,0)</f>
        <v>0</v>
      </c>
      <c r="N30" s="7" t="str">
        <f>IF(M30&lt;&gt;0,VLOOKUP($A30,[6]HISTOAOUT23!$A$7:$AU$45,8,0),"ECHEC")</f>
        <v>ECHEC</v>
      </c>
      <c r="O30" s="7">
        <f>IF(R30=0,0,VLOOKUP($A30,[6]HISTOAOUT23!$A$7:$AU$45,32,0))</f>
        <v>0</v>
      </c>
      <c r="P30" s="7">
        <f>VLOOKUP($A30,[6]HISTOAOUT23!$A$7:$AU$45,33,0)</f>
        <v>0</v>
      </c>
      <c r="Q30" s="7">
        <f t="shared" si="0"/>
        <v>0</v>
      </c>
      <c r="R30" s="7">
        <f>VLOOKUP($A30,[6]HISTOAOUT23!$A$7:$AU$45,29,0)</f>
        <v>0</v>
      </c>
    </row>
    <row r="31" spans="1:18" x14ac:dyDescent="0.25">
      <c r="A31" s="1" t="s">
        <v>27</v>
      </c>
      <c r="B31" s="7">
        <f>IF(D31=0,0,VLOOKUP($A31,[6]HISTOAOUT23!$A$6:$BO$40,10,0))</f>
        <v>1</v>
      </c>
      <c r="C31" s="1" t="str">
        <f>VLOOKUP(A31,[7]LISTADHERENT!A$5:H$60,3,0)</f>
        <v>TCHOUAMOU MATHIEU</v>
      </c>
      <c r="D31" s="7">
        <f t="shared" si="1"/>
        <v>25000</v>
      </c>
      <c r="E31" s="7">
        <f>D31+VLOOKUP($A31,[6]HISTOAOUT23!$A$7:$AU$40,45,0)+F31</f>
        <v>40000</v>
      </c>
      <c r="F31" s="7">
        <f>VLOOKUP($A31,[6]HISTOAOUT23!$A$7:$AU$45,7,0)</f>
        <v>0</v>
      </c>
      <c r="G31" s="7" t="str">
        <f>VLOOKUP($A31,[6]HISTOAOUT23!$A$7:$AU$45,8,0)</f>
        <v>BANQUE</v>
      </c>
      <c r="H31" s="7">
        <f>VLOOKUP($A31,[6]HISTOAOUT23!$A$6:$AU$45,35,0)</f>
        <v>0</v>
      </c>
      <c r="I31" s="7">
        <f>VLOOKUP($A31,[6]HISTOAOUT23!$A$7:$AU$45,38,0)</f>
        <v>0</v>
      </c>
      <c r="J31" s="7">
        <f>IF(I31=0,0,VLOOKUP($A31,[6]HISTOAOUT23!$A$7:$AU$45,42,0))</f>
        <v>0</v>
      </c>
      <c r="K31" s="7">
        <f>VLOOKUP($A31,[6]HISTOAOUT23!$A$7:$AU$45,41,0)</f>
        <v>0</v>
      </c>
      <c r="L31" s="7">
        <f>TONTJUIL23!H31+TONTJUIL23!I31</f>
        <v>0</v>
      </c>
      <c r="M31" s="7">
        <f>VLOOKUP($A31,[6]HISTOAOUT23!$A$7:$AU$45,16,0)</f>
        <v>0</v>
      </c>
      <c r="N31" s="7" t="str">
        <f>IF(M31&lt;&gt;0,VLOOKUP($A31,[6]HISTOAOUT23!$A$7:$AU$45,8,0),"ECHEC")</f>
        <v>ECHEC</v>
      </c>
      <c r="O31" s="7">
        <f>IF(R31=0,0,VLOOKUP($A31,[6]HISTOAOUT23!$A$7:$AU$45,32,0))</f>
        <v>0</v>
      </c>
      <c r="P31" s="7">
        <f>VLOOKUP($A31,[6]HISTOAOUT23!$A$7:$AU$45,33,0)</f>
        <v>0</v>
      </c>
      <c r="Q31" s="7">
        <f t="shared" si="0"/>
        <v>0</v>
      </c>
      <c r="R31" s="7">
        <f>VLOOKUP($A31,[6]HISTOAOUT23!$A$7:$AU$45,29,0)</f>
        <v>0</v>
      </c>
    </row>
    <row r="32" spans="1:18" x14ac:dyDescent="0.25">
      <c r="A32" s="1" t="s">
        <v>88</v>
      </c>
      <c r="B32" s="7">
        <f>IF(D32=0,0,VLOOKUP($A32,[6]HISTOAOUT23!$A$6:$BO$40,10,0))</f>
        <v>1</v>
      </c>
      <c r="C32" s="1" t="str">
        <f>VLOOKUP(A32,[7]LISTADHERENT!A$5:H$60,3,0)</f>
        <v>TCHOUTOU NANA CLAUDE</v>
      </c>
      <c r="D32" s="7">
        <f t="shared" si="1"/>
        <v>25000</v>
      </c>
      <c r="E32" s="7">
        <f>D32+VLOOKUP($A32,[6]HISTOAOUT23!$A$7:$AU$40,45,0)+F32</f>
        <v>40000</v>
      </c>
      <c r="F32" s="7">
        <f>VLOOKUP($A32,[6]HISTOAOUT23!$A$7:$AU$45,7,0)</f>
        <v>0</v>
      </c>
      <c r="G32" s="7" t="str">
        <f>VLOOKUP($A32,[6]HISTOAOUT23!$A$7:$AU$45,8,0)</f>
        <v>BANQUE</v>
      </c>
      <c r="H32" s="7">
        <f>VLOOKUP($A32,[6]HISTOAOUT23!$A$6:$AU$45,35,0)</f>
        <v>0</v>
      </c>
      <c r="I32" s="7">
        <f>VLOOKUP($A32,[6]HISTOAOUT23!$A$7:$AU$45,38,0)</f>
        <v>0</v>
      </c>
      <c r="J32" s="7">
        <f>IF(I32=0,0,VLOOKUP($A32,[6]HISTOAOUT23!$A$7:$AU$45,42,0))</f>
        <v>0</v>
      </c>
      <c r="K32" s="7">
        <f>VLOOKUP($A32,[6]HISTOAOUT23!$A$7:$AU$45,41,0)</f>
        <v>0</v>
      </c>
      <c r="L32" s="7">
        <f>TONTJUIL23!H32+TONTJUIL23!I32</f>
        <v>0</v>
      </c>
      <c r="M32" s="7">
        <f>VLOOKUP($A32,[6]HISTOAOUT23!$A$7:$AU$45,16,0)</f>
        <v>0</v>
      </c>
      <c r="N32" s="7" t="str">
        <f>IF(M32&lt;&gt;0,VLOOKUP($A32,[6]HISTOAOUT23!$A$7:$AU$45,8,0),"ECHEC")</f>
        <v>ECHEC</v>
      </c>
      <c r="O32" s="7">
        <f>IF(R32=0,0,VLOOKUP($A32,[6]HISTOAOUT23!$A$7:$AU$45,32,0))</f>
        <v>0</v>
      </c>
      <c r="P32" s="7">
        <f>VLOOKUP($A32,[6]HISTOAOUT23!$A$7:$AU$45,33,0)</f>
        <v>0</v>
      </c>
      <c r="Q32" s="7">
        <f t="shared" si="0"/>
        <v>0</v>
      </c>
      <c r="R32" s="7">
        <f>VLOOKUP($A32,[6]HISTOAOUT23!$A$7:$AU$45,29,0)</f>
        <v>0</v>
      </c>
    </row>
    <row r="33" spans="1:18" x14ac:dyDescent="0.25">
      <c r="A33" s="1" t="s">
        <v>90</v>
      </c>
      <c r="B33" s="7">
        <f>IF(D33=0,0,VLOOKUP($A33,[6]HISTOAOUT23!$A$6:$BO$40,10,0))</f>
        <v>1</v>
      </c>
      <c r="C33" s="1" t="str">
        <f>VLOOKUP(A33,[7]LISTADHERENT!A$5:H$60,3,0)</f>
        <v>YANTCHOU GERVAIS</v>
      </c>
      <c r="D33" s="7">
        <f t="shared" si="1"/>
        <v>25000</v>
      </c>
      <c r="E33" s="7">
        <f>D33+VLOOKUP($A33,[6]HISTOAOUT23!$A$7:$AU$40,45,0)+F33</f>
        <v>100000</v>
      </c>
      <c r="F33" s="7">
        <f>VLOOKUP($A33,[6]HISTOAOUT23!$A$7:$AU$45,7,0)</f>
        <v>0</v>
      </c>
      <c r="G33" s="7" t="str">
        <f>VLOOKUP($A33,[6]HISTOAOUT23!$A$7:$AU$45,8,0)</f>
        <v>BANQUE</v>
      </c>
      <c r="H33" s="7">
        <f>VLOOKUP($A33,[6]HISTOAOUT23!$A$6:$AU$45,35,0)</f>
        <v>0</v>
      </c>
      <c r="I33" s="7">
        <f>VLOOKUP($A33,[6]HISTOAOUT23!$A$7:$AU$45,38,0)</f>
        <v>0</v>
      </c>
      <c r="J33" s="7">
        <f>IF(I33=0,0,VLOOKUP($A33,[6]HISTOAOUT23!$A$7:$AU$45,42,0))</f>
        <v>0</v>
      </c>
      <c r="K33" s="7">
        <f>VLOOKUP($A33,[6]HISTOAOUT23!$A$7:$AU$45,41,0)</f>
        <v>0</v>
      </c>
      <c r="L33" s="7">
        <f>TONTJUIL23!H33+TONTJUIL23!I33</f>
        <v>0</v>
      </c>
      <c r="M33" s="7">
        <f>VLOOKUP($A33,[6]HISTOAOUT23!$A$7:$AU$45,16,0)</f>
        <v>0</v>
      </c>
      <c r="N33" s="7" t="str">
        <f>IF(M33&lt;&gt;0,VLOOKUP($A33,[6]HISTOAOUT23!$A$7:$AU$45,8,0),"ECHEC")</f>
        <v>ECHEC</v>
      </c>
      <c r="O33" s="7">
        <f>IF(R33=0,0,VLOOKUP($A33,[6]HISTOAOUT23!$A$7:$AU$45,32,0))</f>
        <v>0</v>
      </c>
      <c r="P33" s="7">
        <f>VLOOKUP($A33,[6]HISTOAOUT23!$A$7:$AU$45,33,0)</f>
        <v>0</v>
      </c>
      <c r="Q33" s="7">
        <f t="shared" si="0"/>
        <v>0</v>
      </c>
      <c r="R33" s="7">
        <f>VLOOKUP($A33,[6]HISTOAOUT23!$A$7:$AU$45,29,0)</f>
        <v>0</v>
      </c>
    </row>
    <row r="34" spans="1:18" x14ac:dyDescent="0.25">
      <c r="A34" s="1" t="s">
        <v>28</v>
      </c>
      <c r="B34" s="7">
        <f>IF(D34=0,0,VLOOKUP($A34,[6]HISTOAOUT23!$A$6:$BO$40,10,0))</f>
        <v>1</v>
      </c>
      <c r="C34" s="1" t="str">
        <f>VLOOKUP(A34,[7]LISTADHERENT!A$5:H$60,3,0)</f>
        <v>YEPMOU JEAN JACQUES</v>
      </c>
      <c r="D34" s="7">
        <f t="shared" si="1"/>
        <v>25000</v>
      </c>
      <c r="E34" s="7">
        <f>D34+VLOOKUP($A34,[6]HISTOAOUT23!$A$7:$AU$40,45,0)+F34</f>
        <v>40000</v>
      </c>
      <c r="F34" s="7">
        <f>VLOOKUP($A34,[6]HISTOAOUT23!$A$7:$AU$45,7,0)</f>
        <v>0</v>
      </c>
      <c r="G34" s="7" t="str">
        <f>VLOOKUP($A34,[6]HISTOAOUT23!$A$7:$AU$45,8,0)</f>
        <v>BANQUE</v>
      </c>
      <c r="H34" s="7">
        <f>VLOOKUP($A34,[6]HISTOAOUT23!$A$6:$AU$45,35,0)</f>
        <v>0</v>
      </c>
      <c r="I34" s="7">
        <f>VLOOKUP($A34,[6]HISTOAOUT23!$A$7:$AU$45,38,0)</f>
        <v>0</v>
      </c>
      <c r="J34" s="7">
        <f>IF(I34=0,0,VLOOKUP($A34,[6]HISTOAOUT23!$A$7:$AU$45,42,0))</f>
        <v>0</v>
      </c>
      <c r="K34" s="7">
        <f>VLOOKUP($A34,[6]HISTOAOUT23!$A$7:$AU$45,41,0)</f>
        <v>0</v>
      </c>
      <c r="L34" s="7">
        <f>TONTJUIL23!H34+TONTJUIL23!I34</f>
        <v>0</v>
      </c>
      <c r="M34" s="7">
        <f>VLOOKUP($A34,[6]HISTOAOUT23!$A$7:$AU$45,16,0)</f>
        <v>0</v>
      </c>
      <c r="N34" s="7" t="str">
        <f>IF(M34&lt;&gt;0,VLOOKUP($A34,[6]HISTOAOUT23!$A$7:$AU$45,8,0),"ECHEC")</f>
        <v>ECHEC</v>
      </c>
      <c r="O34" s="7">
        <f>IF(R34=0,0,VLOOKUP($A34,[6]HISTOAOUT23!$A$7:$AU$45,32,0))</f>
        <v>0</v>
      </c>
      <c r="P34" s="7">
        <f>VLOOKUP($A34,[6]HISTOAOUT23!$A$7:$AU$45,33,0)</f>
        <v>0</v>
      </c>
      <c r="Q34" s="7">
        <f t="shared" si="0"/>
        <v>0</v>
      </c>
      <c r="R34" s="7">
        <f>VLOOKUP($A34,[6]HISTOAOUT23!$A$7:$AU$45,29,0)</f>
        <v>0</v>
      </c>
    </row>
    <row r="35" spans="1:18" x14ac:dyDescent="0.25">
      <c r="A35" s="1" t="s">
        <v>29</v>
      </c>
      <c r="B35" s="7">
        <f>IF(D35=0,0,VLOOKUP($A35,[6]HISTOAOUT23!$A$6:$BO$40,10,0))</f>
        <v>1</v>
      </c>
      <c r="C35" s="1" t="str">
        <f>VLOOKUP(A35,[7]LISTADHERENT!A$5:H$60,3,0)</f>
        <v>YOUMBI EMMANUEL</v>
      </c>
      <c r="D35" s="7">
        <f t="shared" si="1"/>
        <v>25000</v>
      </c>
      <c r="E35" s="7">
        <f>D35+VLOOKUP($A35,[6]HISTOAOUT23!$A$7:$AU$40,45,0)+F35</f>
        <v>40000</v>
      </c>
      <c r="F35" s="7">
        <f>VLOOKUP($A35,[6]HISTOAOUT23!$A$7:$AU$45,7,0)</f>
        <v>0</v>
      </c>
      <c r="G35" s="7" t="str">
        <f>VLOOKUP($A35,[6]HISTOAOUT23!$A$7:$AU$45,8,0)</f>
        <v>BANQUE</v>
      </c>
      <c r="H35" s="7">
        <f>VLOOKUP($A35,[6]HISTOAOUT23!$A$6:$AU$45,35,0)</f>
        <v>0</v>
      </c>
      <c r="I35" s="7">
        <f>VLOOKUP($A35,[6]HISTOAOUT23!$A$7:$AU$45,38,0)</f>
        <v>0</v>
      </c>
      <c r="J35" s="7">
        <f>IF(I35=0,0,VLOOKUP($A35,[6]HISTOAOUT23!$A$7:$AU$45,42,0))</f>
        <v>0</v>
      </c>
      <c r="K35" s="7">
        <f>VLOOKUP($A35,[6]HISTOAOUT23!$A$7:$AU$45,41,0)</f>
        <v>0</v>
      </c>
      <c r="L35" s="7">
        <f>TONTJUIL23!H35+TONTJUIL23!I35</f>
        <v>0</v>
      </c>
      <c r="M35" s="7">
        <f>VLOOKUP($A35,[6]HISTOAOUT23!$A$7:$AU$45,16,0)</f>
        <v>0</v>
      </c>
      <c r="N35" s="7" t="str">
        <f>IF(M35&lt;&gt;0,VLOOKUP($A35,[6]HISTOAOUT23!$A$7:$AU$45,8,0),"ECHEC")</f>
        <v>ECHEC</v>
      </c>
      <c r="O35" s="7">
        <f>IF(R35=0,0,VLOOKUP($A35,[6]HISTOAOUT23!$A$7:$AU$45,32,0))</f>
        <v>0</v>
      </c>
      <c r="P35" s="7">
        <f>VLOOKUP($A35,[6]HISTOAOUT23!$A$7:$AU$45,33,0)</f>
        <v>0</v>
      </c>
      <c r="Q35" s="7">
        <f t="shared" si="0"/>
        <v>0</v>
      </c>
      <c r="R35" s="7">
        <f>VLOOKUP($A35,[6]HISTOAOUT23!$A$7:$AU$45,29,0)</f>
        <v>0</v>
      </c>
    </row>
    <row r="36" spans="1:18" x14ac:dyDescent="0.25">
      <c r="A36" s="1"/>
    </row>
    <row r="37" spans="1:18" ht="18" x14ac:dyDescent="0.25">
      <c r="A37" s="1" t="s">
        <v>84</v>
      </c>
      <c r="B37" s="8">
        <f>SUM(B6:B36)</f>
        <v>30</v>
      </c>
      <c r="I37" s="9"/>
    </row>
    <row r="38" spans="1:18" ht="18" x14ac:dyDescent="0.25">
      <c r="A38" s="1" t="s">
        <v>83</v>
      </c>
      <c r="B38" s="16">
        <f>COUNT(D6:D35)</f>
        <v>30</v>
      </c>
      <c r="C38" s="8"/>
      <c r="D38" s="8">
        <f>SUM(D6:D37)</f>
        <v>750000</v>
      </c>
      <c r="E38" s="8">
        <f>SUM(E6:E37)</f>
        <v>1336000</v>
      </c>
      <c r="F38" s="8">
        <f>SUM(F6:F37)</f>
        <v>3000</v>
      </c>
      <c r="G38" s="8"/>
      <c r="H38" s="8">
        <f t="shared" ref="H38:R38" si="2">SUM(H6:H37)</f>
        <v>181500</v>
      </c>
      <c r="I38" s="8">
        <f t="shared" si="2"/>
        <v>3000</v>
      </c>
      <c r="J38" s="8"/>
      <c r="K38" s="8"/>
      <c r="L38" s="8">
        <f t="shared" si="2"/>
        <v>61000</v>
      </c>
      <c r="M38" s="8">
        <f t="shared" si="2"/>
        <v>61000</v>
      </c>
      <c r="N38" s="8">
        <f t="shared" si="2"/>
        <v>0</v>
      </c>
      <c r="O38" s="8">
        <f t="shared" si="2"/>
        <v>0</v>
      </c>
      <c r="P38" s="8">
        <f t="shared" si="2"/>
        <v>0</v>
      </c>
      <c r="Q38" s="8">
        <f t="shared" si="2"/>
        <v>594500</v>
      </c>
      <c r="R38" s="8">
        <f t="shared" si="2"/>
        <v>5500</v>
      </c>
    </row>
    <row r="39" spans="1:18" s="2" customFormat="1" x14ac:dyDescent="0.25">
      <c r="B39"/>
      <c r="C39"/>
      <c r="D39"/>
      <c r="E39"/>
      <c r="F39"/>
      <c r="G39"/>
      <c r="H39"/>
      <c r="I39" s="9"/>
      <c r="J39" s="3"/>
      <c r="K39" s="3"/>
      <c r="L39" s="3"/>
      <c r="N39" s="4" t="s">
        <v>76</v>
      </c>
      <c r="O39" s="4" t="s">
        <v>85</v>
      </c>
      <c r="P39" s="3"/>
    </row>
    <row r="40" spans="1:18" s="2" customFormat="1" ht="29.25" x14ac:dyDescent="0.25">
      <c r="D40" s="4" t="s">
        <v>5</v>
      </c>
      <c r="E40" s="4" t="s">
        <v>7</v>
      </c>
      <c r="F40"/>
      <c r="G40" s="4" t="s">
        <v>36</v>
      </c>
      <c r="H40" s="4" t="s">
        <v>40</v>
      </c>
      <c r="I40" s="4" t="s">
        <v>42</v>
      </c>
      <c r="J40" s="4" t="s">
        <v>43</v>
      </c>
      <c r="K40" s="4"/>
      <c r="L40" s="8" t="s">
        <v>49</v>
      </c>
      <c r="M40" s="8">
        <f>D44+G44+R38+TONTJUIL23!O45</f>
        <v>806500</v>
      </c>
      <c r="N40" s="4"/>
      <c r="O40"/>
      <c r="P40" s="4"/>
    </row>
    <row r="41" spans="1:18" s="2" customFormat="1" ht="18" x14ac:dyDescent="0.25">
      <c r="D41" s="8">
        <f>SUMIFS(D6:D37,G6:G37,"ESPECES")</f>
        <v>25000</v>
      </c>
      <c r="E41" s="8">
        <f>SUMIFS(E6:E37,G6:G37,"ESPECES")</f>
        <v>43000</v>
      </c>
      <c r="F41" s="8" t="s">
        <v>32</v>
      </c>
      <c r="G41" s="8">
        <f>SUMIFS(M6:M35,N6:N35,"ESPECES")</f>
        <v>0</v>
      </c>
      <c r="H41" s="8">
        <f>SUMIFS(H6:H37,J6:J37,"ESPECES")</f>
        <v>0</v>
      </c>
      <c r="I41" s="8">
        <f>SUMIFS(Q6:Q37,O6:O37,"ESPECES")</f>
        <v>0</v>
      </c>
      <c r="J41" s="8">
        <f>D41+G41-H41-I41</f>
        <v>25000</v>
      </c>
      <c r="K41" s="8"/>
      <c r="L41" s="8" t="s">
        <v>80</v>
      </c>
      <c r="M41" s="8">
        <f>C3*COUNTIF(Q6:Q37,"&gt;0")</f>
        <v>600000</v>
      </c>
      <c r="N41" s="8">
        <f>D3</f>
        <v>2</v>
      </c>
      <c r="O41" s="8">
        <f>COUNTIF(Q6:Q35,"&gt;0")</f>
        <v>2</v>
      </c>
      <c r="P41" s="8"/>
    </row>
    <row r="42" spans="1:18" s="2" customFormat="1" ht="18" x14ac:dyDescent="0.25">
      <c r="D42" s="8">
        <f>SUMIFS(D6:D37,G6:G37,"BANQUE")</f>
        <v>725000</v>
      </c>
      <c r="E42" s="8">
        <f>SUMIFS(E6:E38,G6:G38,"BANQUE")</f>
        <v>1293000</v>
      </c>
      <c r="F42" s="8" t="s">
        <v>33</v>
      </c>
      <c r="G42" s="8">
        <f>SUMIFS(M6:M35,N6:N35,"BANQUE")</f>
        <v>61000</v>
      </c>
      <c r="H42" s="8">
        <f>SUMIFS(H6:H37,J6:J37,"BANQUE")</f>
        <v>181500</v>
      </c>
      <c r="I42" s="8">
        <f>SUMIFS(Q6:Q37,O6:O37,"BANQUE")</f>
        <v>594500</v>
      </c>
      <c r="J42" s="8">
        <f>D42+G42-H42-I42</f>
        <v>10000</v>
      </c>
      <c r="K42" s="8"/>
      <c r="M42" s="8"/>
      <c r="N42" s="8"/>
      <c r="O42" s="8"/>
      <c r="P42" s="8"/>
    </row>
    <row r="43" spans="1:18" s="2" customFormat="1" ht="18" x14ac:dyDescent="0.25">
      <c r="D43" s="8"/>
      <c r="E43" s="8"/>
      <c r="F43" s="8"/>
      <c r="G43" s="8"/>
      <c r="H43" s="8"/>
      <c r="I43" s="8"/>
      <c r="K43" s="8"/>
      <c r="L43" s="8" t="s">
        <v>48</v>
      </c>
      <c r="M43" s="8">
        <f>M40-M41-63000</f>
        <v>143500</v>
      </c>
      <c r="N43" s="8"/>
      <c r="O43" s="8"/>
      <c r="P43" s="8"/>
    </row>
    <row r="44" spans="1:18" s="2" customFormat="1" ht="18" x14ac:dyDescent="0.25">
      <c r="D44" s="8">
        <f>D41+D42</f>
        <v>750000</v>
      </c>
      <c r="E44" s="8">
        <f>E41+E42</f>
        <v>1336000</v>
      </c>
      <c r="F44" s="8" t="s">
        <v>30</v>
      </c>
      <c r="G44" s="8">
        <f>G41+G42</f>
        <v>61000</v>
      </c>
      <c r="H44" s="8">
        <f>H41+H42</f>
        <v>181500</v>
      </c>
      <c r="I44" s="8">
        <f t="shared" ref="I44:J44" si="3">I41+I42</f>
        <v>594500</v>
      </c>
      <c r="J44" s="8">
        <f t="shared" si="3"/>
        <v>35000</v>
      </c>
      <c r="K44" s="8"/>
      <c r="M44" s="8"/>
      <c r="N44" s="8"/>
      <c r="O44" s="8"/>
      <c r="P44" s="8"/>
    </row>
    <row r="45" spans="1:18" s="2" customFormat="1" ht="18" x14ac:dyDescent="0.25">
      <c r="D45" s="8"/>
      <c r="E45" s="8"/>
      <c r="F45" s="8" t="s">
        <v>52</v>
      </c>
      <c r="G45"/>
      <c r="H45"/>
      <c r="I45" s="3"/>
      <c r="J45" s="3"/>
      <c r="K45" s="3"/>
      <c r="L45" s="8" t="s">
        <v>51</v>
      </c>
      <c r="M45" s="8">
        <f>M43-H38</f>
        <v>-38000</v>
      </c>
      <c r="N45"/>
      <c r="O45" s="8">
        <f>TONTAOUT23!M45</f>
        <v>-38000</v>
      </c>
      <c r="P45" s="8" t="s">
        <v>54</v>
      </c>
    </row>
    <row r="46" spans="1:18" s="2" customFormat="1" ht="18" x14ac:dyDescent="0.25">
      <c r="D46" s="4"/>
      <c r="E46" s="4"/>
      <c r="F46" s="8"/>
      <c r="G46"/>
      <c r="H46"/>
      <c r="I46" s="3"/>
      <c r="J46" s="3"/>
      <c r="K46" s="3"/>
      <c r="N46"/>
      <c r="O46" s="3"/>
      <c r="P46" s="3"/>
    </row>
    <row r="47" spans="1:18" ht="18" x14ac:dyDescent="0.25">
      <c r="L47" s="8" t="s">
        <v>56</v>
      </c>
      <c r="M47" s="8">
        <f>COUNTIFS(G6:G36,"ECHEC")*25000</f>
        <v>0</v>
      </c>
      <c r="O47" s="8">
        <f>TONTJUIL23!O47+TONTAOUT23!M47</f>
        <v>0</v>
      </c>
      <c r="P47" s="8" t="s">
        <v>54</v>
      </c>
    </row>
    <row r="48" spans="1:18" ht="18" x14ac:dyDescent="0.25">
      <c r="F48" s="2"/>
      <c r="L48" s="8" t="s">
        <v>55</v>
      </c>
      <c r="M48" s="8">
        <f>L38-G44</f>
        <v>0</v>
      </c>
      <c r="O48" s="8">
        <f>TONTJUIL23!O48+TONTAOUT23!M48</f>
        <v>0</v>
      </c>
      <c r="P48" s="8" t="s">
        <v>54</v>
      </c>
    </row>
  </sheetData>
  <autoFilter ref="A5:R25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"/>
  <sheetViews>
    <sheetView workbookViewId="0">
      <pane xSplit="3" ySplit="5" topLeftCell="G33" activePane="bottomRight" state="frozen"/>
      <selection activeCell="O49" sqref="O49"/>
      <selection pane="topRight" activeCell="O49" sqref="O49"/>
      <selection pane="bottomLeft" activeCell="O49" sqref="O49"/>
      <selection pane="bottomRight" activeCell="A28" sqref="A28:XFD28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5" width="21" customWidth="1"/>
    <col min="6" max="6" width="21.42578125" customWidth="1"/>
    <col min="7" max="7" width="16.7109375" customWidth="1"/>
    <col min="8" max="8" width="15" customWidth="1"/>
    <col min="9" max="10" width="17.5703125" style="3" customWidth="1"/>
    <col min="11" max="11" width="16" style="3" customWidth="1"/>
    <col min="12" max="12" width="19.85546875" style="3" customWidth="1"/>
    <col min="13" max="13" width="15.7109375" style="2" customWidth="1"/>
    <col min="14" max="14" width="13" customWidth="1"/>
    <col min="15" max="15" width="14.5703125" bestFit="1" customWidth="1"/>
    <col min="16" max="16" width="15.5703125" style="3" customWidth="1"/>
    <col min="17" max="18" width="18.140625" style="2" customWidth="1"/>
  </cols>
  <sheetData>
    <row r="1" spans="1:18" x14ac:dyDescent="0.2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18" x14ac:dyDescent="0.25">
      <c r="A2" s="1" t="s">
        <v>2</v>
      </c>
      <c r="B2" s="1">
        <v>2023</v>
      </c>
      <c r="C2" s="1" t="s">
        <v>81</v>
      </c>
      <c r="D2" s="1" t="s">
        <v>76</v>
      </c>
      <c r="E2" s="1"/>
      <c r="F2" s="1"/>
      <c r="G2" s="1"/>
      <c r="N2" s="1"/>
      <c r="O2" s="1"/>
    </row>
    <row r="3" spans="1:18" x14ac:dyDescent="0.25">
      <c r="A3" s="1" t="s">
        <v>82</v>
      </c>
      <c r="B3" s="6">
        <v>25000</v>
      </c>
      <c r="C3" s="6">
        <f>B3*12</f>
        <v>300000</v>
      </c>
      <c r="D3" s="1">
        <f>ROUNDDOWN(M40/C3,0)</f>
        <v>3</v>
      </c>
      <c r="E3" s="1"/>
      <c r="F3" s="1"/>
      <c r="G3" s="1"/>
      <c r="N3" s="1"/>
      <c r="O3" s="1"/>
    </row>
    <row r="4" spans="1:18" s="13" customFormat="1" ht="18" x14ac:dyDescent="0.25">
      <c r="B4" s="14"/>
      <c r="C4" s="21">
        <v>45182</v>
      </c>
      <c r="D4" s="22"/>
      <c r="E4" s="22"/>
      <c r="F4" s="22"/>
      <c r="G4" s="22"/>
      <c r="H4" s="22"/>
      <c r="I4" s="22"/>
      <c r="J4" s="22"/>
      <c r="K4" s="22"/>
      <c r="L4" s="22"/>
      <c r="N4" s="15"/>
      <c r="O4" s="15"/>
      <c r="P4" s="15"/>
      <c r="Q4" s="15"/>
    </row>
    <row r="5" spans="1:18" ht="58.5" x14ac:dyDescent="0.3">
      <c r="A5" s="1" t="s">
        <v>3</v>
      </c>
      <c r="B5" s="12" t="s">
        <v>77</v>
      </c>
      <c r="C5" s="1" t="s">
        <v>4</v>
      </c>
      <c r="D5" s="4" t="s">
        <v>5</v>
      </c>
      <c r="E5" s="4" t="s">
        <v>7</v>
      </c>
      <c r="F5" s="1" t="s">
        <v>44</v>
      </c>
      <c r="G5" s="5" t="s">
        <v>6</v>
      </c>
      <c r="H5" s="6" t="s">
        <v>40</v>
      </c>
      <c r="I5" s="4" t="s">
        <v>37</v>
      </c>
      <c r="J5" s="4" t="s">
        <v>41</v>
      </c>
      <c r="K5" s="10" t="s">
        <v>50</v>
      </c>
      <c r="L5" s="4" t="s">
        <v>78</v>
      </c>
      <c r="M5" s="4" t="s">
        <v>36</v>
      </c>
      <c r="N5" s="4" t="s">
        <v>35</v>
      </c>
      <c r="O5" s="4" t="s">
        <v>38</v>
      </c>
      <c r="P5" s="4" t="s">
        <v>50</v>
      </c>
      <c r="Q5" s="4" t="s">
        <v>79</v>
      </c>
      <c r="R5" s="4" t="s">
        <v>39</v>
      </c>
    </row>
    <row r="6" spans="1:18" x14ac:dyDescent="0.25">
      <c r="A6" s="1" t="s">
        <v>89</v>
      </c>
      <c r="B6" s="7">
        <f>IF(D6=0,0,VLOOKUP($A6,[6]HISTOSEPT23!$A$6:$BO$40,10,0))</f>
        <v>1</v>
      </c>
      <c r="C6" s="1" t="str">
        <f>VLOOKUP(A6,[7]LISTADHERENT!A$5:H$60,3,0)</f>
        <v>BAKOP ACHILLE</v>
      </c>
      <c r="D6" s="7">
        <f>IF(G6="ECHEC",0,B$3)</f>
        <v>25000</v>
      </c>
      <c r="E6" s="7">
        <f>D6+VLOOKUP($A6,[6]HISTOSEPT23!$A$7:$AU$40,45,0)+F6</f>
        <v>40000</v>
      </c>
      <c r="F6" s="7">
        <f>VLOOKUP($A6,[6]HISTOSEPT23!$A$7:$AU$45,7,0)</f>
        <v>0</v>
      </c>
      <c r="G6" s="7" t="str">
        <f>VLOOKUP($A6,[6]HISTOSEPT23!$A$7:$AU$45,8,0)</f>
        <v>BANQUE</v>
      </c>
      <c r="H6" s="7">
        <f>VLOOKUP($A6,[6]HISTOSEPT23!$A$6:$AU$45,35,0)</f>
        <v>0</v>
      </c>
      <c r="I6" s="7">
        <f>VLOOKUP($A6,[6]HISTOSEPT23!$A$7:$AU$45,38,0)</f>
        <v>0</v>
      </c>
      <c r="J6" s="7">
        <f>IF(I6=0,0,VLOOKUP($A6,[6]HISTOSEPT23!$A$7:$AU$45,42,0))</f>
        <v>0</v>
      </c>
      <c r="K6" s="7">
        <f>VLOOKUP($A6,[6]HISTOSEPT23!$A$7:$AU$45,41,0)</f>
        <v>0</v>
      </c>
      <c r="L6" s="7">
        <f>TONTAOUT23!H6+TONTAOUT23!I6</f>
        <v>0</v>
      </c>
      <c r="M6" s="7">
        <f>VLOOKUP($A6,[6]HISTOSEPT23!$A$7:$AU$45,16,0)</f>
        <v>0</v>
      </c>
      <c r="N6" s="7" t="str">
        <f>IF(M6&lt;&gt;0,VLOOKUP($A6,[6]HISTOSEPT23!$A$7:$AU$45,8,0),"ECHEC")</f>
        <v>ECHEC</v>
      </c>
      <c r="O6" s="7">
        <f>IF(R6=0,0,VLOOKUP($A6,[6]HISTOSEPT23!$A$7:$AU$45,32,0))</f>
        <v>0</v>
      </c>
      <c r="P6" s="7">
        <f>VLOOKUP($A6,[6]HISTOSEPT23!$A$7:$AU$45,33,0)</f>
        <v>0</v>
      </c>
      <c r="Q6" s="7">
        <f t="shared" ref="Q6:Q35" si="0">IF(R6=0,0,($C$3-R6))</f>
        <v>0</v>
      </c>
      <c r="R6" s="7">
        <f>VLOOKUP($A6,[6]HISTOSEPT23!$A$7:$AU$45,29,0)</f>
        <v>0</v>
      </c>
    </row>
    <row r="7" spans="1:18" x14ac:dyDescent="0.25">
      <c r="A7" s="1" t="s">
        <v>9</v>
      </c>
      <c r="B7" s="7">
        <f>IF(D7=0,0,VLOOKUP($A7,[6]HISTOSEPT23!$A$6:$BO$40,10,0))</f>
        <v>1</v>
      </c>
      <c r="C7" s="1" t="str">
        <f>VLOOKUP(A7,[7]LISTADHERENT!A$5:H$60,3,0)</f>
        <v>BOUTCHOUANG WILLIAM</v>
      </c>
      <c r="D7" s="7">
        <f>IF(G7="ECHEC",0,B$3)</f>
        <v>25000</v>
      </c>
      <c r="E7" s="7">
        <f>D7+VLOOKUP($A7,[6]HISTOSEPT23!$A$7:$AU$40,45,0)+F7</f>
        <v>40000</v>
      </c>
      <c r="F7" s="7">
        <f>VLOOKUP($A7,[6]HISTOSEPT23!$A$7:$AU$45,7,0)</f>
        <v>0</v>
      </c>
      <c r="G7" s="7" t="str">
        <f>VLOOKUP($A7,[6]HISTOSEPT23!$A$7:$AU$45,8,0)</f>
        <v>BANQUE</v>
      </c>
      <c r="H7" s="7">
        <f>VLOOKUP($A7,[6]HISTOSEPT23!$A$6:$AU$45,35,0)</f>
        <v>0</v>
      </c>
      <c r="I7" s="7">
        <f>VLOOKUP($A7,[6]HISTOSEPT23!$A$7:$AU$45,38,0)</f>
        <v>0</v>
      </c>
      <c r="J7" s="7">
        <f>IF(I7=0,0,VLOOKUP($A7,[6]HISTOSEPT23!$A$7:$AU$45,42,0))</f>
        <v>0</v>
      </c>
      <c r="K7" s="7">
        <f>VLOOKUP($A7,[6]HISTOSEPT23!$A$7:$AU$45,41,0)</f>
        <v>0</v>
      </c>
      <c r="L7" s="7">
        <f>TONTAOUT23!H7+TONTAOUT23!I7</f>
        <v>0</v>
      </c>
      <c r="M7" s="7">
        <f>VLOOKUP($A7,[6]HISTOSEPT23!$A$7:$AU$45,16,0)</f>
        <v>0</v>
      </c>
      <c r="N7" s="7" t="str">
        <f>IF(M7&lt;&gt;0,VLOOKUP($A7,[6]HISTOSEPT23!$A$7:$AU$45,8,0),"ECHEC")</f>
        <v>ECHEC</v>
      </c>
      <c r="O7" s="7">
        <f>IF(R7=0,0,VLOOKUP($A7,[6]HISTOSEPT23!$A$7:$AU$45,32,0))</f>
        <v>0</v>
      </c>
      <c r="P7" s="7">
        <f>VLOOKUP($A7,[6]HISTOSEPT23!$A$7:$AU$45,33,0)</f>
        <v>0</v>
      </c>
      <c r="Q7" s="7">
        <f t="shared" si="0"/>
        <v>0</v>
      </c>
      <c r="R7" s="7">
        <f>VLOOKUP($A7,[6]HISTOSEPT23!$A$7:$AU$45,29,0)</f>
        <v>0</v>
      </c>
    </row>
    <row r="8" spans="1:18" x14ac:dyDescent="0.25">
      <c r="A8" s="1" t="s">
        <v>10</v>
      </c>
      <c r="B8" s="7">
        <f>IF(D8=0,0,VLOOKUP($A8,[6]HISTOSEPT23!$A$6:$BO$40,10,0))</f>
        <v>1</v>
      </c>
      <c r="C8" s="1" t="str">
        <f>VLOOKUP(A8,[7]LISTADHERENT!A$5:H$60,3,0)</f>
        <v xml:space="preserve">DJOMO JEAN PAUL </v>
      </c>
      <c r="D8" s="7">
        <f t="shared" ref="D8:D35" si="1">IF(G8="ECHEC",0,B$3)</f>
        <v>25000</v>
      </c>
      <c r="E8" s="7">
        <f>D8+VLOOKUP($A8,[6]HISTOSEPT23!$A$7:$AU$40,45,0)+F8</f>
        <v>38000</v>
      </c>
      <c r="F8" s="7">
        <f>VLOOKUP($A8,[6]HISTOSEPT23!$A$7:$AU$45,7,0)</f>
        <v>0</v>
      </c>
      <c r="G8" s="7" t="str">
        <f>VLOOKUP($A8,[6]HISTOSEPT23!$A$7:$AU$45,8,0)</f>
        <v>BANQUE</v>
      </c>
      <c r="H8" s="7">
        <f>VLOOKUP($A8,[6]HISTOSEPT23!$A$6:$AU$45,35,0)</f>
        <v>0</v>
      </c>
      <c r="I8" s="7">
        <f>VLOOKUP($A8,[6]HISTOSEPT23!$A$7:$AU$45,38,0)</f>
        <v>0</v>
      </c>
      <c r="J8" s="7">
        <f>IF(I8=0,0,VLOOKUP($A8,[6]HISTOSEPT23!$A$7:$AU$45,42,0))</f>
        <v>0</v>
      </c>
      <c r="K8" s="7">
        <f>VLOOKUP($A8,[6]HISTOSEPT23!$A$7:$AU$45,41,0)</f>
        <v>0</v>
      </c>
      <c r="L8" s="7">
        <f>TONTAOUT23!H8+TONTAOUT23!I8</f>
        <v>0</v>
      </c>
      <c r="M8" s="7">
        <f>VLOOKUP($A8,[6]HISTOSEPT23!$A$7:$AU$45,16,0)</f>
        <v>0</v>
      </c>
      <c r="N8" s="7" t="str">
        <f>IF(M8&lt;&gt;0,VLOOKUP($A8,[6]HISTOSEPT23!$A$7:$AU$45,8,0),"ECHEC")</f>
        <v>ECHEC</v>
      </c>
      <c r="O8" s="7">
        <f>IF(R8=0,0,VLOOKUP($A8,[6]HISTOSEPT23!$A$7:$AU$45,32,0))</f>
        <v>0</v>
      </c>
      <c r="P8" s="7">
        <f>VLOOKUP($A8,[6]HISTOSEPT23!$A$7:$AU$45,33,0)</f>
        <v>0</v>
      </c>
      <c r="Q8" s="7">
        <f t="shared" si="0"/>
        <v>0</v>
      </c>
      <c r="R8" s="7">
        <f>VLOOKUP($A8,[6]HISTOSEPT23!$A$7:$AU$45,29,0)</f>
        <v>0</v>
      </c>
    </row>
    <row r="9" spans="1:18" x14ac:dyDescent="0.25">
      <c r="A9" s="1" t="s">
        <v>53</v>
      </c>
      <c r="B9" s="7">
        <f>IF(D9=0,0,VLOOKUP($A9,[6]HISTOSEPT23!$A$6:$BO$40,10,0))</f>
        <v>1</v>
      </c>
      <c r="C9" s="1" t="str">
        <f>VLOOKUP(A9,[7]LISTADHERENT!A$5:H$60,3,0)</f>
        <v>DJOMOU TCHAPDA</v>
      </c>
      <c r="D9" s="7">
        <f t="shared" si="1"/>
        <v>25000</v>
      </c>
      <c r="E9" s="7">
        <f>D9+VLOOKUP($A9,[6]HISTOSEPT23!$A$7:$AU$40,45,0)+F9</f>
        <v>40000</v>
      </c>
      <c r="F9" s="7">
        <f>VLOOKUP($A9,[6]HISTOSEPT23!$A$7:$AU$45,7,0)</f>
        <v>0</v>
      </c>
      <c r="G9" s="7" t="str">
        <f>VLOOKUP($A9,[6]HISTOSEPT23!$A$7:$AU$45,8,0)</f>
        <v>BANQUE</v>
      </c>
      <c r="H9" s="7">
        <f>VLOOKUP($A9,[6]HISTOSEPT23!$A$6:$AU$45,35,0)</f>
        <v>0</v>
      </c>
      <c r="I9" s="7">
        <f>VLOOKUP($A9,[6]HISTOSEPT23!$A$7:$AU$45,38,0)</f>
        <v>0</v>
      </c>
      <c r="J9" s="7">
        <f>IF(I9=0,0,VLOOKUP($A9,[6]HISTOSEPT23!$A$7:$AU$45,42,0))</f>
        <v>0</v>
      </c>
      <c r="K9" s="7">
        <f>VLOOKUP($A9,[6]HISTOSEPT23!$A$7:$AU$45,41,0)</f>
        <v>0</v>
      </c>
      <c r="L9" s="7">
        <f>TONTAOUT23!H9+TONTAOUT23!I9</f>
        <v>0</v>
      </c>
      <c r="M9" s="7">
        <f>VLOOKUP($A9,[6]HISTOSEPT23!$A$7:$AU$45,16,0)</f>
        <v>0</v>
      </c>
      <c r="N9" s="7" t="str">
        <f>IF(M9&lt;&gt;0,VLOOKUP($A9,[6]HISTOSEPT23!$A$7:$AU$45,8,0),"ECHEC")</f>
        <v>ECHEC</v>
      </c>
      <c r="O9" s="7">
        <f>IF(R9=0,0,VLOOKUP($A9,[6]HISTOSEPT23!$A$7:$AU$45,32,0))</f>
        <v>0</v>
      </c>
      <c r="P9" s="7">
        <f>VLOOKUP($A9,[6]HISTOSEPT23!$A$7:$AU$45,33,0)</f>
        <v>0</v>
      </c>
      <c r="Q9" s="7">
        <f t="shared" si="0"/>
        <v>0</v>
      </c>
      <c r="R9" s="7">
        <f>VLOOKUP($A9,[6]HISTOSEPT23!$A$7:$AU$45,29,0)</f>
        <v>0</v>
      </c>
    </row>
    <row r="10" spans="1:18" x14ac:dyDescent="0.25">
      <c r="A10" s="1" t="s">
        <v>11</v>
      </c>
      <c r="B10" s="7">
        <f>IF(D10=0,0,VLOOKUP($A10,[6]HISTOSEPT23!$A$6:$BO$40,10,0))</f>
        <v>1</v>
      </c>
      <c r="C10" s="1" t="str">
        <f>VLOOKUP(A10,[7]LISTADHERENT!A$5:H$60,3,0)</f>
        <v>DJOUKWE NANGUEN GUY BLAISE</v>
      </c>
      <c r="D10" s="7">
        <f t="shared" si="1"/>
        <v>25000</v>
      </c>
      <c r="E10" s="7">
        <f>D10+VLOOKUP($A10,[6]HISTOSEPT23!$A$7:$AU$40,45,0)+F10</f>
        <v>40500</v>
      </c>
      <c r="F10" s="7">
        <f>VLOOKUP($A10,[6]HISTOSEPT23!$A$7:$AU$45,7,0)</f>
        <v>0</v>
      </c>
      <c r="G10" s="7" t="str">
        <f>VLOOKUP($A10,[6]HISTOSEPT23!$A$7:$AU$45,8,0)</f>
        <v>BANQUE</v>
      </c>
      <c r="H10" s="7">
        <f>VLOOKUP($A10,[6]HISTOSEPT23!$A$6:$AU$45,35,0)</f>
        <v>0</v>
      </c>
      <c r="I10" s="7">
        <f>VLOOKUP($A10,[6]HISTOSEPT23!$A$7:$AU$45,38,0)</f>
        <v>0</v>
      </c>
      <c r="J10" s="7">
        <f>IF(I10=0,0,VLOOKUP($A10,[6]HISTOSEPT23!$A$7:$AU$45,42,0))</f>
        <v>0</v>
      </c>
      <c r="K10" s="7">
        <f>VLOOKUP($A10,[6]HISTOSEPT23!$A$7:$AU$45,41,0)</f>
        <v>0</v>
      </c>
      <c r="L10" s="7">
        <f>TONTAOUT23!H10+TONTAOUT23!I10</f>
        <v>62500</v>
      </c>
      <c r="M10" s="7">
        <f>VLOOKUP($A10,[6]HISTOSEPT23!$A$7:$AU$45,16,0)</f>
        <v>62500</v>
      </c>
      <c r="N10" s="7" t="str">
        <f>IF(M10&lt;&gt;0,VLOOKUP($A10,[6]HISTOSEPT23!$A$7:$AU$45,8,0),"ECHEC")</f>
        <v>BANQUE</v>
      </c>
      <c r="O10" s="7">
        <f>IF(R10=0,0,VLOOKUP($A10,[6]HISTOSEPT23!$A$7:$AU$45,32,0))</f>
        <v>0</v>
      </c>
      <c r="P10" s="7">
        <f>VLOOKUP($A10,[6]HISTOSEPT23!$A$7:$AU$45,33,0)</f>
        <v>0</v>
      </c>
      <c r="Q10" s="7">
        <f t="shared" si="0"/>
        <v>0</v>
      </c>
      <c r="R10" s="7">
        <f>VLOOKUP($A10,[6]HISTOSEPT23!$A$7:$AU$45,29,0)</f>
        <v>0</v>
      </c>
    </row>
    <row r="11" spans="1:18" x14ac:dyDescent="0.25">
      <c r="A11" s="1" t="s">
        <v>12</v>
      </c>
      <c r="B11" s="7">
        <f>IF(D11=0,0,VLOOKUP($A11,[6]HISTOSEPT23!$A$6:$BO$40,10,0))</f>
        <v>1</v>
      </c>
      <c r="C11" s="1" t="str">
        <f>VLOOKUP(A11,[7]LISTADHERENT!A$5:H$60,3,0)</f>
        <v>DJUOMBESSY ANTOINE</v>
      </c>
      <c r="D11" s="7">
        <f t="shared" si="1"/>
        <v>25000</v>
      </c>
      <c r="E11" s="7">
        <f>D11+VLOOKUP($A11,[6]HISTOSEPT23!$A$7:$AU$40,45,0)+F11</f>
        <v>45000</v>
      </c>
      <c r="F11" s="7">
        <f>VLOOKUP($A11,[6]HISTOSEPT23!$A$7:$AU$45,7,0)</f>
        <v>0</v>
      </c>
      <c r="G11" s="7" t="str">
        <f>VLOOKUP($A11,[6]HISTOSEPT23!$A$7:$AU$45,8,0)</f>
        <v>BANQUE</v>
      </c>
      <c r="H11" s="7">
        <f>VLOOKUP($A11,[6]HISTOSEPT23!$A$6:$AU$45,35,0)</f>
        <v>0</v>
      </c>
      <c r="I11" s="7">
        <f>VLOOKUP($A11,[6]HISTOSEPT23!$A$7:$AU$45,38,0)</f>
        <v>0</v>
      </c>
      <c r="J11" s="7">
        <f>IF(I11=0,0,VLOOKUP($A11,[6]HISTOSEPT23!$A$7:$AU$45,42,0))</f>
        <v>0</v>
      </c>
      <c r="K11" s="7">
        <f>VLOOKUP($A11,[6]HISTOSEPT23!$A$7:$AU$45,41,0)</f>
        <v>0</v>
      </c>
      <c r="L11" s="7">
        <f>TONTAOUT23!H11+TONTAOUT23!I11</f>
        <v>0</v>
      </c>
      <c r="M11" s="7">
        <f>VLOOKUP($A11,[6]HISTOSEPT23!$A$7:$AU$45,16,0)</f>
        <v>0</v>
      </c>
      <c r="N11" s="7" t="str">
        <f>IF(M11&lt;&gt;0,VLOOKUP($A11,[6]HISTOSEPT23!$A$7:$AU$45,8,0),"ECHEC")</f>
        <v>ECHEC</v>
      </c>
      <c r="O11" s="7">
        <f>IF(R11=0,0,VLOOKUP($A11,[6]HISTOSEPT23!$A$7:$AU$45,32,0))</f>
        <v>0</v>
      </c>
      <c r="P11" s="7">
        <f>VLOOKUP($A11,[6]HISTOSEPT23!$A$7:$AU$45,33,0)</f>
        <v>0</v>
      </c>
      <c r="Q11" s="7">
        <f t="shared" si="0"/>
        <v>0</v>
      </c>
      <c r="R11" s="7">
        <f>VLOOKUP($A11,[6]HISTOSEPT23!$A$7:$AU$45,29,0)</f>
        <v>0</v>
      </c>
    </row>
    <row r="12" spans="1:18" x14ac:dyDescent="0.25">
      <c r="A12" s="1" t="s">
        <v>46</v>
      </c>
      <c r="B12" s="7">
        <f>IF(D12=0,0,VLOOKUP($A12,[6]HISTOSEPT23!$A$6:$BO$40,10,0))</f>
        <v>1</v>
      </c>
      <c r="C12" s="1" t="str">
        <f>VLOOKUP(A12,[7]LISTADHERENT!A$5:H$60,3,0)</f>
        <v>DOMOU FABIEN</v>
      </c>
      <c r="D12" s="7">
        <f t="shared" si="1"/>
        <v>25000</v>
      </c>
      <c r="E12" s="7">
        <f>D12+VLOOKUP($A12,[6]HISTOSEPT23!$A$7:$AU$40,45,0)+F12</f>
        <v>40000</v>
      </c>
      <c r="F12" s="7">
        <f>VLOOKUP($A12,[6]HISTOSEPT23!$A$7:$AU$45,7,0)</f>
        <v>0</v>
      </c>
      <c r="G12" s="7" t="str">
        <f>VLOOKUP($A12,[6]HISTOSEPT23!$A$7:$AU$45,8,0)</f>
        <v>BANQUE</v>
      </c>
      <c r="H12" s="7">
        <f>VLOOKUP($A12,[6]HISTOSEPT23!$A$6:$AU$45,35,0)</f>
        <v>0</v>
      </c>
      <c r="I12" s="7">
        <f>VLOOKUP($A12,[6]HISTOSEPT23!$A$7:$AU$45,38,0)</f>
        <v>0</v>
      </c>
      <c r="J12" s="7">
        <f>IF(I12=0,0,VLOOKUP($A12,[6]HISTOSEPT23!$A$7:$AU$45,42,0))</f>
        <v>0</v>
      </c>
      <c r="K12" s="7">
        <f>VLOOKUP($A12,[6]HISTOSEPT23!$A$7:$AU$45,41,0)</f>
        <v>0</v>
      </c>
      <c r="L12" s="7">
        <f>TONTAOUT23!H12+TONTAOUT23!I12</f>
        <v>0</v>
      </c>
      <c r="M12" s="7">
        <f>VLOOKUP($A12,[6]HISTOSEPT23!$A$7:$AU$45,16,0)</f>
        <v>0</v>
      </c>
      <c r="N12" s="7" t="str">
        <f>IF(M12&lt;&gt;0,VLOOKUP($A12,[6]HISTOSEPT23!$A$7:$AU$45,8,0),"ECHEC")</f>
        <v>ECHEC</v>
      </c>
      <c r="O12" s="7">
        <f>IF(R12=0,0,VLOOKUP($A12,[6]HISTOSEPT23!$A$7:$AU$45,32,0))</f>
        <v>0</v>
      </c>
      <c r="P12" s="7">
        <f>VLOOKUP($A12,[6]HISTOSEPT23!$A$7:$AU$45,33,0)</f>
        <v>0</v>
      </c>
      <c r="Q12" s="7">
        <f t="shared" si="0"/>
        <v>0</v>
      </c>
      <c r="R12" s="7">
        <f>VLOOKUP($A12,[6]HISTOSEPT23!$A$7:$AU$45,29,0)</f>
        <v>0</v>
      </c>
    </row>
    <row r="13" spans="1:18" x14ac:dyDescent="0.25">
      <c r="A13" s="1" t="s">
        <v>13</v>
      </c>
      <c r="B13" s="7">
        <f>IF(D13=0,0,VLOOKUP($A13,[6]HISTOSEPT23!$A$6:$BO$40,10,0))</f>
        <v>1</v>
      </c>
      <c r="C13" s="1" t="str">
        <f>VLOOKUP(A13,[7]LISTADHERENT!A$5:H$60,3,0)</f>
        <v>DONHOU DAVID</v>
      </c>
      <c r="D13" s="7">
        <f t="shared" si="1"/>
        <v>25000</v>
      </c>
      <c r="E13" s="7">
        <f>D13+VLOOKUP($A13,[6]HISTOSEPT23!$A$7:$AU$40,45,0)+F13</f>
        <v>40000</v>
      </c>
      <c r="F13" s="7">
        <f>VLOOKUP($A13,[6]HISTOSEPT23!$A$7:$AU$45,7,0)</f>
        <v>0</v>
      </c>
      <c r="G13" s="7" t="str">
        <f>VLOOKUP($A13,[6]HISTOSEPT23!$A$7:$AU$45,8,0)</f>
        <v>BANQUE</v>
      </c>
      <c r="H13" s="7">
        <f>VLOOKUP($A13,[6]HISTOSEPT23!$A$6:$AU$45,35,0)</f>
        <v>0</v>
      </c>
      <c r="I13" s="7">
        <f>VLOOKUP($A13,[6]HISTOSEPT23!$A$7:$AU$45,38,0)</f>
        <v>0</v>
      </c>
      <c r="J13" s="7">
        <f>IF(I13=0,0,VLOOKUP($A13,[6]HISTOSEPT23!$A$7:$AU$45,42,0))</f>
        <v>0</v>
      </c>
      <c r="K13" s="7">
        <f>VLOOKUP($A13,[6]HISTOSEPT23!$A$7:$AU$45,41,0)</f>
        <v>0</v>
      </c>
      <c r="L13" s="7">
        <f>TONTAOUT23!H13+TONTAOUT23!I13</f>
        <v>0</v>
      </c>
      <c r="M13" s="7">
        <f>VLOOKUP($A13,[6]HISTOSEPT23!$A$7:$AU$45,16,0)</f>
        <v>0</v>
      </c>
      <c r="N13" s="7" t="str">
        <f>IF(M13&lt;&gt;0,VLOOKUP($A13,[6]HISTOSEPT23!$A$7:$AU$45,8,0),"ECHEC")</f>
        <v>ECHEC</v>
      </c>
      <c r="O13" s="7">
        <f>IF(R13=0,0,VLOOKUP($A13,[6]HISTOSEPT23!$A$7:$AU$45,32,0))</f>
        <v>0</v>
      </c>
      <c r="P13" s="7">
        <f>VLOOKUP($A13,[6]HISTOSEPT23!$A$7:$AU$45,33,0)</f>
        <v>0</v>
      </c>
      <c r="Q13" s="7">
        <f t="shared" si="0"/>
        <v>0</v>
      </c>
      <c r="R13" s="7">
        <f>VLOOKUP($A13,[6]HISTOSEPT23!$A$7:$AU$45,29,0)</f>
        <v>0</v>
      </c>
    </row>
    <row r="14" spans="1:18" x14ac:dyDescent="0.25">
      <c r="A14" s="1" t="s">
        <v>14</v>
      </c>
      <c r="B14" s="7">
        <f>IF(D14=0,0,VLOOKUP($A14,[6]HISTOSEPT23!$A$6:$BO$40,10,0))</f>
        <v>1</v>
      </c>
      <c r="C14" s="1" t="str">
        <f>VLOOKUP(A14,[7]LISTADHERENT!A$5:H$60,3,0)</f>
        <v>HENGUE PAUL OMER</v>
      </c>
      <c r="D14" s="7">
        <f t="shared" si="1"/>
        <v>25000</v>
      </c>
      <c r="E14" s="7">
        <f>D14+VLOOKUP($A14,[6]HISTOSEPT23!$A$7:$AU$40,45,0)+F14</f>
        <v>40000</v>
      </c>
      <c r="F14" s="7">
        <f>VLOOKUP($A14,[6]HISTOSEPT23!$A$7:$AU$45,7,0)</f>
        <v>0</v>
      </c>
      <c r="G14" s="7" t="str">
        <f>VLOOKUP($A14,[6]HISTOSEPT23!$A$7:$AU$45,8,0)</f>
        <v>BANQUE</v>
      </c>
      <c r="H14" s="7">
        <f>VLOOKUP($A14,[6]HISTOSEPT23!$A$6:$AU$45,35,0)</f>
        <v>0</v>
      </c>
      <c r="I14" s="7">
        <f>VLOOKUP($A14,[6]HISTOSEPT23!$A$7:$AU$45,38,0)</f>
        <v>0</v>
      </c>
      <c r="J14" s="7">
        <f>IF(I14=0,0,VLOOKUP($A14,[6]HISTOSEPT23!$A$7:$AU$45,42,0))</f>
        <v>0</v>
      </c>
      <c r="K14" s="7">
        <f>VLOOKUP($A14,[6]HISTOSEPT23!$A$7:$AU$45,41,0)</f>
        <v>0</v>
      </c>
      <c r="L14" s="7">
        <f>TONTAOUT23!H14+TONTAOUT23!I14</f>
        <v>0</v>
      </c>
      <c r="M14" s="7">
        <f>VLOOKUP($A14,[6]HISTOSEPT23!$A$7:$AU$45,16,0)</f>
        <v>0</v>
      </c>
      <c r="N14" s="7" t="str">
        <f>IF(M14&lt;&gt;0,VLOOKUP($A14,[6]HISTOSEPT23!$A$7:$AU$45,8,0),"ECHEC")</f>
        <v>ECHEC</v>
      </c>
      <c r="O14" s="7">
        <f>IF(R14=0,0,VLOOKUP($A14,[6]HISTOSEPT23!$A$7:$AU$45,32,0))</f>
        <v>0</v>
      </c>
      <c r="P14" s="7">
        <f>VLOOKUP($A14,[6]HISTOSEPT23!$A$7:$AU$45,33,0)</f>
        <v>0</v>
      </c>
      <c r="Q14" s="7">
        <f t="shared" si="0"/>
        <v>0</v>
      </c>
      <c r="R14" s="7">
        <f>VLOOKUP($A14,[6]HISTOSEPT23!$A$7:$AU$45,29,0)</f>
        <v>0</v>
      </c>
    </row>
    <row r="15" spans="1:18" x14ac:dyDescent="0.25">
      <c r="A15" s="1" t="s">
        <v>15</v>
      </c>
      <c r="B15" s="7">
        <f>IF(D15=0,0,VLOOKUP($A15,[6]HISTOSEPT23!$A$6:$BO$40,10,0))</f>
        <v>1</v>
      </c>
      <c r="C15" s="1" t="str">
        <f>VLOOKUP(A15,[7]LISTADHERENT!A$5:H$60,3,0)</f>
        <v>HOTCHO BENJAMIN</v>
      </c>
      <c r="D15" s="7">
        <f t="shared" si="1"/>
        <v>25000</v>
      </c>
      <c r="E15" s="7">
        <f>D15+VLOOKUP($A15,[6]HISTOSEPT23!$A$7:$AU$40,45,0)+F15</f>
        <v>75000</v>
      </c>
      <c r="F15" s="7">
        <f>VLOOKUP($A15,[6]HISTOSEPT23!$A$7:$AU$45,7,0)</f>
        <v>0</v>
      </c>
      <c r="G15" s="7" t="str">
        <f>VLOOKUP($A15,[6]HISTOSEPT23!$A$7:$AU$45,8,0)</f>
        <v>BANQUE</v>
      </c>
      <c r="H15" s="7">
        <f>VLOOKUP($A15,[6]HISTOSEPT23!$A$6:$AU$45,35,0)</f>
        <v>0</v>
      </c>
      <c r="I15" s="7">
        <f>VLOOKUP($A15,[6]HISTOSEPT23!$A$7:$AU$45,38,0)</f>
        <v>0</v>
      </c>
      <c r="J15" s="7">
        <f>IF(I15=0,0,VLOOKUP($A15,[6]HISTOSEPT23!$A$7:$AU$45,42,0))</f>
        <v>0</v>
      </c>
      <c r="K15" s="7">
        <f>VLOOKUP($A15,[6]HISTOSEPT23!$A$7:$AU$45,41,0)</f>
        <v>0</v>
      </c>
      <c r="L15" s="7">
        <f>TONTAOUT23!H15+TONTAOUT23!I15</f>
        <v>0</v>
      </c>
      <c r="M15" s="7">
        <f>VLOOKUP($A15,[6]HISTOSEPT23!$A$7:$AU$45,16,0)</f>
        <v>0</v>
      </c>
      <c r="N15" s="7" t="str">
        <f>IF(M15&lt;&gt;0,VLOOKUP($A15,[6]HISTOSEPT23!$A$7:$AU$45,8,0),"ECHEC")</f>
        <v>ECHEC</v>
      </c>
      <c r="O15" s="7">
        <f>IF(R15=0,0,VLOOKUP($A15,[6]HISTOSEPT23!$A$7:$AU$45,32,0))</f>
        <v>0</v>
      </c>
      <c r="P15" s="7">
        <f>VLOOKUP($A15,[6]HISTOSEPT23!$A$7:$AU$45,33,0)</f>
        <v>0</v>
      </c>
      <c r="Q15" s="7">
        <f t="shared" si="0"/>
        <v>0</v>
      </c>
      <c r="R15" s="7">
        <f>VLOOKUP($A15,[6]HISTOSEPT23!$A$7:$AU$45,29,0)</f>
        <v>0</v>
      </c>
    </row>
    <row r="16" spans="1:18" x14ac:dyDescent="0.25">
      <c r="A16" s="1" t="s">
        <v>16</v>
      </c>
      <c r="B16" s="7">
        <f>IF(D16=0,0,VLOOKUP($A16,[6]HISTOSEPT23!$A$6:$BO$40,10,0))</f>
        <v>1</v>
      </c>
      <c r="C16" s="1" t="str">
        <f>VLOOKUP(A16,[7]LISTADHERENT!A$5:H$60,3,0)</f>
        <v>KOUAMOU MOISE</v>
      </c>
      <c r="D16" s="7">
        <f t="shared" si="1"/>
        <v>25000</v>
      </c>
      <c r="E16" s="7">
        <f>D16+VLOOKUP($A16,[6]HISTOSEPT23!$A$7:$AU$40,45,0)+F16</f>
        <v>40000</v>
      </c>
      <c r="F16" s="7">
        <f>VLOOKUP($A16,[6]HISTOSEPT23!$A$7:$AU$45,7,0)</f>
        <v>0</v>
      </c>
      <c r="G16" s="7" t="str">
        <f>VLOOKUP($A16,[6]HISTOSEPT23!$A$7:$AU$45,8,0)</f>
        <v>BANQUE</v>
      </c>
      <c r="H16" s="7">
        <f>VLOOKUP($A16,[6]HISTOSEPT23!$A$6:$AU$45,35,0)</f>
        <v>0</v>
      </c>
      <c r="I16" s="7">
        <f>VLOOKUP($A16,[6]HISTOSEPT23!$A$7:$AU$45,38,0)</f>
        <v>0</v>
      </c>
      <c r="J16" s="7">
        <f>IF(I16=0,0,VLOOKUP($A16,[6]HISTOSEPT23!$A$7:$AU$45,42,0))</f>
        <v>0</v>
      </c>
      <c r="K16" s="7">
        <f>VLOOKUP($A16,[6]HISTOSEPT23!$A$7:$AU$45,41,0)</f>
        <v>0</v>
      </c>
      <c r="L16" s="7">
        <f>TONTAOUT23!H16+TONTAOUT23!I16</f>
        <v>0</v>
      </c>
      <c r="M16" s="7">
        <f>VLOOKUP($A16,[6]HISTOSEPT23!$A$7:$AU$45,16,0)</f>
        <v>0</v>
      </c>
      <c r="N16" s="7" t="str">
        <f>IF(M16&lt;&gt;0,VLOOKUP($A16,[6]HISTOSEPT23!$A$7:$AU$45,8,0),"ECHEC")</f>
        <v>ECHEC</v>
      </c>
      <c r="O16" s="7">
        <f>IF(R16=0,0,VLOOKUP($A16,[6]HISTOSEPT23!$A$7:$AU$45,32,0))</f>
        <v>0</v>
      </c>
      <c r="P16" s="7">
        <f>VLOOKUP($A16,[6]HISTOSEPT23!$A$7:$AU$45,33,0)</f>
        <v>0</v>
      </c>
      <c r="Q16" s="7">
        <f t="shared" si="0"/>
        <v>0</v>
      </c>
      <c r="R16" s="7">
        <f>VLOOKUP($A16,[6]HISTOSEPT23!$A$7:$AU$45,29,0)</f>
        <v>0</v>
      </c>
    </row>
    <row r="17" spans="1:18" x14ac:dyDescent="0.25">
      <c r="A17" s="1" t="s">
        <v>17</v>
      </c>
      <c r="B17" s="7">
        <f>IF(D17=0,0,VLOOKUP($A17,[6]HISTOSEPT23!$A$6:$BO$40,10,0))</f>
        <v>1</v>
      </c>
      <c r="C17" s="1" t="str">
        <f>VLOOKUP(A17,[7]LISTADHERENT!A$5:H$60,3,0)</f>
        <v>KOUATCHO MESSACK</v>
      </c>
      <c r="D17" s="7">
        <f t="shared" si="1"/>
        <v>25000</v>
      </c>
      <c r="E17" s="7">
        <f>D17+VLOOKUP($A17,[6]HISTOSEPT23!$A$7:$AU$40,45,0)+F17</f>
        <v>40000</v>
      </c>
      <c r="F17" s="7">
        <f>VLOOKUP($A17,[6]HISTOSEPT23!$A$7:$AU$45,7,0)</f>
        <v>0</v>
      </c>
      <c r="G17" s="7" t="str">
        <f>VLOOKUP($A17,[6]HISTOSEPT23!$A$7:$AU$45,8,0)</f>
        <v>BANQUE</v>
      </c>
      <c r="H17" s="7">
        <f>VLOOKUP($A17,[6]HISTOSEPT23!$A$6:$AU$45,35,0)</f>
        <v>0</v>
      </c>
      <c r="I17" s="7">
        <f>VLOOKUP($A17,[6]HISTOSEPT23!$A$7:$AU$45,38,0)</f>
        <v>0</v>
      </c>
      <c r="J17" s="7">
        <f>IF(I17=0,0,VLOOKUP($A17,[6]HISTOSEPT23!$A$7:$AU$45,42,0))</f>
        <v>0</v>
      </c>
      <c r="K17" s="7">
        <f>VLOOKUP($A17,[6]HISTOSEPT23!$A$7:$AU$45,41,0)</f>
        <v>0</v>
      </c>
      <c r="L17" s="7">
        <f>TONTAOUT23!H17+TONTAOUT23!I17</f>
        <v>0</v>
      </c>
      <c r="M17" s="7">
        <f>VLOOKUP($A17,[6]HISTOSEPT23!$A$7:$AU$45,16,0)</f>
        <v>0</v>
      </c>
      <c r="N17" s="7" t="str">
        <f>IF(M17&lt;&gt;0,VLOOKUP($A17,[6]HISTOSEPT23!$A$7:$AU$45,8,0),"ECHEC")</f>
        <v>ECHEC</v>
      </c>
      <c r="O17" s="7">
        <f>IF(R17=0,0,VLOOKUP($A17,[6]HISTOSEPT23!$A$7:$AU$45,32,0))</f>
        <v>0</v>
      </c>
      <c r="P17" s="7">
        <f>VLOOKUP($A17,[6]HISTOSEPT23!$A$7:$AU$45,33,0)</f>
        <v>0</v>
      </c>
      <c r="Q17" s="7">
        <f t="shared" si="0"/>
        <v>0</v>
      </c>
      <c r="R17" s="7">
        <f>VLOOKUP($A17,[6]HISTOSEPT23!$A$7:$AU$45,29,0)</f>
        <v>0</v>
      </c>
    </row>
    <row r="18" spans="1:18" x14ac:dyDescent="0.25">
      <c r="A18" s="1" t="s">
        <v>18</v>
      </c>
      <c r="B18" s="7">
        <f>IF(D18=0,0,VLOOKUP($A18,[6]HISTOSEPT23!$A$6:$BO$40,10,0))</f>
        <v>1</v>
      </c>
      <c r="C18" s="1" t="str">
        <f>VLOOKUP(A18,[7]LISTADHERENT!A$5:H$60,3,0)</f>
        <v>LOWE JEAN</v>
      </c>
      <c r="D18" s="7">
        <f t="shared" si="1"/>
        <v>25000</v>
      </c>
      <c r="E18" s="7">
        <f>D18+VLOOKUP($A18,[6]HISTOSEPT23!$A$7:$AU$40,45,0)+F18</f>
        <v>40000</v>
      </c>
      <c r="F18" s="7">
        <f>VLOOKUP($A18,[6]HISTOSEPT23!$A$7:$AU$45,7,0)</f>
        <v>0</v>
      </c>
      <c r="G18" s="7" t="str">
        <f>VLOOKUP($A18,[6]HISTOSEPT23!$A$7:$AU$45,8,0)</f>
        <v>BANQUE</v>
      </c>
      <c r="H18" s="7">
        <f>VLOOKUP($A18,[6]HISTOSEPT23!$A$6:$AU$45,35,0)</f>
        <v>0</v>
      </c>
      <c r="I18" s="7">
        <f>VLOOKUP($A18,[6]HISTOSEPT23!$A$7:$AU$45,38,0)</f>
        <v>0</v>
      </c>
      <c r="J18" s="7">
        <f>IF(I18=0,0,VLOOKUP($A18,[6]HISTOSEPT23!$A$7:$AU$45,42,0))</f>
        <v>0</v>
      </c>
      <c r="K18" s="7">
        <f>VLOOKUP($A18,[6]HISTOSEPT23!$A$7:$AU$45,41,0)</f>
        <v>0</v>
      </c>
      <c r="L18" s="7">
        <f>TONTAOUT23!H18+TONTAOUT23!I18</f>
        <v>0</v>
      </c>
      <c r="M18" s="7">
        <f>VLOOKUP($A18,[6]HISTOSEPT23!$A$7:$AU$45,16,0)</f>
        <v>0</v>
      </c>
      <c r="N18" s="7" t="str">
        <f>IF(M18&lt;&gt;0,VLOOKUP($A18,[6]HISTOSEPT23!$A$7:$AU$45,8,0),"ECHEC")</f>
        <v>ECHEC</v>
      </c>
      <c r="O18" s="7">
        <f>IF(R18=0,0,VLOOKUP($A18,[6]HISTOSEPT23!$A$7:$AU$45,32,0))</f>
        <v>0</v>
      </c>
      <c r="P18" s="7">
        <f>VLOOKUP($A18,[6]HISTOSEPT23!$A$7:$AU$45,33,0)</f>
        <v>0</v>
      </c>
      <c r="Q18" s="7">
        <f t="shared" si="0"/>
        <v>0</v>
      </c>
      <c r="R18" s="7">
        <f>VLOOKUP($A18,[6]HISTOSEPT23!$A$7:$AU$45,29,0)</f>
        <v>0</v>
      </c>
    </row>
    <row r="19" spans="1:18" x14ac:dyDescent="0.25">
      <c r="A19" s="1" t="s">
        <v>45</v>
      </c>
      <c r="B19" s="7">
        <f>IF(D19=0,0,VLOOKUP($A19,[6]HISTOSEPT23!$A$6:$BO$40,10,0))</f>
        <v>1</v>
      </c>
      <c r="C19" s="1" t="str">
        <f>VLOOKUP(A19,[7]LISTADHERENT!A$5:H$60,3,0)</f>
        <v>MBOGNING TUGMA GUY</v>
      </c>
      <c r="D19" s="7">
        <f t="shared" si="1"/>
        <v>25000</v>
      </c>
      <c r="E19" s="7">
        <f>D19+VLOOKUP($A19,[6]HISTOSEPT23!$A$7:$AU$40,45,0)+F19</f>
        <v>39500</v>
      </c>
      <c r="F19" s="7">
        <f>VLOOKUP($A19,[6]HISTOSEPT23!$A$7:$AU$45,7,0)</f>
        <v>0</v>
      </c>
      <c r="G19" s="7" t="str">
        <f>VLOOKUP($A19,[6]HISTOSEPT23!$A$7:$AU$45,8,0)</f>
        <v>BANQUE</v>
      </c>
      <c r="H19" s="7">
        <f>VLOOKUP($A19,[6]HISTOSEPT23!$A$6:$AU$45,35,0)</f>
        <v>0</v>
      </c>
      <c r="I19" s="7">
        <f>VLOOKUP($A19,[6]HISTOSEPT23!$A$7:$AU$45,38,0)</f>
        <v>0</v>
      </c>
      <c r="J19" s="7">
        <f>IF(I19=0,0,VLOOKUP($A19,[6]HISTOSEPT23!$A$7:$AU$45,42,0))</f>
        <v>0</v>
      </c>
      <c r="K19" s="7">
        <f>VLOOKUP($A19,[6]HISTOSEPT23!$A$7:$AU$45,41,0)</f>
        <v>0</v>
      </c>
      <c r="L19" s="7">
        <f>TONTAOUT23!H19+TONTAOUT23!I19</f>
        <v>61000</v>
      </c>
      <c r="M19" s="7">
        <f>VLOOKUP($A19,[6]HISTOSEPT23!$A$7:$AU$45,16,0)</f>
        <v>61000</v>
      </c>
      <c r="N19" s="7" t="str">
        <f>IF(M19&lt;&gt;0,VLOOKUP($A19,[6]HISTOSEPT23!$A$7:$AU$45,8,0),"ECHEC")</f>
        <v>BANQUE</v>
      </c>
      <c r="O19" s="7">
        <f>IF(R19=0,0,VLOOKUP($A19,[6]HISTOSEPT23!$A$7:$AU$45,32,0))</f>
        <v>0</v>
      </c>
      <c r="P19" s="7">
        <f>VLOOKUP($A19,[6]HISTOSEPT23!$A$7:$AU$45,33,0)</f>
        <v>0</v>
      </c>
      <c r="Q19" s="7">
        <f t="shared" si="0"/>
        <v>0</v>
      </c>
      <c r="R19" s="7">
        <f>VLOOKUP($A19,[6]HISTOSEPT23!$A$7:$AU$45,29,0)</f>
        <v>0</v>
      </c>
    </row>
    <row r="20" spans="1:18" x14ac:dyDescent="0.25">
      <c r="A20" s="1" t="s">
        <v>26</v>
      </c>
      <c r="B20" s="7">
        <f>IF(D20=0,0,VLOOKUP($A20,[6]HISTOSEPT23!$A$6:$BO$40,10,0))</f>
        <v>1</v>
      </c>
      <c r="C20" s="1" t="str">
        <f>VLOOKUP(A20,[7]LISTADHERENT!A$5:H$60,3,0)</f>
        <v>NANGUEN MARTIN</v>
      </c>
      <c r="D20" s="7">
        <f t="shared" si="1"/>
        <v>25000</v>
      </c>
      <c r="E20" s="7">
        <f>D20+VLOOKUP($A20,[6]HISTOSEPT23!$A$7:$AU$40,45,0)+F20</f>
        <v>40000</v>
      </c>
      <c r="F20" s="7">
        <f>VLOOKUP($A20,[6]HISTOSEPT23!$A$7:$AU$45,7,0)</f>
        <v>0</v>
      </c>
      <c r="G20" s="7" t="str">
        <f>VLOOKUP($A20,[6]HISTOSEPT23!$A$7:$AU$45,8,0)</f>
        <v>BANQUE</v>
      </c>
      <c r="H20" s="7">
        <f>VLOOKUP($A20,[6]HISTOSEPT23!$A$6:$AU$45,35,0)</f>
        <v>0</v>
      </c>
      <c r="I20" s="7">
        <f>VLOOKUP($A20,[6]HISTOSEPT23!$A$7:$AU$45,38,0)</f>
        <v>0</v>
      </c>
      <c r="J20" s="7">
        <f>IF(I20=0,0,VLOOKUP($A20,[6]HISTOSEPT23!$A$7:$AU$45,42,0))</f>
        <v>0</v>
      </c>
      <c r="K20" s="7">
        <f>VLOOKUP($A20,[6]HISTOSEPT23!$A$7:$AU$45,41,0)</f>
        <v>0</v>
      </c>
      <c r="L20" s="7">
        <f>TONTAOUT23!H20+TONTAOUT23!I20</f>
        <v>0</v>
      </c>
      <c r="M20" s="7">
        <f>VLOOKUP($A20,[6]HISTOSEPT23!$A$7:$AU$45,16,0)</f>
        <v>0</v>
      </c>
      <c r="N20" s="7" t="str">
        <f>IF(M20&lt;&gt;0,VLOOKUP($A20,[6]HISTOSEPT23!$A$7:$AU$45,8,0),"ECHEC")</f>
        <v>ECHEC</v>
      </c>
      <c r="O20" s="7">
        <f>IF(R20=0,0,VLOOKUP($A20,[6]HISTOSEPT23!$A$7:$AU$45,32,0))</f>
        <v>0</v>
      </c>
      <c r="P20" s="7">
        <f>VLOOKUP($A20,[6]HISTOSEPT23!$A$7:$AU$45,33,0)</f>
        <v>0</v>
      </c>
      <c r="Q20" s="7">
        <f t="shared" si="0"/>
        <v>0</v>
      </c>
      <c r="R20" s="7">
        <f>VLOOKUP($A20,[6]HISTOSEPT23!$A$7:$AU$45,29,0)</f>
        <v>0</v>
      </c>
    </row>
    <row r="21" spans="1:18" x14ac:dyDescent="0.25">
      <c r="A21" s="1" t="s">
        <v>19</v>
      </c>
      <c r="B21" s="7">
        <f>IF(D21=0,0,VLOOKUP($A21,[6]HISTOSEPT23!$A$6:$BO$40,10,0))</f>
        <v>1</v>
      </c>
      <c r="C21" s="1" t="str">
        <f>VLOOKUP(A21,[7]LISTADHERENT!A$5:H$60,3,0)</f>
        <v>NANKAM APPOLINAIRE</v>
      </c>
      <c r="D21" s="7">
        <f t="shared" si="1"/>
        <v>25000</v>
      </c>
      <c r="E21" s="7">
        <f>D21+VLOOKUP($A21,[6]HISTOSEPT23!$A$7:$AU$40,45,0)+F21</f>
        <v>40000</v>
      </c>
      <c r="F21" s="7">
        <f>VLOOKUP($A21,[6]HISTOSEPT23!$A$7:$AU$45,7,0)</f>
        <v>0</v>
      </c>
      <c r="G21" s="7" t="str">
        <f>VLOOKUP($A21,[6]HISTOSEPT23!$A$7:$AU$45,8,0)</f>
        <v>BANQUE</v>
      </c>
      <c r="H21" s="7">
        <f>VLOOKUP($A21,[6]HISTOSEPT23!$A$6:$AU$45,35,0)</f>
        <v>0</v>
      </c>
      <c r="I21" s="7">
        <f>VLOOKUP($A21,[6]HISTOSEPT23!$A$7:$AU$45,38,0)</f>
        <v>0</v>
      </c>
      <c r="J21" s="7">
        <f>IF(I21=0,0,VLOOKUP($A21,[6]HISTOSEPT23!$A$7:$AU$45,42,0))</f>
        <v>0</v>
      </c>
      <c r="K21" s="7">
        <f>VLOOKUP($A21,[6]HISTOSEPT23!$A$7:$AU$45,41,0)</f>
        <v>0</v>
      </c>
      <c r="L21" s="7">
        <f>TONTAOUT23!H21+TONTAOUT23!I21</f>
        <v>0</v>
      </c>
      <c r="M21" s="7">
        <f>VLOOKUP($A21,[6]HISTOSEPT23!$A$7:$AU$45,16,0)</f>
        <v>0</v>
      </c>
      <c r="N21" s="7" t="str">
        <f>IF(M21&lt;&gt;0,VLOOKUP($A21,[6]HISTOSEPT23!$A$7:$AU$45,8,0),"ECHEC")</f>
        <v>ECHEC</v>
      </c>
      <c r="O21" s="7">
        <f>IF(R21=0,0,VLOOKUP($A21,[6]HISTOSEPT23!$A$7:$AU$45,32,0))</f>
        <v>0</v>
      </c>
      <c r="P21" s="7">
        <f>VLOOKUP($A21,[6]HISTOSEPT23!$A$7:$AU$45,33,0)</f>
        <v>0</v>
      </c>
      <c r="Q21" s="7">
        <f t="shared" si="0"/>
        <v>0</v>
      </c>
      <c r="R21" s="7">
        <f>VLOOKUP($A21,[6]HISTOSEPT23!$A$7:$AU$45,29,0)</f>
        <v>0</v>
      </c>
    </row>
    <row r="22" spans="1:18" x14ac:dyDescent="0.25">
      <c r="A22" s="1" t="s">
        <v>20</v>
      </c>
      <c r="B22" s="7">
        <f>IF(D22=0,0,VLOOKUP($A22,[6]HISTOSEPT23!$A$6:$BO$40,10,0))</f>
        <v>1</v>
      </c>
      <c r="C22" s="1" t="str">
        <f>VLOOKUP(A22,[7]LISTADHERENT!A$5:H$60,3,0)</f>
        <v>NDJOMO ETIENNE</v>
      </c>
      <c r="D22" s="7">
        <f t="shared" si="1"/>
        <v>25000</v>
      </c>
      <c r="E22" s="7">
        <f>D22+VLOOKUP($A22,[6]HISTOSEPT23!$A$7:$AU$40,45,0)+F22</f>
        <v>50000</v>
      </c>
      <c r="F22" s="7">
        <f>VLOOKUP($A22,[6]HISTOSEPT23!$A$7:$AU$45,7,0)</f>
        <v>0</v>
      </c>
      <c r="G22" s="7" t="str">
        <f>VLOOKUP($A22,[6]HISTOSEPT23!$A$7:$AU$45,8,0)</f>
        <v>BANQUE</v>
      </c>
      <c r="H22" s="7">
        <f>VLOOKUP($A22,[6]HISTOSEPT23!$A$6:$AU$45,35,0)</f>
        <v>0</v>
      </c>
      <c r="I22" s="7">
        <f>VLOOKUP($A22,[6]HISTOSEPT23!$A$7:$AU$45,38,0)</f>
        <v>0</v>
      </c>
      <c r="J22" s="7">
        <f>IF(I22=0,0,VLOOKUP($A22,[6]HISTOSEPT23!$A$7:$AU$45,42,0))</f>
        <v>0</v>
      </c>
      <c r="K22" s="7">
        <f>VLOOKUP($A22,[6]HISTOSEPT23!$A$7:$AU$45,41,0)</f>
        <v>0</v>
      </c>
      <c r="L22" s="7">
        <f>TONTAOUT23!H22+TONTAOUT23!I22</f>
        <v>0</v>
      </c>
      <c r="M22" s="7">
        <f>VLOOKUP($A22,[6]HISTOSEPT23!$A$7:$AU$45,16,0)</f>
        <v>0</v>
      </c>
      <c r="N22" s="7" t="str">
        <f>IF(M22&lt;&gt;0,VLOOKUP($A22,[6]HISTOSEPT23!$A$7:$AU$45,8,0),"ECHEC")</f>
        <v>ECHEC</v>
      </c>
      <c r="O22" s="7" t="str">
        <f>IF(R22=0,0,VLOOKUP($A22,[6]HISTOSEPT23!$A$7:$AU$45,32,0))</f>
        <v>BANQUE</v>
      </c>
      <c r="P22" s="7">
        <f>VLOOKUP($A22,[6]HISTOSEPT23!$A$7:$AU$45,33,0)</f>
        <v>0</v>
      </c>
      <c r="Q22" s="7">
        <f t="shared" si="0"/>
        <v>297500</v>
      </c>
      <c r="R22" s="7">
        <f>VLOOKUP($A22,[6]HISTOSEPT23!$A$7:$AU$45,29,0)</f>
        <v>2500</v>
      </c>
    </row>
    <row r="23" spans="1:18" x14ac:dyDescent="0.25">
      <c r="A23" s="1" t="s">
        <v>21</v>
      </c>
      <c r="B23" s="7">
        <f>IF(D23=0,0,VLOOKUP($A23,[6]HISTOSEPT23!$A$6:$BO$40,10,0))</f>
        <v>1</v>
      </c>
      <c r="C23" s="1" t="str">
        <f>VLOOKUP(A23,[7]LISTADHERENT!A$5:H$60,3,0)</f>
        <v>NGONDIEP CLAUDE</v>
      </c>
      <c r="D23" s="7">
        <f t="shared" si="1"/>
        <v>25000</v>
      </c>
      <c r="E23" s="7">
        <f>D23+VLOOKUP($A23,[6]HISTOSEPT23!$A$7:$AU$40,45,0)+F23</f>
        <v>40000</v>
      </c>
      <c r="F23" s="7">
        <f>VLOOKUP($A23,[6]HISTOSEPT23!$A$7:$AU$45,7,0)</f>
        <v>0</v>
      </c>
      <c r="G23" s="7" t="str">
        <f>VLOOKUP($A23,[6]HISTOSEPT23!$A$7:$AU$45,8,0)</f>
        <v>BANQUE</v>
      </c>
      <c r="H23" s="7">
        <f>VLOOKUP($A23,[6]HISTOSEPT23!$A$6:$AU$45,35,0)</f>
        <v>0</v>
      </c>
      <c r="I23" s="7">
        <f>VLOOKUP($A23,[6]HISTOSEPT23!$A$7:$AU$45,38,0)</f>
        <v>0</v>
      </c>
      <c r="J23" s="7">
        <f>IF(I23=0,0,VLOOKUP($A23,[6]HISTOSEPT23!$A$7:$AU$45,42,0))</f>
        <v>0</v>
      </c>
      <c r="K23" s="7">
        <f>VLOOKUP($A23,[6]HISTOSEPT23!$A$7:$AU$45,41,0)</f>
        <v>0</v>
      </c>
      <c r="L23" s="7">
        <f>TONTAOUT23!H23+TONTAOUT23!I23</f>
        <v>0</v>
      </c>
      <c r="M23" s="7">
        <f>VLOOKUP($A23,[6]HISTOSEPT23!$A$7:$AU$45,16,0)</f>
        <v>0</v>
      </c>
      <c r="N23" s="7" t="str">
        <f>IF(M23&lt;&gt;0,VLOOKUP($A23,[6]HISTOSEPT23!$A$7:$AU$45,8,0),"ECHEC")</f>
        <v>ECHEC</v>
      </c>
      <c r="O23" s="7">
        <f>IF(R23=0,0,VLOOKUP($A23,[6]HISTOSEPT23!$A$7:$AU$45,32,0))</f>
        <v>0</v>
      </c>
      <c r="P23" s="7">
        <f>VLOOKUP($A23,[6]HISTOSEPT23!$A$7:$AU$45,33,0)</f>
        <v>0</v>
      </c>
      <c r="Q23" s="7">
        <f t="shared" si="0"/>
        <v>0</v>
      </c>
      <c r="R23" s="7">
        <f>VLOOKUP($A23,[6]HISTOSEPT23!$A$7:$AU$45,29,0)</f>
        <v>0</v>
      </c>
    </row>
    <row r="24" spans="1:18" x14ac:dyDescent="0.25">
      <c r="A24" s="1" t="s">
        <v>22</v>
      </c>
      <c r="B24" s="7">
        <f>IF(D24=0,0,VLOOKUP($A24,[6]HISTOSEPT23!$A$6:$BO$40,10,0))</f>
        <v>1</v>
      </c>
      <c r="C24" s="1" t="str">
        <f>VLOOKUP(A24,[7]LISTADHERENT!A$5:H$60,3,0)</f>
        <v>NGUIEMEGNI MATHIEU BLAISE</v>
      </c>
      <c r="D24" s="7">
        <f t="shared" si="1"/>
        <v>25000</v>
      </c>
      <c r="E24" s="7">
        <f>D24+VLOOKUP($A24,[6]HISTOSEPT23!$A$7:$AU$40,45,0)+F24</f>
        <v>190000</v>
      </c>
      <c r="F24" s="7">
        <f>VLOOKUP($A24,[6]HISTOSEPT23!$A$7:$AU$45,7,0)</f>
        <v>0</v>
      </c>
      <c r="G24" s="7" t="str">
        <f>VLOOKUP($A24,[6]HISTOSEPT23!$A$7:$AU$45,8,0)</f>
        <v>BANQUE</v>
      </c>
      <c r="H24" s="7">
        <f>VLOOKUP($A24,[6]HISTOSEPT23!$A$6:$AU$45,35,0)</f>
        <v>0</v>
      </c>
      <c r="I24" s="7">
        <f>VLOOKUP($A24,[6]HISTOSEPT23!$A$7:$AU$45,38,0)</f>
        <v>0</v>
      </c>
      <c r="J24" s="7">
        <f>IF(I24=0,0,VLOOKUP($A24,[6]HISTOSEPT23!$A$7:$AU$45,42,0))</f>
        <v>0</v>
      </c>
      <c r="K24" s="7">
        <f>VLOOKUP($A24,[6]HISTOSEPT23!$A$7:$AU$45,41,0)</f>
        <v>0</v>
      </c>
      <c r="L24" s="7">
        <f>TONTAOUT23!H24+TONTAOUT23!I24</f>
        <v>0</v>
      </c>
      <c r="M24" s="7">
        <f>VLOOKUP($A24,[6]HISTOSEPT23!$A$7:$AU$45,16,0)</f>
        <v>0</v>
      </c>
      <c r="N24" s="7" t="str">
        <f>IF(M24&lt;&gt;0,VLOOKUP($A24,[6]HISTOSEPT23!$A$7:$AU$45,8,0),"ECHEC")</f>
        <v>ECHEC</v>
      </c>
      <c r="O24" s="7">
        <f>IF(R24=0,0,VLOOKUP($A24,[6]HISTOSEPT23!$A$7:$AU$45,32,0))</f>
        <v>0</v>
      </c>
      <c r="P24" s="7">
        <f>VLOOKUP($A24,[6]HISTOSEPT23!$A$7:$AU$45,33,0)</f>
        <v>0</v>
      </c>
      <c r="Q24" s="7">
        <f t="shared" si="0"/>
        <v>0</v>
      </c>
      <c r="R24" s="7">
        <f>VLOOKUP($A24,[6]HISTOSEPT23!$A$7:$AU$45,29,0)</f>
        <v>0</v>
      </c>
    </row>
    <row r="25" spans="1:18" x14ac:dyDescent="0.25">
      <c r="A25" s="1" t="s">
        <v>23</v>
      </c>
      <c r="B25" s="7">
        <f>IF(D25=0,0,VLOOKUP($A25,[6]HISTOSEPT23!$A$6:$BO$40,10,0))</f>
        <v>1</v>
      </c>
      <c r="C25" s="1" t="str">
        <f>VLOOKUP(A25,[7]LISTADHERENT!A$5:H$60,3,0)</f>
        <v>NKAMGANG JUSTIN DEJOLIE</v>
      </c>
      <c r="D25" s="7">
        <f t="shared" si="1"/>
        <v>25000</v>
      </c>
      <c r="E25" s="7">
        <f>D25+VLOOKUP($A25,[6]HISTOSEPT23!$A$7:$AU$40,45,0)+F25</f>
        <v>43000</v>
      </c>
      <c r="F25" s="7">
        <f>VLOOKUP($A25,[6]HISTOSEPT23!$A$7:$AU$45,7,0)</f>
        <v>3000</v>
      </c>
      <c r="G25" s="7" t="str">
        <f>VLOOKUP($A25,[6]HISTOSEPT23!$A$7:$AU$45,8,0)</f>
        <v>BANQUE</v>
      </c>
      <c r="H25" s="7">
        <f>VLOOKUP($A25,[6]HISTOSEPT23!$A$6:$AU$45,35,0)</f>
        <v>17000</v>
      </c>
      <c r="I25" s="7">
        <f>VLOOKUP($A25,[6]HISTOSEPT23!$A$7:$AU$45,38,0)</f>
        <v>500</v>
      </c>
      <c r="J25" s="7">
        <f>IF(I25=0,0,VLOOKUP($A25,[6]HISTOSEPT23!$A$7:$AU$45,42,0))</f>
        <v>0</v>
      </c>
      <c r="K25" s="7">
        <f>VLOOKUP($A25,[6]HISTOSEPT23!$A$7:$AU$45,41,0)</f>
        <v>0</v>
      </c>
      <c r="L25" s="7">
        <f>TONTAOUT23!H25+TONTAOUT23!I25</f>
        <v>61000</v>
      </c>
      <c r="M25" s="7">
        <f>VLOOKUP($A25,[6]HISTOSEPT23!$A$7:$AU$45,16,0)</f>
        <v>61000</v>
      </c>
      <c r="N25" s="7" t="str">
        <f>IF(M25&lt;&gt;0,VLOOKUP($A25,[6]HISTOSEPT23!$A$7:$AU$45,8,0),"ECHEC")</f>
        <v>BANQUE</v>
      </c>
      <c r="O25" s="7">
        <f>IF(R25=0,0,VLOOKUP($A25,[6]HISTOSEPT23!$A$7:$AU$45,32,0))</f>
        <v>0</v>
      </c>
      <c r="P25" s="7">
        <f>VLOOKUP($A25,[6]HISTOSEPT23!$A$7:$AU$45,33,0)</f>
        <v>0</v>
      </c>
      <c r="Q25" s="7">
        <f t="shared" si="0"/>
        <v>0</v>
      </c>
      <c r="R25" s="7">
        <f>VLOOKUP($A25,[6]HISTOSEPT23!$A$7:$AU$45,29,0)</f>
        <v>0</v>
      </c>
    </row>
    <row r="26" spans="1:18" x14ac:dyDescent="0.25">
      <c r="A26" s="1" t="s">
        <v>86</v>
      </c>
      <c r="B26" s="7">
        <f>IF(D26=0,0,VLOOKUP($A26,[6]HISTOSEPT23!$A$6:$BO$40,10,0))</f>
        <v>1</v>
      </c>
      <c r="C26" s="1" t="str">
        <f>VLOOKUP(A26,[7]LISTADHERENT!A$5:H$60,3,0)</f>
        <v>NOUBE ETIENNE</v>
      </c>
      <c r="D26" s="7">
        <f t="shared" si="1"/>
        <v>25000</v>
      </c>
      <c r="E26" s="7">
        <f>D26+VLOOKUP($A26,[6]HISTOSEPT23!$A$7:$AU$40,45,0)+F26</f>
        <v>177500</v>
      </c>
      <c r="F26" s="7">
        <f>VLOOKUP($A26,[6]HISTOSEPT23!$A$7:$AU$45,7,0)</f>
        <v>0</v>
      </c>
      <c r="G26" s="7" t="str">
        <f>VLOOKUP($A26,[6]HISTOSEPT23!$A$7:$AU$45,8,0)</f>
        <v>BANQUE</v>
      </c>
      <c r="H26" s="7">
        <f>VLOOKUP($A26,[6]HISTOSEPT23!$A$6:$AU$45,35,0)</f>
        <v>0</v>
      </c>
      <c r="I26" s="7">
        <f>VLOOKUP($A26,[6]HISTOSEPT23!$A$7:$AU$45,38,0)</f>
        <v>0</v>
      </c>
      <c r="J26" s="7">
        <f>IF(I26=0,0,VLOOKUP($A26,[6]HISTOSEPT23!$A$7:$AU$45,42,0))</f>
        <v>0</v>
      </c>
      <c r="K26" s="7">
        <f>VLOOKUP($A26,[6]HISTOSEPT23!$A$7:$AU$45,41,0)</f>
        <v>0</v>
      </c>
      <c r="L26" s="7">
        <f>TONTAOUT23!H26+TONTAOUT23!I26</f>
        <v>0</v>
      </c>
      <c r="M26" s="7">
        <f>VLOOKUP($A26,[6]HISTOSEPT23!$A$7:$AU$45,16,0)</f>
        <v>0</v>
      </c>
      <c r="N26" s="7" t="str">
        <f>IF(M26&lt;&gt;0,VLOOKUP($A26,[6]HISTOSEPT23!$A$7:$AU$45,8,0),"ECHEC")</f>
        <v>ECHEC</v>
      </c>
      <c r="O26" s="7" t="str">
        <f>IF(R26=0,0,VLOOKUP($A26,[6]HISTOSEPT23!$A$7:$AU$45,32,0))</f>
        <v>BANQUE</v>
      </c>
      <c r="P26" s="7">
        <f>VLOOKUP($A26,[6]HISTOSEPT23!$A$7:$AU$45,33,0)</f>
        <v>0</v>
      </c>
      <c r="Q26" s="7">
        <f t="shared" si="0"/>
        <v>297500</v>
      </c>
      <c r="R26" s="7">
        <f>VLOOKUP($A26,[6]HISTOSEPT23!$A$7:$AU$45,29,0)</f>
        <v>2500</v>
      </c>
    </row>
    <row r="27" spans="1:18" x14ac:dyDescent="0.25">
      <c r="A27" s="1" t="s">
        <v>24</v>
      </c>
      <c r="B27" s="7">
        <f>IF(D27=0,0,VLOOKUP($A27,[6]HISTOSEPT23!$A$6:$BO$40,10,0))</f>
        <v>1</v>
      </c>
      <c r="C27" s="1" t="str">
        <f>VLOOKUP(A27,[7]LISTADHERENT!A$5:H$60,3,0)</f>
        <v>PATEGO NJOSSU GUSTAVE</v>
      </c>
      <c r="D27" s="7">
        <f t="shared" si="1"/>
        <v>25000</v>
      </c>
      <c r="E27" s="7">
        <f>D27+VLOOKUP($A27,[6]HISTOSEPT23!$A$7:$AU$40,45,0)+F27</f>
        <v>40000</v>
      </c>
      <c r="F27" s="7">
        <f>VLOOKUP($A27,[6]HISTOSEPT23!$A$7:$AU$45,7,0)</f>
        <v>0</v>
      </c>
      <c r="G27" s="7" t="str">
        <f>VLOOKUP($A27,[6]HISTOSEPT23!$A$7:$AU$45,8,0)</f>
        <v>BANQUE</v>
      </c>
      <c r="H27" s="7">
        <f>VLOOKUP($A27,[6]HISTOSEPT23!$A$6:$AU$45,35,0)</f>
        <v>0</v>
      </c>
      <c r="I27" s="7">
        <f>VLOOKUP($A27,[6]HISTOSEPT23!$A$7:$AU$45,38,0)</f>
        <v>0</v>
      </c>
      <c r="J27" s="7">
        <f>IF(I27=0,0,VLOOKUP($A27,[6]HISTOSEPT23!$A$7:$AU$45,42,0))</f>
        <v>0</v>
      </c>
      <c r="K27" s="7">
        <f>VLOOKUP($A27,[6]HISTOSEPT23!$A$7:$AU$45,41,0)</f>
        <v>0</v>
      </c>
      <c r="L27" s="7">
        <f>TONTAOUT23!H27+TONTAOUT23!I27</f>
        <v>0</v>
      </c>
      <c r="M27" s="7">
        <f>VLOOKUP($A27,[6]HISTOSEPT23!$A$7:$AU$45,16,0)</f>
        <v>0</v>
      </c>
      <c r="N27" s="7" t="str">
        <f>IF(M27&lt;&gt;0,VLOOKUP($A27,[6]HISTOSEPT23!$A$7:$AU$45,8,0),"ECHEC")</f>
        <v>ECHEC</v>
      </c>
      <c r="O27" s="7">
        <f>IF(R27=0,0,VLOOKUP($A27,[6]HISTOSEPT23!$A$7:$AU$45,32,0))</f>
        <v>0</v>
      </c>
      <c r="P27" s="7">
        <f>VLOOKUP($A27,[6]HISTOSEPT23!$A$7:$AU$45,33,0)</f>
        <v>0</v>
      </c>
      <c r="Q27" s="7">
        <f t="shared" si="0"/>
        <v>0</v>
      </c>
      <c r="R27" s="7">
        <f>VLOOKUP($A27,[6]HISTOSEPT23!$A$7:$AU$45,29,0)</f>
        <v>0</v>
      </c>
    </row>
    <row r="28" spans="1:18" x14ac:dyDescent="0.25">
      <c r="A28" s="1" t="s">
        <v>87</v>
      </c>
      <c r="B28" s="7">
        <f>IF(D28=0,0,VLOOKUP($A28,[6]HISTOSEPT23!$A$6:$BO$40,10,0))</f>
        <v>1</v>
      </c>
      <c r="C28" s="1" t="str">
        <f>VLOOKUP(A28,[7]LISTADHERENT!A$5:H$60,3,0)</f>
        <v>SEUMO POLYCARPE</v>
      </c>
      <c r="D28" s="7">
        <f t="shared" si="1"/>
        <v>25000</v>
      </c>
      <c r="E28" s="7">
        <f>D28+VLOOKUP($A28,[6]HISTOSEPT23!$A$7:$AU$40,45,0)+F28</f>
        <v>217500</v>
      </c>
      <c r="F28" s="7">
        <f>VLOOKUP($A28,[6]HISTOSEPT23!$A$7:$AU$45,7,0)</f>
        <v>0</v>
      </c>
      <c r="G28" s="7" t="str">
        <f>VLOOKUP($A28,[6]HISTOSEPT23!$A$7:$AU$45,8,0)</f>
        <v>BANQUE</v>
      </c>
      <c r="H28" s="7">
        <f>VLOOKUP($A28,[6]HISTOSEPT23!$A$6:$AU$45,35,0)</f>
        <v>0</v>
      </c>
      <c r="I28" s="7">
        <f>VLOOKUP($A28,[6]HISTOSEPT23!$A$7:$AU$45,38,0)</f>
        <v>0</v>
      </c>
      <c r="J28" s="7">
        <f>IF(I28=0,0,VLOOKUP($A28,[6]HISTOSEPT23!$A$7:$AU$45,42,0))</f>
        <v>0</v>
      </c>
      <c r="K28" s="7">
        <f>VLOOKUP($A28,[6]HISTOSEPT23!$A$7:$AU$45,41,0)</f>
        <v>0</v>
      </c>
      <c r="L28" s="7">
        <f>TONTAOUT23!H28+TONTAOUT23!I28</f>
        <v>0</v>
      </c>
      <c r="M28" s="7">
        <f>VLOOKUP($A28,[6]HISTOSEPT23!$A$7:$AU$45,16,0)</f>
        <v>0</v>
      </c>
      <c r="N28" s="7" t="str">
        <f>IF(M28&lt;&gt;0,VLOOKUP($A28,[6]HISTOSEPT23!$A$7:$AU$45,8,0),"ECHEC")</f>
        <v>ECHEC</v>
      </c>
      <c r="O28" s="7" t="str">
        <f>IF(R28=0,0,VLOOKUP($A28,[6]HISTOSEPT23!$A$7:$AU$45,32,0))</f>
        <v>BANQUE</v>
      </c>
      <c r="P28" s="7">
        <f>VLOOKUP($A28,[6]HISTOSEPT23!$A$7:$AU$45,33,0)</f>
        <v>0</v>
      </c>
      <c r="Q28" s="7">
        <f t="shared" si="0"/>
        <v>297500</v>
      </c>
      <c r="R28" s="7">
        <f>VLOOKUP($A28,[6]HISTOSEPT23!$A$7:$AU$45,29,0)</f>
        <v>2500</v>
      </c>
    </row>
    <row r="29" spans="1:18" x14ac:dyDescent="0.25">
      <c r="A29" s="1" t="s">
        <v>47</v>
      </c>
      <c r="B29" s="7">
        <f>IF(D29=0,0,VLOOKUP($A29,[6]HISTOSEPT23!$A$6:$BO$40,10,0))</f>
        <v>1</v>
      </c>
      <c r="C29" s="1" t="str">
        <f>VLOOKUP(A29,[7]LISTADHERENT!A$5:H$60,3,0)</f>
        <v>SIME BRICE</v>
      </c>
      <c r="D29" s="7">
        <f t="shared" si="1"/>
        <v>25000</v>
      </c>
      <c r="E29" s="7">
        <f>D29+VLOOKUP($A29,[6]HISTOSEPT23!$A$7:$AU$40,45,0)+F29</f>
        <v>40000</v>
      </c>
      <c r="F29" s="7">
        <f>VLOOKUP($A29,[6]HISTOSEPT23!$A$7:$AU$45,7,0)</f>
        <v>0</v>
      </c>
      <c r="G29" s="7" t="str">
        <f>VLOOKUP($A29,[6]HISTOSEPT23!$A$7:$AU$45,8,0)</f>
        <v>BANQUE</v>
      </c>
      <c r="H29" s="7">
        <f>VLOOKUP($A29,[6]HISTOSEPT23!$A$6:$AU$45,35,0)</f>
        <v>0</v>
      </c>
      <c r="I29" s="7">
        <f>VLOOKUP($A29,[6]HISTOSEPT23!$A$7:$AU$45,38,0)</f>
        <v>0</v>
      </c>
      <c r="J29" s="7">
        <f>IF(I29=0,0,VLOOKUP($A29,[6]HISTOSEPT23!$A$7:$AU$45,42,0))</f>
        <v>0</v>
      </c>
      <c r="K29" s="7">
        <f>VLOOKUP($A29,[6]HISTOSEPT23!$A$7:$AU$45,41,0)</f>
        <v>0</v>
      </c>
      <c r="L29" s="7">
        <f>TONTAOUT23!H29+TONTAOUT23!I29</f>
        <v>0</v>
      </c>
      <c r="M29" s="7">
        <f>VLOOKUP($A29,[6]HISTOSEPT23!$A$7:$AU$45,16,0)</f>
        <v>0</v>
      </c>
      <c r="N29" s="7" t="str">
        <f>IF(M29&lt;&gt;0,VLOOKUP($A29,[6]HISTOSEPT23!$A$7:$AU$45,8,0),"ECHEC")</f>
        <v>ECHEC</v>
      </c>
      <c r="O29" s="7">
        <f>IF(R29=0,0,VLOOKUP($A29,[6]HISTOSEPT23!$A$7:$AU$45,32,0))</f>
        <v>0</v>
      </c>
      <c r="P29" s="7">
        <f>VLOOKUP($A29,[6]HISTOSEPT23!$A$7:$AU$45,33,0)</f>
        <v>0</v>
      </c>
      <c r="Q29" s="7">
        <f t="shared" si="0"/>
        <v>0</v>
      </c>
      <c r="R29" s="7">
        <f>VLOOKUP($A29,[6]HISTOSEPT23!$A$7:$AU$45,29,0)</f>
        <v>0</v>
      </c>
    </row>
    <row r="30" spans="1:18" x14ac:dyDescent="0.25">
      <c r="A30" s="1" t="s">
        <v>25</v>
      </c>
      <c r="B30" s="7">
        <f>IF(D30=0,0,VLOOKUP($A30,[6]HISTOSEPT23!$A$6:$BO$40,10,0))</f>
        <v>1</v>
      </c>
      <c r="C30" s="1" t="str">
        <f>VLOOKUP(A30,[7]LISTADHERENT!A$5:H$60,3,0)</f>
        <v>SIMO PIERRE</v>
      </c>
      <c r="D30" s="7">
        <f t="shared" si="1"/>
        <v>25000</v>
      </c>
      <c r="E30" s="7">
        <f>D30+VLOOKUP($A30,[6]HISTOSEPT23!$A$7:$AU$40,45,0)+F30</f>
        <v>40000</v>
      </c>
      <c r="F30" s="7">
        <f>VLOOKUP($A30,[6]HISTOSEPT23!$A$7:$AU$45,7,0)</f>
        <v>0</v>
      </c>
      <c r="G30" s="7" t="str">
        <f>VLOOKUP($A30,[6]HISTOSEPT23!$A$7:$AU$45,8,0)</f>
        <v>BANQUE</v>
      </c>
      <c r="H30" s="7">
        <f>VLOOKUP($A30,[6]HISTOSEPT23!$A$6:$AU$45,35,0)</f>
        <v>0</v>
      </c>
      <c r="I30" s="7">
        <f>VLOOKUP($A30,[6]HISTOSEPT23!$A$7:$AU$45,38,0)</f>
        <v>0</v>
      </c>
      <c r="J30" s="7">
        <f>IF(I30=0,0,VLOOKUP($A30,[6]HISTOSEPT23!$A$7:$AU$45,42,0))</f>
        <v>0</v>
      </c>
      <c r="K30" s="7">
        <f>VLOOKUP($A30,[6]HISTOSEPT23!$A$7:$AU$45,41,0)</f>
        <v>0</v>
      </c>
      <c r="L30" s="7">
        <f>TONTAOUT23!H30+TONTAOUT23!I30</f>
        <v>0</v>
      </c>
      <c r="M30" s="7">
        <f>VLOOKUP($A30,[6]HISTOSEPT23!$A$7:$AU$45,16,0)</f>
        <v>0</v>
      </c>
      <c r="N30" s="7" t="str">
        <f>IF(M30&lt;&gt;0,VLOOKUP($A30,[6]HISTOSEPT23!$A$7:$AU$45,8,0),"ECHEC")</f>
        <v>ECHEC</v>
      </c>
      <c r="O30" s="7">
        <f>IF(R30=0,0,VLOOKUP($A30,[6]HISTOSEPT23!$A$7:$AU$45,32,0))</f>
        <v>0</v>
      </c>
      <c r="P30" s="7">
        <f>VLOOKUP($A30,[6]HISTOSEPT23!$A$7:$AU$45,33,0)</f>
        <v>0</v>
      </c>
      <c r="Q30" s="7">
        <f t="shared" si="0"/>
        <v>0</v>
      </c>
      <c r="R30" s="7">
        <f>VLOOKUP($A30,[6]HISTOSEPT23!$A$7:$AU$45,29,0)</f>
        <v>0</v>
      </c>
    </row>
    <row r="31" spans="1:18" x14ac:dyDescent="0.25">
      <c r="A31" s="1" t="s">
        <v>27</v>
      </c>
      <c r="B31" s="7">
        <f>IF(D31=0,0,VLOOKUP($A31,[6]HISTOSEPT23!$A$6:$BO$40,10,0))</f>
        <v>1</v>
      </c>
      <c r="C31" s="1" t="str">
        <f>VLOOKUP(A31,[7]LISTADHERENT!A$5:H$60,3,0)</f>
        <v>TCHOUAMOU MATHIEU</v>
      </c>
      <c r="D31" s="7">
        <f t="shared" si="1"/>
        <v>25000</v>
      </c>
      <c r="E31" s="7">
        <f>D31+VLOOKUP($A31,[6]HISTOSEPT23!$A$7:$AU$40,45,0)+F31</f>
        <v>40000</v>
      </c>
      <c r="F31" s="7">
        <f>VLOOKUP($A31,[6]HISTOSEPT23!$A$7:$AU$45,7,0)</f>
        <v>0</v>
      </c>
      <c r="G31" s="7" t="str">
        <f>VLOOKUP($A31,[6]HISTOSEPT23!$A$7:$AU$45,8,0)</f>
        <v>BANQUE</v>
      </c>
      <c r="H31" s="7">
        <f>VLOOKUP($A31,[6]HISTOSEPT23!$A$6:$AU$45,35,0)</f>
        <v>0</v>
      </c>
      <c r="I31" s="7">
        <f>VLOOKUP($A31,[6]HISTOSEPT23!$A$7:$AU$45,38,0)</f>
        <v>0</v>
      </c>
      <c r="J31" s="7">
        <f>IF(I31=0,0,VLOOKUP($A31,[6]HISTOSEPT23!$A$7:$AU$45,42,0))</f>
        <v>0</v>
      </c>
      <c r="K31" s="7">
        <f>VLOOKUP($A31,[6]HISTOSEPT23!$A$7:$AU$45,41,0)</f>
        <v>0</v>
      </c>
      <c r="L31" s="7">
        <f>TONTAOUT23!H31+TONTAOUT23!I31</f>
        <v>0</v>
      </c>
      <c r="M31" s="7">
        <f>VLOOKUP($A31,[6]HISTOSEPT23!$A$7:$AU$45,16,0)</f>
        <v>0</v>
      </c>
      <c r="N31" s="7" t="str">
        <f>IF(M31&lt;&gt;0,VLOOKUP($A31,[6]HISTOSEPT23!$A$7:$AU$45,8,0),"ECHEC")</f>
        <v>ECHEC</v>
      </c>
      <c r="O31" s="7">
        <f>IF(R31=0,0,VLOOKUP($A31,[6]HISTOSEPT23!$A$7:$AU$45,32,0))</f>
        <v>0</v>
      </c>
      <c r="P31" s="7">
        <f>VLOOKUP($A31,[6]HISTOSEPT23!$A$7:$AU$45,33,0)</f>
        <v>0</v>
      </c>
      <c r="Q31" s="7">
        <f t="shared" si="0"/>
        <v>0</v>
      </c>
      <c r="R31" s="7">
        <f>VLOOKUP($A31,[6]HISTOSEPT23!$A$7:$AU$45,29,0)</f>
        <v>0</v>
      </c>
    </row>
    <row r="32" spans="1:18" x14ac:dyDescent="0.25">
      <c r="A32" s="1" t="s">
        <v>88</v>
      </c>
      <c r="B32" s="7">
        <f>IF(D32=0,0,VLOOKUP($A32,[6]HISTOSEPT23!$A$6:$BO$40,10,0))</f>
        <v>1</v>
      </c>
      <c r="C32" s="1" t="str">
        <f>VLOOKUP(A32,[7]LISTADHERENT!A$5:H$60,3,0)</f>
        <v>TCHOUTOU NANA CLAUDE</v>
      </c>
      <c r="D32" s="7">
        <f t="shared" si="1"/>
        <v>25000</v>
      </c>
      <c r="E32" s="7">
        <f>D32+VLOOKUP($A32,[6]HISTOSEPT23!$A$7:$AU$40,45,0)+F32</f>
        <v>40000</v>
      </c>
      <c r="F32" s="7">
        <f>VLOOKUP($A32,[6]HISTOSEPT23!$A$7:$AU$45,7,0)</f>
        <v>0</v>
      </c>
      <c r="G32" s="7" t="str">
        <f>VLOOKUP($A32,[6]HISTOSEPT23!$A$7:$AU$45,8,0)</f>
        <v>BANQUE</v>
      </c>
      <c r="H32" s="7">
        <f>VLOOKUP($A32,[6]HISTOSEPT23!$A$6:$AU$45,35,0)</f>
        <v>0</v>
      </c>
      <c r="I32" s="7">
        <f>VLOOKUP($A32,[6]HISTOSEPT23!$A$7:$AU$45,38,0)</f>
        <v>0</v>
      </c>
      <c r="J32" s="7">
        <f>IF(I32=0,0,VLOOKUP($A32,[6]HISTOSEPT23!$A$7:$AU$45,42,0))</f>
        <v>0</v>
      </c>
      <c r="K32" s="7">
        <f>VLOOKUP($A32,[6]HISTOSEPT23!$A$7:$AU$45,41,0)</f>
        <v>0</v>
      </c>
      <c r="L32" s="7">
        <f>TONTAOUT23!H32+TONTAOUT23!I32</f>
        <v>0</v>
      </c>
      <c r="M32" s="7">
        <f>VLOOKUP($A32,[6]HISTOSEPT23!$A$7:$AU$45,16,0)</f>
        <v>0</v>
      </c>
      <c r="N32" s="7" t="str">
        <f>IF(M32&lt;&gt;0,VLOOKUP($A32,[6]HISTOSEPT23!$A$7:$AU$45,8,0),"ECHEC")</f>
        <v>ECHEC</v>
      </c>
      <c r="O32" s="7">
        <f>IF(R32=0,0,VLOOKUP($A32,[6]HISTOSEPT23!$A$7:$AU$45,32,0))</f>
        <v>0</v>
      </c>
      <c r="P32" s="7">
        <f>VLOOKUP($A32,[6]HISTOSEPT23!$A$7:$AU$45,33,0)</f>
        <v>0</v>
      </c>
      <c r="Q32" s="7">
        <f t="shared" si="0"/>
        <v>0</v>
      </c>
      <c r="R32" s="7">
        <f>VLOOKUP($A32,[6]HISTOSEPT23!$A$7:$AU$45,29,0)</f>
        <v>0</v>
      </c>
    </row>
    <row r="33" spans="1:18" x14ac:dyDescent="0.25">
      <c r="A33" s="1" t="s">
        <v>90</v>
      </c>
      <c r="B33" s="7">
        <f>IF(D33=0,0,VLOOKUP($A33,[6]HISTOSEPT23!$A$6:$BO$40,10,0))</f>
        <v>1</v>
      </c>
      <c r="C33" s="1" t="str">
        <f>VLOOKUP(A33,[7]LISTADHERENT!A$5:H$60,3,0)</f>
        <v>YANTCHOU GERVAIS</v>
      </c>
      <c r="D33" s="7">
        <f t="shared" si="1"/>
        <v>25000</v>
      </c>
      <c r="E33" s="7">
        <f>D33+VLOOKUP($A33,[6]HISTOSEPT23!$A$7:$AU$40,45,0)+F33</f>
        <v>40000</v>
      </c>
      <c r="F33" s="7">
        <f>VLOOKUP($A33,[6]HISTOSEPT23!$A$7:$AU$45,7,0)</f>
        <v>0</v>
      </c>
      <c r="G33" s="7" t="str">
        <f>VLOOKUP($A33,[6]HISTOSEPT23!$A$7:$AU$45,8,0)</f>
        <v>BANQUE</v>
      </c>
      <c r="H33" s="7">
        <f>VLOOKUP($A33,[6]HISTOSEPT23!$A$6:$AU$45,35,0)</f>
        <v>0</v>
      </c>
      <c r="I33" s="7">
        <f>VLOOKUP($A33,[6]HISTOSEPT23!$A$7:$AU$45,38,0)</f>
        <v>0</v>
      </c>
      <c r="J33" s="7">
        <f>IF(I33=0,0,VLOOKUP($A33,[6]HISTOSEPT23!$A$7:$AU$45,42,0))</f>
        <v>0</v>
      </c>
      <c r="K33" s="7">
        <f>VLOOKUP($A33,[6]HISTOSEPT23!$A$7:$AU$45,41,0)</f>
        <v>0</v>
      </c>
      <c r="L33" s="7">
        <f>TONTAOUT23!H33+TONTAOUT23!I33</f>
        <v>0</v>
      </c>
      <c r="M33" s="7">
        <f>VLOOKUP($A33,[6]HISTOSEPT23!$A$7:$AU$45,16,0)</f>
        <v>0</v>
      </c>
      <c r="N33" s="7" t="str">
        <f>IF(M33&lt;&gt;0,VLOOKUP($A33,[6]HISTOSEPT23!$A$7:$AU$45,8,0),"ECHEC")</f>
        <v>ECHEC</v>
      </c>
      <c r="O33" s="7">
        <f>IF(R33=0,0,VLOOKUP($A33,[6]HISTOSEPT23!$A$7:$AU$45,32,0))</f>
        <v>0</v>
      </c>
      <c r="P33" s="7">
        <f>VLOOKUP($A33,[6]HISTOSEPT23!$A$7:$AU$45,33,0)</f>
        <v>0</v>
      </c>
      <c r="Q33" s="7">
        <f t="shared" si="0"/>
        <v>0</v>
      </c>
      <c r="R33" s="7">
        <f>VLOOKUP($A33,[6]HISTOSEPT23!$A$7:$AU$45,29,0)</f>
        <v>0</v>
      </c>
    </row>
    <row r="34" spans="1:18" x14ac:dyDescent="0.25">
      <c r="A34" s="1" t="s">
        <v>28</v>
      </c>
      <c r="B34" s="7">
        <f>IF(D34=0,0,VLOOKUP($A34,[6]HISTOSEPT23!$A$6:$BO$40,10,0))</f>
        <v>1</v>
      </c>
      <c r="C34" s="1" t="str">
        <f>VLOOKUP(A34,[7]LISTADHERENT!A$5:H$60,3,0)</f>
        <v>YEPMOU JEAN JACQUES</v>
      </c>
      <c r="D34" s="7">
        <f t="shared" si="1"/>
        <v>25000</v>
      </c>
      <c r="E34" s="7">
        <f>D34+VLOOKUP($A34,[6]HISTOSEPT23!$A$7:$AU$40,45,0)+F34</f>
        <v>40000</v>
      </c>
      <c r="F34" s="7">
        <f>VLOOKUP($A34,[6]HISTOSEPT23!$A$7:$AU$45,7,0)</f>
        <v>0</v>
      </c>
      <c r="G34" s="7" t="str">
        <f>VLOOKUP($A34,[6]HISTOSEPT23!$A$7:$AU$45,8,0)</f>
        <v>BANQUE</v>
      </c>
      <c r="H34" s="7">
        <f>VLOOKUP($A34,[6]HISTOSEPT23!$A$6:$AU$45,35,0)</f>
        <v>0</v>
      </c>
      <c r="I34" s="7">
        <f>VLOOKUP($A34,[6]HISTOSEPT23!$A$7:$AU$45,38,0)</f>
        <v>0</v>
      </c>
      <c r="J34" s="7">
        <f>IF(I34=0,0,VLOOKUP($A34,[6]HISTOSEPT23!$A$7:$AU$45,42,0))</f>
        <v>0</v>
      </c>
      <c r="K34" s="7">
        <f>VLOOKUP($A34,[6]HISTOSEPT23!$A$7:$AU$45,41,0)</f>
        <v>0</v>
      </c>
      <c r="L34" s="7">
        <f>TONTAOUT23!H34+TONTAOUT23!I34</f>
        <v>0</v>
      </c>
      <c r="M34" s="7">
        <f>VLOOKUP($A34,[6]HISTOSEPT23!$A$7:$AU$45,16,0)</f>
        <v>0</v>
      </c>
      <c r="N34" s="7" t="str">
        <f>IF(M34&lt;&gt;0,VLOOKUP($A34,[6]HISTOSEPT23!$A$7:$AU$45,8,0),"ECHEC")</f>
        <v>ECHEC</v>
      </c>
      <c r="O34" s="7">
        <f>IF(R34=0,0,VLOOKUP($A34,[6]HISTOSEPT23!$A$7:$AU$45,32,0))</f>
        <v>0</v>
      </c>
      <c r="P34" s="7">
        <f>VLOOKUP($A34,[6]HISTOSEPT23!$A$7:$AU$45,33,0)</f>
        <v>0</v>
      </c>
      <c r="Q34" s="7">
        <f t="shared" si="0"/>
        <v>0</v>
      </c>
      <c r="R34" s="7">
        <f>VLOOKUP($A34,[6]HISTOSEPT23!$A$7:$AU$45,29,0)</f>
        <v>0</v>
      </c>
    </row>
    <row r="35" spans="1:18" x14ac:dyDescent="0.25">
      <c r="A35" s="1" t="s">
        <v>29</v>
      </c>
      <c r="B35" s="7">
        <f>IF(D35=0,0,VLOOKUP($A35,[6]HISTOSEPT23!$A$6:$BO$40,10,0))</f>
        <v>1</v>
      </c>
      <c r="C35" s="1" t="str">
        <f>VLOOKUP(A35,[7]LISTADHERENT!A$5:H$60,3,0)</f>
        <v>YOUMBI EMMANUEL</v>
      </c>
      <c r="D35" s="7">
        <f t="shared" si="1"/>
        <v>25000</v>
      </c>
      <c r="E35" s="7">
        <f>D35+VLOOKUP($A35,[6]HISTOSEPT23!$A$7:$AU$40,45,0)+F35</f>
        <v>40000</v>
      </c>
      <c r="F35" s="7">
        <f>VLOOKUP($A35,[6]HISTOSEPT23!$A$7:$AU$45,7,0)</f>
        <v>0</v>
      </c>
      <c r="G35" s="7" t="str">
        <f>VLOOKUP($A35,[6]HISTOSEPT23!$A$7:$AU$45,8,0)</f>
        <v>BANQUE</v>
      </c>
      <c r="H35" s="7">
        <f>VLOOKUP($A35,[6]HISTOSEPT23!$A$6:$AU$45,35,0)</f>
        <v>0</v>
      </c>
      <c r="I35" s="7">
        <f>VLOOKUP($A35,[6]HISTOSEPT23!$A$7:$AU$45,38,0)</f>
        <v>0</v>
      </c>
      <c r="J35" s="7">
        <f>IF(I35=0,0,VLOOKUP($A35,[6]HISTOSEPT23!$A$7:$AU$45,42,0))</f>
        <v>0</v>
      </c>
      <c r="K35" s="7">
        <f>VLOOKUP($A35,[6]HISTOSEPT23!$A$7:$AU$45,41,0)</f>
        <v>0</v>
      </c>
      <c r="L35" s="7">
        <f>TONTAOUT23!H35+TONTAOUT23!I35</f>
        <v>0</v>
      </c>
      <c r="M35" s="7">
        <f>VLOOKUP($A35,[6]HISTOSEPT23!$A$7:$AU$45,16,0)</f>
        <v>0</v>
      </c>
      <c r="N35" s="7" t="str">
        <f>IF(M35&lt;&gt;0,VLOOKUP($A35,[6]HISTOSEPT23!$A$7:$AU$45,8,0),"ECHEC")</f>
        <v>ECHEC</v>
      </c>
      <c r="O35" s="7">
        <f>IF(R35=0,0,VLOOKUP($A35,[6]HISTOSEPT23!$A$7:$AU$45,32,0))</f>
        <v>0</v>
      </c>
      <c r="P35" s="7">
        <f>VLOOKUP($A35,[6]HISTOSEPT23!$A$7:$AU$45,33,0)</f>
        <v>0</v>
      </c>
      <c r="Q35" s="7">
        <f t="shared" si="0"/>
        <v>0</v>
      </c>
      <c r="R35" s="7">
        <f>VLOOKUP($A35,[6]HISTOSEPT23!$A$7:$AU$45,29,0)</f>
        <v>0</v>
      </c>
    </row>
    <row r="36" spans="1:18" x14ac:dyDescent="0.25">
      <c r="A36" s="1"/>
    </row>
    <row r="37" spans="1:18" ht="18" x14ac:dyDescent="0.25">
      <c r="A37" s="1" t="s">
        <v>84</v>
      </c>
      <c r="B37" s="8">
        <f>SUM(B6:B36)</f>
        <v>30</v>
      </c>
      <c r="I37" s="9"/>
    </row>
    <row r="38" spans="1:18" ht="18" x14ac:dyDescent="0.25">
      <c r="A38" s="1" t="s">
        <v>83</v>
      </c>
      <c r="B38" s="16">
        <f>COUNT(D6:D35)</f>
        <v>30</v>
      </c>
      <c r="C38" s="8"/>
      <c r="D38" s="8">
        <f>SUM(D6:D37)</f>
        <v>750000</v>
      </c>
      <c r="E38" s="8">
        <f>SUM(E6:E37)</f>
        <v>1716000</v>
      </c>
      <c r="F38" s="8">
        <f>SUM(F6:F37)</f>
        <v>3000</v>
      </c>
      <c r="G38" s="8"/>
      <c r="H38" s="8">
        <f t="shared" ref="H38:R38" si="2">SUM(H6:H37)</f>
        <v>17000</v>
      </c>
      <c r="I38" s="8">
        <f t="shared" si="2"/>
        <v>500</v>
      </c>
      <c r="J38" s="8"/>
      <c r="K38" s="8"/>
      <c r="L38" s="8">
        <f t="shared" si="2"/>
        <v>184500</v>
      </c>
      <c r="M38" s="8">
        <f t="shared" si="2"/>
        <v>184500</v>
      </c>
      <c r="N38" s="8">
        <f t="shared" si="2"/>
        <v>0</v>
      </c>
      <c r="O38" s="8">
        <f t="shared" si="2"/>
        <v>0</v>
      </c>
      <c r="P38" s="8">
        <f t="shared" si="2"/>
        <v>0</v>
      </c>
      <c r="Q38" s="8">
        <f t="shared" si="2"/>
        <v>892500</v>
      </c>
      <c r="R38" s="8">
        <f t="shared" si="2"/>
        <v>7500</v>
      </c>
    </row>
    <row r="39" spans="1:18" s="2" customFormat="1" x14ac:dyDescent="0.25">
      <c r="B39"/>
      <c r="C39"/>
      <c r="D39"/>
      <c r="E39"/>
      <c r="F39"/>
      <c r="G39"/>
      <c r="H39"/>
      <c r="I39" s="9"/>
      <c r="J39" s="3"/>
      <c r="K39" s="3"/>
      <c r="L39" s="3"/>
      <c r="N39" s="4" t="s">
        <v>76</v>
      </c>
      <c r="O39" s="4" t="s">
        <v>85</v>
      </c>
      <c r="P39" s="3"/>
    </row>
    <row r="40" spans="1:18" s="2" customFormat="1" ht="29.25" x14ac:dyDescent="0.25">
      <c r="D40" s="4" t="s">
        <v>5</v>
      </c>
      <c r="E40" s="4" t="s">
        <v>7</v>
      </c>
      <c r="F40"/>
      <c r="G40" s="4" t="s">
        <v>36</v>
      </c>
      <c r="H40" s="4" t="s">
        <v>40</v>
      </c>
      <c r="I40" s="4" t="s">
        <v>42</v>
      </c>
      <c r="J40" s="4" t="s">
        <v>43</v>
      </c>
      <c r="K40" s="4"/>
      <c r="L40" s="8" t="s">
        <v>49</v>
      </c>
      <c r="M40" s="8">
        <f>D44+G44+R38+TONTAOUT23!O45</f>
        <v>904000</v>
      </c>
      <c r="N40" s="4"/>
      <c r="O40"/>
      <c r="P40" s="4"/>
    </row>
    <row r="41" spans="1:18" s="2" customFormat="1" ht="18" x14ac:dyDescent="0.25">
      <c r="D41" s="8">
        <f>SUMIFS(D6:D37,G6:G37,"ESPECES")</f>
        <v>0</v>
      </c>
      <c r="E41" s="8">
        <f>SUMIFS(E6:E37,G6:G37,"ESPECES")</f>
        <v>0</v>
      </c>
      <c r="F41" s="8" t="s">
        <v>32</v>
      </c>
      <c r="G41" s="8">
        <f>SUMIFS(M6:M35,N6:N35,"ESPECES")</f>
        <v>0</v>
      </c>
      <c r="H41" s="8">
        <f>SUMIFS(H6:H37,J6:J37,"ESPECES")</f>
        <v>0</v>
      </c>
      <c r="I41" s="8">
        <f>SUMIFS(Q6:Q37,O6:O37,"ESPECES")</f>
        <v>0</v>
      </c>
      <c r="J41" s="8">
        <f>D41+G41-H41-I41</f>
        <v>0</v>
      </c>
      <c r="K41" s="8"/>
      <c r="L41" s="8" t="s">
        <v>80</v>
      </c>
      <c r="M41" s="8">
        <f>C3*COUNTIF(Q6:Q37,"&gt;0")</f>
        <v>900000</v>
      </c>
      <c r="N41" s="8">
        <f>D3</f>
        <v>3</v>
      </c>
      <c r="O41" s="8">
        <f>COUNTIF(Q6:Q35,"&gt;0")</f>
        <v>3</v>
      </c>
      <c r="P41" s="8"/>
    </row>
    <row r="42" spans="1:18" s="2" customFormat="1" ht="18" x14ac:dyDescent="0.25">
      <c r="D42" s="8">
        <f>SUMIFS(D6:D37,G6:G37,"BANQUE")</f>
        <v>750000</v>
      </c>
      <c r="E42" s="8">
        <f>SUMIFS(E6:E38,G6:G38,"BANQUE")</f>
        <v>1716000</v>
      </c>
      <c r="F42" s="8" t="s">
        <v>33</v>
      </c>
      <c r="G42" s="8">
        <f>SUMIFS(M6:M35,N6:N35,"BANQUE")</f>
        <v>184500</v>
      </c>
      <c r="H42" s="8">
        <f>SUMIFS(H6:H37,J6:J37,"BANQUE")</f>
        <v>0</v>
      </c>
      <c r="I42" s="8">
        <f>SUMIFS(Q6:Q37,O6:O37,"BANQUE")</f>
        <v>892500</v>
      </c>
      <c r="J42" s="8">
        <f>D42+G42-H42-I42</f>
        <v>42000</v>
      </c>
      <c r="K42" s="8"/>
      <c r="M42" s="8"/>
      <c r="N42" s="8"/>
      <c r="O42" s="8"/>
      <c r="P42" s="8"/>
    </row>
    <row r="43" spans="1:18" s="2" customFormat="1" ht="18" x14ac:dyDescent="0.25">
      <c r="D43" s="8"/>
      <c r="E43" s="8"/>
      <c r="F43" s="8"/>
      <c r="G43" s="8"/>
      <c r="H43" s="8"/>
      <c r="I43" s="8"/>
      <c r="K43" s="8"/>
      <c r="L43" s="8" t="s">
        <v>48</v>
      </c>
      <c r="M43" s="8">
        <f>M40-M41</f>
        <v>4000</v>
      </c>
      <c r="N43" s="8"/>
      <c r="O43" s="8"/>
      <c r="P43" s="8"/>
    </row>
    <row r="44" spans="1:18" s="2" customFormat="1" ht="18" x14ac:dyDescent="0.25">
      <c r="D44" s="8">
        <f>D41+D42</f>
        <v>750000</v>
      </c>
      <c r="E44" s="8">
        <f>E41+E42</f>
        <v>1716000</v>
      </c>
      <c r="F44" s="8" t="s">
        <v>30</v>
      </c>
      <c r="G44" s="8">
        <f>G41+G42</f>
        <v>184500</v>
      </c>
      <c r="H44" s="8">
        <f>H41+H42</f>
        <v>0</v>
      </c>
      <c r="I44" s="8">
        <f t="shared" ref="I44:J44" si="3">I41+I42</f>
        <v>892500</v>
      </c>
      <c r="J44" s="8">
        <f t="shared" si="3"/>
        <v>42000</v>
      </c>
      <c r="K44" s="8"/>
      <c r="M44" s="8"/>
      <c r="N44" s="8"/>
      <c r="O44" s="8"/>
      <c r="P44" s="8"/>
    </row>
    <row r="45" spans="1:18" s="2" customFormat="1" ht="18" x14ac:dyDescent="0.25">
      <c r="D45" s="8"/>
      <c r="E45" s="8"/>
      <c r="F45" s="8" t="s">
        <v>52</v>
      </c>
      <c r="G45"/>
      <c r="H45"/>
      <c r="I45" s="3"/>
      <c r="J45" s="3"/>
      <c r="K45" s="3"/>
      <c r="L45" s="8" t="s">
        <v>51</v>
      </c>
      <c r="M45" s="8">
        <f>M43-H38</f>
        <v>-13000</v>
      </c>
      <c r="N45"/>
      <c r="O45" s="8">
        <f>TONTSEPT23!M45</f>
        <v>-13000</v>
      </c>
      <c r="P45" s="8" t="s">
        <v>54</v>
      </c>
    </row>
    <row r="46" spans="1:18" s="2" customFormat="1" ht="18" x14ac:dyDescent="0.25">
      <c r="D46" s="4"/>
      <c r="E46" s="4"/>
      <c r="F46" s="8"/>
      <c r="G46"/>
      <c r="H46"/>
      <c r="I46" s="3"/>
      <c r="J46" s="3"/>
      <c r="K46" s="3"/>
      <c r="N46"/>
      <c r="O46" s="3"/>
      <c r="P46" s="3"/>
    </row>
    <row r="47" spans="1:18" ht="18" x14ac:dyDescent="0.25">
      <c r="L47" s="8" t="s">
        <v>56</v>
      </c>
      <c r="M47" s="8">
        <f>COUNTIFS(G6:G36,"ECHEC")*25000</f>
        <v>0</v>
      </c>
      <c r="O47" s="8">
        <f>TONTAOUT23!O47+TONTSEPT23!M47</f>
        <v>0</v>
      </c>
      <c r="P47" s="8" t="s">
        <v>54</v>
      </c>
    </row>
    <row r="48" spans="1:18" ht="18" x14ac:dyDescent="0.25">
      <c r="F48" s="2"/>
      <c r="L48" s="8" t="s">
        <v>55</v>
      </c>
      <c r="M48" s="8">
        <f>L38-G44</f>
        <v>0</v>
      </c>
      <c r="O48" s="8">
        <f>TONTAOUT23!O48+TONTSEPT23!M48</f>
        <v>0</v>
      </c>
      <c r="P48" s="8" t="s">
        <v>54</v>
      </c>
    </row>
  </sheetData>
  <autoFilter ref="A5:R25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"/>
  <sheetViews>
    <sheetView workbookViewId="0">
      <pane xSplit="3" ySplit="5" topLeftCell="K42" activePane="bottomRight" state="frozen"/>
      <selection activeCell="O49" sqref="O49"/>
      <selection pane="topRight" activeCell="O49" sqref="O49"/>
      <selection pane="bottomLeft" activeCell="O49" sqref="O49"/>
      <selection pane="bottomRight" activeCell="M43" sqref="M43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5" width="21" customWidth="1"/>
    <col min="6" max="6" width="21.42578125" customWidth="1"/>
    <col min="7" max="7" width="16.7109375" customWidth="1"/>
    <col min="8" max="8" width="15" customWidth="1"/>
    <col min="9" max="10" width="17.5703125" style="3" customWidth="1"/>
    <col min="11" max="11" width="16" style="3" customWidth="1"/>
    <col min="12" max="12" width="19.85546875" style="3" customWidth="1"/>
    <col min="13" max="13" width="15.7109375" style="2" customWidth="1"/>
    <col min="14" max="14" width="13" customWidth="1"/>
    <col min="15" max="15" width="14.5703125" bestFit="1" customWidth="1"/>
    <col min="16" max="16" width="15.5703125" style="3" customWidth="1"/>
    <col min="17" max="18" width="18.140625" style="2" customWidth="1"/>
  </cols>
  <sheetData>
    <row r="1" spans="1:18" x14ac:dyDescent="0.2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18" x14ac:dyDescent="0.25">
      <c r="A2" s="1" t="s">
        <v>2</v>
      </c>
      <c r="B2" s="1">
        <v>2023</v>
      </c>
      <c r="C2" s="1" t="s">
        <v>81</v>
      </c>
      <c r="D2" s="1" t="s">
        <v>76</v>
      </c>
      <c r="E2" s="1"/>
      <c r="F2" s="1"/>
      <c r="G2" s="1"/>
      <c r="N2" s="1"/>
      <c r="O2" s="1"/>
    </row>
    <row r="3" spans="1:18" x14ac:dyDescent="0.25">
      <c r="A3" s="1" t="s">
        <v>82</v>
      </c>
      <c r="B3" s="6">
        <v>25000</v>
      </c>
      <c r="C3" s="6">
        <f>B3*12</f>
        <v>300000</v>
      </c>
      <c r="D3" s="1">
        <f>ROUNDDOWN(M40/C3,0)</f>
        <v>2</v>
      </c>
      <c r="E3" s="1"/>
      <c r="F3" s="1"/>
      <c r="G3" s="1"/>
      <c r="N3" s="1"/>
      <c r="O3" s="1"/>
    </row>
    <row r="4" spans="1:18" s="13" customFormat="1" ht="18" x14ac:dyDescent="0.25">
      <c r="B4" s="14"/>
      <c r="C4" s="21">
        <v>45212</v>
      </c>
      <c r="D4" s="22"/>
      <c r="E4" s="22"/>
      <c r="F4" s="22"/>
      <c r="G4" s="22"/>
      <c r="H4" s="22"/>
      <c r="I4" s="22"/>
      <c r="J4" s="22"/>
      <c r="K4" s="22"/>
      <c r="L4" s="22"/>
      <c r="N4" s="15"/>
      <c r="O4" s="15"/>
      <c r="P4" s="15"/>
      <c r="Q4" s="15"/>
    </row>
    <row r="5" spans="1:18" ht="58.5" x14ac:dyDescent="0.3">
      <c r="A5" s="1" t="s">
        <v>3</v>
      </c>
      <c r="B5" s="12" t="s">
        <v>77</v>
      </c>
      <c r="C5" s="1" t="s">
        <v>4</v>
      </c>
      <c r="D5" s="4" t="s">
        <v>5</v>
      </c>
      <c r="E5" s="4" t="s">
        <v>7</v>
      </c>
      <c r="F5" s="1" t="s">
        <v>44</v>
      </c>
      <c r="G5" s="5" t="s">
        <v>6</v>
      </c>
      <c r="H5" s="6" t="s">
        <v>40</v>
      </c>
      <c r="I5" s="4" t="s">
        <v>37</v>
      </c>
      <c r="J5" s="4" t="s">
        <v>41</v>
      </c>
      <c r="K5" s="10" t="s">
        <v>50</v>
      </c>
      <c r="L5" s="4" t="s">
        <v>78</v>
      </c>
      <c r="M5" s="4" t="s">
        <v>36</v>
      </c>
      <c r="N5" s="4" t="s">
        <v>35</v>
      </c>
      <c r="O5" s="4" t="s">
        <v>38</v>
      </c>
      <c r="P5" s="4" t="s">
        <v>50</v>
      </c>
      <c r="Q5" s="4" t="s">
        <v>79</v>
      </c>
      <c r="R5" s="4" t="s">
        <v>39</v>
      </c>
    </row>
    <row r="6" spans="1:18" x14ac:dyDescent="0.25">
      <c r="A6" s="1" t="s">
        <v>89</v>
      </c>
      <c r="B6" s="7">
        <f>IF(D6=0,0,VLOOKUP($A6,[6]HISTOOCT23!$A$6:$BO$40,10,0))</f>
        <v>1</v>
      </c>
      <c r="C6" s="1" t="str">
        <f>VLOOKUP(A6,[7]LISTADHERENT!A$5:H$60,3,0)</f>
        <v>BAKOP ACHILLE</v>
      </c>
      <c r="D6" s="7">
        <f>IF(G6="ECHEC",0,B$3)</f>
        <v>25000</v>
      </c>
      <c r="E6" s="7">
        <f>D6+VLOOKUP($A6,[6]HISTOOCT23!$A$7:$AU$40,45,0)+F6</f>
        <v>40000</v>
      </c>
      <c r="F6" s="7">
        <f>VLOOKUP($A6,[6]HISTOOCT23!$A$7:$AU$45,7,0)</f>
        <v>0</v>
      </c>
      <c r="G6" s="7" t="str">
        <f>VLOOKUP($A6,[6]HISTOOCT23!$A$7:$AU$45,8,0)</f>
        <v>BANQUE</v>
      </c>
      <c r="H6" s="7">
        <f>VLOOKUP($A6,[6]HISTOOCT23!$A$6:$AU$45,35,0)</f>
        <v>27500</v>
      </c>
      <c r="I6" s="7">
        <f>VLOOKUP($A6,[6]HISTOOCT23!$A$7:$AU$45,38,0)</f>
        <v>500</v>
      </c>
      <c r="J6" s="7" t="str">
        <f>IF(I6=0,0,VLOOKUP($A6,[6]HISTOOCT23!$A$7:$AU$45,42,0))</f>
        <v>BANQUE</v>
      </c>
      <c r="K6" s="7">
        <f>VLOOKUP($A6,[6]HISTOOCT23!$A$7:$AU$45,41,0)</f>
        <v>0</v>
      </c>
      <c r="L6" s="7">
        <f>TONTSEPT23!H6+TONTSEPT23!I6</f>
        <v>0</v>
      </c>
      <c r="M6" s="7">
        <f>VLOOKUP($A6,[6]HISTOOCT23!$A$7:$AU$45,16,0)</f>
        <v>0</v>
      </c>
      <c r="N6" s="7" t="str">
        <f>IF(M6&lt;&gt;0,VLOOKUP($A6,[6]HISTOOCT23!$A$7:$AU$45,8,0),"ECHEC")</f>
        <v>ECHEC</v>
      </c>
      <c r="O6" s="7">
        <f>IF(R6=0,0,VLOOKUP($A6,[6]HISTOOCT23!$A$7:$AU$45,32,0))</f>
        <v>0</v>
      </c>
      <c r="P6" s="7">
        <f>VLOOKUP($A6,[6]HISTOOCT23!$A$7:$AU$45,33,0)</f>
        <v>0</v>
      </c>
      <c r="Q6" s="7">
        <f t="shared" ref="Q6:Q35" si="0">IF(R6=0,0,($C$3-R6))</f>
        <v>0</v>
      </c>
      <c r="R6" s="7">
        <f>VLOOKUP($A6,[6]HISTOOCT23!$A$7:$AU$45,29,0)</f>
        <v>0</v>
      </c>
    </row>
    <row r="7" spans="1:18" x14ac:dyDescent="0.25">
      <c r="A7" s="1" t="s">
        <v>9</v>
      </c>
      <c r="B7" s="7">
        <f>IF(D7=0,0,VLOOKUP($A7,[6]HISTOOCT23!$A$6:$BO$40,10,0))</f>
        <v>1</v>
      </c>
      <c r="C7" s="1" t="str">
        <f>VLOOKUP(A7,[7]LISTADHERENT!A$5:H$60,3,0)</f>
        <v>BOUTCHOUANG WILLIAM</v>
      </c>
      <c r="D7" s="7">
        <f>IF(G7="ECHEC",0,B$3)</f>
        <v>25000</v>
      </c>
      <c r="E7" s="7">
        <f>D7+VLOOKUP($A7,[6]HISTOOCT23!$A$7:$AU$40,45,0)+F7</f>
        <v>40000</v>
      </c>
      <c r="F7" s="7">
        <f>VLOOKUP($A7,[6]HISTOOCT23!$A$7:$AU$45,7,0)</f>
        <v>0</v>
      </c>
      <c r="G7" s="7" t="str">
        <f>VLOOKUP($A7,[6]HISTOOCT23!$A$7:$AU$45,8,0)</f>
        <v>ESPECES</v>
      </c>
      <c r="H7" s="7">
        <f>VLOOKUP($A7,[6]HISTOOCT23!$A$6:$AU$45,35,0)</f>
        <v>0</v>
      </c>
      <c r="I7" s="7">
        <f>VLOOKUP($A7,[6]HISTOOCT23!$A$7:$AU$45,38,0)</f>
        <v>0</v>
      </c>
      <c r="J7" s="7">
        <f>IF(I7=0,0,VLOOKUP($A7,[6]HISTOOCT23!$A$7:$AU$45,42,0))</f>
        <v>0</v>
      </c>
      <c r="K7" s="7">
        <f>VLOOKUP($A7,[6]HISTOOCT23!$A$7:$AU$45,41,0)</f>
        <v>0</v>
      </c>
      <c r="L7" s="7">
        <f>TONTSEPT23!H7+TONTSEPT23!I7</f>
        <v>0</v>
      </c>
      <c r="M7" s="7">
        <f>VLOOKUP($A7,[6]HISTOOCT23!$A$7:$AU$45,16,0)</f>
        <v>0</v>
      </c>
      <c r="N7" s="7" t="str">
        <f>IF(M7&lt;&gt;0,VLOOKUP($A7,[6]HISTOOCT23!$A$7:$AU$45,8,0),"ECHEC")</f>
        <v>ECHEC</v>
      </c>
      <c r="O7" s="7" t="str">
        <f>IF(R7=0,0,VLOOKUP($A7,[6]HISTOOCT23!$A$7:$AU$45,32,0))</f>
        <v>BANQUE</v>
      </c>
      <c r="P7" s="7">
        <f>VLOOKUP($A7,[6]HISTOOCT23!$A$7:$AU$45,33,0)</f>
        <v>0</v>
      </c>
      <c r="Q7" s="7">
        <f t="shared" si="0"/>
        <v>297500</v>
      </c>
      <c r="R7" s="7">
        <f>VLOOKUP($A7,[6]HISTOOCT23!$A$7:$AU$45,29,0)</f>
        <v>2500</v>
      </c>
    </row>
    <row r="8" spans="1:18" x14ac:dyDescent="0.25">
      <c r="A8" s="1" t="s">
        <v>10</v>
      </c>
      <c r="B8" s="7">
        <f>IF(D8=0,0,VLOOKUP($A8,[6]HISTOOCT23!$A$6:$BO$40,10,0))</f>
        <v>1</v>
      </c>
      <c r="C8" s="1" t="str">
        <f>VLOOKUP(A8,[7]LISTADHERENT!A$5:H$60,3,0)</f>
        <v xml:space="preserve">DJOMO JEAN PAUL </v>
      </c>
      <c r="D8" s="7">
        <f t="shared" ref="D8:D35" si="1">IF(G8="ECHEC",0,B$3)</f>
        <v>25000</v>
      </c>
      <c r="E8" s="7">
        <f>D8+VLOOKUP($A8,[6]HISTOOCT23!$A$7:$AU$40,45,0)+F8</f>
        <v>40000</v>
      </c>
      <c r="F8" s="7">
        <f>VLOOKUP($A8,[6]HISTOOCT23!$A$7:$AU$45,7,0)</f>
        <v>0</v>
      </c>
      <c r="G8" s="7" t="str">
        <f>VLOOKUP($A8,[6]HISTOOCT23!$A$7:$AU$45,8,0)</f>
        <v>BANQUE</v>
      </c>
      <c r="H8" s="7">
        <f>VLOOKUP($A8,[6]HISTOOCT23!$A$6:$AU$45,35,0)</f>
        <v>0</v>
      </c>
      <c r="I8" s="7">
        <f>VLOOKUP($A8,[6]HISTOOCT23!$A$7:$AU$45,38,0)</f>
        <v>0</v>
      </c>
      <c r="J8" s="7">
        <f>IF(I8=0,0,VLOOKUP($A8,[6]HISTOOCT23!$A$7:$AU$45,42,0))</f>
        <v>0</v>
      </c>
      <c r="K8" s="7">
        <f>VLOOKUP($A8,[6]HISTOOCT23!$A$7:$AU$45,41,0)</f>
        <v>0</v>
      </c>
      <c r="L8" s="7">
        <f>TONTSEPT23!H8+TONTSEPT23!I8</f>
        <v>0</v>
      </c>
      <c r="M8" s="7">
        <f>VLOOKUP($A8,[6]HISTOOCT23!$A$7:$AU$45,16,0)</f>
        <v>0</v>
      </c>
      <c r="N8" s="7" t="str">
        <f>IF(M8&lt;&gt;0,VLOOKUP($A8,[6]HISTOOCT23!$A$7:$AU$45,8,0),"ECHEC")</f>
        <v>ECHEC</v>
      </c>
      <c r="O8" s="7">
        <f>IF(R8=0,0,VLOOKUP($A8,[6]HISTOOCT23!$A$7:$AU$45,32,0))</f>
        <v>0</v>
      </c>
      <c r="P8" s="7">
        <f>VLOOKUP($A8,[6]HISTOOCT23!$A$7:$AU$45,33,0)</f>
        <v>0</v>
      </c>
      <c r="Q8" s="7">
        <f t="shared" si="0"/>
        <v>0</v>
      </c>
      <c r="R8" s="7">
        <f>VLOOKUP($A8,[6]HISTOOCT23!$A$7:$AU$45,29,0)</f>
        <v>0</v>
      </c>
    </row>
    <row r="9" spans="1:18" x14ac:dyDescent="0.25">
      <c r="A9" s="1" t="s">
        <v>53</v>
      </c>
      <c r="B9" s="7">
        <f>IF(D9=0,0,VLOOKUP($A9,[6]HISTOOCT23!$A$6:$BO$40,10,0))</f>
        <v>1</v>
      </c>
      <c r="C9" s="1" t="str">
        <f>VLOOKUP(A9,[7]LISTADHERENT!A$5:H$60,3,0)</f>
        <v>DJOMOU TCHAPDA</v>
      </c>
      <c r="D9" s="7">
        <f t="shared" si="1"/>
        <v>25000</v>
      </c>
      <c r="E9" s="7">
        <f>D9+VLOOKUP($A9,[6]HISTOOCT23!$A$7:$AU$40,45,0)+F9</f>
        <v>40000</v>
      </c>
      <c r="F9" s="7">
        <f>VLOOKUP($A9,[6]HISTOOCT23!$A$7:$AU$45,7,0)</f>
        <v>0</v>
      </c>
      <c r="G9" s="7" t="str">
        <f>VLOOKUP($A9,[6]HISTOOCT23!$A$7:$AU$45,8,0)</f>
        <v>BANQUE</v>
      </c>
      <c r="H9" s="7">
        <f>VLOOKUP($A9,[6]HISTOOCT23!$A$6:$AU$45,35,0)</f>
        <v>0</v>
      </c>
      <c r="I9" s="7">
        <f>VLOOKUP($A9,[6]HISTOOCT23!$A$7:$AU$45,38,0)</f>
        <v>0</v>
      </c>
      <c r="J9" s="7">
        <f>IF(I9=0,0,VLOOKUP($A9,[6]HISTOOCT23!$A$7:$AU$45,42,0))</f>
        <v>0</v>
      </c>
      <c r="K9" s="7">
        <f>VLOOKUP($A9,[6]HISTOOCT23!$A$7:$AU$45,41,0)</f>
        <v>0</v>
      </c>
      <c r="L9" s="7">
        <f>TONTSEPT23!H9+TONTSEPT23!I9</f>
        <v>0</v>
      </c>
      <c r="M9" s="7">
        <f>VLOOKUP($A9,[6]HISTOOCT23!$A$7:$AU$45,16,0)</f>
        <v>0</v>
      </c>
      <c r="N9" s="7" t="str">
        <f>IF(M9&lt;&gt;0,VLOOKUP($A9,[6]HISTOOCT23!$A$7:$AU$45,8,0),"ECHEC")</f>
        <v>ECHEC</v>
      </c>
      <c r="O9" s="7">
        <f>IF(R9=0,0,VLOOKUP($A9,[6]HISTOOCT23!$A$7:$AU$45,32,0))</f>
        <v>0</v>
      </c>
      <c r="P9" s="7">
        <f>VLOOKUP($A9,[6]HISTOOCT23!$A$7:$AU$45,33,0)</f>
        <v>0</v>
      </c>
      <c r="Q9" s="7">
        <f t="shared" si="0"/>
        <v>0</v>
      </c>
      <c r="R9" s="7">
        <f>VLOOKUP($A9,[6]HISTOOCT23!$A$7:$AU$45,29,0)</f>
        <v>0</v>
      </c>
    </row>
    <row r="10" spans="1:18" x14ac:dyDescent="0.25">
      <c r="A10" s="1" t="s">
        <v>11</v>
      </c>
      <c r="B10" s="7">
        <f>IF(D10=0,0,VLOOKUP($A10,[6]HISTOOCT23!$A$6:$BO$40,10,0))</f>
        <v>1</v>
      </c>
      <c r="C10" s="1" t="str">
        <f>VLOOKUP(A10,[7]LISTADHERENT!A$5:H$60,3,0)</f>
        <v>DJOUKWE NANGUEN GUY BLAISE</v>
      </c>
      <c r="D10" s="7">
        <f t="shared" si="1"/>
        <v>25000</v>
      </c>
      <c r="E10" s="7">
        <f>D10+VLOOKUP($A10,[6]HISTOOCT23!$A$7:$AU$40,45,0)+F10</f>
        <v>40000</v>
      </c>
      <c r="F10" s="7">
        <f>VLOOKUP($A10,[6]HISTOOCT23!$A$7:$AU$45,7,0)</f>
        <v>0</v>
      </c>
      <c r="G10" s="7" t="str">
        <f>VLOOKUP($A10,[6]HISTOOCT23!$A$7:$AU$45,8,0)</f>
        <v>BANQUE</v>
      </c>
      <c r="H10" s="7">
        <f>VLOOKUP($A10,[6]HISTOOCT23!$A$6:$AU$45,35,0)</f>
        <v>0</v>
      </c>
      <c r="I10" s="7">
        <f>VLOOKUP($A10,[6]HISTOOCT23!$A$7:$AU$45,38,0)</f>
        <v>0</v>
      </c>
      <c r="J10" s="7">
        <f>IF(I10=0,0,VLOOKUP($A10,[6]HISTOOCT23!$A$7:$AU$45,42,0))</f>
        <v>0</v>
      </c>
      <c r="K10" s="7">
        <f>VLOOKUP($A10,[6]HISTOOCT23!$A$7:$AU$45,41,0)</f>
        <v>0</v>
      </c>
      <c r="L10" s="7">
        <f>TONTSEPT23!H10+TONTSEPT23!I10</f>
        <v>0</v>
      </c>
      <c r="M10" s="7">
        <f>VLOOKUP($A10,[6]HISTOOCT23!$A$7:$AU$45,16,0)</f>
        <v>0</v>
      </c>
      <c r="N10" s="7" t="str">
        <f>IF(M10&lt;&gt;0,VLOOKUP($A10,[6]HISTOOCT23!$A$7:$AU$45,8,0),"ECHEC")</f>
        <v>ECHEC</v>
      </c>
      <c r="O10" s="7">
        <f>IF(R10=0,0,VLOOKUP($A10,[6]HISTOOCT23!$A$7:$AU$45,32,0))</f>
        <v>0</v>
      </c>
      <c r="P10" s="7">
        <f>VLOOKUP($A10,[6]HISTOOCT23!$A$7:$AU$45,33,0)</f>
        <v>0</v>
      </c>
      <c r="Q10" s="7">
        <f t="shared" si="0"/>
        <v>0</v>
      </c>
      <c r="R10" s="7">
        <f>VLOOKUP($A10,[6]HISTOOCT23!$A$7:$AU$45,29,0)</f>
        <v>0</v>
      </c>
    </row>
    <row r="11" spans="1:18" x14ac:dyDescent="0.25">
      <c r="A11" s="1" t="s">
        <v>12</v>
      </c>
      <c r="B11" s="7">
        <f>IF(D11=0,0,VLOOKUP($A11,[6]HISTOOCT23!$A$6:$BO$40,10,0))</f>
        <v>1</v>
      </c>
      <c r="C11" s="1" t="str">
        <f>VLOOKUP(A11,[7]LISTADHERENT!A$5:H$60,3,0)</f>
        <v>DJUOMBESSY ANTOINE</v>
      </c>
      <c r="D11" s="7">
        <f t="shared" si="1"/>
        <v>25000</v>
      </c>
      <c r="E11" s="7">
        <f>D11+VLOOKUP($A11,[6]HISTOOCT23!$A$7:$AU$40,45,0)+F11</f>
        <v>45000</v>
      </c>
      <c r="F11" s="7">
        <f>VLOOKUP($A11,[6]HISTOOCT23!$A$7:$AU$45,7,0)</f>
        <v>0</v>
      </c>
      <c r="G11" s="7" t="str">
        <f>VLOOKUP($A11,[6]HISTOOCT23!$A$7:$AU$45,8,0)</f>
        <v>BANQUE</v>
      </c>
      <c r="H11" s="7">
        <f>VLOOKUP($A11,[6]HISTOOCT23!$A$6:$AU$45,35,0)</f>
        <v>0</v>
      </c>
      <c r="I11" s="7">
        <f>VLOOKUP($A11,[6]HISTOOCT23!$A$7:$AU$45,38,0)</f>
        <v>0</v>
      </c>
      <c r="J11" s="7">
        <f>IF(I11=0,0,VLOOKUP($A11,[6]HISTOOCT23!$A$7:$AU$45,42,0))</f>
        <v>0</v>
      </c>
      <c r="K11" s="7">
        <f>VLOOKUP($A11,[6]HISTOOCT23!$A$7:$AU$45,41,0)</f>
        <v>0</v>
      </c>
      <c r="L11" s="7">
        <f>TONTSEPT23!H11+TONTSEPT23!I11</f>
        <v>0</v>
      </c>
      <c r="M11" s="7">
        <f>VLOOKUP($A11,[6]HISTOOCT23!$A$7:$AU$45,16,0)</f>
        <v>0</v>
      </c>
      <c r="N11" s="7" t="str">
        <f>IF(M11&lt;&gt;0,VLOOKUP($A11,[6]HISTOOCT23!$A$7:$AU$45,8,0),"ECHEC")</f>
        <v>ECHEC</v>
      </c>
      <c r="O11" s="7">
        <f>IF(R11=0,0,VLOOKUP($A11,[6]HISTOOCT23!$A$7:$AU$45,32,0))</f>
        <v>0</v>
      </c>
      <c r="P11" s="7">
        <f>VLOOKUP($A11,[6]HISTOOCT23!$A$7:$AU$45,33,0)</f>
        <v>0</v>
      </c>
      <c r="Q11" s="7">
        <f t="shared" si="0"/>
        <v>0</v>
      </c>
      <c r="R11" s="7">
        <f>VLOOKUP($A11,[6]HISTOOCT23!$A$7:$AU$45,29,0)</f>
        <v>0</v>
      </c>
    </row>
    <row r="12" spans="1:18" x14ac:dyDescent="0.25">
      <c r="A12" s="1" t="s">
        <v>46</v>
      </c>
      <c r="B12" s="7">
        <f>IF(D12=0,0,VLOOKUP($A12,[6]HISTOOCT23!$A$6:$BO$40,10,0))</f>
        <v>1</v>
      </c>
      <c r="C12" s="1" t="str">
        <f>VLOOKUP(A12,[7]LISTADHERENT!A$5:H$60,3,0)</f>
        <v>DOMOU FABIEN</v>
      </c>
      <c r="D12" s="7">
        <f t="shared" si="1"/>
        <v>25000</v>
      </c>
      <c r="E12" s="7">
        <f>D12+VLOOKUP($A12,[6]HISTOOCT23!$A$7:$AU$40,45,0)+F12</f>
        <v>40000</v>
      </c>
      <c r="F12" s="7">
        <f>VLOOKUP($A12,[6]HISTOOCT23!$A$7:$AU$45,7,0)</f>
        <v>0</v>
      </c>
      <c r="G12" s="7" t="str">
        <f>VLOOKUP($A12,[6]HISTOOCT23!$A$7:$AU$45,8,0)</f>
        <v>BANQUE</v>
      </c>
      <c r="H12" s="7">
        <f>VLOOKUP($A12,[6]HISTOOCT23!$A$6:$AU$45,35,0)</f>
        <v>0</v>
      </c>
      <c r="I12" s="7">
        <f>VLOOKUP($A12,[6]HISTOOCT23!$A$7:$AU$45,38,0)</f>
        <v>0</v>
      </c>
      <c r="J12" s="7">
        <f>IF(I12=0,0,VLOOKUP($A12,[6]HISTOOCT23!$A$7:$AU$45,42,0))</f>
        <v>0</v>
      </c>
      <c r="K12" s="7">
        <f>VLOOKUP($A12,[6]HISTOOCT23!$A$7:$AU$45,41,0)</f>
        <v>0</v>
      </c>
      <c r="L12" s="7">
        <f>TONTSEPT23!H12+TONTSEPT23!I12</f>
        <v>0</v>
      </c>
      <c r="M12" s="7">
        <f>VLOOKUP($A12,[6]HISTOOCT23!$A$7:$AU$45,16,0)</f>
        <v>0</v>
      </c>
      <c r="N12" s="7" t="str">
        <f>IF(M12&lt;&gt;0,VLOOKUP($A12,[6]HISTOOCT23!$A$7:$AU$45,8,0),"ECHEC")</f>
        <v>ECHEC</v>
      </c>
      <c r="O12" s="7">
        <f>IF(R12=0,0,VLOOKUP($A12,[6]HISTOOCT23!$A$7:$AU$45,32,0))</f>
        <v>0</v>
      </c>
      <c r="P12" s="7">
        <f>VLOOKUP($A12,[6]HISTOOCT23!$A$7:$AU$45,33,0)</f>
        <v>0</v>
      </c>
      <c r="Q12" s="7">
        <f t="shared" si="0"/>
        <v>0</v>
      </c>
      <c r="R12" s="7">
        <f>VLOOKUP($A12,[6]HISTOOCT23!$A$7:$AU$45,29,0)</f>
        <v>0</v>
      </c>
    </row>
    <row r="13" spans="1:18" x14ac:dyDescent="0.25">
      <c r="A13" s="1" t="s">
        <v>13</v>
      </c>
      <c r="B13" s="7">
        <f>IF(D13=0,0,VLOOKUP($A13,[6]HISTOOCT23!$A$6:$BO$40,10,0))</f>
        <v>1</v>
      </c>
      <c r="C13" s="1" t="str">
        <f>VLOOKUP(A13,[7]LISTADHERENT!A$5:H$60,3,0)</f>
        <v>DONHOU DAVID</v>
      </c>
      <c r="D13" s="7">
        <f t="shared" si="1"/>
        <v>25000</v>
      </c>
      <c r="E13" s="7">
        <f>D13+VLOOKUP($A13,[6]HISTOOCT23!$A$7:$AU$40,45,0)+F13</f>
        <v>40000</v>
      </c>
      <c r="F13" s="7">
        <f>VLOOKUP($A13,[6]HISTOOCT23!$A$7:$AU$45,7,0)</f>
        <v>0</v>
      </c>
      <c r="G13" s="7" t="str">
        <f>VLOOKUP($A13,[6]HISTOOCT23!$A$7:$AU$45,8,0)</f>
        <v>BANQUE</v>
      </c>
      <c r="H13" s="7">
        <f>VLOOKUP($A13,[6]HISTOOCT23!$A$6:$AU$45,35,0)</f>
        <v>0</v>
      </c>
      <c r="I13" s="7">
        <f>VLOOKUP($A13,[6]HISTOOCT23!$A$7:$AU$45,38,0)</f>
        <v>0</v>
      </c>
      <c r="J13" s="7">
        <f>IF(I13=0,0,VLOOKUP($A13,[6]HISTOOCT23!$A$7:$AU$45,42,0))</f>
        <v>0</v>
      </c>
      <c r="K13" s="7">
        <f>VLOOKUP($A13,[6]HISTOOCT23!$A$7:$AU$45,41,0)</f>
        <v>0</v>
      </c>
      <c r="L13" s="7">
        <f>TONTSEPT23!H13+TONTSEPT23!I13</f>
        <v>0</v>
      </c>
      <c r="M13" s="7">
        <f>VLOOKUP($A13,[6]HISTOOCT23!$A$7:$AU$45,16,0)</f>
        <v>0</v>
      </c>
      <c r="N13" s="7" t="str">
        <f>IF(M13&lt;&gt;0,VLOOKUP($A13,[6]HISTOOCT23!$A$7:$AU$45,8,0),"ECHEC")</f>
        <v>ECHEC</v>
      </c>
      <c r="O13" s="7">
        <f>IF(R13=0,0,VLOOKUP($A13,[6]HISTOOCT23!$A$7:$AU$45,32,0))</f>
        <v>0</v>
      </c>
      <c r="P13" s="7">
        <f>VLOOKUP($A13,[6]HISTOOCT23!$A$7:$AU$45,33,0)</f>
        <v>0</v>
      </c>
      <c r="Q13" s="7">
        <f t="shared" si="0"/>
        <v>0</v>
      </c>
      <c r="R13" s="7">
        <f>VLOOKUP($A13,[6]HISTOOCT23!$A$7:$AU$45,29,0)</f>
        <v>0</v>
      </c>
    </row>
    <row r="14" spans="1:18" x14ac:dyDescent="0.25">
      <c r="A14" s="1" t="s">
        <v>14</v>
      </c>
      <c r="B14" s="7">
        <f>IF(D14=0,0,VLOOKUP($A14,[6]HISTOOCT23!$A$6:$BO$40,10,0))</f>
        <v>1</v>
      </c>
      <c r="C14" s="1" t="str">
        <f>VLOOKUP(A14,[7]LISTADHERENT!A$5:H$60,3,0)</f>
        <v>HENGUE PAUL OMER</v>
      </c>
      <c r="D14" s="7">
        <f t="shared" si="1"/>
        <v>25000</v>
      </c>
      <c r="E14" s="7">
        <f>D14+VLOOKUP($A14,[6]HISTOOCT23!$A$7:$AU$40,45,0)+F14</f>
        <v>40000</v>
      </c>
      <c r="F14" s="7">
        <f>VLOOKUP($A14,[6]HISTOOCT23!$A$7:$AU$45,7,0)</f>
        <v>0</v>
      </c>
      <c r="G14" s="7" t="str">
        <f>VLOOKUP($A14,[6]HISTOOCT23!$A$7:$AU$45,8,0)</f>
        <v>BANQUE</v>
      </c>
      <c r="H14" s="7">
        <f>VLOOKUP($A14,[6]HISTOOCT23!$A$6:$AU$45,35,0)</f>
        <v>0</v>
      </c>
      <c r="I14" s="7">
        <f>VLOOKUP($A14,[6]HISTOOCT23!$A$7:$AU$45,38,0)</f>
        <v>0</v>
      </c>
      <c r="J14" s="7">
        <f>IF(I14=0,0,VLOOKUP($A14,[6]HISTOOCT23!$A$7:$AU$45,42,0))</f>
        <v>0</v>
      </c>
      <c r="K14" s="7">
        <f>VLOOKUP($A14,[6]HISTOOCT23!$A$7:$AU$45,41,0)</f>
        <v>0</v>
      </c>
      <c r="L14" s="7">
        <f>TONTSEPT23!H14+TONTSEPT23!I14</f>
        <v>0</v>
      </c>
      <c r="M14" s="7">
        <f>VLOOKUP($A14,[6]HISTOOCT23!$A$7:$AU$45,16,0)</f>
        <v>0</v>
      </c>
      <c r="N14" s="7" t="str">
        <f>IF(M14&lt;&gt;0,VLOOKUP($A14,[6]HISTOOCT23!$A$7:$AU$45,8,0),"ECHEC")</f>
        <v>ECHEC</v>
      </c>
      <c r="O14" s="7">
        <f>IF(R14=0,0,VLOOKUP($A14,[6]HISTOOCT23!$A$7:$AU$45,32,0))</f>
        <v>0</v>
      </c>
      <c r="P14" s="7">
        <f>VLOOKUP($A14,[6]HISTOOCT23!$A$7:$AU$45,33,0)</f>
        <v>0</v>
      </c>
      <c r="Q14" s="7">
        <f t="shared" si="0"/>
        <v>0</v>
      </c>
      <c r="R14" s="7">
        <f>VLOOKUP($A14,[6]HISTOOCT23!$A$7:$AU$45,29,0)</f>
        <v>0</v>
      </c>
    </row>
    <row r="15" spans="1:18" x14ac:dyDescent="0.25">
      <c r="A15" s="1" t="s">
        <v>15</v>
      </c>
      <c r="B15" s="7">
        <f>IF(D15=0,0,VLOOKUP($A15,[6]HISTOOCT23!$A$6:$BO$40,10,0))</f>
        <v>1</v>
      </c>
      <c r="C15" s="1" t="str">
        <f>VLOOKUP(A15,[7]LISTADHERENT!A$5:H$60,3,0)</f>
        <v>HOTCHO BENJAMIN</v>
      </c>
      <c r="D15" s="7">
        <f t="shared" si="1"/>
        <v>25000</v>
      </c>
      <c r="E15" s="7">
        <f>D15+VLOOKUP($A15,[6]HISTOOCT23!$A$7:$AU$40,45,0)+F15</f>
        <v>75000</v>
      </c>
      <c r="F15" s="7">
        <f>VLOOKUP($A15,[6]HISTOOCT23!$A$7:$AU$45,7,0)</f>
        <v>0</v>
      </c>
      <c r="G15" s="7" t="str">
        <f>VLOOKUP($A15,[6]HISTOOCT23!$A$7:$AU$45,8,0)</f>
        <v>BANQUE</v>
      </c>
      <c r="H15" s="7">
        <f>VLOOKUP($A15,[6]HISTOOCT23!$A$6:$AU$45,35,0)</f>
        <v>0</v>
      </c>
      <c r="I15" s="7">
        <f>VLOOKUP($A15,[6]HISTOOCT23!$A$7:$AU$45,38,0)</f>
        <v>0</v>
      </c>
      <c r="J15" s="7">
        <f>IF(I15=0,0,VLOOKUP($A15,[6]HISTOOCT23!$A$7:$AU$45,42,0))</f>
        <v>0</v>
      </c>
      <c r="K15" s="7">
        <f>VLOOKUP($A15,[6]HISTOOCT23!$A$7:$AU$45,41,0)</f>
        <v>0</v>
      </c>
      <c r="L15" s="7">
        <f>TONTSEPT23!H15+TONTSEPT23!I15</f>
        <v>0</v>
      </c>
      <c r="M15" s="7">
        <f>VLOOKUP($A15,[6]HISTOOCT23!$A$7:$AU$45,16,0)</f>
        <v>0</v>
      </c>
      <c r="N15" s="7" t="str">
        <f>IF(M15&lt;&gt;0,VLOOKUP($A15,[6]HISTOOCT23!$A$7:$AU$45,8,0),"ECHEC")</f>
        <v>ECHEC</v>
      </c>
      <c r="O15" s="7">
        <f>IF(R15=0,0,VLOOKUP($A15,[6]HISTOOCT23!$A$7:$AU$45,32,0))</f>
        <v>0</v>
      </c>
      <c r="P15" s="7">
        <f>VLOOKUP($A15,[6]HISTOOCT23!$A$7:$AU$45,33,0)</f>
        <v>0</v>
      </c>
      <c r="Q15" s="7">
        <f t="shared" si="0"/>
        <v>0</v>
      </c>
      <c r="R15" s="7">
        <f>VLOOKUP($A15,[6]HISTOOCT23!$A$7:$AU$45,29,0)</f>
        <v>0</v>
      </c>
    </row>
    <row r="16" spans="1:18" x14ac:dyDescent="0.25">
      <c r="A16" s="1" t="s">
        <v>16</v>
      </c>
      <c r="B16" s="7">
        <f>IF(D16=0,0,VLOOKUP($A16,[6]HISTOOCT23!$A$6:$BO$40,10,0))</f>
        <v>1</v>
      </c>
      <c r="C16" s="1" t="str">
        <f>VLOOKUP(A16,[7]LISTADHERENT!A$5:H$60,3,0)</f>
        <v>KOUAMOU MOISE</v>
      </c>
      <c r="D16" s="7">
        <f t="shared" si="1"/>
        <v>25000</v>
      </c>
      <c r="E16" s="7">
        <f>D16+VLOOKUP($A16,[6]HISTOOCT23!$A$7:$AU$40,45,0)+F16</f>
        <v>40000</v>
      </c>
      <c r="F16" s="7">
        <f>VLOOKUP($A16,[6]HISTOOCT23!$A$7:$AU$45,7,0)</f>
        <v>0</v>
      </c>
      <c r="G16" s="7" t="str">
        <f>VLOOKUP($A16,[6]HISTOOCT23!$A$7:$AU$45,8,0)</f>
        <v>BANQUE</v>
      </c>
      <c r="H16" s="7">
        <f>VLOOKUP($A16,[6]HISTOOCT23!$A$6:$AU$45,35,0)</f>
        <v>0</v>
      </c>
      <c r="I16" s="7">
        <f>VLOOKUP($A16,[6]HISTOOCT23!$A$7:$AU$45,38,0)</f>
        <v>0</v>
      </c>
      <c r="J16" s="7">
        <f>IF(I16=0,0,VLOOKUP($A16,[6]HISTOOCT23!$A$7:$AU$45,42,0))</f>
        <v>0</v>
      </c>
      <c r="K16" s="7">
        <f>VLOOKUP($A16,[6]HISTOOCT23!$A$7:$AU$45,41,0)</f>
        <v>0</v>
      </c>
      <c r="L16" s="7">
        <f>TONTSEPT23!H16+TONTSEPT23!I16</f>
        <v>0</v>
      </c>
      <c r="M16" s="7">
        <f>VLOOKUP($A16,[6]HISTOOCT23!$A$7:$AU$45,16,0)</f>
        <v>0</v>
      </c>
      <c r="N16" s="7" t="str">
        <f>IF(M16&lt;&gt;0,VLOOKUP($A16,[6]HISTOOCT23!$A$7:$AU$45,8,0),"ECHEC")</f>
        <v>ECHEC</v>
      </c>
      <c r="O16" s="7">
        <f>IF(R16=0,0,VLOOKUP($A16,[6]HISTOOCT23!$A$7:$AU$45,32,0))</f>
        <v>0</v>
      </c>
      <c r="P16" s="7">
        <f>VLOOKUP($A16,[6]HISTOOCT23!$A$7:$AU$45,33,0)</f>
        <v>0</v>
      </c>
      <c r="Q16" s="7">
        <f t="shared" si="0"/>
        <v>0</v>
      </c>
      <c r="R16" s="7">
        <f>VLOOKUP($A16,[6]HISTOOCT23!$A$7:$AU$45,29,0)</f>
        <v>0</v>
      </c>
    </row>
    <row r="17" spans="1:18" x14ac:dyDescent="0.25">
      <c r="A17" s="1" t="s">
        <v>17</v>
      </c>
      <c r="B17" s="7">
        <f>IF(D17=0,0,VLOOKUP($A17,[6]HISTOOCT23!$A$6:$BO$40,10,0))</f>
        <v>1</v>
      </c>
      <c r="C17" s="1" t="str">
        <f>VLOOKUP(A17,[7]LISTADHERENT!A$5:H$60,3,0)</f>
        <v>KOUATCHO MESSACK</v>
      </c>
      <c r="D17" s="7">
        <f t="shared" si="1"/>
        <v>25000</v>
      </c>
      <c r="E17" s="7">
        <f>D17+VLOOKUP($A17,[6]HISTOOCT23!$A$7:$AU$40,45,0)+F17</f>
        <v>40000</v>
      </c>
      <c r="F17" s="7">
        <f>VLOOKUP($A17,[6]HISTOOCT23!$A$7:$AU$45,7,0)</f>
        <v>0</v>
      </c>
      <c r="G17" s="7" t="str">
        <f>VLOOKUP($A17,[6]HISTOOCT23!$A$7:$AU$45,8,0)</f>
        <v>BANQUE</v>
      </c>
      <c r="H17" s="7">
        <f>VLOOKUP($A17,[6]HISTOOCT23!$A$6:$AU$45,35,0)</f>
        <v>0</v>
      </c>
      <c r="I17" s="7">
        <f>VLOOKUP($A17,[6]HISTOOCT23!$A$7:$AU$45,38,0)</f>
        <v>0</v>
      </c>
      <c r="J17" s="7">
        <f>IF(I17=0,0,VLOOKUP($A17,[6]HISTOOCT23!$A$7:$AU$45,42,0))</f>
        <v>0</v>
      </c>
      <c r="K17" s="7">
        <f>VLOOKUP($A17,[6]HISTOOCT23!$A$7:$AU$45,41,0)</f>
        <v>0</v>
      </c>
      <c r="L17" s="7">
        <f>TONTSEPT23!H17+TONTSEPT23!I17</f>
        <v>0</v>
      </c>
      <c r="M17" s="7">
        <f>VLOOKUP($A17,[6]HISTOOCT23!$A$7:$AU$45,16,0)</f>
        <v>0</v>
      </c>
      <c r="N17" s="7" t="str">
        <f>IF(M17&lt;&gt;0,VLOOKUP($A17,[6]HISTOOCT23!$A$7:$AU$45,8,0),"ECHEC")</f>
        <v>ECHEC</v>
      </c>
      <c r="O17" s="7">
        <f>IF(R17=0,0,VLOOKUP($A17,[6]HISTOOCT23!$A$7:$AU$45,32,0))</f>
        <v>0</v>
      </c>
      <c r="P17" s="7">
        <f>VLOOKUP($A17,[6]HISTOOCT23!$A$7:$AU$45,33,0)</f>
        <v>0</v>
      </c>
      <c r="Q17" s="7">
        <f t="shared" si="0"/>
        <v>0</v>
      </c>
      <c r="R17" s="7">
        <f>VLOOKUP($A17,[6]HISTOOCT23!$A$7:$AU$45,29,0)</f>
        <v>0</v>
      </c>
    </row>
    <row r="18" spans="1:18" x14ac:dyDescent="0.25">
      <c r="A18" s="1" t="s">
        <v>18</v>
      </c>
      <c r="B18" s="7">
        <f>IF(D18=0,0,VLOOKUP($A18,[6]HISTOOCT23!$A$6:$BO$40,10,0))</f>
        <v>1</v>
      </c>
      <c r="C18" s="1" t="str">
        <f>VLOOKUP(A18,[7]LISTADHERENT!A$5:H$60,3,0)</f>
        <v>LOWE JEAN</v>
      </c>
      <c r="D18" s="7">
        <f t="shared" si="1"/>
        <v>25000</v>
      </c>
      <c r="E18" s="7">
        <f>D18+VLOOKUP($A18,[6]HISTOOCT23!$A$7:$AU$40,45,0)+F18</f>
        <v>40000</v>
      </c>
      <c r="F18" s="7">
        <f>VLOOKUP($A18,[6]HISTOOCT23!$A$7:$AU$45,7,0)</f>
        <v>0</v>
      </c>
      <c r="G18" s="7" t="str">
        <f>VLOOKUP($A18,[6]HISTOOCT23!$A$7:$AU$45,8,0)</f>
        <v>BANQUE</v>
      </c>
      <c r="H18" s="7">
        <f>VLOOKUP($A18,[6]HISTOOCT23!$A$6:$AU$45,35,0)</f>
        <v>0</v>
      </c>
      <c r="I18" s="7">
        <f>VLOOKUP($A18,[6]HISTOOCT23!$A$7:$AU$45,38,0)</f>
        <v>0</v>
      </c>
      <c r="J18" s="7">
        <f>IF(I18=0,0,VLOOKUP($A18,[6]HISTOOCT23!$A$7:$AU$45,42,0))</f>
        <v>0</v>
      </c>
      <c r="K18" s="7">
        <f>VLOOKUP($A18,[6]HISTOOCT23!$A$7:$AU$45,41,0)</f>
        <v>0</v>
      </c>
      <c r="L18" s="7">
        <f>TONTSEPT23!H18+TONTSEPT23!I18</f>
        <v>0</v>
      </c>
      <c r="M18" s="7">
        <f>VLOOKUP($A18,[6]HISTOOCT23!$A$7:$AU$45,16,0)</f>
        <v>0</v>
      </c>
      <c r="N18" s="7" t="str">
        <f>IF(M18&lt;&gt;0,VLOOKUP($A18,[6]HISTOOCT23!$A$7:$AU$45,8,0),"ECHEC")</f>
        <v>ECHEC</v>
      </c>
      <c r="O18" s="7">
        <f>IF(R18=0,0,VLOOKUP($A18,[6]HISTOOCT23!$A$7:$AU$45,32,0))</f>
        <v>0</v>
      </c>
      <c r="P18" s="7">
        <f>VLOOKUP($A18,[6]HISTOOCT23!$A$7:$AU$45,33,0)</f>
        <v>0</v>
      </c>
      <c r="Q18" s="7">
        <f t="shared" si="0"/>
        <v>0</v>
      </c>
      <c r="R18" s="7">
        <f>VLOOKUP($A18,[6]HISTOOCT23!$A$7:$AU$45,29,0)</f>
        <v>0</v>
      </c>
    </row>
    <row r="19" spans="1:18" x14ac:dyDescent="0.25">
      <c r="A19" s="1" t="s">
        <v>45</v>
      </c>
      <c r="B19" s="7">
        <f>IF(D19=0,0,VLOOKUP($A19,[6]HISTOOCT23!$A$6:$BO$40,10,0))</f>
        <v>1</v>
      </c>
      <c r="C19" s="1" t="str">
        <f>VLOOKUP(A19,[7]LISTADHERENT!A$5:H$60,3,0)</f>
        <v>MBOGNING TUGMA GUY</v>
      </c>
      <c r="D19" s="7">
        <f t="shared" si="1"/>
        <v>25000</v>
      </c>
      <c r="E19" s="7">
        <f>D19+VLOOKUP($A19,[6]HISTOOCT23!$A$7:$AU$40,45,0)+F19</f>
        <v>40000</v>
      </c>
      <c r="F19" s="7">
        <f>VLOOKUP($A19,[6]HISTOOCT23!$A$7:$AU$45,7,0)</f>
        <v>0</v>
      </c>
      <c r="G19" s="7" t="str">
        <f>VLOOKUP($A19,[6]HISTOOCT23!$A$7:$AU$45,8,0)</f>
        <v>BANQUE</v>
      </c>
      <c r="H19" s="7">
        <f>VLOOKUP($A19,[6]HISTOOCT23!$A$6:$AU$45,35,0)</f>
        <v>30000</v>
      </c>
      <c r="I19" s="7">
        <f>VLOOKUP($A19,[6]HISTOOCT23!$A$7:$AU$45,38,0)</f>
        <v>500</v>
      </c>
      <c r="J19" s="7" t="str">
        <f>IF(I19=0,0,VLOOKUP($A19,[6]HISTOOCT23!$A$7:$AU$45,42,0))</f>
        <v>BANQUE</v>
      </c>
      <c r="K19" s="7">
        <f>VLOOKUP($A19,[6]HISTOOCT23!$A$7:$AU$45,41,0)</f>
        <v>0</v>
      </c>
      <c r="L19" s="7">
        <f>TONTSEPT23!H19+TONTSEPT23!I19</f>
        <v>0</v>
      </c>
      <c r="M19" s="7">
        <f>VLOOKUP($A19,[6]HISTOOCT23!$A$7:$AU$45,16,0)</f>
        <v>0</v>
      </c>
      <c r="N19" s="7" t="str">
        <f>IF(M19&lt;&gt;0,VLOOKUP($A19,[6]HISTOOCT23!$A$7:$AU$45,8,0),"ECHEC")</f>
        <v>ECHEC</v>
      </c>
      <c r="O19" s="7">
        <f>IF(R19=0,0,VLOOKUP($A19,[6]HISTOOCT23!$A$7:$AU$45,32,0))</f>
        <v>0</v>
      </c>
      <c r="P19" s="7">
        <f>VLOOKUP($A19,[6]HISTOOCT23!$A$7:$AU$45,33,0)</f>
        <v>0</v>
      </c>
      <c r="Q19" s="7">
        <f t="shared" si="0"/>
        <v>0</v>
      </c>
      <c r="R19" s="7">
        <f>VLOOKUP($A19,[6]HISTOOCT23!$A$7:$AU$45,29,0)</f>
        <v>0</v>
      </c>
    </row>
    <row r="20" spans="1:18" x14ac:dyDescent="0.25">
      <c r="A20" s="1" t="s">
        <v>26</v>
      </c>
      <c r="B20" s="7">
        <f>IF(D20=0,0,VLOOKUP($A20,[6]HISTOOCT23!$A$6:$BO$40,10,0))</f>
        <v>1</v>
      </c>
      <c r="C20" s="1" t="str">
        <f>VLOOKUP(A20,[7]LISTADHERENT!A$5:H$60,3,0)</f>
        <v>NANGUEN MARTIN</v>
      </c>
      <c r="D20" s="7">
        <f t="shared" si="1"/>
        <v>25000</v>
      </c>
      <c r="E20" s="7">
        <f>D20+VLOOKUP($A20,[6]HISTOOCT23!$A$7:$AU$40,45,0)+F20</f>
        <v>40000</v>
      </c>
      <c r="F20" s="7">
        <f>VLOOKUP($A20,[6]HISTOOCT23!$A$7:$AU$45,7,0)</f>
        <v>0</v>
      </c>
      <c r="G20" s="7" t="str">
        <f>VLOOKUP($A20,[6]HISTOOCT23!$A$7:$AU$45,8,0)</f>
        <v>BANQUE</v>
      </c>
      <c r="H20" s="7">
        <f>VLOOKUP($A20,[6]HISTOOCT23!$A$6:$AU$45,35,0)</f>
        <v>0</v>
      </c>
      <c r="I20" s="7">
        <f>VLOOKUP($A20,[6]HISTOOCT23!$A$7:$AU$45,38,0)</f>
        <v>0</v>
      </c>
      <c r="J20" s="7">
        <f>IF(I20=0,0,VLOOKUP($A20,[6]HISTOOCT23!$A$7:$AU$45,42,0))</f>
        <v>0</v>
      </c>
      <c r="K20" s="7">
        <f>VLOOKUP($A20,[6]HISTOOCT23!$A$7:$AU$45,41,0)</f>
        <v>0</v>
      </c>
      <c r="L20" s="7">
        <f>TONTSEPT23!H20+TONTSEPT23!I20</f>
        <v>0</v>
      </c>
      <c r="M20" s="7">
        <f>VLOOKUP($A20,[6]HISTOOCT23!$A$7:$AU$45,16,0)</f>
        <v>0</v>
      </c>
      <c r="N20" s="7" t="str">
        <f>IF(M20&lt;&gt;0,VLOOKUP($A20,[6]HISTOOCT23!$A$7:$AU$45,8,0),"ECHEC")</f>
        <v>ECHEC</v>
      </c>
      <c r="O20" s="7">
        <f>IF(R20=0,0,VLOOKUP($A20,[6]HISTOOCT23!$A$7:$AU$45,32,0))</f>
        <v>0</v>
      </c>
      <c r="P20" s="7">
        <f>VLOOKUP($A20,[6]HISTOOCT23!$A$7:$AU$45,33,0)</f>
        <v>0</v>
      </c>
      <c r="Q20" s="7">
        <f t="shared" si="0"/>
        <v>0</v>
      </c>
      <c r="R20" s="7">
        <f>VLOOKUP($A20,[6]HISTOOCT23!$A$7:$AU$45,29,0)</f>
        <v>0</v>
      </c>
    </row>
    <row r="21" spans="1:18" x14ac:dyDescent="0.25">
      <c r="A21" s="1" t="s">
        <v>19</v>
      </c>
      <c r="B21" s="7">
        <f>IF(D21=0,0,VLOOKUP($A21,[6]HISTOOCT23!$A$6:$BO$40,10,0))</f>
        <v>1</v>
      </c>
      <c r="C21" s="1" t="str">
        <f>VLOOKUP(A21,[7]LISTADHERENT!A$5:H$60,3,0)</f>
        <v>NANKAM APPOLINAIRE</v>
      </c>
      <c r="D21" s="7">
        <f t="shared" si="1"/>
        <v>25000</v>
      </c>
      <c r="E21" s="7">
        <f>D21+VLOOKUP($A21,[6]HISTOOCT23!$A$7:$AU$40,45,0)+F21</f>
        <v>40000</v>
      </c>
      <c r="F21" s="7">
        <f>VLOOKUP($A21,[6]HISTOOCT23!$A$7:$AU$45,7,0)</f>
        <v>0</v>
      </c>
      <c r="G21" s="7" t="str">
        <f>VLOOKUP($A21,[6]HISTOOCT23!$A$7:$AU$45,8,0)</f>
        <v>BANQUE</v>
      </c>
      <c r="H21" s="7">
        <f>VLOOKUP($A21,[6]HISTOOCT23!$A$6:$AU$45,35,0)</f>
        <v>0</v>
      </c>
      <c r="I21" s="7">
        <f>VLOOKUP($A21,[6]HISTOOCT23!$A$7:$AU$45,38,0)</f>
        <v>0</v>
      </c>
      <c r="J21" s="7">
        <f>IF(I21=0,0,VLOOKUP($A21,[6]HISTOOCT23!$A$7:$AU$45,42,0))</f>
        <v>0</v>
      </c>
      <c r="K21" s="7">
        <f>VLOOKUP($A21,[6]HISTOOCT23!$A$7:$AU$45,41,0)</f>
        <v>0</v>
      </c>
      <c r="L21" s="7">
        <f>TONTSEPT23!H21+TONTSEPT23!I21</f>
        <v>0</v>
      </c>
      <c r="M21" s="7">
        <f>VLOOKUP($A21,[6]HISTOOCT23!$A$7:$AU$45,16,0)</f>
        <v>0</v>
      </c>
      <c r="N21" s="7" t="str">
        <f>IF(M21&lt;&gt;0,VLOOKUP($A21,[6]HISTOOCT23!$A$7:$AU$45,8,0),"ECHEC")</f>
        <v>ECHEC</v>
      </c>
      <c r="O21" s="7">
        <f>IF(R21=0,0,VLOOKUP($A21,[6]HISTOOCT23!$A$7:$AU$45,32,0))</f>
        <v>0</v>
      </c>
      <c r="P21" s="7">
        <f>VLOOKUP($A21,[6]HISTOOCT23!$A$7:$AU$45,33,0)</f>
        <v>0</v>
      </c>
      <c r="Q21" s="7">
        <f t="shared" si="0"/>
        <v>0</v>
      </c>
      <c r="R21" s="7">
        <f>VLOOKUP($A21,[6]HISTOOCT23!$A$7:$AU$45,29,0)</f>
        <v>0</v>
      </c>
    </row>
    <row r="22" spans="1:18" x14ac:dyDescent="0.25">
      <c r="A22" s="1" t="s">
        <v>20</v>
      </c>
      <c r="B22" s="7">
        <f>IF(D22=0,0,VLOOKUP($A22,[6]HISTOOCT23!$A$6:$BO$40,10,0))</f>
        <v>1</v>
      </c>
      <c r="C22" s="1" t="str">
        <f>VLOOKUP(A22,[7]LISTADHERENT!A$5:H$60,3,0)</f>
        <v>NDJOMO ETIENNE</v>
      </c>
      <c r="D22" s="7">
        <f t="shared" si="1"/>
        <v>25000</v>
      </c>
      <c r="E22" s="7">
        <f>D22+VLOOKUP($A22,[6]HISTOOCT23!$A$7:$AU$40,45,0)+F22</f>
        <v>50000</v>
      </c>
      <c r="F22" s="7">
        <f>VLOOKUP($A22,[6]HISTOOCT23!$A$7:$AU$45,7,0)</f>
        <v>0</v>
      </c>
      <c r="G22" s="7" t="str">
        <f>VLOOKUP($A22,[6]HISTOOCT23!$A$7:$AU$45,8,0)</f>
        <v>BANQUE</v>
      </c>
      <c r="H22" s="7">
        <f>VLOOKUP($A22,[6]HISTOOCT23!$A$6:$AU$45,35,0)</f>
        <v>0</v>
      </c>
      <c r="I22" s="7">
        <f>VLOOKUP($A22,[6]HISTOOCT23!$A$7:$AU$45,38,0)</f>
        <v>0</v>
      </c>
      <c r="J22" s="7">
        <f>IF(I22=0,0,VLOOKUP($A22,[6]HISTOOCT23!$A$7:$AU$45,42,0))</f>
        <v>0</v>
      </c>
      <c r="K22" s="7">
        <f>VLOOKUP($A22,[6]HISTOOCT23!$A$7:$AU$45,41,0)</f>
        <v>0</v>
      </c>
      <c r="L22" s="7">
        <f>TONTSEPT23!H22+TONTSEPT23!I22</f>
        <v>0</v>
      </c>
      <c r="M22" s="7">
        <f>VLOOKUP($A22,[6]HISTOOCT23!$A$7:$AU$45,16,0)</f>
        <v>0</v>
      </c>
      <c r="N22" s="7" t="str">
        <f>IF(M22&lt;&gt;0,VLOOKUP($A22,[6]HISTOOCT23!$A$7:$AU$45,8,0),"ECHEC")</f>
        <v>ECHEC</v>
      </c>
      <c r="O22" s="7">
        <f>IF(R22=0,0,VLOOKUP($A22,[6]HISTOOCT23!$A$7:$AU$45,32,0))</f>
        <v>0</v>
      </c>
      <c r="P22" s="7">
        <f>VLOOKUP($A22,[6]HISTOOCT23!$A$7:$AU$45,33,0)</f>
        <v>0</v>
      </c>
      <c r="Q22" s="7">
        <f t="shared" si="0"/>
        <v>0</v>
      </c>
      <c r="R22" s="7">
        <f>VLOOKUP($A22,[6]HISTOOCT23!$A$7:$AU$45,29,0)</f>
        <v>0</v>
      </c>
    </row>
    <row r="23" spans="1:18" x14ac:dyDescent="0.25">
      <c r="A23" s="1" t="s">
        <v>21</v>
      </c>
      <c r="B23" s="7">
        <f>IF(D23=0,0,VLOOKUP($A23,[6]HISTOOCT23!$A$6:$BO$40,10,0))</f>
        <v>1</v>
      </c>
      <c r="C23" s="1" t="str">
        <f>VLOOKUP(A23,[7]LISTADHERENT!A$5:H$60,3,0)</f>
        <v>NGONDIEP CLAUDE</v>
      </c>
      <c r="D23" s="7">
        <f t="shared" si="1"/>
        <v>25000</v>
      </c>
      <c r="E23" s="7">
        <f>D23+VLOOKUP($A23,[6]HISTOOCT23!$A$7:$AU$40,45,0)+F23</f>
        <v>40000</v>
      </c>
      <c r="F23" s="7">
        <f>VLOOKUP($A23,[6]HISTOOCT23!$A$7:$AU$45,7,0)</f>
        <v>0</v>
      </c>
      <c r="G23" s="7" t="str">
        <f>VLOOKUP($A23,[6]HISTOOCT23!$A$7:$AU$45,8,0)</f>
        <v>BANQUE</v>
      </c>
      <c r="H23" s="7">
        <f>VLOOKUP($A23,[6]HISTOOCT23!$A$6:$AU$45,35,0)</f>
        <v>0</v>
      </c>
      <c r="I23" s="7">
        <f>VLOOKUP($A23,[6]HISTOOCT23!$A$7:$AU$45,38,0)</f>
        <v>0</v>
      </c>
      <c r="J23" s="7">
        <f>IF(I23=0,0,VLOOKUP($A23,[6]HISTOOCT23!$A$7:$AU$45,42,0))</f>
        <v>0</v>
      </c>
      <c r="K23" s="7">
        <f>VLOOKUP($A23,[6]HISTOOCT23!$A$7:$AU$45,41,0)</f>
        <v>0</v>
      </c>
      <c r="L23" s="7">
        <f>TONTSEPT23!H23+TONTSEPT23!I23</f>
        <v>0</v>
      </c>
      <c r="M23" s="7">
        <f>VLOOKUP($A23,[6]HISTOOCT23!$A$7:$AU$45,16,0)</f>
        <v>0</v>
      </c>
      <c r="N23" s="7" t="str">
        <f>IF(M23&lt;&gt;0,VLOOKUP($A23,[6]HISTOOCT23!$A$7:$AU$45,8,0),"ECHEC")</f>
        <v>ECHEC</v>
      </c>
      <c r="O23" s="7">
        <f>IF(R23=0,0,VLOOKUP($A23,[6]HISTOOCT23!$A$7:$AU$45,32,0))</f>
        <v>0</v>
      </c>
      <c r="P23" s="7">
        <f>VLOOKUP($A23,[6]HISTOOCT23!$A$7:$AU$45,33,0)</f>
        <v>0</v>
      </c>
      <c r="Q23" s="7">
        <f t="shared" si="0"/>
        <v>0</v>
      </c>
      <c r="R23" s="7">
        <f>VLOOKUP($A23,[6]HISTOOCT23!$A$7:$AU$45,29,0)</f>
        <v>0</v>
      </c>
    </row>
    <row r="24" spans="1:18" x14ac:dyDescent="0.25">
      <c r="A24" s="1" t="s">
        <v>22</v>
      </c>
      <c r="B24" s="7">
        <f>IF(D24=0,0,VLOOKUP($A24,[6]HISTOOCT23!$A$6:$BO$40,10,0))</f>
        <v>1</v>
      </c>
      <c r="C24" s="1" t="str">
        <f>VLOOKUP(A24,[7]LISTADHERENT!A$5:H$60,3,0)</f>
        <v>NGUIEMEGNI MATHIEU BLAISE</v>
      </c>
      <c r="D24" s="7">
        <f t="shared" si="1"/>
        <v>25000</v>
      </c>
      <c r="E24" s="7">
        <f>D24+VLOOKUP($A24,[6]HISTOOCT23!$A$7:$AU$40,45,0)+F24</f>
        <v>48000</v>
      </c>
      <c r="F24" s="7">
        <f>VLOOKUP($A24,[6]HISTOOCT23!$A$7:$AU$45,7,0)</f>
        <v>0</v>
      </c>
      <c r="G24" s="7" t="str">
        <f>VLOOKUP($A24,[6]HISTOOCT23!$A$7:$AU$45,8,0)</f>
        <v>BANQUE</v>
      </c>
      <c r="H24" s="7">
        <f>VLOOKUP($A24,[6]HISTOOCT23!$A$6:$AU$45,35,0)</f>
        <v>0</v>
      </c>
      <c r="I24" s="7">
        <f>VLOOKUP($A24,[6]HISTOOCT23!$A$7:$AU$45,38,0)</f>
        <v>0</v>
      </c>
      <c r="J24" s="7">
        <f>IF(I24=0,0,VLOOKUP($A24,[6]HISTOOCT23!$A$7:$AU$45,42,0))</f>
        <v>0</v>
      </c>
      <c r="K24" s="7">
        <f>VLOOKUP($A24,[6]HISTOOCT23!$A$7:$AU$45,41,0)</f>
        <v>0</v>
      </c>
      <c r="L24" s="7">
        <f>TONTSEPT23!H24+TONTSEPT23!I24</f>
        <v>0</v>
      </c>
      <c r="M24" s="7">
        <f>VLOOKUP($A24,[6]HISTOOCT23!$A$7:$AU$45,16,0)</f>
        <v>0</v>
      </c>
      <c r="N24" s="7" t="str">
        <f>IF(M24&lt;&gt;0,VLOOKUP($A24,[6]HISTOOCT23!$A$7:$AU$45,8,0),"ECHEC")</f>
        <v>ECHEC</v>
      </c>
      <c r="O24" s="7">
        <f>IF(R24=0,0,VLOOKUP($A24,[6]HISTOOCT23!$A$7:$AU$45,32,0))</f>
        <v>0</v>
      </c>
      <c r="P24" s="7">
        <f>VLOOKUP($A24,[6]HISTOOCT23!$A$7:$AU$45,33,0)</f>
        <v>0</v>
      </c>
      <c r="Q24" s="7">
        <f t="shared" si="0"/>
        <v>0</v>
      </c>
      <c r="R24" s="7">
        <f>VLOOKUP($A24,[6]HISTOOCT23!$A$7:$AU$45,29,0)</f>
        <v>0</v>
      </c>
    </row>
    <row r="25" spans="1:18" x14ac:dyDescent="0.25">
      <c r="A25" s="1" t="s">
        <v>23</v>
      </c>
      <c r="B25" s="7">
        <f>IF(D25=0,0,VLOOKUP($A25,[6]HISTOOCT23!$A$6:$BO$40,10,0))</f>
        <v>1</v>
      </c>
      <c r="C25" s="1" t="str">
        <f>VLOOKUP(A25,[7]LISTADHERENT!A$5:H$60,3,0)</f>
        <v>NKAMGANG JUSTIN DEJOLIE</v>
      </c>
      <c r="D25" s="7">
        <f t="shared" si="1"/>
        <v>25000</v>
      </c>
      <c r="E25" s="7">
        <f>D25+VLOOKUP($A25,[6]HISTOOCT23!$A$7:$AU$40,45,0)+F25</f>
        <v>40000</v>
      </c>
      <c r="F25" s="7">
        <f>VLOOKUP($A25,[6]HISTOOCT23!$A$7:$AU$45,7,0)</f>
        <v>0</v>
      </c>
      <c r="G25" s="7" t="str">
        <f>VLOOKUP($A25,[6]HISTOOCT23!$A$7:$AU$45,8,0)</f>
        <v>ESPECES</v>
      </c>
      <c r="H25" s="7">
        <f>VLOOKUP($A25,[6]HISTOOCT23!$A$6:$AU$45,35,0)</f>
        <v>60000</v>
      </c>
      <c r="I25" s="7">
        <f>VLOOKUP($A25,[6]HISTOOCT23!$A$7:$AU$45,38,0)</f>
        <v>1000</v>
      </c>
      <c r="J25" s="7" t="str">
        <f>IF(I25=0,0,VLOOKUP($A25,[6]HISTOOCT23!$A$7:$AU$45,42,0))</f>
        <v>BANQUE</v>
      </c>
      <c r="K25" s="7">
        <f>VLOOKUP($A25,[6]HISTOOCT23!$A$7:$AU$45,41,0)</f>
        <v>0</v>
      </c>
      <c r="L25" s="7">
        <f>TONTSEPT23!H25+TONTSEPT23!I25</f>
        <v>17500</v>
      </c>
      <c r="M25" s="7">
        <f>VLOOKUP($A25,[6]HISTOOCT23!$A$7:$AU$45,16,0)</f>
        <v>17500</v>
      </c>
      <c r="N25" s="7" t="str">
        <f>IF(M25&lt;&gt;0,VLOOKUP($A25,[6]HISTOOCT23!$A$7:$AU$45,8,0),"ECHEC")</f>
        <v>ESPECES</v>
      </c>
      <c r="O25" s="7">
        <f>IF(R25=0,0,VLOOKUP($A25,[6]HISTOOCT23!$A$7:$AU$45,32,0))</f>
        <v>0</v>
      </c>
      <c r="P25" s="7">
        <f>VLOOKUP($A25,[6]HISTOOCT23!$A$7:$AU$45,33,0)</f>
        <v>0</v>
      </c>
      <c r="Q25" s="7">
        <f t="shared" si="0"/>
        <v>0</v>
      </c>
      <c r="R25" s="7">
        <f>VLOOKUP($A25,[6]HISTOOCT23!$A$7:$AU$45,29,0)</f>
        <v>0</v>
      </c>
    </row>
    <row r="26" spans="1:18" x14ac:dyDescent="0.25">
      <c r="A26" s="1" t="s">
        <v>86</v>
      </c>
      <c r="B26" s="7">
        <f>IF(D26=0,0,VLOOKUP($A26,[6]HISTOOCT23!$A$6:$BO$40,10,0))</f>
        <v>1</v>
      </c>
      <c r="C26" s="1" t="str">
        <f>VLOOKUP(A26,[7]LISTADHERENT!A$5:H$60,3,0)</f>
        <v>NOUBE ETIENNE</v>
      </c>
      <c r="D26" s="7">
        <f t="shared" si="1"/>
        <v>25000</v>
      </c>
      <c r="E26" s="7">
        <f>D26+VLOOKUP($A26,[6]HISTOOCT23!$A$7:$AU$40,45,0)+F26</f>
        <v>50000</v>
      </c>
      <c r="F26" s="7">
        <f>VLOOKUP($A26,[6]HISTOOCT23!$A$7:$AU$45,7,0)</f>
        <v>0</v>
      </c>
      <c r="G26" s="7" t="str">
        <f>VLOOKUP($A26,[6]HISTOOCT23!$A$7:$AU$45,8,0)</f>
        <v>BANQUE</v>
      </c>
      <c r="H26" s="7">
        <f>VLOOKUP($A26,[6]HISTOOCT23!$A$6:$AU$45,35,0)</f>
        <v>0</v>
      </c>
      <c r="I26" s="7">
        <f>VLOOKUP($A26,[6]HISTOOCT23!$A$7:$AU$45,38,0)</f>
        <v>0</v>
      </c>
      <c r="J26" s="7">
        <f>IF(I26=0,0,VLOOKUP($A26,[6]HISTOOCT23!$A$7:$AU$45,42,0))</f>
        <v>0</v>
      </c>
      <c r="K26" s="7">
        <f>VLOOKUP($A26,[6]HISTOOCT23!$A$7:$AU$45,41,0)</f>
        <v>0</v>
      </c>
      <c r="L26" s="7">
        <f>TONTSEPT23!H26+TONTSEPT23!I26</f>
        <v>0</v>
      </c>
      <c r="M26" s="7">
        <f>VLOOKUP($A26,[6]HISTOOCT23!$A$7:$AU$45,16,0)</f>
        <v>0</v>
      </c>
      <c r="N26" s="7" t="str">
        <f>IF(M26&lt;&gt;0,VLOOKUP($A26,[6]HISTOOCT23!$A$7:$AU$45,8,0),"ECHEC")</f>
        <v>ECHEC</v>
      </c>
      <c r="O26" s="7">
        <f>IF(R26=0,0,VLOOKUP($A26,[6]HISTOOCT23!$A$7:$AU$45,32,0))</f>
        <v>0</v>
      </c>
      <c r="P26" s="7">
        <f>VLOOKUP($A26,[6]HISTOOCT23!$A$7:$AU$45,33,0)</f>
        <v>0</v>
      </c>
      <c r="Q26" s="7">
        <f t="shared" si="0"/>
        <v>0</v>
      </c>
      <c r="R26" s="7">
        <f>VLOOKUP($A26,[6]HISTOOCT23!$A$7:$AU$45,29,0)</f>
        <v>0</v>
      </c>
    </row>
    <row r="27" spans="1:18" x14ac:dyDescent="0.25">
      <c r="A27" s="1" t="s">
        <v>24</v>
      </c>
      <c r="B27" s="7">
        <f>IF(D27=0,0,VLOOKUP($A27,[6]HISTOOCT23!$A$6:$BO$40,10,0))</f>
        <v>1</v>
      </c>
      <c r="C27" s="1" t="str">
        <f>VLOOKUP(A27,[7]LISTADHERENT!A$5:H$60,3,0)</f>
        <v>PATEGO NJOSSU GUSTAVE</v>
      </c>
      <c r="D27" s="7">
        <f t="shared" si="1"/>
        <v>25000</v>
      </c>
      <c r="E27" s="7">
        <f>D27+VLOOKUP($A27,[6]HISTOOCT23!$A$7:$AU$40,45,0)+F27</f>
        <v>40000</v>
      </c>
      <c r="F27" s="7">
        <f>VLOOKUP($A27,[6]HISTOOCT23!$A$7:$AU$45,7,0)</f>
        <v>0</v>
      </c>
      <c r="G27" s="7" t="str">
        <f>VLOOKUP($A27,[6]HISTOOCT23!$A$7:$AU$45,8,0)</f>
        <v>BANQUE</v>
      </c>
      <c r="H27" s="7">
        <f>VLOOKUP($A27,[6]HISTOOCT23!$A$6:$AU$45,35,0)</f>
        <v>0</v>
      </c>
      <c r="I27" s="7">
        <f>VLOOKUP($A27,[6]HISTOOCT23!$A$7:$AU$45,38,0)</f>
        <v>0</v>
      </c>
      <c r="J27" s="7">
        <f>IF(I27=0,0,VLOOKUP($A27,[6]HISTOOCT23!$A$7:$AU$45,42,0))</f>
        <v>0</v>
      </c>
      <c r="K27" s="7">
        <f>VLOOKUP($A27,[6]HISTOOCT23!$A$7:$AU$45,41,0)</f>
        <v>0</v>
      </c>
      <c r="L27" s="7">
        <f>TONTSEPT23!H27+TONTSEPT23!I27</f>
        <v>0</v>
      </c>
      <c r="M27" s="7">
        <f>VLOOKUP($A27,[6]HISTOOCT23!$A$7:$AU$45,16,0)</f>
        <v>0</v>
      </c>
      <c r="N27" s="7" t="str">
        <f>IF(M27&lt;&gt;0,VLOOKUP($A27,[6]HISTOOCT23!$A$7:$AU$45,8,0),"ECHEC")</f>
        <v>ECHEC</v>
      </c>
      <c r="O27" s="7">
        <f>IF(R27=0,0,VLOOKUP($A27,[6]HISTOOCT23!$A$7:$AU$45,32,0))</f>
        <v>0</v>
      </c>
      <c r="P27" s="7">
        <f>VLOOKUP($A27,[6]HISTOOCT23!$A$7:$AU$45,33,0)</f>
        <v>0</v>
      </c>
      <c r="Q27" s="7">
        <f t="shared" si="0"/>
        <v>0</v>
      </c>
      <c r="R27" s="7">
        <f>VLOOKUP($A27,[6]HISTOOCT23!$A$7:$AU$45,29,0)</f>
        <v>0</v>
      </c>
    </row>
    <row r="28" spans="1:18" x14ac:dyDescent="0.25">
      <c r="A28" s="1" t="s">
        <v>87</v>
      </c>
      <c r="B28" s="7">
        <f>IF(D28=0,0,VLOOKUP($A28,[6]HISTOOCT23!$A$6:$BO$40,10,0))</f>
        <v>1</v>
      </c>
      <c r="C28" s="1" t="str">
        <f>VLOOKUP(A28,[7]LISTADHERENT!A$5:H$60,3,0)</f>
        <v>SEUMO POLYCARPE</v>
      </c>
      <c r="D28" s="7">
        <f t="shared" si="1"/>
        <v>25000</v>
      </c>
      <c r="E28" s="7">
        <f>D28+VLOOKUP($A28,[6]HISTOOCT23!$A$7:$AU$40,45,0)+F28</f>
        <v>40000</v>
      </c>
      <c r="F28" s="7">
        <f>VLOOKUP($A28,[6]HISTOOCT23!$A$7:$AU$45,7,0)</f>
        <v>0</v>
      </c>
      <c r="G28" s="7" t="str">
        <f>VLOOKUP($A28,[6]HISTOOCT23!$A$7:$AU$45,8,0)</f>
        <v>BANQUE</v>
      </c>
      <c r="H28" s="7">
        <f>VLOOKUP($A28,[6]HISTOOCT23!$A$6:$AU$45,35,0)</f>
        <v>0</v>
      </c>
      <c r="I28" s="7">
        <f>VLOOKUP($A28,[6]HISTOOCT23!$A$7:$AU$45,38,0)</f>
        <v>0</v>
      </c>
      <c r="J28" s="7">
        <f>IF(I28=0,0,VLOOKUP($A28,[6]HISTOOCT23!$A$7:$AU$45,42,0))</f>
        <v>0</v>
      </c>
      <c r="K28" s="7">
        <f>VLOOKUP($A28,[6]HISTOOCT23!$A$7:$AU$45,41,0)</f>
        <v>0</v>
      </c>
      <c r="L28" s="7">
        <f>TONTSEPT23!H28+TONTSEPT23!I28</f>
        <v>0</v>
      </c>
      <c r="M28" s="7">
        <f>VLOOKUP($A28,[6]HISTOOCT23!$A$7:$AU$45,16,0)</f>
        <v>0</v>
      </c>
      <c r="N28" s="7" t="str">
        <f>IF(M28&lt;&gt;0,VLOOKUP($A28,[6]HISTOOCT23!$A$7:$AU$45,8,0),"ECHEC")</f>
        <v>ECHEC</v>
      </c>
      <c r="O28" s="7">
        <f>IF(R28=0,0,VLOOKUP($A28,[6]HISTOOCT23!$A$7:$AU$45,32,0))</f>
        <v>0</v>
      </c>
      <c r="P28" s="7">
        <f>VLOOKUP($A28,[6]HISTOOCT23!$A$7:$AU$45,33,0)</f>
        <v>0</v>
      </c>
      <c r="Q28" s="7">
        <f t="shared" si="0"/>
        <v>0</v>
      </c>
      <c r="R28" s="7">
        <f>VLOOKUP($A28,[6]HISTOOCT23!$A$7:$AU$45,29,0)</f>
        <v>0</v>
      </c>
    </row>
    <row r="29" spans="1:18" x14ac:dyDescent="0.25">
      <c r="A29" s="1" t="s">
        <v>47</v>
      </c>
      <c r="B29" s="7">
        <f>IF(D29=0,0,VLOOKUP($A29,[6]HISTOOCT23!$A$6:$BO$40,10,0))</f>
        <v>1</v>
      </c>
      <c r="C29" s="1" t="str">
        <f>VLOOKUP(A29,[7]LISTADHERENT!A$5:H$60,3,0)</f>
        <v>SIME BRICE</v>
      </c>
      <c r="D29" s="7">
        <f t="shared" si="1"/>
        <v>25000</v>
      </c>
      <c r="E29" s="7">
        <f>D29+VLOOKUP($A29,[6]HISTOOCT23!$A$7:$AU$40,45,0)+F29</f>
        <v>40000</v>
      </c>
      <c r="F29" s="7">
        <f>VLOOKUP($A29,[6]HISTOOCT23!$A$7:$AU$45,7,0)</f>
        <v>0</v>
      </c>
      <c r="G29" s="7" t="str">
        <f>VLOOKUP($A29,[6]HISTOOCT23!$A$7:$AU$45,8,0)</f>
        <v>BANQUE</v>
      </c>
      <c r="H29" s="7">
        <f>VLOOKUP($A29,[6]HISTOOCT23!$A$6:$AU$45,35,0)</f>
        <v>0</v>
      </c>
      <c r="I29" s="7">
        <f>VLOOKUP($A29,[6]HISTOOCT23!$A$7:$AU$45,38,0)</f>
        <v>0</v>
      </c>
      <c r="J29" s="7">
        <f>IF(I29=0,0,VLOOKUP($A29,[6]HISTOOCT23!$A$7:$AU$45,42,0))</f>
        <v>0</v>
      </c>
      <c r="K29" s="7">
        <f>VLOOKUP($A29,[6]HISTOOCT23!$A$7:$AU$45,41,0)</f>
        <v>0</v>
      </c>
      <c r="L29" s="7">
        <f>TONTSEPT23!H29+TONTSEPT23!I29</f>
        <v>0</v>
      </c>
      <c r="M29" s="7">
        <f>VLOOKUP($A29,[6]HISTOOCT23!$A$7:$AU$45,16,0)</f>
        <v>0</v>
      </c>
      <c r="N29" s="7" t="str">
        <f>IF(M29&lt;&gt;0,VLOOKUP($A29,[6]HISTOOCT23!$A$7:$AU$45,8,0),"ECHEC")</f>
        <v>ECHEC</v>
      </c>
      <c r="O29" s="7">
        <f>IF(R29=0,0,VLOOKUP($A29,[6]HISTOOCT23!$A$7:$AU$45,32,0))</f>
        <v>0</v>
      </c>
      <c r="P29" s="7">
        <f>VLOOKUP($A29,[6]HISTOOCT23!$A$7:$AU$45,33,0)</f>
        <v>0</v>
      </c>
      <c r="Q29" s="7">
        <f t="shared" si="0"/>
        <v>0</v>
      </c>
      <c r="R29" s="7">
        <f>VLOOKUP($A29,[6]HISTOOCT23!$A$7:$AU$45,29,0)</f>
        <v>0</v>
      </c>
    </row>
    <row r="30" spans="1:18" x14ac:dyDescent="0.25">
      <c r="A30" s="1" t="s">
        <v>25</v>
      </c>
      <c r="B30" s="7">
        <f>IF(D30=0,0,VLOOKUP($A30,[6]HISTOOCT23!$A$6:$BO$40,10,0))</f>
        <v>1</v>
      </c>
      <c r="C30" s="1" t="str">
        <f>VLOOKUP(A30,[7]LISTADHERENT!A$5:H$60,3,0)</f>
        <v>SIMO PIERRE</v>
      </c>
      <c r="D30" s="7">
        <f t="shared" si="1"/>
        <v>25000</v>
      </c>
      <c r="E30" s="7">
        <f>D30+VLOOKUP($A30,[6]HISTOOCT23!$A$7:$AU$40,45,0)+F30</f>
        <v>40000</v>
      </c>
      <c r="F30" s="7">
        <f>VLOOKUP($A30,[6]HISTOOCT23!$A$7:$AU$45,7,0)</f>
        <v>0</v>
      </c>
      <c r="G30" s="7" t="str">
        <f>VLOOKUP($A30,[6]HISTOOCT23!$A$7:$AU$45,8,0)</f>
        <v>BANQUE</v>
      </c>
      <c r="H30" s="7">
        <f>VLOOKUP($A30,[6]HISTOOCT23!$A$6:$AU$45,35,0)</f>
        <v>30000</v>
      </c>
      <c r="I30" s="7">
        <f>VLOOKUP($A30,[6]HISTOOCT23!$A$7:$AU$45,38,0)</f>
        <v>500</v>
      </c>
      <c r="J30" s="7" t="str">
        <f>IF(I30=0,0,VLOOKUP($A30,[6]HISTOOCT23!$A$7:$AU$45,42,0))</f>
        <v>BANQUE</v>
      </c>
      <c r="K30" s="7">
        <f>VLOOKUP($A30,[6]HISTOOCT23!$A$7:$AU$45,41,0)</f>
        <v>0</v>
      </c>
      <c r="L30" s="7">
        <f>TONTSEPT23!H30+TONTSEPT23!I30</f>
        <v>0</v>
      </c>
      <c r="M30" s="7">
        <f>VLOOKUP($A30,[6]HISTOOCT23!$A$7:$AU$45,16,0)</f>
        <v>0</v>
      </c>
      <c r="N30" s="7" t="str">
        <f>IF(M30&lt;&gt;0,VLOOKUP($A30,[6]HISTOOCT23!$A$7:$AU$45,8,0),"ECHEC")</f>
        <v>ECHEC</v>
      </c>
      <c r="O30" s="7">
        <f>IF(R30=0,0,VLOOKUP($A30,[6]HISTOOCT23!$A$7:$AU$45,32,0))</f>
        <v>0</v>
      </c>
      <c r="P30" s="7">
        <f>VLOOKUP($A30,[6]HISTOOCT23!$A$7:$AU$45,33,0)</f>
        <v>0</v>
      </c>
      <c r="Q30" s="7">
        <f t="shared" si="0"/>
        <v>0</v>
      </c>
      <c r="R30" s="7">
        <f>VLOOKUP($A30,[6]HISTOOCT23!$A$7:$AU$45,29,0)</f>
        <v>0</v>
      </c>
    </row>
    <row r="31" spans="1:18" x14ac:dyDescent="0.25">
      <c r="A31" s="1" t="s">
        <v>27</v>
      </c>
      <c r="B31" s="7">
        <f>IF(D31=0,0,VLOOKUP($A31,[6]HISTOOCT23!$A$6:$BO$40,10,0))</f>
        <v>1</v>
      </c>
      <c r="C31" s="1" t="str">
        <f>VLOOKUP(A31,[7]LISTADHERENT!A$5:H$60,3,0)</f>
        <v>TCHOUAMOU MATHIEU</v>
      </c>
      <c r="D31" s="7">
        <f t="shared" si="1"/>
        <v>25000</v>
      </c>
      <c r="E31" s="7">
        <f>D31+VLOOKUP($A31,[6]HISTOOCT23!$A$7:$AU$40,45,0)+F31</f>
        <v>40000</v>
      </c>
      <c r="F31" s="7">
        <f>VLOOKUP($A31,[6]HISTOOCT23!$A$7:$AU$45,7,0)</f>
        <v>0</v>
      </c>
      <c r="G31" s="7" t="str">
        <f>VLOOKUP($A31,[6]HISTOOCT23!$A$7:$AU$45,8,0)</f>
        <v>BANQUE</v>
      </c>
      <c r="H31" s="7">
        <f>VLOOKUP($A31,[6]HISTOOCT23!$A$6:$AU$45,35,0)</f>
        <v>0</v>
      </c>
      <c r="I31" s="7">
        <f>VLOOKUP($A31,[6]HISTOOCT23!$A$7:$AU$45,38,0)</f>
        <v>0</v>
      </c>
      <c r="J31" s="7">
        <f>IF(I31=0,0,VLOOKUP($A31,[6]HISTOOCT23!$A$7:$AU$45,42,0))</f>
        <v>0</v>
      </c>
      <c r="K31" s="7">
        <f>VLOOKUP($A31,[6]HISTOOCT23!$A$7:$AU$45,41,0)</f>
        <v>0</v>
      </c>
      <c r="L31" s="7">
        <f>TONTSEPT23!H31+TONTSEPT23!I31</f>
        <v>0</v>
      </c>
      <c r="M31" s="7">
        <f>VLOOKUP($A31,[6]HISTOOCT23!$A$7:$AU$45,16,0)</f>
        <v>0</v>
      </c>
      <c r="N31" s="7" t="str">
        <f>IF(M31&lt;&gt;0,VLOOKUP($A31,[6]HISTOOCT23!$A$7:$AU$45,8,0),"ECHEC")</f>
        <v>ECHEC</v>
      </c>
      <c r="O31" s="7">
        <f>IF(R31=0,0,VLOOKUP($A31,[6]HISTOOCT23!$A$7:$AU$45,32,0))</f>
        <v>0</v>
      </c>
      <c r="P31" s="7">
        <f>VLOOKUP($A31,[6]HISTOOCT23!$A$7:$AU$45,33,0)</f>
        <v>0</v>
      </c>
      <c r="Q31" s="7">
        <f t="shared" si="0"/>
        <v>0</v>
      </c>
      <c r="R31" s="7">
        <f>VLOOKUP($A31,[6]HISTOOCT23!$A$7:$AU$45,29,0)</f>
        <v>0</v>
      </c>
    </row>
    <row r="32" spans="1:18" x14ac:dyDescent="0.25">
      <c r="A32" s="1" t="s">
        <v>88</v>
      </c>
      <c r="B32" s="7">
        <f>IF(D32=0,0,VLOOKUP($A32,[6]HISTOOCT23!$A$6:$BO$40,10,0))</f>
        <v>1</v>
      </c>
      <c r="C32" s="1" t="str">
        <f>VLOOKUP(A32,[7]LISTADHERENT!A$5:H$60,3,0)</f>
        <v>TCHOUTOU NANA CLAUDE</v>
      </c>
      <c r="D32" s="7">
        <f t="shared" si="1"/>
        <v>25000</v>
      </c>
      <c r="E32" s="7">
        <f>D32+VLOOKUP($A32,[6]HISTOOCT23!$A$7:$AU$40,45,0)+F32</f>
        <v>40000</v>
      </c>
      <c r="F32" s="7">
        <f>VLOOKUP($A32,[6]HISTOOCT23!$A$7:$AU$45,7,0)</f>
        <v>0</v>
      </c>
      <c r="G32" s="7" t="str">
        <f>VLOOKUP($A32,[6]HISTOOCT23!$A$7:$AU$45,8,0)</f>
        <v>BANQUE</v>
      </c>
      <c r="H32" s="7">
        <f>VLOOKUP($A32,[6]HISTOOCT23!$A$6:$AU$45,35,0)</f>
        <v>0</v>
      </c>
      <c r="I32" s="7">
        <f>VLOOKUP($A32,[6]HISTOOCT23!$A$7:$AU$45,38,0)</f>
        <v>0</v>
      </c>
      <c r="J32" s="7">
        <f>IF(I32=0,0,VLOOKUP($A32,[6]HISTOOCT23!$A$7:$AU$45,42,0))</f>
        <v>0</v>
      </c>
      <c r="K32" s="7">
        <f>VLOOKUP($A32,[6]HISTOOCT23!$A$7:$AU$45,41,0)</f>
        <v>0</v>
      </c>
      <c r="L32" s="7">
        <f>TONTSEPT23!H32+TONTSEPT23!I32</f>
        <v>0</v>
      </c>
      <c r="M32" s="7">
        <f>VLOOKUP($A32,[6]HISTOOCT23!$A$7:$AU$45,16,0)</f>
        <v>0</v>
      </c>
      <c r="N32" s="7" t="str">
        <f>IF(M32&lt;&gt;0,VLOOKUP($A32,[6]HISTOOCT23!$A$7:$AU$45,8,0),"ECHEC")</f>
        <v>ECHEC</v>
      </c>
      <c r="O32" s="7">
        <f>IF(R32=0,0,VLOOKUP($A32,[6]HISTOOCT23!$A$7:$AU$45,32,0))</f>
        <v>0</v>
      </c>
      <c r="P32" s="7">
        <f>VLOOKUP($A32,[6]HISTOOCT23!$A$7:$AU$45,33,0)</f>
        <v>0</v>
      </c>
      <c r="Q32" s="7">
        <f t="shared" si="0"/>
        <v>0</v>
      </c>
      <c r="R32" s="7">
        <f>VLOOKUP($A32,[6]HISTOOCT23!$A$7:$AU$45,29,0)</f>
        <v>0</v>
      </c>
    </row>
    <row r="33" spans="1:18" x14ac:dyDescent="0.25">
      <c r="A33" s="1" t="s">
        <v>90</v>
      </c>
      <c r="B33" s="7">
        <f>IF(D33=0,0,VLOOKUP($A33,[6]HISTOOCT23!$A$6:$BO$40,10,0))</f>
        <v>1</v>
      </c>
      <c r="C33" s="1" t="str">
        <f>VLOOKUP(A33,[7]LISTADHERENT!A$5:H$60,3,0)</f>
        <v>YANTCHOU GERVAIS</v>
      </c>
      <c r="D33" s="7">
        <f t="shared" si="1"/>
        <v>25000</v>
      </c>
      <c r="E33" s="7">
        <f>D33+VLOOKUP($A33,[6]HISTOOCT23!$A$7:$AU$40,45,0)+F33</f>
        <v>307500</v>
      </c>
      <c r="F33" s="7">
        <f>VLOOKUP($A33,[6]HISTOOCT23!$A$7:$AU$45,7,0)</f>
        <v>0</v>
      </c>
      <c r="G33" s="7" t="str">
        <f>VLOOKUP($A33,[6]HISTOOCT23!$A$7:$AU$45,8,0)</f>
        <v>BANQUE</v>
      </c>
      <c r="H33" s="7">
        <f>VLOOKUP($A33,[6]HISTOOCT23!$A$6:$AU$45,35,0)</f>
        <v>0</v>
      </c>
      <c r="I33" s="7">
        <f>VLOOKUP($A33,[6]HISTOOCT23!$A$7:$AU$45,38,0)</f>
        <v>0</v>
      </c>
      <c r="J33" s="7">
        <f>IF(I33=0,0,VLOOKUP($A33,[6]HISTOOCT23!$A$7:$AU$45,42,0))</f>
        <v>0</v>
      </c>
      <c r="K33" s="7">
        <f>VLOOKUP($A33,[6]HISTOOCT23!$A$7:$AU$45,41,0)</f>
        <v>0</v>
      </c>
      <c r="L33" s="7">
        <f>TONTSEPT23!H33+TONTSEPT23!I33</f>
        <v>0</v>
      </c>
      <c r="M33" s="7">
        <f>VLOOKUP($A33,[6]HISTOOCT23!$A$7:$AU$45,16,0)</f>
        <v>0</v>
      </c>
      <c r="N33" s="7" t="str">
        <f>IF(M33&lt;&gt;0,VLOOKUP($A33,[6]HISTOOCT23!$A$7:$AU$45,8,0),"ECHEC")</f>
        <v>ECHEC</v>
      </c>
      <c r="O33" s="7" t="str">
        <f>IF(R33=0,0,VLOOKUP($A33,[6]HISTOOCT23!$A$7:$AU$45,32,0))</f>
        <v>BANQUE</v>
      </c>
      <c r="P33" s="7">
        <f>VLOOKUP($A33,[6]HISTOOCT23!$A$7:$AU$45,33,0)</f>
        <v>0</v>
      </c>
      <c r="Q33" s="7">
        <f t="shared" si="0"/>
        <v>297500</v>
      </c>
      <c r="R33" s="7">
        <f>VLOOKUP($A33,[6]HISTOOCT23!$A$7:$AU$45,29,0)</f>
        <v>2500</v>
      </c>
    </row>
    <row r="34" spans="1:18" x14ac:dyDescent="0.25">
      <c r="A34" s="1" t="s">
        <v>28</v>
      </c>
      <c r="B34" s="7">
        <f>IF(D34=0,0,VLOOKUP($A34,[6]HISTOOCT23!$A$6:$BO$40,10,0))</f>
        <v>1</v>
      </c>
      <c r="C34" s="1" t="str">
        <f>VLOOKUP(A34,[7]LISTADHERENT!A$5:H$60,3,0)</f>
        <v>YEPMOU JEAN JACQUES</v>
      </c>
      <c r="D34" s="7">
        <f t="shared" si="1"/>
        <v>25000</v>
      </c>
      <c r="E34" s="7">
        <f>D34+VLOOKUP($A34,[6]HISTOOCT23!$A$7:$AU$40,45,0)+F34</f>
        <v>40000</v>
      </c>
      <c r="F34" s="7">
        <f>VLOOKUP($A34,[6]HISTOOCT23!$A$7:$AU$45,7,0)</f>
        <v>0</v>
      </c>
      <c r="G34" s="7" t="str">
        <f>VLOOKUP($A34,[6]HISTOOCT23!$A$7:$AU$45,8,0)</f>
        <v>ESPECES</v>
      </c>
      <c r="H34" s="7">
        <f>VLOOKUP($A34,[6]HISTOOCT23!$A$6:$AU$45,35,0)</f>
        <v>0</v>
      </c>
      <c r="I34" s="7">
        <f>VLOOKUP($A34,[6]HISTOOCT23!$A$7:$AU$45,38,0)</f>
        <v>0</v>
      </c>
      <c r="J34" s="7">
        <f>IF(I34=0,0,VLOOKUP($A34,[6]HISTOOCT23!$A$7:$AU$45,42,0))</f>
        <v>0</v>
      </c>
      <c r="K34" s="7">
        <f>VLOOKUP($A34,[6]HISTOOCT23!$A$7:$AU$45,41,0)</f>
        <v>0</v>
      </c>
      <c r="L34" s="7">
        <f>TONTSEPT23!H34+TONTSEPT23!I34</f>
        <v>0</v>
      </c>
      <c r="M34" s="7">
        <f>VLOOKUP($A34,[6]HISTOOCT23!$A$7:$AU$45,16,0)</f>
        <v>0</v>
      </c>
      <c r="N34" s="7" t="str">
        <f>IF(M34&lt;&gt;0,VLOOKUP($A34,[6]HISTOOCT23!$A$7:$AU$45,8,0),"ECHEC")</f>
        <v>ECHEC</v>
      </c>
      <c r="O34" s="7">
        <f>IF(R34=0,0,VLOOKUP($A34,[6]HISTOOCT23!$A$7:$AU$45,32,0))</f>
        <v>0</v>
      </c>
      <c r="P34" s="7">
        <f>VLOOKUP($A34,[6]HISTOOCT23!$A$7:$AU$45,33,0)</f>
        <v>0</v>
      </c>
      <c r="Q34" s="7">
        <f t="shared" si="0"/>
        <v>0</v>
      </c>
      <c r="R34" s="7">
        <f>VLOOKUP($A34,[6]HISTOOCT23!$A$7:$AU$45,29,0)</f>
        <v>0</v>
      </c>
    </row>
    <row r="35" spans="1:18" x14ac:dyDescent="0.25">
      <c r="A35" s="1" t="s">
        <v>29</v>
      </c>
      <c r="B35" s="7">
        <f>IF(D35=0,0,VLOOKUP($A35,[6]HISTOOCT23!$A$6:$BO$40,10,0))</f>
        <v>1</v>
      </c>
      <c r="C35" s="1" t="str">
        <f>VLOOKUP(A35,[7]LISTADHERENT!A$5:H$60,3,0)</f>
        <v>YOUMBI EMMANUEL</v>
      </c>
      <c r="D35" s="7">
        <f t="shared" si="1"/>
        <v>25000</v>
      </c>
      <c r="E35" s="7">
        <f>D35+VLOOKUP($A35,[6]HISTOOCT23!$A$7:$AU$40,45,0)+F35</f>
        <v>40000</v>
      </c>
      <c r="F35" s="7">
        <f>VLOOKUP($A35,[6]HISTOOCT23!$A$7:$AU$45,7,0)</f>
        <v>0</v>
      </c>
      <c r="G35" s="7" t="str">
        <f>VLOOKUP($A35,[6]HISTOOCT23!$A$7:$AU$45,8,0)</f>
        <v>BANQUE</v>
      </c>
      <c r="H35" s="7">
        <f>VLOOKUP($A35,[6]HISTOOCT23!$A$6:$AU$45,35,0)</f>
        <v>0</v>
      </c>
      <c r="I35" s="7">
        <f>VLOOKUP($A35,[6]HISTOOCT23!$A$7:$AU$45,38,0)</f>
        <v>0</v>
      </c>
      <c r="J35" s="7">
        <f>IF(I35=0,0,VLOOKUP($A35,[6]HISTOOCT23!$A$7:$AU$45,42,0))</f>
        <v>0</v>
      </c>
      <c r="K35" s="7">
        <f>VLOOKUP($A35,[6]HISTOOCT23!$A$7:$AU$45,41,0)</f>
        <v>0</v>
      </c>
      <c r="L35" s="7">
        <f>TONTSEPT23!H35+TONTSEPT23!I35</f>
        <v>0</v>
      </c>
      <c r="M35" s="7">
        <f>VLOOKUP($A35,[6]HISTOOCT23!$A$7:$AU$45,16,0)</f>
        <v>0</v>
      </c>
      <c r="N35" s="7" t="str">
        <f>IF(M35&lt;&gt;0,VLOOKUP($A35,[6]HISTOOCT23!$A$7:$AU$45,8,0),"ECHEC")</f>
        <v>ECHEC</v>
      </c>
      <c r="O35" s="7">
        <f>IF(R35=0,0,VLOOKUP($A35,[6]HISTOOCT23!$A$7:$AU$45,32,0))</f>
        <v>0</v>
      </c>
      <c r="P35" s="7">
        <f>VLOOKUP($A35,[6]HISTOOCT23!$A$7:$AU$45,33,0)</f>
        <v>0</v>
      </c>
      <c r="Q35" s="7">
        <f t="shared" si="0"/>
        <v>0</v>
      </c>
      <c r="R35" s="7">
        <f>VLOOKUP($A35,[6]HISTOOCT23!$A$7:$AU$45,29,0)</f>
        <v>0</v>
      </c>
    </row>
    <row r="36" spans="1:18" x14ac:dyDescent="0.25">
      <c r="A36" s="1"/>
    </row>
    <row r="37" spans="1:18" ht="18" x14ac:dyDescent="0.25">
      <c r="A37" s="1" t="s">
        <v>84</v>
      </c>
      <c r="B37" s="8">
        <f>SUM(B6:B36)</f>
        <v>30</v>
      </c>
      <c r="I37" s="9"/>
    </row>
    <row r="38" spans="1:18" ht="18" x14ac:dyDescent="0.25">
      <c r="A38" s="1" t="s">
        <v>83</v>
      </c>
      <c r="B38" s="16">
        <f>COUNT(D6:D35)</f>
        <v>30</v>
      </c>
      <c r="C38" s="8"/>
      <c r="D38" s="8">
        <f>SUM(D6:D37)</f>
        <v>750000</v>
      </c>
      <c r="E38" s="8">
        <f>SUM(E6:E37)</f>
        <v>1535500</v>
      </c>
      <c r="F38" s="8">
        <f>SUM(F6:F37)</f>
        <v>0</v>
      </c>
      <c r="G38" s="8"/>
      <c r="H38" s="8">
        <f t="shared" ref="H38:R38" si="2">SUM(H6:H37)</f>
        <v>147500</v>
      </c>
      <c r="I38" s="8">
        <f t="shared" si="2"/>
        <v>2500</v>
      </c>
      <c r="J38" s="8"/>
      <c r="K38" s="8"/>
      <c r="L38" s="8">
        <f t="shared" si="2"/>
        <v>17500</v>
      </c>
      <c r="M38" s="8">
        <f t="shared" si="2"/>
        <v>17500</v>
      </c>
      <c r="N38" s="8">
        <f t="shared" si="2"/>
        <v>0</v>
      </c>
      <c r="O38" s="8">
        <f t="shared" si="2"/>
        <v>0</v>
      </c>
      <c r="P38" s="8">
        <f t="shared" si="2"/>
        <v>0</v>
      </c>
      <c r="Q38" s="8">
        <f t="shared" si="2"/>
        <v>595000</v>
      </c>
      <c r="R38" s="8">
        <f t="shared" si="2"/>
        <v>5000</v>
      </c>
    </row>
    <row r="39" spans="1:18" s="2" customFormat="1" x14ac:dyDescent="0.25">
      <c r="B39"/>
      <c r="C39"/>
      <c r="D39"/>
      <c r="E39"/>
      <c r="F39"/>
      <c r="G39"/>
      <c r="H39"/>
      <c r="I39" s="9"/>
      <c r="J39" s="3"/>
      <c r="K39" s="3"/>
      <c r="L39" s="3"/>
      <c r="N39" s="4" t="s">
        <v>76</v>
      </c>
      <c r="O39" s="4" t="s">
        <v>85</v>
      </c>
      <c r="P39" s="3"/>
    </row>
    <row r="40" spans="1:18" s="2" customFormat="1" ht="29.25" x14ac:dyDescent="0.25">
      <c r="D40" s="4" t="s">
        <v>5</v>
      </c>
      <c r="E40" s="4" t="s">
        <v>7</v>
      </c>
      <c r="F40"/>
      <c r="G40" s="4" t="s">
        <v>36</v>
      </c>
      <c r="H40" s="4" t="s">
        <v>40</v>
      </c>
      <c r="I40" s="4" t="s">
        <v>42</v>
      </c>
      <c r="J40" s="4" t="s">
        <v>43</v>
      </c>
      <c r="K40" s="4"/>
      <c r="L40" s="8" t="s">
        <v>49</v>
      </c>
      <c r="M40" s="8">
        <f>D44+G44+R38+TONTSEPT23!O45</f>
        <v>759500</v>
      </c>
      <c r="N40" s="4"/>
      <c r="O40"/>
      <c r="P40" s="4"/>
    </row>
    <row r="41" spans="1:18" s="2" customFormat="1" ht="18" x14ac:dyDescent="0.25">
      <c r="D41" s="8">
        <f>SUMIFS(D6:D37,G6:G37,"ESPECES")</f>
        <v>75000</v>
      </c>
      <c r="E41" s="8">
        <f>SUMIFS(E6:E37,G6:G37,"ESPECES")</f>
        <v>120000</v>
      </c>
      <c r="F41" s="8" t="s">
        <v>32</v>
      </c>
      <c r="G41" s="8">
        <f>SUMIFS(M6:M35,N6:N35,"ESPECES")</f>
        <v>17500</v>
      </c>
      <c r="H41" s="8">
        <f>SUMIFS(H6:H37,J6:J37,"ESPECES")</f>
        <v>0</v>
      </c>
      <c r="I41" s="8">
        <f>SUMIFS(Q6:Q37,O6:O37,"ESPECES")</f>
        <v>0</v>
      </c>
      <c r="J41" s="8">
        <f>D41+G41-H41-I41</f>
        <v>92500</v>
      </c>
      <c r="K41" s="8"/>
      <c r="L41" s="8" t="s">
        <v>80</v>
      </c>
      <c r="M41" s="8">
        <f>C3*COUNTIF(Q6:Q37,"&gt;0")</f>
        <v>600000</v>
      </c>
      <c r="N41" s="8">
        <f>D3</f>
        <v>2</v>
      </c>
      <c r="O41" s="8">
        <f>COUNTIF(Q6:Q35,"&gt;0")</f>
        <v>2</v>
      </c>
      <c r="P41" s="8"/>
    </row>
    <row r="42" spans="1:18" s="2" customFormat="1" ht="18" x14ac:dyDescent="0.25">
      <c r="D42" s="8">
        <f>SUMIFS(D6:D37,G6:G37,"BANQUE")</f>
        <v>675000</v>
      </c>
      <c r="E42" s="8">
        <f>SUMIFS(E6:E38,G6:G38,"BANQUE")</f>
        <v>1415500</v>
      </c>
      <c r="F42" s="8" t="s">
        <v>33</v>
      </c>
      <c r="G42" s="8">
        <f>SUMIFS(M6:M35,N6:N35,"BANQUE")</f>
        <v>0</v>
      </c>
      <c r="H42" s="8">
        <f>SUMIFS(H6:H37,J6:J37,"BANQUE")</f>
        <v>147500</v>
      </c>
      <c r="I42" s="8">
        <f>SUMIFS(Q6:Q37,O6:O37,"BANQUE")</f>
        <v>595000</v>
      </c>
      <c r="J42" s="8">
        <f>D42+G42-H42-I42</f>
        <v>-67500</v>
      </c>
      <c r="K42" s="8"/>
      <c r="M42" s="8"/>
      <c r="N42" s="8"/>
      <c r="O42" s="8"/>
      <c r="P42" s="8"/>
    </row>
    <row r="43" spans="1:18" s="2" customFormat="1" ht="18" x14ac:dyDescent="0.25">
      <c r="D43" s="8"/>
      <c r="E43" s="8"/>
      <c r="F43" s="8"/>
      <c r="G43" s="8"/>
      <c r="H43" s="8"/>
      <c r="I43" s="8"/>
      <c r="K43" s="8"/>
      <c r="L43" s="8" t="s">
        <v>48</v>
      </c>
      <c r="M43" s="8">
        <f>M40-M41</f>
        <v>159500</v>
      </c>
      <c r="N43" s="8"/>
      <c r="O43" s="8"/>
      <c r="P43" s="8"/>
    </row>
    <row r="44" spans="1:18" s="2" customFormat="1" ht="18" x14ac:dyDescent="0.25">
      <c r="D44" s="8">
        <f>D41+D42</f>
        <v>750000</v>
      </c>
      <c r="E44" s="8">
        <f>E41+E42</f>
        <v>1535500</v>
      </c>
      <c r="F44" s="8" t="s">
        <v>30</v>
      </c>
      <c r="G44" s="8">
        <f>G41+G42</f>
        <v>17500</v>
      </c>
      <c r="H44" s="8">
        <f>H41+H42</f>
        <v>147500</v>
      </c>
      <c r="I44" s="8">
        <f t="shared" ref="I44:J44" si="3">I41+I42</f>
        <v>595000</v>
      </c>
      <c r="J44" s="8">
        <f t="shared" si="3"/>
        <v>25000</v>
      </c>
      <c r="K44" s="8"/>
      <c r="M44" s="8"/>
      <c r="N44" s="8"/>
      <c r="O44" s="8"/>
      <c r="P44" s="8"/>
    </row>
    <row r="45" spans="1:18" s="2" customFormat="1" ht="18" x14ac:dyDescent="0.25">
      <c r="D45" s="8"/>
      <c r="E45" s="8"/>
      <c r="F45" s="8" t="s">
        <v>52</v>
      </c>
      <c r="G45"/>
      <c r="H45"/>
      <c r="I45" s="3"/>
      <c r="J45" s="3"/>
      <c r="K45" s="3"/>
      <c r="L45" s="8" t="s">
        <v>51</v>
      </c>
      <c r="M45" s="8">
        <f>M43-H38</f>
        <v>12000</v>
      </c>
      <c r="N45"/>
      <c r="O45" s="8">
        <f>TONTOCT23!M45</f>
        <v>12000</v>
      </c>
      <c r="P45" s="8" t="s">
        <v>54</v>
      </c>
    </row>
    <row r="46" spans="1:18" s="2" customFormat="1" ht="18" x14ac:dyDescent="0.25">
      <c r="D46" s="4"/>
      <c r="E46" s="4"/>
      <c r="F46" s="8"/>
      <c r="G46"/>
      <c r="H46"/>
      <c r="I46" s="3"/>
      <c r="J46" s="3"/>
      <c r="K46" s="3"/>
      <c r="N46"/>
      <c r="O46" s="3"/>
      <c r="P46" s="3"/>
    </row>
    <row r="47" spans="1:18" ht="18" x14ac:dyDescent="0.25">
      <c r="L47" s="8" t="s">
        <v>56</v>
      </c>
      <c r="M47" s="8">
        <f>COUNTIFS(G6:G36,"ECHEC")*25000</f>
        <v>0</v>
      </c>
      <c r="O47" s="8">
        <f>TONTSEPT23!O47+TONTOCT23!M47</f>
        <v>0</v>
      </c>
      <c r="P47" s="8" t="s">
        <v>54</v>
      </c>
    </row>
    <row r="48" spans="1:18" ht="18" x14ac:dyDescent="0.25">
      <c r="F48" s="2"/>
      <c r="L48" s="8" t="s">
        <v>55</v>
      </c>
      <c r="M48" s="8">
        <f>L38-G44</f>
        <v>0</v>
      </c>
      <c r="O48" s="8">
        <f>TONTSEPT23!O48+TONTOCT23!M48</f>
        <v>0</v>
      </c>
      <c r="P48" s="8" t="s">
        <v>54</v>
      </c>
    </row>
  </sheetData>
  <autoFilter ref="A5:R25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"/>
  <sheetViews>
    <sheetView workbookViewId="0">
      <pane xSplit="3" ySplit="5" topLeftCell="F39" activePane="bottomRight" state="frozen"/>
      <selection activeCell="O49" sqref="O49"/>
      <selection pane="topRight" activeCell="O49" sqref="O49"/>
      <selection pane="bottomLeft" activeCell="O49" sqref="O49"/>
      <selection pane="bottomRight" activeCell="M43" sqref="M43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5" width="21" customWidth="1"/>
    <col min="6" max="6" width="21.42578125" customWidth="1"/>
    <col min="7" max="7" width="16.7109375" customWidth="1"/>
    <col min="8" max="8" width="15" customWidth="1"/>
    <col min="9" max="10" width="17.5703125" style="3" customWidth="1"/>
    <col min="11" max="11" width="16" style="3" customWidth="1"/>
    <col min="12" max="12" width="19.85546875" style="3" customWidth="1"/>
    <col min="13" max="13" width="15.7109375" style="2" customWidth="1"/>
    <col min="14" max="14" width="13" customWidth="1"/>
    <col min="15" max="15" width="15" bestFit="1" customWidth="1"/>
    <col min="16" max="16" width="15.5703125" style="3" customWidth="1"/>
    <col min="17" max="18" width="18.140625" style="2" customWidth="1"/>
  </cols>
  <sheetData>
    <row r="1" spans="1:18" x14ac:dyDescent="0.2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18" x14ac:dyDescent="0.25">
      <c r="A2" s="1" t="s">
        <v>2</v>
      </c>
      <c r="B2" s="1">
        <v>2023</v>
      </c>
      <c r="C2" s="1" t="s">
        <v>81</v>
      </c>
      <c r="D2" s="1" t="s">
        <v>76</v>
      </c>
      <c r="E2" s="1"/>
      <c r="F2" s="1"/>
      <c r="G2" s="1"/>
      <c r="N2" s="1"/>
      <c r="O2" s="1"/>
    </row>
    <row r="3" spans="1:18" x14ac:dyDescent="0.25">
      <c r="A3" s="1" t="s">
        <v>82</v>
      </c>
      <c r="B3" s="6">
        <v>25000</v>
      </c>
      <c r="C3" s="6">
        <f>B3*12</f>
        <v>300000</v>
      </c>
      <c r="D3" s="1">
        <f>ROUNDDOWN(M40/C3,0)</f>
        <v>3</v>
      </c>
      <c r="E3" s="1"/>
      <c r="F3" s="1"/>
      <c r="G3" s="1"/>
      <c r="N3" s="1"/>
      <c r="O3" s="1"/>
    </row>
    <row r="4" spans="1:18" s="13" customFormat="1" ht="18" x14ac:dyDescent="0.25">
      <c r="B4" s="14"/>
      <c r="C4" s="21">
        <v>45243</v>
      </c>
      <c r="D4" s="22"/>
      <c r="E4" s="22"/>
      <c r="F4" s="22"/>
      <c r="G4" s="22"/>
      <c r="H4" s="22"/>
      <c r="I4" s="22"/>
      <c r="J4" s="22"/>
      <c r="K4" s="22"/>
      <c r="L4" s="22"/>
      <c r="N4" s="15"/>
      <c r="O4" s="15"/>
      <c r="P4" s="15"/>
      <c r="Q4" s="15"/>
    </row>
    <row r="5" spans="1:18" ht="58.5" x14ac:dyDescent="0.3">
      <c r="A5" s="1" t="s">
        <v>3</v>
      </c>
      <c r="B5" s="12" t="s">
        <v>77</v>
      </c>
      <c r="C5" s="1" t="s">
        <v>4</v>
      </c>
      <c r="D5" s="4" t="s">
        <v>5</v>
      </c>
      <c r="E5" s="4" t="s">
        <v>7</v>
      </c>
      <c r="F5" s="1" t="s">
        <v>44</v>
      </c>
      <c r="G5" s="5" t="s">
        <v>6</v>
      </c>
      <c r="H5" s="6" t="s">
        <v>40</v>
      </c>
      <c r="I5" s="4" t="s">
        <v>37</v>
      </c>
      <c r="J5" s="4" t="s">
        <v>41</v>
      </c>
      <c r="K5" s="10" t="s">
        <v>50</v>
      </c>
      <c r="L5" s="4" t="s">
        <v>78</v>
      </c>
      <c r="M5" s="4" t="s">
        <v>36</v>
      </c>
      <c r="N5" s="4" t="s">
        <v>35</v>
      </c>
      <c r="O5" s="4" t="s">
        <v>38</v>
      </c>
      <c r="P5" s="4" t="s">
        <v>50</v>
      </c>
      <c r="Q5" s="4" t="s">
        <v>79</v>
      </c>
      <c r="R5" s="4" t="s">
        <v>39</v>
      </c>
    </row>
    <row r="6" spans="1:18" x14ac:dyDescent="0.25">
      <c r="A6" s="1" t="s">
        <v>89</v>
      </c>
      <c r="B6" s="7">
        <f>IF(D6=0,0,VLOOKUP($A6,[6]HISTONOV23!$A$6:$BO$40,10,0))</f>
        <v>1</v>
      </c>
      <c r="C6" s="1" t="str">
        <f>VLOOKUP(A6,[7]LISTADHERENT!A$5:H$60,3,0)</f>
        <v>BAKOP ACHILLE</v>
      </c>
      <c r="D6" s="7">
        <f>IF(G6="ECHEC",0,B$3)</f>
        <v>25000</v>
      </c>
      <c r="E6" s="7">
        <f>D6+VLOOKUP($A6,[6]HISTONOV23!$A$7:$AU$40,45,0)+F6</f>
        <v>40000</v>
      </c>
      <c r="F6" s="7">
        <f>VLOOKUP($A6,[6]HISTONOV23!$A$7:$AU$45,7,0)</f>
        <v>0</v>
      </c>
      <c r="G6" s="7" t="str">
        <f>VLOOKUP($A6,[6]HISTONOV23!$A$7:$AU$45,8,0)</f>
        <v>BANQUE</v>
      </c>
      <c r="H6" s="7">
        <f>VLOOKUP($A6,[6]HISTONOV23!$A$6:$AU$45,35,0)</f>
        <v>28000</v>
      </c>
      <c r="I6" s="7">
        <f>VLOOKUP($A6,[6]HISTONOV23!$A$7:$AU$45,38,0)</f>
        <v>1000</v>
      </c>
      <c r="J6" s="7" t="str">
        <f>IF(I6=0,0,VLOOKUP($A6,[6]HISTONOV23!$A$7:$AU$45,42,0))</f>
        <v>BANQUE</v>
      </c>
      <c r="K6" s="7">
        <f>VLOOKUP($A6,[6]HISTONOV23!$A$7:$AU$45,41,0)</f>
        <v>0</v>
      </c>
      <c r="L6" s="7">
        <f>TONTOCT23!H6+TONTOCT23!I6</f>
        <v>28000</v>
      </c>
      <c r="M6" s="7">
        <f>VLOOKUP($A6,[6]HISTONOV23!$A$7:$AU$45,16,0)</f>
        <v>28000</v>
      </c>
      <c r="N6" s="7" t="str">
        <f>IF(M6&lt;&gt;0,VLOOKUP($A6,[6]HISTONOV23!$A$7:$AU$45,8,0),"ECHEC")</f>
        <v>BANQUE</v>
      </c>
      <c r="O6" s="7">
        <f>IF(R6=0,0,VLOOKUP($A6,[6]HISTONOV23!$A$7:$AU$45,32,0))</f>
        <v>0</v>
      </c>
      <c r="P6" s="7">
        <f>VLOOKUP($A6,[6]HISTONOV23!$A$7:$AU$45,33,0)</f>
        <v>0</v>
      </c>
      <c r="Q6" s="7">
        <f t="shared" ref="Q6:Q35" si="0">IF(R6=0,0,($C$3-R6))</f>
        <v>0</v>
      </c>
      <c r="R6" s="7">
        <f>VLOOKUP($A6,[6]HISTONOV23!$A$7:$AU$45,29,0)</f>
        <v>0</v>
      </c>
    </row>
    <row r="7" spans="1:18" x14ac:dyDescent="0.25">
      <c r="A7" s="1" t="s">
        <v>9</v>
      </c>
      <c r="B7" s="7">
        <f>IF(D7=0,0,VLOOKUP($A7,[6]HISTONOV23!$A$6:$BO$40,10,0))</f>
        <v>1</v>
      </c>
      <c r="C7" s="1" t="str">
        <f>VLOOKUP(A7,[7]LISTADHERENT!A$5:H$60,3,0)</f>
        <v>BOUTCHOUANG WILLIAM</v>
      </c>
      <c r="D7" s="7">
        <f>IF(G7="ECHEC",0,B$3)</f>
        <v>25000</v>
      </c>
      <c r="E7" s="7">
        <f>D7+VLOOKUP($A7,[6]HISTONOV23!$A$7:$AU$40,45,0)+F7</f>
        <v>40000</v>
      </c>
      <c r="F7" s="7">
        <f>VLOOKUP($A7,[6]HISTONOV23!$A$7:$AU$45,7,0)</f>
        <v>0</v>
      </c>
      <c r="G7" s="7" t="str">
        <f>VLOOKUP($A7,[6]HISTONOV23!$A$7:$AU$45,8,0)</f>
        <v>BANQUE</v>
      </c>
      <c r="H7" s="7">
        <f>VLOOKUP($A7,[6]HISTONOV23!$A$6:$AU$45,35,0)</f>
        <v>0</v>
      </c>
      <c r="I7" s="7">
        <f>VLOOKUP($A7,[6]HISTONOV23!$A$7:$AU$45,38,0)</f>
        <v>0</v>
      </c>
      <c r="J7" s="7">
        <f>IF(I7=0,0,VLOOKUP($A7,[6]HISTONOV23!$A$7:$AU$45,42,0))</f>
        <v>0</v>
      </c>
      <c r="K7" s="7">
        <f>VLOOKUP($A7,[6]HISTONOV23!$A$7:$AU$45,41,0)</f>
        <v>0</v>
      </c>
      <c r="L7" s="7">
        <f>TONTOCT23!H7+TONTOCT23!I7</f>
        <v>0</v>
      </c>
      <c r="M7" s="7">
        <f>VLOOKUP($A7,[6]HISTONOV23!$A$7:$AU$45,16,0)</f>
        <v>0</v>
      </c>
      <c r="N7" s="7" t="str">
        <f>IF(M7&lt;&gt;0,VLOOKUP($A7,[6]HISTONOV23!$A$7:$AU$45,8,0),"ECHEC")</f>
        <v>ECHEC</v>
      </c>
      <c r="O7" s="7">
        <f>IF(R7=0,0,VLOOKUP($A7,[6]HISTONOV23!$A$7:$AU$45,32,0))</f>
        <v>0</v>
      </c>
      <c r="P7" s="7">
        <f>VLOOKUP($A7,[6]HISTONOV23!$A$7:$AU$45,33,0)</f>
        <v>0</v>
      </c>
      <c r="Q7" s="7">
        <f t="shared" si="0"/>
        <v>0</v>
      </c>
      <c r="R7" s="7">
        <f>VLOOKUP($A7,[6]HISTONOV23!$A$7:$AU$45,29,0)</f>
        <v>0</v>
      </c>
    </row>
    <row r="8" spans="1:18" x14ac:dyDescent="0.25">
      <c r="A8" s="1" t="s">
        <v>10</v>
      </c>
      <c r="B8" s="7">
        <f>IF(D8=0,0,VLOOKUP($A8,[6]HISTONOV23!$A$6:$BO$40,10,0))</f>
        <v>1</v>
      </c>
      <c r="C8" s="1" t="str">
        <f>VLOOKUP(A8,[7]LISTADHERENT!A$5:H$60,3,0)</f>
        <v xml:space="preserve">DJOMO JEAN PAUL </v>
      </c>
      <c r="D8" s="7">
        <f t="shared" ref="D8:D35" si="1">IF(G8="ECHEC",0,B$3)</f>
        <v>25000</v>
      </c>
      <c r="E8" s="7">
        <f>D8+VLOOKUP($A8,[6]HISTONOV23!$A$7:$AU$40,45,0)+F8</f>
        <v>40000</v>
      </c>
      <c r="F8" s="7">
        <f>VLOOKUP($A8,[6]HISTONOV23!$A$7:$AU$45,7,0)</f>
        <v>0</v>
      </c>
      <c r="G8" s="7" t="str">
        <f>VLOOKUP($A8,[6]HISTONOV23!$A$7:$AU$45,8,0)</f>
        <v>BANQUE</v>
      </c>
      <c r="H8" s="7">
        <f>VLOOKUP($A8,[6]HISTONOV23!$A$6:$AU$45,35,0)</f>
        <v>0</v>
      </c>
      <c r="I8" s="7">
        <f>VLOOKUP($A8,[6]HISTONOV23!$A$7:$AU$45,38,0)</f>
        <v>0</v>
      </c>
      <c r="J8" s="7">
        <f>IF(I8=0,0,VLOOKUP($A8,[6]HISTONOV23!$A$7:$AU$45,42,0))</f>
        <v>0</v>
      </c>
      <c r="K8" s="7">
        <f>VLOOKUP($A8,[6]HISTONOV23!$A$7:$AU$45,41,0)</f>
        <v>0</v>
      </c>
      <c r="L8" s="7">
        <f>TONTOCT23!H8+TONTOCT23!I8</f>
        <v>0</v>
      </c>
      <c r="M8" s="7">
        <f>VLOOKUP($A8,[6]HISTONOV23!$A$7:$AU$45,16,0)</f>
        <v>0</v>
      </c>
      <c r="N8" s="7" t="str">
        <f>IF(M8&lt;&gt;0,VLOOKUP($A8,[6]HISTONOV23!$A$7:$AU$45,8,0),"ECHEC")</f>
        <v>ECHEC</v>
      </c>
      <c r="O8" s="7">
        <f>IF(R8=0,0,VLOOKUP($A8,[6]HISTONOV23!$A$7:$AU$45,32,0))</f>
        <v>0</v>
      </c>
      <c r="P8" s="7">
        <f>VLOOKUP($A8,[6]HISTONOV23!$A$7:$AU$45,33,0)</f>
        <v>0</v>
      </c>
      <c r="Q8" s="7">
        <f t="shared" si="0"/>
        <v>0</v>
      </c>
      <c r="R8" s="7">
        <f>VLOOKUP($A8,[6]HISTONOV23!$A$7:$AU$45,29,0)</f>
        <v>0</v>
      </c>
    </row>
    <row r="9" spans="1:18" x14ac:dyDescent="0.25">
      <c r="A9" s="1" t="s">
        <v>53</v>
      </c>
      <c r="B9" s="7">
        <f>IF(D9=0,0,VLOOKUP($A9,[6]HISTONOV23!$A$6:$BO$40,10,0))</f>
        <v>1</v>
      </c>
      <c r="C9" s="1" t="str">
        <f>VLOOKUP(A9,[7]LISTADHERENT!A$5:H$60,3,0)</f>
        <v>DJOMOU TCHAPDA</v>
      </c>
      <c r="D9" s="7">
        <f t="shared" si="1"/>
        <v>25000</v>
      </c>
      <c r="E9" s="7">
        <f>D9+VLOOKUP($A9,[6]HISTONOV23!$A$7:$AU$40,45,0)+F9</f>
        <v>40000</v>
      </c>
      <c r="F9" s="7">
        <f>VLOOKUP($A9,[6]HISTONOV23!$A$7:$AU$45,7,0)</f>
        <v>0</v>
      </c>
      <c r="G9" s="7" t="str">
        <f>VLOOKUP($A9,[6]HISTONOV23!$A$7:$AU$45,8,0)</f>
        <v>BANQUE</v>
      </c>
      <c r="H9" s="7">
        <f>VLOOKUP($A9,[6]HISTONOV23!$A$6:$AU$45,35,0)</f>
        <v>0</v>
      </c>
      <c r="I9" s="7">
        <f>VLOOKUP($A9,[6]HISTONOV23!$A$7:$AU$45,38,0)</f>
        <v>0</v>
      </c>
      <c r="J9" s="7">
        <f>IF(I9=0,0,VLOOKUP($A9,[6]HISTONOV23!$A$7:$AU$45,42,0))</f>
        <v>0</v>
      </c>
      <c r="K9" s="7">
        <f>VLOOKUP($A9,[6]HISTONOV23!$A$7:$AU$45,41,0)</f>
        <v>0</v>
      </c>
      <c r="L9" s="7">
        <f>TONTOCT23!H9+TONTOCT23!I9</f>
        <v>0</v>
      </c>
      <c r="M9" s="7">
        <f>VLOOKUP($A9,[6]HISTONOV23!$A$7:$AU$45,16,0)</f>
        <v>0</v>
      </c>
      <c r="N9" s="7" t="str">
        <f>IF(M9&lt;&gt;0,VLOOKUP($A9,[6]HISTONOV23!$A$7:$AU$45,8,0),"ECHEC")</f>
        <v>ECHEC</v>
      </c>
      <c r="O9" s="7">
        <f>IF(R9=0,0,VLOOKUP($A9,[6]HISTONOV23!$A$7:$AU$45,32,0))</f>
        <v>0</v>
      </c>
      <c r="P9" s="7">
        <f>VLOOKUP($A9,[6]HISTONOV23!$A$7:$AU$45,33,0)</f>
        <v>0</v>
      </c>
      <c r="Q9" s="7">
        <f t="shared" si="0"/>
        <v>0</v>
      </c>
      <c r="R9" s="7">
        <f>VLOOKUP($A9,[6]HISTONOV23!$A$7:$AU$45,29,0)</f>
        <v>0</v>
      </c>
    </row>
    <row r="10" spans="1:18" x14ac:dyDescent="0.25">
      <c r="A10" s="1" t="s">
        <v>11</v>
      </c>
      <c r="B10" s="7">
        <f>IF(D10=0,0,VLOOKUP($A10,[6]HISTONOV23!$A$6:$BO$40,10,0))</f>
        <v>1</v>
      </c>
      <c r="C10" s="1" t="str">
        <f>VLOOKUP(A10,[7]LISTADHERENT!A$5:H$60,3,0)</f>
        <v>DJOUKWE NANGUEN GUY BLAISE</v>
      </c>
      <c r="D10" s="7">
        <f t="shared" si="1"/>
        <v>25000</v>
      </c>
      <c r="E10" s="7">
        <f>D10+VLOOKUP($A10,[6]HISTONOV23!$A$7:$AU$40,45,0)+F10</f>
        <v>40000</v>
      </c>
      <c r="F10" s="7">
        <f>VLOOKUP($A10,[6]HISTONOV23!$A$7:$AU$45,7,0)</f>
        <v>0</v>
      </c>
      <c r="G10" s="7" t="str">
        <f>VLOOKUP($A10,[6]HISTONOV23!$A$7:$AU$45,8,0)</f>
        <v>BANQUE</v>
      </c>
      <c r="H10" s="7">
        <f>VLOOKUP($A10,[6]HISTONOV23!$A$6:$AU$45,35,0)</f>
        <v>0</v>
      </c>
      <c r="I10" s="7">
        <f>VLOOKUP($A10,[6]HISTONOV23!$A$7:$AU$45,38,0)</f>
        <v>0</v>
      </c>
      <c r="J10" s="7">
        <f>IF(I10=0,0,VLOOKUP($A10,[6]HISTONOV23!$A$7:$AU$45,42,0))</f>
        <v>0</v>
      </c>
      <c r="K10" s="7">
        <f>VLOOKUP($A10,[6]HISTONOV23!$A$7:$AU$45,41,0)</f>
        <v>0</v>
      </c>
      <c r="L10" s="7">
        <f>TONTOCT23!H10+TONTOCT23!I10</f>
        <v>0</v>
      </c>
      <c r="M10" s="7">
        <f>VLOOKUP($A10,[6]HISTONOV23!$A$7:$AU$45,16,0)</f>
        <v>0</v>
      </c>
      <c r="N10" s="7" t="str">
        <f>IF(M10&lt;&gt;0,VLOOKUP($A10,[6]HISTONOV23!$A$7:$AU$45,8,0),"ECHEC")</f>
        <v>ECHEC</v>
      </c>
      <c r="O10" s="7">
        <f>IF(R10=0,0,VLOOKUP($A10,[6]HISTONOV23!$A$7:$AU$45,32,0))</f>
        <v>0</v>
      </c>
      <c r="P10" s="7">
        <f>VLOOKUP($A10,[6]HISTONOV23!$A$7:$AU$45,33,0)</f>
        <v>0</v>
      </c>
      <c r="Q10" s="7">
        <f t="shared" si="0"/>
        <v>0</v>
      </c>
      <c r="R10" s="7">
        <f>VLOOKUP($A10,[6]HISTONOV23!$A$7:$AU$45,29,0)</f>
        <v>0</v>
      </c>
    </row>
    <row r="11" spans="1:18" x14ac:dyDescent="0.25">
      <c r="A11" s="1" t="s">
        <v>12</v>
      </c>
      <c r="B11" s="7">
        <f>IF(D11=0,0,VLOOKUP($A11,[6]HISTONOV23!$A$6:$BO$40,10,0))</f>
        <v>1</v>
      </c>
      <c r="C11" s="1" t="str">
        <f>VLOOKUP(A11,[7]LISTADHERENT!A$5:H$60,3,0)</f>
        <v>DJUOMBESSY ANTOINE</v>
      </c>
      <c r="D11" s="7">
        <f t="shared" si="1"/>
        <v>25000</v>
      </c>
      <c r="E11" s="7">
        <f>D11+VLOOKUP($A11,[6]HISTONOV23!$A$7:$AU$40,45,0)+F11</f>
        <v>45000</v>
      </c>
      <c r="F11" s="7">
        <f>VLOOKUP($A11,[6]HISTONOV23!$A$7:$AU$45,7,0)</f>
        <v>0</v>
      </c>
      <c r="G11" s="7" t="str">
        <f>VLOOKUP($A11,[6]HISTONOV23!$A$7:$AU$45,8,0)</f>
        <v>BANQUE</v>
      </c>
      <c r="H11" s="7">
        <f>VLOOKUP($A11,[6]HISTONOV23!$A$6:$AU$45,35,0)</f>
        <v>0</v>
      </c>
      <c r="I11" s="7">
        <f>VLOOKUP($A11,[6]HISTONOV23!$A$7:$AU$45,38,0)</f>
        <v>0</v>
      </c>
      <c r="J11" s="7">
        <f>IF(I11=0,0,VLOOKUP($A11,[6]HISTONOV23!$A$7:$AU$45,42,0))</f>
        <v>0</v>
      </c>
      <c r="K11" s="7">
        <f>VLOOKUP($A11,[6]HISTONOV23!$A$7:$AU$45,41,0)</f>
        <v>0</v>
      </c>
      <c r="L11" s="7">
        <f>TONTOCT23!H11+TONTOCT23!I11</f>
        <v>0</v>
      </c>
      <c r="M11" s="7">
        <f>VLOOKUP($A11,[6]HISTONOV23!$A$7:$AU$45,16,0)</f>
        <v>0</v>
      </c>
      <c r="N11" s="7" t="str">
        <f>IF(M11&lt;&gt;0,VLOOKUP($A11,[6]HISTONOV23!$A$7:$AU$45,8,0),"ECHEC")</f>
        <v>ECHEC</v>
      </c>
      <c r="O11" s="7">
        <f>IF(R11=0,0,VLOOKUP($A11,[6]HISTONOV23!$A$7:$AU$45,32,0))</f>
        <v>0</v>
      </c>
      <c r="P11" s="7">
        <f>VLOOKUP($A11,[6]HISTONOV23!$A$7:$AU$45,33,0)</f>
        <v>0</v>
      </c>
      <c r="Q11" s="7">
        <f t="shared" si="0"/>
        <v>0</v>
      </c>
      <c r="R11" s="7">
        <f>VLOOKUP($A11,[6]HISTONOV23!$A$7:$AU$45,29,0)</f>
        <v>0</v>
      </c>
    </row>
    <row r="12" spans="1:18" x14ac:dyDescent="0.25">
      <c r="A12" s="1" t="s">
        <v>46</v>
      </c>
      <c r="B12" s="7">
        <f>IF(D12=0,0,VLOOKUP($A12,[6]HISTONOV23!$A$6:$BO$40,10,0))</f>
        <v>1</v>
      </c>
      <c r="C12" s="1" t="str">
        <f>VLOOKUP(A12,[7]LISTADHERENT!A$5:H$60,3,0)</f>
        <v>DOMOU FABIEN</v>
      </c>
      <c r="D12" s="7">
        <f t="shared" si="1"/>
        <v>25000</v>
      </c>
      <c r="E12" s="7">
        <f>D12+VLOOKUP($A12,[6]HISTONOV23!$A$7:$AU$40,45,0)+F12</f>
        <v>40000</v>
      </c>
      <c r="F12" s="7">
        <f>VLOOKUP($A12,[6]HISTONOV23!$A$7:$AU$45,7,0)</f>
        <v>0</v>
      </c>
      <c r="G12" s="7" t="str">
        <f>VLOOKUP($A12,[6]HISTONOV23!$A$7:$AU$45,8,0)</f>
        <v>BANQUE</v>
      </c>
      <c r="H12" s="7">
        <f>VLOOKUP($A12,[6]HISTONOV23!$A$6:$AU$45,35,0)</f>
        <v>0</v>
      </c>
      <c r="I12" s="7">
        <f>VLOOKUP($A12,[6]HISTONOV23!$A$7:$AU$45,38,0)</f>
        <v>0</v>
      </c>
      <c r="J12" s="7">
        <f>IF(I12=0,0,VLOOKUP($A12,[6]HISTONOV23!$A$7:$AU$45,42,0))</f>
        <v>0</v>
      </c>
      <c r="K12" s="7">
        <f>VLOOKUP($A12,[6]HISTONOV23!$A$7:$AU$45,41,0)</f>
        <v>0</v>
      </c>
      <c r="L12" s="7">
        <f>TONTOCT23!H12+TONTOCT23!I12</f>
        <v>0</v>
      </c>
      <c r="M12" s="7">
        <f>VLOOKUP($A12,[6]HISTONOV23!$A$7:$AU$45,16,0)</f>
        <v>0</v>
      </c>
      <c r="N12" s="7" t="str">
        <f>IF(M12&lt;&gt;0,VLOOKUP($A12,[6]HISTONOV23!$A$7:$AU$45,8,0),"ECHEC")</f>
        <v>ECHEC</v>
      </c>
      <c r="O12" s="7">
        <f>IF(R12=0,0,VLOOKUP($A12,[6]HISTONOV23!$A$7:$AU$45,32,0))</f>
        <v>0</v>
      </c>
      <c r="P12" s="7">
        <f>VLOOKUP($A12,[6]HISTONOV23!$A$7:$AU$45,33,0)</f>
        <v>0</v>
      </c>
      <c r="Q12" s="7">
        <f t="shared" si="0"/>
        <v>0</v>
      </c>
      <c r="R12" s="7">
        <f>VLOOKUP($A12,[6]HISTONOV23!$A$7:$AU$45,29,0)</f>
        <v>0</v>
      </c>
    </row>
    <row r="13" spans="1:18" x14ac:dyDescent="0.25">
      <c r="A13" s="1" t="s">
        <v>13</v>
      </c>
      <c r="B13" s="7">
        <f>IF(D13=0,0,VLOOKUP($A13,[6]HISTONOV23!$A$6:$BO$40,10,0))</f>
        <v>1</v>
      </c>
      <c r="C13" s="1" t="str">
        <f>VLOOKUP(A13,[7]LISTADHERENT!A$5:H$60,3,0)</f>
        <v>DONHOU DAVID</v>
      </c>
      <c r="D13" s="7">
        <f t="shared" si="1"/>
        <v>25000</v>
      </c>
      <c r="E13" s="7">
        <f>D13+VLOOKUP($A13,[6]HISTONOV23!$A$7:$AU$40,45,0)+F13</f>
        <v>40000</v>
      </c>
      <c r="F13" s="7">
        <f>VLOOKUP($A13,[6]HISTONOV23!$A$7:$AU$45,7,0)</f>
        <v>0</v>
      </c>
      <c r="G13" s="7" t="str">
        <f>VLOOKUP($A13,[6]HISTONOV23!$A$7:$AU$45,8,0)</f>
        <v>BANQUE</v>
      </c>
      <c r="H13" s="7">
        <f>VLOOKUP($A13,[6]HISTONOV23!$A$6:$AU$45,35,0)</f>
        <v>0</v>
      </c>
      <c r="I13" s="7">
        <f>VLOOKUP($A13,[6]HISTONOV23!$A$7:$AU$45,38,0)</f>
        <v>0</v>
      </c>
      <c r="J13" s="7">
        <f>IF(I13=0,0,VLOOKUP($A13,[6]HISTONOV23!$A$7:$AU$45,42,0))</f>
        <v>0</v>
      </c>
      <c r="K13" s="7">
        <f>VLOOKUP($A13,[6]HISTONOV23!$A$7:$AU$45,41,0)</f>
        <v>0</v>
      </c>
      <c r="L13" s="7">
        <f>TONTOCT23!H13+TONTOCT23!I13</f>
        <v>0</v>
      </c>
      <c r="M13" s="7">
        <f>VLOOKUP($A13,[6]HISTONOV23!$A$7:$AU$45,16,0)</f>
        <v>0</v>
      </c>
      <c r="N13" s="7" t="str">
        <f>IF(M13&lt;&gt;0,VLOOKUP($A13,[6]HISTONOV23!$A$7:$AU$45,8,0),"ECHEC")</f>
        <v>ECHEC</v>
      </c>
      <c r="O13" s="7">
        <f>IF(R13=0,0,VLOOKUP($A13,[6]HISTONOV23!$A$7:$AU$45,32,0))</f>
        <v>0</v>
      </c>
      <c r="P13" s="7">
        <f>VLOOKUP($A13,[6]HISTONOV23!$A$7:$AU$45,33,0)</f>
        <v>0</v>
      </c>
      <c r="Q13" s="7">
        <f t="shared" si="0"/>
        <v>297500</v>
      </c>
      <c r="R13" s="7">
        <f>VLOOKUP($A13,[6]HISTONOV23!$A$7:$AU$45,29,0)</f>
        <v>2500</v>
      </c>
    </row>
    <row r="14" spans="1:18" x14ac:dyDescent="0.25">
      <c r="A14" s="1" t="s">
        <v>14</v>
      </c>
      <c r="B14" s="7">
        <f>IF(D14=0,0,VLOOKUP($A14,[6]HISTONOV23!$A$6:$BO$40,10,0))</f>
        <v>1</v>
      </c>
      <c r="C14" s="1" t="str">
        <f>VLOOKUP(A14,[7]LISTADHERENT!A$5:H$60,3,0)</f>
        <v>HENGUE PAUL OMER</v>
      </c>
      <c r="D14" s="7">
        <f t="shared" si="1"/>
        <v>25000</v>
      </c>
      <c r="E14" s="7">
        <f>D14+VLOOKUP($A14,[6]HISTONOV23!$A$7:$AU$40,45,0)+F14</f>
        <v>40000</v>
      </c>
      <c r="F14" s="7">
        <f>VLOOKUP($A14,[6]HISTONOV23!$A$7:$AU$45,7,0)</f>
        <v>0</v>
      </c>
      <c r="G14" s="7" t="str">
        <f>VLOOKUP($A14,[6]HISTONOV23!$A$7:$AU$45,8,0)</f>
        <v>BANQUE</v>
      </c>
      <c r="H14" s="7">
        <f>VLOOKUP($A14,[6]HISTONOV23!$A$6:$AU$45,35,0)</f>
        <v>0</v>
      </c>
      <c r="I14" s="7">
        <f>VLOOKUP($A14,[6]HISTONOV23!$A$7:$AU$45,38,0)</f>
        <v>0</v>
      </c>
      <c r="J14" s="7">
        <f>IF(I14=0,0,VLOOKUP($A14,[6]HISTONOV23!$A$7:$AU$45,42,0))</f>
        <v>0</v>
      </c>
      <c r="K14" s="7">
        <f>VLOOKUP($A14,[6]HISTONOV23!$A$7:$AU$45,41,0)</f>
        <v>0</v>
      </c>
      <c r="L14" s="7">
        <f>TONTOCT23!H14+TONTOCT23!I14</f>
        <v>0</v>
      </c>
      <c r="M14" s="7">
        <f>VLOOKUP($A14,[6]HISTONOV23!$A$7:$AU$45,16,0)</f>
        <v>0</v>
      </c>
      <c r="N14" s="7" t="str">
        <f>IF(M14&lt;&gt;0,VLOOKUP($A14,[6]HISTONOV23!$A$7:$AU$45,8,0),"ECHEC")</f>
        <v>ECHEC</v>
      </c>
      <c r="O14" s="7">
        <f>IF(R14=0,0,VLOOKUP($A14,[6]HISTONOV23!$A$7:$AU$45,32,0))</f>
        <v>0</v>
      </c>
      <c r="P14" s="7">
        <f>VLOOKUP($A14,[6]HISTONOV23!$A$7:$AU$45,33,0)</f>
        <v>0</v>
      </c>
      <c r="Q14" s="7">
        <f t="shared" si="0"/>
        <v>0</v>
      </c>
      <c r="R14" s="7">
        <f>VLOOKUP($A14,[6]HISTONOV23!$A$7:$AU$45,29,0)</f>
        <v>0</v>
      </c>
    </row>
    <row r="15" spans="1:18" x14ac:dyDescent="0.25">
      <c r="A15" s="1" t="s">
        <v>15</v>
      </c>
      <c r="B15" s="7">
        <f>IF(D15=0,0,VLOOKUP($A15,[6]HISTONOV23!$A$6:$BO$40,10,0))</f>
        <v>1</v>
      </c>
      <c r="C15" s="1" t="str">
        <f>VLOOKUP(A15,[7]LISTADHERENT!A$5:H$60,3,0)</f>
        <v>HOTCHO BENJAMIN</v>
      </c>
      <c r="D15" s="7">
        <f t="shared" si="1"/>
        <v>25000</v>
      </c>
      <c r="E15" s="7">
        <f>D15+VLOOKUP($A15,[6]HISTONOV23!$A$7:$AU$40,45,0)+F15</f>
        <v>75000</v>
      </c>
      <c r="F15" s="7">
        <f>VLOOKUP($A15,[6]HISTONOV23!$A$7:$AU$45,7,0)</f>
        <v>0</v>
      </c>
      <c r="G15" s="7" t="str">
        <f>VLOOKUP($A15,[6]HISTONOV23!$A$7:$AU$45,8,0)</f>
        <v>BANQUE</v>
      </c>
      <c r="H15" s="7">
        <f>VLOOKUP($A15,[6]HISTONOV23!$A$6:$AU$45,35,0)</f>
        <v>0</v>
      </c>
      <c r="I15" s="7">
        <f>VLOOKUP($A15,[6]HISTONOV23!$A$7:$AU$45,38,0)</f>
        <v>0</v>
      </c>
      <c r="J15" s="7">
        <f>IF(I15=0,0,VLOOKUP($A15,[6]HISTONOV23!$A$7:$AU$45,42,0))</f>
        <v>0</v>
      </c>
      <c r="K15" s="7">
        <f>VLOOKUP($A15,[6]HISTONOV23!$A$7:$AU$45,41,0)</f>
        <v>0</v>
      </c>
      <c r="L15" s="7">
        <f>TONTOCT23!H15+TONTOCT23!I15</f>
        <v>0</v>
      </c>
      <c r="M15" s="7">
        <f>VLOOKUP($A15,[6]HISTONOV23!$A$7:$AU$45,16,0)</f>
        <v>0</v>
      </c>
      <c r="N15" s="7" t="str">
        <f>IF(M15&lt;&gt;0,VLOOKUP($A15,[6]HISTONOV23!$A$7:$AU$45,8,0),"ECHEC")</f>
        <v>ECHEC</v>
      </c>
      <c r="O15" s="7">
        <f>IF(R15=0,0,VLOOKUP($A15,[6]HISTONOV23!$A$7:$AU$45,32,0))</f>
        <v>0</v>
      </c>
      <c r="P15" s="7">
        <f>VLOOKUP($A15,[6]HISTONOV23!$A$7:$AU$45,33,0)</f>
        <v>0</v>
      </c>
      <c r="Q15" s="7">
        <f t="shared" si="0"/>
        <v>0</v>
      </c>
      <c r="R15" s="7">
        <f>VLOOKUP($A15,[6]HISTONOV23!$A$7:$AU$45,29,0)</f>
        <v>0</v>
      </c>
    </row>
    <row r="16" spans="1:18" x14ac:dyDescent="0.25">
      <c r="A16" s="1" t="s">
        <v>16</v>
      </c>
      <c r="B16" s="7">
        <f>IF(D16=0,0,VLOOKUP($A16,[6]HISTONOV23!$A$6:$BO$40,10,0))</f>
        <v>1</v>
      </c>
      <c r="C16" s="1" t="str">
        <f>VLOOKUP(A16,[7]LISTADHERENT!A$5:H$60,3,0)</f>
        <v>KOUAMOU MOISE</v>
      </c>
      <c r="D16" s="7">
        <f t="shared" si="1"/>
        <v>25000</v>
      </c>
      <c r="E16" s="7">
        <f>D16+VLOOKUP($A16,[6]HISTONOV23!$A$7:$AU$40,45,0)+F16</f>
        <v>40000</v>
      </c>
      <c r="F16" s="7">
        <f>VLOOKUP($A16,[6]HISTONOV23!$A$7:$AU$45,7,0)</f>
        <v>0</v>
      </c>
      <c r="G16" s="7" t="str">
        <f>VLOOKUP($A16,[6]HISTONOV23!$A$7:$AU$45,8,0)</f>
        <v>BANQUE</v>
      </c>
      <c r="H16" s="7">
        <f>VLOOKUP($A16,[6]HISTONOV23!$A$6:$AU$45,35,0)</f>
        <v>0</v>
      </c>
      <c r="I16" s="7">
        <f>VLOOKUP($A16,[6]HISTONOV23!$A$7:$AU$45,38,0)</f>
        <v>0</v>
      </c>
      <c r="J16" s="7">
        <f>IF(I16=0,0,VLOOKUP($A16,[6]HISTONOV23!$A$7:$AU$45,42,0))</f>
        <v>0</v>
      </c>
      <c r="K16" s="7">
        <f>VLOOKUP($A16,[6]HISTONOV23!$A$7:$AU$45,41,0)</f>
        <v>0</v>
      </c>
      <c r="L16" s="7">
        <f>TONTOCT23!H16+TONTOCT23!I16</f>
        <v>0</v>
      </c>
      <c r="M16" s="7">
        <f>VLOOKUP($A16,[6]HISTONOV23!$A$7:$AU$45,16,0)</f>
        <v>0</v>
      </c>
      <c r="N16" s="7" t="str">
        <f>IF(M16&lt;&gt;0,VLOOKUP($A16,[6]HISTONOV23!$A$7:$AU$45,8,0),"ECHEC")</f>
        <v>ECHEC</v>
      </c>
      <c r="O16" s="7">
        <f>IF(R16=0,0,VLOOKUP($A16,[6]HISTONOV23!$A$7:$AU$45,32,0))</f>
        <v>0</v>
      </c>
      <c r="P16" s="7">
        <f>VLOOKUP($A16,[6]HISTONOV23!$A$7:$AU$45,33,0)</f>
        <v>0</v>
      </c>
      <c r="Q16" s="7">
        <f t="shared" si="0"/>
        <v>0</v>
      </c>
      <c r="R16" s="7">
        <f>VLOOKUP($A16,[6]HISTONOV23!$A$7:$AU$45,29,0)</f>
        <v>0</v>
      </c>
    </row>
    <row r="17" spans="1:18" x14ac:dyDescent="0.25">
      <c r="A17" s="1" t="s">
        <v>17</v>
      </c>
      <c r="B17" s="7">
        <f>IF(D17=0,0,VLOOKUP($A17,[6]HISTONOV23!$A$6:$BO$40,10,0))</f>
        <v>1</v>
      </c>
      <c r="C17" s="1" t="str">
        <f>VLOOKUP(A17,[7]LISTADHERENT!A$5:H$60,3,0)</f>
        <v>KOUATCHO MESSACK</v>
      </c>
      <c r="D17" s="7">
        <f t="shared" si="1"/>
        <v>25000</v>
      </c>
      <c r="E17" s="7">
        <f>D17+VLOOKUP($A17,[6]HISTONOV23!$A$7:$AU$40,45,0)+F17</f>
        <v>40000</v>
      </c>
      <c r="F17" s="7">
        <f>VLOOKUP($A17,[6]HISTONOV23!$A$7:$AU$45,7,0)</f>
        <v>0</v>
      </c>
      <c r="G17" s="7" t="str">
        <f>VLOOKUP($A17,[6]HISTONOV23!$A$7:$AU$45,8,0)</f>
        <v>BANQUE</v>
      </c>
      <c r="H17" s="7">
        <f>VLOOKUP($A17,[6]HISTONOV23!$A$6:$AU$45,35,0)</f>
        <v>30000</v>
      </c>
      <c r="I17" s="7">
        <f>VLOOKUP($A17,[6]HISTONOV23!$A$7:$AU$45,38,0)</f>
        <v>500</v>
      </c>
      <c r="J17" s="7" t="str">
        <f>IF(I17=0,0,VLOOKUP($A17,[6]HISTONOV23!$A$7:$AU$45,42,0))</f>
        <v>BANQUE</v>
      </c>
      <c r="K17" s="7">
        <f>VLOOKUP($A17,[6]HISTONOV23!$A$7:$AU$45,41,0)</f>
        <v>0</v>
      </c>
      <c r="L17" s="7">
        <f>TONTOCT23!H17+TONTOCT23!I17</f>
        <v>0</v>
      </c>
      <c r="M17" s="7">
        <f>VLOOKUP($A17,[6]HISTONOV23!$A$7:$AU$45,16,0)</f>
        <v>0</v>
      </c>
      <c r="N17" s="7" t="str">
        <f>IF(M17&lt;&gt;0,VLOOKUP($A17,[6]HISTONOV23!$A$7:$AU$45,8,0),"ECHEC")</f>
        <v>ECHEC</v>
      </c>
      <c r="O17" s="7">
        <f>IF(R17=0,0,VLOOKUP($A17,[6]HISTONOV23!$A$7:$AU$45,32,0))</f>
        <v>0</v>
      </c>
      <c r="P17" s="7">
        <f>VLOOKUP($A17,[6]HISTONOV23!$A$7:$AU$45,33,0)</f>
        <v>0</v>
      </c>
      <c r="Q17" s="7">
        <f t="shared" si="0"/>
        <v>0</v>
      </c>
      <c r="R17" s="7">
        <f>VLOOKUP($A17,[6]HISTONOV23!$A$7:$AU$45,29,0)</f>
        <v>0</v>
      </c>
    </row>
    <row r="18" spans="1:18" x14ac:dyDescent="0.25">
      <c r="A18" s="1" t="s">
        <v>18</v>
      </c>
      <c r="B18" s="7">
        <f>IF(D18=0,0,VLOOKUP($A18,[6]HISTONOV23!$A$6:$BO$40,10,0))</f>
        <v>1</v>
      </c>
      <c r="C18" s="1" t="str">
        <f>VLOOKUP(A18,[7]LISTADHERENT!A$5:H$60,3,0)</f>
        <v>LOWE JEAN</v>
      </c>
      <c r="D18" s="7">
        <f t="shared" si="1"/>
        <v>25000</v>
      </c>
      <c r="E18" s="7">
        <f>D18+VLOOKUP($A18,[6]HISTONOV23!$A$7:$AU$40,45,0)+F18</f>
        <v>40000</v>
      </c>
      <c r="F18" s="7">
        <f>VLOOKUP($A18,[6]HISTONOV23!$A$7:$AU$45,7,0)</f>
        <v>0</v>
      </c>
      <c r="G18" s="7" t="str">
        <f>VLOOKUP($A18,[6]HISTONOV23!$A$7:$AU$45,8,0)</f>
        <v>BANQUE</v>
      </c>
      <c r="H18" s="7">
        <f>VLOOKUP($A18,[6]HISTONOV23!$A$6:$AU$45,35,0)</f>
        <v>0</v>
      </c>
      <c r="I18" s="7">
        <f>VLOOKUP($A18,[6]HISTONOV23!$A$7:$AU$45,38,0)</f>
        <v>0</v>
      </c>
      <c r="J18" s="7">
        <f>IF(I18=0,0,VLOOKUP($A18,[6]HISTONOV23!$A$7:$AU$45,42,0))</f>
        <v>0</v>
      </c>
      <c r="K18" s="7">
        <f>VLOOKUP($A18,[6]HISTONOV23!$A$7:$AU$45,41,0)</f>
        <v>0</v>
      </c>
      <c r="L18" s="7">
        <f>TONTOCT23!H18+TONTOCT23!I18</f>
        <v>0</v>
      </c>
      <c r="M18" s="7">
        <f>VLOOKUP($A18,[6]HISTONOV23!$A$7:$AU$45,16,0)</f>
        <v>0</v>
      </c>
      <c r="N18" s="7" t="str">
        <f>IF(M18&lt;&gt;0,VLOOKUP($A18,[6]HISTONOV23!$A$7:$AU$45,8,0),"ECHEC")</f>
        <v>ECHEC</v>
      </c>
      <c r="O18" s="7">
        <f>IF(R18=0,0,VLOOKUP($A18,[6]HISTONOV23!$A$7:$AU$45,32,0))</f>
        <v>0</v>
      </c>
      <c r="P18" s="7">
        <f>VLOOKUP($A18,[6]HISTONOV23!$A$7:$AU$45,33,0)</f>
        <v>0</v>
      </c>
      <c r="Q18" s="7">
        <f t="shared" si="0"/>
        <v>0</v>
      </c>
      <c r="R18" s="7">
        <f>VLOOKUP($A18,[6]HISTONOV23!$A$7:$AU$45,29,0)</f>
        <v>0</v>
      </c>
    </row>
    <row r="19" spans="1:18" x14ac:dyDescent="0.25">
      <c r="A19" s="1" t="s">
        <v>45</v>
      </c>
      <c r="B19" s="7">
        <f>IF(D19=0,0,VLOOKUP($A19,[6]HISTONOV23!$A$6:$BO$40,10,0))</f>
        <v>1</v>
      </c>
      <c r="C19" s="1" t="str">
        <f>VLOOKUP(A19,[7]LISTADHERENT!A$5:H$60,3,0)</f>
        <v>MBOGNING TUGMA GUY</v>
      </c>
      <c r="D19" s="7">
        <f t="shared" si="1"/>
        <v>25000</v>
      </c>
      <c r="E19" s="7">
        <f>D19+VLOOKUP($A19,[6]HISTONOV23!$A$7:$AU$40,45,0)+F19</f>
        <v>40000</v>
      </c>
      <c r="F19" s="7">
        <f>VLOOKUP($A19,[6]HISTONOV23!$A$7:$AU$45,7,0)</f>
        <v>0</v>
      </c>
      <c r="G19" s="7" t="str">
        <f>VLOOKUP($A19,[6]HISTONOV23!$A$7:$AU$45,8,0)</f>
        <v>BANQUE</v>
      </c>
      <c r="H19" s="7">
        <f>VLOOKUP($A19,[6]HISTONOV23!$A$6:$AU$45,35,0)</f>
        <v>0</v>
      </c>
      <c r="I19" s="7">
        <f>VLOOKUP($A19,[6]HISTONOV23!$A$7:$AU$45,38,0)</f>
        <v>0</v>
      </c>
      <c r="J19" s="7">
        <f>IF(I19=0,0,VLOOKUP($A19,[6]HISTONOV23!$A$7:$AU$45,42,0))</f>
        <v>0</v>
      </c>
      <c r="K19" s="7">
        <f>VLOOKUP($A19,[6]HISTONOV23!$A$7:$AU$45,41,0)</f>
        <v>0</v>
      </c>
      <c r="L19" s="7">
        <f>TONTOCT23!H19+TONTOCT23!I19</f>
        <v>30500</v>
      </c>
      <c r="M19" s="7">
        <f>VLOOKUP($A19,[6]HISTONOV23!$A$7:$AU$45,16,0)</f>
        <v>30500</v>
      </c>
      <c r="N19" s="7" t="str">
        <f>IF(M19&lt;&gt;0,VLOOKUP($A19,[6]HISTONOV23!$A$7:$AU$45,8,0),"ECHEC")</f>
        <v>BANQUE</v>
      </c>
      <c r="O19" s="7">
        <f>IF(R19=0,0,VLOOKUP($A19,[6]HISTONOV23!$A$7:$AU$45,32,0))</f>
        <v>0</v>
      </c>
      <c r="P19" s="7">
        <f>VLOOKUP($A19,[6]HISTONOV23!$A$7:$AU$45,33,0)</f>
        <v>0</v>
      </c>
      <c r="Q19" s="7">
        <f t="shared" si="0"/>
        <v>0</v>
      </c>
      <c r="R19" s="7">
        <f>VLOOKUP($A19,[6]HISTONOV23!$A$7:$AU$45,29,0)</f>
        <v>0</v>
      </c>
    </row>
    <row r="20" spans="1:18" x14ac:dyDescent="0.25">
      <c r="A20" s="1" t="s">
        <v>26</v>
      </c>
      <c r="B20" s="7">
        <f>IF(D20=0,0,VLOOKUP($A20,[6]HISTONOV23!$A$6:$BO$40,10,0))</f>
        <v>1</v>
      </c>
      <c r="C20" s="1" t="str">
        <f>VLOOKUP(A20,[7]LISTADHERENT!A$5:H$60,3,0)</f>
        <v>NANGUEN MARTIN</v>
      </c>
      <c r="D20" s="7">
        <f t="shared" si="1"/>
        <v>25000</v>
      </c>
      <c r="E20" s="7">
        <f>D20+VLOOKUP($A20,[6]HISTONOV23!$A$7:$AU$40,45,0)+F20</f>
        <v>40000</v>
      </c>
      <c r="F20" s="7">
        <f>VLOOKUP($A20,[6]HISTONOV23!$A$7:$AU$45,7,0)</f>
        <v>0</v>
      </c>
      <c r="G20" s="7" t="str">
        <f>VLOOKUP($A20,[6]HISTONOV23!$A$7:$AU$45,8,0)</f>
        <v>BANQUE</v>
      </c>
      <c r="H20" s="7">
        <f>VLOOKUP($A20,[6]HISTONOV23!$A$6:$AU$45,35,0)</f>
        <v>0</v>
      </c>
      <c r="I20" s="7">
        <f>VLOOKUP($A20,[6]HISTONOV23!$A$7:$AU$45,38,0)</f>
        <v>0</v>
      </c>
      <c r="J20" s="7">
        <f>IF(I20=0,0,VLOOKUP($A20,[6]HISTONOV23!$A$7:$AU$45,42,0))</f>
        <v>0</v>
      </c>
      <c r="K20" s="7">
        <f>VLOOKUP($A20,[6]HISTONOV23!$A$7:$AU$45,41,0)</f>
        <v>0</v>
      </c>
      <c r="L20" s="7">
        <f>TONTOCT23!H20+TONTOCT23!I20</f>
        <v>0</v>
      </c>
      <c r="M20" s="7">
        <f>VLOOKUP($A20,[6]HISTONOV23!$A$7:$AU$45,16,0)</f>
        <v>0</v>
      </c>
      <c r="N20" s="7" t="str">
        <f>IF(M20&lt;&gt;0,VLOOKUP($A20,[6]HISTONOV23!$A$7:$AU$45,8,0),"ECHEC")</f>
        <v>ECHEC</v>
      </c>
      <c r="O20" s="7">
        <f>IF(R20=0,0,VLOOKUP($A20,[6]HISTONOV23!$A$7:$AU$45,32,0))</f>
        <v>0</v>
      </c>
      <c r="P20" s="7">
        <f>VLOOKUP($A20,[6]HISTONOV23!$A$7:$AU$45,33,0)</f>
        <v>0</v>
      </c>
      <c r="Q20" s="7">
        <f t="shared" si="0"/>
        <v>0</v>
      </c>
      <c r="R20" s="7">
        <f>VLOOKUP($A20,[6]HISTONOV23!$A$7:$AU$45,29,0)</f>
        <v>0</v>
      </c>
    </row>
    <row r="21" spans="1:18" x14ac:dyDescent="0.25">
      <c r="A21" s="1" t="s">
        <v>19</v>
      </c>
      <c r="B21" s="7">
        <f>IF(D21=0,0,VLOOKUP($A21,[6]HISTONOV23!$A$6:$BO$40,10,0))</f>
        <v>1</v>
      </c>
      <c r="C21" s="1" t="str">
        <f>VLOOKUP(A21,[7]LISTADHERENT!A$5:H$60,3,0)</f>
        <v>NANKAM APPOLINAIRE</v>
      </c>
      <c r="D21" s="7">
        <f t="shared" si="1"/>
        <v>25000</v>
      </c>
      <c r="E21" s="7">
        <f>D21+VLOOKUP($A21,[6]HISTONOV23!$A$7:$AU$40,45,0)+F21</f>
        <v>40000</v>
      </c>
      <c r="F21" s="7">
        <f>VLOOKUP($A21,[6]HISTONOV23!$A$7:$AU$45,7,0)</f>
        <v>0</v>
      </c>
      <c r="G21" s="7" t="str">
        <f>VLOOKUP($A21,[6]HISTONOV23!$A$7:$AU$45,8,0)</f>
        <v>BANQUE</v>
      </c>
      <c r="H21" s="7">
        <f>VLOOKUP($A21,[6]HISTONOV23!$A$6:$AU$45,35,0)</f>
        <v>0</v>
      </c>
      <c r="I21" s="7">
        <f>VLOOKUP($A21,[6]HISTONOV23!$A$7:$AU$45,38,0)</f>
        <v>0</v>
      </c>
      <c r="J21" s="7">
        <f>IF(I21=0,0,VLOOKUP($A21,[6]HISTONOV23!$A$7:$AU$45,42,0))</f>
        <v>0</v>
      </c>
      <c r="K21" s="7">
        <f>VLOOKUP($A21,[6]HISTONOV23!$A$7:$AU$45,41,0)</f>
        <v>0</v>
      </c>
      <c r="L21" s="7">
        <f>TONTOCT23!H21+TONTOCT23!I21</f>
        <v>0</v>
      </c>
      <c r="M21" s="7">
        <f>VLOOKUP($A21,[6]HISTONOV23!$A$7:$AU$45,16,0)</f>
        <v>0</v>
      </c>
      <c r="N21" s="7" t="str">
        <f>IF(M21&lt;&gt;0,VLOOKUP($A21,[6]HISTONOV23!$A$7:$AU$45,8,0),"ECHEC")</f>
        <v>ECHEC</v>
      </c>
      <c r="O21" s="7">
        <f>IF(R21=0,0,VLOOKUP($A21,[6]HISTONOV23!$A$7:$AU$45,32,0))</f>
        <v>0</v>
      </c>
      <c r="P21" s="7">
        <f>VLOOKUP($A21,[6]HISTONOV23!$A$7:$AU$45,33,0)</f>
        <v>0</v>
      </c>
      <c r="Q21" s="7">
        <f t="shared" si="0"/>
        <v>0</v>
      </c>
      <c r="R21" s="7">
        <f>VLOOKUP($A21,[6]HISTONOV23!$A$7:$AU$45,29,0)</f>
        <v>0</v>
      </c>
    </row>
    <row r="22" spans="1:18" x14ac:dyDescent="0.25">
      <c r="A22" s="1" t="s">
        <v>20</v>
      </c>
      <c r="B22" s="7">
        <f>IF(D22=0,0,VLOOKUP($A22,[6]HISTONOV23!$A$6:$BO$40,10,0))</f>
        <v>1</v>
      </c>
      <c r="C22" s="1" t="str">
        <f>VLOOKUP(A22,[7]LISTADHERENT!A$5:H$60,3,0)</f>
        <v>NDJOMO ETIENNE</v>
      </c>
      <c r="D22" s="7">
        <f t="shared" si="1"/>
        <v>25000</v>
      </c>
      <c r="E22" s="7">
        <f>D22+VLOOKUP($A22,[6]HISTONOV23!$A$7:$AU$40,45,0)+F22</f>
        <v>50000</v>
      </c>
      <c r="F22" s="7">
        <f>VLOOKUP($A22,[6]HISTONOV23!$A$7:$AU$45,7,0)</f>
        <v>0</v>
      </c>
      <c r="G22" s="7" t="str">
        <f>VLOOKUP($A22,[6]HISTONOV23!$A$7:$AU$45,8,0)</f>
        <v>BANQUE</v>
      </c>
      <c r="H22" s="7">
        <f>VLOOKUP($A22,[6]HISTONOV23!$A$6:$AU$45,35,0)</f>
        <v>0</v>
      </c>
      <c r="I22" s="7">
        <f>VLOOKUP($A22,[6]HISTONOV23!$A$7:$AU$45,38,0)</f>
        <v>0</v>
      </c>
      <c r="J22" s="7">
        <f>IF(I22=0,0,VLOOKUP($A22,[6]HISTONOV23!$A$7:$AU$45,42,0))</f>
        <v>0</v>
      </c>
      <c r="K22" s="7">
        <f>VLOOKUP($A22,[6]HISTONOV23!$A$7:$AU$45,41,0)</f>
        <v>0</v>
      </c>
      <c r="L22" s="7">
        <f>TONTOCT23!H22+TONTOCT23!I22</f>
        <v>0</v>
      </c>
      <c r="M22" s="7">
        <f>VLOOKUP($A22,[6]HISTONOV23!$A$7:$AU$45,16,0)</f>
        <v>0</v>
      </c>
      <c r="N22" s="7" t="str">
        <f>IF(M22&lt;&gt;0,VLOOKUP($A22,[6]HISTONOV23!$A$7:$AU$45,8,0),"ECHEC")</f>
        <v>ECHEC</v>
      </c>
      <c r="O22" s="7">
        <f>IF(R22=0,0,VLOOKUP($A22,[6]HISTONOV23!$A$7:$AU$45,32,0))</f>
        <v>0</v>
      </c>
      <c r="P22" s="7">
        <f>VLOOKUP($A22,[6]HISTONOV23!$A$7:$AU$45,33,0)</f>
        <v>0</v>
      </c>
      <c r="Q22" s="7">
        <f t="shared" si="0"/>
        <v>0</v>
      </c>
      <c r="R22" s="7">
        <f>VLOOKUP($A22,[6]HISTONOV23!$A$7:$AU$45,29,0)</f>
        <v>0</v>
      </c>
    </row>
    <row r="23" spans="1:18" x14ac:dyDescent="0.25">
      <c r="A23" s="1" t="s">
        <v>21</v>
      </c>
      <c r="B23" s="7">
        <f>IF(D23=0,0,VLOOKUP($A23,[6]HISTONOV23!$A$6:$BO$40,10,0))</f>
        <v>1</v>
      </c>
      <c r="C23" s="1" t="str">
        <f>VLOOKUP(A23,[7]LISTADHERENT!A$5:H$60,3,0)</f>
        <v>NGONDIEP CLAUDE</v>
      </c>
      <c r="D23" s="7">
        <f t="shared" si="1"/>
        <v>25000</v>
      </c>
      <c r="E23" s="7">
        <f>D23+VLOOKUP($A23,[6]HISTONOV23!$A$7:$AU$40,45,0)+F23</f>
        <v>43000</v>
      </c>
      <c r="F23" s="7">
        <f>VLOOKUP($A23,[6]HISTONOV23!$A$7:$AU$45,7,0)</f>
        <v>0</v>
      </c>
      <c r="G23" s="7" t="str">
        <f>VLOOKUP($A23,[6]HISTONOV23!$A$7:$AU$45,8,0)</f>
        <v>BANQUE</v>
      </c>
      <c r="H23" s="7">
        <f>VLOOKUP($A23,[6]HISTONOV23!$A$6:$AU$45,35,0)</f>
        <v>0</v>
      </c>
      <c r="I23" s="7">
        <f>VLOOKUP($A23,[6]HISTONOV23!$A$7:$AU$45,38,0)</f>
        <v>0</v>
      </c>
      <c r="J23" s="7">
        <f>IF(I23=0,0,VLOOKUP($A23,[6]HISTONOV23!$A$7:$AU$45,42,0))</f>
        <v>0</v>
      </c>
      <c r="K23" s="7">
        <f>VLOOKUP($A23,[6]HISTONOV23!$A$7:$AU$45,41,0)</f>
        <v>0</v>
      </c>
      <c r="L23" s="7">
        <f>TONTOCT23!H23+TONTOCT23!I23</f>
        <v>0</v>
      </c>
      <c r="M23" s="7">
        <f>VLOOKUP($A23,[6]HISTONOV23!$A$7:$AU$45,16,0)</f>
        <v>0</v>
      </c>
      <c r="N23" s="7" t="str">
        <f>IF(M23&lt;&gt;0,VLOOKUP($A23,[6]HISTONOV23!$A$7:$AU$45,8,0),"ECHEC")</f>
        <v>ECHEC</v>
      </c>
      <c r="O23" s="7">
        <f>IF(R23=0,0,VLOOKUP($A23,[6]HISTONOV23!$A$7:$AU$45,32,0))</f>
        <v>0</v>
      </c>
      <c r="P23" s="7">
        <f>VLOOKUP($A23,[6]HISTONOV23!$A$7:$AU$45,33,0)</f>
        <v>0</v>
      </c>
      <c r="Q23" s="7">
        <f t="shared" si="0"/>
        <v>0</v>
      </c>
      <c r="R23" s="7">
        <f>VLOOKUP($A23,[6]HISTONOV23!$A$7:$AU$45,29,0)</f>
        <v>0</v>
      </c>
    </row>
    <row r="24" spans="1:18" x14ac:dyDescent="0.25">
      <c r="A24" s="1" t="s">
        <v>22</v>
      </c>
      <c r="B24" s="7">
        <f>IF(D24=0,0,VLOOKUP($A24,[6]HISTONOV23!$A$6:$BO$40,10,0))</f>
        <v>1</v>
      </c>
      <c r="C24" s="1" t="str">
        <f>VLOOKUP(A24,[7]LISTADHERENT!A$5:H$60,3,0)</f>
        <v>NGUIEMEGNI MATHIEU BLAISE</v>
      </c>
      <c r="D24" s="7">
        <f t="shared" si="1"/>
        <v>25000</v>
      </c>
      <c r="E24" s="7">
        <f>D24+VLOOKUP($A24,[6]HISTONOV23!$A$7:$AU$40,45,0)+F24</f>
        <v>48000</v>
      </c>
      <c r="F24" s="7">
        <f>VLOOKUP($A24,[6]HISTONOV23!$A$7:$AU$45,7,0)</f>
        <v>0</v>
      </c>
      <c r="G24" s="7" t="str">
        <f>VLOOKUP($A24,[6]HISTONOV23!$A$7:$AU$45,8,0)</f>
        <v>BANQUE</v>
      </c>
      <c r="H24" s="7">
        <f>VLOOKUP($A24,[6]HISTONOV23!$A$6:$AU$45,35,0)</f>
        <v>0</v>
      </c>
      <c r="I24" s="7">
        <f>VLOOKUP($A24,[6]HISTONOV23!$A$7:$AU$45,38,0)</f>
        <v>0</v>
      </c>
      <c r="J24" s="7">
        <f>IF(I24=0,0,VLOOKUP($A24,[6]HISTONOV23!$A$7:$AU$45,42,0))</f>
        <v>0</v>
      </c>
      <c r="K24" s="7">
        <f>VLOOKUP($A24,[6]HISTONOV23!$A$7:$AU$45,41,0)</f>
        <v>0</v>
      </c>
      <c r="L24" s="7">
        <f>TONTOCT23!H24+TONTOCT23!I24</f>
        <v>0</v>
      </c>
      <c r="M24" s="7">
        <f>VLOOKUP($A24,[6]HISTONOV23!$A$7:$AU$45,16,0)</f>
        <v>0</v>
      </c>
      <c r="N24" s="7" t="str">
        <f>IF(M24&lt;&gt;0,VLOOKUP($A24,[6]HISTONOV23!$A$7:$AU$45,8,0),"ECHEC")</f>
        <v>ECHEC</v>
      </c>
      <c r="O24" s="7">
        <f>IF(R24=0,0,VLOOKUP($A24,[6]HISTONOV23!$A$7:$AU$45,32,0))</f>
        <v>0</v>
      </c>
      <c r="P24" s="7">
        <f>VLOOKUP($A24,[6]HISTONOV23!$A$7:$AU$45,33,0)</f>
        <v>0</v>
      </c>
      <c r="Q24" s="7">
        <f t="shared" si="0"/>
        <v>0</v>
      </c>
      <c r="R24" s="7">
        <f>VLOOKUP($A24,[6]HISTONOV23!$A$7:$AU$45,29,0)</f>
        <v>0</v>
      </c>
    </row>
    <row r="25" spans="1:18" x14ac:dyDescent="0.25">
      <c r="A25" s="1" t="s">
        <v>23</v>
      </c>
      <c r="B25" s="7">
        <f>IF(D25=0,0,VLOOKUP($A25,[6]HISTONOV23!$A$6:$BO$40,10,0))</f>
        <v>1</v>
      </c>
      <c r="C25" s="1" t="str">
        <f>VLOOKUP(A25,[7]LISTADHERENT!A$5:H$60,3,0)</f>
        <v>NKAMGANG JUSTIN DEJOLIE</v>
      </c>
      <c r="D25" s="7">
        <f t="shared" si="1"/>
        <v>25000</v>
      </c>
      <c r="E25" s="7">
        <f>D25+VLOOKUP($A25,[6]HISTONOV23!$A$7:$AU$40,45,0)+F25</f>
        <v>41000</v>
      </c>
      <c r="F25" s="7">
        <f>VLOOKUP($A25,[6]HISTONOV23!$A$7:$AU$45,7,0)</f>
        <v>3000</v>
      </c>
      <c r="G25" s="7" t="str">
        <f>VLOOKUP($A25,[6]HISTONOV23!$A$7:$AU$45,8,0)</f>
        <v>ESPECES</v>
      </c>
      <c r="H25" s="7">
        <f>VLOOKUP($A25,[6]HISTONOV23!$A$6:$AU$45,35,0)</f>
        <v>0</v>
      </c>
      <c r="I25" s="7">
        <f>VLOOKUP($A25,[6]HISTONOV23!$A$7:$AU$45,38,0)</f>
        <v>0</v>
      </c>
      <c r="J25" s="7">
        <f>IF(I25=0,0,VLOOKUP($A25,[6]HISTONOV23!$A$7:$AU$45,42,0))</f>
        <v>0</v>
      </c>
      <c r="K25" s="7">
        <f>VLOOKUP($A25,[6]HISTONOV23!$A$7:$AU$45,41,0)</f>
        <v>0</v>
      </c>
      <c r="L25" s="7">
        <f>TONTOCT23!H25+TONTOCT23!I25</f>
        <v>61000</v>
      </c>
      <c r="M25" s="7">
        <f>VLOOKUP($A25,[6]HISTONOV23!$A$7:$AU$45,16,0)</f>
        <v>61000</v>
      </c>
      <c r="N25" s="7" t="str">
        <f>IF(M25&lt;&gt;0,VLOOKUP($A25,[6]HISTONOV23!$A$7:$AU$45,8,0),"ECHEC")</f>
        <v>ESPECES</v>
      </c>
      <c r="O25" s="7">
        <f>IF(R25=0,0,VLOOKUP($A25,[6]HISTONOV23!$A$7:$AU$45,32,0))</f>
        <v>0</v>
      </c>
      <c r="P25" s="7">
        <f>VLOOKUP($A25,[6]HISTONOV23!$A$7:$AU$45,33,0)</f>
        <v>0</v>
      </c>
      <c r="Q25" s="7">
        <f t="shared" si="0"/>
        <v>0</v>
      </c>
      <c r="R25" s="7">
        <f>VLOOKUP($A25,[6]HISTONOV23!$A$7:$AU$45,29,0)</f>
        <v>0</v>
      </c>
    </row>
    <row r="26" spans="1:18" x14ac:dyDescent="0.25">
      <c r="A26" s="1" t="s">
        <v>86</v>
      </c>
      <c r="B26" s="7">
        <f>IF(D26=0,0,VLOOKUP($A26,[6]HISTONOV23!$A$6:$BO$40,10,0))</f>
        <v>1</v>
      </c>
      <c r="C26" s="1" t="str">
        <f>VLOOKUP(A26,[7]LISTADHERENT!A$5:H$60,3,0)</f>
        <v>NOUBE ETIENNE</v>
      </c>
      <c r="D26" s="7">
        <f t="shared" si="1"/>
        <v>25000</v>
      </c>
      <c r="E26" s="7">
        <f>D26+VLOOKUP($A26,[6]HISTONOV23!$A$7:$AU$40,45,0)+F26</f>
        <v>50000</v>
      </c>
      <c r="F26" s="7">
        <f>VLOOKUP($A26,[6]HISTONOV23!$A$7:$AU$45,7,0)</f>
        <v>0</v>
      </c>
      <c r="G26" s="7" t="str">
        <f>VLOOKUP($A26,[6]HISTONOV23!$A$7:$AU$45,8,0)</f>
        <v>BANQUE</v>
      </c>
      <c r="H26" s="7">
        <f>VLOOKUP($A26,[6]HISTONOV23!$A$6:$AU$45,35,0)</f>
        <v>0</v>
      </c>
      <c r="I26" s="7">
        <f>VLOOKUP($A26,[6]HISTONOV23!$A$7:$AU$45,38,0)</f>
        <v>0</v>
      </c>
      <c r="J26" s="7">
        <f>IF(I26=0,0,VLOOKUP($A26,[6]HISTONOV23!$A$7:$AU$45,42,0))</f>
        <v>0</v>
      </c>
      <c r="K26" s="7">
        <f>VLOOKUP($A26,[6]HISTONOV23!$A$7:$AU$45,41,0)</f>
        <v>0</v>
      </c>
      <c r="L26" s="7">
        <f>TONTOCT23!H26+TONTOCT23!I26</f>
        <v>0</v>
      </c>
      <c r="M26" s="7">
        <f>VLOOKUP($A26,[6]HISTONOV23!$A$7:$AU$45,16,0)</f>
        <v>0</v>
      </c>
      <c r="N26" s="7" t="str">
        <f>IF(M26&lt;&gt;0,VLOOKUP($A26,[6]HISTONOV23!$A$7:$AU$45,8,0),"ECHEC")</f>
        <v>ECHEC</v>
      </c>
      <c r="O26" s="7">
        <f>IF(R26=0,0,VLOOKUP($A26,[6]HISTONOV23!$A$7:$AU$45,32,0))</f>
        <v>0</v>
      </c>
      <c r="P26" s="7">
        <f>VLOOKUP($A26,[6]HISTONOV23!$A$7:$AU$45,33,0)</f>
        <v>0</v>
      </c>
      <c r="Q26" s="7">
        <f t="shared" si="0"/>
        <v>0</v>
      </c>
      <c r="R26" s="7">
        <f>VLOOKUP($A26,[6]HISTONOV23!$A$7:$AU$45,29,0)</f>
        <v>0</v>
      </c>
    </row>
    <row r="27" spans="1:18" x14ac:dyDescent="0.25">
      <c r="A27" s="1" t="s">
        <v>24</v>
      </c>
      <c r="B27" s="7">
        <f>IF(D27=0,0,VLOOKUP($A27,[6]HISTONOV23!$A$6:$BO$40,10,0))</f>
        <v>1</v>
      </c>
      <c r="C27" s="1" t="str">
        <f>VLOOKUP(A27,[7]LISTADHERENT!A$5:H$60,3,0)</f>
        <v>PATEGO NJOSSU GUSTAVE</v>
      </c>
      <c r="D27" s="7">
        <f t="shared" si="1"/>
        <v>25000</v>
      </c>
      <c r="E27" s="7">
        <f>D27+VLOOKUP($A27,[6]HISTONOV23!$A$7:$AU$40,45,0)+F27</f>
        <v>40000</v>
      </c>
      <c r="F27" s="7">
        <f>VLOOKUP($A27,[6]HISTONOV23!$A$7:$AU$45,7,0)</f>
        <v>0</v>
      </c>
      <c r="G27" s="7" t="str">
        <f>VLOOKUP($A27,[6]HISTONOV23!$A$7:$AU$45,8,0)</f>
        <v>BANQUE</v>
      </c>
      <c r="H27" s="7">
        <f>VLOOKUP($A27,[6]HISTONOV23!$A$6:$AU$45,35,0)</f>
        <v>0</v>
      </c>
      <c r="I27" s="7">
        <f>VLOOKUP($A27,[6]HISTONOV23!$A$7:$AU$45,38,0)</f>
        <v>0</v>
      </c>
      <c r="J27" s="7">
        <f>IF(I27=0,0,VLOOKUP($A27,[6]HISTONOV23!$A$7:$AU$45,42,0))</f>
        <v>0</v>
      </c>
      <c r="K27" s="7">
        <f>VLOOKUP($A27,[6]HISTONOV23!$A$7:$AU$45,41,0)</f>
        <v>0</v>
      </c>
      <c r="L27" s="7">
        <f>TONTOCT23!H27+TONTOCT23!I27</f>
        <v>0</v>
      </c>
      <c r="M27" s="7">
        <f>VLOOKUP($A27,[6]HISTONOV23!$A$7:$AU$45,16,0)</f>
        <v>0</v>
      </c>
      <c r="N27" s="7" t="str">
        <f>IF(M27&lt;&gt;0,VLOOKUP($A27,[6]HISTONOV23!$A$7:$AU$45,8,0),"ECHEC")</f>
        <v>ECHEC</v>
      </c>
      <c r="O27" s="7">
        <f>IF(R27=0,0,VLOOKUP($A27,[6]HISTONOV23!$A$7:$AU$45,32,0))</f>
        <v>0</v>
      </c>
      <c r="P27" s="7">
        <f>VLOOKUP($A27,[6]HISTONOV23!$A$7:$AU$45,33,0)</f>
        <v>0</v>
      </c>
      <c r="Q27" s="7">
        <f t="shared" si="0"/>
        <v>297500</v>
      </c>
      <c r="R27" s="7">
        <f>VLOOKUP($A27,[6]HISTONOV23!$A$7:$AU$45,29,0)</f>
        <v>2500</v>
      </c>
    </row>
    <row r="28" spans="1:18" x14ac:dyDescent="0.25">
      <c r="A28" s="1" t="s">
        <v>87</v>
      </c>
      <c r="B28" s="7">
        <f>IF(D28=0,0,VLOOKUP($A28,[6]HISTONOV23!$A$6:$BO$40,10,0))</f>
        <v>1</v>
      </c>
      <c r="C28" s="1" t="str">
        <f>VLOOKUP(A28,[7]LISTADHERENT!A$5:H$60,3,0)</f>
        <v>SEUMO POLYCARPE</v>
      </c>
      <c r="D28" s="7">
        <f t="shared" si="1"/>
        <v>25000</v>
      </c>
      <c r="E28" s="7">
        <f>D28+VLOOKUP($A28,[6]HISTONOV23!$A$7:$AU$40,45,0)+F28</f>
        <v>40000</v>
      </c>
      <c r="F28" s="7">
        <f>VLOOKUP($A28,[6]HISTONOV23!$A$7:$AU$45,7,0)</f>
        <v>0</v>
      </c>
      <c r="G28" s="7" t="str">
        <f>VLOOKUP($A28,[6]HISTONOV23!$A$7:$AU$45,8,0)</f>
        <v>BANQUE</v>
      </c>
      <c r="H28" s="7">
        <f>VLOOKUP($A28,[6]HISTONOV23!$A$6:$AU$45,35,0)</f>
        <v>0</v>
      </c>
      <c r="I28" s="7">
        <f>VLOOKUP($A28,[6]HISTONOV23!$A$7:$AU$45,38,0)</f>
        <v>0</v>
      </c>
      <c r="J28" s="7">
        <f>IF(I28=0,0,VLOOKUP($A28,[6]HISTONOV23!$A$7:$AU$45,42,0))</f>
        <v>0</v>
      </c>
      <c r="K28" s="7">
        <f>VLOOKUP($A28,[6]HISTONOV23!$A$7:$AU$45,41,0)</f>
        <v>0</v>
      </c>
      <c r="L28" s="7">
        <f>TONTOCT23!H28+TONTOCT23!I28</f>
        <v>0</v>
      </c>
      <c r="M28" s="7">
        <f>VLOOKUP($A28,[6]HISTONOV23!$A$7:$AU$45,16,0)</f>
        <v>0</v>
      </c>
      <c r="N28" s="7" t="str">
        <f>IF(M28&lt;&gt;0,VLOOKUP($A28,[6]HISTONOV23!$A$7:$AU$45,8,0),"ECHEC")</f>
        <v>ECHEC</v>
      </c>
      <c r="O28" s="7">
        <f>IF(R28=0,0,VLOOKUP($A28,[6]HISTONOV23!$A$7:$AU$45,32,0))</f>
        <v>0</v>
      </c>
      <c r="P28" s="7">
        <f>VLOOKUP($A28,[6]HISTONOV23!$A$7:$AU$45,33,0)</f>
        <v>0</v>
      </c>
      <c r="Q28" s="7">
        <f t="shared" si="0"/>
        <v>0</v>
      </c>
      <c r="R28" s="7">
        <f>VLOOKUP($A28,[6]HISTONOV23!$A$7:$AU$45,29,0)</f>
        <v>0</v>
      </c>
    </row>
    <row r="29" spans="1:18" x14ac:dyDescent="0.25">
      <c r="A29" s="1" t="s">
        <v>47</v>
      </c>
      <c r="B29" s="7">
        <f>IF(D29=0,0,VLOOKUP($A29,[6]HISTONOV23!$A$6:$BO$40,10,0))</f>
        <v>1</v>
      </c>
      <c r="C29" s="1" t="str">
        <f>VLOOKUP(A29,[7]LISTADHERENT!A$5:H$60,3,0)</f>
        <v>SIME BRICE</v>
      </c>
      <c r="D29" s="7">
        <f t="shared" si="1"/>
        <v>25000</v>
      </c>
      <c r="E29" s="7">
        <f>D29+VLOOKUP($A29,[6]HISTONOV23!$A$7:$AU$40,45,0)+F29</f>
        <v>40000</v>
      </c>
      <c r="F29" s="7">
        <f>VLOOKUP($A29,[6]HISTONOV23!$A$7:$AU$45,7,0)</f>
        <v>0</v>
      </c>
      <c r="G29" s="7" t="str">
        <f>VLOOKUP($A29,[6]HISTONOV23!$A$7:$AU$45,8,0)</f>
        <v>BANQUE</v>
      </c>
      <c r="H29" s="7">
        <f>VLOOKUP($A29,[6]HISTONOV23!$A$6:$AU$45,35,0)</f>
        <v>0</v>
      </c>
      <c r="I29" s="7">
        <f>VLOOKUP($A29,[6]HISTONOV23!$A$7:$AU$45,38,0)</f>
        <v>0</v>
      </c>
      <c r="J29" s="7">
        <f>IF(I29=0,0,VLOOKUP($A29,[6]HISTONOV23!$A$7:$AU$45,42,0))</f>
        <v>0</v>
      </c>
      <c r="K29" s="7">
        <f>VLOOKUP($A29,[6]HISTONOV23!$A$7:$AU$45,41,0)</f>
        <v>0</v>
      </c>
      <c r="L29" s="7">
        <f>TONTOCT23!H29+TONTOCT23!I29</f>
        <v>0</v>
      </c>
      <c r="M29" s="7">
        <f>VLOOKUP($A29,[6]HISTONOV23!$A$7:$AU$45,16,0)</f>
        <v>0</v>
      </c>
      <c r="N29" s="7" t="str">
        <f>IF(M29&lt;&gt;0,VLOOKUP($A29,[6]HISTONOV23!$A$7:$AU$45,8,0),"ECHEC")</f>
        <v>ECHEC</v>
      </c>
      <c r="O29" s="7">
        <f>IF(R29=0,0,VLOOKUP($A29,[6]HISTONOV23!$A$7:$AU$45,32,0))</f>
        <v>0</v>
      </c>
      <c r="P29" s="7">
        <f>VLOOKUP($A29,[6]HISTONOV23!$A$7:$AU$45,33,0)</f>
        <v>0</v>
      </c>
      <c r="Q29" s="7">
        <f t="shared" si="0"/>
        <v>0</v>
      </c>
      <c r="R29" s="7">
        <f>VLOOKUP($A29,[6]HISTONOV23!$A$7:$AU$45,29,0)</f>
        <v>0</v>
      </c>
    </row>
    <row r="30" spans="1:18" x14ac:dyDescent="0.25">
      <c r="A30" s="1" t="s">
        <v>25</v>
      </c>
      <c r="B30" s="7">
        <f>IF(D30=0,0,VLOOKUP($A30,[6]HISTONOV23!$A$6:$BO$40,10,0))</f>
        <v>1</v>
      </c>
      <c r="C30" s="1" t="str">
        <f>VLOOKUP(A30,[7]LISTADHERENT!A$5:H$60,3,0)</f>
        <v>SIMO PIERRE</v>
      </c>
      <c r="D30" s="7">
        <f t="shared" si="1"/>
        <v>25000</v>
      </c>
      <c r="E30" s="7">
        <f>D30+VLOOKUP($A30,[6]HISTONOV23!$A$7:$AU$40,45,0)+F30</f>
        <v>40500</v>
      </c>
      <c r="F30" s="7">
        <f>VLOOKUP($A30,[6]HISTONOV23!$A$7:$AU$45,7,0)</f>
        <v>0</v>
      </c>
      <c r="G30" s="7" t="str">
        <f>VLOOKUP($A30,[6]HISTONOV23!$A$7:$AU$45,8,0)</f>
        <v>BANQUE</v>
      </c>
      <c r="H30" s="7">
        <f>VLOOKUP($A30,[6]HISTONOV23!$A$6:$AU$45,35,0)</f>
        <v>0</v>
      </c>
      <c r="I30" s="7">
        <f>VLOOKUP($A30,[6]HISTONOV23!$A$7:$AU$45,38,0)</f>
        <v>0</v>
      </c>
      <c r="J30" s="7">
        <f>IF(I30=0,0,VLOOKUP($A30,[6]HISTONOV23!$A$7:$AU$45,42,0))</f>
        <v>0</v>
      </c>
      <c r="K30" s="7">
        <f>VLOOKUP($A30,[6]HISTONOV23!$A$7:$AU$45,41,0)</f>
        <v>0</v>
      </c>
      <c r="L30" s="7">
        <f>TONTOCT23!H30+TONTOCT23!I30</f>
        <v>30500</v>
      </c>
      <c r="M30" s="7">
        <f>VLOOKUP($A30,[6]HISTONOV23!$A$7:$AU$45,16,0)</f>
        <v>30500</v>
      </c>
      <c r="N30" s="7" t="str">
        <f>IF(M30&lt;&gt;0,VLOOKUP($A30,[6]HISTONOV23!$A$7:$AU$45,8,0),"ECHEC")</f>
        <v>BANQUE</v>
      </c>
      <c r="O30" s="7">
        <f>IF(R30=0,0,VLOOKUP($A30,[6]HISTONOV23!$A$7:$AU$45,32,0))</f>
        <v>0</v>
      </c>
      <c r="P30" s="7">
        <f>VLOOKUP($A30,[6]HISTONOV23!$A$7:$AU$45,33,0)</f>
        <v>0</v>
      </c>
      <c r="Q30" s="7">
        <f t="shared" si="0"/>
        <v>0</v>
      </c>
      <c r="R30" s="7">
        <f>VLOOKUP($A30,[6]HISTONOV23!$A$7:$AU$45,29,0)</f>
        <v>0</v>
      </c>
    </row>
    <row r="31" spans="1:18" x14ac:dyDescent="0.25">
      <c r="A31" s="1" t="s">
        <v>27</v>
      </c>
      <c r="B31" s="7">
        <f>IF(D31=0,0,VLOOKUP($A31,[6]HISTONOV23!$A$6:$BO$40,10,0))</f>
        <v>1</v>
      </c>
      <c r="C31" s="1" t="str">
        <f>VLOOKUP(A31,[7]LISTADHERENT!A$5:H$60,3,0)</f>
        <v>TCHOUAMOU MATHIEU</v>
      </c>
      <c r="D31" s="7">
        <f t="shared" si="1"/>
        <v>25000</v>
      </c>
      <c r="E31" s="7">
        <f>D31+VLOOKUP($A31,[6]HISTONOV23!$A$7:$AU$40,45,0)+F31</f>
        <v>40000</v>
      </c>
      <c r="F31" s="7">
        <f>VLOOKUP($A31,[6]HISTONOV23!$A$7:$AU$45,7,0)</f>
        <v>0</v>
      </c>
      <c r="G31" s="7" t="str">
        <f>VLOOKUP($A31,[6]HISTONOV23!$A$7:$AU$45,8,0)</f>
        <v>BANQUE</v>
      </c>
      <c r="H31" s="7">
        <f>VLOOKUP($A31,[6]HISTONOV23!$A$6:$AU$45,35,0)</f>
        <v>0</v>
      </c>
      <c r="I31" s="7">
        <f>VLOOKUP($A31,[6]HISTONOV23!$A$7:$AU$45,38,0)</f>
        <v>0</v>
      </c>
      <c r="J31" s="7">
        <f>IF(I31=0,0,VLOOKUP($A31,[6]HISTONOV23!$A$7:$AU$45,42,0))</f>
        <v>0</v>
      </c>
      <c r="K31" s="7">
        <f>VLOOKUP($A31,[6]HISTONOV23!$A$7:$AU$45,41,0)</f>
        <v>0</v>
      </c>
      <c r="L31" s="7">
        <f>TONTOCT23!H31+TONTOCT23!I31</f>
        <v>0</v>
      </c>
      <c r="M31" s="7">
        <f>VLOOKUP($A31,[6]HISTONOV23!$A$7:$AU$45,16,0)</f>
        <v>0</v>
      </c>
      <c r="N31" s="7" t="str">
        <f>IF(M31&lt;&gt;0,VLOOKUP($A31,[6]HISTONOV23!$A$7:$AU$45,8,0),"ECHEC")</f>
        <v>ECHEC</v>
      </c>
      <c r="O31" s="7">
        <f>IF(R31=0,0,VLOOKUP($A31,[6]HISTONOV23!$A$7:$AU$45,32,0))</f>
        <v>0</v>
      </c>
      <c r="P31" s="7">
        <f>VLOOKUP($A31,[6]HISTONOV23!$A$7:$AU$45,33,0)</f>
        <v>0</v>
      </c>
      <c r="Q31" s="7">
        <f t="shared" si="0"/>
        <v>0</v>
      </c>
      <c r="R31" s="7">
        <f>VLOOKUP($A31,[6]HISTONOV23!$A$7:$AU$45,29,0)</f>
        <v>0</v>
      </c>
    </row>
    <row r="32" spans="1:18" x14ac:dyDescent="0.25">
      <c r="A32" s="1" t="s">
        <v>88</v>
      </c>
      <c r="B32" s="7">
        <f>IF(D32=0,0,VLOOKUP($A32,[6]HISTONOV23!$A$6:$BO$40,10,0))</f>
        <v>1</v>
      </c>
      <c r="C32" s="1" t="str">
        <f>VLOOKUP(A32,[7]LISTADHERENT!A$5:H$60,3,0)</f>
        <v>TCHOUTOU NANA CLAUDE</v>
      </c>
      <c r="D32" s="7">
        <f t="shared" si="1"/>
        <v>25000</v>
      </c>
      <c r="E32" s="7">
        <f>D32+VLOOKUP($A32,[6]HISTONOV23!$A$7:$AU$40,45,0)+F32</f>
        <v>40000</v>
      </c>
      <c r="F32" s="7">
        <f>VLOOKUP($A32,[6]HISTONOV23!$A$7:$AU$45,7,0)</f>
        <v>12000</v>
      </c>
      <c r="G32" s="7" t="str">
        <f>VLOOKUP($A32,[6]HISTONOV23!$A$7:$AU$45,8,0)</f>
        <v>BANQUE</v>
      </c>
      <c r="H32" s="7">
        <f>VLOOKUP($A32,[6]HISTONOV23!$A$6:$AU$45,35,0)</f>
        <v>0</v>
      </c>
      <c r="I32" s="7">
        <f>VLOOKUP($A32,[6]HISTONOV23!$A$7:$AU$45,38,0)</f>
        <v>0</v>
      </c>
      <c r="J32" s="7">
        <f>IF(I32=0,0,VLOOKUP($A32,[6]HISTONOV23!$A$7:$AU$45,42,0))</f>
        <v>0</v>
      </c>
      <c r="K32" s="7">
        <f>VLOOKUP($A32,[6]HISTONOV23!$A$7:$AU$45,41,0)</f>
        <v>0</v>
      </c>
      <c r="L32" s="7">
        <f>TONTOCT23!H32+TONTOCT23!I32</f>
        <v>0</v>
      </c>
      <c r="M32" s="7">
        <f>VLOOKUP($A32,[6]HISTONOV23!$A$7:$AU$45,16,0)</f>
        <v>0</v>
      </c>
      <c r="N32" s="7" t="str">
        <f>IF(M32&lt;&gt;0,VLOOKUP($A32,[6]HISTONOV23!$A$7:$AU$45,8,0),"ECHEC")</f>
        <v>ECHEC</v>
      </c>
      <c r="O32" s="7">
        <f>IF(R32=0,0,VLOOKUP($A32,[6]HISTONOV23!$A$7:$AU$45,32,0))</f>
        <v>0</v>
      </c>
      <c r="P32" s="7">
        <f>VLOOKUP($A32,[6]HISTONOV23!$A$7:$AU$45,33,0)</f>
        <v>0</v>
      </c>
      <c r="Q32" s="7">
        <f t="shared" si="0"/>
        <v>0</v>
      </c>
      <c r="R32" s="7">
        <f>VLOOKUP($A32,[6]HISTONOV23!$A$7:$AU$45,29,0)</f>
        <v>0</v>
      </c>
    </row>
    <row r="33" spans="1:18" x14ac:dyDescent="0.25">
      <c r="A33" s="1" t="s">
        <v>90</v>
      </c>
      <c r="B33" s="7">
        <f>IF(D33=0,0,VLOOKUP($A33,[6]HISTONOV23!$A$6:$BO$40,10,0))</f>
        <v>1</v>
      </c>
      <c r="C33" s="1" t="str">
        <f>VLOOKUP(A33,[7]LISTADHERENT!A$5:H$60,3,0)</f>
        <v>YANTCHOU GERVAIS</v>
      </c>
      <c r="D33" s="7">
        <f t="shared" si="1"/>
        <v>25000</v>
      </c>
      <c r="E33" s="7">
        <f>D33+VLOOKUP($A33,[6]HISTONOV23!$A$7:$AU$40,45,0)+F33</f>
        <v>70000</v>
      </c>
      <c r="F33" s="7">
        <f>VLOOKUP($A33,[6]HISTONOV23!$A$7:$AU$45,7,0)</f>
        <v>0</v>
      </c>
      <c r="G33" s="7" t="str">
        <f>VLOOKUP($A33,[6]HISTONOV23!$A$7:$AU$45,8,0)</f>
        <v>BANQUE</v>
      </c>
      <c r="H33" s="7">
        <f>VLOOKUP($A33,[6]HISTONOV23!$A$6:$AU$45,35,0)</f>
        <v>0</v>
      </c>
      <c r="I33" s="7">
        <f>VLOOKUP($A33,[6]HISTONOV23!$A$7:$AU$45,38,0)</f>
        <v>0</v>
      </c>
      <c r="J33" s="7">
        <f>IF(I33=0,0,VLOOKUP($A33,[6]HISTONOV23!$A$7:$AU$45,42,0))</f>
        <v>0</v>
      </c>
      <c r="K33" s="7">
        <f>VLOOKUP($A33,[6]HISTONOV23!$A$7:$AU$45,41,0)</f>
        <v>0</v>
      </c>
      <c r="L33" s="7">
        <f>TONTOCT23!H33+TONTOCT23!I33</f>
        <v>0</v>
      </c>
      <c r="M33" s="7">
        <f>VLOOKUP($A33,[6]HISTONOV23!$A$7:$AU$45,16,0)</f>
        <v>0</v>
      </c>
      <c r="N33" s="7" t="str">
        <f>IF(M33&lt;&gt;0,VLOOKUP($A33,[6]HISTONOV23!$A$7:$AU$45,8,0),"ECHEC")</f>
        <v>ECHEC</v>
      </c>
      <c r="O33" s="7">
        <f>IF(R33=0,0,VLOOKUP($A33,[6]HISTONOV23!$A$7:$AU$45,32,0))</f>
        <v>0</v>
      </c>
      <c r="P33" s="7">
        <f>VLOOKUP($A33,[6]HISTONOV23!$A$7:$AU$45,33,0)</f>
        <v>0</v>
      </c>
      <c r="Q33" s="7">
        <f t="shared" si="0"/>
        <v>0</v>
      </c>
      <c r="R33" s="7">
        <f>VLOOKUP($A33,[6]HISTONOV23!$A$7:$AU$45,29,0)</f>
        <v>0</v>
      </c>
    </row>
    <row r="34" spans="1:18" x14ac:dyDescent="0.25">
      <c r="A34" s="1" t="s">
        <v>28</v>
      </c>
      <c r="B34" s="7">
        <f>IF(D34=0,0,VLOOKUP($A34,[6]HISTONOV23!$A$6:$BO$40,10,0))</f>
        <v>1</v>
      </c>
      <c r="C34" s="1" t="str">
        <f>VLOOKUP(A34,[7]LISTADHERENT!A$5:H$60,3,0)</f>
        <v>YEPMOU JEAN JACQUES</v>
      </c>
      <c r="D34" s="7">
        <f t="shared" si="1"/>
        <v>25000</v>
      </c>
      <c r="E34" s="7">
        <f>D34+VLOOKUP($A34,[6]HISTONOV23!$A$7:$AU$40,45,0)+F34</f>
        <v>40000</v>
      </c>
      <c r="F34" s="7">
        <f>VLOOKUP($A34,[6]HISTONOV23!$A$7:$AU$45,7,0)</f>
        <v>3000</v>
      </c>
      <c r="G34" s="7" t="str">
        <f>VLOOKUP($A34,[6]HISTONOV23!$A$7:$AU$45,8,0)</f>
        <v>ESPECES</v>
      </c>
      <c r="H34" s="7">
        <f>VLOOKUP($A34,[6]HISTONOV23!$A$6:$AU$45,35,0)</f>
        <v>0</v>
      </c>
      <c r="I34" s="7">
        <f>VLOOKUP($A34,[6]HISTONOV23!$A$7:$AU$45,38,0)</f>
        <v>0</v>
      </c>
      <c r="J34" s="7">
        <f>IF(I34=0,0,VLOOKUP($A34,[6]HISTONOV23!$A$7:$AU$45,42,0))</f>
        <v>0</v>
      </c>
      <c r="K34" s="7">
        <f>VLOOKUP($A34,[6]HISTONOV23!$A$7:$AU$45,41,0)</f>
        <v>0</v>
      </c>
      <c r="L34" s="7">
        <f>TONTOCT23!H34+TONTOCT23!I34</f>
        <v>0</v>
      </c>
      <c r="M34" s="7">
        <f>VLOOKUP($A34,[6]HISTONOV23!$A$7:$AU$45,16,0)</f>
        <v>0</v>
      </c>
      <c r="N34" s="7" t="str">
        <f>IF(M34&lt;&gt;0,VLOOKUP($A34,[6]HISTONOV23!$A$7:$AU$45,8,0),"ECHEC")</f>
        <v>ECHEC</v>
      </c>
      <c r="O34" s="7">
        <f>IF(R34=0,0,VLOOKUP($A34,[6]HISTONOV23!$A$7:$AU$45,32,0))</f>
        <v>0</v>
      </c>
      <c r="P34" s="7">
        <f>VLOOKUP($A34,[6]HISTONOV23!$A$7:$AU$45,33,0)</f>
        <v>0</v>
      </c>
      <c r="Q34" s="7">
        <f t="shared" si="0"/>
        <v>0</v>
      </c>
      <c r="R34" s="7">
        <f>VLOOKUP($A34,[6]HISTONOV23!$A$7:$AU$45,29,0)</f>
        <v>0</v>
      </c>
    </row>
    <row r="35" spans="1:18" x14ac:dyDescent="0.25">
      <c r="A35" s="1" t="s">
        <v>29</v>
      </c>
      <c r="B35" s="7">
        <f>IF(D35=0,0,VLOOKUP($A35,[6]HISTONOV23!$A$6:$BO$40,10,0))</f>
        <v>1</v>
      </c>
      <c r="C35" s="1" t="str">
        <f>VLOOKUP(A35,[7]LISTADHERENT!A$5:H$60,3,0)</f>
        <v>YOUMBI EMMANUEL</v>
      </c>
      <c r="D35" s="7">
        <f t="shared" si="1"/>
        <v>25000</v>
      </c>
      <c r="E35" s="7">
        <f>D35+VLOOKUP($A35,[6]HISTONOV23!$A$7:$AU$40,45,0)+F35</f>
        <v>40000</v>
      </c>
      <c r="F35" s="7">
        <f>VLOOKUP($A35,[6]HISTONOV23!$A$7:$AU$45,7,0)</f>
        <v>0</v>
      </c>
      <c r="G35" s="7" t="str">
        <f>VLOOKUP($A35,[6]HISTONOV23!$A$7:$AU$45,8,0)</f>
        <v>BANQUE</v>
      </c>
      <c r="H35" s="7">
        <f>VLOOKUP($A35,[6]HISTONOV23!$A$6:$AU$45,35,0)</f>
        <v>0</v>
      </c>
      <c r="I35" s="7">
        <f>VLOOKUP($A35,[6]HISTONOV23!$A$7:$AU$45,38,0)</f>
        <v>0</v>
      </c>
      <c r="J35" s="7">
        <f>IF(I35=0,0,VLOOKUP($A35,[6]HISTONOV23!$A$7:$AU$45,42,0))</f>
        <v>0</v>
      </c>
      <c r="K35" s="7">
        <f>VLOOKUP($A35,[6]HISTONOV23!$A$7:$AU$45,41,0)</f>
        <v>0</v>
      </c>
      <c r="L35" s="7">
        <f>TONTOCT23!H35+TONTOCT23!I35</f>
        <v>0</v>
      </c>
      <c r="M35" s="7">
        <f>VLOOKUP($A35,[6]HISTONOV23!$A$7:$AU$45,16,0)</f>
        <v>0</v>
      </c>
      <c r="N35" s="7" t="str">
        <f>IF(M35&lt;&gt;0,VLOOKUP($A35,[6]HISTONOV23!$A$7:$AU$45,8,0),"ECHEC")</f>
        <v>ECHEC</v>
      </c>
      <c r="O35" s="7">
        <f>IF(R35=0,0,VLOOKUP($A35,[6]HISTONOV23!$A$7:$AU$45,32,0))</f>
        <v>0</v>
      </c>
      <c r="P35" s="7">
        <f>VLOOKUP($A35,[6]HISTONOV23!$A$7:$AU$45,33,0)</f>
        <v>0</v>
      </c>
      <c r="Q35" s="7">
        <f t="shared" si="0"/>
        <v>297500</v>
      </c>
      <c r="R35" s="7">
        <f>VLOOKUP($A35,[6]HISTONOV23!$A$7:$AU$45,29,0)</f>
        <v>2500</v>
      </c>
    </row>
    <row r="36" spans="1:18" x14ac:dyDescent="0.25">
      <c r="A36" s="1"/>
    </row>
    <row r="37" spans="1:18" ht="18" x14ac:dyDescent="0.25">
      <c r="A37" s="1" t="s">
        <v>84</v>
      </c>
      <c r="B37" s="8">
        <f>SUM(B6:B36)</f>
        <v>30</v>
      </c>
      <c r="I37" s="9"/>
    </row>
    <row r="38" spans="1:18" ht="18" x14ac:dyDescent="0.25">
      <c r="A38" s="1" t="s">
        <v>83</v>
      </c>
      <c r="B38" s="16">
        <f>COUNT(D6:D35)</f>
        <v>30</v>
      </c>
      <c r="C38" s="8"/>
      <c r="D38" s="8">
        <f>SUM(D6:D37)</f>
        <v>750000</v>
      </c>
      <c r="E38" s="8">
        <f>SUM(E6:E37)</f>
        <v>1302500</v>
      </c>
      <c r="F38" s="8">
        <f>SUM(F6:F37)</f>
        <v>18000</v>
      </c>
      <c r="G38" s="8"/>
      <c r="H38" s="8">
        <f t="shared" ref="H38:R38" si="2">SUM(H6:H37)</f>
        <v>58000</v>
      </c>
      <c r="I38" s="8">
        <f t="shared" si="2"/>
        <v>1500</v>
      </c>
      <c r="J38" s="8"/>
      <c r="K38" s="8"/>
      <c r="L38" s="8">
        <f t="shared" si="2"/>
        <v>150000</v>
      </c>
      <c r="M38" s="8">
        <f t="shared" si="2"/>
        <v>150000</v>
      </c>
      <c r="N38" s="8">
        <f t="shared" si="2"/>
        <v>0</v>
      </c>
      <c r="O38" s="8">
        <f t="shared" si="2"/>
        <v>0</v>
      </c>
      <c r="P38" s="8">
        <f t="shared" si="2"/>
        <v>0</v>
      </c>
      <c r="Q38" s="8">
        <f t="shared" si="2"/>
        <v>892500</v>
      </c>
      <c r="R38" s="8">
        <f t="shared" si="2"/>
        <v>7500</v>
      </c>
    </row>
    <row r="39" spans="1:18" s="2" customFormat="1" x14ac:dyDescent="0.25">
      <c r="B39"/>
      <c r="C39"/>
      <c r="D39"/>
      <c r="E39"/>
      <c r="F39"/>
      <c r="G39"/>
      <c r="H39"/>
      <c r="I39" s="9"/>
      <c r="J39" s="3"/>
      <c r="K39" s="3"/>
      <c r="L39" s="3"/>
      <c r="N39" s="4" t="s">
        <v>76</v>
      </c>
      <c r="O39" s="4" t="s">
        <v>85</v>
      </c>
      <c r="P39" s="3"/>
    </row>
    <row r="40" spans="1:18" s="2" customFormat="1" ht="29.25" x14ac:dyDescent="0.25">
      <c r="D40" s="4" t="s">
        <v>5</v>
      </c>
      <c r="E40" s="4" t="s">
        <v>7</v>
      </c>
      <c r="F40"/>
      <c r="G40" s="4" t="s">
        <v>36</v>
      </c>
      <c r="H40" s="4" t="s">
        <v>40</v>
      </c>
      <c r="I40" s="4" t="s">
        <v>42</v>
      </c>
      <c r="J40" s="4" t="s">
        <v>43</v>
      </c>
      <c r="K40" s="4"/>
      <c r="L40" s="8" t="s">
        <v>49</v>
      </c>
      <c r="M40" s="8">
        <f>D44+G44+R38+TONTOCT23!O45</f>
        <v>919500</v>
      </c>
      <c r="N40" s="4"/>
      <c r="O40"/>
      <c r="P40" s="4"/>
    </row>
    <row r="41" spans="1:18" s="2" customFormat="1" ht="18" x14ac:dyDescent="0.25">
      <c r="D41" s="8">
        <f>SUMIFS(D6:D37,G6:G37,"ESPECES")</f>
        <v>50000</v>
      </c>
      <c r="E41" s="8">
        <f>SUMIFS(E6:E37,G6:G37,"ESPECES")</f>
        <v>81000</v>
      </c>
      <c r="F41" s="8" t="s">
        <v>32</v>
      </c>
      <c r="G41" s="8">
        <f>SUMIFS(M6:M35,N6:N35,"ESPECES")</f>
        <v>61000</v>
      </c>
      <c r="H41" s="8">
        <f>SUMIFS(H6:H37,J6:J37,"ESPECES")</f>
        <v>0</v>
      </c>
      <c r="I41" s="8">
        <f>SUMIFS(Q6:Q37,O6:O37,"ESPECES")</f>
        <v>0</v>
      </c>
      <c r="J41" s="8">
        <f>D41+G41-H41-I41</f>
        <v>111000</v>
      </c>
      <c r="K41" s="8"/>
      <c r="L41" s="8" t="s">
        <v>80</v>
      </c>
      <c r="M41" s="8">
        <f>C3*COUNTIF(Q6:Q37,"&gt;0")</f>
        <v>900000</v>
      </c>
      <c r="N41" s="8">
        <f>D3</f>
        <v>3</v>
      </c>
      <c r="O41" s="8">
        <f>COUNTIF(Q6:Q35,"&gt;0")</f>
        <v>3</v>
      </c>
      <c r="P41" s="8"/>
    </row>
    <row r="42" spans="1:18" s="2" customFormat="1" ht="18" x14ac:dyDescent="0.25">
      <c r="D42" s="8">
        <f>SUMIFS(D6:D37,G6:G37,"BANQUE")</f>
        <v>700000</v>
      </c>
      <c r="E42" s="8">
        <f>SUMIFS(E6:E38,G6:G38,"BANQUE")</f>
        <v>1221500</v>
      </c>
      <c r="F42" s="8" t="s">
        <v>33</v>
      </c>
      <c r="G42" s="8">
        <f>SUMIFS(M6:M35,N6:N35,"BANQUE")</f>
        <v>89000</v>
      </c>
      <c r="H42" s="8">
        <f>SUMIFS(H6:H37,J6:J37,"BANQUE")</f>
        <v>58000</v>
      </c>
      <c r="I42" s="8">
        <f>SUMIFS(Q6:Q37,O6:O37,"BANQUE")</f>
        <v>0</v>
      </c>
      <c r="J42" s="8">
        <f>D42+G42-H42-I42</f>
        <v>731000</v>
      </c>
      <c r="K42" s="8"/>
      <c r="M42" s="8"/>
      <c r="N42" s="8"/>
      <c r="O42" s="8"/>
      <c r="P42" s="8"/>
    </row>
    <row r="43" spans="1:18" s="2" customFormat="1" ht="18" x14ac:dyDescent="0.25">
      <c r="D43" s="8"/>
      <c r="E43" s="8"/>
      <c r="F43" s="8"/>
      <c r="G43" s="8"/>
      <c r="H43" s="8"/>
      <c r="I43" s="8"/>
      <c r="K43" s="8"/>
      <c r="L43" s="8" t="s">
        <v>48</v>
      </c>
      <c r="M43" s="8">
        <f>M40-M41</f>
        <v>19500</v>
      </c>
      <c r="N43" s="8"/>
      <c r="O43" s="8"/>
      <c r="P43" s="8"/>
    </row>
    <row r="44" spans="1:18" s="2" customFormat="1" ht="18" x14ac:dyDescent="0.25">
      <c r="D44" s="8">
        <f>D41+D42</f>
        <v>750000</v>
      </c>
      <c r="E44" s="8">
        <f>E41+E42</f>
        <v>1302500</v>
      </c>
      <c r="F44" s="8" t="s">
        <v>30</v>
      </c>
      <c r="G44" s="8">
        <f>G41+G42</f>
        <v>150000</v>
      </c>
      <c r="H44" s="8">
        <f>H41+H42</f>
        <v>58000</v>
      </c>
      <c r="I44" s="8">
        <f t="shared" ref="I44:J44" si="3">I41+I42</f>
        <v>0</v>
      </c>
      <c r="J44" s="8">
        <f t="shared" si="3"/>
        <v>842000</v>
      </c>
      <c r="K44" s="8"/>
      <c r="M44" s="8"/>
      <c r="N44" s="8"/>
      <c r="O44" s="8"/>
      <c r="P44" s="8"/>
    </row>
    <row r="45" spans="1:18" s="2" customFormat="1" ht="18" x14ac:dyDescent="0.25">
      <c r="D45" s="8"/>
      <c r="E45" s="8"/>
      <c r="F45" s="8" t="s">
        <v>52</v>
      </c>
      <c r="G45"/>
      <c r="H45"/>
      <c r="I45" s="3"/>
      <c r="J45" s="3"/>
      <c r="K45" s="3"/>
      <c r="L45" s="8" t="s">
        <v>51</v>
      </c>
      <c r="M45" s="8">
        <f>M43-H38</f>
        <v>-38500</v>
      </c>
      <c r="N45"/>
      <c r="O45" s="8">
        <f>TONTNOV23!M45</f>
        <v>-38500</v>
      </c>
      <c r="P45" s="8" t="s">
        <v>54</v>
      </c>
    </row>
    <row r="46" spans="1:18" s="2" customFormat="1" ht="18" x14ac:dyDescent="0.25">
      <c r="D46" s="4"/>
      <c r="E46" s="4"/>
      <c r="F46" s="8"/>
      <c r="G46"/>
      <c r="H46"/>
      <c r="I46" s="3"/>
      <c r="J46" s="3"/>
      <c r="K46" s="3"/>
      <c r="N46"/>
      <c r="O46" s="3"/>
      <c r="P46" s="3"/>
    </row>
    <row r="47" spans="1:18" ht="18" x14ac:dyDescent="0.25">
      <c r="L47" s="8" t="s">
        <v>56</v>
      </c>
      <c r="M47" s="8">
        <f>COUNTIFS(G6:G36,"ECHEC")*25000</f>
        <v>0</v>
      </c>
      <c r="O47" s="8">
        <f>TONTOCT23!O47+TONTNOV23!M47</f>
        <v>0</v>
      </c>
      <c r="P47" s="8" t="s">
        <v>54</v>
      </c>
    </row>
    <row r="48" spans="1:18" ht="18" x14ac:dyDescent="0.25">
      <c r="F48" s="2"/>
      <c r="L48" s="8" t="s">
        <v>55</v>
      </c>
      <c r="M48" s="8">
        <f>L38-G44</f>
        <v>0</v>
      </c>
      <c r="O48" s="8">
        <f>TONTOCT23!O48+TONTNOV23!M48</f>
        <v>0</v>
      </c>
      <c r="P48" s="8" t="s">
        <v>54</v>
      </c>
    </row>
  </sheetData>
  <autoFilter ref="A5:R25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"/>
  <sheetViews>
    <sheetView workbookViewId="0">
      <pane xSplit="3" ySplit="5" topLeftCell="L6" activePane="bottomRight" state="frozen"/>
      <selection activeCell="O49" sqref="O49"/>
      <selection pane="topRight" activeCell="O49" sqref="O49"/>
      <selection pane="bottomLeft" activeCell="O49" sqref="O49"/>
      <selection pane="bottomRight" activeCell="O41" sqref="O41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5" width="21" customWidth="1"/>
    <col min="6" max="6" width="21.42578125" customWidth="1"/>
    <col min="7" max="7" width="16.7109375" customWidth="1"/>
    <col min="8" max="8" width="15" customWidth="1"/>
    <col min="9" max="10" width="17.5703125" style="3" customWidth="1"/>
    <col min="11" max="11" width="16" style="3" customWidth="1"/>
    <col min="12" max="12" width="19.85546875" style="3" customWidth="1"/>
    <col min="13" max="13" width="15.7109375" style="2" customWidth="1"/>
    <col min="14" max="14" width="13" customWidth="1"/>
    <col min="15" max="15" width="15" bestFit="1" customWidth="1"/>
    <col min="16" max="16" width="15.5703125" style="3" customWidth="1"/>
    <col min="17" max="18" width="18.140625" style="2" customWidth="1"/>
  </cols>
  <sheetData>
    <row r="1" spans="1:18" x14ac:dyDescent="0.2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18" x14ac:dyDescent="0.25">
      <c r="A2" s="1" t="s">
        <v>2</v>
      </c>
      <c r="B2" s="1">
        <v>2023</v>
      </c>
      <c r="C2" s="1" t="s">
        <v>81</v>
      </c>
      <c r="D2" s="1" t="s">
        <v>76</v>
      </c>
      <c r="E2" s="1"/>
      <c r="F2" s="1"/>
      <c r="G2" s="1"/>
      <c r="N2" s="1"/>
      <c r="O2" s="1"/>
    </row>
    <row r="3" spans="1:18" x14ac:dyDescent="0.25">
      <c r="A3" s="1" t="s">
        <v>82</v>
      </c>
      <c r="B3" s="6">
        <v>25000</v>
      </c>
      <c r="C3" s="6">
        <f>B3*12</f>
        <v>300000</v>
      </c>
      <c r="D3" s="1">
        <f>ROUNDDOWN(M40/C3,0)</f>
        <v>2</v>
      </c>
      <c r="E3" s="1"/>
      <c r="F3" s="1"/>
      <c r="G3" s="1"/>
      <c r="N3" s="1"/>
      <c r="O3" s="1"/>
    </row>
    <row r="4" spans="1:18" s="13" customFormat="1" ht="18" x14ac:dyDescent="0.25">
      <c r="B4" s="14"/>
      <c r="C4" s="21">
        <v>45273</v>
      </c>
      <c r="D4" s="22"/>
      <c r="E4" s="22"/>
      <c r="F4" s="22"/>
      <c r="G4" s="22"/>
      <c r="H4" s="22"/>
      <c r="I4" s="22"/>
      <c r="J4" s="22"/>
      <c r="K4" s="22"/>
      <c r="L4" s="22"/>
      <c r="N4" s="15"/>
      <c r="O4" s="15"/>
      <c r="P4" s="15"/>
      <c r="Q4" s="15"/>
    </row>
    <row r="5" spans="1:18" ht="58.5" x14ac:dyDescent="0.3">
      <c r="A5" s="1" t="s">
        <v>3</v>
      </c>
      <c r="B5" s="12" t="s">
        <v>77</v>
      </c>
      <c r="C5" s="1" t="s">
        <v>4</v>
      </c>
      <c r="D5" s="4" t="s">
        <v>5</v>
      </c>
      <c r="E5" s="4" t="s">
        <v>7</v>
      </c>
      <c r="F5" s="1" t="s">
        <v>44</v>
      </c>
      <c r="G5" s="5" t="s">
        <v>6</v>
      </c>
      <c r="H5" s="6" t="s">
        <v>40</v>
      </c>
      <c r="I5" s="4" t="s">
        <v>37</v>
      </c>
      <c r="J5" s="4" t="s">
        <v>41</v>
      </c>
      <c r="K5" s="10" t="s">
        <v>50</v>
      </c>
      <c r="L5" s="4" t="s">
        <v>78</v>
      </c>
      <c r="M5" s="4" t="s">
        <v>36</v>
      </c>
      <c r="N5" s="4" t="s">
        <v>35</v>
      </c>
      <c r="O5" s="4" t="s">
        <v>38</v>
      </c>
      <c r="P5" s="4" t="s">
        <v>50</v>
      </c>
      <c r="Q5" s="4" t="s">
        <v>79</v>
      </c>
      <c r="R5" s="4" t="s">
        <v>39</v>
      </c>
    </row>
    <row r="6" spans="1:18" x14ac:dyDescent="0.25">
      <c r="A6" s="1" t="s">
        <v>89</v>
      </c>
      <c r="B6" s="7">
        <f>IF(D6=0,0,VLOOKUP($A6,[6]HISTODEC23!$A$6:$BO$40,10,0))</f>
        <v>1</v>
      </c>
      <c r="C6" s="1" t="str">
        <f>VLOOKUP(A6,[7]LISTADHERENT!A$5:H$60,3,0)</f>
        <v>BAKOP ACHILLE</v>
      </c>
      <c r="D6" s="7">
        <f>IF(G6="ECHEC",0,B$3)</f>
        <v>25000</v>
      </c>
      <c r="E6" s="7">
        <f>D6+VLOOKUP($A6,[6]HISTODEC23!$A$7:$AU$40,45,0)+F6</f>
        <v>40000</v>
      </c>
      <c r="F6" s="7">
        <f>VLOOKUP($A6,[6]HISTODEC23!$A$7:$AU$45,7,0)</f>
        <v>0</v>
      </c>
      <c r="G6" s="7" t="str">
        <f>VLOOKUP($A6,[6]HISTODEC23!$A$7:$AU$45,8,0)</f>
        <v>ESPECES</v>
      </c>
      <c r="H6" s="7">
        <f>VLOOKUP($A6,[6]HISTODEC23!$A$6:$AU$45,35,0)</f>
        <v>0</v>
      </c>
      <c r="I6" s="7">
        <f>VLOOKUP($A6,[6]HISTODEC23!$A$7:$AU$45,38,0)</f>
        <v>0</v>
      </c>
      <c r="J6" s="7">
        <f>IF(I6=0,0,VLOOKUP($A6,[6]HISTODEC23!$A$7:$AU$45,42,0))</f>
        <v>0</v>
      </c>
      <c r="K6" s="7">
        <f>VLOOKUP($A6,[6]HISTODEC23!$A$7:$AU$45,41,0)</f>
        <v>0</v>
      </c>
      <c r="L6" s="7">
        <f>TONTNOV23!H6+TONTNOV23!I6</f>
        <v>29000</v>
      </c>
      <c r="M6" s="7">
        <f>VLOOKUP($A6,[6]HISTODEC23!$A$7:$AU$45,16,0)</f>
        <v>29000</v>
      </c>
      <c r="N6" s="7" t="str">
        <f>IF(M6&lt;&gt;0,VLOOKUP($A6,[6]HISTODEC23!$A$7:$AU$45,8,0),"ECHEC")</f>
        <v>ESPECES</v>
      </c>
      <c r="O6" s="7">
        <f>IF(R6=0,0,VLOOKUP($A6,[6]HISTODEC23!$A$7:$AU$45,32,0))</f>
        <v>0</v>
      </c>
      <c r="P6" s="7">
        <f>VLOOKUP($A6,[6]HISTODEC23!$A$7:$AU$45,33,0)</f>
        <v>0</v>
      </c>
      <c r="Q6" s="7">
        <f t="shared" ref="Q6:Q35" si="0">IF(R6=0,0,($C$3-R6))</f>
        <v>0</v>
      </c>
      <c r="R6" s="7">
        <f>VLOOKUP($A6,[6]HISTODEC23!$A$7:$AU$45,29,0)</f>
        <v>0</v>
      </c>
    </row>
    <row r="7" spans="1:18" x14ac:dyDescent="0.25">
      <c r="A7" s="1" t="s">
        <v>9</v>
      </c>
      <c r="B7" s="7">
        <f>IF(D7=0,0,VLOOKUP($A7,[6]HISTODEC23!$A$6:$BO$40,10,0))</f>
        <v>1</v>
      </c>
      <c r="C7" s="1" t="str">
        <f>VLOOKUP(A7,[7]LISTADHERENT!A$5:H$60,3,0)</f>
        <v>BOUTCHOUANG WILLIAM</v>
      </c>
      <c r="D7" s="7">
        <f>IF(G7="ECHEC",0,B$3)</f>
        <v>25000</v>
      </c>
      <c r="E7" s="7">
        <f>D7+VLOOKUP($A7,[6]HISTODEC23!$A$7:$AU$40,45,0)+F7</f>
        <v>40000</v>
      </c>
      <c r="F7" s="7">
        <f>VLOOKUP($A7,[6]HISTODEC23!$A$7:$AU$45,7,0)</f>
        <v>0</v>
      </c>
      <c r="G7" s="7" t="str">
        <f>VLOOKUP($A7,[6]HISTODEC23!$A$7:$AU$45,8,0)</f>
        <v>BANQUE</v>
      </c>
      <c r="H7" s="7">
        <f>VLOOKUP($A7,[6]HISTODEC23!$A$6:$AU$45,35,0)</f>
        <v>0</v>
      </c>
      <c r="I7" s="7">
        <f>VLOOKUP($A7,[6]HISTODEC23!$A$7:$AU$45,38,0)</f>
        <v>0</v>
      </c>
      <c r="J7" s="7">
        <f>IF(I7=0,0,VLOOKUP($A7,[6]HISTODEC23!$A$7:$AU$45,42,0))</f>
        <v>0</v>
      </c>
      <c r="K7" s="7">
        <f>VLOOKUP($A7,[6]HISTODEC23!$A$7:$AU$45,41,0)</f>
        <v>0</v>
      </c>
      <c r="L7" s="7">
        <f>TONTNOV23!H7+TONTNOV23!I7</f>
        <v>0</v>
      </c>
      <c r="M7" s="7">
        <f>VLOOKUP($A7,[6]HISTODEC23!$A$7:$AU$45,16,0)</f>
        <v>0</v>
      </c>
      <c r="N7" s="7" t="str">
        <f>IF(M7&lt;&gt;0,VLOOKUP($A7,[6]HISTODEC23!$A$7:$AU$45,8,0),"ECHEC")</f>
        <v>ECHEC</v>
      </c>
      <c r="O7" s="7">
        <f>IF(R7=0,0,VLOOKUP($A7,[6]HISTODEC23!$A$7:$AU$45,32,0))</f>
        <v>0</v>
      </c>
      <c r="P7" s="7">
        <f>VLOOKUP($A7,[6]HISTODEC23!$A$7:$AU$45,33,0)</f>
        <v>0</v>
      </c>
      <c r="Q7" s="7">
        <f t="shared" si="0"/>
        <v>0</v>
      </c>
      <c r="R7" s="7">
        <f>VLOOKUP($A7,[6]HISTODEC23!$A$7:$AU$45,29,0)</f>
        <v>0</v>
      </c>
    </row>
    <row r="8" spans="1:18" x14ac:dyDescent="0.25">
      <c r="A8" s="1" t="s">
        <v>10</v>
      </c>
      <c r="B8" s="7">
        <f>IF(D8=0,0,VLOOKUP($A8,[6]HISTODEC23!$A$6:$BO$40,10,0))</f>
        <v>1</v>
      </c>
      <c r="C8" s="1" t="str">
        <f>VLOOKUP(A8,[7]LISTADHERENT!A$5:H$60,3,0)</f>
        <v xml:space="preserve">DJOMO JEAN PAUL </v>
      </c>
      <c r="D8" s="7">
        <f t="shared" ref="D8:D35" si="1">IF(G8="ECHEC",0,B$3)</f>
        <v>25000</v>
      </c>
      <c r="E8" s="7">
        <f>D8+VLOOKUP($A8,[6]HISTODEC23!$A$7:$AU$40,45,0)+F8</f>
        <v>65000</v>
      </c>
      <c r="F8" s="7">
        <f>VLOOKUP($A8,[6]HISTODEC23!$A$7:$AU$45,7,0)</f>
        <v>0</v>
      </c>
      <c r="G8" s="7" t="str">
        <f>VLOOKUP($A8,[6]HISTODEC23!$A$7:$AU$45,8,0)</f>
        <v>BANQUE</v>
      </c>
      <c r="H8" s="7">
        <f>VLOOKUP($A8,[6]HISTODEC23!$A$6:$AU$45,35,0)</f>
        <v>0</v>
      </c>
      <c r="I8" s="7">
        <f>VLOOKUP($A8,[6]HISTODEC23!$A$7:$AU$45,38,0)</f>
        <v>0</v>
      </c>
      <c r="J8" s="7">
        <f>IF(I8=0,0,VLOOKUP($A8,[6]HISTODEC23!$A$7:$AU$45,42,0))</f>
        <v>0</v>
      </c>
      <c r="K8" s="7">
        <f>VLOOKUP($A8,[6]HISTODEC23!$A$7:$AU$45,41,0)</f>
        <v>0</v>
      </c>
      <c r="L8" s="7">
        <f>TONTNOV23!H8+TONTNOV23!I8</f>
        <v>0</v>
      </c>
      <c r="M8" s="7">
        <f>VLOOKUP($A8,[6]HISTODEC23!$A$7:$AU$45,16,0)</f>
        <v>0</v>
      </c>
      <c r="N8" s="7" t="str">
        <f>IF(M8&lt;&gt;0,VLOOKUP($A8,[6]HISTODEC23!$A$7:$AU$45,8,0),"ECHEC")</f>
        <v>ECHEC</v>
      </c>
      <c r="O8" s="7">
        <f>IF(R8=0,0,VLOOKUP($A8,[6]HISTODEC23!$A$7:$AU$45,32,0))</f>
        <v>0</v>
      </c>
      <c r="P8" s="7">
        <f>VLOOKUP($A8,[6]HISTODEC23!$A$7:$AU$45,33,0)</f>
        <v>0</v>
      </c>
      <c r="Q8" s="7">
        <f t="shared" si="0"/>
        <v>0</v>
      </c>
      <c r="R8" s="7">
        <f>VLOOKUP($A8,[6]HISTODEC23!$A$7:$AU$45,29,0)</f>
        <v>0</v>
      </c>
    </row>
    <row r="9" spans="1:18" x14ac:dyDescent="0.25">
      <c r="A9" s="1" t="s">
        <v>53</v>
      </c>
      <c r="B9" s="7">
        <f>IF(D9=0,0,VLOOKUP($A9,[6]HISTODEC23!$A$6:$BO$40,10,0))</f>
        <v>1</v>
      </c>
      <c r="C9" s="1" t="str">
        <f>VLOOKUP(A9,[7]LISTADHERENT!A$5:H$60,3,0)</f>
        <v>DJOMOU TCHAPDA</v>
      </c>
      <c r="D9" s="7">
        <f t="shared" si="1"/>
        <v>25000</v>
      </c>
      <c r="E9" s="7">
        <f>D9+VLOOKUP($A9,[6]HISTODEC23!$A$7:$AU$40,45,0)+F9</f>
        <v>40000</v>
      </c>
      <c r="F9" s="7">
        <f>VLOOKUP($A9,[6]HISTODEC23!$A$7:$AU$45,7,0)</f>
        <v>0</v>
      </c>
      <c r="G9" s="7" t="str">
        <f>VLOOKUP($A9,[6]HISTODEC23!$A$7:$AU$45,8,0)</f>
        <v>ESPECES</v>
      </c>
      <c r="H9" s="7">
        <f>VLOOKUP($A9,[6]HISTODEC23!$A$6:$AU$45,35,0)</f>
        <v>0</v>
      </c>
      <c r="I9" s="7">
        <f>VLOOKUP($A9,[6]HISTODEC23!$A$7:$AU$45,38,0)</f>
        <v>0</v>
      </c>
      <c r="J9" s="7">
        <f>IF(I9=0,0,VLOOKUP($A9,[6]HISTODEC23!$A$7:$AU$45,42,0))</f>
        <v>0</v>
      </c>
      <c r="K9" s="7">
        <f>VLOOKUP($A9,[6]HISTODEC23!$A$7:$AU$45,41,0)</f>
        <v>0</v>
      </c>
      <c r="L9" s="7">
        <f>TONTNOV23!H9+TONTNOV23!I9</f>
        <v>0</v>
      </c>
      <c r="M9" s="7">
        <f>VLOOKUP($A9,[6]HISTODEC23!$A$7:$AU$45,16,0)</f>
        <v>0</v>
      </c>
      <c r="N9" s="7" t="str">
        <f>IF(M9&lt;&gt;0,VLOOKUP($A9,[6]HISTODEC23!$A$7:$AU$45,8,0),"ECHEC")</f>
        <v>ECHEC</v>
      </c>
      <c r="O9" s="7">
        <f>IF(R9=0,0,VLOOKUP($A9,[6]HISTODEC23!$A$7:$AU$45,32,0))</f>
        <v>0</v>
      </c>
      <c r="P9" s="7">
        <f>VLOOKUP($A9,[6]HISTODEC23!$A$7:$AU$45,33,0)</f>
        <v>0</v>
      </c>
      <c r="Q9" s="7">
        <f t="shared" si="0"/>
        <v>0</v>
      </c>
      <c r="R9" s="7">
        <f>VLOOKUP($A9,[6]HISTODEC23!$A$7:$AU$45,29,0)</f>
        <v>0</v>
      </c>
    </row>
    <row r="10" spans="1:18" x14ac:dyDescent="0.25">
      <c r="A10" s="1" t="s">
        <v>11</v>
      </c>
      <c r="B10" s="7">
        <f>IF(D10=0,0,VLOOKUP($A10,[6]HISTODEC23!$A$6:$BO$40,10,0))</f>
        <v>1</v>
      </c>
      <c r="C10" s="1" t="str">
        <f>VLOOKUP(A10,[7]LISTADHERENT!A$5:H$60,3,0)</f>
        <v>DJOUKWE NANGUEN GUY BLAISE</v>
      </c>
      <c r="D10" s="7">
        <f t="shared" si="1"/>
        <v>25000</v>
      </c>
      <c r="E10" s="7">
        <f>D10+VLOOKUP($A10,[6]HISTODEC23!$A$7:$AU$40,45,0)+F10</f>
        <v>40000</v>
      </c>
      <c r="F10" s="7">
        <f>VLOOKUP($A10,[6]HISTODEC23!$A$7:$AU$45,7,0)</f>
        <v>0</v>
      </c>
      <c r="G10" s="7" t="str">
        <f>VLOOKUP($A10,[6]HISTODEC23!$A$7:$AU$45,8,0)</f>
        <v>BANQUE</v>
      </c>
      <c r="H10" s="7">
        <f>VLOOKUP($A10,[6]HISTODEC23!$A$6:$AU$45,35,0)</f>
        <v>0</v>
      </c>
      <c r="I10" s="7">
        <f>VLOOKUP($A10,[6]HISTODEC23!$A$7:$AU$45,38,0)</f>
        <v>0</v>
      </c>
      <c r="J10" s="7">
        <f>IF(I10=0,0,VLOOKUP($A10,[6]HISTODEC23!$A$7:$AU$45,42,0))</f>
        <v>0</v>
      </c>
      <c r="K10" s="7">
        <f>VLOOKUP($A10,[6]HISTODEC23!$A$7:$AU$45,41,0)</f>
        <v>0</v>
      </c>
      <c r="L10" s="7">
        <f>TONTNOV23!H10+TONTNOV23!I10</f>
        <v>0</v>
      </c>
      <c r="M10" s="7">
        <f>VLOOKUP($A10,[6]HISTODEC23!$A$7:$AU$45,16,0)</f>
        <v>0</v>
      </c>
      <c r="N10" s="7" t="str">
        <f>IF(M10&lt;&gt;0,VLOOKUP($A10,[6]HISTODEC23!$A$7:$AU$45,8,0),"ECHEC")</f>
        <v>ECHEC</v>
      </c>
      <c r="O10" s="7">
        <f>IF(R10=0,0,VLOOKUP($A10,[6]HISTODEC23!$A$7:$AU$45,32,0))</f>
        <v>0</v>
      </c>
      <c r="P10" s="7">
        <f>VLOOKUP($A10,[6]HISTODEC23!$A$7:$AU$45,33,0)</f>
        <v>0</v>
      </c>
      <c r="Q10" s="7">
        <f t="shared" si="0"/>
        <v>0</v>
      </c>
      <c r="R10" s="7">
        <f>VLOOKUP($A10,[6]HISTODEC23!$A$7:$AU$45,29,0)</f>
        <v>0</v>
      </c>
    </row>
    <row r="11" spans="1:18" x14ac:dyDescent="0.25">
      <c r="A11" s="1" t="s">
        <v>12</v>
      </c>
      <c r="B11" s="7">
        <f>IF(D11=0,0,VLOOKUP($A11,[6]HISTODEC23!$A$6:$BO$40,10,0))</f>
        <v>1</v>
      </c>
      <c r="C11" s="1" t="str">
        <f>VLOOKUP(A11,[7]LISTADHERENT!A$5:H$60,3,0)</f>
        <v>DJUOMBESSY ANTOINE</v>
      </c>
      <c r="D11" s="7">
        <f t="shared" si="1"/>
        <v>25000</v>
      </c>
      <c r="E11" s="7">
        <f>D11+VLOOKUP($A11,[6]HISTODEC23!$A$7:$AU$40,45,0)+F11</f>
        <v>45800</v>
      </c>
      <c r="F11" s="7">
        <f>VLOOKUP($A11,[6]HISTODEC23!$A$7:$AU$45,7,0)</f>
        <v>0</v>
      </c>
      <c r="G11" s="7" t="str">
        <f>VLOOKUP($A11,[6]HISTODEC23!$A$7:$AU$45,8,0)</f>
        <v>BANQUE</v>
      </c>
      <c r="H11" s="7">
        <f>VLOOKUP($A11,[6]HISTODEC23!$A$6:$AU$45,35,0)</f>
        <v>0</v>
      </c>
      <c r="I11" s="7">
        <f>VLOOKUP($A11,[6]HISTODEC23!$A$7:$AU$45,38,0)</f>
        <v>0</v>
      </c>
      <c r="J11" s="7">
        <f>IF(I11=0,0,VLOOKUP($A11,[6]HISTODEC23!$A$7:$AU$45,42,0))</f>
        <v>0</v>
      </c>
      <c r="K11" s="7">
        <f>VLOOKUP($A11,[6]HISTODEC23!$A$7:$AU$45,41,0)</f>
        <v>0</v>
      </c>
      <c r="L11" s="7">
        <f>TONTNOV23!H11+TONTNOV23!I11</f>
        <v>0</v>
      </c>
      <c r="M11" s="7">
        <f>VLOOKUP($A11,[6]HISTODEC23!$A$7:$AU$45,16,0)</f>
        <v>0</v>
      </c>
      <c r="N11" s="7" t="str">
        <f>IF(M11&lt;&gt;0,VLOOKUP($A11,[6]HISTODEC23!$A$7:$AU$45,8,0),"ECHEC")</f>
        <v>ECHEC</v>
      </c>
      <c r="O11" s="7">
        <f>IF(R11=0,0,VLOOKUP($A11,[6]HISTODEC23!$A$7:$AU$45,32,0))</f>
        <v>0</v>
      </c>
      <c r="P11" s="7">
        <f>VLOOKUP($A11,[6]HISTODEC23!$A$7:$AU$45,33,0)</f>
        <v>0</v>
      </c>
      <c r="Q11" s="7">
        <f t="shared" si="0"/>
        <v>0</v>
      </c>
      <c r="R11" s="7">
        <f>VLOOKUP($A11,[6]HISTODEC23!$A$7:$AU$45,29,0)</f>
        <v>0</v>
      </c>
    </row>
    <row r="12" spans="1:18" x14ac:dyDescent="0.25">
      <c r="A12" s="1" t="s">
        <v>46</v>
      </c>
      <c r="B12" s="7">
        <f>IF(D12=0,0,VLOOKUP($A12,[6]HISTODEC23!$A$6:$BO$40,10,0))</f>
        <v>1</v>
      </c>
      <c r="C12" s="1" t="str">
        <f>VLOOKUP(A12,[7]LISTADHERENT!A$5:H$60,3,0)</f>
        <v>DOMOU FABIEN</v>
      </c>
      <c r="D12" s="7">
        <f t="shared" si="1"/>
        <v>25000</v>
      </c>
      <c r="E12" s="7">
        <f>D12+VLOOKUP($A12,[6]HISTODEC23!$A$7:$AU$40,45,0)+F12</f>
        <v>40000</v>
      </c>
      <c r="F12" s="7">
        <f>VLOOKUP($A12,[6]HISTODEC23!$A$7:$AU$45,7,0)</f>
        <v>0</v>
      </c>
      <c r="G12" s="7" t="str">
        <f>VLOOKUP($A12,[6]HISTODEC23!$A$7:$AU$45,8,0)</f>
        <v>BANQUE</v>
      </c>
      <c r="H12" s="7">
        <f>VLOOKUP($A12,[6]HISTODEC23!$A$6:$AU$45,35,0)</f>
        <v>0</v>
      </c>
      <c r="I12" s="7">
        <f>VLOOKUP($A12,[6]HISTODEC23!$A$7:$AU$45,38,0)</f>
        <v>0</v>
      </c>
      <c r="J12" s="7">
        <f>IF(I12=0,0,VLOOKUP($A12,[6]HISTODEC23!$A$7:$AU$45,42,0))</f>
        <v>0</v>
      </c>
      <c r="K12" s="7">
        <f>VLOOKUP($A12,[6]HISTODEC23!$A$7:$AU$45,41,0)</f>
        <v>0</v>
      </c>
      <c r="L12" s="7">
        <f>TONTNOV23!H12+TONTNOV23!I12</f>
        <v>0</v>
      </c>
      <c r="M12" s="7">
        <f>VLOOKUP($A12,[6]HISTODEC23!$A$7:$AU$45,16,0)</f>
        <v>0</v>
      </c>
      <c r="N12" s="7" t="str">
        <f>IF(M12&lt;&gt;0,VLOOKUP($A12,[6]HISTODEC23!$A$7:$AU$45,8,0),"ECHEC")</f>
        <v>ECHEC</v>
      </c>
      <c r="O12" s="7">
        <f>IF(R12=0,0,VLOOKUP($A12,[6]HISTODEC23!$A$7:$AU$45,32,0))</f>
        <v>0</v>
      </c>
      <c r="P12" s="7">
        <f>VLOOKUP($A12,[6]HISTODEC23!$A$7:$AU$45,33,0)</f>
        <v>0</v>
      </c>
      <c r="Q12" s="7">
        <f t="shared" si="0"/>
        <v>0</v>
      </c>
      <c r="R12" s="7">
        <f>VLOOKUP($A12,[6]HISTODEC23!$A$7:$AU$45,29,0)</f>
        <v>0</v>
      </c>
    </row>
    <row r="13" spans="1:18" x14ac:dyDescent="0.25">
      <c r="A13" s="1" t="s">
        <v>13</v>
      </c>
      <c r="B13" s="7">
        <f>IF(D13=0,0,VLOOKUP($A13,[6]HISTODEC23!$A$6:$BO$40,10,0))</f>
        <v>1</v>
      </c>
      <c r="C13" s="1" t="str">
        <f>VLOOKUP(A13,[7]LISTADHERENT!A$5:H$60,3,0)</f>
        <v>DONHOU DAVID</v>
      </c>
      <c r="D13" s="7">
        <f t="shared" si="1"/>
        <v>25000</v>
      </c>
      <c r="E13" s="7">
        <f>D13+VLOOKUP($A13,[6]HISTODEC23!$A$7:$AU$40,45,0)+F13</f>
        <v>40000</v>
      </c>
      <c r="F13" s="7">
        <f>VLOOKUP($A13,[6]HISTODEC23!$A$7:$AU$45,7,0)</f>
        <v>0</v>
      </c>
      <c r="G13" s="7" t="str">
        <f>VLOOKUP($A13,[6]HISTODEC23!$A$7:$AU$45,8,0)</f>
        <v>BANQUE</v>
      </c>
      <c r="H13" s="7">
        <f>VLOOKUP($A13,[6]HISTODEC23!$A$6:$AU$45,35,0)</f>
        <v>0</v>
      </c>
      <c r="I13" s="7">
        <f>VLOOKUP($A13,[6]HISTODEC23!$A$7:$AU$45,38,0)</f>
        <v>0</v>
      </c>
      <c r="J13" s="7">
        <f>IF(I13=0,0,VLOOKUP($A13,[6]HISTODEC23!$A$7:$AU$45,42,0))</f>
        <v>0</v>
      </c>
      <c r="K13" s="7">
        <f>VLOOKUP($A13,[6]HISTODEC23!$A$7:$AU$45,41,0)</f>
        <v>0</v>
      </c>
      <c r="L13" s="7">
        <f>TONTNOV23!H13+TONTNOV23!I13</f>
        <v>0</v>
      </c>
      <c r="M13" s="7">
        <f>VLOOKUP($A13,[6]HISTODEC23!$A$7:$AU$45,16,0)</f>
        <v>0</v>
      </c>
      <c r="N13" s="7" t="str">
        <f>IF(M13&lt;&gt;0,VLOOKUP($A13,[6]HISTODEC23!$A$7:$AU$45,8,0),"ECHEC")</f>
        <v>ECHEC</v>
      </c>
      <c r="O13" s="7">
        <f>IF(R13=0,0,VLOOKUP($A13,[6]HISTODEC23!$A$7:$AU$45,32,0))</f>
        <v>0</v>
      </c>
      <c r="P13" s="7">
        <f>VLOOKUP($A13,[6]HISTODEC23!$A$7:$AU$45,33,0)</f>
        <v>0</v>
      </c>
      <c r="Q13" s="7">
        <f t="shared" si="0"/>
        <v>0</v>
      </c>
      <c r="R13" s="7">
        <f>VLOOKUP($A13,[6]HISTODEC23!$A$7:$AU$45,29,0)</f>
        <v>0</v>
      </c>
    </row>
    <row r="14" spans="1:18" x14ac:dyDescent="0.25">
      <c r="A14" s="1" t="s">
        <v>14</v>
      </c>
      <c r="B14" s="7">
        <f>IF(D14=0,0,VLOOKUP($A14,[6]HISTODEC23!$A$6:$BO$40,10,0))</f>
        <v>1</v>
      </c>
      <c r="C14" s="1" t="str">
        <f>VLOOKUP(A14,[7]LISTADHERENT!A$5:H$60,3,0)</f>
        <v>HENGUE PAUL OMER</v>
      </c>
      <c r="D14" s="7">
        <f t="shared" si="1"/>
        <v>25000</v>
      </c>
      <c r="E14" s="7">
        <f>D14+VLOOKUP($A14,[6]HISTODEC23!$A$7:$AU$40,45,0)+F14</f>
        <v>40000</v>
      </c>
      <c r="F14" s="7">
        <f>VLOOKUP($A14,[6]HISTODEC23!$A$7:$AU$45,7,0)</f>
        <v>0</v>
      </c>
      <c r="G14" s="7" t="str">
        <f>VLOOKUP($A14,[6]HISTODEC23!$A$7:$AU$45,8,0)</f>
        <v>BANQUE</v>
      </c>
      <c r="H14" s="7">
        <f>VLOOKUP($A14,[6]HISTODEC23!$A$6:$AU$45,35,0)</f>
        <v>0</v>
      </c>
      <c r="I14" s="7">
        <f>VLOOKUP($A14,[6]HISTODEC23!$A$7:$AU$45,38,0)</f>
        <v>0</v>
      </c>
      <c r="J14" s="7">
        <f>IF(I14=0,0,VLOOKUP($A14,[6]HISTODEC23!$A$7:$AU$45,42,0))</f>
        <v>0</v>
      </c>
      <c r="K14" s="7">
        <f>VLOOKUP($A14,[6]HISTODEC23!$A$7:$AU$45,41,0)</f>
        <v>0</v>
      </c>
      <c r="L14" s="7">
        <f>TONTNOV23!H14+TONTNOV23!I14</f>
        <v>0</v>
      </c>
      <c r="M14" s="7">
        <f>VLOOKUP($A14,[6]HISTODEC23!$A$7:$AU$45,16,0)</f>
        <v>0</v>
      </c>
      <c r="N14" s="7" t="str">
        <f>IF(M14&lt;&gt;0,VLOOKUP($A14,[6]HISTODEC23!$A$7:$AU$45,8,0),"ECHEC")</f>
        <v>ECHEC</v>
      </c>
      <c r="O14" s="7">
        <f>IF(R14=0,0,VLOOKUP($A14,[6]HISTODEC23!$A$7:$AU$45,32,0))</f>
        <v>0</v>
      </c>
      <c r="P14" s="7">
        <f>VLOOKUP($A14,[6]HISTODEC23!$A$7:$AU$45,33,0)</f>
        <v>0</v>
      </c>
      <c r="Q14" s="7">
        <f t="shared" si="0"/>
        <v>0</v>
      </c>
      <c r="R14" s="7">
        <f>VLOOKUP($A14,[6]HISTODEC23!$A$7:$AU$45,29,0)</f>
        <v>0</v>
      </c>
    </row>
    <row r="15" spans="1:18" x14ac:dyDescent="0.25">
      <c r="A15" s="1" t="s">
        <v>15</v>
      </c>
      <c r="B15" s="7">
        <f>IF(D15=0,0,VLOOKUP($A15,[6]HISTODEC23!$A$6:$BO$40,10,0))</f>
        <v>1</v>
      </c>
      <c r="C15" s="1" t="str">
        <f>VLOOKUP(A15,[7]LISTADHERENT!A$5:H$60,3,0)</f>
        <v>HOTCHO BENJAMIN</v>
      </c>
      <c r="D15" s="7">
        <f t="shared" si="1"/>
        <v>25000</v>
      </c>
      <c r="E15" s="7">
        <f>D15+VLOOKUP($A15,[6]HISTODEC23!$A$7:$AU$40,45,0)+F15</f>
        <v>75000</v>
      </c>
      <c r="F15" s="7">
        <f>VLOOKUP($A15,[6]HISTODEC23!$A$7:$AU$45,7,0)</f>
        <v>0</v>
      </c>
      <c r="G15" s="7" t="str">
        <f>VLOOKUP($A15,[6]HISTODEC23!$A$7:$AU$45,8,0)</f>
        <v>BANQUE</v>
      </c>
      <c r="H15" s="7">
        <f>VLOOKUP($A15,[6]HISTODEC23!$A$6:$AU$45,35,0)</f>
        <v>0</v>
      </c>
      <c r="I15" s="7">
        <f>VLOOKUP($A15,[6]HISTODEC23!$A$7:$AU$45,38,0)</f>
        <v>0</v>
      </c>
      <c r="J15" s="7">
        <f>IF(I15=0,0,VLOOKUP($A15,[6]HISTODEC23!$A$7:$AU$45,42,0))</f>
        <v>0</v>
      </c>
      <c r="K15" s="7">
        <f>VLOOKUP($A15,[6]HISTODEC23!$A$7:$AU$45,41,0)</f>
        <v>0</v>
      </c>
      <c r="L15" s="7">
        <f>TONTNOV23!H15+TONTNOV23!I15</f>
        <v>0</v>
      </c>
      <c r="M15" s="7">
        <f>VLOOKUP($A15,[6]HISTODEC23!$A$7:$AU$45,16,0)</f>
        <v>0</v>
      </c>
      <c r="N15" s="7" t="str">
        <f>IF(M15&lt;&gt;0,VLOOKUP($A15,[6]HISTODEC23!$A$7:$AU$45,8,0),"ECHEC")</f>
        <v>ECHEC</v>
      </c>
      <c r="O15" s="7">
        <f>IF(R15=0,0,VLOOKUP($A15,[6]HISTODEC23!$A$7:$AU$45,32,0))</f>
        <v>0</v>
      </c>
      <c r="P15" s="7">
        <f>VLOOKUP($A15,[6]HISTODEC23!$A$7:$AU$45,33,0)</f>
        <v>0</v>
      </c>
      <c r="Q15" s="7">
        <f t="shared" si="0"/>
        <v>0</v>
      </c>
      <c r="R15" s="7">
        <f>VLOOKUP($A15,[6]HISTODEC23!$A$7:$AU$45,29,0)</f>
        <v>0</v>
      </c>
    </row>
    <row r="16" spans="1:18" x14ac:dyDescent="0.25">
      <c r="A16" s="1" t="s">
        <v>16</v>
      </c>
      <c r="B16" s="7">
        <f>IF(D16=0,0,VLOOKUP($A16,[6]HISTODEC23!$A$6:$BO$40,10,0))</f>
        <v>1</v>
      </c>
      <c r="C16" s="1" t="str">
        <f>VLOOKUP(A16,[7]LISTADHERENT!A$5:H$60,3,0)</f>
        <v>KOUAMOU MOISE</v>
      </c>
      <c r="D16" s="7">
        <f t="shared" si="1"/>
        <v>25000</v>
      </c>
      <c r="E16" s="7">
        <f>D16+VLOOKUP($A16,[6]HISTODEC23!$A$7:$AU$40,45,0)+F16</f>
        <v>40000</v>
      </c>
      <c r="F16" s="7">
        <f>VLOOKUP($A16,[6]HISTODEC23!$A$7:$AU$45,7,0)</f>
        <v>0</v>
      </c>
      <c r="G16" s="7" t="str">
        <f>VLOOKUP($A16,[6]HISTODEC23!$A$7:$AU$45,8,0)</f>
        <v>BANQUE</v>
      </c>
      <c r="H16" s="7">
        <f>VLOOKUP($A16,[6]HISTODEC23!$A$6:$AU$45,35,0)</f>
        <v>0</v>
      </c>
      <c r="I16" s="7">
        <f>VLOOKUP($A16,[6]HISTODEC23!$A$7:$AU$45,38,0)</f>
        <v>0</v>
      </c>
      <c r="J16" s="7">
        <f>IF(I16=0,0,VLOOKUP($A16,[6]HISTODEC23!$A$7:$AU$45,42,0))</f>
        <v>0</v>
      </c>
      <c r="K16" s="7">
        <f>VLOOKUP($A16,[6]HISTODEC23!$A$7:$AU$45,41,0)</f>
        <v>0</v>
      </c>
      <c r="L16" s="7">
        <f>TONTNOV23!H16+TONTNOV23!I16</f>
        <v>0</v>
      </c>
      <c r="M16" s="7">
        <f>VLOOKUP($A16,[6]HISTODEC23!$A$7:$AU$45,16,0)</f>
        <v>0</v>
      </c>
      <c r="N16" s="7" t="str">
        <f>IF(M16&lt;&gt;0,VLOOKUP($A16,[6]HISTODEC23!$A$7:$AU$45,8,0),"ECHEC")</f>
        <v>ECHEC</v>
      </c>
      <c r="O16" s="7">
        <f>IF(R16=0,0,VLOOKUP($A16,[6]HISTODEC23!$A$7:$AU$45,32,0))</f>
        <v>0</v>
      </c>
      <c r="P16" s="7">
        <f>VLOOKUP($A16,[6]HISTODEC23!$A$7:$AU$45,33,0)</f>
        <v>0</v>
      </c>
      <c r="Q16" s="7">
        <f t="shared" si="0"/>
        <v>0</v>
      </c>
      <c r="R16" s="7">
        <f>VLOOKUP($A16,[6]HISTODEC23!$A$7:$AU$45,29,0)</f>
        <v>0</v>
      </c>
    </row>
    <row r="17" spans="1:18" x14ac:dyDescent="0.25">
      <c r="A17" s="1" t="s">
        <v>17</v>
      </c>
      <c r="B17" s="7">
        <f>IF(D17=0,0,VLOOKUP($A17,[6]HISTODEC23!$A$6:$BO$40,10,0))</f>
        <v>1</v>
      </c>
      <c r="C17" s="1" t="str">
        <f>VLOOKUP(A17,[7]LISTADHERENT!A$5:H$60,3,0)</f>
        <v>KOUATCHO MESSACK</v>
      </c>
      <c r="D17" s="7">
        <f t="shared" si="1"/>
        <v>25000</v>
      </c>
      <c r="E17" s="7">
        <f>D17+VLOOKUP($A17,[6]HISTODEC23!$A$7:$AU$40,45,0)+F17</f>
        <v>40000</v>
      </c>
      <c r="F17" s="7">
        <f>VLOOKUP($A17,[6]HISTODEC23!$A$7:$AU$45,7,0)</f>
        <v>0</v>
      </c>
      <c r="G17" s="7" t="str">
        <f>VLOOKUP($A17,[6]HISTODEC23!$A$7:$AU$45,8,0)</f>
        <v>BANQUE</v>
      </c>
      <c r="H17" s="7">
        <f>VLOOKUP($A17,[6]HISTODEC23!$A$6:$AU$45,35,0)</f>
        <v>0</v>
      </c>
      <c r="I17" s="7">
        <f>VLOOKUP($A17,[6]HISTODEC23!$A$7:$AU$45,38,0)</f>
        <v>0</v>
      </c>
      <c r="J17" s="7">
        <f>IF(I17=0,0,VLOOKUP($A17,[6]HISTODEC23!$A$7:$AU$45,42,0))</f>
        <v>0</v>
      </c>
      <c r="K17" s="7">
        <f>VLOOKUP($A17,[6]HISTODEC23!$A$7:$AU$45,41,0)</f>
        <v>0</v>
      </c>
      <c r="L17" s="7">
        <f>TONTNOV23!H17+TONTNOV23!I17</f>
        <v>30500</v>
      </c>
      <c r="M17" s="7">
        <f>VLOOKUP($A17,[6]HISTODEC23!$A$7:$AU$45,16,0)</f>
        <v>30500</v>
      </c>
      <c r="N17" s="7" t="str">
        <f>IF(M17&lt;&gt;0,VLOOKUP($A17,[6]HISTODEC23!$A$7:$AU$45,8,0),"ECHEC")</f>
        <v>BANQUE</v>
      </c>
      <c r="O17" s="7">
        <f>IF(R17=0,0,VLOOKUP($A17,[6]HISTODEC23!$A$7:$AU$45,32,0))</f>
        <v>0</v>
      </c>
      <c r="P17" s="7">
        <f>VLOOKUP($A17,[6]HISTODEC23!$A$7:$AU$45,33,0)</f>
        <v>0</v>
      </c>
      <c r="Q17" s="7">
        <f t="shared" si="0"/>
        <v>0</v>
      </c>
      <c r="R17" s="7">
        <f>VLOOKUP($A17,[6]HISTODEC23!$A$7:$AU$45,29,0)</f>
        <v>0</v>
      </c>
    </row>
    <row r="18" spans="1:18" x14ac:dyDescent="0.25">
      <c r="A18" s="1" t="s">
        <v>18</v>
      </c>
      <c r="B18" s="7">
        <f>IF(D18=0,0,VLOOKUP($A18,[6]HISTODEC23!$A$6:$BO$40,10,0))</f>
        <v>1</v>
      </c>
      <c r="C18" s="1" t="str">
        <f>VLOOKUP(A18,[7]LISTADHERENT!A$5:H$60,3,0)</f>
        <v>LOWE JEAN</v>
      </c>
      <c r="D18" s="7">
        <f t="shared" si="1"/>
        <v>25000</v>
      </c>
      <c r="E18" s="7">
        <f>D18+VLOOKUP($A18,[6]HISTODEC23!$A$7:$AU$40,45,0)+F18</f>
        <v>40000</v>
      </c>
      <c r="F18" s="7">
        <f>VLOOKUP($A18,[6]HISTODEC23!$A$7:$AU$45,7,0)</f>
        <v>0</v>
      </c>
      <c r="G18" s="7" t="str">
        <f>VLOOKUP($A18,[6]HISTODEC23!$A$7:$AU$45,8,0)</f>
        <v>BANQUE</v>
      </c>
      <c r="H18" s="7">
        <f>VLOOKUP($A18,[6]HISTODEC23!$A$6:$AU$45,35,0)</f>
        <v>0</v>
      </c>
      <c r="I18" s="7">
        <f>VLOOKUP($A18,[6]HISTODEC23!$A$7:$AU$45,38,0)</f>
        <v>0</v>
      </c>
      <c r="J18" s="7">
        <f>IF(I18=0,0,VLOOKUP($A18,[6]HISTODEC23!$A$7:$AU$45,42,0))</f>
        <v>0</v>
      </c>
      <c r="K18" s="7">
        <f>VLOOKUP($A18,[6]HISTODEC23!$A$7:$AU$45,41,0)</f>
        <v>0</v>
      </c>
      <c r="L18" s="7">
        <f>TONTNOV23!H18+TONTNOV23!I18</f>
        <v>0</v>
      </c>
      <c r="M18" s="7">
        <f>VLOOKUP($A18,[6]HISTODEC23!$A$7:$AU$45,16,0)</f>
        <v>0</v>
      </c>
      <c r="N18" s="7" t="str">
        <f>IF(M18&lt;&gt;0,VLOOKUP($A18,[6]HISTODEC23!$A$7:$AU$45,8,0),"ECHEC")</f>
        <v>ECHEC</v>
      </c>
      <c r="O18" s="7">
        <f>IF(R18=0,0,VLOOKUP($A18,[6]HISTODEC23!$A$7:$AU$45,32,0))</f>
        <v>0</v>
      </c>
      <c r="P18" s="7">
        <f>VLOOKUP($A18,[6]HISTODEC23!$A$7:$AU$45,33,0)</f>
        <v>0</v>
      </c>
      <c r="Q18" s="7">
        <f t="shared" si="0"/>
        <v>0</v>
      </c>
      <c r="R18" s="7">
        <f>VLOOKUP($A18,[6]HISTODEC23!$A$7:$AU$45,29,0)</f>
        <v>0</v>
      </c>
    </row>
    <row r="19" spans="1:18" x14ac:dyDescent="0.25">
      <c r="A19" s="1" t="s">
        <v>45</v>
      </c>
      <c r="B19" s="7">
        <f>IF(D19=0,0,VLOOKUP($A19,[6]HISTODEC23!$A$6:$BO$40,10,0))</f>
        <v>1</v>
      </c>
      <c r="C19" s="1" t="str">
        <f>VLOOKUP(A19,[7]LISTADHERENT!A$5:H$60,3,0)</f>
        <v>MBOGNING TUGMA GUY</v>
      </c>
      <c r="D19" s="7">
        <f t="shared" si="1"/>
        <v>25000</v>
      </c>
      <c r="E19" s="7">
        <f>D19+VLOOKUP($A19,[6]HISTODEC23!$A$7:$AU$40,45,0)+F19</f>
        <v>40000</v>
      </c>
      <c r="F19" s="7">
        <f>VLOOKUP($A19,[6]HISTODEC23!$A$7:$AU$45,7,0)</f>
        <v>0</v>
      </c>
      <c r="G19" s="7" t="str">
        <f>VLOOKUP($A19,[6]HISTODEC23!$A$7:$AU$45,8,0)</f>
        <v>ESPECES</v>
      </c>
      <c r="H19" s="7">
        <f>VLOOKUP($A19,[6]HISTODEC23!$A$6:$AU$45,35,0)</f>
        <v>0</v>
      </c>
      <c r="I19" s="7">
        <f>VLOOKUP($A19,[6]HISTODEC23!$A$7:$AU$45,38,0)</f>
        <v>0</v>
      </c>
      <c r="J19" s="7">
        <f>IF(I19=0,0,VLOOKUP($A19,[6]HISTODEC23!$A$7:$AU$45,42,0))</f>
        <v>0</v>
      </c>
      <c r="K19" s="7">
        <f>VLOOKUP($A19,[6]HISTODEC23!$A$7:$AU$45,41,0)</f>
        <v>0</v>
      </c>
      <c r="L19" s="7">
        <f>TONTNOV23!H19+TONTNOV23!I19</f>
        <v>0</v>
      </c>
      <c r="M19" s="7">
        <f>VLOOKUP($A19,[6]HISTODEC23!$A$7:$AU$45,16,0)</f>
        <v>0</v>
      </c>
      <c r="N19" s="7" t="str">
        <f>IF(M19&lt;&gt;0,VLOOKUP($A19,[6]HISTODEC23!$A$7:$AU$45,8,0),"ECHEC")</f>
        <v>ECHEC</v>
      </c>
      <c r="O19" s="7">
        <f>IF(R19=0,0,VLOOKUP($A19,[6]HISTODEC23!$A$7:$AU$45,32,0))</f>
        <v>0</v>
      </c>
      <c r="P19" s="7">
        <f>VLOOKUP($A19,[6]HISTODEC23!$A$7:$AU$45,33,0)</f>
        <v>0</v>
      </c>
      <c r="Q19" s="7">
        <f t="shared" si="0"/>
        <v>0</v>
      </c>
      <c r="R19" s="7">
        <f>VLOOKUP($A19,[6]HISTODEC23!$A$7:$AU$45,29,0)</f>
        <v>0</v>
      </c>
    </row>
    <row r="20" spans="1:18" x14ac:dyDescent="0.25">
      <c r="A20" s="1" t="s">
        <v>26</v>
      </c>
      <c r="B20" s="7">
        <f>IF(D20=0,0,VLOOKUP($A20,[6]HISTODEC23!$A$6:$BO$40,10,0))</f>
        <v>1</v>
      </c>
      <c r="C20" s="1" t="str">
        <f>VLOOKUP(A20,[7]LISTADHERENT!A$5:H$60,3,0)</f>
        <v>NANGUEN MARTIN</v>
      </c>
      <c r="D20" s="7">
        <f t="shared" si="1"/>
        <v>25000</v>
      </c>
      <c r="E20" s="7">
        <f>D20+VLOOKUP($A20,[6]HISTODEC23!$A$7:$AU$40,45,0)+F20</f>
        <v>40000</v>
      </c>
      <c r="F20" s="7">
        <f>VLOOKUP($A20,[6]HISTODEC23!$A$7:$AU$45,7,0)</f>
        <v>0</v>
      </c>
      <c r="G20" s="7" t="str">
        <f>VLOOKUP($A20,[6]HISTODEC23!$A$7:$AU$45,8,0)</f>
        <v>BANQUE</v>
      </c>
      <c r="H20" s="7">
        <f>VLOOKUP($A20,[6]HISTODEC23!$A$6:$AU$45,35,0)</f>
        <v>0</v>
      </c>
      <c r="I20" s="7">
        <f>VLOOKUP($A20,[6]HISTODEC23!$A$7:$AU$45,38,0)</f>
        <v>0</v>
      </c>
      <c r="J20" s="7">
        <f>IF(I20=0,0,VLOOKUP($A20,[6]HISTODEC23!$A$7:$AU$45,42,0))</f>
        <v>0</v>
      </c>
      <c r="K20" s="7">
        <f>VLOOKUP($A20,[6]HISTODEC23!$A$7:$AU$45,41,0)</f>
        <v>0</v>
      </c>
      <c r="L20" s="7">
        <f>TONTNOV23!H20+TONTNOV23!I20</f>
        <v>0</v>
      </c>
      <c r="M20" s="7">
        <f>VLOOKUP($A20,[6]HISTODEC23!$A$7:$AU$45,16,0)</f>
        <v>0</v>
      </c>
      <c r="N20" s="7" t="str">
        <f>IF(M20&lt;&gt;0,VLOOKUP($A20,[6]HISTODEC23!$A$7:$AU$45,8,0),"ECHEC")</f>
        <v>ECHEC</v>
      </c>
      <c r="O20" s="7">
        <f>IF(R20=0,0,VLOOKUP($A20,[6]HISTODEC23!$A$7:$AU$45,32,0))</f>
        <v>0</v>
      </c>
      <c r="P20" s="7">
        <f>VLOOKUP($A20,[6]HISTODEC23!$A$7:$AU$45,33,0)</f>
        <v>0</v>
      </c>
      <c r="Q20" s="7">
        <f t="shared" si="0"/>
        <v>0</v>
      </c>
      <c r="R20" s="7">
        <f>VLOOKUP($A20,[6]HISTODEC23!$A$7:$AU$45,29,0)</f>
        <v>0</v>
      </c>
    </row>
    <row r="21" spans="1:18" x14ac:dyDescent="0.25">
      <c r="A21" s="1" t="s">
        <v>19</v>
      </c>
      <c r="B21" s="7">
        <f>IF(D21=0,0,VLOOKUP($A21,[6]HISTODEC23!$A$6:$BO$40,10,0))</f>
        <v>1</v>
      </c>
      <c r="C21" s="1" t="str">
        <f>VLOOKUP(A21,[7]LISTADHERENT!A$5:H$60,3,0)</f>
        <v>NANKAM APPOLINAIRE</v>
      </c>
      <c r="D21" s="7">
        <f t="shared" si="1"/>
        <v>25000</v>
      </c>
      <c r="E21" s="7">
        <f>D21+VLOOKUP($A21,[6]HISTODEC23!$A$7:$AU$40,45,0)+F21</f>
        <v>40000</v>
      </c>
      <c r="F21" s="7">
        <f>VLOOKUP($A21,[6]HISTODEC23!$A$7:$AU$45,7,0)</f>
        <v>0</v>
      </c>
      <c r="G21" s="7" t="str">
        <f>VLOOKUP($A21,[6]HISTODEC23!$A$7:$AU$45,8,0)</f>
        <v>BANQUE</v>
      </c>
      <c r="H21" s="7">
        <f>VLOOKUP($A21,[6]HISTODEC23!$A$6:$AU$45,35,0)</f>
        <v>0</v>
      </c>
      <c r="I21" s="7">
        <f>VLOOKUP($A21,[6]HISTODEC23!$A$7:$AU$45,38,0)</f>
        <v>0</v>
      </c>
      <c r="J21" s="7">
        <f>IF(I21=0,0,VLOOKUP($A21,[6]HISTODEC23!$A$7:$AU$45,42,0))</f>
        <v>0</v>
      </c>
      <c r="K21" s="7">
        <f>VLOOKUP($A21,[6]HISTODEC23!$A$7:$AU$45,41,0)</f>
        <v>0</v>
      </c>
      <c r="L21" s="7">
        <f>TONTNOV23!H21+TONTNOV23!I21</f>
        <v>0</v>
      </c>
      <c r="M21" s="7">
        <f>VLOOKUP($A21,[6]HISTODEC23!$A$7:$AU$45,16,0)</f>
        <v>0</v>
      </c>
      <c r="N21" s="7" t="str">
        <f>IF(M21&lt;&gt;0,VLOOKUP($A21,[6]HISTODEC23!$A$7:$AU$45,8,0),"ECHEC")</f>
        <v>ECHEC</v>
      </c>
      <c r="O21" s="7">
        <f>IF(R21=0,0,VLOOKUP($A21,[6]HISTODEC23!$A$7:$AU$45,32,0))</f>
        <v>0</v>
      </c>
      <c r="P21" s="7">
        <f>VLOOKUP($A21,[6]HISTODEC23!$A$7:$AU$45,33,0)</f>
        <v>0</v>
      </c>
      <c r="Q21" s="7">
        <f t="shared" si="0"/>
        <v>0</v>
      </c>
      <c r="R21" s="7">
        <f>VLOOKUP($A21,[6]HISTODEC23!$A$7:$AU$45,29,0)</f>
        <v>0</v>
      </c>
    </row>
    <row r="22" spans="1:18" x14ac:dyDescent="0.25">
      <c r="A22" s="1" t="s">
        <v>20</v>
      </c>
      <c r="B22" s="7">
        <f>IF(D22=0,0,VLOOKUP($A22,[6]HISTODEC23!$A$6:$BO$40,10,0))</f>
        <v>1</v>
      </c>
      <c r="C22" s="1" t="str">
        <f>VLOOKUP(A22,[7]LISTADHERENT!A$5:H$60,3,0)</f>
        <v>NDJOMO ETIENNE</v>
      </c>
      <c r="D22" s="7">
        <f t="shared" si="1"/>
        <v>25000</v>
      </c>
      <c r="E22" s="7">
        <f>D22+VLOOKUP($A22,[6]HISTODEC23!$A$7:$AU$40,45,0)+F22</f>
        <v>50000</v>
      </c>
      <c r="F22" s="7">
        <f>VLOOKUP($A22,[6]HISTODEC23!$A$7:$AU$45,7,0)</f>
        <v>0</v>
      </c>
      <c r="G22" s="7" t="str">
        <f>VLOOKUP($A22,[6]HISTODEC23!$A$7:$AU$45,8,0)</f>
        <v>BANQUE</v>
      </c>
      <c r="H22" s="7">
        <f>VLOOKUP($A22,[6]HISTODEC23!$A$6:$AU$45,35,0)</f>
        <v>0</v>
      </c>
      <c r="I22" s="7">
        <f>VLOOKUP($A22,[6]HISTODEC23!$A$7:$AU$45,38,0)</f>
        <v>0</v>
      </c>
      <c r="J22" s="7">
        <f>IF(I22=0,0,VLOOKUP($A22,[6]HISTODEC23!$A$7:$AU$45,42,0))</f>
        <v>0</v>
      </c>
      <c r="K22" s="7">
        <f>VLOOKUP($A22,[6]HISTODEC23!$A$7:$AU$45,41,0)</f>
        <v>0</v>
      </c>
      <c r="L22" s="7">
        <f>TONTNOV23!H22+TONTNOV23!I22</f>
        <v>0</v>
      </c>
      <c r="M22" s="7">
        <f>VLOOKUP($A22,[6]HISTODEC23!$A$7:$AU$45,16,0)</f>
        <v>0</v>
      </c>
      <c r="N22" s="7" t="str">
        <f>IF(M22&lt;&gt;0,VLOOKUP($A22,[6]HISTODEC23!$A$7:$AU$45,8,0),"ECHEC")</f>
        <v>ECHEC</v>
      </c>
      <c r="O22" s="7">
        <f>IF(R22=0,0,VLOOKUP($A22,[6]HISTODEC23!$A$7:$AU$45,32,0))</f>
        <v>0</v>
      </c>
      <c r="P22" s="7">
        <f>VLOOKUP($A22,[6]HISTODEC23!$A$7:$AU$45,33,0)</f>
        <v>0</v>
      </c>
      <c r="Q22" s="7">
        <f t="shared" si="0"/>
        <v>0</v>
      </c>
      <c r="R22" s="7">
        <f>VLOOKUP($A22,[6]HISTODEC23!$A$7:$AU$45,29,0)</f>
        <v>0</v>
      </c>
    </row>
    <row r="23" spans="1:18" x14ac:dyDescent="0.25">
      <c r="A23" s="1" t="s">
        <v>21</v>
      </c>
      <c r="B23" s="7">
        <f>IF(D23=0,0,VLOOKUP($A23,[6]HISTODEC23!$A$6:$BO$40,10,0))</f>
        <v>1</v>
      </c>
      <c r="C23" s="1" t="str">
        <f>VLOOKUP(A23,[7]LISTADHERENT!A$5:H$60,3,0)</f>
        <v>NGONDIEP CLAUDE</v>
      </c>
      <c r="D23" s="7">
        <f t="shared" si="1"/>
        <v>25000</v>
      </c>
      <c r="E23" s="7">
        <f>D23+VLOOKUP($A23,[6]HISTODEC23!$A$7:$AU$40,45,0)+F23</f>
        <v>40000</v>
      </c>
      <c r="F23" s="7">
        <f>VLOOKUP($A23,[6]HISTODEC23!$A$7:$AU$45,7,0)</f>
        <v>0</v>
      </c>
      <c r="G23" s="7" t="str">
        <f>VLOOKUP($A23,[6]HISTODEC23!$A$7:$AU$45,8,0)</f>
        <v>BANQUE</v>
      </c>
      <c r="H23" s="7">
        <f>VLOOKUP($A23,[6]HISTODEC23!$A$6:$AU$45,35,0)</f>
        <v>0</v>
      </c>
      <c r="I23" s="7">
        <f>VLOOKUP($A23,[6]HISTODEC23!$A$7:$AU$45,38,0)</f>
        <v>0</v>
      </c>
      <c r="J23" s="7">
        <f>IF(I23=0,0,VLOOKUP($A23,[6]HISTODEC23!$A$7:$AU$45,42,0))</f>
        <v>0</v>
      </c>
      <c r="K23" s="7">
        <f>VLOOKUP($A23,[6]HISTODEC23!$A$7:$AU$45,41,0)</f>
        <v>0</v>
      </c>
      <c r="L23" s="7">
        <f>TONTNOV23!H23+TONTNOV23!I23</f>
        <v>0</v>
      </c>
      <c r="M23" s="7">
        <f>VLOOKUP($A23,[6]HISTODEC23!$A$7:$AU$45,16,0)</f>
        <v>0</v>
      </c>
      <c r="N23" s="7" t="str">
        <f>IF(M23&lt;&gt;0,VLOOKUP($A23,[6]HISTODEC23!$A$7:$AU$45,8,0),"ECHEC")</f>
        <v>ECHEC</v>
      </c>
      <c r="O23" s="7">
        <f>IF(R23=0,0,VLOOKUP($A23,[6]HISTODEC23!$A$7:$AU$45,32,0))</f>
        <v>0</v>
      </c>
      <c r="P23" s="7">
        <f>VLOOKUP($A23,[6]HISTODEC23!$A$7:$AU$45,33,0)</f>
        <v>0</v>
      </c>
      <c r="Q23" s="7">
        <f t="shared" si="0"/>
        <v>0</v>
      </c>
      <c r="R23" s="7">
        <f>VLOOKUP($A23,[6]HISTODEC23!$A$7:$AU$45,29,0)</f>
        <v>0</v>
      </c>
    </row>
    <row r="24" spans="1:18" x14ac:dyDescent="0.25">
      <c r="A24" s="1" t="s">
        <v>22</v>
      </c>
      <c r="B24" s="7">
        <f>IF(D24=0,0,VLOOKUP($A24,[6]HISTODEC23!$A$6:$BO$40,10,0))</f>
        <v>1</v>
      </c>
      <c r="C24" s="1" t="str">
        <f>VLOOKUP(A24,[7]LISTADHERENT!A$5:H$60,3,0)</f>
        <v>NGUIEMEGNI MATHIEU BLAISE</v>
      </c>
      <c r="D24" s="7">
        <f t="shared" si="1"/>
        <v>25000</v>
      </c>
      <c r="E24" s="7">
        <f>D24+VLOOKUP($A24,[6]HISTODEC23!$A$7:$AU$40,45,0)+F24</f>
        <v>148000</v>
      </c>
      <c r="F24" s="7">
        <f>VLOOKUP($A24,[6]HISTODEC23!$A$7:$AU$45,7,0)</f>
        <v>0</v>
      </c>
      <c r="G24" s="7" t="str">
        <f>VLOOKUP($A24,[6]HISTODEC23!$A$7:$AU$45,8,0)</f>
        <v>BANQUE</v>
      </c>
      <c r="H24" s="7">
        <f>VLOOKUP($A24,[6]HISTODEC23!$A$6:$AU$45,35,0)</f>
        <v>0</v>
      </c>
      <c r="I24" s="7">
        <f>VLOOKUP($A24,[6]HISTODEC23!$A$7:$AU$45,38,0)</f>
        <v>0</v>
      </c>
      <c r="J24" s="7">
        <f>IF(I24=0,0,VLOOKUP($A24,[6]HISTODEC23!$A$7:$AU$45,42,0))</f>
        <v>0</v>
      </c>
      <c r="K24" s="7">
        <f>VLOOKUP($A24,[6]HISTODEC23!$A$7:$AU$45,41,0)</f>
        <v>0</v>
      </c>
      <c r="L24" s="7">
        <f>TONTNOV23!H24+TONTNOV23!I24</f>
        <v>0</v>
      </c>
      <c r="M24" s="7">
        <f>VLOOKUP($A24,[6]HISTODEC23!$A$7:$AU$45,16,0)</f>
        <v>0</v>
      </c>
      <c r="N24" s="7" t="str">
        <f>IF(M24&lt;&gt;0,VLOOKUP($A24,[6]HISTODEC23!$A$7:$AU$45,8,0),"ECHEC")</f>
        <v>ECHEC</v>
      </c>
      <c r="O24" s="7">
        <f>IF(R24=0,0,VLOOKUP($A24,[6]HISTODEC23!$A$7:$AU$45,32,0))</f>
        <v>0</v>
      </c>
      <c r="P24" s="7">
        <f>VLOOKUP($A24,[6]HISTODEC23!$A$7:$AU$45,33,0)</f>
        <v>0</v>
      </c>
      <c r="Q24" s="7">
        <f t="shared" si="0"/>
        <v>0</v>
      </c>
      <c r="R24" s="7">
        <f>VLOOKUP($A24,[6]HISTODEC23!$A$7:$AU$45,29,0)</f>
        <v>0</v>
      </c>
    </row>
    <row r="25" spans="1:18" x14ac:dyDescent="0.25">
      <c r="A25" s="1" t="s">
        <v>23</v>
      </c>
      <c r="B25" s="7">
        <f>IF(D25=0,0,VLOOKUP($A25,[6]HISTODEC23!$A$6:$BO$40,10,0))</f>
        <v>1</v>
      </c>
      <c r="C25" s="1" t="str">
        <f>VLOOKUP(A25,[7]LISTADHERENT!A$5:H$60,3,0)</f>
        <v>NKAMGANG JUSTIN DEJOLIE</v>
      </c>
      <c r="D25" s="7">
        <f t="shared" si="1"/>
        <v>25000</v>
      </c>
      <c r="E25" s="7">
        <f>D25+VLOOKUP($A25,[6]HISTODEC23!$A$7:$AU$40,45,0)+F25</f>
        <v>40000</v>
      </c>
      <c r="F25" s="7">
        <f>VLOOKUP($A25,[6]HISTODEC23!$A$7:$AU$45,7,0)</f>
        <v>0</v>
      </c>
      <c r="G25" s="7" t="str">
        <f>VLOOKUP($A25,[6]HISTODEC23!$A$7:$AU$45,8,0)</f>
        <v>ESPECES</v>
      </c>
      <c r="H25" s="7">
        <f>VLOOKUP($A25,[6]HISTODEC23!$A$6:$AU$45,35,0)</f>
        <v>0</v>
      </c>
      <c r="I25" s="7">
        <f>VLOOKUP($A25,[6]HISTODEC23!$A$7:$AU$45,38,0)</f>
        <v>0</v>
      </c>
      <c r="J25" s="7">
        <f>IF(I25=0,0,VLOOKUP($A25,[6]HISTODEC23!$A$7:$AU$45,42,0))</f>
        <v>0</v>
      </c>
      <c r="K25" s="7">
        <f>VLOOKUP($A25,[6]HISTODEC23!$A$7:$AU$45,41,0)</f>
        <v>0</v>
      </c>
      <c r="L25" s="7">
        <f>TONTNOV23!H25+TONTNOV23!I25</f>
        <v>0</v>
      </c>
      <c r="M25" s="7">
        <f>VLOOKUP($A25,[6]HISTODEC23!$A$7:$AU$45,16,0)</f>
        <v>0</v>
      </c>
      <c r="N25" s="7" t="str">
        <f>IF(M25&lt;&gt;0,VLOOKUP($A25,[6]HISTODEC23!$A$7:$AU$45,8,0),"ECHEC")</f>
        <v>ECHEC</v>
      </c>
      <c r="O25" s="7">
        <f>IF(R25=0,0,VLOOKUP($A25,[6]HISTODEC23!$A$7:$AU$45,32,0))</f>
        <v>0</v>
      </c>
      <c r="P25" s="7">
        <f>VLOOKUP($A25,[6]HISTODEC23!$A$7:$AU$45,33,0)</f>
        <v>0</v>
      </c>
      <c r="Q25" s="7">
        <f t="shared" si="0"/>
        <v>0</v>
      </c>
      <c r="R25" s="7">
        <f>VLOOKUP($A25,[6]HISTODEC23!$A$7:$AU$45,29,0)</f>
        <v>0</v>
      </c>
    </row>
    <row r="26" spans="1:18" x14ac:dyDescent="0.25">
      <c r="A26" s="1" t="s">
        <v>86</v>
      </c>
      <c r="B26" s="7">
        <f>IF(D26=0,0,VLOOKUP($A26,[6]HISTODEC23!$A$6:$BO$40,10,0))</f>
        <v>1</v>
      </c>
      <c r="C26" s="1" t="str">
        <f>VLOOKUP(A26,[7]LISTADHERENT!A$5:H$60,3,0)</f>
        <v>NOUBE ETIENNE</v>
      </c>
      <c r="D26" s="7">
        <f t="shared" si="1"/>
        <v>25000</v>
      </c>
      <c r="E26" s="7">
        <f>D26+VLOOKUP($A26,[6]HISTODEC23!$A$7:$AU$40,45,0)+F26</f>
        <v>50000</v>
      </c>
      <c r="F26" s="7">
        <f>VLOOKUP($A26,[6]HISTODEC23!$A$7:$AU$45,7,0)</f>
        <v>0</v>
      </c>
      <c r="G26" s="7" t="str">
        <f>VLOOKUP($A26,[6]HISTODEC23!$A$7:$AU$45,8,0)</f>
        <v>BANQUE</v>
      </c>
      <c r="H26" s="7">
        <f>VLOOKUP($A26,[6]HISTODEC23!$A$6:$AU$45,35,0)</f>
        <v>0</v>
      </c>
      <c r="I26" s="7">
        <f>VLOOKUP($A26,[6]HISTODEC23!$A$7:$AU$45,38,0)</f>
        <v>0</v>
      </c>
      <c r="J26" s="7">
        <f>IF(I26=0,0,VLOOKUP($A26,[6]HISTODEC23!$A$7:$AU$45,42,0))</f>
        <v>0</v>
      </c>
      <c r="K26" s="7">
        <f>VLOOKUP($A26,[6]HISTODEC23!$A$7:$AU$45,41,0)</f>
        <v>0</v>
      </c>
      <c r="L26" s="7">
        <f>TONTNOV23!H26+TONTNOV23!I26</f>
        <v>0</v>
      </c>
      <c r="M26" s="7">
        <f>VLOOKUP($A26,[6]HISTODEC23!$A$7:$AU$45,16,0)</f>
        <v>0</v>
      </c>
      <c r="N26" s="7" t="str">
        <f>IF(M26&lt;&gt;0,VLOOKUP($A26,[6]HISTODEC23!$A$7:$AU$45,8,0),"ECHEC")</f>
        <v>ECHEC</v>
      </c>
      <c r="O26" s="7">
        <f>IF(R26=0,0,VLOOKUP($A26,[6]HISTODEC23!$A$7:$AU$45,32,0))</f>
        <v>0</v>
      </c>
      <c r="P26" s="7">
        <f>VLOOKUP($A26,[6]HISTODEC23!$A$7:$AU$45,33,0)</f>
        <v>0</v>
      </c>
      <c r="Q26" s="7">
        <f t="shared" si="0"/>
        <v>0</v>
      </c>
      <c r="R26" s="7">
        <f>VLOOKUP($A26,[6]HISTODEC23!$A$7:$AU$45,29,0)</f>
        <v>0</v>
      </c>
    </row>
    <row r="27" spans="1:18" x14ac:dyDescent="0.25">
      <c r="A27" s="1" t="s">
        <v>24</v>
      </c>
      <c r="B27" s="7">
        <f>IF(D27=0,0,VLOOKUP($A27,[6]HISTODEC23!$A$6:$BO$40,10,0))</f>
        <v>1</v>
      </c>
      <c r="C27" s="1" t="str">
        <f>VLOOKUP(A27,[7]LISTADHERENT!A$5:H$60,3,0)</f>
        <v>PATEGO NJOSSU GUSTAVE</v>
      </c>
      <c r="D27" s="7">
        <f t="shared" si="1"/>
        <v>25000</v>
      </c>
      <c r="E27" s="7">
        <f>D27+VLOOKUP($A27,[6]HISTODEC23!$A$7:$AU$40,45,0)+F27</f>
        <v>40000</v>
      </c>
      <c r="F27" s="7">
        <f>VLOOKUP($A27,[6]HISTODEC23!$A$7:$AU$45,7,0)</f>
        <v>0</v>
      </c>
      <c r="G27" s="7" t="str">
        <f>VLOOKUP($A27,[6]HISTODEC23!$A$7:$AU$45,8,0)</f>
        <v>BANQUE</v>
      </c>
      <c r="H27" s="7">
        <f>VLOOKUP($A27,[6]HISTODEC23!$A$6:$AU$45,35,0)</f>
        <v>0</v>
      </c>
      <c r="I27" s="7">
        <f>VLOOKUP($A27,[6]HISTODEC23!$A$7:$AU$45,38,0)</f>
        <v>0</v>
      </c>
      <c r="J27" s="7">
        <f>IF(I27=0,0,VLOOKUP($A27,[6]HISTODEC23!$A$7:$AU$45,42,0))</f>
        <v>0</v>
      </c>
      <c r="K27" s="7">
        <f>VLOOKUP($A27,[6]HISTODEC23!$A$7:$AU$45,41,0)</f>
        <v>0</v>
      </c>
      <c r="L27" s="7">
        <f>TONTNOV23!H27+TONTNOV23!I27</f>
        <v>0</v>
      </c>
      <c r="M27" s="7">
        <f>VLOOKUP($A27,[6]HISTODEC23!$A$7:$AU$45,16,0)</f>
        <v>0</v>
      </c>
      <c r="N27" s="7" t="str">
        <f>IF(M27&lt;&gt;0,VLOOKUP($A27,[6]HISTODEC23!$A$7:$AU$45,8,0),"ECHEC")</f>
        <v>ECHEC</v>
      </c>
      <c r="O27" s="7">
        <f>IF(R27=0,0,VLOOKUP($A27,[6]HISTODEC23!$A$7:$AU$45,32,0))</f>
        <v>0</v>
      </c>
      <c r="P27" s="7">
        <f>VLOOKUP($A27,[6]HISTODEC23!$A$7:$AU$45,33,0)</f>
        <v>0</v>
      </c>
      <c r="Q27" s="7">
        <f t="shared" si="0"/>
        <v>0</v>
      </c>
      <c r="R27" s="7">
        <f>VLOOKUP($A27,[6]HISTODEC23!$A$7:$AU$45,29,0)</f>
        <v>0</v>
      </c>
    </row>
    <row r="28" spans="1:18" x14ac:dyDescent="0.25">
      <c r="A28" s="1" t="s">
        <v>87</v>
      </c>
      <c r="B28" s="7">
        <f>IF(D28=0,0,VLOOKUP($A28,[6]HISTODEC23!$A$6:$BO$40,10,0))</f>
        <v>1</v>
      </c>
      <c r="C28" s="1" t="str">
        <f>VLOOKUP(A28,[7]LISTADHERENT!A$5:H$60,3,0)</f>
        <v>SEUMO POLYCARPE</v>
      </c>
      <c r="D28" s="7">
        <f t="shared" si="1"/>
        <v>25000</v>
      </c>
      <c r="E28" s="7">
        <f>D28+VLOOKUP($A28,[6]HISTODEC23!$A$7:$AU$40,45,0)+F28</f>
        <v>40000</v>
      </c>
      <c r="F28" s="7">
        <f>VLOOKUP($A28,[6]HISTODEC23!$A$7:$AU$45,7,0)</f>
        <v>0</v>
      </c>
      <c r="G28" s="7" t="str">
        <f>VLOOKUP($A28,[6]HISTODEC23!$A$7:$AU$45,8,0)</f>
        <v>BANQUE</v>
      </c>
      <c r="H28" s="7">
        <f>VLOOKUP($A28,[6]HISTODEC23!$A$6:$AU$45,35,0)</f>
        <v>0</v>
      </c>
      <c r="I28" s="7">
        <f>VLOOKUP($A28,[6]HISTODEC23!$A$7:$AU$45,38,0)</f>
        <v>0</v>
      </c>
      <c r="J28" s="7">
        <f>IF(I28=0,0,VLOOKUP($A28,[6]HISTODEC23!$A$7:$AU$45,42,0))</f>
        <v>0</v>
      </c>
      <c r="K28" s="7">
        <f>VLOOKUP($A28,[6]HISTODEC23!$A$7:$AU$45,41,0)</f>
        <v>0</v>
      </c>
      <c r="L28" s="7">
        <f>TONTNOV23!H28+TONTNOV23!I28</f>
        <v>0</v>
      </c>
      <c r="M28" s="7">
        <f>VLOOKUP($A28,[6]HISTODEC23!$A$7:$AU$45,16,0)</f>
        <v>0</v>
      </c>
      <c r="N28" s="7" t="str">
        <f>IF(M28&lt;&gt;0,VLOOKUP($A28,[6]HISTODEC23!$A$7:$AU$45,8,0),"ECHEC")</f>
        <v>ECHEC</v>
      </c>
      <c r="O28" s="7">
        <f>IF(R28=0,0,VLOOKUP($A28,[6]HISTODEC23!$A$7:$AU$45,32,0))</f>
        <v>0</v>
      </c>
      <c r="P28" s="7">
        <f>VLOOKUP($A28,[6]HISTODEC23!$A$7:$AU$45,33,0)</f>
        <v>0</v>
      </c>
      <c r="Q28" s="7">
        <f t="shared" si="0"/>
        <v>0</v>
      </c>
      <c r="R28" s="7">
        <f>VLOOKUP($A28,[6]HISTODEC23!$A$7:$AU$45,29,0)</f>
        <v>0</v>
      </c>
    </row>
    <row r="29" spans="1:18" x14ac:dyDescent="0.25">
      <c r="A29" s="1" t="s">
        <v>47</v>
      </c>
      <c r="B29" s="7">
        <f>IF(D29=0,0,VLOOKUP($A29,[6]HISTODEC23!$A$6:$BO$40,10,0))</f>
        <v>1</v>
      </c>
      <c r="C29" s="1" t="str">
        <f>VLOOKUP(A29,[7]LISTADHERENT!A$5:H$60,3,0)</f>
        <v>SIME BRICE</v>
      </c>
      <c r="D29" s="7">
        <f t="shared" si="1"/>
        <v>25000</v>
      </c>
      <c r="E29" s="7">
        <f>D29+VLOOKUP($A29,[6]HISTODEC23!$A$7:$AU$40,45,0)+F29</f>
        <v>40000</v>
      </c>
      <c r="F29" s="7">
        <f>VLOOKUP($A29,[6]HISTODEC23!$A$7:$AU$45,7,0)</f>
        <v>0</v>
      </c>
      <c r="G29" s="7" t="str">
        <f>VLOOKUP($A29,[6]HISTODEC23!$A$7:$AU$45,8,0)</f>
        <v>BANQUE</v>
      </c>
      <c r="H29" s="7">
        <f>VLOOKUP($A29,[6]HISTODEC23!$A$6:$AU$45,35,0)</f>
        <v>0</v>
      </c>
      <c r="I29" s="7">
        <f>VLOOKUP($A29,[6]HISTODEC23!$A$7:$AU$45,38,0)</f>
        <v>0</v>
      </c>
      <c r="J29" s="7">
        <f>IF(I29=0,0,VLOOKUP($A29,[6]HISTODEC23!$A$7:$AU$45,42,0))</f>
        <v>0</v>
      </c>
      <c r="K29" s="7">
        <f>VLOOKUP($A29,[6]HISTODEC23!$A$7:$AU$45,41,0)</f>
        <v>0</v>
      </c>
      <c r="L29" s="7">
        <f>TONTNOV23!H29+TONTNOV23!I29</f>
        <v>0</v>
      </c>
      <c r="M29" s="7">
        <f>VLOOKUP($A29,[6]HISTODEC23!$A$7:$AU$45,16,0)</f>
        <v>0</v>
      </c>
      <c r="N29" s="7" t="str">
        <f>IF(M29&lt;&gt;0,VLOOKUP($A29,[6]HISTODEC23!$A$7:$AU$45,8,0),"ECHEC")</f>
        <v>ECHEC</v>
      </c>
      <c r="O29" s="7">
        <f>IF(R29=0,0,VLOOKUP($A29,[6]HISTODEC23!$A$7:$AU$45,32,0))</f>
        <v>0</v>
      </c>
      <c r="P29" s="7">
        <f>VLOOKUP($A29,[6]HISTODEC23!$A$7:$AU$45,33,0)</f>
        <v>0</v>
      </c>
      <c r="Q29" s="7">
        <f t="shared" si="0"/>
        <v>0</v>
      </c>
      <c r="R29" s="7">
        <f>VLOOKUP($A29,[6]HISTODEC23!$A$7:$AU$45,29,0)</f>
        <v>0</v>
      </c>
    </row>
    <row r="30" spans="1:18" x14ac:dyDescent="0.25">
      <c r="A30" s="1" t="s">
        <v>25</v>
      </c>
      <c r="B30" s="7">
        <f>IF(D30=0,0,VLOOKUP($A30,[6]HISTODEC23!$A$6:$BO$40,10,0))</f>
        <v>1</v>
      </c>
      <c r="C30" s="1" t="str">
        <f>VLOOKUP(A30,[7]LISTADHERENT!A$5:H$60,3,0)</f>
        <v>SIMO PIERRE</v>
      </c>
      <c r="D30" s="7">
        <f t="shared" si="1"/>
        <v>25000</v>
      </c>
      <c r="E30" s="7">
        <f>D30+VLOOKUP($A30,[6]HISTODEC23!$A$7:$AU$40,45,0)+F30</f>
        <v>40000</v>
      </c>
      <c r="F30" s="7">
        <f>VLOOKUP($A30,[6]HISTODEC23!$A$7:$AU$45,7,0)</f>
        <v>0</v>
      </c>
      <c r="G30" s="7" t="str">
        <f>VLOOKUP($A30,[6]HISTODEC23!$A$7:$AU$45,8,0)</f>
        <v>BANQUE</v>
      </c>
      <c r="H30" s="7">
        <f>VLOOKUP($A30,[6]HISTODEC23!$A$6:$AU$45,35,0)</f>
        <v>0</v>
      </c>
      <c r="I30" s="7">
        <f>VLOOKUP($A30,[6]HISTODEC23!$A$7:$AU$45,38,0)</f>
        <v>0</v>
      </c>
      <c r="J30" s="7">
        <f>IF(I30=0,0,VLOOKUP($A30,[6]HISTODEC23!$A$7:$AU$45,42,0))</f>
        <v>0</v>
      </c>
      <c r="K30" s="7">
        <f>VLOOKUP($A30,[6]HISTODEC23!$A$7:$AU$45,41,0)</f>
        <v>0</v>
      </c>
      <c r="L30" s="7">
        <f>TONTNOV23!H30+TONTNOV23!I30</f>
        <v>0</v>
      </c>
      <c r="M30" s="7">
        <f>VLOOKUP($A30,[6]HISTODEC23!$A$7:$AU$45,16,0)</f>
        <v>0</v>
      </c>
      <c r="N30" s="7" t="str">
        <f>IF(M30&lt;&gt;0,VLOOKUP($A30,[6]HISTODEC23!$A$7:$AU$45,8,0),"ECHEC")</f>
        <v>ECHEC</v>
      </c>
      <c r="O30" s="7">
        <f>IF(R30=0,0,VLOOKUP($A30,[6]HISTODEC23!$A$7:$AU$45,32,0))</f>
        <v>0</v>
      </c>
      <c r="P30" s="7">
        <f>VLOOKUP($A30,[6]HISTODEC23!$A$7:$AU$45,33,0)</f>
        <v>0</v>
      </c>
      <c r="Q30" s="7">
        <f t="shared" si="0"/>
        <v>0</v>
      </c>
      <c r="R30" s="7">
        <f>VLOOKUP($A30,[6]HISTODEC23!$A$7:$AU$45,29,0)</f>
        <v>0</v>
      </c>
    </row>
    <row r="31" spans="1:18" x14ac:dyDescent="0.25">
      <c r="A31" s="1" t="s">
        <v>27</v>
      </c>
      <c r="B31" s="7">
        <f>IF(D31=0,0,VLOOKUP($A31,[6]HISTODEC23!$A$6:$BO$40,10,0))</f>
        <v>1</v>
      </c>
      <c r="C31" s="1" t="str">
        <f>VLOOKUP(A31,[7]LISTADHERENT!A$5:H$60,3,0)</f>
        <v>TCHOUAMOU MATHIEU</v>
      </c>
      <c r="D31" s="7">
        <f t="shared" si="1"/>
        <v>25000</v>
      </c>
      <c r="E31" s="7">
        <f>D31+VLOOKUP($A31,[6]HISTODEC23!$A$7:$AU$40,45,0)+F31</f>
        <v>40000</v>
      </c>
      <c r="F31" s="7">
        <f>VLOOKUP($A31,[6]HISTODEC23!$A$7:$AU$45,7,0)</f>
        <v>0</v>
      </c>
      <c r="G31" s="7" t="str">
        <f>VLOOKUP($A31,[6]HISTODEC23!$A$7:$AU$45,8,0)</f>
        <v>BANQUE</v>
      </c>
      <c r="H31" s="7">
        <f>VLOOKUP($A31,[6]HISTODEC23!$A$6:$AU$45,35,0)</f>
        <v>0</v>
      </c>
      <c r="I31" s="7">
        <f>VLOOKUP($A31,[6]HISTODEC23!$A$7:$AU$45,38,0)</f>
        <v>0</v>
      </c>
      <c r="J31" s="7">
        <f>IF(I31=0,0,VLOOKUP($A31,[6]HISTODEC23!$A$7:$AU$45,42,0))</f>
        <v>0</v>
      </c>
      <c r="K31" s="7">
        <f>VLOOKUP($A31,[6]HISTODEC23!$A$7:$AU$45,41,0)</f>
        <v>0</v>
      </c>
      <c r="L31" s="7">
        <f>TONTNOV23!H31+TONTNOV23!I31</f>
        <v>0</v>
      </c>
      <c r="M31" s="7">
        <f>VLOOKUP($A31,[6]HISTODEC23!$A$7:$AU$45,16,0)</f>
        <v>0</v>
      </c>
      <c r="N31" s="7" t="str">
        <f>IF(M31&lt;&gt;0,VLOOKUP($A31,[6]HISTODEC23!$A$7:$AU$45,8,0),"ECHEC")</f>
        <v>ECHEC</v>
      </c>
      <c r="O31" s="7">
        <f>IF(R31=0,0,VLOOKUP($A31,[6]HISTODEC23!$A$7:$AU$45,32,0))</f>
        <v>0</v>
      </c>
      <c r="P31" s="7">
        <f>VLOOKUP($A31,[6]HISTODEC23!$A$7:$AU$45,33,0)</f>
        <v>0</v>
      </c>
      <c r="Q31" s="7">
        <f t="shared" si="0"/>
        <v>0</v>
      </c>
      <c r="R31" s="7">
        <f>VLOOKUP($A31,[6]HISTODEC23!$A$7:$AU$45,29,0)</f>
        <v>0</v>
      </c>
    </row>
    <row r="32" spans="1:18" x14ac:dyDescent="0.25">
      <c r="A32" s="1" t="s">
        <v>88</v>
      </c>
      <c r="B32" s="7">
        <f>IF(D32=0,0,VLOOKUP($A32,[6]HISTODEC23!$A$6:$BO$40,10,0))</f>
        <v>1</v>
      </c>
      <c r="C32" s="1" t="str">
        <f>VLOOKUP(A32,[7]LISTADHERENT!A$5:H$60,3,0)</f>
        <v>TCHOUTOU NANA CLAUDE</v>
      </c>
      <c r="D32" s="7">
        <f t="shared" si="1"/>
        <v>25000</v>
      </c>
      <c r="E32" s="7">
        <f>D32+VLOOKUP($A32,[6]HISTODEC23!$A$7:$AU$40,45,0)+F32</f>
        <v>50000</v>
      </c>
      <c r="F32" s="7">
        <f>VLOOKUP($A32,[6]HISTODEC23!$A$7:$AU$45,7,0)</f>
        <v>0</v>
      </c>
      <c r="G32" s="7" t="str">
        <f>VLOOKUP($A32,[6]HISTODEC23!$A$7:$AU$45,8,0)</f>
        <v>BANQUE</v>
      </c>
      <c r="H32" s="7">
        <f>VLOOKUP($A32,[6]HISTODEC23!$A$6:$AU$45,35,0)</f>
        <v>0</v>
      </c>
      <c r="I32" s="7">
        <f>VLOOKUP($A32,[6]HISTODEC23!$A$7:$AU$45,38,0)</f>
        <v>0</v>
      </c>
      <c r="J32" s="7">
        <f>IF(I32=0,0,VLOOKUP($A32,[6]HISTODEC23!$A$7:$AU$45,42,0))</f>
        <v>0</v>
      </c>
      <c r="K32" s="7">
        <f>VLOOKUP($A32,[6]HISTODEC23!$A$7:$AU$45,41,0)</f>
        <v>0</v>
      </c>
      <c r="L32" s="7">
        <f>TONTNOV23!H32+TONTNOV23!I32</f>
        <v>0</v>
      </c>
      <c r="M32" s="7">
        <f>VLOOKUP($A32,[6]HISTODEC23!$A$7:$AU$45,16,0)</f>
        <v>0</v>
      </c>
      <c r="N32" s="7" t="str">
        <f>IF(M32&lt;&gt;0,VLOOKUP($A32,[6]HISTODEC23!$A$7:$AU$45,8,0),"ECHEC")</f>
        <v>ECHEC</v>
      </c>
      <c r="O32" s="7">
        <f>IF(R32=0,0,VLOOKUP($A32,[6]HISTODEC23!$A$7:$AU$45,32,0))</f>
        <v>0</v>
      </c>
      <c r="P32" s="7">
        <f>VLOOKUP($A32,[6]HISTODEC23!$A$7:$AU$45,33,0)</f>
        <v>0</v>
      </c>
      <c r="Q32" s="7">
        <f t="shared" si="0"/>
        <v>297500</v>
      </c>
      <c r="R32" s="7">
        <f>VLOOKUP($A32,[6]HISTODEC23!$A$7:$AU$45,29,0)</f>
        <v>2500</v>
      </c>
    </row>
    <row r="33" spans="1:18" x14ac:dyDescent="0.25">
      <c r="A33" s="1" t="s">
        <v>90</v>
      </c>
      <c r="B33" s="7">
        <f>IF(D33=0,0,VLOOKUP($A33,[6]HISTODEC23!$A$6:$BO$40,10,0))</f>
        <v>1</v>
      </c>
      <c r="C33" s="1" t="str">
        <f>VLOOKUP(A33,[7]LISTADHERENT!A$5:H$60,3,0)</f>
        <v>YANTCHOU GERVAIS</v>
      </c>
      <c r="D33" s="7">
        <f t="shared" si="1"/>
        <v>25000</v>
      </c>
      <c r="E33" s="7">
        <f>D33+VLOOKUP($A33,[6]HISTODEC23!$A$7:$AU$40,45,0)+F33</f>
        <v>40000</v>
      </c>
      <c r="F33" s="7">
        <f>VLOOKUP($A33,[6]HISTODEC23!$A$7:$AU$45,7,0)</f>
        <v>0</v>
      </c>
      <c r="G33" s="7" t="str">
        <f>VLOOKUP($A33,[6]HISTODEC23!$A$7:$AU$45,8,0)</f>
        <v>BANQUE</v>
      </c>
      <c r="H33" s="7">
        <f>VLOOKUP($A33,[6]HISTODEC23!$A$6:$AU$45,35,0)</f>
        <v>0</v>
      </c>
      <c r="I33" s="7">
        <f>VLOOKUP($A33,[6]HISTODEC23!$A$7:$AU$45,38,0)</f>
        <v>0</v>
      </c>
      <c r="J33" s="7">
        <f>IF(I33=0,0,VLOOKUP($A33,[6]HISTODEC23!$A$7:$AU$45,42,0))</f>
        <v>0</v>
      </c>
      <c r="K33" s="7">
        <f>VLOOKUP($A33,[6]HISTODEC23!$A$7:$AU$45,41,0)</f>
        <v>0</v>
      </c>
      <c r="L33" s="7">
        <f>TONTNOV23!H33+TONTNOV23!I33</f>
        <v>0</v>
      </c>
      <c r="M33" s="7">
        <f>VLOOKUP($A33,[6]HISTODEC23!$A$7:$AU$45,16,0)</f>
        <v>0</v>
      </c>
      <c r="N33" s="7" t="str">
        <f>IF(M33&lt;&gt;0,VLOOKUP($A33,[6]HISTODEC23!$A$7:$AU$45,8,0),"ECHEC")</f>
        <v>ECHEC</v>
      </c>
      <c r="O33" s="7">
        <f>IF(R33=0,0,VLOOKUP($A33,[6]HISTODEC23!$A$7:$AU$45,32,0))</f>
        <v>0</v>
      </c>
      <c r="P33" s="7">
        <f>VLOOKUP($A33,[6]HISTODEC23!$A$7:$AU$45,33,0)</f>
        <v>0</v>
      </c>
      <c r="Q33" s="7">
        <f t="shared" si="0"/>
        <v>0</v>
      </c>
      <c r="R33" s="7">
        <f>VLOOKUP($A33,[6]HISTODEC23!$A$7:$AU$45,29,0)</f>
        <v>0</v>
      </c>
    </row>
    <row r="34" spans="1:18" x14ac:dyDescent="0.25">
      <c r="A34" s="1" t="s">
        <v>28</v>
      </c>
      <c r="B34" s="7">
        <f>IF(D34=0,0,VLOOKUP($A34,[6]HISTODEC23!$A$6:$BO$40,10,0))</f>
        <v>1</v>
      </c>
      <c r="C34" s="1" t="str">
        <f>VLOOKUP(A34,[7]LISTADHERENT!A$5:H$60,3,0)</f>
        <v>YEPMOU JEAN JACQUES</v>
      </c>
      <c r="D34" s="7">
        <f t="shared" si="1"/>
        <v>25000</v>
      </c>
      <c r="E34" s="7">
        <f>D34+VLOOKUP($A34,[6]HISTODEC23!$A$7:$AU$40,45,0)+F34</f>
        <v>40000</v>
      </c>
      <c r="F34" s="7">
        <f>VLOOKUP($A34,[6]HISTODEC23!$A$7:$AU$45,7,0)</f>
        <v>0</v>
      </c>
      <c r="G34" s="7" t="str">
        <f>VLOOKUP($A34,[6]HISTODEC23!$A$7:$AU$45,8,0)</f>
        <v>BANQUE</v>
      </c>
      <c r="H34" s="7">
        <f>VLOOKUP($A34,[6]HISTODEC23!$A$6:$AU$45,35,0)</f>
        <v>0</v>
      </c>
      <c r="I34" s="7">
        <f>VLOOKUP($A34,[6]HISTODEC23!$A$7:$AU$45,38,0)</f>
        <v>0</v>
      </c>
      <c r="J34" s="7">
        <f>IF(I34=0,0,VLOOKUP($A34,[6]HISTODEC23!$A$7:$AU$45,42,0))</f>
        <v>0</v>
      </c>
      <c r="K34" s="7">
        <f>VLOOKUP($A34,[6]HISTODEC23!$A$7:$AU$45,41,0)</f>
        <v>0</v>
      </c>
      <c r="L34" s="7">
        <f>TONTNOV23!H34+TONTNOV23!I34</f>
        <v>0</v>
      </c>
      <c r="M34" s="7">
        <f>VLOOKUP($A34,[6]HISTODEC23!$A$7:$AU$45,16,0)</f>
        <v>0</v>
      </c>
      <c r="N34" s="7" t="str">
        <f>IF(M34&lt;&gt;0,VLOOKUP($A34,[6]HISTODEC23!$A$7:$AU$45,8,0),"ECHEC")</f>
        <v>ECHEC</v>
      </c>
      <c r="O34" s="7">
        <f>IF(R34=0,0,VLOOKUP($A34,[6]HISTODEC23!$A$7:$AU$45,32,0))</f>
        <v>0</v>
      </c>
      <c r="P34" s="7">
        <f>VLOOKUP($A34,[6]HISTODEC23!$A$7:$AU$45,33,0)</f>
        <v>0</v>
      </c>
      <c r="Q34" s="7">
        <f t="shared" si="0"/>
        <v>297500</v>
      </c>
      <c r="R34" s="7">
        <f>VLOOKUP($A34,[6]HISTODEC23!$A$7:$AU$45,29,0)</f>
        <v>2500</v>
      </c>
    </row>
    <row r="35" spans="1:18" x14ac:dyDescent="0.25">
      <c r="A35" s="1" t="s">
        <v>29</v>
      </c>
      <c r="B35" s="7">
        <f>IF(D35=0,0,VLOOKUP($A35,[6]HISTODEC23!$A$6:$BO$40,10,0))</f>
        <v>1</v>
      </c>
      <c r="C35" s="1" t="str">
        <f>VLOOKUP(A35,[7]LISTADHERENT!A$5:H$60,3,0)</f>
        <v>YOUMBI EMMANUEL</v>
      </c>
      <c r="D35" s="7">
        <f t="shared" si="1"/>
        <v>25000</v>
      </c>
      <c r="E35" s="7">
        <f>D35+VLOOKUP($A35,[6]HISTODEC23!$A$7:$AU$40,45,0)+F35</f>
        <v>40000</v>
      </c>
      <c r="F35" s="7">
        <f>VLOOKUP($A35,[6]HISTODEC23!$A$7:$AU$45,7,0)</f>
        <v>0</v>
      </c>
      <c r="G35" s="7" t="str">
        <f>VLOOKUP($A35,[6]HISTODEC23!$A$7:$AU$45,8,0)</f>
        <v>BANQUE</v>
      </c>
      <c r="H35" s="7">
        <f>VLOOKUP($A35,[6]HISTODEC23!$A$6:$AU$45,35,0)</f>
        <v>0</v>
      </c>
      <c r="I35" s="7">
        <f>VLOOKUP($A35,[6]HISTODEC23!$A$7:$AU$45,38,0)</f>
        <v>0</v>
      </c>
      <c r="J35" s="7">
        <f>IF(I35=0,0,VLOOKUP($A35,[6]HISTODEC23!$A$7:$AU$45,42,0))</f>
        <v>0</v>
      </c>
      <c r="K35" s="7">
        <f>VLOOKUP($A35,[6]HISTODEC23!$A$7:$AU$45,41,0)</f>
        <v>0</v>
      </c>
      <c r="L35" s="7">
        <f>TONTNOV23!H35+TONTNOV23!I35</f>
        <v>0</v>
      </c>
      <c r="M35" s="7">
        <f>VLOOKUP($A35,[6]HISTODEC23!$A$7:$AU$45,16,0)</f>
        <v>0</v>
      </c>
      <c r="N35" s="7" t="str">
        <f>IF(M35&lt;&gt;0,VLOOKUP($A35,[6]HISTODEC23!$A$7:$AU$45,8,0),"ECHEC")</f>
        <v>ECHEC</v>
      </c>
      <c r="O35" s="7">
        <f>IF(R35=0,0,VLOOKUP($A35,[6]HISTODEC23!$A$7:$AU$45,32,0))</f>
        <v>0</v>
      </c>
      <c r="P35" s="7">
        <f>VLOOKUP($A35,[6]HISTODEC23!$A$7:$AU$45,33,0)</f>
        <v>0</v>
      </c>
      <c r="Q35" s="7">
        <f t="shared" si="0"/>
        <v>0</v>
      </c>
      <c r="R35" s="7">
        <f>VLOOKUP($A35,[6]HISTODEC23!$A$7:$AU$45,29,0)</f>
        <v>0</v>
      </c>
    </row>
    <row r="36" spans="1:18" x14ac:dyDescent="0.25">
      <c r="A36" s="1"/>
    </row>
    <row r="37" spans="1:18" ht="18" x14ac:dyDescent="0.25">
      <c r="A37" s="1" t="s">
        <v>84</v>
      </c>
      <c r="B37" s="8">
        <f>SUM(B6:B36)</f>
        <v>30</v>
      </c>
      <c r="I37" s="9"/>
    </row>
    <row r="38" spans="1:18" ht="18" x14ac:dyDescent="0.25">
      <c r="A38" s="1" t="s">
        <v>83</v>
      </c>
      <c r="B38" s="16">
        <f>COUNT(D6:D35)</f>
        <v>30</v>
      </c>
      <c r="C38" s="8"/>
      <c r="D38" s="8">
        <f>SUM(D6:D37)</f>
        <v>750000</v>
      </c>
      <c r="E38" s="8">
        <f>SUM(E6:E37)</f>
        <v>1403800</v>
      </c>
      <c r="F38" s="8">
        <f>SUM(F6:F37)</f>
        <v>0</v>
      </c>
      <c r="G38" s="8"/>
      <c r="H38" s="8">
        <f t="shared" ref="H38:R38" si="2">SUM(H6:H37)</f>
        <v>0</v>
      </c>
      <c r="I38" s="8">
        <f t="shared" si="2"/>
        <v>0</v>
      </c>
      <c r="J38" s="8"/>
      <c r="K38" s="8"/>
      <c r="L38" s="8">
        <f t="shared" si="2"/>
        <v>59500</v>
      </c>
      <c r="M38" s="8">
        <f t="shared" si="2"/>
        <v>59500</v>
      </c>
      <c r="N38" s="8">
        <f t="shared" si="2"/>
        <v>0</v>
      </c>
      <c r="O38" s="8">
        <f t="shared" si="2"/>
        <v>0</v>
      </c>
      <c r="P38" s="8">
        <f t="shared" si="2"/>
        <v>0</v>
      </c>
      <c r="Q38" s="8">
        <f t="shared" si="2"/>
        <v>595000</v>
      </c>
      <c r="R38" s="8">
        <f t="shared" si="2"/>
        <v>5000</v>
      </c>
    </row>
    <row r="39" spans="1:18" s="2" customFormat="1" x14ac:dyDescent="0.25">
      <c r="B39"/>
      <c r="C39"/>
      <c r="D39"/>
      <c r="E39"/>
      <c r="F39"/>
      <c r="G39"/>
      <c r="H39"/>
      <c r="I39" s="9"/>
      <c r="J39" s="3"/>
      <c r="K39" s="3"/>
      <c r="L39" s="3"/>
      <c r="N39" s="4" t="s">
        <v>76</v>
      </c>
      <c r="O39" s="4" t="s">
        <v>85</v>
      </c>
      <c r="P39" s="3"/>
    </row>
    <row r="40" spans="1:18" s="2" customFormat="1" ht="29.25" x14ac:dyDescent="0.25">
      <c r="D40" s="4" t="s">
        <v>5</v>
      </c>
      <c r="E40" s="4" t="s">
        <v>7</v>
      </c>
      <c r="F40"/>
      <c r="G40" s="4" t="s">
        <v>36</v>
      </c>
      <c r="H40" s="4" t="s">
        <v>40</v>
      </c>
      <c r="I40" s="4" t="s">
        <v>42</v>
      </c>
      <c r="J40" s="4" t="s">
        <v>43</v>
      </c>
      <c r="K40" s="4"/>
      <c r="L40" s="8" t="s">
        <v>49</v>
      </c>
      <c r="M40" s="8">
        <f>D44+G44+R38+TONTNOV23!O45+25000+38500</f>
        <v>839500</v>
      </c>
      <c r="N40" s="4"/>
      <c r="O40"/>
      <c r="P40" s="4"/>
    </row>
    <row r="41" spans="1:18" s="2" customFormat="1" ht="18" x14ac:dyDescent="0.25">
      <c r="D41" s="8">
        <f>SUMIFS(D6:D37,G6:G37,"ESPECES")</f>
        <v>100000</v>
      </c>
      <c r="E41" s="8">
        <f>SUMIFS(E6:E37,G6:G37,"ESPECES")</f>
        <v>160000</v>
      </c>
      <c r="F41" s="8" t="s">
        <v>32</v>
      </c>
      <c r="G41" s="8">
        <f>SUMIFS(M6:M35,N6:N35,"ESPECES")</f>
        <v>29000</v>
      </c>
      <c r="H41" s="8">
        <f>SUMIFS(H6:H37,J6:J37,"ESPECES")</f>
        <v>0</v>
      </c>
      <c r="I41" s="8">
        <f>SUMIFS(Q6:Q37,O6:O37,"ESPECES")</f>
        <v>0</v>
      </c>
      <c r="J41" s="8">
        <f>D41+G41-H41-I41</f>
        <v>129000</v>
      </c>
      <c r="K41" s="8"/>
      <c r="L41" s="8" t="s">
        <v>80</v>
      </c>
      <c r="M41" s="8">
        <f>C3*COUNTIF(Q6:Q37,"&gt;0")</f>
        <v>600000</v>
      </c>
      <c r="N41" s="8">
        <f>D3</f>
        <v>2</v>
      </c>
      <c r="O41" s="8">
        <f>COUNTIF(Q6:Q35,"&gt;0")</f>
        <v>2</v>
      </c>
      <c r="P41" s="8"/>
    </row>
    <row r="42" spans="1:18" s="2" customFormat="1" ht="18" x14ac:dyDescent="0.25">
      <c r="D42" s="8">
        <f>SUMIFS(D6:D37,G6:G37,"BANQUE")</f>
        <v>650000</v>
      </c>
      <c r="E42" s="8">
        <f>SUMIFS(E6:E38,G6:G38,"BANQUE")</f>
        <v>1243800</v>
      </c>
      <c r="F42" s="8" t="s">
        <v>33</v>
      </c>
      <c r="G42" s="8">
        <f>SUMIFS(M6:M35,N6:N35,"BANQUE")</f>
        <v>30500</v>
      </c>
      <c r="H42" s="8">
        <f>SUMIFS(H6:H37,J6:J37,"BANQUE")</f>
        <v>0</v>
      </c>
      <c r="I42" s="8">
        <f>SUMIFS(Q6:Q37,O6:O37,"BANQUE")</f>
        <v>0</v>
      </c>
      <c r="J42" s="8">
        <f>D42+G42-H42-I42</f>
        <v>680500</v>
      </c>
      <c r="K42" s="8"/>
      <c r="M42" s="8"/>
      <c r="N42" s="8"/>
      <c r="O42" s="8"/>
      <c r="P42" s="8"/>
    </row>
    <row r="43" spans="1:18" s="2" customFormat="1" ht="18" x14ac:dyDescent="0.25">
      <c r="D43" s="8"/>
      <c r="E43" s="8"/>
      <c r="F43" s="8"/>
      <c r="G43" s="8"/>
      <c r="H43" s="8"/>
      <c r="I43" s="8"/>
      <c r="K43" s="8"/>
      <c r="L43" s="8" t="s">
        <v>48</v>
      </c>
      <c r="M43" s="8">
        <f>M40-M41</f>
        <v>239500</v>
      </c>
      <c r="N43" s="8"/>
      <c r="O43" s="8"/>
      <c r="P43" s="8"/>
    </row>
    <row r="44" spans="1:18" s="2" customFormat="1" ht="18" x14ac:dyDescent="0.25">
      <c r="D44" s="8">
        <f>D41+D42</f>
        <v>750000</v>
      </c>
      <c r="E44" s="8">
        <f>E41+E42</f>
        <v>1403800</v>
      </c>
      <c r="F44" s="8" t="s">
        <v>30</v>
      </c>
      <c r="G44" s="8">
        <f>G41+G42</f>
        <v>59500</v>
      </c>
      <c r="H44" s="8">
        <f>H41+H42</f>
        <v>0</v>
      </c>
      <c r="I44" s="8">
        <f t="shared" ref="I44:J44" si="3">I41+I42</f>
        <v>0</v>
      </c>
      <c r="J44" s="8">
        <f t="shared" si="3"/>
        <v>809500</v>
      </c>
      <c r="K44" s="8"/>
      <c r="M44" s="8"/>
      <c r="N44" s="8"/>
      <c r="O44" s="8"/>
      <c r="P44" s="8"/>
    </row>
    <row r="45" spans="1:18" s="2" customFormat="1" ht="18" x14ac:dyDescent="0.25">
      <c r="D45" s="8"/>
      <c r="E45" s="8"/>
      <c r="F45" s="8" t="s">
        <v>52</v>
      </c>
      <c r="G45"/>
      <c r="H45"/>
      <c r="I45" s="3"/>
      <c r="J45" s="3"/>
      <c r="K45" s="3"/>
      <c r="L45" s="8" t="s">
        <v>51</v>
      </c>
      <c r="M45" s="8">
        <f>M43-H38</f>
        <v>239500</v>
      </c>
      <c r="N45"/>
      <c r="O45" s="8">
        <f>TONTDEC23!M45</f>
        <v>239500</v>
      </c>
      <c r="P45" s="8" t="s">
        <v>54</v>
      </c>
    </row>
    <row r="46" spans="1:18" s="2" customFormat="1" ht="18" x14ac:dyDescent="0.25">
      <c r="D46" s="4"/>
      <c r="E46" s="4"/>
      <c r="F46" s="8"/>
      <c r="G46"/>
      <c r="H46"/>
      <c r="I46" s="3"/>
      <c r="J46" s="3"/>
      <c r="K46" s="3"/>
      <c r="N46"/>
      <c r="O46" s="3"/>
      <c r="P46" s="3"/>
    </row>
    <row r="47" spans="1:18" ht="18" x14ac:dyDescent="0.25">
      <c r="L47" s="8" t="s">
        <v>56</v>
      </c>
      <c r="M47" s="8">
        <f>COUNTIFS(G6:G36,"ECHEC")*25000</f>
        <v>0</v>
      </c>
      <c r="O47" s="8">
        <f>TONTNOV23!O47+TONTDEC23!M47</f>
        <v>0</v>
      </c>
      <c r="P47" s="8" t="s">
        <v>54</v>
      </c>
    </row>
    <row r="48" spans="1:18" ht="18" x14ac:dyDescent="0.25">
      <c r="F48" s="2"/>
      <c r="L48" s="8" t="s">
        <v>55</v>
      </c>
      <c r="M48" s="8">
        <f>L38-G44</f>
        <v>0</v>
      </c>
      <c r="O48" s="8">
        <f>TONTNOV23!O48+TONTDEC23!M48</f>
        <v>0</v>
      </c>
      <c r="P48" s="8" t="s">
        <v>54</v>
      </c>
    </row>
  </sheetData>
  <autoFilter ref="A5:R25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8"/>
  <sheetViews>
    <sheetView tabSelected="1" workbookViewId="0">
      <pane xSplit="3" ySplit="5" topLeftCell="Q33" activePane="bottomRight" state="frozen"/>
      <selection activeCell="O49" sqref="O49"/>
      <selection pane="topRight" activeCell="O49" sqref="O49"/>
      <selection pane="bottomLeft" activeCell="O49" sqref="O49"/>
      <selection pane="bottomRight" activeCell="X40" sqref="X40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5" width="21" customWidth="1"/>
    <col min="6" max="6" width="21.42578125" customWidth="1"/>
    <col min="7" max="7" width="16.7109375" customWidth="1"/>
    <col min="8" max="8" width="15" customWidth="1"/>
    <col min="9" max="10" width="17.5703125" style="3" customWidth="1"/>
    <col min="11" max="11" width="16" style="3" customWidth="1"/>
    <col min="12" max="12" width="19.85546875" style="3" customWidth="1"/>
    <col min="13" max="13" width="15.7109375" style="2" customWidth="1"/>
    <col min="14" max="14" width="13" customWidth="1"/>
    <col min="15" max="15" width="14.5703125" bestFit="1" customWidth="1"/>
    <col min="16" max="16" width="15.5703125" style="3" customWidth="1"/>
    <col min="17" max="18" width="18.140625" style="2" customWidth="1"/>
    <col min="19" max="19" width="13" customWidth="1"/>
    <col min="21" max="21" width="15" customWidth="1"/>
    <col min="22" max="22" width="14.42578125" customWidth="1"/>
  </cols>
  <sheetData>
    <row r="1" spans="1:22" x14ac:dyDescent="0.2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22" x14ac:dyDescent="0.25">
      <c r="A2" s="1" t="s">
        <v>2</v>
      </c>
      <c r="B2" s="1">
        <v>2023</v>
      </c>
      <c r="C2" s="1" t="s">
        <v>81</v>
      </c>
      <c r="D2" s="1" t="s">
        <v>76</v>
      </c>
      <c r="E2" s="1"/>
      <c r="F2" s="1"/>
      <c r="G2" s="1"/>
      <c r="N2" s="1"/>
      <c r="O2" s="1"/>
    </row>
    <row r="3" spans="1:22" x14ac:dyDescent="0.25">
      <c r="A3" s="1" t="s">
        <v>82</v>
      </c>
      <c r="B3" s="6">
        <v>25000</v>
      </c>
      <c r="C3" s="6">
        <f>B3*12</f>
        <v>300000</v>
      </c>
      <c r="D3" s="1">
        <f>ROUNDDOWN(M40/C3,0)</f>
        <v>0</v>
      </c>
      <c r="E3" s="1"/>
      <c r="F3" s="1"/>
      <c r="G3" s="1"/>
      <c r="N3" s="1"/>
      <c r="O3" s="1"/>
    </row>
    <row r="4" spans="1:22" s="13" customFormat="1" ht="18" x14ac:dyDescent="0.25">
      <c r="B4" s="14"/>
      <c r="C4" s="21" t="s">
        <v>93</v>
      </c>
      <c r="D4" s="22"/>
      <c r="E4" s="22"/>
      <c r="F4" s="22"/>
      <c r="G4" s="22"/>
      <c r="H4" s="22"/>
      <c r="I4" s="22"/>
      <c r="J4" s="22"/>
      <c r="K4" s="22"/>
      <c r="L4" s="22"/>
      <c r="N4" s="15"/>
      <c r="O4" s="15"/>
      <c r="P4" s="15"/>
      <c r="Q4" s="15"/>
    </row>
    <row r="5" spans="1:22" ht="58.5" x14ac:dyDescent="0.3">
      <c r="A5" s="1" t="s">
        <v>3</v>
      </c>
      <c r="B5" s="12" t="s">
        <v>77</v>
      </c>
      <c r="C5" s="1" t="s">
        <v>4</v>
      </c>
      <c r="D5" s="4" t="s">
        <v>5</v>
      </c>
      <c r="E5" s="4" t="s">
        <v>7</v>
      </c>
      <c r="F5" s="1" t="s">
        <v>44</v>
      </c>
      <c r="G5" s="5" t="s">
        <v>6</v>
      </c>
      <c r="H5" s="6" t="s">
        <v>40</v>
      </c>
      <c r="I5" s="4" t="s">
        <v>37</v>
      </c>
      <c r="J5" s="4" t="s">
        <v>41</v>
      </c>
      <c r="K5" s="10" t="s">
        <v>50</v>
      </c>
      <c r="L5" s="4" t="s">
        <v>78</v>
      </c>
      <c r="M5" s="4" t="s">
        <v>36</v>
      </c>
      <c r="N5" s="4" t="s">
        <v>35</v>
      </c>
      <c r="O5" s="4" t="s">
        <v>38</v>
      </c>
      <c r="P5" s="4" t="s">
        <v>50</v>
      </c>
      <c r="Q5" s="4" t="s">
        <v>79</v>
      </c>
      <c r="R5" s="4" t="s">
        <v>39</v>
      </c>
      <c r="S5" s="4" t="s">
        <v>91</v>
      </c>
      <c r="T5" s="4" t="s">
        <v>92</v>
      </c>
      <c r="U5" s="4" t="s">
        <v>94</v>
      </c>
    </row>
    <row r="6" spans="1:22" ht="18" x14ac:dyDescent="0.25">
      <c r="A6" s="1" t="s">
        <v>89</v>
      </c>
      <c r="B6" s="7">
        <f>TONTJANV23!B6+TONTFEV23!B6+TONTMARS23!B6+TONTAVRIL23!B6+TONTMAI23!B6+TONTJUIN23!B6+TONTJUIL23!B6+TONTAOUT23!B6+TONTSEPT23!B6+TONTOCT23!B6+TONTNOV23!B6+TONTDEC23!B6</f>
        <v>12</v>
      </c>
      <c r="C6" s="1" t="str">
        <f>VLOOKUP(A6,[7]LISTADHERENT!A$5:H$60,3,0)</f>
        <v>BAKOP ACHILLE</v>
      </c>
      <c r="D6" s="7">
        <f>TONTJANV23!D6+TONTFEV23!D6+TONTMARS23!D6+TONTAVRIL23!D6+TONTMAI23!D6+TONTJUIN23!D6+TONTJUIL23!D6+TONTAOUT23!D6+TONTSEPT23!D6+TONTOCT23!D6+TONTNOV23!D6+TONTDEC23!D6</f>
        <v>300000</v>
      </c>
      <c r="E6" s="7">
        <f>TONTJANV23!E6+TONTFEV23!E6+TONTMARS23!E6+TONTAVRIL23!E6+TONTMAI23!E6+TONTJUIN23!E6+TONTJUIL23!E6+TONTAOUT23!E6+TONTSEPT23!E6+TONTOCT23!E6+TONTNOV23!E6+TONTDEC23!E6</f>
        <v>544000</v>
      </c>
      <c r="F6" s="7">
        <f>TONTJANV23!F6+TONTFEV23!F6+TONTMARS23!F6+TONTAVRIL23!F6+TONTMAI23!F6+TONTJUIN23!F6+TONTJUIL23!F6+TONTAOUT23!F6+TONTSEPT23!F6+TONTOCT23!F6+TONTNOV23!F6+TONTDEC23!F6</f>
        <v>3000</v>
      </c>
      <c r="G6" s="7"/>
      <c r="H6" s="7">
        <f>TONTJANV23!H6+TONTFEV23!H6+TONTMARS23!H6+TONTAVRIL23!H6+TONTMAI23!H6+TONTJUIN23!H6+TONTJUIL23!H6+TONTAOUT23!H6+TONTSEPT23!H6+TONTOCT23!H6+TONTNOV23!H6+TONTDEC23!H6</f>
        <v>85500</v>
      </c>
      <c r="I6" s="7">
        <f>TONTJANV23!I6+TONTFEV23!I6+TONTMARS23!I6+TONTAVRIL23!I6+TONTMAI23!I6+TONTJUIN23!I6+TONTJUIL23!I6+TONTAOUT23!I6+TONTSEPT23!I6+TONTOCT23!I6+TONTNOV23!I6+TONTDEC23!I6</f>
        <v>2000</v>
      </c>
      <c r="J6" s="7"/>
      <c r="K6" s="7"/>
      <c r="L6" s="7">
        <f>TONTJANV23!L6+TONTFEV23!L6+TONTMARS23!L6+TONTAVRIL23!L6+TONTMAI23!L6+TONTJUIN23!L6+TONTJUIL23!L6+TONTAOUT23!L6+TONTSEPT23!L6+TONTOCT23!L6+TONTNOV23!L6+TONTDEC23!L6</f>
        <v>87500</v>
      </c>
      <c r="M6" s="7">
        <f>TONTJANV23!M6+TONTFEV23!M6+TONTMARS23!M6+TONTAVRIL23!M6+TONTMAI23!M6+TONTJUIN23!M6+TONTJUIL23!M6+TONTAOUT23!M6+TONTSEPT23!M6+TONTOCT23!M6+TONTNOV23!M6+TONTDEC23!M6</f>
        <v>87500</v>
      </c>
      <c r="N6" s="7"/>
      <c r="O6" s="7"/>
      <c r="P6" s="7"/>
      <c r="Q6" s="7">
        <f>TONTJANV23!Q6+TONTFEV23!Q6+TONTMARS23!Q6+TONTAVRIL23!Q6+TONTMAI23!Q6+TONTJUIN23!Q6+TONTJUIL23!Q6+TONTAOUT23!Q6+TONTSEPT23!Q6+TONTOCT23!Q6+TONTNOV23!Q6+TONTDEC23!Q6</f>
        <v>297000</v>
      </c>
      <c r="R6" s="7">
        <f>TONTJANV23!R6+TONTFEV23!R6+TONTMARS23!R6+TONTAVRIL23!R6+TONTMAI23!R6+TONTJUIN23!R6+TONTJUIL23!R6+TONTAOUT23!R6+TONTSEPT23!R6+TONTOCT23!R6+TONTNOV23!R6+TONTDEC23!R6</f>
        <v>3000</v>
      </c>
      <c r="S6" s="18">
        <v>45108</v>
      </c>
      <c r="U6" s="8">
        <f>$R$44</f>
        <v>7966.666666666667</v>
      </c>
      <c r="V6" s="8">
        <v>7000</v>
      </c>
    </row>
    <row r="7" spans="1:22" ht="18" x14ac:dyDescent="0.25">
      <c r="A7" s="1" t="s">
        <v>9</v>
      </c>
      <c r="B7" s="7">
        <f>TONTJANV23!B7+TONTFEV23!B7+TONTMARS23!B7+TONTAVRIL23!B7+TONTMAI23!B7+TONTJUIN23!B7+TONTJUIL23!B7+TONTAOUT23!B7+TONTSEPT23!B7+TONTOCT23!B7+TONTNOV23!B7+TONTDEC23!B7</f>
        <v>12</v>
      </c>
      <c r="C7" s="1" t="str">
        <f>VLOOKUP(A7,[7]LISTADHERENT!A$5:H$60,3,0)</f>
        <v>BOUTCHOUANG WILLIAM</v>
      </c>
      <c r="D7" s="7">
        <f>TONTJANV23!D7+TONTFEV23!D7+TONTMARS23!D7+TONTAVRIL23!D7+TONTMAI23!D7+TONTJUIN23!D7+TONTJUIL23!D7+TONTAOUT23!D7+TONTSEPT23!D7+TONTOCT23!D7+TONTNOV23!D7+TONTDEC23!D7</f>
        <v>300000</v>
      </c>
      <c r="E7" s="7">
        <f>TONTJANV23!E7+TONTFEV23!E7+TONTMARS23!E7+TONTAVRIL23!E7+TONTMAI23!E7+TONTJUIN23!E7+TONTJUIL23!E7+TONTAOUT23!E7+TONTSEPT23!E7+TONTOCT23!E7+TONTNOV23!E7+TONTDEC23!E7</f>
        <v>480000</v>
      </c>
      <c r="F7" s="7">
        <f>TONTJANV23!F7+TONTFEV23!F7+TONTMARS23!F7+TONTAVRIL23!F7+TONTMAI23!F7+TONTJUIN23!F7+TONTJUIL23!F7+TONTAOUT23!F7+TONTSEPT23!F7+TONTOCT23!F7+TONTNOV23!F7+TONTDEC23!F7</f>
        <v>0</v>
      </c>
      <c r="G7" s="7"/>
      <c r="H7" s="7">
        <f>TONTJANV23!H7+TONTFEV23!H7+TONTMARS23!H7+TONTAVRIL23!H7+TONTMAI23!H7+TONTJUIN23!H7+TONTJUIL23!H7+TONTAOUT23!H7+TONTSEPT23!H7+TONTOCT23!H7+TONTNOV23!H7+TONTDEC23!H7</f>
        <v>0</v>
      </c>
      <c r="I7" s="7">
        <f>TONTJANV23!I7+TONTFEV23!I7+TONTMARS23!I7+TONTAVRIL23!I7+TONTMAI23!I7+TONTJUIN23!I7+TONTJUIL23!I7+TONTAOUT23!I7+TONTSEPT23!I7+TONTOCT23!I7+TONTNOV23!I7+TONTDEC23!I7</f>
        <v>0</v>
      </c>
      <c r="J7" s="7"/>
      <c r="K7" s="7"/>
      <c r="L7" s="7">
        <f>TONTJANV23!L7+TONTFEV23!L7+TONTMARS23!L7+TONTAVRIL23!L7+TONTMAI23!L7+TONTJUIN23!L7+TONTJUIL23!L7+TONTAOUT23!L7+TONTSEPT23!L7+TONTOCT23!L7+TONTNOV23!L7+TONTDEC23!L7</f>
        <v>0</v>
      </c>
      <c r="M7" s="7">
        <f>TONTJANV23!M7+TONTFEV23!M7+TONTMARS23!M7+TONTAVRIL23!M7+TONTMAI23!M7+TONTJUIN23!M7+TONTJUIL23!M7+TONTAOUT23!M7+TONTSEPT23!M7+TONTOCT23!M7+TONTNOV23!M7+TONTDEC23!M7</f>
        <v>0</v>
      </c>
      <c r="N7" s="7"/>
      <c r="O7" s="7"/>
      <c r="P7" s="7"/>
      <c r="Q7" s="7">
        <f>TONTJANV23!Q7+TONTFEV23!Q7+TONTMARS23!Q7+TONTAVRIL23!Q7+TONTMAI23!Q7+TONTJUIN23!Q7+TONTJUIL23!Q7+TONTAOUT23!Q7+TONTSEPT23!Q7+TONTOCT23!Q7+TONTNOV23!Q7+TONTDEC23!Q7</f>
        <v>297500</v>
      </c>
      <c r="R7" s="7">
        <f>TONTJANV23!R7+TONTFEV23!R7+TONTMARS23!R7+TONTAVRIL23!R7+TONTMAI23!R7+TONTJUIN23!R7+TONTJUIL23!R7+TONTAOUT23!R7+TONTSEPT23!R7+TONTOCT23!R7+TONTNOV23!R7+TONTDEC23!R7</f>
        <v>2500</v>
      </c>
      <c r="S7" s="18">
        <v>45200</v>
      </c>
      <c r="U7" s="8">
        <f t="shared" ref="U7:U35" si="0">$R$44</f>
        <v>7966.666666666667</v>
      </c>
      <c r="V7" s="8">
        <v>7000</v>
      </c>
    </row>
    <row r="8" spans="1:22" ht="18" x14ac:dyDescent="0.25">
      <c r="A8" s="1" t="s">
        <v>10</v>
      </c>
      <c r="B8" s="7">
        <f>TONTJANV23!B8+TONTFEV23!B8+TONTMARS23!B8+TONTAVRIL23!B8+TONTMAI23!B8+TONTJUIN23!B8+TONTJUIL23!B8+TONTAOUT23!B8+TONTSEPT23!B8+TONTOCT23!B8+TONTNOV23!B8+TONTDEC23!B8</f>
        <v>12</v>
      </c>
      <c r="C8" s="1" t="str">
        <f>VLOOKUP(A8,[7]LISTADHERENT!A$5:H$60,3,0)</f>
        <v xml:space="preserve">DJOMO JEAN PAUL </v>
      </c>
      <c r="D8" s="7">
        <f>TONTJANV23!D8+TONTFEV23!D8+TONTMARS23!D8+TONTAVRIL23!D8+TONTMAI23!D8+TONTJUIN23!D8+TONTJUIL23!D8+TONTAOUT23!D8+TONTSEPT23!D8+TONTOCT23!D8+TONTNOV23!D8+TONTDEC23!D8</f>
        <v>300000</v>
      </c>
      <c r="E8" s="7">
        <f>TONTJANV23!E8+TONTFEV23!E8+TONTMARS23!E8+TONTAVRIL23!E8+TONTMAI23!E8+TONTJUIN23!E8+TONTJUIL23!E8+TONTAOUT23!E8+TONTSEPT23!E8+TONTOCT23!E8+TONTNOV23!E8+TONTDEC23!E8</f>
        <v>544000</v>
      </c>
      <c r="F8" s="7">
        <f>TONTJANV23!F8+TONTFEV23!F8+TONTMARS23!F8+TONTAVRIL23!F8+TONTMAI23!F8+TONTJUIN23!F8+TONTJUIL23!F8+TONTAOUT23!F8+TONTSEPT23!F8+TONTOCT23!F8+TONTNOV23!F8+TONTDEC23!F8</f>
        <v>3000</v>
      </c>
      <c r="G8" s="7"/>
      <c r="H8" s="7">
        <f>TONTJANV23!H8+TONTFEV23!H8+TONTMARS23!H8+TONTAVRIL23!H8+TONTMAI23!H8+TONTJUIN23!H8+TONTJUIL23!H8+TONTAOUT23!H8+TONTSEPT23!H8+TONTOCT23!H8+TONTNOV23!H8+TONTDEC23!H8</f>
        <v>22500</v>
      </c>
      <c r="I8" s="7">
        <f>TONTJANV23!I8+TONTFEV23!I8+TONTMARS23!I8+TONTAVRIL23!I8+TONTMAI23!I8+TONTJUIN23!I8+TONTJUIL23!I8+TONTAOUT23!I8+TONTSEPT23!I8+TONTOCT23!I8+TONTNOV23!I8+TONTDEC23!I8</f>
        <v>500</v>
      </c>
      <c r="J8" s="7"/>
      <c r="K8" s="7"/>
      <c r="L8" s="7">
        <f>TONTJANV23!L8+TONTFEV23!L8+TONTMARS23!L8+TONTAVRIL23!L8+TONTMAI23!L8+TONTJUIN23!L8+TONTJUIL23!L8+TONTAOUT23!L8+TONTSEPT23!L8+TONTOCT23!L8+TONTNOV23!L8+TONTDEC23!L8</f>
        <v>23000</v>
      </c>
      <c r="M8" s="7">
        <f>TONTJANV23!M8+TONTFEV23!M8+TONTMARS23!M8+TONTAVRIL23!M8+TONTMAI23!M8+TONTJUIN23!M8+TONTJUIL23!M8+TONTAOUT23!M8+TONTSEPT23!M8+TONTOCT23!M8+TONTNOV23!M8+TONTDEC23!M8</f>
        <v>23000</v>
      </c>
      <c r="N8" s="7"/>
      <c r="O8" s="7"/>
      <c r="P8" s="7"/>
      <c r="Q8" s="7">
        <f>TONTJANV23!Q8+TONTFEV23!Q8+TONTMARS23!Q8+TONTAVRIL23!Q8+TONTMAI23!Q8+TONTJUIN23!Q8+TONTJUIL23!Q8+TONTAOUT23!Q8+TONTSEPT23!Q8+TONTOCT23!Q8+TONTNOV23!Q8+TONTDEC23!Q8</f>
        <v>255000</v>
      </c>
      <c r="R8" s="7">
        <f>TONTJANV23!R8+TONTFEV23!R8+TONTMARS23!R8+TONTAVRIL23!R8+TONTMAI23!R8+TONTJUIN23!R8+TONTJUIL23!R8+TONTAOUT23!R8+TONTSEPT23!R8+TONTOCT23!R8+TONTNOV23!R8+TONTDEC23!R8</f>
        <v>45000</v>
      </c>
      <c r="S8" s="18">
        <v>44927</v>
      </c>
      <c r="U8" s="8">
        <f t="shared" si="0"/>
        <v>7966.666666666667</v>
      </c>
      <c r="V8" s="8">
        <v>7000</v>
      </c>
    </row>
    <row r="9" spans="1:22" ht="18" x14ac:dyDescent="0.25">
      <c r="A9" s="1" t="s">
        <v>53</v>
      </c>
      <c r="B9" s="7">
        <f>TONTJANV23!B9+TONTFEV23!B9+TONTMARS23!B9+TONTAVRIL23!B9+TONTMAI23!B9+TONTJUIN23!B9+TONTJUIL23!B9+TONTAOUT23!B9+TONTSEPT23!B9+TONTOCT23!B9+TONTNOV23!B9+TONTDEC23!B9</f>
        <v>12</v>
      </c>
      <c r="C9" s="1" t="str">
        <f>VLOOKUP(A9,[7]LISTADHERENT!A$5:H$60,3,0)</f>
        <v>DJOMOU TCHAPDA</v>
      </c>
      <c r="D9" s="7">
        <f>TONTJANV23!D9+TONTFEV23!D9+TONTMARS23!D9+TONTAVRIL23!D9+TONTMAI23!D9+TONTJUIN23!D9+TONTJUIL23!D9+TONTAOUT23!D9+TONTSEPT23!D9+TONTOCT23!D9+TONTNOV23!D9+TONTDEC23!D9</f>
        <v>300000</v>
      </c>
      <c r="E9" s="7">
        <f>TONTJANV23!E9+TONTFEV23!E9+TONTMARS23!E9+TONTAVRIL23!E9+TONTMAI23!E9+TONTJUIN23!E9+TONTJUIL23!E9+TONTAOUT23!E9+TONTSEPT23!E9+TONTOCT23!E9+TONTNOV23!E9+TONTDEC23!E9</f>
        <v>493000</v>
      </c>
      <c r="F9" s="7">
        <f>TONTJANV23!F9+TONTFEV23!F9+TONTMARS23!F9+TONTAVRIL23!F9+TONTMAI23!F9+TONTJUIN23!F9+TONTJUIL23!F9+TONTAOUT23!F9+TONTSEPT23!F9+TONTOCT23!F9+TONTNOV23!F9+TONTDEC23!F9</f>
        <v>15000</v>
      </c>
      <c r="G9" s="7"/>
      <c r="H9" s="7">
        <f>TONTJANV23!H9+TONTFEV23!H9+TONTMARS23!H9+TONTAVRIL23!H9+TONTMAI23!H9+TONTJUIN23!H9+TONTJUIL23!H9+TONTAOUT23!H9+TONTSEPT23!H9+TONTOCT23!H9+TONTNOV23!H9+TONTDEC23!H9</f>
        <v>160000</v>
      </c>
      <c r="I9" s="7">
        <f>TONTJANV23!I9+TONTFEV23!I9+TONTMARS23!I9+TONTAVRIL23!I9+TONTMAI23!I9+TONTJUIN23!I9+TONTJUIL23!I9+TONTAOUT23!I9+TONTSEPT23!I9+TONTOCT23!I9+TONTNOV23!I9+TONTDEC23!I9</f>
        <v>6000</v>
      </c>
      <c r="J9" s="7"/>
      <c r="K9" s="7"/>
      <c r="L9" s="7">
        <f>TONTJANV23!L9+TONTFEV23!L9+TONTMARS23!L9+TONTAVRIL23!L9+TONTMAI23!L9+TONTJUIN23!L9+TONTJUIL23!L9+TONTAOUT23!L9+TONTSEPT23!L9+TONTOCT23!L9+TONTNOV23!L9+TONTDEC23!L9</f>
        <v>166000</v>
      </c>
      <c r="M9" s="7">
        <f>TONTJANV23!M9+TONTFEV23!M9+TONTMARS23!M9+TONTAVRIL23!M9+TONTMAI23!M9+TONTJUIN23!M9+TONTJUIL23!M9+TONTAOUT23!M9+TONTSEPT23!M9+TONTOCT23!M9+TONTNOV23!M9+TONTDEC23!M9</f>
        <v>166000</v>
      </c>
      <c r="N9" s="7"/>
      <c r="O9" s="7"/>
      <c r="P9" s="7"/>
      <c r="Q9" s="7">
        <f>TONTJANV23!Q9+TONTFEV23!Q9+TONTMARS23!Q9+TONTAVRIL23!Q9+TONTMAI23!Q9+TONTJUIN23!Q9+TONTJUIL23!Q9+TONTAOUT23!Q9+TONTSEPT23!Q9+TONTOCT23!Q9+TONTNOV23!Q9+TONTDEC23!Q9</f>
        <v>289000</v>
      </c>
      <c r="R9" s="7">
        <f>TONTJANV23!R9+TONTFEV23!R9+TONTMARS23!R9+TONTAVRIL23!R9+TONTMAI23!R9+TONTJUIN23!R9+TONTJUIL23!R9+TONTAOUT23!R9+TONTSEPT23!R9+TONTOCT23!R9+TONTNOV23!R9+TONTDEC23!R9</f>
        <v>11000</v>
      </c>
      <c r="S9" s="18">
        <v>45017</v>
      </c>
      <c r="U9" s="8">
        <f t="shared" si="0"/>
        <v>7966.666666666667</v>
      </c>
      <c r="V9" s="8">
        <v>7000</v>
      </c>
    </row>
    <row r="10" spans="1:22" ht="18" x14ac:dyDescent="0.25">
      <c r="A10" s="1" t="s">
        <v>11</v>
      </c>
      <c r="B10" s="7">
        <f>TONTJANV23!B10+TONTFEV23!B10+TONTMARS23!B10+TONTAVRIL23!B10+TONTMAI23!B10+TONTJUIN23!B10+TONTJUIL23!B10+TONTAOUT23!B10+TONTSEPT23!B10+TONTOCT23!B10+TONTNOV23!B10+TONTDEC23!B10</f>
        <v>12</v>
      </c>
      <c r="C10" s="1" t="str">
        <f>VLOOKUP(A10,[7]LISTADHERENT!A$5:H$60,3,0)</f>
        <v>DJOUKWE NANGUEN GUY BLAISE</v>
      </c>
      <c r="D10" s="7">
        <f>TONTJANV23!D10+TONTFEV23!D10+TONTMARS23!D10+TONTAVRIL23!D10+TONTMAI23!D10+TONTJUIN23!D10+TONTJUIL23!D10+TONTAOUT23!D10+TONTSEPT23!D10+TONTOCT23!D10+TONTNOV23!D10+TONTDEC23!D10</f>
        <v>300000</v>
      </c>
      <c r="E10" s="7">
        <f>TONTJANV23!E10+TONTFEV23!E10+TONTMARS23!E10+TONTAVRIL23!E10+TONTMAI23!E10+TONTJUIN23!E10+TONTJUIL23!E10+TONTAOUT23!E10+TONTSEPT23!E10+TONTOCT23!E10+TONTNOV23!E10+TONTDEC23!E10</f>
        <v>492500</v>
      </c>
      <c r="F10" s="7">
        <f>TONTJANV23!F10+TONTFEV23!F10+TONTMARS23!F10+TONTAVRIL23!F10+TONTMAI23!F10+TONTJUIN23!F10+TONTJUIL23!F10+TONTAOUT23!F10+TONTSEPT23!F10+TONTOCT23!F10+TONTNOV23!F10+TONTDEC23!F10</f>
        <v>3000</v>
      </c>
      <c r="G10" s="7"/>
      <c r="H10" s="7">
        <f>TONTJANV23!H10+TONTFEV23!H10+TONTMARS23!H10+TONTAVRIL23!H10+TONTMAI23!H10+TONTJUIN23!H10+TONTJUIL23!H10+TONTAOUT23!H10+TONTSEPT23!H10+TONTOCT23!H10+TONTNOV23!H10+TONTDEC23!H10</f>
        <v>181000</v>
      </c>
      <c r="I10" s="7">
        <f>TONTJANV23!I10+TONTFEV23!I10+TONTMARS23!I10+TONTAVRIL23!I10+TONTMAI23!I10+TONTJUIN23!I10+TONTJUIL23!I10+TONTAOUT23!I10+TONTSEPT23!I10+TONTOCT23!I10+TONTNOV23!I10+TONTDEC23!I10</f>
        <v>5000</v>
      </c>
      <c r="J10" s="7"/>
      <c r="K10" s="7"/>
      <c r="L10" s="7">
        <f>TONTJANV23!L10+TONTFEV23!L10+TONTMARS23!L10+TONTAVRIL23!L10+TONTMAI23!L10+TONTJUIN23!L10+TONTJUIL23!L10+TONTAOUT23!L10+TONTSEPT23!L10+TONTOCT23!L10+TONTNOV23!L10+TONTDEC23!L10</f>
        <v>186000</v>
      </c>
      <c r="M10" s="7">
        <f>TONTJANV23!M10+TONTFEV23!M10+TONTMARS23!M10+TONTAVRIL23!M10+TONTMAI23!M10+TONTJUIN23!M10+TONTJUIL23!M10+TONTAOUT23!M10+TONTSEPT23!M10+TONTOCT23!M10+TONTNOV23!M10+TONTDEC23!M10</f>
        <v>186000</v>
      </c>
      <c r="N10" s="7"/>
      <c r="O10" s="7"/>
      <c r="P10" s="7"/>
      <c r="Q10" s="7">
        <f>TONTJANV23!Q10+TONTFEV23!Q10+TONTMARS23!Q10+TONTAVRIL23!Q10+TONTMAI23!Q10+TONTJUIN23!Q10+TONTJUIL23!Q10+TONTAOUT23!Q10+TONTSEPT23!Q10+TONTOCT23!Q10+TONTNOV23!Q10+TONTDEC23!Q10</f>
        <v>290000</v>
      </c>
      <c r="R10" s="7">
        <f>TONTJANV23!R10+TONTFEV23!R10+TONTMARS23!R10+TONTAVRIL23!R10+TONTMAI23!R10+TONTJUIN23!R10+TONTJUIL23!R10+TONTAOUT23!R10+TONTSEPT23!R10+TONTOCT23!R10+TONTNOV23!R10+TONTDEC23!R10</f>
        <v>10000</v>
      </c>
      <c r="S10" s="18">
        <v>45017</v>
      </c>
      <c r="U10" s="8">
        <f t="shared" si="0"/>
        <v>7966.666666666667</v>
      </c>
      <c r="V10" s="8">
        <v>7000</v>
      </c>
    </row>
    <row r="11" spans="1:22" ht="18" x14ac:dyDescent="0.25">
      <c r="A11" s="1" t="s">
        <v>12</v>
      </c>
      <c r="B11" s="7">
        <f>TONTJANV23!B11+TONTFEV23!B11+TONTMARS23!B11+TONTAVRIL23!B11+TONTMAI23!B11+TONTJUIN23!B11+TONTJUIL23!B11+TONTAOUT23!B11+TONTSEPT23!B11+TONTOCT23!B11+TONTNOV23!B11+TONTDEC23!B11</f>
        <v>12</v>
      </c>
      <c r="C11" s="1" t="str">
        <f>VLOOKUP(A11,[7]LISTADHERENT!A$5:H$60,3,0)</f>
        <v>DJUOMBESSY ANTOINE</v>
      </c>
      <c r="D11" s="7">
        <f>TONTJANV23!D11+TONTFEV23!D11+TONTMARS23!D11+TONTAVRIL23!D11+TONTMAI23!D11+TONTJUIN23!D11+TONTJUIL23!D11+TONTAOUT23!D11+TONTSEPT23!D11+TONTOCT23!D11+TONTNOV23!D11+TONTDEC23!D11</f>
        <v>300000</v>
      </c>
      <c r="E11" s="7">
        <f>TONTJANV23!E11+TONTFEV23!E11+TONTMARS23!E11+TONTAVRIL23!E11+TONTMAI23!E11+TONTJUIN23!E11+TONTJUIL23!E11+TONTAOUT23!E11+TONTSEPT23!E11+TONTOCT23!E11+TONTNOV23!E11+TONTDEC23!E11</f>
        <v>681600</v>
      </c>
      <c r="F11" s="7">
        <f>TONTJANV23!F11+TONTFEV23!F11+TONTMARS23!F11+TONTAVRIL23!F11+TONTMAI23!F11+TONTJUIN23!F11+TONTJUIL23!F11+TONTAOUT23!F11+TONTSEPT23!F11+TONTOCT23!F11+TONTNOV23!F11+TONTDEC23!F11</f>
        <v>0</v>
      </c>
      <c r="G11" s="7"/>
      <c r="H11" s="7">
        <f>TONTJANV23!H11+TONTFEV23!H11+TONTMARS23!H11+TONTAVRIL23!H11+TONTMAI23!H11+TONTJUIN23!H11+TONTJUIL23!H11+TONTAOUT23!H11+TONTSEPT23!H11+TONTOCT23!H11+TONTNOV23!H11+TONTDEC23!H11</f>
        <v>30000</v>
      </c>
      <c r="I11" s="7">
        <f>TONTJANV23!I11+TONTFEV23!I11+TONTMARS23!I11+TONTAVRIL23!I11+TONTMAI23!I11+TONTJUIN23!I11+TONTJUIL23!I11+TONTAOUT23!I11+TONTSEPT23!I11+TONTOCT23!I11+TONTNOV23!I11+TONTDEC23!I11</f>
        <v>500</v>
      </c>
      <c r="J11" s="7"/>
      <c r="K11" s="7"/>
      <c r="L11" s="7">
        <f>TONTJANV23!L11+TONTFEV23!L11+TONTMARS23!L11+TONTAVRIL23!L11+TONTMAI23!L11+TONTJUIN23!L11+TONTJUIL23!L11+TONTAOUT23!L11+TONTSEPT23!L11+TONTOCT23!L11+TONTNOV23!L11+TONTDEC23!L11</f>
        <v>30500</v>
      </c>
      <c r="M11" s="7">
        <f>TONTJANV23!M11+TONTFEV23!M11+TONTMARS23!M11+TONTAVRIL23!M11+TONTMAI23!M11+TONTJUIN23!M11+TONTJUIL23!M11+TONTAOUT23!M11+TONTSEPT23!M11+TONTOCT23!M11+TONTNOV23!M11+TONTDEC23!M11</f>
        <v>30500</v>
      </c>
      <c r="N11" s="7"/>
      <c r="O11" s="7"/>
      <c r="P11" s="7"/>
      <c r="Q11" s="7">
        <f>TONTJANV23!Q11+TONTFEV23!Q11+TONTMARS23!Q11+TONTAVRIL23!Q11+TONTMAI23!Q11+TONTJUIN23!Q11+TONTJUIL23!Q11+TONTAOUT23!Q11+TONTSEPT23!Q11+TONTOCT23!Q11+TONTNOV23!Q11+TONTDEC23!Q11</f>
        <v>295000</v>
      </c>
      <c r="R11" s="7">
        <f>TONTJANV23!R11+TONTFEV23!R11+TONTMARS23!R11+TONTAVRIL23!R11+TONTMAI23!R11+TONTJUIN23!R11+TONTJUIL23!R11+TONTAOUT23!R11+TONTSEPT23!R11+TONTOCT23!R11+TONTNOV23!R11+TONTDEC23!R11</f>
        <v>5000</v>
      </c>
      <c r="S11" s="18">
        <v>45078</v>
      </c>
      <c r="U11" s="8">
        <f t="shared" si="0"/>
        <v>7966.666666666667</v>
      </c>
      <c r="V11" s="8">
        <v>7000</v>
      </c>
    </row>
    <row r="12" spans="1:22" ht="18" x14ac:dyDescent="0.25">
      <c r="A12" s="1" t="s">
        <v>46</v>
      </c>
      <c r="B12" s="7">
        <f>TONTJANV23!B12+TONTFEV23!B12+TONTMARS23!B12+TONTAVRIL23!B12+TONTMAI23!B12+TONTJUIN23!B12+TONTJUIL23!B12+TONTAOUT23!B12+TONTSEPT23!B12+TONTOCT23!B12+TONTNOV23!B12+TONTDEC23!B12</f>
        <v>12</v>
      </c>
      <c r="C12" s="1" t="str">
        <f>VLOOKUP(A12,[7]LISTADHERENT!A$5:H$60,3,0)</f>
        <v>DOMOU FABIEN</v>
      </c>
      <c r="D12" s="7">
        <f>TONTJANV23!D12+TONTFEV23!D12+TONTMARS23!D12+TONTAVRIL23!D12+TONTMAI23!D12+TONTJUIN23!D12+TONTJUIL23!D12+TONTAOUT23!D12+TONTSEPT23!D12+TONTOCT23!D12+TONTNOV23!D12+TONTDEC23!D12</f>
        <v>300000</v>
      </c>
      <c r="E12" s="7">
        <f>TONTJANV23!E12+TONTFEV23!E12+TONTMARS23!E12+TONTAVRIL23!E12+TONTMAI23!E12+TONTJUIN23!E12+TONTJUIL23!E12+TONTAOUT23!E12+TONTSEPT23!E12+TONTOCT23!E12+TONTNOV23!E12+TONTDEC23!E12</f>
        <v>480000</v>
      </c>
      <c r="F12" s="7">
        <f>TONTJANV23!F12+TONTFEV23!F12+TONTMARS23!F12+TONTAVRIL23!F12+TONTMAI23!F12+TONTJUIN23!F12+TONTJUIL23!F12+TONTAOUT23!F12+TONTSEPT23!F12+TONTOCT23!F12+TONTNOV23!F12+TONTDEC23!F12</f>
        <v>0</v>
      </c>
      <c r="G12" s="7"/>
      <c r="H12" s="7">
        <f>TONTJANV23!H12+TONTFEV23!H12+TONTMARS23!H12+TONTAVRIL23!H12+TONTMAI23!H12+TONTJUIN23!H12+TONTJUIL23!H12+TONTAOUT23!H12+TONTSEPT23!H12+TONTOCT23!H12+TONTNOV23!H12+TONTDEC23!H12</f>
        <v>0</v>
      </c>
      <c r="I12" s="7">
        <f>TONTJANV23!I12+TONTFEV23!I12+TONTMARS23!I12+TONTAVRIL23!I12+TONTMAI23!I12+TONTJUIN23!I12+TONTJUIL23!I12+TONTAOUT23!I12+TONTSEPT23!I12+TONTOCT23!I12+TONTNOV23!I12+TONTDEC23!I12</f>
        <v>0</v>
      </c>
      <c r="J12" s="7"/>
      <c r="K12" s="7"/>
      <c r="L12" s="7">
        <f>TONTJANV23!L12+TONTFEV23!L12+TONTMARS23!L12+TONTAVRIL23!L12+TONTMAI23!L12+TONTJUIN23!L12+TONTJUIL23!L12+TONTAOUT23!L12+TONTSEPT23!L12+TONTOCT23!L12+TONTNOV23!L12+TONTDEC23!L12</f>
        <v>0</v>
      </c>
      <c r="M12" s="7">
        <f>TONTJANV23!M12+TONTFEV23!M12+TONTMARS23!M12+TONTAVRIL23!M12+TONTMAI23!M12+TONTJUIN23!M12+TONTJUIL23!M12+TONTAOUT23!M12+TONTSEPT23!M12+TONTOCT23!M12+TONTNOV23!M12+TONTDEC23!M12</f>
        <v>0</v>
      </c>
      <c r="N12" s="7"/>
      <c r="O12" s="7"/>
      <c r="P12" s="7"/>
      <c r="Q12" s="7">
        <f>TONTJANV23!Q12+TONTFEV23!Q12+TONTMARS23!Q12+TONTAVRIL23!Q12+TONTMAI23!Q12+TONTJUIN23!Q12+TONTJUIL23!Q12+TONTAOUT23!Q12+TONTSEPT23!Q12+TONTOCT23!Q12+TONTNOV23!Q12+TONTDEC23!Q12</f>
        <v>290000</v>
      </c>
      <c r="R12" s="7">
        <f>TONTJANV23!R12+TONTFEV23!R12+TONTMARS23!R12+TONTAVRIL23!R12+TONTMAI23!R12+TONTJUIN23!R12+TONTJUIL23!R12+TONTAOUT23!R12+TONTSEPT23!R12+TONTOCT23!R12+TONTNOV23!R12+TONTDEC23!R12</f>
        <v>10000</v>
      </c>
      <c r="S12" s="18">
        <v>44986</v>
      </c>
      <c r="U12" s="8">
        <f t="shared" si="0"/>
        <v>7966.666666666667</v>
      </c>
      <c r="V12" s="8">
        <v>7000</v>
      </c>
    </row>
    <row r="13" spans="1:22" ht="18" x14ac:dyDescent="0.25">
      <c r="A13" s="1" t="s">
        <v>13</v>
      </c>
      <c r="B13" s="7">
        <f>TONTJANV23!B13+TONTFEV23!B13+TONTMARS23!B13+TONTAVRIL23!B13+TONTMAI23!B13+TONTJUIN23!B13+TONTJUIL23!B13+TONTAOUT23!B13+TONTSEPT23!B13+TONTOCT23!B13+TONTNOV23!B13+TONTDEC23!B13</f>
        <v>12</v>
      </c>
      <c r="C13" s="1" t="str">
        <f>VLOOKUP(A13,[7]LISTADHERENT!A$5:H$60,3,0)</f>
        <v>DONHOU DAVID</v>
      </c>
      <c r="D13" s="7">
        <f>TONTJANV23!D13+TONTFEV23!D13+TONTMARS23!D13+TONTAVRIL23!D13+TONTMAI23!D13+TONTJUIN23!D13+TONTJUIL23!D13+TONTAOUT23!D13+TONTSEPT23!D13+TONTOCT23!D13+TONTNOV23!D13+TONTDEC23!D13</f>
        <v>300000</v>
      </c>
      <c r="E13" s="7">
        <f>TONTJANV23!E13+TONTFEV23!E13+TONTMARS23!E13+TONTAVRIL23!E13+TONTMAI23!E13+TONTJUIN23!E13+TONTJUIL23!E13+TONTAOUT23!E13+TONTSEPT23!E13+TONTOCT23!E13+TONTNOV23!E13+TONTDEC23!E13</f>
        <v>480000</v>
      </c>
      <c r="F13" s="7">
        <f>TONTJANV23!F13+TONTFEV23!F13+TONTMARS23!F13+TONTAVRIL23!F13+TONTMAI23!F13+TONTJUIN23!F13+TONTJUIL23!F13+TONTAOUT23!F13+TONTSEPT23!F13+TONTOCT23!F13+TONTNOV23!F13+TONTDEC23!F13</f>
        <v>0</v>
      </c>
      <c r="G13" s="7"/>
      <c r="H13" s="7">
        <f>TONTJANV23!H13+TONTFEV23!H13+TONTMARS23!H13+TONTAVRIL23!H13+TONTMAI23!H13+TONTJUIN23!H13+TONTJUIL23!H13+TONTAOUT23!H13+TONTSEPT23!H13+TONTOCT23!H13+TONTNOV23!H13+TONTDEC23!H13</f>
        <v>0</v>
      </c>
      <c r="I13" s="7">
        <f>TONTJANV23!I13+TONTFEV23!I13+TONTMARS23!I13+TONTAVRIL23!I13+TONTMAI23!I13+TONTJUIN23!I13+TONTJUIL23!I13+TONTAOUT23!I13+TONTSEPT23!I13+TONTOCT23!I13+TONTNOV23!I13+TONTDEC23!I13</f>
        <v>0</v>
      </c>
      <c r="J13" s="7"/>
      <c r="K13" s="7"/>
      <c r="L13" s="7">
        <f>TONTJANV23!L13+TONTFEV23!L13+TONTMARS23!L13+TONTAVRIL23!L13+TONTMAI23!L13+TONTJUIN23!L13+TONTJUIL23!L13+TONTAOUT23!L13+TONTSEPT23!L13+TONTOCT23!L13+TONTNOV23!L13+TONTDEC23!L13</f>
        <v>0</v>
      </c>
      <c r="M13" s="7">
        <f>TONTJANV23!M13+TONTFEV23!M13+TONTMARS23!M13+TONTAVRIL23!M13+TONTMAI23!M13+TONTJUIN23!M13+TONTJUIL23!M13+TONTAOUT23!M13+TONTSEPT23!M13+TONTOCT23!M13+TONTNOV23!M13+TONTDEC23!M13</f>
        <v>0</v>
      </c>
      <c r="N13" s="7"/>
      <c r="O13" s="7"/>
      <c r="P13" s="7"/>
      <c r="Q13" s="7">
        <f>TONTJANV23!Q13+TONTFEV23!Q13+TONTMARS23!Q13+TONTAVRIL23!Q13+TONTMAI23!Q13+TONTJUIN23!Q13+TONTJUIL23!Q13+TONTAOUT23!Q13+TONTSEPT23!Q13+TONTOCT23!Q13+TONTNOV23!Q13+TONTDEC23!Q13</f>
        <v>297500</v>
      </c>
      <c r="R13" s="7">
        <f>TONTJANV23!R13+TONTFEV23!R13+TONTMARS23!R13+TONTAVRIL23!R13+TONTMAI23!R13+TONTJUIN23!R13+TONTJUIL23!R13+TONTAOUT23!R13+TONTSEPT23!R13+TONTOCT23!R13+TONTNOV23!R13+TONTDEC23!R13</f>
        <v>2500</v>
      </c>
      <c r="S13" s="18">
        <v>45231</v>
      </c>
      <c r="U13" s="8">
        <f t="shared" si="0"/>
        <v>7966.666666666667</v>
      </c>
      <c r="V13" s="8">
        <v>7000</v>
      </c>
    </row>
    <row r="14" spans="1:22" ht="18" x14ac:dyDescent="0.25">
      <c r="A14" s="1" t="s">
        <v>14</v>
      </c>
      <c r="B14" s="7">
        <f>TONTJANV23!B14+TONTFEV23!B14+TONTMARS23!B14+TONTAVRIL23!B14+TONTMAI23!B14+TONTJUIN23!B14+TONTJUIL23!B14+TONTAOUT23!B14+TONTSEPT23!B14+TONTOCT23!B14+TONTNOV23!B14+TONTDEC23!B14</f>
        <v>12</v>
      </c>
      <c r="C14" s="1" t="str">
        <f>VLOOKUP(A14,[7]LISTADHERENT!A$5:H$60,3,0)</f>
        <v>HENGUE PAUL OMER</v>
      </c>
      <c r="D14" s="7">
        <f>TONTJANV23!D14+TONTFEV23!D14+TONTMARS23!D14+TONTAVRIL23!D14+TONTMAI23!D14+TONTJUIN23!D14+TONTJUIL23!D14+TONTAOUT23!D14+TONTSEPT23!D14+TONTOCT23!D14+TONTNOV23!D14+TONTDEC23!D14</f>
        <v>300000</v>
      </c>
      <c r="E14" s="7">
        <f>TONTJANV23!E14+TONTFEV23!E14+TONTMARS23!E14+TONTAVRIL23!E14+TONTMAI23!E14+TONTJUIN23!E14+TONTJUIL23!E14+TONTAOUT23!E14+TONTSEPT23!E14+TONTOCT23!E14+TONTNOV23!E14+TONTDEC23!E14</f>
        <v>483000</v>
      </c>
      <c r="F14" s="7">
        <f>TONTJANV23!F14+TONTFEV23!F14+TONTMARS23!F14+TONTAVRIL23!F14+TONTMAI23!F14+TONTJUIN23!F14+TONTJUIL23!F14+TONTAOUT23!F14+TONTSEPT23!F14+TONTOCT23!F14+TONTNOV23!F14+TONTDEC23!F14</f>
        <v>3000</v>
      </c>
      <c r="G14" s="7"/>
      <c r="H14" s="7">
        <f>TONTJANV23!H14+TONTFEV23!H14+TONTMARS23!H14+TONTAVRIL23!H14+TONTMAI23!H14+TONTJUIN23!H14+TONTJUIL23!H14+TONTAOUT23!H14+TONTSEPT23!H14+TONTOCT23!H14+TONTNOV23!H14+TONTDEC23!H14</f>
        <v>0</v>
      </c>
      <c r="I14" s="7">
        <f>TONTJANV23!I14+TONTFEV23!I14+TONTMARS23!I14+TONTAVRIL23!I14+TONTMAI23!I14+TONTJUIN23!I14+TONTJUIL23!I14+TONTAOUT23!I14+TONTSEPT23!I14+TONTOCT23!I14+TONTNOV23!I14+TONTDEC23!I14</f>
        <v>0</v>
      </c>
      <c r="J14" s="7"/>
      <c r="K14" s="7"/>
      <c r="L14" s="7">
        <f>TONTJANV23!L14+TONTFEV23!L14+TONTMARS23!L14+TONTAVRIL23!L14+TONTMAI23!L14+TONTJUIN23!L14+TONTJUIL23!L14+TONTAOUT23!L14+TONTSEPT23!L14+TONTOCT23!L14+TONTNOV23!L14+TONTDEC23!L14</f>
        <v>0</v>
      </c>
      <c r="M14" s="7">
        <f>TONTJANV23!M14+TONTFEV23!M14+TONTMARS23!M14+TONTAVRIL23!M14+TONTMAI23!M14+TONTJUIN23!M14+TONTJUIL23!M14+TONTAOUT23!M14+TONTSEPT23!M14+TONTOCT23!M14+TONTNOV23!M14+TONTDEC23!M14</f>
        <v>0</v>
      </c>
      <c r="N14" s="7"/>
      <c r="O14" s="7"/>
      <c r="P14" s="7"/>
      <c r="Q14" s="7">
        <f>TONTJANV23!Q14+TONTFEV23!Q14+TONTMARS23!Q14+TONTAVRIL23!Q14+TONTMAI23!Q14+TONTJUIN23!Q14+TONTJUIL23!Q14+TONTAOUT23!Q14+TONTSEPT23!Q14+TONTOCT23!Q14+TONTNOV23!Q14+TONTDEC23!Q14</f>
        <v>297500</v>
      </c>
      <c r="R14" s="7">
        <f>TONTJANV23!R14+TONTFEV23!R14+TONTMARS23!R14+TONTAVRIL23!R14+TONTMAI23!R14+TONTJUIN23!R14+TONTJUIL23!R14+TONTAOUT23!R14+TONTSEPT23!R14+TONTOCT23!R14+TONTNOV23!R14+TONTDEC23!R14</f>
        <v>2500</v>
      </c>
      <c r="S14" s="18">
        <v>45108</v>
      </c>
      <c r="U14" s="8">
        <f t="shared" si="0"/>
        <v>7966.666666666667</v>
      </c>
      <c r="V14" s="8">
        <v>7000</v>
      </c>
    </row>
    <row r="15" spans="1:22" ht="18" x14ac:dyDescent="0.25">
      <c r="A15" s="1" t="s">
        <v>15</v>
      </c>
      <c r="B15" s="7">
        <f>TONTJANV23!B15+TONTFEV23!B15+TONTMARS23!B15+TONTAVRIL23!B15+TONTMAI23!B15+TONTJUIN23!B15+TONTJUIL23!B15+TONTAOUT23!B15+TONTSEPT23!B15+TONTOCT23!B15+TONTNOV23!B15+TONTDEC23!B15</f>
        <v>12</v>
      </c>
      <c r="C15" s="1" t="str">
        <f>VLOOKUP(A15,[7]LISTADHERENT!A$5:H$60,3,0)</f>
        <v>HOTCHO BENJAMIN</v>
      </c>
      <c r="D15" s="7">
        <f>TONTJANV23!D15+TONTFEV23!D15+TONTMARS23!D15+TONTAVRIL23!D15+TONTMAI23!D15+TONTJUIN23!D15+TONTJUIL23!D15+TONTAOUT23!D15+TONTSEPT23!D15+TONTOCT23!D15+TONTNOV23!D15+TONTDEC23!D15</f>
        <v>300000</v>
      </c>
      <c r="E15" s="7">
        <f>TONTJANV23!E15+TONTFEV23!E15+TONTMARS23!E15+TONTAVRIL23!E15+TONTMAI23!E15+TONTJUIN23!E15+TONTJUIL23!E15+TONTAOUT23!E15+TONTSEPT23!E15+TONTOCT23!E15+TONTNOV23!E15+TONTDEC23!E15</f>
        <v>880000</v>
      </c>
      <c r="F15" s="7">
        <f>TONTJANV23!F15+TONTFEV23!F15+TONTMARS23!F15+TONTAVRIL23!F15+TONTMAI23!F15+TONTJUIN23!F15+TONTJUIL23!F15+TONTAOUT23!F15+TONTSEPT23!F15+TONTOCT23!F15+TONTNOV23!F15+TONTDEC23!F15</f>
        <v>0</v>
      </c>
      <c r="G15" s="7"/>
      <c r="H15" s="7">
        <f>TONTJANV23!H15+TONTFEV23!H15+TONTMARS23!H15+TONTAVRIL23!H15+TONTMAI23!H15+TONTJUIN23!H15+TONTJUIL23!H15+TONTAOUT23!H15+TONTSEPT23!H15+TONTOCT23!H15+TONTNOV23!H15+TONTDEC23!H15</f>
        <v>0</v>
      </c>
      <c r="I15" s="7">
        <f>TONTJANV23!I15+TONTFEV23!I15+TONTMARS23!I15+TONTAVRIL23!I15+TONTMAI23!I15+TONTJUIN23!I15+TONTJUIL23!I15+TONTAOUT23!I15+TONTSEPT23!I15+TONTOCT23!I15+TONTNOV23!I15+TONTDEC23!I15</f>
        <v>0</v>
      </c>
      <c r="J15" s="7"/>
      <c r="K15" s="7"/>
      <c r="L15" s="7">
        <f>TONTJANV23!L15+TONTFEV23!L15+TONTMARS23!L15+TONTAVRIL23!L15+TONTMAI23!L15+TONTJUIN23!L15+TONTJUIL23!L15+TONTAOUT23!L15+TONTSEPT23!L15+TONTOCT23!L15+TONTNOV23!L15+TONTDEC23!L15</f>
        <v>0</v>
      </c>
      <c r="M15" s="7">
        <f>TONTJANV23!M15+TONTFEV23!M15+TONTMARS23!M15+TONTAVRIL23!M15+TONTMAI23!M15+TONTJUIN23!M15+TONTJUIL23!M15+TONTAOUT23!M15+TONTSEPT23!M15+TONTOCT23!M15+TONTNOV23!M15+TONTDEC23!M15</f>
        <v>0</v>
      </c>
      <c r="N15" s="7"/>
      <c r="O15" s="7"/>
      <c r="P15" s="7"/>
      <c r="Q15" s="7">
        <f>TONTJANV23!Q15+TONTFEV23!Q15+TONTMARS23!Q15+TONTAVRIL23!Q15+TONTMAI23!Q15+TONTJUIN23!Q15+TONTJUIL23!Q15+TONTAOUT23!Q15+TONTSEPT23!Q15+TONTOCT23!Q15+TONTNOV23!Q15+TONTDEC23!Q15</f>
        <v>297500</v>
      </c>
      <c r="R15" s="7">
        <f>TONTJANV23!R15+TONTFEV23!R15+TONTMARS23!R15+TONTAVRIL23!R15+TONTMAI23!R15+TONTJUIN23!R15+TONTJUIL23!R15+TONTAOUT23!R15+TONTSEPT23!R15+TONTOCT23!R15+TONTNOV23!R15+TONTDEC23!R15</f>
        <v>2500</v>
      </c>
      <c r="S15" s="18">
        <v>45047</v>
      </c>
      <c r="U15" s="8">
        <f t="shared" si="0"/>
        <v>7966.666666666667</v>
      </c>
      <c r="V15" s="8">
        <v>7000</v>
      </c>
    </row>
    <row r="16" spans="1:22" ht="18" x14ac:dyDescent="0.25">
      <c r="A16" s="1" t="s">
        <v>16</v>
      </c>
      <c r="B16" s="7">
        <f>TONTJANV23!B16+TONTFEV23!B16+TONTMARS23!B16+TONTAVRIL23!B16+TONTMAI23!B16+TONTJUIN23!B16+TONTJUIL23!B16+TONTAOUT23!B16+TONTSEPT23!B16+TONTOCT23!B16+TONTNOV23!B16+TONTDEC23!B16</f>
        <v>12</v>
      </c>
      <c r="C16" s="1" t="str">
        <f>VLOOKUP(A16,[7]LISTADHERENT!A$5:H$60,3,0)</f>
        <v>KOUAMOU MOISE</v>
      </c>
      <c r="D16" s="7">
        <f>TONTJANV23!D16+TONTFEV23!D16+TONTMARS23!D16+TONTAVRIL23!D16+TONTMAI23!D16+TONTJUIN23!D16+TONTJUIL23!D16+TONTAOUT23!D16+TONTSEPT23!D16+TONTOCT23!D16+TONTNOV23!D16+TONTDEC23!D16</f>
        <v>300000</v>
      </c>
      <c r="E16" s="7">
        <f>TONTJANV23!E16+TONTFEV23!E16+TONTMARS23!E16+TONTAVRIL23!E16+TONTMAI23!E16+TONTJUIN23!E16+TONTJUIL23!E16+TONTAOUT23!E16+TONTSEPT23!E16+TONTOCT23!E16+TONTNOV23!E16+TONTDEC23!E16</f>
        <v>480000</v>
      </c>
      <c r="F16" s="7">
        <f>TONTJANV23!F16+TONTFEV23!F16+TONTMARS23!F16+TONTAVRIL23!F16+TONTMAI23!F16+TONTJUIN23!F16+TONTJUIL23!F16+TONTAOUT23!F16+TONTSEPT23!F16+TONTOCT23!F16+TONTNOV23!F16+TONTDEC23!F16</f>
        <v>0</v>
      </c>
      <c r="G16" s="7"/>
      <c r="H16" s="7">
        <f>TONTJANV23!H16+TONTFEV23!H16+TONTMARS23!H16+TONTAVRIL23!H16+TONTMAI23!H16+TONTJUIN23!H16+TONTJUIL23!H16+TONTAOUT23!H16+TONTSEPT23!H16+TONTOCT23!H16+TONTNOV23!H16+TONTDEC23!H16</f>
        <v>0</v>
      </c>
      <c r="I16" s="7">
        <f>TONTJANV23!I16+TONTFEV23!I16+TONTMARS23!I16+TONTAVRIL23!I16+TONTMAI23!I16+TONTJUIN23!I16+TONTJUIL23!I16+TONTAOUT23!I16+TONTSEPT23!I16+TONTOCT23!I16+TONTNOV23!I16+TONTDEC23!I16</f>
        <v>0</v>
      </c>
      <c r="J16" s="7"/>
      <c r="K16" s="7"/>
      <c r="L16" s="7">
        <f>TONTJANV23!L16+TONTFEV23!L16+TONTMARS23!L16+TONTAVRIL23!L16+TONTMAI23!L16+TONTJUIN23!L16+TONTJUIL23!L16+TONTAOUT23!L16+TONTSEPT23!L16+TONTOCT23!L16+TONTNOV23!L16+TONTDEC23!L16</f>
        <v>0</v>
      </c>
      <c r="M16" s="7">
        <f>TONTJANV23!M16+TONTFEV23!M16+TONTMARS23!M16+TONTAVRIL23!M16+TONTMAI23!M16+TONTJUIN23!M16+TONTJUIL23!M16+TONTAOUT23!M16+TONTSEPT23!M16+TONTOCT23!M16+TONTNOV23!M16+TONTDEC23!M16</f>
        <v>0</v>
      </c>
      <c r="N16" s="7"/>
      <c r="O16" s="7"/>
      <c r="P16" s="7"/>
      <c r="Q16" s="7">
        <f>TONTJANV23!Q16+TONTFEV23!Q16+TONTMARS23!Q16+TONTAVRIL23!Q16+TONTMAI23!Q16+TONTJUIN23!Q16+TONTJUIL23!Q16+TONTAOUT23!Q16+TONTSEPT23!Q16+TONTOCT23!Q16+TONTNOV23!Q16+TONTDEC23!Q16</f>
        <v>293500</v>
      </c>
      <c r="R16" s="7">
        <f>TONTJANV23!R16+TONTFEV23!R16+TONTMARS23!R16+TONTAVRIL23!R16+TONTMAI23!R16+TONTJUIN23!R16+TONTJUIL23!R16+TONTAOUT23!R16+TONTSEPT23!R16+TONTOCT23!R16+TONTNOV23!R16+TONTDEC23!R16</f>
        <v>6500</v>
      </c>
      <c r="S16" s="18">
        <v>44958</v>
      </c>
      <c r="U16" s="8">
        <f t="shared" si="0"/>
        <v>7966.666666666667</v>
      </c>
      <c r="V16" s="8">
        <v>7000</v>
      </c>
    </row>
    <row r="17" spans="1:22" ht="18" x14ac:dyDescent="0.25">
      <c r="A17" s="1" t="s">
        <v>17</v>
      </c>
      <c r="B17" s="7">
        <f>TONTJANV23!B17+TONTFEV23!B17+TONTMARS23!B17+TONTAVRIL23!B17+TONTMAI23!B17+TONTJUIN23!B17+TONTJUIL23!B17+TONTAOUT23!B17+TONTSEPT23!B17+TONTOCT23!B17+TONTNOV23!B17+TONTDEC23!B17</f>
        <v>12</v>
      </c>
      <c r="C17" s="1" t="str">
        <f>VLOOKUP(A17,[7]LISTADHERENT!A$5:H$60,3,0)</f>
        <v>KOUATCHO MESSACK</v>
      </c>
      <c r="D17" s="7">
        <f>TONTJANV23!D17+TONTFEV23!D17+TONTMARS23!D17+TONTAVRIL23!D17+TONTMAI23!D17+TONTJUIN23!D17+TONTJUIL23!D17+TONTAOUT23!D17+TONTSEPT23!D17+TONTOCT23!D17+TONTNOV23!D17+TONTDEC23!D17</f>
        <v>300000</v>
      </c>
      <c r="E17" s="7">
        <f>TONTJANV23!E17+TONTFEV23!E17+TONTMARS23!E17+TONTAVRIL23!E17+TONTMAI23!E17+TONTJUIN23!E17+TONTJUIL23!E17+TONTAOUT23!E17+TONTSEPT23!E17+TONTOCT23!E17+TONTNOV23!E17+TONTDEC23!E17</f>
        <v>480000</v>
      </c>
      <c r="F17" s="7">
        <f>TONTJANV23!F17+TONTFEV23!F17+TONTMARS23!F17+TONTAVRIL23!F17+TONTMAI23!F17+TONTJUIN23!F17+TONTJUIL23!F17+TONTAOUT23!F17+TONTSEPT23!F17+TONTOCT23!F17+TONTNOV23!F17+TONTDEC23!F17</f>
        <v>0</v>
      </c>
      <c r="G17" s="7"/>
      <c r="H17" s="7">
        <f>TONTJANV23!H17+TONTFEV23!H17+TONTMARS23!H17+TONTAVRIL23!H17+TONTMAI23!H17+TONTJUIN23!H17+TONTJUIL23!H17+TONTAOUT23!H17+TONTSEPT23!H17+TONTOCT23!H17+TONTNOV23!H17+TONTDEC23!H17</f>
        <v>30000</v>
      </c>
      <c r="I17" s="7">
        <f>TONTJANV23!I17+TONTFEV23!I17+TONTMARS23!I17+TONTAVRIL23!I17+TONTMAI23!I17+TONTJUIN23!I17+TONTJUIL23!I17+TONTAOUT23!I17+TONTSEPT23!I17+TONTOCT23!I17+TONTNOV23!I17+TONTDEC23!I17</f>
        <v>500</v>
      </c>
      <c r="J17" s="7"/>
      <c r="K17" s="7"/>
      <c r="L17" s="7">
        <f>TONTJANV23!L17+TONTFEV23!L17+TONTMARS23!L17+TONTAVRIL23!L17+TONTMAI23!L17+TONTJUIN23!L17+TONTJUIL23!L17+TONTAOUT23!L17+TONTSEPT23!L17+TONTOCT23!L17+TONTNOV23!L17+TONTDEC23!L17</f>
        <v>30500</v>
      </c>
      <c r="M17" s="7">
        <f>TONTJANV23!M17+TONTFEV23!M17+TONTMARS23!M17+TONTAVRIL23!M17+TONTMAI23!M17+TONTJUIN23!M17+TONTJUIL23!M17+TONTAOUT23!M17+TONTSEPT23!M17+TONTOCT23!M17+TONTNOV23!M17+TONTDEC23!M17</f>
        <v>30500</v>
      </c>
      <c r="N17" s="7"/>
      <c r="O17" s="7"/>
      <c r="P17" s="7"/>
      <c r="Q17" s="7">
        <f>TONTJANV23!Q17+TONTFEV23!Q17+TONTMARS23!Q17+TONTAVRIL23!Q17+TONTMAI23!Q17+TONTJUIN23!Q17+TONTJUIL23!Q17+TONTAOUT23!Q17+TONTSEPT23!Q17+TONTOCT23!Q17+TONTNOV23!Q17+TONTDEC23!Q17</f>
        <v>260000</v>
      </c>
      <c r="R17" s="7">
        <f>TONTJANV23!R17+TONTFEV23!R17+TONTMARS23!R17+TONTAVRIL23!R17+TONTMAI23!R17+TONTJUIN23!R17+TONTJUIL23!R17+TONTAOUT23!R17+TONTSEPT23!R17+TONTOCT23!R17+TONTNOV23!R17+TONTDEC23!R17</f>
        <v>40000</v>
      </c>
      <c r="S17" s="18">
        <v>44927</v>
      </c>
      <c r="U17" s="8">
        <f t="shared" si="0"/>
        <v>7966.666666666667</v>
      </c>
      <c r="V17" s="8">
        <v>7000</v>
      </c>
    </row>
    <row r="18" spans="1:22" ht="18" x14ac:dyDescent="0.25">
      <c r="A18" s="1" t="s">
        <v>18</v>
      </c>
      <c r="B18" s="7">
        <f>TONTJANV23!B18+TONTFEV23!B18+TONTMARS23!B18+TONTAVRIL23!B18+TONTMAI23!B18+TONTJUIN23!B18+TONTJUIL23!B18+TONTAOUT23!B18+TONTSEPT23!B18+TONTOCT23!B18+TONTNOV23!B18+TONTDEC23!B18</f>
        <v>12</v>
      </c>
      <c r="C18" s="1" t="str">
        <f>VLOOKUP(A18,[7]LISTADHERENT!A$5:H$60,3,0)</f>
        <v>LOWE JEAN</v>
      </c>
      <c r="D18" s="7">
        <f>TONTJANV23!D18+TONTFEV23!D18+TONTMARS23!D18+TONTAVRIL23!D18+TONTMAI23!D18+TONTJUIN23!D18+TONTJUIL23!D18+TONTAOUT23!D18+TONTSEPT23!D18+TONTOCT23!D18+TONTNOV23!D18+TONTDEC23!D18</f>
        <v>300000</v>
      </c>
      <c r="E18" s="7">
        <f>TONTJANV23!E18+TONTFEV23!E18+TONTMARS23!E18+TONTAVRIL23!E18+TONTMAI23!E18+TONTJUIN23!E18+TONTJUIL23!E18+TONTAOUT23!E18+TONTSEPT23!E18+TONTOCT23!E18+TONTNOV23!E18+TONTDEC23!E18</f>
        <v>480000</v>
      </c>
      <c r="F18" s="7">
        <f>TONTJANV23!F18+TONTFEV23!F18+TONTMARS23!F18+TONTAVRIL23!F18+TONTMAI23!F18+TONTJUIN23!F18+TONTJUIL23!F18+TONTAOUT23!F18+TONTSEPT23!F18+TONTOCT23!F18+TONTNOV23!F18+TONTDEC23!F18</f>
        <v>0</v>
      </c>
      <c r="G18" s="7"/>
      <c r="H18" s="7">
        <f>TONTJANV23!H18+TONTFEV23!H18+TONTMARS23!H18+TONTAVRIL23!H18+TONTMAI23!H18+TONTJUIN23!H18+TONTJUIL23!H18+TONTAOUT23!H18+TONTSEPT23!H18+TONTOCT23!H18+TONTNOV23!H18+TONTDEC23!H18</f>
        <v>0</v>
      </c>
      <c r="I18" s="7">
        <f>TONTJANV23!I18+TONTFEV23!I18+TONTMARS23!I18+TONTAVRIL23!I18+TONTMAI23!I18+TONTJUIN23!I18+TONTJUIL23!I18+TONTAOUT23!I18+TONTSEPT23!I18+TONTOCT23!I18+TONTNOV23!I18+TONTDEC23!I18</f>
        <v>0</v>
      </c>
      <c r="J18" s="7"/>
      <c r="K18" s="7"/>
      <c r="L18" s="7">
        <f>TONTJANV23!L18+TONTFEV23!L18+TONTMARS23!L18+TONTAVRIL23!L18+TONTMAI23!L18+TONTJUIN23!L18+TONTJUIL23!L18+TONTAOUT23!L18+TONTSEPT23!L18+TONTOCT23!L18+TONTNOV23!L18+TONTDEC23!L18</f>
        <v>0</v>
      </c>
      <c r="M18" s="7">
        <f>TONTJANV23!M18+TONTFEV23!M18+TONTMARS23!M18+TONTAVRIL23!M18+TONTMAI23!M18+TONTJUIN23!M18+TONTJUIL23!M18+TONTAOUT23!M18+TONTSEPT23!M18+TONTOCT23!M18+TONTNOV23!M18+TONTDEC23!M18</f>
        <v>0</v>
      </c>
      <c r="N18" s="7"/>
      <c r="O18" s="7"/>
      <c r="P18" s="7"/>
      <c r="Q18" s="7">
        <f>TONTJANV23!Q18+TONTFEV23!Q18+TONTMARS23!Q18+TONTAVRIL23!Q18+TONTMAI23!Q18+TONTJUIN23!Q18+TONTJUIL23!Q18+TONTAOUT23!Q18+TONTSEPT23!Q18+TONTOCT23!Q18+TONTNOV23!Q18+TONTDEC23!Q18</f>
        <v>297000</v>
      </c>
      <c r="R18" s="7">
        <f>TONTJANV23!R18+TONTFEV23!R18+TONTMARS23!R18+TONTAVRIL23!R18+TONTMAI23!R18+TONTJUIN23!R18+TONTJUIL23!R18+TONTAOUT23!R18+TONTSEPT23!R18+TONTOCT23!R18+TONTNOV23!R18+TONTDEC23!R18</f>
        <v>3000</v>
      </c>
      <c r="S18" s="18">
        <v>45047</v>
      </c>
      <c r="U18" s="8">
        <f t="shared" si="0"/>
        <v>7966.666666666667</v>
      </c>
      <c r="V18" s="8">
        <v>7000</v>
      </c>
    </row>
    <row r="19" spans="1:22" ht="18" x14ac:dyDescent="0.25">
      <c r="A19" s="1" t="s">
        <v>45</v>
      </c>
      <c r="B19" s="7">
        <f>TONTJANV23!B19+TONTFEV23!B19+TONTMARS23!B19+TONTAVRIL23!B19+TONTMAI23!B19+TONTJUIN23!B19+TONTJUIL23!B19+TONTAOUT23!B19+TONTSEPT23!B19+TONTOCT23!B19+TONTNOV23!B19+TONTDEC23!B19</f>
        <v>12</v>
      </c>
      <c r="C19" s="1" t="str">
        <f>VLOOKUP(A19,[7]LISTADHERENT!A$5:H$60,3,0)</f>
        <v>MBOGNING TUGMA GUY</v>
      </c>
      <c r="D19" s="7">
        <f>TONTJANV23!D19+TONTFEV23!D19+TONTMARS23!D19+TONTAVRIL23!D19+TONTMAI23!D19+TONTJUIN23!D19+TONTJUIL23!D19+TONTAOUT23!D19+TONTSEPT23!D19+TONTOCT23!D19+TONTNOV23!D19+TONTDEC23!D19</f>
        <v>300000</v>
      </c>
      <c r="E19" s="7">
        <f>TONTJANV23!E19+TONTFEV23!E19+TONTMARS23!E19+TONTAVRIL23!E19+TONTMAI23!E19+TONTJUIN23!E19+TONTJUIL23!E19+TONTAOUT23!E19+TONTSEPT23!E19+TONTOCT23!E19+TONTNOV23!E19+TONTDEC23!E19</f>
        <v>480500</v>
      </c>
      <c r="F19" s="7">
        <f>TONTJANV23!F19+TONTFEV23!F19+TONTMARS23!F19+TONTAVRIL23!F19+TONTMAI23!F19+TONTJUIN23!F19+TONTJUIL23!F19+TONTAOUT23!F19+TONTSEPT23!F19+TONTOCT23!F19+TONTNOV23!F19+TONTDEC23!F19</f>
        <v>0</v>
      </c>
      <c r="G19" s="7"/>
      <c r="H19" s="7">
        <f>TONTJANV23!H19+TONTFEV23!H19+TONTMARS23!H19+TONTAVRIL23!H19+TONTMAI23!H19+TONTJUIN23!H19+TONTJUIL23!H19+TONTAOUT23!H19+TONTSEPT23!H19+TONTOCT23!H19+TONTNOV23!H19+TONTDEC23!H19</f>
        <v>121500</v>
      </c>
      <c r="I19" s="7">
        <f>TONTJANV23!I19+TONTFEV23!I19+TONTMARS23!I19+TONTAVRIL23!I19+TONTMAI23!I19+TONTJUIN23!I19+TONTJUIL23!I19+TONTAOUT23!I19+TONTSEPT23!I19+TONTOCT23!I19+TONTNOV23!I19+TONTDEC23!I19</f>
        <v>2500</v>
      </c>
      <c r="J19" s="7"/>
      <c r="K19" s="7"/>
      <c r="L19" s="7">
        <f>TONTJANV23!L19+TONTFEV23!L19+TONTMARS23!L19+TONTAVRIL23!L19+TONTMAI23!L19+TONTJUIN23!L19+TONTJUIL23!L19+TONTAOUT23!L19+TONTSEPT23!L19+TONTOCT23!L19+TONTNOV23!L19+TONTDEC23!L19</f>
        <v>124000</v>
      </c>
      <c r="M19" s="7">
        <f>TONTJANV23!M19+TONTFEV23!M19+TONTMARS23!M19+TONTAVRIL23!M19+TONTMAI23!M19+TONTJUIN23!M19+TONTJUIL23!M19+TONTAOUT23!M19+TONTSEPT23!M19+TONTOCT23!M19+TONTNOV23!M19+TONTDEC23!M19</f>
        <v>124000</v>
      </c>
      <c r="N19" s="7"/>
      <c r="O19" s="7"/>
      <c r="P19" s="7"/>
      <c r="Q19" s="7">
        <f>TONTJANV23!Q19+TONTFEV23!Q19+TONTMARS23!Q19+TONTAVRIL23!Q19+TONTMAI23!Q19+TONTJUIN23!Q19+TONTJUIL23!Q19+TONTAOUT23!Q19+TONTSEPT23!Q19+TONTOCT23!Q19+TONTNOV23!Q19+TONTDEC23!Q19</f>
        <v>289000</v>
      </c>
      <c r="R19" s="7">
        <f>TONTJANV23!R19+TONTFEV23!R19+TONTMARS23!R19+TONTAVRIL23!R19+TONTMAI23!R19+TONTJUIN23!R19+TONTJUIL23!R19+TONTAOUT23!R19+TONTSEPT23!R19+TONTOCT23!R19+TONTNOV23!R19+TONTDEC23!R19</f>
        <v>11000</v>
      </c>
      <c r="S19" s="18">
        <v>44986</v>
      </c>
      <c r="U19" s="8">
        <f t="shared" si="0"/>
        <v>7966.666666666667</v>
      </c>
      <c r="V19" s="8">
        <v>7000</v>
      </c>
    </row>
    <row r="20" spans="1:22" ht="18" x14ac:dyDescent="0.25">
      <c r="A20" s="1" t="s">
        <v>26</v>
      </c>
      <c r="B20" s="7">
        <f>TONTJANV23!B20+TONTFEV23!B20+TONTMARS23!B20+TONTAVRIL23!B20+TONTMAI23!B20+TONTJUIN23!B20+TONTJUIL23!B20+TONTAOUT23!B20+TONTSEPT23!B20+TONTOCT23!B20+TONTNOV23!B20+TONTDEC23!B20</f>
        <v>12</v>
      </c>
      <c r="C20" s="1" t="str">
        <f>VLOOKUP(A20,[7]LISTADHERENT!A$5:H$60,3,0)</f>
        <v>NANGUEN MARTIN</v>
      </c>
      <c r="D20" s="7">
        <f>TONTJANV23!D20+TONTFEV23!D20+TONTMARS23!D20+TONTAVRIL23!D20+TONTMAI23!D20+TONTJUIN23!D20+TONTJUIL23!D20+TONTAOUT23!D20+TONTSEPT23!D20+TONTOCT23!D20+TONTNOV23!D20+TONTDEC23!D20</f>
        <v>300000</v>
      </c>
      <c r="E20" s="7">
        <f>TONTJANV23!E20+TONTFEV23!E20+TONTMARS23!E20+TONTAVRIL23!E20+TONTMAI23!E20+TONTJUIN23!E20+TONTJUIL23!E20+TONTAOUT23!E20+TONTSEPT23!E20+TONTOCT23!E20+TONTNOV23!E20+TONTDEC23!E20</f>
        <v>480000</v>
      </c>
      <c r="F20" s="7">
        <f>TONTJANV23!F20+TONTFEV23!F20+TONTMARS23!F20+TONTAVRIL23!F20+TONTMAI23!F20+TONTJUIN23!F20+TONTJUIL23!F20+TONTAOUT23!F20+TONTSEPT23!F20+TONTOCT23!F20+TONTNOV23!F20+TONTDEC23!F20</f>
        <v>0</v>
      </c>
      <c r="G20" s="7"/>
      <c r="H20" s="7">
        <f>TONTJANV23!H20+TONTFEV23!H20+TONTMARS23!H20+TONTAVRIL23!H20+TONTMAI23!H20+TONTJUIN23!H20+TONTJUIL23!H20+TONTAOUT23!H20+TONTSEPT23!H20+TONTOCT23!H20+TONTNOV23!H20+TONTDEC23!H20</f>
        <v>0</v>
      </c>
      <c r="I20" s="7">
        <f>TONTJANV23!I20+TONTFEV23!I20+TONTMARS23!I20+TONTAVRIL23!I20+TONTMAI23!I20+TONTJUIN23!I20+TONTJUIL23!I20+TONTAOUT23!I20+TONTSEPT23!I20+TONTOCT23!I20+TONTNOV23!I20+TONTDEC23!I20</f>
        <v>0</v>
      </c>
      <c r="J20" s="7"/>
      <c r="K20" s="7"/>
      <c r="L20" s="7">
        <f>TONTJANV23!L20+TONTFEV23!L20+TONTMARS23!L20+TONTAVRIL23!L20+TONTMAI23!L20+TONTJUIN23!L20+TONTJUIL23!L20+TONTAOUT23!L20+TONTSEPT23!L20+TONTOCT23!L20+TONTNOV23!L20+TONTDEC23!L20</f>
        <v>0</v>
      </c>
      <c r="M20" s="7">
        <f>TONTJANV23!M20+TONTFEV23!M20+TONTMARS23!M20+TONTAVRIL23!M20+TONTMAI23!M20+TONTJUIN23!M20+TONTJUIL23!M20+TONTAOUT23!M20+TONTSEPT23!M20+TONTOCT23!M20+TONTNOV23!M20+TONTDEC23!M20</f>
        <v>0</v>
      </c>
      <c r="N20" s="7"/>
      <c r="O20" s="7"/>
      <c r="P20" s="7"/>
      <c r="Q20" s="7">
        <f>TONTJANV23!Q20+TONTFEV23!Q20+TONTMARS23!Q20+TONTAVRIL23!Q20+TONTMAI23!Q20+TONTJUIN23!Q20+TONTJUIL23!Q20+TONTAOUT23!Q20+TONTSEPT23!Q20+TONTOCT23!Q20+TONTNOV23!Q20+TONTDEC23!Q20</f>
        <v>297500</v>
      </c>
      <c r="R20" s="7">
        <f>TONTJANV23!R20+TONTFEV23!R20+TONTMARS23!R20+TONTAVRIL23!R20+TONTMAI23!R20+TONTJUIN23!R20+TONTJUIL23!R20+TONTAOUT23!R20+TONTSEPT23!R20+TONTOCT23!R20+TONTNOV23!R20+TONTDEC23!R20</f>
        <v>2500</v>
      </c>
      <c r="S20" s="18">
        <v>45139</v>
      </c>
      <c r="U20" s="8">
        <f t="shared" si="0"/>
        <v>7966.666666666667</v>
      </c>
      <c r="V20" s="8">
        <v>7000</v>
      </c>
    </row>
    <row r="21" spans="1:22" ht="18" x14ac:dyDescent="0.25">
      <c r="A21" s="1" t="s">
        <v>19</v>
      </c>
      <c r="B21" s="7">
        <f>TONTJANV23!B21+TONTFEV23!B21+TONTMARS23!B21+TONTAVRIL23!B21+TONTMAI23!B21+TONTJUIN23!B21+TONTJUIL23!B21+TONTAOUT23!B21+TONTSEPT23!B21+TONTOCT23!B21+TONTNOV23!B21+TONTDEC23!B21</f>
        <v>12</v>
      </c>
      <c r="C21" s="1" t="str">
        <f>VLOOKUP(A21,[7]LISTADHERENT!A$5:H$60,3,0)</f>
        <v>NANKAM APPOLINAIRE</v>
      </c>
      <c r="D21" s="7">
        <f>TONTJANV23!D21+TONTFEV23!D21+TONTMARS23!D21+TONTAVRIL23!D21+TONTMAI23!D21+TONTJUIN23!D21+TONTJUIL23!D21+TONTAOUT23!D21+TONTSEPT23!D21+TONTOCT23!D21+TONTNOV23!D21+TONTDEC23!D21</f>
        <v>300000</v>
      </c>
      <c r="E21" s="7">
        <f>TONTJANV23!E21+TONTFEV23!E21+TONTMARS23!E21+TONTAVRIL23!E21+TONTMAI23!E21+TONTJUIN23!E21+TONTJUIL23!E21+TONTAOUT23!E21+TONTSEPT23!E21+TONTOCT23!E21+TONTNOV23!E21+TONTDEC23!E21</f>
        <v>480000</v>
      </c>
      <c r="F21" s="7">
        <f>TONTJANV23!F21+TONTFEV23!F21+TONTMARS23!F21+TONTAVRIL23!F21+TONTMAI23!F21+TONTJUIN23!F21+TONTJUIL23!F21+TONTAOUT23!F21+TONTSEPT23!F21+TONTOCT23!F21+TONTNOV23!F21+TONTDEC23!F21</f>
        <v>0</v>
      </c>
      <c r="G21" s="7"/>
      <c r="H21" s="7">
        <f>TONTJANV23!H21+TONTFEV23!H21+TONTMARS23!H21+TONTAVRIL23!H21+TONTMAI23!H21+TONTJUIN23!H21+TONTJUIL23!H21+TONTAOUT23!H21+TONTSEPT23!H21+TONTOCT23!H21+TONTNOV23!H21+TONTDEC23!H21</f>
        <v>0</v>
      </c>
      <c r="I21" s="7">
        <f>TONTJANV23!I21+TONTFEV23!I21+TONTMARS23!I21+TONTAVRIL23!I21+TONTMAI23!I21+TONTJUIN23!I21+TONTJUIL23!I21+TONTAOUT23!I21+TONTSEPT23!I21+TONTOCT23!I21+TONTNOV23!I21+TONTDEC23!I21</f>
        <v>0</v>
      </c>
      <c r="J21" s="7"/>
      <c r="K21" s="7"/>
      <c r="L21" s="7">
        <f>TONTJANV23!L21+TONTFEV23!L21+TONTMARS23!L21+TONTAVRIL23!L21+TONTMAI23!L21+TONTJUIN23!L21+TONTJUIL23!L21+TONTAOUT23!L21+TONTSEPT23!L21+TONTOCT23!L21+TONTNOV23!L21+TONTDEC23!L21</f>
        <v>0</v>
      </c>
      <c r="M21" s="7">
        <f>TONTJANV23!M21+TONTFEV23!M21+TONTMARS23!M21+TONTAVRIL23!M21+TONTMAI23!M21+TONTJUIN23!M21+TONTJUIL23!M21+TONTAOUT23!M21+TONTSEPT23!M21+TONTOCT23!M21+TONTNOV23!M21+TONTDEC23!M21</f>
        <v>0</v>
      </c>
      <c r="N21" s="7"/>
      <c r="O21" s="7"/>
      <c r="P21" s="7"/>
      <c r="Q21" s="7">
        <f>TONTJANV23!Q21+TONTFEV23!Q21+TONTMARS23!Q21+TONTAVRIL23!Q21+TONTMAI23!Q21+TONTJUIN23!Q21+TONTJUIL23!Q21+TONTAOUT23!Q21+TONTSEPT23!Q21+TONTOCT23!Q21+TONTNOV23!Q21+TONTDEC23!Q21</f>
        <v>295500</v>
      </c>
      <c r="R21" s="7">
        <f>TONTJANV23!R21+TONTFEV23!R21+TONTMARS23!R21+TONTAVRIL23!R21+TONTMAI23!R21+TONTJUIN23!R21+TONTJUIL23!R21+TONTAOUT23!R21+TONTSEPT23!R21+TONTOCT23!R21+TONTNOV23!R21+TONTDEC23!R21</f>
        <v>4500</v>
      </c>
      <c r="S21" s="18">
        <v>45078</v>
      </c>
      <c r="U21" s="8">
        <f t="shared" si="0"/>
        <v>7966.666666666667</v>
      </c>
      <c r="V21" s="8">
        <v>7000</v>
      </c>
    </row>
    <row r="22" spans="1:22" ht="18" x14ac:dyDescent="0.25">
      <c r="A22" s="1" t="s">
        <v>20</v>
      </c>
      <c r="B22" s="7">
        <f>TONTJANV23!B22+TONTFEV23!B22+TONTMARS23!B22+TONTAVRIL23!B22+TONTMAI23!B22+TONTJUIN23!B22+TONTJUIL23!B22+TONTAOUT23!B22+TONTSEPT23!B22+TONTOCT23!B22+TONTNOV23!B22+TONTDEC23!B22</f>
        <v>12</v>
      </c>
      <c r="C22" s="1" t="str">
        <f>VLOOKUP(A22,[7]LISTADHERENT!A$5:H$60,3,0)</f>
        <v>NDJOMO ETIENNE</v>
      </c>
      <c r="D22" s="7">
        <f>TONTJANV23!D22+TONTFEV23!D22+TONTMARS23!D22+TONTAVRIL23!D22+TONTMAI23!D22+TONTJUIN23!D22+TONTJUIL23!D22+TONTAOUT23!D22+TONTSEPT23!D22+TONTOCT23!D22+TONTNOV23!D22+TONTDEC23!D22</f>
        <v>300000</v>
      </c>
      <c r="E22" s="7">
        <f>TONTJANV23!E22+TONTFEV23!E22+TONTMARS23!E22+TONTAVRIL23!E22+TONTMAI23!E22+TONTJUIN23!E22+TONTJUIL23!E22+TONTAOUT23!E22+TONTSEPT23!E22+TONTOCT23!E22+TONTNOV23!E22+TONTDEC23!E22</f>
        <v>596000</v>
      </c>
      <c r="F22" s="7">
        <f>TONTJANV23!F22+TONTFEV23!F22+TONTMARS23!F22+TONTAVRIL23!F22+TONTMAI23!F22+TONTJUIN23!F22+TONTJUIL23!F22+TONTAOUT23!F22+TONTSEPT23!F22+TONTOCT23!F22+TONTNOV23!F22+TONTDEC23!F22</f>
        <v>0</v>
      </c>
      <c r="G22" s="7"/>
      <c r="H22" s="7">
        <f>TONTJANV23!H22+TONTFEV23!H22+TONTMARS23!H22+TONTAVRIL23!H22+TONTMAI23!H22+TONTJUIN23!H22+TONTJUIL23!H22+TONTAOUT23!H22+TONTSEPT23!H22+TONTOCT23!H22+TONTNOV23!H22+TONTDEC23!H22</f>
        <v>0</v>
      </c>
      <c r="I22" s="7">
        <f>TONTJANV23!I22+TONTFEV23!I22+TONTMARS23!I22+TONTAVRIL23!I22+TONTMAI23!I22+TONTJUIN23!I22+TONTJUIL23!I22+TONTAOUT23!I22+TONTSEPT23!I22+TONTOCT23!I22+TONTNOV23!I22+TONTDEC23!I22</f>
        <v>0</v>
      </c>
      <c r="J22" s="7"/>
      <c r="K22" s="7"/>
      <c r="L22" s="7">
        <f>TONTJANV23!L22+TONTFEV23!L22+TONTMARS23!L22+TONTAVRIL23!L22+TONTMAI23!L22+TONTJUIN23!L22+TONTJUIL23!L22+TONTAOUT23!L22+TONTSEPT23!L22+TONTOCT23!L22+TONTNOV23!L22+TONTDEC23!L22</f>
        <v>0</v>
      </c>
      <c r="M22" s="7">
        <f>TONTJANV23!M22+TONTFEV23!M22+TONTMARS23!M22+TONTAVRIL23!M22+TONTMAI23!M22+TONTJUIN23!M22+TONTJUIL23!M22+TONTAOUT23!M22+TONTSEPT23!M22+TONTOCT23!M22+TONTNOV23!M22+TONTDEC23!M22</f>
        <v>0</v>
      </c>
      <c r="N22" s="7"/>
      <c r="O22" s="7"/>
      <c r="P22" s="7"/>
      <c r="Q22" s="7">
        <f>TONTJANV23!Q22+TONTFEV23!Q22+TONTMARS23!Q22+TONTAVRIL23!Q22+TONTMAI23!Q22+TONTJUIN23!Q22+TONTJUIL23!Q22+TONTAOUT23!Q22+TONTSEPT23!Q22+TONTOCT23!Q22+TONTNOV23!Q22+TONTDEC23!Q22</f>
        <v>297500</v>
      </c>
      <c r="R22" s="7">
        <f>TONTJANV23!R22+TONTFEV23!R22+TONTMARS23!R22+TONTAVRIL23!R22+TONTMAI23!R22+TONTJUIN23!R22+TONTJUIL23!R22+TONTAOUT23!R22+TONTSEPT23!R22+TONTOCT23!R22+TONTNOV23!R22+TONTDEC23!R22</f>
        <v>2500</v>
      </c>
      <c r="S22" s="18">
        <v>45170</v>
      </c>
      <c r="U22" s="8">
        <f t="shared" si="0"/>
        <v>7966.666666666667</v>
      </c>
      <c r="V22" s="8">
        <v>7000</v>
      </c>
    </row>
    <row r="23" spans="1:22" ht="18" x14ac:dyDescent="0.25">
      <c r="A23" s="1" t="s">
        <v>21</v>
      </c>
      <c r="B23" s="7">
        <f>TONTJANV23!B23+TONTFEV23!B23+TONTMARS23!B23+TONTAVRIL23!B23+TONTMAI23!B23+TONTJUIN23!B23+TONTJUIL23!B23+TONTAOUT23!B23+TONTSEPT23!B23+TONTOCT23!B23+TONTNOV23!B23+TONTDEC23!B23</f>
        <v>12</v>
      </c>
      <c r="C23" s="1" t="str">
        <f>VLOOKUP(A23,[7]LISTADHERENT!A$5:H$60,3,0)</f>
        <v>NGONDIEP CLAUDE</v>
      </c>
      <c r="D23" s="7">
        <f>TONTJANV23!D23+TONTFEV23!D23+TONTMARS23!D23+TONTAVRIL23!D23+TONTMAI23!D23+TONTJUIN23!D23+TONTJUIL23!D23+TONTAOUT23!D23+TONTSEPT23!D23+TONTOCT23!D23+TONTNOV23!D23+TONTDEC23!D23</f>
        <v>300000</v>
      </c>
      <c r="E23" s="7">
        <f>TONTJANV23!E23+TONTFEV23!E23+TONTMARS23!E23+TONTAVRIL23!E23+TONTMAI23!E23+TONTJUIN23!E23+TONTJUIL23!E23+TONTAOUT23!E23+TONTSEPT23!E23+TONTOCT23!E23+TONTNOV23!E23+TONTDEC23!E23</f>
        <v>495000</v>
      </c>
      <c r="F23" s="7">
        <f>TONTJANV23!F23+TONTFEV23!F23+TONTMARS23!F23+TONTAVRIL23!F23+TONTMAI23!F23+TONTJUIN23!F23+TONTJUIL23!F23+TONTAOUT23!F23+TONTSEPT23!F23+TONTOCT23!F23+TONTNOV23!F23+TONTDEC23!F23</f>
        <v>3000</v>
      </c>
      <c r="G23" s="7"/>
      <c r="H23" s="7">
        <f>TONTJANV23!H23+TONTFEV23!H23+TONTMARS23!H23+TONTAVRIL23!H23+TONTMAI23!H23+TONTJUIN23!H23+TONTJUIL23!H23+TONTAOUT23!H23+TONTSEPT23!H23+TONTOCT23!H23+TONTNOV23!H23+TONTDEC23!H23</f>
        <v>146000</v>
      </c>
      <c r="I23" s="7">
        <f>TONTJANV23!I23+TONTFEV23!I23+TONTMARS23!I23+TONTAVRIL23!I23+TONTMAI23!I23+TONTJUIN23!I23+TONTJUIL23!I23+TONTAOUT23!I23+TONTSEPT23!I23+TONTOCT23!I23+TONTNOV23!I23+TONTDEC23!I23</f>
        <v>2000</v>
      </c>
      <c r="J23" s="7"/>
      <c r="K23" s="7"/>
      <c r="L23" s="7">
        <f>TONTJANV23!L23+TONTFEV23!L23+TONTMARS23!L23+TONTAVRIL23!L23+TONTMAI23!L23+TONTJUIN23!L23+TONTJUIL23!L23+TONTAOUT23!L23+TONTSEPT23!L23+TONTOCT23!L23+TONTNOV23!L23+TONTDEC23!L23</f>
        <v>148000</v>
      </c>
      <c r="M23" s="7">
        <f>TONTJANV23!M23+TONTFEV23!M23+TONTMARS23!M23+TONTAVRIL23!M23+TONTMAI23!M23+TONTJUIN23!M23+TONTJUIL23!M23+TONTAOUT23!M23+TONTSEPT23!M23+TONTOCT23!M23+TONTNOV23!M23+TONTDEC23!M23</f>
        <v>148000</v>
      </c>
      <c r="N23" s="7"/>
      <c r="O23" s="7"/>
      <c r="P23" s="7"/>
      <c r="Q23" s="7">
        <f>TONTJANV23!Q23+TONTFEV23!Q23+TONTMARS23!Q23+TONTAVRIL23!Q23+TONTMAI23!Q23+TONTJUIN23!Q23+TONTJUIL23!Q23+TONTAOUT23!Q23+TONTSEPT23!Q23+TONTOCT23!Q23+TONTNOV23!Q23+TONTDEC23!Q23</f>
        <v>297000</v>
      </c>
      <c r="R23" s="7">
        <f>TONTJANV23!R23+TONTFEV23!R23+TONTMARS23!R23+TONTAVRIL23!R23+TONTMAI23!R23+TONTJUIN23!R23+TONTJUIL23!R23+TONTAOUT23!R23+TONTSEPT23!R23+TONTOCT23!R23+TONTNOV23!R23+TONTDEC23!R23</f>
        <v>3000</v>
      </c>
      <c r="S23" s="18">
        <v>45047</v>
      </c>
      <c r="U23" s="8">
        <f t="shared" si="0"/>
        <v>7966.666666666667</v>
      </c>
      <c r="V23" s="8">
        <v>7000</v>
      </c>
    </row>
    <row r="24" spans="1:22" ht="18" x14ac:dyDescent="0.25">
      <c r="A24" s="1" t="s">
        <v>22</v>
      </c>
      <c r="B24" s="7">
        <f>TONTJANV23!B24+TONTFEV23!B24+TONTMARS23!B24+TONTAVRIL23!B24+TONTMAI23!B24+TONTJUIN23!B24+TONTJUIL23!B24+TONTAOUT23!B24+TONTSEPT23!B24+TONTOCT23!B24+TONTNOV23!B24+TONTDEC23!B24</f>
        <v>12</v>
      </c>
      <c r="C24" s="1" t="str">
        <f>VLOOKUP(A24,[7]LISTADHERENT!A$5:H$60,3,0)</f>
        <v>NGUIEMEGNI MATHIEU BLAISE</v>
      </c>
      <c r="D24" s="7">
        <f>TONTJANV23!D24+TONTFEV23!D24+TONTMARS23!D24+TONTAVRIL23!D24+TONTMAI23!D24+TONTJUIN23!D24+TONTJUIL23!D24+TONTAOUT23!D24+TONTSEPT23!D24+TONTOCT23!D24+TONTNOV23!D24+TONTDEC23!D24</f>
        <v>300000</v>
      </c>
      <c r="E24" s="7">
        <f>TONTJANV23!E24+TONTFEV23!E24+TONTMARS23!E24+TONTAVRIL23!E24+TONTMAI23!E24+TONTJUIN23!E24+TONTJUIL23!E24+TONTAOUT23!E24+TONTSEPT23!E24+TONTOCT23!E24+TONTNOV23!E24+TONTDEC23!E24</f>
        <v>778000</v>
      </c>
      <c r="F24" s="7">
        <f>TONTJANV23!F24+TONTFEV23!F24+TONTMARS23!F24+TONTAVRIL23!F24+TONTMAI23!F24+TONTJUIN23!F24+TONTJUIL23!F24+TONTAOUT23!F24+TONTSEPT23!F24+TONTOCT23!F24+TONTNOV23!F24+TONTDEC23!F24</f>
        <v>0</v>
      </c>
      <c r="G24" s="7"/>
      <c r="H24" s="7">
        <f>TONTJANV23!H24+TONTFEV23!H24+TONTMARS23!H24+TONTAVRIL23!H24+TONTMAI23!H24+TONTJUIN23!H24+TONTJUIL23!H24+TONTAOUT23!H24+TONTSEPT23!H24+TONTOCT23!H24+TONTNOV23!H24+TONTDEC23!H24</f>
        <v>30000</v>
      </c>
      <c r="I24" s="7">
        <f>TONTJANV23!I24+TONTFEV23!I24+TONTMARS23!I24+TONTAVRIL23!I24+TONTMAI23!I24+TONTJUIN23!I24+TONTJUIL23!I24+TONTAOUT23!I24+TONTSEPT23!I24+TONTOCT23!I24+TONTNOV23!I24+TONTDEC23!I24</f>
        <v>1000</v>
      </c>
      <c r="J24" s="7"/>
      <c r="K24" s="7"/>
      <c r="L24" s="7">
        <f>TONTJANV23!L24+TONTFEV23!L24+TONTMARS23!L24+TONTAVRIL23!L24+TONTMAI23!L24+TONTJUIN23!L24+TONTJUIL23!L24+TONTAOUT23!L24+TONTSEPT23!L24+TONTOCT23!L24+TONTNOV23!L24+TONTDEC23!L24</f>
        <v>31000</v>
      </c>
      <c r="M24" s="7">
        <f>TONTJANV23!M24+TONTFEV23!M24+TONTMARS23!M24+TONTAVRIL23!M24+TONTMAI23!M24+TONTJUIN23!M24+TONTJUIL23!M24+TONTAOUT23!M24+TONTSEPT23!M24+TONTOCT23!M24+TONTNOV23!M24+TONTDEC23!M24</f>
        <v>31000</v>
      </c>
      <c r="N24" s="7"/>
      <c r="O24" s="7"/>
      <c r="P24" s="7"/>
      <c r="Q24" s="7">
        <f>TONTJANV23!Q24+TONTFEV23!Q24+TONTMARS23!Q24+TONTAVRIL23!Q24+TONTMAI23!Q24+TONTJUIN23!Q24+TONTJUIL23!Q24+TONTAOUT23!Q24+TONTSEPT23!Q24+TONTOCT23!Q24+TONTNOV23!Q24+TONTDEC23!Q24</f>
        <v>292500</v>
      </c>
      <c r="R24" s="7">
        <f>TONTJANV23!R24+TONTFEV23!R24+TONTMARS23!R24+TONTAVRIL23!R24+TONTMAI23!R24+TONTJUIN23!R24+TONTJUIL23!R24+TONTAOUT23!R24+TONTSEPT23!R24+TONTOCT23!R24+TONTNOV23!R24+TONTDEC23!R24</f>
        <v>7500</v>
      </c>
      <c r="S24" s="18">
        <v>44958</v>
      </c>
      <c r="U24" s="8">
        <f t="shared" si="0"/>
        <v>7966.666666666667</v>
      </c>
      <c r="V24" s="8">
        <v>7000</v>
      </c>
    </row>
    <row r="25" spans="1:22" ht="18" x14ac:dyDescent="0.25">
      <c r="A25" s="1" t="s">
        <v>23</v>
      </c>
      <c r="B25" s="7">
        <f>TONTJANV23!B25+TONTFEV23!B25+TONTMARS23!B25+TONTAVRIL23!B25+TONTMAI23!B25+TONTJUIN23!B25+TONTJUIL23!B25+TONTAOUT23!B25+TONTSEPT23!B25+TONTOCT23!B25+TONTNOV23!B25+TONTDEC23!B25</f>
        <v>12</v>
      </c>
      <c r="C25" s="1" t="str">
        <f>VLOOKUP(A25,[7]LISTADHERENT!A$5:H$60,3,0)</f>
        <v>NKAMGANG JUSTIN DEJOLIE</v>
      </c>
      <c r="D25" s="7">
        <f>TONTJANV23!D25+TONTFEV23!D25+TONTMARS23!D25+TONTAVRIL23!D25+TONTMAI23!D25+TONTJUIN23!D25+TONTJUIL23!D25+TONTAOUT23!D25+TONTSEPT23!D25+TONTOCT23!D25+TONTNOV23!D25+TONTDEC23!D25</f>
        <v>300000</v>
      </c>
      <c r="E25" s="7">
        <f>TONTJANV23!E25+TONTFEV23!E25+TONTMARS23!E25+TONTAVRIL23!E25+TONTMAI23!E25+TONTJUIN23!E25+TONTJUIL23!E25+TONTAOUT23!E25+TONTSEPT23!E25+TONTOCT23!E25+TONTNOV23!E25+TONTDEC23!E25</f>
        <v>496000</v>
      </c>
      <c r="F25" s="7">
        <f>TONTJANV23!F25+TONTFEV23!F25+TONTMARS23!F25+TONTAVRIL23!F25+TONTMAI23!F25+TONTJUIN23!F25+TONTJUIL23!F25+TONTAOUT23!F25+TONTSEPT23!F25+TONTOCT23!F25+TONTNOV23!F25+TONTDEC23!F25</f>
        <v>18000</v>
      </c>
      <c r="G25" s="7"/>
      <c r="H25" s="7">
        <f>TONTJANV23!H25+TONTFEV23!H25+TONTMARS23!H25+TONTAVRIL23!H25+TONTMAI23!H25+TONTJUIN23!H25+TONTJUIL23!H25+TONTAOUT23!H25+TONTSEPT23!H25+TONTOCT23!H25+TONTNOV23!H25+TONTDEC23!H25</f>
        <v>297000</v>
      </c>
      <c r="I25" s="7">
        <f>TONTJANV23!I25+TONTFEV23!I25+TONTMARS23!I25+TONTAVRIL23!I25+TONTMAI23!I25+TONTJUIN23!I25+TONTJUIL23!I25+TONTAOUT23!I25+TONTSEPT23!I25+TONTOCT23!I25+TONTNOV23!I25+TONTDEC23!I25</f>
        <v>6500</v>
      </c>
      <c r="J25" s="7"/>
      <c r="K25" s="7"/>
      <c r="L25" s="7">
        <f>TONTJANV23!L25+TONTFEV23!L25+TONTMARS23!L25+TONTAVRIL23!L25+TONTMAI23!L25+TONTJUIN23!L25+TONTJUIL23!L25+TONTAOUT23!L25+TONTSEPT23!L25+TONTOCT23!L25+TONTNOV23!L25+TONTDEC23!L25</f>
        <v>303500</v>
      </c>
      <c r="M25" s="7">
        <f>TONTJANV23!M25+TONTFEV23!M25+TONTMARS23!M25+TONTAVRIL23!M25+TONTMAI23!M25+TONTJUIN23!M25+TONTJUIL23!M25+TONTAOUT23!M25+TONTSEPT23!M25+TONTOCT23!M25+TONTNOV23!M25+TONTDEC23!M25</f>
        <v>303500</v>
      </c>
      <c r="N25" s="7"/>
      <c r="O25" s="7"/>
      <c r="P25" s="7"/>
      <c r="Q25" s="7">
        <f>TONTJANV23!Q25+TONTFEV23!Q25+TONTMARS23!Q25+TONTAVRIL23!Q25+TONTMAI23!Q25+TONTJUIN23!Q25+TONTJUIL23!Q25+TONTAOUT23!Q25+TONTSEPT23!Q25+TONTOCT23!Q25+TONTNOV23!Q25+TONTDEC23!Q25</f>
        <v>296500</v>
      </c>
      <c r="R25" s="7">
        <f>TONTJANV23!R25+TONTFEV23!R25+TONTMARS23!R25+TONTAVRIL23!R25+TONTMAI23!R25+TONTJUIN23!R25+TONTJUIL23!R25+TONTAOUT23!R25+TONTSEPT23!R25+TONTOCT23!R25+TONTNOV23!R25+TONTDEC23!R25</f>
        <v>3500</v>
      </c>
      <c r="S25" s="18">
        <v>44958</v>
      </c>
      <c r="U25" s="8">
        <f t="shared" si="0"/>
        <v>7966.666666666667</v>
      </c>
      <c r="V25" s="8">
        <v>7000</v>
      </c>
    </row>
    <row r="26" spans="1:22" ht="18" x14ac:dyDescent="0.25">
      <c r="A26" s="1" t="s">
        <v>86</v>
      </c>
      <c r="B26" s="7">
        <f>TONTJANV23!B26+TONTFEV23!B26+TONTMARS23!B26+TONTAVRIL23!B26+TONTMAI23!B26+TONTJUIN23!B26+TONTJUIL23!B26+TONTAOUT23!B26+TONTSEPT23!B26+TONTOCT23!B26+TONTNOV23!B26+TONTDEC23!B26</f>
        <v>12</v>
      </c>
      <c r="C26" s="1" t="str">
        <f>VLOOKUP(A26,[7]LISTADHERENT!A$5:H$60,3,0)</f>
        <v>NOUBE ETIENNE</v>
      </c>
      <c r="D26" s="7">
        <f>TONTJANV23!D26+TONTFEV23!D26+TONTMARS23!D26+TONTAVRIL23!D26+TONTMAI23!D26+TONTJUIN23!D26+TONTJUIL23!D26+TONTAOUT23!D26+TONTSEPT23!D26+TONTOCT23!D26+TONTNOV23!D26+TONTDEC23!D26</f>
        <v>300000</v>
      </c>
      <c r="E26" s="7">
        <f>TONTJANV23!E26+TONTFEV23!E26+TONTMARS23!E26+TONTAVRIL23!E26+TONTMAI23!E26+TONTJUIN23!E26+TONTJUIL23!E26+TONTAOUT23!E26+TONTSEPT23!E26+TONTOCT23!E26+TONTNOV23!E26+TONTDEC23!E26</f>
        <v>1092500</v>
      </c>
      <c r="F26" s="7">
        <f>TONTJANV23!F26+TONTFEV23!F26+TONTMARS23!F26+TONTAVRIL23!F26+TONTMAI23!F26+TONTJUIN23!F26+TONTJUIL23!F26+TONTAOUT23!F26+TONTSEPT23!F26+TONTOCT23!F26+TONTNOV23!F26+TONTDEC23!F26</f>
        <v>0</v>
      </c>
      <c r="G26" s="7"/>
      <c r="H26" s="7">
        <f>TONTJANV23!H26+TONTFEV23!H26+TONTMARS23!H26+TONTAVRIL23!H26+TONTMAI23!H26+TONTJUIN23!H26+TONTJUIL23!H26+TONTAOUT23!H26+TONTSEPT23!H26+TONTOCT23!H26+TONTNOV23!H26+TONTDEC23!H26</f>
        <v>0</v>
      </c>
      <c r="I26" s="7">
        <f>TONTJANV23!I26+TONTFEV23!I26+TONTMARS23!I26+TONTAVRIL23!I26+TONTMAI23!I26+TONTJUIN23!I26+TONTJUIL23!I26+TONTAOUT23!I26+TONTSEPT23!I26+TONTOCT23!I26+TONTNOV23!I26+TONTDEC23!I26</f>
        <v>0</v>
      </c>
      <c r="J26" s="7"/>
      <c r="K26" s="7"/>
      <c r="L26" s="7">
        <f>TONTJANV23!L26+TONTFEV23!L26+TONTMARS23!L26+TONTAVRIL23!L26+TONTMAI23!L26+TONTJUIN23!L26+TONTJUIL23!L26+TONTAOUT23!L26+TONTSEPT23!L26+TONTOCT23!L26+TONTNOV23!L26+TONTDEC23!L26</f>
        <v>0</v>
      </c>
      <c r="M26" s="7">
        <f>TONTJANV23!M26+TONTFEV23!M26+TONTMARS23!M26+TONTAVRIL23!M26+TONTMAI23!M26+TONTJUIN23!M26+TONTJUIL23!M26+TONTAOUT23!M26+TONTSEPT23!M26+TONTOCT23!M26+TONTNOV23!M26+TONTDEC23!M26</f>
        <v>0</v>
      </c>
      <c r="N26" s="7"/>
      <c r="O26" s="7"/>
      <c r="P26" s="7"/>
      <c r="Q26" s="7">
        <f>TONTJANV23!Q26+TONTFEV23!Q26+TONTMARS23!Q26+TONTAVRIL23!Q26+TONTMAI23!Q26+TONTJUIN23!Q26+TONTJUIL23!Q26+TONTAOUT23!Q26+TONTSEPT23!Q26+TONTOCT23!Q26+TONTNOV23!Q26+TONTDEC23!Q26</f>
        <v>297500</v>
      </c>
      <c r="R26" s="7">
        <f>TONTJANV23!R26+TONTFEV23!R26+TONTMARS23!R26+TONTAVRIL23!R26+TONTMAI23!R26+TONTJUIN23!R26+TONTJUIL23!R26+TONTAOUT23!R26+TONTSEPT23!R26+TONTOCT23!R26+TONTNOV23!R26+TONTDEC23!R26</f>
        <v>2500</v>
      </c>
      <c r="S26" s="18">
        <v>45170</v>
      </c>
      <c r="U26" s="8">
        <f t="shared" si="0"/>
        <v>7966.666666666667</v>
      </c>
      <c r="V26" s="8">
        <v>7000</v>
      </c>
    </row>
    <row r="27" spans="1:22" ht="18" x14ac:dyDescent="0.25">
      <c r="A27" s="1" t="s">
        <v>24</v>
      </c>
      <c r="B27" s="7">
        <f>TONTJANV23!B27+TONTFEV23!B27+TONTMARS23!B27+TONTAVRIL23!B27+TONTMAI23!B27+TONTJUIN23!B27+TONTJUIL23!B27+TONTAOUT23!B27+TONTSEPT23!B27+TONTOCT23!B27+TONTNOV23!B27+TONTDEC23!B27</f>
        <v>12</v>
      </c>
      <c r="C27" s="1" t="str">
        <f>VLOOKUP(A27,[7]LISTADHERENT!A$5:H$60,3,0)</f>
        <v>PATEGO NJOSSU GUSTAVE</v>
      </c>
      <c r="D27" s="7">
        <f>TONTJANV23!D27+TONTFEV23!D27+TONTMARS23!D27+TONTAVRIL23!D27+TONTMAI23!D27+TONTJUIN23!D27+TONTJUIL23!D27+TONTAOUT23!D27+TONTSEPT23!D27+TONTOCT23!D27+TONTNOV23!D27+TONTDEC23!D27</f>
        <v>300000</v>
      </c>
      <c r="E27" s="7">
        <f>TONTJANV23!E27+TONTFEV23!E27+TONTMARS23!E27+TONTAVRIL23!E27+TONTMAI23!E27+TONTJUIN23!E27+TONTJUIL23!E27+TONTAOUT23!E27+TONTSEPT23!E27+TONTOCT23!E27+TONTNOV23!E27+TONTDEC23!E27</f>
        <v>480000</v>
      </c>
      <c r="F27" s="7">
        <f>TONTJANV23!F27+TONTFEV23!F27+TONTMARS23!F27+TONTAVRIL23!F27+TONTMAI23!F27+TONTJUIN23!F27+TONTJUIL23!F27+TONTAOUT23!F27+TONTSEPT23!F27+TONTOCT23!F27+TONTNOV23!F27+TONTDEC23!F27</f>
        <v>0</v>
      </c>
      <c r="G27" s="7"/>
      <c r="H27" s="7">
        <f>TONTJANV23!H27+TONTFEV23!H27+TONTMARS23!H27+TONTAVRIL23!H27+TONTMAI23!H27+TONTJUIN23!H27+TONTJUIL23!H27+TONTAOUT23!H27+TONTSEPT23!H27+TONTOCT23!H27+TONTNOV23!H27+TONTDEC23!H27</f>
        <v>0</v>
      </c>
      <c r="I27" s="7">
        <f>TONTJANV23!I27+TONTFEV23!I27+TONTMARS23!I27+TONTAVRIL23!I27+TONTMAI23!I27+TONTJUIN23!I27+TONTJUIL23!I27+TONTAOUT23!I27+TONTSEPT23!I27+TONTOCT23!I27+TONTNOV23!I27+TONTDEC23!I27</f>
        <v>0</v>
      </c>
      <c r="J27" s="7"/>
      <c r="K27" s="7"/>
      <c r="L27" s="7">
        <f>TONTJANV23!L27+TONTFEV23!L27+TONTMARS23!L27+TONTAVRIL23!L27+TONTMAI23!L27+TONTJUIN23!L27+TONTJUIL23!L27+TONTAOUT23!L27+TONTSEPT23!L27+TONTOCT23!L27+TONTNOV23!L27+TONTDEC23!L27</f>
        <v>0</v>
      </c>
      <c r="M27" s="7">
        <f>TONTJANV23!M27+TONTFEV23!M27+TONTMARS23!M27+TONTAVRIL23!M27+TONTMAI23!M27+TONTJUIN23!M27+TONTJUIL23!M27+TONTAOUT23!M27+TONTSEPT23!M27+TONTOCT23!M27+TONTNOV23!M27+TONTDEC23!M27</f>
        <v>0</v>
      </c>
      <c r="N27" s="7"/>
      <c r="O27" s="7"/>
      <c r="P27" s="7"/>
      <c r="Q27" s="7">
        <f>TONTJANV23!Q27+TONTFEV23!Q27+TONTMARS23!Q27+TONTAVRIL23!Q27+TONTMAI23!Q27+TONTJUIN23!Q27+TONTJUIL23!Q27+TONTAOUT23!Q27+TONTSEPT23!Q27+TONTOCT23!Q27+TONTNOV23!Q27+TONTDEC23!Q27</f>
        <v>297500</v>
      </c>
      <c r="R27" s="7">
        <f>TONTJANV23!R27+TONTFEV23!R27+TONTMARS23!R27+TONTAVRIL23!R27+TONTMAI23!R27+TONTJUIN23!R27+TONTJUIL23!R27+TONTAOUT23!R27+TONTSEPT23!R27+TONTOCT23!R27+TONTNOV23!R27+TONTDEC23!R27</f>
        <v>2500</v>
      </c>
      <c r="S27" s="18">
        <v>45231</v>
      </c>
      <c r="U27" s="8">
        <f t="shared" si="0"/>
        <v>7966.666666666667</v>
      </c>
      <c r="V27" s="8">
        <v>7000</v>
      </c>
    </row>
    <row r="28" spans="1:22" ht="18" x14ac:dyDescent="0.25">
      <c r="A28" s="1" t="s">
        <v>87</v>
      </c>
      <c r="B28" s="7">
        <f>TONTJANV23!B28+TONTFEV23!B28+TONTMARS23!B28+TONTAVRIL23!B28+TONTMAI23!B28+TONTJUIN23!B28+TONTJUIL23!B28+TONTAOUT23!B28+TONTSEPT23!B28+TONTOCT23!B28+TONTNOV23!B28+TONTDEC23!B28</f>
        <v>12</v>
      </c>
      <c r="C28" s="1" t="str">
        <f>VLOOKUP(A28,[7]LISTADHERENT!A$5:H$60,3,0)</f>
        <v>SEUMO POLYCARPE</v>
      </c>
      <c r="D28" s="7">
        <f>TONTJANV23!D28+TONTFEV23!D28+TONTMARS23!D28+TONTAVRIL23!D28+TONTMAI23!D28+TONTJUIN23!D28+TONTJUIL23!D28+TONTAOUT23!D28+TONTSEPT23!D28+TONTOCT23!D28+TONTNOV23!D28+TONTDEC23!D28</f>
        <v>300000</v>
      </c>
      <c r="E28" s="7">
        <f>TONTJANV23!E28+TONTFEV23!E28+TONTMARS23!E28+TONTAVRIL23!E28+TONTMAI23!E28+TONTJUIN23!E28+TONTJUIL23!E28+TONTAOUT23!E28+TONTSEPT23!E28+TONTOCT23!E28+TONTNOV23!E28+TONTDEC23!E28</f>
        <v>657500</v>
      </c>
      <c r="F28" s="7">
        <f>TONTJANV23!F28+TONTFEV23!F28+TONTMARS23!F28+TONTAVRIL23!F28+TONTMAI23!F28+TONTJUIN23!F28+TONTJUIL23!F28+TONTAOUT23!F28+TONTSEPT23!F28+TONTOCT23!F28+TONTNOV23!F28+TONTDEC23!F28</f>
        <v>0</v>
      </c>
      <c r="G28" s="7"/>
      <c r="H28" s="7">
        <f>TONTJANV23!H28+TONTFEV23!H28+TONTMARS23!H28+TONTAVRIL23!H28+TONTMAI23!H28+TONTJUIN23!H28+TONTJUIL23!H28+TONTAOUT23!H28+TONTSEPT23!H28+TONTOCT23!H28+TONTNOV23!H28+TONTDEC23!H28</f>
        <v>0</v>
      </c>
      <c r="I28" s="7">
        <f>TONTJANV23!I28+TONTFEV23!I28+TONTMARS23!I28+TONTAVRIL23!I28+TONTMAI23!I28+TONTJUIN23!I28+TONTJUIL23!I28+TONTAOUT23!I28+TONTSEPT23!I28+TONTOCT23!I28+TONTNOV23!I28+TONTDEC23!I28</f>
        <v>0</v>
      </c>
      <c r="J28" s="7"/>
      <c r="K28" s="7"/>
      <c r="L28" s="7">
        <f>TONTJANV23!L28+TONTFEV23!L28+TONTMARS23!L28+TONTAVRIL23!L28+TONTMAI23!L28+TONTJUIN23!L28+TONTJUIL23!L28+TONTAOUT23!L28+TONTSEPT23!L28+TONTOCT23!L28+TONTNOV23!L28+TONTDEC23!L28</f>
        <v>0</v>
      </c>
      <c r="M28" s="7">
        <f>TONTJANV23!M28+TONTFEV23!M28+TONTMARS23!M28+TONTAVRIL23!M28+TONTMAI23!M28+TONTJUIN23!M28+TONTJUIL23!M28+TONTAOUT23!M28+TONTSEPT23!M28+TONTOCT23!M28+TONTNOV23!M28+TONTDEC23!M28</f>
        <v>0</v>
      </c>
      <c r="N28" s="7"/>
      <c r="O28" s="7"/>
      <c r="P28" s="7"/>
      <c r="Q28" s="7">
        <f>TONTJANV23!Q28+TONTFEV23!Q28+TONTMARS23!Q28+TONTAVRIL23!Q28+TONTMAI23!Q28+TONTJUIN23!Q28+TONTJUIL23!Q28+TONTAOUT23!Q28+TONTSEPT23!Q28+TONTOCT23!Q28+TONTNOV23!Q28+TONTDEC23!Q28</f>
        <v>297500</v>
      </c>
      <c r="R28" s="7">
        <f>TONTJANV23!R28+TONTFEV23!R28+TONTMARS23!R28+TONTAVRIL23!R28+TONTMAI23!R28+TONTJUIN23!R28+TONTJUIL23!R28+TONTAOUT23!R28+TONTSEPT23!R28+TONTOCT23!R28+TONTNOV23!R28+TONTDEC23!R28</f>
        <v>2500</v>
      </c>
      <c r="S28" s="18">
        <v>45170</v>
      </c>
      <c r="U28" s="8">
        <f t="shared" si="0"/>
        <v>7966.666666666667</v>
      </c>
      <c r="V28" s="8">
        <v>7000</v>
      </c>
    </row>
    <row r="29" spans="1:22" ht="18" x14ac:dyDescent="0.25">
      <c r="A29" s="1" t="s">
        <v>47</v>
      </c>
      <c r="B29" s="7">
        <f>TONTJANV23!B29+TONTFEV23!B29+TONTMARS23!B29+TONTAVRIL23!B29+TONTMAI23!B29+TONTJUIN23!B29+TONTJUIL23!B29+TONTAOUT23!B29+TONTSEPT23!B29+TONTOCT23!B29+TONTNOV23!B29+TONTDEC23!B29</f>
        <v>12</v>
      </c>
      <c r="C29" s="1" t="str">
        <f>VLOOKUP(A29,[7]LISTADHERENT!A$5:H$60,3,0)</f>
        <v>SIME BRICE</v>
      </c>
      <c r="D29" s="7">
        <f>TONTJANV23!D29+TONTFEV23!D29+TONTMARS23!D29+TONTAVRIL23!D29+TONTMAI23!D29+TONTJUIN23!D29+TONTJUIL23!D29+TONTAOUT23!D29+TONTSEPT23!D29+TONTOCT23!D29+TONTNOV23!D29+TONTDEC23!D29</f>
        <v>300000</v>
      </c>
      <c r="E29" s="7">
        <f>TONTJANV23!E29+TONTFEV23!E29+TONTMARS23!E29+TONTAVRIL23!E29+TONTMAI23!E29+TONTJUIN23!E29+TONTJUIL23!E29+TONTAOUT23!E29+TONTSEPT23!E29+TONTOCT23!E29+TONTNOV23!E29+TONTDEC23!E29</f>
        <v>480000</v>
      </c>
      <c r="F29" s="7">
        <f>TONTJANV23!F29+TONTFEV23!F29+TONTMARS23!F29+TONTAVRIL23!F29+TONTMAI23!F29+TONTJUIN23!F29+TONTJUIL23!F29+TONTAOUT23!F29+TONTSEPT23!F29+TONTOCT23!F29+TONTNOV23!F29+TONTDEC23!F29</f>
        <v>0</v>
      </c>
      <c r="G29" s="7"/>
      <c r="H29" s="7">
        <f>TONTJANV23!H29+TONTFEV23!H29+TONTMARS23!H29+TONTAVRIL23!H29+TONTMAI23!H29+TONTJUIN23!H29+TONTJUIL23!H29+TONTAOUT23!H29+TONTSEPT23!H29+TONTOCT23!H29+TONTNOV23!H29+TONTDEC23!H29</f>
        <v>0</v>
      </c>
      <c r="I29" s="7">
        <f>TONTJANV23!I29+TONTFEV23!I29+TONTMARS23!I29+TONTAVRIL23!I29+TONTMAI23!I29+TONTJUIN23!I29+TONTJUIL23!I29+TONTAOUT23!I29+TONTSEPT23!I29+TONTOCT23!I29+TONTNOV23!I29+TONTDEC23!I29</f>
        <v>0</v>
      </c>
      <c r="J29" s="7"/>
      <c r="K29" s="7"/>
      <c r="L29" s="7">
        <f>TONTJANV23!L29+TONTFEV23!L29+TONTMARS23!L29+TONTAVRIL23!L29+TONTMAI23!L29+TONTJUIN23!L29+TONTJUIL23!L29+TONTAOUT23!L29+TONTSEPT23!L29+TONTOCT23!L29+TONTNOV23!L29+TONTDEC23!L29</f>
        <v>0</v>
      </c>
      <c r="M29" s="7">
        <f>TONTJANV23!M29+TONTFEV23!M29+TONTMARS23!M29+TONTAVRIL23!M29+TONTMAI23!M29+TONTJUIN23!M29+TONTJUIL23!M29+TONTAOUT23!M29+TONTSEPT23!M29+TONTOCT23!M29+TONTNOV23!M29+TONTDEC23!M29</f>
        <v>0</v>
      </c>
      <c r="N29" s="7"/>
      <c r="O29" s="7"/>
      <c r="P29" s="7"/>
      <c r="Q29" s="7">
        <f>TONTJANV23!Q29+TONTFEV23!Q29+TONTMARS23!Q29+TONTAVRIL23!Q29+TONTMAI23!Q29+TONTJUIN23!Q29+TONTJUIL23!Q29+TONTAOUT23!Q29+TONTSEPT23!Q29+TONTOCT23!Q29+TONTNOV23!Q29+TONTDEC23!Q29</f>
        <v>297000</v>
      </c>
      <c r="R29" s="7">
        <f>TONTJANV23!R29+TONTFEV23!R29+TONTMARS23!R29+TONTAVRIL23!R29+TONTMAI23!R29+TONTJUIN23!R29+TONTJUIL23!R29+TONTAOUT23!R29+TONTSEPT23!R29+TONTOCT23!R29+TONTNOV23!R29+TONTDEC23!R29</f>
        <v>3000</v>
      </c>
      <c r="S29" s="18">
        <v>45139</v>
      </c>
      <c r="U29" s="8">
        <f t="shared" si="0"/>
        <v>7966.666666666667</v>
      </c>
      <c r="V29" s="8">
        <v>7000</v>
      </c>
    </row>
    <row r="30" spans="1:22" ht="18" x14ac:dyDescent="0.25">
      <c r="A30" s="1" t="s">
        <v>25</v>
      </c>
      <c r="B30" s="7">
        <f>TONTJANV23!B30+TONTFEV23!B30+TONTMARS23!B30+TONTAVRIL23!B30+TONTMAI23!B30+TONTJUIN23!B30+TONTJUIL23!B30+TONTAOUT23!B30+TONTSEPT23!B30+TONTOCT23!B30+TONTNOV23!B30+TONTDEC23!B30</f>
        <v>12</v>
      </c>
      <c r="C30" s="1" t="str">
        <f>VLOOKUP(A30,[7]LISTADHERENT!A$5:H$60,3,0)</f>
        <v>SIMO PIERRE</v>
      </c>
      <c r="D30" s="7">
        <f>TONTJANV23!D30+TONTFEV23!D30+TONTMARS23!D30+TONTAVRIL23!D30+TONTMAI23!D30+TONTJUIN23!D30+TONTJUIL23!D30+TONTAOUT23!D30+TONTSEPT23!D30+TONTOCT23!D30+TONTNOV23!D30+TONTDEC23!D30</f>
        <v>300000</v>
      </c>
      <c r="E30" s="7">
        <f>TONTJANV23!E30+TONTFEV23!E30+TONTMARS23!E30+TONTAVRIL23!E30+TONTMAI23!E30+TONTJUIN23!E30+TONTJUIL23!E30+TONTAOUT23!E30+TONTSEPT23!E30+TONTOCT23!E30+TONTNOV23!E30+TONTDEC23!E30</f>
        <v>590500</v>
      </c>
      <c r="F30" s="7">
        <f>TONTJANV23!F30+TONTFEV23!F30+TONTMARS23!F30+TONTAVRIL23!F30+TONTMAI23!F30+TONTJUIN23!F30+TONTJUIL23!F30+TONTAOUT23!F30+TONTSEPT23!F30+TONTOCT23!F30+TONTNOV23!F30+TONTDEC23!F30</f>
        <v>0</v>
      </c>
      <c r="G30" s="7"/>
      <c r="H30" s="7">
        <f>TONTJANV23!H30+TONTFEV23!H30+TONTMARS23!H30+TONTAVRIL23!H30+TONTMAI23!H30+TONTJUIN23!H30+TONTJUIL23!H30+TONTAOUT23!H30+TONTSEPT23!H30+TONTOCT23!H30+TONTNOV23!H30+TONTDEC23!H30</f>
        <v>30000</v>
      </c>
      <c r="I30" s="7">
        <f>TONTJANV23!I30+TONTFEV23!I30+TONTMARS23!I30+TONTAVRIL23!I30+TONTMAI23!I30+TONTJUIN23!I30+TONTJUIL23!I30+TONTAOUT23!I30+TONTSEPT23!I30+TONTOCT23!I30+TONTNOV23!I30+TONTDEC23!I30</f>
        <v>500</v>
      </c>
      <c r="J30" s="7"/>
      <c r="K30" s="7"/>
      <c r="L30" s="7">
        <f>TONTJANV23!L30+TONTFEV23!L30+TONTMARS23!L30+TONTAVRIL23!L30+TONTMAI23!L30+TONTJUIN23!L30+TONTJUIL23!L30+TONTAOUT23!L30+TONTSEPT23!L30+TONTOCT23!L30+TONTNOV23!L30+TONTDEC23!L30</f>
        <v>30500</v>
      </c>
      <c r="M30" s="7">
        <f>TONTJANV23!M30+TONTFEV23!M30+TONTMARS23!M30+TONTAVRIL23!M30+TONTMAI23!M30+TONTJUIN23!M30+TONTJUIL23!M30+TONTAOUT23!M30+TONTSEPT23!M30+TONTOCT23!M30+TONTNOV23!M30+TONTDEC23!M30</f>
        <v>30500</v>
      </c>
      <c r="N30" s="7"/>
      <c r="O30" s="7"/>
      <c r="P30" s="7"/>
      <c r="Q30" s="7">
        <f>TONTJANV23!Q30+TONTFEV23!Q30+TONTMARS23!Q30+TONTAVRIL23!Q30+TONTMAI23!Q30+TONTJUIN23!Q30+TONTJUIL23!Q30+TONTAOUT23!Q30+TONTSEPT23!Q30+TONTOCT23!Q30+TONTNOV23!Q30+TONTDEC23!Q30</f>
        <v>289000</v>
      </c>
      <c r="R30" s="7">
        <f>TONTJANV23!R30+TONTFEV23!R30+TONTMARS23!R30+TONTAVRIL23!R30+TONTMAI23!R30+TONTJUIN23!R30+TONTJUIL23!R30+TONTAOUT23!R30+TONTSEPT23!R30+TONTOCT23!R30+TONTNOV23!R30+TONTDEC23!R30</f>
        <v>11000</v>
      </c>
      <c r="S30" s="18">
        <v>44986</v>
      </c>
      <c r="U30" s="8">
        <f t="shared" si="0"/>
        <v>7966.666666666667</v>
      </c>
      <c r="V30" s="8">
        <v>7000</v>
      </c>
    </row>
    <row r="31" spans="1:22" ht="18" x14ac:dyDescent="0.25">
      <c r="A31" s="1" t="s">
        <v>27</v>
      </c>
      <c r="B31" s="7">
        <f>TONTJANV23!B31+TONTFEV23!B31+TONTMARS23!B31+TONTAVRIL23!B31+TONTMAI23!B31+TONTJUIN23!B31+TONTJUIL23!B31+TONTAOUT23!B31+TONTSEPT23!B31+TONTOCT23!B31+TONTNOV23!B31+TONTDEC23!B31</f>
        <v>12</v>
      </c>
      <c r="C31" s="1" t="str">
        <f>VLOOKUP(A31,[7]LISTADHERENT!A$5:H$60,3,0)</f>
        <v>TCHOUAMOU MATHIEU</v>
      </c>
      <c r="D31" s="7">
        <f>TONTJANV23!D31+TONTFEV23!D31+TONTMARS23!D31+TONTAVRIL23!D31+TONTMAI23!D31+TONTJUIN23!D31+TONTJUIL23!D31+TONTAOUT23!D31+TONTSEPT23!D31+TONTOCT23!D31+TONTNOV23!D31+TONTDEC23!D31</f>
        <v>300000</v>
      </c>
      <c r="E31" s="7">
        <f>TONTJANV23!E31+TONTFEV23!E31+TONTMARS23!E31+TONTAVRIL23!E31+TONTMAI23!E31+TONTJUIN23!E31+TONTJUIL23!E31+TONTAOUT23!E31+TONTSEPT23!E31+TONTOCT23!E31+TONTNOV23!E31+TONTDEC23!E31</f>
        <v>480000</v>
      </c>
      <c r="F31" s="7">
        <f>TONTJANV23!F31+TONTFEV23!F31+TONTMARS23!F31+TONTAVRIL23!F31+TONTMAI23!F31+TONTJUIN23!F31+TONTJUIL23!F31+TONTAOUT23!F31+TONTSEPT23!F31+TONTOCT23!F31+TONTNOV23!F31+TONTDEC23!F31</f>
        <v>0</v>
      </c>
      <c r="G31" s="7"/>
      <c r="H31" s="7">
        <f>TONTJANV23!H31+TONTFEV23!H31+TONTMARS23!H31+TONTAVRIL23!H31+TONTMAI23!H31+TONTJUIN23!H31+TONTJUIL23!H31+TONTAOUT23!H31+TONTSEPT23!H31+TONTOCT23!H31+TONTNOV23!H31+TONTDEC23!H31</f>
        <v>0</v>
      </c>
      <c r="I31" s="7">
        <f>TONTJANV23!I31+TONTFEV23!I31+TONTMARS23!I31+TONTAVRIL23!I31+TONTMAI23!I31+TONTJUIN23!I31+TONTJUIL23!I31+TONTAOUT23!I31+TONTSEPT23!I31+TONTOCT23!I31+TONTNOV23!I31+TONTDEC23!I31</f>
        <v>0</v>
      </c>
      <c r="J31" s="7"/>
      <c r="K31" s="7"/>
      <c r="L31" s="7">
        <f>TONTJANV23!L31+TONTFEV23!L31+TONTMARS23!L31+TONTAVRIL23!L31+TONTMAI23!L31+TONTJUIN23!L31+TONTJUIL23!L31+TONTAOUT23!L31+TONTSEPT23!L31+TONTOCT23!L31+TONTNOV23!L31+TONTDEC23!L31</f>
        <v>0</v>
      </c>
      <c r="M31" s="7">
        <f>TONTJANV23!M31+TONTFEV23!M31+TONTMARS23!M31+TONTAVRIL23!M31+TONTMAI23!M31+TONTJUIN23!M31+TONTJUIL23!M31+TONTAOUT23!M31+TONTSEPT23!M31+TONTOCT23!M31+TONTNOV23!M31+TONTDEC23!M31</f>
        <v>0</v>
      </c>
      <c r="N31" s="7"/>
      <c r="O31" s="7"/>
      <c r="P31" s="7"/>
      <c r="Q31" s="7">
        <f>TONTJANV23!Q31+TONTFEV23!Q31+TONTMARS23!Q31+TONTAVRIL23!Q31+TONTMAI23!Q31+TONTJUIN23!Q31+TONTJUIL23!Q31+TONTAOUT23!Q31+TONTSEPT23!Q31+TONTOCT23!Q31+TONTNOV23!Q31+TONTDEC23!Q31</f>
        <v>297500</v>
      </c>
      <c r="R31" s="7">
        <f>TONTJANV23!R31+TONTFEV23!R31+TONTMARS23!R31+TONTAVRIL23!R31+TONTMAI23!R31+TONTJUIN23!R31+TONTJUIL23!R31+TONTAOUT23!R31+TONTSEPT23!R31+TONTOCT23!R31+TONTNOV23!R31+TONTDEC23!R31</f>
        <v>2500</v>
      </c>
      <c r="S31" s="18">
        <v>45108</v>
      </c>
      <c r="U31" s="8">
        <f t="shared" si="0"/>
        <v>7966.666666666667</v>
      </c>
      <c r="V31" s="8">
        <v>7000</v>
      </c>
    </row>
    <row r="32" spans="1:22" ht="18" x14ac:dyDescent="0.25">
      <c r="A32" s="1" t="s">
        <v>88</v>
      </c>
      <c r="B32" s="7">
        <f>TONTJANV23!B32+TONTFEV23!B32+TONTMARS23!B32+TONTAVRIL23!B32+TONTMAI23!B32+TONTJUIN23!B32+TONTJUIL23!B32+TONTAOUT23!B32+TONTSEPT23!B32+TONTOCT23!B32+TONTNOV23!B32+TONTDEC23!B32</f>
        <v>12</v>
      </c>
      <c r="C32" s="1" t="str">
        <f>VLOOKUP(A32,[7]LISTADHERENT!A$5:H$60,3,0)</f>
        <v>TCHOUTOU NANA CLAUDE</v>
      </c>
      <c r="D32" s="7">
        <f>TONTJANV23!D32+TONTFEV23!D32+TONTMARS23!D32+TONTAVRIL23!D32+TONTMAI23!D32+TONTJUIN23!D32+TONTJUIL23!D32+TONTAOUT23!D32+TONTSEPT23!D32+TONTOCT23!D32+TONTNOV23!D32+TONTDEC23!D32</f>
        <v>300000</v>
      </c>
      <c r="E32" s="7">
        <f>TONTJANV23!E32+TONTFEV23!E32+TONTMARS23!E32+TONTAVRIL23!E32+TONTMAI23!E32+TONTJUIN23!E32+TONTJUIL23!E32+TONTAOUT23!E32+TONTSEPT23!E32+TONTOCT23!E32+TONTNOV23!E32+TONTDEC23!E32</f>
        <v>493000</v>
      </c>
      <c r="F32" s="7">
        <f>TONTJANV23!F32+TONTFEV23!F32+TONTMARS23!F32+TONTAVRIL23!F32+TONTMAI23!F32+TONTJUIN23!F32+TONTJUIL23!F32+TONTAOUT23!F32+TONTSEPT23!F32+TONTOCT23!F32+TONTNOV23!F32+TONTDEC23!F32</f>
        <v>18000</v>
      </c>
      <c r="G32" s="7"/>
      <c r="H32" s="7">
        <f>TONTJANV23!H32+TONTFEV23!H32+TONTMARS23!H32+TONTAVRIL23!H32+TONTMAI23!H32+TONTJUIN23!H32+TONTJUIL23!H32+TONTAOUT23!H32+TONTSEPT23!H32+TONTOCT23!H32+TONTNOV23!H32+TONTDEC23!H32</f>
        <v>0</v>
      </c>
      <c r="I32" s="7">
        <f>TONTJANV23!I32+TONTFEV23!I32+TONTMARS23!I32+TONTAVRIL23!I32+TONTMAI23!I32+TONTJUIN23!I32+TONTJUIL23!I32+TONTAOUT23!I32+TONTSEPT23!I32+TONTOCT23!I32+TONTNOV23!I32+TONTDEC23!I32</f>
        <v>0</v>
      </c>
      <c r="J32" s="7"/>
      <c r="K32" s="7"/>
      <c r="L32" s="7">
        <f>TONTJANV23!L32+TONTFEV23!L32+TONTMARS23!L32+TONTAVRIL23!L32+TONTMAI23!L32+TONTJUIN23!L32+TONTJUIL23!L32+TONTAOUT23!L32+TONTSEPT23!L32+TONTOCT23!L32+TONTNOV23!L32+TONTDEC23!L32</f>
        <v>0</v>
      </c>
      <c r="M32" s="7">
        <f>TONTJANV23!M32+TONTFEV23!M32+TONTMARS23!M32+TONTAVRIL23!M32+TONTMAI23!M32+TONTJUIN23!M32+TONTJUIL23!M32+TONTAOUT23!M32+TONTSEPT23!M32+TONTOCT23!M32+TONTNOV23!M32+TONTDEC23!M32</f>
        <v>0</v>
      </c>
      <c r="N32" s="7"/>
      <c r="O32" s="7"/>
      <c r="P32" s="7"/>
      <c r="Q32" s="7">
        <f>TONTJANV23!Q32+TONTFEV23!Q32+TONTMARS23!Q32+TONTAVRIL23!Q32+TONTMAI23!Q32+TONTJUIN23!Q32+TONTJUIL23!Q32+TONTAOUT23!Q32+TONTSEPT23!Q32+TONTOCT23!Q32+TONTNOV23!Q32+TONTDEC23!Q32</f>
        <v>297500</v>
      </c>
      <c r="R32" s="7">
        <f>TONTJANV23!R32+TONTFEV23!R32+TONTMARS23!R32+TONTAVRIL23!R32+TONTMAI23!R32+TONTJUIN23!R32+TONTJUIL23!R32+TONTAOUT23!R32+TONTSEPT23!R32+TONTOCT23!R32+TONTNOV23!R32+TONTDEC23!R32</f>
        <v>2500</v>
      </c>
      <c r="S32" s="18">
        <v>45261</v>
      </c>
      <c r="U32" s="8">
        <f t="shared" si="0"/>
        <v>7966.666666666667</v>
      </c>
      <c r="V32" s="8">
        <v>7000</v>
      </c>
    </row>
    <row r="33" spans="1:24" ht="18" x14ac:dyDescent="0.25">
      <c r="A33" s="1" t="s">
        <v>90</v>
      </c>
      <c r="B33" s="7">
        <f>TONTJANV23!B33+TONTFEV23!B33+TONTMARS23!B33+TONTAVRIL23!B33+TONTMAI23!B33+TONTJUIN23!B33+TONTJUIL23!B33+TONTAOUT23!B33+TONTSEPT23!B33+TONTOCT23!B33+TONTNOV23!B33+TONTDEC23!B33</f>
        <v>12</v>
      </c>
      <c r="C33" s="1" t="str">
        <f>VLOOKUP(A33,[7]LISTADHERENT!A$5:H$60,3,0)</f>
        <v>YANTCHOU GERVAIS</v>
      </c>
      <c r="D33" s="7">
        <f>TONTJANV23!D33+TONTFEV23!D33+TONTMARS23!D33+TONTAVRIL23!D33+TONTMAI23!D33+TONTJUIN23!D33+TONTJUIL23!D33+TONTAOUT23!D33+TONTSEPT23!D33+TONTOCT23!D33+TONTNOV23!D33+TONTDEC23!D33</f>
        <v>300000</v>
      </c>
      <c r="E33" s="7">
        <f>TONTJANV23!E33+TONTFEV23!E33+TONTMARS23!E33+TONTAVRIL23!E33+TONTMAI23!E33+TONTJUIN23!E33+TONTJUIL23!E33+TONTAOUT23!E33+TONTSEPT23!E33+TONTOCT23!E33+TONTNOV23!E33+TONTDEC23!E33</f>
        <v>1112500</v>
      </c>
      <c r="F33" s="7">
        <f>TONTJANV23!F33+TONTFEV23!F33+TONTMARS23!F33+TONTAVRIL23!F33+TONTMAI23!F33+TONTJUIN23!F33+TONTJUIL23!F33+TONTAOUT23!F33+TONTSEPT23!F33+TONTOCT23!F33+TONTNOV23!F33+TONTDEC23!F33</f>
        <v>3000</v>
      </c>
      <c r="G33" s="7"/>
      <c r="H33" s="7">
        <f>TONTJANV23!H33+TONTFEV23!H33+TONTMARS23!H33+TONTAVRIL23!H33+TONTMAI23!H33+TONTJUIN23!H33+TONTJUIL23!H33+TONTAOUT23!H33+TONTSEPT23!H33+TONTOCT23!H33+TONTNOV23!H33+TONTDEC23!H33</f>
        <v>0</v>
      </c>
      <c r="I33" s="7">
        <f>TONTJANV23!I33+TONTFEV23!I33+TONTMARS23!I33+TONTAVRIL23!I33+TONTMAI23!I33+TONTJUIN23!I33+TONTJUIL23!I33+TONTAOUT23!I33+TONTSEPT23!I33+TONTOCT23!I33+TONTNOV23!I33+TONTDEC23!I33</f>
        <v>0</v>
      </c>
      <c r="J33" s="7"/>
      <c r="K33" s="7"/>
      <c r="L33" s="7">
        <f>TONTJANV23!L33+TONTFEV23!L33+TONTMARS23!L33+TONTAVRIL23!L33+TONTMAI23!L33+TONTJUIN23!L33+TONTJUIL23!L33+TONTAOUT23!L33+TONTSEPT23!L33+TONTOCT23!L33+TONTNOV23!L33+TONTDEC23!L33</f>
        <v>0</v>
      </c>
      <c r="M33" s="7">
        <f>TONTJANV23!M33+TONTFEV23!M33+TONTMARS23!M33+TONTAVRIL23!M33+TONTMAI23!M33+TONTJUIN23!M33+TONTJUIL23!M33+TONTAOUT23!M33+TONTSEPT23!M33+TONTOCT23!M33+TONTNOV23!M33+TONTDEC23!M33</f>
        <v>0</v>
      </c>
      <c r="N33" s="7"/>
      <c r="O33" s="7"/>
      <c r="P33" s="7"/>
      <c r="Q33" s="7">
        <f>TONTJANV23!Q33+TONTFEV23!Q33+TONTMARS23!Q33+TONTAVRIL23!Q33+TONTMAI23!Q33+TONTJUIN23!Q33+TONTJUIL23!Q33+TONTAOUT23!Q33+TONTSEPT23!Q33+TONTOCT23!Q33+TONTNOV23!Q33+TONTDEC23!Q33</f>
        <v>297500</v>
      </c>
      <c r="R33" s="7">
        <f>TONTJANV23!R33+TONTFEV23!R33+TONTMARS23!R33+TONTAVRIL23!R33+TONTMAI23!R33+TONTJUIN23!R33+TONTJUIL23!R33+TONTAOUT23!R33+TONTSEPT23!R33+TONTOCT23!R33+TONTNOV23!R33+TONTDEC23!R33</f>
        <v>2500</v>
      </c>
      <c r="S33" s="18">
        <v>45200</v>
      </c>
      <c r="U33" s="8">
        <f t="shared" si="0"/>
        <v>7966.666666666667</v>
      </c>
      <c r="V33" s="8">
        <v>7000</v>
      </c>
    </row>
    <row r="34" spans="1:24" ht="18" x14ac:dyDescent="0.25">
      <c r="A34" s="1" t="s">
        <v>28</v>
      </c>
      <c r="B34" s="7">
        <f>TONTJANV23!B34+TONTFEV23!B34+TONTMARS23!B34+TONTAVRIL23!B34+TONTMAI23!B34+TONTJUIN23!B34+TONTJUIL23!B34+TONTAOUT23!B34+TONTSEPT23!B34+TONTOCT23!B34+TONTNOV23!B34+TONTDEC23!B34</f>
        <v>12</v>
      </c>
      <c r="C34" s="1" t="str">
        <f>VLOOKUP(A34,[7]LISTADHERENT!A$5:H$60,3,0)</f>
        <v>YEPMOU JEAN JACQUES</v>
      </c>
      <c r="D34" s="7">
        <f>TONTJANV23!D34+TONTFEV23!D34+TONTMARS23!D34+TONTAVRIL23!D34+TONTMAI23!D34+TONTJUIN23!D34+TONTJUIL23!D34+TONTAOUT23!D34+TONTSEPT23!D34+TONTOCT23!D34+TONTNOV23!D34+TONTDEC23!D34</f>
        <v>300000</v>
      </c>
      <c r="E34" s="7">
        <f>TONTJANV23!E34+TONTFEV23!E34+TONTMARS23!E34+TONTAVRIL23!E34+TONTMAI23!E34+TONTJUIN23!E34+TONTJUIL23!E34+TONTAOUT23!E34+TONTSEPT23!E34+TONTOCT23!E34+TONTNOV23!E34+TONTDEC23!E34</f>
        <v>484000</v>
      </c>
      <c r="F34" s="7">
        <f>TONTJANV23!F34+TONTFEV23!F34+TONTMARS23!F34+TONTAVRIL23!F34+TONTMAI23!F34+TONTJUIN23!F34+TONTJUIL23!F34+TONTAOUT23!F34+TONTSEPT23!F34+TONTOCT23!F34+TONTNOV23!F34+TONTDEC23!F34</f>
        <v>6000</v>
      </c>
      <c r="G34" s="7"/>
      <c r="H34" s="7">
        <f>TONTJANV23!H34+TONTFEV23!H34+TONTMARS23!H34+TONTAVRIL23!H34+TONTMAI23!H34+TONTJUIN23!H34+TONTJUIL23!H34+TONTAOUT23!H34+TONTSEPT23!H34+TONTOCT23!H34+TONTNOV23!H34+TONTDEC23!H34</f>
        <v>0</v>
      </c>
      <c r="I34" s="7">
        <f>TONTJANV23!I34+TONTFEV23!I34+TONTMARS23!I34+TONTAVRIL23!I34+TONTMAI23!I34+TONTJUIN23!I34+TONTJUIL23!I34+TONTAOUT23!I34+TONTSEPT23!I34+TONTOCT23!I34+TONTNOV23!I34+TONTDEC23!I34</f>
        <v>0</v>
      </c>
      <c r="J34" s="7"/>
      <c r="K34" s="7"/>
      <c r="L34" s="7">
        <f>TONTJANV23!L34+TONTFEV23!L34+TONTMARS23!L34+TONTAVRIL23!L34+TONTMAI23!L34+TONTJUIN23!L34+TONTJUIL23!L34+TONTAOUT23!L34+TONTSEPT23!L34+TONTOCT23!L34+TONTNOV23!L34+TONTDEC23!L34</f>
        <v>0</v>
      </c>
      <c r="M34" s="7">
        <f>TONTJANV23!M34+TONTFEV23!M34+TONTMARS23!M34+TONTAVRIL23!M34+TONTMAI23!M34+TONTJUIN23!M34+TONTJUIL23!M34+TONTAOUT23!M34+TONTSEPT23!M34+TONTOCT23!M34+TONTNOV23!M34+TONTDEC23!M34</f>
        <v>0</v>
      </c>
      <c r="N34" s="7"/>
      <c r="O34" s="7"/>
      <c r="P34" s="7"/>
      <c r="Q34" s="7">
        <f>TONTJANV23!Q34+TONTFEV23!Q34+TONTMARS23!Q34+TONTAVRIL23!Q34+TONTMAI23!Q34+TONTJUIN23!Q34+TONTJUIL23!Q34+TONTAOUT23!Q34+TONTSEPT23!Q34+TONTOCT23!Q34+TONTNOV23!Q34+TONTDEC23!Q34</f>
        <v>297500</v>
      </c>
      <c r="R34" s="7">
        <f>TONTJANV23!R34+TONTFEV23!R34+TONTMARS23!R34+TONTAVRIL23!R34+TONTMAI23!R34+TONTJUIN23!R34+TONTJUIL23!R34+TONTAOUT23!R34+TONTSEPT23!R34+TONTOCT23!R34+TONTNOV23!R34+TONTDEC23!R34</f>
        <v>2500</v>
      </c>
      <c r="S34" s="18">
        <v>45261</v>
      </c>
      <c r="U34" s="8">
        <f t="shared" si="0"/>
        <v>7966.666666666667</v>
      </c>
      <c r="V34" s="8">
        <v>7000</v>
      </c>
    </row>
    <row r="35" spans="1:24" ht="18" x14ac:dyDescent="0.25">
      <c r="A35" s="1" t="s">
        <v>29</v>
      </c>
      <c r="B35" s="7">
        <f>TONTJANV23!B35+TONTFEV23!B35+TONTMARS23!B35+TONTAVRIL23!B35+TONTMAI23!B35+TONTJUIN23!B35+TONTJUIL23!B35+TONTAOUT23!B35+TONTSEPT23!B35+TONTOCT23!B35+TONTNOV23!B35+TONTDEC23!B35</f>
        <v>12</v>
      </c>
      <c r="C35" s="1" t="str">
        <f>VLOOKUP(A35,[7]LISTADHERENT!A$5:H$60,3,0)</f>
        <v>YOUMBI EMMANUEL</v>
      </c>
      <c r="D35" s="7">
        <f>TONTJANV23!D35+TONTFEV23!D35+TONTMARS23!D35+TONTAVRIL23!D35+TONTMAI23!D35+TONTJUIN23!D35+TONTJUIL23!D35+TONTAOUT23!D35+TONTSEPT23!D35+TONTOCT23!D35+TONTNOV23!D35+TONTDEC23!D35</f>
        <v>300000</v>
      </c>
      <c r="E35" s="7">
        <f>TONTJANV23!E35+TONTFEV23!E35+TONTMARS23!E35+TONTAVRIL23!E35+TONTMAI23!E35+TONTJUIN23!E35+TONTJUIL23!E35+TONTAOUT23!E35+TONTSEPT23!E35+TONTOCT23!E35+TONTNOV23!E35+TONTDEC23!E35</f>
        <v>480000</v>
      </c>
      <c r="F35" s="7">
        <f>TONTJANV23!F35+TONTFEV23!F35+TONTMARS23!F35+TONTAVRIL23!F35+TONTMAI23!F35+TONTJUIN23!F35+TONTJUIL23!F35+TONTAOUT23!F35+TONTSEPT23!F35+TONTOCT23!F35+TONTNOV23!F35+TONTDEC23!F35</f>
        <v>0</v>
      </c>
      <c r="G35" s="7"/>
      <c r="H35" s="7">
        <f>TONTJANV23!H35+TONTFEV23!H35+TONTMARS23!H35+TONTAVRIL23!H35+TONTMAI23!H35+TONTJUIN23!H35+TONTJUIL23!H35+TONTAOUT23!H35+TONTSEPT23!H35+TONTOCT23!H35+TONTNOV23!H35+TONTDEC23!H35</f>
        <v>0</v>
      </c>
      <c r="I35" s="7">
        <f>TONTJANV23!I35+TONTFEV23!I35+TONTMARS23!I35+TONTAVRIL23!I35+TONTMAI23!I35+TONTJUIN23!I35+TONTJUIL23!I35+TONTAOUT23!I35+TONTSEPT23!I35+TONTOCT23!I35+TONTNOV23!I35+TONTDEC23!I35</f>
        <v>0</v>
      </c>
      <c r="J35" s="7"/>
      <c r="K35" s="7"/>
      <c r="L35" s="7">
        <f>TONTJANV23!L35+TONTFEV23!L35+TONTMARS23!L35+TONTAVRIL23!L35+TONTMAI23!L35+TONTJUIN23!L35+TONTJUIL23!L35+TONTAOUT23!L35+TONTSEPT23!L35+TONTOCT23!L35+TONTNOV23!L35+TONTDEC23!L35</f>
        <v>0</v>
      </c>
      <c r="M35" s="7">
        <f>TONTJANV23!M35+TONTFEV23!M35+TONTMARS23!M35+TONTAVRIL23!M35+TONTMAI23!M35+TONTJUIN23!M35+TONTJUIL23!M35+TONTAOUT23!M35+TONTSEPT23!M35+TONTOCT23!M35+TONTNOV23!M35+TONTDEC23!M35</f>
        <v>0</v>
      </c>
      <c r="N35" s="7"/>
      <c r="O35" s="7"/>
      <c r="P35" s="7"/>
      <c r="Q35" s="7">
        <f>TONTJANV23!Q35+TONTFEV23!Q35+TONTMARS23!Q35+TONTAVRIL23!Q35+TONTMAI23!Q35+TONTJUIN23!Q35+TONTJUIL23!Q35+TONTAOUT23!Q35+TONTSEPT23!Q35+TONTOCT23!Q35+TONTNOV23!Q35+TONTDEC23!Q35</f>
        <v>297500</v>
      </c>
      <c r="R35" s="7">
        <f>TONTJANV23!R35+TONTFEV23!R35+TONTMARS23!R35+TONTAVRIL23!R35+TONTMAI23!R35+TONTJUIN23!R35+TONTJUIL23!R35+TONTAOUT23!R35+TONTSEPT23!R35+TONTOCT23!R35+TONTNOV23!R35+TONTDEC23!R35</f>
        <v>2500</v>
      </c>
      <c r="S35" s="18">
        <v>45231</v>
      </c>
      <c r="U35" s="8">
        <f t="shared" si="0"/>
        <v>7966.666666666667</v>
      </c>
      <c r="V35" s="8">
        <v>7000</v>
      </c>
    </row>
    <row r="36" spans="1:24" x14ac:dyDescent="0.25">
      <c r="A36" s="1"/>
      <c r="Q36" s="7"/>
      <c r="R36" s="7"/>
    </row>
    <row r="37" spans="1:24" ht="18" x14ac:dyDescent="0.25">
      <c r="A37" s="1" t="s">
        <v>84</v>
      </c>
      <c r="B37" s="8">
        <f>SUM(B6:B36)</f>
        <v>360</v>
      </c>
      <c r="I37" s="9"/>
    </row>
    <row r="38" spans="1:24" ht="18" x14ac:dyDescent="0.25">
      <c r="A38" s="1" t="s">
        <v>83</v>
      </c>
      <c r="B38" s="16">
        <f>COUNT(D6:D35)</f>
        <v>30</v>
      </c>
      <c r="C38" s="8"/>
      <c r="D38" s="8">
        <f>SUM(D6:D37)</f>
        <v>9000000</v>
      </c>
      <c r="E38" s="8">
        <f>SUM(E6:E37)</f>
        <v>17153600</v>
      </c>
      <c r="F38" s="8">
        <f>SUM(F6:F37)</f>
        <v>75000</v>
      </c>
      <c r="G38" s="8"/>
      <c r="H38" s="8">
        <f t="shared" ref="H38:R38" si="1">SUM(H6:H37)</f>
        <v>1133500</v>
      </c>
      <c r="I38" s="8">
        <f t="shared" si="1"/>
        <v>27000</v>
      </c>
      <c r="J38" s="8"/>
      <c r="K38" s="8"/>
      <c r="L38" s="8">
        <f t="shared" si="1"/>
        <v>1160500</v>
      </c>
      <c r="M38" s="8">
        <f t="shared" si="1"/>
        <v>1160500</v>
      </c>
      <c r="N38" s="8">
        <f t="shared" si="1"/>
        <v>0</v>
      </c>
      <c r="O38" s="8">
        <f t="shared" si="1"/>
        <v>0</v>
      </c>
      <c r="P38" s="8">
        <f t="shared" si="1"/>
        <v>0</v>
      </c>
      <c r="Q38" s="8">
        <f t="shared" si="1"/>
        <v>8788000</v>
      </c>
      <c r="R38" s="8">
        <f t="shared" si="1"/>
        <v>212000</v>
      </c>
      <c r="U38" s="8">
        <f t="shared" ref="U38:V38" si="2">SUM(U6:U37)</f>
        <v>238999.99999999991</v>
      </c>
      <c r="V38" s="8">
        <f t="shared" si="2"/>
        <v>210000</v>
      </c>
      <c r="X38" s="8">
        <f>U38-V38</f>
        <v>28999.999999999913</v>
      </c>
    </row>
    <row r="39" spans="1:24" s="2" customFormat="1" x14ac:dyDescent="0.25">
      <c r="B39"/>
      <c r="C39"/>
      <c r="D39"/>
      <c r="E39"/>
      <c r="F39"/>
      <c r="G39"/>
      <c r="H39"/>
      <c r="I39" s="9"/>
      <c r="J39" s="3"/>
      <c r="K39" s="3"/>
      <c r="L39" s="3"/>
      <c r="N39" s="4" t="s">
        <v>76</v>
      </c>
      <c r="O39" s="4" t="s">
        <v>85</v>
      </c>
      <c r="P39" s="3"/>
    </row>
    <row r="40" spans="1:24" s="2" customFormat="1" ht="29.25" x14ac:dyDescent="0.25">
      <c r="D40" s="4" t="s">
        <v>5</v>
      </c>
      <c r="E40" s="4" t="s">
        <v>7</v>
      </c>
      <c r="F40"/>
      <c r="G40" s="4" t="s">
        <v>36</v>
      </c>
      <c r="H40" s="4" t="s">
        <v>40</v>
      </c>
      <c r="I40" s="4" t="s">
        <v>42</v>
      </c>
      <c r="J40" s="4" t="s">
        <v>43</v>
      </c>
      <c r="K40" s="4"/>
      <c r="L40" s="8" t="s">
        <v>49</v>
      </c>
      <c r="M40" s="8">
        <f>D44+G44+R38+TONTJANV23!O45</f>
        <v>212000</v>
      </c>
      <c r="N40" s="4"/>
      <c r="O40"/>
      <c r="P40" s="4"/>
      <c r="Q40" s="19" t="s">
        <v>37</v>
      </c>
      <c r="R40" s="8">
        <f>+I38</f>
        <v>27000</v>
      </c>
    </row>
    <row r="41" spans="1:24" s="2" customFormat="1" ht="18" x14ac:dyDescent="0.25">
      <c r="D41" s="8">
        <f>SUMIFS(D6:D37,G6:G37,"ESPECES")</f>
        <v>0</v>
      </c>
      <c r="E41" s="8">
        <f>SUMIFS(E6:E37,G6:G37,"ESPECES")</f>
        <v>0</v>
      </c>
      <c r="F41" s="8" t="s">
        <v>32</v>
      </c>
      <c r="G41" s="8">
        <f>SUMIFS(M6:M35,N6:N35,"ESPECES")</f>
        <v>0</v>
      </c>
      <c r="H41" s="8">
        <f>SUMIFS(H6:H37,J6:J37,"ESPECES")</f>
        <v>0</v>
      </c>
      <c r="I41" s="8">
        <f>SUMIFS(Q6:Q37,O6:O37,"ESPECES")</f>
        <v>0</v>
      </c>
      <c r="J41" s="8">
        <f>D41+G41-H41-I41</f>
        <v>0</v>
      </c>
      <c r="K41" s="8"/>
      <c r="L41" s="8" t="s">
        <v>80</v>
      </c>
      <c r="M41" s="8">
        <f>C3*COUNTIF(Q6:Q37,"&gt;0")</f>
        <v>9000000</v>
      </c>
      <c r="N41" s="8">
        <f>D3</f>
        <v>0</v>
      </c>
      <c r="O41" s="8">
        <f>COUNTIF(Q6:Q35,"&gt;0")</f>
        <v>30</v>
      </c>
      <c r="P41" s="8"/>
    </row>
    <row r="42" spans="1:24" s="2" customFormat="1" ht="18" x14ac:dyDescent="0.25">
      <c r="D42" s="8">
        <f>SUMIFS(D6:D37,G6:G37,"BANQUE")</f>
        <v>0</v>
      </c>
      <c r="E42" s="8">
        <f>SUMIFS(E6:E38,G6:G38,"BANQUE")</f>
        <v>0</v>
      </c>
      <c r="F42" s="8" t="s">
        <v>33</v>
      </c>
      <c r="G42" s="8">
        <f>SUMIFS(M6:M35,N6:N35,"BANQUE")</f>
        <v>0</v>
      </c>
      <c r="H42" s="8">
        <f>SUMIFS(H6:H37,J6:J37,"BANQUE")</f>
        <v>0</v>
      </c>
      <c r="I42" s="8">
        <f>SUMIFS(Q6:Q37,O6:O37,"BANQUE")</f>
        <v>0</v>
      </c>
      <c r="J42" s="8">
        <f>D42+G42-H42-I42</f>
        <v>0</v>
      </c>
      <c r="K42" s="8"/>
      <c r="M42" s="8"/>
      <c r="N42" s="8"/>
      <c r="O42" s="8"/>
      <c r="P42" s="8"/>
      <c r="Q42" s="19" t="s">
        <v>95</v>
      </c>
      <c r="R42" s="20">
        <f>R38+R40</f>
        <v>239000</v>
      </c>
    </row>
    <row r="43" spans="1:24" s="2" customFormat="1" ht="18" x14ac:dyDescent="0.25">
      <c r="D43" s="8"/>
      <c r="E43" s="8"/>
      <c r="F43" s="8"/>
      <c r="G43" s="8"/>
      <c r="H43" s="8"/>
      <c r="I43" s="8"/>
      <c r="K43" s="8"/>
      <c r="L43" s="8" t="s">
        <v>48</v>
      </c>
      <c r="M43" s="8">
        <f>M40-M41</f>
        <v>-8788000</v>
      </c>
      <c r="N43" s="8"/>
      <c r="O43" s="8"/>
      <c r="P43" s="8"/>
      <c r="Q43" s="19"/>
    </row>
    <row r="44" spans="1:24" s="2" customFormat="1" ht="18" x14ac:dyDescent="0.25">
      <c r="D44" s="8">
        <f>D41+D42</f>
        <v>0</v>
      </c>
      <c r="E44" s="8">
        <f>E41+E42</f>
        <v>0</v>
      </c>
      <c r="F44" s="8" t="s">
        <v>30</v>
      </c>
      <c r="G44" s="8">
        <f>G41+G42</f>
        <v>0</v>
      </c>
      <c r="H44" s="8">
        <f>H41+H42</f>
        <v>0</v>
      </c>
      <c r="I44" s="8">
        <f t="shared" ref="I44:J44" si="3">I41+I42</f>
        <v>0</v>
      </c>
      <c r="J44" s="8">
        <f t="shared" si="3"/>
        <v>0</v>
      </c>
      <c r="K44" s="8"/>
      <c r="M44" s="8"/>
      <c r="N44" s="8"/>
      <c r="O44" s="8"/>
      <c r="P44" s="8"/>
      <c r="Q44" s="19" t="s">
        <v>96</v>
      </c>
      <c r="R44" s="20">
        <f>R42/30</f>
        <v>7966.666666666667</v>
      </c>
    </row>
    <row r="45" spans="1:24" s="2" customFormat="1" ht="18" x14ac:dyDescent="0.25">
      <c r="D45" s="8"/>
      <c r="E45" s="8"/>
      <c r="F45" s="8" t="s">
        <v>52</v>
      </c>
      <c r="G45"/>
      <c r="H45"/>
      <c r="I45" s="3"/>
      <c r="J45" s="3"/>
      <c r="K45" s="3"/>
      <c r="L45" s="8" t="s">
        <v>51</v>
      </c>
      <c r="M45" s="8">
        <f>M43-H38</f>
        <v>-9921500</v>
      </c>
      <c r="N45"/>
      <c r="O45" s="8">
        <f>TONTFEV23!O45+TONTRESUME23!M45</f>
        <v>-9921500</v>
      </c>
      <c r="P45" s="8" t="s">
        <v>54</v>
      </c>
    </row>
    <row r="46" spans="1:24" s="2" customFormat="1" ht="18" x14ac:dyDescent="0.25">
      <c r="D46" s="4"/>
      <c r="E46" s="4"/>
      <c r="F46" s="8"/>
      <c r="G46"/>
      <c r="H46"/>
      <c r="I46" s="3"/>
      <c r="J46" s="3"/>
      <c r="K46" s="3"/>
      <c r="N46"/>
      <c r="O46" s="3"/>
      <c r="P46" s="3"/>
    </row>
    <row r="47" spans="1:24" ht="18" x14ac:dyDescent="0.25">
      <c r="L47" s="8" t="s">
        <v>56</v>
      </c>
      <c r="M47" s="8">
        <f>COUNTIFS(G6:G36,"ECHEC")*25000</f>
        <v>0</v>
      </c>
      <c r="O47" s="8">
        <f>TONTFEV23!O47+TONTRESUME23!M47</f>
        <v>0</v>
      </c>
      <c r="P47" s="8" t="s">
        <v>54</v>
      </c>
    </row>
    <row r="48" spans="1:24" ht="18" x14ac:dyDescent="0.25">
      <c r="F48" s="2"/>
      <c r="L48" s="8" t="s">
        <v>55</v>
      </c>
      <c r="M48" s="8">
        <f>L38-G44</f>
        <v>1160500</v>
      </c>
      <c r="O48" s="8">
        <f>TONTFEV23!O48+TONTRESUME23!M48</f>
        <v>1160500</v>
      </c>
      <c r="P48" s="8" t="s">
        <v>54</v>
      </c>
    </row>
  </sheetData>
  <autoFilter ref="A5:R25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3"/>
  <sheetViews>
    <sheetView workbookViewId="0">
      <selection activeCell="H21" sqref="H21"/>
    </sheetView>
  </sheetViews>
  <sheetFormatPr baseColWidth="10" defaultRowHeight="15" x14ac:dyDescent="0.25"/>
  <cols>
    <col min="2" max="2" width="21.28515625" bestFit="1" customWidth="1"/>
    <col min="5" max="5" width="23.42578125" bestFit="1" customWidth="1"/>
  </cols>
  <sheetData>
    <row r="1" spans="2:10" ht="23.25" x14ac:dyDescent="0.35">
      <c r="B1" s="11" t="s">
        <v>57</v>
      </c>
    </row>
    <row r="3" spans="2:10" x14ac:dyDescent="0.25">
      <c r="C3" t="s">
        <v>34</v>
      </c>
      <c r="D3" t="s">
        <v>58</v>
      </c>
      <c r="E3" t="s">
        <v>59</v>
      </c>
      <c r="F3" t="s">
        <v>58</v>
      </c>
      <c r="G3" t="s">
        <v>60</v>
      </c>
      <c r="H3" t="s">
        <v>30</v>
      </c>
      <c r="I3" t="s">
        <v>34</v>
      </c>
      <c r="J3" t="s">
        <v>31</v>
      </c>
    </row>
    <row r="4" spans="2:10" x14ac:dyDescent="0.25">
      <c r="B4" t="s">
        <v>61</v>
      </c>
      <c r="C4" s="2">
        <f>20000*3</f>
        <v>60000</v>
      </c>
      <c r="D4" s="2">
        <f>C4*10/100</f>
        <v>6000</v>
      </c>
      <c r="E4" s="2"/>
      <c r="F4" s="2"/>
      <c r="G4" s="2"/>
      <c r="H4" s="2">
        <f>C4+D4+E4+F4-G4</f>
        <v>66000</v>
      </c>
    </row>
    <row r="5" spans="2:10" x14ac:dyDescent="0.25">
      <c r="B5" t="s">
        <v>62</v>
      </c>
      <c r="C5" s="2">
        <f>20000*5</f>
        <v>100000</v>
      </c>
      <c r="D5" s="2">
        <f>C5*10/100</f>
        <v>10000</v>
      </c>
      <c r="E5" s="2">
        <v>60000</v>
      </c>
      <c r="F5" s="2">
        <v>7500</v>
      </c>
      <c r="G5" s="2"/>
      <c r="H5" s="2">
        <f>D5+E5+F5-G5</f>
        <v>77500</v>
      </c>
      <c r="I5" s="2">
        <v>220000</v>
      </c>
      <c r="J5" s="2">
        <f>I5-H5</f>
        <v>142500</v>
      </c>
    </row>
    <row r="6" spans="2:10" x14ac:dyDescent="0.25">
      <c r="B6" t="s">
        <v>63</v>
      </c>
      <c r="C6" s="2">
        <f>20000*1</f>
        <v>20000</v>
      </c>
      <c r="D6" s="2">
        <f>C6*10/100</f>
        <v>2000</v>
      </c>
      <c r="E6" s="2"/>
      <c r="F6" s="2"/>
      <c r="G6" s="2"/>
      <c r="H6" s="2">
        <f t="shared" ref="H6:H7" si="0">C6+D6+E6+F6-G6</f>
        <v>22000</v>
      </c>
    </row>
    <row r="7" spans="2:10" x14ac:dyDescent="0.25">
      <c r="B7" t="s">
        <v>64</v>
      </c>
      <c r="C7" s="2">
        <f>20000*1</f>
        <v>20000</v>
      </c>
      <c r="D7" s="2">
        <f>C7*10/100</f>
        <v>2000</v>
      </c>
      <c r="E7" s="2">
        <v>50000</v>
      </c>
      <c r="F7" s="2">
        <v>4500</v>
      </c>
      <c r="G7" s="2"/>
      <c r="H7" s="2">
        <f t="shared" si="0"/>
        <v>76500</v>
      </c>
    </row>
    <row r="8" spans="2:10" x14ac:dyDescent="0.25">
      <c r="C8" s="2"/>
      <c r="D8" s="2"/>
      <c r="E8" s="2"/>
      <c r="F8" s="2"/>
      <c r="G8" s="2"/>
      <c r="H8" s="2"/>
    </row>
    <row r="9" spans="2:10" x14ac:dyDescent="0.25">
      <c r="B9" t="s">
        <v>30</v>
      </c>
      <c r="C9" s="2">
        <f>SUM(C4:C8)</f>
        <v>200000</v>
      </c>
      <c r="D9" s="2">
        <f t="shared" ref="D9:H9" si="1">SUM(D4:D8)</f>
        <v>20000</v>
      </c>
      <c r="E9" s="2">
        <f t="shared" si="1"/>
        <v>110000</v>
      </c>
      <c r="F9" s="2">
        <f t="shared" si="1"/>
        <v>12000</v>
      </c>
      <c r="G9" s="2">
        <f t="shared" si="1"/>
        <v>0</v>
      </c>
      <c r="H9" s="2">
        <f t="shared" si="1"/>
        <v>242000</v>
      </c>
    </row>
    <row r="10" spans="2:10" x14ac:dyDescent="0.25">
      <c r="C10" s="2"/>
      <c r="D10" s="2"/>
      <c r="E10" s="2"/>
      <c r="F10" s="2"/>
      <c r="G10" s="2"/>
      <c r="H10" s="2"/>
    </row>
    <row r="11" spans="2:10" x14ac:dyDescent="0.25">
      <c r="C11" s="2"/>
      <c r="D11" s="2"/>
      <c r="E11" s="2"/>
      <c r="F11" s="2"/>
      <c r="G11" s="2"/>
      <c r="H11" s="2"/>
    </row>
    <row r="12" spans="2:10" x14ac:dyDescent="0.25">
      <c r="B12" t="s">
        <v>75</v>
      </c>
      <c r="E12" t="s">
        <v>69</v>
      </c>
    </row>
    <row r="14" spans="2:10" x14ac:dyDescent="0.25">
      <c r="B14" t="s">
        <v>65</v>
      </c>
      <c r="C14" s="2">
        <v>280000</v>
      </c>
      <c r="D14" s="2"/>
      <c r="E14" s="2" t="s">
        <v>70</v>
      </c>
      <c r="F14" s="2">
        <v>580000</v>
      </c>
    </row>
    <row r="15" spans="2:10" x14ac:dyDescent="0.25">
      <c r="B15" t="s">
        <v>66</v>
      </c>
      <c r="C15" s="2">
        <v>280000</v>
      </c>
      <c r="D15" s="2"/>
      <c r="E15" s="2" t="s">
        <v>59</v>
      </c>
      <c r="F15" s="2">
        <v>175500</v>
      </c>
    </row>
    <row r="16" spans="2:10" x14ac:dyDescent="0.25">
      <c r="B16" t="s">
        <v>67</v>
      </c>
      <c r="C16" s="2">
        <v>280000</v>
      </c>
      <c r="D16" s="2"/>
      <c r="E16" s="2" t="s">
        <v>71</v>
      </c>
      <c r="F16" s="2">
        <v>280000</v>
      </c>
    </row>
    <row r="17" spans="2:6" x14ac:dyDescent="0.25">
      <c r="B17" t="s">
        <v>62</v>
      </c>
      <c r="C17" s="2">
        <v>142500</v>
      </c>
      <c r="D17" s="2"/>
      <c r="E17" s="2" t="s">
        <v>72</v>
      </c>
      <c r="F17" s="2">
        <v>240000</v>
      </c>
    </row>
    <row r="18" spans="2:6" x14ac:dyDescent="0.25">
      <c r="B18" t="s">
        <v>68</v>
      </c>
      <c r="C18" s="2">
        <v>200000</v>
      </c>
      <c r="D18" s="2"/>
      <c r="E18" s="2" t="s">
        <v>64</v>
      </c>
      <c r="F18" s="2">
        <v>76500</v>
      </c>
    </row>
    <row r="19" spans="2:6" x14ac:dyDescent="0.25">
      <c r="C19" s="2"/>
      <c r="D19" s="2"/>
      <c r="E19" s="2" t="s">
        <v>73</v>
      </c>
      <c r="F19" s="2">
        <v>66000</v>
      </c>
    </row>
    <row r="20" spans="2:6" x14ac:dyDescent="0.25">
      <c r="C20" s="2">
        <f>SUM(C14:C19)</f>
        <v>1182500</v>
      </c>
      <c r="D20" s="2"/>
      <c r="E20" s="2" t="s">
        <v>74</v>
      </c>
      <c r="F20" s="2">
        <v>22000</v>
      </c>
    </row>
    <row r="21" spans="2:6" x14ac:dyDescent="0.25">
      <c r="C21" s="2"/>
      <c r="D21" s="2"/>
      <c r="E21" s="2"/>
      <c r="F21" s="2"/>
    </row>
    <row r="22" spans="2:6" x14ac:dyDescent="0.25">
      <c r="C22" s="2"/>
      <c r="D22" s="2"/>
      <c r="E22" s="2"/>
      <c r="F22" s="2">
        <f>SUM(F14:F21)</f>
        <v>1440000</v>
      </c>
    </row>
    <row r="23" spans="2:6" x14ac:dyDescent="0.25">
      <c r="C23" s="2"/>
      <c r="D23" s="2">
        <f>F22-C20</f>
        <v>257500</v>
      </c>
      <c r="E23" s="2"/>
      <c r="F23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15</vt:i4>
      </vt:variant>
      <vt:variant>
        <vt:lpstr>Plages nommées</vt:lpstr>
      </vt:variant>
      <vt:variant>
        <vt:i4>1</vt:i4>
      </vt:variant>
    </vt:vector>
  </HeadingPairs>
  <TitlesOfParts>
    <vt:vector size="16" baseType="lpstr">
      <vt:lpstr>MODEVERSEMENT</vt:lpstr>
      <vt:lpstr>TONTJANV23</vt:lpstr>
      <vt:lpstr>TONTFEV23</vt:lpstr>
      <vt:lpstr>TONTMARS23</vt:lpstr>
      <vt:lpstr>TONTAVRIL23</vt:lpstr>
      <vt:lpstr>TONTMAI23</vt:lpstr>
      <vt:lpstr>TONTJUIN23</vt:lpstr>
      <vt:lpstr>TONTJUIL23</vt:lpstr>
      <vt:lpstr>TONTAOUT23</vt:lpstr>
      <vt:lpstr>TONTSEPT23</vt:lpstr>
      <vt:lpstr>TONTOCT23</vt:lpstr>
      <vt:lpstr>TONTNOV23</vt:lpstr>
      <vt:lpstr>TONTDEC23</vt:lpstr>
      <vt:lpstr>TONTRESUME23</vt:lpstr>
      <vt:lpstr>DEFAILLANCETONTINE</vt:lpstr>
      <vt:lpstr>MODEVERSEMENTS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ASELBY</dc:creator>
  <cp:lastModifiedBy>DJUOMBESSY</cp:lastModifiedBy>
  <dcterms:created xsi:type="dcterms:W3CDTF">2017-07-22T10:59:38Z</dcterms:created>
  <dcterms:modified xsi:type="dcterms:W3CDTF">2024-02-10T12:40:05Z</dcterms:modified>
</cp:coreProperties>
</file>