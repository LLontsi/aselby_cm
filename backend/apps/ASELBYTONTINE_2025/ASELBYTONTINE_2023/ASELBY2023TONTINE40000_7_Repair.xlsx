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</sheets>
</workbook>
</file>

<file path=xl/sharedStrings.xml><?xml version="1.0" encoding="utf-8"?>
<sst xmlns="http://schemas.openxmlformats.org/spreadsheetml/2006/main" count="4707" uniqueCount="206">
  <si>
    <t>MATRICULE</t>
  </si>
  <si>
    <t>NOM ET PRENOM</t>
  </si>
  <si>
    <t>ASSOCIATION</t>
  </si>
  <si>
    <t>ASELBY</t>
  </si>
  <si>
    <t>ANNEE</t>
  </si>
  <si>
    <t>TONTINE 75 000</t>
  </si>
  <si>
    <t>TONTINE 100 000</t>
  </si>
  <si>
    <t>SANCTION</t>
  </si>
  <si>
    <t>BANQUE</t>
  </si>
  <si>
    <t>ESPECES</t>
  </si>
  <si>
    <t>REMBOURSEMENT PETIT LOT T75</t>
  </si>
  <si>
    <t>REMBOURSEMENT PETIT LOT T100</t>
  </si>
  <si>
    <t>AS201602</t>
  </si>
  <si>
    <t>AS201604</t>
  </si>
  <si>
    <t>AS201654</t>
  </si>
  <si>
    <t>AS201605</t>
  </si>
  <si>
    <t>AS201608</t>
  </si>
  <si>
    <t>AS201651</t>
  </si>
  <si>
    <t>AS201609</t>
  </si>
  <si>
    <t>AS201610</t>
  </si>
  <si>
    <t>AS201611</t>
  </si>
  <si>
    <t>AS201613</t>
  </si>
  <si>
    <t>AS201617</t>
  </si>
  <si>
    <t>AS201619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</si>
  <si>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</si>
  <si>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</si>
  <si>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</si>
  <si>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</si>
  <si>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</si>
  <si>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</si>
  <si>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</si>
  <si>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</si>
  <si>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AS201614</t>
  </si>
  <si>
    <t>AS201629</t>
  </si>
  <si>
    <t>AS201633</t>
  </si>
  <si>
    <t>AS201653</t>
  </si>
  <si>
    <t>AS201636</t>
  </si>
  <si>
    <t>AS201638</t>
  </si>
  <si>
    <t>AS201641</t>
  </si>
  <si>
    <t>AS201644</t>
  </si>
  <si>
    <t>AS201646</t>
  </si>
  <si>
    <t>AS201647</t>
  </si>
  <si>
    <t>ACHAT LOT PRINCIPAL T75</t>
  </si>
  <si>
    <t>TABLEAU DE BORD SAISIE DES DONNEES</t>
  </si>
  <si>
    <t>TOTAUX</t>
  </si>
  <si>
    <t>PENALITE VERSEMENT ESPECES</t>
  </si>
  <si>
    <t>NBRE DE LOT</t>
  </si>
  <si>
    <t>BONUS MALUS</t>
  </si>
  <si>
    <t>MODE PAIEMENT TONTINE</t>
  </si>
  <si>
    <t>MODE PAIEMENT LOT PRINCIPAL</t>
  </si>
  <si>
    <t>MUTUELLE</t>
  </si>
  <si>
    <t>INSCRIPTION</t>
  </si>
  <si>
    <t>PRÊT FONDS</t>
  </si>
  <si>
    <t>VENTE PETIT LOT T75</t>
  </si>
  <si>
    <t>VENTE PETIT LOT T100</t>
  </si>
  <si>
    <t>INTERET PETIT LOT T75</t>
  </si>
  <si>
    <t>INTERET PETIT LOT T100</t>
  </si>
  <si>
    <t>NUM CHEQUE</t>
  </si>
  <si>
    <t>MONTANT ENGAGEMENT</t>
  </si>
  <si>
    <t>EPARGNE ASSURANCE</t>
  </si>
  <si>
    <t>RECONSTITUTION FONDS</t>
  </si>
  <si>
    <t>MODE PAIEMENT PRÊT</t>
  </si>
  <si>
    <t>ACHAT LOT PRINCIPAL T100</t>
  </si>
  <si>
    <t xml:space="preserve">MODE PAIEMENT PETEIT LOT </t>
  </si>
  <si>
    <t>PENELAITE RETARD TONTINE</t>
  </si>
  <si>
    <t>PENELAITE ECHEC TONTINE</t>
  </si>
  <si>
    <t>TONTINE 35 000</t>
  </si>
  <si>
    <t>REMBOURSEMENT PETIT LOT T35</t>
  </si>
  <si>
    <t>COMPLEMENT EPARGNE</t>
  </si>
  <si>
    <t>RESTE</t>
  </si>
  <si>
    <t>REMBOURSEMENT TRANSPORT</t>
  </si>
  <si>
    <t>HITORIQUE ESPECES</t>
  </si>
  <si>
    <t>HISTORIQUE BANQUE</t>
  </si>
  <si>
    <t>HITORIQUE TONTINE</t>
  </si>
  <si>
    <t>LIBELLE</t>
  </si>
  <si>
    <t>ENTREE</t>
  </si>
  <si>
    <t>SORTIE</t>
  </si>
  <si>
    <t>SOLDE</t>
  </si>
  <si>
    <t>REPORT</t>
  </si>
  <si>
    <t>TONTINE</t>
  </si>
  <si>
    <t>MONTANT T30</t>
  </si>
  <si>
    <t>MONTANT T100</t>
  </si>
  <si>
    <t>MONTANT CHEQUE</t>
  </si>
  <si>
    <t>MONTANT T75</t>
  </si>
  <si>
    <t>MODE PAIEMENT REMBOURSEMENT PRÊT FONDS</t>
  </si>
  <si>
    <t xml:space="preserve">REMBOURSEMENT PRÊT FONDS </t>
  </si>
  <si>
    <t>RETRAIT PARTIEL FONDS</t>
  </si>
  <si>
    <t>MONTANT ESPECES</t>
  </si>
  <si>
    <t>COMPTE BANQUE</t>
  </si>
  <si>
    <t>MOIS</t>
  </si>
  <si>
    <t>NUMERO CHEQUE</t>
  </si>
  <si>
    <t xml:space="preserve">SORTIE </t>
  </si>
  <si>
    <t>REPORT A NOUVEAU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</si>
  <si>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</si>
  <si>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</si>
  <si>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</si>
  <si>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</si>
  <si>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</si>
  <si>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</si>
  <si>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</si>
  <si>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</si>
  <si>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</si>
  <si>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</si>
  <si>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</si>
  <si>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</si>
  <si>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</si>
  <si>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NUMERO PIECE</t>
  </si>
  <si>
    <t>COMPTE CAISSE</t>
  </si>
  <si>
    <t>AS201648</t>
  </si>
  <si>
    <t>CONTRIBUTION  FOYER</t>
  </si>
  <si>
    <t>ACHAT LOT PRINCIPAL T30</t>
  </si>
  <si>
    <t>VENTE  PETIT LOT T30</t>
  </si>
  <si>
    <t>INTERET  PETIT LOT T30</t>
  </si>
  <si>
    <t>TABLEAU DE BORD SAISIE DES DEPENSES</t>
  </si>
  <si>
    <t>FONDS DE ROULEMENT</t>
  </si>
  <si>
    <t>ACHAT FOURNITURE</t>
  </si>
  <si>
    <t>COMMUNICATION</t>
  </si>
  <si>
    <t>COMMISSION</t>
  </si>
  <si>
    <t>CREDIT TELEPHONE</t>
  </si>
  <si>
    <t>PRODUCTION RAPPORT</t>
  </si>
  <si>
    <t>ACHAT SOURIS ET PHOTOCOPIE</t>
  </si>
  <si>
    <t>FRAIS DE BANQUE</t>
  </si>
  <si>
    <t>CONFECTION CACHET</t>
  </si>
  <si>
    <t>FRAIS EXCEPTIONNEL</t>
  </si>
  <si>
    <t>GRATIFICATION BUREAU</t>
  </si>
  <si>
    <t>DEVELOPPEMENT LAGWEU</t>
  </si>
  <si>
    <t>COLLATION</t>
  </si>
  <si>
    <t>BOISSON</t>
  </si>
  <si>
    <t xml:space="preserve">DECES </t>
  </si>
  <si>
    <t>TRANSPORT DELEGUE</t>
  </si>
  <si>
    <t xml:space="preserve">DEUIL </t>
  </si>
  <si>
    <t>FRAIS BANCAIRE</t>
  </si>
  <si>
    <t>AUTRES AIDES</t>
  </si>
  <si>
    <t>MONTANT CHEQUE EFFECTIF</t>
  </si>
  <si>
    <t>CHINGUE</t>
  </si>
  <si>
    <t>NJIEPDIO DELUX</t>
  </si>
  <si>
    <t>TCHOUANTE FRANCOIS</t>
  </si>
  <si>
    <t>TCHOUTCHOU</t>
  </si>
  <si>
    <t>AUTRES SOTIES</t>
  </si>
  <si>
    <t>INTERET PRÊT</t>
  </si>
  <si>
    <t>NBRE MOIS</t>
  </si>
  <si>
    <t>PENALITE PRET FONDS</t>
  </si>
  <si>
    <t>S/TOTAL</t>
  </si>
  <si>
    <t>FRAIS EXEPTIONNEL</t>
  </si>
  <si>
    <t>DEUIL TCHEMNOU EMMANUEL</t>
  </si>
  <si>
    <t>TAXI BANQUE</t>
  </si>
  <si>
    <t>COMPTE</t>
  </si>
  <si>
    <t>AIDE UEEB ET CONT FEMME</t>
  </si>
  <si>
    <t>GRATIFICATION BUREAU 2021</t>
  </si>
  <si>
    <t>ACHAT LAPTOP</t>
  </si>
  <si>
    <t>DEPENSE FONDS MUTUEL</t>
  </si>
  <si>
    <t>DEPENSE COLLATION RECEPTION</t>
  </si>
  <si>
    <t>DEPENSE FRAIS EXCEPTIONNEL</t>
  </si>
  <si>
    <t>DEPENSE FONDS DE ROULEMENT</t>
  </si>
  <si>
    <t>MONTANT</t>
  </si>
  <si>
    <t>DEPENSE PENALITE VERSEMENT BANQUE</t>
  </si>
  <si>
    <t>TONTINE 40 000</t>
  </si>
  <si>
    <t>AS201643</t>
  </si>
  <si>
    <t>AS201656</t>
  </si>
  <si>
    <t>AS201657</t>
  </si>
  <si>
    <t>AS201658</t>
  </si>
  <si>
    <t>AS201601</t>
  </si>
  <si>
    <t>ACHAT LOT PRINCIPAL T40</t>
  </si>
  <si>
    <t>VENTE  PETIT LOT T40</t>
  </si>
  <si>
    <t>INTERET  PETIT LOT T40</t>
  </si>
  <si>
    <t>REMBOURSEMENT PETIT LOT T40</t>
  </si>
  <si>
    <t>MONTANT T40</t>
  </si>
  <si>
    <t>FONDS</t>
  </si>
  <si>
    <t>OBSEQUES</t>
  </si>
  <si>
    <t>REMBOURSEMENT FONDS</t>
  </si>
  <si>
    <t>FONDS DE CAISSE</t>
  </si>
  <si>
    <t>REMBOURSEMENT FOND NGONGANG</t>
  </si>
  <si>
    <t>T100</t>
  </si>
  <si>
    <t>T75</t>
  </si>
  <si>
    <t>T30</t>
  </si>
  <si>
    <t>T25</t>
  </si>
  <si>
    <t>NGONGANG</t>
  </si>
  <si>
    <t>BORDEREAU</t>
  </si>
  <si>
    <t>NUIT DES ELITES</t>
  </si>
  <si>
    <t>RETRAIT NGONGANG</t>
  </si>
  <si>
    <t>CENTRALISATION CAISSE</t>
  </si>
  <si>
    <t>TOTAL BORDEREAU</t>
  </si>
  <si>
    <t>TOTAL CENTRALISATION</t>
  </si>
  <si>
    <t>RETRAIT COMPTE FOYER</t>
  </si>
  <si>
    <t>RETRAIT CPTE FOYER</t>
  </si>
  <si>
    <t>MONTANT GRATIFICATION 2022</t>
  </si>
  <si>
    <t>OK</t>
  </si>
  <si>
    <t>GRATIFICATION BUREAU 2022</t>
  </si>
  <si>
    <t>ECHARPE</t>
  </si>
  <si>
    <t>ACHAT FOURNITURE (ECHARPE)</t>
  </si>
  <si>
    <t>CARBURANT HENGUE ET KOUAMO</t>
  </si>
  <si>
    <t>CONFECTION ECHARPE</t>
  </si>
  <si>
    <t>SOUTIEN GERBY</t>
  </si>
  <si>
    <t>AS201659</t>
  </si>
  <si>
    <t>AS201660</t>
  </si>
  <si>
    <t>AS201661</t>
  </si>
  <si>
    <t>OUVERTURE COMPTE</t>
  </si>
  <si>
    <t>GRATIFICATION BUREAU 2023</t>
  </si>
  <si>
    <t>REMBOURSEMENT PETIT LOT T50</t>
  </si>
  <si>
    <t>VENTE  PETIT LOT T50</t>
  </si>
  <si>
    <t>INTERET  PETIT LOT T50</t>
  </si>
  <si>
    <t>ACHAT LOT PRINCIPAL T50</t>
  </si>
  <si>
    <t>MONTANT T50</t>
  </si>
  <si>
    <t>FUNERAILLE JOSUE DJOSSE</t>
  </si>
  <si>
    <t>DOSSIER TECHNIQUE NGIEMENI</t>
  </si>
  <si>
    <t xml:space="preserve">MODE PAIEMENT PETIT LOT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</si>
</sst>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_€"/>
    <numFmt numFmtId="165" formatCode="#,##0;[Red]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22"/>
      <color theme="1"/>
      <name val="Britannic Bold"/>
      <family val="2"/>
    </font>
    <font>
      <sz val="22"/>
      <color theme="1"/>
      <name val="Calibri"/>
      <family val="2"/>
      <scheme val="minor"/>
    </font>
    <font>
      <sz val="14"/>
      <color theme="1"/>
      <name val="Britannic Bold"/>
      <family val="2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  <font>
      <sz val="11"/>
      <color theme="1"/>
      <name val="Castellar"/>
      <family val="1"/>
    </font>
    <font>
      <b/>
      <sz val="14"/>
      <color rgb="FF00B05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Britannic Bold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ritannic Bold"/>
      <family val="2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1"/>
      <name val="Castellar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0070C0"/>
      <name val="Calibri"/>
      <family val="2"/>
      <scheme val="minor"/>
    </font>
    <font>
      <b/>
      <sz val="11"/>
      <color rgb="FFFF0000"/>
      <name val="Castellar"/>
      <family val="1"/>
    </font>
    <font>
      <sz val="11"/>
      <name val="Britannic Bold"/>
      <family val="2"/>
    </font>
    <font>
      <sz val="11"/>
      <color rgb="FF00B050"/>
      <name val="Britannic Bold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0070C0"/>
      <name val="Britannic Bold"/>
      <family val="2"/>
    </font>
    <font>
      <b/>
      <sz val="14"/>
      <color rgb="FFFF0000"/>
      <name val="Calibri"/>
      <family val="2"/>
      <scheme val="minor"/>
    </font>
    <font>
      <sz val="11"/>
      <color rgb="FFFF0000"/>
      <name val="Britannic Bold"/>
      <family val="2"/>
    </font>
    <font>
      <sz val="14"/>
      <color rgb="FFFF0000"/>
      <name val="Calibri"/>
      <family val="2"/>
      <scheme val="minor"/>
    </font>
    <font>
      <sz val="11"/>
      <color rgb="FFFF0000"/>
      <name val="Castellar"/>
      <family val="1"/>
    </font>
    <font>
      <b/>
      <sz val="11"/>
      <color rgb="FF00B05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</fills>
  <borders count="16">
    <border>
      <left/>
      <right/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3" fontId="4" fillId="0" borderId="0" xfId="0" applyNumberFormat="1" applyFont="1"/>
    <xf numFmtId="3" fontId="0" fillId="0" borderId="0" xfId="0" applyNumberFormat="1"/>
    <xf numFmtId="0" fontId="3" fillId="0" borderId="0" xfId="0" applyFont="1" applyAlignment="1">
      <alignment horizontal="center"/>
    </xf>
    <xf numFmtId="0" fontId="6" fillId="0" borderId="0" xfId="0" applyFont="1"/>
    <xf numFmtId="3" fontId="7" fillId="0" borderId="0" xfId="0" applyNumberFormat="1" applyFont="1"/>
    <xf numFmtId="164" fontId="5" fillId="0" borderId="0" xfId="0" applyNumberFormat="1" applyFont="1" applyAlignment="1">
      <alignment horizontal="center"/>
    </xf>
    <xf numFmtId="164" fontId="0" fillId="0" borderId="0" xfId="0" applyNumberFormat="1"/>
    <xf numFmtId="164" fontId="5" fillId="0" borderId="0" xfId="0" applyNumberFormat="1" applyFont="1"/>
    <xf numFmtId="164" fontId="8" fillId="0" borderId="0" xfId="0" applyNumberFormat="1" applyFont="1"/>
    <xf numFmtId="3" fontId="9" fillId="0" borderId="0" xfId="0" applyNumberFormat="1" applyFont="1"/>
    <xf numFmtId="3" fontId="10" fillId="0" borderId="0" xfId="0" applyNumberFormat="1" applyFont="1"/>
    <xf numFmtId="3" fontId="11" fillId="0" borderId="0" xfId="0" applyNumberFormat="1" applyFont="1"/>
    <xf numFmtId="164" fontId="4" fillId="0" borderId="0" xfId="0" applyNumberFormat="1" applyFont="1"/>
    <xf numFmtId="0" fontId="13" fillId="0" borderId="0" xfId="0" applyFont="1"/>
    <xf numFmtId="165" fontId="14" fillId="0" borderId="0" xfId="0" applyNumberFormat="1" applyFont="1"/>
    <xf numFmtId="3" fontId="5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3" fontId="4" fillId="0" borderId="2" xfId="0" applyNumberFormat="1" applyFont="1" applyBorder="1"/>
    <xf numFmtId="3" fontId="7" fillId="0" borderId="2" xfId="0" applyNumberFormat="1" applyFont="1" applyBorder="1"/>
    <xf numFmtId="164" fontId="5" fillId="0" borderId="2" xfId="0" applyNumberFormat="1" applyFont="1" applyBorder="1" applyAlignment="1">
      <alignment horizontal="center"/>
    </xf>
    <xf numFmtId="164" fontId="0" fillId="0" borderId="2" xfId="0" applyNumberFormat="1" applyBorder="1"/>
    <xf numFmtId="3" fontId="0" fillId="0" borderId="2" xfId="0" applyNumberFormat="1" applyBorder="1"/>
    <xf numFmtId="3" fontId="5" fillId="0" borderId="2" xfId="0" applyNumberFormat="1" applyFont="1" applyBorder="1"/>
    <xf numFmtId="3" fontId="1" fillId="0" borderId="2" xfId="0" applyNumberFormat="1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3" fontId="4" fillId="0" borderId="4" xfId="0" applyNumberFormat="1" applyFont="1" applyBorder="1"/>
    <xf numFmtId="0" fontId="16" fillId="0" borderId="0" xfId="0" applyFont="1"/>
    <xf numFmtId="0" fontId="17" fillId="0" borderId="0" xfId="0" applyFont="1"/>
    <xf numFmtId="3" fontId="17" fillId="0" borderId="0" xfId="0" applyNumberFormat="1" applyFont="1"/>
    <xf numFmtId="0" fontId="16" fillId="0" borderId="0" xfId="0" applyFont="1" applyAlignment="1">
      <alignment horizontal="center"/>
    </xf>
    <xf numFmtId="0" fontId="18" fillId="0" borderId="0" xfId="0" applyFont="1"/>
    <xf numFmtId="0" fontId="17" fillId="0" borderId="0" xfId="0" applyFont="1" applyAlignment="1">
      <alignment horizontal="center" wrapText="1"/>
    </xf>
    <xf numFmtId="164" fontId="16" fillId="0" borderId="0" xfId="0" applyNumberFormat="1" applyFont="1"/>
    <xf numFmtId="164" fontId="17" fillId="0" borderId="0" xfId="0" applyNumberFormat="1" applyFont="1"/>
    <xf numFmtId="164" fontId="19" fillId="0" borderId="0" xfId="0" applyNumberFormat="1" applyFont="1"/>
    <xf numFmtId="3" fontId="20" fillId="0" borderId="0" xfId="0" applyNumberFormat="1" applyFont="1"/>
    <xf numFmtId="3" fontId="19" fillId="0" borderId="0" xfId="0" applyNumberFormat="1" applyFont="1"/>
    <xf numFmtId="0" fontId="1" fillId="0" borderId="5" xfId="0" applyFont="1" applyBorder="1"/>
    <xf numFmtId="0" fontId="1" fillId="0" borderId="6" xfId="0" applyFont="1" applyBorder="1"/>
    <xf numFmtId="0" fontId="15" fillId="2" borderId="6" xfId="0" applyFont="1" applyFill="1" applyBorder="1"/>
    <xf numFmtId="0" fontId="1" fillId="0" borderId="7" xfId="0" applyFont="1" applyBorder="1"/>
    <xf numFmtId="0" fontId="1" fillId="0" borderId="8" xfId="0" applyFont="1" applyBorder="1"/>
    <xf numFmtId="3" fontId="5" fillId="0" borderId="9" xfId="0" applyNumberFormat="1" applyFont="1" applyBorder="1"/>
    <xf numFmtId="0" fontId="15" fillId="2" borderId="11" xfId="0" applyFont="1" applyFill="1" applyBorder="1"/>
    <xf numFmtId="3" fontId="0" fillId="0" borderId="9" xfId="0" applyNumberFormat="1" applyBorder="1"/>
    <xf numFmtId="3" fontId="4" fillId="0" borderId="12" xfId="0" applyNumberFormat="1" applyFont="1" applyBorder="1"/>
    <xf numFmtId="3" fontId="4" fillId="0" borderId="14" xfId="0" applyNumberFormat="1" applyFont="1" applyBorder="1"/>
    <xf numFmtId="3" fontId="4" fillId="0" borderId="15" xfId="0" applyNumberFormat="1" applyFont="1" applyBorder="1"/>
    <xf numFmtId="3" fontId="23" fillId="0" borderId="0" xfId="0" applyNumberFormat="1" applyFont="1"/>
    <xf numFmtId="3" fontId="24" fillId="0" borderId="0" xfId="0" applyNumberFormat="1" applyFont="1"/>
    <xf numFmtId="3" fontId="1" fillId="0" borderId="0" xfId="0" applyNumberFormat="1" applyFont="1" applyAlignment="1">
      <alignment wrapText="1"/>
    </xf>
    <xf numFmtId="0" fontId="25" fillId="0" borderId="0" xfId="0" applyFont="1"/>
    <xf numFmtId="3" fontId="26" fillId="0" borderId="0" xfId="0" applyNumberFormat="1" applyFont="1"/>
    <xf numFmtId="3" fontId="27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29" fillId="0" borderId="0" xfId="0" applyNumberFormat="1" applyFont="1"/>
    <xf numFmtId="3" fontId="28" fillId="0" borderId="0" xfId="0" applyNumberFormat="1" applyFont="1"/>
    <xf numFmtId="3" fontId="30" fillId="0" borderId="0" xfId="0" applyNumberFormat="1" applyFont="1"/>
    <xf numFmtId="0" fontId="28" fillId="0" borderId="0" xfId="0" applyFont="1"/>
    <xf numFmtId="0" fontId="31" fillId="0" borderId="0" xfId="0" applyFont="1"/>
    <xf numFmtId="164" fontId="32" fillId="0" borderId="0" xfId="0" applyNumberFormat="1" applyFont="1" applyAlignment="1">
      <alignment horizontal="center"/>
    </xf>
    <xf numFmtId="164" fontId="28" fillId="0" borderId="0" xfId="0" applyNumberFormat="1" applyFont="1"/>
    <xf numFmtId="3" fontId="31" fillId="0" borderId="0" xfId="0" applyNumberFormat="1" applyFont="1"/>
    <xf numFmtId="3" fontId="32" fillId="0" borderId="0" xfId="0" applyNumberFormat="1" applyFont="1"/>
    <xf numFmtId="164" fontId="32" fillId="0" borderId="0" xfId="0" applyNumberFormat="1" applyFont="1"/>
    <xf numFmtId="164" fontId="9" fillId="0" borderId="0" xfId="0" applyNumberFormat="1" applyFont="1"/>
    <xf numFmtId="3" fontId="33" fillId="0" borderId="0" xfId="0" applyNumberFormat="1" applyFont="1"/>
    <xf numFmtId="3" fontId="31" fillId="0" borderId="2" xfId="0" applyNumberFormat="1" applyFont="1" applyBorder="1"/>
    <xf numFmtId="3" fontId="34" fillId="0" borderId="0" xfId="0" applyNumberFormat="1" applyFont="1"/>
    <xf numFmtId="3" fontId="6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7" fillId="2" borderId="13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BM6" activePane="bottomRight" state="frozen"/>
      <selection pane="topRight" activeCell="E1" sqref="E1"/>
      <selection pane="bottomLeft" activeCell="A6" sqref="A6"/>
      <selection pane="bottomRight" activeCell="P8" sqref="P7:R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11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VLOOKUP(A7,[14]TONTDEC24!$A$6:$R$39,12,0)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11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VLOOKUP(A8,[14]TONTDEC24!$A$6:$R$39,12,0)</f>
        <v>0</v>
      </c>
      <c r="Q8" s="2">
        <f>VLOOKUP(A8,[15]TONTDEC24!$A$7:$P$23,10,0)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VLOOKUP(A9,[12]HISTOBQUEAVRIL24!$A$6:$G$46,3,0)</f>
        <v>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VLOOKUP(A9,[14]TONTDEC24!$A$6:$R$39,12,0)</f>
        <v>0</v>
      </c>
      <c r="Q9" s="2"/>
      <c r="R9" s="2">
        <f>VLOOKUP(A9,[16]TONTDEC24!$A$7:$P$20,10,0)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11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VLOOKUP(A10,[14]TONTDEC24!$A$6:$R$39,12,0)</f>
        <v>0</v>
      </c>
      <c r="Q10" s="2">
        <f>VLOOKUP(A10,[15]TONTDEC24!$A$7:$P$23,10,0)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VLOOKUP(A11,[12]HISTOBQUEAVRIL24!$A$6:$G$46,3,0)</f>
        <v>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VLOOKUP(A11,[14]TONTDEC24!$A$6:$R$39,12,0)</f>
        <v>0</v>
      </c>
      <c r="Q11" s="2">
        <f>VLOOKUP(A11,[15]TONTDEC24!$A$7:$P$23,10,0)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VLOOKUP(A12,[12]HISTOBQUEAVRIL24!$A$6:$G$46,3,0)</f>
        <v>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VLOOKUP(A12,[14]TONTDEC24!$A$6:$R$39,12,0)</f>
        <v>0</v>
      </c>
      <c r="Q12" s="2">
        <f>VLOOKUP(A12,[15]TONTDEC24!$A$7:$P$23,10,0)</f>
        <v>0</v>
      </c>
      <c r="R12" s="2">
        <f>VLOOKUP(A12,[16]TONTDEC24!$A$7:$P$20,10,0)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VLOOKUP(A13,[14]TONTDEC24!$A$6:$R$39,12,0)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VLOOKUP(A14,[14]TONTDEC24!$A$6:$R$39,12,0)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VLOOKUP(A15,[14]TONTDEC24!$A$6:$R$39,12,0)</f>
        <v>0</v>
      </c>
      <c r="Q15" s="2">
        <f>VLOOKUP(A15,[15]TONTDEC24!$A$7:$P$23,10,0)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VLOOKUP(A16,[12]HISTOBQUEAVRIL24!$A$6:$G$46,3,0)</f>
        <v>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VLOOKUP(A16,[14]TONTDEC24!$A$6:$R$39,12,0)</f>
        <v>0</v>
      </c>
      <c r="Q16" s="2">
        <f>VLOOKUP(A16,[15]TONTDEC24!$A$7:$P$23,10,0)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VLOOKUP(A17,[14]TONTDEC24!$A$6:$R$39,12,0)</f>
        <v>0</v>
      </c>
      <c r="Q17" s="2"/>
      <c r="R17" s="2">
        <f>VLOOKUP(A17,[16]TONTDEC24!$A$7:$P$20,10,0)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VLOOKUP(A18,[12]HISTOBQUEAVRIL24!$A$6:$G$46,3,0)</f>
        <v>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VLOOKUP(A18,[14]TONTDEC24!$A$6:$R$39,12,0)</f>
        <v>0</v>
      </c>
      <c r="Q18" s="2"/>
      <c r="R18" s="2">
        <f>VLOOKUP(A18,[16]TONTDEC24!$A$7:$P$20,10,0)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VLOOKUP(A19,[14]TONTDEC24!$A$6:$R$39,12,0)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11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VLOOKUP(A20,[14]TONTDEC24!$A$6:$R$39,12,0)</f>
        <v>0</v>
      </c>
      <c r="Q20" s="2">
        <f>VLOOKUP(A20,[15]TONTDEC24!$A$7:$P$23,10,0)</f>
        <v>0</v>
      </c>
      <c r="R20" s="2">
        <f>VLOOKUP(A20,[16]TONTDEC24!$A$7:$P$20,10,0)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11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VLOOKUP(A21,[14]TONTDEC24!$A$6:$R$39,12,0)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VLOOKUP(A22,[14]TONTDEC24!$A$6:$R$39,12,0)</f>
        <v>0</v>
      </c>
      <c r="Q22" s="2">
        <f>VLOOKUP(A22,[15]TONTDEC24!$A$7:$P$23,10,0)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VLOOKUP(A23,[12]HISTOBQUEAVRIL24!$A$6:$G$46,3,0)</f>
        <v>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VLOOKUP(A23,[14]TONTDEC24!$A$6:$R$39,12,0)</f>
        <v>0</v>
      </c>
      <c r="Q23" s="2"/>
      <c r="R23" s="2">
        <f>VLOOKUP(A23,[16]TONTDEC24!$A$7:$P$20,10,0)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11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VLOOKUP(A24,[14]TONTDEC24!$A$6:$R$39,12,0)</f>
        <v>0</v>
      </c>
      <c r="Q24" s="2">
        <f>VLOOKUP(A24,[15]TONTDEC24!$A$7:$P$23,10,0)</f>
        <v>0</v>
      </c>
      <c r="R24" s="2">
        <f>VLOOKUP(A24,[16]TONTDEC24!$A$7:$P$20,10,0)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VLOOKUP(A25,[12]HISTOBQUEAVRIL24!$A$6:$G$46,3,0)</f>
        <v>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VLOOKUP(A25,[14]TONTDEC24!$A$6:$R$39,12,0)</f>
        <v>0</v>
      </c>
      <c r="Q25" s="2">
        <f>VLOOKUP(A25,[15]TONTDEC24!$A$7:$P$23,10,0)</f>
        <v>0</v>
      </c>
      <c r="R25" s="2">
        <f>VLOOKUP(A25,[16]TONTDEC24!$A$7:$P$20,10,0)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VLOOKUP(A26,[12]HISTOBQUEAVRIL24!$A$6:$G$46,3,0)</f>
        <v>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VLOOKUP(A26,[14]TONTDEC24!$A$6:$R$39,12,0)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VLOOKUP(A27,[14]TONTDEC24!$A$6:$R$39,12,0)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VLOOKUP(A28,[14]TONTDEC24!$A$6:$R$39,12,0)</f>
        <v>0</v>
      </c>
      <c r="Q28" s="2">
        <f>VLOOKUP(A28,[15]TONTDEC24!$A$7:$P$23,10,0)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VLOOKUP(A29,[12]HISTOBQUEAVRIL24!$A$6:$G$46,3,0)</f>
        <v>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VLOOKUP(A29,[14]TONTDEC24!$A$6:$R$39,12,0)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VLOOKUP(A30,[14]TONTDEC24!$A$6:$R$39,12,0)</f>
        <v>0</v>
      </c>
      <c r="Q30" s="2"/>
      <c r="R30" s="2">
        <f>VLOOKUP(A30,[16]TONTDEC24!$A$7:$P$20,10,0)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VLOOKUP(A31,[14]TONTDEC24!$A$6:$R$39,12,0)</f>
        <v>0</v>
      </c>
      <c r="Q31" s="2"/>
      <c r="R31" s="2">
        <f>VLOOKUP(A31,[16]TONTDEC24!$A$7:$P$20,10,0)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VLOOKUP(A32,[14]TONTDEC24!$A$6:$R$39,12,0)</f>
        <v>0</v>
      </c>
      <c r="Q32" s="2">
        <f>VLOOKUP(A32,[15]TONTDEC24!$A$7:$P$23,10,0)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11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VLOOKUP(A33,[12]HISTOBQUEAVRIL24!$A$6:$G$46,3,0)</f>
        <v>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VLOOKUP(A33,[14]TONTDEC24!$A$6:$R$39,12,0)</f>
        <v>0</v>
      </c>
      <c r="Q33" s="2"/>
      <c r="R33" s="2">
        <f>VLOOKUP(A33,[16]TONTDEC24!$A$7:$P$20,10,0)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VLOOKUP(A34,[14]TONTDEC24!$A$6:$R$39,12,0)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11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VLOOKUP(A35,[12]HISTOBQUEAVRIL24!$A$6:$G$46,3,0)</f>
        <v>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VLOOKUP(A35,[14]TONTDEC24!$A$6:$R$39,12,0)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11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VLOOKUP(A36,[14]TONTDEC24!$A$6:$R$39,12,0)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11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VLOOKUP(A37,[14]TONTDEC24!$A$6:$R$39,12,0)</f>
        <v>0</v>
      </c>
      <c r="Q37" s="2"/>
      <c r="R37" s="2">
        <f>VLOOKUP(A37,[16]TONTDEC24!$A$7:$P$20,10,0)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11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VLOOKUP(A38,[14]TONTDEC24!$A$6:$R$39,12,0)</f>
        <v>0</v>
      </c>
      <c r="Q38" s="2">
        <f>VLOOKUP(A38,[15]TONTDEC24!$A$7:$P$23,10,0)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11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0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/>
      <c r="D6" s="9">
        <f>HISTOJANV24!D6+HISTOFEV24!D6+HISTOMARS24!D6+HISTOAVRIL24!D6+HISTOMAI24!D6+HISTOJUIN24!D6+HISTOJUIL24!D6+HISTOAOUT24!D6+HISTOSEPT24!D6+HISTOOCT24!D6+HISTONOV24!D6+HISTODEC24!D6</f>
        <v>525000</v>
      </c>
      <c r="E6" s="9">
        <f>HISTOJANV24!E6+HISTOFEV24!E6+HISTOMARS24!E6+HISTOAVRIL24!E6+HISTOMAI24!E6+HISTOJUIN24!E6+HISTOJUIL24!E6+HISTOAOUT24!E6+HISTOSEPT24!E6+HISTOOCT24!E6+HISTONOV24!E6+HISTODEC24!E6</f>
        <v>0</v>
      </c>
      <c r="F6" s="9">
        <f>HISTOJANV24!F6+HISTOFEV24!F6+HISTOMARS24!F6+HISTOAVRIL24!F6+HISTOMAI24!F6+HISTOJUIN24!F6+HISTOJUIL24!F6+HISTOAOUT24!F6+HISTOSEPT24!F6+HISTOOCT24!F6+HISTONOV24!F6+HISTODEC24!F6</f>
        <v>0</v>
      </c>
      <c r="G6" s="9">
        <f>HISTOJANV24!G6+HISTOFEV24!G6+HISTOMARS24!G6+HISTOAVRIL24!G6+HISTOMAI24!G6+HISTOJUIN24!G6+HISTOJUIL24!G6+HISTOAOUT24!G6+HISTOSEPT24!G6+HISTOOCT24!G6+HISTONOV24!G6+HISTODEC24!G6</f>
        <v>0</v>
      </c>
      <c r="H6" s="10"/>
      <c r="I6" s="9">
        <f>HISTOJANV24!I6+HISTOFEV24!I6+HISTOMARS24!I6+HISTOAVRIL24!I6+HISTOMAI24!I6+HISTOJUIN24!I6+HISTOJUIL24!I6+HISTOAOUT24!I6+HISTOSEPT24!I6+HISTOOCT24!I6+HISTONOV24!I6+HISTODEC24!I6</f>
        <v>0</v>
      </c>
      <c r="J6" s="11"/>
      <c r="K6" s="11">
        <f>IF($D6&lt;&gt;0,J6*50000,IF($E6&lt;&gt;0,J6*50000,0))</f>
        <v>0</v>
      </c>
      <c r="L6" s="6">
        <v>1</v>
      </c>
      <c r="M6" s="11">
        <f t="shared" ref="M6:M38" si="0">IF($D6&lt;&gt;0,L6*75000,IF($E6&lt;&gt;0,L6*75000,0))</f>
        <v>75000</v>
      </c>
      <c r="N6" s="6">
        <v>1</v>
      </c>
      <c r="O6" s="11">
        <f t="shared" ref="O6:O38" si="1">IF($D6&lt;&gt;0,N6*100000,IF($E6&lt;&gt;0,N6*100000,0))</f>
        <v>100000</v>
      </c>
      <c r="P6" s="9">
        <f>HISTOJANV24!P6+HISTOFEV24!P6+HISTOMARS24!P6+HISTOAVRIL24!P6+HISTOMAI24!P6+HISTOJUIN24!P6+HISTOJUIL24!P6+HISTOAOUT24!P6+HISTOSEPT24!P6+HISTOOCT24!P6+HISTONOV24!P6+HISTODEC24!P6</f>
        <v>0</v>
      </c>
      <c r="Q6" s="9">
        <f>HISTOJANV24!Q6+HISTOFEV24!Q6+HISTOMARS24!Q6+HISTOAVRIL24!Q6+HISTOMAI24!Q6+HISTOJUIN24!Q6+HISTOJUIL24!Q6+HISTOAOUT24!Q6+HISTOSEPT24!Q6+HISTOOCT24!Q6+HISTONOV24!Q6+HISTODEC24!Q6</f>
        <v>0</v>
      </c>
      <c r="R6" s="9">
        <f>HISTOJANV24!R6+HISTOFEV24!R6+HISTOMARS24!R6+HISTOAVRIL24!R6+HISTOMAI24!R6+HISTOJUIN24!R6+HISTOJUIL24!R6+HISTOAOUT24!R6+HISTOSEPT24!R6+HISTOOCT24!R6+HISTONOV24!R6+HISTODEC24!R6</f>
        <v>0</v>
      </c>
      <c r="S6" s="9">
        <f>HISTOJANV24!S6+HISTOFEV24!S6+HISTOMARS24!S6+HISTOAVRIL24!S6+HISTOMAI24!S6+HISTOJUIN24!S6+HISTOJUIL24!S6+HISTOAOUT24!S6+HISTOSEPT24!S6+HISTOOCT24!S6+HISTONOV24!S6+HISTODEC24!S6</f>
        <v>0</v>
      </c>
      <c r="T6" s="12"/>
      <c r="U6" s="17">
        <f>G6+S6++R6+P6+O6+M6+I6+K6+Q6+V6+W6</f>
        <v>175000</v>
      </c>
      <c r="V6" s="9">
        <f>HISTOJANV24!V6+HISTOFEV24!V6+HISTOMARS24!V6+HISTOAVRIL24!V6+HISTOMAI24!V6+HISTOJUIN24!V6+HISTOJUIL24!V6+HISTOAOUT24!V6+HISTOSEPT24!V6+HISTOOCT24!V6+HISTONOV24!V6+HISTODEC24!V6</f>
        <v>0</v>
      </c>
      <c r="W6" s="9">
        <f>HISTOJANV24!W6+HISTOFEV24!W6+HISTOMARS24!W6+HISTOAVRIL24!W6+HISTOMAI24!W6+HISTOJUIN24!W6+HISTOJUIL24!W6+HISTOAOUT24!W6+HISTOSEPT24!W6+HISTOOCT24!W6+HISTONOV24!W6+HISTODEC24!W6</f>
        <v>0</v>
      </c>
      <c r="X6" s="9">
        <f>HISTOJANV24!X6+HISTOFEV24!X6+HISTOMARS24!X6+HISTOAVRIL24!X6+HISTOMAI24!X6+HISTOJUIN24!X6+HISTOJUIL24!X6+HISTOAOUT24!X6+HISTOSEPT24!X6+HISTOOCT24!X6+HISTONOV24!X6+HISTODEC24!X6</f>
        <v>0</v>
      </c>
      <c r="Y6" s="9">
        <f>HISTOJANV24!Y6+HISTOFEV24!Y6+HISTOMARS24!Y6+HISTOAVRIL24!Y6+HISTOMAI24!Y6+HISTOJUIN24!Y6+HISTOJUIL24!Y6+HISTOAOUT24!Y6+HISTOSEPT24!Y6+HISTOOCT24!Y6+HISTONOV24!Y6+HISTODEC24!Y6</f>
        <v>0</v>
      </c>
      <c r="Z6" s="9">
        <f>HISTOJANV24!Z6+HISTOFEV24!Z6+HISTOMARS24!Z6+HISTOAVRIL24!Z6+HISTOMAI24!Z6+HISTOJUIN24!Z6+HISTOJUIL24!Z6+HISTOAOUT24!Z6+HISTOSEPT24!Z6+HISTOOCT24!Z6+HISTONOV24!Z6+HISTODEC24!Z6</f>
        <v>0</v>
      </c>
      <c r="AA6" s="12"/>
      <c r="AB6" s="12"/>
      <c r="AC6" s="9">
        <f>HISTOJANV24!AC6+HISTOFEV24!AC6+HISTOMARS24!AC6+HISTOAVRIL24!AC6+HISTOMAI24!AC6+HISTOJUIN24!AC6+HISTOJUIL24!AC6+HISTOAOUT24!AC6+HISTOSEPT24!AC6+HISTOOCT24!AC6+HISTONOV24!AC6+HISTODEC24!AC6</f>
        <v>0</v>
      </c>
      <c r="AD6" s="9">
        <f>HISTOJANV24!AD6+HISTOFEV24!AD6+HISTOMARS24!AD6+HISTOAVRIL24!AD6+HISTOMAI24!AD6+HISTOJUIN24!AD6+HISTOJUIL24!AD6+HISTOAOUT24!AD6+HISTOSEPT24!AD6+HISTOOCT24!AD6+HISTONOV24!AD6+HISTODEC24!AD6</f>
        <v>0</v>
      </c>
      <c r="AE6" s="9">
        <f>HISTOJANV24!AE6+HISTOFEV24!AE6+HISTOMARS24!AE6+HISTOAVRIL24!AE6+HISTOMAI24!AE6+HISTOJUIN24!AE6+HISTOJUIL24!AE6+HISTOAOUT24!AE6+HISTOSEPT24!AE6+HISTOOCT24!AE6+HISTONOV24!AE6+HISTODEC24!AE6</f>
        <v>0</v>
      </c>
      <c r="AF6" s="12"/>
      <c r="AG6" s="12"/>
      <c r="AH6" s="9">
        <f>HISTOJANV24!AH6+HISTOFEV24!AH6+HISTOMARS24!AH6+HISTOAVRIL24!AH6+HISTOMAI24!AH6+HISTOJUIN24!AH6+HISTOJUIL24!AH6+HISTOAOUT24!AH6+HISTOSEPT24!AH6+HISTOOCT24!AH6+HISTONOV24!AH6+HISTODEC24!AH6</f>
        <v>0</v>
      </c>
      <c r="AI6" s="9">
        <f>HISTOJANV24!AI6+HISTOFEV24!AI6+HISTOMARS24!AI6+HISTOAVRIL24!AI6+HISTOMAI24!AI6+HISTOJUIN24!AI6+HISTOJUIL24!AI6+HISTOAOUT24!AI6+HISTOSEPT24!AI6+HISTOOCT24!AI6+HISTONOV24!AI6+HISTODEC24!AI6</f>
        <v>0</v>
      </c>
      <c r="AJ6" s="9">
        <f>HISTOJANV24!AJ6+HISTOFEV24!AJ6+HISTOMARS24!AJ6+HISTOAVRIL24!AJ6+HISTOMAI24!AJ6+HISTOJUIN24!AJ6+HISTOJUIL24!AJ6+HISTOAOUT24!AJ6+HISTOSEPT24!AJ6+HISTOOCT24!AJ6+HISTONOV24!AJ6+HISTODEC24!AJ6</f>
        <v>0</v>
      </c>
      <c r="AK6" s="9">
        <f>HISTOJANV24!AK6+HISTOFEV24!AK6+HISTOMARS24!AK6+HISTOAVRIL24!AK6+HISTOMAI24!AK6+HISTOJUIN24!AK6+HISTOJUIL24!AK6+HISTOAOUT24!AK6+HISTOSEPT24!AK6+HISTOOCT24!AK6+HISTONOV24!AK6+HISTODEC24!AK6</f>
        <v>0</v>
      </c>
      <c r="AL6" s="9">
        <f>HISTOJANV24!AL6+HISTOFEV24!AL6+HISTOMARS24!AL6+HISTOAVRIL24!AL6+HISTOMAI24!AL6+HISTOJUIN24!AL6+HISTOJUIL24!AL6+HISTOAOUT24!AL6+HISTOSEPT24!AL6+HISTOOCT24!AL6+HISTONOV24!AL6+HISTODEC24!AL6</f>
        <v>0</v>
      </c>
      <c r="AM6" s="9">
        <f>HISTOJANV24!AM6+HISTOFEV24!AM6+HISTOMARS24!AM6+HISTOAVRIL24!AM6+HISTOMAI24!AM6+HISTOJUIN24!AM6+HISTOJUIL24!AM6+HISTOAOUT24!AM6+HISTOSEPT24!AM6+HISTOOCT24!AM6+HISTONOV24!AM6+HISTODEC24!AM6</f>
        <v>0</v>
      </c>
      <c r="AN6" s="9">
        <f>HISTOJANV24!AN6+HISTOFEV24!AN6+HISTOMARS24!AN6+HISTOAVRIL24!AN6+HISTOMAI24!AN6+HISTOJUIN24!AN6+HISTOJUIL24!AN6+HISTOAOUT24!AN6+HISTOSEPT24!AN6+HISTOOCT24!AN6+HISTONOV24!AN6+HISTODEC24!AN6</f>
        <v>0</v>
      </c>
      <c r="AO6" s="12"/>
      <c r="AP6" s="12"/>
      <c r="AQ6" s="8">
        <f t="shared" ref="AQ6:AQ38" si="2">IF(H6="ECHEC",((K6+M6+O6)*20/100),0)</f>
        <v>0</v>
      </c>
      <c r="AR6" s="8">
        <f t="shared" ref="AR6:AR38" si="3">IF(H6="ECHEC",((K6+M6+O6)*20/100),0)</f>
        <v>0</v>
      </c>
      <c r="AS6" s="13"/>
      <c r="AT6" s="15"/>
      <c r="AV6" s="15"/>
      <c r="AW6" s="9">
        <f>HISTOJANV24!AW6+HISTOFEV24!AW6+HISTOMARS24!AW6+HISTOAVRIL24!AW6+HISTOMAI24!AW6+HISTOJUIN24!AW6+HISTOJUIL24!AW6+HISTOAOUT24!AW6+HISTOSEPT24!AW6+HISTOOCT24!AW6+HISTONOV24!AW6+HISTODEC24!AW6</f>
        <v>0</v>
      </c>
      <c r="AX6" s="9">
        <f>HISTOJANV24!AX6+HISTOFEV24!AX6+HISTOMARS24!AX6+HISTOAVRIL24!AX6+HISTOMAI24!AX6+HISTOJUIN24!AX6+HISTOJUIL24!AX6+HISTOAOUT24!AX6+HISTOSEPT24!AX6+HISTOOCT24!AX6+HISTONOV24!AX6+HISTODEC24!AX6</f>
        <v>0</v>
      </c>
      <c r="AY6" s="9">
        <f>HISTOJANV24!AY6+HISTOFEV24!AY6+HISTOMARS24!AY6+HISTOAVRIL24!AY6+HISTOMAI24!AY6+HISTOJUIN24!AY6+HISTOJUIL24!AY6+HISTOAOUT24!AY6+HISTOSEPT24!AY6+HISTOOCT24!AY6+HISTONOV24!AY6+HISTODEC24!AY6</f>
        <v>0</v>
      </c>
      <c r="AZ6" s="9">
        <f>HISTOJANV24!AZ6+HISTOFEV24!AZ6+HISTOMARS24!AZ6+HISTOAVRIL24!AZ6+HISTOMAI24!AZ6+HISTOJUIN24!AZ6+HISTOJUIL24!AZ6+HISTOAOUT24!AZ6+HISTOSEPT24!AZ6+HISTOOCT24!AZ6+HISTONOV24!AZ6+HISTODEC24!AZ6</f>
        <v>1002000</v>
      </c>
      <c r="BA6" s="9">
        <f>HISTOJANV24!BA6+HISTOFEV24!BA6+HISTOMARS24!BA6+HISTOAVRIL24!BA6+HISTOMAI24!BA6+HISTOJUIN24!BA6+HISTOJUIL24!BA6+HISTOAOUT24!BA6+HISTOSEPT24!BA6+HISTOOCT24!BA6+HISTONOV24!BA6+HISTODEC24!BA6</f>
        <v>27000</v>
      </c>
      <c r="BB6" s="9">
        <f>HISTOJANV24!BB6+HISTOFEV24!BB6+HISTOMARS24!BB6+HISTOAVRIL24!BB6+HISTOMAI24!BB6+HISTOJUIN24!BB6+HISTOJUIL24!BB6+HISTOAOUT24!BB6+HISTOSEPT24!BB6+HISTOOCT24!BB6+HISTONOV24!BB6+HISTODEC24!BB6</f>
        <v>0</v>
      </c>
      <c r="BC6" s="15"/>
      <c r="BD6" s="9">
        <f>HISTOJANV24!BD6+HISTOFEV24!BD6+HISTOMARS24!BD6+HISTOAVRIL24!BD6+HISTOMAI24!BD6+HISTOJUIN24!BD6+HISTOJUIL24!BD6+HISTOAOUT24!BD6+HISTOSEPT24!BD6+HISTOOCT24!BD6+HISTONOV24!BD6+HISTODEC24!BD6</f>
        <v>975000</v>
      </c>
      <c r="BE6" s="82"/>
      <c r="BF6" s="9">
        <f>HISTOJANV24!BF6+HISTOFEV24!BF6+HISTOMARS24!BF6+HISTOAVRIL24!BF6+HISTOMAI24!BF6+HISTOJUIN24!BF6+HISTOJUIL24!BF6+HISTOAOUT24!BF6+HISTOSEPT24!BF6+HISTOOCT24!BF6+HISTONOV24!BF6+HISTODEC24!BF6</f>
        <v>0</v>
      </c>
      <c r="BG6" s="29"/>
      <c r="BH6" s="9">
        <f>HISTOJANV24!BH6+HISTOFEV24!BH6+HISTOMARS24!BH6+HISTOAVRIL24!BH6+HISTOMAI24!BH6+HISTOJUIN24!BH6+HISTOJUIL24!BH6+HISTOAOUT24!BH6+HISTOSEPT24!BH6+HISTOOCT24!BH6+HISTONOV24!BH6+HISTODEC24!BH6</f>
        <v>102000</v>
      </c>
      <c r="BI6" s="9">
        <f>HISTOJANV24!BI6+HISTOFEV24!BI6+HISTOMARS24!BI6+HISTOAVRIL24!BI6+HISTOMAI24!BI6+HISTOJUIN24!BI6+HISTOJUIL24!BI6+HISTOAOUT24!BI6+HISTOSEPT24!BI6+HISTOOCT24!BI6+HISTONOV24!BI6+HISTODEC24!BI6</f>
        <v>500000</v>
      </c>
      <c r="BJ6" s="9">
        <f>HISTOJANV24!BJ6+HISTOFEV24!BJ6+HISTOMARS24!BJ6+HISTOAVRIL24!BJ6+HISTOMAI24!BJ6+HISTOJUIN24!BJ6+HISTOJUIL24!BJ6+HISTOAOUT24!BJ6+HISTOSEPT24!BJ6+HISTOOCT24!BJ6+HISTONOV24!BJ6+HISTODEC24!BJ6</f>
        <v>100000</v>
      </c>
      <c r="BK6" s="9">
        <f>HISTOJANV24!BK6+HISTOFEV24!BK6+HISTOMARS24!BK6+HISTOAVRIL24!BK6+HISTOMAI24!BK6+HISTOJUIN24!BK6+HISTOJUIL24!BK6+HISTOAOUT24!BK6+HISTOSEPT24!BK6+HISTOOCT24!BK6+HISTONOV24!BK6+HISTODEC24!BK6</f>
        <v>300000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/>
      <c r="D7" s="9">
        <f>HISTOJANV24!D7+HISTOFEV24!D7+HISTOMARS24!D7+HISTOAVRIL24!D7+HISTOMAI24!D7+HISTOJUIN24!D7+HISTOJUIL24!D7+HISTOAOUT24!D7+HISTOSEPT24!D7+HISTOOCT24!D7+HISTONOV24!D7+HISTODEC24!D7</f>
        <v>190000</v>
      </c>
      <c r="E7" s="9">
        <f>HISTOJANV24!E7+HISTOFEV24!E7+HISTOMARS24!E7+HISTOAVRIL24!E7+HISTOMAI24!E7+HISTOJUIN24!E7+HISTOJUIL24!E7+HISTOAOUT24!E7+HISTOSEPT24!E7+HISTOOCT24!E7+HISTONOV24!E7+HISTODEC24!E7</f>
        <v>61000</v>
      </c>
      <c r="F7" s="9">
        <f>HISTOJANV24!F7+HISTOFEV24!F7+HISTOMARS24!F7+HISTOAVRIL24!F7+HISTOMAI24!F7+HISTOJUIN24!F7+HISTOJUIL24!F7+HISTOAOUT24!F7+HISTOSEPT24!F7+HISTOOCT24!F7+HISTONOV24!F7+HISTODEC24!F7</f>
        <v>0</v>
      </c>
      <c r="G7" s="9">
        <f>HISTOJANV24!G7+HISTOFEV24!G7+HISTOMARS24!G7+HISTOAVRIL24!G7+HISTOMAI24!G7+HISTOJUIN24!G7+HISTOJUIL24!G7+HISTOAOUT24!G7+HISTOSEPT24!G7+HISTOOCT24!G7+HISTONOV24!G7+HISTODEC24!G7</f>
        <v>0</v>
      </c>
      <c r="H7" s="10"/>
      <c r="I7" s="9">
        <f>HISTOJANV24!I7+HISTOFEV24!I7+HISTOMARS24!I7+HISTOAVRIL24!I7+HISTOMAI24!I7+HISTOJUIN24!I7+HISTOJUIL24!I7+HISTOAOUT24!I7+HISTOSEPT24!I7+HISTOOCT24!I7+HISTONOV24!I7+HISTODEC24!I7</f>
        <v>22000</v>
      </c>
      <c r="J7" s="11">
        <v>1</v>
      </c>
      <c r="K7" s="11">
        <f t="shared" ref="K7:K38" si="4">IF($D7&lt;&gt;0,J7*50000,IF($E7&lt;&gt;0,J7*50000,0))</f>
        <v>50000</v>
      </c>
      <c r="L7" s="6"/>
      <c r="M7" s="11">
        <f t="shared" si="0"/>
        <v>0</v>
      </c>
      <c r="N7" s="6"/>
      <c r="O7" s="11">
        <f t="shared" si="1"/>
        <v>0</v>
      </c>
      <c r="P7" s="9">
        <f>HISTOJANV24!P7+HISTOFEV24!P7+HISTOMARS24!P7+HISTOAVRIL24!P7+HISTOMAI24!P7+HISTOJUIN24!P7+HISTOJUIL24!P7+HISTOAOUT24!P7+HISTOSEPT24!P7+HISTOOCT24!P7+HISTONOV24!P7+HISTODEC24!P7</f>
        <v>61000</v>
      </c>
      <c r="Q7" s="9">
        <f>HISTOJANV24!Q7+HISTOFEV24!Q7+HISTOMARS24!Q7+HISTOAVRIL24!Q7+HISTOMAI24!Q7+HISTOJUIN24!Q7+HISTOJUIL24!Q7+HISTOAOUT24!Q7+HISTOSEPT24!Q7+HISTOOCT24!Q7+HISTONOV24!Q7+HISTODEC24!Q7</f>
        <v>0</v>
      </c>
      <c r="R7" s="9">
        <f>HISTOJANV24!R7+HISTOFEV24!R7+HISTOMARS24!R7+HISTOAVRIL24!R7+HISTOMAI24!R7+HISTOJUIN24!R7+HISTOJUIL24!R7+HISTOAOUT24!R7+HISTOSEPT24!R7+HISTOOCT24!R7+HISTONOV24!R7+HISTODEC24!R7</f>
        <v>0</v>
      </c>
      <c r="S7" s="9">
        <f>HISTOJANV24!S7+HISTOFEV24!S7+HISTOMARS24!S7+HISTOAVRIL24!S7+HISTOMAI24!S7+HISTOJUIN24!S7+HISTOJUIL24!S7+HISTOAOUT24!S7+HISTOSEPT24!S7+HISTOOCT24!S7+HISTONOV24!S7+HISTODEC24!S7</f>
        <v>0</v>
      </c>
      <c r="T7" s="12"/>
      <c r="U7" s="17">
        <f t="shared" ref="U7:U38" si="5">G7+S7++R7+P7+O7+M7+I7+K7+Q7+V7+W7</f>
        <v>133000</v>
      </c>
      <c r="V7" s="9">
        <f>HISTOJANV24!V7+HISTOFEV24!V7+HISTOMARS24!V7+HISTOAVRIL24!V7+HISTOMAI24!V7+HISTOJUIN24!V7+HISTOJUIL24!V7+HISTOAOUT24!V7+HISTOSEPT24!V7+HISTOOCT24!V7+HISTONOV24!V7+HISTODEC24!V7</f>
        <v>0</v>
      </c>
      <c r="W7" s="9">
        <f>HISTOJANV24!W7+HISTOFEV24!W7+HISTOMARS24!W7+HISTOAVRIL24!W7+HISTOMAI24!W7+HISTOJUIN24!W7+HISTOJUIL24!W7+HISTOAOUT24!W7+HISTOSEPT24!W7+HISTOOCT24!W7+HISTONOV24!W7+HISTODEC24!W7</f>
        <v>0</v>
      </c>
      <c r="X7" s="9">
        <f>HISTOJANV24!X7+HISTOFEV24!X7+HISTOMARS24!X7+HISTOAVRIL24!X7+HISTOMAI24!X7+HISTOJUIN24!X7+HISTOJUIL24!X7+HISTOAOUT24!X7+HISTOSEPT24!X7+HISTOOCT24!X7+HISTONOV24!X7+HISTODEC24!X7</f>
        <v>0</v>
      </c>
      <c r="Y7" s="9">
        <f>HISTOJANV24!Y7+HISTOFEV24!Y7+HISTOMARS24!Y7+HISTOAVRIL24!Y7+HISTOMAI24!Y7+HISTOJUIN24!Y7+HISTOJUIL24!Y7+HISTOAOUT24!Y7+HISTOSEPT24!Y7+HISTOOCT24!Y7+HISTONOV24!Y7+HISTODEC24!Y7</f>
        <v>0</v>
      </c>
      <c r="Z7" s="9">
        <f>HISTOJANV24!Z7+HISTOFEV24!Z7+HISTOMARS24!Z7+HISTOAVRIL24!Z7+HISTOMAI24!Z7+HISTOJUIN24!Z7+HISTOJUIL24!Z7+HISTOAOUT24!Z7+HISTOSEPT24!Z7+HISTOOCT24!Z7+HISTONOV24!Z7+HISTODEC24!Z7</f>
        <v>0</v>
      </c>
      <c r="AA7" s="12"/>
      <c r="AB7" s="12"/>
      <c r="AC7" s="9">
        <f>HISTOJANV24!AC7+HISTOFEV24!AC7+HISTOMARS24!AC7+HISTOAVRIL24!AC7+HISTOMAI24!AC7+HISTOJUIN24!AC7+HISTOJUIL24!AC7+HISTOAOUT24!AC7+HISTOSEPT24!AC7+HISTOOCT24!AC7+HISTONOV24!AC7+HISTODEC24!AC7</f>
        <v>10000</v>
      </c>
      <c r="AD7" s="9">
        <f>HISTOJANV24!AD7+HISTOFEV24!AD7+HISTOMARS24!AD7+HISTOAVRIL24!AD7+HISTOMAI24!AD7+HISTOJUIN24!AD7+HISTOJUIL24!AD7+HISTOAOUT24!AD7+HISTOSEPT24!AD7+HISTOOCT24!AD7+HISTONOV24!AD7+HISTODEC24!AD7</f>
        <v>0</v>
      </c>
      <c r="AE7" s="9">
        <f>HISTOJANV24!AE7+HISTOFEV24!AE7+HISTOMARS24!AE7+HISTOAVRIL24!AE7+HISTOMAI24!AE7+HISTOJUIN24!AE7+HISTOJUIL24!AE7+HISTOAOUT24!AE7+HISTOSEPT24!AE7+HISTOOCT24!AE7+HISTONOV24!AE7+HISTODEC24!AE7</f>
        <v>0</v>
      </c>
      <c r="AF7" s="12"/>
      <c r="AG7" s="12"/>
      <c r="AH7" s="9">
        <f>HISTOJANV24!AH7+HISTOFEV24!AH7+HISTOMARS24!AH7+HISTOAVRIL24!AH7+HISTOMAI24!AH7+HISTOJUIN24!AH7+HISTOJUIL24!AH7+HISTOAOUT24!AH7+HISTOSEPT24!AH7+HISTOOCT24!AH7+HISTONOV24!AH7+HISTODEC24!AH7</f>
        <v>0</v>
      </c>
      <c r="AI7" s="9">
        <f>HISTOJANV24!AI7+HISTOFEV24!AI7+HISTOMARS24!AI7+HISTOAVRIL24!AI7+HISTOMAI24!AI7+HISTOJUIN24!AI7+HISTOJUIL24!AI7+HISTOAOUT24!AI7+HISTOSEPT24!AI7+HISTOOCT24!AI7+HISTONOV24!AI7+HISTODEC24!AI7</f>
        <v>60000</v>
      </c>
      <c r="AJ7" s="9">
        <f>HISTOJANV24!AJ7+HISTOFEV24!AJ7+HISTOMARS24!AJ7+HISTOAVRIL24!AJ7+HISTOMAI24!AJ7+HISTOJUIN24!AJ7+HISTOJUIL24!AJ7+HISTOAOUT24!AJ7+HISTOSEPT24!AJ7+HISTOOCT24!AJ7+HISTONOV24!AJ7+HISTODEC24!AJ7</f>
        <v>0</v>
      </c>
      <c r="AK7" s="9">
        <f>HISTOJANV24!AK7+HISTOFEV24!AK7+HISTOMARS24!AK7+HISTOAVRIL24!AK7+HISTOMAI24!AK7+HISTOJUIN24!AK7+HISTOJUIL24!AK7+HISTOAOUT24!AK7+HISTOSEPT24!AK7+HISTOOCT24!AK7+HISTONOV24!AK7+HISTODEC24!AK7</f>
        <v>0</v>
      </c>
      <c r="AL7" s="9">
        <f>HISTOJANV24!AL7+HISTOFEV24!AL7+HISTOMARS24!AL7+HISTOAVRIL24!AL7+HISTOMAI24!AL7+HISTOJUIN24!AL7+HISTOJUIL24!AL7+HISTOAOUT24!AL7+HISTOSEPT24!AL7+HISTOOCT24!AL7+HISTONOV24!AL7+HISTODEC24!AL7</f>
        <v>1000</v>
      </c>
      <c r="AM7" s="9">
        <f>HISTOJANV24!AM7+HISTOFEV24!AM7+HISTOMARS24!AM7+HISTOAVRIL24!AM7+HISTOMAI24!AM7+HISTOJUIN24!AM7+HISTOJUIL24!AM7+HISTOAOUT24!AM7+HISTOSEPT24!AM7+HISTOOCT24!AM7+HISTONOV24!AM7+HISTODEC24!AM7</f>
        <v>0</v>
      </c>
      <c r="AN7" s="9">
        <f>HISTOJANV24!AN7+HISTOFEV24!AN7+HISTOMARS24!AN7+HISTOAVRIL24!AN7+HISTOMAI24!AN7+HISTOJUIN24!AN7+HISTOJUIL24!AN7+HISTOAOUT24!AN7+HISTOSEPT24!AN7+HISTOOCT24!AN7+HISTONOV24!AN7+HISTODEC24!AN7</f>
        <v>0</v>
      </c>
      <c r="AO7" s="12"/>
      <c r="AP7" s="12"/>
      <c r="AQ7" s="8">
        <f t="shared" si="2"/>
        <v>0</v>
      </c>
      <c r="AR7" s="8">
        <f t="shared" si="3"/>
        <v>0</v>
      </c>
      <c r="AS7" s="13">
        <f t="shared" ref="AS7:AS38" si="6">IF(H7="ECHEC",0,(K7+I7-25000))</f>
        <v>47000</v>
      </c>
      <c r="AT7" s="15"/>
      <c r="AV7" s="15"/>
      <c r="AW7" s="9">
        <f>HISTOJANV24!AW7+HISTOFEV24!AW7+HISTOMARS24!AW7+HISTOAVRIL24!AW7+HISTOMAI24!AW7+HISTOJUIN24!AW7+HISTOJUIL24!AW7+HISTOAOUT24!AW7+HISTOSEPT24!AW7+HISTOOCT24!AW7+HISTONOV24!AW7+HISTODEC24!AW7</f>
        <v>350000</v>
      </c>
      <c r="AX7" s="9">
        <f>HISTOJANV24!AX7+HISTOFEV24!AX7+HISTOMARS24!AX7+HISTOAVRIL24!AX7+HISTOMAI24!AX7+HISTOJUIN24!AX7+HISTOJUIL24!AX7+HISTOAOUT24!AX7+HISTOSEPT24!AX7+HISTOOCT24!AX7+HISTONOV24!AX7+HISTODEC24!AX7</f>
        <v>0</v>
      </c>
      <c r="AY7" s="9">
        <f>HISTOJANV24!AY7+HISTOFEV24!AY7+HISTOMARS24!AY7+HISTOAVRIL24!AY7+HISTOMAI24!AY7+HISTOJUIN24!AY7+HISTOJUIL24!AY7+HISTOAOUT24!AY7+HISTOSEPT24!AY7+HISTOOCT24!AY7+HISTONOV24!AY7+HISTODEC24!AY7</f>
        <v>0</v>
      </c>
      <c r="AZ7" s="9">
        <f>HISTOJANV24!AZ7+HISTOFEV24!AZ7+HISTOMARS24!AZ7+HISTOAVRIL24!AZ7+HISTOMAI24!AZ7+HISTOJUIN24!AZ7+HISTOJUIL24!AZ7+HISTOAOUT24!AZ7+HISTOSEPT24!AZ7+HISTOOCT24!AZ7+HISTONOV24!AZ7+HISTODEC24!AZ7</f>
        <v>344000</v>
      </c>
      <c r="BA7" s="9">
        <f>HISTOJANV24!BA7+HISTOFEV24!BA7+HISTOMARS24!BA7+HISTOAVRIL24!BA7+HISTOMAI24!BA7+HISTOJUIN24!BA7+HISTOJUIL24!BA7+HISTOAOUT24!BA7+HISTOSEPT24!BA7+HISTOOCT24!BA7+HISTONOV24!BA7+HISTODEC24!BA7</f>
        <v>0</v>
      </c>
      <c r="BB7" s="9">
        <f>HISTOJANV24!BB7+HISTOFEV24!BB7+HISTOMARS24!BB7+HISTOAVRIL24!BB7+HISTOMAI24!BB7+HISTOJUIN24!BB7+HISTOJUIL24!BB7+HISTOAOUT24!BB7+HISTOSEPT24!BB7+HISTOOCT24!BB7+HISTONOV24!BB7+HISTODEC24!BB7</f>
        <v>0</v>
      </c>
      <c r="BC7" s="15"/>
      <c r="BD7" s="9">
        <f>HISTOJANV24!BD7+HISTOFEV24!BD7+HISTOMARS24!BD7+HISTOAVRIL24!BD7+HISTOMAI24!BD7+HISTOJUIN24!BD7+HISTOJUIL24!BD7+HISTOAOUT24!BD7+HISTOSEPT24!BD7+HISTOOCT24!BD7+HISTONOV24!BD7+HISTODEC24!BD7</f>
        <v>350000</v>
      </c>
      <c r="BE7" s="82"/>
      <c r="BF7" s="9">
        <f>HISTOJANV24!BF7+HISTOFEV24!BF7+HISTOMARS24!BF7+HISTOAVRIL24!BF7+HISTOMAI24!BF7+HISTOJUIN24!BF7+HISTOJUIL24!BF7+HISTOAOUT24!BF7+HISTOSEPT24!BF7+HISTOOCT24!BF7+HISTONOV24!BF7+HISTODEC24!BF7</f>
        <v>18000</v>
      </c>
      <c r="BG7" s="29"/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/>
      <c r="D8" s="9">
        <f>HISTOJANV24!D8+HISTOFEV24!D8+HISTOMARS24!D8+HISTOAVRIL24!D8+HISTOMAI24!D8+HISTOJUIN24!D8+HISTOJUIL24!D8+HISTOAOUT24!D8+HISTOSEPT24!D8+HISTOOCT24!D8+HISTONOV24!D8+HISTODEC24!D8</f>
        <v>375000</v>
      </c>
      <c r="E8" s="9">
        <f>HISTOJANV24!E8+HISTOFEV24!E8+HISTOMARS24!E8+HISTOAVRIL24!E8+HISTOMAI24!E8+HISTOJUIN24!E8+HISTOJUIL24!E8+HISTOAOUT24!E8+HISTOSEPT24!E8+HISTOOCT24!E8+HISTONOV24!E8+HISTODEC24!E8</f>
        <v>25000</v>
      </c>
      <c r="F8" s="9">
        <f>HISTOJANV24!F8+HISTOFEV24!F8+HISTOMARS24!F8+HISTOAVRIL24!F8+HISTOMAI24!F8+HISTOJUIN24!F8+HISTOJUIL24!F8+HISTOAOUT24!F8+HISTOSEPT24!F8+HISTOOCT24!F8+HISTONOV24!F8+HISTODEC24!F8</f>
        <v>0</v>
      </c>
      <c r="G8" s="9">
        <f>HISTOJANV24!G8+HISTOFEV24!G8+HISTOMARS24!G8+HISTOAVRIL24!G8+HISTOMAI24!G8+HISTOJUIN24!G8+HISTOJUIL24!G8+HISTOAOUT24!G8+HISTOSEPT24!G8+HISTOOCT24!G8+HISTONOV24!G8+HISTODEC24!G8</f>
        <v>0</v>
      </c>
      <c r="H8" s="10"/>
      <c r="I8" s="9">
        <f>HISTOJANV24!I8+HISTOFEV24!I8+HISTOMARS24!I8+HISTOAVRIL24!I8+HISTOMAI24!I8+HISTOJUIN24!I8+HISTOJUIL24!I8+HISTOAOUT24!I8+HISTOSEPT24!I8+HISTOOCT24!I8+HISTONOV24!I8+HISTODEC24!I8</f>
        <v>-3000</v>
      </c>
      <c r="J8" s="11">
        <v>1</v>
      </c>
      <c r="K8" s="11">
        <f t="shared" si="4"/>
        <v>50000</v>
      </c>
      <c r="L8" s="6">
        <v>1</v>
      </c>
      <c r="M8" s="11">
        <f t="shared" si="0"/>
        <v>75000</v>
      </c>
      <c r="N8" s="6"/>
      <c r="O8" s="11">
        <f t="shared" si="1"/>
        <v>0</v>
      </c>
      <c r="P8" s="9">
        <f>HISTOJANV24!P8+HISTOFEV24!P8+HISTOMARS24!P8+HISTOAVRIL24!P8+HISTOMAI24!P8+HISTOJUIN24!P8+HISTOJUIL24!P8+HISTOAOUT24!P8+HISTOSEPT24!P8+HISTOOCT24!P8+HISTONOV24!P8+HISTODEC24!P8</f>
        <v>0</v>
      </c>
      <c r="Q8" s="9">
        <f>HISTOJANV24!Q8+HISTOFEV24!Q8+HISTOMARS24!Q8+HISTOAVRIL24!Q8+HISTOMAI24!Q8+HISTOJUIN24!Q8+HISTOJUIL24!Q8+HISTOAOUT24!Q8+HISTOSEPT24!Q8+HISTOOCT24!Q8+HISTONOV24!Q8+HISTODEC24!Q8</f>
        <v>0</v>
      </c>
      <c r="R8" s="9">
        <f>HISTOJANV24!R8+HISTOFEV24!R8+HISTOMARS24!R8+HISTOAVRIL24!R8+HISTOMAI24!R8+HISTOJUIN24!R8+HISTOJUIL24!R8+HISTOAOUT24!R8+HISTOSEPT24!R8+HISTOOCT24!R8+HISTONOV24!R8+HISTODEC24!R8</f>
        <v>0</v>
      </c>
      <c r="S8" s="9">
        <f>HISTOJANV24!S8+HISTOFEV24!S8+HISTOMARS24!S8+HISTOAVRIL24!S8+HISTOMAI24!S8+HISTOJUIN24!S8+HISTOJUIL24!S8+HISTOAOUT24!S8+HISTOSEPT24!S8+HISTOOCT24!S8+HISTONOV24!S8+HISTODEC24!S8</f>
        <v>0</v>
      </c>
      <c r="T8" s="12"/>
      <c r="U8" s="17">
        <f t="shared" si="5"/>
        <v>122000</v>
      </c>
      <c r="V8" s="9">
        <f>HISTOJANV24!V8+HISTOFEV24!V8+HISTOMARS24!V8+HISTOAVRIL24!V8+HISTOMAI24!V8+HISTOJUIN24!V8+HISTOJUIL24!V8+HISTOAOUT24!V8+HISTOSEPT24!V8+HISTOOCT24!V8+HISTONOV24!V8+HISTODEC24!V8</f>
        <v>0</v>
      </c>
      <c r="W8" s="9">
        <f>HISTOJANV24!W8+HISTOFEV24!W8+HISTOMARS24!W8+HISTOAVRIL24!W8+HISTOMAI24!W8+HISTOJUIN24!W8+HISTOJUIL24!W8+HISTOAOUT24!W8+HISTOSEPT24!W8+HISTOOCT24!W8+HISTONOV24!W8+HISTODEC24!W8</f>
        <v>0</v>
      </c>
      <c r="X8" s="9">
        <f>HISTOJANV24!X8+HISTOFEV24!X8+HISTOMARS24!X8+HISTOAVRIL24!X8+HISTOMAI24!X8+HISTOJUIN24!X8+HISTOJUIL24!X8+HISTOAOUT24!X8+HISTOSEPT24!X8+HISTOOCT24!X8+HISTONOV24!X8+HISTODEC24!X8</f>
        <v>0</v>
      </c>
      <c r="Y8" s="9">
        <f>HISTOJANV24!Y8+HISTOFEV24!Y8+HISTOMARS24!Y8+HISTOAVRIL24!Y8+HISTOMAI24!Y8+HISTOJUIN24!Y8+HISTOJUIL24!Y8+HISTOAOUT24!Y8+HISTOSEPT24!Y8+HISTOOCT24!Y8+HISTONOV24!Y8+HISTODEC24!Y8</f>
        <v>0</v>
      </c>
      <c r="Z8" s="9">
        <f>HISTOJANV24!Z8+HISTOFEV24!Z8+HISTOMARS24!Z8+HISTOAVRIL24!Z8+HISTOMAI24!Z8+HISTOJUIN24!Z8+HISTOJUIL24!Z8+HISTOAOUT24!Z8+HISTOSEPT24!Z8+HISTOOCT24!Z8+HISTONOV24!Z8+HISTODEC24!Z8</f>
        <v>0</v>
      </c>
      <c r="AA8" s="12"/>
      <c r="AB8" s="12"/>
      <c r="AC8" s="9">
        <f>HISTOJANV24!AC8+HISTOFEV24!AC8+HISTOMARS24!AC8+HISTOAVRIL24!AC8+HISTOMAI24!AC8+HISTOJUIN24!AC8+HISTOJUIL24!AC8+HISTOAOUT24!AC8+HISTOSEPT24!AC8+HISTOOCT24!AC8+HISTONOV24!AC8+HISTODEC24!AC8</f>
        <v>0</v>
      </c>
      <c r="AD8" s="9">
        <f>HISTOJANV24!AD8+HISTOFEV24!AD8+HISTOMARS24!AD8+HISTOAVRIL24!AD8+HISTOMAI24!AD8+HISTOJUIN24!AD8+HISTOJUIL24!AD8+HISTOAOUT24!AD8+HISTOSEPT24!AD8+HISTOOCT24!AD8+HISTONOV24!AD8+HISTODEC24!AD8</f>
        <v>0</v>
      </c>
      <c r="AE8" s="9">
        <f>HISTOJANV24!AE8+HISTOFEV24!AE8+HISTOMARS24!AE8+HISTOAVRIL24!AE8+HISTOMAI24!AE8+HISTOJUIN24!AE8+HISTOJUIL24!AE8+HISTOAOUT24!AE8+HISTOSEPT24!AE8+HISTOOCT24!AE8+HISTONOV24!AE8+HISTODEC24!AE8</f>
        <v>0</v>
      </c>
      <c r="AF8" s="12"/>
      <c r="AG8" s="12"/>
      <c r="AH8" s="9">
        <f>HISTOJANV24!AH8+HISTOFEV24!AH8+HISTOMARS24!AH8+HISTOAVRIL24!AH8+HISTOMAI24!AH8+HISTOJUIN24!AH8+HISTOJUIL24!AH8+HISTOAOUT24!AH8+HISTOSEPT24!AH8+HISTOOCT24!AH8+HISTONOV24!AH8+HISTODEC24!AH8</f>
        <v>0</v>
      </c>
      <c r="AI8" s="9">
        <f>HISTOJANV24!AI8+HISTOFEV24!AI8+HISTOMARS24!AI8+HISTOAVRIL24!AI8+HISTOMAI24!AI8+HISTOJUIN24!AI8+HISTOJUIL24!AI8+HISTOAOUT24!AI8+HISTOSEPT24!AI8+HISTOOCT24!AI8+HISTONOV24!AI8+HISTODEC24!AI8</f>
        <v>0</v>
      </c>
      <c r="AJ8" s="9">
        <f>HISTOJANV24!AJ8+HISTOFEV24!AJ8+HISTOMARS24!AJ8+HISTOAVRIL24!AJ8+HISTOMAI24!AJ8+HISTOJUIN24!AJ8+HISTOJUIL24!AJ8+HISTOAOUT24!AJ8+HISTOSEPT24!AJ8+HISTOOCT24!AJ8+HISTONOV24!AJ8+HISTODEC24!AJ8</f>
        <v>0</v>
      </c>
      <c r="AK8" s="9">
        <f>HISTOJANV24!AK8+HISTOFEV24!AK8+HISTOMARS24!AK8+HISTOAVRIL24!AK8+HISTOMAI24!AK8+HISTOJUIN24!AK8+HISTOJUIL24!AK8+HISTOAOUT24!AK8+HISTOSEPT24!AK8+HISTOOCT24!AK8+HISTONOV24!AK8+HISTODEC24!AK8</f>
        <v>0</v>
      </c>
      <c r="AL8" s="9">
        <f>HISTOJANV24!AL8+HISTOFEV24!AL8+HISTOMARS24!AL8+HISTOAVRIL24!AL8+HISTOMAI24!AL8+HISTOJUIN24!AL8+HISTOJUIL24!AL8+HISTOAOUT24!AL8+HISTOSEPT24!AL8+HISTOOCT24!AL8+HISTONOV24!AL8+HISTODEC24!AL8</f>
        <v>0</v>
      </c>
      <c r="AM8" s="9">
        <f>HISTOJANV24!AM8+HISTOFEV24!AM8+HISTOMARS24!AM8+HISTOAVRIL24!AM8+HISTOMAI24!AM8+HISTOJUIN24!AM8+HISTOJUIL24!AM8+HISTOAOUT24!AM8+HISTOSEPT24!AM8+HISTOOCT24!AM8+HISTONOV24!AM8+HISTODEC24!AM8</f>
        <v>0</v>
      </c>
      <c r="AN8" s="9">
        <f>HISTOJANV24!AN8+HISTOFEV24!AN8+HISTOMARS24!AN8+HISTOAVRIL24!AN8+HISTOMAI24!AN8+HISTOJUIN24!AN8+HISTOJUIL24!AN8+HISTOAOUT24!AN8+HISTOSEPT24!AN8+HISTOOCT24!AN8+HISTONOV24!AN8+HISTODEC24!AN8</f>
        <v>0</v>
      </c>
      <c r="AO8" s="12"/>
      <c r="AP8" s="12"/>
      <c r="AQ8" s="8">
        <f t="shared" si="2"/>
        <v>0</v>
      </c>
      <c r="AR8" s="8">
        <f t="shared" si="3"/>
        <v>0</v>
      </c>
      <c r="AS8" s="13">
        <f t="shared" si="6"/>
        <v>22000</v>
      </c>
      <c r="AT8" s="15"/>
      <c r="AV8" s="15"/>
      <c r="AW8" s="9">
        <f>HISTOJANV24!AW8+HISTOFEV24!AW8+HISTOMARS24!AW8+HISTOAVRIL24!AW8+HISTOMAI24!AW8+HISTOJUIN24!AW8+HISTOJUIL24!AW8+HISTOAOUT24!AW8+HISTOSEPT24!AW8+HISTOOCT24!AW8+HISTONOV24!AW8+HISTODEC24!AW8</f>
        <v>0</v>
      </c>
      <c r="AX8" s="9">
        <f>HISTOJANV24!AX8+HISTOFEV24!AX8+HISTOMARS24!AX8+HISTOAVRIL24!AX8+HISTOMAI24!AX8+HISTOJUIN24!AX8+HISTOJUIL24!AX8+HISTOAOUT24!AX8+HISTOSEPT24!AX8+HISTOOCT24!AX8+HISTONOV24!AX8+HISTODEC24!AX8</f>
        <v>0</v>
      </c>
      <c r="AY8" s="9">
        <f>HISTOJANV24!AY8+HISTOFEV24!AY8+HISTOMARS24!AY8+HISTOAVRIL24!AY8+HISTOMAI24!AY8+HISTOJUIN24!AY8+HISTOJUIL24!AY8+HISTOAOUT24!AY8+HISTOSEPT24!AY8+HISTOOCT24!AY8+HISTONOV24!AY8+HISTODEC24!AY8</f>
        <v>0</v>
      </c>
      <c r="AZ8" s="9">
        <f>HISTOJANV24!AZ8+HISTOFEV24!AZ8+HISTOMARS24!AZ8+HISTOAVRIL24!AZ8+HISTOMAI24!AZ8+HISTOJUIN24!AZ8+HISTOJUIL24!AZ8+HISTOAOUT24!AZ8+HISTOSEPT24!AZ8+HISTOOCT24!AZ8+HISTONOV24!AZ8+HISTODEC24!AZ8</f>
        <v>0</v>
      </c>
      <c r="BA8" s="9">
        <f>HISTOJANV24!BA8+HISTOFEV24!BA8+HISTOMARS24!BA8+HISTOAVRIL24!BA8+HISTOMAI24!BA8+HISTOJUIN24!BA8+HISTOJUIL24!BA8+HISTOAOUT24!BA8+HISTOSEPT24!BA8+HISTOOCT24!BA8+HISTONOV24!BA8+HISTODEC24!BA8</f>
        <v>0</v>
      </c>
      <c r="BB8" s="9">
        <f>HISTOJANV24!BB8+HISTOFEV24!BB8+HISTOMARS24!BB8+HISTOAVRIL24!BB8+HISTOMAI24!BB8+HISTOJUIN24!BB8+HISTOJUIL24!BB8+HISTOAOUT24!BB8+HISTOSEPT24!BB8+HISTOOCT24!BB8+HISTONOV24!BB8+HISTODEC24!BB8</f>
        <v>0</v>
      </c>
      <c r="BC8" s="15"/>
      <c r="BD8" s="9">
        <f>HISTOJANV24!BD8+HISTOFEV24!BD8+HISTOMARS24!BD8+HISTOAVRIL24!BD8+HISTOMAI24!BD8+HISTOJUIN24!BD8+HISTOJUIL24!BD8+HISTOAOUT24!BD8+HISTOSEPT24!BD8+HISTOOCT24!BD8+HISTONOV24!BD8+HISTODEC24!BD8</f>
        <v>0</v>
      </c>
      <c r="BE8" s="82"/>
      <c r="BF8" s="9">
        <f>HISTOJANV24!BF8+HISTOFEV24!BF8+HISTOMARS24!BF8+HISTOAVRIL24!BF8+HISTOMAI24!BF8+HISTOJUIN24!BF8+HISTOJUIL24!BF8+HISTOAOUT24!BF8+HISTOSEPT24!BF8+HISTOOCT24!BF8+HISTONOV24!BF8+HISTODEC24!BF8</f>
        <v>25000</v>
      </c>
      <c r="BG8" s="29"/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/>
      <c r="D9" s="9">
        <f>HISTOJANV24!D9+HISTOFEV24!D9+HISTOMARS24!D9+HISTOAVRIL24!D9+HISTOMAI24!D9+HISTOJUIN24!D9+HISTOJUIL24!D9+HISTOAOUT24!D9+HISTOSEPT24!D9+HISTOOCT24!D9+HISTONOV24!D9+HISTODEC24!D9</f>
        <v>750000</v>
      </c>
      <c r="E9" s="9">
        <f>HISTOJANV24!E9+HISTOFEV24!E9+HISTOMARS24!E9+HISTOAVRIL24!E9+HISTOMAI24!E9+HISTOJUIN24!E9+HISTOJUIL24!E9+HISTOAOUT24!E9+HISTOSEPT24!E9+HISTOOCT24!E9+HISTONOV24!E9+HISTODEC24!E9</f>
        <v>0</v>
      </c>
      <c r="F9" s="9">
        <f>HISTOJANV24!F9+HISTOFEV24!F9+HISTOMARS24!F9+HISTOAVRIL24!F9+HISTOMAI24!F9+HISTOJUIN24!F9+HISTOJUIL24!F9+HISTOAOUT24!F9+HISTOSEPT24!F9+HISTOOCT24!F9+HISTONOV24!F9+HISTODEC24!F9</f>
        <v>0</v>
      </c>
      <c r="G9" s="9">
        <f>HISTOJANV24!G9+HISTOFEV24!G9+HISTOMARS24!G9+HISTOAVRIL24!G9+HISTOMAI24!G9+HISTOJUIN24!G9+HISTOJUIL24!G9+HISTOAOUT24!G9+HISTOSEPT24!G9+HISTOOCT24!G9+HISTONOV24!G9+HISTODEC24!G9</f>
        <v>0</v>
      </c>
      <c r="H9" s="10"/>
      <c r="I9" s="9">
        <f>HISTOJANV24!I9+HISTOFEV24!I9+HISTOMARS24!I9+HISTOAVRIL24!I9+HISTOMAI24!I9+HISTOJUIN24!I9+HISTOJUIL24!I9+HISTOAOUT24!I9+HISTOSEPT24!I9+HISTOOCT24!I9+HISTONOV24!I9+HISTODEC24!I9</f>
        <v>0</v>
      </c>
      <c r="J9" s="11">
        <v>1</v>
      </c>
      <c r="K9" s="11">
        <f t="shared" si="4"/>
        <v>50000</v>
      </c>
      <c r="L9" s="6"/>
      <c r="M9" s="11">
        <f t="shared" si="0"/>
        <v>0</v>
      </c>
      <c r="N9" s="6">
        <v>2</v>
      </c>
      <c r="O9" s="11">
        <f t="shared" si="1"/>
        <v>200000</v>
      </c>
      <c r="P9" s="9">
        <f>HISTOJANV24!P9+HISTOFEV24!P9+HISTOMARS24!P9+HISTOAVRIL24!P9+HISTOMAI24!P9+HISTOJUIN24!P9+HISTOJUIL24!P9+HISTOAOUT24!P9+HISTOSEPT24!P9+HISTOOCT24!P9+HISTONOV24!P9+HISTODEC24!P9</f>
        <v>0</v>
      </c>
      <c r="Q9" s="9">
        <f>HISTOJANV24!Q9+HISTOFEV24!Q9+HISTOMARS24!Q9+HISTOAVRIL24!Q9+HISTOMAI24!Q9+HISTOJUIN24!Q9+HISTOJUIL24!Q9+HISTOAOUT24!Q9+HISTOSEPT24!Q9+HISTOOCT24!Q9+HISTONOV24!Q9+HISTODEC24!Q9</f>
        <v>0</v>
      </c>
      <c r="R9" s="9">
        <f>HISTOJANV24!R9+HISTOFEV24!R9+HISTOMARS24!R9+HISTOAVRIL24!R9+HISTOMAI24!R9+HISTOJUIN24!R9+HISTOJUIL24!R9+HISTOAOUT24!R9+HISTOSEPT24!R9+HISTOOCT24!R9+HISTONOV24!R9+HISTODEC24!R9</f>
        <v>207500</v>
      </c>
      <c r="S9" s="9">
        <f>HISTOJANV24!S9+HISTOFEV24!S9+HISTOMARS24!S9+HISTOAVRIL24!S9+HISTOMAI24!S9+HISTOJUIN24!S9+HISTOJUIL24!S9+HISTOAOUT24!S9+HISTOSEPT24!S9+HISTOOCT24!S9+HISTONOV24!S9+HISTODEC24!S9</f>
        <v>0</v>
      </c>
      <c r="T9" s="12"/>
      <c r="U9" s="17">
        <f t="shared" si="5"/>
        <v>457500</v>
      </c>
      <c r="V9" s="9">
        <f>HISTOJANV24!V9+HISTOFEV24!V9+HISTOMARS24!V9+HISTOAVRIL24!V9+HISTOMAI24!V9+HISTOJUIN24!V9+HISTOJUIL24!V9+HISTOAOUT24!V9+HISTOSEPT24!V9+HISTOOCT24!V9+HISTONOV24!V9+HISTODEC24!V9</f>
        <v>0</v>
      </c>
      <c r="W9" s="9">
        <f>HISTOJANV24!W9+HISTOFEV24!W9+HISTOMARS24!W9+HISTOAVRIL24!W9+HISTOMAI24!W9+HISTOJUIN24!W9+HISTOJUIL24!W9+HISTOAOUT24!W9+HISTOSEPT24!W9+HISTOOCT24!W9+HISTONOV24!W9+HISTODEC24!W9</f>
        <v>0</v>
      </c>
      <c r="X9" s="9">
        <f>HISTOJANV24!X9+HISTOFEV24!X9+HISTOMARS24!X9+HISTOAVRIL24!X9+HISTOMAI24!X9+HISTOJUIN24!X9+HISTOJUIL24!X9+HISTOAOUT24!X9+HISTOSEPT24!X9+HISTOOCT24!X9+HISTONOV24!X9+HISTODEC24!X9</f>
        <v>0</v>
      </c>
      <c r="Y9" s="9">
        <f>HISTOJANV24!Y9+HISTOFEV24!Y9+HISTOMARS24!Y9+HISTOAVRIL24!Y9+HISTOMAI24!Y9+HISTOJUIN24!Y9+HISTOJUIL24!Y9+HISTOAOUT24!Y9+HISTOSEPT24!Y9+HISTOOCT24!Y9+HISTONOV24!Y9+HISTODEC24!Y9</f>
        <v>0</v>
      </c>
      <c r="Z9" s="9">
        <f>HISTOJANV24!Z9+HISTOFEV24!Z9+HISTOMARS24!Z9+HISTOAVRIL24!Z9+HISTOMAI24!Z9+HISTOJUIN24!Z9+HISTOJUIL24!Z9+HISTOAOUT24!Z9+HISTOSEPT24!Z9+HISTOOCT24!Z9+HISTONOV24!Z9+HISTODEC24!Z9</f>
        <v>0</v>
      </c>
      <c r="AA9" s="12"/>
      <c r="AB9" s="12"/>
      <c r="AC9" s="9">
        <f>HISTOJANV24!AC9+HISTOFEV24!AC9+HISTOMARS24!AC9+HISTOAVRIL24!AC9+HISTOMAI24!AC9+HISTOJUIN24!AC9+HISTOJUIL24!AC9+HISTOAOUT24!AC9+HISTOSEPT24!AC9+HISTOOCT24!AC9+HISTONOV24!AC9+HISTODEC24!AC9</f>
        <v>18000</v>
      </c>
      <c r="AD9" s="9">
        <f>HISTOJANV24!AD9+HISTOFEV24!AD9+HISTOMARS24!AD9+HISTOAVRIL24!AD9+HISTOMAI24!AD9+HISTOJUIN24!AD9+HISTOJUIL24!AD9+HISTOAOUT24!AD9+HISTOSEPT24!AD9+HISTOOCT24!AD9+HISTONOV24!AD9+HISTODEC24!AD9</f>
        <v>0</v>
      </c>
      <c r="AE9" s="9">
        <f>HISTOJANV24!AE9+HISTOFEV24!AE9+HISTOMARS24!AE9+HISTOAVRIL24!AE9+HISTOMAI24!AE9+HISTOJUIN24!AE9+HISTOJUIL24!AE9+HISTOAOUT24!AE9+HISTOSEPT24!AE9+HISTOOCT24!AE9+HISTONOV24!AE9+HISTODEC24!AE9</f>
        <v>115000</v>
      </c>
      <c r="AF9" s="12"/>
      <c r="AG9" s="12"/>
      <c r="AH9" s="9">
        <f>HISTOJANV24!AH9+HISTOFEV24!AH9+HISTOMARS24!AH9+HISTOAVRIL24!AH9+HISTOMAI24!AH9+HISTOJUIN24!AH9+HISTOJUIL24!AH9+HISTOAOUT24!AH9+HISTOSEPT24!AH9+HISTOOCT24!AH9+HISTONOV24!AH9+HISTODEC24!AH9</f>
        <v>0</v>
      </c>
      <c r="AI9" s="9">
        <f>HISTOJANV24!AI9+HISTOFEV24!AI9+HISTOMARS24!AI9+HISTOAVRIL24!AI9+HISTOMAI24!AI9+HISTOJUIN24!AI9+HISTOJUIL24!AI9+HISTOAOUT24!AI9+HISTOSEPT24!AI9+HISTOOCT24!AI9+HISTONOV24!AI9+HISTODEC24!AI9</f>
        <v>0</v>
      </c>
      <c r="AJ9" s="9">
        <f>HISTOJANV24!AJ9+HISTOFEV24!AJ9+HISTOMARS24!AJ9+HISTOAVRIL24!AJ9+HISTOMAI24!AJ9+HISTOJUIN24!AJ9+HISTOJUIL24!AJ9+HISTOAOUT24!AJ9+HISTOSEPT24!AJ9+HISTOOCT24!AJ9+HISTONOV24!AJ9+HISTODEC24!AJ9</f>
        <v>0</v>
      </c>
      <c r="AK9" s="9">
        <f>HISTOJANV24!AK9+HISTOFEV24!AK9+HISTOMARS24!AK9+HISTOAVRIL24!AK9+HISTOMAI24!AK9+HISTOJUIN24!AK9+HISTOJUIL24!AK9+HISTOAOUT24!AK9+HISTOSEPT24!AK9+HISTOOCT24!AK9+HISTONOV24!AK9+HISTODEC24!AK9</f>
        <v>205500</v>
      </c>
      <c r="AL9" s="9">
        <f>HISTOJANV24!AL9+HISTOFEV24!AL9+HISTOMARS24!AL9+HISTOAVRIL24!AL9+HISTOMAI24!AL9+HISTOJUIN24!AL9+HISTOJUIL24!AL9+HISTOAOUT24!AL9+HISTOSEPT24!AL9+HISTOOCT24!AL9+HISTONOV24!AL9+HISTODEC24!AL9</f>
        <v>0</v>
      </c>
      <c r="AM9" s="9">
        <f>HISTOJANV24!AM9+HISTOFEV24!AM9+HISTOMARS24!AM9+HISTOAVRIL24!AM9+HISTOMAI24!AM9+HISTOJUIN24!AM9+HISTOJUIL24!AM9+HISTOAOUT24!AM9+HISTOSEPT24!AM9+HISTOOCT24!AM9+HISTONOV24!AM9+HISTODEC24!AM9</f>
        <v>0</v>
      </c>
      <c r="AN9" s="9">
        <f>HISTOJANV24!AN9+HISTOFEV24!AN9+HISTOMARS24!AN9+HISTOAVRIL24!AN9+HISTOMAI24!AN9+HISTOJUIN24!AN9+HISTOJUIL24!AN9+HISTOAOUT24!AN9+HISTOSEPT24!AN9+HISTOOCT24!AN9+HISTONOV24!AN9+HISTODEC24!AN9</f>
        <v>2000</v>
      </c>
      <c r="AO9" s="12"/>
      <c r="AP9" s="12"/>
      <c r="AQ9" s="8">
        <f t="shared" si="2"/>
        <v>0</v>
      </c>
      <c r="AR9" s="8">
        <f t="shared" si="3"/>
        <v>0</v>
      </c>
      <c r="AS9" s="13">
        <f t="shared" si="6"/>
        <v>25000</v>
      </c>
      <c r="AT9" s="15"/>
      <c r="AV9" s="15"/>
      <c r="AW9" s="9">
        <f>HISTOJANV24!AW9+HISTOFEV24!AW9+HISTOMARS24!AW9+HISTOAVRIL24!AW9+HISTOMAI24!AW9+HISTOJUIN24!AW9+HISTOJUIL24!AW9+HISTOAOUT24!AW9+HISTOSEPT24!AW9+HISTOOCT24!AW9+HISTONOV24!AW9+HISTODEC24!AW9</f>
        <v>282000</v>
      </c>
      <c r="AX9" s="9">
        <f>HISTOJANV24!AX9+HISTOFEV24!AX9+HISTOMARS24!AX9+HISTOAVRIL24!AX9+HISTOMAI24!AX9+HISTOJUIN24!AX9+HISTOJUIL24!AX9+HISTOAOUT24!AX9+HISTOSEPT24!AX9+HISTOOCT24!AX9+HISTONOV24!AX9+HISTODEC24!AX9</f>
        <v>0</v>
      </c>
      <c r="AY9" s="9">
        <f>HISTOJANV24!AY9+HISTOFEV24!AY9+HISTOMARS24!AY9+HISTOAVRIL24!AY9+HISTOMAI24!AY9+HISTOJUIN24!AY9+HISTOJUIL24!AY9+HISTOAOUT24!AY9+HISTOSEPT24!AY9+HISTOOCT24!AY9+HISTONOV24!AY9+HISTODEC24!AY9</f>
        <v>1290500</v>
      </c>
      <c r="AZ9" s="9">
        <f>HISTOJANV24!AZ9+HISTOFEV24!AZ9+HISTOMARS24!AZ9+HISTOAVRIL24!AZ9+HISTOMAI24!AZ9+HISTOJUIN24!AZ9+HISTOJUIL24!AZ9+HISTOAOUT24!AZ9+HISTOSEPT24!AZ9+HISTOOCT24!AZ9+HISTONOV24!AZ9+HISTODEC24!AZ9</f>
        <v>1572500</v>
      </c>
      <c r="BA9" s="9">
        <f>HISTOJANV24!BA9+HISTOFEV24!BA9+HISTOMARS24!BA9+HISTOAVRIL24!BA9+HISTOMAI24!BA9+HISTOJUIN24!BA9+HISTOJUIL24!BA9+HISTOAOUT24!BA9+HISTOSEPT24!BA9+HISTOOCT24!BA9+HISTONOV24!BA9+HISTODEC24!BA9</f>
        <v>782000</v>
      </c>
      <c r="BB9" s="9">
        <f>HISTOJANV24!BB9+HISTOFEV24!BB9+HISTOMARS24!BB9+HISTOAVRIL24!BB9+HISTOMAI24!BB9+HISTOJUIN24!BB9+HISTOJUIL24!BB9+HISTOAOUT24!BB9+HISTOSEPT24!BB9+HISTOOCT24!BB9+HISTONOV24!BB9+HISTODEC24!BB9</f>
        <v>0</v>
      </c>
      <c r="BC9" s="15"/>
      <c r="BD9" s="9">
        <f>HISTOJANV24!BD9+HISTOFEV24!BD9+HISTOMARS24!BD9+HISTOAVRIL24!BD9+HISTOMAI24!BD9+HISTOJUIN24!BD9+HISTOJUIL24!BD9+HISTOAOUT24!BD9+HISTOSEPT24!BD9+HISTOOCT24!BD9+HISTONOV24!BD9+HISTODEC24!BD9</f>
        <v>790500</v>
      </c>
      <c r="BE9" s="82"/>
      <c r="BF9" s="9">
        <f>HISTOJANV24!BF9+HISTOFEV24!BF9+HISTOMARS24!BF9+HISTOAVRIL24!BF9+HISTOMAI24!BF9+HISTOJUIN24!BF9+HISTOJUIL24!BF9+HISTOAOUT24!BF9+HISTOSEPT24!BF9+HISTOOCT24!BF9+HISTONOV24!BF9+HISTODEC24!BF9</f>
        <v>0</v>
      </c>
      <c r="BG9" s="29"/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/>
      <c r="D10" s="9">
        <f>HISTOJANV24!D10+HISTOFEV24!D10+HISTOMARS24!D10+HISTOAVRIL24!D10+HISTOMAI24!D10+HISTOJUIN24!D10+HISTOJUIL24!D10+HISTOAOUT24!D10+HISTOSEPT24!D10+HISTOOCT24!D10+HISTONOV24!D10+HISTODEC24!D10</f>
        <v>430000</v>
      </c>
      <c r="E10" s="9">
        <f>HISTOJANV24!E10+HISTOFEV24!E10+HISTOMARS24!E10+HISTOAVRIL24!E10+HISTOMAI24!E10+HISTOJUIN24!E10+HISTOJUIL24!E10+HISTOAOUT24!E10+HISTOSEPT24!E10+HISTOOCT24!E10+HISTONOV24!E10+HISTODEC24!E10</f>
        <v>105000</v>
      </c>
      <c r="F10" s="9">
        <f>HISTOJANV24!F10+HISTOFEV24!F10+HISTOMARS24!F10+HISTOAVRIL24!F10+HISTOMAI24!F10+HISTOJUIN24!F10+HISTOJUIL24!F10+HISTOAOUT24!F10+HISTOSEPT24!F10+HISTOOCT24!F10+HISTONOV24!F10+HISTODEC24!F10</f>
        <v>0</v>
      </c>
      <c r="G10" s="9">
        <f>HISTOJANV24!G10+HISTOFEV24!G10+HISTOMARS24!G10+HISTOAVRIL24!G10+HISTOMAI24!G10+HISTOJUIN24!G10+HISTOJUIL24!G10+HISTOAOUT24!G10+HISTOSEPT24!G10+HISTOOCT24!G10+HISTONOV24!G10+HISTODEC24!G10</f>
        <v>3000</v>
      </c>
      <c r="H10" s="10"/>
      <c r="I10" s="9">
        <f>HISTOJANV24!I10+HISTOFEV24!I10+HISTOMARS24!I10+HISTOAVRIL24!I10+HISTOMAI24!I10+HISTOJUIN24!I10+HISTOJUIL24!I10+HISTOAOUT24!I10+HISTOSEPT24!I10+HISTOOCT24!I10+HISTONOV24!I10+HISTODEC24!I10</f>
        <v>-6000</v>
      </c>
      <c r="J10" s="11">
        <v>1</v>
      </c>
      <c r="K10" s="11">
        <f t="shared" si="4"/>
        <v>50000</v>
      </c>
      <c r="L10" s="6">
        <v>1</v>
      </c>
      <c r="M10" s="11">
        <f t="shared" si="0"/>
        <v>75000</v>
      </c>
      <c r="N10" s="6"/>
      <c r="O10" s="11">
        <f t="shared" si="1"/>
        <v>0</v>
      </c>
      <c r="P10" s="9">
        <f>HISTOJANV24!P10+HISTOFEV24!P10+HISTOMARS24!P10+HISTOAVRIL24!P10+HISTOMAI24!P10+HISTOJUIN24!P10+HISTOJUIL24!P10+HISTOAOUT24!P10+HISTOSEPT24!P10+HISTOOCT24!P10+HISTONOV24!P10+HISTODEC24!P10</f>
        <v>102000</v>
      </c>
      <c r="Q10" s="9">
        <f>HISTOJANV24!Q10+HISTOFEV24!Q10+HISTOMARS24!Q10+HISTOAVRIL24!Q10+HISTOMAI24!Q10+HISTOJUIN24!Q10+HISTOJUIL24!Q10+HISTOAOUT24!Q10+HISTOSEPT24!Q10+HISTOOCT24!Q10+HISTONOV24!Q10+HISTODEC24!Q10</f>
        <v>102000</v>
      </c>
      <c r="R10" s="9">
        <f>HISTOJANV24!R10+HISTOFEV24!R10+HISTOMARS24!R10+HISTOAVRIL24!R10+HISTOMAI24!R10+HISTOJUIN24!R10+HISTOJUIL24!R10+HISTOAOUT24!R10+HISTOSEPT24!R10+HISTOOCT24!R10+HISTONOV24!R10+HISTODEC24!R10</f>
        <v>0</v>
      </c>
      <c r="S10" s="9">
        <f>HISTOJANV24!S10+HISTOFEV24!S10+HISTOMARS24!S10+HISTOAVRIL24!S10+HISTOMAI24!S10+HISTOJUIN24!S10+HISTOJUIL24!S10+HISTOAOUT24!S10+HISTOSEPT24!S10+HISTOOCT24!S10+HISTONOV24!S10+HISTODEC24!S10</f>
        <v>0</v>
      </c>
      <c r="T10" s="12"/>
      <c r="U10" s="17">
        <f t="shared" si="5"/>
        <v>326000</v>
      </c>
      <c r="V10" s="9">
        <f>HISTOJANV24!V10+HISTOFEV24!V10+HISTOMARS24!V10+HISTOAVRIL24!V10+HISTOMAI24!V10+HISTOJUIN24!V10+HISTOJUIL24!V10+HISTOAOUT24!V10+HISTOSEPT24!V10+HISTOOCT24!V10+HISTONOV24!V10+HISTODEC24!V10</f>
        <v>0</v>
      </c>
      <c r="W10" s="9">
        <f>HISTOJANV24!W10+HISTOFEV24!W10+HISTOMARS24!W10+HISTOAVRIL24!W10+HISTOMAI24!W10+HISTOJUIN24!W10+HISTOJUIL24!W10+HISTOAOUT24!W10+HISTOSEPT24!W10+HISTOOCT24!W10+HISTONOV24!W10+HISTODEC24!W10</f>
        <v>0</v>
      </c>
      <c r="X10" s="9">
        <f>HISTOJANV24!X10+HISTOFEV24!X10+HISTOMARS24!X10+HISTOAVRIL24!X10+HISTOMAI24!X10+HISTOJUIN24!X10+HISTOJUIL24!X10+HISTOAOUT24!X10+HISTOSEPT24!X10+HISTOOCT24!X10+HISTONOV24!X10+HISTODEC24!X10</f>
        <v>0</v>
      </c>
      <c r="Y10" s="9">
        <f>HISTOJANV24!Y10+HISTOFEV24!Y10+HISTOMARS24!Y10+HISTOAVRIL24!Y10+HISTOMAI24!Y10+HISTOJUIN24!Y10+HISTOJUIL24!Y10+HISTOAOUT24!Y10+HISTOSEPT24!Y10+HISTOOCT24!Y10+HISTONOV24!Y10+HISTODEC24!Y10</f>
        <v>0</v>
      </c>
      <c r="Z10" s="9">
        <f>HISTOJANV24!Z10+HISTOFEV24!Z10+HISTOMARS24!Z10+HISTOAVRIL24!Z10+HISTOMAI24!Z10+HISTOJUIN24!Z10+HISTOJUIL24!Z10+HISTOAOUT24!Z10+HISTOSEPT24!Z10+HISTOOCT24!Z10+HISTONOV24!Z10+HISTODEC24!Z10</f>
        <v>0</v>
      </c>
      <c r="AA10" s="12"/>
      <c r="AB10" s="12"/>
      <c r="AC10" s="9">
        <f>HISTOJANV24!AC10+HISTOFEV24!AC10+HISTOMARS24!AC10+HISTOAVRIL24!AC10+HISTOMAI24!AC10+HISTOJUIN24!AC10+HISTOJUIL24!AC10+HISTOAOUT24!AC10+HISTOSEPT24!AC10+HISTOOCT24!AC10+HISTONOV24!AC10+HISTODEC24!AC10</f>
        <v>0</v>
      </c>
      <c r="AD10" s="9">
        <f>HISTOJANV24!AD10+HISTOFEV24!AD10+HISTOMARS24!AD10+HISTOAVRIL24!AD10+HISTOMAI24!AD10+HISTOJUIN24!AD10+HISTOJUIL24!AD10+HISTOAOUT24!AD10+HISTOSEPT24!AD10+HISTOOCT24!AD10+HISTONOV24!AD10+HISTODEC24!AD10</f>
        <v>28000</v>
      </c>
      <c r="AE10" s="9">
        <f>HISTOJANV24!AE10+HISTOFEV24!AE10+HISTOMARS24!AE10+HISTOAVRIL24!AE10+HISTOMAI24!AE10+HISTOJUIN24!AE10+HISTOJUIL24!AE10+HISTOAOUT24!AE10+HISTOSEPT24!AE10+HISTOOCT24!AE10+HISTONOV24!AE10+HISTODEC24!AE10</f>
        <v>0</v>
      </c>
      <c r="AF10" s="12"/>
      <c r="AG10" s="12"/>
      <c r="AH10" s="9">
        <f>HISTOJANV24!AH10+HISTOFEV24!AH10+HISTOMARS24!AH10+HISTOAVRIL24!AH10+HISTOMAI24!AH10+HISTOJUIN24!AH10+HISTOJUIL24!AH10+HISTOAOUT24!AH10+HISTOSEPT24!AH10+HISTOOCT24!AH10+HISTONOV24!AH10+HISTODEC24!AH10</f>
        <v>0</v>
      </c>
      <c r="AI10" s="9">
        <f>HISTOJANV24!AI10+HISTOFEV24!AI10+HISTOMARS24!AI10+HISTOAVRIL24!AI10+HISTOMAI24!AI10+HISTOJUIN24!AI10+HISTOJUIL24!AI10+HISTOAOUT24!AI10+HISTOSEPT24!AI10+HISTOOCT24!AI10+HISTONOV24!AI10+HISTODEC24!AI10</f>
        <v>100000</v>
      </c>
      <c r="AJ10" s="9">
        <f>HISTOJANV24!AJ10+HISTOFEV24!AJ10+HISTOMARS24!AJ10+HISTOAVRIL24!AJ10+HISTOMAI24!AJ10+HISTOJUIN24!AJ10+HISTOJUIL24!AJ10+HISTOAOUT24!AJ10+HISTOSEPT24!AJ10+HISTOOCT24!AJ10+HISTONOV24!AJ10+HISTODEC24!AJ10</f>
        <v>100000</v>
      </c>
      <c r="AK10" s="9">
        <f>HISTOJANV24!AK10+HISTOFEV24!AK10+HISTOMARS24!AK10+HISTOAVRIL24!AK10+HISTOMAI24!AK10+HISTOJUIN24!AK10+HISTOJUIL24!AK10+HISTOAOUT24!AK10+HISTOSEPT24!AK10+HISTOOCT24!AK10+HISTONOV24!AK10+HISTODEC24!AK10</f>
        <v>0</v>
      </c>
      <c r="AL10" s="9">
        <f>HISTOJANV24!AL10+HISTOFEV24!AL10+HISTOMARS24!AL10+HISTOAVRIL24!AL10+HISTOMAI24!AL10+HISTOJUIN24!AL10+HISTOJUIL24!AL10+HISTOAOUT24!AL10+HISTOSEPT24!AL10+HISTOOCT24!AL10+HISTONOV24!AL10+HISTODEC24!AL10</f>
        <v>2000</v>
      </c>
      <c r="AM10" s="9">
        <f>HISTOJANV24!AM10+HISTOFEV24!AM10+HISTOMARS24!AM10+HISTOAVRIL24!AM10+HISTOMAI24!AM10+HISTOJUIN24!AM10+HISTOJUIL24!AM10+HISTOAOUT24!AM10+HISTOSEPT24!AM10+HISTOOCT24!AM10+HISTONOV24!AM10+HISTODEC24!AM10</f>
        <v>2000</v>
      </c>
      <c r="AN10" s="9">
        <f>HISTOJANV24!AN10+HISTOFEV24!AN10+HISTOMARS24!AN10+HISTOAVRIL24!AN10+HISTOMAI24!AN10+HISTOJUIN24!AN10+HISTOJUIL24!AN10+HISTOAOUT24!AN10+HISTOSEPT24!AN10+HISTOOCT24!AN10+HISTONOV24!AN10+HISTODEC24!AN10</f>
        <v>0</v>
      </c>
      <c r="AO10" s="12"/>
      <c r="AP10" s="12"/>
      <c r="AQ10" s="8">
        <f t="shared" si="2"/>
        <v>0</v>
      </c>
      <c r="AR10" s="8">
        <f t="shared" si="3"/>
        <v>0</v>
      </c>
      <c r="AS10" s="13">
        <f t="shared" si="6"/>
        <v>19000</v>
      </c>
      <c r="AT10" s="15"/>
      <c r="AV10" s="15"/>
      <c r="AW10" s="9">
        <f>HISTOJANV24!AW10+HISTOFEV24!AW10+HISTOMARS24!AW10+HISTOAVRIL24!AW10+HISTOMAI24!AW10+HISTOJUIN24!AW10+HISTOJUIL24!AW10+HISTOAOUT24!AW10+HISTOSEPT24!AW10+HISTOOCT24!AW10+HISTONOV24!AW10+HISTODEC24!AW10</f>
        <v>100000</v>
      </c>
      <c r="AX10" s="9">
        <f>HISTOJANV24!AX10+HISTOFEV24!AX10+HISTOMARS24!AX10+HISTOAVRIL24!AX10+HISTOMAI24!AX10+HISTOJUIN24!AX10+HISTOJUIL24!AX10+HISTOAOUT24!AX10+HISTOSEPT24!AX10+HISTOOCT24!AX10+HISTONOV24!AX10+HISTODEC24!AX10</f>
        <v>972000</v>
      </c>
      <c r="AY10" s="9">
        <f>HISTOJANV24!AY10+HISTOFEV24!AY10+HISTOMARS24!AY10+HISTOAVRIL24!AY10+HISTOMAI24!AY10+HISTOJUIN24!AY10+HISTOJUIL24!AY10+HISTOAOUT24!AY10+HISTOSEPT24!AY10+HISTOOCT24!AY10+HISTONOV24!AY10+HISTODEC24!AY10</f>
        <v>0</v>
      </c>
      <c r="AZ10" s="9">
        <f>HISTOJANV24!AZ10+HISTOFEV24!AZ10+HISTOMARS24!AZ10+HISTOAVRIL24!AZ10+HISTOMAI24!AZ10+HISTOJUIN24!AZ10+HISTOJUIL24!AZ10+HISTOAOUT24!AZ10+HISTOSEPT24!AZ10+HISTOOCT24!AZ10+HISTONOV24!AZ10+HISTODEC24!AZ10</f>
        <v>1072000</v>
      </c>
      <c r="BA10" s="9">
        <f>HISTOJANV24!BA10+HISTOFEV24!BA10+HISTOMARS24!BA10+HISTOAVRIL24!BA10+HISTOMAI24!BA10+HISTOJUIN24!BA10+HISTOJUIL24!BA10+HISTOAOUT24!BA10+HISTOSEPT24!BA10+HISTOOCT24!BA10+HISTONOV24!BA10+HISTODEC24!BA10</f>
        <v>39000</v>
      </c>
      <c r="BB10" s="9">
        <f>HISTOJANV24!BB10+HISTOFEV24!BB10+HISTOMARS24!BB10+HISTOAVRIL24!BB10+HISTOMAI24!BB10+HISTOJUIN24!BB10+HISTOJUIL24!BB10+HISTOAOUT24!BB10+HISTOSEPT24!BB10+HISTOOCT24!BB10+HISTONOV24!BB10+HISTODEC24!BB10</f>
        <v>0</v>
      </c>
      <c r="BC10" s="15"/>
      <c r="BD10" s="9">
        <f>HISTOJANV24!BD10+HISTOFEV24!BD10+HISTOMARS24!BD10+HISTOAVRIL24!BD10+HISTOMAI24!BD10+HISTOJUIN24!BD10+HISTOJUIL24!BD10+HISTOAOUT24!BD10+HISTOSEPT24!BD10+HISTOOCT24!BD10+HISTONOV24!BD10+HISTODEC24!BD10</f>
        <v>1033000</v>
      </c>
      <c r="BE10" s="82"/>
      <c r="BF10" s="9">
        <f>HISTOJANV24!BF10+HISTOFEV24!BF10+HISTOMARS24!BF10+HISTOAVRIL24!BF10+HISTOMAI24!BF10+HISTOJUIN24!BF10+HISTOJUIL24!BF10+HISTOAOUT24!BF10+HISTOSEPT24!BF10+HISTOOCT24!BF10+HISTONOV24!BF10+HISTODEC24!BF10</f>
        <v>0</v>
      </c>
      <c r="BG10" s="29"/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/>
      <c r="D11" s="9">
        <f>HISTOJANV24!D11+HISTOFEV24!D11+HISTOMARS24!D11+HISTOAVRIL24!D11+HISTOMAI24!D11+HISTOJUIN24!D11+HISTOJUIL24!D11+HISTOAOUT24!D11+HISTOSEPT24!D11+HISTOOCT24!D11+HISTONOV24!D11+HISTODEC24!D11</f>
        <v>477000</v>
      </c>
      <c r="E11" s="9">
        <f>HISTOJANV24!E11+HISTOFEV24!E11+HISTOMARS24!E11+HISTOAVRIL24!E11+HISTOMAI24!E11+HISTOJUIN24!E11+HISTOJUIL24!E11+HISTOAOUT24!E11+HISTOSEPT24!E11+HISTOOCT24!E11+HISTONOV24!E11+HISTODEC24!E11</f>
        <v>0</v>
      </c>
      <c r="F11" s="9">
        <f>HISTOJANV24!F11+HISTOFEV24!F11+HISTOMARS24!F11+HISTOAVRIL24!F11+HISTOMAI24!F11+HISTOJUIN24!F11+HISTOJUIL24!F11+HISTOAOUT24!F11+HISTOSEPT24!F11+HISTOOCT24!F11+HISTONOV24!F11+HISTODEC24!F11</f>
        <v>1000000</v>
      </c>
      <c r="G11" s="9">
        <f>HISTOJANV24!G11+HISTOFEV24!G11+HISTOMARS24!G11+HISTOAVRIL24!G11+HISTOMAI24!G11+HISTOJUIN24!G11+HISTOJUIL24!G11+HISTOAOUT24!G11+HISTOSEPT24!G11+HISTOOCT24!G11+HISTONOV24!G11+HISTODEC24!G11</f>
        <v>0</v>
      </c>
      <c r="H11" s="10"/>
      <c r="I11" s="9">
        <f>HISTOJANV24!I11+HISTOFEV24!I11+HISTOMARS24!I11+HISTOAVRIL24!I11+HISTOMAI24!I11+HISTOJUIN24!I11+HISTOJUIL24!I11+HISTOAOUT24!I11+HISTOSEPT24!I11+HISTOOCT24!I11+HISTONOV24!I11+HISTODEC24!I11</f>
        <v>0</v>
      </c>
      <c r="J11" s="11">
        <v>1</v>
      </c>
      <c r="K11" s="11">
        <f t="shared" si="4"/>
        <v>50000</v>
      </c>
      <c r="L11" s="6">
        <v>1</v>
      </c>
      <c r="M11" s="11">
        <f t="shared" si="0"/>
        <v>75000</v>
      </c>
      <c r="N11" s="6"/>
      <c r="O11" s="11">
        <f t="shared" si="1"/>
        <v>0</v>
      </c>
      <c r="P11" s="9">
        <f>HISTOJANV24!P11+HISTOFEV24!P11+HISTOMARS24!P11+HISTOAVRIL24!P11+HISTOMAI24!P11+HISTOJUIN24!P11+HISTOJUIL24!P11+HISTOAOUT24!P11+HISTOSEPT24!P11+HISTOOCT24!P11+HISTONOV24!P11+HISTODEC24!P11</f>
        <v>41000</v>
      </c>
      <c r="Q11" s="9">
        <f>HISTOJANV24!Q11+HISTOFEV24!Q11+HISTOMARS24!Q11+HISTOAVRIL24!Q11+HISTOMAI24!Q11+HISTOJUIN24!Q11+HISTOJUIL24!Q11+HISTOAOUT24!Q11+HISTOSEPT24!Q11+HISTOOCT24!Q11+HISTONOV24!Q11+HISTODEC24!Q11</f>
        <v>205000</v>
      </c>
      <c r="R11" s="9">
        <f>HISTOJANV24!R11+HISTOFEV24!R11+HISTOMARS24!R11+HISTOAVRIL24!R11+HISTOMAI24!R11+HISTOJUIN24!R11+HISTOJUIL24!R11+HISTOAOUT24!R11+HISTOSEPT24!R11+HISTOOCT24!R11+HISTONOV24!R11+HISTODEC24!R11</f>
        <v>0</v>
      </c>
      <c r="S11" s="9">
        <f>HISTOJANV24!S11+HISTOFEV24!S11+HISTOMARS24!S11+HISTOAVRIL24!S11+HISTOMAI24!S11+HISTOJUIN24!S11+HISTOJUIL24!S11+HISTOAOUT24!S11+HISTOSEPT24!S11+HISTOOCT24!S11+HISTONOV24!S11+HISTODEC24!S11</f>
        <v>1000000</v>
      </c>
      <c r="T11" s="12"/>
      <c r="U11" s="17">
        <f t="shared" si="5"/>
        <v>1371000</v>
      </c>
      <c r="V11" s="9">
        <f>HISTOJANV24!V11+HISTOFEV24!V11+HISTOMARS24!V11+HISTOAVRIL24!V11+HISTOMAI24!V11+HISTOJUIN24!V11+HISTOJUIL24!V11+HISTOAOUT24!V11+HISTOSEPT24!V11+HISTOOCT24!V11+HISTONOV24!V11+HISTODEC24!V11</f>
        <v>0</v>
      </c>
      <c r="W11" s="9">
        <f>HISTOJANV24!W11+HISTOFEV24!W11+HISTOMARS24!W11+HISTOAVRIL24!W11+HISTOMAI24!W11+HISTOJUIN24!W11+HISTOJUIL24!W11+HISTOAOUT24!W11+HISTOSEPT24!W11+HISTOOCT24!W11+HISTONOV24!W11+HISTODEC24!W11</f>
        <v>0</v>
      </c>
      <c r="X11" s="9">
        <f>HISTOJANV24!X11+HISTOFEV24!X11+HISTOMARS24!X11+HISTOAVRIL24!X11+HISTOMAI24!X11+HISTOJUIN24!X11+HISTOJUIL24!X11+HISTOAOUT24!X11+HISTOSEPT24!X11+HISTOOCT24!X11+HISTONOV24!X11+HISTODEC24!X11</f>
        <v>0</v>
      </c>
      <c r="Y11" s="9">
        <f>HISTOJANV24!Y11+HISTOFEV24!Y11+HISTOMARS24!Y11+HISTOAVRIL24!Y11+HISTOMAI24!Y11+HISTOJUIN24!Y11+HISTOJUIL24!Y11+HISTOAOUT24!Y11+HISTOSEPT24!Y11+HISTOOCT24!Y11+HISTONOV24!Y11+HISTODEC24!Y11</f>
        <v>0</v>
      </c>
      <c r="Z11" s="9">
        <f>HISTOJANV24!Z11+HISTOFEV24!Z11+HISTOMARS24!Z11+HISTOAVRIL24!Z11+HISTOMAI24!Z11+HISTOJUIN24!Z11+HISTOJUIL24!Z11+HISTOAOUT24!Z11+HISTOSEPT24!Z11+HISTOOCT24!Z11+HISTONOV24!Z11+HISTODEC24!Z11</f>
        <v>1000000</v>
      </c>
      <c r="AA11" s="12"/>
      <c r="AB11" s="12"/>
      <c r="AC11" s="9">
        <f>HISTOJANV24!AC11+HISTOFEV24!AC11+HISTOMARS24!AC11+HISTOAVRIL24!AC11+HISTOMAI24!AC11+HISTOJUIN24!AC11+HISTOJUIL24!AC11+HISTOAOUT24!AC11+HISTOSEPT24!AC11+HISTOOCT24!AC11+HISTONOV24!AC11+HISTODEC24!AC11</f>
        <v>16000</v>
      </c>
      <c r="AD11" s="9">
        <f>HISTOJANV24!AD11+HISTOFEV24!AD11+HISTOMARS24!AD11+HISTOAVRIL24!AD11+HISTOMAI24!AD11+HISTOJUIN24!AD11+HISTOJUIL24!AD11+HISTOAOUT24!AD11+HISTOSEPT24!AD11+HISTOOCT24!AD11+HISTONOV24!AD11+HISTODEC24!AD11</f>
        <v>16000</v>
      </c>
      <c r="AE11" s="9">
        <f>HISTOJANV24!AE11+HISTOFEV24!AE11+HISTOMARS24!AE11+HISTOAVRIL24!AE11+HISTOMAI24!AE11+HISTOJUIN24!AE11+HISTOJUIL24!AE11+HISTOAOUT24!AE11+HISTOSEPT24!AE11+HISTOOCT24!AE11+HISTONOV24!AE11+HISTODEC24!AE11</f>
        <v>0</v>
      </c>
      <c r="AF11" s="12"/>
      <c r="AG11" s="12"/>
      <c r="AH11" s="9">
        <f>HISTOJANV24!AH11+HISTOFEV24!AH11+HISTOMARS24!AH11+HISTOAVRIL24!AH11+HISTOMAI24!AH11+HISTOJUIN24!AH11+HISTOJUIL24!AH11+HISTOAOUT24!AH11+HISTOSEPT24!AH11+HISTOOCT24!AH11+HISTONOV24!AH11+HISTODEC24!AH11</f>
        <v>0</v>
      </c>
      <c r="AI11" s="9">
        <f>HISTOJANV24!AI11+HISTOFEV24!AI11+HISTOMARS24!AI11+HISTOAVRIL24!AI11+HISTOMAI24!AI11+HISTOJUIN24!AI11+HISTOJUIL24!AI11+HISTOAOUT24!AI11+HISTOSEPT24!AI11+HISTOOCT24!AI11+HISTONOV24!AI11+HISTODEC24!AI11</f>
        <v>40000</v>
      </c>
      <c r="AJ11" s="9">
        <f>HISTOJANV24!AJ11+HISTOFEV24!AJ11+HISTOMARS24!AJ11+HISTOAVRIL24!AJ11+HISTOMAI24!AJ11+HISTOJUIN24!AJ11+HISTOJUIL24!AJ11+HISTOAOUT24!AJ11+HISTOSEPT24!AJ11+HISTOOCT24!AJ11+HISTONOV24!AJ11+HISTODEC24!AJ11</f>
        <v>200000</v>
      </c>
      <c r="AK11" s="9">
        <f>HISTOJANV24!AK11+HISTOFEV24!AK11+HISTOMARS24!AK11+HISTOAVRIL24!AK11+HISTOMAI24!AK11+HISTOJUIN24!AK11+HISTOJUIL24!AK11+HISTOAOUT24!AK11+HISTOSEPT24!AK11+HISTOOCT24!AK11+HISTONOV24!AK11+HISTODEC24!AK11</f>
        <v>0</v>
      </c>
      <c r="AL11" s="9">
        <f>HISTOJANV24!AL11+HISTOFEV24!AL11+HISTOMARS24!AL11+HISTOAVRIL24!AL11+HISTOMAI24!AL11+HISTOJUIN24!AL11+HISTOJUIL24!AL11+HISTOAOUT24!AL11+HISTOSEPT24!AL11+HISTOOCT24!AL11+HISTONOV24!AL11+HISTODEC24!AL11</f>
        <v>1000</v>
      </c>
      <c r="AM11" s="9">
        <f>HISTOJANV24!AM11+HISTOFEV24!AM11+HISTOMARS24!AM11+HISTOAVRIL24!AM11+HISTOMAI24!AM11+HISTOJUIN24!AM11+HISTOJUIL24!AM11+HISTOAOUT24!AM11+HISTOSEPT24!AM11+HISTOOCT24!AM11+HISTONOV24!AM11+HISTODEC24!AM11</f>
        <v>5000</v>
      </c>
      <c r="AN11" s="9">
        <f>HISTOJANV24!AN11+HISTOFEV24!AN11+HISTOMARS24!AN11+HISTOAVRIL24!AN11+HISTOMAI24!AN11+HISTOJUIN24!AN11+HISTOJUIL24!AN11+HISTOAOUT24!AN11+HISTOSEPT24!AN11+HISTOOCT24!AN11+HISTONOV24!AN11+HISTODEC24!AN11</f>
        <v>0</v>
      </c>
      <c r="AO11" s="12"/>
      <c r="AP11" s="12"/>
      <c r="AQ11" s="8">
        <f t="shared" si="2"/>
        <v>0</v>
      </c>
      <c r="AR11" s="8">
        <f t="shared" si="3"/>
        <v>0</v>
      </c>
      <c r="AS11" s="13">
        <f t="shared" si="6"/>
        <v>25000</v>
      </c>
      <c r="AT11" s="15"/>
      <c r="AV11" s="15"/>
      <c r="AW11" s="9">
        <f>HISTOJANV24!AW11+HISTOFEV24!AW11+HISTOMARS24!AW11+HISTOAVRIL24!AW11+HISTOMAI24!AW11+HISTOJUIN24!AW11+HISTOJUIL24!AW11+HISTOAOUT24!AW11+HISTOSEPT24!AW11+HISTOOCT24!AW11+HISTONOV24!AW11+HISTODEC24!AW11</f>
        <v>324000</v>
      </c>
      <c r="AX11" s="9">
        <f>HISTOJANV24!AX11+HISTOFEV24!AX11+HISTOMARS24!AX11+HISTOAVRIL24!AX11+HISTOMAI24!AX11+HISTOJUIN24!AX11+HISTOJUIL24!AX11+HISTOAOUT24!AX11+HISTOSEPT24!AX11+HISTOOCT24!AX11+HISTONOV24!AX11+HISTODEC24!AX11</f>
        <v>1084000</v>
      </c>
      <c r="AY11" s="9">
        <f>HISTOJANV24!AY11+HISTOFEV24!AY11+HISTOMARS24!AY11+HISTOAVRIL24!AY11+HISTOMAI24!AY11+HISTOJUIN24!AY11+HISTOJUIL24!AY11+HISTOAOUT24!AY11+HISTOSEPT24!AY11+HISTOOCT24!AY11+HISTONOV24!AY11+HISTODEC24!AY11</f>
        <v>0</v>
      </c>
      <c r="AZ11" s="9">
        <f>HISTOJANV24!AZ11+HISTOFEV24!AZ11+HISTOMARS24!AZ11+HISTOAVRIL24!AZ11+HISTOMAI24!AZ11+HISTOJUIN24!AZ11+HISTOJUIL24!AZ11+HISTOAOUT24!AZ11+HISTOSEPT24!AZ11+HISTOOCT24!AZ11+HISTONOV24!AZ11+HISTODEC24!AZ11</f>
        <v>1388000</v>
      </c>
      <c r="BA11" s="9">
        <f>HISTOJANV24!BA11+HISTOFEV24!BA11+HISTOMARS24!BA11+HISTOAVRIL24!BA11+HISTOMAI24!BA11+HISTOJUIN24!BA11+HISTOJUIL24!BA11+HISTOAOUT24!BA11+HISTOSEPT24!BA11+HISTOOCT24!BA11+HISTONOV24!BA11+HISTODEC24!BA11</f>
        <v>368000</v>
      </c>
      <c r="BB11" s="9">
        <f>HISTOJANV24!BB11+HISTOFEV24!BB11+HISTOMARS24!BB11+HISTOAVRIL24!BB11+HISTOMAI24!BB11+HISTOJUIN24!BB11+HISTOJUIL24!BB11+HISTOAOUT24!BB11+HISTOSEPT24!BB11+HISTOOCT24!BB11+HISTONOV24!BB11+HISTODEC24!BB11</f>
        <v>0</v>
      </c>
      <c r="BC11" s="15"/>
      <c r="BD11" s="9">
        <f>HISTOJANV24!BD11+HISTOFEV24!BD11+HISTOMARS24!BD11+HISTOAVRIL24!BD11+HISTOMAI24!BD11+HISTOJUIN24!BD11+HISTOJUIL24!BD11+HISTOAOUT24!BD11+HISTOSEPT24!BD11+HISTOOCT24!BD11+HISTONOV24!BD11+HISTODEC24!BD11</f>
        <v>918000</v>
      </c>
      <c r="BE11" s="82"/>
      <c r="BF11" s="9">
        <f>HISTOJANV24!BF11+HISTOFEV24!BF11+HISTOMARS24!BF11+HISTOAVRIL24!BF11+HISTOMAI24!BF11+HISTOJUIN24!BF11+HISTOJUIL24!BF11+HISTOAOUT24!BF11+HISTOSEPT24!BF11+HISTOOCT24!BF11+HISTONOV24!BF11+HISTODEC24!BF11</f>
        <v>20000</v>
      </c>
      <c r="BG11" s="29"/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/>
      <c r="D12" s="9">
        <f>HISTOJANV24!D12+HISTOFEV24!D12+HISTOMARS24!D12+HISTOAVRIL24!D12+HISTOMAI24!D12+HISTOJUIN24!D12+HISTOJUIL24!D12+HISTOAOUT24!D12+HISTOSEPT24!D12+HISTOOCT24!D12+HISTONOV24!D12+HISTODEC24!D12</f>
        <v>1122000</v>
      </c>
      <c r="E12" s="9">
        <f>HISTOJANV24!E12+HISTOFEV24!E12+HISTOMARS24!E12+HISTOAVRIL24!E12+HISTOMAI24!E12+HISTOJUIN24!E12+HISTOJUIL24!E12+HISTOAOUT24!E12+HISTOSEPT24!E12+HISTOOCT24!E12+HISTONOV24!E12+HISTODEC24!E12</f>
        <v>0</v>
      </c>
      <c r="F12" s="9">
        <f>HISTOJANV24!F12+HISTOFEV24!F12+HISTOMARS24!F12+HISTOAVRIL24!F12+HISTOMAI24!F12+HISTOJUIN24!F12+HISTOJUIL24!F12+HISTOAOUT24!F12+HISTOSEPT24!F12+HISTOOCT24!F12+HISTONOV24!F12+HISTODEC24!F12</f>
        <v>0</v>
      </c>
      <c r="G12" s="9">
        <f>HISTOJANV24!G12+HISTOFEV24!G12+HISTOMARS24!G12+HISTOAVRIL24!G12+HISTOMAI24!G12+HISTOJUIN24!G12+HISTOJUIL24!G12+HISTOAOUT24!G12+HISTOSEPT24!G12+HISTOOCT24!G12+HISTONOV24!G12+HISTODEC24!G12</f>
        <v>0</v>
      </c>
      <c r="H12" s="10"/>
      <c r="I12" s="9">
        <f>HISTOJANV24!I12+HISTOFEV24!I12+HISTOMARS24!I12+HISTOAVRIL24!I12+HISTOMAI24!I12+HISTOJUIN24!I12+HISTOJUIL24!I12+HISTOAOUT24!I12+HISTOSEPT24!I12+HISTOOCT24!I12+HISTONOV24!I12+HISTODEC24!I12</f>
        <v>15000</v>
      </c>
      <c r="J12" s="11">
        <v>1</v>
      </c>
      <c r="K12" s="11">
        <f t="shared" si="4"/>
        <v>50000</v>
      </c>
      <c r="L12" s="6">
        <v>1</v>
      </c>
      <c r="M12" s="11">
        <f t="shared" si="0"/>
        <v>75000</v>
      </c>
      <c r="N12" s="6">
        <v>2</v>
      </c>
      <c r="O12" s="11">
        <f t="shared" si="1"/>
        <v>200000</v>
      </c>
      <c r="P12" s="9">
        <f>HISTOJANV24!P12+HISTOFEV24!P12+HISTOMARS24!P12+HISTOAVRIL24!P12+HISTOMAI24!P12+HISTOJUIN24!P12+HISTOJUIL24!P12+HISTOAOUT24!P12+HISTOSEPT24!P12+HISTOOCT24!P12+HISTONOV24!P12+HISTODEC24!P12</f>
        <v>0</v>
      </c>
      <c r="Q12" s="9">
        <f>HISTOJANV24!Q12+HISTOFEV24!Q12+HISTOMARS24!Q12+HISTOAVRIL24!Q12+HISTOMAI24!Q12+HISTOJUIN24!Q12+HISTOJUIL24!Q12+HISTOAOUT24!Q12+HISTOSEPT24!Q12+HISTOOCT24!Q12+HISTONOV24!Q12+HISTODEC24!Q12</f>
        <v>0</v>
      </c>
      <c r="R12" s="9">
        <f>HISTOJANV24!R12+HISTOFEV24!R12+HISTOMARS24!R12+HISTOAVRIL24!R12+HISTOMAI24!R12+HISTOJUIN24!R12+HISTOJUIL24!R12+HISTOAOUT24!R12+HISTOSEPT24!R12+HISTOOCT24!R12+HISTONOV24!R12+HISTODEC24!R12</f>
        <v>132000</v>
      </c>
      <c r="S12" s="9">
        <f>HISTOJANV24!S12+HISTOFEV24!S12+HISTOMARS24!S12+HISTOAVRIL24!S12+HISTOMAI24!S12+HISTOJUIN24!S12+HISTOJUIL24!S12+HISTOAOUT24!S12+HISTOSEPT24!S12+HISTOOCT24!S12+HISTONOV24!S12+HISTODEC24!S12</f>
        <v>0</v>
      </c>
      <c r="T12" s="12"/>
      <c r="U12" s="17">
        <f t="shared" si="5"/>
        <v>472000</v>
      </c>
      <c r="V12" s="9">
        <f>HISTOJANV24!V12+HISTOFEV24!V12+HISTOMARS24!V12+HISTOAVRIL24!V12+HISTOMAI24!V12+HISTOJUIN24!V12+HISTOJUIL24!V12+HISTOAOUT24!V12+HISTOSEPT24!V12+HISTOOCT24!V12+HISTONOV24!V12+HISTODEC24!V12</f>
        <v>0</v>
      </c>
      <c r="W12" s="9">
        <f>HISTOJANV24!W12+HISTOFEV24!W12+HISTOMARS24!W12+HISTOAVRIL24!W12+HISTOMAI24!W12+HISTOJUIN24!W12+HISTOJUIL24!W12+HISTOAOUT24!W12+HISTOSEPT24!W12+HISTOOCT24!W12+HISTONOV24!W12+HISTODEC24!W12</f>
        <v>0</v>
      </c>
      <c r="X12" s="9">
        <f>HISTOJANV24!X12+HISTOFEV24!X12+HISTOMARS24!X12+HISTOAVRIL24!X12+HISTOMAI24!X12+HISTOJUIN24!X12+HISTOJUIL24!X12+HISTOAOUT24!X12+HISTOSEPT24!X12+HISTOOCT24!X12+HISTONOV24!X12+HISTODEC24!X12</f>
        <v>0</v>
      </c>
      <c r="Y12" s="9">
        <f>HISTOJANV24!Y12+HISTOFEV24!Y12+HISTOMARS24!Y12+HISTOAVRIL24!Y12+HISTOMAI24!Y12+HISTOJUIN24!Y12+HISTOJUIL24!Y12+HISTOAOUT24!Y12+HISTOSEPT24!Y12+HISTOOCT24!Y12+HISTONOV24!Y12+HISTODEC24!Y12</f>
        <v>0</v>
      </c>
      <c r="Z12" s="9">
        <f>HISTOJANV24!Z12+HISTOFEV24!Z12+HISTOMARS24!Z12+HISTOAVRIL24!Z12+HISTOMAI24!Z12+HISTOJUIN24!Z12+HISTOJUIL24!Z12+HISTOAOUT24!Z12+HISTOSEPT24!Z12+HISTOOCT24!Z12+HISTONOV24!Z12+HISTODEC24!Z12</f>
        <v>0</v>
      </c>
      <c r="AA12" s="12"/>
      <c r="AB12" s="12"/>
      <c r="AC12" s="9">
        <f>HISTOJANV24!AC12+HISTOFEV24!AC12+HISTOMARS24!AC12+HISTOAVRIL24!AC12+HISTOMAI24!AC12+HISTOJUIN24!AC12+HISTOJUIL24!AC12+HISTOAOUT24!AC12+HISTOSEPT24!AC12+HISTOOCT24!AC12+HISTONOV24!AC12+HISTODEC24!AC12</f>
        <v>0</v>
      </c>
      <c r="AD12" s="9">
        <f>HISTOJANV24!AD12+HISTOFEV24!AD12+HISTOMARS24!AD12+HISTOAVRIL24!AD12+HISTOMAI24!AD12+HISTOJUIN24!AD12+HISTOJUIL24!AD12+HISTOAOUT24!AD12+HISTOSEPT24!AD12+HISTOOCT24!AD12+HISTONOV24!AD12+HISTODEC24!AD12</f>
        <v>60000</v>
      </c>
      <c r="AE12" s="9">
        <f>HISTOJANV24!AE12+HISTOFEV24!AE12+HISTOMARS24!AE12+HISTOAVRIL24!AE12+HISTOMAI24!AE12+HISTOJUIN24!AE12+HISTOJUIL24!AE12+HISTOAOUT24!AE12+HISTOSEPT24!AE12+HISTOOCT24!AE12+HISTONOV24!AE12+HISTODEC24!AE12</f>
        <v>0</v>
      </c>
      <c r="AF12" s="12"/>
      <c r="AG12" s="12"/>
      <c r="AH12" s="9">
        <f>HISTOJANV24!AH12+HISTOFEV24!AH12+HISTOMARS24!AH12+HISTOAVRIL24!AH12+HISTOMAI24!AH12+HISTOJUIN24!AH12+HISTOJUIL24!AH12+HISTOAOUT24!AH12+HISTOSEPT24!AH12+HISTOOCT24!AH12+HISTONOV24!AH12+HISTODEC24!AH12</f>
        <v>0</v>
      </c>
      <c r="AI12" s="9">
        <f>HISTOJANV24!AI12+HISTOFEV24!AI12+HISTOMARS24!AI12+HISTOAVRIL24!AI12+HISTOMAI24!AI12+HISTOJUIN24!AI12+HISTOJUIL24!AI12+HISTOAOUT24!AI12+HISTOSEPT24!AI12+HISTOOCT24!AI12+HISTONOV24!AI12+HISTODEC24!AI12</f>
        <v>0</v>
      </c>
      <c r="AJ12" s="9">
        <f>HISTOJANV24!AJ12+HISTOFEV24!AJ12+HISTOMARS24!AJ12+HISTOAVRIL24!AJ12+HISTOMAI24!AJ12+HISTOJUIN24!AJ12+HISTOJUIL24!AJ12+HISTOAOUT24!AJ12+HISTOSEPT24!AJ12+HISTOOCT24!AJ12+HISTONOV24!AJ12+HISTODEC24!AJ12</f>
        <v>0</v>
      </c>
      <c r="AK12" s="9">
        <f>HISTOJANV24!AK12+HISTOFEV24!AK12+HISTOMARS24!AK12+HISTOAVRIL24!AK12+HISTOMAI24!AK12+HISTOJUIN24!AK12+HISTOJUIL24!AK12+HISTOAOUT24!AK12+HISTOSEPT24!AK12+HISTOOCT24!AK12+HISTONOV24!AK12+HISTODEC24!AK12</f>
        <v>131000</v>
      </c>
      <c r="AL12" s="9">
        <f>HISTOJANV24!AL12+HISTOFEV24!AL12+HISTOMARS24!AL12+HISTOAVRIL24!AL12+HISTOMAI24!AL12+HISTOJUIN24!AL12+HISTOJUIL24!AL12+HISTOAOUT24!AL12+HISTOSEPT24!AL12+HISTOOCT24!AL12+HISTONOV24!AL12+HISTODEC24!AL12</f>
        <v>0</v>
      </c>
      <c r="AM12" s="9">
        <f>HISTOJANV24!AM12+HISTOFEV24!AM12+HISTOMARS24!AM12+HISTOAVRIL24!AM12+HISTOMAI24!AM12+HISTOJUIN24!AM12+HISTOJUIL24!AM12+HISTOAOUT24!AM12+HISTOSEPT24!AM12+HISTOOCT24!AM12+HISTONOV24!AM12+HISTODEC24!AM12</f>
        <v>0</v>
      </c>
      <c r="AN12" s="9">
        <f>HISTOJANV24!AN12+HISTOFEV24!AN12+HISTOMARS24!AN12+HISTOAVRIL24!AN12+HISTOMAI24!AN12+HISTOJUIN24!AN12+HISTOJUIL24!AN12+HISTOAOUT24!AN12+HISTOSEPT24!AN12+HISTOOCT24!AN12+HISTONOV24!AN12+HISTODEC24!AN12</f>
        <v>1000</v>
      </c>
      <c r="AO12" s="12"/>
      <c r="AP12" s="12"/>
      <c r="AQ12" s="8">
        <f t="shared" si="2"/>
        <v>0</v>
      </c>
      <c r="AR12" s="8">
        <f t="shared" si="3"/>
        <v>0</v>
      </c>
      <c r="AS12" s="13">
        <f t="shared" si="6"/>
        <v>40000</v>
      </c>
      <c r="AT12" s="15"/>
      <c r="AV12" s="15"/>
      <c r="AW12" s="9">
        <f>HISTOJANV24!AW12+HISTOFEV24!AW12+HISTOMARS24!AW12+HISTOAVRIL24!AW12+HISTOMAI24!AW12+HISTOJUIN24!AW12+HISTOJUIL24!AW12+HISTOAOUT24!AW12+HISTOSEPT24!AW12+HISTOOCT24!AW12+HISTONOV24!AW12+HISTODEC24!AW12</f>
        <v>0</v>
      </c>
      <c r="AX12" s="9">
        <f>HISTOJANV24!AX12+HISTOFEV24!AX12+HISTOMARS24!AX12+HISTOAVRIL24!AX12+HISTOMAI24!AX12+HISTOJUIN24!AX12+HISTOJUIL24!AX12+HISTOAOUT24!AX12+HISTOSEPT24!AX12+HISTOOCT24!AX12+HISTONOV24!AX12+HISTODEC24!AX12</f>
        <v>840000</v>
      </c>
      <c r="AY12" s="9">
        <f>HISTOJANV24!AY12+HISTOFEV24!AY12+HISTOMARS24!AY12+HISTOAVRIL24!AY12+HISTOMAI24!AY12+HISTOJUIN24!AY12+HISTOJUIL24!AY12+HISTOAOUT24!AY12+HISTOSEPT24!AY12+HISTOOCT24!AY12+HISTONOV24!AY12+HISTODEC24!AY12</f>
        <v>131000</v>
      </c>
      <c r="AZ12" s="9">
        <f>HISTOJANV24!AZ12+HISTOFEV24!AZ12+HISTOMARS24!AZ12+HISTOAVRIL24!AZ12+HISTOMAI24!AZ12+HISTOJUIN24!AZ12+HISTOJUIL24!AZ12+HISTOAOUT24!AZ12+HISTOSEPT24!AZ12+HISTOOCT24!AZ12+HISTONOV24!AZ12+HISTODEC24!AZ12</f>
        <v>971000</v>
      </c>
      <c r="BA12" s="9">
        <f>HISTOJANV24!BA12+HISTOFEV24!BA12+HISTOMARS24!BA12+HISTOAVRIL24!BA12+HISTOMAI24!BA12+HISTOJUIN24!BA12+HISTOJUIL24!BA12+HISTOAOUT24!BA12+HISTOSEPT24!BA12+HISTOOCT24!BA12+HISTONOV24!BA12+HISTODEC24!BA12</f>
        <v>66700</v>
      </c>
      <c r="BB12" s="9">
        <f>HISTOJANV24!BB12+HISTOFEV24!BB12+HISTOMARS24!BB12+HISTOAVRIL24!BB12+HISTOMAI24!BB12+HISTOJUIN24!BB12+HISTOJUIL24!BB12+HISTOAOUT24!BB12+HISTOSEPT24!BB12+HISTOOCT24!BB12+HISTONOV24!BB12+HISTODEC24!BB12</f>
        <v>0</v>
      </c>
      <c r="BC12" s="15"/>
      <c r="BD12" s="9">
        <f>HISTOJANV24!BD12+HISTOFEV24!BD12+HISTOMARS24!BD12+HISTOAVRIL24!BD12+HISTOMAI24!BD12+HISTOJUIN24!BD12+HISTOJUIL24!BD12+HISTOAOUT24!BD12+HISTOSEPT24!BD12+HISTOOCT24!BD12+HISTONOV24!BD12+HISTODEC24!BD12</f>
        <v>909300</v>
      </c>
      <c r="BE12" s="82"/>
      <c r="BF12" s="9">
        <f>HISTOJANV24!BF12+HISTOFEV24!BF12+HISTOMARS24!BF12+HISTOAVRIL24!BF12+HISTOMAI24!BF12+HISTOJUIN24!BF12+HISTOJUIL24!BF12+HISTOAOUT24!BF12+HISTOSEPT24!BF12+HISTOOCT24!BF12+HISTONOV24!BF12+HISTODEC24!BF12</f>
        <v>0</v>
      </c>
      <c r="BG12" s="29"/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/>
      <c r="D13" s="9">
        <f>HISTOJANV24!D13+HISTOFEV24!D13+HISTOMARS24!D13+HISTOAVRIL24!D13+HISTOMAI24!D13+HISTOJUIN24!D13+HISTOJUIL24!D13+HISTOAOUT24!D13+HISTOSEPT24!D13+HISTOOCT24!D13+HISTONOV24!D13+HISTODEC24!D13</f>
        <v>150000</v>
      </c>
      <c r="E13" s="9">
        <f>HISTOJANV24!E13+HISTOFEV24!E13+HISTOMARS24!E13+HISTOAVRIL24!E13+HISTOMAI24!E13+HISTOJUIN24!E13+HISTOJUIL24!E13+HISTOAOUT24!E13+HISTOSEPT24!E13+HISTOOCT24!E13+HISTONOV24!E13+HISTODEC24!E13</f>
        <v>0</v>
      </c>
      <c r="F13" s="9">
        <f>HISTOJANV24!F13+HISTOFEV24!F13+HISTOMARS24!F13+HISTOAVRIL24!F13+HISTOMAI24!F13+HISTOJUIN24!F13+HISTOJUIL24!F13+HISTOAOUT24!F13+HISTOSEPT24!F13+HISTOOCT24!F13+HISTONOV24!F13+HISTODEC24!F13</f>
        <v>0</v>
      </c>
      <c r="G13" s="9">
        <f>HISTOJANV24!G13+HISTOFEV24!G13+HISTOMARS24!G13+HISTOAVRIL24!G13+HISTOMAI24!G13+HISTOJUIN24!G13+HISTOJUIL24!G13+HISTOAOUT24!G13+HISTOSEPT24!G13+HISTOOCT24!G13+HISTONOV24!G13+HISTODEC24!G13</f>
        <v>0</v>
      </c>
      <c r="H13" s="10"/>
      <c r="I13" s="9">
        <f>HISTOJANV24!I13+HISTOFEV24!I13+HISTOMARS24!I13+HISTOAVRIL24!I13+HISTOMAI24!I13+HISTOJUIN24!I13+HISTOJUIL24!I13+HISTOAOUT24!I13+HISTOSEPT24!I13+HISTOOCT24!I13+HISTONOV24!I13+HISTODEC24!I13</f>
        <v>0</v>
      </c>
      <c r="J13" s="11">
        <v>1</v>
      </c>
      <c r="K13" s="11">
        <f t="shared" si="4"/>
        <v>50000</v>
      </c>
      <c r="L13" s="6"/>
      <c r="M13" s="11">
        <f t="shared" si="0"/>
        <v>0</v>
      </c>
      <c r="N13" s="6"/>
      <c r="O13" s="11">
        <f t="shared" si="1"/>
        <v>0</v>
      </c>
      <c r="P13" s="9">
        <f>HISTOJANV24!P13+HISTOFEV24!P13+HISTOMARS24!P13+HISTOAVRIL24!P13+HISTOMAI24!P13+HISTOJUIN24!P13+HISTOJUIL24!P13+HISTOAOUT24!P13+HISTOSEPT24!P13+HISTOOCT24!P13+HISTONOV24!P13+HISTODEC24!P13</f>
        <v>0</v>
      </c>
      <c r="Q13" s="9">
        <f>HISTOJANV24!Q13+HISTOFEV24!Q13+HISTOMARS24!Q13+HISTOAVRIL24!Q13+HISTOMAI24!Q13+HISTOJUIN24!Q13+HISTOJUIL24!Q13+HISTOAOUT24!Q13+HISTOSEPT24!Q13+HISTOOCT24!Q13+HISTONOV24!Q13+HISTODEC24!Q13</f>
        <v>0</v>
      </c>
      <c r="R13" s="9">
        <f>HISTOJANV24!R13+HISTOFEV24!R13+HISTOMARS24!R13+HISTOAVRIL24!R13+HISTOMAI24!R13+HISTOJUIN24!R13+HISTOJUIL24!R13+HISTOAOUT24!R13+HISTOSEPT24!R13+HISTOOCT24!R13+HISTONOV24!R13+HISTODEC24!R13</f>
        <v>0</v>
      </c>
      <c r="S13" s="9">
        <f>HISTOJANV24!S13+HISTOFEV24!S13+HISTOMARS24!S13+HISTOAVRIL24!S13+HISTOMAI24!S13+HISTOJUIN24!S13+HISTOJUIL24!S13+HISTOAOUT24!S13+HISTOSEPT24!S13+HISTOOCT24!S13+HISTONOV24!S13+HISTODEC24!S13</f>
        <v>0</v>
      </c>
      <c r="T13" s="12"/>
      <c r="U13" s="17">
        <f t="shared" si="5"/>
        <v>50000</v>
      </c>
      <c r="V13" s="9">
        <f>HISTOJANV24!V13+HISTOFEV24!V13+HISTOMARS24!V13+HISTOAVRIL24!V13+HISTOMAI24!V13+HISTOJUIN24!V13+HISTOJUIL24!V13+HISTOAOUT24!V13+HISTOSEPT24!V13+HISTOOCT24!V13+HISTONOV24!V13+HISTODEC24!V13</f>
        <v>0</v>
      </c>
      <c r="W13" s="9">
        <f>HISTOJANV24!W13+HISTOFEV24!W13+HISTOMARS24!W13+HISTOAVRIL24!W13+HISTOMAI24!W13+HISTOJUIN24!W13+HISTOJUIL24!W13+HISTOAOUT24!W13+HISTOSEPT24!W13+HISTOOCT24!W13+HISTONOV24!W13+HISTODEC24!W13</f>
        <v>0</v>
      </c>
      <c r="X13" s="9">
        <f>HISTOJANV24!X13+HISTOFEV24!X13+HISTOMARS24!X13+HISTOAVRIL24!X13+HISTOMAI24!X13+HISTOJUIN24!X13+HISTOJUIL24!X13+HISTOAOUT24!X13+HISTOSEPT24!X13+HISTOOCT24!X13+HISTONOV24!X13+HISTODEC24!X13</f>
        <v>0</v>
      </c>
      <c r="Y13" s="9">
        <f>HISTOJANV24!Y13+HISTOFEV24!Y13+HISTOMARS24!Y13+HISTOAVRIL24!Y13+HISTOMAI24!Y13+HISTOJUIN24!Y13+HISTOJUIL24!Y13+HISTOAOUT24!Y13+HISTOSEPT24!Y13+HISTOOCT24!Y13+HISTONOV24!Y13+HISTODEC24!Y13</f>
        <v>0</v>
      </c>
      <c r="Z13" s="9">
        <f>HISTOJANV24!Z13+HISTOFEV24!Z13+HISTOMARS24!Z13+HISTOAVRIL24!Z13+HISTOMAI24!Z13+HISTOJUIN24!Z13+HISTOJUIL24!Z13+HISTOAOUT24!Z13+HISTOSEPT24!Z13+HISTOOCT24!Z13+HISTONOV24!Z13+HISTODEC24!Z13</f>
        <v>0</v>
      </c>
      <c r="AA13" s="12"/>
      <c r="AB13" s="12"/>
      <c r="AC13" s="9">
        <f>HISTOJANV24!AC13+HISTOFEV24!AC13+HISTOMARS24!AC13+HISTOAVRIL24!AC13+HISTOMAI24!AC13+HISTOJUIN24!AC13+HISTOJUIL24!AC13+HISTOAOUT24!AC13+HISTOSEPT24!AC13+HISTOOCT24!AC13+HISTONOV24!AC13+HISTODEC24!AC13</f>
        <v>0</v>
      </c>
      <c r="AD13" s="9">
        <f>HISTOJANV24!AD13+HISTOFEV24!AD13+HISTOMARS24!AD13+HISTOAVRIL24!AD13+HISTOMAI24!AD13+HISTOJUIN24!AD13+HISTOJUIL24!AD13+HISTOAOUT24!AD13+HISTOSEPT24!AD13+HISTOOCT24!AD13+HISTONOV24!AD13+HISTODEC24!AD13</f>
        <v>0</v>
      </c>
      <c r="AE13" s="9">
        <f>HISTOJANV24!AE13+HISTOFEV24!AE13+HISTOMARS24!AE13+HISTOAVRIL24!AE13+HISTOMAI24!AE13+HISTOJUIN24!AE13+HISTOJUIL24!AE13+HISTOAOUT24!AE13+HISTOSEPT24!AE13+HISTOOCT24!AE13+HISTONOV24!AE13+HISTODEC24!AE13</f>
        <v>0</v>
      </c>
      <c r="AF13" s="12"/>
      <c r="AG13" s="12"/>
      <c r="AH13" s="9">
        <f>HISTOJANV24!AH13+HISTOFEV24!AH13+HISTOMARS24!AH13+HISTOAVRIL24!AH13+HISTOMAI24!AH13+HISTOJUIN24!AH13+HISTOJUIL24!AH13+HISTOAOUT24!AH13+HISTOSEPT24!AH13+HISTOOCT24!AH13+HISTONOV24!AH13+HISTODEC24!AH13</f>
        <v>0</v>
      </c>
      <c r="AI13" s="9">
        <f>HISTOJANV24!AI13+HISTOFEV24!AI13+HISTOMARS24!AI13+HISTOAVRIL24!AI13+HISTOMAI24!AI13+HISTOJUIN24!AI13+HISTOJUIL24!AI13+HISTOAOUT24!AI13+HISTOSEPT24!AI13+HISTOOCT24!AI13+HISTONOV24!AI13+HISTODEC24!AI13</f>
        <v>0</v>
      </c>
      <c r="AJ13" s="9">
        <f>HISTOJANV24!AJ13+HISTOFEV24!AJ13+HISTOMARS24!AJ13+HISTOAVRIL24!AJ13+HISTOMAI24!AJ13+HISTOJUIN24!AJ13+HISTOJUIL24!AJ13+HISTOAOUT24!AJ13+HISTOSEPT24!AJ13+HISTOOCT24!AJ13+HISTONOV24!AJ13+HISTODEC24!AJ13</f>
        <v>0</v>
      </c>
      <c r="AK13" s="9">
        <f>HISTOJANV24!AK13+HISTOFEV24!AK13+HISTOMARS24!AK13+HISTOAVRIL24!AK13+HISTOMAI24!AK13+HISTOJUIN24!AK13+HISTOJUIL24!AK13+HISTOAOUT24!AK13+HISTOSEPT24!AK13+HISTOOCT24!AK13+HISTONOV24!AK13+HISTODEC24!AK13</f>
        <v>0</v>
      </c>
      <c r="AL13" s="9">
        <f>HISTOJANV24!AL13+HISTOFEV24!AL13+HISTOMARS24!AL13+HISTOAVRIL24!AL13+HISTOMAI24!AL13+HISTOJUIN24!AL13+HISTOJUIL24!AL13+HISTOAOUT24!AL13+HISTOSEPT24!AL13+HISTOOCT24!AL13+HISTONOV24!AL13+HISTODEC24!AL13</f>
        <v>0</v>
      </c>
      <c r="AM13" s="9">
        <f>HISTOJANV24!AM13+HISTOFEV24!AM13+HISTOMARS24!AM13+HISTOAVRIL24!AM13+HISTOMAI24!AM13+HISTOJUIN24!AM13+HISTOJUIL24!AM13+HISTOAOUT24!AM13+HISTOSEPT24!AM13+HISTOOCT24!AM13+HISTONOV24!AM13+HISTODEC24!AM13</f>
        <v>0</v>
      </c>
      <c r="AN13" s="9">
        <f>HISTOJANV24!AN13+HISTOFEV24!AN13+HISTOMARS24!AN13+HISTOAVRIL24!AN13+HISTOMAI24!AN13+HISTOJUIN24!AN13+HISTOJUIL24!AN13+HISTOAOUT24!AN13+HISTOSEPT24!AN13+HISTOOCT24!AN13+HISTONOV24!AN13+HISTODEC24!AN13</f>
        <v>0</v>
      </c>
      <c r="AO13" s="12"/>
      <c r="AP13" s="12"/>
      <c r="AQ13" s="8">
        <f t="shared" si="2"/>
        <v>0</v>
      </c>
      <c r="AR13" s="8">
        <f t="shared" si="3"/>
        <v>0</v>
      </c>
      <c r="AS13" s="13">
        <f t="shared" si="6"/>
        <v>25000</v>
      </c>
      <c r="AT13" s="15"/>
      <c r="AV13" s="15"/>
      <c r="AW13" s="9">
        <f>HISTOJANV24!AW13+HISTOFEV24!AW13+HISTOMARS24!AW13+HISTOAVRIL24!AW13+HISTOMAI24!AW13+HISTOJUIN24!AW13+HISTOJUIL24!AW13+HISTOAOUT24!AW13+HISTOSEPT24!AW13+HISTOOCT24!AW13+HISTONOV24!AW13+HISTODEC24!AW13</f>
        <v>0</v>
      </c>
      <c r="AX13" s="9">
        <f>HISTOJANV24!AX13+HISTOFEV24!AX13+HISTOMARS24!AX13+HISTOAVRIL24!AX13+HISTOMAI24!AX13+HISTOJUIN24!AX13+HISTOJUIL24!AX13+HISTOAOUT24!AX13+HISTOSEPT24!AX13+HISTOOCT24!AX13+HISTONOV24!AX13+HISTODEC24!AX13</f>
        <v>0</v>
      </c>
      <c r="AY13" s="9">
        <f>HISTOJANV24!AY13+HISTOFEV24!AY13+HISTOMARS24!AY13+HISTOAVRIL24!AY13+HISTOMAI24!AY13+HISTOJUIN24!AY13+HISTOJUIL24!AY13+HISTOAOUT24!AY13+HISTOSEPT24!AY13+HISTOOCT24!AY13+HISTONOV24!AY13+HISTODEC24!AY13</f>
        <v>0</v>
      </c>
      <c r="AZ13" s="9">
        <f>HISTOJANV24!AZ13+HISTOFEV24!AZ13+HISTOMARS24!AZ13+HISTOAVRIL24!AZ13+HISTOMAI24!AZ13+HISTOJUIN24!AZ13+HISTOJUIL24!AZ13+HISTOAOUT24!AZ13+HISTOSEPT24!AZ13+HISTOOCT24!AZ13+HISTONOV24!AZ13+HISTODEC24!AZ13</f>
        <v>0</v>
      </c>
      <c r="BA13" s="9">
        <f>HISTOJANV24!BA13+HISTOFEV24!BA13+HISTOMARS24!BA13+HISTOAVRIL24!BA13+HISTOMAI24!BA13+HISTOJUIN24!BA13+HISTOJUIL24!BA13+HISTOAOUT24!BA13+HISTOSEPT24!BA13+HISTOOCT24!BA13+HISTONOV24!BA13+HISTODEC24!BA13</f>
        <v>0</v>
      </c>
      <c r="BB13" s="9">
        <f>HISTOJANV24!BB13+HISTOFEV24!BB13+HISTOMARS24!BB13+HISTOAVRIL24!BB13+HISTOMAI24!BB13+HISTOJUIN24!BB13+HISTOJUIL24!BB13+HISTOAOUT24!BB13+HISTOSEPT24!BB13+HISTOOCT24!BB13+HISTONOV24!BB13+HISTODEC24!BB13</f>
        <v>0</v>
      </c>
      <c r="BC13" s="15"/>
      <c r="BD13" s="9">
        <f>HISTOJANV24!BD13+HISTOFEV24!BD13+HISTOMARS24!BD13+HISTOAVRIL24!BD13+HISTOMAI24!BD13+HISTOJUIN24!BD13+HISTOJUIL24!BD13+HISTOAOUT24!BD13+HISTOSEPT24!BD13+HISTOOCT24!BD13+HISTONOV24!BD13+HISTODEC24!BD13</f>
        <v>0</v>
      </c>
      <c r="BE13" s="82"/>
      <c r="BF13" s="9">
        <f>HISTOJANV24!BF13+HISTOFEV24!BF13+HISTOMARS24!BF13+HISTOAVRIL24!BF13+HISTOMAI24!BF13+HISTOJUIN24!BF13+HISTOJUIL24!BF13+HISTOAOUT24!BF13+HISTOSEPT24!BF13+HISTOOCT24!BF13+HISTONOV24!BF13+HISTODEC24!BF13</f>
        <v>0</v>
      </c>
      <c r="BG13" s="29"/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/>
      <c r="D14" s="9">
        <f>HISTOJANV24!D14+HISTOFEV24!D14+HISTOMARS24!D14+HISTOAVRIL24!D14+HISTOMAI24!D14+HISTOJUIN24!D14+HISTOJUIL24!D14+HISTOAOUT24!D14+HISTOSEPT24!D14+HISTOOCT24!D14+HISTONOV24!D14+HISTODEC24!D14</f>
        <v>100000</v>
      </c>
      <c r="E14" s="9">
        <f>HISTOJANV24!E14+HISTOFEV24!E14+HISTOMARS24!E14+HISTOAVRIL24!E14+HISTOMAI24!E14+HISTOJUIN24!E14+HISTOJUIL24!E14+HISTOAOUT24!E14+HISTOSEPT24!E14+HISTOOCT24!E14+HISTONOV24!E14+HISTODEC24!E14</f>
        <v>50000</v>
      </c>
      <c r="F14" s="9">
        <f>HISTOJANV24!F14+HISTOFEV24!F14+HISTOMARS24!F14+HISTOAVRIL24!F14+HISTOMAI24!F14+HISTOJUIN24!F14+HISTOJUIL24!F14+HISTOAOUT24!F14+HISTOSEPT24!F14+HISTOOCT24!F14+HISTONOV24!F14+HISTODEC24!F14</f>
        <v>0</v>
      </c>
      <c r="G14" s="9">
        <f>HISTOJANV24!G14+HISTOFEV24!G14+HISTOMARS24!G14+HISTOAVRIL24!G14+HISTOMAI24!G14+HISTOJUIN24!G14+HISTOJUIL24!G14+HISTOAOUT24!G14+HISTOSEPT24!G14+HISTOOCT24!G14+HISTONOV24!G14+HISTODEC24!G14</f>
        <v>0</v>
      </c>
      <c r="H14" s="10"/>
      <c r="I14" s="9">
        <f>HISTOJANV24!I14+HISTOFEV24!I14+HISTOMARS24!I14+HISTOAVRIL24!I14+HISTOMAI24!I14+HISTOJUIN24!I14+HISTOJUIL24!I14+HISTOAOUT24!I14+HISTOSEPT24!I14+HISTOOCT24!I14+HISTONOV24!I14+HISTODEC24!I14</f>
        <v>0</v>
      </c>
      <c r="J14" s="11">
        <v>1</v>
      </c>
      <c r="K14" s="11">
        <f t="shared" si="4"/>
        <v>50000</v>
      </c>
      <c r="L14" s="6"/>
      <c r="M14" s="11">
        <f t="shared" si="0"/>
        <v>0</v>
      </c>
      <c r="N14" s="6"/>
      <c r="O14" s="11">
        <f t="shared" si="1"/>
        <v>0</v>
      </c>
      <c r="P14" s="9">
        <f>HISTOJANV24!P14+HISTOFEV24!P14+HISTOMARS24!P14+HISTOAVRIL24!P14+HISTOMAI24!P14+HISTOJUIN24!P14+HISTOJUIL24!P14+HISTOAOUT24!P14+HISTOSEPT24!P14+HISTOOCT24!P14+HISTONOV24!P14+HISTODEC24!P14</f>
        <v>0</v>
      </c>
      <c r="Q14" s="9">
        <f>HISTOJANV24!Q14+HISTOFEV24!Q14+HISTOMARS24!Q14+HISTOAVRIL24!Q14+HISTOMAI24!Q14+HISTOJUIN24!Q14+HISTOJUIL24!Q14+HISTOAOUT24!Q14+HISTOSEPT24!Q14+HISTOOCT24!Q14+HISTONOV24!Q14+HISTODEC24!Q14</f>
        <v>0</v>
      </c>
      <c r="R14" s="9">
        <f>HISTOJANV24!R14+HISTOFEV24!R14+HISTOMARS24!R14+HISTOAVRIL24!R14+HISTOMAI24!R14+HISTOJUIN24!R14+HISTOJUIL24!R14+HISTOAOUT24!R14+HISTOSEPT24!R14+HISTOOCT24!R14+HISTONOV24!R14+HISTODEC24!R14</f>
        <v>0</v>
      </c>
      <c r="S14" s="9">
        <f>HISTOJANV24!S14+HISTOFEV24!S14+HISTOMARS24!S14+HISTOAVRIL24!S14+HISTOMAI24!S14+HISTOJUIN24!S14+HISTOJUIL24!S14+HISTOAOUT24!S14+HISTOSEPT24!S14+HISTOOCT24!S14+HISTONOV24!S14+HISTODEC24!S14</f>
        <v>0</v>
      </c>
      <c r="T14" s="12"/>
      <c r="U14" s="17">
        <f t="shared" si="5"/>
        <v>50000</v>
      </c>
      <c r="V14" s="9">
        <f>HISTOJANV24!V14+HISTOFEV24!V14+HISTOMARS24!V14+HISTOAVRIL24!V14+HISTOMAI24!V14+HISTOJUIN24!V14+HISTOJUIL24!V14+HISTOAOUT24!V14+HISTOSEPT24!V14+HISTOOCT24!V14+HISTONOV24!V14+HISTODEC24!V14</f>
        <v>0</v>
      </c>
      <c r="W14" s="9">
        <f>HISTOJANV24!W14+HISTOFEV24!W14+HISTOMARS24!W14+HISTOAVRIL24!W14+HISTOMAI24!W14+HISTOJUIN24!W14+HISTOJUIL24!W14+HISTOAOUT24!W14+HISTOSEPT24!W14+HISTOOCT24!W14+HISTONOV24!W14+HISTODEC24!W14</f>
        <v>0</v>
      </c>
      <c r="X14" s="9">
        <f>HISTOJANV24!X14+HISTOFEV24!X14+HISTOMARS24!X14+HISTOAVRIL24!X14+HISTOMAI24!X14+HISTOJUIN24!X14+HISTOJUIL24!X14+HISTOAOUT24!X14+HISTOSEPT24!X14+HISTOOCT24!X14+HISTONOV24!X14+HISTODEC24!X14</f>
        <v>0</v>
      </c>
      <c r="Y14" s="9">
        <f>HISTOJANV24!Y14+HISTOFEV24!Y14+HISTOMARS24!Y14+HISTOAVRIL24!Y14+HISTOMAI24!Y14+HISTOJUIN24!Y14+HISTOJUIL24!Y14+HISTOAOUT24!Y14+HISTOSEPT24!Y14+HISTOOCT24!Y14+HISTONOV24!Y14+HISTODEC24!Y14</f>
        <v>0</v>
      </c>
      <c r="Z14" s="9">
        <f>HISTOJANV24!Z14+HISTOFEV24!Z14+HISTOMARS24!Z14+HISTOAVRIL24!Z14+HISTOMAI24!Z14+HISTOJUIN24!Z14+HISTOJUIL24!Z14+HISTOAOUT24!Z14+HISTOSEPT24!Z14+HISTOOCT24!Z14+HISTONOV24!Z14+HISTODEC24!Z14</f>
        <v>0</v>
      </c>
      <c r="AA14" s="12"/>
      <c r="AB14" s="12"/>
      <c r="AC14" s="9">
        <f>HISTOJANV24!AC14+HISTOFEV24!AC14+HISTOMARS24!AC14+HISTOAVRIL24!AC14+HISTOMAI24!AC14+HISTOJUIN24!AC14+HISTOJUIL24!AC14+HISTOAOUT24!AC14+HISTOSEPT24!AC14+HISTOOCT24!AC14+HISTONOV24!AC14+HISTODEC24!AC14</f>
        <v>0</v>
      </c>
      <c r="AD14" s="9">
        <f>HISTOJANV24!AD14+HISTOFEV24!AD14+HISTOMARS24!AD14+HISTOAVRIL24!AD14+HISTOMAI24!AD14+HISTOJUIN24!AD14+HISTOJUIL24!AD14+HISTOAOUT24!AD14+HISTOSEPT24!AD14+HISTOOCT24!AD14+HISTONOV24!AD14+HISTODEC24!AD14</f>
        <v>0</v>
      </c>
      <c r="AE14" s="9">
        <f>HISTOJANV24!AE14+HISTOFEV24!AE14+HISTOMARS24!AE14+HISTOAVRIL24!AE14+HISTOMAI24!AE14+HISTOJUIN24!AE14+HISTOJUIL24!AE14+HISTOAOUT24!AE14+HISTOSEPT24!AE14+HISTOOCT24!AE14+HISTONOV24!AE14+HISTODEC24!AE14</f>
        <v>0</v>
      </c>
      <c r="AF14" s="12"/>
      <c r="AG14" s="12"/>
      <c r="AH14" s="9">
        <f>HISTOJANV24!AH14+HISTOFEV24!AH14+HISTOMARS24!AH14+HISTOAVRIL24!AH14+HISTOMAI24!AH14+HISTOJUIN24!AH14+HISTOJUIL24!AH14+HISTOAOUT24!AH14+HISTOSEPT24!AH14+HISTOOCT24!AH14+HISTONOV24!AH14+HISTODEC24!AH14</f>
        <v>0</v>
      </c>
      <c r="AI14" s="9">
        <f>HISTOJANV24!AI14+HISTOFEV24!AI14+HISTOMARS24!AI14+HISTOAVRIL24!AI14+HISTOMAI24!AI14+HISTOJUIN24!AI14+HISTOJUIL24!AI14+HISTOAOUT24!AI14+HISTOSEPT24!AI14+HISTOOCT24!AI14+HISTONOV24!AI14+HISTODEC24!AI14</f>
        <v>0</v>
      </c>
      <c r="AJ14" s="9">
        <f>HISTOJANV24!AJ14+HISTOFEV24!AJ14+HISTOMARS24!AJ14+HISTOAVRIL24!AJ14+HISTOMAI24!AJ14+HISTOJUIN24!AJ14+HISTOJUIL24!AJ14+HISTOAOUT24!AJ14+HISTOSEPT24!AJ14+HISTOOCT24!AJ14+HISTONOV24!AJ14+HISTODEC24!AJ14</f>
        <v>0</v>
      </c>
      <c r="AK14" s="9">
        <f>HISTOJANV24!AK14+HISTOFEV24!AK14+HISTOMARS24!AK14+HISTOAVRIL24!AK14+HISTOMAI24!AK14+HISTOJUIN24!AK14+HISTOJUIL24!AK14+HISTOAOUT24!AK14+HISTOSEPT24!AK14+HISTOOCT24!AK14+HISTONOV24!AK14+HISTODEC24!AK14</f>
        <v>0</v>
      </c>
      <c r="AL14" s="9">
        <f>HISTOJANV24!AL14+HISTOFEV24!AL14+HISTOMARS24!AL14+HISTOAVRIL24!AL14+HISTOMAI24!AL14+HISTOJUIN24!AL14+HISTOJUIL24!AL14+HISTOAOUT24!AL14+HISTOSEPT24!AL14+HISTOOCT24!AL14+HISTONOV24!AL14+HISTODEC24!AL14</f>
        <v>0</v>
      </c>
      <c r="AM14" s="9">
        <f>HISTOJANV24!AM14+HISTOFEV24!AM14+HISTOMARS24!AM14+HISTOAVRIL24!AM14+HISTOMAI24!AM14+HISTOJUIN24!AM14+HISTOJUIL24!AM14+HISTOAOUT24!AM14+HISTOSEPT24!AM14+HISTOOCT24!AM14+HISTONOV24!AM14+HISTODEC24!AM14</f>
        <v>0</v>
      </c>
      <c r="AN14" s="9">
        <f>HISTOJANV24!AN14+HISTOFEV24!AN14+HISTOMARS24!AN14+HISTOAVRIL24!AN14+HISTOMAI24!AN14+HISTOJUIN24!AN14+HISTOJUIL24!AN14+HISTOAOUT24!AN14+HISTOSEPT24!AN14+HISTOOCT24!AN14+HISTONOV24!AN14+HISTODEC24!AN14</f>
        <v>0</v>
      </c>
      <c r="AO14" s="12"/>
      <c r="AP14" s="12"/>
      <c r="AQ14" s="8">
        <f t="shared" si="2"/>
        <v>0</v>
      </c>
      <c r="AR14" s="8">
        <f t="shared" si="3"/>
        <v>0</v>
      </c>
      <c r="AS14" s="13">
        <f t="shared" si="6"/>
        <v>25000</v>
      </c>
      <c r="AT14" s="15"/>
      <c r="AV14" s="15"/>
      <c r="AW14" s="9">
        <f>HISTOJANV24!AW14+HISTOFEV24!AW14+HISTOMARS24!AW14+HISTOAVRIL24!AW14+HISTOMAI24!AW14+HISTOJUIN24!AW14+HISTOJUIL24!AW14+HISTOAOUT24!AW14+HISTOSEPT24!AW14+HISTOOCT24!AW14+HISTONOV24!AW14+HISTODEC24!AW14</f>
        <v>0</v>
      </c>
      <c r="AX14" s="9">
        <f>HISTOJANV24!AX14+HISTOFEV24!AX14+HISTOMARS24!AX14+HISTOAVRIL24!AX14+HISTOMAI24!AX14+HISTOJUIN24!AX14+HISTOJUIL24!AX14+HISTOAOUT24!AX14+HISTOSEPT24!AX14+HISTOOCT24!AX14+HISTONOV24!AX14+HISTODEC24!AX14</f>
        <v>0</v>
      </c>
      <c r="AY14" s="9">
        <f>HISTOJANV24!AY14+HISTOFEV24!AY14+HISTOMARS24!AY14+HISTOAVRIL24!AY14+HISTOMAI24!AY14+HISTOJUIN24!AY14+HISTOJUIL24!AY14+HISTOAOUT24!AY14+HISTOSEPT24!AY14+HISTOOCT24!AY14+HISTONOV24!AY14+HISTODEC24!AY14</f>
        <v>0</v>
      </c>
      <c r="AZ14" s="9">
        <f>HISTOJANV24!AZ14+HISTOFEV24!AZ14+HISTOMARS24!AZ14+HISTOAVRIL24!AZ14+HISTOMAI24!AZ14+HISTOJUIN24!AZ14+HISTOJUIL24!AZ14+HISTOAOUT24!AZ14+HISTOSEPT24!AZ14+HISTOOCT24!AZ14+HISTONOV24!AZ14+HISTODEC24!AZ14</f>
        <v>0</v>
      </c>
      <c r="BA14" s="9">
        <f>HISTOJANV24!BA14+HISTOFEV24!BA14+HISTOMARS24!BA14+HISTOAVRIL24!BA14+HISTOMAI24!BA14+HISTOJUIN24!BA14+HISTOJUIL24!BA14+HISTOAOUT24!BA14+HISTOSEPT24!BA14+HISTOOCT24!BA14+HISTONOV24!BA14+HISTODEC24!BA14</f>
        <v>0</v>
      </c>
      <c r="BB14" s="9">
        <f>HISTOJANV24!BB14+HISTOFEV24!BB14+HISTOMARS24!BB14+HISTOAVRIL24!BB14+HISTOMAI24!BB14+HISTOJUIN24!BB14+HISTOJUIL24!BB14+HISTOAOUT24!BB14+HISTOSEPT24!BB14+HISTOOCT24!BB14+HISTONOV24!BB14+HISTODEC24!BB14</f>
        <v>0</v>
      </c>
      <c r="BC14" s="15"/>
      <c r="BD14" s="9">
        <f>HISTOJANV24!BD14+HISTOFEV24!BD14+HISTOMARS24!BD14+HISTOAVRIL24!BD14+HISTOMAI24!BD14+HISTOJUIN24!BD14+HISTOJUIL24!BD14+HISTOAOUT24!BD14+HISTOSEPT24!BD14+HISTOOCT24!BD14+HISTONOV24!BD14+HISTODEC24!BD14</f>
        <v>0</v>
      </c>
      <c r="BE14" s="82"/>
      <c r="BF14" s="9">
        <f>HISTOJANV24!BF14+HISTOFEV24!BF14+HISTOMARS24!BF14+HISTOAVRIL24!BF14+HISTOMAI24!BF14+HISTOJUIN24!BF14+HISTOJUIL24!BF14+HISTOAOUT24!BF14+HISTOSEPT24!BF14+HISTOOCT24!BF14+HISTONOV24!BF14+HISTODEC24!BF14</f>
        <v>0</v>
      </c>
      <c r="BG14" s="29"/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/>
      <c r="D15" s="9">
        <f>HISTOJANV24!D15+HISTOFEV24!D15+HISTOMARS24!D15+HISTOAVRIL24!D15+HISTOMAI24!D15+HISTOJUIN24!D15+HISTOJUIL24!D15+HISTOAOUT24!D15+HISTOSEPT24!D15+HISTOOCT24!D15+HISTONOV24!D15+HISTODEC24!D15</f>
        <v>375000</v>
      </c>
      <c r="E15" s="9">
        <f>HISTOJANV24!E15+HISTOFEV24!E15+HISTOMARS24!E15+HISTOAVRIL24!E15+HISTOMAI24!E15+HISTOJUIN24!E15+HISTOJUIL24!E15+HISTOAOUT24!E15+HISTOSEPT24!E15+HISTOOCT24!E15+HISTONOV24!E15+HISTODEC24!E15</f>
        <v>0</v>
      </c>
      <c r="F15" s="9">
        <f>HISTOJANV24!F15+HISTOFEV24!F15+HISTOMARS24!F15+HISTOAVRIL24!F15+HISTOMAI24!F15+HISTOJUIN24!F15+HISTOJUIL24!F15+HISTOAOUT24!F15+HISTOSEPT24!F15+HISTOOCT24!F15+HISTONOV24!F15+HISTODEC24!F15</f>
        <v>0</v>
      </c>
      <c r="G15" s="9">
        <f>HISTOJANV24!G15+HISTOFEV24!G15+HISTOMARS24!G15+HISTOAVRIL24!G15+HISTOMAI24!G15+HISTOJUIN24!G15+HISTOJUIL24!G15+HISTOAOUT24!G15+HISTOSEPT24!G15+HISTOOCT24!G15+HISTONOV24!G15+HISTODEC24!G15</f>
        <v>0</v>
      </c>
      <c r="H15" s="10"/>
      <c r="I15" s="9">
        <f>HISTOJANV24!I15+HISTOFEV24!I15+HISTOMARS24!I15+HISTOAVRIL24!I15+HISTOMAI24!I15+HISTOJUIN24!I15+HISTOJUIL24!I15+HISTOAOUT24!I15+HISTOSEPT24!I15+HISTOOCT24!I15+HISTONOV24!I15+HISTODEC24!I15</f>
        <v>0</v>
      </c>
      <c r="J15" s="11">
        <v>1</v>
      </c>
      <c r="K15" s="11">
        <f t="shared" si="4"/>
        <v>50000</v>
      </c>
      <c r="L15" s="6">
        <v>1</v>
      </c>
      <c r="M15" s="11">
        <f t="shared" si="0"/>
        <v>75000</v>
      </c>
      <c r="N15" s="6"/>
      <c r="O15" s="11">
        <f t="shared" si="1"/>
        <v>0</v>
      </c>
      <c r="P15" s="9">
        <f>HISTOJANV24!P15+HISTOFEV24!P15+HISTOMARS24!P15+HISTOAVRIL24!P15+HISTOMAI24!P15+HISTOJUIN24!P15+HISTOJUIL24!P15+HISTOAOUT24!P15+HISTOSEPT24!P15+HISTOOCT24!P15+HISTONOV24!P15+HISTODEC24!P15</f>
        <v>0</v>
      </c>
      <c r="Q15" s="9">
        <f>HISTOJANV24!Q15+HISTOFEV24!Q15+HISTOMARS24!Q15+HISTOAVRIL24!Q15+HISTOMAI24!Q15+HISTOJUIN24!Q15+HISTOJUIL24!Q15+HISTOAOUT24!Q15+HISTOSEPT24!Q15+HISTOOCT24!Q15+HISTONOV24!Q15+HISTODEC24!Q15</f>
        <v>0</v>
      </c>
      <c r="R15" s="9">
        <f>HISTOJANV24!R15+HISTOFEV24!R15+HISTOMARS24!R15+HISTOAVRIL24!R15+HISTOMAI24!R15+HISTOJUIN24!R15+HISTOJUIL24!R15+HISTOAOUT24!R15+HISTOSEPT24!R15+HISTOOCT24!R15+HISTONOV24!R15+HISTODEC24!R15</f>
        <v>0</v>
      </c>
      <c r="S15" s="9">
        <f>HISTOJANV24!S15+HISTOFEV24!S15+HISTOMARS24!S15+HISTOAVRIL24!S15+HISTOMAI24!S15+HISTOJUIN24!S15+HISTOJUIL24!S15+HISTOAOUT24!S15+HISTOSEPT24!S15+HISTOOCT24!S15+HISTONOV24!S15+HISTODEC24!S15</f>
        <v>0</v>
      </c>
      <c r="T15" s="12"/>
      <c r="U15" s="17">
        <f t="shared" si="5"/>
        <v>125000</v>
      </c>
      <c r="V15" s="9">
        <f>HISTOJANV24!V15+HISTOFEV24!V15+HISTOMARS24!V15+HISTOAVRIL24!V15+HISTOMAI24!V15+HISTOJUIN24!V15+HISTOJUIL24!V15+HISTOAOUT24!V15+HISTOSEPT24!V15+HISTOOCT24!V15+HISTONOV24!V15+HISTODEC24!V15</f>
        <v>0</v>
      </c>
      <c r="W15" s="9">
        <f>HISTOJANV24!W15+HISTOFEV24!W15+HISTOMARS24!W15+HISTOAVRIL24!W15+HISTOMAI24!W15+HISTOJUIN24!W15+HISTOJUIL24!W15+HISTOAOUT24!W15+HISTOSEPT24!W15+HISTOOCT24!W15+HISTONOV24!W15+HISTODEC24!W15</f>
        <v>0</v>
      </c>
      <c r="X15" s="9">
        <f>HISTOJANV24!X15+HISTOFEV24!X15+HISTOMARS24!X15+HISTOAVRIL24!X15+HISTOMAI24!X15+HISTOJUIN24!X15+HISTOJUIL24!X15+HISTOAOUT24!X15+HISTOSEPT24!X15+HISTOOCT24!X15+HISTONOV24!X15+HISTODEC24!X15</f>
        <v>0</v>
      </c>
      <c r="Y15" s="9">
        <f>HISTOJANV24!Y15+HISTOFEV24!Y15+HISTOMARS24!Y15+HISTOAVRIL24!Y15+HISTOMAI24!Y15+HISTOJUIN24!Y15+HISTOJUIL24!Y15+HISTOAOUT24!Y15+HISTOSEPT24!Y15+HISTOOCT24!Y15+HISTONOV24!Y15+HISTODEC24!Y15</f>
        <v>0</v>
      </c>
      <c r="Z15" s="9">
        <f>HISTOJANV24!Z15+HISTOFEV24!Z15+HISTOMARS24!Z15+HISTOAVRIL24!Z15+HISTOMAI24!Z15+HISTOJUIN24!Z15+HISTOJUIL24!Z15+HISTOAOUT24!Z15+HISTOSEPT24!Z15+HISTOOCT24!Z15+HISTONOV24!Z15+HISTODEC24!Z15</f>
        <v>0</v>
      </c>
      <c r="AA15" s="12"/>
      <c r="AB15" s="12"/>
      <c r="AC15" s="9">
        <f>HISTOJANV24!AC15+HISTOFEV24!AC15+HISTOMARS24!AC15+HISTOAVRIL24!AC15+HISTOMAI24!AC15+HISTOJUIN24!AC15+HISTOJUIL24!AC15+HISTOAOUT24!AC15+HISTOSEPT24!AC15+HISTOOCT24!AC15+HISTONOV24!AC15+HISTODEC24!AC15</f>
        <v>0</v>
      </c>
      <c r="AD15" s="9">
        <f>HISTOJANV24!AD15+HISTOFEV24!AD15+HISTOMARS24!AD15+HISTOAVRIL24!AD15+HISTOMAI24!AD15+HISTOJUIN24!AD15+HISTOJUIL24!AD15+HISTOAOUT24!AD15+HISTOSEPT24!AD15+HISTOOCT24!AD15+HISTONOV24!AD15+HISTODEC24!AD15</f>
        <v>0</v>
      </c>
      <c r="AE15" s="9">
        <f>HISTOJANV24!AE15+HISTOFEV24!AE15+HISTOMARS24!AE15+HISTOAVRIL24!AE15+HISTOMAI24!AE15+HISTOJUIN24!AE15+HISTOJUIL24!AE15+HISTOAOUT24!AE15+HISTOSEPT24!AE15+HISTOOCT24!AE15+HISTONOV24!AE15+HISTODEC24!AE15</f>
        <v>0</v>
      </c>
      <c r="AF15" s="12"/>
      <c r="AG15" s="12"/>
      <c r="AH15" s="9">
        <f>HISTOJANV24!AH15+HISTOFEV24!AH15+HISTOMARS24!AH15+HISTOAVRIL24!AH15+HISTOMAI24!AH15+HISTOJUIN24!AH15+HISTOJUIL24!AH15+HISTOAOUT24!AH15+HISTOSEPT24!AH15+HISTOOCT24!AH15+HISTONOV24!AH15+HISTODEC24!AH15</f>
        <v>0</v>
      </c>
      <c r="AI15" s="9">
        <f>HISTOJANV24!AI15+HISTOFEV24!AI15+HISTOMARS24!AI15+HISTOAVRIL24!AI15+HISTOMAI24!AI15+HISTOJUIN24!AI15+HISTOJUIL24!AI15+HISTOAOUT24!AI15+HISTOSEPT24!AI15+HISTOOCT24!AI15+HISTONOV24!AI15+HISTODEC24!AI15</f>
        <v>0</v>
      </c>
      <c r="AJ15" s="9">
        <f>HISTOJANV24!AJ15+HISTOFEV24!AJ15+HISTOMARS24!AJ15+HISTOAVRIL24!AJ15+HISTOMAI24!AJ15+HISTOJUIN24!AJ15+HISTOJUIL24!AJ15+HISTOAOUT24!AJ15+HISTOSEPT24!AJ15+HISTOOCT24!AJ15+HISTONOV24!AJ15+HISTODEC24!AJ15</f>
        <v>0</v>
      </c>
      <c r="AK15" s="9">
        <f>HISTOJANV24!AK15+HISTOFEV24!AK15+HISTOMARS24!AK15+HISTOAVRIL24!AK15+HISTOMAI24!AK15+HISTOJUIN24!AK15+HISTOJUIL24!AK15+HISTOAOUT24!AK15+HISTOSEPT24!AK15+HISTOOCT24!AK15+HISTONOV24!AK15+HISTODEC24!AK15</f>
        <v>0</v>
      </c>
      <c r="AL15" s="9">
        <f>HISTOJANV24!AL15+HISTOFEV24!AL15+HISTOMARS24!AL15+HISTOAVRIL24!AL15+HISTOMAI24!AL15+HISTOJUIN24!AL15+HISTOJUIL24!AL15+HISTOAOUT24!AL15+HISTOSEPT24!AL15+HISTOOCT24!AL15+HISTONOV24!AL15+HISTODEC24!AL15</f>
        <v>0</v>
      </c>
      <c r="AM15" s="9">
        <f>HISTOJANV24!AM15+HISTOFEV24!AM15+HISTOMARS24!AM15+HISTOAVRIL24!AM15+HISTOMAI24!AM15+HISTOJUIN24!AM15+HISTOJUIL24!AM15+HISTOAOUT24!AM15+HISTOSEPT24!AM15+HISTOOCT24!AM15+HISTONOV24!AM15+HISTODEC24!AM15</f>
        <v>0</v>
      </c>
      <c r="AN15" s="9">
        <f>HISTOJANV24!AN15+HISTOFEV24!AN15+HISTOMARS24!AN15+HISTOAVRIL24!AN15+HISTOMAI24!AN15+HISTOJUIN24!AN15+HISTOJUIL24!AN15+HISTOAOUT24!AN15+HISTOSEPT24!AN15+HISTOOCT24!AN15+HISTONOV24!AN15+HISTODEC24!AN15</f>
        <v>0</v>
      </c>
      <c r="AO15" s="12"/>
      <c r="AP15" s="12"/>
      <c r="AQ15" s="8">
        <f t="shared" si="2"/>
        <v>0</v>
      </c>
      <c r="AR15" s="8">
        <f t="shared" si="3"/>
        <v>0</v>
      </c>
      <c r="AS15" s="13">
        <f t="shared" si="6"/>
        <v>25000</v>
      </c>
      <c r="AT15" s="15"/>
      <c r="AV15" s="15"/>
      <c r="AW15" s="9">
        <f>HISTOJANV24!AW15+HISTOFEV24!AW15+HISTOMARS24!AW15+HISTOAVRIL24!AW15+HISTOMAI24!AW15+HISTOJUIN24!AW15+HISTOJUIL24!AW15+HISTOAOUT24!AW15+HISTOSEPT24!AW15+HISTOOCT24!AW15+HISTONOV24!AW15+HISTODEC24!AW15</f>
        <v>0</v>
      </c>
      <c r="AX15" s="9">
        <f>HISTOJANV24!AX15+HISTOFEV24!AX15+HISTOMARS24!AX15+HISTOAVRIL24!AX15+HISTOMAI24!AX15+HISTOJUIN24!AX15+HISTOJUIL24!AX15+HISTOAOUT24!AX15+HISTOSEPT24!AX15+HISTOOCT24!AX15+HISTONOV24!AX15+HISTODEC24!AX15</f>
        <v>0</v>
      </c>
      <c r="AY15" s="9">
        <f>HISTOJANV24!AY15+HISTOFEV24!AY15+HISTOMARS24!AY15+HISTOAVRIL24!AY15+HISTOMAI24!AY15+HISTOJUIN24!AY15+HISTOJUIL24!AY15+HISTOAOUT24!AY15+HISTOSEPT24!AY15+HISTOOCT24!AY15+HISTONOV24!AY15+HISTODEC24!AY15</f>
        <v>0</v>
      </c>
      <c r="AZ15" s="9">
        <f>HISTOJANV24!AZ15+HISTOFEV24!AZ15+HISTOMARS24!AZ15+HISTOAVRIL24!AZ15+HISTOMAI24!AZ15+HISTOJUIN24!AZ15+HISTOJUIL24!AZ15+HISTOAOUT24!AZ15+HISTOSEPT24!AZ15+HISTOOCT24!AZ15+HISTONOV24!AZ15+HISTODEC24!AZ15</f>
        <v>0</v>
      </c>
      <c r="BA15" s="9">
        <f>HISTOJANV24!BA15+HISTOFEV24!BA15+HISTOMARS24!BA15+HISTOAVRIL24!BA15+HISTOMAI24!BA15+HISTOJUIN24!BA15+HISTOJUIL24!BA15+HISTOAOUT24!BA15+HISTOSEPT24!BA15+HISTOOCT24!BA15+HISTONOV24!BA15+HISTODEC24!BA15</f>
        <v>0</v>
      </c>
      <c r="BB15" s="9">
        <f>HISTOJANV24!BB15+HISTOFEV24!BB15+HISTOMARS24!BB15+HISTOAVRIL24!BB15+HISTOMAI24!BB15+HISTOJUIN24!BB15+HISTOJUIL24!BB15+HISTOAOUT24!BB15+HISTOSEPT24!BB15+HISTOOCT24!BB15+HISTONOV24!BB15+HISTODEC24!BB15</f>
        <v>0</v>
      </c>
      <c r="BC15" s="15"/>
      <c r="BD15" s="9">
        <f>HISTOJANV24!BD15+HISTOFEV24!BD15+HISTOMARS24!BD15+HISTOAVRIL24!BD15+HISTOMAI24!BD15+HISTOJUIN24!BD15+HISTOJUIL24!BD15+HISTOAOUT24!BD15+HISTOSEPT24!BD15+HISTOOCT24!BD15+HISTONOV24!BD15+HISTODEC24!BD15</f>
        <v>0</v>
      </c>
      <c r="BE15" s="82"/>
      <c r="BF15" s="9">
        <f>HISTOJANV24!BF15+HISTOFEV24!BF15+HISTOMARS24!BF15+HISTOAVRIL24!BF15+HISTOMAI24!BF15+HISTOJUIN24!BF15+HISTOJUIL24!BF15+HISTOAOUT24!BF15+HISTOSEPT24!BF15+HISTOOCT24!BF15+HISTONOV24!BF15+HISTODEC24!BF15</f>
        <v>0</v>
      </c>
      <c r="BG15" s="29"/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/>
      <c r="D16" s="9">
        <f>HISTOJANV24!D16+HISTOFEV24!D16+HISTOMARS24!D16+HISTOAVRIL24!D16+HISTOMAI24!D16+HISTOJUIN24!D16+HISTOJUIL24!D16+HISTOAOUT24!D16+HISTOSEPT24!D16+HISTOOCT24!D16+HISTONOV24!D16+HISTODEC24!D16</f>
        <v>780000</v>
      </c>
      <c r="E16" s="9">
        <f>HISTOJANV24!E16+HISTOFEV24!E16+HISTOMARS24!E16+HISTOAVRIL24!E16+HISTOMAI24!E16+HISTOJUIN24!E16+HISTOJUIL24!E16+HISTOAOUT24!E16+HISTOSEPT24!E16+HISTOOCT24!E16+HISTONOV24!E16+HISTODEC24!E16</f>
        <v>0</v>
      </c>
      <c r="F16" s="9">
        <f>HISTOJANV24!F16+HISTOFEV24!F16+HISTOMARS24!F16+HISTOAVRIL24!F16+HISTOMAI24!F16+HISTOJUIN24!F16+HISTOJUIL24!F16+HISTOAOUT24!F16+HISTOSEPT24!F16+HISTOOCT24!F16+HISTONOV24!F16+HISTODEC24!F16</f>
        <v>0</v>
      </c>
      <c r="G16" s="9">
        <f>HISTOJANV24!G16+HISTOFEV24!G16+HISTOMARS24!G16+HISTOAVRIL24!G16+HISTOMAI24!G16+HISTOJUIN24!G16+HISTOJUIL24!G16+HISTOAOUT24!G16+HISTOSEPT24!G16+HISTOOCT24!G16+HISTONOV24!G16+HISTODEC24!G16</f>
        <v>0</v>
      </c>
      <c r="H16" s="10"/>
      <c r="I16" s="9">
        <f>HISTOJANV24!I16+HISTOFEV24!I16+HISTOMARS24!I16+HISTOAVRIL24!I16+HISTOMAI24!I16+HISTOJUIN24!I16+HISTOJUIL24!I16+HISTOAOUT24!I16+HISTOSEPT24!I16+HISTOOCT24!I16+HISTONOV24!I16+HISTODEC24!I16</f>
        <v>105000</v>
      </c>
      <c r="J16" s="11">
        <v>1</v>
      </c>
      <c r="K16" s="11">
        <f t="shared" si="4"/>
        <v>50000</v>
      </c>
      <c r="L16" s="6">
        <v>1</v>
      </c>
      <c r="M16" s="11">
        <f t="shared" si="0"/>
        <v>75000</v>
      </c>
      <c r="N16" s="6">
        <v>1</v>
      </c>
      <c r="O16" s="11">
        <f t="shared" si="1"/>
        <v>100000</v>
      </c>
      <c r="P16" s="9">
        <f>HISTOJANV24!P16+HISTOFEV24!P16+HISTOMARS24!P16+HISTOAVRIL24!P16+HISTOMAI24!P16+HISTOJUIN24!P16+HISTOJUIL24!P16+HISTOAOUT24!P16+HISTOSEPT24!P16+HISTOOCT24!P16+HISTONOV24!P16+HISTODEC24!P16</f>
        <v>0</v>
      </c>
      <c r="Q16" s="9">
        <f>HISTOJANV24!Q16+HISTOFEV24!Q16+HISTOMARS24!Q16+HISTOAVRIL24!Q16+HISTOMAI24!Q16+HISTOJUIN24!Q16+HISTOJUIL24!Q16+HISTOAOUT24!Q16+HISTOSEPT24!Q16+HISTOOCT24!Q16+HISTONOV24!Q16+HISTODEC24!Q16</f>
        <v>0</v>
      </c>
      <c r="R16" s="9">
        <f>HISTOJANV24!R16+HISTOFEV24!R16+HISTOMARS24!R16+HISTOAVRIL24!R16+HISTOMAI24!R16+HISTOJUIN24!R16+HISTOJUIL24!R16+HISTOAOUT24!R16+HISTOSEPT24!R16+HISTOOCT24!R16+HISTONOV24!R16+HISTODEC24!R16</f>
        <v>0</v>
      </c>
      <c r="S16" s="9">
        <f>HISTOJANV24!S16+HISTOFEV24!S16+HISTOMARS24!S16+HISTOAVRIL24!S16+HISTOMAI24!S16+HISTOJUIN24!S16+HISTOJUIL24!S16+HISTOAOUT24!S16+HISTOSEPT24!S16+HISTOOCT24!S16+HISTONOV24!S16+HISTODEC24!S16</f>
        <v>0</v>
      </c>
      <c r="T16" s="12"/>
      <c r="U16" s="17">
        <f t="shared" si="5"/>
        <v>330000</v>
      </c>
      <c r="V16" s="9">
        <f>HISTOJANV24!V16+HISTOFEV24!V16+HISTOMARS24!V16+HISTOAVRIL24!V16+HISTOMAI24!V16+HISTOJUIN24!V16+HISTOJUIL24!V16+HISTOAOUT24!V16+HISTOSEPT24!V16+HISTOOCT24!V16+HISTONOV24!V16+HISTODEC24!V16</f>
        <v>0</v>
      </c>
      <c r="W16" s="9">
        <f>HISTOJANV24!W16+HISTOFEV24!W16+HISTOMARS24!W16+HISTOAVRIL24!W16+HISTOMAI24!W16+HISTOJUIN24!W16+HISTOJUIL24!W16+HISTOAOUT24!W16+HISTOSEPT24!W16+HISTOOCT24!W16+HISTONOV24!W16+HISTODEC24!W16</f>
        <v>0</v>
      </c>
      <c r="X16" s="9">
        <f>HISTOJANV24!X16+HISTOFEV24!X16+HISTOMARS24!X16+HISTOAVRIL24!X16+HISTOMAI24!X16+HISTOJUIN24!X16+HISTOJUIL24!X16+HISTOAOUT24!X16+HISTOSEPT24!X16+HISTOOCT24!X16+HISTONOV24!X16+HISTODEC24!X16</f>
        <v>0</v>
      </c>
      <c r="Y16" s="9">
        <f>HISTOJANV24!Y16+HISTOFEV24!Y16+HISTOMARS24!Y16+HISTOAVRIL24!Y16+HISTOMAI24!Y16+HISTOJUIN24!Y16+HISTOJUIL24!Y16+HISTOAOUT24!Y16+HISTOSEPT24!Y16+HISTOOCT24!Y16+HISTONOV24!Y16+HISTODEC24!Y16</f>
        <v>0</v>
      </c>
      <c r="Z16" s="9">
        <f>HISTOJANV24!Z16+HISTOFEV24!Z16+HISTOMARS24!Z16+HISTOAVRIL24!Z16+HISTOMAI24!Z16+HISTOJUIN24!Z16+HISTOJUIL24!Z16+HISTOAOUT24!Z16+HISTOSEPT24!Z16+HISTOOCT24!Z16+HISTONOV24!Z16+HISTODEC24!Z16</f>
        <v>0</v>
      </c>
      <c r="AA16" s="12"/>
      <c r="AB16" s="12"/>
      <c r="AC16" s="9">
        <f>HISTOJANV24!AC16+HISTOFEV24!AC16+HISTOMARS24!AC16+HISTOAVRIL24!AC16+HISTOMAI24!AC16+HISTOJUIN24!AC16+HISTOJUIL24!AC16+HISTOAOUT24!AC16+HISTOSEPT24!AC16+HISTOOCT24!AC16+HISTONOV24!AC16+HISTODEC24!AC16</f>
        <v>12000</v>
      </c>
      <c r="AD16" s="9">
        <f>HISTOJANV24!AD16+HISTOFEV24!AD16+HISTOMARS24!AD16+HISTOAVRIL24!AD16+HISTOMAI24!AD16+HISTOJUIN24!AD16+HISTOJUIL24!AD16+HISTOAOUT24!AD16+HISTOSEPT24!AD16+HISTOOCT24!AD16+HISTONOV24!AD16+HISTODEC24!AD16</f>
        <v>0</v>
      </c>
      <c r="AE16" s="9">
        <f>HISTOJANV24!AE16+HISTOFEV24!AE16+HISTOMARS24!AE16+HISTOAVRIL24!AE16+HISTOMAI24!AE16+HISTOJUIN24!AE16+HISTOJUIL24!AE16+HISTOAOUT24!AE16+HISTOSEPT24!AE16+HISTOOCT24!AE16+HISTONOV24!AE16+HISTODEC24!AE16</f>
        <v>0</v>
      </c>
      <c r="AF16" s="12"/>
      <c r="AG16" s="12"/>
      <c r="AH16" s="9">
        <f>HISTOJANV24!AH16+HISTOFEV24!AH16+HISTOMARS24!AH16+HISTOAVRIL24!AH16+HISTOMAI24!AH16+HISTOJUIN24!AH16+HISTOJUIL24!AH16+HISTOAOUT24!AH16+HISTOSEPT24!AH16+HISTOOCT24!AH16+HISTONOV24!AH16+HISTODEC24!AH16</f>
        <v>0</v>
      </c>
      <c r="AI16" s="9">
        <f>HISTOJANV24!AI16+HISTOFEV24!AI16+HISTOMARS24!AI16+HISTOAVRIL24!AI16+HISTOMAI24!AI16+HISTOJUIN24!AI16+HISTOJUIL24!AI16+HISTOAOUT24!AI16+HISTOSEPT24!AI16+HISTOOCT24!AI16+HISTONOV24!AI16+HISTODEC24!AI16</f>
        <v>0</v>
      </c>
      <c r="AJ16" s="9">
        <f>HISTOJANV24!AJ16+HISTOFEV24!AJ16+HISTOMARS24!AJ16+HISTOAVRIL24!AJ16+HISTOMAI24!AJ16+HISTOJUIN24!AJ16+HISTOJUIL24!AJ16+HISTOAOUT24!AJ16+HISTOSEPT24!AJ16+HISTOOCT24!AJ16+HISTONOV24!AJ16+HISTODEC24!AJ16</f>
        <v>0</v>
      </c>
      <c r="AK16" s="9">
        <f>HISTOJANV24!AK16+HISTOFEV24!AK16+HISTOMARS24!AK16+HISTOAVRIL24!AK16+HISTOMAI24!AK16+HISTOJUIN24!AK16+HISTOJUIL24!AK16+HISTOAOUT24!AK16+HISTOSEPT24!AK16+HISTOOCT24!AK16+HISTONOV24!AK16+HISTODEC24!AK16</f>
        <v>0</v>
      </c>
      <c r="AL16" s="9">
        <f>HISTOJANV24!AL16+HISTOFEV24!AL16+HISTOMARS24!AL16+HISTOAVRIL24!AL16+HISTOMAI24!AL16+HISTOJUIN24!AL16+HISTOJUIL24!AL16+HISTOAOUT24!AL16+HISTOSEPT24!AL16+HISTOOCT24!AL16+HISTONOV24!AL16+HISTODEC24!AL16</f>
        <v>0</v>
      </c>
      <c r="AM16" s="9">
        <f>HISTOJANV24!AM16+HISTOFEV24!AM16+HISTOMARS24!AM16+HISTOAVRIL24!AM16+HISTOMAI24!AM16+HISTOJUIN24!AM16+HISTOJUIL24!AM16+HISTOAOUT24!AM16+HISTOSEPT24!AM16+HISTOOCT24!AM16+HISTONOV24!AM16+HISTODEC24!AM16</f>
        <v>0</v>
      </c>
      <c r="AN16" s="9">
        <f>HISTOJANV24!AN16+HISTOFEV24!AN16+HISTOMARS24!AN16+HISTOAVRIL24!AN16+HISTOMAI24!AN16+HISTOJUIN24!AN16+HISTOJUIL24!AN16+HISTOAOUT24!AN16+HISTOSEPT24!AN16+HISTOOCT24!AN16+HISTONOV24!AN16+HISTODEC24!AN16</f>
        <v>0</v>
      </c>
      <c r="AO16" s="12"/>
      <c r="AP16" s="12"/>
      <c r="AQ16" s="8">
        <f t="shared" si="2"/>
        <v>0</v>
      </c>
      <c r="AR16" s="8">
        <f t="shared" si="3"/>
        <v>0</v>
      </c>
      <c r="AS16" s="13">
        <f t="shared" si="6"/>
        <v>130000</v>
      </c>
      <c r="AT16" s="15"/>
      <c r="AV16" s="15"/>
      <c r="AW16" s="9">
        <f>HISTOJANV24!AW16+HISTOFEV24!AW16+HISTOMARS24!AW16+HISTOAVRIL24!AW16+HISTOMAI24!AW16+HISTOJUIN24!AW16+HISTOJUIL24!AW16+HISTOAOUT24!AW16+HISTOSEPT24!AW16+HISTOOCT24!AW16+HISTONOV24!AW16+HISTODEC24!AW16</f>
        <v>288000</v>
      </c>
      <c r="AX16" s="9">
        <f>HISTOJANV24!AX16+HISTOFEV24!AX16+HISTOMARS24!AX16+HISTOAVRIL24!AX16+HISTOMAI24!AX16+HISTOJUIN24!AX16+HISTOJUIL24!AX16+HISTOAOUT24!AX16+HISTOSEPT24!AX16+HISTOOCT24!AX16+HISTONOV24!AX16+HISTODEC24!AX16</f>
        <v>0</v>
      </c>
      <c r="AY16" s="9">
        <f>HISTOJANV24!AY16+HISTOFEV24!AY16+HISTOMARS24!AY16+HISTOAVRIL24!AY16+HISTOMAI24!AY16+HISTOJUIN24!AY16+HISTOJUIL24!AY16+HISTOAOUT24!AY16+HISTOSEPT24!AY16+HISTOOCT24!AY16+HISTONOV24!AY16+HISTODEC24!AY16</f>
        <v>0</v>
      </c>
      <c r="AZ16" s="9">
        <f>HISTOJANV24!AZ16+HISTOFEV24!AZ16+HISTOMARS24!AZ16+HISTOAVRIL24!AZ16+HISTOMAI24!AZ16+HISTOJUIN24!AZ16+HISTOJUIL24!AZ16+HISTOAOUT24!AZ16+HISTOSEPT24!AZ16+HISTOOCT24!AZ16+HISTONOV24!AZ16+HISTODEC24!AZ16</f>
        <v>288000</v>
      </c>
      <c r="BA16" s="9">
        <f>HISTOJANV24!BA16+HISTOFEV24!BA16+HISTOMARS24!BA16+HISTOAVRIL24!BA16+HISTOMAI24!BA16+HISTOJUIN24!BA16+HISTOJUIL24!BA16+HISTOAOUT24!BA16+HISTOSEPT24!BA16+HISTOOCT24!BA16+HISTONOV24!BA16+HISTODEC24!BA16</f>
        <v>0</v>
      </c>
      <c r="BB16" s="9">
        <f>HISTOJANV24!BB16+HISTOFEV24!BB16+HISTOMARS24!BB16+HISTOAVRIL24!BB16+HISTOMAI24!BB16+HISTOJUIN24!BB16+HISTOJUIL24!BB16+HISTOAOUT24!BB16+HISTOSEPT24!BB16+HISTOOCT24!BB16+HISTONOV24!BB16+HISTODEC24!BB16</f>
        <v>0</v>
      </c>
      <c r="BC16" s="15"/>
      <c r="BD16" s="9">
        <f>HISTOJANV24!BD16+HISTOFEV24!BD16+HISTOMARS24!BD16+HISTOAVRIL24!BD16+HISTOMAI24!BD16+HISTOJUIN24!BD16+HISTOJUIL24!BD16+HISTOAOUT24!BD16+HISTOSEPT24!BD16+HISTOOCT24!BD16+HISTONOV24!BD16+HISTODEC24!BD16</f>
        <v>288000</v>
      </c>
      <c r="BE16" s="82"/>
      <c r="BF16" s="9">
        <f>HISTOJANV24!BF16+HISTOFEV24!BF16+HISTOMARS24!BF16+HISTOAVRIL24!BF16+HISTOMAI24!BF16+HISTOJUIN24!BF16+HISTOJUIL24!BF16+HISTOAOUT24!BF16+HISTOSEPT24!BF16+HISTOOCT24!BF16+HISTONOV24!BF16+HISTODEC24!BF16</f>
        <v>0</v>
      </c>
      <c r="BG16" s="29"/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/>
      <c r="D17" s="9">
        <f>HISTOJANV24!D17+HISTOFEV24!D17+HISTOMARS24!D17+HISTOAVRIL24!D17+HISTOMAI24!D17+HISTOJUIN24!D17+HISTOJUIL24!D17+HISTOAOUT24!D17+HISTOSEPT24!D17+HISTOOCT24!D17+HISTONOV24!D17+HISTODEC24!D17</f>
        <v>551000</v>
      </c>
      <c r="E17" s="9">
        <f>HISTOJANV24!E17+HISTOFEV24!E17+HISTOMARS24!E17+HISTOAVRIL24!E17+HISTOMAI24!E17+HISTOJUIN24!E17+HISTOJUIL24!E17+HISTOAOUT24!E17+HISTOSEPT24!E17+HISTOOCT24!E17+HISTONOV24!E17+HISTODEC24!E17</f>
        <v>0</v>
      </c>
      <c r="F17" s="9">
        <f>HISTOJANV24!F17+HISTOFEV24!F17+HISTOMARS24!F17+HISTOAVRIL24!F17+HISTOMAI24!F17+HISTOJUIN24!F17+HISTOJUIL24!F17+HISTOAOUT24!F17+HISTOSEPT24!F17+HISTOOCT24!F17+HISTONOV24!F17+HISTODEC24!F17</f>
        <v>500000</v>
      </c>
      <c r="G17" s="9">
        <f>HISTOJANV24!G17+HISTOFEV24!G17+HISTOMARS24!G17+HISTOAVRIL24!G17+HISTOMAI24!G17+HISTOJUIN24!G17+HISTOJUIL24!G17+HISTOAOUT24!G17+HISTOSEPT24!G17+HISTOOCT24!G17+HISTONOV24!G17+HISTODEC24!G17</f>
        <v>0</v>
      </c>
      <c r="H17" s="10"/>
      <c r="I17" s="9">
        <f>HISTOJANV24!I17+HISTOFEV24!I17+HISTOMARS24!I17+HISTOAVRIL24!I17+HISTOMAI24!I17+HISTOJUIN24!I17+HISTOJUIL24!I17+HISTOAOUT24!I17+HISTOSEPT24!I17+HISTOOCT24!I17+HISTONOV24!I17+HISTODEC24!I17</f>
        <v>0</v>
      </c>
      <c r="J17" s="11">
        <v>1</v>
      </c>
      <c r="K17" s="11">
        <f t="shared" si="4"/>
        <v>50000</v>
      </c>
      <c r="L17" s="6"/>
      <c r="M17" s="11">
        <f t="shared" si="0"/>
        <v>0</v>
      </c>
      <c r="N17" s="6">
        <v>1</v>
      </c>
      <c r="O17" s="11">
        <f t="shared" si="1"/>
        <v>100000</v>
      </c>
      <c r="P17" s="9">
        <f>HISTOJANV24!P17+HISTOFEV24!P17+HISTOMARS24!P17+HISTOAVRIL24!P17+HISTOMAI24!P17+HISTOJUIN24!P17+HISTOJUIL24!P17+HISTOAOUT24!P17+HISTOSEPT24!P17+HISTOOCT24!P17+HISTONOV24!P17+HISTODEC24!P17</f>
        <v>0</v>
      </c>
      <c r="Q17" s="9">
        <f>HISTOJANV24!Q17+HISTOFEV24!Q17+HISTOMARS24!Q17+HISTOAVRIL24!Q17+HISTOMAI24!Q17+HISTOJUIN24!Q17+HISTOJUIL24!Q17+HISTOAOUT24!Q17+HISTOSEPT24!Q17+HISTOOCT24!Q17+HISTONOV24!Q17+HISTODEC24!Q17</f>
        <v>0</v>
      </c>
      <c r="R17" s="9">
        <f>HISTOJANV24!R17+HISTOFEV24!R17+HISTOMARS24!R17+HISTOAVRIL24!R17+HISTOMAI24!R17+HISTOJUIN24!R17+HISTOJUIL24!R17+HISTOAOUT24!R17+HISTOSEPT24!R17+HISTOOCT24!R17+HISTONOV24!R17+HISTODEC24!R17</f>
        <v>101000</v>
      </c>
      <c r="S17" s="9">
        <f>HISTOJANV24!S17+HISTOFEV24!S17+HISTOMARS24!S17+HISTOAVRIL24!S17+HISTOMAI24!S17+HISTOJUIN24!S17+HISTOJUIL24!S17+HISTOAOUT24!S17+HISTOSEPT24!S17+HISTOOCT24!S17+HISTONOV24!S17+HISTODEC24!S17</f>
        <v>500000</v>
      </c>
      <c r="T17" s="12"/>
      <c r="U17" s="17">
        <f t="shared" si="5"/>
        <v>751000</v>
      </c>
      <c r="V17" s="9">
        <f>HISTOJANV24!V17+HISTOFEV24!V17+HISTOMARS24!V17+HISTOAVRIL24!V17+HISTOMAI24!V17+HISTOJUIN24!V17+HISTOJUIL24!V17+HISTOAOUT24!V17+HISTOSEPT24!V17+HISTOOCT24!V17+HISTONOV24!V17+HISTODEC24!V17</f>
        <v>0</v>
      </c>
      <c r="W17" s="9">
        <f>HISTOJANV24!W17+HISTOFEV24!W17+HISTOMARS24!W17+HISTOAVRIL24!W17+HISTOMAI24!W17+HISTOJUIN24!W17+HISTOJUIL24!W17+HISTOAOUT24!W17+HISTOSEPT24!W17+HISTOOCT24!W17+HISTONOV24!W17+HISTODEC24!W17</f>
        <v>0</v>
      </c>
      <c r="X17" s="9">
        <f>HISTOJANV24!X17+HISTOFEV24!X17+HISTOMARS24!X17+HISTOAVRIL24!X17+HISTOMAI24!X17+HISTOJUIN24!X17+HISTOJUIL24!X17+HISTOAOUT24!X17+HISTOSEPT24!X17+HISTOOCT24!X17+HISTONOV24!X17+HISTODEC24!X17</f>
        <v>0</v>
      </c>
      <c r="Y17" s="9">
        <f>HISTOJANV24!Y17+HISTOFEV24!Y17+HISTOMARS24!Y17+HISTOAVRIL24!Y17+HISTOMAI24!Y17+HISTOJUIN24!Y17+HISTOJUIL24!Y17+HISTOAOUT24!Y17+HISTOSEPT24!Y17+HISTOOCT24!Y17+HISTONOV24!Y17+HISTODEC24!Y17</f>
        <v>0</v>
      </c>
      <c r="Z17" s="9">
        <f>HISTOJANV24!Z17+HISTOFEV24!Z17+HISTOMARS24!Z17+HISTOAVRIL24!Z17+HISTOMAI24!Z17+HISTOJUIN24!Z17+HISTOJUIL24!Z17+HISTOAOUT24!Z17+HISTOSEPT24!Z17+HISTOOCT24!Z17+HISTONOV24!Z17+HISTODEC24!Z17</f>
        <v>1000000</v>
      </c>
      <c r="AA17" s="12"/>
      <c r="AB17" s="12"/>
      <c r="AC17" s="9">
        <f>HISTOJANV24!AC17+HISTOFEV24!AC17+HISTOMARS24!AC17+HISTOAVRIL24!AC17+HISTOMAI24!AC17+HISTOJUIN24!AC17+HISTOJUIL24!AC17+HISTOAOUT24!AC17+HISTOSEPT24!AC17+HISTOOCT24!AC17+HISTONOV24!AC17+HISTODEC24!AC17</f>
        <v>17000</v>
      </c>
      <c r="AD17" s="9">
        <f>HISTOJANV24!AD17+HISTOFEV24!AD17+HISTOMARS24!AD17+HISTOAVRIL24!AD17+HISTOMAI24!AD17+HISTOJUIN24!AD17+HISTOJUIL24!AD17+HISTOAOUT24!AD17+HISTOSEPT24!AD17+HISTOOCT24!AD17+HISTONOV24!AD17+HISTODEC24!AD17</f>
        <v>0</v>
      </c>
      <c r="AE17" s="9">
        <f>HISTOJANV24!AE17+HISTOFEV24!AE17+HISTOMARS24!AE17+HISTOAVRIL24!AE17+HISTOMAI24!AE17+HISTOJUIN24!AE17+HISTOJUIL24!AE17+HISTOAOUT24!AE17+HISTOSEPT24!AE17+HISTOOCT24!AE17+HISTONOV24!AE17+HISTODEC24!AE17</f>
        <v>70000</v>
      </c>
      <c r="AF17" s="12"/>
      <c r="AG17" s="12"/>
      <c r="AH17" s="9">
        <f>HISTOJANV24!AH17+HISTOFEV24!AH17+HISTOMARS24!AH17+HISTOAVRIL24!AH17+HISTOMAI24!AH17+HISTOJUIN24!AH17+HISTOJUIL24!AH17+HISTOAOUT24!AH17+HISTOSEPT24!AH17+HISTOOCT24!AH17+HISTONOV24!AH17+HISTODEC24!AH17</f>
        <v>0</v>
      </c>
      <c r="AI17" s="9">
        <f>HISTOJANV24!AI17+HISTOFEV24!AI17+HISTOMARS24!AI17+HISTOAVRIL24!AI17+HISTOMAI24!AI17+HISTOJUIN24!AI17+HISTOJUIL24!AI17+HISTOAOUT24!AI17+HISTOSEPT24!AI17+HISTOOCT24!AI17+HISTONOV24!AI17+HISTODEC24!AI17</f>
        <v>0</v>
      </c>
      <c r="AJ17" s="9">
        <f>HISTOJANV24!AJ17+HISTOFEV24!AJ17+HISTOMARS24!AJ17+HISTOAVRIL24!AJ17+HISTOMAI24!AJ17+HISTOJUIN24!AJ17+HISTOJUIL24!AJ17+HISTOAOUT24!AJ17+HISTOSEPT24!AJ17+HISTOOCT24!AJ17+HISTONOV24!AJ17+HISTODEC24!AJ17</f>
        <v>0</v>
      </c>
      <c r="AK17" s="9">
        <f>HISTOJANV24!AK17+HISTOFEV24!AK17+HISTOMARS24!AK17+HISTOAVRIL24!AK17+HISTOMAI24!AK17+HISTOJUIN24!AK17+HISTOJUIL24!AK17+HISTOAOUT24!AK17+HISTOSEPT24!AK17+HISTOOCT24!AK17+HISTONOV24!AK17+HISTODEC24!AK17</f>
        <v>100000</v>
      </c>
      <c r="AL17" s="9">
        <f>HISTOJANV24!AL17+HISTOFEV24!AL17+HISTOMARS24!AL17+HISTOAVRIL24!AL17+HISTOMAI24!AL17+HISTOJUIN24!AL17+HISTOJUIL24!AL17+HISTOAOUT24!AL17+HISTOSEPT24!AL17+HISTOOCT24!AL17+HISTONOV24!AL17+HISTODEC24!AL17</f>
        <v>0</v>
      </c>
      <c r="AM17" s="9">
        <f>HISTOJANV24!AM17+HISTOFEV24!AM17+HISTOMARS24!AM17+HISTOAVRIL24!AM17+HISTOMAI24!AM17+HISTOJUIN24!AM17+HISTOJUIL24!AM17+HISTOAOUT24!AM17+HISTOSEPT24!AM17+HISTOOCT24!AM17+HISTONOV24!AM17+HISTODEC24!AM17</f>
        <v>0</v>
      </c>
      <c r="AN17" s="9">
        <f>HISTOJANV24!AN17+HISTOFEV24!AN17+HISTOMARS24!AN17+HISTOAVRIL24!AN17+HISTOMAI24!AN17+HISTOJUIN24!AN17+HISTOJUIL24!AN17+HISTOAOUT24!AN17+HISTOSEPT24!AN17+HISTOOCT24!AN17+HISTONOV24!AN17+HISTODEC24!AN17</f>
        <v>1000</v>
      </c>
      <c r="AO17" s="12"/>
      <c r="AP17" s="12"/>
      <c r="AQ17" s="8">
        <f t="shared" si="2"/>
        <v>0</v>
      </c>
      <c r="AR17" s="8">
        <f t="shared" si="3"/>
        <v>0</v>
      </c>
      <c r="AS17" s="13">
        <f t="shared" si="6"/>
        <v>25000</v>
      </c>
      <c r="AT17" s="15"/>
      <c r="AV17" s="15"/>
      <c r="AW17" s="9">
        <f>HISTOJANV24!AW17+HISTOFEV24!AW17+HISTOMARS24!AW17+HISTOAVRIL24!AW17+HISTOMAI24!AW17+HISTOJUIN24!AW17+HISTOJUIL24!AW17+HISTOAOUT24!AW17+HISTOSEPT24!AW17+HISTOOCT24!AW17+HISTONOV24!AW17+HISTODEC24!AW17</f>
        <v>283000</v>
      </c>
      <c r="AX17" s="9">
        <f>HISTOJANV24!AX17+HISTOFEV24!AX17+HISTOMARS24!AX17+HISTOAVRIL24!AX17+HISTOMAI24!AX17+HISTOJUIN24!AX17+HISTOJUIL24!AX17+HISTOAOUT24!AX17+HISTOSEPT24!AX17+HISTOOCT24!AX17+HISTONOV24!AX17+HISTODEC24!AX17</f>
        <v>0</v>
      </c>
      <c r="AY17" s="9">
        <f>HISTOJANV24!AY17+HISTOFEV24!AY17+HISTOMARS24!AY17+HISTOAVRIL24!AY17+HISTOMAI24!AY17+HISTOJUIN24!AY17+HISTOJUIL24!AY17+HISTOAOUT24!AY17+HISTOSEPT24!AY17+HISTOOCT24!AY17+HISTONOV24!AY17+HISTODEC24!AY17</f>
        <v>1230000</v>
      </c>
      <c r="AZ17" s="9">
        <f>HISTOJANV24!AZ17+HISTOFEV24!AZ17+HISTOMARS24!AZ17+HISTOAVRIL24!AZ17+HISTOMAI24!AZ17+HISTOJUIN24!AZ17+HISTOJUIL24!AZ17+HISTOAOUT24!AZ17+HISTOSEPT24!AZ17+HISTOOCT24!AZ17+HISTONOV24!AZ17+HISTODEC24!AZ17</f>
        <v>2063000</v>
      </c>
      <c r="BA17" s="9">
        <f>HISTOJANV24!BA17+HISTOFEV24!BA17+HISTOMARS24!BA17+HISTOAVRIL24!BA17+HISTOMAI24!BA17+HISTOJUIN24!BA17+HISTOJUIL24!BA17+HISTOAOUT24!BA17+HISTOSEPT24!BA17+HISTOOCT24!BA17+HISTONOV24!BA17+HISTODEC24!BA17</f>
        <v>100000</v>
      </c>
      <c r="BB17" s="9">
        <f>HISTOJANV24!BB17+HISTOFEV24!BB17+HISTOMARS24!BB17+HISTOAVRIL24!BB17+HISTOMAI24!BB17+HISTOJUIN24!BB17+HISTOJUIL24!BB17+HISTOAOUT24!BB17+HISTOSEPT24!BB17+HISTOOCT24!BB17+HISTONOV24!BB17+HISTODEC24!BB17</f>
        <v>0</v>
      </c>
      <c r="BC17" s="15"/>
      <c r="BD17" s="9">
        <f>HISTOJANV24!BD17+HISTOFEV24!BD17+HISTOMARS24!BD17+HISTOAVRIL24!BD17+HISTOMAI24!BD17+HISTOJUIN24!BD17+HISTOJUIL24!BD17+HISTOAOUT24!BD17+HISTOSEPT24!BD17+HISTOOCT24!BD17+HISTONOV24!BD17+HISTODEC24!BD17</f>
        <v>1963000</v>
      </c>
      <c r="BE17" s="82"/>
      <c r="BF17" s="9">
        <f>HISTOJANV24!BF17+HISTOFEV24!BF17+HISTOMARS24!BF17+HISTOAVRIL24!BF17+HISTOMAI24!BF17+HISTOJUIN24!BF17+HISTOJUIL24!BF17+HISTOAOUT24!BF17+HISTOSEPT24!BF17+HISTOOCT24!BF17+HISTONOV24!BF17+HISTODEC24!BF17</f>
        <v>110000</v>
      </c>
      <c r="BG17" s="29"/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/>
      <c r="D18" s="9">
        <f>HISTOJANV24!D18+HISTOFEV24!D18+HISTOMARS24!D18+HISTOAVRIL24!D18+HISTOMAI24!D18+HISTOJUIN24!D18+HISTOJUIL24!D18+HISTOAOUT24!D18+HISTOSEPT24!D18+HISTOOCT24!D18+HISTONOV24!D18+HISTODEC24!D18</f>
        <v>470000</v>
      </c>
      <c r="E18" s="9">
        <f>HISTOJANV24!E18+HISTOFEV24!E18+HISTOMARS24!E18+HISTOAVRIL24!E18+HISTOMAI24!E18+HISTOJUIN24!E18+HISTOJUIL24!E18+HISTOAOUT24!E18+HISTOSEPT24!E18+HISTOOCT24!E18+HISTONOV24!E18+HISTODEC24!E18</f>
        <v>0</v>
      </c>
      <c r="F18" s="9">
        <f>HISTOJANV24!F18+HISTOFEV24!F18+HISTOMARS24!F18+HISTOAVRIL24!F18+HISTOMAI24!F18+HISTOJUIN24!F18+HISTOJUIL24!F18+HISTOAOUT24!F18+HISTOSEPT24!F18+HISTOOCT24!F18+HISTONOV24!F18+HISTODEC24!F18</f>
        <v>0</v>
      </c>
      <c r="G18" s="9">
        <f>HISTOJANV24!G18+HISTOFEV24!G18+HISTOMARS24!G18+HISTOAVRIL24!G18+HISTOMAI24!G18+HISTOJUIN24!G18+HISTOJUIL24!G18+HISTOAOUT24!G18+HISTOSEPT24!G18+HISTOOCT24!G18+HISTONOV24!G18+HISTODEC24!G18</f>
        <v>0</v>
      </c>
      <c r="H18" s="10"/>
      <c r="I18" s="9">
        <f>HISTOJANV24!I18+HISTOFEV24!I18+HISTOMARS24!I18+HISTOAVRIL24!I18+HISTOMAI24!I18+HISTOJUIN24!I18+HISTOJUIL24!I18+HISTOAOUT24!I18+HISTOSEPT24!I18+HISTOOCT24!I18+HISTONOV24!I18+HISTODEC24!I18</f>
        <v>20000</v>
      </c>
      <c r="J18" s="11">
        <v>1</v>
      </c>
      <c r="K18" s="11">
        <f t="shared" si="4"/>
        <v>50000</v>
      </c>
      <c r="L18" s="6"/>
      <c r="M18" s="11">
        <f t="shared" si="0"/>
        <v>0</v>
      </c>
      <c r="N18" s="6">
        <v>1</v>
      </c>
      <c r="O18" s="11">
        <f t="shared" si="1"/>
        <v>100000</v>
      </c>
      <c r="P18" s="9">
        <f>HISTOJANV24!P18+HISTOFEV24!P18+HISTOMARS24!P18+HISTOAVRIL24!P18+HISTOMAI24!P18+HISTOJUIN24!P18+HISTOJUIL24!P18+HISTOAOUT24!P18+HISTOSEPT24!P18+HISTOOCT24!P18+HISTONOV24!P18+HISTODEC24!P18</f>
        <v>0</v>
      </c>
      <c r="Q18" s="9">
        <f>HISTOJANV24!Q18+HISTOFEV24!Q18+HISTOMARS24!Q18+HISTOAVRIL24!Q18+HISTOMAI24!Q18+HISTOJUIN24!Q18+HISTOJUIL24!Q18+HISTOAOUT24!Q18+HISTOSEPT24!Q18+HISTOOCT24!Q18+HISTONOV24!Q18+HISTODEC24!Q18</f>
        <v>0</v>
      </c>
      <c r="R18" s="9">
        <f>HISTOJANV24!R18+HISTOFEV24!R18+HISTOMARS24!R18+HISTOAVRIL24!R18+HISTOMAI24!R18+HISTOJUIN24!R18+HISTOJUIL24!R18+HISTOAOUT24!R18+HISTOSEPT24!R18+HISTOOCT24!R18+HISTONOV24!R18+HISTODEC24!R18</f>
        <v>202000</v>
      </c>
      <c r="S18" s="9">
        <f>HISTOJANV24!S18+HISTOFEV24!S18+HISTOMARS24!S18+HISTOAVRIL24!S18+HISTOMAI24!S18+HISTOJUIN24!S18+HISTOJUIL24!S18+HISTOAOUT24!S18+HISTOSEPT24!S18+HISTOOCT24!S18+HISTONOV24!S18+HISTODEC24!S18</f>
        <v>0</v>
      </c>
      <c r="T18" s="12"/>
      <c r="U18" s="17">
        <f t="shared" si="5"/>
        <v>372000</v>
      </c>
      <c r="V18" s="9">
        <f>HISTOJANV24!V18+HISTOFEV24!V18+HISTOMARS24!V18+HISTOAVRIL24!V18+HISTOMAI24!V18+HISTOJUIN24!V18+HISTOJUIL24!V18+HISTOAOUT24!V18+HISTOSEPT24!V18+HISTOOCT24!V18+HISTONOV24!V18+HISTODEC24!V18</f>
        <v>0</v>
      </c>
      <c r="W18" s="9">
        <f>HISTOJANV24!W18+HISTOFEV24!W18+HISTOMARS24!W18+HISTOAVRIL24!W18+HISTOMAI24!W18+HISTOJUIN24!W18+HISTOJUIL24!W18+HISTOAOUT24!W18+HISTOSEPT24!W18+HISTOOCT24!W18+HISTONOV24!W18+HISTODEC24!W18</f>
        <v>0</v>
      </c>
      <c r="X18" s="9">
        <f>HISTOJANV24!X18+HISTOFEV24!X18+HISTOMARS24!X18+HISTOAVRIL24!X18+HISTOMAI24!X18+HISTOJUIN24!X18+HISTOJUIL24!X18+HISTOAOUT24!X18+HISTOSEPT24!X18+HISTOOCT24!X18+HISTONOV24!X18+HISTODEC24!X18</f>
        <v>0</v>
      </c>
      <c r="Y18" s="9">
        <f>HISTOJANV24!Y18+HISTOFEV24!Y18+HISTOMARS24!Y18+HISTOAVRIL24!Y18+HISTOMAI24!Y18+HISTOJUIN24!Y18+HISTOJUIL24!Y18+HISTOAOUT24!Y18+HISTOSEPT24!Y18+HISTOOCT24!Y18+HISTONOV24!Y18+HISTODEC24!Y18</f>
        <v>0</v>
      </c>
      <c r="Z18" s="9">
        <f>HISTOJANV24!Z18+HISTOFEV24!Z18+HISTOMARS24!Z18+HISTOAVRIL24!Z18+HISTOMAI24!Z18+HISTOJUIN24!Z18+HISTOJUIL24!Z18+HISTOAOUT24!Z18+HISTOSEPT24!Z18+HISTOOCT24!Z18+HISTONOV24!Z18+HISTODEC24!Z18</f>
        <v>0</v>
      </c>
      <c r="AA18" s="12"/>
      <c r="AB18" s="12"/>
      <c r="AC18" s="9">
        <f>HISTOJANV24!AC18+HISTOFEV24!AC18+HISTOMARS24!AC18+HISTOAVRIL24!AC18+HISTOMAI24!AC18+HISTOJUIN24!AC18+HISTOJUIL24!AC18+HISTOAOUT24!AC18+HISTOSEPT24!AC18+HISTOOCT24!AC18+HISTONOV24!AC18+HISTODEC24!AC18</f>
        <v>13000</v>
      </c>
      <c r="AD18" s="9">
        <f>HISTOJANV24!AD18+HISTOFEV24!AD18+HISTOMARS24!AD18+HISTOAVRIL24!AD18+HISTOMAI24!AD18+HISTOJUIN24!AD18+HISTOJUIL24!AD18+HISTOAOUT24!AD18+HISTOSEPT24!AD18+HISTOOCT24!AD18+HISTONOV24!AD18+HISTODEC24!AD18</f>
        <v>0</v>
      </c>
      <c r="AE18" s="9">
        <f>HISTOJANV24!AE18+HISTOFEV24!AE18+HISTOMARS24!AE18+HISTOAVRIL24!AE18+HISTOMAI24!AE18+HISTOJUIN24!AE18+HISTOJUIL24!AE18+HISTOAOUT24!AE18+HISTOSEPT24!AE18+HISTOOCT24!AE18+HISTONOV24!AE18+HISTODEC24!AE18</f>
        <v>40000</v>
      </c>
      <c r="AF18" s="12"/>
      <c r="AG18" s="12"/>
      <c r="AH18" s="9">
        <f>HISTOJANV24!AH18+HISTOFEV24!AH18+HISTOMARS24!AH18+HISTOAVRIL24!AH18+HISTOMAI24!AH18+HISTOJUIN24!AH18+HISTOJUIL24!AH18+HISTOAOUT24!AH18+HISTOSEPT24!AH18+HISTOOCT24!AH18+HISTONOV24!AH18+HISTODEC24!AH18</f>
        <v>0</v>
      </c>
      <c r="AI18" s="9">
        <f>HISTOJANV24!AI18+HISTOFEV24!AI18+HISTOMARS24!AI18+HISTOAVRIL24!AI18+HISTOMAI24!AI18+HISTOJUIN24!AI18+HISTOJUIL24!AI18+HISTOAOUT24!AI18+HISTOSEPT24!AI18+HISTOOCT24!AI18+HISTONOV24!AI18+HISTODEC24!AI18</f>
        <v>0</v>
      </c>
      <c r="AJ18" s="9">
        <f>HISTOJANV24!AJ18+HISTOFEV24!AJ18+HISTOMARS24!AJ18+HISTOAVRIL24!AJ18+HISTOMAI24!AJ18+HISTOJUIN24!AJ18+HISTOJUIL24!AJ18+HISTOAOUT24!AJ18+HISTOSEPT24!AJ18+HISTOOCT24!AJ18+HISTONOV24!AJ18+HISTODEC24!AJ18</f>
        <v>0</v>
      </c>
      <c r="AK18" s="9">
        <f>HISTOJANV24!AK18+HISTOFEV24!AK18+HISTOMARS24!AK18+HISTOAVRIL24!AK18+HISTOMAI24!AK18+HISTOJUIN24!AK18+HISTOJUIL24!AK18+HISTOAOUT24!AK18+HISTOSEPT24!AK18+HISTOOCT24!AK18+HISTONOV24!AK18+HISTODEC24!AK18</f>
        <v>200000</v>
      </c>
      <c r="AL18" s="9">
        <f>HISTOJANV24!AL18+HISTOFEV24!AL18+HISTOMARS24!AL18+HISTOAVRIL24!AL18+HISTOMAI24!AL18+HISTOJUIN24!AL18+HISTOJUIL24!AL18+HISTOAOUT24!AL18+HISTOSEPT24!AL18+HISTOOCT24!AL18+HISTONOV24!AL18+HISTODEC24!AL18</f>
        <v>0</v>
      </c>
      <c r="AM18" s="9">
        <f>HISTOJANV24!AM18+HISTOFEV24!AM18+HISTOMARS24!AM18+HISTOAVRIL24!AM18+HISTOMAI24!AM18+HISTOJUIN24!AM18+HISTOJUIL24!AM18+HISTOAOUT24!AM18+HISTOSEPT24!AM18+HISTOOCT24!AM18+HISTONOV24!AM18+HISTODEC24!AM18</f>
        <v>0</v>
      </c>
      <c r="AN18" s="9">
        <f>HISTOJANV24!AN18+HISTOFEV24!AN18+HISTOMARS24!AN18+HISTOAVRIL24!AN18+HISTOMAI24!AN18+HISTOJUIN24!AN18+HISTOJUIL24!AN18+HISTOAOUT24!AN18+HISTOSEPT24!AN18+HISTOOCT24!AN18+HISTONOV24!AN18+HISTODEC24!AN18</f>
        <v>2000</v>
      </c>
      <c r="AO18" s="12"/>
      <c r="AP18" s="12"/>
      <c r="AQ18" s="8">
        <f t="shared" si="2"/>
        <v>0</v>
      </c>
      <c r="AR18" s="8">
        <f t="shared" si="3"/>
        <v>0</v>
      </c>
      <c r="AS18" s="13">
        <f t="shared" si="6"/>
        <v>45000</v>
      </c>
      <c r="AT18" s="15"/>
      <c r="AV18" s="15"/>
      <c r="AW18" s="9">
        <f>HISTOJANV24!AW18+HISTOFEV24!AW18+HISTOMARS24!AW18+HISTOAVRIL24!AW18+HISTOMAI24!AW18+HISTOJUIN24!AW18+HISTOJUIL24!AW18+HISTOAOUT24!AW18+HISTOSEPT24!AW18+HISTOOCT24!AW18+HISTONOV24!AW18+HISTODEC24!AW18</f>
        <v>287000</v>
      </c>
      <c r="AX18" s="9">
        <f>HISTOJANV24!AX18+HISTOFEV24!AX18+HISTOMARS24!AX18+HISTOAVRIL24!AX18+HISTOMAI24!AX18+HISTOJUIN24!AX18+HISTOJUIL24!AX18+HISTOAOUT24!AX18+HISTOSEPT24!AX18+HISTOOCT24!AX18+HISTONOV24!AX18+HISTODEC24!AX18</f>
        <v>0</v>
      </c>
      <c r="AY18" s="9">
        <f>HISTOJANV24!AY18+HISTOFEV24!AY18+HISTOMARS24!AY18+HISTOAVRIL24!AY18+HISTOMAI24!AY18+HISTOJUIN24!AY18+HISTOJUIL24!AY18+HISTOAOUT24!AY18+HISTOSEPT24!AY18+HISTOOCT24!AY18+HISTONOV24!AY18+HISTODEC24!AY18</f>
        <v>1360000</v>
      </c>
      <c r="AZ18" s="9">
        <f>HISTOJANV24!AZ18+HISTOFEV24!AZ18+HISTOMARS24!AZ18+HISTOAVRIL24!AZ18+HISTOMAI24!AZ18+HISTOJUIN24!AZ18+HISTOJUIL24!AZ18+HISTOAOUT24!AZ18+HISTOSEPT24!AZ18+HISTOOCT24!AZ18+HISTONOV24!AZ18+HISTODEC24!AZ18</f>
        <v>1647000</v>
      </c>
      <c r="BA18" s="9">
        <f>HISTOJANV24!BA18+HISTOFEV24!BA18+HISTOMARS24!BA18+HISTOAVRIL24!BA18+HISTOMAI24!BA18+HISTOJUIN24!BA18+HISTOJUIL24!BA18+HISTOAOUT24!BA18+HISTOSEPT24!BA18+HISTOOCT24!BA18+HISTONOV24!BA18+HISTODEC24!BA18</f>
        <v>0</v>
      </c>
      <c r="BB18" s="9">
        <f>HISTOJANV24!BB18+HISTOFEV24!BB18+HISTOMARS24!BB18+HISTOAVRIL24!BB18+HISTOMAI24!BB18+HISTOJUIN24!BB18+HISTOJUIL24!BB18+HISTOAOUT24!BB18+HISTOSEPT24!BB18+HISTOOCT24!BB18+HISTONOV24!BB18+HISTODEC24!BB18</f>
        <v>0</v>
      </c>
      <c r="BC18" s="15"/>
      <c r="BD18" s="9">
        <f>HISTOJANV24!BD18+HISTOFEV24!BD18+HISTOMARS24!BD18+HISTOAVRIL24!BD18+HISTOMAI24!BD18+HISTOJUIN24!BD18+HISTOJUIL24!BD18+HISTOAOUT24!BD18+HISTOSEPT24!BD18+HISTOOCT24!BD18+HISTONOV24!BD18+HISTODEC24!BD18</f>
        <v>1647000</v>
      </c>
      <c r="BE18" s="82"/>
      <c r="BF18" s="9">
        <f>HISTOJANV24!BF18+HISTOFEV24!BF18+HISTOMARS24!BF18+HISTOAVRIL24!BF18+HISTOMAI24!BF18+HISTOJUIN24!BF18+HISTOJUIL24!BF18+HISTOAOUT24!BF18+HISTOSEPT24!BF18+HISTOOCT24!BF18+HISTONOV24!BF18+HISTODEC24!BF18</f>
        <v>0</v>
      </c>
      <c r="BG18" s="29"/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/>
      <c r="D19" s="9">
        <f>HISTOJANV24!D19+HISTOFEV24!D19+HISTOMARS24!D19+HISTOAVRIL24!D19+HISTOMAI24!D19+HISTOJUIN24!D19+HISTOJUIL24!D19+HISTOAOUT24!D19+HISTOSEPT24!D19+HISTOOCT24!D19+HISTONOV24!D19+HISTODEC24!D19</f>
        <v>150000</v>
      </c>
      <c r="E19" s="9">
        <f>HISTOJANV24!E19+HISTOFEV24!E19+HISTOMARS24!E19+HISTOAVRIL24!E19+HISTOMAI24!E19+HISTOJUIN24!E19+HISTOJUIL24!E19+HISTOAOUT24!E19+HISTOSEPT24!E19+HISTOOCT24!E19+HISTONOV24!E19+HISTODEC24!E19</f>
        <v>25000</v>
      </c>
      <c r="F19" s="9">
        <f>HISTOJANV24!F19+HISTOFEV24!F19+HISTOMARS24!F19+HISTOAVRIL24!F19+HISTOMAI24!F19+HISTOJUIN24!F19+HISTOJUIL24!F19+HISTOAOUT24!F19+HISTOSEPT24!F19+HISTOOCT24!F19+HISTONOV24!F19+HISTODEC24!F19</f>
        <v>0</v>
      </c>
      <c r="G19" s="9">
        <f>HISTOJANV24!G19+HISTOFEV24!G19+HISTOMARS24!G19+HISTOAVRIL24!G19+HISTOMAI24!G19+HISTOJUIN24!G19+HISTOJUIL24!G19+HISTOAOUT24!G19+HISTOSEPT24!G19+HISTOOCT24!G19+HISTONOV24!G19+HISTODEC24!G19</f>
        <v>0</v>
      </c>
      <c r="H19" s="10"/>
      <c r="I19" s="9">
        <f>HISTOJANV24!I19+HISTOFEV24!I19+HISTOMARS24!I19+HISTOAVRIL24!I19+HISTOMAI24!I19+HISTOJUIN24!I19+HISTOJUIL24!I19+HISTOAOUT24!I19+HISTOSEPT24!I19+HISTOOCT24!I19+HISTONOV24!I19+HISTODEC24!I19</f>
        <v>0</v>
      </c>
      <c r="J19" s="11">
        <v>1</v>
      </c>
      <c r="K19" s="11">
        <f t="shared" si="4"/>
        <v>50000</v>
      </c>
      <c r="L19" s="6"/>
      <c r="M19" s="11">
        <f t="shared" si="0"/>
        <v>0</v>
      </c>
      <c r="N19" s="6"/>
      <c r="O19" s="11">
        <f t="shared" si="1"/>
        <v>0</v>
      </c>
      <c r="P19" s="9">
        <f>HISTOJANV24!P19+HISTOFEV24!P19+HISTOMARS24!P19+HISTOAVRIL24!P19+HISTOMAI24!P19+HISTOJUIN24!P19+HISTOJUIL24!P19+HISTOAOUT24!P19+HISTOSEPT24!P19+HISTOOCT24!P19+HISTONOV24!P19+HISTODEC24!P19</f>
        <v>0</v>
      </c>
      <c r="Q19" s="9">
        <f>HISTOJANV24!Q19+HISTOFEV24!Q19+HISTOMARS24!Q19+HISTOAVRIL24!Q19+HISTOMAI24!Q19+HISTOJUIN24!Q19+HISTOJUIL24!Q19+HISTOAOUT24!Q19+HISTOSEPT24!Q19+HISTOOCT24!Q19+HISTONOV24!Q19+HISTODEC24!Q19</f>
        <v>0</v>
      </c>
      <c r="R19" s="9">
        <f>HISTOJANV24!R19+HISTOFEV24!R19+HISTOMARS24!R19+HISTOAVRIL24!R19+HISTOMAI24!R19+HISTOJUIN24!R19+HISTOJUIL24!R19+HISTOAOUT24!R19+HISTOSEPT24!R19+HISTOOCT24!R19+HISTONOV24!R19+HISTODEC24!R19</f>
        <v>0</v>
      </c>
      <c r="S19" s="9">
        <f>HISTOJANV24!S19+HISTOFEV24!S19+HISTOMARS24!S19+HISTOAVRIL24!S19+HISTOMAI24!S19+HISTOJUIN24!S19+HISTOJUIL24!S19+HISTOAOUT24!S19+HISTOSEPT24!S19+HISTOOCT24!S19+HISTONOV24!S19+HISTODEC24!S19</f>
        <v>0</v>
      </c>
      <c r="T19" s="12"/>
      <c r="U19" s="17">
        <f>G19+S19++R19+P19+O19+M19+I19+K19+Q19+V19+W19</f>
        <v>75000</v>
      </c>
      <c r="V19" s="9">
        <f>HISTOJANV24!V19+HISTOFEV24!V19+HISTOMARS24!V19+HISTOAVRIL24!V19+HISTOMAI24!V19+HISTOJUIN24!V19+HISTOJUIL24!V19+HISTOAOUT24!V19+HISTOSEPT24!V19+HISTOOCT24!V19+HISTONOV24!V19+HISTODEC24!V19</f>
        <v>0</v>
      </c>
      <c r="W19" s="9">
        <f>HISTOJANV24!W19+HISTOFEV24!W19+HISTOMARS24!W19+HISTOAVRIL24!W19+HISTOMAI24!W19+HISTOJUIN24!W19+HISTOJUIL24!W19+HISTOAOUT24!W19+HISTOSEPT24!W19+HISTOOCT24!W19+HISTONOV24!W19+HISTODEC24!W19</f>
        <v>25000</v>
      </c>
      <c r="X19" s="9">
        <f>HISTOJANV24!X19+HISTOFEV24!X19+HISTOMARS24!X19+HISTOAVRIL24!X19+HISTOMAI24!X19+HISTOJUIN24!X19+HISTOJUIL24!X19+HISTOAOUT24!X19+HISTOSEPT24!X19+HISTOOCT24!X19+HISTONOV24!X19+HISTODEC24!X19</f>
        <v>0</v>
      </c>
      <c r="Y19" s="9">
        <f>HISTOJANV24!Y19+HISTOFEV24!Y19+HISTOMARS24!Y19+HISTOAVRIL24!Y19+HISTOMAI24!Y19+HISTOJUIN24!Y19+HISTOJUIL24!Y19+HISTOAOUT24!Y19+HISTOSEPT24!Y19+HISTOOCT24!Y19+HISTONOV24!Y19+HISTODEC24!Y19</f>
        <v>0</v>
      </c>
      <c r="Z19" s="9">
        <f>HISTOJANV24!Z19+HISTOFEV24!Z19+HISTOMARS24!Z19+HISTOAVRIL24!Z19+HISTOMAI24!Z19+HISTOJUIN24!Z19+HISTOJUIL24!Z19+HISTOAOUT24!Z19+HISTOSEPT24!Z19+HISTOOCT24!Z19+HISTONOV24!Z19+HISTODEC24!Z19</f>
        <v>0</v>
      </c>
      <c r="AA19" s="12"/>
      <c r="AB19" s="12"/>
      <c r="AC19" s="9">
        <f>HISTOJANV24!AC19+HISTOFEV24!AC19+HISTOMARS24!AC19+HISTOAVRIL24!AC19+HISTOMAI24!AC19+HISTOJUIN24!AC19+HISTOJUIL24!AC19+HISTOAOUT24!AC19+HISTOSEPT24!AC19+HISTOOCT24!AC19+HISTONOV24!AC19+HISTODEC24!AC19</f>
        <v>0</v>
      </c>
      <c r="AD19" s="9">
        <f>HISTOJANV24!AD19+HISTOFEV24!AD19+HISTOMARS24!AD19+HISTOAVRIL24!AD19+HISTOMAI24!AD19+HISTOJUIN24!AD19+HISTOJUIL24!AD19+HISTOAOUT24!AD19+HISTOSEPT24!AD19+HISTOOCT24!AD19+HISTONOV24!AD19+HISTODEC24!AD19</f>
        <v>0</v>
      </c>
      <c r="AE19" s="9">
        <f>HISTOJANV24!AE19+HISTOFEV24!AE19+HISTOMARS24!AE19+HISTOAVRIL24!AE19+HISTOMAI24!AE19+HISTOJUIN24!AE19+HISTOJUIL24!AE19+HISTOAOUT24!AE19+HISTOSEPT24!AE19+HISTOOCT24!AE19+HISTONOV24!AE19+HISTODEC24!AE19</f>
        <v>0</v>
      </c>
      <c r="AF19" s="12"/>
      <c r="AG19" s="12"/>
      <c r="AH19" s="9">
        <f>HISTOJANV24!AH19+HISTOFEV24!AH19+HISTOMARS24!AH19+HISTOAVRIL24!AH19+HISTOMAI24!AH19+HISTOJUIN24!AH19+HISTOJUIL24!AH19+HISTOAOUT24!AH19+HISTOSEPT24!AH19+HISTOOCT24!AH19+HISTONOV24!AH19+HISTODEC24!AH19</f>
        <v>0</v>
      </c>
      <c r="AI19" s="9">
        <f>HISTOJANV24!AI19+HISTOFEV24!AI19+HISTOMARS24!AI19+HISTOAVRIL24!AI19+HISTOMAI24!AI19+HISTOJUIN24!AI19+HISTOJUIL24!AI19+HISTOAOUT24!AI19+HISTOSEPT24!AI19+HISTOOCT24!AI19+HISTONOV24!AI19+HISTODEC24!AI19</f>
        <v>0</v>
      </c>
      <c r="AJ19" s="9">
        <f>HISTOJANV24!AJ19+HISTOFEV24!AJ19+HISTOMARS24!AJ19+HISTOAVRIL24!AJ19+HISTOMAI24!AJ19+HISTOJUIN24!AJ19+HISTOJUIL24!AJ19+HISTOAOUT24!AJ19+HISTOSEPT24!AJ19+HISTOOCT24!AJ19+HISTONOV24!AJ19+HISTODEC24!AJ19</f>
        <v>0</v>
      </c>
      <c r="AK19" s="9">
        <f>HISTOJANV24!AK19+HISTOFEV24!AK19+HISTOMARS24!AK19+HISTOAVRIL24!AK19+HISTOMAI24!AK19+HISTOJUIN24!AK19+HISTOJUIL24!AK19+HISTOAOUT24!AK19+HISTOSEPT24!AK19+HISTOOCT24!AK19+HISTONOV24!AK19+HISTODEC24!AK19</f>
        <v>0</v>
      </c>
      <c r="AL19" s="9">
        <f>HISTOJANV24!AL19+HISTOFEV24!AL19+HISTOMARS24!AL19+HISTOAVRIL24!AL19+HISTOMAI24!AL19+HISTOJUIN24!AL19+HISTOJUIL24!AL19+HISTOAOUT24!AL19+HISTOSEPT24!AL19+HISTOOCT24!AL19+HISTONOV24!AL19+HISTODEC24!AL19</f>
        <v>0</v>
      </c>
      <c r="AM19" s="9">
        <f>HISTOJANV24!AM19+HISTOFEV24!AM19+HISTOMARS24!AM19+HISTOAVRIL24!AM19+HISTOMAI24!AM19+HISTOJUIN24!AM19+HISTOJUIL24!AM19+HISTOAOUT24!AM19+HISTOSEPT24!AM19+HISTOOCT24!AM19+HISTONOV24!AM19+HISTODEC24!AM19</f>
        <v>0</v>
      </c>
      <c r="AN19" s="9">
        <f>HISTOJANV24!AN19+HISTOFEV24!AN19+HISTOMARS24!AN19+HISTOAVRIL24!AN19+HISTOMAI24!AN19+HISTOJUIN24!AN19+HISTOJUIL24!AN19+HISTOAOUT24!AN19+HISTOSEPT24!AN19+HISTOOCT24!AN19+HISTONOV24!AN19+HISTODEC24!AN19</f>
        <v>0</v>
      </c>
      <c r="AO19" s="12"/>
      <c r="AP19" s="12"/>
      <c r="AQ19" s="8">
        <f t="shared" si="2"/>
        <v>0</v>
      </c>
      <c r="AR19" s="8">
        <f t="shared" si="3"/>
        <v>0</v>
      </c>
      <c r="AS19" s="13">
        <f t="shared" si="6"/>
        <v>25000</v>
      </c>
      <c r="AT19" s="15"/>
      <c r="AV19" s="15"/>
      <c r="AW19" s="9">
        <f>HISTOJANV24!AW19+HISTOFEV24!AW19+HISTOMARS24!AW19+HISTOAVRIL24!AW19+HISTOMAI24!AW19+HISTOJUIN24!AW19+HISTOJUIL24!AW19+HISTOAOUT24!AW19+HISTOSEPT24!AW19+HISTOOCT24!AW19+HISTONOV24!AW19+HISTODEC24!AW19</f>
        <v>0</v>
      </c>
      <c r="AX19" s="9">
        <f>HISTOJANV24!AX19+HISTOFEV24!AX19+HISTOMARS24!AX19+HISTOAVRIL24!AX19+HISTOMAI24!AX19+HISTOJUIN24!AX19+HISTOJUIL24!AX19+HISTOAOUT24!AX19+HISTOSEPT24!AX19+HISTOOCT24!AX19+HISTONOV24!AX19+HISTODEC24!AX19</f>
        <v>0</v>
      </c>
      <c r="AY19" s="9">
        <f>HISTOJANV24!AY19+HISTOFEV24!AY19+HISTOMARS24!AY19+HISTOAVRIL24!AY19+HISTOMAI24!AY19+HISTOJUIN24!AY19+HISTOJUIL24!AY19+HISTOAOUT24!AY19+HISTOSEPT24!AY19+HISTOOCT24!AY19+HISTONOV24!AY19+HISTODEC24!AY19</f>
        <v>0</v>
      </c>
      <c r="AZ19" s="9">
        <f>HISTOJANV24!AZ19+HISTOFEV24!AZ19+HISTOMARS24!AZ19+HISTOAVRIL24!AZ19+HISTOMAI24!AZ19+HISTOJUIN24!AZ19+HISTOJUIL24!AZ19+HISTOAOUT24!AZ19+HISTOSEPT24!AZ19+HISTOOCT24!AZ19+HISTONOV24!AZ19+HISTODEC24!AZ19</f>
        <v>0</v>
      </c>
      <c r="BA19" s="9">
        <f>HISTOJANV24!BA19+HISTOFEV24!BA19+HISTOMARS24!BA19+HISTOAVRIL24!BA19+HISTOMAI24!BA19+HISTOJUIN24!BA19+HISTOJUIL24!BA19+HISTOAOUT24!BA19+HISTOSEPT24!BA19+HISTOOCT24!BA19+HISTONOV24!BA19+HISTODEC24!BA19</f>
        <v>0</v>
      </c>
      <c r="BB19" s="9">
        <f>HISTOJANV24!BB19+HISTOFEV24!BB19+HISTOMARS24!BB19+HISTOAVRIL24!BB19+HISTOMAI24!BB19+HISTOJUIN24!BB19+HISTOJUIL24!BB19+HISTOAOUT24!BB19+HISTOSEPT24!BB19+HISTOOCT24!BB19+HISTONOV24!BB19+HISTODEC24!BB19</f>
        <v>0</v>
      </c>
      <c r="BC19" s="15"/>
      <c r="BD19" s="9">
        <f>HISTOJANV24!BD19+HISTOFEV24!BD19+HISTOMARS24!BD19+HISTOAVRIL24!BD19+HISTOMAI24!BD19+HISTOJUIN24!BD19+HISTOJUIL24!BD19+HISTOAOUT24!BD19+HISTOSEPT24!BD19+HISTOOCT24!BD19+HISTONOV24!BD19+HISTODEC24!BD19</f>
        <v>0</v>
      </c>
      <c r="BE19" s="82"/>
      <c r="BF19" s="9">
        <f>HISTOJANV24!BF19+HISTOFEV24!BF19+HISTOMARS24!BF19+HISTOAVRIL24!BF19+HISTOMAI24!BF19+HISTOJUIN24!BF19+HISTOJUIL24!BF19+HISTOAOUT24!BF19+HISTOSEPT24!BF19+HISTOOCT24!BF19+HISTONOV24!BF19+HISTODEC24!BF19</f>
        <v>0</v>
      </c>
      <c r="BG19" s="29"/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/>
      <c r="D20" s="9">
        <f>HISTOJANV24!D20+HISTOFEV24!D20+HISTOMARS24!D20+HISTOAVRIL24!D20+HISTOMAI24!D20+HISTOJUIN24!D20+HISTOJUIL24!D20+HISTOAOUT24!D20+HISTOSEPT24!D20+HISTOOCT24!D20+HISTONOV24!D20+HISTODEC24!D20</f>
        <v>877000</v>
      </c>
      <c r="E20" s="9">
        <f>HISTOJANV24!E20+HISTOFEV24!E20+HISTOMARS24!E20+HISTOAVRIL24!E20+HISTOMAI24!E20+HISTOJUIN24!E20+HISTOJUIL24!E20+HISTOAOUT24!E20+HISTOSEPT24!E20+HISTOOCT24!E20+HISTONOV24!E20+HISTODEC24!E20</f>
        <v>0</v>
      </c>
      <c r="F20" s="9">
        <f>HISTOJANV24!F20+HISTOFEV24!F20+HISTOMARS24!F20+HISTOAVRIL24!F20+HISTOMAI24!F20+HISTOJUIN24!F20+HISTOJUIL24!F20+HISTOAOUT24!F20+HISTOSEPT24!F20+HISTOOCT24!F20+HISTONOV24!F20+HISTODEC24!F20</f>
        <v>0</v>
      </c>
      <c r="G20" s="9">
        <f>HISTOJANV24!G20+HISTOFEV24!G20+HISTOMARS24!G20+HISTOAVRIL24!G20+HISTOMAI24!G20+HISTOJUIN24!G20+HISTOJUIL24!G20+HISTOAOUT24!G20+HISTOSEPT24!G20+HISTOOCT24!G20+HISTONOV24!G20+HISTODEC24!G20</f>
        <v>0</v>
      </c>
      <c r="H20" s="10"/>
      <c r="I20" s="9">
        <f>HISTOJANV24!I20+HISTOFEV24!I20+HISTOMARS24!I20+HISTOAVRIL24!I20+HISTOMAI24!I20+HISTOJUIN24!I20+HISTOJUIL24!I20+HISTOAOUT24!I20+HISTOSEPT24!I20+HISTOOCT24!I20+HISTONOV24!I20+HISTODEC24!I20</f>
        <v>0</v>
      </c>
      <c r="J20" s="11">
        <v>1</v>
      </c>
      <c r="K20" s="11">
        <f t="shared" si="4"/>
        <v>50000</v>
      </c>
      <c r="L20" s="6">
        <v>1</v>
      </c>
      <c r="M20" s="11">
        <f t="shared" si="0"/>
        <v>75000</v>
      </c>
      <c r="N20" s="6">
        <v>1</v>
      </c>
      <c r="O20" s="11">
        <f t="shared" si="1"/>
        <v>100000</v>
      </c>
      <c r="P20" s="9">
        <f>HISTOJANV24!P20+HISTOFEV24!P20+HISTOMARS24!P20+HISTOAVRIL24!P20+HISTOMAI24!P20+HISTOJUIN24!P20+HISTOJUIL24!P20+HISTOAOUT24!P20+HISTOSEPT24!P20+HISTOOCT24!P20+HISTONOV24!P20+HISTODEC24!P20</f>
        <v>0</v>
      </c>
      <c r="Q20" s="9">
        <f>HISTOJANV24!Q20+HISTOFEV24!Q20+HISTOMARS24!Q20+HISTOAVRIL24!Q20+HISTOMAI24!Q20+HISTOJUIN24!Q20+HISTOJUIL24!Q20+HISTOAOUT24!Q20+HISTOSEPT24!Q20+HISTOOCT24!Q20+HISTONOV24!Q20+HISTODEC24!Q20</f>
        <v>91000</v>
      </c>
      <c r="R20" s="9">
        <f>HISTOJANV24!R20+HISTOFEV24!R20+HISTOMARS24!R20+HISTOAVRIL24!R20+HISTOMAI24!R20+HISTOJUIN24!R20+HISTOJUIL24!R20+HISTOAOUT24!R20+HISTOSEPT24!R20+HISTOOCT24!R20+HISTONOV24!R20+HISTODEC24!R20</f>
        <v>404000</v>
      </c>
      <c r="S20" s="9">
        <f>HISTOJANV24!S20+HISTOFEV24!S20+HISTOMARS24!S20+HISTOAVRIL24!S20+HISTOMAI24!S20+HISTOJUIN24!S20+HISTOJUIL24!S20+HISTOAOUT24!S20+HISTOSEPT24!S20+HISTOOCT24!S20+HISTONOV24!S20+HISTODEC24!S20</f>
        <v>0</v>
      </c>
      <c r="T20" s="12"/>
      <c r="U20" s="17">
        <f t="shared" si="5"/>
        <v>720000</v>
      </c>
      <c r="V20" s="9">
        <f>HISTOJANV24!V20+HISTOFEV24!V20+HISTOMARS24!V20+HISTOAVRIL24!V20+HISTOMAI24!V20+HISTOJUIN24!V20+HISTOJUIL24!V20+HISTOAOUT24!V20+HISTOSEPT24!V20+HISTOOCT24!V20+HISTONOV24!V20+HISTODEC24!V20</f>
        <v>0</v>
      </c>
      <c r="W20" s="9">
        <f>HISTOJANV24!W20+HISTOFEV24!W20+HISTOMARS24!W20+HISTOAVRIL24!W20+HISTOMAI24!W20+HISTOJUIN24!W20+HISTOJUIL24!W20+HISTOAOUT24!W20+HISTOSEPT24!W20+HISTOOCT24!W20+HISTONOV24!W20+HISTODEC24!W20</f>
        <v>0</v>
      </c>
      <c r="X20" s="9">
        <f>HISTOJANV24!X20+HISTOFEV24!X20+HISTOMARS24!X20+HISTOAVRIL24!X20+HISTOMAI24!X20+HISTOJUIN24!X20+HISTOJUIL24!X20+HISTOAOUT24!X20+HISTOSEPT24!X20+HISTOOCT24!X20+HISTONOV24!X20+HISTODEC24!X20</f>
        <v>0</v>
      </c>
      <c r="Y20" s="9">
        <f>HISTOJANV24!Y20+HISTOFEV24!Y20+HISTOMARS24!Y20+HISTOAVRIL24!Y20+HISTOMAI24!Y20+HISTOJUIN24!Y20+HISTOJUIL24!Y20+HISTOAOUT24!Y20+HISTOSEPT24!Y20+HISTOOCT24!Y20+HISTONOV24!Y20+HISTODEC24!Y20</f>
        <v>0</v>
      </c>
      <c r="Z20" s="9">
        <f>HISTOJANV24!Z20+HISTOFEV24!Z20+HISTOMARS24!Z20+HISTOAVRIL24!Z20+HISTOMAI24!Z20+HISTOJUIN24!Z20+HISTOJUIL24!Z20+HISTOAOUT24!Z20+HISTOSEPT24!Z20+HISTOOCT24!Z20+HISTONOV24!Z20+HISTODEC24!Z20</f>
        <v>0</v>
      </c>
      <c r="AA20" s="12"/>
      <c r="AB20" s="12"/>
      <c r="AC20" s="9">
        <f>HISTOJANV24!AC20+HISTOFEV24!AC20+HISTOMARS24!AC20+HISTOAVRIL24!AC20+HISTOMAI24!AC20+HISTOJUIN24!AC20+HISTOJUIL24!AC20+HISTOAOUT24!AC20+HISTOSEPT24!AC20+HISTOOCT24!AC20+HISTONOV24!AC20+HISTODEC24!AC20</f>
        <v>0</v>
      </c>
      <c r="AD20" s="9">
        <f>HISTOJANV24!AD20+HISTOFEV24!AD20+HISTOMARS24!AD20+HISTOAVRIL24!AD20+HISTOMAI24!AD20+HISTOJUIN24!AD20+HISTOJUIL24!AD20+HISTOAOUT24!AD20+HISTOSEPT24!AD20+HISTOOCT24!AD20+HISTONOV24!AD20+HISTODEC24!AD20</f>
        <v>16000</v>
      </c>
      <c r="AE20" s="9">
        <f>HISTOJANV24!AE20+HISTOFEV24!AE20+HISTOMARS24!AE20+HISTOAVRIL24!AE20+HISTOMAI24!AE20+HISTOJUIN24!AE20+HISTOJUIL24!AE20+HISTOAOUT24!AE20+HISTOSEPT24!AE20+HISTOOCT24!AE20+HISTONOV24!AE20+HISTODEC24!AE20</f>
        <v>115000</v>
      </c>
      <c r="AF20" s="12"/>
      <c r="AG20" s="12"/>
      <c r="AH20" s="9">
        <f>HISTOJANV24!AH20+HISTOFEV24!AH20+HISTOMARS24!AH20+HISTOAVRIL24!AH20+HISTOMAI24!AH20+HISTOJUIN24!AH20+HISTOJUIL24!AH20+HISTOAOUT24!AH20+HISTOSEPT24!AH20+HISTOOCT24!AH20+HISTONOV24!AH20+HISTODEC24!AH20</f>
        <v>0</v>
      </c>
      <c r="AI20" s="9">
        <f>HISTOJANV24!AI20+HISTOFEV24!AI20+HISTOMARS24!AI20+HISTOAVRIL24!AI20+HISTOMAI24!AI20+HISTOJUIN24!AI20+HISTOJUIL24!AI20+HISTOAOUT24!AI20+HISTOSEPT24!AI20+HISTOOCT24!AI20+HISTONOV24!AI20+HISTODEC24!AI20</f>
        <v>0</v>
      </c>
      <c r="AJ20" s="9">
        <f>HISTOJANV24!AJ20+HISTOFEV24!AJ20+HISTOMARS24!AJ20+HISTOAVRIL24!AJ20+HISTOMAI24!AJ20+HISTOJUIN24!AJ20+HISTOJUIL24!AJ20+HISTOAOUT24!AJ20+HISTOSEPT24!AJ20+HISTOOCT24!AJ20+HISTONOV24!AJ20+HISTODEC24!AJ20</f>
        <v>89000</v>
      </c>
      <c r="AK20" s="9">
        <f>HISTOJANV24!AK20+HISTOFEV24!AK20+HISTOMARS24!AK20+HISTOAVRIL24!AK20+HISTOMAI24!AK20+HISTOJUIN24!AK20+HISTOJUIL24!AK20+HISTOAOUT24!AK20+HISTOSEPT24!AK20+HISTOOCT24!AK20+HISTONOV24!AK20+HISTODEC24!AK20</f>
        <v>400000</v>
      </c>
      <c r="AL20" s="9">
        <f>HISTOJANV24!AL20+HISTOFEV24!AL20+HISTOMARS24!AL20+HISTOAVRIL24!AL20+HISTOMAI24!AL20+HISTOJUIN24!AL20+HISTOJUIL24!AL20+HISTOAOUT24!AL20+HISTOSEPT24!AL20+HISTOOCT24!AL20+HISTONOV24!AL20+HISTODEC24!AL20</f>
        <v>0</v>
      </c>
      <c r="AM20" s="9">
        <f>HISTOJANV24!AM20+HISTOFEV24!AM20+HISTOMARS24!AM20+HISTOAVRIL24!AM20+HISTOMAI24!AM20+HISTOJUIN24!AM20+HISTOJUIL24!AM20+HISTOAOUT24!AM20+HISTOSEPT24!AM20+HISTOOCT24!AM20+HISTONOV24!AM20+HISTODEC24!AM20</f>
        <v>2000</v>
      </c>
      <c r="AN20" s="9">
        <f>HISTOJANV24!AN20+HISTOFEV24!AN20+HISTOMARS24!AN20+HISTOAVRIL24!AN20+HISTOMAI24!AN20+HISTOJUIN24!AN20+HISTOJUIL24!AN20+HISTOAOUT24!AN20+HISTOSEPT24!AN20+HISTOOCT24!AN20+HISTONOV24!AN20+HISTODEC24!AN20</f>
        <v>4000</v>
      </c>
      <c r="AO20" s="12"/>
      <c r="AP20" s="12"/>
      <c r="AQ20" s="8">
        <f t="shared" si="2"/>
        <v>0</v>
      </c>
      <c r="AR20" s="8">
        <f t="shared" si="3"/>
        <v>0</v>
      </c>
      <c r="AS20" s="13">
        <f t="shared" si="6"/>
        <v>25000</v>
      </c>
      <c r="AT20" s="15"/>
      <c r="AV20" s="15"/>
      <c r="AW20" s="9">
        <f>HISTOJANV24!AW20+HISTOFEV24!AW20+HISTOMARS24!AW20+HISTOAVRIL24!AW20+HISTOMAI24!AW20+HISTOJUIN24!AW20+HISTOJUIL24!AW20+HISTOAOUT24!AW20+HISTOSEPT24!AW20+HISTOOCT24!AW20+HISTONOV24!AW20+HISTODEC24!AW20</f>
        <v>0</v>
      </c>
      <c r="AX20" s="9">
        <f>HISTOJANV24!AX20+HISTOFEV24!AX20+HISTOMARS24!AX20+HISTOAVRIL24!AX20+HISTOMAI24!AX20+HISTOJUIN24!AX20+HISTOJUIL24!AX20+HISTOAOUT24!AX20+HISTOSEPT24!AX20+HISTOOCT24!AX20+HISTONOV24!AX20+HISTODEC24!AX20</f>
        <v>973000</v>
      </c>
      <c r="AY20" s="9">
        <f>HISTOJANV24!AY20+HISTOFEV24!AY20+HISTOMARS24!AY20+HISTOAVRIL24!AY20+HISTOMAI24!AY20+HISTOJUIN24!AY20+HISTOJUIL24!AY20+HISTOAOUT24!AY20+HISTOSEPT24!AY20+HISTOOCT24!AY20+HISTONOV24!AY20+HISTODEC24!AY20</f>
        <v>1485000</v>
      </c>
      <c r="AZ20" s="9">
        <f>HISTOJANV24!AZ20+HISTOFEV24!AZ20+HISTOMARS24!AZ20+HISTOAVRIL24!AZ20+HISTOMAI24!AZ20+HISTOJUIN24!AZ20+HISTOJUIL24!AZ20+HISTOAOUT24!AZ20+HISTOSEPT24!AZ20+HISTOOCT24!AZ20+HISTONOV24!AZ20+HISTODEC24!AZ20</f>
        <v>2458000</v>
      </c>
      <c r="BA20" s="9">
        <f>HISTOJANV24!BA20+HISTOFEV24!BA20+HISTOMARS24!BA20+HISTOAVRIL24!BA20+HISTOMAI24!BA20+HISTOJUIN24!BA20+HISTOJUIL24!BA20+HISTOAOUT24!BA20+HISTOSEPT24!BA20+HISTOOCT24!BA20+HISTONOV24!BA20+HISTODEC24!BA20</f>
        <v>345500</v>
      </c>
      <c r="BB20" s="9">
        <f>HISTOJANV24!BB20+HISTOFEV24!BB20+HISTOMARS24!BB20+HISTOAVRIL24!BB20+HISTOMAI24!BB20+HISTOJUIN24!BB20+HISTOJUIL24!BB20+HISTOAOUT24!BB20+HISTOSEPT24!BB20+HISTOOCT24!BB20+HISTONOV24!BB20+HISTODEC24!BB20</f>
        <v>0</v>
      </c>
      <c r="BC20" s="15"/>
      <c r="BD20" s="9">
        <f>HISTOJANV24!BD20+HISTOFEV24!BD20+HISTOMARS24!BD20+HISTOAVRIL24!BD20+HISTOMAI24!BD20+HISTOJUIN24!BD20+HISTOJUIL24!BD20+HISTOAOUT24!BD20+HISTOSEPT24!BD20+HISTOOCT24!BD20+HISTONOV24!BD20+HISTODEC24!BD20</f>
        <v>2112500</v>
      </c>
      <c r="BE20" s="82"/>
      <c r="BF20" s="9">
        <f>HISTOJANV24!BF20+HISTOFEV24!BF20+HISTOMARS24!BF20+HISTOAVRIL24!BF20+HISTOMAI24!BF20+HISTOJUIN24!BF20+HISTOJUIL24!BF20+HISTOAOUT24!BF20+HISTOSEPT24!BF20+HISTOOCT24!BF20+HISTONOV24!BF20+HISTODEC24!BF20</f>
        <v>0</v>
      </c>
      <c r="BG20" s="29"/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/>
      <c r="D21" s="9">
        <f>HISTOJANV24!D21+HISTOFEV24!D21+HISTOMARS24!D21+HISTOAVRIL24!D21+HISTOMAI24!D21+HISTOJUIN24!D21+HISTOJUIL24!D21+HISTOAOUT24!D21+HISTOSEPT24!D21+HISTOOCT24!D21+HISTONOV24!D21+HISTODEC24!D21</f>
        <v>150000</v>
      </c>
      <c r="E21" s="9">
        <f>HISTOJANV24!E21+HISTOFEV24!E21+HISTOMARS24!E21+HISTOAVRIL24!E21+HISTOMAI24!E21+HISTOJUIN24!E21+HISTOJUIL24!E21+HISTOAOUT24!E21+HISTOSEPT24!E21+HISTOOCT24!E21+HISTONOV24!E21+HISTODEC24!E21</f>
        <v>0</v>
      </c>
      <c r="F21" s="9">
        <f>HISTOJANV24!F21+HISTOFEV24!F21+HISTOMARS24!F21+HISTOAVRIL24!F21+HISTOMAI24!F21+HISTOJUIN24!F21+HISTOJUIL24!F21+HISTOAOUT24!F21+HISTOSEPT24!F21+HISTOOCT24!F21+HISTONOV24!F21+HISTODEC24!F21</f>
        <v>0</v>
      </c>
      <c r="G21" s="9">
        <f>HISTOJANV24!G21+HISTOFEV24!G21+HISTOMARS24!G21+HISTOAVRIL24!G21+HISTOMAI24!G21+HISTOJUIN24!G21+HISTOJUIL24!G21+HISTOAOUT24!G21+HISTOSEPT24!G21+HISTOOCT24!G21+HISTONOV24!G21+HISTODEC24!G21</f>
        <v>0</v>
      </c>
      <c r="H21" s="10"/>
      <c r="I21" s="9">
        <f>HISTOJANV24!I21+HISTOFEV24!I21+HISTOMARS24!I21+HISTOAVRIL24!I21+HISTOMAI24!I21+HISTOJUIN24!I21+HISTOJUIL24!I21+HISTOAOUT24!I21+HISTOSEPT24!I21+HISTOOCT24!I21+HISTONOV24!I21+HISTODEC24!I21</f>
        <v>0</v>
      </c>
      <c r="J21" s="11">
        <v>1</v>
      </c>
      <c r="K21" s="11">
        <f t="shared" si="4"/>
        <v>50000</v>
      </c>
      <c r="L21" s="6"/>
      <c r="M21" s="11">
        <f t="shared" si="0"/>
        <v>0</v>
      </c>
      <c r="N21" s="6"/>
      <c r="O21" s="11">
        <f t="shared" si="1"/>
        <v>0</v>
      </c>
      <c r="P21" s="9">
        <f>HISTOJANV24!P21+HISTOFEV24!P21+HISTOMARS24!P21+HISTOAVRIL24!P21+HISTOMAI24!P21+HISTOJUIN24!P21+HISTOJUIL24!P21+HISTOAOUT24!P21+HISTOSEPT24!P21+HISTOOCT24!P21+HISTONOV24!P21+HISTODEC24!P21</f>
        <v>0</v>
      </c>
      <c r="Q21" s="9">
        <f>HISTOJANV24!Q21+HISTOFEV24!Q21+HISTOMARS24!Q21+HISTOAVRIL24!Q21+HISTOMAI24!Q21+HISTOJUIN24!Q21+HISTOJUIL24!Q21+HISTOAOUT24!Q21+HISTOSEPT24!Q21+HISTOOCT24!Q21+HISTONOV24!Q21+HISTODEC24!Q21</f>
        <v>0</v>
      </c>
      <c r="R21" s="9">
        <f>HISTOJANV24!R21+HISTOFEV24!R21+HISTOMARS24!R21+HISTOAVRIL24!R21+HISTOMAI24!R21+HISTOJUIN24!R21+HISTOJUIL24!R21+HISTOAOUT24!R21+HISTOSEPT24!R21+HISTOOCT24!R21+HISTONOV24!R21+HISTODEC24!R21</f>
        <v>0</v>
      </c>
      <c r="S21" s="9">
        <f>HISTOJANV24!S21+HISTOFEV24!S21+HISTOMARS24!S21+HISTOAVRIL24!S21+HISTOMAI24!S21+HISTOJUIN24!S21+HISTOJUIL24!S21+HISTOAOUT24!S21+HISTOSEPT24!S21+HISTOOCT24!S21+HISTONOV24!S21+HISTODEC24!S21</f>
        <v>0</v>
      </c>
      <c r="T21" s="12"/>
      <c r="U21" s="17">
        <f t="shared" si="5"/>
        <v>50000</v>
      </c>
      <c r="V21" s="9">
        <f>HISTOJANV24!V21+HISTOFEV24!V21+HISTOMARS24!V21+HISTOAVRIL24!V21+HISTOMAI24!V21+HISTOJUIN24!V21+HISTOJUIL24!V21+HISTOAOUT24!V21+HISTOSEPT24!V21+HISTOOCT24!V21+HISTONOV24!V21+HISTODEC24!V21</f>
        <v>0</v>
      </c>
      <c r="W21" s="9">
        <f>HISTOJANV24!W21+HISTOFEV24!W21+HISTOMARS24!W21+HISTOAVRIL24!W21+HISTOMAI24!W21+HISTOJUIN24!W21+HISTOJUIL24!W21+HISTOAOUT24!W21+HISTOSEPT24!W21+HISTOOCT24!W21+HISTONOV24!W21+HISTODEC24!W21</f>
        <v>0</v>
      </c>
      <c r="X21" s="9">
        <f>HISTOJANV24!X21+HISTOFEV24!X21+HISTOMARS24!X21+HISTOAVRIL24!X21+HISTOMAI24!X21+HISTOJUIN24!X21+HISTOJUIL24!X21+HISTOAOUT24!X21+HISTOSEPT24!X21+HISTOOCT24!X21+HISTONOV24!X21+HISTODEC24!X21</f>
        <v>0</v>
      </c>
      <c r="Y21" s="9">
        <f>HISTOJANV24!Y21+HISTOFEV24!Y21+HISTOMARS24!Y21+HISTOAVRIL24!Y21+HISTOMAI24!Y21+HISTOJUIN24!Y21+HISTOJUIL24!Y21+HISTOAOUT24!Y21+HISTOSEPT24!Y21+HISTOOCT24!Y21+HISTONOV24!Y21+HISTODEC24!Y21</f>
        <v>0</v>
      </c>
      <c r="Z21" s="9">
        <f>HISTOJANV24!Z21+HISTOFEV24!Z21+HISTOMARS24!Z21+HISTOAVRIL24!Z21+HISTOMAI24!Z21+HISTOJUIN24!Z21+HISTOJUIL24!Z21+HISTOAOUT24!Z21+HISTOSEPT24!Z21+HISTOOCT24!Z21+HISTONOV24!Z21+HISTODEC24!Z21</f>
        <v>0</v>
      </c>
      <c r="AA21" s="12"/>
      <c r="AB21" s="12"/>
      <c r="AC21" s="9">
        <f>HISTOJANV24!AC21+HISTOFEV24!AC21+HISTOMARS24!AC21+HISTOAVRIL24!AC21+HISTOMAI24!AC21+HISTOJUIN24!AC21+HISTOJUIL24!AC21+HISTOAOUT24!AC21+HISTOSEPT24!AC21+HISTOOCT24!AC21+HISTONOV24!AC21+HISTODEC24!AC21</f>
        <v>0</v>
      </c>
      <c r="AD21" s="9">
        <f>HISTOJANV24!AD21+HISTOFEV24!AD21+HISTOMARS24!AD21+HISTOAVRIL24!AD21+HISTOMAI24!AD21+HISTOJUIN24!AD21+HISTOJUIL24!AD21+HISTOAOUT24!AD21+HISTOSEPT24!AD21+HISTOOCT24!AD21+HISTONOV24!AD21+HISTODEC24!AD21</f>
        <v>0</v>
      </c>
      <c r="AE21" s="9">
        <f>HISTOJANV24!AE21+HISTOFEV24!AE21+HISTOMARS24!AE21+HISTOAVRIL24!AE21+HISTOMAI24!AE21+HISTOJUIN24!AE21+HISTOJUIL24!AE21+HISTOAOUT24!AE21+HISTOSEPT24!AE21+HISTOOCT24!AE21+HISTONOV24!AE21+HISTODEC24!AE21</f>
        <v>0</v>
      </c>
      <c r="AF21" s="12"/>
      <c r="AG21" s="12"/>
      <c r="AH21" s="9">
        <f>HISTOJANV24!AH21+HISTOFEV24!AH21+HISTOMARS24!AH21+HISTOAVRIL24!AH21+HISTOMAI24!AH21+HISTOJUIN24!AH21+HISTOJUIL24!AH21+HISTOAOUT24!AH21+HISTOSEPT24!AH21+HISTOOCT24!AH21+HISTONOV24!AH21+HISTODEC24!AH21</f>
        <v>0</v>
      </c>
      <c r="AI21" s="9">
        <f>HISTOJANV24!AI21+HISTOFEV24!AI21+HISTOMARS24!AI21+HISTOAVRIL24!AI21+HISTOMAI24!AI21+HISTOJUIN24!AI21+HISTOJUIL24!AI21+HISTOAOUT24!AI21+HISTOSEPT24!AI21+HISTOOCT24!AI21+HISTONOV24!AI21+HISTODEC24!AI21</f>
        <v>0</v>
      </c>
      <c r="AJ21" s="9">
        <f>HISTOJANV24!AJ21+HISTOFEV24!AJ21+HISTOMARS24!AJ21+HISTOAVRIL24!AJ21+HISTOMAI24!AJ21+HISTOJUIN24!AJ21+HISTOJUIL24!AJ21+HISTOAOUT24!AJ21+HISTOSEPT24!AJ21+HISTOOCT24!AJ21+HISTONOV24!AJ21+HISTODEC24!AJ21</f>
        <v>0</v>
      </c>
      <c r="AK21" s="9">
        <f>HISTOJANV24!AK21+HISTOFEV24!AK21+HISTOMARS24!AK21+HISTOAVRIL24!AK21+HISTOMAI24!AK21+HISTOJUIN24!AK21+HISTOJUIL24!AK21+HISTOAOUT24!AK21+HISTOSEPT24!AK21+HISTOOCT24!AK21+HISTONOV24!AK21+HISTODEC24!AK21</f>
        <v>0</v>
      </c>
      <c r="AL21" s="9">
        <f>HISTOJANV24!AL21+HISTOFEV24!AL21+HISTOMARS24!AL21+HISTOAVRIL24!AL21+HISTOMAI24!AL21+HISTOJUIN24!AL21+HISTOJUIL24!AL21+HISTOAOUT24!AL21+HISTOSEPT24!AL21+HISTOOCT24!AL21+HISTONOV24!AL21+HISTODEC24!AL21</f>
        <v>0</v>
      </c>
      <c r="AM21" s="9">
        <f>HISTOJANV24!AM21+HISTOFEV24!AM21+HISTOMARS24!AM21+HISTOAVRIL24!AM21+HISTOMAI24!AM21+HISTOJUIN24!AM21+HISTOJUIL24!AM21+HISTOAOUT24!AM21+HISTOSEPT24!AM21+HISTOOCT24!AM21+HISTONOV24!AM21+HISTODEC24!AM21</f>
        <v>0</v>
      </c>
      <c r="AN21" s="9">
        <f>HISTOJANV24!AN21+HISTOFEV24!AN21+HISTOMARS24!AN21+HISTOAVRIL24!AN21+HISTOMAI24!AN21+HISTOJUIN24!AN21+HISTOJUIL24!AN21+HISTOAOUT24!AN21+HISTOSEPT24!AN21+HISTOOCT24!AN21+HISTONOV24!AN21+HISTODEC24!AN21</f>
        <v>0</v>
      </c>
      <c r="AO21" s="12"/>
      <c r="AP21" s="12"/>
      <c r="AQ21" s="8">
        <f t="shared" si="2"/>
        <v>0</v>
      </c>
      <c r="AR21" s="8">
        <f t="shared" si="3"/>
        <v>0</v>
      </c>
      <c r="AS21" s="13">
        <f t="shared" si="6"/>
        <v>25000</v>
      </c>
      <c r="AT21" s="15"/>
      <c r="AV21" s="15"/>
      <c r="AW21" s="9">
        <f>HISTOJANV24!AW21+HISTOFEV24!AW21+HISTOMARS24!AW21+HISTOAVRIL24!AW21+HISTOMAI24!AW21+HISTOJUIN24!AW21+HISTOJUIL24!AW21+HISTOAOUT24!AW21+HISTOSEPT24!AW21+HISTOOCT24!AW21+HISTONOV24!AW21+HISTODEC24!AW21</f>
        <v>0</v>
      </c>
      <c r="AX21" s="9">
        <f>HISTOJANV24!AX21+HISTOFEV24!AX21+HISTOMARS24!AX21+HISTOAVRIL24!AX21+HISTOMAI24!AX21+HISTOJUIN24!AX21+HISTOJUIL24!AX21+HISTOAOUT24!AX21+HISTOSEPT24!AX21+HISTOOCT24!AX21+HISTONOV24!AX21+HISTODEC24!AX21</f>
        <v>0</v>
      </c>
      <c r="AY21" s="9">
        <f>HISTOJANV24!AY21+HISTOFEV24!AY21+HISTOMARS24!AY21+HISTOAVRIL24!AY21+HISTOMAI24!AY21+HISTOJUIN24!AY21+HISTOJUIL24!AY21+HISTOAOUT24!AY21+HISTOSEPT24!AY21+HISTOOCT24!AY21+HISTONOV24!AY21+HISTODEC24!AY21</f>
        <v>0</v>
      </c>
      <c r="AZ21" s="9">
        <f>HISTOJANV24!AZ21+HISTOFEV24!AZ21+HISTOMARS24!AZ21+HISTOAVRIL24!AZ21+HISTOMAI24!AZ21+HISTOJUIN24!AZ21+HISTOJUIL24!AZ21+HISTOAOUT24!AZ21+HISTOSEPT24!AZ21+HISTOOCT24!AZ21+HISTONOV24!AZ21+HISTODEC24!AZ21</f>
        <v>0</v>
      </c>
      <c r="BA21" s="9">
        <f>HISTOJANV24!BA21+HISTOFEV24!BA21+HISTOMARS24!BA21+HISTOAVRIL24!BA21+HISTOMAI24!BA21+HISTOJUIN24!BA21+HISTOJUIL24!BA21+HISTOAOUT24!BA21+HISTOSEPT24!BA21+HISTOOCT24!BA21+HISTONOV24!BA21+HISTODEC24!BA21</f>
        <v>0</v>
      </c>
      <c r="BB21" s="9">
        <f>HISTOJANV24!BB21+HISTOFEV24!BB21+HISTOMARS24!BB21+HISTOAVRIL24!BB21+HISTOMAI24!BB21+HISTOJUIN24!BB21+HISTOJUIL24!BB21+HISTOAOUT24!BB21+HISTOSEPT24!BB21+HISTOOCT24!BB21+HISTONOV24!BB21+HISTODEC24!BB21</f>
        <v>0</v>
      </c>
      <c r="BC21" s="15"/>
      <c r="BD21" s="9">
        <f>HISTOJANV24!BD21+HISTOFEV24!BD21+HISTOMARS24!BD21+HISTOAVRIL24!BD21+HISTOMAI24!BD21+HISTOJUIN24!BD21+HISTOJUIL24!BD21+HISTOAOUT24!BD21+HISTOSEPT24!BD21+HISTOOCT24!BD21+HISTONOV24!BD21+HISTODEC24!BD21</f>
        <v>0</v>
      </c>
      <c r="BE21" s="82"/>
      <c r="BF21" s="9">
        <f>HISTOJANV24!BF21+HISTOFEV24!BF21+HISTOMARS24!BF21+HISTOAVRIL24!BF21+HISTOMAI24!BF21+HISTOJUIN24!BF21+HISTOJUIL24!BF21+HISTOAOUT24!BF21+HISTOSEPT24!BF21+HISTOOCT24!BF21+HISTONOV24!BF21+HISTODEC24!BF21</f>
        <v>0</v>
      </c>
      <c r="BG21" s="29"/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/>
      <c r="D22" s="9">
        <f>HISTOJANV24!D22+HISTOFEV24!D22+HISTOMARS24!D22+HISTOAVRIL24!D22+HISTOMAI24!D22+HISTOJUIN24!D22+HISTOJUIL24!D22+HISTOAOUT24!D22+HISTOSEPT24!D22+HISTOOCT24!D22+HISTONOV24!D22+HISTODEC24!D22</f>
        <v>375000</v>
      </c>
      <c r="E22" s="9">
        <f>HISTOJANV24!E22+HISTOFEV24!E22+HISTOMARS24!E22+HISTOAVRIL24!E22+HISTOMAI24!E22+HISTOJUIN24!E22+HISTOJUIL24!E22+HISTOAOUT24!E22+HISTOSEPT24!E22+HISTOOCT24!E22+HISTONOV24!E22+HISTODEC24!E22</f>
        <v>0</v>
      </c>
      <c r="F22" s="9">
        <f>HISTOJANV24!F22+HISTOFEV24!F22+HISTOMARS24!F22+HISTOAVRIL24!F22+HISTOMAI24!F22+HISTOJUIN24!F22+HISTOJUIL24!F22+HISTOAOUT24!F22+HISTOSEPT24!F22+HISTOOCT24!F22+HISTONOV24!F22+HISTODEC24!F22</f>
        <v>0</v>
      </c>
      <c r="G22" s="9">
        <f>HISTOJANV24!G22+HISTOFEV24!G22+HISTOMARS24!G22+HISTOAVRIL24!G22+HISTOMAI24!G22+HISTOJUIN24!G22+HISTOJUIL24!G22+HISTOAOUT24!G22+HISTOSEPT24!G22+HISTOOCT24!G22+HISTONOV24!G22+HISTODEC24!G22</f>
        <v>0</v>
      </c>
      <c r="H22" s="10"/>
      <c r="I22" s="9">
        <f>HISTOJANV24!I22+HISTOFEV24!I22+HISTOMARS24!I22+HISTOAVRIL24!I22+HISTOMAI24!I22+HISTOJUIN24!I22+HISTOJUIL24!I22+HISTOAOUT24!I22+HISTOSEPT24!I22+HISTOOCT24!I22+HISTONOV24!I22+HISTODEC24!I22</f>
        <v>0</v>
      </c>
      <c r="J22" s="11">
        <v>1</v>
      </c>
      <c r="K22" s="11">
        <f t="shared" si="4"/>
        <v>50000</v>
      </c>
      <c r="L22" s="6">
        <v>1</v>
      </c>
      <c r="M22" s="11">
        <f t="shared" si="0"/>
        <v>75000</v>
      </c>
      <c r="N22" s="6"/>
      <c r="O22" s="11">
        <f t="shared" si="1"/>
        <v>0</v>
      </c>
      <c r="P22" s="9">
        <f>HISTOJANV24!P22+HISTOFEV24!P22+HISTOMARS24!P22+HISTOAVRIL24!P22+HISTOMAI24!P22+HISTOJUIN24!P22+HISTOJUIL24!P22+HISTOAOUT24!P22+HISTOSEPT24!P22+HISTOOCT24!P22+HISTONOV24!P22+HISTODEC24!P22</f>
        <v>0</v>
      </c>
      <c r="Q22" s="9">
        <f>HISTOJANV24!Q22+HISTOFEV24!Q22+HISTOMARS24!Q22+HISTOAVRIL24!Q22+HISTOMAI24!Q22+HISTOJUIN24!Q22+HISTOJUIL24!Q22+HISTOAOUT24!Q22+HISTOSEPT24!Q22+HISTOOCT24!Q22+HISTONOV24!Q22+HISTODEC24!Q22</f>
        <v>0</v>
      </c>
      <c r="R22" s="9">
        <f>HISTOJANV24!R22+HISTOFEV24!R22+HISTOMARS24!R22+HISTOAVRIL24!R22+HISTOMAI24!R22+HISTOJUIN24!R22+HISTOJUIL24!R22+HISTOAOUT24!R22+HISTOSEPT24!R22+HISTOOCT24!R22+HISTONOV24!R22+HISTODEC24!R22</f>
        <v>0</v>
      </c>
      <c r="S22" s="9">
        <f>HISTOJANV24!S22+HISTOFEV24!S22+HISTOMARS24!S22+HISTOAVRIL24!S22+HISTOMAI24!S22+HISTOJUIN24!S22+HISTOJUIL24!S22+HISTOAOUT24!S22+HISTOSEPT24!S22+HISTOOCT24!S22+HISTONOV24!S22+HISTODEC24!S22</f>
        <v>0</v>
      </c>
      <c r="T22" s="12"/>
      <c r="U22" s="17">
        <f t="shared" si="5"/>
        <v>125000</v>
      </c>
      <c r="V22" s="9">
        <f>HISTOJANV24!V22+HISTOFEV24!V22+HISTOMARS24!V22+HISTOAVRIL24!V22+HISTOMAI24!V22+HISTOJUIN24!V22+HISTOJUIL24!V22+HISTOAOUT24!V22+HISTOSEPT24!V22+HISTOOCT24!V22+HISTONOV24!V22+HISTODEC24!V22</f>
        <v>0</v>
      </c>
      <c r="W22" s="9">
        <f>HISTOJANV24!W22+HISTOFEV24!W22+HISTOMARS24!W22+HISTOAVRIL24!W22+HISTOMAI24!W22+HISTOJUIN24!W22+HISTOJUIL24!W22+HISTOAOUT24!W22+HISTOSEPT24!W22+HISTOOCT24!W22+HISTONOV24!W22+HISTODEC24!W22</f>
        <v>0</v>
      </c>
      <c r="X22" s="9">
        <f>HISTOJANV24!X22+HISTOFEV24!X22+HISTOMARS24!X22+HISTOAVRIL24!X22+HISTOMAI24!X22+HISTOJUIN24!X22+HISTOJUIL24!X22+HISTOAOUT24!X22+HISTOSEPT24!X22+HISTOOCT24!X22+HISTONOV24!X22+HISTODEC24!X22</f>
        <v>0</v>
      </c>
      <c r="Y22" s="9">
        <f>HISTOJANV24!Y22+HISTOFEV24!Y22+HISTOMARS24!Y22+HISTOAVRIL24!Y22+HISTOMAI24!Y22+HISTOJUIN24!Y22+HISTOJUIL24!Y22+HISTOAOUT24!Y22+HISTOSEPT24!Y22+HISTOOCT24!Y22+HISTONOV24!Y22+HISTODEC24!Y22</f>
        <v>0</v>
      </c>
      <c r="Z22" s="9">
        <f>HISTOJANV24!Z22+HISTOFEV24!Z22+HISTOMARS24!Z22+HISTOAVRIL24!Z22+HISTOMAI24!Z22+HISTOJUIN24!Z22+HISTOJUIL24!Z22+HISTOAOUT24!Z22+HISTOSEPT24!Z22+HISTOOCT24!Z22+HISTONOV24!Z22+HISTODEC24!Z22</f>
        <v>0</v>
      </c>
      <c r="AA22" s="12"/>
      <c r="AB22" s="12"/>
      <c r="AC22" s="9">
        <f>HISTOJANV24!AC22+HISTOFEV24!AC22+HISTOMARS24!AC22+HISTOAVRIL24!AC22+HISTOMAI24!AC22+HISTOJUIN24!AC22+HISTOJUIL24!AC22+HISTOAOUT24!AC22+HISTOSEPT24!AC22+HISTOOCT24!AC22+HISTONOV24!AC22+HISTODEC24!AC22</f>
        <v>17000</v>
      </c>
      <c r="AD22" s="9">
        <f>HISTOJANV24!AD22+HISTOFEV24!AD22+HISTOMARS24!AD22+HISTOAVRIL24!AD22+HISTOMAI24!AD22+HISTOJUIN24!AD22+HISTOJUIL24!AD22+HISTOAOUT24!AD22+HISTOSEPT24!AD22+HISTOOCT24!AD22+HISTONOV24!AD22+HISTODEC24!AD22</f>
        <v>0</v>
      </c>
      <c r="AE22" s="9">
        <f>HISTOJANV24!AE22+HISTOFEV24!AE22+HISTOMARS24!AE22+HISTOAVRIL24!AE22+HISTOMAI24!AE22+HISTOJUIN24!AE22+HISTOJUIL24!AE22+HISTOAOUT24!AE22+HISTOSEPT24!AE22+HISTOOCT24!AE22+HISTONOV24!AE22+HISTODEC24!AE22</f>
        <v>0</v>
      </c>
      <c r="AF22" s="12"/>
      <c r="AG22" s="12"/>
      <c r="AH22" s="9">
        <f>HISTOJANV24!AH22+HISTOFEV24!AH22+HISTOMARS24!AH22+HISTOAVRIL24!AH22+HISTOMAI24!AH22+HISTOJUIN24!AH22+HISTOJUIL24!AH22+HISTOAOUT24!AH22+HISTOSEPT24!AH22+HISTOOCT24!AH22+HISTONOV24!AH22+HISTODEC24!AH22</f>
        <v>0</v>
      </c>
      <c r="AI22" s="9">
        <f>HISTOJANV24!AI22+HISTOFEV24!AI22+HISTOMARS24!AI22+HISTOAVRIL24!AI22+HISTOMAI24!AI22+HISTOJUIN24!AI22+HISTOJUIL24!AI22+HISTOAOUT24!AI22+HISTOSEPT24!AI22+HISTOOCT24!AI22+HISTONOV24!AI22+HISTODEC24!AI22</f>
        <v>0</v>
      </c>
      <c r="AJ22" s="9">
        <f>HISTOJANV24!AJ22+HISTOFEV24!AJ22+HISTOMARS24!AJ22+HISTOAVRIL24!AJ22+HISTOMAI24!AJ22+HISTOJUIN24!AJ22+HISTOJUIL24!AJ22+HISTOAOUT24!AJ22+HISTOSEPT24!AJ22+HISTOOCT24!AJ22+HISTONOV24!AJ22+HISTODEC24!AJ22</f>
        <v>0</v>
      </c>
      <c r="AK22" s="9">
        <f>HISTOJANV24!AK22+HISTOFEV24!AK22+HISTOMARS24!AK22+HISTOAVRIL24!AK22+HISTOMAI24!AK22+HISTOJUIN24!AK22+HISTOJUIL24!AK22+HISTOAOUT24!AK22+HISTOSEPT24!AK22+HISTOOCT24!AK22+HISTONOV24!AK22+HISTODEC24!AK22</f>
        <v>0</v>
      </c>
      <c r="AL22" s="9">
        <f>HISTOJANV24!AL22+HISTOFEV24!AL22+HISTOMARS24!AL22+HISTOAVRIL24!AL22+HISTOMAI24!AL22+HISTOJUIN24!AL22+HISTOJUIL24!AL22+HISTOAOUT24!AL22+HISTOSEPT24!AL22+HISTOOCT24!AL22+HISTONOV24!AL22+HISTODEC24!AL22</f>
        <v>0</v>
      </c>
      <c r="AM22" s="9">
        <f>HISTOJANV24!AM22+HISTOFEV24!AM22+HISTOMARS24!AM22+HISTOAVRIL24!AM22+HISTOMAI24!AM22+HISTOJUIN24!AM22+HISTOJUIL24!AM22+HISTOAOUT24!AM22+HISTOSEPT24!AM22+HISTOOCT24!AM22+HISTONOV24!AM22+HISTODEC24!AM22</f>
        <v>0</v>
      </c>
      <c r="AN22" s="9">
        <f>HISTOJANV24!AN22+HISTOFEV24!AN22+HISTOMARS24!AN22+HISTOAVRIL24!AN22+HISTOMAI24!AN22+HISTOJUIN24!AN22+HISTOJUIL24!AN22+HISTOAOUT24!AN22+HISTOSEPT24!AN22+HISTOOCT24!AN22+HISTONOV24!AN22+HISTODEC24!AN22</f>
        <v>0</v>
      </c>
      <c r="AO22" s="12"/>
      <c r="AP22" s="12"/>
      <c r="AQ22" s="8">
        <f t="shared" si="2"/>
        <v>0</v>
      </c>
      <c r="AR22" s="8">
        <f t="shared" si="3"/>
        <v>0</v>
      </c>
      <c r="AS22" s="13">
        <f t="shared" si="6"/>
        <v>25000</v>
      </c>
      <c r="AT22" s="15"/>
      <c r="AV22" s="15"/>
      <c r="AW22" s="9">
        <f>HISTOJANV24!AW22+HISTOFEV24!AW22+HISTOMARS24!AW22+HISTOAVRIL24!AW22+HISTOMAI24!AW22+HISTOJUIN24!AW22+HISTOJUIL24!AW22+HISTOAOUT24!AW22+HISTOSEPT24!AW22+HISTOOCT24!AW22+HISTONOV24!AW22+HISTODEC24!AW22</f>
        <v>283000</v>
      </c>
      <c r="AX22" s="9">
        <f>HISTOJANV24!AX22+HISTOFEV24!AX22+HISTOMARS24!AX22+HISTOAVRIL24!AX22+HISTOMAI24!AX22+HISTOJUIN24!AX22+HISTOJUIL24!AX22+HISTOAOUT24!AX22+HISTOSEPT24!AX22+HISTOOCT24!AX22+HISTONOV24!AX22+HISTODEC24!AX22</f>
        <v>0</v>
      </c>
      <c r="AY22" s="9">
        <f>HISTOJANV24!AY22+HISTOFEV24!AY22+HISTOMARS24!AY22+HISTOAVRIL24!AY22+HISTOMAI24!AY22+HISTOJUIN24!AY22+HISTOJUIL24!AY22+HISTOAOUT24!AY22+HISTOSEPT24!AY22+HISTOOCT24!AY22+HISTONOV24!AY22+HISTODEC24!AY22</f>
        <v>0</v>
      </c>
      <c r="AZ22" s="9">
        <f>HISTOJANV24!AZ22+HISTOFEV24!AZ22+HISTOMARS24!AZ22+HISTOAVRIL24!AZ22+HISTOMAI24!AZ22+HISTOJUIN24!AZ22+HISTOJUIL24!AZ22+HISTOAOUT24!AZ22+HISTOSEPT24!AZ22+HISTOOCT24!AZ22+HISTONOV24!AZ22+HISTODEC24!AZ22</f>
        <v>283000</v>
      </c>
      <c r="BA22" s="9">
        <f>HISTOJANV24!BA22+HISTOFEV24!BA22+HISTOMARS24!BA22+HISTOAVRIL24!BA22+HISTOMAI24!BA22+HISTOJUIN24!BA22+HISTOJUIL24!BA22+HISTOAOUT24!BA22+HISTOSEPT24!BA22+HISTOOCT24!BA22+HISTONOV24!BA22+HISTODEC24!BA22</f>
        <v>0</v>
      </c>
      <c r="BB22" s="9">
        <f>HISTOJANV24!BB22+HISTOFEV24!BB22+HISTOMARS24!BB22+HISTOAVRIL24!BB22+HISTOMAI24!BB22+HISTOJUIN24!BB22+HISTOJUIL24!BB22+HISTOAOUT24!BB22+HISTOSEPT24!BB22+HISTOOCT24!BB22+HISTONOV24!BB22+HISTODEC24!BB22</f>
        <v>0</v>
      </c>
      <c r="BC22" s="15"/>
      <c r="BD22" s="9">
        <f>HISTOJANV24!BD22+HISTOFEV24!BD22+HISTOMARS24!BD22+HISTOAVRIL24!BD22+HISTOMAI24!BD22+HISTOJUIN24!BD22+HISTOJUIL24!BD22+HISTOAOUT24!BD22+HISTOSEPT24!BD22+HISTOOCT24!BD22+HISTONOV24!BD22+HISTODEC24!BD22</f>
        <v>283000</v>
      </c>
      <c r="BE22" s="82"/>
      <c r="BF22" s="9">
        <f>HISTOJANV24!BF22+HISTOFEV24!BF22+HISTOMARS24!BF22+HISTOAVRIL24!BF22+HISTOMAI24!BF22+HISTOJUIN24!BF22+HISTOJUIL24!BF22+HISTOAOUT24!BF22+HISTOSEPT24!BF22+HISTOOCT24!BF22+HISTONOV24!BF22+HISTODEC24!BF22</f>
        <v>0</v>
      </c>
      <c r="BG22" s="29"/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/>
      <c r="D23" s="9">
        <f>HISTOJANV24!D23+HISTOFEV24!D23+HISTOMARS24!D23+HISTOAVRIL24!D23+HISTOMAI24!D23+HISTOJUIN24!D23+HISTOJUIL24!D23+HISTOAOUT24!D23+HISTOSEPT24!D23+HISTOOCT24!D23+HISTONOV24!D23+HISTODEC24!D23</f>
        <v>780000</v>
      </c>
      <c r="E23" s="9">
        <f>HISTOJANV24!E23+HISTOFEV24!E23+HISTOMARS24!E23+HISTOAVRIL24!E23+HISTOMAI24!E23+HISTOJUIN24!E23+HISTOJUIL24!E23+HISTOAOUT24!E23+HISTOSEPT24!E23+HISTOOCT24!E23+HISTONOV24!E23+HISTODEC24!E23</f>
        <v>0</v>
      </c>
      <c r="F23" s="9">
        <f>HISTOJANV24!F23+HISTOFEV24!F23+HISTOMARS24!F23+HISTOAVRIL24!F23+HISTOMAI24!F23+HISTOJUIN24!F23+HISTOJUIL24!F23+HISTOAOUT24!F23+HISTOSEPT24!F23+HISTOOCT24!F23+HISTONOV24!F23+HISTODEC24!F23</f>
        <v>0</v>
      </c>
      <c r="G23" s="9">
        <f>HISTOJANV24!G23+HISTOFEV24!G23+HISTOMARS24!G23+HISTOAVRIL24!G23+HISTOMAI24!G23+HISTOJUIN24!G23+HISTOJUIL24!G23+HISTOAOUT24!G23+HISTOSEPT24!G23+HISTOOCT24!G23+HISTONOV24!G23+HISTODEC24!G23</f>
        <v>0</v>
      </c>
      <c r="H23" s="10"/>
      <c r="I23" s="9">
        <f>HISTOJANV24!I23+HISTOFEV24!I23+HISTOMARS24!I23+HISTOAVRIL24!I23+HISTOMAI24!I23+HISTOJUIN24!I23+HISTOJUIL24!I23+HISTOAOUT24!I23+HISTOSEPT24!I23+HISTOOCT24!I23+HISTONOV24!I23+HISTODEC24!I23</f>
        <v>30000</v>
      </c>
      <c r="J23" s="11">
        <v>1</v>
      </c>
      <c r="K23" s="11">
        <f t="shared" si="4"/>
        <v>50000</v>
      </c>
      <c r="L23" s="6"/>
      <c r="M23" s="11">
        <f t="shared" si="0"/>
        <v>0</v>
      </c>
      <c r="N23" s="6">
        <v>2</v>
      </c>
      <c r="O23" s="11">
        <f t="shared" si="1"/>
        <v>200000</v>
      </c>
      <c r="P23" s="9">
        <f>HISTOJANV24!P23+HISTOFEV24!P23+HISTOMARS24!P23+HISTOAVRIL24!P23+HISTOMAI24!P23+HISTOJUIN24!P23+HISTOJUIL24!P23+HISTOAOUT24!P23+HISTOSEPT24!P23+HISTOOCT24!P23+HISTONOV24!P23+HISTODEC24!P23</f>
        <v>0</v>
      </c>
      <c r="Q23" s="9">
        <f>HISTOJANV24!Q23+HISTOFEV24!Q23+HISTOMARS24!Q23+HISTOAVRIL24!Q23+HISTOMAI24!Q23+HISTOJUIN24!Q23+HISTOJUIL24!Q23+HISTOAOUT24!Q23+HISTOSEPT24!Q23+HISTOOCT24!Q23+HISTONOV24!Q23+HISTODEC24!Q23</f>
        <v>0</v>
      </c>
      <c r="R23" s="9">
        <f>HISTOJANV24!R23+HISTOFEV24!R23+HISTOMARS24!R23+HISTOAVRIL24!R23+HISTOMAI24!R23+HISTOJUIN24!R23+HISTOJUIL24!R23+HISTOAOUT24!R23+HISTOSEPT24!R23+HISTOOCT24!R23+HISTONOV24!R23+HISTODEC24!R23</f>
        <v>202000</v>
      </c>
      <c r="S23" s="9">
        <f>HISTOJANV24!S23+HISTOFEV24!S23+HISTOMARS24!S23+HISTOAVRIL24!S23+HISTOMAI24!S23+HISTOJUIN24!S23+HISTOJUIL24!S23+HISTOAOUT24!S23+HISTOSEPT24!S23+HISTOOCT24!S23+HISTONOV24!S23+HISTODEC24!S23</f>
        <v>0</v>
      </c>
      <c r="T23" s="12"/>
      <c r="U23" s="17">
        <f t="shared" si="5"/>
        <v>482000</v>
      </c>
      <c r="V23" s="9">
        <f>HISTOJANV24!V23+HISTOFEV24!V23+HISTOMARS24!V23+HISTOAVRIL24!V23+HISTOMAI24!V23+HISTOJUIN24!V23+HISTOJUIL24!V23+HISTOAOUT24!V23+HISTOSEPT24!V23+HISTOOCT24!V23+HISTONOV24!V23+HISTODEC24!V23</f>
        <v>0</v>
      </c>
      <c r="W23" s="9">
        <f>HISTOJANV24!W23+HISTOFEV24!W23+HISTOMARS24!W23+HISTOAVRIL24!W23+HISTOMAI24!W23+HISTOJUIN24!W23+HISTOJUIL24!W23+HISTOAOUT24!W23+HISTOSEPT24!W23+HISTOOCT24!W23+HISTONOV24!W23+HISTODEC24!W23</f>
        <v>0</v>
      </c>
      <c r="X23" s="9">
        <f>HISTOJANV24!X23+HISTOFEV24!X23+HISTOMARS24!X23+HISTOAVRIL24!X23+HISTOMAI24!X23+HISTOJUIN24!X23+HISTOJUIL24!X23+HISTOAOUT24!X23+HISTOSEPT24!X23+HISTOOCT24!X23+HISTONOV24!X23+HISTODEC24!X23</f>
        <v>0</v>
      </c>
      <c r="Y23" s="9">
        <f>HISTOJANV24!Y23+HISTOFEV24!Y23+HISTOMARS24!Y23+HISTOAVRIL24!Y23+HISTOMAI24!Y23+HISTOJUIN24!Y23+HISTOJUIL24!Y23+HISTOAOUT24!Y23+HISTOSEPT24!Y23+HISTOOCT24!Y23+HISTONOV24!Y23+HISTODEC24!Y23</f>
        <v>0</v>
      </c>
      <c r="Z23" s="9">
        <f>HISTOJANV24!Z23+HISTOFEV24!Z23+HISTOMARS24!Z23+HISTOAVRIL24!Z23+HISTOMAI24!Z23+HISTOJUIN24!Z23+HISTOJUIL24!Z23+HISTOAOUT24!Z23+HISTOSEPT24!Z23+HISTOOCT24!Z23+HISTONOV24!Z23+HISTODEC24!Z23</f>
        <v>0</v>
      </c>
      <c r="AA23" s="12"/>
      <c r="AB23" s="12"/>
      <c r="AC23" s="9">
        <f>HISTOJANV24!AC23+HISTOFEV24!AC23+HISTOMARS24!AC23+HISTOAVRIL24!AC23+HISTOMAI24!AC23+HISTOJUIN24!AC23+HISTOJUIL24!AC23+HISTOAOUT24!AC23+HISTOSEPT24!AC23+HISTOOCT24!AC23+HISTONOV24!AC23+HISTODEC24!AC23</f>
        <v>0</v>
      </c>
      <c r="AD23" s="9">
        <f>HISTOJANV24!AD23+HISTOFEV24!AD23+HISTOMARS24!AD23+HISTOAVRIL24!AD23+HISTOMAI24!AD23+HISTOJUIN24!AD23+HISTOJUIL24!AD23+HISTOAOUT24!AD23+HISTOSEPT24!AD23+HISTOOCT24!AD23+HISTONOV24!AD23+HISTODEC24!AD23</f>
        <v>0</v>
      </c>
      <c r="AE23" s="9">
        <f>HISTOJANV24!AE23+HISTOFEV24!AE23+HISTOMARS24!AE23+HISTOAVRIL24!AE23+HISTOMAI24!AE23+HISTOJUIN24!AE23+HISTOJUIL24!AE23+HISTOAOUT24!AE23+HISTOSEPT24!AE23+HISTOOCT24!AE23+HISTONOV24!AE23+HISTODEC24!AE23</f>
        <v>0</v>
      </c>
      <c r="AF23" s="12"/>
      <c r="AG23" s="12"/>
      <c r="AH23" s="9">
        <f>HISTOJANV24!AH23+HISTOFEV24!AH23+HISTOMARS24!AH23+HISTOAVRIL24!AH23+HISTOMAI24!AH23+HISTOJUIN24!AH23+HISTOJUIL24!AH23+HISTOAOUT24!AH23+HISTOSEPT24!AH23+HISTOOCT24!AH23+HISTONOV24!AH23+HISTODEC24!AH23</f>
        <v>0</v>
      </c>
      <c r="AI23" s="9">
        <f>HISTOJANV24!AI23+HISTOFEV24!AI23+HISTOMARS24!AI23+HISTOAVRIL24!AI23+HISTOMAI24!AI23+HISTOJUIN24!AI23+HISTOJUIL24!AI23+HISTOAOUT24!AI23+HISTOSEPT24!AI23+HISTOOCT24!AI23+HISTONOV24!AI23+HISTODEC24!AI23</f>
        <v>0</v>
      </c>
      <c r="AJ23" s="9">
        <f>HISTOJANV24!AJ23+HISTOFEV24!AJ23+HISTOMARS24!AJ23+HISTOAVRIL24!AJ23+HISTOMAI24!AJ23+HISTOJUIN24!AJ23+HISTOJUIL24!AJ23+HISTOAOUT24!AJ23+HISTOSEPT24!AJ23+HISTOOCT24!AJ23+HISTONOV24!AJ23+HISTODEC24!AJ23</f>
        <v>0</v>
      </c>
      <c r="AK23" s="9">
        <f>HISTOJANV24!AK23+HISTOFEV24!AK23+HISTOMARS24!AK23+HISTOAVRIL24!AK23+HISTOMAI24!AK23+HISTOJUIN24!AK23+HISTOJUIL24!AK23+HISTOAOUT24!AK23+HISTOSEPT24!AK23+HISTOOCT24!AK23+HISTONOV24!AK23+HISTODEC24!AK23</f>
        <v>200000</v>
      </c>
      <c r="AL23" s="9">
        <f>HISTOJANV24!AL23+HISTOFEV24!AL23+HISTOMARS24!AL23+HISTOAVRIL24!AL23+HISTOMAI24!AL23+HISTOJUIN24!AL23+HISTOJUIL24!AL23+HISTOAOUT24!AL23+HISTOSEPT24!AL23+HISTOOCT24!AL23+HISTONOV24!AL23+HISTODEC24!AL23</f>
        <v>0</v>
      </c>
      <c r="AM23" s="9">
        <f>HISTOJANV24!AM23+HISTOFEV24!AM23+HISTOMARS24!AM23+HISTOAVRIL24!AM23+HISTOMAI24!AM23+HISTOJUIN24!AM23+HISTOJUIL24!AM23+HISTOAOUT24!AM23+HISTOSEPT24!AM23+HISTOOCT24!AM23+HISTONOV24!AM23+HISTODEC24!AM23</f>
        <v>0</v>
      </c>
      <c r="AN23" s="9">
        <f>HISTOJANV24!AN23+HISTOFEV24!AN23+HISTOMARS24!AN23+HISTOAVRIL24!AN23+HISTOMAI24!AN23+HISTOJUIN24!AN23+HISTOJUIL24!AN23+HISTOAOUT24!AN23+HISTOSEPT24!AN23+HISTOOCT24!AN23+HISTONOV24!AN23+HISTODEC24!AN23</f>
        <v>2000</v>
      </c>
      <c r="AO23" s="12"/>
      <c r="AP23" s="12"/>
      <c r="AQ23" s="8">
        <f t="shared" si="2"/>
        <v>0</v>
      </c>
      <c r="AR23" s="8">
        <f t="shared" si="3"/>
        <v>0</v>
      </c>
      <c r="AS23" s="13">
        <f t="shared" si="6"/>
        <v>55000</v>
      </c>
      <c r="AT23" s="15"/>
      <c r="AV23" s="15"/>
      <c r="AW23" s="9">
        <f>HISTOJANV24!AW23+HISTOFEV24!AW23+HISTOMARS24!AW23+HISTOAVRIL24!AW23+HISTOMAI24!AW23+HISTOJUIN24!AW23+HISTOJUIL24!AW23+HISTOAOUT24!AW23+HISTOSEPT24!AW23+HISTOOCT24!AW23+HISTONOV24!AW23+HISTODEC24!AW23</f>
        <v>0</v>
      </c>
      <c r="AX23" s="9">
        <f>HISTOJANV24!AX23+HISTOFEV24!AX23+HISTOMARS24!AX23+HISTOAVRIL24!AX23+HISTOMAI24!AX23+HISTOJUIN24!AX23+HISTOJUIL24!AX23+HISTOAOUT24!AX23+HISTOSEPT24!AX23+HISTOOCT24!AX23+HISTONOV24!AX23+HISTODEC24!AX23</f>
        <v>0</v>
      </c>
      <c r="AY23" s="9">
        <f>HISTOJANV24!AY23+HISTOFEV24!AY23+HISTOMARS24!AY23+HISTOAVRIL24!AY23+HISTOMAI24!AY23+HISTOJUIN24!AY23+HISTOJUIL24!AY23+HISTOAOUT24!AY23+HISTOSEPT24!AY23+HISTOOCT24!AY23+HISTONOV24!AY23+HISTODEC24!AY23</f>
        <v>200000</v>
      </c>
      <c r="AZ23" s="9">
        <f>HISTOJANV24!AZ23+HISTOFEV24!AZ23+HISTOMARS24!AZ23+HISTOAVRIL24!AZ23+HISTOMAI24!AZ23+HISTOJUIN24!AZ23+HISTOJUIL24!AZ23+HISTOAOUT24!AZ23+HISTOSEPT24!AZ23+HISTOOCT24!AZ23+HISTONOV24!AZ23+HISTODEC24!AZ23</f>
        <v>200000</v>
      </c>
      <c r="BA23" s="9">
        <f>HISTOJANV24!BA23+HISTOFEV24!BA23+HISTOMARS24!BA23+HISTOAVRIL24!BA23+HISTOMAI24!BA23+HISTOJUIN24!BA23+HISTOJUIL24!BA23+HISTOAOUT24!BA23+HISTOSEPT24!BA23+HISTOOCT24!BA23+HISTONOV24!BA23+HISTODEC24!BA23</f>
        <v>56000</v>
      </c>
      <c r="BB23" s="9">
        <f>HISTOJANV24!BB23+HISTOFEV24!BB23+HISTOMARS24!BB23+HISTOAVRIL24!BB23+HISTOMAI24!BB23+HISTOJUIN24!BB23+HISTOJUIL24!BB23+HISTOAOUT24!BB23+HISTOSEPT24!BB23+HISTOOCT24!BB23+HISTONOV24!BB23+HISTODEC24!BB23</f>
        <v>0</v>
      </c>
      <c r="BC23" s="15"/>
      <c r="BD23" s="9">
        <f>HISTOJANV24!BD23+HISTOFEV24!BD23+HISTOMARS24!BD23+HISTOAVRIL24!BD23+HISTOMAI24!BD23+HISTOJUIN24!BD23+HISTOJUIL24!BD23+HISTOAOUT24!BD23+HISTOSEPT24!BD23+HISTOOCT24!BD23+HISTONOV24!BD23+HISTODEC24!BD23</f>
        <v>170000</v>
      </c>
      <c r="BE23" s="82"/>
      <c r="BF23" s="9">
        <f>HISTOJANV24!BF23+HISTOFEV24!BF23+HISTOMARS24!BF23+HISTOAVRIL24!BF23+HISTOMAI24!BF23+HISTOJUIN24!BF23+HISTOJUIL24!BF23+HISTOAOUT24!BF23+HISTOSEPT24!BF23+HISTOOCT24!BF23+HISTONOV24!BF23+HISTODEC24!BF23</f>
        <v>0</v>
      </c>
      <c r="BG23" s="29"/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/>
      <c r="D24" s="9">
        <f>HISTOJANV24!D24+HISTOFEV24!D24+HISTOMARS24!D24+HISTOAVRIL24!D24+HISTOMAI24!D24+HISTOJUIN24!D24+HISTOJUIL24!D24+HISTOAOUT24!D24+HISTOSEPT24!D24+HISTOOCT24!D24+HISTONOV24!D24+HISTODEC24!D24</f>
        <v>705000</v>
      </c>
      <c r="E24" s="9">
        <f>HISTOJANV24!E24+HISTOFEV24!E24+HISTOMARS24!E24+HISTOAVRIL24!E24+HISTOMAI24!E24+HISTOJUIN24!E24+HISTOJUIL24!E24+HISTOAOUT24!E24+HISTOSEPT24!E24+HISTOOCT24!E24+HISTONOV24!E24+HISTODEC24!E24</f>
        <v>0</v>
      </c>
      <c r="F24" s="9">
        <f>HISTOJANV24!F24+HISTOFEV24!F24+HISTOMARS24!F24+HISTOAVRIL24!F24+HISTOMAI24!F24+HISTOJUIN24!F24+HISTOJUIL24!F24+HISTOAOUT24!F24+HISTOSEPT24!F24+HISTOOCT24!F24+HISTONOV24!F24+HISTODEC24!F24</f>
        <v>0</v>
      </c>
      <c r="G24" s="9">
        <f>HISTOJANV24!G24+HISTOFEV24!G24+HISTOMARS24!G24+HISTOAVRIL24!G24+HISTOMAI24!G24+HISTOJUIN24!G24+HISTOJUIL24!G24+HISTOAOUT24!G24+HISTOSEPT24!G24+HISTOOCT24!G24+HISTONOV24!G24+HISTODEC24!G24</f>
        <v>0</v>
      </c>
      <c r="H24" s="10"/>
      <c r="I24" s="9">
        <f>HISTOJANV24!I24+HISTOFEV24!I24+HISTOMARS24!I24+HISTOAVRIL24!I24+HISTOMAI24!I24+HISTOJUIN24!I24+HISTOJUIL24!I24+HISTOAOUT24!I24+HISTOSEPT24!I24+HISTOOCT24!I24+HISTONOV24!I24+HISTODEC24!I24</f>
        <v>30000</v>
      </c>
      <c r="J24" s="11">
        <v>1</v>
      </c>
      <c r="K24" s="11">
        <f t="shared" si="4"/>
        <v>50000</v>
      </c>
      <c r="L24" s="6">
        <v>1</v>
      </c>
      <c r="M24" s="11">
        <f t="shared" si="0"/>
        <v>75000</v>
      </c>
      <c r="N24" s="6">
        <v>1</v>
      </c>
      <c r="O24" s="11">
        <f t="shared" si="1"/>
        <v>100000</v>
      </c>
      <c r="P24" s="9">
        <f>HISTOJANV24!P24+HISTOFEV24!P24+HISTOMARS24!P24+HISTOAVRIL24!P24+HISTOMAI24!P24+HISTOJUIN24!P24+HISTOJUIL24!P24+HISTOAOUT24!P24+HISTOSEPT24!P24+HISTOOCT24!P24+HISTONOV24!P24+HISTODEC24!P24</f>
        <v>0</v>
      </c>
      <c r="Q24" s="9">
        <f>HISTOJANV24!Q24+HISTOFEV24!Q24+HISTOMARS24!Q24+HISTOAVRIL24!Q24+HISTOMAI24!Q24+HISTOJUIN24!Q24+HISTOJUIL24!Q24+HISTOAOUT24!Q24+HISTOSEPT24!Q24+HISTOOCT24!Q24+HISTONOV24!Q24+HISTODEC24!Q24</f>
        <v>0</v>
      </c>
      <c r="R24" s="9">
        <f>HISTOJANV24!R24+HISTOFEV24!R24+HISTOMARS24!R24+HISTOAVRIL24!R24+HISTOMAI24!R24+HISTOJUIN24!R24+HISTOJUIL24!R24+HISTOAOUT24!R24+HISTOSEPT24!R24+HISTOOCT24!R24+HISTONOV24!R24+HISTODEC24!R24</f>
        <v>102000</v>
      </c>
      <c r="S24" s="9">
        <f>HISTOJANV24!S24+HISTOFEV24!S24+HISTOMARS24!S24+HISTOAVRIL24!S24+HISTOMAI24!S24+HISTOJUIN24!S24+HISTOJUIL24!S24+HISTOAOUT24!S24+HISTOSEPT24!S24+HISTOOCT24!S24+HISTONOV24!S24+HISTODEC24!S24</f>
        <v>0</v>
      </c>
      <c r="T24" s="12"/>
      <c r="U24" s="17">
        <f t="shared" si="5"/>
        <v>357000</v>
      </c>
      <c r="V24" s="9">
        <f>HISTOJANV24!V24+HISTOFEV24!V24+HISTOMARS24!V24+HISTOAVRIL24!V24+HISTOMAI24!V24+HISTOJUIN24!V24+HISTOJUIL24!V24+HISTOAOUT24!V24+HISTOSEPT24!V24+HISTOOCT24!V24+HISTONOV24!V24+HISTODEC24!V24</f>
        <v>0</v>
      </c>
      <c r="W24" s="9">
        <f>HISTOJANV24!W24+HISTOFEV24!W24+HISTOMARS24!W24+HISTOAVRIL24!W24+HISTOMAI24!W24+HISTOJUIN24!W24+HISTOJUIL24!W24+HISTOAOUT24!W24+HISTOSEPT24!W24+HISTOOCT24!W24+HISTONOV24!W24+HISTODEC24!W24</f>
        <v>0</v>
      </c>
      <c r="X24" s="9">
        <f>HISTOJANV24!X24+HISTOFEV24!X24+HISTOMARS24!X24+HISTOAVRIL24!X24+HISTOMAI24!X24+HISTOJUIN24!X24+HISTOJUIL24!X24+HISTOAOUT24!X24+HISTOSEPT24!X24+HISTOOCT24!X24+HISTONOV24!X24+HISTODEC24!X24</f>
        <v>0</v>
      </c>
      <c r="Y24" s="9">
        <f>HISTOJANV24!Y24+HISTOFEV24!Y24+HISTOMARS24!Y24+HISTOAVRIL24!Y24+HISTOMAI24!Y24+HISTOJUIN24!Y24+HISTOJUIL24!Y24+HISTOAOUT24!Y24+HISTOSEPT24!Y24+HISTOOCT24!Y24+HISTONOV24!Y24+HISTODEC24!Y24</f>
        <v>0</v>
      </c>
      <c r="Z24" s="9">
        <f>HISTOJANV24!Z24+HISTOFEV24!Z24+HISTOMARS24!Z24+HISTOAVRIL24!Z24+HISTOMAI24!Z24+HISTOJUIN24!Z24+HISTOJUIL24!Z24+HISTOAOUT24!Z24+HISTOSEPT24!Z24+HISTOOCT24!Z24+HISTONOV24!Z24+HISTODEC24!Z24</f>
        <v>0</v>
      </c>
      <c r="AA24" s="12"/>
      <c r="AB24" s="12"/>
      <c r="AC24" s="9">
        <f>HISTOJANV24!AC24+HISTOFEV24!AC24+HISTOMARS24!AC24+HISTOAVRIL24!AC24+HISTOMAI24!AC24+HISTOJUIN24!AC24+HISTOJUIL24!AC24+HISTOAOUT24!AC24+HISTOSEPT24!AC24+HISTOOCT24!AC24+HISTONOV24!AC24+HISTODEC24!AC24</f>
        <v>0</v>
      </c>
      <c r="AD24" s="9">
        <f>HISTOJANV24!AD24+HISTOFEV24!AD24+HISTOMARS24!AD24+HISTOAVRIL24!AD24+HISTOMAI24!AD24+HISTOJUIN24!AD24+HISTOJUIL24!AD24+HISTOAOUT24!AD24+HISTOSEPT24!AD24+HISTOOCT24!AD24+HISTONOV24!AD24+HISTODEC24!AD24</f>
        <v>0</v>
      </c>
      <c r="AE24" s="9">
        <f>HISTOJANV24!AE24+HISTOFEV24!AE24+HISTOMARS24!AE24+HISTOAVRIL24!AE24+HISTOMAI24!AE24+HISTOJUIN24!AE24+HISTOJUIL24!AE24+HISTOAOUT24!AE24+HISTOSEPT24!AE24+HISTOOCT24!AE24+HISTONOV24!AE24+HISTODEC24!AE24</f>
        <v>0</v>
      </c>
      <c r="AF24" s="12"/>
      <c r="AG24" s="12"/>
      <c r="AH24" s="9">
        <f>HISTOJANV24!AH24+HISTOFEV24!AH24+HISTOMARS24!AH24+HISTOAVRIL24!AH24+HISTOMAI24!AH24+HISTOJUIN24!AH24+HISTOJUIL24!AH24+HISTOAOUT24!AH24+HISTOSEPT24!AH24+HISTOOCT24!AH24+HISTONOV24!AH24+HISTODEC24!AH24</f>
        <v>0</v>
      </c>
      <c r="AI24" s="9">
        <f>HISTOJANV24!AI24+HISTOFEV24!AI24+HISTOMARS24!AI24+HISTOAVRIL24!AI24+HISTOMAI24!AI24+HISTOJUIN24!AI24+HISTOJUIL24!AI24+HISTOAOUT24!AI24+HISTOSEPT24!AI24+HISTOOCT24!AI24+HISTONOV24!AI24+HISTODEC24!AI24</f>
        <v>0</v>
      </c>
      <c r="AJ24" s="9">
        <f>HISTOJANV24!AJ24+HISTOFEV24!AJ24+HISTOMARS24!AJ24+HISTOAVRIL24!AJ24+HISTOMAI24!AJ24+HISTOJUIN24!AJ24+HISTOJUIL24!AJ24+HISTOAOUT24!AJ24+HISTOSEPT24!AJ24+HISTOOCT24!AJ24+HISTONOV24!AJ24+HISTODEC24!AJ24</f>
        <v>0</v>
      </c>
      <c r="AK24" s="9">
        <f>HISTOJANV24!AK24+HISTOFEV24!AK24+HISTOMARS24!AK24+HISTOAVRIL24!AK24+HISTOMAI24!AK24+HISTOJUIN24!AK24+HISTOJUIL24!AK24+HISTOAOUT24!AK24+HISTOSEPT24!AK24+HISTOOCT24!AK24+HISTONOV24!AK24+HISTODEC24!AK24</f>
        <v>100000</v>
      </c>
      <c r="AL24" s="9">
        <f>HISTOJANV24!AL24+HISTOFEV24!AL24+HISTOMARS24!AL24+HISTOAVRIL24!AL24+HISTOMAI24!AL24+HISTOJUIN24!AL24+HISTOJUIL24!AL24+HISTOAOUT24!AL24+HISTOSEPT24!AL24+HISTOOCT24!AL24+HISTONOV24!AL24+HISTODEC24!AL24</f>
        <v>0</v>
      </c>
      <c r="AM24" s="9">
        <f>HISTOJANV24!AM24+HISTOFEV24!AM24+HISTOMARS24!AM24+HISTOAVRIL24!AM24+HISTOMAI24!AM24+HISTOJUIN24!AM24+HISTOJUIL24!AM24+HISTOAOUT24!AM24+HISTOSEPT24!AM24+HISTOOCT24!AM24+HISTONOV24!AM24+HISTODEC24!AM24</f>
        <v>0</v>
      </c>
      <c r="AN24" s="9">
        <f>HISTOJANV24!AN24+HISTOFEV24!AN24+HISTOMARS24!AN24+HISTOAVRIL24!AN24+HISTOMAI24!AN24+HISTOJUIN24!AN24+HISTOJUIL24!AN24+HISTOAOUT24!AN24+HISTOSEPT24!AN24+HISTOOCT24!AN24+HISTONOV24!AN24+HISTODEC24!AN24</f>
        <v>2000</v>
      </c>
      <c r="AO24" s="12"/>
      <c r="AP24" s="12"/>
      <c r="AQ24" s="8">
        <f t="shared" si="2"/>
        <v>0</v>
      </c>
      <c r="AR24" s="8">
        <f t="shared" si="3"/>
        <v>0</v>
      </c>
      <c r="AS24" s="13">
        <f t="shared" si="6"/>
        <v>55000</v>
      </c>
      <c r="AT24" s="15"/>
      <c r="AV24" s="15"/>
      <c r="AW24" s="9">
        <f>HISTOJANV24!AW24+HISTOFEV24!AW24+HISTOMARS24!AW24+HISTOAVRIL24!AW24+HISTOMAI24!AW24+HISTOJUIN24!AW24+HISTOJUIL24!AW24+HISTOAOUT24!AW24+HISTOSEPT24!AW24+HISTOOCT24!AW24+HISTONOV24!AW24+HISTODEC24!AW24</f>
        <v>0</v>
      </c>
      <c r="AX24" s="9">
        <f>HISTOJANV24!AX24+HISTOFEV24!AX24+HISTOMARS24!AX24+HISTOAVRIL24!AX24+HISTOMAI24!AX24+HISTOJUIN24!AX24+HISTOJUIL24!AX24+HISTOAOUT24!AX24+HISTOSEPT24!AX24+HISTOOCT24!AX24+HISTONOV24!AX24+HISTODEC24!AX24</f>
        <v>0</v>
      </c>
      <c r="AY24" s="9">
        <f>HISTOJANV24!AY24+HISTOFEV24!AY24+HISTOMARS24!AY24+HISTOAVRIL24!AY24+HISTOMAI24!AY24+HISTOJUIN24!AY24+HISTOJUIL24!AY24+HISTOAOUT24!AY24+HISTOSEPT24!AY24+HISTOOCT24!AY24+HISTONOV24!AY24+HISTODEC24!AY24</f>
        <v>100000</v>
      </c>
      <c r="AZ24" s="9">
        <f>HISTOJANV24!AZ24+HISTOFEV24!AZ24+HISTOMARS24!AZ24+HISTOAVRIL24!AZ24+HISTOMAI24!AZ24+HISTOJUIN24!AZ24+HISTOJUIL24!AZ24+HISTOAOUT24!AZ24+HISTOSEPT24!AZ24+HISTOOCT24!AZ24+HISTONOV24!AZ24+HISTODEC24!AZ24</f>
        <v>100000</v>
      </c>
      <c r="BA24" s="9">
        <f>HISTOJANV24!BA24+HISTOFEV24!BA24+HISTOMARS24!BA24+HISTOAVRIL24!BA24+HISTOMAI24!BA24+HISTOJUIN24!BA24+HISTOJUIL24!BA24+HISTOAOUT24!BA24+HISTOSEPT24!BA24+HISTOOCT24!BA24+HISTONOV24!BA24+HISTODEC24!BA24</f>
        <v>0</v>
      </c>
      <c r="BB24" s="9">
        <f>HISTOJANV24!BB24+HISTOFEV24!BB24+HISTOMARS24!BB24+HISTOAVRIL24!BB24+HISTOMAI24!BB24+HISTOJUIN24!BB24+HISTOJUIL24!BB24+HISTOAOUT24!BB24+HISTOSEPT24!BB24+HISTOOCT24!BB24+HISTONOV24!BB24+HISTODEC24!BB24</f>
        <v>0</v>
      </c>
      <c r="BC24" s="15"/>
      <c r="BD24" s="9">
        <f>HISTOJANV24!BD24+HISTOFEV24!BD24+HISTOMARS24!BD24+HISTOAVRIL24!BD24+HISTOMAI24!BD24+HISTOJUIN24!BD24+HISTOJUIL24!BD24+HISTOAOUT24!BD24+HISTOSEPT24!BD24+HISTOOCT24!BD24+HISTONOV24!BD24+HISTODEC24!BD24</f>
        <v>100000</v>
      </c>
      <c r="BE24" s="82"/>
      <c r="BF24" s="9">
        <f>HISTOJANV24!BF24+HISTOFEV24!BF24+HISTOMARS24!BF24+HISTOAVRIL24!BF24+HISTOMAI24!BF24+HISTOJUIN24!BF24+HISTOJUIL24!BF24+HISTOAOUT24!BF24+HISTOSEPT24!BF24+HISTOOCT24!BF24+HISTONOV24!BF24+HISTODEC24!BF24</f>
        <v>0</v>
      </c>
      <c r="BG24" s="29"/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/>
      <c r="D25" s="9">
        <f>HISTOJANV24!D25+HISTOFEV24!D25+HISTOMARS24!D25+HISTOAVRIL24!D25+HISTOMAI24!D25+HISTOJUIN24!D25+HISTOJUIL24!D25+HISTOAOUT24!D25+HISTOSEPT24!D25+HISTOOCT24!D25+HISTONOV24!D25+HISTODEC24!D25</f>
        <v>1125000</v>
      </c>
      <c r="E25" s="9">
        <f>HISTOJANV24!E25+HISTOFEV24!E25+HISTOMARS24!E25+HISTOAVRIL24!E25+HISTOMAI24!E25+HISTOJUIN24!E25+HISTOJUIL24!E25+HISTOAOUT24!E25+HISTOSEPT24!E25+HISTOOCT24!E25+HISTONOV24!E25+HISTODEC24!E25</f>
        <v>104500</v>
      </c>
      <c r="F25" s="9">
        <f>HISTOJANV24!F25+HISTOFEV24!F25+HISTOMARS24!F25+HISTOAVRIL24!F25+HISTOMAI24!F25+HISTOJUIN24!F25+HISTOJUIL24!F25+HISTOAOUT24!F25+HISTOSEPT24!F25+HISTOOCT24!F25+HISTONOV24!F25+HISTODEC24!F25</f>
        <v>0</v>
      </c>
      <c r="G25" s="9">
        <f>HISTOJANV24!G25+HISTOFEV24!G25+HISTOMARS24!G25+HISTOAVRIL24!G25+HISTOMAI24!G25+HISTOJUIN24!G25+HISTOJUIL24!G25+HISTOAOUT24!G25+HISTOSEPT24!G25+HISTOOCT24!G25+HISTONOV24!G25+HISTODEC24!G25</f>
        <v>3000</v>
      </c>
      <c r="H25" s="10"/>
      <c r="I25" s="9">
        <f>HISTOJANV24!I25+HISTOFEV24!I25+HISTOMARS24!I25+HISTOAVRIL24!I25+HISTOMAI24!I25+HISTOJUIN24!I25+HISTOJUIL24!I25+HISTOAOUT24!I25+HISTOSEPT24!I25+HISTOOCT24!I25+HISTONOV24!I25+HISTODEC24!I25</f>
        <v>0</v>
      </c>
      <c r="J25" s="11">
        <v>1</v>
      </c>
      <c r="K25" s="11">
        <f t="shared" si="4"/>
        <v>50000</v>
      </c>
      <c r="L25" s="6">
        <v>3</v>
      </c>
      <c r="M25" s="11">
        <f t="shared" si="0"/>
        <v>225000</v>
      </c>
      <c r="N25" s="6">
        <v>1</v>
      </c>
      <c r="O25" s="11">
        <f t="shared" si="1"/>
        <v>100000</v>
      </c>
      <c r="P25" s="9">
        <f>HISTOJANV24!P25+HISTOFEV24!P25+HISTOMARS24!P25+HISTOAVRIL24!P25+HISTOMAI24!P25+HISTOJUIN24!P25+HISTOJUIL24!P25+HISTOAOUT24!P25+HISTOSEPT24!P25+HISTOOCT24!P25+HISTONOV24!P25+HISTODEC24!P25</f>
        <v>0</v>
      </c>
      <c r="Q25" s="9">
        <f>HISTOJANV24!Q25+HISTOFEV24!Q25+HISTOMARS24!Q25+HISTOAVRIL24!Q25+HISTOMAI24!Q25+HISTOJUIN24!Q25+HISTOJUIL24!Q25+HISTOAOUT24!Q25+HISTOSEPT24!Q25+HISTOOCT24!Q25+HISTONOV24!Q25+HISTODEC24!Q25</f>
        <v>0</v>
      </c>
      <c r="R25" s="9">
        <f>HISTOJANV24!R25+HISTOFEV24!R25+HISTOMARS24!R25+HISTOAVRIL24!R25+HISTOMAI24!R25+HISTOJUIN24!R25+HISTOJUIL24!R25+HISTOAOUT24!R25+HISTOSEPT24!R25+HISTOOCT24!R25+HISTONOV24!R25+HISTODEC24!R25</f>
        <v>303500</v>
      </c>
      <c r="S25" s="9">
        <f>HISTOJANV24!S25+HISTOFEV24!S25+HISTOMARS24!S25+HISTOAVRIL24!S25+HISTOMAI24!S25+HISTOJUIN24!S25+HISTOJUIL24!S25+HISTOAOUT24!S25+HISTOSEPT24!S25+HISTOOCT24!S25+HISTONOV24!S25+HISTODEC24!S25</f>
        <v>0</v>
      </c>
      <c r="T25" s="12"/>
      <c r="U25" s="17">
        <f t="shared" si="5"/>
        <v>681500</v>
      </c>
      <c r="V25" s="9">
        <f>HISTOJANV24!V25+HISTOFEV24!V25+HISTOMARS24!V25+HISTOAVRIL24!V25+HISTOMAI24!V25+HISTOJUIN24!V25+HISTOJUIL24!V25+HISTOAOUT24!V25+HISTOSEPT24!V25+HISTOOCT24!V25+HISTONOV24!V25+HISTODEC24!V25</f>
        <v>0</v>
      </c>
      <c r="W25" s="9">
        <f>HISTOJANV24!W25+HISTOFEV24!W25+HISTOMARS24!W25+HISTOAVRIL24!W25+HISTOMAI24!W25+HISTOJUIN24!W25+HISTOJUIL24!W25+HISTOAOUT24!W25+HISTOSEPT24!W25+HISTOOCT24!W25+HISTONOV24!W25+HISTODEC24!W25</f>
        <v>0</v>
      </c>
      <c r="X25" s="9">
        <f>HISTOJANV24!X25+HISTOFEV24!X25+HISTOMARS24!X25+HISTOAVRIL24!X25+HISTOMAI24!X25+HISTOJUIN24!X25+HISTOJUIL24!X25+HISTOAOUT24!X25+HISTOSEPT24!X25+HISTOOCT24!X25+HISTONOV24!X25+HISTODEC24!X25</f>
        <v>0</v>
      </c>
      <c r="Y25" s="9">
        <f>HISTOJANV24!Y25+HISTOFEV24!Y25+HISTOMARS24!Y25+HISTOAVRIL24!Y25+HISTOMAI24!Y25+HISTOJUIN24!Y25+HISTOJUIL24!Y25+HISTOAOUT24!Y25+HISTOSEPT24!Y25+HISTOOCT24!Y25+HISTONOV24!Y25+HISTODEC24!Y25</f>
        <v>0</v>
      </c>
      <c r="Z25" s="9">
        <f>HISTOJANV24!Z25+HISTOFEV24!Z25+HISTOMARS24!Z25+HISTOAVRIL24!Z25+HISTOMAI24!Z25+HISTOJUIN24!Z25+HISTOJUIL24!Z25+HISTOAOUT24!Z25+HISTOSEPT24!Z25+HISTOOCT24!Z25+HISTONOV24!Z25+HISTODEC24!Z25</f>
        <v>0</v>
      </c>
      <c r="AA25" s="12"/>
      <c r="AB25" s="12"/>
      <c r="AC25" s="9">
        <f>HISTOJANV24!AC25+HISTOFEV24!AC25+HISTOMARS24!AC25+HISTOAVRIL24!AC25+HISTOMAI24!AC25+HISTOJUIN24!AC25+HISTOJUIL24!AC25+HISTOAOUT24!AC25+HISTOSEPT24!AC25+HISTOOCT24!AC25+HISTONOV24!AC25+HISTODEC24!AC25</f>
        <v>0</v>
      </c>
      <c r="AD25" s="9">
        <f>HISTOJANV24!AD25+HISTOFEV24!AD25+HISTOMARS24!AD25+HISTOAVRIL24!AD25+HISTOMAI24!AD25+HISTOJUIN24!AD25+HISTOJUIL24!AD25+HISTOAOUT24!AD25+HISTOSEPT24!AD25+HISTOOCT24!AD25+HISTONOV24!AD25+HISTODEC24!AD25</f>
        <v>65000</v>
      </c>
      <c r="AE25" s="9">
        <f>HISTOJANV24!AE25+HISTOFEV24!AE25+HISTOMARS24!AE25+HISTOAVRIL24!AE25+HISTOMAI24!AE25+HISTOJUIN24!AE25+HISTOJUIL24!AE25+HISTOAOUT24!AE25+HISTOSEPT24!AE25+HISTOOCT24!AE25+HISTONOV24!AE25+HISTODEC24!AE25</f>
        <v>125000</v>
      </c>
      <c r="AF25" s="12"/>
      <c r="AG25" s="12"/>
      <c r="AH25" s="9">
        <f>HISTOJANV24!AH25+HISTOFEV24!AH25+HISTOMARS24!AH25+HISTOAVRIL24!AH25+HISTOMAI24!AH25+HISTOJUIN24!AH25+HISTOJUIL24!AH25+HISTOAOUT24!AH25+HISTOSEPT24!AH25+HISTOOCT24!AH25+HISTONOV24!AH25+HISTODEC24!AH25</f>
        <v>0</v>
      </c>
      <c r="AI25" s="9">
        <f>HISTOJANV24!AI25+HISTOFEV24!AI25+HISTOMARS24!AI25+HISTOAVRIL24!AI25+HISTOMAI24!AI25+HISTOJUIN24!AI25+HISTOJUIL24!AI25+HISTOAOUT24!AI25+HISTOSEPT24!AI25+HISTOOCT24!AI25+HISTONOV24!AI25+HISTODEC24!AI25</f>
        <v>0</v>
      </c>
      <c r="AJ25" s="9">
        <f>HISTOJANV24!AJ25+HISTOFEV24!AJ25+HISTOMARS24!AJ25+HISTOAVRIL24!AJ25+HISTOMAI24!AJ25+HISTOJUIN24!AJ25+HISTOJUIL24!AJ25+HISTOAOUT24!AJ25+HISTOSEPT24!AJ25+HISTOOCT24!AJ25+HISTONOV24!AJ25+HISTODEC24!AJ25</f>
        <v>0</v>
      </c>
      <c r="AK25" s="9">
        <f>HISTOJANV24!AK25+HISTOFEV24!AK25+HISTOMARS24!AK25+HISTOAVRIL24!AK25+HISTOMAI24!AK25+HISTOJUIN24!AK25+HISTOJUIL24!AK25+HISTOAOUT24!AK25+HISTOSEPT24!AK25+HISTOOCT24!AK25+HISTONOV24!AK25+HISTODEC24!AK25</f>
        <v>300000</v>
      </c>
      <c r="AL25" s="9">
        <f>HISTOJANV24!AL25+HISTOFEV24!AL25+HISTOMARS24!AL25+HISTOAVRIL24!AL25+HISTOMAI24!AL25+HISTOJUIN24!AL25+HISTOJUIL24!AL25+HISTOAOUT24!AL25+HISTOSEPT24!AL25+HISTOOCT24!AL25+HISTONOV24!AL25+HISTODEC24!AL25</f>
        <v>0</v>
      </c>
      <c r="AM25" s="9">
        <f>HISTOJANV24!AM25+HISTOFEV24!AM25+HISTOMARS24!AM25+HISTOAVRIL24!AM25+HISTOMAI24!AM25+HISTOJUIN24!AM25+HISTOJUIL24!AM25+HISTOAOUT24!AM25+HISTOSEPT24!AM25+HISTOOCT24!AM25+HISTONOV24!AM25+HISTODEC24!AM25</f>
        <v>0</v>
      </c>
      <c r="AN25" s="9">
        <f>HISTOJANV24!AN25+HISTOFEV24!AN25+HISTOMARS24!AN25+HISTOAVRIL24!AN25+HISTOMAI24!AN25+HISTOJUIN24!AN25+HISTOJUIL24!AN25+HISTOAOUT24!AN25+HISTOSEPT24!AN25+HISTOOCT24!AN25+HISTONOV24!AN25+HISTODEC24!AN25</f>
        <v>3500</v>
      </c>
      <c r="AO25" s="12"/>
      <c r="AP25" s="12"/>
      <c r="AQ25" s="8">
        <f t="shared" si="2"/>
        <v>0</v>
      </c>
      <c r="AR25" s="8">
        <f t="shared" si="3"/>
        <v>0</v>
      </c>
      <c r="AS25" s="13">
        <f t="shared" si="6"/>
        <v>25000</v>
      </c>
      <c r="AT25" s="15"/>
      <c r="AV25" s="15"/>
      <c r="AW25" s="9">
        <f>HISTOJANV24!AW25+HISTOFEV24!AW25+HISTOMARS24!AW25+HISTOAVRIL24!AW25+HISTOMAI24!AW25+HISTOJUIN24!AW25+HISTOJUIL24!AW25+HISTOAOUT24!AW25+HISTOSEPT24!AW25+HISTOOCT24!AW25+HISTONOV24!AW25+HISTODEC24!AW25</f>
        <v>0</v>
      </c>
      <c r="AX25" s="9">
        <f>HISTOJANV24!AX25+HISTOFEV24!AX25+HISTOMARS24!AX25+HISTOAVRIL24!AX25+HISTOMAI24!AX25+HISTOJUIN24!AX25+HISTOJUIL24!AX25+HISTOAOUT24!AX25+HISTOSEPT24!AX25+HISTOOCT24!AX25+HISTONOV24!AX25+HISTODEC24!AX25</f>
        <v>835000</v>
      </c>
      <c r="AY25" s="9">
        <f>HISTOJANV24!AY25+HISTOFEV24!AY25+HISTOMARS24!AY25+HISTOAVRIL24!AY25+HISTOMAI24!AY25+HISTOJUIN24!AY25+HISTOJUIL24!AY25+HISTOAOUT24!AY25+HISTOSEPT24!AY25+HISTOOCT24!AY25+HISTONOV24!AY25+HISTODEC24!AY25</f>
        <v>1375000</v>
      </c>
      <c r="AZ25" s="9">
        <f>HISTOJANV24!AZ25+HISTOFEV24!AZ25+HISTOMARS24!AZ25+HISTOAVRIL24!AZ25+HISTOMAI24!AZ25+HISTOJUIN24!AZ25+HISTOJUIL24!AZ25+HISTOAOUT24!AZ25+HISTOSEPT24!AZ25+HISTOOCT24!AZ25+HISTONOV24!AZ25+HISTODEC24!AZ25</f>
        <v>2210000</v>
      </c>
      <c r="BA25" s="9">
        <f>HISTOJANV24!BA25+HISTOFEV24!BA25+HISTOMARS24!BA25+HISTOAVRIL24!BA25+HISTOMAI24!BA25+HISTOJUIN24!BA25+HISTOJUIL24!BA25+HISTOAOUT24!BA25+HISTOSEPT24!BA25+HISTOOCT24!BA25+HISTONOV24!BA25+HISTODEC24!BA25</f>
        <v>100000</v>
      </c>
      <c r="BB25" s="9">
        <f>HISTOJANV24!BB25+HISTOFEV24!BB25+HISTOMARS24!BB25+HISTOAVRIL24!BB25+HISTOMAI24!BB25+HISTOJUIN24!BB25+HISTOJUIL24!BB25+HISTOAOUT24!BB25+HISTOSEPT24!BB25+HISTOOCT24!BB25+HISTONOV24!BB25+HISTODEC24!BB25</f>
        <v>0</v>
      </c>
      <c r="BC25" s="15"/>
      <c r="BD25" s="9">
        <f>HISTOJANV24!BD25+HISTOFEV24!BD25+HISTOMARS24!BD25+HISTOAVRIL24!BD25+HISTOMAI24!BD25+HISTOJUIN24!BD25+HISTOJUIL24!BD25+HISTOAOUT24!BD25+HISTOSEPT24!BD25+HISTOOCT24!BD25+HISTONOV24!BD25+HISTODEC24!BD25</f>
        <v>2110000</v>
      </c>
      <c r="BE25" s="82"/>
      <c r="BF25" s="9">
        <f>HISTOJANV24!BF25+HISTOFEV24!BF25+HISTOMARS24!BF25+HISTOAVRIL24!BF25+HISTOMAI24!BF25+HISTOJUIN24!BF25+HISTOJUIL24!BF25+HISTOAOUT24!BF25+HISTOSEPT24!BF25+HISTOOCT24!BF25+HISTONOV24!BF25+HISTODEC24!BF25</f>
        <v>0</v>
      </c>
      <c r="BG25" s="29"/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/>
      <c r="D26" s="9">
        <f>HISTOJANV24!D26+HISTOFEV24!D26+HISTOMARS24!D26+HISTOAVRIL24!D26+HISTOMAI24!D26+HISTOJUIN24!D26+HISTOJUIL24!D26+HISTOAOUT24!D26+HISTOSEPT24!D26+HISTOOCT24!D26+HISTONOV24!D26+HISTODEC24!D26</f>
        <v>100000</v>
      </c>
      <c r="E26" s="9">
        <f>HISTOJANV24!E26+HISTOFEV24!E26+HISTOMARS24!E26+HISTOAVRIL24!E26+HISTOMAI24!E26+HISTOJUIN24!E26+HISTOJUIL24!E26+HISTOAOUT24!E26+HISTOSEPT24!E26+HISTOOCT24!E26+HISTONOV24!E26+HISTODEC24!E26</f>
        <v>50000</v>
      </c>
      <c r="F26" s="9">
        <f>HISTOJANV24!F26+HISTOFEV24!F26+HISTOMARS24!F26+HISTOAVRIL24!F26+HISTOMAI24!F26+HISTOJUIN24!F26+HISTOJUIL24!F26+HISTOAOUT24!F26+HISTOSEPT24!F26+HISTOOCT24!F26+HISTONOV24!F26+HISTODEC24!F26</f>
        <v>0</v>
      </c>
      <c r="G26" s="9">
        <f>HISTOJANV24!G26+HISTOFEV24!G26+HISTOMARS24!G26+HISTOAVRIL24!G26+HISTOMAI24!G26+HISTOJUIN24!G26+HISTOJUIL24!G26+HISTOAOUT24!G26+HISTOSEPT24!G26+HISTOOCT24!G26+HISTONOV24!G26+HISTODEC24!G26</f>
        <v>0</v>
      </c>
      <c r="H26" s="10"/>
      <c r="I26" s="9">
        <f>HISTOJANV24!I26+HISTOFEV24!I26+HISTOMARS24!I26+HISTOAVRIL24!I26+HISTOMAI24!I26+HISTOJUIN24!I26+HISTOJUIL24!I26+HISTOAOUT24!I26+HISTOSEPT24!I26+HISTOOCT24!I26+HISTONOV24!I26+HISTODEC24!I26</f>
        <v>0</v>
      </c>
      <c r="J26" s="11">
        <v>1</v>
      </c>
      <c r="K26" s="11">
        <f t="shared" si="4"/>
        <v>50000</v>
      </c>
      <c r="L26" s="6"/>
      <c r="M26" s="11">
        <f t="shared" si="0"/>
        <v>0</v>
      </c>
      <c r="N26" s="6"/>
      <c r="O26" s="11">
        <f t="shared" si="1"/>
        <v>0</v>
      </c>
      <c r="P26" s="9">
        <f>HISTOJANV24!P26+HISTOFEV24!P26+HISTOMARS24!P26+HISTOAVRIL24!P26+HISTOMAI24!P26+HISTOJUIN24!P26+HISTOJUIL24!P26+HISTOAOUT24!P26+HISTOSEPT24!P26+HISTOOCT24!P26+HISTONOV24!P26+HISTODEC24!P26</f>
        <v>0</v>
      </c>
      <c r="Q26" s="9">
        <f>HISTOJANV24!Q26+HISTOFEV24!Q26+HISTOMARS24!Q26+HISTOAVRIL24!Q26+HISTOMAI24!Q26+HISTOJUIN24!Q26+HISTOJUIL24!Q26+HISTOAOUT24!Q26+HISTOSEPT24!Q26+HISTOOCT24!Q26+HISTONOV24!Q26+HISTODEC24!Q26</f>
        <v>0</v>
      </c>
      <c r="R26" s="9">
        <f>HISTOJANV24!R26+HISTOFEV24!R26+HISTOMARS24!R26+HISTOAVRIL24!R26+HISTOMAI24!R26+HISTOJUIN24!R26+HISTOJUIL24!R26+HISTOAOUT24!R26+HISTOSEPT24!R26+HISTOOCT24!R26+HISTONOV24!R26+HISTODEC24!R26</f>
        <v>0</v>
      </c>
      <c r="S26" s="9">
        <f>HISTOJANV24!S26+HISTOFEV24!S26+HISTOMARS24!S26+HISTOAVRIL24!S26+HISTOMAI24!S26+HISTOJUIN24!S26+HISTOJUIL24!S26+HISTOAOUT24!S26+HISTOSEPT24!S26+HISTOOCT24!S26+HISTONOV24!S26+HISTODEC24!S26</f>
        <v>0</v>
      </c>
      <c r="T26" s="12"/>
      <c r="U26" s="17">
        <f t="shared" si="5"/>
        <v>50000</v>
      </c>
      <c r="V26" s="9">
        <f>HISTOJANV24!V26+HISTOFEV24!V26+HISTOMARS24!V26+HISTOAVRIL24!V26+HISTOMAI24!V26+HISTOJUIN24!V26+HISTOJUIL24!V26+HISTOAOUT24!V26+HISTOSEPT24!V26+HISTOOCT24!V26+HISTONOV24!V26+HISTODEC24!V26</f>
        <v>0</v>
      </c>
      <c r="W26" s="9">
        <f>HISTOJANV24!W26+HISTOFEV24!W26+HISTOMARS24!W26+HISTOAVRIL24!W26+HISTOMAI24!W26+HISTOJUIN24!W26+HISTOJUIL24!W26+HISTOAOUT24!W26+HISTOSEPT24!W26+HISTOOCT24!W26+HISTONOV24!W26+HISTODEC24!W26</f>
        <v>0</v>
      </c>
      <c r="X26" s="9">
        <f>HISTOJANV24!X26+HISTOFEV24!X26+HISTOMARS24!X26+HISTOAVRIL24!X26+HISTOMAI24!X26+HISTOJUIN24!X26+HISTOJUIL24!X26+HISTOAOUT24!X26+HISTOSEPT24!X26+HISTOOCT24!X26+HISTONOV24!X26+HISTODEC24!X26</f>
        <v>0</v>
      </c>
      <c r="Y26" s="9">
        <f>HISTOJANV24!Y26+HISTOFEV24!Y26+HISTOMARS24!Y26+HISTOAVRIL24!Y26+HISTOMAI24!Y26+HISTOJUIN24!Y26+HISTOJUIL24!Y26+HISTOAOUT24!Y26+HISTOSEPT24!Y26+HISTOOCT24!Y26+HISTONOV24!Y26+HISTODEC24!Y26</f>
        <v>0</v>
      </c>
      <c r="Z26" s="9">
        <f>HISTOJANV24!Z26+HISTOFEV24!Z26+HISTOMARS24!Z26+HISTOAVRIL24!Z26+HISTOMAI24!Z26+HISTOJUIN24!Z26+HISTOJUIL24!Z26+HISTOAOUT24!Z26+HISTOSEPT24!Z26+HISTOOCT24!Z26+HISTONOV24!Z26+HISTODEC24!Z26</f>
        <v>0</v>
      </c>
      <c r="AA26" s="12"/>
      <c r="AB26" s="12"/>
      <c r="AC26" s="9">
        <f>HISTOJANV24!AC26+HISTOFEV24!AC26+HISTOMARS24!AC26+HISTOAVRIL24!AC26+HISTOMAI24!AC26+HISTOJUIN24!AC26+HISTOJUIL24!AC26+HISTOAOUT24!AC26+HISTOSEPT24!AC26+HISTOOCT24!AC26+HISTONOV24!AC26+HISTODEC24!AC26</f>
        <v>13000</v>
      </c>
      <c r="AD26" s="9">
        <f>HISTOJANV24!AD26+HISTOFEV24!AD26+HISTOMARS24!AD26+HISTOAVRIL24!AD26+HISTOMAI24!AD26+HISTOJUIN24!AD26+HISTOJUIL24!AD26+HISTOAOUT24!AD26+HISTOSEPT24!AD26+HISTOOCT24!AD26+HISTONOV24!AD26+HISTODEC24!AD26</f>
        <v>0</v>
      </c>
      <c r="AE26" s="9">
        <f>HISTOJANV24!AE26+HISTOFEV24!AE26+HISTOMARS24!AE26+HISTOAVRIL24!AE26+HISTOMAI24!AE26+HISTOJUIN24!AE26+HISTOJUIL24!AE26+HISTOAOUT24!AE26+HISTOSEPT24!AE26+HISTOOCT24!AE26+HISTONOV24!AE26+HISTODEC24!AE26</f>
        <v>0</v>
      </c>
      <c r="AF26" s="12"/>
      <c r="AG26" s="12"/>
      <c r="AH26" s="9">
        <f>HISTOJANV24!AH26+HISTOFEV24!AH26+HISTOMARS24!AH26+HISTOAVRIL24!AH26+HISTOMAI24!AH26+HISTOJUIN24!AH26+HISTOJUIL24!AH26+HISTOAOUT24!AH26+HISTOSEPT24!AH26+HISTOOCT24!AH26+HISTONOV24!AH26+HISTODEC24!AH26</f>
        <v>0</v>
      </c>
      <c r="AI26" s="9">
        <f>HISTOJANV24!AI26+HISTOFEV24!AI26+HISTOMARS24!AI26+HISTOAVRIL24!AI26+HISTOMAI24!AI26+HISTOJUIN24!AI26+HISTOJUIL24!AI26+HISTOAOUT24!AI26+HISTOSEPT24!AI26+HISTOOCT24!AI26+HISTONOV24!AI26+HISTODEC24!AI26</f>
        <v>0</v>
      </c>
      <c r="AJ26" s="9">
        <f>HISTOJANV24!AJ26+HISTOFEV24!AJ26+HISTOMARS24!AJ26+HISTOAVRIL24!AJ26+HISTOMAI24!AJ26+HISTOJUIN24!AJ26+HISTOJUIL24!AJ26+HISTOAOUT24!AJ26+HISTOSEPT24!AJ26+HISTOOCT24!AJ26+HISTONOV24!AJ26+HISTODEC24!AJ26</f>
        <v>0</v>
      </c>
      <c r="AK26" s="9">
        <f>HISTOJANV24!AK26+HISTOFEV24!AK26+HISTOMARS24!AK26+HISTOAVRIL24!AK26+HISTOMAI24!AK26+HISTOJUIN24!AK26+HISTOJUIL24!AK26+HISTOAOUT24!AK26+HISTOSEPT24!AK26+HISTOOCT24!AK26+HISTONOV24!AK26+HISTODEC24!AK26</f>
        <v>0</v>
      </c>
      <c r="AL26" s="9">
        <f>HISTOJANV24!AL26+HISTOFEV24!AL26+HISTOMARS24!AL26+HISTOAVRIL24!AL26+HISTOMAI24!AL26+HISTOJUIN24!AL26+HISTOJUIL24!AL26+HISTOAOUT24!AL26+HISTOSEPT24!AL26+HISTOOCT24!AL26+HISTONOV24!AL26+HISTODEC24!AL26</f>
        <v>0</v>
      </c>
      <c r="AM26" s="9">
        <f>HISTOJANV24!AM26+HISTOFEV24!AM26+HISTOMARS24!AM26+HISTOAVRIL24!AM26+HISTOMAI24!AM26+HISTOJUIN24!AM26+HISTOJUIL24!AM26+HISTOAOUT24!AM26+HISTOSEPT24!AM26+HISTOOCT24!AM26+HISTONOV24!AM26+HISTODEC24!AM26</f>
        <v>0</v>
      </c>
      <c r="AN26" s="9">
        <f>HISTOJANV24!AN26+HISTOFEV24!AN26+HISTOMARS24!AN26+HISTOAVRIL24!AN26+HISTOMAI24!AN26+HISTOJUIN24!AN26+HISTOJUIL24!AN26+HISTOAOUT24!AN26+HISTOSEPT24!AN26+HISTOOCT24!AN26+HISTONOV24!AN26+HISTODEC24!AN26</f>
        <v>0</v>
      </c>
      <c r="AO26" s="12"/>
      <c r="AP26" s="12"/>
      <c r="AQ26" s="8">
        <f t="shared" si="2"/>
        <v>0</v>
      </c>
      <c r="AR26" s="8">
        <f t="shared" si="3"/>
        <v>0</v>
      </c>
      <c r="AS26" s="13">
        <f t="shared" si="6"/>
        <v>25000</v>
      </c>
      <c r="AT26" s="15"/>
      <c r="AV26" s="15"/>
      <c r="AW26" s="9">
        <f>HISTOJANV24!AW26+HISTOFEV24!AW26+HISTOMARS24!AW26+HISTOAVRIL24!AW26+HISTOMAI24!AW26+HISTOJUIN24!AW26+HISTOJUIL24!AW26+HISTOAOUT24!AW26+HISTOSEPT24!AW26+HISTOOCT24!AW26+HISTONOV24!AW26+HISTODEC24!AW26</f>
        <v>287000</v>
      </c>
      <c r="AX26" s="9">
        <f>HISTOJANV24!AX26+HISTOFEV24!AX26+HISTOMARS24!AX26+HISTOAVRIL24!AX26+HISTOMAI24!AX26+HISTOJUIN24!AX26+HISTOJUIL24!AX26+HISTOAOUT24!AX26+HISTOSEPT24!AX26+HISTOOCT24!AX26+HISTONOV24!AX26+HISTODEC24!AX26</f>
        <v>0</v>
      </c>
      <c r="AY26" s="9">
        <f>HISTOJANV24!AY26+HISTOFEV24!AY26+HISTOMARS24!AY26+HISTOAVRIL24!AY26+HISTOMAI24!AY26+HISTOJUIN24!AY26+HISTOJUIL24!AY26+HISTOAOUT24!AY26+HISTOSEPT24!AY26+HISTOOCT24!AY26+HISTONOV24!AY26+HISTODEC24!AY26</f>
        <v>0</v>
      </c>
      <c r="AZ26" s="9">
        <f>HISTOJANV24!AZ26+HISTOFEV24!AZ26+HISTOMARS24!AZ26+HISTOAVRIL24!AZ26+HISTOMAI24!AZ26+HISTOJUIN24!AZ26+HISTOJUIL24!AZ26+HISTOAOUT24!AZ26+HISTOSEPT24!AZ26+HISTOOCT24!AZ26+HISTONOV24!AZ26+HISTODEC24!AZ26</f>
        <v>287000</v>
      </c>
      <c r="BA26" s="9">
        <f>HISTOJANV24!BA26+HISTOFEV24!BA26+HISTOMARS24!BA26+HISTOAVRIL24!BA26+HISTOMAI24!BA26+HISTOJUIN24!BA26+HISTOJUIL24!BA26+HISTOAOUT24!BA26+HISTOSEPT24!BA26+HISTOOCT24!BA26+HISTONOV24!BA26+HISTODEC24!BA26</f>
        <v>7000</v>
      </c>
      <c r="BB26" s="9">
        <f>HISTOJANV24!BB26+HISTOFEV24!BB26+HISTOMARS24!BB26+HISTOAVRIL24!BB26+HISTOMAI24!BB26+HISTOJUIN24!BB26+HISTOJUIL24!BB26+HISTOAOUT24!BB26+HISTOSEPT24!BB26+HISTOOCT24!BB26+HISTONOV24!BB26+HISTODEC24!BB26</f>
        <v>0</v>
      </c>
      <c r="BC26" s="15"/>
      <c r="BD26" s="9">
        <f>HISTOJANV24!BD26+HISTOFEV24!BD26+HISTOMARS24!BD26+HISTOAVRIL24!BD26+HISTOMAI24!BD26+HISTOJUIN24!BD26+HISTOJUIL24!BD26+HISTOAOUT24!BD26+HISTOSEPT24!BD26+HISTOOCT24!BD26+HISTONOV24!BD26+HISTODEC24!BD26</f>
        <v>280000</v>
      </c>
      <c r="BE26" s="82"/>
      <c r="BF26" s="9">
        <f>HISTOJANV24!BF26+HISTOFEV24!BF26+HISTOMARS24!BF26+HISTOAVRIL24!BF26+HISTOMAI24!BF26+HISTOJUIN24!BF26+HISTOJUIL24!BF26+HISTOAOUT24!BF26+HISTOSEPT24!BF26+HISTOOCT24!BF26+HISTONOV24!BF26+HISTODEC24!BF26</f>
        <v>30000</v>
      </c>
      <c r="BG26" s="29"/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/>
      <c r="D27" s="9">
        <f>HISTOJANV24!D27+HISTOFEV24!D27+HISTOMARS24!D27+HISTOAVRIL24!D27+HISTOMAI24!D27+HISTOJUIN24!D27+HISTOJUIL24!D27+HISTOAOUT24!D27+HISTOSEPT24!D27+HISTOOCT24!D27+HISTONOV24!D27+HISTODEC24!D27</f>
        <v>150000</v>
      </c>
      <c r="E27" s="9">
        <f>HISTOJANV24!E27+HISTOFEV24!E27+HISTOMARS24!E27+HISTOAVRIL24!E27+HISTOMAI24!E27+HISTOJUIN24!E27+HISTOJUIL24!E27+HISTOAOUT24!E27+HISTOSEPT24!E27+HISTOOCT24!E27+HISTONOV24!E27+HISTODEC24!E27</f>
        <v>0</v>
      </c>
      <c r="F27" s="9">
        <f>HISTOJANV24!F27+HISTOFEV24!F27+HISTOMARS24!F27+HISTOAVRIL24!F27+HISTOMAI24!F27+HISTOJUIN24!F27+HISTOJUIL24!F27+HISTOAOUT24!F27+HISTOSEPT24!F27+HISTOOCT24!F27+HISTONOV24!F27+HISTODEC24!F27</f>
        <v>0</v>
      </c>
      <c r="G27" s="9">
        <f>HISTOJANV24!G27+HISTOFEV24!G27+HISTOMARS24!G27+HISTOAVRIL24!G27+HISTOMAI24!G27+HISTOJUIN24!G27+HISTOJUIL24!G27+HISTOAOUT24!G27+HISTOSEPT24!G27+HISTOOCT24!G27+HISTONOV24!G27+HISTODEC24!G27</f>
        <v>0</v>
      </c>
      <c r="H27" s="10"/>
      <c r="I27" s="9">
        <f>HISTOJANV24!I27+HISTOFEV24!I27+HISTOMARS24!I27+HISTOAVRIL24!I27+HISTOMAI24!I27+HISTOJUIN24!I27+HISTOJUIL24!I27+HISTOAOUT24!I27+HISTOSEPT24!I27+HISTOOCT24!I27+HISTONOV24!I27+HISTODEC24!I27</f>
        <v>0</v>
      </c>
      <c r="J27" s="11">
        <v>1</v>
      </c>
      <c r="K27" s="11">
        <f t="shared" si="4"/>
        <v>50000</v>
      </c>
      <c r="L27" s="6"/>
      <c r="M27" s="11">
        <f t="shared" si="0"/>
        <v>0</v>
      </c>
      <c r="N27" s="6"/>
      <c r="O27" s="11">
        <f t="shared" si="1"/>
        <v>0</v>
      </c>
      <c r="P27" s="9">
        <f>HISTOJANV24!P27+HISTOFEV24!P27+HISTOMARS24!P27+HISTOAVRIL24!P27+HISTOMAI24!P27+HISTOJUIN24!P27+HISTOJUIL24!P27+HISTOAOUT24!P27+HISTOSEPT24!P27+HISTOOCT24!P27+HISTONOV24!P27+HISTODEC24!P27</f>
        <v>0</v>
      </c>
      <c r="Q27" s="9">
        <f>HISTOJANV24!Q27+HISTOFEV24!Q27+HISTOMARS24!Q27+HISTOAVRIL24!Q27+HISTOMAI24!Q27+HISTOJUIN24!Q27+HISTOJUIL24!Q27+HISTOAOUT24!Q27+HISTOSEPT24!Q27+HISTOOCT24!Q27+HISTONOV24!Q27+HISTODEC24!Q27</f>
        <v>0</v>
      </c>
      <c r="R27" s="9">
        <f>HISTOJANV24!R27+HISTOFEV24!R27+HISTOMARS24!R27+HISTOAVRIL24!R27+HISTOMAI24!R27+HISTOJUIN24!R27+HISTOJUIL24!R27+HISTOAOUT24!R27+HISTOSEPT24!R27+HISTOOCT24!R27+HISTONOV24!R27+HISTODEC24!R27</f>
        <v>0</v>
      </c>
      <c r="S27" s="9">
        <f>HISTOJANV24!S27+HISTOFEV24!S27+HISTOMARS24!S27+HISTOAVRIL24!S27+HISTOMAI24!S27+HISTOJUIN24!S27+HISTOJUIL24!S27+HISTOAOUT24!S27+HISTOSEPT24!S27+HISTOOCT24!S27+HISTONOV24!S27+HISTODEC24!S27</f>
        <v>0</v>
      </c>
      <c r="T27" s="12"/>
      <c r="U27" s="17">
        <f t="shared" si="5"/>
        <v>50000</v>
      </c>
      <c r="V27" s="9">
        <f>HISTOJANV24!V27+HISTOFEV24!V27+HISTOMARS24!V27+HISTOAVRIL24!V27+HISTOMAI24!V27+HISTOJUIN24!V27+HISTOJUIL24!V27+HISTOAOUT24!V27+HISTOSEPT24!V27+HISTOOCT24!V27+HISTONOV24!V27+HISTODEC24!V27</f>
        <v>0</v>
      </c>
      <c r="W27" s="9">
        <f>HISTOJANV24!W27+HISTOFEV24!W27+HISTOMARS24!W27+HISTOAVRIL24!W27+HISTOMAI24!W27+HISTOJUIN24!W27+HISTOJUIL24!W27+HISTOAOUT24!W27+HISTOSEPT24!W27+HISTOOCT24!W27+HISTONOV24!W27+HISTODEC24!W27</f>
        <v>0</v>
      </c>
      <c r="X27" s="9">
        <f>HISTOJANV24!X27+HISTOFEV24!X27+HISTOMARS24!X27+HISTOAVRIL24!X27+HISTOMAI24!X27+HISTOJUIN24!X27+HISTOJUIL24!X27+HISTOAOUT24!X27+HISTOSEPT24!X27+HISTOOCT24!X27+HISTONOV24!X27+HISTODEC24!X27</f>
        <v>0</v>
      </c>
      <c r="Y27" s="9">
        <f>HISTOJANV24!Y27+HISTOFEV24!Y27+HISTOMARS24!Y27+HISTOAVRIL24!Y27+HISTOMAI24!Y27+HISTOJUIN24!Y27+HISTOJUIL24!Y27+HISTOAOUT24!Y27+HISTOSEPT24!Y27+HISTOOCT24!Y27+HISTONOV24!Y27+HISTODEC24!Y27</f>
        <v>0</v>
      </c>
      <c r="Z27" s="9">
        <f>HISTOJANV24!Z27+HISTOFEV24!Z27+HISTOMARS24!Z27+HISTOAVRIL24!Z27+HISTOMAI24!Z27+HISTOJUIN24!Z27+HISTOJUIL24!Z27+HISTOAOUT24!Z27+HISTOSEPT24!Z27+HISTOOCT24!Z27+HISTONOV24!Z27+HISTODEC24!Z27</f>
        <v>50000</v>
      </c>
      <c r="AA27" s="12"/>
      <c r="AB27" s="12"/>
      <c r="AC27" s="9">
        <f>HISTOJANV24!AC27+HISTOFEV24!AC27+HISTOMARS24!AC27+HISTOAVRIL24!AC27+HISTOMAI24!AC27+HISTOJUIN24!AC27+HISTOJUIL24!AC27+HISTOAOUT24!AC27+HISTOSEPT24!AC27+HISTOOCT24!AC27+HISTONOV24!AC27+HISTODEC24!AC27</f>
        <v>0</v>
      </c>
      <c r="AD27" s="9">
        <f>HISTOJANV24!AD27+HISTOFEV24!AD27+HISTOMARS24!AD27+HISTOAVRIL24!AD27+HISTOMAI24!AD27+HISTOJUIN24!AD27+HISTOJUIL24!AD27+HISTOAOUT24!AD27+HISTOSEPT24!AD27+HISTOOCT24!AD27+HISTONOV24!AD27+HISTODEC24!AD27</f>
        <v>0</v>
      </c>
      <c r="AE27" s="9">
        <f>HISTOJANV24!AE27+HISTOFEV24!AE27+HISTOMARS24!AE27+HISTOAVRIL24!AE27+HISTOMAI24!AE27+HISTOJUIN24!AE27+HISTOJUIL24!AE27+HISTOAOUT24!AE27+HISTOSEPT24!AE27+HISTOOCT24!AE27+HISTONOV24!AE27+HISTODEC24!AE27</f>
        <v>0</v>
      </c>
      <c r="AF27" s="12"/>
      <c r="AG27" s="12"/>
      <c r="AH27" s="9">
        <f>HISTOJANV24!AH27+HISTOFEV24!AH27+HISTOMARS24!AH27+HISTOAVRIL24!AH27+HISTOMAI24!AH27+HISTOJUIN24!AH27+HISTOJUIL24!AH27+HISTOAOUT24!AH27+HISTOSEPT24!AH27+HISTOOCT24!AH27+HISTONOV24!AH27+HISTODEC24!AH27</f>
        <v>0</v>
      </c>
      <c r="AI27" s="9">
        <f>HISTOJANV24!AI27+HISTOFEV24!AI27+HISTOMARS24!AI27+HISTOAVRIL24!AI27+HISTOMAI24!AI27+HISTOJUIN24!AI27+HISTOJUIL24!AI27+HISTOAOUT24!AI27+HISTOSEPT24!AI27+HISTOOCT24!AI27+HISTONOV24!AI27+HISTODEC24!AI27</f>
        <v>0</v>
      </c>
      <c r="AJ27" s="9">
        <f>HISTOJANV24!AJ27+HISTOFEV24!AJ27+HISTOMARS24!AJ27+HISTOAVRIL24!AJ27+HISTOMAI24!AJ27+HISTOJUIN24!AJ27+HISTOJUIL24!AJ27+HISTOAOUT24!AJ27+HISTOSEPT24!AJ27+HISTOOCT24!AJ27+HISTONOV24!AJ27+HISTODEC24!AJ27</f>
        <v>0</v>
      </c>
      <c r="AK27" s="9">
        <f>HISTOJANV24!AK27+HISTOFEV24!AK27+HISTOMARS24!AK27+HISTOAVRIL24!AK27+HISTOMAI24!AK27+HISTOJUIN24!AK27+HISTOJUIL24!AK27+HISTOAOUT24!AK27+HISTOSEPT24!AK27+HISTOOCT24!AK27+HISTONOV24!AK27+HISTODEC24!AK27</f>
        <v>0</v>
      </c>
      <c r="AL27" s="9">
        <f>HISTOJANV24!AL27+HISTOFEV24!AL27+HISTOMARS24!AL27+HISTOAVRIL24!AL27+HISTOMAI24!AL27+HISTOJUIN24!AL27+HISTOJUIL24!AL27+HISTOAOUT24!AL27+HISTOSEPT24!AL27+HISTOOCT24!AL27+HISTONOV24!AL27+HISTODEC24!AL27</f>
        <v>0</v>
      </c>
      <c r="AM27" s="9">
        <f>HISTOJANV24!AM27+HISTOFEV24!AM27+HISTOMARS24!AM27+HISTOAVRIL24!AM27+HISTOMAI24!AM27+HISTOJUIN24!AM27+HISTOJUIL24!AM27+HISTOAOUT24!AM27+HISTOSEPT24!AM27+HISTOOCT24!AM27+HISTONOV24!AM27+HISTODEC24!AM27</f>
        <v>0</v>
      </c>
      <c r="AN27" s="9">
        <f>HISTOJANV24!AN27+HISTOFEV24!AN27+HISTOMARS24!AN27+HISTOAVRIL24!AN27+HISTOMAI24!AN27+HISTOJUIN24!AN27+HISTOJUIL24!AN27+HISTOAOUT24!AN27+HISTOSEPT24!AN27+HISTOOCT24!AN27+HISTONOV24!AN27+HISTODEC24!AN27</f>
        <v>0</v>
      </c>
      <c r="AO27" s="12"/>
      <c r="AP27" s="12"/>
      <c r="AQ27" s="8">
        <f t="shared" si="2"/>
        <v>0</v>
      </c>
      <c r="AR27" s="8">
        <f t="shared" si="3"/>
        <v>0</v>
      </c>
      <c r="AS27" s="13">
        <f t="shared" si="6"/>
        <v>25000</v>
      </c>
      <c r="AT27" s="15"/>
      <c r="AV27" s="15"/>
      <c r="AW27" s="9">
        <f>HISTOJANV24!AW27+HISTOFEV24!AW27+HISTOMARS24!AW27+HISTOAVRIL24!AW27+HISTOMAI24!AW27+HISTOJUIN24!AW27+HISTOJUIL24!AW27+HISTOAOUT24!AW27+HISTOSEPT24!AW27+HISTOOCT24!AW27+HISTONOV24!AW27+HISTODEC24!AW27</f>
        <v>0</v>
      </c>
      <c r="AX27" s="9">
        <f>HISTOJANV24!AX27+HISTOFEV24!AX27+HISTOMARS24!AX27+HISTOAVRIL24!AX27+HISTOMAI24!AX27+HISTOJUIN24!AX27+HISTOJUIL24!AX27+HISTOAOUT24!AX27+HISTOSEPT24!AX27+HISTOOCT24!AX27+HISTONOV24!AX27+HISTODEC24!AX27</f>
        <v>0</v>
      </c>
      <c r="AY27" s="9">
        <f>HISTOJANV24!AY27+HISTOFEV24!AY27+HISTOMARS24!AY27+HISTOAVRIL24!AY27+HISTOMAI24!AY27+HISTOJUIN24!AY27+HISTOJUIL24!AY27+HISTOAOUT24!AY27+HISTOSEPT24!AY27+HISTOOCT24!AY27+HISTONOV24!AY27+HISTODEC24!AY27</f>
        <v>0</v>
      </c>
      <c r="AZ27" s="9">
        <f>HISTOJANV24!AZ27+HISTOFEV24!AZ27+HISTOMARS24!AZ27+HISTOAVRIL24!AZ27+HISTOMAI24!AZ27+HISTOJUIN24!AZ27+HISTOJUIL24!AZ27+HISTOAOUT24!AZ27+HISTOSEPT24!AZ27+HISTOOCT24!AZ27+HISTONOV24!AZ27+HISTODEC24!AZ27</f>
        <v>48500</v>
      </c>
      <c r="BA27" s="9">
        <f>HISTOJANV24!BA27+HISTOFEV24!BA27+HISTOMARS24!BA27+HISTOAVRIL24!BA27+HISTOMAI24!BA27+HISTOJUIN24!BA27+HISTOJUIL24!BA27+HISTOAOUT24!BA27+HISTOSEPT24!BA27+HISTOOCT24!BA27+HISTONOV24!BA27+HISTODEC24!BA27</f>
        <v>0</v>
      </c>
      <c r="BB27" s="9">
        <f>HISTOJANV24!BB27+HISTOFEV24!BB27+HISTOMARS24!BB27+HISTOAVRIL24!BB27+HISTOMAI24!BB27+HISTOJUIN24!BB27+HISTOJUIL24!BB27+HISTOAOUT24!BB27+HISTOSEPT24!BB27+HISTOOCT24!BB27+HISTONOV24!BB27+HISTODEC24!BB27</f>
        <v>0</v>
      </c>
      <c r="BC27" s="15"/>
      <c r="BD27" s="9">
        <f>HISTOJANV24!BD27+HISTOFEV24!BD27+HISTOMARS24!BD27+HISTOAVRIL24!BD27+HISTOMAI24!BD27+HISTOJUIN24!BD27+HISTOJUIL24!BD27+HISTOAOUT24!BD27+HISTOSEPT24!BD27+HISTOOCT24!BD27+HISTONOV24!BD27+HISTODEC24!BD27</f>
        <v>48500</v>
      </c>
      <c r="BE27" s="82"/>
      <c r="BF27" s="9">
        <f>HISTOJANV24!BF27+HISTOFEV24!BF27+HISTOMARS24!BF27+HISTOAVRIL24!BF27+HISTOMAI24!BF27+HISTOJUIN24!BF27+HISTOJUIL24!BF27+HISTOAOUT24!BF27+HISTOSEPT24!BF27+HISTOOCT24!BF27+HISTONOV24!BF27+HISTODEC24!BF27</f>
        <v>1500</v>
      </c>
      <c r="BG27" s="29"/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/>
      <c r="D28" s="9">
        <f>HISTOJANV24!D28+HISTOFEV24!D28+HISTOMARS24!D28+HISTOAVRIL24!D28+HISTOMAI24!D28+HISTOJUIN24!D28+HISTOJUIL24!D28+HISTOAOUT24!D28+HISTOSEPT24!D28+HISTOOCT24!D28+HISTONOV24!D28+HISTODEC24!D28</f>
        <v>375000</v>
      </c>
      <c r="E28" s="9">
        <f>HISTOJANV24!E28+HISTOFEV24!E28+HISTOMARS24!E28+HISTOAVRIL24!E28+HISTOMAI24!E28+HISTOJUIN24!E28+HISTOJUIL24!E28+HISTOAOUT24!E28+HISTOSEPT24!E28+HISTOOCT24!E28+HISTONOV24!E28+HISTODEC24!E28</f>
        <v>0</v>
      </c>
      <c r="F28" s="9">
        <f>HISTOJANV24!F28+HISTOFEV24!F28+HISTOMARS24!F28+HISTOAVRIL24!F28+HISTOMAI24!F28+HISTOJUIN24!F28+HISTOJUIL24!F28+HISTOAOUT24!F28+HISTOSEPT24!F28+HISTOOCT24!F28+HISTONOV24!F28+HISTODEC24!F28</f>
        <v>0</v>
      </c>
      <c r="G28" s="9">
        <f>HISTOJANV24!G28+HISTOFEV24!G28+HISTOMARS24!G28+HISTOAVRIL24!G28+HISTOMAI24!G28+HISTOJUIN24!G28+HISTOJUIL24!G28+HISTOAOUT24!G28+HISTOSEPT24!G28+HISTOOCT24!G28+HISTONOV24!G28+HISTODEC24!G28</f>
        <v>0</v>
      </c>
      <c r="H28" s="10"/>
      <c r="I28" s="9">
        <f>HISTOJANV24!I28+HISTOFEV24!I28+HISTOMARS24!I28+HISTOAVRIL24!I28+HISTOMAI24!I28+HISTOJUIN24!I28+HISTOJUIL24!I28+HISTOAOUT24!I28+HISTOSEPT24!I28+HISTOOCT24!I28+HISTONOV24!I28+HISTODEC24!I28</f>
        <v>0</v>
      </c>
      <c r="J28" s="11">
        <v>1</v>
      </c>
      <c r="K28" s="11">
        <f t="shared" si="4"/>
        <v>50000</v>
      </c>
      <c r="L28" s="6">
        <v>1</v>
      </c>
      <c r="M28" s="11">
        <f t="shared" si="0"/>
        <v>75000</v>
      </c>
      <c r="N28" s="6"/>
      <c r="O28" s="11">
        <f t="shared" si="1"/>
        <v>0</v>
      </c>
      <c r="P28" s="9">
        <f>HISTOJANV24!P28+HISTOFEV24!P28+HISTOMARS24!P28+HISTOAVRIL24!P28+HISTOMAI24!P28+HISTOJUIN24!P28+HISTOJUIL24!P28+HISTOAOUT24!P28+HISTOSEPT24!P28+HISTOOCT24!P28+HISTONOV24!P28+HISTODEC24!P28</f>
        <v>0</v>
      </c>
      <c r="Q28" s="9">
        <f>HISTOJANV24!Q28+HISTOFEV24!Q28+HISTOMARS24!Q28+HISTOAVRIL24!Q28+HISTOMAI24!Q28+HISTOJUIN24!Q28+HISTOJUIL24!Q28+HISTOAOUT24!Q28+HISTOSEPT24!Q28+HISTOOCT24!Q28+HISTONOV24!Q28+HISTODEC24!Q28</f>
        <v>0</v>
      </c>
      <c r="R28" s="9">
        <f>HISTOJANV24!R28+HISTOFEV24!R28+HISTOMARS24!R28+HISTOAVRIL24!R28+HISTOMAI24!R28+HISTOJUIN24!R28+HISTOJUIL24!R28+HISTOAOUT24!R28+HISTOSEPT24!R28+HISTOOCT24!R28+HISTONOV24!R28+HISTODEC24!R28</f>
        <v>0</v>
      </c>
      <c r="S28" s="9">
        <f>HISTOJANV24!S28+HISTOFEV24!S28+HISTOMARS24!S28+HISTOAVRIL24!S28+HISTOMAI24!S28+HISTOJUIN24!S28+HISTOJUIL24!S28+HISTOAOUT24!S28+HISTOSEPT24!S28+HISTOOCT24!S28+HISTONOV24!S28+HISTODEC24!S28</f>
        <v>0</v>
      </c>
      <c r="T28" s="12"/>
      <c r="U28" s="17">
        <f t="shared" si="5"/>
        <v>125000</v>
      </c>
      <c r="V28" s="9">
        <f>HISTOJANV24!V28+HISTOFEV24!V28+HISTOMARS24!V28+HISTOAVRIL24!V28+HISTOMAI24!V28+HISTOJUIN24!V28+HISTOJUIL24!V28+HISTOAOUT24!V28+HISTOSEPT24!V28+HISTOOCT24!V28+HISTONOV24!V28+HISTODEC24!V28</f>
        <v>0</v>
      </c>
      <c r="W28" s="9">
        <f>HISTOJANV24!W28+HISTOFEV24!W28+HISTOMARS24!W28+HISTOAVRIL24!W28+HISTOMAI24!W28+HISTOJUIN24!W28+HISTOJUIL24!W28+HISTOAOUT24!W28+HISTOSEPT24!W28+HISTOOCT24!W28+HISTONOV24!W28+HISTODEC24!W28</f>
        <v>0</v>
      </c>
      <c r="X28" s="9">
        <f>HISTOJANV24!X28+HISTOFEV24!X28+HISTOMARS24!X28+HISTOAVRIL24!X28+HISTOMAI24!X28+HISTOJUIN24!X28+HISTOJUIL24!X28+HISTOAOUT24!X28+HISTOSEPT24!X28+HISTOOCT24!X28+HISTONOV24!X28+HISTODEC24!X28</f>
        <v>0</v>
      </c>
      <c r="Y28" s="9">
        <f>HISTOJANV24!Y28+HISTOFEV24!Y28+HISTOMARS24!Y28+HISTOAVRIL24!Y28+HISTOMAI24!Y28+HISTOJUIN24!Y28+HISTOJUIL24!Y28+HISTOAOUT24!Y28+HISTOSEPT24!Y28+HISTOOCT24!Y28+HISTONOV24!Y28+HISTODEC24!Y28</f>
        <v>0</v>
      </c>
      <c r="Z28" s="9">
        <f>HISTOJANV24!Z28+HISTOFEV24!Z28+HISTOMARS24!Z28+HISTOAVRIL24!Z28+HISTOMAI24!Z28+HISTOJUIN24!Z28+HISTOJUIL24!Z28+HISTOAOUT24!Z28+HISTOSEPT24!Z28+HISTOOCT24!Z28+HISTONOV24!Z28+HISTODEC24!Z28</f>
        <v>0</v>
      </c>
      <c r="AA28" s="12"/>
      <c r="AB28" s="12"/>
      <c r="AC28" s="9">
        <f>HISTOJANV24!AC28+HISTOFEV24!AC28+HISTOMARS24!AC28+HISTOAVRIL24!AC28+HISTOMAI24!AC28+HISTOJUIN24!AC28+HISTOJUIL24!AC28+HISTOAOUT24!AC28+HISTOSEPT24!AC28+HISTOOCT24!AC28+HISTONOV24!AC28+HISTODEC24!AC28</f>
        <v>0</v>
      </c>
      <c r="AD28" s="9">
        <f>HISTOJANV24!AD28+HISTOFEV24!AD28+HISTOMARS24!AD28+HISTOAVRIL24!AD28+HISTOMAI24!AD28+HISTOJUIN24!AD28+HISTOJUIL24!AD28+HISTOAOUT24!AD28+HISTOSEPT24!AD28+HISTOOCT24!AD28+HISTONOV24!AD28+HISTODEC24!AD28</f>
        <v>0</v>
      </c>
      <c r="AE28" s="9">
        <f>HISTOJANV24!AE28+HISTOFEV24!AE28+HISTOMARS24!AE28+HISTOAVRIL24!AE28+HISTOMAI24!AE28+HISTOJUIN24!AE28+HISTOJUIL24!AE28+HISTOAOUT24!AE28+HISTOSEPT24!AE28+HISTOOCT24!AE28+HISTONOV24!AE28+HISTODEC24!AE28</f>
        <v>0</v>
      </c>
      <c r="AF28" s="12"/>
      <c r="AG28" s="12"/>
      <c r="AH28" s="9">
        <f>HISTOJANV24!AH28+HISTOFEV24!AH28+HISTOMARS24!AH28+HISTOAVRIL24!AH28+HISTOMAI24!AH28+HISTOJUIN24!AH28+HISTOJUIL24!AH28+HISTOAOUT24!AH28+HISTOSEPT24!AH28+HISTOOCT24!AH28+HISTONOV24!AH28+HISTODEC24!AH28</f>
        <v>0</v>
      </c>
      <c r="AI28" s="9">
        <f>HISTOJANV24!AI28+HISTOFEV24!AI28+HISTOMARS24!AI28+HISTOAVRIL24!AI28+HISTOMAI24!AI28+HISTOJUIN24!AI28+HISTOJUIL24!AI28+HISTOAOUT24!AI28+HISTOSEPT24!AI28+HISTOOCT24!AI28+HISTONOV24!AI28+HISTODEC24!AI28</f>
        <v>0</v>
      </c>
      <c r="AJ28" s="9">
        <f>HISTOJANV24!AJ28+HISTOFEV24!AJ28+HISTOMARS24!AJ28+HISTOAVRIL24!AJ28+HISTOMAI24!AJ28+HISTOJUIN24!AJ28+HISTOJUIL24!AJ28+HISTOAOUT24!AJ28+HISTOSEPT24!AJ28+HISTOOCT24!AJ28+HISTONOV24!AJ28+HISTODEC24!AJ28</f>
        <v>0</v>
      </c>
      <c r="AK28" s="9">
        <f>HISTOJANV24!AK28+HISTOFEV24!AK28+HISTOMARS24!AK28+HISTOAVRIL24!AK28+HISTOMAI24!AK28+HISTOJUIN24!AK28+HISTOJUIL24!AK28+HISTOAOUT24!AK28+HISTOSEPT24!AK28+HISTOOCT24!AK28+HISTONOV24!AK28+HISTODEC24!AK28</f>
        <v>0</v>
      </c>
      <c r="AL28" s="9">
        <f>HISTOJANV24!AL28+HISTOFEV24!AL28+HISTOMARS24!AL28+HISTOAVRIL24!AL28+HISTOMAI24!AL28+HISTOJUIN24!AL28+HISTOJUIL24!AL28+HISTOAOUT24!AL28+HISTOSEPT24!AL28+HISTOOCT24!AL28+HISTONOV24!AL28+HISTODEC24!AL28</f>
        <v>0</v>
      </c>
      <c r="AM28" s="9">
        <f>HISTOJANV24!AM28+HISTOFEV24!AM28+HISTOMARS24!AM28+HISTOAVRIL24!AM28+HISTOMAI24!AM28+HISTOJUIN24!AM28+HISTOJUIL24!AM28+HISTOAOUT24!AM28+HISTOSEPT24!AM28+HISTOOCT24!AM28+HISTONOV24!AM28+HISTODEC24!AM28</f>
        <v>0</v>
      </c>
      <c r="AN28" s="9">
        <f>HISTOJANV24!AN28+HISTOFEV24!AN28+HISTOMARS24!AN28+HISTOAVRIL24!AN28+HISTOMAI24!AN28+HISTOJUIN24!AN28+HISTOJUIL24!AN28+HISTOAOUT24!AN28+HISTOSEPT24!AN28+HISTOOCT24!AN28+HISTONOV24!AN28+HISTODEC24!AN28</f>
        <v>0</v>
      </c>
      <c r="AO28" s="12"/>
      <c r="AP28" s="12"/>
      <c r="AQ28" s="8">
        <f t="shared" si="2"/>
        <v>0</v>
      </c>
      <c r="AR28" s="8">
        <f t="shared" si="3"/>
        <v>0</v>
      </c>
      <c r="AS28" s="13">
        <f t="shared" si="6"/>
        <v>25000</v>
      </c>
      <c r="AT28" s="15"/>
      <c r="AV28" s="15"/>
      <c r="AW28" s="9">
        <f>HISTOJANV24!AW28+HISTOFEV24!AW28+HISTOMARS24!AW28+HISTOAVRIL24!AW28+HISTOMAI24!AW28+HISTOJUIN24!AW28+HISTOJUIL24!AW28+HISTOAOUT24!AW28+HISTOSEPT24!AW28+HISTOOCT24!AW28+HISTONOV24!AW28+HISTODEC24!AW28</f>
        <v>0</v>
      </c>
      <c r="AX28" s="9">
        <f>HISTOJANV24!AX28+HISTOFEV24!AX28+HISTOMARS24!AX28+HISTOAVRIL24!AX28+HISTOMAI24!AX28+HISTOJUIN24!AX28+HISTOJUIL24!AX28+HISTOAOUT24!AX28+HISTOSEPT24!AX28+HISTOOCT24!AX28+HISTONOV24!AX28+HISTODEC24!AX28</f>
        <v>0</v>
      </c>
      <c r="AY28" s="9">
        <f>HISTOJANV24!AY28+HISTOFEV24!AY28+HISTOMARS24!AY28+HISTOAVRIL24!AY28+HISTOMAI24!AY28+HISTOJUIN24!AY28+HISTOJUIL24!AY28+HISTOAOUT24!AY28+HISTOSEPT24!AY28+HISTOOCT24!AY28+HISTONOV24!AY28+HISTODEC24!AY28</f>
        <v>0</v>
      </c>
      <c r="AZ28" s="9">
        <f>HISTOJANV24!AZ28+HISTOFEV24!AZ28+HISTOMARS24!AZ28+HISTOAVRIL24!AZ28+HISTOMAI24!AZ28+HISTOJUIN24!AZ28+HISTOJUIL24!AZ28+HISTOAOUT24!AZ28+HISTOSEPT24!AZ28+HISTOOCT24!AZ28+HISTONOV24!AZ28+HISTODEC24!AZ28</f>
        <v>0</v>
      </c>
      <c r="BA28" s="9">
        <f>HISTOJANV24!BA28+HISTOFEV24!BA28+HISTOMARS24!BA28+HISTOAVRIL24!BA28+HISTOMAI24!BA28+HISTOJUIN24!BA28+HISTOJUIL24!BA28+HISTOAOUT24!BA28+HISTOSEPT24!BA28+HISTOOCT24!BA28+HISTONOV24!BA28+HISTODEC24!BA28</f>
        <v>0</v>
      </c>
      <c r="BB28" s="9">
        <f>HISTOJANV24!BB28+HISTOFEV24!BB28+HISTOMARS24!BB28+HISTOAVRIL24!BB28+HISTOMAI24!BB28+HISTOJUIN24!BB28+HISTOJUIL24!BB28+HISTOAOUT24!BB28+HISTOSEPT24!BB28+HISTOOCT24!BB28+HISTONOV24!BB28+HISTODEC24!BB28</f>
        <v>0</v>
      </c>
      <c r="BC28" s="15"/>
      <c r="BD28" s="9">
        <f>HISTOJANV24!BD28+HISTOFEV24!BD28+HISTOMARS24!BD28+HISTOAVRIL24!BD28+HISTOMAI24!BD28+HISTOJUIN24!BD28+HISTOJUIL24!BD28+HISTOAOUT24!BD28+HISTOSEPT24!BD28+HISTOOCT24!BD28+HISTONOV24!BD28+HISTODEC24!BD28</f>
        <v>0</v>
      </c>
      <c r="BE28" s="82"/>
      <c r="BF28" s="9">
        <f>HISTOJANV24!BF28+HISTOFEV24!BF28+HISTOMARS24!BF28+HISTOAVRIL24!BF28+HISTOMAI24!BF28+HISTOJUIN24!BF28+HISTOJUIL24!BF28+HISTOAOUT24!BF28+HISTOSEPT24!BF28+HISTOOCT24!BF28+HISTONOV24!BF28+HISTODEC24!BF28</f>
        <v>0</v>
      </c>
      <c r="BG28" s="29"/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/>
      <c r="D29" s="9">
        <f>HISTOJANV24!D29+HISTOFEV24!D29+HISTOMARS24!D29+HISTOAVRIL24!D29+HISTOMAI24!D29+HISTOJUIN24!D29+HISTOJUIL24!D29+HISTOAOUT24!D29+HISTOSEPT24!D29+HISTOOCT24!D29+HISTONOV24!D29+HISTODEC24!D29</f>
        <v>652000</v>
      </c>
      <c r="E29" s="9">
        <f>HISTOJANV24!E29+HISTOFEV24!E29+HISTOMARS24!E29+HISTOAVRIL24!E29+HISTOMAI24!E29+HISTOJUIN24!E29+HISTOJUIL24!E29+HISTOAOUT24!E29+HISTOSEPT24!E29+HISTOOCT24!E29+HISTONOV24!E29+HISTODEC24!E29</f>
        <v>0</v>
      </c>
      <c r="F29" s="9">
        <f>HISTOJANV24!F29+HISTOFEV24!F29+HISTOMARS24!F29+HISTOAVRIL24!F29+HISTOMAI24!F29+HISTOJUIN24!F29+HISTOJUIL24!F29+HISTOAOUT24!F29+HISTOSEPT24!F29+HISTOOCT24!F29+HISTONOV24!F29+HISTODEC24!F29</f>
        <v>0</v>
      </c>
      <c r="G29" s="9">
        <f>HISTOJANV24!G29+HISTOFEV24!G29+HISTOMARS24!G29+HISTOAVRIL24!G29+HISTOMAI24!G29+HISTOJUIN24!G29+HISTOJUIL24!G29+HISTOAOUT24!G29+HISTOSEPT24!G29+HISTOOCT24!G29+HISTONOV24!G29+HISTODEC24!G29</f>
        <v>0</v>
      </c>
      <c r="H29" s="10"/>
      <c r="I29" s="9">
        <f>HISTOJANV24!I29+HISTOFEV24!I29+HISTOMARS24!I29+HISTOAVRIL24!I29+HISTOMAI24!I29+HISTOJUIN24!I29+HISTOJUIL24!I29+HISTOAOUT24!I29+HISTOSEPT24!I29+HISTOOCT24!I29+HISTONOV24!I29+HISTODEC24!I29</f>
        <v>450000</v>
      </c>
      <c r="J29" s="11">
        <v>1</v>
      </c>
      <c r="K29" s="11">
        <f t="shared" si="4"/>
        <v>50000</v>
      </c>
      <c r="L29" s="6"/>
      <c r="M29" s="11">
        <f t="shared" si="0"/>
        <v>0</v>
      </c>
      <c r="N29" s="6"/>
      <c r="O29" s="11">
        <f t="shared" si="1"/>
        <v>0</v>
      </c>
      <c r="P29" s="9">
        <f>HISTOJANV24!P29+HISTOFEV24!P29+HISTOMARS24!P29+HISTOAVRIL24!P29+HISTOMAI24!P29+HISTOJUIN24!P29+HISTOJUIL24!P29+HISTOAOUT24!P29+HISTOSEPT24!P29+HISTOOCT24!P29+HISTONOV24!P29+HISTODEC24!P29</f>
        <v>94500</v>
      </c>
      <c r="Q29" s="9">
        <f>HISTOJANV24!Q29+HISTOFEV24!Q29+HISTOMARS24!Q29+HISTOAVRIL24!Q29+HISTOMAI24!Q29+HISTOJUIN24!Q29+HISTOJUIL24!Q29+HISTOAOUT24!Q29+HISTOSEPT24!Q29+HISTOOCT24!Q29+HISTONOV24!Q29+HISTODEC24!Q29</f>
        <v>0</v>
      </c>
      <c r="R29" s="9">
        <f>HISTOJANV24!R29+HISTOFEV24!R29+HISTOMARS24!R29+HISTOAVRIL24!R29+HISTOMAI24!R29+HISTOJUIN24!R29+HISTOJUIL24!R29+HISTOAOUT24!R29+HISTOSEPT24!R29+HISTOOCT24!R29+HISTONOV24!R29+HISTODEC24!R29</f>
        <v>0</v>
      </c>
      <c r="S29" s="9">
        <f>HISTOJANV24!S29+HISTOFEV24!S29+HISTOMARS24!S29+HISTOAVRIL24!S29+HISTOMAI24!S29+HISTOJUIN24!S29+HISTOJUIL24!S29+HISTOAOUT24!S29+HISTOSEPT24!S29+HISTOOCT24!S29+HISTONOV24!S29+HISTODEC24!S29</f>
        <v>0</v>
      </c>
      <c r="T29" s="12"/>
      <c r="U29" s="17">
        <f t="shared" si="5"/>
        <v>594500</v>
      </c>
      <c r="V29" s="9">
        <f>HISTOJANV24!V29+HISTOFEV24!V29+HISTOMARS24!V29+HISTOAVRIL24!V29+HISTOMAI24!V29+HISTOJUIN24!V29+HISTOJUIL24!V29+HISTOAOUT24!V29+HISTOSEPT24!V29+HISTOOCT24!V29+HISTONOV24!V29+HISTODEC24!V29</f>
        <v>0</v>
      </c>
      <c r="W29" s="9">
        <f>HISTOJANV24!W29+HISTOFEV24!W29+HISTOMARS24!W29+HISTOAVRIL24!W29+HISTOMAI24!W29+HISTOJUIN24!W29+HISTOJUIL24!W29+HISTOAOUT24!W29+HISTOSEPT24!W29+HISTOOCT24!W29+HISTONOV24!W29+HISTODEC24!W29</f>
        <v>0</v>
      </c>
      <c r="X29" s="9">
        <f>HISTOJANV24!X29+HISTOFEV24!X29+HISTOMARS24!X29+HISTOAVRIL24!X29+HISTOMAI24!X29+HISTOJUIN24!X29+HISTOJUIL24!X29+HISTOAOUT24!X29+HISTOSEPT24!X29+HISTOOCT24!X29+HISTONOV24!X29+HISTODEC24!X29</f>
        <v>0</v>
      </c>
      <c r="Y29" s="9">
        <f>HISTOJANV24!Y29+HISTOFEV24!Y29+HISTOMARS24!Y29+HISTOAVRIL24!Y29+HISTOMAI24!Y29+HISTOJUIN24!Y29+HISTOJUIL24!Y29+HISTOAOUT24!Y29+HISTOSEPT24!Y29+HISTOOCT24!Y29+HISTONOV24!Y29+HISTODEC24!Y29</f>
        <v>0</v>
      </c>
      <c r="Z29" s="9">
        <f>HISTOJANV24!Z29+HISTOFEV24!Z29+HISTOMARS24!Z29+HISTOAVRIL24!Z29+HISTOMAI24!Z29+HISTOJUIN24!Z29+HISTOJUIL24!Z29+HISTOAOUT24!Z29+HISTOSEPT24!Z29+HISTOOCT24!Z29+HISTONOV24!Z29+HISTODEC24!Z29</f>
        <v>0</v>
      </c>
      <c r="AA29" s="12"/>
      <c r="AB29" s="12"/>
      <c r="AC29" s="9">
        <f>HISTOJANV24!AC29+HISTOFEV24!AC29+HISTOMARS24!AC29+HISTOAVRIL24!AC29+HISTOMAI24!AC29+HISTOJUIN24!AC29+HISTOJUIL24!AC29+HISTOAOUT24!AC29+HISTOSEPT24!AC29+HISTOOCT24!AC29+HISTONOV24!AC29+HISTODEC24!AC29</f>
        <v>0</v>
      </c>
      <c r="AD29" s="9">
        <f>HISTOJANV24!AD29+HISTOFEV24!AD29+HISTOMARS24!AD29+HISTOAVRIL24!AD29+HISTOMAI24!AD29+HISTOJUIN24!AD29+HISTOJUIL24!AD29+HISTOAOUT24!AD29+HISTOSEPT24!AD29+HISTOOCT24!AD29+HISTONOV24!AD29+HISTODEC24!AD29</f>
        <v>0</v>
      </c>
      <c r="AE29" s="9">
        <f>HISTOJANV24!AE29+HISTOFEV24!AE29+HISTOMARS24!AE29+HISTOAVRIL24!AE29+HISTOMAI24!AE29+HISTOJUIN24!AE29+HISTOJUIL24!AE29+HISTOAOUT24!AE29+HISTOSEPT24!AE29+HISTOOCT24!AE29+HISTONOV24!AE29+HISTODEC24!AE29</f>
        <v>0</v>
      </c>
      <c r="AF29" s="12"/>
      <c r="AG29" s="12"/>
      <c r="AH29" s="9">
        <f>HISTOJANV24!AH29+HISTOFEV24!AH29+HISTOMARS24!AH29+HISTOAVRIL24!AH29+HISTOMAI24!AH29+HISTOJUIN24!AH29+HISTOJUIL24!AH29+HISTOAOUT24!AH29+HISTOSEPT24!AH29+HISTOOCT24!AH29+HISTONOV24!AH29+HISTODEC24!AH29</f>
        <v>0</v>
      </c>
      <c r="AI29" s="9">
        <f>HISTOJANV24!AI29+HISTOFEV24!AI29+HISTOMARS24!AI29+HISTOAVRIL24!AI29+HISTOMAI24!AI29+HISTOJUIN24!AI29+HISTOJUIL24!AI29+HISTOAOUT24!AI29+HISTOSEPT24!AI29+HISTOOCT24!AI29+HISTONOV24!AI29+HISTODEC24!AI29</f>
        <v>91000</v>
      </c>
      <c r="AJ29" s="9">
        <f>HISTOJANV24!AJ29+HISTOFEV24!AJ29+HISTOMARS24!AJ29+HISTOAVRIL24!AJ29+HISTOMAI24!AJ29+HISTOJUIN24!AJ29+HISTOJUIL24!AJ29+HISTOAOUT24!AJ29+HISTOSEPT24!AJ29+HISTOOCT24!AJ29+HISTONOV24!AJ29+HISTODEC24!AJ29</f>
        <v>0</v>
      </c>
      <c r="AK29" s="9">
        <f>HISTOJANV24!AK29+HISTOFEV24!AK29+HISTOMARS24!AK29+HISTOAVRIL24!AK29+HISTOMAI24!AK29+HISTOJUIN24!AK29+HISTOJUIL24!AK29+HISTOAOUT24!AK29+HISTOSEPT24!AK29+HISTOOCT24!AK29+HISTONOV24!AK29+HISTODEC24!AK29</f>
        <v>0</v>
      </c>
      <c r="AL29" s="9">
        <f>HISTOJANV24!AL29+HISTOFEV24!AL29+HISTOMARS24!AL29+HISTOAVRIL24!AL29+HISTOMAI24!AL29+HISTOJUIN24!AL29+HISTOJUIL24!AL29+HISTOAOUT24!AL29+HISTOSEPT24!AL29+HISTOOCT24!AL29+HISTONOV24!AL29+HISTODEC24!AL29</f>
        <v>3500</v>
      </c>
      <c r="AM29" s="9">
        <f>HISTOJANV24!AM29+HISTOFEV24!AM29+HISTOMARS24!AM29+HISTOAVRIL24!AM29+HISTOMAI24!AM29+HISTOJUIN24!AM29+HISTOJUIL24!AM29+HISTOAOUT24!AM29+HISTOSEPT24!AM29+HISTOOCT24!AM29+HISTONOV24!AM29+HISTODEC24!AM29</f>
        <v>0</v>
      </c>
      <c r="AN29" s="9">
        <f>HISTOJANV24!AN29+HISTOFEV24!AN29+HISTOMARS24!AN29+HISTOAVRIL24!AN29+HISTOMAI24!AN29+HISTOJUIN24!AN29+HISTOJUIL24!AN29+HISTOAOUT24!AN29+HISTOSEPT24!AN29+HISTOOCT24!AN29+HISTONOV24!AN29+HISTODEC24!AN29</f>
        <v>0</v>
      </c>
      <c r="AO29" s="12"/>
      <c r="AP29" s="12"/>
      <c r="AQ29" s="8">
        <f t="shared" si="2"/>
        <v>0</v>
      </c>
      <c r="AR29" s="8">
        <f t="shared" si="3"/>
        <v>0</v>
      </c>
      <c r="AS29" s="13">
        <f t="shared" si="6"/>
        <v>475000</v>
      </c>
      <c r="AT29" s="15"/>
      <c r="AV29" s="15"/>
      <c r="AW29" s="9">
        <f>HISTOJANV24!AW29+HISTOFEV24!AW29+HISTOMARS24!AW29+HISTOAVRIL24!AW29+HISTOMAI24!AW29+HISTOJUIN24!AW29+HISTOJUIL24!AW29+HISTOAOUT24!AW29+HISTOSEPT24!AW29+HISTOOCT24!AW29+HISTONOV24!AW29+HISTODEC24!AW29</f>
        <v>91000</v>
      </c>
      <c r="AX29" s="9">
        <f>HISTOJANV24!AX29+HISTOFEV24!AX29+HISTOMARS24!AX29+HISTOAVRIL24!AX29+HISTOMAI24!AX29+HISTOJUIN24!AX29+HISTOJUIL24!AX29+HISTOAOUT24!AX29+HISTOSEPT24!AX29+HISTOOCT24!AX29+HISTONOV24!AX29+HISTODEC24!AX29</f>
        <v>0</v>
      </c>
      <c r="AY29" s="9">
        <f>HISTOJANV24!AY29+HISTOFEV24!AY29+HISTOMARS24!AY29+HISTOAVRIL24!AY29+HISTOMAI24!AY29+HISTOJUIN24!AY29+HISTOJUIL24!AY29+HISTOAOUT24!AY29+HISTOSEPT24!AY29+HISTOOCT24!AY29+HISTONOV24!AY29+HISTODEC24!AY29</f>
        <v>0</v>
      </c>
      <c r="AZ29" s="9">
        <f>HISTOJANV24!AZ29+HISTOFEV24!AZ29+HISTOMARS24!AZ29+HISTOAVRIL24!AZ29+HISTOMAI24!AZ29+HISTOJUIN24!AZ29+HISTOJUIL24!AZ29+HISTOAOUT24!AZ29+HISTOSEPT24!AZ29+HISTOOCT24!AZ29+HISTONOV24!AZ29+HISTODEC24!AZ29</f>
        <v>91000</v>
      </c>
      <c r="BA29" s="9">
        <f>HISTOJANV24!BA29+HISTOFEV24!BA29+HISTOMARS24!BA29+HISTOAVRIL24!BA29+HISTOMAI24!BA29+HISTOJUIN24!BA29+HISTOJUIL24!BA29+HISTOAOUT24!BA29+HISTOSEPT24!BA29+HISTOOCT24!BA29+HISTONOV24!BA29+HISTODEC24!BA29</f>
        <v>40000</v>
      </c>
      <c r="BB29" s="9">
        <f>HISTOJANV24!BB29+HISTOFEV24!BB29+HISTOMARS24!BB29+HISTOAVRIL24!BB29+HISTOMAI24!BB29+HISTOJUIN24!BB29+HISTOJUIL24!BB29+HISTOAOUT24!BB29+HISTOSEPT24!BB29+HISTOOCT24!BB29+HISTONOV24!BB29+HISTODEC24!BB29</f>
        <v>0</v>
      </c>
      <c r="BC29" s="15"/>
      <c r="BD29" s="9">
        <f>HISTOJANV24!BD29+HISTOFEV24!BD29+HISTOMARS24!BD29+HISTOAVRIL24!BD29+HISTOMAI24!BD29+HISTOJUIN24!BD29+HISTOJUIL24!BD29+HISTOAOUT24!BD29+HISTOSEPT24!BD29+HISTOOCT24!BD29+HISTONOV24!BD29+HISTODEC24!BD29</f>
        <v>51000</v>
      </c>
      <c r="BE29" s="82"/>
      <c r="BF29" s="9">
        <f>HISTOJANV24!BF29+HISTOFEV24!BF29+HISTOMARS24!BF29+HISTOAVRIL24!BF29+HISTOMAI24!BF29+HISTOJUIN24!BF29+HISTOJUIL24!BF29+HISTOAOUT24!BF29+HISTOSEPT24!BF29+HISTOOCT24!BF29+HISTONOV24!BF29+HISTODEC24!BF29</f>
        <v>0</v>
      </c>
      <c r="BG29" s="29"/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/>
      <c r="D30" s="9">
        <f>HISTOJANV24!D30+HISTOFEV24!D30+HISTOMARS24!D30+HISTOAVRIL24!D30+HISTOMAI24!D30+HISTOJUIN24!D30+HISTOJUIL24!D30+HISTOAOUT24!D30+HISTOSEPT24!D30+HISTOOCT24!D30+HISTONOV24!D30+HISTODEC24!D30</f>
        <v>750000</v>
      </c>
      <c r="E30" s="9">
        <f>HISTOJANV24!E30+HISTOFEV24!E30+HISTOMARS24!E30+HISTOAVRIL24!E30+HISTOMAI24!E30+HISTOJUIN24!E30+HISTOJUIL24!E30+HISTOAOUT24!E30+HISTOSEPT24!E30+HISTOOCT24!E30+HISTONOV24!E30+HISTODEC24!E30</f>
        <v>0</v>
      </c>
      <c r="F30" s="9">
        <f>HISTOJANV24!F30+HISTOFEV24!F30+HISTOMARS24!F30+HISTOAVRIL24!F30+HISTOMAI24!F30+HISTOJUIN24!F30+HISTOJUIL24!F30+HISTOAOUT24!F30+HISTOSEPT24!F30+HISTOOCT24!F30+HISTONOV24!F30+HISTODEC24!F30</f>
        <v>0</v>
      </c>
      <c r="G30" s="9">
        <f>HISTOJANV24!G30+HISTOFEV24!G30+HISTOMARS24!G30+HISTOAVRIL24!G30+HISTOMAI24!G30+HISTOJUIN24!G30+HISTOJUIL24!G30+HISTOAOUT24!G30+HISTOSEPT24!G30+HISTOOCT24!G30+HISTONOV24!G30+HISTODEC24!G30</f>
        <v>0</v>
      </c>
      <c r="H30" s="10"/>
      <c r="I30" s="9">
        <f>HISTOJANV24!I30+HISTOFEV24!I30+HISTOMARS24!I30+HISTOAVRIL24!I30+HISTOMAI24!I30+HISTOJUIN24!I30+HISTOJUIL24!I30+HISTOAOUT24!I30+HISTOSEPT24!I30+HISTOOCT24!I30+HISTONOV24!I30+HISTODEC24!I30</f>
        <v>0</v>
      </c>
      <c r="J30" s="11">
        <v>1</v>
      </c>
      <c r="K30" s="11">
        <f t="shared" si="4"/>
        <v>50000</v>
      </c>
      <c r="L30" s="6"/>
      <c r="M30" s="11">
        <f t="shared" si="0"/>
        <v>0</v>
      </c>
      <c r="N30" s="6">
        <v>2</v>
      </c>
      <c r="O30" s="11">
        <f t="shared" si="1"/>
        <v>200000</v>
      </c>
      <c r="P30" s="9">
        <f>HISTOJANV24!P30+HISTOFEV24!P30+HISTOMARS24!P30+HISTOAVRIL24!P30+HISTOMAI24!P30+HISTOJUIN24!P30+HISTOJUIL24!P30+HISTOAOUT24!P30+HISTOSEPT24!P30+HISTOOCT24!P30+HISTONOV24!P30+HISTODEC24!P30</f>
        <v>0</v>
      </c>
      <c r="Q30" s="9">
        <f>HISTOJANV24!Q30+HISTOFEV24!Q30+HISTOMARS24!Q30+HISTOAVRIL24!Q30+HISTOMAI24!Q30+HISTOJUIN24!Q30+HISTOJUIL24!Q30+HISTOAOUT24!Q30+HISTOSEPT24!Q30+HISTOOCT24!Q30+HISTONOV24!Q30+HISTODEC24!Q30</f>
        <v>0</v>
      </c>
      <c r="R30" s="9">
        <f>HISTOJANV24!R30+HISTOFEV24!R30+HISTOMARS24!R30+HISTOAVRIL24!R30+HISTOMAI24!R30+HISTOJUIN24!R30+HISTOJUIL24!R30+HISTOAOUT24!R30+HISTOSEPT24!R30+HISTOOCT24!R30+HISTONOV24!R30+HISTODEC24!R30</f>
        <v>0</v>
      </c>
      <c r="S30" s="9">
        <f>HISTOJANV24!S30+HISTOFEV24!S30+HISTOMARS24!S30+HISTOAVRIL24!S30+HISTOMAI24!S30+HISTOJUIN24!S30+HISTOJUIL24!S30+HISTOAOUT24!S30+HISTOSEPT24!S30+HISTOOCT24!S30+HISTONOV24!S30+HISTODEC24!S30</f>
        <v>0</v>
      </c>
      <c r="T30" s="12"/>
      <c r="U30" s="17">
        <f t="shared" si="5"/>
        <v>250000</v>
      </c>
      <c r="V30" s="9">
        <f>HISTOJANV24!V30+HISTOFEV24!V30+HISTOMARS24!V30+HISTOAVRIL24!V30+HISTOMAI24!V30+HISTOJUIN24!V30+HISTOJUIL24!V30+HISTOAOUT24!V30+HISTOSEPT24!V30+HISTOOCT24!V30+HISTONOV24!V30+HISTODEC24!V30</f>
        <v>0</v>
      </c>
      <c r="W30" s="9">
        <f>HISTOJANV24!W30+HISTOFEV24!W30+HISTOMARS24!W30+HISTOAVRIL24!W30+HISTOMAI24!W30+HISTOJUIN24!W30+HISTOJUIL24!W30+HISTOAOUT24!W30+HISTOSEPT24!W30+HISTOOCT24!W30+HISTONOV24!W30+HISTODEC24!W30</f>
        <v>0</v>
      </c>
      <c r="X30" s="9">
        <f>HISTOJANV24!X30+HISTOFEV24!X30+HISTOMARS24!X30+HISTOAVRIL24!X30+HISTOMAI24!X30+HISTOJUIN24!X30+HISTOJUIL24!X30+HISTOAOUT24!X30+HISTOSEPT24!X30+HISTOOCT24!X30+HISTONOV24!X30+HISTODEC24!X30</f>
        <v>0</v>
      </c>
      <c r="Y30" s="9">
        <f>HISTOJANV24!Y30+HISTOFEV24!Y30+HISTOMARS24!Y30+HISTOAVRIL24!Y30+HISTOMAI24!Y30+HISTOJUIN24!Y30+HISTOJUIL24!Y30+HISTOAOUT24!Y30+HISTOSEPT24!Y30+HISTOOCT24!Y30+HISTONOV24!Y30+HISTODEC24!Y30</f>
        <v>0</v>
      </c>
      <c r="Z30" s="9">
        <f>HISTOJANV24!Z30+HISTOFEV24!Z30+HISTOMARS24!Z30+HISTOAVRIL24!Z30+HISTOMAI24!Z30+HISTOJUIN24!Z30+HISTOJUIL24!Z30+HISTOAOUT24!Z30+HISTOSEPT24!Z30+HISTOOCT24!Z30+HISTONOV24!Z30+HISTODEC24!Z30</f>
        <v>0</v>
      </c>
      <c r="AA30" s="12"/>
      <c r="AB30" s="12"/>
      <c r="AC30" s="9">
        <f>HISTOJANV24!AC30+HISTOFEV24!AC30+HISTOMARS24!AC30+HISTOAVRIL24!AC30+HISTOMAI24!AC30+HISTOJUIN24!AC30+HISTOJUIL24!AC30+HISTOAOUT24!AC30+HISTOSEPT24!AC30+HISTOOCT24!AC30+HISTONOV24!AC30+HISTODEC24!AC30</f>
        <v>0</v>
      </c>
      <c r="AD30" s="9">
        <f>HISTOJANV24!AD30+HISTOFEV24!AD30+HISTOMARS24!AD30+HISTOAVRIL24!AD30+HISTOMAI24!AD30+HISTOJUIN24!AD30+HISTOJUIL24!AD30+HISTOAOUT24!AD30+HISTOSEPT24!AD30+HISTOOCT24!AD30+HISTONOV24!AD30+HISTODEC24!AD30</f>
        <v>0</v>
      </c>
      <c r="AE30" s="9">
        <f>HISTOJANV24!AE30+HISTOFEV24!AE30+HISTOMARS24!AE30+HISTOAVRIL24!AE30+HISTOMAI24!AE30+HISTOJUIN24!AE30+HISTOJUIL24!AE30+HISTOAOUT24!AE30+HISTOSEPT24!AE30+HISTOOCT24!AE30+HISTONOV24!AE30+HISTODEC24!AE30</f>
        <v>35000</v>
      </c>
      <c r="AF30" s="12"/>
      <c r="AG30" s="12"/>
      <c r="AH30" s="9">
        <f>HISTOJANV24!AH30+HISTOFEV24!AH30+HISTOMARS24!AH30+HISTOAVRIL24!AH30+HISTOMAI24!AH30+HISTOJUIN24!AH30+HISTOJUIL24!AH30+HISTOAOUT24!AH30+HISTOSEPT24!AH30+HISTOOCT24!AH30+HISTONOV24!AH30+HISTODEC24!AH30</f>
        <v>0</v>
      </c>
      <c r="AI30" s="9">
        <f>HISTOJANV24!AI30+HISTOFEV24!AI30+HISTOMARS24!AI30+HISTOAVRIL24!AI30+HISTOMAI24!AI30+HISTOJUIN24!AI30+HISTOJUIL24!AI30+HISTOAOUT24!AI30+HISTOSEPT24!AI30+HISTOOCT24!AI30+HISTONOV24!AI30+HISTODEC24!AI30</f>
        <v>0</v>
      </c>
      <c r="AJ30" s="9">
        <f>HISTOJANV24!AJ30+HISTOFEV24!AJ30+HISTOMARS24!AJ30+HISTOAVRIL24!AJ30+HISTOMAI24!AJ30+HISTOJUIN24!AJ30+HISTOJUIL24!AJ30+HISTOAOUT24!AJ30+HISTOSEPT24!AJ30+HISTOOCT24!AJ30+HISTONOV24!AJ30+HISTODEC24!AJ30</f>
        <v>0</v>
      </c>
      <c r="AK30" s="9">
        <f>HISTOJANV24!AK30+HISTOFEV24!AK30+HISTOMARS24!AK30+HISTOAVRIL24!AK30+HISTOMAI24!AK30+HISTOJUIN24!AK30+HISTOJUIL24!AK30+HISTOAOUT24!AK30+HISTOSEPT24!AK30+HISTOOCT24!AK30+HISTONOV24!AK30+HISTODEC24!AK30</f>
        <v>0</v>
      </c>
      <c r="AL30" s="9">
        <f>HISTOJANV24!AL30+HISTOFEV24!AL30+HISTOMARS24!AL30+HISTOAVRIL24!AL30+HISTOMAI24!AL30+HISTOJUIN24!AL30+HISTOJUIL24!AL30+HISTOAOUT24!AL30+HISTOSEPT24!AL30+HISTOOCT24!AL30+HISTONOV24!AL30+HISTODEC24!AL30</f>
        <v>0</v>
      </c>
      <c r="AM30" s="9">
        <f>HISTOJANV24!AM30+HISTOFEV24!AM30+HISTOMARS24!AM30+HISTOAVRIL24!AM30+HISTOMAI24!AM30+HISTOJUIN24!AM30+HISTOJUIL24!AM30+HISTOAOUT24!AM30+HISTOSEPT24!AM30+HISTOOCT24!AM30+HISTONOV24!AM30+HISTODEC24!AM30</f>
        <v>0</v>
      </c>
      <c r="AN30" s="9">
        <f>HISTOJANV24!AN30+HISTOFEV24!AN30+HISTOMARS24!AN30+HISTOAVRIL24!AN30+HISTOMAI24!AN30+HISTOJUIN24!AN30+HISTOJUIL24!AN30+HISTOAOUT24!AN30+HISTOSEPT24!AN30+HISTOOCT24!AN30+HISTONOV24!AN30+HISTODEC24!AN30</f>
        <v>0</v>
      </c>
      <c r="AO30" s="12"/>
      <c r="AP30" s="12"/>
      <c r="AQ30" s="8">
        <f t="shared" si="2"/>
        <v>0</v>
      </c>
      <c r="AR30" s="8">
        <f t="shared" si="3"/>
        <v>0</v>
      </c>
      <c r="AS30" s="13">
        <f t="shared" si="6"/>
        <v>25000</v>
      </c>
      <c r="AT30" s="15"/>
      <c r="AV30" s="15"/>
      <c r="AW30" s="9">
        <f>HISTOJANV24!AW30+HISTOFEV24!AW30+HISTOMARS24!AW30+HISTOAVRIL24!AW30+HISTOMAI24!AW30+HISTOJUIN24!AW30+HISTOJUIL24!AW30+HISTOAOUT24!AW30+HISTOSEPT24!AW30+HISTOOCT24!AW30+HISTONOV24!AW30+HISTODEC24!AW30</f>
        <v>0</v>
      </c>
      <c r="AX30" s="9">
        <f>HISTOJANV24!AX30+HISTOFEV24!AX30+HISTOMARS24!AX30+HISTOAVRIL24!AX30+HISTOMAI24!AX30+HISTOJUIN24!AX30+HISTOJUIL24!AX30+HISTOAOUT24!AX30+HISTOSEPT24!AX30+HISTOOCT24!AX30+HISTONOV24!AX30+HISTODEC24!AX30</f>
        <v>0</v>
      </c>
      <c r="AY30" s="9">
        <f>HISTOJANV24!AY30+HISTOFEV24!AY30+HISTOMARS24!AY30+HISTOAVRIL24!AY30+HISTOMAI24!AY30+HISTOJUIN24!AY30+HISTOJUIL24!AY30+HISTOAOUT24!AY30+HISTOSEPT24!AY30+HISTOOCT24!AY30+HISTONOV24!AY30+HISTODEC24!AY30</f>
        <v>1165000</v>
      </c>
      <c r="AZ30" s="9">
        <f>HISTOJANV24!AZ30+HISTOFEV24!AZ30+HISTOMARS24!AZ30+HISTOAVRIL24!AZ30+HISTOMAI24!AZ30+HISTOJUIN24!AZ30+HISTOJUIL24!AZ30+HISTOAOUT24!AZ30+HISTOSEPT24!AZ30+HISTOOCT24!AZ30+HISTONOV24!AZ30+HISTODEC24!AZ30</f>
        <v>1165000</v>
      </c>
      <c r="BA30" s="9">
        <f>HISTOJANV24!BA30+HISTOFEV24!BA30+HISTOMARS24!BA30+HISTOAVRIL24!BA30+HISTOMAI24!BA30+HISTOJUIN24!BA30+HISTOJUIL24!BA30+HISTOAOUT24!BA30+HISTOSEPT24!BA30+HISTOOCT24!BA30+HISTONOV24!BA30+HISTODEC24!BA30</f>
        <v>0</v>
      </c>
      <c r="BB30" s="9">
        <f>HISTOJANV24!BB30+HISTOFEV24!BB30+HISTOMARS24!BB30+HISTOAVRIL24!BB30+HISTOMAI24!BB30+HISTOJUIN24!BB30+HISTOJUIL24!BB30+HISTOAOUT24!BB30+HISTOSEPT24!BB30+HISTOOCT24!BB30+HISTONOV24!BB30+HISTODEC24!BB30</f>
        <v>0</v>
      </c>
      <c r="BC30" s="15"/>
      <c r="BD30" s="9">
        <f>HISTOJANV24!BD30+HISTOFEV24!BD30+HISTOMARS24!BD30+HISTOAVRIL24!BD30+HISTOMAI24!BD30+HISTOJUIN24!BD30+HISTOJUIL24!BD30+HISTOAOUT24!BD30+HISTOSEPT24!BD30+HISTOOCT24!BD30+HISTONOV24!BD30+HISTODEC24!BD30</f>
        <v>1165000</v>
      </c>
      <c r="BE30" s="82"/>
      <c r="BF30" s="9">
        <f>HISTOJANV24!BF30+HISTOFEV24!BF30+HISTOMARS24!BF30+HISTOAVRIL24!BF30+HISTOMAI24!BF30+HISTOJUIN24!BF30+HISTOJUIL24!BF30+HISTOAOUT24!BF30+HISTOSEPT24!BF30+HISTOOCT24!BF30+HISTONOV24!BF30+HISTODEC24!BF30</f>
        <v>0</v>
      </c>
      <c r="BG30" s="29"/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/>
      <c r="D31" s="9">
        <f>HISTOJANV24!D31+HISTOFEV24!D31+HISTOMARS24!D31+HISTOAVRIL24!D31+HISTOMAI24!D31+HISTOJUIN24!D31+HISTOJUIL24!D31+HISTOAOUT24!D31+HISTOSEPT24!D31+HISTOOCT24!D31+HISTONOV24!D31+HISTODEC24!D31</f>
        <v>700000</v>
      </c>
      <c r="E31" s="9">
        <f>HISTOJANV24!E31+HISTOFEV24!E31+HISTOMARS24!E31+HISTOAVRIL24!E31+HISTOMAI24!E31+HISTOJUIN24!E31+HISTOJUIL24!E31+HISTOAOUT24!E31+HISTOSEPT24!E31+HISTOOCT24!E31+HISTONOV24!E31+HISTODEC24!E31</f>
        <v>0</v>
      </c>
      <c r="F31" s="9">
        <f>HISTOJANV24!F31+HISTOFEV24!F31+HISTOMARS24!F31+HISTOAVRIL24!F31+HISTOMAI24!F31+HISTOJUIN24!F31+HISTOJUIL24!F31+HISTOAOUT24!F31+HISTOSEPT24!F31+HISTOOCT24!F31+HISTONOV24!F31+HISTODEC24!F31</f>
        <v>0</v>
      </c>
      <c r="G31" s="9">
        <f>HISTOJANV24!G31+HISTOFEV24!G31+HISTOMARS24!G31+HISTOAVRIL24!G31+HISTOMAI24!G31+HISTOJUIN24!G31+HISTOJUIL24!G31+HISTOAOUT24!G31+HISTOSEPT24!G31+HISTOOCT24!G31+HISTONOV24!G31+HISTODEC24!G31</f>
        <v>0</v>
      </c>
      <c r="H31" s="10"/>
      <c r="I31" s="9">
        <f>HISTOJANV24!I31+HISTOFEV24!I31+HISTOMARS24!I31+HISTOAVRIL24!I31+HISTOMAI24!I31+HISTOJUIN24!I31+HISTOJUIL24!I31+HISTOAOUT24!I31+HISTOSEPT24!I31+HISTOOCT24!I31+HISTONOV24!I31+HISTODEC24!I31</f>
        <v>0</v>
      </c>
      <c r="J31" s="11">
        <v>1</v>
      </c>
      <c r="K31" s="11">
        <f t="shared" si="4"/>
        <v>50000</v>
      </c>
      <c r="L31" s="6"/>
      <c r="M31" s="11">
        <f t="shared" si="0"/>
        <v>0</v>
      </c>
      <c r="N31" s="6">
        <v>1</v>
      </c>
      <c r="O31" s="11">
        <f t="shared" si="1"/>
        <v>100000</v>
      </c>
      <c r="P31" s="9">
        <f>HISTOJANV24!P31+HISTOFEV24!P31+HISTOMARS24!P31+HISTOAVRIL24!P31+HISTOMAI24!P31+HISTOJUIN24!P31+HISTOJUIL24!P31+HISTOAOUT24!P31+HISTOSEPT24!P31+HISTOOCT24!P31+HISTONOV24!P31+HISTODEC24!P31</f>
        <v>0</v>
      </c>
      <c r="Q31" s="9">
        <f>HISTOJANV24!Q31+HISTOFEV24!Q31+HISTOMARS24!Q31+HISTOAVRIL24!Q31+HISTOMAI24!Q31+HISTOJUIN24!Q31+HISTOJUIL24!Q31+HISTOAOUT24!Q31+HISTOSEPT24!Q31+HISTOOCT24!Q31+HISTONOV24!Q31+HISTODEC24!Q31</f>
        <v>0</v>
      </c>
      <c r="R31" s="9">
        <f>HISTOJANV24!R31+HISTOFEV24!R31+HISTOMARS24!R31+HISTOAVRIL24!R31+HISTOMAI24!R31+HISTOJUIN24!R31+HISTOJUIL24!R31+HISTOAOUT24!R31+HISTOSEPT24!R31+HISTOOCT24!R31+HISTONOV24!R31+HISTODEC24!R31</f>
        <v>0</v>
      </c>
      <c r="S31" s="9">
        <f>HISTOJANV24!S31+HISTOFEV24!S31+HISTOMARS24!S31+HISTOAVRIL24!S31+HISTOMAI24!S31+HISTOJUIN24!S31+HISTOJUIL24!S31+HISTOAOUT24!S31+HISTOSEPT24!S31+HISTOOCT24!S31+HISTONOV24!S31+HISTODEC24!S31</f>
        <v>250000</v>
      </c>
      <c r="T31" s="12"/>
      <c r="U31" s="17">
        <f t="shared" si="5"/>
        <v>400000</v>
      </c>
      <c r="V31" s="9">
        <f>HISTOJANV24!V31+HISTOFEV24!V31+HISTOMARS24!V31+HISTOAVRIL24!V31+HISTOMAI24!V31+HISTOJUIN24!V31+HISTOJUIL24!V31+HISTOAOUT24!V31+HISTOSEPT24!V31+HISTOOCT24!V31+HISTONOV24!V31+HISTODEC24!V31</f>
        <v>0</v>
      </c>
      <c r="W31" s="9">
        <f>HISTOJANV24!W31+HISTOFEV24!W31+HISTOMARS24!W31+HISTOAVRIL24!W31+HISTOMAI24!W31+HISTOJUIN24!W31+HISTOJUIL24!W31+HISTOAOUT24!W31+HISTOSEPT24!W31+HISTOOCT24!W31+HISTONOV24!W31+HISTODEC24!W31</f>
        <v>0</v>
      </c>
      <c r="X31" s="9">
        <f>HISTOJANV24!X31+HISTOFEV24!X31+HISTOMARS24!X31+HISTOAVRIL24!X31+HISTOMAI24!X31+HISTOJUIN24!X31+HISTOJUIL24!X31+HISTOAOUT24!X31+HISTOSEPT24!X31+HISTOOCT24!X31+HISTONOV24!X31+HISTODEC24!X31</f>
        <v>0</v>
      </c>
      <c r="Y31" s="9">
        <f>HISTOJANV24!Y31+HISTOFEV24!Y31+HISTOMARS24!Y31+HISTOAVRIL24!Y31+HISTOMAI24!Y31+HISTOJUIN24!Y31+HISTOJUIL24!Y31+HISTOAOUT24!Y31+HISTOSEPT24!Y31+HISTOOCT24!Y31+HISTONOV24!Y31+HISTODEC24!Y31</f>
        <v>0</v>
      </c>
      <c r="Z31" s="9">
        <f>HISTOJANV24!Z31+HISTOFEV24!Z31+HISTOMARS24!Z31+HISTOAVRIL24!Z31+HISTOMAI24!Z31+HISTOJUIN24!Z31+HISTOJUIL24!Z31+HISTOAOUT24!Z31+HISTOSEPT24!Z31+HISTOOCT24!Z31+HISTONOV24!Z31+HISTODEC24!Z31</f>
        <v>1000000</v>
      </c>
      <c r="AA31" s="12"/>
      <c r="AB31" s="12"/>
      <c r="AC31" s="9">
        <f>HISTOJANV24!AC31+HISTOFEV24!AC31+HISTOMARS24!AC31+HISTOAVRIL24!AC31+HISTOMAI24!AC31+HISTOJUIN24!AC31+HISTOJUIL24!AC31+HISTOAOUT24!AC31+HISTOSEPT24!AC31+HISTOOCT24!AC31+HISTONOV24!AC31+HISTODEC24!AC31</f>
        <v>0</v>
      </c>
      <c r="AD31" s="9">
        <f>HISTOJANV24!AD31+HISTOFEV24!AD31+HISTOMARS24!AD31+HISTOAVRIL24!AD31+HISTOMAI24!AD31+HISTOJUIN24!AD31+HISTOJUIL24!AD31+HISTOAOUT24!AD31+HISTOSEPT24!AD31+HISTOOCT24!AD31+HISTONOV24!AD31+HISTODEC24!AD31</f>
        <v>0</v>
      </c>
      <c r="AE31" s="9">
        <f>HISTOJANV24!AE31+HISTOFEV24!AE31+HISTOMARS24!AE31+HISTOAVRIL24!AE31+HISTOMAI24!AE31+HISTOJUIN24!AE31+HISTOJUIL24!AE31+HISTOAOUT24!AE31+HISTOSEPT24!AE31+HISTOOCT24!AE31+HISTONOV24!AE31+HISTODEC24!AE31</f>
        <v>0</v>
      </c>
      <c r="AF31" s="12"/>
      <c r="AG31" s="12"/>
      <c r="AH31" s="9">
        <f>HISTOJANV24!AH31+HISTOFEV24!AH31+HISTOMARS24!AH31+HISTOAVRIL24!AH31+HISTOMAI24!AH31+HISTOJUIN24!AH31+HISTOJUIL24!AH31+HISTOAOUT24!AH31+HISTOSEPT24!AH31+HISTOOCT24!AH31+HISTONOV24!AH31+HISTODEC24!AH31</f>
        <v>0</v>
      </c>
      <c r="AI31" s="9">
        <f>HISTOJANV24!AI31+HISTOFEV24!AI31+HISTOMARS24!AI31+HISTOAVRIL24!AI31+HISTOMAI24!AI31+HISTOJUIN24!AI31+HISTOJUIL24!AI31+HISTOAOUT24!AI31+HISTOSEPT24!AI31+HISTOOCT24!AI31+HISTONOV24!AI31+HISTODEC24!AI31</f>
        <v>0</v>
      </c>
      <c r="AJ31" s="9">
        <f>HISTOJANV24!AJ31+HISTOFEV24!AJ31+HISTOMARS24!AJ31+HISTOAVRIL24!AJ31+HISTOMAI24!AJ31+HISTOJUIN24!AJ31+HISTOJUIL24!AJ31+HISTOAOUT24!AJ31+HISTOSEPT24!AJ31+HISTOOCT24!AJ31+HISTONOV24!AJ31+HISTODEC24!AJ31</f>
        <v>0</v>
      </c>
      <c r="AK31" s="9">
        <f>HISTOJANV24!AK31+HISTOFEV24!AK31+HISTOMARS24!AK31+HISTOAVRIL24!AK31+HISTOMAI24!AK31+HISTOJUIN24!AK31+HISTOJUIL24!AK31+HISTOAOUT24!AK31+HISTOSEPT24!AK31+HISTOOCT24!AK31+HISTONOV24!AK31+HISTODEC24!AK31</f>
        <v>0</v>
      </c>
      <c r="AL31" s="9">
        <f>HISTOJANV24!AL31+HISTOFEV24!AL31+HISTOMARS24!AL31+HISTOAVRIL24!AL31+HISTOMAI24!AL31+HISTOJUIN24!AL31+HISTOJUIL24!AL31+HISTOAOUT24!AL31+HISTOSEPT24!AL31+HISTOOCT24!AL31+HISTONOV24!AL31+HISTODEC24!AL31</f>
        <v>0</v>
      </c>
      <c r="AM31" s="9">
        <f>HISTOJANV24!AM31+HISTOFEV24!AM31+HISTOMARS24!AM31+HISTOAVRIL24!AM31+HISTOMAI24!AM31+HISTOJUIN24!AM31+HISTOJUIL24!AM31+HISTOAOUT24!AM31+HISTOSEPT24!AM31+HISTOOCT24!AM31+HISTONOV24!AM31+HISTODEC24!AM31</f>
        <v>0</v>
      </c>
      <c r="AN31" s="9">
        <f>HISTOJANV24!AN31+HISTOFEV24!AN31+HISTOMARS24!AN31+HISTOAVRIL24!AN31+HISTOMAI24!AN31+HISTOJUIN24!AN31+HISTOJUIL24!AN31+HISTOAOUT24!AN31+HISTOSEPT24!AN31+HISTOOCT24!AN31+HISTONOV24!AN31+HISTODEC24!AN31</f>
        <v>0</v>
      </c>
      <c r="AO31" s="12"/>
      <c r="AP31" s="12"/>
      <c r="AQ31" s="8">
        <f t="shared" si="2"/>
        <v>0</v>
      </c>
      <c r="AR31" s="8">
        <f t="shared" si="3"/>
        <v>0</v>
      </c>
      <c r="AS31" s="13">
        <f t="shared" si="6"/>
        <v>25000</v>
      </c>
      <c r="AT31" s="15"/>
      <c r="AV31" s="15"/>
      <c r="AW31" s="9">
        <f>HISTOJANV24!AW31+HISTOFEV24!AW31+HISTOMARS24!AW31+HISTOAVRIL24!AW31+HISTOMAI24!AW31+HISTOJUIN24!AW31+HISTOJUIL24!AW31+HISTOAOUT24!AW31+HISTOSEPT24!AW31+HISTOOCT24!AW31+HISTONOV24!AW31+HISTODEC24!AW31</f>
        <v>0</v>
      </c>
      <c r="AX31" s="9">
        <f>HISTOJANV24!AX31+HISTOFEV24!AX31+HISTOMARS24!AX31+HISTOAVRIL24!AX31+HISTOMAI24!AX31+HISTOJUIN24!AX31+HISTOJUIL24!AX31+HISTOAOUT24!AX31+HISTOSEPT24!AX31+HISTOOCT24!AX31+HISTONOV24!AX31+HISTODEC24!AX31</f>
        <v>0</v>
      </c>
      <c r="AY31" s="9">
        <f>HISTOJANV24!AY31+HISTOFEV24!AY31+HISTOMARS24!AY31+HISTOAVRIL24!AY31+HISTOMAI24!AY31+HISTOJUIN24!AY31+HISTOJUIL24!AY31+HISTOAOUT24!AY31+HISTOSEPT24!AY31+HISTOOCT24!AY31+HISTONOV24!AY31+HISTODEC24!AY31</f>
        <v>0</v>
      </c>
      <c r="AZ31" s="9">
        <f>HISTOJANV24!AZ31+HISTOFEV24!AZ31+HISTOMARS24!AZ31+HISTOAVRIL24!AZ31+HISTOMAI24!AZ31+HISTOJUIN24!AZ31+HISTOJUIL24!AZ31+HISTOAOUT24!AZ31+HISTOSEPT24!AZ31+HISTOOCT24!AZ31+HISTONOV24!AZ31+HISTODEC24!AZ31</f>
        <v>1000000</v>
      </c>
      <c r="BA31" s="9">
        <f>HISTOJANV24!BA31+HISTOFEV24!BA31+HISTOMARS24!BA31+HISTOAVRIL24!BA31+HISTOMAI24!BA31+HISTOJUIN24!BA31+HISTOJUIL24!BA31+HISTOAOUT24!BA31+HISTOSEPT24!BA31+HISTOOCT24!BA31+HISTONOV24!BA31+HISTODEC24!BA31</f>
        <v>0</v>
      </c>
      <c r="BB31" s="9">
        <f>HISTOJANV24!BB31+HISTOFEV24!BB31+HISTOMARS24!BB31+HISTOAVRIL24!BB31+HISTOMAI24!BB31+HISTOJUIN24!BB31+HISTOJUIL24!BB31+HISTOAOUT24!BB31+HISTOSEPT24!BB31+HISTOOCT24!BB31+HISTONOV24!BB31+HISTODEC24!BB31</f>
        <v>0</v>
      </c>
      <c r="BC31" s="15"/>
      <c r="BD31" s="9">
        <f>HISTOJANV24!BD31+HISTOFEV24!BD31+HISTOMARS24!BD31+HISTOAVRIL24!BD31+HISTOMAI24!BD31+HISTOJUIN24!BD31+HISTOJUIL24!BD31+HISTOAOUT24!BD31+HISTOSEPT24!BD31+HISTOOCT24!BD31+HISTONOV24!BD31+HISTODEC24!BD31</f>
        <v>970000</v>
      </c>
      <c r="BE31" s="82"/>
      <c r="BF31" s="9">
        <f>HISTOJANV24!BF31+HISTOFEV24!BF31+HISTOMARS24!BF31+HISTOAVRIL24!BF31+HISTOMAI24!BF31+HISTOJUIN24!BF31+HISTOJUIL24!BF31+HISTOAOUT24!BF31+HISTOSEPT24!BF31+HISTOOCT24!BF31+HISTONOV24!BF31+HISTODEC24!BF31</f>
        <v>30000</v>
      </c>
      <c r="BG31" s="29"/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/>
      <c r="D32" s="9">
        <f>HISTOJANV24!D32+HISTOFEV24!D32+HISTOMARS24!D32+HISTOAVRIL24!D32+HISTOMAI24!D32+HISTOJUIN24!D32+HISTOJUIL24!D32+HISTOAOUT24!D32+HISTOSEPT24!D32+HISTOOCT24!D32+HISTONOV24!D32+HISTODEC24!D32</f>
        <v>375000</v>
      </c>
      <c r="E32" s="9">
        <f>HISTOJANV24!E32+HISTOFEV24!E32+HISTOMARS24!E32+HISTOAVRIL24!E32+HISTOMAI24!E32+HISTOJUIN24!E32+HISTOJUIL24!E32+HISTOAOUT24!E32+HISTOSEPT24!E32+HISTOOCT24!E32+HISTONOV24!E32+HISTODEC24!E32</f>
        <v>0</v>
      </c>
      <c r="F32" s="9">
        <f>HISTOJANV24!F32+HISTOFEV24!F32+HISTOMARS24!F32+HISTOAVRIL24!F32+HISTOMAI24!F32+HISTOJUIN24!F32+HISTOJUIL24!F32+HISTOAOUT24!F32+HISTOSEPT24!F32+HISTOOCT24!F32+HISTONOV24!F32+HISTODEC24!F32</f>
        <v>0</v>
      </c>
      <c r="G32" s="9">
        <f>HISTOJANV24!G32+HISTOFEV24!G32+HISTOMARS24!G32+HISTOAVRIL24!G32+HISTOMAI24!G32+HISTOJUIN24!G32+HISTOJUIL24!G32+HISTOAOUT24!G32+HISTOSEPT24!G32+HISTOOCT24!G32+HISTONOV24!G32+HISTODEC24!G32</f>
        <v>0</v>
      </c>
      <c r="H32" s="10"/>
      <c r="I32" s="9">
        <f>HISTOJANV24!I32+HISTOFEV24!I32+HISTOMARS24!I32+HISTOAVRIL24!I32+HISTOMAI24!I32+HISTOJUIN24!I32+HISTOJUIL24!I32+HISTOAOUT24!I32+HISTOSEPT24!I32+HISTOOCT24!I32+HISTONOV24!I32+HISTODEC24!I32</f>
        <v>0</v>
      </c>
      <c r="J32" s="11">
        <v>1</v>
      </c>
      <c r="K32" s="11">
        <f t="shared" si="4"/>
        <v>50000</v>
      </c>
      <c r="L32" s="6">
        <v>1</v>
      </c>
      <c r="M32" s="11">
        <f t="shared" si="0"/>
        <v>75000</v>
      </c>
      <c r="N32" s="6"/>
      <c r="O32" s="11">
        <f t="shared" si="1"/>
        <v>0</v>
      </c>
      <c r="P32" s="9">
        <f>HISTOJANV24!P32+HISTOFEV24!P32+HISTOMARS24!P32+HISTOAVRIL24!P32+HISTOMAI24!P32+HISTOJUIN24!P32+HISTOJUIL24!P32+HISTOAOUT24!P32+HISTOSEPT24!P32+HISTOOCT24!P32+HISTONOV24!P32+HISTODEC24!P32</f>
        <v>0</v>
      </c>
      <c r="Q32" s="9">
        <f>HISTOJANV24!Q32+HISTOFEV24!Q32+HISTOMARS24!Q32+HISTOAVRIL24!Q32+HISTOMAI24!Q32+HISTOJUIN24!Q32+HISTOJUIL24!Q32+HISTOAOUT24!Q32+HISTOSEPT24!Q32+HISTOOCT24!Q32+HISTONOV24!Q32+HISTODEC24!Q32</f>
        <v>0</v>
      </c>
      <c r="R32" s="9">
        <f>HISTOJANV24!R32+HISTOFEV24!R32+HISTOMARS24!R32+HISTOAVRIL24!R32+HISTOMAI24!R32+HISTOJUIN24!R32+HISTOJUIL24!R32+HISTOAOUT24!R32+HISTOSEPT24!R32+HISTOOCT24!R32+HISTONOV24!R32+HISTODEC24!R32</f>
        <v>0</v>
      </c>
      <c r="S32" s="9">
        <f>HISTOJANV24!S32+HISTOFEV24!S32+HISTOMARS24!S32+HISTOAVRIL24!S32+HISTOMAI24!S32+HISTOJUIN24!S32+HISTOJUIL24!S32+HISTOAOUT24!S32+HISTOSEPT24!S32+HISTOOCT24!S32+HISTONOV24!S32+HISTODEC24!S32</f>
        <v>0</v>
      </c>
      <c r="T32" s="12"/>
      <c r="U32" s="17">
        <f t="shared" si="5"/>
        <v>125000</v>
      </c>
      <c r="V32" s="9">
        <f>HISTOJANV24!V32+HISTOFEV24!V32+HISTOMARS24!V32+HISTOAVRIL24!V32+HISTOMAI24!V32+HISTOJUIN24!V32+HISTOJUIL24!V32+HISTOAOUT24!V32+HISTOSEPT24!V32+HISTOOCT24!V32+HISTONOV24!V32+HISTODEC24!V32</f>
        <v>0</v>
      </c>
      <c r="W32" s="9">
        <f>HISTOJANV24!W32+HISTOFEV24!W32+HISTOMARS24!W32+HISTOAVRIL24!W32+HISTOMAI24!W32+HISTOJUIN24!W32+HISTOJUIL24!W32+HISTOAOUT24!W32+HISTOSEPT24!W32+HISTOOCT24!W32+HISTONOV24!W32+HISTODEC24!W32</f>
        <v>0</v>
      </c>
      <c r="X32" s="9">
        <f>HISTOJANV24!X32+HISTOFEV24!X32+HISTOMARS24!X32+HISTOAVRIL24!X32+HISTOMAI24!X32+HISTOJUIN24!X32+HISTOJUIL24!X32+HISTOAOUT24!X32+HISTOSEPT24!X32+HISTOOCT24!X32+HISTONOV24!X32+HISTODEC24!X32</f>
        <v>0</v>
      </c>
      <c r="Y32" s="9">
        <f>HISTOJANV24!Y32+HISTOFEV24!Y32+HISTOMARS24!Y32+HISTOAVRIL24!Y32+HISTOMAI24!Y32+HISTOJUIN24!Y32+HISTOJUIL24!Y32+HISTOAOUT24!Y32+HISTOSEPT24!Y32+HISTOOCT24!Y32+HISTONOV24!Y32+HISTODEC24!Y32</f>
        <v>0</v>
      </c>
      <c r="Z32" s="9">
        <f>HISTOJANV24!Z32+HISTOFEV24!Z32+HISTOMARS24!Z32+HISTOAVRIL24!Z32+HISTOMAI24!Z32+HISTOJUIN24!Z32+HISTOJUIL24!Z32+HISTOAOUT24!Z32+HISTOSEPT24!Z32+HISTOOCT24!Z32+HISTONOV24!Z32+HISTODEC24!Z32</f>
        <v>1000000</v>
      </c>
      <c r="AA32" s="12"/>
      <c r="AB32" s="12"/>
      <c r="AC32" s="9">
        <f>HISTOJANV24!AC32+HISTOFEV24!AC32+HISTOMARS24!AC32+HISTOAVRIL24!AC32+HISTOMAI24!AC32+HISTOJUIN24!AC32+HISTOJUIL24!AC32+HISTOAOUT24!AC32+HISTOSEPT24!AC32+HISTOOCT24!AC32+HISTONOV24!AC32+HISTODEC24!AC32</f>
        <v>0</v>
      </c>
      <c r="AD32" s="9">
        <f>HISTOJANV24!AD32+HISTOFEV24!AD32+HISTOMARS24!AD32+HISTOAVRIL24!AD32+HISTOMAI24!AD32+HISTOJUIN24!AD32+HISTOJUIL24!AD32+HISTOAOUT24!AD32+HISTOSEPT24!AD32+HISTOOCT24!AD32+HISTONOV24!AD32+HISTODEC24!AD32</f>
        <v>0</v>
      </c>
      <c r="AE32" s="9">
        <f>HISTOJANV24!AE32+HISTOFEV24!AE32+HISTOMARS24!AE32+HISTOAVRIL24!AE32+HISTOMAI24!AE32+HISTOJUIN24!AE32+HISTOJUIL24!AE32+HISTOAOUT24!AE32+HISTOSEPT24!AE32+HISTOOCT24!AE32+HISTONOV24!AE32+HISTODEC24!AE32</f>
        <v>0</v>
      </c>
      <c r="AF32" s="12"/>
      <c r="AG32" s="12"/>
      <c r="AH32" s="9">
        <f>HISTOJANV24!AH32+HISTOFEV24!AH32+HISTOMARS24!AH32+HISTOAVRIL24!AH32+HISTOMAI24!AH32+HISTOJUIN24!AH32+HISTOJUIL24!AH32+HISTOAOUT24!AH32+HISTOSEPT24!AH32+HISTOOCT24!AH32+HISTONOV24!AH32+HISTODEC24!AH32</f>
        <v>0</v>
      </c>
      <c r="AI32" s="9">
        <f>HISTOJANV24!AI32+HISTOFEV24!AI32+HISTOMARS24!AI32+HISTOAVRIL24!AI32+HISTOMAI24!AI32+HISTOJUIN24!AI32+HISTOJUIL24!AI32+HISTOAOUT24!AI32+HISTOSEPT24!AI32+HISTOOCT24!AI32+HISTONOV24!AI32+HISTODEC24!AI32</f>
        <v>0</v>
      </c>
      <c r="AJ32" s="9">
        <f>HISTOJANV24!AJ32+HISTOFEV24!AJ32+HISTOMARS24!AJ32+HISTOAVRIL24!AJ32+HISTOMAI24!AJ32+HISTOJUIN24!AJ32+HISTOJUIL24!AJ32+HISTOAOUT24!AJ32+HISTOSEPT24!AJ32+HISTOOCT24!AJ32+HISTONOV24!AJ32+HISTODEC24!AJ32</f>
        <v>0</v>
      </c>
      <c r="AK32" s="9">
        <f>HISTOJANV24!AK32+HISTOFEV24!AK32+HISTOMARS24!AK32+HISTOAVRIL24!AK32+HISTOMAI24!AK32+HISTOJUIN24!AK32+HISTOJUIL24!AK32+HISTOAOUT24!AK32+HISTOSEPT24!AK32+HISTOOCT24!AK32+HISTONOV24!AK32+HISTODEC24!AK32</f>
        <v>0</v>
      </c>
      <c r="AL32" s="9">
        <f>HISTOJANV24!AL32+HISTOFEV24!AL32+HISTOMARS24!AL32+HISTOAVRIL24!AL32+HISTOMAI24!AL32+HISTOJUIN24!AL32+HISTOJUIL24!AL32+HISTOAOUT24!AL32+HISTOSEPT24!AL32+HISTOOCT24!AL32+HISTONOV24!AL32+HISTODEC24!AL32</f>
        <v>0</v>
      </c>
      <c r="AM32" s="9">
        <f>HISTOJANV24!AM32+HISTOFEV24!AM32+HISTOMARS24!AM32+HISTOAVRIL24!AM32+HISTOMAI24!AM32+HISTOJUIN24!AM32+HISTOJUIL24!AM32+HISTOAOUT24!AM32+HISTOSEPT24!AM32+HISTOOCT24!AM32+HISTONOV24!AM32+HISTODEC24!AM32</f>
        <v>0</v>
      </c>
      <c r="AN32" s="9">
        <f>HISTOJANV24!AN32+HISTOFEV24!AN32+HISTOMARS24!AN32+HISTOAVRIL24!AN32+HISTOMAI24!AN32+HISTOJUIN24!AN32+HISTOJUIL24!AN32+HISTOAOUT24!AN32+HISTOSEPT24!AN32+HISTOOCT24!AN32+HISTONOV24!AN32+HISTODEC24!AN32</f>
        <v>0</v>
      </c>
      <c r="AO32" s="12"/>
      <c r="AP32" s="12"/>
      <c r="AQ32" s="8">
        <f t="shared" si="2"/>
        <v>0</v>
      </c>
      <c r="AR32" s="8">
        <f t="shared" si="3"/>
        <v>0</v>
      </c>
      <c r="AS32" s="13">
        <f t="shared" si="6"/>
        <v>25000</v>
      </c>
      <c r="AT32" s="15"/>
      <c r="AV32" s="15"/>
      <c r="AW32" s="9">
        <f>HISTOJANV24!AW32+HISTOFEV24!AW32+HISTOMARS24!AW32+HISTOAVRIL24!AW32+HISTOMAI24!AW32+HISTOJUIN24!AW32+HISTOJUIL24!AW32+HISTOAOUT24!AW32+HISTOSEPT24!AW32+HISTOOCT24!AW32+HISTONOV24!AW32+HISTODEC24!AW32</f>
        <v>0</v>
      </c>
      <c r="AX32" s="9">
        <f>HISTOJANV24!AX32+HISTOFEV24!AX32+HISTOMARS24!AX32+HISTOAVRIL24!AX32+HISTOMAI24!AX32+HISTOJUIN24!AX32+HISTOJUIL24!AX32+HISTOAOUT24!AX32+HISTOSEPT24!AX32+HISTOOCT24!AX32+HISTONOV24!AX32+HISTODEC24!AX32</f>
        <v>0</v>
      </c>
      <c r="AY32" s="9">
        <f>HISTOJANV24!AY32+HISTOFEV24!AY32+HISTOMARS24!AY32+HISTOAVRIL24!AY32+HISTOMAI24!AY32+HISTOJUIN24!AY32+HISTOJUIL24!AY32+HISTOAOUT24!AY32+HISTOSEPT24!AY32+HISTOOCT24!AY32+HISTONOV24!AY32+HISTODEC24!AY32</f>
        <v>0</v>
      </c>
      <c r="AZ32" s="9">
        <f>HISTOJANV24!AZ32+HISTOFEV24!AZ32+HISTOMARS24!AZ32+HISTOAVRIL24!AZ32+HISTOMAI24!AZ32+HISTOJUIN24!AZ32+HISTOJUIL24!AZ32+HISTOAOUT24!AZ32+HISTOSEPT24!AZ32+HISTOOCT24!AZ32+HISTONOV24!AZ32+HISTODEC24!AZ32</f>
        <v>940000</v>
      </c>
      <c r="BA32" s="9">
        <f>HISTOJANV24!BA32+HISTOFEV24!BA32+HISTOMARS24!BA32+HISTOAVRIL24!BA32+HISTOMAI24!BA32+HISTOJUIN24!BA32+HISTOJUIL24!BA32+HISTOAOUT24!BA32+HISTOSEPT24!BA32+HISTOOCT24!BA32+HISTONOV24!BA32+HISTODEC24!BA32</f>
        <v>0</v>
      </c>
      <c r="BB32" s="9">
        <f>HISTOJANV24!BB32+HISTOFEV24!BB32+HISTOMARS24!BB32+HISTOAVRIL24!BB32+HISTOMAI24!BB32+HISTOJUIN24!BB32+HISTOJUIL24!BB32+HISTOAOUT24!BB32+HISTOSEPT24!BB32+HISTOOCT24!BB32+HISTONOV24!BB32+HISTODEC24!BB32</f>
        <v>0</v>
      </c>
      <c r="BC32" s="15"/>
      <c r="BD32" s="9">
        <f>HISTOJANV24!BD32+HISTOFEV24!BD32+HISTOMARS24!BD32+HISTOAVRIL24!BD32+HISTOMAI24!BD32+HISTOJUIN24!BD32+HISTOJUIL24!BD32+HISTOAOUT24!BD32+HISTOSEPT24!BD32+HISTOOCT24!BD32+HISTONOV24!BD32+HISTODEC24!BD32</f>
        <v>940000</v>
      </c>
      <c r="BE32" s="82"/>
      <c r="BF32" s="9">
        <f>HISTOJANV24!BF32+HISTOFEV24!BF32+HISTOMARS24!BF32+HISTOAVRIL24!BF32+HISTOMAI24!BF32+HISTOJUIN24!BF32+HISTOJUIL24!BF32+HISTOAOUT24!BF32+HISTOSEPT24!BF32+HISTOOCT24!BF32+HISTONOV24!BF32+HISTODEC24!BF32</f>
        <v>60000</v>
      </c>
      <c r="BG32" s="29"/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/>
      <c r="D33" s="9">
        <f>HISTOJANV24!D33+HISTOFEV24!D33+HISTOMARS24!D33+HISTOAVRIL24!D33+HISTOMAI24!D33+HISTOJUIN24!D33+HISTOJUIL24!D33+HISTOAOUT24!D33+HISTOSEPT24!D33+HISTOOCT24!D33+HISTONOV24!D33+HISTODEC24!D33</f>
        <v>920000</v>
      </c>
      <c r="E33" s="9">
        <f>HISTOJANV24!E33+HISTOFEV24!E33+HISTOMARS24!E33+HISTOAVRIL24!E33+HISTOMAI24!E33+HISTOJUIN24!E33+HISTOJUIL24!E33+HISTOAOUT24!E33+HISTOSEPT24!E33+HISTOOCT24!E33+HISTONOV24!E33+HISTODEC24!E33</f>
        <v>0</v>
      </c>
      <c r="F33" s="9">
        <f>HISTOJANV24!F33+HISTOFEV24!F33+HISTOMARS24!F33+HISTOAVRIL24!F33+HISTOMAI24!F33+HISTOJUIN24!F33+HISTOJUIL24!F33+HISTOAOUT24!F33+HISTOSEPT24!F33+HISTOOCT24!F33+HISTONOV24!F33+HISTODEC24!F33</f>
        <v>0</v>
      </c>
      <c r="G33" s="9">
        <f>HISTOJANV24!G33+HISTOFEV24!G33+HISTOMARS24!G33+HISTOAVRIL24!G33+HISTOMAI24!G33+HISTOJUIN24!G33+HISTOJUIL24!G33+HISTOAOUT24!G33+HISTOSEPT24!G33+HISTOOCT24!G33+HISTONOV24!G33+HISTODEC24!G33</f>
        <v>0</v>
      </c>
      <c r="H33" s="10"/>
      <c r="I33" s="9">
        <f>HISTOJANV24!I33+HISTOFEV24!I33+HISTOMARS24!I33+HISTOAVRIL24!I33+HISTOMAI24!I33+HISTOJUIN24!I33+HISTOJUIL24!I33+HISTOAOUT24!I33+HISTOSEPT24!I33+HISTOOCT24!I33+HISTONOV24!I33+HISTODEC24!I33</f>
        <v>325000</v>
      </c>
      <c r="J33" s="11">
        <v>1</v>
      </c>
      <c r="K33" s="11">
        <f t="shared" si="4"/>
        <v>50000</v>
      </c>
      <c r="L33" s="6"/>
      <c r="M33" s="11">
        <f t="shared" si="0"/>
        <v>0</v>
      </c>
      <c r="N33" s="6">
        <v>1</v>
      </c>
      <c r="O33" s="11">
        <f t="shared" si="1"/>
        <v>100000</v>
      </c>
      <c r="P33" s="9">
        <f>HISTOJANV24!P33+HISTOFEV24!P33+HISTOMARS24!P33+HISTOAVRIL24!P33+HISTOMAI24!P33+HISTOJUIN24!P33+HISTOJUIL24!P33+HISTOAOUT24!P33+HISTOSEPT24!P33+HISTOOCT24!P33+HISTONOV24!P33+HISTODEC24!P33</f>
        <v>0</v>
      </c>
      <c r="Q33" s="9">
        <f>HISTOJANV24!Q33+HISTOFEV24!Q33+HISTOMARS24!Q33+HISTOAVRIL24!Q33+HISTOMAI24!Q33+HISTOJUIN24!Q33+HISTOJUIL24!Q33+HISTOAOUT24!Q33+HISTOSEPT24!Q33+HISTOOCT24!Q33+HISTONOV24!Q33+HISTODEC24!Q33</f>
        <v>0</v>
      </c>
      <c r="R33" s="9">
        <f>HISTOJANV24!R33+HISTOFEV24!R33+HISTOMARS24!R33+HISTOAVRIL24!R33+HISTOMAI24!R33+HISTOJUIN24!R33+HISTOJUIL24!R33+HISTOAOUT24!R33+HISTOSEPT24!R33+HISTOOCT24!R33+HISTONOV24!R33+HISTODEC24!R33</f>
        <v>0</v>
      </c>
      <c r="S33" s="9">
        <f>HISTOJANV24!S33+HISTOFEV24!S33+HISTOMARS24!S33+HISTOAVRIL24!S33+HISTOMAI24!S33+HISTOJUIN24!S33+HISTOJUIL24!S33+HISTOAOUT24!S33+HISTOSEPT24!S33+HISTOOCT24!S33+HISTONOV24!S33+HISTODEC24!S33</f>
        <v>0</v>
      </c>
      <c r="T33" s="12"/>
      <c r="U33" s="17">
        <f t="shared" si="5"/>
        <v>500000</v>
      </c>
      <c r="V33" s="9">
        <f>HISTOJANV24!V33+HISTOFEV24!V33+HISTOMARS24!V33+HISTOAVRIL24!V33+HISTOMAI24!V33+HISTOJUIN24!V33+HISTOJUIL24!V33+HISTOAOUT24!V33+HISTOSEPT24!V33+HISTOOCT24!V33+HISTONOV24!V33+HISTODEC24!V33</f>
        <v>0</v>
      </c>
      <c r="W33" s="9">
        <f>HISTOJANV24!W33+HISTOFEV24!W33+HISTOMARS24!W33+HISTOAVRIL24!W33+HISTOMAI24!W33+HISTOJUIN24!W33+HISTOJUIL24!W33+HISTOAOUT24!W33+HISTOSEPT24!W33+HISTOOCT24!W33+HISTONOV24!W33+HISTODEC24!W33</f>
        <v>25000</v>
      </c>
      <c r="X33" s="9">
        <f>HISTOJANV24!X33+HISTOFEV24!X33+HISTOMARS24!X33+HISTOAVRIL24!X33+HISTOMAI24!X33+HISTOJUIN24!X33+HISTOJUIL24!X33+HISTOAOUT24!X33+HISTOSEPT24!X33+HISTOOCT24!X33+HISTONOV24!X33+HISTODEC24!X33</f>
        <v>0</v>
      </c>
      <c r="Y33" s="9">
        <f>HISTOJANV24!Y33+HISTOFEV24!Y33+HISTOMARS24!Y33+HISTOAVRIL24!Y33+HISTOMAI24!Y33+HISTOJUIN24!Y33+HISTOJUIL24!Y33+HISTOAOUT24!Y33+HISTOSEPT24!Y33+HISTOOCT24!Y33+HISTONOV24!Y33+HISTODEC24!Y33</f>
        <v>0</v>
      </c>
      <c r="Z33" s="9">
        <f>HISTOJANV24!Z33+HISTOFEV24!Z33+HISTOMARS24!Z33+HISTOAVRIL24!Z33+HISTOMAI24!Z33+HISTOJUIN24!Z33+HISTOJUIL24!Z33+HISTOAOUT24!Z33+HISTOSEPT24!Z33+HISTOOCT24!Z33+HISTONOV24!Z33+HISTODEC24!Z33</f>
        <v>0</v>
      </c>
      <c r="AA33" s="12"/>
      <c r="AB33" s="12"/>
      <c r="AC33" s="9">
        <f>HISTOJANV24!AC33+HISTOFEV24!AC33+HISTOMARS24!AC33+HISTOAVRIL24!AC33+HISTOMAI24!AC33+HISTOJUIN24!AC33+HISTOJUIL24!AC33+HISTOAOUT24!AC33+HISTOSEPT24!AC33+HISTOOCT24!AC33+HISTONOV24!AC33+HISTODEC24!AC33</f>
        <v>0</v>
      </c>
      <c r="AD33" s="9">
        <f>HISTOJANV24!AD33+HISTOFEV24!AD33+HISTOMARS24!AD33+HISTOAVRIL24!AD33+HISTOMAI24!AD33+HISTOJUIN24!AD33+HISTOJUIL24!AD33+HISTOAOUT24!AD33+HISTOSEPT24!AD33+HISTOOCT24!AD33+HISTONOV24!AD33+HISTODEC24!AD33</f>
        <v>0</v>
      </c>
      <c r="AE33" s="9">
        <f>HISTOJANV24!AE33+HISTOFEV24!AE33+HISTOMARS24!AE33+HISTOAVRIL24!AE33+HISTOMAI24!AE33+HISTOJUIN24!AE33+HISTOJUIL24!AE33+HISTOAOUT24!AE33+HISTOSEPT24!AE33+HISTOOCT24!AE33+HISTONOV24!AE33+HISTODEC24!AE33</f>
        <v>0</v>
      </c>
      <c r="AF33" s="12"/>
      <c r="AG33" s="12"/>
      <c r="AH33" s="9">
        <f>HISTOJANV24!AH33+HISTOFEV24!AH33+HISTOMARS24!AH33+HISTOAVRIL24!AH33+HISTOMAI24!AH33+HISTOJUIN24!AH33+HISTOJUIL24!AH33+HISTOAOUT24!AH33+HISTOSEPT24!AH33+HISTOOCT24!AH33+HISTONOV24!AH33+HISTODEC24!AH33</f>
        <v>0</v>
      </c>
      <c r="AI33" s="9">
        <f>HISTOJANV24!AI33+HISTOFEV24!AI33+HISTOMARS24!AI33+HISTOAVRIL24!AI33+HISTOMAI24!AI33+HISTOJUIN24!AI33+HISTOJUIL24!AI33+HISTOAOUT24!AI33+HISTOSEPT24!AI33+HISTOOCT24!AI33+HISTONOV24!AI33+HISTODEC24!AI33</f>
        <v>0</v>
      </c>
      <c r="AJ33" s="9">
        <f>HISTOJANV24!AJ33+HISTOFEV24!AJ33+HISTOMARS24!AJ33+HISTOAVRIL24!AJ33+HISTOMAI24!AJ33+HISTOJUIN24!AJ33+HISTOJUIL24!AJ33+HISTOAOUT24!AJ33+HISTOSEPT24!AJ33+HISTOOCT24!AJ33+HISTONOV24!AJ33+HISTODEC24!AJ33</f>
        <v>0</v>
      </c>
      <c r="AK33" s="9">
        <f>HISTOJANV24!AK33+HISTOFEV24!AK33+HISTOMARS24!AK33+HISTOAVRIL24!AK33+HISTOMAI24!AK33+HISTOJUIN24!AK33+HISTOJUIL24!AK33+HISTOAOUT24!AK33+HISTOSEPT24!AK33+HISTOOCT24!AK33+HISTONOV24!AK33+HISTODEC24!AK33</f>
        <v>0</v>
      </c>
      <c r="AL33" s="9">
        <f>HISTOJANV24!AL33+HISTOFEV24!AL33+HISTOMARS24!AL33+HISTOAVRIL24!AL33+HISTOMAI24!AL33+HISTOJUIN24!AL33+HISTOJUIL24!AL33+HISTOAOUT24!AL33+HISTOSEPT24!AL33+HISTOOCT24!AL33+HISTONOV24!AL33+HISTODEC24!AL33</f>
        <v>0</v>
      </c>
      <c r="AM33" s="9">
        <f>HISTOJANV24!AM33+HISTOFEV24!AM33+HISTOMARS24!AM33+HISTOAVRIL24!AM33+HISTOMAI24!AM33+HISTOJUIN24!AM33+HISTOJUIL24!AM33+HISTOAOUT24!AM33+HISTOSEPT24!AM33+HISTOOCT24!AM33+HISTONOV24!AM33+HISTODEC24!AM33</f>
        <v>0</v>
      </c>
      <c r="AN33" s="9">
        <f>HISTOJANV24!AN33+HISTOFEV24!AN33+HISTOMARS24!AN33+HISTOAVRIL24!AN33+HISTOMAI24!AN33+HISTOJUIN24!AN33+HISTOJUIL24!AN33+HISTOAOUT24!AN33+HISTOSEPT24!AN33+HISTOOCT24!AN33+HISTONOV24!AN33+HISTODEC24!AN33</f>
        <v>0</v>
      </c>
      <c r="AO33" s="12"/>
      <c r="AP33" s="12"/>
      <c r="AQ33" s="8">
        <f t="shared" si="2"/>
        <v>0</v>
      </c>
      <c r="AR33" s="8">
        <f t="shared" si="3"/>
        <v>0</v>
      </c>
      <c r="AS33" s="13">
        <f t="shared" si="6"/>
        <v>350000</v>
      </c>
      <c r="AT33" s="15"/>
      <c r="AV33" s="15"/>
      <c r="AW33" s="9">
        <f>HISTOJANV24!AW33+HISTOFEV24!AW33+HISTOMARS24!AW33+HISTOAVRIL24!AW33+HISTOMAI24!AW33+HISTOJUIN24!AW33+HISTOJUIL24!AW33+HISTOAOUT24!AW33+HISTOSEPT24!AW33+HISTOOCT24!AW33+HISTONOV24!AW33+HISTODEC24!AW33</f>
        <v>0</v>
      </c>
      <c r="AX33" s="9">
        <f>HISTOJANV24!AX33+HISTOFEV24!AX33+HISTOMARS24!AX33+HISTOAVRIL24!AX33+HISTOMAI24!AX33+HISTOJUIN24!AX33+HISTOJUIL24!AX33+HISTOAOUT24!AX33+HISTOSEPT24!AX33+HISTOOCT24!AX33+HISTONOV24!AX33+HISTODEC24!AX33</f>
        <v>0</v>
      </c>
      <c r="AY33" s="9">
        <f>HISTOJANV24!AY33+HISTOFEV24!AY33+HISTOMARS24!AY33+HISTOAVRIL24!AY33+HISTOMAI24!AY33+HISTOJUIN24!AY33+HISTOJUIL24!AY33+HISTOAOUT24!AY33+HISTOSEPT24!AY33+HISTOOCT24!AY33+HISTONOV24!AY33+HISTODEC24!AY33</f>
        <v>0</v>
      </c>
      <c r="AZ33" s="9">
        <f>HISTOJANV24!AZ33+HISTOFEV24!AZ33+HISTOMARS24!AZ33+HISTOAVRIL24!AZ33+HISTOMAI24!AZ33+HISTOJUIN24!AZ33+HISTOJUIL24!AZ33+HISTOAOUT24!AZ33+HISTOSEPT24!AZ33+HISTOOCT24!AZ33+HISTONOV24!AZ33+HISTODEC24!AZ33</f>
        <v>0</v>
      </c>
      <c r="BA33" s="9">
        <f>HISTOJANV24!BA33+HISTOFEV24!BA33+HISTOMARS24!BA33+HISTOAVRIL24!BA33+HISTOMAI24!BA33+HISTOJUIN24!BA33+HISTOJUIL24!BA33+HISTOAOUT24!BA33+HISTOSEPT24!BA33+HISTOOCT24!BA33+HISTONOV24!BA33+HISTODEC24!BA33</f>
        <v>0</v>
      </c>
      <c r="BB33" s="9">
        <f>HISTOJANV24!BB33+HISTOFEV24!BB33+HISTOMARS24!BB33+HISTOAVRIL24!BB33+HISTOMAI24!BB33+HISTOJUIN24!BB33+HISTOJUIL24!BB33+HISTOAOUT24!BB33+HISTOSEPT24!BB33+HISTOOCT24!BB33+HISTONOV24!BB33+HISTODEC24!BB33</f>
        <v>0</v>
      </c>
      <c r="BC33" s="15"/>
      <c r="BD33" s="9">
        <f>HISTOJANV24!BD33+HISTOFEV24!BD33+HISTOMARS24!BD33+HISTOAVRIL24!BD33+HISTOMAI24!BD33+HISTOJUIN24!BD33+HISTOJUIL24!BD33+HISTOAOUT24!BD33+HISTOSEPT24!BD33+HISTOOCT24!BD33+HISTONOV24!BD33+HISTODEC24!BD33</f>
        <v>0</v>
      </c>
      <c r="BE33" s="82"/>
      <c r="BF33" s="9">
        <f>HISTOJANV24!BF33+HISTOFEV24!BF33+HISTOMARS24!BF33+HISTOAVRIL24!BF33+HISTOMAI24!BF33+HISTOJUIN24!BF33+HISTOJUIL24!BF33+HISTOAOUT24!BF33+HISTOSEPT24!BF33+HISTOOCT24!BF33+HISTONOV24!BF33+HISTODEC24!BF33</f>
        <v>0</v>
      </c>
      <c r="BG33" s="29"/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/>
      <c r="D34" s="9">
        <f>HISTOJANV24!D34+HISTOFEV24!D34+HISTOMARS24!D34+HISTOAVRIL24!D34+HISTOMAI24!D34+HISTOJUIN24!D34+HISTOJUIL24!D34+HISTOAOUT24!D34+HISTOSEPT24!D34+HISTOOCT24!D34+HISTONOV24!D34+HISTODEC24!D34</f>
        <v>150000</v>
      </c>
      <c r="E34" s="9">
        <f>HISTOJANV24!E34+HISTOFEV24!E34+HISTOMARS24!E34+HISTOAVRIL24!E34+HISTOMAI24!E34+HISTOJUIN24!E34+HISTOJUIL24!E34+HISTOAOUT24!E34+HISTOSEPT24!E34+HISTOOCT24!E34+HISTONOV24!E34+HISTODEC24!E34</f>
        <v>0</v>
      </c>
      <c r="F34" s="9">
        <f>HISTOJANV24!F34+HISTOFEV24!F34+HISTOMARS24!F34+HISTOAVRIL24!F34+HISTOMAI24!F34+HISTOJUIN24!F34+HISTOJUIL24!F34+HISTOAOUT24!F34+HISTOSEPT24!F34+HISTOOCT24!F34+HISTONOV24!F34+HISTODEC24!F34</f>
        <v>0</v>
      </c>
      <c r="G34" s="9">
        <f>HISTOJANV24!G34+HISTOFEV24!G34+HISTOMARS24!G34+HISTOAVRIL24!G34+HISTOMAI24!G34+HISTOJUIN24!G34+HISTOJUIL24!G34+HISTOAOUT24!G34+HISTOSEPT24!G34+HISTOOCT24!G34+HISTONOV24!G34+HISTODEC24!G34</f>
        <v>0</v>
      </c>
      <c r="H34" s="10"/>
      <c r="I34" s="9">
        <f>HISTOJANV24!I34+HISTOFEV24!I34+HISTOMARS24!I34+HISTOAVRIL24!I34+HISTOMAI24!I34+HISTOJUIN24!I34+HISTOJUIL24!I34+HISTOAOUT24!I34+HISTOSEPT24!I34+HISTOOCT24!I34+HISTONOV24!I34+HISTODEC24!I34</f>
        <v>0</v>
      </c>
      <c r="J34" s="11">
        <v>1</v>
      </c>
      <c r="K34" s="11">
        <f t="shared" si="4"/>
        <v>50000</v>
      </c>
      <c r="L34" s="6"/>
      <c r="M34" s="11">
        <f t="shared" si="0"/>
        <v>0</v>
      </c>
      <c r="N34" s="6"/>
      <c r="O34" s="11">
        <f t="shared" si="1"/>
        <v>0</v>
      </c>
      <c r="P34" s="9">
        <f>HISTOJANV24!P34+HISTOFEV24!P34+HISTOMARS24!P34+HISTOAVRIL24!P34+HISTOMAI24!P34+HISTOJUIN24!P34+HISTOJUIL24!P34+HISTOAOUT24!P34+HISTOSEPT24!P34+HISTOOCT24!P34+HISTONOV24!P34+HISTODEC24!P34</f>
        <v>0</v>
      </c>
      <c r="Q34" s="9">
        <f>HISTOJANV24!Q34+HISTOFEV24!Q34+HISTOMARS24!Q34+HISTOAVRIL24!Q34+HISTOMAI24!Q34+HISTOJUIN24!Q34+HISTOJUIL24!Q34+HISTOAOUT24!Q34+HISTOSEPT24!Q34+HISTOOCT24!Q34+HISTONOV24!Q34+HISTODEC24!Q34</f>
        <v>0</v>
      </c>
      <c r="R34" s="9">
        <f>HISTOJANV24!R34+HISTOFEV24!R34+HISTOMARS24!R34+HISTOAVRIL24!R34+HISTOMAI24!R34+HISTOJUIN24!R34+HISTOJUIL24!R34+HISTOAOUT24!R34+HISTOSEPT24!R34+HISTOOCT24!R34+HISTONOV24!R34+HISTODEC24!R34</f>
        <v>0</v>
      </c>
      <c r="S34" s="9">
        <f>HISTOJANV24!S34+HISTOFEV24!S34+HISTOMARS24!S34+HISTOAVRIL24!S34+HISTOMAI24!S34+HISTOJUIN24!S34+HISTOJUIL24!S34+HISTOAOUT24!S34+HISTOSEPT24!S34+HISTOOCT24!S34+HISTONOV24!S34+HISTODEC24!S34</f>
        <v>0</v>
      </c>
      <c r="T34" s="12"/>
      <c r="U34" s="17">
        <f t="shared" si="5"/>
        <v>50000</v>
      </c>
      <c r="V34" s="9">
        <f>HISTOJANV24!V34+HISTOFEV24!V34+HISTOMARS24!V34+HISTOAVRIL24!V34+HISTOMAI24!V34+HISTOJUIN24!V34+HISTOJUIL24!V34+HISTOAOUT24!V34+HISTOSEPT24!V34+HISTOOCT24!V34+HISTONOV24!V34+HISTODEC24!V34</f>
        <v>0</v>
      </c>
      <c r="W34" s="9">
        <f>HISTOJANV24!W34+HISTOFEV24!W34+HISTOMARS24!W34+HISTOAVRIL24!W34+HISTOMAI24!W34+HISTOJUIN24!W34+HISTOJUIL24!W34+HISTOAOUT24!W34+HISTOSEPT24!W34+HISTOOCT24!W34+HISTONOV24!W34+HISTODEC24!W34</f>
        <v>0</v>
      </c>
      <c r="X34" s="9">
        <f>HISTOJANV24!X34+HISTOFEV24!X34+HISTOMARS24!X34+HISTOAVRIL24!X34+HISTOMAI24!X34+HISTOJUIN24!X34+HISTOJUIL24!X34+HISTOAOUT24!X34+HISTOSEPT24!X34+HISTOOCT24!X34+HISTONOV24!X34+HISTODEC24!X34</f>
        <v>0</v>
      </c>
      <c r="Y34" s="9">
        <f>HISTOJANV24!Y34+HISTOFEV24!Y34+HISTOMARS24!Y34+HISTOAVRIL24!Y34+HISTOMAI24!Y34+HISTOJUIN24!Y34+HISTOJUIL24!Y34+HISTOAOUT24!Y34+HISTOSEPT24!Y34+HISTOOCT24!Y34+HISTONOV24!Y34+HISTODEC24!Y34</f>
        <v>0</v>
      </c>
      <c r="Z34" s="9">
        <f>HISTOJANV24!Z34+HISTOFEV24!Z34+HISTOMARS24!Z34+HISTOAVRIL24!Z34+HISTOMAI24!Z34+HISTOJUIN24!Z34+HISTOJUIL24!Z34+HISTOAOUT24!Z34+HISTOSEPT24!Z34+HISTOOCT24!Z34+HISTONOV24!Z34+HISTODEC24!Z34</f>
        <v>0</v>
      </c>
      <c r="AA34" s="12"/>
      <c r="AB34" s="12"/>
      <c r="AC34" s="9">
        <f>HISTOJANV24!AC34+HISTOFEV24!AC34+HISTOMARS24!AC34+HISTOAVRIL24!AC34+HISTOMAI24!AC34+HISTOJUIN24!AC34+HISTOJUIL24!AC34+HISTOAOUT24!AC34+HISTOSEPT24!AC34+HISTOOCT24!AC34+HISTONOV24!AC34+HISTODEC24!AC34</f>
        <v>0</v>
      </c>
      <c r="AD34" s="9">
        <f>HISTOJANV24!AD34+HISTOFEV24!AD34+HISTOMARS24!AD34+HISTOAVRIL24!AD34+HISTOMAI24!AD34+HISTOJUIN24!AD34+HISTOJUIL24!AD34+HISTOAOUT24!AD34+HISTOSEPT24!AD34+HISTOOCT24!AD34+HISTONOV24!AD34+HISTODEC24!AD34</f>
        <v>0</v>
      </c>
      <c r="AE34" s="9">
        <f>HISTOJANV24!AE34+HISTOFEV24!AE34+HISTOMARS24!AE34+HISTOAVRIL24!AE34+HISTOMAI24!AE34+HISTOJUIN24!AE34+HISTOJUIL24!AE34+HISTOAOUT24!AE34+HISTOSEPT24!AE34+HISTOOCT24!AE34+HISTONOV24!AE34+HISTODEC24!AE34</f>
        <v>0</v>
      </c>
      <c r="AF34" s="12"/>
      <c r="AG34" s="12"/>
      <c r="AH34" s="9">
        <f>HISTOJANV24!AH34+HISTOFEV24!AH34+HISTOMARS24!AH34+HISTOAVRIL24!AH34+HISTOMAI24!AH34+HISTOJUIN24!AH34+HISTOJUIL24!AH34+HISTOAOUT24!AH34+HISTOSEPT24!AH34+HISTOOCT24!AH34+HISTONOV24!AH34+HISTODEC24!AH34</f>
        <v>0</v>
      </c>
      <c r="AI34" s="9">
        <f>HISTOJANV24!AI34+HISTOFEV24!AI34+HISTOMARS24!AI34+HISTOAVRIL24!AI34+HISTOMAI24!AI34+HISTOJUIN24!AI34+HISTOJUIL24!AI34+HISTOAOUT24!AI34+HISTOSEPT24!AI34+HISTOOCT24!AI34+HISTONOV24!AI34+HISTODEC24!AI34</f>
        <v>0</v>
      </c>
      <c r="AJ34" s="9">
        <f>HISTOJANV24!AJ34+HISTOFEV24!AJ34+HISTOMARS24!AJ34+HISTOAVRIL24!AJ34+HISTOMAI24!AJ34+HISTOJUIN24!AJ34+HISTOJUIL24!AJ34+HISTOAOUT24!AJ34+HISTOSEPT24!AJ34+HISTOOCT24!AJ34+HISTONOV24!AJ34+HISTODEC24!AJ34</f>
        <v>0</v>
      </c>
      <c r="AK34" s="9">
        <f>HISTOJANV24!AK34+HISTOFEV24!AK34+HISTOMARS24!AK34+HISTOAVRIL24!AK34+HISTOMAI24!AK34+HISTOJUIN24!AK34+HISTOJUIL24!AK34+HISTOAOUT24!AK34+HISTOSEPT24!AK34+HISTOOCT24!AK34+HISTONOV24!AK34+HISTODEC24!AK34</f>
        <v>0</v>
      </c>
      <c r="AL34" s="9">
        <f>HISTOJANV24!AL34+HISTOFEV24!AL34+HISTOMARS24!AL34+HISTOAVRIL24!AL34+HISTOMAI24!AL34+HISTOJUIN24!AL34+HISTOJUIL24!AL34+HISTOAOUT24!AL34+HISTOSEPT24!AL34+HISTOOCT24!AL34+HISTONOV24!AL34+HISTODEC24!AL34</f>
        <v>0</v>
      </c>
      <c r="AM34" s="9">
        <f>HISTOJANV24!AM34+HISTOFEV24!AM34+HISTOMARS24!AM34+HISTOAVRIL24!AM34+HISTOMAI24!AM34+HISTOJUIN24!AM34+HISTOJUIL24!AM34+HISTOAOUT24!AM34+HISTOSEPT24!AM34+HISTOOCT24!AM34+HISTONOV24!AM34+HISTODEC24!AM34</f>
        <v>0</v>
      </c>
      <c r="AN34" s="9">
        <f>HISTOJANV24!AN34+HISTOFEV24!AN34+HISTOMARS24!AN34+HISTOAVRIL24!AN34+HISTOMAI24!AN34+HISTOJUIN24!AN34+HISTOJUIL24!AN34+HISTOAOUT24!AN34+HISTOSEPT24!AN34+HISTOOCT24!AN34+HISTONOV24!AN34+HISTODEC24!AN34</f>
        <v>0</v>
      </c>
      <c r="AO34" s="12"/>
      <c r="AP34" s="12"/>
      <c r="AQ34" s="8">
        <f t="shared" si="2"/>
        <v>0</v>
      </c>
      <c r="AR34" s="8">
        <f t="shared" si="3"/>
        <v>0</v>
      </c>
      <c r="AS34" s="13">
        <f t="shared" si="6"/>
        <v>25000</v>
      </c>
      <c r="AT34" s="15"/>
      <c r="AV34" s="15"/>
      <c r="AW34" s="9">
        <f>HISTOJANV24!AW34+HISTOFEV24!AW34+HISTOMARS24!AW34+HISTOAVRIL24!AW34+HISTOMAI24!AW34+HISTOJUIN24!AW34+HISTOJUIL24!AW34+HISTOAOUT24!AW34+HISTOSEPT24!AW34+HISTOOCT24!AW34+HISTONOV24!AW34+HISTODEC24!AW34</f>
        <v>0</v>
      </c>
      <c r="AX34" s="9">
        <f>HISTOJANV24!AX34+HISTOFEV24!AX34+HISTOMARS24!AX34+HISTOAVRIL24!AX34+HISTOMAI24!AX34+HISTOJUIN24!AX34+HISTOJUIL24!AX34+HISTOAOUT24!AX34+HISTOSEPT24!AX34+HISTOOCT24!AX34+HISTONOV24!AX34+HISTODEC24!AX34</f>
        <v>0</v>
      </c>
      <c r="AY34" s="9">
        <f>HISTOJANV24!AY34+HISTOFEV24!AY34+HISTOMARS24!AY34+HISTOAVRIL24!AY34+HISTOMAI24!AY34+HISTOJUIN24!AY34+HISTOJUIL24!AY34+HISTOAOUT24!AY34+HISTOSEPT24!AY34+HISTOOCT24!AY34+HISTONOV24!AY34+HISTODEC24!AY34</f>
        <v>0</v>
      </c>
      <c r="AZ34" s="9">
        <f>HISTOJANV24!AZ34+HISTOFEV24!AZ34+HISTOMARS24!AZ34+HISTOAVRIL24!AZ34+HISTOMAI24!AZ34+HISTOJUIN24!AZ34+HISTOJUIL24!AZ34+HISTOAOUT24!AZ34+HISTOSEPT24!AZ34+HISTOOCT24!AZ34+HISTONOV24!AZ34+HISTODEC24!AZ34</f>
        <v>0</v>
      </c>
      <c r="BA34" s="9">
        <f>HISTOJANV24!BA34+HISTOFEV24!BA34+HISTOMARS24!BA34+HISTOAVRIL24!BA34+HISTOMAI24!BA34+HISTOJUIN24!BA34+HISTOJUIL24!BA34+HISTOAOUT24!BA34+HISTOSEPT24!BA34+HISTOOCT24!BA34+HISTONOV24!BA34+HISTODEC24!BA34</f>
        <v>0</v>
      </c>
      <c r="BB34" s="9">
        <f>HISTOJANV24!BB34+HISTOFEV24!BB34+HISTOMARS24!BB34+HISTOAVRIL24!BB34+HISTOMAI24!BB34+HISTOJUIN24!BB34+HISTOJUIL24!BB34+HISTOAOUT24!BB34+HISTOSEPT24!BB34+HISTOOCT24!BB34+HISTONOV24!BB34+HISTODEC24!BB34</f>
        <v>0</v>
      </c>
      <c r="BC34" s="15"/>
      <c r="BD34" s="9">
        <f>HISTOJANV24!BD34+HISTOFEV24!BD34+HISTOMARS24!BD34+HISTOAVRIL24!BD34+HISTOMAI24!BD34+HISTOJUIN24!BD34+HISTOJUIL24!BD34+HISTOAOUT24!BD34+HISTOSEPT24!BD34+HISTOOCT24!BD34+HISTONOV24!BD34+HISTODEC24!BD34</f>
        <v>0</v>
      </c>
      <c r="BE34" s="82"/>
      <c r="BF34" s="9">
        <f>HISTOJANV24!BF34+HISTOFEV24!BF34+HISTOMARS24!BF34+HISTOAVRIL24!BF34+HISTOMAI24!BF34+HISTOJUIN24!BF34+HISTOJUIL24!BF34+HISTOAOUT24!BF34+HISTOSEPT24!BF34+HISTOOCT24!BF34+HISTONOV24!BF34+HISTODEC24!BF34</f>
        <v>0</v>
      </c>
      <c r="BG34" s="29"/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/>
      <c r="D35" s="9">
        <f>HISTOJANV24!D35+HISTOFEV24!D35+HISTOMARS24!D35+HISTOAVRIL24!D35+HISTOMAI24!D35+HISTOJUIN24!D35+HISTOJUIL24!D35+HISTOAOUT24!D35+HISTOSEPT24!D35+HISTOOCT24!D35+HISTONOV24!D35+HISTODEC24!D35</f>
        <v>180000</v>
      </c>
      <c r="E35" s="9">
        <f>HISTOJANV24!E35+HISTOFEV24!E35+HISTOMARS24!E35+HISTOAVRIL24!E35+HISTOMAI24!E35+HISTOJUIN24!E35+HISTOJUIL24!E35+HISTOAOUT24!E35+HISTOSEPT24!E35+HISTOOCT24!E35+HISTONOV24!E35+HISTODEC24!E35</f>
        <v>0</v>
      </c>
      <c r="F35" s="9">
        <f>HISTOJANV24!F35+HISTOFEV24!F35+HISTOMARS24!F35+HISTOAVRIL24!F35+HISTOMAI24!F35+HISTOJUIN24!F35+HISTOJUIL24!F35+HISTOAOUT24!F35+HISTOSEPT24!F35+HISTOOCT24!F35+HISTONOV24!F35+HISTODEC24!F35</f>
        <v>0</v>
      </c>
      <c r="G35" s="9">
        <f>HISTOJANV24!G35+HISTOFEV24!G35+HISTOMARS24!G35+HISTOAVRIL24!G35+HISTOMAI24!G35+HISTOJUIN24!G35+HISTOJUIL24!G35+HISTOAOUT24!G35+HISTOSEPT24!G35+HISTOOCT24!G35+HISTONOV24!G35+HISTODEC24!G35</f>
        <v>0</v>
      </c>
      <c r="H35" s="10"/>
      <c r="I35" s="9">
        <f>HISTOJANV24!I35+HISTOFEV24!I35+HISTOMARS24!I35+HISTOAVRIL24!I35+HISTOMAI24!I35+HISTOJUIN24!I35+HISTOJUIL24!I35+HISTOAOUT24!I35+HISTOSEPT24!I35+HISTOOCT24!I35+HISTONOV24!I35+HISTODEC24!I35</f>
        <v>30000</v>
      </c>
      <c r="J35" s="11">
        <v>1</v>
      </c>
      <c r="K35" s="11">
        <f t="shared" si="4"/>
        <v>50000</v>
      </c>
      <c r="L35" s="6"/>
      <c r="M35" s="11">
        <f t="shared" si="0"/>
        <v>0</v>
      </c>
      <c r="N35" s="6"/>
      <c r="O35" s="11">
        <f t="shared" si="1"/>
        <v>0</v>
      </c>
      <c r="P35" s="9">
        <f>HISTOJANV24!P35+HISTOFEV24!P35+HISTOMARS24!P35+HISTOAVRIL24!P35+HISTOMAI24!P35+HISTOJUIN24!P35+HISTOJUIL24!P35+HISTOAOUT24!P35+HISTOSEPT24!P35+HISTOOCT24!P35+HISTONOV24!P35+HISTODEC24!P35</f>
        <v>0</v>
      </c>
      <c r="Q35" s="9">
        <f>HISTOJANV24!Q35+HISTOFEV24!Q35+HISTOMARS24!Q35+HISTOAVRIL24!Q35+HISTOMAI24!Q35+HISTOJUIN24!Q35+HISTOJUIL24!Q35+HISTOAOUT24!Q35+HISTOSEPT24!Q35+HISTOOCT24!Q35+HISTONOV24!Q35+HISTODEC24!Q35</f>
        <v>0</v>
      </c>
      <c r="R35" s="9">
        <f>HISTOJANV24!R35+HISTOFEV24!R35+HISTOMARS24!R35+HISTOAVRIL24!R35+HISTOMAI24!R35+HISTOJUIN24!R35+HISTOJUIL24!R35+HISTOAOUT24!R35+HISTOSEPT24!R35+HISTOOCT24!R35+HISTONOV24!R35+HISTODEC24!R35</f>
        <v>0</v>
      </c>
      <c r="S35" s="9">
        <f>HISTOJANV24!S35+HISTOFEV24!S35+HISTOMARS24!S35+HISTOAVRIL24!S35+HISTOMAI24!S35+HISTOJUIN24!S35+HISTOJUIL24!S35+HISTOAOUT24!S35+HISTOSEPT24!S35+HISTOOCT24!S35+HISTONOV24!S35+HISTODEC24!S35</f>
        <v>0</v>
      </c>
      <c r="T35" s="12"/>
      <c r="U35" s="17">
        <f t="shared" si="5"/>
        <v>80000</v>
      </c>
      <c r="V35" s="9">
        <f>HISTOJANV24!V35+HISTOFEV24!V35+HISTOMARS24!V35+HISTOAVRIL24!V35+HISTOMAI24!V35+HISTOJUIN24!V35+HISTOJUIL24!V35+HISTOAOUT24!V35+HISTOSEPT24!V35+HISTOOCT24!V35+HISTONOV24!V35+HISTODEC24!V35</f>
        <v>0</v>
      </c>
      <c r="W35" s="9">
        <f>HISTOJANV24!W35+HISTOFEV24!W35+HISTOMARS24!W35+HISTOAVRIL24!W35+HISTOMAI24!W35+HISTOJUIN24!W35+HISTOJUIL24!W35+HISTOAOUT24!W35+HISTOSEPT24!W35+HISTOOCT24!W35+HISTONOV24!W35+HISTODEC24!W35</f>
        <v>0</v>
      </c>
      <c r="X35" s="9">
        <f>HISTOJANV24!X35+HISTOFEV24!X35+HISTOMARS24!X35+HISTOAVRIL24!X35+HISTOMAI24!X35+HISTOJUIN24!X35+HISTOJUIL24!X35+HISTOAOUT24!X35+HISTOSEPT24!X35+HISTOOCT24!X35+HISTONOV24!X35+HISTODEC24!X35</f>
        <v>0</v>
      </c>
      <c r="Y35" s="9">
        <f>HISTOJANV24!Y35+HISTOFEV24!Y35+HISTOMARS24!Y35+HISTOAVRIL24!Y35+HISTOMAI24!Y35+HISTOJUIN24!Y35+HISTOJUIL24!Y35+HISTOAOUT24!Y35+HISTOSEPT24!Y35+HISTOOCT24!Y35+HISTONOV24!Y35+HISTODEC24!Y35</f>
        <v>0</v>
      </c>
      <c r="Z35" s="9">
        <f>HISTOJANV24!Z35+HISTOFEV24!Z35+HISTOMARS24!Z35+HISTOAVRIL24!Z35+HISTOMAI24!Z35+HISTOJUIN24!Z35+HISTOJUIL24!Z35+HISTOAOUT24!Z35+HISTOSEPT24!Z35+HISTOOCT24!Z35+HISTONOV24!Z35+HISTODEC24!Z35</f>
        <v>0</v>
      </c>
      <c r="AA35" s="12"/>
      <c r="AB35" s="12"/>
      <c r="AC35" s="9">
        <f>HISTOJANV24!AC35+HISTOFEV24!AC35+HISTOMARS24!AC35+HISTOAVRIL24!AC35+HISTOMAI24!AC35+HISTOJUIN24!AC35+HISTOJUIL24!AC35+HISTOAOUT24!AC35+HISTOSEPT24!AC35+HISTOOCT24!AC35+HISTONOV24!AC35+HISTODEC24!AC35</f>
        <v>0</v>
      </c>
      <c r="AD35" s="9">
        <f>HISTOJANV24!AD35+HISTOFEV24!AD35+HISTOMARS24!AD35+HISTOAVRIL24!AD35+HISTOMAI24!AD35+HISTOJUIN24!AD35+HISTOJUIL24!AD35+HISTOAOUT24!AD35+HISTOSEPT24!AD35+HISTOOCT24!AD35+HISTONOV24!AD35+HISTODEC24!AD35</f>
        <v>0</v>
      </c>
      <c r="AE35" s="9">
        <f>HISTOJANV24!AE35+HISTOFEV24!AE35+HISTOMARS24!AE35+HISTOAVRIL24!AE35+HISTOMAI24!AE35+HISTOJUIN24!AE35+HISTOJUIL24!AE35+HISTOAOUT24!AE35+HISTOSEPT24!AE35+HISTOOCT24!AE35+HISTONOV24!AE35+HISTODEC24!AE35</f>
        <v>0</v>
      </c>
      <c r="AF35" s="12"/>
      <c r="AG35" s="12"/>
      <c r="AH35" s="9">
        <f>HISTOJANV24!AH35+HISTOFEV24!AH35+HISTOMARS24!AH35+HISTOAVRIL24!AH35+HISTOMAI24!AH35+HISTOJUIN24!AH35+HISTOJUIL24!AH35+HISTOAOUT24!AH35+HISTOSEPT24!AH35+HISTOOCT24!AH35+HISTONOV24!AH35+HISTODEC24!AH35</f>
        <v>0</v>
      </c>
      <c r="AI35" s="9">
        <f>HISTOJANV24!AI35+HISTOFEV24!AI35+HISTOMARS24!AI35+HISTOAVRIL24!AI35+HISTOMAI24!AI35+HISTOJUIN24!AI35+HISTOJUIL24!AI35+HISTOAOUT24!AI35+HISTOSEPT24!AI35+HISTOOCT24!AI35+HISTONOV24!AI35+HISTODEC24!AI35</f>
        <v>0</v>
      </c>
      <c r="AJ35" s="9">
        <f>HISTOJANV24!AJ35+HISTOFEV24!AJ35+HISTOMARS24!AJ35+HISTOAVRIL24!AJ35+HISTOMAI24!AJ35+HISTOJUIN24!AJ35+HISTOJUIL24!AJ35+HISTOAOUT24!AJ35+HISTOSEPT24!AJ35+HISTOOCT24!AJ35+HISTONOV24!AJ35+HISTODEC24!AJ35</f>
        <v>0</v>
      </c>
      <c r="AK35" s="9">
        <f>HISTOJANV24!AK35+HISTOFEV24!AK35+HISTOMARS24!AK35+HISTOAVRIL24!AK35+HISTOMAI24!AK35+HISTOJUIN24!AK35+HISTOJUIL24!AK35+HISTOAOUT24!AK35+HISTOSEPT24!AK35+HISTOOCT24!AK35+HISTONOV24!AK35+HISTODEC24!AK35</f>
        <v>0</v>
      </c>
      <c r="AL35" s="9">
        <f>HISTOJANV24!AL35+HISTOFEV24!AL35+HISTOMARS24!AL35+HISTOAVRIL24!AL35+HISTOMAI24!AL35+HISTOJUIN24!AL35+HISTOJUIL24!AL35+HISTOAOUT24!AL35+HISTOSEPT24!AL35+HISTOOCT24!AL35+HISTONOV24!AL35+HISTODEC24!AL35</f>
        <v>0</v>
      </c>
      <c r="AM35" s="9">
        <f>HISTOJANV24!AM35+HISTOFEV24!AM35+HISTOMARS24!AM35+HISTOAVRIL24!AM35+HISTOMAI24!AM35+HISTOJUIN24!AM35+HISTOJUIL24!AM35+HISTOAOUT24!AM35+HISTOSEPT24!AM35+HISTOOCT24!AM35+HISTONOV24!AM35+HISTODEC24!AM35</f>
        <v>0</v>
      </c>
      <c r="AN35" s="9">
        <f>HISTOJANV24!AN35+HISTOFEV24!AN35+HISTOMARS24!AN35+HISTOAVRIL24!AN35+HISTOMAI24!AN35+HISTOJUIN24!AN35+HISTOJUIL24!AN35+HISTOAOUT24!AN35+HISTOSEPT24!AN35+HISTOOCT24!AN35+HISTONOV24!AN35+HISTODEC24!AN35</f>
        <v>0</v>
      </c>
      <c r="AO35" s="12"/>
      <c r="AP35" s="12"/>
      <c r="AQ35" s="8">
        <f t="shared" si="2"/>
        <v>0</v>
      </c>
      <c r="AR35" s="8">
        <f t="shared" si="3"/>
        <v>0</v>
      </c>
      <c r="AS35" s="13">
        <f t="shared" si="6"/>
        <v>55000</v>
      </c>
      <c r="AT35" s="15"/>
      <c r="AV35" s="15"/>
      <c r="AW35" s="9">
        <f>HISTOJANV24!AW35+HISTOFEV24!AW35+HISTOMARS24!AW35+HISTOAVRIL24!AW35+HISTOMAI24!AW35+HISTOJUIN24!AW35+HISTOJUIL24!AW35+HISTOAOUT24!AW35+HISTOSEPT24!AW35+HISTOOCT24!AW35+HISTONOV24!AW35+HISTODEC24!AW35</f>
        <v>0</v>
      </c>
      <c r="AX35" s="9">
        <f>HISTOJANV24!AX35+HISTOFEV24!AX35+HISTOMARS24!AX35+HISTOAVRIL24!AX35+HISTOMAI24!AX35+HISTOJUIN24!AX35+HISTOJUIL24!AX35+HISTOAOUT24!AX35+HISTOSEPT24!AX35+HISTOOCT24!AX35+HISTONOV24!AX35+HISTODEC24!AX35</f>
        <v>0</v>
      </c>
      <c r="AY35" s="9">
        <f>HISTOJANV24!AY35+HISTOFEV24!AY35+HISTOMARS24!AY35+HISTOAVRIL24!AY35+HISTOMAI24!AY35+HISTOJUIN24!AY35+HISTOJUIL24!AY35+HISTOAOUT24!AY35+HISTOSEPT24!AY35+HISTOOCT24!AY35+HISTONOV24!AY35+HISTODEC24!AY35</f>
        <v>0</v>
      </c>
      <c r="AZ35" s="9">
        <f>HISTOJANV24!AZ35+HISTOFEV24!AZ35+HISTOMARS24!AZ35+HISTOAVRIL24!AZ35+HISTOMAI24!AZ35+HISTOJUIN24!AZ35+HISTOJUIL24!AZ35+HISTOAOUT24!AZ35+HISTOSEPT24!AZ35+HISTOOCT24!AZ35+HISTONOV24!AZ35+HISTODEC24!AZ35</f>
        <v>0</v>
      </c>
      <c r="BA35" s="9">
        <f>HISTOJANV24!BA35+HISTOFEV24!BA35+HISTOMARS24!BA35+HISTOAVRIL24!BA35+HISTOMAI24!BA35+HISTOJUIN24!BA35+HISTOJUIL24!BA35+HISTOAOUT24!BA35+HISTOSEPT24!BA35+HISTOOCT24!BA35+HISTONOV24!BA35+HISTODEC24!BA35</f>
        <v>0</v>
      </c>
      <c r="BB35" s="9">
        <f>HISTOJANV24!BB35+HISTOFEV24!BB35+HISTOMARS24!BB35+HISTOAVRIL24!BB35+HISTOMAI24!BB35+HISTOJUIN24!BB35+HISTOJUIL24!BB35+HISTOAOUT24!BB35+HISTOSEPT24!BB35+HISTOOCT24!BB35+HISTONOV24!BB35+HISTODEC24!BB35</f>
        <v>0</v>
      </c>
      <c r="BC35" s="15"/>
      <c r="BD35" s="9">
        <f>HISTOJANV24!BD35+HISTOFEV24!BD35+HISTOMARS24!BD35+HISTOAVRIL24!BD35+HISTOMAI24!BD35+HISTOJUIN24!BD35+HISTOJUIL24!BD35+HISTOAOUT24!BD35+HISTOSEPT24!BD35+HISTOOCT24!BD35+HISTONOV24!BD35+HISTODEC24!BD35</f>
        <v>0</v>
      </c>
      <c r="BE35" s="82"/>
      <c r="BF35" s="9">
        <f>HISTOJANV24!BF35+HISTOFEV24!BF35+HISTOMARS24!BF35+HISTOAVRIL24!BF35+HISTOMAI24!BF35+HISTOJUIN24!BF35+HISTOJUIL24!BF35+HISTOAOUT24!BF35+HISTOSEPT24!BF35+HISTOOCT24!BF35+HISTONOV24!BF35+HISTODEC24!BF35</f>
        <v>0</v>
      </c>
      <c r="BG35" s="29"/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/>
      <c r="D36" s="9">
        <f>HISTOJANV24!D36+HISTOFEV24!D36+HISTOMARS24!D36+HISTOAVRIL24!D36+HISTOMAI24!D36+HISTOJUIN24!D36+HISTOJUIL24!D36+HISTOAOUT24!D36+HISTOSEPT24!D36+HISTOOCT24!D36+HISTONOV24!D36+HISTODEC24!D36</f>
        <v>100000</v>
      </c>
      <c r="E36" s="9">
        <f>HISTOJANV24!E36+HISTOFEV24!E36+HISTOMARS24!E36+HISTOAVRIL24!E36+HISTOMAI24!E36+HISTOJUIN24!E36+HISTOJUIL24!E36+HISTOAOUT24!E36+HISTOSEPT24!E36+HISTOOCT24!E36+HISTONOV24!E36+HISTODEC24!E36</f>
        <v>50000</v>
      </c>
      <c r="F36" s="9">
        <f>HISTOJANV24!F36+HISTOFEV24!F36+HISTOMARS24!F36+HISTOAVRIL24!F36+HISTOMAI24!F36+HISTOJUIN24!F36+HISTOJUIL24!F36+HISTOAOUT24!F36+HISTOSEPT24!F36+HISTOOCT24!F36+HISTONOV24!F36+HISTODEC24!F36</f>
        <v>0</v>
      </c>
      <c r="G36" s="9">
        <f>HISTOJANV24!G36+HISTOFEV24!G36+HISTOMARS24!G36+HISTOAVRIL24!G36+HISTOMAI24!G36+HISTOJUIN24!G36+HISTOJUIL24!G36+HISTOAOUT24!G36+HISTOSEPT24!G36+HISTOOCT24!G36+HISTONOV24!G36+HISTODEC24!G36</f>
        <v>0</v>
      </c>
      <c r="H36" s="10"/>
      <c r="I36" s="9">
        <f>HISTOJANV24!I36+HISTOFEV24!I36+HISTOMARS24!I36+HISTOAVRIL24!I36+HISTOMAI24!I36+HISTOJUIN24!I36+HISTOJUIL24!I36+HISTOAOUT24!I36+HISTOSEPT24!I36+HISTOOCT24!I36+HISTONOV24!I36+HISTODEC24!I36</f>
        <v>0</v>
      </c>
      <c r="J36" s="11">
        <v>1</v>
      </c>
      <c r="K36" s="11">
        <f t="shared" si="4"/>
        <v>50000</v>
      </c>
      <c r="L36" s="6"/>
      <c r="M36" s="11">
        <f t="shared" si="0"/>
        <v>0</v>
      </c>
      <c r="N36" s="6"/>
      <c r="O36" s="11">
        <f t="shared" si="1"/>
        <v>0</v>
      </c>
      <c r="P36" s="9">
        <f>HISTOJANV24!P36+HISTOFEV24!P36+HISTOMARS24!P36+HISTOAVRIL24!P36+HISTOMAI24!P36+HISTOJUIN24!P36+HISTOJUIL24!P36+HISTOAOUT24!P36+HISTOSEPT24!P36+HISTOOCT24!P36+HISTONOV24!P36+HISTODEC24!P36</f>
        <v>0</v>
      </c>
      <c r="Q36" s="9">
        <f>HISTOJANV24!Q36+HISTOFEV24!Q36+HISTOMARS24!Q36+HISTOAVRIL24!Q36+HISTOMAI24!Q36+HISTOJUIN24!Q36+HISTOJUIL24!Q36+HISTOAOUT24!Q36+HISTOSEPT24!Q36+HISTOOCT24!Q36+HISTONOV24!Q36+HISTODEC24!Q36</f>
        <v>0</v>
      </c>
      <c r="R36" s="9">
        <f>HISTOJANV24!R36+HISTOFEV24!R36+HISTOMARS24!R36+HISTOAVRIL24!R36+HISTOMAI24!R36+HISTOJUIN24!R36+HISTOJUIL24!R36+HISTOAOUT24!R36+HISTOSEPT24!R36+HISTOOCT24!R36+HISTONOV24!R36+HISTODEC24!R36</f>
        <v>0</v>
      </c>
      <c r="S36" s="9">
        <f>HISTOJANV24!S36+HISTOFEV24!S36+HISTOMARS24!S36+HISTOAVRIL24!S36+HISTOMAI24!S36+HISTOJUIN24!S36+HISTOJUIL24!S36+HISTOAOUT24!S36+HISTOSEPT24!S36+HISTOOCT24!S36+HISTONOV24!S36+HISTODEC24!S36</f>
        <v>0</v>
      </c>
      <c r="T36" s="12"/>
      <c r="U36" s="17">
        <f t="shared" si="5"/>
        <v>50000</v>
      </c>
      <c r="V36" s="9">
        <f>HISTOJANV24!V36+HISTOFEV24!V36+HISTOMARS24!V36+HISTOAVRIL24!V36+HISTOMAI24!V36+HISTOJUIN24!V36+HISTOJUIL24!V36+HISTOAOUT24!V36+HISTOSEPT24!V36+HISTOOCT24!V36+HISTONOV24!V36+HISTODEC24!V36</f>
        <v>0</v>
      </c>
      <c r="W36" s="9">
        <f>HISTOJANV24!W36+HISTOFEV24!W36+HISTOMARS24!W36+HISTOAVRIL24!W36+HISTOMAI24!W36+HISTOJUIN24!W36+HISTOJUIL24!W36+HISTOAOUT24!W36+HISTOSEPT24!W36+HISTOOCT24!W36+HISTONOV24!W36+HISTODEC24!W36</f>
        <v>0</v>
      </c>
      <c r="X36" s="9">
        <f>HISTOJANV24!X36+HISTOFEV24!X36+HISTOMARS24!X36+HISTOAVRIL24!X36+HISTOMAI24!X36+HISTOJUIN24!X36+HISTOJUIL24!X36+HISTOAOUT24!X36+HISTOSEPT24!X36+HISTOOCT24!X36+HISTONOV24!X36+HISTODEC24!X36</f>
        <v>0</v>
      </c>
      <c r="Y36" s="9">
        <f>HISTOJANV24!Y36+HISTOFEV24!Y36+HISTOMARS24!Y36+HISTOAVRIL24!Y36+HISTOMAI24!Y36+HISTOJUIN24!Y36+HISTOJUIL24!Y36+HISTOAOUT24!Y36+HISTOSEPT24!Y36+HISTOOCT24!Y36+HISTONOV24!Y36+HISTODEC24!Y36</f>
        <v>0</v>
      </c>
      <c r="Z36" s="9">
        <f>HISTOJANV24!Z36+HISTOFEV24!Z36+HISTOMARS24!Z36+HISTOAVRIL24!Z36+HISTOMAI24!Z36+HISTOJUIN24!Z36+HISTOJUIL24!Z36+HISTOAOUT24!Z36+HISTOSEPT24!Z36+HISTOOCT24!Z36+HISTONOV24!Z36+HISTODEC24!Z36</f>
        <v>0</v>
      </c>
      <c r="AA36" s="12"/>
      <c r="AB36" s="12"/>
      <c r="AC36" s="9">
        <f>HISTOJANV24!AC36+HISTOFEV24!AC36+HISTOMARS24!AC36+HISTOAVRIL24!AC36+HISTOMAI24!AC36+HISTOJUIN24!AC36+HISTOJUIL24!AC36+HISTOAOUT24!AC36+HISTOSEPT24!AC36+HISTOOCT24!AC36+HISTONOV24!AC36+HISTODEC24!AC36</f>
        <v>0</v>
      </c>
      <c r="AD36" s="9">
        <f>HISTOJANV24!AD36+HISTOFEV24!AD36+HISTOMARS24!AD36+HISTOAVRIL24!AD36+HISTOMAI24!AD36+HISTOJUIN24!AD36+HISTOJUIL24!AD36+HISTOAOUT24!AD36+HISTOSEPT24!AD36+HISTOOCT24!AD36+HISTONOV24!AD36+HISTODEC24!AD36</f>
        <v>0</v>
      </c>
      <c r="AE36" s="9">
        <f>HISTOJANV24!AE36+HISTOFEV24!AE36+HISTOMARS24!AE36+HISTOAVRIL24!AE36+HISTOMAI24!AE36+HISTOJUIN24!AE36+HISTOJUIL24!AE36+HISTOAOUT24!AE36+HISTOSEPT24!AE36+HISTOOCT24!AE36+HISTONOV24!AE36+HISTODEC24!AE36</f>
        <v>0</v>
      </c>
      <c r="AF36" s="12"/>
      <c r="AG36" s="12"/>
      <c r="AH36" s="9">
        <f>HISTOJANV24!AH36+HISTOFEV24!AH36+HISTOMARS24!AH36+HISTOAVRIL24!AH36+HISTOMAI24!AH36+HISTOJUIN24!AH36+HISTOJUIL24!AH36+HISTOAOUT24!AH36+HISTOSEPT24!AH36+HISTOOCT24!AH36+HISTONOV24!AH36+HISTODEC24!AH36</f>
        <v>0</v>
      </c>
      <c r="AI36" s="9">
        <f>HISTOJANV24!AI36+HISTOFEV24!AI36+HISTOMARS24!AI36+HISTOAVRIL24!AI36+HISTOMAI24!AI36+HISTOJUIN24!AI36+HISTOJUIL24!AI36+HISTOAOUT24!AI36+HISTOSEPT24!AI36+HISTOOCT24!AI36+HISTONOV24!AI36+HISTODEC24!AI36</f>
        <v>0</v>
      </c>
      <c r="AJ36" s="9">
        <f>HISTOJANV24!AJ36+HISTOFEV24!AJ36+HISTOMARS24!AJ36+HISTOAVRIL24!AJ36+HISTOMAI24!AJ36+HISTOJUIN24!AJ36+HISTOJUIL24!AJ36+HISTOAOUT24!AJ36+HISTOSEPT24!AJ36+HISTOOCT24!AJ36+HISTONOV24!AJ36+HISTODEC24!AJ36</f>
        <v>0</v>
      </c>
      <c r="AK36" s="9">
        <f>HISTOJANV24!AK36+HISTOFEV24!AK36+HISTOMARS24!AK36+HISTOAVRIL24!AK36+HISTOMAI24!AK36+HISTOJUIN24!AK36+HISTOJUIL24!AK36+HISTOAOUT24!AK36+HISTOSEPT24!AK36+HISTOOCT24!AK36+HISTONOV24!AK36+HISTODEC24!AK36</f>
        <v>0</v>
      </c>
      <c r="AL36" s="9">
        <f>HISTOJANV24!AL36+HISTOFEV24!AL36+HISTOMARS24!AL36+HISTOAVRIL24!AL36+HISTOMAI24!AL36+HISTOJUIN24!AL36+HISTOJUIL24!AL36+HISTOAOUT24!AL36+HISTOSEPT24!AL36+HISTOOCT24!AL36+HISTONOV24!AL36+HISTODEC24!AL36</f>
        <v>0</v>
      </c>
      <c r="AM36" s="9">
        <f>HISTOJANV24!AM36+HISTOFEV24!AM36+HISTOMARS24!AM36+HISTOAVRIL24!AM36+HISTOMAI24!AM36+HISTOJUIN24!AM36+HISTOJUIL24!AM36+HISTOAOUT24!AM36+HISTOSEPT24!AM36+HISTOOCT24!AM36+HISTONOV24!AM36+HISTODEC24!AM36</f>
        <v>0</v>
      </c>
      <c r="AN36" s="9">
        <f>HISTOJANV24!AN36+HISTOFEV24!AN36+HISTOMARS24!AN36+HISTOAVRIL24!AN36+HISTOMAI24!AN36+HISTOJUIN24!AN36+HISTOJUIL24!AN36+HISTOAOUT24!AN36+HISTOSEPT24!AN36+HISTOOCT24!AN36+HISTONOV24!AN36+HISTODEC24!AN36</f>
        <v>0</v>
      </c>
      <c r="AO36" s="12"/>
      <c r="AP36" s="12"/>
      <c r="AQ36" s="8">
        <f t="shared" si="2"/>
        <v>0</v>
      </c>
      <c r="AR36" s="8">
        <f t="shared" si="3"/>
        <v>0</v>
      </c>
      <c r="AS36" s="13">
        <f t="shared" si="6"/>
        <v>25000</v>
      </c>
      <c r="AT36" s="15"/>
      <c r="AV36" s="15"/>
      <c r="AW36" s="9">
        <f>HISTOJANV24!AW36+HISTOFEV24!AW36+HISTOMARS24!AW36+HISTOAVRIL24!AW36+HISTOMAI24!AW36+HISTOJUIN24!AW36+HISTOJUIL24!AW36+HISTOAOUT24!AW36+HISTOSEPT24!AW36+HISTOOCT24!AW36+HISTONOV24!AW36+HISTODEC24!AW36</f>
        <v>0</v>
      </c>
      <c r="AX36" s="9">
        <f>HISTOJANV24!AX36+HISTOFEV24!AX36+HISTOMARS24!AX36+HISTOAVRIL24!AX36+HISTOMAI24!AX36+HISTOJUIN24!AX36+HISTOJUIL24!AX36+HISTOAOUT24!AX36+HISTOSEPT24!AX36+HISTOOCT24!AX36+HISTONOV24!AX36+HISTODEC24!AX36</f>
        <v>0</v>
      </c>
      <c r="AY36" s="9">
        <f>HISTOJANV24!AY36+HISTOFEV24!AY36+HISTOMARS24!AY36+HISTOAVRIL24!AY36+HISTOMAI24!AY36+HISTOJUIN24!AY36+HISTOJUIL24!AY36+HISTOAOUT24!AY36+HISTOSEPT24!AY36+HISTOOCT24!AY36+HISTONOV24!AY36+HISTODEC24!AY36</f>
        <v>0</v>
      </c>
      <c r="AZ36" s="9">
        <f>HISTOJANV24!AZ36+HISTOFEV24!AZ36+HISTOMARS24!AZ36+HISTOAVRIL24!AZ36+HISTOMAI24!AZ36+HISTOJUIN24!AZ36+HISTOJUIL24!AZ36+HISTOAOUT24!AZ36+HISTOSEPT24!AZ36+HISTOOCT24!AZ36+HISTONOV24!AZ36+HISTODEC24!AZ36</f>
        <v>0</v>
      </c>
      <c r="BA36" s="9">
        <f>HISTOJANV24!BA36+HISTOFEV24!BA36+HISTOMARS24!BA36+HISTOAVRIL24!BA36+HISTOMAI24!BA36+HISTOJUIN24!BA36+HISTOJUIL24!BA36+HISTOAOUT24!BA36+HISTOSEPT24!BA36+HISTOOCT24!BA36+HISTONOV24!BA36+HISTODEC24!BA36</f>
        <v>0</v>
      </c>
      <c r="BB36" s="9">
        <f>HISTOJANV24!BB36+HISTOFEV24!BB36+HISTOMARS24!BB36+HISTOAVRIL24!BB36+HISTOMAI24!BB36+HISTOJUIN24!BB36+HISTOJUIL24!BB36+HISTOAOUT24!BB36+HISTOSEPT24!BB36+HISTOOCT24!BB36+HISTONOV24!BB36+HISTODEC24!BB36</f>
        <v>0</v>
      </c>
      <c r="BC36" s="15"/>
      <c r="BD36" s="9">
        <f>HISTOJANV24!BD36+HISTOFEV24!BD36+HISTOMARS24!BD36+HISTOAVRIL24!BD36+HISTOMAI24!BD36+HISTOJUIN24!BD36+HISTOJUIL24!BD36+HISTOAOUT24!BD36+HISTOSEPT24!BD36+HISTOOCT24!BD36+HISTONOV24!BD36+HISTODEC24!BD36</f>
        <v>0</v>
      </c>
      <c r="BE36" s="82"/>
      <c r="BF36" s="9">
        <f>HISTOJANV24!BF36+HISTOFEV24!BF36+HISTOMARS24!BF36+HISTOAVRIL24!BF36+HISTOMAI24!BF36+HISTOJUIN24!BF36+HISTOJUIL24!BF36+HISTOAOUT24!BF36+HISTOSEPT24!BF36+HISTOOCT24!BF36+HISTONOV24!BF36+HISTODEC24!BF36</f>
        <v>0</v>
      </c>
      <c r="BG36" s="29"/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/>
      <c r="D37" s="9">
        <f>HISTOJANV24!D37+HISTOFEV24!D37+HISTOMARS24!D37+HISTOAVRIL24!D37+HISTOMAI24!D37+HISTOJUIN24!D37+HISTOJUIL24!D37+HISTOAOUT24!D37+HISTOSEPT24!D37+HISTOOCT24!D37+HISTONOV24!D37+HISTODEC24!D37</f>
        <v>150000</v>
      </c>
      <c r="E37" s="9">
        <f>HISTOJANV24!E37+HISTOFEV24!E37+HISTOMARS24!E37+HISTOAVRIL24!E37+HISTOMAI24!E37+HISTOJUIN24!E37+HISTOJUIL24!E37+HISTOAOUT24!E37+HISTOSEPT24!E37+HISTOOCT24!E37+HISTONOV24!E37+HISTODEC24!E37</f>
        <v>331000</v>
      </c>
      <c r="F37" s="9">
        <f>HISTOJANV24!F37+HISTOFEV24!F37+HISTOMARS24!F37+HISTOAVRIL24!F37+HISTOMAI24!F37+HISTOJUIN24!F37+HISTOJUIL24!F37+HISTOAOUT24!F37+HISTOSEPT24!F37+HISTOOCT24!F37+HISTONOV24!F37+HISTODEC24!F37</f>
        <v>0</v>
      </c>
      <c r="G37" s="9">
        <f>HISTOJANV24!G37+HISTOFEV24!G37+HISTOMARS24!G37+HISTOAVRIL24!G37+HISTOMAI24!G37+HISTOJUIN24!G37+HISTOJUIL24!G37+HISTOAOUT24!G37+HISTOSEPT24!G37+HISTOOCT24!G37+HISTONOV24!G37+HISTODEC24!G37</f>
        <v>6000</v>
      </c>
      <c r="H37" s="10"/>
      <c r="I37" s="9">
        <f>HISTOJANV24!I37+HISTOFEV24!I37+HISTOMARS24!I37+HISTOAVRIL24!I37+HISTOMAI24!I37+HISTOJUIN24!I37+HISTOJUIL24!I37+HISTOAOUT24!I37+HISTOSEPT24!I37+HISTOOCT24!I37+HISTONOV24!I37+HISTODEC24!I37</f>
        <v>0</v>
      </c>
      <c r="J37" s="11">
        <v>1</v>
      </c>
      <c r="K37" s="11">
        <f t="shared" si="4"/>
        <v>50000</v>
      </c>
      <c r="L37" s="6"/>
      <c r="M37" s="11">
        <f t="shared" si="0"/>
        <v>0</v>
      </c>
      <c r="N37" s="6">
        <v>1</v>
      </c>
      <c r="O37" s="11">
        <f t="shared" si="1"/>
        <v>100000</v>
      </c>
      <c r="P37" s="9">
        <f>HISTOJANV24!P37+HISTOFEV24!P37+HISTOMARS24!P37+HISTOAVRIL24!P37+HISTOMAI24!P37+HISTOJUIN24!P37+HISTOJUIL24!P37+HISTOAOUT24!P37+HISTOSEPT24!P37+HISTOOCT24!P37+HISTONOV24!P37+HISTODEC24!P37</f>
        <v>0</v>
      </c>
      <c r="Q37" s="9">
        <f>HISTOJANV24!Q37+HISTOFEV24!Q37+HISTOMARS24!Q37+HISTOAVRIL24!Q37+HISTOMAI24!Q37+HISTOJUIN24!Q37+HISTOJUIL24!Q37+HISTOAOUT24!Q37+HISTOSEPT24!Q37+HISTOOCT24!Q37+HISTONOV24!Q37+HISTODEC24!Q37</f>
        <v>0</v>
      </c>
      <c r="R37" s="9">
        <f>HISTOJANV24!R37+HISTOFEV24!R37+HISTOMARS24!R37+HISTOAVRIL24!R37+HISTOMAI24!R37+HISTOJUIN24!R37+HISTOJUIL24!R37+HISTOAOUT24!R37+HISTOSEPT24!R37+HISTOOCT24!R37+HISTONOV24!R37+HISTODEC24!R37</f>
        <v>0</v>
      </c>
      <c r="S37" s="9">
        <f>HISTOJANV24!S37+HISTOFEV24!S37+HISTOMARS24!S37+HISTOAVRIL24!S37+HISTOMAI24!S37+HISTOJUIN24!S37+HISTOJUIL24!S37+HISTOAOUT24!S37+HISTOSEPT24!S37+HISTOOCT24!S37+HISTONOV24!S37+HISTODEC24!S37</f>
        <v>0</v>
      </c>
      <c r="T37" s="12"/>
      <c r="U37" s="17">
        <f t="shared" si="5"/>
        <v>181000</v>
      </c>
      <c r="V37" s="9">
        <f>HISTOJANV24!V37+HISTOFEV24!V37+HISTOMARS24!V37+HISTOAVRIL24!V37+HISTOMAI24!V37+HISTOJUIN24!V37+HISTOJUIL24!V37+HISTOAOUT24!V37+HISTOSEPT24!V37+HISTOOCT24!V37+HISTONOV24!V37+HISTODEC24!V37</f>
        <v>0</v>
      </c>
      <c r="W37" s="9">
        <f>HISTOJANV24!W37+HISTOFEV24!W37+HISTOMARS24!W37+HISTOAVRIL24!W37+HISTOMAI24!W37+HISTOJUIN24!W37+HISTOJUIL24!W37+HISTOAOUT24!W37+HISTOSEPT24!W37+HISTOOCT24!W37+HISTONOV24!W37+HISTODEC24!W37</f>
        <v>25000</v>
      </c>
      <c r="X37" s="9">
        <f>HISTOJANV24!X37+HISTOFEV24!X37+HISTOMARS24!X37+HISTOAVRIL24!X37+HISTOMAI24!X37+HISTOJUIN24!X37+HISTOJUIL24!X37+HISTOAOUT24!X37+HISTOSEPT24!X37+HISTOOCT24!X37+HISTONOV24!X37+HISTODEC24!X37</f>
        <v>0</v>
      </c>
      <c r="Y37" s="9">
        <f>HISTOJANV24!Y37+HISTOFEV24!Y37+HISTOMARS24!Y37+HISTOAVRIL24!Y37+HISTOMAI24!Y37+HISTOJUIN24!Y37+HISTOJUIL24!Y37+HISTOAOUT24!Y37+HISTOSEPT24!Y37+HISTOOCT24!Y37+HISTONOV24!Y37+HISTODEC24!Y37</f>
        <v>0</v>
      </c>
      <c r="Z37" s="9">
        <f>HISTOJANV24!Z37+HISTOFEV24!Z37+HISTOMARS24!Z37+HISTOAVRIL24!Z37+HISTOMAI24!Z37+HISTOJUIN24!Z37+HISTOJUIL24!Z37+HISTOAOUT24!Z37+HISTOSEPT24!Z37+HISTOOCT24!Z37+HISTONOV24!Z37+HISTODEC24!Z37</f>
        <v>0</v>
      </c>
      <c r="AA37" s="12"/>
      <c r="AB37" s="12"/>
      <c r="AC37" s="9">
        <f>HISTOJANV24!AC37+HISTOFEV24!AC37+HISTOMARS24!AC37+HISTOAVRIL24!AC37+HISTOMAI24!AC37+HISTOJUIN24!AC37+HISTOJUIL24!AC37+HISTOAOUT24!AC37+HISTOSEPT24!AC37+HISTOOCT24!AC37+HISTONOV24!AC37+HISTODEC24!AC37</f>
        <v>0</v>
      </c>
      <c r="AD37" s="9">
        <f>HISTOJANV24!AD37+HISTOFEV24!AD37+HISTOMARS24!AD37+HISTOAVRIL24!AD37+HISTOMAI24!AD37+HISTOJUIN24!AD37+HISTOJUIL24!AD37+HISTOAOUT24!AD37+HISTOSEPT24!AD37+HISTOOCT24!AD37+HISTONOV24!AD37+HISTODEC24!AD37</f>
        <v>0</v>
      </c>
      <c r="AE37" s="9">
        <f>HISTOJANV24!AE37+HISTOFEV24!AE37+HISTOMARS24!AE37+HISTOAVRIL24!AE37+HISTOMAI24!AE37+HISTOJUIN24!AE37+HISTOJUIL24!AE37+HISTOAOUT24!AE37+HISTOSEPT24!AE37+HISTOOCT24!AE37+HISTONOV24!AE37+HISTODEC24!AE37</f>
        <v>0</v>
      </c>
      <c r="AF37" s="12"/>
      <c r="AG37" s="12"/>
      <c r="AH37" s="9">
        <f>HISTOJANV24!AH37+HISTOFEV24!AH37+HISTOMARS24!AH37+HISTOAVRIL24!AH37+HISTOMAI24!AH37+HISTOJUIN24!AH37+HISTOJUIL24!AH37+HISTOAOUT24!AH37+HISTOSEPT24!AH37+HISTOOCT24!AH37+HISTONOV24!AH37+HISTODEC24!AH37</f>
        <v>0</v>
      </c>
      <c r="AI37" s="9">
        <f>HISTOJANV24!AI37+HISTOFEV24!AI37+HISTOMARS24!AI37+HISTOAVRIL24!AI37+HISTOMAI24!AI37+HISTOJUIN24!AI37+HISTOJUIL24!AI37+HISTOAOUT24!AI37+HISTOSEPT24!AI37+HISTOOCT24!AI37+HISTONOV24!AI37+HISTODEC24!AI37</f>
        <v>0</v>
      </c>
      <c r="AJ37" s="9">
        <f>HISTOJANV24!AJ37+HISTOFEV24!AJ37+HISTOMARS24!AJ37+HISTOAVRIL24!AJ37+HISTOMAI24!AJ37+HISTOJUIN24!AJ37+HISTOJUIL24!AJ37+HISTOAOUT24!AJ37+HISTOSEPT24!AJ37+HISTOOCT24!AJ37+HISTONOV24!AJ37+HISTODEC24!AJ37</f>
        <v>0</v>
      </c>
      <c r="AK37" s="9">
        <f>HISTOJANV24!AK37+HISTOFEV24!AK37+HISTOMARS24!AK37+HISTOAVRIL24!AK37+HISTOMAI24!AK37+HISTOJUIN24!AK37+HISTOJUIL24!AK37+HISTOAOUT24!AK37+HISTOSEPT24!AK37+HISTOOCT24!AK37+HISTONOV24!AK37+HISTODEC24!AK37</f>
        <v>0</v>
      </c>
      <c r="AL37" s="9">
        <f>HISTOJANV24!AL37+HISTOFEV24!AL37+HISTOMARS24!AL37+HISTOAVRIL24!AL37+HISTOMAI24!AL37+HISTOJUIN24!AL37+HISTOJUIL24!AL37+HISTOAOUT24!AL37+HISTOSEPT24!AL37+HISTOOCT24!AL37+HISTONOV24!AL37+HISTODEC24!AL37</f>
        <v>0</v>
      </c>
      <c r="AM37" s="9">
        <f>HISTOJANV24!AM37+HISTOFEV24!AM37+HISTOMARS24!AM37+HISTOAVRIL24!AM37+HISTOMAI24!AM37+HISTOJUIN24!AM37+HISTOJUIL24!AM37+HISTOAOUT24!AM37+HISTOSEPT24!AM37+HISTOOCT24!AM37+HISTONOV24!AM37+HISTODEC24!AM37</f>
        <v>0</v>
      </c>
      <c r="AN37" s="9">
        <f>HISTOJANV24!AN37+HISTOFEV24!AN37+HISTOMARS24!AN37+HISTOAVRIL24!AN37+HISTOMAI24!AN37+HISTOJUIN24!AN37+HISTOJUIL24!AN37+HISTOAOUT24!AN37+HISTOSEPT24!AN37+HISTOOCT24!AN37+HISTONOV24!AN37+HISTODEC24!AN37</f>
        <v>0</v>
      </c>
      <c r="AO37" s="11"/>
      <c r="AP37" s="12"/>
      <c r="AQ37" s="8">
        <f t="shared" si="2"/>
        <v>0</v>
      </c>
      <c r="AR37" s="8">
        <f t="shared" si="3"/>
        <v>0</v>
      </c>
      <c r="AS37" s="13">
        <f t="shared" si="6"/>
        <v>25000</v>
      </c>
      <c r="AT37" s="15"/>
      <c r="AV37" s="15"/>
      <c r="AW37" s="9">
        <f>HISTOJANV24!AW37+HISTOFEV24!AW37+HISTOMARS24!AW37+HISTOAVRIL24!AW37+HISTOMAI24!AW37+HISTOJUIN24!AW37+HISTOJUIL24!AW37+HISTOAOUT24!AW37+HISTOSEPT24!AW37+HISTOOCT24!AW37+HISTONOV24!AW37+HISTODEC24!AW37</f>
        <v>0</v>
      </c>
      <c r="AX37" s="9">
        <f>HISTOJANV24!AX37+HISTOFEV24!AX37+HISTOMARS24!AX37+HISTOAVRIL24!AX37+HISTOMAI24!AX37+HISTOJUIN24!AX37+HISTOJUIL24!AX37+HISTOAOUT24!AX37+HISTOSEPT24!AX37+HISTOOCT24!AX37+HISTONOV24!AX37+HISTODEC24!AX37</f>
        <v>0</v>
      </c>
      <c r="AY37" s="9">
        <f>HISTOJANV24!AY37+HISTOFEV24!AY37+HISTOMARS24!AY37+HISTOAVRIL24!AY37+HISTOMAI24!AY37+HISTOJUIN24!AY37+HISTOJUIL24!AY37+HISTOAOUT24!AY37+HISTOSEPT24!AY37+HISTOOCT24!AY37+HISTONOV24!AY37+HISTODEC24!AY37</f>
        <v>0</v>
      </c>
      <c r="AZ37" s="9">
        <f>HISTOJANV24!AZ37+HISTOFEV24!AZ37+HISTOMARS24!AZ37+HISTOAVRIL24!AZ37+HISTOMAI24!AZ37+HISTOJUIN24!AZ37+HISTOJUIL24!AZ37+HISTOAOUT24!AZ37+HISTOSEPT24!AZ37+HISTOOCT24!AZ37+HISTONOV24!AZ37+HISTODEC24!AZ37</f>
        <v>0</v>
      </c>
      <c r="BA37" s="9">
        <f>HISTOJANV24!BA37+HISTOFEV24!BA37+HISTOMARS24!BA37+HISTOAVRIL24!BA37+HISTOMAI24!BA37+HISTOJUIN24!BA37+HISTOJUIL24!BA37+HISTOAOUT24!BA37+HISTOSEPT24!BA37+HISTOOCT24!BA37+HISTONOV24!BA37+HISTODEC24!BA37</f>
        <v>0</v>
      </c>
      <c r="BB37" s="9">
        <f>HISTOJANV24!BB37+HISTOFEV24!BB37+HISTOMARS24!BB37+HISTOAVRIL24!BB37+HISTOMAI24!BB37+HISTOJUIN24!BB37+HISTOJUIL24!BB37+HISTOAOUT24!BB37+HISTOSEPT24!BB37+HISTOOCT24!BB37+HISTONOV24!BB37+HISTODEC24!BB37</f>
        <v>0</v>
      </c>
      <c r="BC37" s="15"/>
      <c r="BD37" s="9">
        <f>HISTOJANV24!BD37+HISTOFEV24!BD37+HISTOMARS24!BD37+HISTOAVRIL24!BD37+HISTOMAI24!BD37+HISTOJUIN24!BD37+HISTOJUIL24!BD37+HISTOAOUT24!BD37+HISTOSEPT24!BD37+HISTOOCT24!BD37+HISTONOV24!BD37+HISTODEC24!BD37</f>
        <v>0</v>
      </c>
      <c r="BE37" s="82"/>
      <c r="BF37" s="9">
        <f>HISTOJANV24!BF37+HISTOFEV24!BF37+HISTOMARS24!BF37+HISTOAVRIL24!BF37+HISTOMAI24!BF37+HISTOJUIN24!BF37+HISTOJUIL24!BF37+HISTOAOUT24!BF37+HISTOSEPT24!BF37+HISTOOCT24!BF37+HISTONOV24!BF37+HISTODEC24!BF37</f>
        <v>0</v>
      </c>
      <c r="BG37" s="29"/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/>
      <c r="D38" s="9">
        <f>HISTOJANV24!D38+HISTOFEV24!D38+HISTOMARS24!D38+HISTOAVRIL24!D38+HISTOMAI24!D38+HISTOJUIN24!D38+HISTOJUIL24!D38+HISTOAOUT24!D38+HISTOSEPT24!D38+HISTOOCT24!D38+HISTONOV24!D38+HISTODEC24!D38</f>
        <v>375000</v>
      </c>
      <c r="E38" s="9">
        <f>HISTOJANV24!E38+HISTOFEV24!E38+HISTOMARS24!E38+HISTOAVRIL24!E38+HISTOMAI24!E38+HISTOJUIN24!E38+HISTOJUIL24!E38+HISTOAOUT24!E38+HISTOSEPT24!E38+HISTOOCT24!E38+HISTONOV24!E38+HISTODEC24!E38</f>
        <v>0</v>
      </c>
      <c r="F38" s="9">
        <f>HISTOJANV24!F38+HISTOFEV24!F38+HISTOMARS24!F38+HISTOAVRIL24!F38+HISTOMAI24!F38+HISTOJUIN24!F38+HISTOJUIL24!F38+HISTOAOUT24!F38+HISTOSEPT24!F38+HISTOOCT24!F38+HISTONOV24!F38+HISTODEC24!F38</f>
        <v>0</v>
      </c>
      <c r="G38" s="9">
        <f>HISTOJANV24!G38+HISTOFEV24!G38+HISTOMARS24!G38+HISTOAVRIL24!G38+HISTOMAI24!G38+HISTOJUIN24!G38+HISTOJUIL24!G38+HISTOAOUT24!G38+HISTOSEPT24!G38+HISTOOCT24!G38+HISTONOV24!G38+HISTODEC24!G38</f>
        <v>0</v>
      </c>
      <c r="H38" s="10"/>
      <c r="I38" s="9">
        <f>HISTOJANV24!I38+HISTOFEV24!I38+HISTOMARS24!I38+HISTOAVRIL24!I38+HISTOMAI24!I38+HISTOJUIN24!I38+HISTOJUIL24!I38+HISTOAOUT24!I38+HISTOSEPT24!I38+HISTOOCT24!I38+HISTONOV24!I38+HISTODEC24!I38</f>
        <v>0</v>
      </c>
      <c r="J38" s="11">
        <v>1</v>
      </c>
      <c r="K38" s="11">
        <f t="shared" si="4"/>
        <v>50000</v>
      </c>
      <c r="L38" s="6">
        <v>1</v>
      </c>
      <c r="M38" s="11">
        <f t="shared" si="0"/>
        <v>75000</v>
      </c>
      <c r="N38" s="6"/>
      <c r="O38" s="11">
        <f t="shared" si="1"/>
        <v>0</v>
      </c>
      <c r="P38" s="9">
        <f>HISTOJANV24!P38+HISTOFEV24!P38+HISTOMARS24!P38+HISTOAVRIL24!P38+HISTOMAI24!P38+HISTOJUIN24!P38+HISTOJUIL24!P38+HISTOAOUT24!P38+HISTOSEPT24!P38+HISTOOCT24!P38+HISTONOV24!P38+HISTODEC24!P38</f>
        <v>0</v>
      </c>
      <c r="Q38" s="9">
        <f>HISTOJANV24!Q38+HISTOFEV24!Q38+HISTOMARS24!Q38+HISTOAVRIL24!Q38+HISTOMAI24!Q38+HISTOJUIN24!Q38+HISTOJUIL24!Q38+HISTOAOUT24!Q38+HISTOSEPT24!Q38+HISTOOCT24!Q38+HISTONOV24!Q38+HISTODEC24!Q38</f>
        <v>0</v>
      </c>
      <c r="R38" s="9">
        <f>HISTOJANV24!R38+HISTOFEV24!R38+HISTOMARS24!R38+HISTOAVRIL24!R38+HISTOMAI24!R38+HISTOJUIN24!R38+HISTOJUIL24!R38+HISTOAOUT24!R38+HISTOSEPT24!R38+HISTOOCT24!R38+HISTONOV24!R38+HISTODEC24!R38</f>
        <v>0</v>
      </c>
      <c r="S38" s="9">
        <f>HISTOJANV24!S38+HISTOFEV24!S38+HISTOMARS24!S38+HISTOAVRIL24!S38+HISTOMAI24!S38+HISTOJUIN24!S38+HISTOJUIL24!S38+HISTOAOUT24!S38+HISTOSEPT24!S38+HISTOOCT24!S38+HISTONOV24!S38+HISTODEC24!S38</f>
        <v>0</v>
      </c>
      <c r="T38" s="12"/>
      <c r="U38" s="17">
        <f t="shared" si="5"/>
        <v>125000</v>
      </c>
      <c r="V38" s="9">
        <f>HISTOJANV24!V38+HISTOFEV24!V38+HISTOMARS24!V38+HISTOAVRIL24!V38+HISTOMAI24!V38+HISTOJUIN24!V38+HISTOJUIL24!V38+HISTOAOUT24!V38+HISTOSEPT24!V38+HISTOOCT24!V38+HISTONOV24!V38+HISTODEC24!V38</f>
        <v>0</v>
      </c>
      <c r="W38" s="9">
        <f>HISTOJANV24!W38+HISTOFEV24!W38+HISTOMARS24!W38+HISTOAVRIL24!W38+HISTOMAI24!W38+HISTOJUIN24!W38+HISTOJUIL24!W38+HISTOAOUT24!W38+HISTOSEPT24!W38+HISTOOCT24!W38+HISTONOV24!W38+HISTODEC24!W38</f>
        <v>0</v>
      </c>
      <c r="X38" s="9">
        <f>HISTOJANV24!X38+HISTOFEV24!X38+HISTOMARS24!X38+HISTOAVRIL24!X38+HISTOMAI24!X38+HISTOJUIN24!X38+HISTOJUIL24!X38+HISTOAOUT24!X38+HISTOSEPT24!X38+HISTOOCT24!X38+HISTONOV24!X38+HISTODEC24!X38</f>
        <v>0</v>
      </c>
      <c r="Y38" s="9">
        <f>HISTOJANV24!Y38+HISTOFEV24!Y38+HISTOMARS24!Y38+HISTOAVRIL24!Y38+HISTOMAI24!Y38+HISTOJUIN24!Y38+HISTOJUIL24!Y38+HISTOAOUT24!Y38+HISTOSEPT24!Y38+HISTOOCT24!Y38+HISTONOV24!Y38+HISTODEC24!Y38</f>
        <v>0</v>
      </c>
      <c r="Z38" s="9">
        <f>HISTOJANV24!Z38+HISTOFEV24!Z38+HISTOMARS24!Z38+HISTOAVRIL24!Z38+HISTOMAI24!Z38+HISTOJUIN24!Z38+HISTOJUIL24!Z38+HISTOAOUT24!Z38+HISTOSEPT24!Z38+HISTOOCT24!Z38+HISTONOV24!Z38+HISTODEC24!Z38</f>
        <v>0</v>
      </c>
      <c r="AA38" s="12"/>
      <c r="AB38" s="12"/>
      <c r="AC38" s="9">
        <f>HISTOJANV24!AC38+HISTOFEV24!AC38+HISTOMARS24!AC38+HISTOAVRIL24!AC38+HISTOMAI24!AC38+HISTOJUIN24!AC38+HISTOJUIL24!AC38+HISTOAOUT24!AC38+HISTOSEPT24!AC38+HISTOOCT24!AC38+HISTONOV24!AC38+HISTODEC24!AC38</f>
        <v>0</v>
      </c>
      <c r="AD38" s="9">
        <f>HISTOJANV24!AD38+HISTOFEV24!AD38+HISTOMARS24!AD38+HISTOAVRIL24!AD38+HISTOMAI24!AD38+HISTOJUIN24!AD38+HISTOJUIL24!AD38+HISTOAOUT24!AD38+HISTOSEPT24!AD38+HISTOOCT24!AD38+HISTONOV24!AD38+HISTODEC24!AD38</f>
        <v>0</v>
      </c>
      <c r="AE38" s="9">
        <f>HISTOJANV24!AE38+HISTOFEV24!AE38+HISTOMARS24!AE38+HISTOAVRIL24!AE38+HISTOMAI24!AE38+HISTOJUIN24!AE38+HISTOJUIL24!AE38+HISTOAOUT24!AE38+HISTOSEPT24!AE38+HISTOOCT24!AE38+HISTONOV24!AE38+HISTODEC24!AE38</f>
        <v>0</v>
      </c>
      <c r="AF38" s="12"/>
      <c r="AG38" s="12"/>
      <c r="AH38" s="9">
        <f>HISTOJANV24!AH38+HISTOFEV24!AH38+HISTOMARS24!AH38+HISTOAVRIL24!AH38+HISTOMAI24!AH38+HISTOJUIN24!AH38+HISTOJUIL24!AH38+HISTOAOUT24!AH38+HISTOSEPT24!AH38+HISTOOCT24!AH38+HISTONOV24!AH38+HISTODEC24!AH38</f>
        <v>0</v>
      </c>
      <c r="AI38" s="9">
        <f>HISTOJANV24!AI38+HISTOFEV24!AI38+HISTOMARS24!AI38+HISTOAVRIL24!AI38+HISTOMAI24!AI38+HISTOJUIN24!AI38+HISTOJUIL24!AI38+HISTOAOUT24!AI38+HISTOSEPT24!AI38+HISTOOCT24!AI38+HISTONOV24!AI38+HISTODEC24!AI38</f>
        <v>0</v>
      </c>
      <c r="AJ38" s="9">
        <f>HISTOJANV24!AJ38+HISTOFEV24!AJ38+HISTOMARS24!AJ38+HISTOAVRIL24!AJ38+HISTOMAI24!AJ38+HISTOJUIN24!AJ38+HISTOJUIL24!AJ38+HISTOAOUT24!AJ38+HISTOSEPT24!AJ38+HISTOOCT24!AJ38+HISTONOV24!AJ38+HISTODEC24!AJ38</f>
        <v>0</v>
      </c>
      <c r="AK38" s="9">
        <f>HISTOJANV24!AK38+HISTOFEV24!AK38+HISTOMARS24!AK38+HISTOAVRIL24!AK38+HISTOMAI24!AK38+HISTOJUIN24!AK38+HISTOJUIL24!AK38+HISTOAOUT24!AK38+HISTOSEPT24!AK38+HISTOOCT24!AK38+HISTONOV24!AK38+HISTODEC24!AK38</f>
        <v>0</v>
      </c>
      <c r="AL38" s="9">
        <f>HISTOJANV24!AL38+HISTOFEV24!AL38+HISTOMARS24!AL38+HISTOAVRIL24!AL38+HISTOMAI24!AL38+HISTOJUIN24!AL38+HISTOJUIL24!AL38+HISTOAOUT24!AL38+HISTOSEPT24!AL38+HISTOOCT24!AL38+HISTONOV24!AL38+HISTODEC24!AL38</f>
        <v>0</v>
      </c>
      <c r="AM38" s="9">
        <f>HISTOJANV24!AM38+HISTOFEV24!AM38+HISTOMARS24!AM38+HISTOAVRIL24!AM38+HISTOMAI24!AM38+HISTOJUIN24!AM38+HISTOJUIL24!AM38+HISTOAOUT24!AM38+HISTOSEPT24!AM38+HISTOOCT24!AM38+HISTONOV24!AM38+HISTODEC24!AM38</f>
        <v>0</v>
      </c>
      <c r="AN38" s="9">
        <f>HISTOJANV24!AN38+HISTOFEV24!AN38+HISTOMARS24!AN38+HISTOAVRIL24!AN38+HISTOMAI24!AN38+HISTOJUIN24!AN38+HISTOJUIL24!AN38+HISTOAOUT24!AN38+HISTOSEPT24!AN38+HISTOOCT24!AN38+HISTONOV24!AN38+HISTODEC24!AN38</f>
        <v>0</v>
      </c>
      <c r="AO38" s="11"/>
      <c r="AP38" s="12"/>
      <c r="AQ38" s="8">
        <f t="shared" si="2"/>
        <v>0</v>
      </c>
      <c r="AR38" s="8">
        <f t="shared" si="3"/>
        <v>0</v>
      </c>
      <c r="AS38" s="13">
        <f t="shared" si="6"/>
        <v>25000</v>
      </c>
      <c r="AT38" s="15"/>
      <c r="AV38" s="15"/>
      <c r="AW38" s="9">
        <f>HISTOJANV24!AW38+HISTOFEV24!AW38+HISTOMARS24!AW38+HISTOAVRIL24!AW38+HISTOMAI24!AW38+HISTOJUIN24!AW38+HISTOJUIL24!AW38+HISTOAOUT24!AW38+HISTOSEPT24!AW38+HISTOOCT24!AW38+HISTONOV24!AW38+HISTODEC24!AW38</f>
        <v>0</v>
      </c>
      <c r="AX38" s="9">
        <f>HISTOJANV24!AX38+HISTOFEV24!AX38+HISTOMARS24!AX38+HISTOAVRIL24!AX38+HISTOMAI24!AX38+HISTOJUIN24!AX38+HISTOJUIL24!AX38+HISTOAOUT24!AX38+HISTOSEPT24!AX38+HISTOOCT24!AX38+HISTONOV24!AX38+HISTODEC24!AX38</f>
        <v>0</v>
      </c>
      <c r="AY38" s="9">
        <f>HISTOJANV24!AY38+HISTOFEV24!AY38+HISTOMARS24!AY38+HISTOAVRIL24!AY38+HISTOMAI24!AY38+HISTOJUIN24!AY38+HISTOJUIL24!AY38+HISTOAOUT24!AY38+HISTOSEPT24!AY38+HISTOOCT24!AY38+HISTONOV24!AY38+HISTODEC24!AY38</f>
        <v>0</v>
      </c>
      <c r="AZ38" s="9">
        <f>HISTOJANV24!AZ38+HISTOFEV24!AZ38+HISTOMARS24!AZ38+HISTOAVRIL24!AZ38+HISTOMAI24!AZ38+HISTOJUIN24!AZ38+HISTOJUIL24!AZ38+HISTOAOUT24!AZ38+HISTOSEPT24!AZ38+HISTOOCT24!AZ38+HISTONOV24!AZ38+HISTODEC24!AZ38</f>
        <v>0</v>
      </c>
      <c r="BA38" s="9">
        <f>HISTOJANV24!BA38+HISTOFEV24!BA38+HISTOMARS24!BA38+HISTOAVRIL24!BA38+HISTOMAI24!BA38+HISTOJUIN24!BA38+HISTOJUIL24!BA38+HISTOAOUT24!BA38+HISTOSEPT24!BA38+HISTOOCT24!BA38+HISTONOV24!BA38+HISTODEC24!BA38</f>
        <v>0</v>
      </c>
      <c r="BB38" s="9">
        <f>HISTOJANV24!BB38+HISTOFEV24!BB38+HISTOMARS24!BB38+HISTOAVRIL24!BB38+HISTOMAI24!BB38+HISTOJUIN24!BB38+HISTOJUIL24!BB38+HISTOAOUT24!BB38+HISTOSEPT24!BB38+HISTOOCT24!BB38+HISTONOV24!BB38+HISTODEC24!BB38</f>
        <v>0</v>
      </c>
      <c r="BC38" s="15"/>
      <c r="BD38" s="9">
        <f>HISTOJANV24!BD38+HISTOFEV24!BD38+HISTOMARS24!BD38+HISTOAVRIL24!BD38+HISTOMAI24!BD38+HISTOJUIN24!BD38+HISTOJUIL24!BD38+HISTOAOUT24!BD38+HISTOSEPT24!BD38+HISTOOCT24!BD38+HISTONOV24!BD38+HISTODEC24!BD38</f>
        <v>0</v>
      </c>
      <c r="BE38" s="82"/>
      <c r="BF38" s="9">
        <f>HISTOJANV24!BF38+HISTOFEV24!BF38+HISTOMARS24!BF38+HISTOAVRIL24!BF38+HISTOMAI24!BF38+HISTOJUIN24!BF38+HISTOJUIL24!BF38+HISTOAOUT24!BF38+HISTOSEPT24!BF38+HISTOOCT24!BF38+HISTONOV24!BF38+HISTODEC24!BF38</f>
        <v>0</v>
      </c>
      <c r="BG38" s="29"/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7">SUM(C6:C39)</f>
        <v>0</v>
      </c>
      <c r="D40" s="5">
        <f t="shared" si="7"/>
        <v>15434000</v>
      </c>
      <c r="E40" s="5">
        <f t="shared" si="7"/>
        <v>801500</v>
      </c>
      <c r="F40" s="5">
        <f t="shared" si="7"/>
        <v>1500000</v>
      </c>
      <c r="G40" s="5">
        <f t="shared" si="7"/>
        <v>12000</v>
      </c>
      <c r="H40" s="5">
        <f t="shared" si="7"/>
        <v>0</v>
      </c>
      <c r="I40" s="5">
        <f t="shared" si="7"/>
        <v>1018000</v>
      </c>
      <c r="J40" s="5">
        <f t="shared" si="7"/>
        <v>32</v>
      </c>
      <c r="K40" s="5">
        <f t="shared" si="7"/>
        <v>1600000</v>
      </c>
      <c r="L40" s="5">
        <f t="shared" si="7"/>
        <v>16</v>
      </c>
      <c r="M40" s="5">
        <f t="shared" si="7"/>
        <v>1200000</v>
      </c>
      <c r="N40" s="5">
        <f t="shared" si="7"/>
        <v>18</v>
      </c>
      <c r="O40" s="5">
        <f t="shared" si="7"/>
        <v>1800000</v>
      </c>
      <c r="P40" s="5">
        <f t="shared" si="7"/>
        <v>298500</v>
      </c>
      <c r="Q40" s="5">
        <f t="shared" si="7"/>
        <v>398000</v>
      </c>
      <c r="R40" s="5">
        <f t="shared" si="7"/>
        <v>1654000</v>
      </c>
      <c r="S40" s="5">
        <f t="shared" si="7"/>
        <v>1750000</v>
      </c>
      <c r="T40" s="5"/>
      <c r="U40" s="5">
        <f t="shared" ref="U40:AA40" si="8">SUM(U6:U39)</f>
        <v>9805500</v>
      </c>
      <c r="V40" s="5">
        <f t="shared" si="8"/>
        <v>0</v>
      </c>
      <c r="W40" s="5">
        <f t="shared" si="8"/>
        <v>75000</v>
      </c>
      <c r="X40" s="5">
        <f t="shared" si="8"/>
        <v>0</v>
      </c>
      <c r="Y40" s="5">
        <f t="shared" si="8"/>
        <v>0</v>
      </c>
      <c r="Z40" s="5">
        <f t="shared" si="8"/>
        <v>4050000</v>
      </c>
      <c r="AA40" s="5">
        <f t="shared" si="8"/>
        <v>0</v>
      </c>
      <c r="AB40" s="5"/>
      <c r="AC40" s="5">
        <f>SUM(AC6:AC39)</f>
        <v>116000</v>
      </c>
      <c r="AD40" s="5">
        <f>SUM(AD6:AD39)</f>
        <v>185000</v>
      </c>
      <c r="AE40" s="5">
        <f>SUM(AE6:AE39)</f>
        <v>500000</v>
      </c>
      <c r="AF40" s="5">
        <f>SUM(AF6:AF39)</f>
        <v>0</v>
      </c>
      <c r="AG40" s="5">
        <f>SUM(AG6:AG39)</f>
        <v>0</v>
      </c>
      <c r="AH40" s="5"/>
      <c r="AI40" s="5">
        <f t="shared" ref="AI40:BF40" si="9">SUM(AI6:AI39)</f>
        <v>291000</v>
      </c>
      <c r="AJ40" s="5">
        <f t="shared" si="9"/>
        <v>389000</v>
      </c>
      <c r="AK40" s="5">
        <f t="shared" si="9"/>
        <v>1636500</v>
      </c>
      <c r="AL40" s="5">
        <f t="shared" si="9"/>
        <v>7500</v>
      </c>
      <c r="AM40" s="5">
        <f t="shared" si="9"/>
        <v>9000</v>
      </c>
      <c r="AN40" s="5">
        <f t="shared" si="9"/>
        <v>17500</v>
      </c>
      <c r="AO40" s="5">
        <f t="shared" si="9"/>
        <v>0</v>
      </c>
      <c r="AP40" s="5">
        <f t="shared" si="9"/>
        <v>0</v>
      </c>
      <c r="AQ40" s="5">
        <f t="shared" si="9"/>
        <v>0</v>
      </c>
      <c r="AR40" s="5">
        <f t="shared" si="9"/>
        <v>0</v>
      </c>
      <c r="AS40" s="5">
        <f t="shared" si="9"/>
        <v>1818000</v>
      </c>
      <c r="AT40" s="5">
        <f t="shared" si="9"/>
        <v>0</v>
      </c>
      <c r="AU40" s="5">
        <f t="shared" si="9"/>
        <v>0</v>
      </c>
      <c r="AV40" s="5">
        <f t="shared" si="9"/>
        <v>0</v>
      </c>
      <c r="AW40" s="5">
        <f t="shared" si="9"/>
        <v>2575000</v>
      </c>
      <c r="AX40" s="5">
        <f t="shared" si="9"/>
        <v>4704000</v>
      </c>
      <c r="AY40" s="5">
        <f t="shared" si="9"/>
        <v>8336500</v>
      </c>
      <c r="AZ40" s="5">
        <f t="shared" si="9"/>
        <v>19130000</v>
      </c>
      <c r="BA40" s="5">
        <f t="shared" si="9"/>
        <v>1931200</v>
      </c>
      <c r="BB40" s="5">
        <f t="shared" si="9"/>
        <v>0</v>
      </c>
      <c r="BC40" s="5">
        <f t="shared" si="9"/>
        <v>0</v>
      </c>
      <c r="BD40" s="5">
        <f t="shared" si="9"/>
        <v>17103800</v>
      </c>
      <c r="BE40" s="5">
        <f t="shared" si="9"/>
        <v>0</v>
      </c>
      <c r="BF40" s="5">
        <f t="shared" si="9"/>
        <v>294500</v>
      </c>
      <c r="BH40" s="5">
        <f t="shared" ref="BH40:BL40" si="10">SUM(BH6:BH39)</f>
        <v>102000</v>
      </c>
      <c r="BI40" s="5">
        <f t="shared" si="10"/>
        <v>500000</v>
      </c>
      <c r="BJ40" s="5">
        <f t="shared" si="10"/>
        <v>100000</v>
      </c>
      <c r="BK40" s="5">
        <f t="shared" si="10"/>
        <v>300000</v>
      </c>
      <c r="BL40" s="5">
        <f t="shared" si="10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19130000</v>
      </c>
      <c r="D47" s="9">
        <f>SUMIFS(D8:D40,H8:H40,"BANQUE")</f>
        <v>0</v>
      </c>
      <c r="F47" s="9">
        <f>E40</f>
        <v>801500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36914000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V83"/>
  <sheetViews>
    <sheetView zoomScaleNormal="100" workbookViewId="0">
      <pane xSplit="4" ySplit="5" topLeftCell="V18" activePane="bottomRight" state="frozen"/>
      <selection pane="topRight" activeCell="E1" sqref="E1"/>
      <selection pane="bottomLeft" activeCell="A6" sqref="A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9" x14ac:dyDescent="0.25">
      <c r="A1" s="1" t="s">
        <v>2</v>
      </c>
      <c r="B1" s="1" t="s">
        <v>3</v>
      </c>
      <c r="C1" s="1"/>
    </row>
    <row r="2" spans="1:69" x14ac:dyDescent="0.25">
      <c r="A2" s="1" t="s">
        <v>4</v>
      </c>
      <c r="B2" s="1">
        <v>2023</v>
      </c>
      <c r="C2" s="1"/>
    </row>
    <row r="3" spans="1:69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9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9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VLOOKUP(A6,[18]HISTOBQUEJANV23!$A$6:$G$44,3,0)</f>
        <v>175000</v>
      </c>
      <c r="E6" s="9">
        <f>VLOOKUP(A6,[18]HISTOBQUEJANV23!$A$6:$G$39,4,0)</f>
        <v>0</v>
      </c>
      <c r="F6" s="9">
        <f>VLOOKUP(A6,[18]HISTOBQUEJANV23!$A$6:$G$39,5,0)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0"/>
      <c r="Q6" s="2"/>
      <c r="R6" s="20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11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9" ht="18.75" x14ac:dyDescent="0.3">
      <c r="A7" s="1" t="s">
        <v>161</v>
      </c>
      <c r="B7" s="1" t="str">
        <f>VLOOKUP(A7,[17]LISTADHERENT!A$5:H$39,3,0)</f>
        <v>BAKOP ACHILLE</v>
      </c>
      <c r="C7" s="9">
        <f t="shared" si="0"/>
        <v>0</v>
      </c>
      <c r="D7" s="9">
        <f>VLOOKUP(A7,[18]HISTOBQUEJANV23!$A$6:$G$44,3,0)</f>
        <v>0</v>
      </c>
      <c r="E7" s="9">
        <f>VLOOKUP(A7,[18]HISTOBQUEJANV23!$A$6:$G$39,4,0)</f>
        <v>104000</v>
      </c>
      <c r="F7" s="9">
        <f>VLOOKUP(A7,[18]HISTOBQUEJANV23!$A$6:$G$39,5,0)</f>
        <v>0</v>
      </c>
      <c r="G7" s="5">
        <f>IF(H7="ESPECES",3000,0)-3000</f>
        <v>0</v>
      </c>
      <c r="H7" s="10" t="str">
        <f t="shared" si="1"/>
        <v>ESPECES</v>
      </c>
      <c r="I7" s="10">
        <v>64000</v>
      </c>
      <c r="J7" s="11">
        <v>1</v>
      </c>
      <c r="K7" s="11">
        <f>IF($D7&lt;&gt;0,J7*40000,IF($E7&lt;&gt;0,J7*40000,0))</f>
        <v>40000</v>
      </c>
      <c r="L7" s="6"/>
      <c r="M7" s="11">
        <f t="shared" ref="M7" si="7">IF($D7&lt;&gt;0,L7*75000,IF($E7&lt;&gt;0,L7*75000,0))</f>
        <v>0</v>
      </c>
      <c r="N7" s="6"/>
      <c r="O7" s="11">
        <f t="shared" ref="O7" si="8">IF($D7&lt;&gt;0,N7*100000,IF($E7&lt;&gt;0,N7*100000,0))</f>
        <v>0</v>
      </c>
      <c r="P7" s="20"/>
      <c r="Q7" s="2"/>
      <c r="R7" s="20"/>
      <c r="S7" s="20"/>
      <c r="T7" s="12"/>
      <c r="U7" s="17">
        <f>G7+S7++R7+P7+O7+M7+I7+K7+Q7+V7+W7</f>
        <v>104000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9">IF(H7="ECHEC",0,(K7+I7-25000))</f>
        <v>79000</v>
      </c>
      <c r="AT7" s="15"/>
      <c r="AV7" s="15"/>
      <c r="AW7" s="15">
        <f t="shared" ref="AW7:AW36" si="10">IF(AC7=0,AI7,(1*25000*12)+AI7-AC7)</f>
        <v>0</v>
      </c>
      <c r="AX7" s="15">
        <f t="shared" ref="AX7:AX36" si="11">IF(AD7=0,AJ7,(1*75000*12)+(AJ7)-AD7)</f>
        <v>0</v>
      </c>
      <c r="AY7" s="15">
        <f t="shared" ref="AY7:AY36" si="12">IF(AE7=0,AK7,(1*100000*12)+(AK7)-AE7)</f>
        <v>0</v>
      </c>
      <c r="AZ7" s="16">
        <f t="shared" ref="AZ7:AZ36" si="13">SUM(AV7:AY7)-BF7+Z7-F7+BH7+BI7+BJ7+BK7+BL7+BM7</f>
        <v>0</v>
      </c>
      <c r="BA7" s="58"/>
      <c r="BB7" s="58"/>
      <c r="BC7" s="15"/>
      <c r="BD7" s="57">
        <f t="shared" ref="BD7:BD36" si="14">IF(AZ7=0,(AZ7-BA7-BC7),(AZ7-BA7-BB7-BC7))+F7</f>
        <v>0</v>
      </c>
      <c r="BE7" s="82"/>
      <c r="BF7" s="29">
        <f t="shared" si="6"/>
        <v>0</v>
      </c>
      <c r="BG7" s="29">
        <v>11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9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VLOOKUP(A8,[18]HISTOBQUEJANV23!$A$6:$G$44,3,0)</f>
        <v>105000</v>
      </c>
      <c r="E8" s="9">
        <f>VLOOKUP(A8,[18]HISTOBQUEJANV23!$A$6:$G$39,4,0)</f>
        <v>10000</v>
      </c>
      <c r="F8" s="9">
        <f>VLOOKUP(A8,[18]HISTOBQUEJANV23!$A$6:$G$39,5,0)</f>
        <v>0</v>
      </c>
      <c r="G8" s="5">
        <f t="shared" ref="G8:G36" si="15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6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0"/>
      <c r="Q8" s="2">
        <f>VLOOKUP(A8,[13]TONTJANV23!$A$7:$P$20,10,0)</f>
        <v>0</v>
      </c>
      <c r="R8" s="2"/>
      <c r="S8" s="20"/>
      <c r="T8" s="12"/>
      <c r="U8" s="17">
        <f t="shared" ref="U8:U36" si="17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9"/>
        <v>15000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0</v>
      </c>
      <c r="BA8" s="58"/>
      <c r="BB8" s="58"/>
      <c r="BC8" s="15"/>
      <c r="BD8" s="57">
        <f t="shared" si="14"/>
        <v>0</v>
      </c>
      <c r="BE8" s="82"/>
      <c r="BF8" s="29">
        <f t="shared" si="6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9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VLOOKUP(A9,[18]HISTOBQUEJANV23!$A$6:$G$44,3,0)</f>
        <v>160000</v>
      </c>
      <c r="E9" s="9">
        <f>VLOOKUP(A9,[18]HISTOBQUEJANV23!$A$6:$G$39,4,0)</f>
        <v>0</v>
      </c>
      <c r="F9" s="9">
        <f>VLOOKUP(A9,[18]HISTOBQUEJANV23!$A$6:$G$39,5,0)+140000</f>
        <v>140000</v>
      </c>
      <c r="G9" s="5">
        <f t="shared" si="15"/>
        <v>0</v>
      </c>
      <c r="H9" s="10" t="str">
        <f t="shared" si="1"/>
        <v>BANQUE</v>
      </c>
      <c r="I9" s="10">
        <v>20000</v>
      </c>
      <c r="J9" s="11">
        <v>1</v>
      </c>
      <c r="K9" s="11">
        <f t="shared" si="16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0"/>
      <c r="Q9" s="2"/>
      <c r="R9" s="20"/>
      <c r="S9" s="20"/>
      <c r="T9" s="12"/>
      <c r="U9" s="17">
        <f t="shared" si="17"/>
        <v>160000</v>
      </c>
      <c r="V9" s="12"/>
      <c r="W9" s="12"/>
      <c r="X9" s="12"/>
      <c r="Y9" s="12"/>
      <c r="Z9" s="12"/>
      <c r="AA9" s="12"/>
      <c r="AB9" s="12"/>
      <c r="AC9" s="12">
        <v>45000</v>
      </c>
      <c r="AD9" s="12"/>
      <c r="AE9" s="12"/>
      <c r="AF9" s="12" t="s">
        <v>8</v>
      </c>
      <c r="AG9" s="12"/>
      <c r="AH9" s="12"/>
      <c r="AI9" s="12"/>
      <c r="AJ9" s="12"/>
      <c r="AK9" s="12">
        <v>50000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9"/>
        <v>35000</v>
      </c>
      <c r="AT9" s="15"/>
      <c r="AV9" s="15"/>
      <c r="AW9" s="15">
        <f t="shared" si="10"/>
        <v>255000</v>
      </c>
      <c r="AX9" s="15">
        <f t="shared" si="11"/>
        <v>0</v>
      </c>
      <c r="AY9" s="15">
        <f t="shared" si="12"/>
        <v>50000</v>
      </c>
      <c r="AZ9" s="16">
        <f t="shared" si="13"/>
        <v>165000</v>
      </c>
      <c r="BA9" s="58">
        <v>50000</v>
      </c>
      <c r="BB9" s="58">
        <v>140000</v>
      </c>
      <c r="BC9" s="15"/>
      <c r="BD9" s="57">
        <f t="shared" si="14"/>
        <v>115000</v>
      </c>
      <c r="BE9" s="82">
        <v>115000</v>
      </c>
      <c r="BF9" s="29">
        <f t="shared" si="6"/>
        <v>0</v>
      </c>
      <c r="BG9" s="29">
        <v>11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  <c r="BQ9">
        <v>115000</v>
      </c>
    </row>
    <row r="10" spans="1:69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VLOOKUP(A10,[18]HISTOBQUEJANV23!$A$6:$G$44,3,0)</f>
        <v>40000</v>
      </c>
      <c r="E10" s="9">
        <f>VLOOKUP(A10,[18]HISTOBQUEJANV23!$A$6:$G$39,4,0)</f>
        <v>0</v>
      </c>
      <c r="F10" s="9">
        <f>VLOOKUP(A10,[18]HISTOBQUEJANV23!$A$6:$G$39,5,0)</f>
        <v>0</v>
      </c>
      <c r="G10" s="5">
        <f t="shared" si="15"/>
        <v>0</v>
      </c>
      <c r="H10" s="10" t="str">
        <f t="shared" si="1"/>
        <v>BANQUE</v>
      </c>
      <c r="I10" s="10"/>
      <c r="J10" s="11">
        <v>1</v>
      </c>
      <c r="K10" s="11">
        <f t="shared" si="16"/>
        <v>40000</v>
      </c>
      <c r="L10" s="6"/>
      <c r="M10" s="11">
        <f t="shared" si="2"/>
        <v>0</v>
      </c>
      <c r="N10" s="6"/>
      <c r="O10" s="11">
        <f t="shared" si="3"/>
        <v>0</v>
      </c>
      <c r="P10" s="20"/>
      <c r="Q10" s="2"/>
      <c r="R10" s="20"/>
      <c r="S10" s="20"/>
      <c r="T10" s="12"/>
      <c r="U10" s="17">
        <f t="shared" si="17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3000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9"/>
        <v>15000</v>
      </c>
      <c r="AT10" s="15"/>
      <c r="AV10" s="15"/>
      <c r="AW10" s="15">
        <f t="shared" si="10"/>
        <v>60000</v>
      </c>
      <c r="AX10" s="15">
        <f t="shared" si="11"/>
        <v>0</v>
      </c>
      <c r="AY10" s="15">
        <f t="shared" si="12"/>
        <v>0</v>
      </c>
      <c r="AZ10" s="16">
        <f t="shared" si="13"/>
        <v>60000</v>
      </c>
      <c r="BA10" s="58">
        <v>60000</v>
      </c>
      <c r="BB10" s="58"/>
      <c r="BC10" s="15"/>
      <c r="BD10" s="57">
        <f t="shared" si="14"/>
        <v>0</v>
      </c>
      <c r="BE10" s="82"/>
      <c r="BF10" s="29">
        <f t="shared" si="6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9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VLOOKUP(A11,[18]HISTOBQUEJANV23!$A$6:$G$44,3,0)</f>
        <v>115000</v>
      </c>
      <c r="E11" s="9">
        <f>VLOOKUP(A11,[18]HISTOBQUEJANV23!$A$6:$G$39,4,0)</f>
        <v>0</v>
      </c>
      <c r="F11" s="9">
        <f>VLOOKUP(A11,[18]HISTOBQUEJANV23!$A$6:$G$39,5,0)</f>
        <v>0</v>
      </c>
      <c r="G11" s="5">
        <f t="shared" si="15"/>
        <v>0</v>
      </c>
      <c r="H11" s="10" t="str">
        <f t="shared" si="1"/>
        <v>BANQUE</v>
      </c>
      <c r="I11" s="10"/>
      <c r="J11" s="11">
        <v>1</v>
      </c>
      <c r="K11" s="11">
        <f t="shared" si="16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0"/>
      <c r="Q11" s="2">
        <f>VLOOKUP(A11,[13]TONTJANV23!$A$7:$P$20,10,0)</f>
        <v>0</v>
      </c>
      <c r="R11" s="20"/>
      <c r="S11" s="20"/>
      <c r="T11" s="12"/>
      <c r="U11" s="17">
        <f t="shared" si="17"/>
        <v>115000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60000</v>
      </c>
      <c r="AJ11" s="12"/>
      <c r="AK11" s="12"/>
      <c r="AL11" s="12">
        <v>2000</v>
      </c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9"/>
        <v>15000</v>
      </c>
      <c r="AT11" s="15"/>
      <c r="AV11" s="15"/>
      <c r="AW11" s="15">
        <f t="shared" si="10"/>
        <v>60000</v>
      </c>
      <c r="AX11" s="15">
        <f t="shared" si="11"/>
        <v>0</v>
      </c>
      <c r="AY11" s="15">
        <f t="shared" si="12"/>
        <v>0</v>
      </c>
      <c r="AZ11" s="16">
        <f t="shared" si="13"/>
        <v>60000</v>
      </c>
      <c r="BA11" s="58">
        <v>60000</v>
      </c>
      <c r="BB11" s="58"/>
      <c r="BC11" s="15"/>
      <c r="BD11" s="57">
        <f t="shared" si="14"/>
        <v>0</v>
      </c>
      <c r="BE11" s="82"/>
      <c r="BF11" s="29">
        <f t="shared" si="6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9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VLOOKUP(A12,[18]HISTOBQUEJANV23!$A$6:$G$44,3,0)</f>
        <v>320000</v>
      </c>
      <c r="E12" s="9">
        <f>VLOOKUP(A12,[18]HISTOBQUEJANV23!$A$6:$G$39,4,0)</f>
        <v>0</v>
      </c>
      <c r="F12" s="9">
        <f>VLOOKUP(A12,[18]HISTOBQUEJANV23!$A$6:$G$39,5,0)</f>
        <v>0</v>
      </c>
      <c r="G12" s="5">
        <f t="shared" si="15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6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0"/>
      <c r="Q12" s="2">
        <f>VLOOKUP(A12,[13]TONTJANV23!$A$7:$P$20,10,0)</f>
        <v>0</v>
      </c>
      <c r="R12" s="20"/>
      <c r="S12" s="20"/>
      <c r="T12" s="12"/>
      <c r="U12" s="17">
        <f t="shared" si="1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9"/>
        <v>20000</v>
      </c>
      <c r="AT12" s="15"/>
      <c r="AV12" s="15"/>
      <c r="AW12" s="15">
        <f t="shared" si="10"/>
        <v>0</v>
      </c>
      <c r="AX12" s="15">
        <f t="shared" si="11"/>
        <v>0</v>
      </c>
      <c r="AY12" s="15">
        <f t="shared" si="12"/>
        <v>0</v>
      </c>
      <c r="AZ12" s="16">
        <f t="shared" si="13"/>
        <v>0</v>
      </c>
      <c r="BA12" s="58"/>
      <c r="BB12" s="58"/>
      <c r="BC12" s="15"/>
      <c r="BD12" s="57">
        <f t="shared" si="14"/>
        <v>0</v>
      </c>
      <c r="BE12" s="82"/>
      <c r="BF12" s="29">
        <f t="shared" si="6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9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VLOOKUP(A13,[18]HISTOBQUEJANV23!$A$6:$G$44,3,0)</f>
        <v>40000</v>
      </c>
      <c r="E13" s="9">
        <f>VLOOKUP(A13,[18]HISTOBQUEJANV23!$A$6:$G$39,4,0)</f>
        <v>0</v>
      </c>
      <c r="F13" s="9">
        <f>VLOOKUP(A13,[18]HISTOBQUEJANV23!$A$6:$G$39,5,0)</f>
        <v>0</v>
      </c>
      <c r="G13" s="5">
        <f t="shared" si="15"/>
        <v>0</v>
      </c>
      <c r="H13" s="10" t="str">
        <f t="shared" si="1"/>
        <v>BANQUE</v>
      </c>
      <c r="I13" s="10"/>
      <c r="J13" s="11">
        <v>1</v>
      </c>
      <c r="K13" s="11">
        <f t="shared" si="16"/>
        <v>40000</v>
      </c>
      <c r="L13" s="6"/>
      <c r="M13" s="11">
        <f t="shared" si="2"/>
        <v>0</v>
      </c>
      <c r="N13" s="6"/>
      <c r="O13" s="11">
        <f t="shared" si="3"/>
        <v>0</v>
      </c>
      <c r="P13" s="20"/>
      <c r="Q13" s="2"/>
      <c r="R13" s="20"/>
      <c r="S13" s="20"/>
      <c r="T13" s="12"/>
      <c r="U13" s="17">
        <f t="shared" si="1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9"/>
        <v>15000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3"/>
        <v>0</v>
      </c>
      <c r="BA13" s="58"/>
      <c r="BB13" s="58"/>
      <c r="BC13" s="15"/>
      <c r="BD13" s="57">
        <f t="shared" si="14"/>
        <v>0</v>
      </c>
      <c r="BE13" s="82"/>
      <c r="BF13" s="29">
        <f t="shared" si="6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9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VLOOKUP(A14,[18]HISTOBQUEJANV23!$A$6:$G$44,3,0)</f>
        <v>40000</v>
      </c>
      <c r="E14" s="9">
        <f>VLOOKUP(A14,[18]HISTOBQUEJANV23!$A$6:$G$39,4,0)</f>
        <v>0</v>
      </c>
      <c r="F14" s="9">
        <f>VLOOKUP(A14,[18]HISTOBQUEJANV23!$A$6:$G$39,5,0)</f>
        <v>0</v>
      </c>
      <c r="G14" s="5">
        <f t="shared" si="15"/>
        <v>0</v>
      </c>
      <c r="H14" s="10" t="str">
        <f t="shared" si="1"/>
        <v>BANQUE</v>
      </c>
      <c r="I14" s="10"/>
      <c r="J14" s="11">
        <v>1</v>
      </c>
      <c r="K14" s="11">
        <f t="shared" si="16"/>
        <v>40000</v>
      </c>
      <c r="L14" s="6"/>
      <c r="M14" s="11">
        <f t="shared" si="2"/>
        <v>0</v>
      </c>
      <c r="N14" s="6"/>
      <c r="O14" s="11">
        <f t="shared" si="3"/>
        <v>0</v>
      </c>
      <c r="P14" s="20"/>
      <c r="Q14" s="2"/>
      <c r="R14" s="20"/>
      <c r="S14" s="20"/>
      <c r="T14" s="12"/>
      <c r="U14" s="17">
        <f t="shared" si="1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9"/>
        <v>15000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3"/>
        <v>0</v>
      </c>
      <c r="BA14" s="58"/>
      <c r="BB14" s="58"/>
      <c r="BC14" s="15"/>
      <c r="BD14" s="57">
        <f t="shared" si="14"/>
        <v>0</v>
      </c>
      <c r="BE14" s="82"/>
      <c r="BF14" s="29">
        <f t="shared" si="6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9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VLOOKUP(A15,[18]HISTOBQUEJANV23!$A$6:$G$44,3,0)</f>
        <v>115000</v>
      </c>
      <c r="E15" s="9">
        <f>VLOOKUP(A15,[18]HISTOBQUEJANV23!$A$6:$G$39,4,0)</f>
        <v>0</v>
      </c>
      <c r="F15" s="9">
        <f>VLOOKUP(A15,[18]HISTOBQUEJANV23!$A$6:$G$39,5,0)</f>
        <v>0</v>
      </c>
      <c r="G15" s="5">
        <f t="shared" si="15"/>
        <v>0</v>
      </c>
      <c r="H15" s="10" t="str">
        <f t="shared" si="1"/>
        <v>BANQUE</v>
      </c>
      <c r="I15" s="10"/>
      <c r="J15" s="11">
        <v>1</v>
      </c>
      <c r="K15" s="11">
        <f t="shared" si="16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0"/>
      <c r="Q15" s="2">
        <f>VLOOKUP(A15,[13]TONTJANV23!$A$7:$P$20,10,0)</f>
        <v>0</v>
      </c>
      <c r="R15" s="20"/>
      <c r="S15" s="20"/>
      <c r="T15" s="12"/>
      <c r="U15" s="17">
        <f t="shared" si="1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9"/>
        <v>15000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3"/>
        <v>0</v>
      </c>
      <c r="BA15" s="58"/>
      <c r="BB15" s="58"/>
      <c r="BC15" s="15"/>
      <c r="BD15" s="57">
        <f t="shared" si="14"/>
        <v>0</v>
      </c>
      <c r="BE15" s="82"/>
      <c r="BF15" s="29">
        <f t="shared" si="6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9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VLOOKUP(A16,[18]HISTOBQUEJANV23!$A$6:$G$44,3,0)</f>
        <v>250000</v>
      </c>
      <c r="E16" s="9">
        <f>VLOOKUP(A16,[18]HISTOBQUEJANV23!$A$6:$G$39,4,0)</f>
        <v>0</v>
      </c>
      <c r="F16" s="9">
        <f>VLOOKUP(A16,[18]HISTOBQUEJANV23!$A$6:$G$39,5,0)</f>
        <v>0</v>
      </c>
      <c r="G16" s="5">
        <f t="shared" si="15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6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0"/>
      <c r="Q16" s="2">
        <f>VLOOKUP(A16,[13]TONTJANV23!$A$7:$P$20,10,0)</f>
        <v>0</v>
      </c>
      <c r="R16" s="20"/>
      <c r="S16" s="20"/>
      <c r="T16" s="12"/>
      <c r="U16" s="17">
        <f t="shared" si="17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9"/>
        <v>50000</v>
      </c>
      <c r="AT16" s="15"/>
      <c r="AV16" s="15"/>
      <c r="AW16" s="15">
        <f t="shared" si="10"/>
        <v>0</v>
      </c>
      <c r="AX16" s="15">
        <f t="shared" si="11"/>
        <v>0</v>
      </c>
      <c r="AY16" s="15">
        <f t="shared" si="12"/>
        <v>0</v>
      </c>
      <c r="AZ16" s="16">
        <f t="shared" si="13"/>
        <v>0</v>
      </c>
      <c r="BA16" s="58"/>
      <c r="BB16" s="58"/>
      <c r="BC16" s="15"/>
      <c r="BD16" s="57">
        <f t="shared" si="14"/>
        <v>0</v>
      </c>
      <c r="BE16" s="82"/>
      <c r="BF16" s="29">
        <f t="shared" si="6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74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VLOOKUP(A17,[18]HISTOBQUEJANV23!$A$6:$G$44,3,0)</f>
        <v>140000</v>
      </c>
      <c r="E17" s="9">
        <f>VLOOKUP(A17,[18]HISTOBQUEJANV23!$A$6:$G$39,4,0)</f>
        <v>0</v>
      </c>
      <c r="F17" s="9">
        <f>VLOOKUP(A17,[18]HISTOBQUEJANV23!$A$6:$G$39,5,0)</f>
        <v>0</v>
      </c>
      <c r="G17" s="5">
        <f t="shared" si="15"/>
        <v>0</v>
      </c>
      <c r="H17" s="10" t="str">
        <f t="shared" si="1"/>
        <v>BANQUE</v>
      </c>
      <c r="I17" s="10"/>
      <c r="J17" s="11">
        <v>1</v>
      </c>
      <c r="K17" s="11">
        <f t="shared" si="16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0"/>
      <c r="Q17" s="2"/>
      <c r="R17" s="20"/>
      <c r="S17" s="20"/>
      <c r="T17" s="12"/>
      <c r="U17" s="17">
        <f t="shared" si="17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9"/>
        <v>15000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0</v>
      </c>
      <c r="AZ17" s="16">
        <f t="shared" si="13"/>
        <v>0</v>
      </c>
      <c r="BA17" s="58"/>
      <c r="BB17" s="58"/>
      <c r="BC17" s="15"/>
      <c r="BD17" s="57">
        <f t="shared" si="14"/>
        <v>0</v>
      </c>
      <c r="BE17" s="82"/>
      <c r="BF17" s="29">
        <f t="shared" si="6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74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VLOOKUP(A18,[18]HISTOBQUEJANV23!$A$6:$G$44,3,0)</f>
        <v>180000</v>
      </c>
      <c r="E18" s="9">
        <f>VLOOKUP(A18,[18]HISTOBQUEJANV23!$A$6:$G$39,4,0)</f>
        <v>35000</v>
      </c>
      <c r="F18" s="9">
        <f>VLOOKUP(A18,[18]HISTOBQUEJANV23!$A$6:$G$39,5,0)+70000</f>
        <v>70000</v>
      </c>
      <c r="G18" s="5">
        <f t="shared" si="15"/>
        <v>0</v>
      </c>
      <c r="H18" s="10" t="str">
        <f t="shared" si="1"/>
        <v>BANQUE</v>
      </c>
      <c r="I18" s="10"/>
      <c r="J18" s="11">
        <v>1</v>
      </c>
      <c r="K18" s="11">
        <f t="shared" si="16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0"/>
      <c r="Q18" s="2">
        <f>VLOOKUP(A18,[13]TONTJANV23!$A$7:$P$20,10,0)</f>
        <v>0</v>
      </c>
      <c r="R18" s="20"/>
      <c r="S18" s="20"/>
      <c r="T18" s="12"/>
      <c r="U18" s="17">
        <f t="shared" si="17"/>
        <v>215000</v>
      </c>
      <c r="V18" s="12"/>
      <c r="W18" s="12"/>
      <c r="X18" s="12"/>
      <c r="Y18" s="12"/>
      <c r="Z18" s="12"/>
      <c r="AA18" s="12"/>
      <c r="AB18" s="12"/>
      <c r="AC18" s="12">
        <v>40000</v>
      </c>
      <c r="AD18" s="12"/>
      <c r="AE18" s="12">
        <v>125000</v>
      </c>
      <c r="AF18" s="12" t="s">
        <v>8</v>
      </c>
      <c r="AG18" s="12"/>
      <c r="AH18" s="12"/>
      <c r="AI18" s="12"/>
      <c r="AJ18" s="12">
        <f>50000+50000</f>
        <v>100000</v>
      </c>
      <c r="AK18" s="12"/>
      <c r="AL18" s="12"/>
      <c r="AM18" s="12">
        <f>1000+1000</f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9"/>
        <v>15000</v>
      </c>
      <c r="AT18" s="15"/>
      <c r="AV18" s="15"/>
      <c r="AW18" s="15">
        <f t="shared" si="10"/>
        <v>260000</v>
      </c>
      <c r="AX18" s="15">
        <f t="shared" si="11"/>
        <v>100000</v>
      </c>
      <c r="AY18" s="15">
        <f t="shared" si="12"/>
        <v>1075000</v>
      </c>
      <c r="AZ18" s="16">
        <f t="shared" si="13"/>
        <v>1365000</v>
      </c>
      <c r="BA18" s="58"/>
      <c r="BB18" s="58">
        <v>70000</v>
      </c>
      <c r="BC18" s="15"/>
      <c r="BD18" s="57">
        <f t="shared" si="14"/>
        <v>1365000</v>
      </c>
      <c r="BE18" s="82">
        <f>1075000+100000+190000</f>
        <v>1365000</v>
      </c>
      <c r="BF18" s="29">
        <f t="shared" si="6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  <c r="BQ18">
        <v>1075000</v>
      </c>
      <c r="BS18">
        <v>100000</v>
      </c>
      <c r="BT18" t="s">
        <v>126</v>
      </c>
      <c r="BU18">
        <v>257000</v>
      </c>
      <c r="BV18" t="s">
        <v>176</v>
      </c>
    </row>
    <row r="19" spans="1:74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VLOOKUP(A19,[18]HISTOBQUEJANV23!$A$6:$G$44,3,0)</f>
        <v>40000</v>
      </c>
      <c r="E19" s="9">
        <f>VLOOKUP(A19,[18]HISTOBQUEJANV23!$A$6:$G$39,4,0)</f>
        <v>0</v>
      </c>
      <c r="F19" s="9">
        <f>VLOOKUP(A19,[18]HISTOBQUEJANV23!$A$6:$G$39,5,0)</f>
        <v>0</v>
      </c>
      <c r="G19" s="5">
        <f t="shared" si="15"/>
        <v>0</v>
      </c>
      <c r="H19" s="10" t="str">
        <f t="shared" si="1"/>
        <v>BANQUE</v>
      </c>
      <c r="I19" s="10"/>
      <c r="J19" s="11">
        <v>1</v>
      </c>
      <c r="K19" s="11">
        <f t="shared" si="16"/>
        <v>40000</v>
      </c>
      <c r="L19" s="6"/>
      <c r="M19" s="11">
        <f t="shared" si="2"/>
        <v>0</v>
      </c>
      <c r="N19" s="6"/>
      <c r="O19" s="11">
        <f t="shared" si="3"/>
        <v>0</v>
      </c>
      <c r="P19" s="20"/>
      <c r="Q19" s="2"/>
      <c r="R19" s="20"/>
      <c r="S19" s="20"/>
      <c r="T19" s="12"/>
      <c r="U19" s="17">
        <f t="shared" si="1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9"/>
        <v>15000</v>
      </c>
      <c r="AT19" s="15"/>
      <c r="AV19" s="15"/>
      <c r="AW19" s="15">
        <f t="shared" si="10"/>
        <v>0</v>
      </c>
      <c r="AX19" s="15">
        <f t="shared" si="11"/>
        <v>0</v>
      </c>
      <c r="AY19" s="15">
        <f t="shared" si="12"/>
        <v>0</v>
      </c>
      <c r="AZ19" s="16">
        <f t="shared" si="13"/>
        <v>0</v>
      </c>
      <c r="BA19" s="58"/>
      <c r="BB19" s="58"/>
      <c r="BC19" s="15"/>
      <c r="BD19" s="57">
        <f t="shared" si="14"/>
        <v>0</v>
      </c>
      <c r="BE19" s="82"/>
      <c r="BF19" s="29">
        <f t="shared" si="6"/>
        <v>0</v>
      </c>
      <c r="BG19" s="29">
        <v>11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  <c r="BQ19">
        <v>100000</v>
      </c>
      <c r="BR19" t="s">
        <v>173</v>
      </c>
    </row>
    <row r="20" spans="1:74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VLOOKUP(A20,[18]HISTOBQUEJANV23!$A$6:$G$44,3,0)</f>
        <v>215000</v>
      </c>
      <c r="E20" s="9">
        <f>VLOOKUP(A20,[18]HISTOBQUEJANV23!$A$6:$G$39,4,0)</f>
        <v>0</v>
      </c>
      <c r="F20" s="9">
        <f>VLOOKUP(A20,[18]HISTOBQUEJANV23!$A$6:$G$39,5,0)</f>
        <v>0</v>
      </c>
      <c r="G20" s="5">
        <f t="shared" si="15"/>
        <v>0</v>
      </c>
      <c r="H20" s="10" t="str">
        <f t="shared" si="1"/>
        <v>BANQUE</v>
      </c>
      <c r="I20" s="10"/>
      <c r="J20" s="11">
        <v>1</v>
      </c>
      <c r="K20" s="11">
        <f t="shared" si="16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0"/>
      <c r="Q20" s="2">
        <f>VLOOKUP(A20,[13]TONTJANV23!$A$7:$P$20,10,0)</f>
        <v>0</v>
      </c>
      <c r="R20" s="20"/>
      <c r="S20" s="20"/>
      <c r="T20" s="12"/>
      <c r="U20" s="17">
        <f t="shared" si="17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>
        <v>125000</v>
      </c>
      <c r="AF20" s="12" t="s">
        <v>8</v>
      </c>
      <c r="AG20" s="12"/>
      <c r="AH20" s="12"/>
      <c r="AI20" s="12"/>
      <c r="AJ20" s="12">
        <f>50000+55000</f>
        <v>105000</v>
      </c>
      <c r="AK20" s="12"/>
      <c r="AL20" s="12"/>
      <c r="AM20" s="12">
        <f>1000+1000</f>
        <v>2000</v>
      </c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9"/>
        <v>15000</v>
      </c>
      <c r="AT20" s="15"/>
      <c r="AV20" s="15"/>
      <c r="AW20" s="15">
        <f t="shared" si="10"/>
        <v>0</v>
      </c>
      <c r="AX20" s="15">
        <f t="shared" si="11"/>
        <v>105000</v>
      </c>
      <c r="AY20" s="15">
        <f t="shared" si="12"/>
        <v>1075000</v>
      </c>
      <c r="AZ20" s="16">
        <f t="shared" si="13"/>
        <v>1180000</v>
      </c>
      <c r="BA20" s="58">
        <v>55000</v>
      </c>
      <c r="BB20" s="58"/>
      <c r="BC20" s="15"/>
      <c r="BD20" s="71">
        <f t="shared" si="14"/>
        <v>1125000</v>
      </c>
      <c r="BE20" s="82">
        <v>986000</v>
      </c>
      <c r="BF20" s="29">
        <f t="shared" si="6"/>
        <v>0</v>
      </c>
      <c r="BG20" s="29">
        <v>11</v>
      </c>
      <c r="BH20" s="15"/>
      <c r="BI20" s="15"/>
      <c r="BJ20" s="15"/>
      <c r="BK20" s="15"/>
      <c r="BL20" s="61"/>
      <c r="BP20" s="6"/>
      <c r="BQ20">
        <v>190000</v>
      </c>
      <c r="BR20" t="s">
        <v>175</v>
      </c>
      <c r="BS20">
        <v>986000</v>
      </c>
      <c r="BT20" t="s">
        <v>172</v>
      </c>
    </row>
    <row r="21" spans="1:74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VLOOKUP(A21,[18]HISTOBQUEJANV23!$A$6:$G$44,3,0)</f>
        <v>40000</v>
      </c>
      <c r="E21" s="9">
        <f>VLOOKUP(A21,[18]HISTOBQUEJANV23!$A$6:$G$39,4,0)</f>
        <v>0</v>
      </c>
      <c r="F21" s="9">
        <f>VLOOKUP(A21,[18]HISTOBQUEJANV23!$A$6:$G$39,5,0)</f>
        <v>0</v>
      </c>
      <c r="G21" s="5">
        <f t="shared" si="15"/>
        <v>0</v>
      </c>
      <c r="H21" s="10" t="str">
        <f t="shared" si="1"/>
        <v>BANQUE</v>
      </c>
      <c r="I21" s="10"/>
      <c r="J21" s="11">
        <v>1</v>
      </c>
      <c r="K21" s="11">
        <f t="shared" si="16"/>
        <v>40000</v>
      </c>
      <c r="L21" s="6"/>
      <c r="M21" s="11">
        <f t="shared" si="2"/>
        <v>0</v>
      </c>
      <c r="N21" s="6"/>
      <c r="O21" s="11">
        <f t="shared" si="3"/>
        <v>0</v>
      </c>
      <c r="P21" s="20"/>
      <c r="Q21" s="2"/>
      <c r="R21" s="20"/>
      <c r="S21" s="20"/>
      <c r="T21" s="12"/>
      <c r="U21" s="17">
        <f t="shared" si="1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9"/>
        <v>15000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0</v>
      </c>
      <c r="BA21" s="58"/>
      <c r="BB21" s="58"/>
      <c r="BC21" s="15"/>
      <c r="BD21" s="57">
        <f>IF(AZ21=0,(AZ21-BA21-BC21),(AZ21-BA21-BB21-BC21))+F21</f>
        <v>0</v>
      </c>
      <c r="BE21" s="82">
        <f>BD20-BE20</f>
        <v>139000</v>
      </c>
      <c r="BF21" s="29">
        <f t="shared" si="6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74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VLOOKUP(A22,[18]HISTOBQUEJANV23!$A$6:$G$44,3,0)</f>
        <v>115000</v>
      </c>
      <c r="E22" s="9">
        <f>VLOOKUP(A22,[18]HISTOBQUEJANV23!$A$6:$G$39,4,0)</f>
        <v>0</v>
      </c>
      <c r="F22" s="9">
        <f>VLOOKUP(A22,[18]HISTOBQUEJANV23!$A$6:$G$39,5,0)</f>
        <v>0</v>
      </c>
      <c r="G22" s="5">
        <f t="shared" si="15"/>
        <v>0</v>
      </c>
      <c r="H22" s="10" t="str">
        <f t="shared" si="1"/>
        <v>BANQUE</v>
      </c>
      <c r="I22" s="10"/>
      <c r="J22" s="11">
        <v>1</v>
      </c>
      <c r="K22" s="11">
        <f t="shared" si="16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0"/>
      <c r="Q22" s="2">
        <f>VLOOKUP(A22,[13]TONTJANV23!$A$7:$P$20,10,0)</f>
        <v>0</v>
      </c>
      <c r="R22" s="20"/>
      <c r="S22" s="20"/>
      <c r="T22" s="12"/>
      <c r="U22" s="17">
        <f t="shared" si="1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9"/>
        <v>15000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3"/>
        <v>0</v>
      </c>
      <c r="BA22" s="58"/>
      <c r="BB22" s="58"/>
      <c r="BC22" s="15"/>
      <c r="BD22" s="57">
        <f t="shared" si="14"/>
        <v>0</v>
      </c>
      <c r="BE22" s="82"/>
      <c r="BF22" s="29">
        <f t="shared" si="6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74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VLOOKUP(A23,[18]HISTOBQUEJANV23!$A$6:$G$44,3,0)</f>
        <v>250000</v>
      </c>
      <c r="E23" s="9">
        <f>VLOOKUP(A23,[18]HISTOBQUEJANV23!$A$6:$G$39,4,0)</f>
        <v>0</v>
      </c>
      <c r="F23" s="9">
        <f>VLOOKUP(A23,[18]HISTOBQUEJANV23!$A$6:$G$39,5,0)</f>
        <v>0</v>
      </c>
      <c r="G23" s="5">
        <f t="shared" si="15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6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0"/>
      <c r="Q23" s="2"/>
      <c r="R23" s="20"/>
      <c r="S23" s="20"/>
      <c r="T23" s="12"/>
      <c r="U23" s="17">
        <f t="shared" si="1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9"/>
        <v>25000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3"/>
        <v>0</v>
      </c>
      <c r="BA23" s="58"/>
      <c r="BB23" s="58"/>
      <c r="BC23" s="15"/>
      <c r="BD23" s="57">
        <f t="shared" si="14"/>
        <v>0</v>
      </c>
      <c r="BE23" s="82"/>
      <c r="BF23" s="29">
        <f t="shared" si="6"/>
        <v>0</v>
      </c>
      <c r="BG23" s="29">
        <v>11</v>
      </c>
      <c r="BH23" s="15"/>
      <c r="BI23" s="15"/>
      <c r="BJ23" s="15"/>
      <c r="BK23" s="15"/>
      <c r="BL23" s="61"/>
    </row>
    <row r="24" spans="1:74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VLOOKUP(A24,[18]HISTOBQUEJANV23!$A$6:$G$44,3,0)</f>
        <v>210000</v>
      </c>
      <c r="E24" s="9">
        <f>VLOOKUP(A24,[18]HISTOBQUEJANV23!$A$6:$G$39,4,0)</f>
        <v>5000</v>
      </c>
      <c r="F24" s="9">
        <f>VLOOKUP(A24,[18]HISTOBQUEJANV23!$A$6:$G$39,5,0)</f>
        <v>0</v>
      </c>
      <c r="G24" s="5">
        <f t="shared" si="15"/>
        <v>0</v>
      </c>
      <c r="H24" s="10" t="str">
        <f t="shared" si="1"/>
        <v>BANQUE</v>
      </c>
      <c r="I24" s="10"/>
      <c r="J24" s="11">
        <v>1</v>
      </c>
      <c r="K24" s="11">
        <f t="shared" si="16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0"/>
      <c r="Q24" s="2">
        <f>VLOOKUP(A24,[13]TONTJANV23!$A$7:$P$20,10,0)</f>
        <v>0</v>
      </c>
      <c r="R24" s="20"/>
      <c r="S24" s="20"/>
      <c r="T24" s="12"/>
      <c r="U24" s="17">
        <f t="shared" si="17"/>
        <v>215000</v>
      </c>
      <c r="V24" s="12"/>
      <c r="W24" s="12"/>
      <c r="X24" s="12"/>
      <c r="Y24" s="12"/>
      <c r="Z24" s="12"/>
      <c r="AA24" s="12"/>
      <c r="AB24" s="12"/>
      <c r="AC24" s="12"/>
      <c r="AD24" s="12">
        <v>105000</v>
      </c>
      <c r="AE24" s="12">
        <v>125000</v>
      </c>
      <c r="AF24" s="12" t="s">
        <v>8</v>
      </c>
      <c r="AG24" s="12"/>
      <c r="AH24" s="12"/>
      <c r="AI24" s="12">
        <v>25000</v>
      </c>
      <c r="AJ24" s="12">
        <f>50000+50000</f>
        <v>100000</v>
      </c>
      <c r="AK24" s="12">
        <v>200000</v>
      </c>
      <c r="AL24" s="12">
        <v>1000</v>
      </c>
      <c r="AM24" s="12">
        <v>2000</v>
      </c>
      <c r="AN24" s="12">
        <v>8000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9"/>
        <v>15000</v>
      </c>
      <c r="AT24" s="15"/>
      <c r="AV24" s="15"/>
      <c r="AW24" s="15">
        <f t="shared" si="10"/>
        <v>25000</v>
      </c>
      <c r="AX24" s="15">
        <f t="shared" si="11"/>
        <v>895000</v>
      </c>
      <c r="AY24" s="15">
        <f>IF(AE24=0,AK24,(1*100000*12)+(AK24)-AE24)</f>
        <v>1275000</v>
      </c>
      <c r="AZ24" s="16">
        <f t="shared" si="13"/>
        <v>2195000</v>
      </c>
      <c r="BA24" s="58"/>
      <c r="BB24" s="58"/>
      <c r="BC24" s="15"/>
      <c r="BD24" s="57">
        <f t="shared" si="14"/>
        <v>2195000</v>
      </c>
      <c r="BE24" s="82">
        <f>1075000+200000+795000+100000+25000</f>
        <v>2195000</v>
      </c>
      <c r="BF24" s="29">
        <f t="shared" si="6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  <c r="BQ24">
        <v>1075000</v>
      </c>
    </row>
    <row r="25" spans="1:74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VLOOKUP(A25,[18]HISTOBQUEJANV23!$A$6:$G$44,3,0)</f>
        <v>280000</v>
      </c>
      <c r="E25" s="9">
        <f>VLOOKUP(A25,[18]HISTOBQUEJANV23!$A$6:$G$39,4,0)</f>
        <v>10000</v>
      </c>
      <c r="F25" s="9">
        <f>VLOOKUP(A25,[18]HISTOBQUEJANV23!$A$6:$G$39,5,0)</f>
        <v>0</v>
      </c>
      <c r="G25" s="5">
        <f t="shared" si="15"/>
        <v>0</v>
      </c>
      <c r="H25" s="10" t="str">
        <f t="shared" si="1"/>
        <v>BANQUE</v>
      </c>
      <c r="I25" s="10"/>
      <c r="J25" s="11">
        <v>1</v>
      </c>
      <c r="K25" s="11">
        <f t="shared" si="16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0"/>
      <c r="Q25" s="2">
        <f>VLOOKUP(A25,[13]TONTJANV23!$A$7:$P$20,10,0)</f>
        <v>0</v>
      </c>
      <c r="R25" s="20"/>
      <c r="S25" s="20"/>
      <c r="T25" s="12"/>
      <c r="U25" s="17">
        <f t="shared" si="17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>
        <v>30000</v>
      </c>
      <c r="AJ25" s="12">
        <f>50000+50000</f>
        <v>100000</v>
      </c>
      <c r="AK25" s="12">
        <f>25000+50000</f>
        <v>75000</v>
      </c>
      <c r="AL25" s="12">
        <v>1000</v>
      </c>
      <c r="AM25" s="12">
        <f>1000+1000</f>
        <v>2000</v>
      </c>
      <c r="AN25" s="12">
        <v>3000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9"/>
        <v>15000</v>
      </c>
      <c r="AT25" s="15"/>
      <c r="AV25" s="15"/>
      <c r="AW25" s="15">
        <f t="shared" si="10"/>
        <v>30000</v>
      </c>
      <c r="AX25" s="15">
        <f t="shared" si="11"/>
        <v>100000</v>
      </c>
      <c r="AY25" s="15">
        <f t="shared" si="12"/>
        <v>75000</v>
      </c>
      <c r="AZ25" s="16">
        <f t="shared" si="13"/>
        <v>205000</v>
      </c>
      <c r="BA25" s="58">
        <f>25000+50000+50000+50000+30000</f>
        <v>205000</v>
      </c>
      <c r="BB25" s="58"/>
      <c r="BC25" s="15"/>
      <c r="BD25" s="57">
        <f t="shared" si="14"/>
        <v>0</v>
      </c>
      <c r="BE25" s="82"/>
      <c r="BF25" s="29">
        <f t="shared" si="6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  <c r="BQ25">
        <v>200000</v>
      </c>
      <c r="BR25" t="s">
        <v>172</v>
      </c>
    </row>
    <row r="26" spans="1:74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VLOOKUP(A26,[18]HISTOBQUEJANV23!$A$6:$G$44,3,0)</f>
        <v>0</v>
      </c>
      <c r="E26" s="9">
        <f>VLOOKUP(A26,[18]HISTOBQUEJANV23!$A$6:$G$39,4,0)</f>
        <v>40000</v>
      </c>
      <c r="F26" s="9">
        <f>VLOOKUP(A26,[18]HISTOBQUEJANV23!$A$6:$G$39,5,0)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6"/>
        <v>40000</v>
      </c>
      <c r="L26" s="6"/>
      <c r="M26" s="11">
        <f t="shared" si="2"/>
        <v>0</v>
      </c>
      <c r="N26" s="6"/>
      <c r="O26" s="11">
        <f t="shared" si="3"/>
        <v>0</v>
      </c>
      <c r="P26" s="20"/>
      <c r="Q26" s="2"/>
      <c r="R26" s="20"/>
      <c r="S26" s="20"/>
      <c r="T26" s="12"/>
      <c r="U26" s="17">
        <f t="shared" si="17"/>
        <v>40000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2000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9"/>
        <v>15000</v>
      </c>
      <c r="AT26" s="15"/>
      <c r="AV26" s="15"/>
      <c r="AW26" s="15">
        <f t="shared" si="10"/>
        <v>60000</v>
      </c>
      <c r="AX26" s="15">
        <f t="shared" si="11"/>
        <v>0</v>
      </c>
      <c r="AY26" s="15">
        <f t="shared" si="12"/>
        <v>0</v>
      </c>
      <c r="AZ26" s="16">
        <f t="shared" si="13"/>
        <v>60000</v>
      </c>
      <c r="BA26" s="58">
        <v>60000</v>
      </c>
      <c r="BB26" s="58"/>
      <c r="BC26" s="15"/>
      <c r="BD26" s="57">
        <f t="shared" si="14"/>
        <v>0</v>
      </c>
      <c r="BE26" s="82"/>
      <c r="BF26" s="29">
        <f t="shared" si="6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  <c r="BQ26">
        <v>795000</v>
      </c>
      <c r="BR26" t="s">
        <v>173</v>
      </c>
    </row>
    <row r="27" spans="1:74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VLOOKUP(A27,[18]HISTOBQUEJANV23!$A$6:$G$44,3,0)</f>
        <v>0</v>
      </c>
      <c r="E27" s="9">
        <f>VLOOKUP(A27,[18]HISTOBQUEJANV23!$A$6:$G$39,4,0)</f>
        <v>65000</v>
      </c>
      <c r="F27" s="9">
        <f>VLOOKUP(A27,[18]HISTOBQUEJANV23!$A$6:$G$39,5,0)</f>
        <v>0</v>
      </c>
      <c r="G27" s="5">
        <f t="shared" si="15"/>
        <v>0</v>
      </c>
      <c r="H27" s="10" t="s">
        <v>8</v>
      </c>
      <c r="I27" s="10"/>
      <c r="J27" s="11">
        <v>1</v>
      </c>
      <c r="K27" s="11">
        <f t="shared" ref="K27" si="18">IF($D27&lt;&gt;0,J27*40000,IF($E27&lt;&gt;0,J27*40000,0))</f>
        <v>40000</v>
      </c>
      <c r="L27" s="6"/>
      <c r="M27" s="11">
        <f t="shared" ref="M27" si="19">IF($D27&lt;&gt;0,L27*75000,IF($E27&lt;&gt;0,L27*75000,0))</f>
        <v>0</v>
      </c>
      <c r="N27" s="6"/>
      <c r="O27" s="11">
        <f t="shared" ref="O27" si="20">IF($D27&lt;&gt;0,N27*100000,IF($E27&lt;&gt;0,N27*100000,0))</f>
        <v>0</v>
      </c>
      <c r="P27" s="20"/>
      <c r="Q27" s="2"/>
      <c r="R27" s="20"/>
      <c r="S27" s="20"/>
      <c r="T27" s="12"/>
      <c r="U27" s="17">
        <f t="shared" si="17"/>
        <v>65000</v>
      </c>
      <c r="V27" s="12"/>
      <c r="W27" s="12">
        <v>25000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9"/>
        <v>15000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0</v>
      </c>
      <c r="BA27" s="58"/>
      <c r="BB27" s="58"/>
      <c r="BC27" s="15"/>
      <c r="BD27" s="57">
        <f t="shared" si="14"/>
        <v>0</v>
      </c>
      <c r="BE27" s="82"/>
      <c r="BF27" s="29">
        <f t="shared" si="6"/>
        <v>0</v>
      </c>
      <c r="BG27" s="29">
        <v>11</v>
      </c>
      <c r="BH27" s="15"/>
      <c r="BI27" s="15"/>
      <c r="BJ27" s="15"/>
      <c r="BK27" s="15"/>
      <c r="BL27" s="61"/>
      <c r="BP27" s="6"/>
      <c r="BQ27">
        <v>25000</v>
      </c>
      <c r="BR27" t="s">
        <v>174</v>
      </c>
    </row>
    <row r="28" spans="1:74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VLOOKUP(A28,[18]HISTOBQUEJANV23!$A$6:$G$44,3,0)</f>
        <v>115000</v>
      </c>
      <c r="E28" s="9">
        <f>VLOOKUP(A28,[18]HISTOBQUEJANV23!$A$6:$G$39,4,0)</f>
        <v>0</v>
      </c>
      <c r="F28" s="9">
        <f>VLOOKUP(A28,[18]HISTOBQUEJANV23!$A$6:$G$39,5,0)</f>
        <v>0</v>
      </c>
      <c r="G28" s="5">
        <f t="shared" si="15"/>
        <v>0</v>
      </c>
      <c r="H28" s="10" t="str">
        <f t="shared" si="1"/>
        <v>BANQUE</v>
      </c>
      <c r="I28" s="10"/>
      <c r="J28" s="11">
        <v>1</v>
      </c>
      <c r="K28" s="11">
        <f t="shared" si="16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0"/>
      <c r="Q28" s="2">
        <f>VLOOKUP(A28,[13]TONTJANV23!$A$7:$P$20,10,0)</f>
        <v>0</v>
      </c>
      <c r="R28" s="20"/>
      <c r="S28" s="20"/>
      <c r="T28" s="12"/>
      <c r="U28" s="17">
        <f t="shared" si="1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9"/>
        <v>15000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3"/>
        <v>0</v>
      </c>
      <c r="BA28" s="58"/>
      <c r="BB28" s="58"/>
      <c r="BC28" s="15"/>
      <c r="BD28" s="57">
        <f t="shared" si="14"/>
        <v>0</v>
      </c>
      <c r="BE28" s="82"/>
      <c r="BF28" s="29">
        <f t="shared" si="6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74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VLOOKUP(A29,[18]HISTOBQUEJANV23!$A$6:$G$44,3,0)</f>
        <v>0</v>
      </c>
      <c r="E29" s="9">
        <f>VLOOKUP(A29,[18]HISTOBQUEJANV23!$A$6:$G$39,4,0)</f>
        <v>65000</v>
      </c>
      <c r="F29" s="9">
        <f>VLOOKUP(A29,[18]HISTOBQUEJANV23!$A$6:$G$39,5,0)</f>
        <v>0</v>
      </c>
      <c r="G29" s="5">
        <f t="shared" si="15"/>
        <v>0</v>
      </c>
      <c r="H29" s="10" t="s">
        <v>8</v>
      </c>
      <c r="I29" s="10"/>
      <c r="J29" s="11">
        <v>1</v>
      </c>
      <c r="K29" s="11">
        <f t="shared" si="16"/>
        <v>40000</v>
      </c>
      <c r="L29" s="6"/>
      <c r="M29" s="11">
        <f t="shared" si="2"/>
        <v>0</v>
      </c>
      <c r="N29" s="6"/>
      <c r="O29" s="11">
        <f t="shared" si="3"/>
        <v>0</v>
      </c>
      <c r="P29" s="20"/>
      <c r="Q29" s="2"/>
      <c r="R29" s="20"/>
      <c r="S29" s="20"/>
      <c r="T29" s="12"/>
      <c r="U29" s="17">
        <f t="shared" si="17"/>
        <v>65000</v>
      </c>
      <c r="V29" s="12"/>
      <c r="W29" s="12">
        <v>25000</v>
      </c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9"/>
        <v>15000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3"/>
        <v>0</v>
      </c>
      <c r="BA29" s="58"/>
      <c r="BB29" s="58"/>
      <c r="BC29" s="15"/>
      <c r="BD29" s="57">
        <f t="shared" si="14"/>
        <v>0</v>
      </c>
      <c r="BE29" s="82"/>
      <c r="BF29" s="29">
        <f t="shared" si="6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74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VLOOKUP(A30,[18]HISTOBQUEJANV23!$A$6:$G$44,3,0)</f>
        <v>0</v>
      </c>
      <c r="E30" s="9">
        <f>VLOOKUP(A30,[18]HISTOBQUEJANV23!$A$6:$G$39,4,0)</f>
        <v>115000</v>
      </c>
      <c r="F30" s="9">
        <f>VLOOKUP(A30,[18]HISTOBQUEJANV23!$A$6:$G$39,5,0)</f>
        <v>0</v>
      </c>
      <c r="G30" s="5">
        <f>IF(H30="ESPECES",3000,0)-3000</f>
        <v>0</v>
      </c>
      <c r="H30" s="10" t="str">
        <f t="shared" si="1"/>
        <v>ESPECES</v>
      </c>
      <c r="I30" s="10"/>
      <c r="J30" s="11">
        <v>1</v>
      </c>
      <c r="K30" s="11">
        <f t="shared" si="16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0"/>
      <c r="Q30" s="2">
        <f>VLOOKUP(A30,[13]TONTJANV23!$A$7:$P$20,10,0)</f>
        <v>0</v>
      </c>
      <c r="R30" s="20"/>
      <c r="S30" s="20"/>
      <c r="T30" s="12"/>
      <c r="U30" s="17">
        <f t="shared" si="1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9"/>
        <v>15000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3"/>
        <v>0</v>
      </c>
      <c r="BA30" s="58"/>
      <c r="BB30" s="58"/>
      <c r="BC30" s="15"/>
      <c r="BD30" s="57">
        <f t="shared" si="14"/>
        <v>0</v>
      </c>
      <c r="BE30" s="82"/>
      <c r="BF30" s="29">
        <f t="shared" si="6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74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VLOOKUP(A31,[18]HISTOBQUEJANV23!$A$6:$G$44,3,0)</f>
        <v>250000</v>
      </c>
      <c r="E31" s="9">
        <f>VLOOKUP(A31,[18]HISTOBQUEJANV23!$A$6:$G$39,4,0)</f>
        <v>0</v>
      </c>
      <c r="F31" s="9">
        <f>VLOOKUP(A31,[18]HISTOBQUEJANV23!$A$6:$G$39,5,0)</f>
        <v>0</v>
      </c>
      <c r="G31" s="5">
        <f t="shared" si="15"/>
        <v>0</v>
      </c>
      <c r="H31" s="10" t="str">
        <f t="shared" si="1"/>
        <v>BANQUE</v>
      </c>
      <c r="I31" s="10">
        <v>110000</v>
      </c>
      <c r="J31" s="11">
        <v>1</v>
      </c>
      <c r="K31" s="11">
        <f t="shared" si="16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0"/>
      <c r="Q31" s="2"/>
      <c r="R31" s="20"/>
      <c r="S31" s="20"/>
      <c r="T31" s="12"/>
      <c r="U31" s="17">
        <f t="shared" si="17"/>
        <v>250000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9"/>
        <v>125000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3"/>
        <v>0</v>
      </c>
      <c r="BA31" s="58"/>
      <c r="BB31" s="58"/>
      <c r="BC31" s="15"/>
      <c r="BD31" s="57">
        <f t="shared" si="14"/>
        <v>0</v>
      </c>
      <c r="BE31" s="82"/>
      <c r="BF31" s="29">
        <f t="shared" si="6"/>
        <v>0</v>
      </c>
      <c r="BG31" s="29">
        <v>11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74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VLOOKUP(A32,[18]HISTOBQUEJANV23!$A$6:$G$44,3,0)</f>
        <v>115000</v>
      </c>
      <c r="E32" s="9">
        <f>VLOOKUP(A32,[18]HISTOBQUEJANV23!$A$6:$G$39,4,0)</f>
        <v>0</v>
      </c>
      <c r="F32" s="9">
        <f>VLOOKUP(A32,[18]HISTOBQUEJANV23!$A$6:$G$39,5,0)</f>
        <v>0</v>
      </c>
      <c r="G32" s="5">
        <f t="shared" si="15"/>
        <v>0</v>
      </c>
      <c r="H32" s="10" t="str">
        <f t="shared" si="1"/>
        <v>BANQUE</v>
      </c>
      <c r="I32" s="10"/>
      <c r="J32" s="11">
        <v>1</v>
      </c>
      <c r="K32" s="11">
        <f t="shared" si="16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0"/>
      <c r="Q32" s="2"/>
      <c r="R32" s="20"/>
      <c r="S32" s="20"/>
      <c r="T32" s="12"/>
      <c r="U32" s="17">
        <f t="shared" si="1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9"/>
        <v>15000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3"/>
        <v>0</v>
      </c>
      <c r="BA32" s="58"/>
      <c r="BB32" s="58"/>
      <c r="BC32" s="15"/>
      <c r="BD32" s="57">
        <f t="shared" si="14"/>
        <v>0</v>
      </c>
      <c r="BE32" s="82"/>
      <c r="BF32" s="29">
        <f t="shared" si="6"/>
        <v>0</v>
      </c>
      <c r="BG32" s="29">
        <v>11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VLOOKUP(A33,[18]HISTOBQUEJANV23!$A$6:$G$44,3,0)</f>
        <v>0</v>
      </c>
      <c r="E33" s="9">
        <f>VLOOKUP(A33,[18]HISTOBQUEJANV23!$A$6:$G$39,4,0)</f>
        <v>40000</v>
      </c>
      <c r="F33" s="9">
        <f>VLOOKUP(A33,[18]HISTOBQUEJANV23!$A$6:$G$39,5,0)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ref="K33" si="21">IF($D33&lt;&gt;0,J33*40000,IF($E33&lt;&gt;0,J33*40000,0))</f>
        <v>40000</v>
      </c>
      <c r="L33" s="6"/>
      <c r="M33" s="11">
        <f t="shared" ref="M33" si="22">IF($D33&lt;&gt;0,L33*75000,IF($E33&lt;&gt;0,L33*75000,0))</f>
        <v>0</v>
      </c>
      <c r="N33" s="6"/>
      <c r="O33" s="11">
        <f t="shared" ref="O33" si="23">IF($D33&lt;&gt;0,N33*100000,IF($E33&lt;&gt;0,N33*100000,0))</f>
        <v>0</v>
      </c>
      <c r="P33" s="20"/>
      <c r="Q33" s="2"/>
      <c r="R33" s="20"/>
      <c r="S33" s="20"/>
      <c r="T33" s="12"/>
      <c r="U33" s="17">
        <f t="shared" si="1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9"/>
        <v>15000</v>
      </c>
      <c r="AT33" s="15"/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0</v>
      </c>
      <c r="BA33" s="58"/>
      <c r="BB33" s="58"/>
      <c r="BC33" s="15"/>
      <c r="BD33" s="57">
        <f t="shared" si="14"/>
        <v>0</v>
      </c>
      <c r="BE33" s="82"/>
      <c r="BF33" s="29">
        <f t="shared" si="6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69">
        <f t="shared" si="0"/>
        <v>35000</v>
      </c>
      <c r="D34" s="9">
        <f>VLOOKUP(A34,[18]HISTOBQUEJANV23!$A$6:$G$44,3,0)</f>
        <v>0</v>
      </c>
      <c r="E34" s="9">
        <f>VLOOKUP(A34,[18]HISTOBQUEJANV23!$A$6:$G$39,4,0)</f>
        <v>100000</v>
      </c>
      <c r="F34" s="9">
        <f>VLOOKUP(A34,[18]HISTOBQUEJANV23!$A$6:$G$39,5,0)</f>
        <v>0</v>
      </c>
      <c r="G34" s="5">
        <f>IF(H34="ESPECES",3000,0)-3000</f>
        <v>0</v>
      </c>
      <c r="H34" s="10" t="str">
        <f t="shared" si="1"/>
        <v>ESPECES</v>
      </c>
      <c r="I34" s="10"/>
      <c r="J34" s="11">
        <v>1</v>
      </c>
      <c r="K34" s="11">
        <f t="shared" ref="K34" si="24">IF($D34&lt;&gt;0,J34*40000,IF($E34&lt;&gt;0,J34*40000,0))</f>
        <v>40000</v>
      </c>
      <c r="L34" s="6"/>
      <c r="M34" s="11">
        <f t="shared" ref="M34" si="25">IF($D34&lt;&gt;0,L34*75000,IF($E34&lt;&gt;0,L34*75000,0))</f>
        <v>0</v>
      </c>
      <c r="N34" s="6"/>
      <c r="O34" s="11">
        <f t="shared" ref="O34" si="26">IF($D34&lt;&gt;0,N34*100000,IF($E34&lt;&gt;0,N34*100000,0))</f>
        <v>0</v>
      </c>
      <c r="P34" s="20"/>
      <c r="Q34" s="2"/>
      <c r="R34" s="20"/>
      <c r="S34" s="20"/>
      <c r="T34" s="12"/>
      <c r="U34" s="17">
        <f t="shared" si="17"/>
        <v>65000</v>
      </c>
      <c r="V34" s="12"/>
      <c r="W34" s="12">
        <v>25000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9"/>
        <v>15000</v>
      </c>
      <c r="AT34" s="15">
        <v>35000</v>
      </c>
      <c r="AV34" s="15"/>
      <c r="AW34" s="15">
        <f t="shared" si="10"/>
        <v>0</v>
      </c>
      <c r="AX34" s="15">
        <f t="shared" si="11"/>
        <v>0</v>
      </c>
      <c r="AY34" s="15">
        <f t="shared" si="12"/>
        <v>0</v>
      </c>
      <c r="AZ34" s="16">
        <f t="shared" si="13"/>
        <v>0</v>
      </c>
      <c r="BA34" s="58"/>
      <c r="BB34" s="58"/>
      <c r="BC34" s="15"/>
      <c r="BD34" s="57">
        <f t="shared" si="14"/>
        <v>0</v>
      </c>
      <c r="BE34" s="82"/>
      <c r="BF34" s="29">
        <f t="shared" si="6"/>
        <v>0</v>
      </c>
      <c r="BG34" s="29">
        <v>11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VLOOKUP(A35,[18]HISTOBQUEJANV23!$A$6:$G$44,3,0)</f>
        <v>40000</v>
      </c>
      <c r="E35" s="9">
        <f>VLOOKUP(A35,[18]HISTOBQUEJANV23!$A$6:$G$39,4,0)</f>
        <v>0</v>
      </c>
      <c r="F35" s="9">
        <f>VLOOKUP(A35,[18]HISTOBQUEJANV23!$A$6:$G$39,5,0)</f>
        <v>0</v>
      </c>
      <c r="G35" s="5">
        <f t="shared" si="15"/>
        <v>0</v>
      </c>
      <c r="H35" s="10" t="str">
        <f t="shared" si="1"/>
        <v>BANQUE</v>
      </c>
      <c r="I35" s="10"/>
      <c r="J35" s="11">
        <v>1</v>
      </c>
      <c r="K35" s="11">
        <f t="shared" si="16"/>
        <v>40000</v>
      </c>
      <c r="L35" s="6"/>
      <c r="M35" s="11">
        <f t="shared" si="2"/>
        <v>0</v>
      </c>
      <c r="N35" s="6"/>
      <c r="O35" s="11">
        <f t="shared" si="3"/>
        <v>0</v>
      </c>
      <c r="P35" s="20"/>
      <c r="Q35" s="2"/>
      <c r="R35" s="20"/>
      <c r="S35" s="20"/>
      <c r="T35" s="12"/>
      <c r="U35" s="17">
        <f t="shared" si="1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9"/>
        <v>15000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3"/>
        <v>0</v>
      </c>
      <c r="BA35" s="58"/>
      <c r="BB35" s="58"/>
      <c r="BC35" s="15"/>
      <c r="BD35" s="57">
        <f t="shared" si="14"/>
        <v>0</v>
      </c>
      <c r="BE35" s="82"/>
      <c r="BF35" s="29">
        <f t="shared" si="6"/>
        <v>0</v>
      </c>
      <c r="BG35" s="29">
        <v>11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VLOOKUP(A36,[18]HISTOBQUEJANV23!$A$6:$G$44,3,0)</f>
        <v>290000</v>
      </c>
      <c r="E36" s="9">
        <f>VLOOKUP(A36,[18]HISTOBQUEJANV23!$A$6:$G$39,4,0)</f>
        <v>0</v>
      </c>
      <c r="F36" s="9">
        <f>VLOOKUP(A36,[18]HISTOBQUEJANV23!$A$6:$G$39,5,0)</f>
        <v>0</v>
      </c>
      <c r="G36" s="5">
        <f t="shared" si="15"/>
        <v>0</v>
      </c>
      <c r="H36" s="10" t="str">
        <f t="shared" si="1"/>
        <v>BANQUE</v>
      </c>
      <c r="I36" s="10"/>
      <c r="J36" s="11">
        <v>1</v>
      </c>
      <c r="K36" s="11">
        <f t="shared" si="16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6"/>
      <c r="Q36" s="2">
        <f>VLOOKUP(A36,[13]TONTJANV23!$A$7:$P$20,10,0)</f>
        <v>0</v>
      </c>
      <c r="R36" s="6"/>
      <c r="S36" s="6"/>
      <c r="T36" s="12"/>
      <c r="U36" s="17">
        <f t="shared" si="1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9"/>
        <v>15000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3"/>
        <v>0</v>
      </c>
      <c r="BA36" s="58"/>
      <c r="BB36" s="58"/>
      <c r="BC36" s="15"/>
      <c r="BD36" s="57">
        <f t="shared" si="14"/>
        <v>0</v>
      </c>
      <c r="BE36" s="82"/>
      <c r="BF36" s="29">
        <f t="shared" si="6"/>
        <v>0</v>
      </c>
      <c r="BG36" s="29">
        <v>11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7">SUM(C6:C37)</f>
        <v>35000</v>
      </c>
      <c r="D38" s="5">
        <f t="shared" si="27"/>
        <v>3640000</v>
      </c>
      <c r="E38" s="5">
        <f t="shared" si="27"/>
        <v>589000</v>
      </c>
      <c r="F38" s="5">
        <f t="shared" si="27"/>
        <v>210000</v>
      </c>
      <c r="G38" s="5">
        <f t="shared" si="27"/>
        <v>0</v>
      </c>
      <c r="H38" s="5">
        <f t="shared" si="27"/>
        <v>0</v>
      </c>
      <c r="I38" s="5">
        <f t="shared" si="27"/>
        <v>244000</v>
      </c>
      <c r="J38" s="5">
        <f t="shared" si="27"/>
        <v>30</v>
      </c>
      <c r="K38" s="5">
        <f t="shared" si="27"/>
        <v>1200000</v>
      </c>
      <c r="L38" s="5">
        <f t="shared" si="27"/>
        <v>17</v>
      </c>
      <c r="M38" s="5">
        <f t="shared" si="27"/>
        <v>1275000</v>
      </c>
      <c r="N38" s="5">
        <f t="shared" si="27"/>
        <v>14</v>
      </c>
      <c r="O38" s="5">
        <f t="shared" si="27"/>
        <v>1400000</v>
      </c>
      <c r="P38" s="5">
        <f t="shared" si="27"/>
        <v>0</v>
      </c>
      <c r="Q38" s="5">
        <f t="shared" si="27"/>
        <v>0</v>
      </c>
      <c r="R38" s="5">
        <f t="shared" si="27"/>
        <v>0</v>
      </c>
      <c r="S38" s="5">
        <f t="shared" si="27"/>
        <v>0</v>
      </c>
      <c r="T38" s="5"/>
      <c r="U38" s="5">
        <f t="shared" ref="U38:AA38" si="28">SUM(U6:U37)</f>
        <v>4194000</v>
      </c>
      <c r="V38" s="5">
        <f t="shared" si="28"/>
        <v>0</v>
      </c>
      <c r="W38" s="5">
        <f t="shared" si="28"/>
        <v>75000</v>
      </c>
      <c r="X38" s="5">
        <f t="shared" si="28"/>
        <v>0</v>
      </c>
      <c r="Y38" s="5">
        <f t="shared" si="28"/>
        <v>0</v>
      </c>
      <c r="Z38" s="5">
        <f t="shared" si="28"/>
        <v>0</v>
      </c>
      <c r="AA38" s="5">
        <f t="shared" si="28"/>
        <v>0</v>
      </c>
      <c r="AB38" s="5"/>
      <c r="AC38" s="5">
        <f>SUM(AC6:AC37)</f>
        <v>85000</v>
      </c>
      <c r="AD38" s="5">
        <f>SUM(AD6:AD37)</f>
        <v>105000</v>
      </c>
      <c r="AE38" s="5">
        <f>SUM(AE6:AE37)</f>
        <v>375000</v>
      </c>
      <c r="AF38" s="5">
        <f>SUM(AF6:AF37)</f>
        <v>0</v>
      </c>
      <c r="AG38" s="5">
        <f>SUM(AG6:AG37)</f>
        <v>0</v>
      </c>
      <c r="AH38" s="5"/>
      <c r="AI38" s="5">
        <f t="shared" ref="AI38:BE38" si="29">SUM(AI6:AI37)</f>
        <v>235000</v>
      </c>
      <c r="AJ38" s="5">
        <f t="shared" si="29"/>
        <v>405000</v>
      </c>
      <c r="AK38" s="5">
        <f t="shared" si="29"/>
        <v>325000</v>
      </c>
      <c r="AL38" s="5">
        <f t="shared" si="29"/>
        <v>9000</v>
      </c>
      <c r="AM38" s="5">
        <f t="shared" si="29"/>
        <v>8000</v>
      </c>
      <c r="AN38" s="5">
        <f t="shared" si="29"/>
        <v>13000</v>
      </c>
      <c r="AO38" s="5">
        <f t="shared" si="29"/>
        <v>0</v>
      </c>
      <c r="AP38" s="5">
        <f t="shared" si="29"/>
        <v>0</v>
      </c>
      <c r="AQ38" s="5">
        <f t="shared" si="29"/>
        <v>0</v>
      </c>
      <c r="AR38" s="5">
        <f t="shared" si="29"/>
        <v>0</v>
      </c>
      <c r="AS38" s="5">
        <f t="shared" si="29"/>
        <v>694000</v>
      </c>
      <c r="AT38" s="5">
        <f t="shared" si="29"/>
        <v>35000</v>
      </c>
      <c r="AU38" s="5">
        <f t="shared" si="29"/>
        <v>0</v>
      </c>
      <c r="AV38" s="5">
        <f t="shared" si="29"/>
        <v>0</v>
      </c>
      <c r="AW38" s="5">
        <f t="shared" si="29"/>
        <v>750000</v>
      </c>
      <c r="AX38" s="5">
        <f t="shared" si="29"/>
        <v>1200000</v>
      </c>
      <c r="AY38" s="5">
        <f t="shared" si="29"/>
        <v>3550000</v>
      </c>
      <c r="AZ38" s="5">
        <f t="shared" si="29"/>
        <v>5396000</v>
      </c>
      <c r="BA38" s="5">
        <f t="shared" si="29"/>
        <v>490000</v>
      </c>
      <c r="BB38" s="5">
        <f t="shared" si="29"/>
        <v>210000</v>
      </c>
      <c r="BC38" s="5">
        <f t="shared" si="29"/>
        <v>0</v>
      </c>
      <c r="BD38" s="5">
        <f t="shared" si="29"/>
        <v>4906000</v>
      </c>
      <c r="BE38" s="5">
        <f t="shared" si="29"/>
        <v>4906000</v>
      </c>
      <c r="BF38" s="5">
        <f>SUM(BF6:BF37)</f>
        <v>0</v>
      </c>
      <c r="BH38" s="5">
        <f t="shared" ref="BH38:BL38" si="30">SUM(BH6:BH37)</f>
        <v>6000</v>
      </c>
      <c r="BI38" s="5">
        <f t="shared" si="30"/>
        <v>0</v>
      </c>
      <c r="BJ38" s="5">
        <f t="shared" si="30"/>
        <v>0</v>
      </c>
      <c r="BK38" s="5">
        <f t="shared" si="30"/>
        <v>100000</v>
      </c>
      <c r="BL38" s="5">
        <f t="shared" si="30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Y40" t="s">
        <v>134</v>
      </c>
      <c r="Z40" s="12">
        <v>428899</v>
      </c>
      <c r="AW40" s="15"/>
      <c r="AX40" s="15"/>
      <c r="AY40" s="15"/>
      <c r="AZ40" s="16"/>
      <c r="BA40">
        <v>619000</v>
      </c>
      <c r="BD40" t="s">
        <v>177</v>
      </c>
      <c r="BE40">
        <v>5024000</v>
      </c>
    </row>
    <row r="41" spans="1:68" ht="18.75" x14ac:dyDescent="0.3">
      <c r="B41" s="21" t="s">
        <v>157</v>
      </c>
      <c r="H41" s="1"/>
      <c r="I41" s="1"/>
      <c r="Y41" t="s">
        <v>135</v>
      </c>
      <c r="Z41" s="12">
        <v>805000</v>
      </c>
      <c r="AW41" s="15"/>
      <c r="AX41" s="15"/>
      <c r="AY41" s="15"/>
      <c r="AZ41" s="16">
        <v>5024000</v>
      </c>
      <c r="BC41" t="s">
        <v>179</v>
      </c>
      <c r="BD41" s="70">
        <v>257000</v>
      </c>
      <c r="BE41" s="6">
        <f>+BE40-BE38</f>
        <v>118000</v>
      </c>
      <c r="BN41" t="s">
        <v>129</v>
      </c>
      <c r="BO41" t="s">
        <v>50</v>
      </c>
    </row>
    <row r="42" spans="1:68" ht="18.75" x14ac:dyDescent="0.3">
      <c r="C42" s="3" t="s">
        <v>8</v>
      </c>
      <c r="D42" s="63"/>
      <c r="E42" s="63"/>
      <c r="F42" s="3" t="s">
        <v>9</v>
      </c>
      <c r="G42" s="63"/>
      <c r="H42" s="63"/>
      <c r="I42" s="64"/>
      <c r="Y42" t="s">
        <v>136</v>
      </c>
      <c r="Z42" s="12">
        <v>243805</v>
      </c>
      <c r="AI42" s="5"/>
      <c r="AV42" s="3"/>
      <c r="AW42" s="63"/>
      <c r="AX42" s="15"/>
      <c r="AY42" s="15"/>
      <c r="AZ42" s="16"/>
      <c r="BN42" t="s">
        <v>171</v>
      </c>
      <c r="BP42">
        <v>257000</v>
      </c>
    </row>
    <row r="43" spans="1:68" ht="18.75" x14ac:dyDescent="0.3">
      <c r="B43" s="1" t="s">
        <v>74</v>
      </c>
      <c r="C43" s="1" t="s">
        <v>76</v>
      </c>
      <c r="D43" s="1" t="s">
        <v>75</v>
      </c>
      <c r="E43" s="1" t="s">
        <v>77</v>
      </c>
      <c r="F43" s="1" t="s">
        <v>75</v>
      </c>
      <c r="G43" s="1" t="s">
        <v>76</v>
      </c>
      <c r="H43" s="1" t="s">
        <v>77</v>
      </c>
      <c r="I43" s="1"/>
      <c r="J43" s="1"/>
      <c r="K43" s="1"/>
      <c r="Y43" t="s">
        <v>137</v>
      </c>
      <c r="Z43" s="12">
        <v>51454</v>
      </c>
      <c r="AI43" s="5"/>
      <c r="AW43" s="15"/>
      <c r="AX43" s="15"/>
      <c r="AY43" s="15"/>
      <c r="AZ43" s="16"/>
      <c r="BN43" s="62" t="s">
        <v>142</v>
      </c>
      <c r="BP43" s="62">
        <f>SUM(BP40:BP42)</f>
        <v>257000</v>
      </c>
    </row>
    <row r="44" spans="1:68" ht="18.75" x14ac:dyDescent="0.3">
      <c r="B44" s="1" t="s">
        <v>78</v>
      </c>
      <c r="AW44" s="15"/>
      <c r="AX44" s="15"/>
      <c r="AY44" s="15"/>
      <c r="AZ44" s="16"/>
    </row>
    <row r="45" spans="1:68" ht="18.75" x14ac:dyDescent="0.3">
      <c r="B45" s="1" t="s">
        <v>79</v>
      </c>
      <c r="C45" s="14">
        <f>AZ38</f>
        <v>5396000</v>
      </c>
      <c r="D45" s="9">
        <f>SUMIFS(D8:D38,H8:H38,"BANQUE")</f>
        <v>3465000</v>
      </c>
      <c r="F45" s="9">
        <f>E38</f>
        <v>589000</v>
      </c>
      <c r="G45" s="14"/>
      <c r="J45" s="5"/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3" spans="49:52" ht="18" x14ac:dyDescent="0.25">
      <c r="AW83" s="5"/>
      <c r="AX83" s="5"/>
      <c r="AY83" s="5"/>
      <c r="AZ83" s="5">
        <f>SUM(AZ8:AZ82)</f>
        <v>15710000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O6" activePane="bottomRight" state="frozen"/>
      <selection pane="topRight" activeCell="E1" sqref="E1"/>
      <selection pane="bottomLeft" activeCell="A6" sqref="A6"/>
      <selection pane="bottomRight" activeCell="Q8" sqref="Q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7.7109375" customWidth="1"/>
    <col min="58" max="58" width="15" bestFit="1" customWidth="1"/>
    <col min="62" max="62" width="15" bestFit="1" customWidth="1"/>
    <col min="64" max="64" width="12.42578125" bestFit="1" customWidth="1"/>
    <col min="65" max="65" width="14.85546875" customWidth="1"/>
    <col min="66" max="66" width="27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185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VLOOKUP(A6,[18]HISTOBQUEFEV23!$A$6:$G$44,3,0)</f>
        <v>175000</v>
      </c>
      <c r="E6" s="9">
        <f>VLOOKUP(A6,[18]HISTOBQUEFEV23!$A$6:$G$39,4,0)</f>
        <v>0</v>
      </c>
      <c r="F6" s="9">
        <f>VLOOKUP(A6,[18]HISTOBQUEFEV23!$A$6:$G$39,5,0)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VLOOKUP($A6,[13]TONTFEV23!$A$6:$P$20,10,0)</f>
        <v>0</v>
      </c>
      <c r="R6" s="2">
        <f>VLOOKUP($A6,[19]TONTFEV23!$A$6:$P$21,10,0)</f>
        <v>0</v>
      </c>
      <c r="S6" s="20"/>
      <c r="T6" s="12"/>
      <c r="U6" s="17">
        <f>G6+S6+R6+P6+O6+M6+I6+K6+Q6+V6+W6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828500</v>
      </c>
      <c r="BA6" s="58">
        <v>262500</v>
      </c>
      <c r="BB6" s="58"/>
      <c r="BC6" s="15"/>
      <c r="BD6" s="57">
        <f>IF(AZ6=0,(AZ6-BA6-BC6),(AZ6-BA6-BB6-BC6))+F6</f>
        <v>566000</v>
      </c>
      <c r="BE6" s="82">
        <v>1206700</v>
      </c>
      <c r="BF6" s="29">
        <f t="shared" ref="BF6:BF36" si="6">Z6*1/100*BG6</f>
        <v>0</v>
      </c>
      <c r="BG6" s="29">
        <v>10</v>
      </c>
      <c r="BH6" s="15">
        <f>BP16</f>
        <v>68500</v>
      </c>
      <c r="BI6" s="15">
        <f>BP28</f>
        <v>0</v>
      </c>
      <c r="BJ6" s="15">
        <f>BP33</f>
        <v>560000</v>
      </c>
      <c r="BK6" s="15"/>
      <c r="BL6" s="15"/>
      <c r="BM6" s="15">
        <f>BP22</f>
        <v>200000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VLOOKUP(A7,[18]HISTOBQUEFEV23!$A$6:$G$44,3,0)</f>
        <v>0</v>
      </c>
      <c r="E7" s="9">
        <f>VLOOKUP(A7,[18]HISTOBQUEFEV23!$A$6:$G$39,4,0)</f>
        <v>40000</v>
      </c>
      <c r="F7" s="9">
        <f>VLOOKUP(A7,[18]HISTOBQUEFEV23!$A$6:$G$39,5,0)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VLOOKUP($A7,[20]TONTFEV23!$A$6:$P$35,12,0)</f>
        <v>0</v>
      </c>
      <c r="Q7" s="2"/>
      <c r="R7" s="2"/>
      <c r="S7" s="20"/>
      <c r="T7" s="12"/>
      <c r="U7" s="17">
        <f t="shared" ref="U7:U36" si="7">G7+S7+R7+P7+O7+M7+I7+K7+Q7+V7+W7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10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VLOOKUP(A8,[18]HISTOBQUEFEV23!$A$6:$G$44,3,0)</f>
        <v>615000</v>
      </c>
      <c r="E8" s="9">
        <f>VLOOKUP(A8,[18]HISTOBQUEFEV23!$A$6:$G$39,4,0)</f>
        <v>0</v>
      </c>
      <c r="F8" s="9">
        <f>VLOOKUP(A8,[18]HISTOBQUEFEV23!$A$6:$G$39,5,0)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VLOOKUP($A8,[20]TONTFEV23!$A$6:$P$35,12,0)</f>
        <v>0</v>
      </c>
      <c r="Q8" s="2">
        <f>VLOOKUP($A8,[13]TONTFEV23!$A$7:$P$20,10,0)</f>
        <v>0</v>
      </c>
      <c r="R8" s="2"/>
      <c r="S8" s="20">
        <v>500000</v>
      </c>
      <c r="T8" s="12" t="s">
        <v>8</v>
      </c>
      <c r="U8" s="17">
        <f t="shared" si="7"/>
        <v>615000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10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27500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VLOOKUP(A9,[18]HISTOBQUEFEV23!$A$6:$G$44,3,0)</f>
        <v>120000</v>
      </c>
      <c r="E9" s="9">
        <f>VLOOKUP(A9,[18]HISTOBQUEFEV23!$A$6:$G$39,4,0)</f>
        <v>80000</v>
      </c>
      <c r="F9" s="9">
        <f>VLOOKUP(A9,[18]HISTOBQUEFEV23!$A$6:$G$39,5,0)</f>
        <v>0</v>
      </c>
      <c r="G9" s="5">
        <f t="shared" si="14"/>
        <v>0</v>
      </c>
      <c r="H9" s="10" t="str">
        <f t="shared" si="1"/>
        <v>BANQUE</v>
      </c>
      <c r="I9" s="10">
        <v>8000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VLOOKUP($A9,[20]TONTFEV23!$A$6:$P$35,12,0)</f>
        <v>0</v>
      </c>
      <c r="Q9" s="2"/>
      <c r="R9" s="2">
        <f>VLOOKUP($A9,[19]TONTFEV23!$A$6:$P$21,10,0)</f>
        <v>52000</v>
      </c>
      <c r="S9" s="20"/>
      <c r="T9" s="12"/>
      <c r="U9" s="17">
        <f t="shared" si="7"/>
        <v>200000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0</v>
      </c>
      <c r="BA9" s="58"/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10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VLOOKUP(A10,[18]HISTOBQUEFEV23!$A$6:$G$44,3,0)</f>
        <v>103000</v>
      </c>
      <c r="E10" s="9">
        <f>VLOOKUP(A10,[18]HISTOBQUEFEV23!$A$6:$G$39,4,0)</f>
        <v>0</v>
      </c>
      <c r="F10" s="9">
        <f>VLOOKUP(A10,[18]HISTOBQUEFEV23!$A$6:$G$39,5,0)</f>
        <v>0</v>
      </c>
      <c r="G10" s="5">
        <f t="shared" si="14"/>
        <v>0</v>
      </c>
      <c r="H10" s="10" t="str">
        <f t="shared" si="1"/>
        <v>BANQUE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VLOOKUP($A10,[20]TONTFEV23!$A$6:$P$35,12,0)</f>
        <v>63000</v>
      </c>
      <c r="Q10" s="2"/>
      <c r="R10" s="2"/>
      <c r="S10" s="20"/>
      <c r="T10" s="12"/>
      <c r="U10" s="17">
        <f t="shared" si="7"/>
        <v>103000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40000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40000</v>
      </c>
      <c r="AX10" s="15">
        <f t="shared" si="10"/>
        <v>0</v>
      </c>
      <c r="AY10" s="15">
        <f t="shared" si="11"/>
        <v>0</v>
      </c>
      <c r="AZ10" s="16">
        <f t="shared" si="12"/>
        <v>40000</v>
      </c>
      <c r="BA10" s="58">
        <v>40000</v>
      </c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10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VLOOKUP(A11,[18]HISTOBQUEFEV23!$A$6:$G$44,3,0)</f>
        <v>177000</v>
      </c>
      <c r="E11" s="9">
        <f>VLOOKUP(A11,[18]HISTOBQUEFEV23!$A$6:$G$39,4,0)</f>
        <v>0</v>
      </c>
      <c r="F11" s="9">
        <f>VLOOKUP(A11,[18]HISTOBQUEFEV23!$A$6:$G$39,5,0)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VLOOKUP($A11,[20]TONTFEV23!$A$6:$P$35,12,0)</f>
        <v>62000</v>
      </c>
      <c r="Q11" s="2">
        <f>VLOOKUP($A11,[13]TONTFEV23!$A$7:$P$20,10,0)</f>
        <v>0</v>
      </c>
      <c r="R11" s="2"/>
      <c r="S11" s="20"/>
      <c r="T11" s="12"/>
      <c r="U11" s="17">
        <f t="shared" si="7"/>
        <v>177000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0</v>
      </c>
      <c r="BA11" s="58"/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10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35000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VLOOKUP(A12,[18]HISTOBQUEFEV23!$A$6:$G$44,3,0)</f>
        <v>320000</v>
      </c>
      <c r="E12" s="9">
        <f>VLOOKUP(A12,[18]HISTOBQUEFEV23!$A$6:$G$39,4,0)</f>
        <v>0</v>
      </c>
      <c r="F12" s="9">
        <f>VLOOKUP(A12,[18]HISTOBQUEFEV23!$A$6:$G$39,5,0)</f>
        <v>0</v>
      </c>
      <c r="G12" s="5">
        <f t="shared" si="14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VLOOKUP($A12,[20]TONTFEV23!$A$6:$P$35,12,0)</f>
        <v>0</v>
      </c>
      <c r="Q12" s="2">
        <f>VLOOKUP($A12,[13]TONTFEV23!$A$7:$P$20,10,0)</f>
        <v>0</v>
      </c>
      <c r="R12" s="2">
        <f>VLOOKUP($A12,[19]TONTFEV23!$A$6:$P$21,10,0)</f>
        <v>0</v>
      </c>
      <c r="S12" s="20"/>
      <c r="T12" s="12"/>
      <c r="U12" s="17">
        <f t="shared" si="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/>
      <c r="BF12" s="29">
        <f t="shared" si="6"/>
        <v>0</v>
      </c>
      <c r="BG12" s="29">
        <v>10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VLOOKUP(A13,[18]HISTOBQUEFEV23!$A$6:$G$44,3,0)</f>
        <v>0</v>
      </c>
      <c r="E13" s="9">
        <f>VLOOKUP(A13,[18]HISTOBQUEFEV23!$A$6:$G$39,4,0)</f>
        <v>40000</v>
      </c>
      <c r="F13" s="9">
        <f>VLOOKUP(A13,[18]HISTOBQUEFEV23!$A$6:$G$39,5,0)</f>
        <v>0</v>
      </c>
      <c r="G13" s="5">
        <f>IF(H13="ESPECES",3000,0)-3000</f>
        <v>0</v>
      </c>
      <c r="H13" s="10" t="str">
        <f t="shared" si="1"/>
        <v>ESPECES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VLOOKUP($A13,[20]TONTFEV23!$A$6:$P$35,12,0)</f>
        <v>0</v>
      </c>
      <c r="Q13" s="2"/>
      <c r="R13" s="2"/>
      <c r="S13" s="20"/>
      <c r="T13" s="12"/>
      <c r="U13" s="17">
        <f t="shared" si="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10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VLOOKUP(A14,[18]HISTOBQUEFEV23!$A$6:$G$44,3,0)</f>
        <v>40000</v>
      </c>
      <c r="E14" s="9">
        <f>VLOOKUP(A14,[18]HISTOBQUEFEV23!$A$6:$G$39,4,0)</f>
        <v>0</v>
      </c>
      <c r="F14" s="9">
        <f>VLOOKUP(A14,[18]HISTOBQUEFEV23!$A$6:$G$39,5,0)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VLOOKUP($A14,[20]TONTFEV23!$A$6:$P$35,12,0)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10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VLOOKUP(A15,[18]HISTOBQUEFEV23!$A$6:$G$44,3,0)</f>
        <v>115000</v>
      </c>
      <c r="E15" s="9">
        <f>VLOOKUP(A15,[18]HISTOBQUEFEV23!$A$6:$G$39,4,0)</f>
        <v>0</v>
      </c>
      <c r="F15" s="9">
        <f>VLOOKUP(A15,[18]HISTOBQUEFEV23!$A$6:$G$39,5,0)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VLOOKUP($A15,[20]TONTFEV23!$A$6:$P$35,12,0)</f>
        <v>0</v>
      </c>
      <c r="Q15" s="2">
        <f>VLOOKUP($A15,[13]TONTFEV23!$A$7:$P$20,10,0)</f>
        <v>0</v>
      </c>
      <c r="R15" s="2"/>
      <c r="S15" s="20"/>
      <c r="T15" s="12"/>
      <c r="U15" s="17">
        <f t="shared" si="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10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VLOOKUP(A16,[18]HISTOBQUEFEV23!$A$6:$G$44,3,0)</f>
        <v>250000</v>
      </c>
      <c r="E16" s="9">
        <f>VLOOKUP(A16,[18]HISTOBQUEFEV23!$A$6:$G$39,4,0)</f>
        <v>0</v>
      </c>
      <c r="F16" s="9">
        <f>VLOOKUP(A16,[18]HISTOBQUEFEV23!$A$6:$G$39,5,0)</f>
        <v>1000000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VLOOKUP($A16,[20]TONTFEV23!$A$6:$P$35,12,0)</f>
        <v>0</v>
      </c>
      <c r="Q16" s="2">
        <f>VLOOKUP($A16,[13]TONTFEV23!$A$7:$P$20,10,0)</f>
        <v>0</v>
      </c>
      <c r="R16" s="2">
        <f>VLOOKUP($A16,[19]TONTFEV23!$A$6:$P$21,10,0)</f>
        <v>0</v>
      </c>
      <c r="S16" s="20">
        <v>1000000</v>
      </c>
      <c r="T16" s="12" t="s">
        <v>8</v>
      </c>
      <c r="U16" s="17">
        <f t="shared" si="7"/>
        <v>1250000</v>
      </c>
      <c r="V16" s="12"/>
      <c r="W16" s="12"/>
      <c r="X16" s="12"/>
      <c r="Y16" s="12"/>
      <c r="Z16" s="12"/>
      <c r="AA16" s="12"/>
      <c r="AB16" s="12"/>
      <c r="AC16" s="12"/>
      <c r="AD16" s="12">
        <v>20000</v>
      </c>
      <c r="AE16" s="12">
        <v>28000</v>
      </c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880000</v>
      </c>
      <c r="AY16" s="15">
        <f t="shared" si="11"/>
        <v>1172000</v>
      </c>
      <c r="AZ16" s="16">
        <f t="shared" si="12"/>
        <v>1052000</v>
      </c>
      <c r="BA16" s="58"/>
      <c r="BB16" s="58"/>
      <c r="BC16" s="15"/>
      <c r="BD16" s="57">
        <f>IF(AZ16=0,(AZ16-BA16-BC16),(AZ16-BA16-BB16-BC16))</f>
        <v>1052000</v>
      </c>
      <c r="BE16" s="82">
        <f>880000+172000</f>
        <v>1052000</v>
      </c>
      <c r="BF16" s="29">
        <f t="shared" si="6"/>
        <v>0</v>
      </c>
      <c r="BG16" s="29">
        <v>10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68500</v>
      </c>
    </row>
    <row r="17" spans="1:69" ht="18.75" x14ac:dyDescent="0.3">
      <c r="A17" s="1" t="s">
        <v>22</v>
      </c>
      <c r="B17" s="1" t="str">
        <f>VLOOKUP(A17,[17]LISTADHERENT!A$5:H$39,3,0)</f>
        <v>KOUAMOU MOISE</v>
      </c>
      <c r="C17" s="9">
        <f t="shared" si="0"/>
        <v>-70000</v>
      </c>
      <c r="D17" s="9">
        <f>VLOOKUP(A17,[18]HISTOBQUEFEV23!$A$6:$G$44,3,0)</f>
        <v>140000</v>
      </c>
      <c r="E17" s="9">
        <f>VLOOKUP(A17,[18]HISTOBQUEFEV23!$A$6:$G$39,4,0)</f>
        <v>0</v>
      </c>
      <c r="F17" s="9">
        <f>VLOOKUP(A17,[18]HISTOBQUEFEV23!$A$6:$G$39,5,0)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VLOOKUP($A17,[20]TONTFEV23!$A$6:$P$35,12,0)</f>
        <v>0</v>
      </c>
      <c r="Q17" s="2"/>
      <c r="R17" s="2">
        <f>VLOOKUP($A17,[19]TONTFEV23!$A$6:$P$21,10,0)</f>
        <v>0</v>
      </c>
      <c r="S17" s="20"/>
      <c r="T17" s="12"/>
      <c r="U17" s="17">
        <f t="shared" si="7"/>
        <v>140000</v>
      </c>
      <c r="V17" s="12"/>
      <c r="W17" s="12"/>
      <c r="X17" s="12"/>
      <c r="Y17" s="12"/>
      <c r="Z17" s="12"/>
      <c r="AA17" s="12"/>
      <c r="AB17" s="12"/>
      <c r="AC17" s="12">
        <v>6500</v>
      </c>
      <c r="AD17" s="12"/>
      <c r="AE17" s="12">
        <v>28000</v>
      </c>
      <c r="AF17" s="12" t="s">
        <v>8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293500</v>
      </c>
      <c r="AX17" s="15">
        <f t="shared" si="10"/>
        <v>0</v>
      </c>
      <c r="AY17" s="15">
        <f t="shared" si="11"/>
        <v>1172000</v>
      </c>
      <c r="AZ17" s="16">
        <f t="shared" si="12"/>
        <v>1465500</v>
      </c>
      <c r="BA17" s="58">
        <v>64500</v>
      </c>
      <c r="BB17" s="58">
        <v>70000</v>
      </c>
      <c r="BC17" s="15"/>
      <c r="BD17" s="57">
        <f t="shared" si="13"/>
        <v>1331000</v>
      </c>
      <c r="BE17" s="82">
        <f>159000+1172000</f>
        <v>1331000</v>
      </c>
      <c r="BF17" s="29">
        <f t="shared" si="6"/>
        <v>0</v>
      </c>
      <c r="BG17" s="29">
        <v>10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VLOOKUP(A18,[18]HISTOBQUEFEV23!$A$6:$G$44,3,0)</f>
        <v>51000</v>
      </c>
      <c r="E18" s="9">
        <f>VLOOKUP(A18,[18]HISTOBQUEFEV23!$A$6:$G$39,4,0)</f>
        <v>266000</v>
      </c>
      <c r="F18" s="9">
        <f>VLOOKUP(A18,[18]HISTOBQUEFEV23!$A$6:$G$39,5,0)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VLOOKUP($A18,[20]TONTFEV23!$A$6:$P$35,12,0)</f>
        <v>0</v>
      </c>
      <c r="Q18" s="2">
        <f>VLOOKUP($A18,[13]TONTFEV23!$A$7:$P$20,10,0)</f>
        <v>102000</v>
      </c>
      <c r="R18" s="2">
        <f>VLOOKUP($A18,[19]TONTFEV23!$A$6:$P$21,10,0)</f>
        <v>0</v>
      </c>
      <c r="S18" s="20"/>
      <c r="T18" s="12"/>
      <c r="U18" s="17">
        <f t="shared" si="7"/>
        <v>317000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3"/>
        <v>0</v>
      </c>
      <c r="BE18" s="82"/>
      <c r="BF18" s="29">
        <f t="shared" si="6"/>
        <v>0</v>
      </c>
      <c r="BG18" s="29">
        <v>10</v>
      </c>
      <c r="BH18" s="15"/>
      <c r="BI18" s="15"/>
      <c r="BJ18" s="15"/>
      <c r="BK18" s="15"/>
      <c r="BL18" s="61"/>
      <c r="BN18" t="s">
        <v>187</v>
      </c>
      <c r="BO18" t="s">
        <v>45</v>
      </c>
      <c r="BP18" s="6">
        <v>200000</v>
      </c>
    </row>
    <row r="19" spans="1:69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VLOOKUP(A19,[18]HISTOBQUEFEV23!$A$6:$G$44,3,0)</f>
        <v>0</v>
      </c>
      <c r="E19" s="9">
        <f>VLOOKUP(A19,[18]HISTOBQUEFEV23!$A$6:$G$39,4,0)</f>
        <v>40000</v>
      </c>
      <c r="F19" s="9">
        <f>VLOOKUP(A19,[18]HISTOBQUEFEV23!$A$6:$G$39,5,0)</f>
        <v>0</v>
      </c>
      <c r="G19" s="5">
        <f>IF(H19="ESPECES",3000,0)-3000</f>
        <v>0</v>
      </c>
      <c r="H19" s="10" t="str">
        <f t="shared" si="1"/>
        <v>ESPECES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VLOOKUP($A19,[20]TONTFEV23!$A$6:$P$35,12,0)</f>
        <v>0</v>
      </c>
      <c r="Q19" s="2"/>
      <c r="R19" s="2"/>
      <c r="S19" s="20"/>
      <c r="T19" s="12"/>
      <c r="U19" s="17">
        <f t="shared" si="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10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VLOOKUP(A20,[18]HISTOBQUEFEV23!$A$6:$G$44,3,0)</f>
        <v>107000</v>
      </c>
      <c r="E20" s="9">
        <f>VLOOKUP(A20,[18]HISTOBQUEFEV23!$A$6:$G$39,4,0)</f>
        <v>215000</v>
      </c>
      <c r="F20" s="9">
        <f>VLOOKUP(A20,[18]HISTOBQUEFEV23!$A$6:$G$39,5,0)</f>
        <v>0</v>
      </c>
      <c r="G20" s="5">
        <f>IF(H20="ESPECES",3000,0)</f>
        <v>0</v>
      </c>
      <c r="H20" s="10" t="str">
        <f t="shared" si="1"/>
        <v>BANQUE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VLOOKUP($A20,[20]TONTFEV23!$A$6:$P$35,12,0)</f>
        <v>0</v>
      </c>
      <c r="Q20" s="2">
        <f>VLOOKUP($A20,[13]TONTFEV23!$A$7:$P$20,10,0)</f>
        <v>107000</v>
      </c>
      <c r="R20" s="2">
        <f>VLOOKUP($A20,[19]TONTFEV23!$A$6:$P$21,10,0)</f>
        <v>0</v>
      </c>
      <c r="S20" s="20"/>
      <c r="T20" s="12"/>
      <c r="U20" s="17">
        <f t="shared" si="7"/>
        <v>322000</v>
      </c>
      <c r="V20" s="12"/>
      <c r="W20" s="12"/>
      <c r="X20" s="12"/>
      <c r="Y20" s="12"/>
      <c r="Z20" s="12"/>
      <c r="AA20" s="12"/>
      <c r="AB20" s="12"/>
      <c r="AC20" s="12"/>
      <c r="AD20" s="12">
        <v>22000</v>
      </c>
      <c r="AE20" s="12"/>
      <c r="AF20" s="12" t="s">
        <v>8</v>
      </c>
      <c r="AG20" s="12"/>
      <c r="AH20" s="12"/>
      <c r="AI20" s="12">
        <v>31500</v>
      </c>
      <c r="AJ20" s="12"/>
      <c r="AK20" s="12"/>
      <c r="AL20" s="12">
        <v>1000</v>
      </c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31500</v>
      </c>
      <c r="AX20" s="15">
        <f t="shared" si="10"/>
        <v>878000</v>
      </c>
      <c r="AY20" s="15">
        <f t="shared" si="11"/>
        <v>0</v>
      </c>
      <c r="AZ20" s="16">
        <f>SUM(AV20:AY20)-BF20+Z20-F20+BH20+BI20+BJ20+BK20-500000</f>
        <v>409500</v>
      </c>
      <c r="BA20" s="58">
        <f>378000+31500</f>
        <v>409500</v>
      </c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10</v>
      </c>
      <c r="BH20" s="15"/>
      <c r="BI20" s="15"/>
      <c r="BJ20" s="15"/>
      <c r="BK20" s="15"/>
      <c r="BL20" s="61"/>
      <c r="BP20" s="6"/>
    </row>
    <row r="21" spans="1:69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VLOOKUP(A21,[18]HISTOBQUEFEV23!$A$6:$G$44,3,0)</f>
        <v>40000</v>
      </c>
      <c r="E21" s="9">
        <f>VLOOKUP(A21,[18]HISTOBQUEFEV23!$A$6:$G$39,4,0)</f>
        <v>0</v>
      </c>
      <c r="F21" s="9">
        <f>VLOOKUP(A21,[18]HISTOBQUEFEV23!$A$6:$G$39,5,0)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VLOOKUP($A21,[20]TONTFEV23!$A$6:$P$35,12,0)</f>
        <v>0</v>
      </c>
      <c r="Q21" s="2"/>
      <c r="R21" s="2"/>
      <c r="S21" s="20"/>
      <c r="T21" s="12"/>
      <c r="U21" s="17">
        <f t="shared" si="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10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VLOOKUP(A22,[18]HISTOBQUEFEV23!$A$6:$G$44,3,0)</f>
        <v>115000</v>
      </c>
      <c r="E22" s="9">
        <f>VLOOKUP(A22,[18]HISTOBQUEFEV23!$A$6:$G$39,4,0)</f>
        <v>0</v>
      </c>
      <c r="F22" s="9">
        <f>VLOOKUP(A22,[18]HISTOBQUEFEV23!$A$6:$G$39,5,0)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VLOOKUP($A22,[20]TONTFEV23!$A$6:$P$35,12,0)</f>
        <v>0</v>
      </c>
      <c r="Q22" s="2">
        <f>VLOOKUP($A22,[13]TONTFEV23!$A$7:$P$20,10,0)</f>
        <v>0</v>
      </c>
      <c r="R22" s="2"/>
      <c r="S22" s="20"/>
      <c r="T22" s="12"/>
      <c r="U22" s="17">
        <f t="shared" si="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10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200000</v>
      </c>
    </row>
    <row r="23" spans="1:69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VLOOKUP(A23,[18]HISTOBQUEFEV23!$A$6:$G$44,3,0)</f>
        <v>250000</v>
      </c>
      <c r="E23" s="9">
        <f>VLOOKUP(A23,[18]HISTOBQUEFEV23!$A$6:$G$39,4,0)</f>
        <v>0</v>
      </c>
      <c r="F23" s="9">
        <f>VLOOKUP(A23,[18]HISTOBQUEFEV23!$A$6:$G$39,5,0)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VLOOKUP($A23,[20]TONTFEV23!$A$6:$P$35,12,0)</f>
        <v>0</v>
      </c>
      <c r="Q23" s="2"/>
      <c r="R23" s="2">
        <f>VLOOKUP($A23,[19]TONTFEV23!$A$6:$P$21,10,0)</f>
        <v>0</v>
      </c>
      <c r="S23" s="20"/>
      <c r="T23" s="12"/>
      <c r="U23" s="17">
        <f t="shared" si="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10</v>
      </c>
      <c r="BH23" s="15"/>
      <c r="BI23" s="15"/>
      <c r="BJ23" s="15"/>
      <c r="BK23" s="15"/>
      <c r="BL23" s="61"/>
    </row>
    <row r="24" spans="1:69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VLOOKUP(A24,[18]HISTOBQUEFEV23!$A$6:$G$44,3,0)</f>
        <v>551000</v>
      </c>
      <c r="E24" s="9">
        <f>VLOOKUP(A24,[18]HISTOBQUEFEV23!$A$6:$G$39,4,0)</f>
        <v>0</v>
      </c>
      <c r="F24" s="9">
        <f>VLOOKUP(A24,[18]HISTOBQUEFEV23!$A$6:$G$39,5,0)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VLOOKUP($A24,[20]TONTFEV23!$A$6:$P$35,12,0)</f>
        <v>26000</v>
      </c>
      <c r="Q24" s="2">
        <f>VLOOKUP($A24,[13]TONTFEV23!$A$7:$P$20,10,0)</f>
        <v>102000</v>
      </c>
      <c r="R24" s="2">
        <f>VLOOKUP($A24,[19]TONTFEV23!$A$6:$P$21,10,0)</f>
        <v>208000</v>
      </c>
      <c r="S24" s="20"/>
      <c r="T24" s="12"/>
      <c r="U24" s="17">
        <f t="shared" si="7"/>
        <v>551000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10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VLOOKUP(A25,[18]HISTOBQUEFEV23!$A$6:$G$44,3,0)</f>
        <v>451000</v>
      </c>
      <c r="E25" s="9">
        <f>VLOOKUP(A25,[18]HISTOBQUEFEV23!$A$6:$G$39,4,0)</f>
        <v>50000</v>
      </c>
      <c r="F25" s="9">
        <f>VLOOKUP(A25,[18]HISTOBQUEFEV23!$A$6:$G$39,5,0)</f>
        <v>70000</v>
      </c>
      <c r="G25" s="5">
        <f t="shared" si="14"/>
        <v>0</v>
      </c>
      <c r="H25" s="10" t="str">
        <f t="shared" si="1"/>
        <v>BANQUE</v>
      </c>
      <c r="I25" s="10"/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VLOOKUP($A25,[20]TONTFEV23!$A$6:$P$35,12,0)</f>
        <v>31000</v>
      </c>
      <c r="Q25" s="2">
        <f>VLOOKUP($A25,[13]TONTFEV23!$A$7:$P$20,10,0)</f>
        <v>102000</v>
      </c>
      <c r="R25" s="2">
        <f>VLOOKUP($A25,[19]TONTFEV23!$A$6:$P$21,10,0)</f>
        <v>78000</v>
      </c>
      <c r="S25" s="20"/>
      <c r="T25" s="12"/>
      <c r="U25" s="17">
        <f t="shared" si="7"/>
        <v>501000</v>
      </c>
      <c r="V25" s="12"/>
      <c r="W25" s="12"/>
      <c r="X25" s="12"/>
      <c r="Y25" s="12"/>
      <c r="Z25" s="12"/>
      <c r="AA25" s="12"/>
      <c r="AB25" s="12"/>
      <c r="AC25" s="12">
        <v>7500</v>
      </c>
      <c r="AD25" s="12"/>
      <c r="AE25" s="12"/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15000</v>
      </c>
      <c r="AT25" s="12"/>
      <c r="AV25" s="15"/>
      <c r="AW25" s="15">
        <f t="shared" si="9"/>
        <v>292500</v>
      </c>
      <c r="AX25" s="15">
        <f t="shared" si="10"/>
        <v>0</v>
      </c>
      <c r="AY25" s="15">
        <f t="shared" si="11"/>
        <v>0</v>
      </c>
      <c r="AZ25" s="16">
        <f t="shared" si="12"/>
        <v>222500</v>
      </c>
      <c r="BA25" s="58"/>
      <c r="BB25" s="58">
        <v>70000</v>
      </c>
      <c r="BC25" s="15"/>
      <c r="BD25" s="57">
        <f t="shared" si="13"/>
        <v>222500</v>
      </c>
      <c r="BE25" s="82">
        <v>222500</v>
      </c>
      <c r="BF25" s="29">
        <f t="shared" si="6"/>
        <v>0</v>
      </c>
      <c r="BG25" s="29">
        <v>10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VLOOKUP(A26,[18]HISTOBQUEFEV23!$A$6:$G$44,3,0)</f>
        <v>0</v>
      </c>
      <c r="E26" s="9">
        <f>VLOOKUP(A26,[18]HISTOBQUEFEV23!$A$6:$G$39,4,0)</f>
        <v>102000</v>
      </c>
      <c r="F26" s="9">
        <f>VLOOKUP(A26,[18]HISTOBQUEFEV23!$A$6:$G$39,5,0)+1000000</f>
        <v>1070000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VLOOKUP($A26,[20]TONTFEV23!$A$6:$P$35,12,0)</f>
        <v>62000</v>
      </c>
      <c r="Q26" s="2"/>
      <c r="R26" s="2"/>
      <c r="S26" s="20">
        <v>1000000</v>
      </c>
      <c r="T26" s="12" t="s">
        <v>8</v>
      </c>
      <c r="U26" s="17">
        <f t="shared" si="7"/>
        <v>1102000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>
        <v>3500</v>
      </c>
      <c r="AD26" s="12"/>
      <c r="AE26" s="12"/>
      <c r="AF26" s="12" t="s">
        <v>8</v>
      </c>
      <c r="AG26" s="12"/>
      <c r="AH26" s="12"/>
      <c r="AI26" s="12">
        <v>40000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336500</v>
      </c>
      <c r="AX26" s="15">
        <f t="shared" si="10"/>
        <v>0</v>
      </c>
      <c r="AY26" s="15">
        <f t="shared" si="11"/>
        <v>0</v>
      </c>
      <c r="AZ26" s="16">
        <f>SUM(AV26:AY26)-BF26+Z26-F26+BH26+BI26+BJ26+BK26</f>
        <v>236500</v>
      </c>
      <c r="BA26" s="58">
        <f>196500+40000</f>
        <v>236500</v>
      </c>
      <c r="BB26" s="58">
        <v>70000</v>
      </c>
      <c r="BC26" s="15"/>
      <c r="BD26" s="57">
        <f>IF(AZ26=0,(AZ26-BA26-BC26),(AZ26-BA26-BB26-BC26))+70000</f>
        <v>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VLOOKUP(A27,[18]HISTOBQUEFEV23!$A$6:$G$44,3,0)</f>
        <v>40000</v>
      </c>
      <c r="E27" s="9">
        <f>VLOOKUP(A27,[18]HISTOBQUEFEV23!$A$6:$G$39,4,0)</f>
        <v>0</v>
      </c>
      <c r="F27" s="9">
        <f>VLOOKUP(A27,[18]HISTOBQUEFEV23!$A$6:$G$39,5,0)</f>
        <v>0</v>
      </c>
      <c r="G27" s="5">
        <f t="shared" si="14"/>
        <v>0</v>
      </c>
      <c r="H27" s="10" t="str">
        <f t="shared" si="1"/>
        <v>BANQUE</v>
      </c>
      <c r="I27" s="10"/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VLOOKUP($A27,[20]TONTFEV23!$A$6:$P$35,12,0)</f>
        <v>0</v>
      </c>
      <c r="Q27" s="2"/>
      <c r="R27" s="2"/>
      <c r="S27" s="20"/>
      <c r="T27" s="12"/>
      <c r="U27" s="17">
        <f t="shared" si="7"/>
        <v>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10</v>
      </c>
      <c r="BH27" s="15"/>
      <c r="BI27" s="15"/>
      <c r="BJ27" s="15"/>
      <c r="BK27" s="15"/>
      <c r="BL27" s="61"/>
      <c r="BP27" s="6"/>
    </row>
    <row r="28" spans="1:69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VLOOKUP(A28,[18]HISTOBQUEFEV23!$A$6:$G$44,3,0)</f>
        <v>115000</v>
      </c>
      <c r="E28" s="9">
        <f>VLOOKUP(A28,[18]HISTOBQUEFEV23!$A$6:$G$39,4,0)</f>
        <v>0</v>
      </c>
      <c r="F28" s="9">
        <f>VLOOKUP(A28,[18]HISTOBQUEFEV23!$A$6:$G$39,5,0)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VLOOKUP($A28,[20]TONTFEV23!$A$6:$P$35,12,0)</f>
        <v>0</v>
      </c>
      <c r="Q28" s="2">
        <f>VLOOKUP($A28,[13]TONTFEV23!$A$7:$P$20,10,0)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10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9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VLOOKUP(A29,[18]HISTOBQUEFEV23!$A$6:$G$44,3,0)</f>
        <v>40000</v>
      </c>
      <c r="E29" s="9">
        <f>VLOOKUP(A29,[18]HISTOBQUEFEV23!$A$6:$G$39,4,0)</f>
        <v>0</v>
      </c>
      <c r="F29" s="9">
        <f>VLOOKUP(A29,[18]HISTOBQUEFEV23!$A$6:$G$39,5,0)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VLOOKUP($A29,[20]TONTFEV23!$A$6:$P$35,12,0)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10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VLOOKUP(A30,[18]HISTOBQUEFEV23!$A$6:$G$44,3,0)</f>
        <v>115000</v>
      </c>
      <c r="E30" s="9">
        <f>VLOOKUP(A30,[18]HISTOBQUEFEV23!$A$6:$G$39,4,0)</f>
        <v>0</v>
      </c>
      <c r="F30" s="9">
        <f>VLOOKUP(A30,[18]HISTOBQUEFEV23!$A$6:$G$39,5,0)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VLOOKUP($A30,[20]TONTFEV23!$A$6:$P$35,12,0)</f>
        <v>0</v>
      </c>
      <c r="Q30" s="2">
        <f>VLOOKUP($A30,[13]TONTFEV23!$A$7:$P$20,10,0)</f>
        <v>0</v>
      </c>
      <c r="R30" s="2"/>
      <c r="S30" s="20"/>
      <c r="T30" s="12"/>
      <c r="U30" s="17">
        <f t="shared" si="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10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560000</v>
      </c>
    </row>
    <row r="31" spans="1:69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VLOOKUP(A31,[18]HISTOBQUEFEV23!$A$6:$G$44,3,0)</f>
        <v>0</v>
      </c>
      <c r="E31" s="9">
        <f>VLOOKUP(A31,[18]HISTOBQUEFEV23!$A$6:$G$39,4,0)</f>
        <v>140000</v>
      </c>
      <c r="F31" s="9">
        <f>VLOOKUP(A31,[18]HISTOBQUEFEV23!$A$6:$G$39,5,0)</f>
        <v>0</v>
      </c>
      <c r="G31" s="5">
        <f>IF(H31="ESPECES",3000,0)-3000</f>
        <v>0</v>
      </c>
      <c r="H31" s="10" t="str">
        <f t="shared" si="1"/>
        <v>ESPECES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VLOOKUP($A31,[20]TONTFEV23!$A$6:$P$35,12,0)</f>
        <v>0</v>
      </c>
      <c r="Q31" s="2"/>
      <c r="R31" s="2">
        <f>VLOOKUP($A31,[19]TONTFEV23!$A$6:$P$21,10,0)</f>
        <v>0</v>
      </c>
      <c r="S31" s="20"/>
      <c r="T31" s="12"/>
      <c r="U31" s="17">
        <f t="shared" si="7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10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VLOOKUP(A32,[18]HISTOBQUEFEV23!$A$6:$G$44,3,0)</f>
        <v>115000</v>
      </c>
      <c r="E32" s="9">
        <f>VLOOKUP(A32,[18]HISTOBQUEFEV23!$A$6:$G$39,4,0)</f>
        <v>0</v>
      </c>
      <c r="F32" s="9">
        <f>VLOOKUP(A32,[18]HISTOBQUEFEV23!$A$6:$G$39,5,0)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VLOOKUP($A32,[20]TONTFEV23!$A$6:$P$35,12,0)</f>
        <v>0</v>
      </c>
      <c r="Q32" s="2">
        <f>VLOOKUP($A32,[13]TONTFEV23!$A$7:$P$20,10,0)</f>
        <v>0</v>
      </c>
      <c r="R32" s="2"/>
      <c r="S32" s="20"/>
      <c r="T32" s="12"/>
      <c r="U32" s="17">
        <f t="shared" si="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10</v>
      </c>
      <c r="BH32" s="15"/>
      <c r="BI32" s="15"/>
      <c r="BJ32" s="15"/>
      <c r="BK32" s="15"/>
      <c r="BL32" s="61"/>
      <c r="BN32" t="s">
        <v>169</v>
      </c>
      <c r="BO32" t="s">
        <v>170</v>
      </c>
      <c r="BQ32" s="6">
        <v>640700</v>
      </c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VLOOKUP(A33,[18]HISTOBQUEFEV23!$A$6:$G$44,3,0)</f>
        <v>0</v>
      </c>
      <c r="E33" s="9">
        <f>VLOOKUP(A33,[18]HISTOBQUEFEV23!$A$6:$G$39,4,0)</f>
        <v>40000</v>
      </c>
      <c r="F33" s="9">
        <f>VLOOKUP(A33,[18]HISTOBQUEFEV23!$A$6:$G$39,5,0)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VLOOKUP($A33,[20]TONTFEV23!$A$6:$P$35,12,0)</f>
        <v>0</v>
      </c>
      <c r="Q33" s="2"/>
      <c r="R33" s="2"/>
      <c r="S33" s="20"/>
      <c r="T33" s="12"/>
      <c r="U33" s="17">
        <f t="shared" si="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10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560000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60000</v>
      </c>
      <c r="D34" s="9">
        <f>VLOOKUP(A34,[18]HISTOBQUEFEV23!$A$6:$G$44,3,0)</f>
        <v>100000</v>
      </c>
      <c r="E34" s="9">
        <f>VLOOKUP(A34,[18]HISTOBQUEFEV23!$A$6:$G$39,4,0)</f>
        <v>0</v>
      </c>
      <c r="F34" s="9">
        <f>VLOOKUP(A34,[18]HISTOBQUEFEV23!$A$6:$G$39,5,0)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VLOOKUP($A34,[20]TONTFEV23!$A$6:$P$35,12,0)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>IF(H34="ECHEC",0,(K34+I34-25000))</f>
        <v>15000</v>
      </c>
      <c r="AT34" s="12">
        <v>60000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10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0</v>
      </c>
      <c r="D35" s="9">
        <f>VLOOKUP(A35,[18]HISTOBQUEFEV23!$A$6:$G$44,3,0)</f>
        <v>40000</v>
      </c>
      <c r="E35" s="9">
        <f>VLOOKUP(A35,[18]HISTOBQUEFEV23!$A$6:$G$39,4,0)</f>
        <v>0</v>
      </c>
      <c r="F35" s="9">
        <f>VLOOKUP(A35,[18]HISTOBQUEFEV23!$A$6:$G$39,5,0)</f>
        <v>0</v>
      </c>
      <c r="G35" s="5">
        <f t="shared" si="14"/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VLOOKUP($A35,[20]TONTFEV23!$A$6:$P$35,12,0)</f>
        <v>0</v>
      </c>
      <c r="Q35" s="2"/>
      <c r="R35" s="2"/>
      <c r="S35" s="20"/>
      <c r="T35" s="12"/>
      <c r="U35" s="17">
        <f t="shared" si="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10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VLOOKUP(A36,[18]HISTOBQUEFEV23!$A$6:$G$44,3,0)</f>
        <v>290000</v>
      </c>
      <c r="E36" s="9">
        <f>VLOOKUP(A36,[18]HISTOBQUEFEV23!$A$6:$G$39,4,0)</f>
        <v>0</v>
      </c>
      <c r="F36" s="9">
        <f>VLOOKUP(A36,[18]HISTOBQUEFEV23!$A$6:$G$39,5,0)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VLOOKUP($A36,[20]TONTFEV23!$A$6:$P$35,12,0)</f>
        <v>0</v>
      </c>
      <c r="Q36" s="2">
        <f>VLOOKUP($A36,[13]TONTFEV23!$A$7:$P$20,10,0)</f>
        <v>0</v>
      </c>
      <c r="R36" s="2">
        <f>VLOOKUP($A36,[19]TONTFEV23!$A$6:$P$21,10,0)</f>
        <v>0</v>
      </c>
      <c r="S36" s="6"/>
      <c r="T36" s="12"/>
      <c r="U36" s="17">
        <f t="shared" si="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10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-10000</v>
      </c>
      <c r="D38" s="5">
        <f t="shared" si="16"/>
        <v>4475000</v>
      </c>
      <c r="E38" s="5">
        <f t="shared" si="16"/>
        <v>1013000</v>
      </c>
      <c r="F38" s="5">
        <f t="shared" si="16"/>
        <v>2140000</v>
      </c>
      <c r="G38" s="5">
        <f t="shared" si="16"/>
        <v>0</v>
      </c>
      <c r="H38" s="5">
        <f t="shared" si="16"/>
        <v>0</v>
      </c>
      <c r="I38" s="5">
        <f t="shared" si="16"/>
        <v>58000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244000</v>
      </c>
      <c r="Q38" s="5">
        <f t="shared" si="16"/>
        <v>413000</v>
      </c>
      <c r="R38" s="5">
        <f t="shared" si="16"/>
        <v>338000</v>
      </c>
      <c r="S38" s="5">
        <f t="shared" si="16"/>
        <v>2500000</v>
      </c>
      <c r="T38" s="5"/>
      <c r="U38" s="5">
        <f t="shared" ref="U38:AA38" si="17">SUM(U6:U37)</f>
        <v>7428000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1000000</v>
      </c>
      <c r="AA38" s="5">
        <f t="shared" si="17"/>
        <v>0</v>
      </c>
      <c r="AB38" s="5"/>
      <c r="AC38" s="5">
        <f>SUM(AC6:AC37)</f>
        <v>17500</v>
      </c>
      <c r="AD38" s="5">
        <f>SUM(AD6:AD37)</f>
        <v>42000</v>
      </c>
      <c r="AE38" s="5">
        <f>SUM(AE6:AE37)</f>
        <v>56000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111500</v>
      </c>
      <c r="AJ38" s="5">
        <f t="shared" si="18"/>
        <v>0</v>
      </c>
      <c r="AK38" s="5">
        <f t="shared" si="18"/>
        <v>0</v>
      </c>
      <c r="AL38" s="5">
        <f t="shared" si="18"/>
        <v>3000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508000</v>
      </c>
      <c r="AT38" s="5">
        <f t="shared" si="18"/>
        <v>60000</v>
      </c>
      <c r="AU38" s="5">
        <f t="shared" si="18"/>
        <v>0</v>
      </c>
      <c r="AV38" s="5">
        <f t="shared" si="18"/>
        <v>0</v>
      </c>
      <c r="AW38" s="5">
        <f t="shared" si="18"/>
        <v>994000</v>
      </c>
      <c r="AX38" s="5">
        <f t="shared" si="18"/>
        <v>1758000</v>
      </c>
      <c r="AY38" s="5">
        <f t="shared" si="18"/>
        <v>2344000</v>
      </c>
      <c r="AZ38" s="5">
        <f t="shared" si="18"/>
        <v>4254500</v>
      </c>
      <c r="BA38" s="5">
        <f t="shared" si="18"/>
        <v>1013000</v>
      </c>
      <c r="BB38" s="5">
        <f t="shared" si="18"/>
        <v>210000</v>
      </c>
      <c r="BC38" s="5">
        <f t="shared" si="18"/>
        <v>0</v>
      </c>
      <c r="BD38" s="5">
        <f t="shared" si="18"/>
        <v>3171500</v>
      </c>
      <c r="BE38" s="5">
        <f t="shared" si="18"/>
        <v>3812200</v>
      </c>
      <c r="BF38" s="5">
        <f>SUM(BF6:BF37)</f>
        <v>30000</v>
      </c>
      <c r="BH38" s="5">
        <f t="shared" ref="BH38:BL38" si="19">SUM(BH6:BH37)</f>
        <v>68500</v>
      </c>
      <c r="BI38" s="5">
        <f t="shared" si="19"/>
        <v>0</v>
      </c>
      <c r="BJ38" s="5">
        <f t="shared" si="19"/>
        <v>560000</v>
      </c>
      <c r="BK38" s="5">
        <f t="shared" si="19"/>
        <v>0</v>
      </c>
      <c r="BL38" s="5">
        <f t="shared" si="19"/>
        <v>0</v>
      </c>
      <c r="BM38" s="5">
        <f>SUM(BM6:BM37)</f>
        <v>200000</v>
      </c>
      <c r="BN38" s="62" t="s">
        <v>142</v>
      </c>
      <c r="BP38" s="62">
        <f>SUM(BP35:BP36)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5"/>
      <c r="E40" s="65"/>
      <c r="F40" s="3" t="s">
        <v>9</v>
      </c>
      <c r="G40" s="65"/>
      <c r="H40" s="65"/>
      <c r="I40" s="65"/>
      <c r="Z40" s="12"/>
      <c r="AI40" s="5"/>
      <c r="AV40" s="3"/>
      <c r="AW40" s="65"/>
      <c r="AX40" s="15"/>
      <c r="AY40" s="15"/>
      <c r="AZ40" s="16"/>
      <c r="BA40" s="6">
        <f>1013000-BA38</f>
        <v>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828500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4254500</v>
      </c>
      <c r="D43" s="9">
        <f>SUMIFS(D8:D38,H8:H38,"BANQUE")</f>
        <v>4300000</v>
      </c>
      <c r="F43" s="9">
        <f>E38</f>
        <v>1013000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  <c r="BO45">
        <v>640700</v>
      </c>
      <c r="BP45" t="s">
        <v>167</v>
      </c>
    </row>
    <row r="46" spans="1:68" ht="18.75" x14ac:dyDescent="0.3">
      <c r="AW46" s="15"/>
      <c r="AX46" s="15"/>
      <c r="AY46" s="15"/>
      <c r="AZ46" s="16"/>
      <c r="BO46">
        <v>560000</v>
      </c>
      <c r="BP46" t="s">
        <v>168</v>
      </c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7680500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Y15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6.570312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VLOOKUP(A6,[18]HISTOBQUEMARS23!$A$6:$G$44,3,0)</f>
        <v>175000</v>
      </c>
      <c r="E6" s="9">
        <f>VLOOKUP(A6,[18]HISTOBQUEMARS23!$A$6:$G$39,4,0)</f>
        <v>0</v>
      </c>
      <c r="F6" s="9">
        <f>VLOOKUP(A6,[18]HISTOBQUEMARS23!$A$6:$G$39,5,0)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VLOOKUP($A6,[13]TONTMARS23!$A$6:$P$20,10,0)</f>
        <v>0</v>
      </c>
      <c r="R6" s="2">
        <f>VLOOKUP($A6,[19]TONTMARS23!$A$6:$P$21,10,0)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IF(AZ6=0,(AZ6-BA6-BC6),(AZ6-BA6-BB6-BC6))+F6-1750000</f>
        <v>-1644000</v>
      </c>
      <c r="BE6" s="82">
        <v>1858000</v>
      </c>
      <c r="BF6" s="29">
        <f t="shared" ref="BF6:BF36" si="6">Z6*1/100*BG6</f>
        <v>0</v>
      </c>
      <c r="BG6" s="29">
        <v>9</v>
      </c>
      <c r="BH6" s="15">
        <f>BP16</f>
        <v>6000</v>
      </c>
      <c r="BI6" s="15">
        <f>BP28</f>
        <v>0</v>
      </c>
      <c r="BJ6" s="15">
        <f>BP33</f>
        <v>0</v>
      </c>
      <c r="BK6" s="15">
        <f>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VLOOKUP(A7,[18]HISTOBQUEMARS23!$A$6:$G$44,3,0)</f>
        <v>40000</v>
      </c>
      <c r="E7" s="9">
        <f>VLOOKUP(A7,[18]HISTOBQUEMARS23!$A$6:$G$39,4,0)</f>
        <v>0</v>
      </c>
      <c r="F7" s="9">
        <f>VLOOKUP(A7,[18]HISTOBQUEMARS23!$A$6:$G$39,5,0)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VLOOKUP($A7,[20]TONTMARS23!$A$6:$P$35,12,0)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9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VLOOKUP(A8,[18]HISTOBQUEMARS23!$A$6:$G$44,3,0)</f>
        <v>115000</v>
      </c>
      <c r="E8" s="9">
        <f>VLOOKUP(A8,[18]HISTOBQUEMARS23!$A$6:$G$39,4,0)</f>
        <v>0</v>
      </c>
      <c r="F8" s="9">
        <f>VLOOKUP(A8,[18]HISTOBQUEMARS23!$A$6:$G$39,5,0)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VLOOKUP($A8,[20]TONTMARS23!$A$6:$P$35,12,0)</f>
        <v>0</v>
      </c>
      <c r="Q8" s="2">
        <f>VLOOKUP($A8,[13]TONTMARS23!$A$6:$P$20,10,0)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9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VLOOKUP(A9,[18]HISTOBQUEMARS23!$A$6:$G$44,3,0)</f>
        <v>140000</v>
      </c>
      <c r="E9" s="9">
        <f>VLOOKUP(A9,[18]HISTOBQUEMARS23!$A$6:$G$39,4,0)</f>
        <v>0</v>
      </c>
      <c r="F9" s="9">
        <f>VLOOKUP(A9,[18]HISTOBQUEMARS23!$A$6:$G$39,5,0)+690000</f>
        <v>690000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VLOOKUP($A9,[20]TONTMARS23!$A$6:$P$35,12,0)</f>
        <v>0</v>
      </c>
      <c r="Q9" s="2"/>
      <c r="R9" s="2">
        <f>VLOOKUP($A9,[19]TONTMARS23!$A$6:$P$21,10,0)</f>
        <v>0</v>
      </c>
      <c r="S9" s="20">
        <v>690000</v>
      </c>
      <c r="T9" s="12" t="s">
        <v>8</v>
      </c>
      <c r="U9" s="17">
        <f t="shared" si="15"/>
        <v>830000</v>
      </c>
      <c r="V9" s="12"/>
      <c r="W9" s="12"/>
      <c r="X9" s="12"/>
      <c r="Y9" s="12"/>
      <c r="Z9" s="12"/>
      <c r="AA9" s="12"/>
      <c r="AB9" s="12"/>
      <c r="AC9" s="12"/>
      <c r="AD9" s="12"/>
      <c r="AE9" s="12">
        <v>10000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1190000</v>
      </c>
      <c r="AZ9" s="16">
        <f t="shared" si="12"/>
        <v>500000</v>
      </c>
      <c r="BA9" s="58"/>
      <c r="BB9" s="58"/>
      <c r="BC9" s="15"/>
      <c r="BD9" s="57">
        <f>IF(AZ9=0,(AZ9-BA9-BC9),(AZ9-BA9-BB9-BC9))</f>
        <v>500000</v>
      </c>
      <c r="BE9" s="82">
        <v>500000</v>
      </c>
      <c r="BF9" s="29">
        <f t="shared" si="6"/>
        <v>0</v>
      </c>
      <c r="BG9" s="29">
        <v>9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VLOOKUP(A10,[18]HISTOBQUEMARS23!$A$6:$G$44,3,0)</f>
        <v>82000</v>
      </c>
      <c r="E10" s="9">
        <f>VLOOKUP(A10,[18]HISTOBQUEMARS23!$A$6:$G$39,4,0)</f>
        <v>0</v>
      </c>
      <c r="F10" s="9">
        <f>VLOOKUP(A10,[18]HISTOBQUEMARS23!$A$6:$G$39,5,0)</f>
        <v>0</v>
      </c>
      <c r="G10" s="5">
        <f t="shared" si="7"/>
        <v>0</v>
      </c>
      <c r="H10" s="10" t="str">
        <f t="shared" si="1"/>
        <v>BANQUE</v>
      </c>
      <c r="I10" s="10">
        <v>1000</v>
      </c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VLOOKUP($A10,[20]TONTMARS23!$A$6:$P$35,12,0)</f>
        <v>41000</v>
      </c>
      <c r="Q10" s="2"/>
      <c r="R10" s="2"/>
      <c r="S10" s="20"/>
      <c r="T10" s="12"/>
      <c r="U10" s="17">
        <f t="shared" si="15"/>
        <v>82000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16000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9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9">
        <f t="shared" si="0"/>
        <v>-100000</v>
      </c>
      <c r="D11" s="9">
        <f>VLOOKUP(A11,[18]HISTOBQUEMARS23!$A$6:$G$44,3,0)+892500</f>
        <v>912500</v>
      </c>
      <c r="E11" s="9">
        <f>VLOOKUP(A11,[18]HISTOBQUEMARS23!$A$6:$G$39,4,0)</f>
        <v>0</v>
      </c>
      <c r="F11" s="9">
        <f>VLOOKUP(A11,[18]HISTOBQUEMARS23!$A$6:$G$39,5,0)</f>
        <v>0</v>
      </c>
      <c r="G11" s="5">
        <f t="shared" si="7"/>
        <v>0</v>
      </c>
      <c r="H11" s="10" t="str">
        <f t="shared" si="1"/>
        <v>BANQUE</v>
      </c>
      <c r="I11" s="10">
        <v>5000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VLOOKUP($A11,[20]TONTMARS23!$A$6:$P$35,12,0)</f>
        <v>0</v>
      </c>
      <c r="Q11" s="2">
        <f>VLOOKUP($A11,[13]TONTMARS23!$A$6:$P$20,10,0)</f>
        <v>0</v>
      </c>
      <c r="R11" s="2"/>
      <c r="S11" s="20">
        <v>892500</v>
      </c>
      <c r="T11" s="12" t="s">
        <v>8</v>
      </c>
      <c r="U11" s="17">
        <f t="shared" si="15"/>
        <v>1012500</v>
      </c>
      <c r="V11" s="12"/>
      <c r="W11" s="12"/>
      <c r="X11" s="12"/>
      <c r="Y11" s="12"/>
      <c r="Z11" s="12"/>
      <c r="AA11" s="12"/>
      <c r="AB11" s="12"/>
      <c r="AC11" s="12"/>
      <c r="AD11" s="12">
        <v>7500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20000</v>
      </c>
      <c r="AT11" s="12"/>
      <c r="AV11" s="15"/>
      <c r="AW11" s="15">
        <f t="shared" si="9"/>
        <v>0</v>
      </c>
      <c r="AX11" s="15">
        <f t="shared" si="10"/>
        <v>892500</v>
      </c>
      <c r="AY11" s="15">
        <f t="shared" si="11"/>
        <v>0</v>
      </c>
      <c r="AZ11" s="16">
        <f t="shared" si="12"/>
        <v>892500</v>
      </c>
      <c r="BA11" s="58">
        <v>50000</v>
      </c>
      <c r="BB11" s="58"/>
      <c r="BC11" s="15"/>
      <c r="BD11" s="71">
        <f>IF(AZ11=0,(AZ11-BA11-BC11),(AZ11-BA11-BB11-BC11))</f>
        <v>842500</v>
      </c>
      <c r="BE11" s="82"/>
      <c r="BF11" s="29">
        <f t="shared" si="6"/>
        <v>0</v>
      </c>
      <c r="BG11" s="29">
        <v>9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VLOOKUP(A12,[18]HISTOBQUEMARS23!$A$6:$G$44,3,0)</f>
        <v>320000</v>
      </c>
      <c r="E12" s="9">
        <f>VLOOKUP(A12,[18]HISTOBQUEMARS23!$A$6:$G$39,4,0)</f>
        <v>0</v>
      </c>
      <c r="F12" s="9">
        <f>VLOOKUP(A12,[18]HISTOBQUEMARS23!$A$6:$G$39,5,0)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VLOOKUP($A12,[20]TONTMARS23!$A$6:$P$35,12,0)</f>
        <v>0</v>
      </c>
      <c r="Q12" s="2">
        <f>VLOOKUP($A12,[13]TONTMARS23!$A$6:$P$20,10,0)</f>
        <v>0</v>
      </c>
      <c r="R12" s="2">
        <f>VLOOKUP($A12,[19]TONTMARS23!$A$6:$P$21,10,0)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>
        <v>10000</v>
      </c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1190000</v>
      </c>
      <c r="AZ12" s="16">
        <f t="shared" si="12"/>
        <v>1190000</v>
      </c>
      <c r="BA12" s="58"/>
      <c r="BB12" s="58"/>
      <c r="BC12" s="15"/>
      <c r="BD12" s="57">
        <f t="shared" si="13"/>
        <v>1190000</v>
      </c>
      <c r="BE12" s="82">
        <v>1190000</v>
      </c>
      <c r="BF12" s="29">
        <f t="shared" si="6"/>
        <v>0</v>
      </c>
      <c r="BG12" s="29">
        <v>9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VLOOKUP(A13,[18]HISTOBQUEMARS23!$A$6:$G$44,3,0)</f>
        <v>40000</v>
      </c>
      <c r="E13" s="9">
        <f>VLOOKUP(A13,[18]HISTOBQUEMARS23!$A$6:$G$39,4,0)</f>
        <v>0</v>
      </c>
      <c r="F13" s="9">
        <f>VLOOKUP(A13,[18]HISTOBQUEMARS23!$A$6:$G$39,5,0)+70000</f>
        <v>70000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VLOOKUP($A13,[20]TONTMARS23!$A$6:$P$35,12,0)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>
        <v>10000</v>
      </c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290000</v>
      </c>
      <c r="AX13" s="15">
        <f t="shared" si="10"/>
        <v>0</v>
      </c>
      <c r="AY13" s="15">
        <f t="shared" si="11"/>
        <v>0</v>
      </c>
      <c r="AZ13" s="16">
        <f t="shared" si="12"/>
        <v>220000</v>
      </c>
      <c r="BA13" s="58"/>
      <c r="BB13" s="58">
        <v>70000</v>
      </c>
      <c r="BC13" s="15"/>
      <c r="BD13" s="57">
        <f t="shared" si="13"/>
        <v>220000</v>
      </c>
      <c r="BE13" s="82">
        <v>220000</v>
      </c>
      <c r="BF13" s="29">
        <f t="shared" si="6"/>
        <v>0</v>
      </c>
      <c r="BG13" s="29">
        <v>9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VLOOKUP(A14,[18]HISTOBQUEMARS23!$A$6:$G$44,3,0)</f>
        <v>40000</v>
      </c>
      <c r="E14" s="9">
        <f>VLOOKUP(A14,[18]HISTOBQUEMARS23!$A$6:$G$39,4,0)</f>
        <v>0</v>
      </c>
      <c r="F14" s="9">
        <f>VLOOKUP(A14,[18]HISTOBQUEMARS23!$A$6:$G$39,5,0)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VLOOKUP($A14,[20]TONTMARS23!$A$6:$P$35,12,0)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9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VLOOKUP(A15,[18]HISTOBQUEMARS23!$A$6:$G$44,3,0)</f>
        <v>115000</v>
      </c>
      <c r="E15" s="9">
        <f>VLOOKUP(A15,[18]HISTOBQUEMARS23!$A$6:$G$39,4,0)</f>
        <v>0</v>
      </c>
      <c r="F15" s="9">
        <f>VLOOKUP(A15,[18]HISTOBQUEMARS23!$A$6:$G$39,5,0)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VLOOKUP($A15,[20]TONTMARS23!$A$6:$P$35,12,0)</f>
        <v>0</v>
      </c>
      <c r="Q15" s="2">
        <f>VLOOKUP($A15,[13]TONTMARS23!$A$6:$P$20,10,0)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9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VLOOKUP(A16,[18]HISTOBQUEMARS23!$A$6:$G$44,3,0)</f>
        <v>250000</v>
      </c>
      <c r="E16" s="9">
        <f>VLOOKUP(A16,[18]HISTOBQUEMARS23!$A$6:$G$39,4,0)</f>
        <v>0</v>
      </c>
      <c r="F16" s="9">
        <f>VLOOKUP(A16,[18]HISTOBQUEMARS23!$A$6:$G$39,5,0)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VLOOKUP($A16,[20]TONTMARS23!$A$6:$P$35,12,0)</f>
        <v>0</v>
      </c>
      <c r="Q16" s="2">
        <f>VLOOKUP($A16,[13]TONTMARS23!$A$6:$P$20,10,0)</f>
        <v>0</v>
      </c>
      <c r="R16" s="2">
        <f>VLOOKUP($A16,[19]TONTMARS23!$A$6:$P$21,10,0)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164000</v>
      </c>
      <c r="AL16" s="12"/>
      <c r="AM16" s="12"/>
      <c r="AN16" s="12">
        <v>1000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164000</v>
      </c>
      <c r="AZ16" s="16">
        <f t="shared" si="12"/>
        <v>164000</v>
      </c>
      <c r="BA16" s="58">
        <v>44000</v>
      </c>
      <c r="BB16" s="58"/>
      <c r="BC16" s="15"/>
      <c r="BD16" s="57">
        <f t="shared" si="13"/>
        <v>120000</v>
      </c>
      <c r="BE16" s="82">
        <v>220000</v>
      </c>
      <c r="BF16" s="29">
        <f t="shared" si="6"/>
        <v>0</v>
      </c>
      <c r="BG16" s="29">
        <v>9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9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VLOOKUP(A17,[18]HISTOBQUEMARS23!$A$6:$G$44,3,0)</f>
        <v>140000</v>
      </c>
      <c r="E17" s="9">
        <f>VLOOKUP(A17,[18]HISTOBQUEMARS23!$A$6:$G$39,4,0)</f>
        <v>0</v>
      </c>
      <c r="F17" s="9">
        <f>VLOOKUP(A17,[18]HISTOBQUEMARS23!$A$6:$G$39,5,0)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VLOOKUP($A17,[20]TONTMARS23!$A$6:$P$35,12,0)</f>
        <v>0</v>
      </c>
      <c r="Q17" s="2"/>
      <c r="R17" s="2">
        <f>VLOOKUP($A17,[19]TONTMARS23!$A$6:$P$21,10,0)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200000</v>
      </c>
      <c r="AL17" s="12"/>
      <c r="AM17" s="12"/>
      <c r="AN17" s="12">
        <v>2000</v>
      </c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200000</v>
      </c>
      <c r="AZ17" s="16">
        <f t="shared" si="12"/>
        <v>200000</v>
      </c>
      <c r="BA17" s="58">
        <v>100000</v>
      </c>
      <c r="BB17" s="58"/>
      <c r="BC17" s="15"/>
      <c r="BD17" s="57">
        <f t="shared" si="13"/>
        <v>100000</v>
      </c>
      <c r="BE17" s="82">
        <v>100000</v>
      </c>
      <c r="BF17" s="29">
        <f t="shared" si="6"/>
        <v>0</v>
      </c>
      <c r="BG17" s="29">
        <v>9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23</v>
      </c>
      <c r="B18" s="1" t="str">
        <f>VLOOKUP(A18,[17]LISTADHERENT!A$5:H$39,3,0)</f>
        <v>KOUATCHO MESSACK</v>
      </c>
      <c r="C18" s="9">
        <f t="shared" si="0"/>
        <v>1000</v>
      </c>
      <c r="D18" s="9">
        <f>VLOOKUP(A18,[18]HISTOBQUEMARS23!$A$6:$G$44,3,0)</f>
        <v>215000</v>
      </c>
      <c r="E18" s="9">
        <f>VLOOKUP(A18,[18]HISTOBQUEMARS23!$A$6:$G$39,4,0)</f>
        <v>0</v>
      </c>
      <c r="F18" s="9">
        <f>VLOOKUP(A18,[18]HISTOBQUEMARS23!$A$6:$G$39,5,0)</f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VLOOKUP($A18,[20]TONTMARS23!$A$6:$P$35,12,0)</f>
        <v>0</v>
      </c>
      <c r="Q18" s="2">
        <f>VLOOKUP($A18,[13]TONTMARS23!$A$6:$P$20,10,0)</f>
        <v>0</v>
      </c>
      <c r="R18" s="2">
        <f>VLOOKUP($A18,[19]TONTMARS23!$A$6:$P$21,10,0)</f>
        <v>0</v>
      </c>
      <c r="S18" s="20"/>
      <c r="T18" s="12"/>
      <c r="U18" s="17">
        <f t="shared" si="15"/>
        <v>214000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v>2000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200000</v>
      </c>
      <c r="AZ18" s="16">
        <f>SUM(AV18:AY18)-BF18+Z18-F18+BH18+BI18+BJ18+BK18+BL18+BM18</f>
        <v>200000</v>
      </c>
      <c r="BA18" s="58"/>
      <c r="BB18" s="58"/>
      <c r="BC18" s="15"/>
      <c r="BD18" s="57">
        <f>IF(AZ18=0,(AZ18-BA18-BC18),(AZ18-BA18-BB18-BC18))+F18+100000</f>
        <v>300000</v>
      </c>
      <c r="BE18" s="82">
        <v>200000</v>
      </c>
      <c r="BF18" s="29">
        <f t="shared" si="6"/>
        <v>0</v>
      </c>
      <c r="BG18" s="29">
        <v>9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9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VLOOKUP(A19,[18]HISTOBQUEMARS23!$A$6:$G$44,3,0)</f>
        <v>40000</v>
      </c>
      <c r="E19" s="9">
        <f>VLOOKUP(A19,[18]HISTOBQUEMARS23!$A$6:$G$39,4,0)</f>
        <v>0</v>
      </c>
      <c r="F19" s="9">
        <f>VLOOKUP(A19,[18]HISTOBQUEMARS23!$A$6:$G$39,5,0)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VLOOKUP($A19,[20]TONTMARS23!$A$6:$P$35,12,0)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9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s="72" customFormat="1" ht="18.75" x14ac:dyDescent="0.3">
      <c r="A20" s="73" t="s">
        <v>25</v>
      </c>
      <c r="B20" s="73" t="str">
        <f>VLOOKUP(A20,[17]LISTADHERENT!A$5:H$39,3,0)</f>
        <v>MBOGNING TUGMA GUY</v>
      </c>
      <c r="C20" s="14">
        <f t="shared" si="0"/>
        <v>93000</v>
      </c>
      <c r="D20" s="14">
        <f>VLOOKUP(A20,[18]HISTOBQUEMARS23!$A$6:$G$44,3,0)</f>
        <v>403500</v>
      </c>
      <c r="E20" s="14">
        <f>VLOOKUP(A20,[18]HISTOBQUEMARS23!$A$6:$G$39,4,0)</f>
        <v>0</v>
      </c>
      <c r="F20" s="14">
        <f>VLOOKUP(A20,[18]HISTOBQUEMARS23!$A$6:$G$39,5,0)</f>
        <v>0</v>
      </c>
      <c r="G20" s="14">
        <f t="shared" si="7"/>
        <v>0</v>
      </c>
      <c r="H20" s="74" t="str">
        <f t="shared" si="1"/>
        <v>BANQUE</v>
      </c>
      <c r="I20" s="74">
        <v>-7000</v>
      </c>
      <c r="J20" s="75">
        <v>1</v>
      </c>
      <c r="K20" s="75">
        <f t="shared" si="14"/>
        <v>40000</v>
      </c>
      <c r="L20" s="70">
        <v>1</v>
      </c>
      <c r="M20" s="75">
        <f t="shared" si="2"/>
        <v>75000</v>
      </c>
      <c r="N20" s="70">
        <v>1</v>
      </c>
      <c r="O20" s="75">
        <f t="shared" si="3"/>
        <v>100000</v>
      </c>
      <c r="P20" s="76">
        <f>VLOOKUP($A20,[20]TONTMARS23!$A$6:$P$35,12,0)</f>
        <v>32500</v>
      </c>
      <c r="Q20" s="76">
        <f>VLOOKUP($A20,[13]TONTMARS23!$A$6:$P$20,10,0)</f>
        <v>0</v>
      </c>
      <c r="R20" s="76">
        <f>VLOOKUP($A20,[19]TONTMARS23!$A$6:$P$21,10,0)</f>
        <v>0</v>
      </c>
      <c r="S20" s="77"/>
      <c r="T20" s="78"/>
      <c r="U20" s="79">
        <f t="shared" si="15"/>
        <v>240500</v>
      </c>
      <c r="V20" s="78"/>
      <c r="W20" s="78"/>
      <c r="X20" s="78"/>
      <c r="Y20" s="78"/>
      <c r="Z20" s="78"/>
      <c r="AA20" s="78"/>
      <c r="AB20" s="78"/>
      <c r="AC20" s="78">
        <v>11000</v>
      </c>
      <c r="AD20" s="78"/>
      <c r="AE20" s="78"/>
      <c r="AF20" s="78"/>
      <c r="AG20" s="78"/>
      <c r="AH20" s="78"/>
      <c r="AI20" s="78"/>
      <c r="AJ20" s="78"/>
      <c r="AK20" s="78">
        <v>200000</v>
      </c>
      <c r="AL20" s="78"/>
      <c r="AM20" s="78"/>
      <c r="AN20" s="78">
        <v>2000</v>
      </c>
      <c r="AO20" s="78"/>
      <c r="AP20" s="78"/>
      <c r="AQ20" s="8">
        <f t="shared" si="4"/>
        <v>0</v>
      </c>
      <c r="AR20" s="8">
        <f t="shared" si="5"/>
        <v>0</v>
      </c>
      <c r="AS20" s="75">
        <f t="shared" si="8"/>
        <v>8000</v>
      </c>
      <c r="AT20" s="78"/>
      <c r="AV20" s="80"/>
      <c r="AW20" s="80">
        <f t="shared" si="9"/>
        <v>289000</v>
      </c>
      <c r="AX20" s="80">
        <f t="shared" si="10"/>
        <v>0</v>
      </c>
      <c r="AY20" s="80">
        <f t="shared" si="11"/>
        <v>200000</v>
      </c>
      <c r="AZ20" s="71">
        <f t="shared" si="12"/>
        <v>489000</v>
      </c>
      <c r="BA20" s="58">
        <v>105000</v>
      </c>
      <c r="BB20" s="58">
        <v>70000</v>
      </c>
      <c r="BC20" s="80"/>
      <c r="BD20" s="71">
        <f t="shared" si="13"/>
        <v>314000</v>
      </c>
      <c r="BE20" s="83">
        <f>95000+219000</f>
        <v>314000</v>
      </c>
      <c r="BF20" s="81">
        <f t="shared" si="6"/>
        <v>0</v>
      </c>
      <c r="BG20" s="81">
        <v>9</v>
      </c>
      <c r="BH20" s="80"/>
      <c r="BI20" s="80"/>
      <c r="BJ20" s="80"/>
      <c r="BK20" s="80"/>
      <c r="BL20" s="76"/>
      <c r="BP20" s="70"/>
    </row>
    <row r="21" spans="1:69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VLOOKUP(A21,[18]HISTOBQUEMARS23!$A$6:$G$44,3,0)</f>
        <v>40000</v>
      </c>
      <c r="E21" s="9">
        <f>VLOOKUP(A21,[18]HISTOBQUEMARS23!$A$6:$G$39,4,0)</f>
        <v>0</v>
      </c>
      <c r="F21" s="9">
        <f>VLOOKUP(A21,[18]HISTOBQUEMARS23!$A$6:$G$39,5,0)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VLOOKUP($A21,[20]TONTMARS23!$A$6:$P$35,12,0)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9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VLOOKUP(A22,[18]HISTOBQUEMARS23!$A$6:$G$44,3,0)</f>
        <v>115000</v>
      </c>
      <c r="E22" s="9">
        <f>VLOOKUP(A22,[18]HISTOBQUEMARS23!$A$6:$G$39,4,0)</f>
        <v>0</v>
      </c>
      <c r="F22" s="9">
        <f>VLOOKUP(A22,[18]HISTOBQUEMARS23!$A$6:$G$39,5,0)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VLOOKUP($A22,[20]TONTMARS23!$A$6:$P$35,12,0)</f>
        <v>0</v>
      </c>
      <c r="Q22" s="2">
        <f>VLOOKUP($A22,[13]TONTMARS23!$A$6:$P$20,10,0)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9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9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VLOOKUP(A23,[18]HISTOBQUEMARS23!$A$6:$G$44,3,0)</f>
        <v>250000</v>
      </c>
      <c r="E23" s="9">
        <f>VLOOKUP(A23,[18]HISTOBQUEMARS23!$A$6:$G$39,4,0)</f>
        <v>0</v>
      </c>
      <c r="F23" s="9">
        <f>VLOOKUP(A23,[18]HISTOBQUEMARS23!$A$6:$G$39,5,0)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VLOOKUP($A23,[20]TONTMARS23!$A$6:$P$35,12,0)</f>
        <v>0</v>
      </c>
      <c r="Q23" s="2"/>
      <c r="R23" s="2">
        <f>VLOOKUP($A23,[19]TONTMARS23!$A$6:$P$21,10,0)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100000</v>
      </c>
      <c r="BB23" s="58"/>
      <c r="BC23" s="15"/>
      <c r="BD23" s="57">
        <f t="shared" si="13"/>
        <v>100000</v>
      </c>
      <c r="BE23" s="82">
        <v>100000</v>
      </c>
      <c r="BF23" s="29">
        <f t="shared" si="6"/>
        <v>0</v>
      </c>
      <c r="BG23" s="29">
        <v>9</v>
      </c>
      <c r="BH23" s="15"/>
      <c r="BI23" s="15"/>
      <c r="BJ23" s="15"/>
      <c r="BK23" s="15"/>
      <c r="BL23" s="61"/>
    </row>
    <row r="24" spans="1:69" ht="18.75" x14ac:dyDescent="0.3">
      <c r="A24" s="1" t="s">
        <v>29</v>
      </c>
      <c r="B24" s="1" t="str">
        <f>VLOOKUP(A24,[17]LISTADHERENT!A$5:H$39,3,0)</f>
        <v>NGONDIEP CLAUDE</v>
      </c>
      <c r="C24" s="9">
        <f t="shared" si="0"/>
        <v>-3000</v>
      </c>
      <c r="D24" s="9">
        <f>VLOOKUP(A24,[18]HISTOBQUEMARS23!$A$6:$G$44,3,0)</f>
        <v>0</v>
      </c>
      <c r="E24" s="9">
        <f>VLOOKUP(A24,[18]HISTOBQUEMARS23!$A$6:$G$39,4,0)</f>
        <v>215000</v>
      </c>
      <c r="F24" s="9">
        <f>VLOOKUP(A24,[18]HISTOBQUEMARS23!$A$6:$G$39,5,0)</f>
        <v>0</v>
      </c>
      <c r="G24" s="5">
        <f t="shared" si="7"/>
        <v>3000</v>
      </c>
      <c r="H24" s="10" t="str">
        <f t="shared" si="1"/>
        <v>ESPECES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VLOOKUP($A24,[20]TONTMARS23!$A$6:$P$35,12,0)</f>
        <v>0</v>
      </c>
      <c r="Q24" s="2">
        <f>VLOOKUP($A24,[13]TONTMARS23!$A$6:$P$20,10,0)</f>
        <v>0</v>
      </c>
      <c r="R24" s="2">
        <f>VLOOKUP($A24,[19]TONTMARS23!$A$6:$P$21,10,0)</f>
        <v>0</v>
      </c>
      <c r="S24" s="20"/>
      <c r="T24" s="12"/>
      <c r="U24" s="17">
        <f t="shared" si="15"/>
        <v>218000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9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75" x14ac:dyDescent="0.3">
      <c r="A25" s="1" t="s">
        <v>30</v>
      </c>
      <c r="B25" s="1" t="str">
        <f>VLOOKUP(A25,[17]LISTADHERENT!A$5:H$39,3,0)</f>
        <v>NGUIEMEGNI MATHIEU BLAISE</v>
      </c>
      <c r="C25" s="9">
        <f t="shared" si="0"/>
        <v>-10000</v>
      </c>
      <c r="D25" s="9">
        <f>VLOOKUP(A25,[18]HISTOBQUEMARS23!$A$6:$G$44,3,0)</f>
        <v>280000</v>
      </c>
      <c r="E25" s="9">
        <f>VLOOKUP(A25,[18]HISTOBQUEMARS23!$A$6:$G$39,4,0)</f>
        <v>0</v>
      </c>
      <c r="F25" s="9">
        <f>VLOOKUP(A25,[18]HISTOBQUEMARS23!$A$6:$G$39,5,0)</f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VLOOKUP($A25,[20]TONTMARS23!$A$6:$P$35,12,0)</f>
        <v>0</v>
      </c>
      <c r="Q25" s="2">
        <f>VLOOKUP($A25,[13]TONTMARS23!$A$6:$P$20,10,0)</f>
        <v>0</v>
      </c>
      <c r="R25" s="2">
        <f>VLOOKUP($A25,[19]TONTMARS23!$A$6:$P$21,10,0)</f>
        <v>0</v>
      </c>
      <c r="S25" s="20"/>
      <c r="T25" s="12"/>
      <c r="U25" s="17">
        <f t="shared" si="15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>IF(H25="ECHEC",0,(K25+I25-25000))-10000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0</v>
      </c>
      <c r="BA25" s="58"/>
      <c r="BB25" s="58"/>
      <c r="BC25" s="15"/>
      <c r="BD25" s="57">
        <f t="shared" si="13"/>
        <v>0</v>
      </c>
      <c r="BE25" s="82"/>
      <c r="BF25" s="29">
        <f t="shared" si="6"/>
        <v>0</v>
      </c>
      <c r="BG25" s="29">
        <v>9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VLOOKUP(A26,[18]HISTOBQUEMARS23!$A$6:$G$44,3,0)</f>
        <v>0</v>
      </c>
      <c r="E26" s="9">
        <f>VLOOKUP(A26,[18]HISTOBQUEMARS23!$A$6:$G$39,4,0)</f>
        <v>84000</v>
      </c>
      <c r="F26" s="9">
        <f>VLOOKUP(A26,[18]HISTOBQUEMARS23!$A$6:$G$39,5,0)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VLOOKUP($A26,[20]TONTMARS23!$A$6:$P$35,12,0)</f>
        <v>41000</v>
      </c>
      <c r="Q26" s="2"/>
      <c r="R26" s="2"/>
      <c r="S26" s="20"/>
      <c r="T26" s="12"/>
      <c r="U26" s="17">
        <f t="shared" si="15"/>
        <v>84000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9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VLOOKUP(A27,[18]HISTOBQUEMARS23!$A$6:$G$44,3,0)</f>
        <v>50000</v>
      </c>
      <c r="E27" s="9">
        <f>VLOOKUP(A27,[18]HISTOBQUEMARS23!$A$6:$G$39,4,0)</f>
        <v>0</v>
      </c>
      <c r="F27" s="9">
        <f>VLOOKUP(A27,[18]HISTOBQUEMARS23!$A$6:$G$39,5,0)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VLOOKUP($A27,[20]TONTMARS23!$A$6:$P$35,12,0)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9</v>
      </c>
      <c r="BH27" s="15"/>
      <c r="BI27" s="15"/>
      <c r="BJ27" s="15"/>
      <c r="BK27" s="15"/>
      <c r="BL27" s="61"/>
      <c r="BN27" t="s">
        <v>183</v>
      </c>
      <c r="BP27" s="70"/>
      <c r="BQ27" s="70">
        <v>1750000</v>
      </c>
    </row>
    <row r="28" spans="1:69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VLOOKUP(A28,[18]HISTOBQUEMARS23!$A$6:$G$44,3,0)</f>
        <v>115000</v>
      </c>
      <c r="E28" s="9">
        <f>VLOOKUP(A28,[18]HISTOBQUEMARS23!$A$6:$G$39,4,0)</f>
        <v>0</v>
      </c>
      <c r="F28" s="9">
        <f>VLOOKUP(A28,[18]HISTOBQUEMARS23!$A$6:$G$39,5,0)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VLOOKUP($A28,[20]TONTMARS23!$A$6:$P$35,12,0)</f>
        <v>0</v>
      </c>
      <c r="Q28" s="2">
        <f>VLOOKUP($A28,[13]TONTMARS23!$A$6:$P$20,10,0)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9</v>
      </c>
      <c r="BH28" s="15"/>
      <c r="BI28" s="15"/>
      <c r="BJ28" s="15"/>
      <c r="BK28" s="15"/>
      <c r="BL28" s="61"/>
      <c r="BN28" s="62" t="s">
        <v>142</v>
      </c>
      <c r="BP28" s="62">
        <f>SUM(BP24:BP27)</f>
        <v>0</v>
      </c>
    </row>
    <row r="29" spans="1:69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VLOOKUP(A29,[18]HISTOBQUEMARS23!$A$6:$G$44,3,0)</f>
        <v>40000</v>
      </c>
      <c r="E29" s="9">
        <f>VLOOKUP(A29,[18]HISTOBQUEMARS23!$A$6:$G$39,4,0)</f>
        <v>0</v>
      </c>
      <c r="F29" s="9">
        <f>VLOOKUP(A29,[18]HISTOBQUEMARS23!$A$6:$G$39,5,0)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VLOOKUP($A29,[20]TONTMARS23!$A$6:$P$35,12,0)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9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VLOOKUP(A30,[18]HISTOBQUEMARS23!$A$6:$G$44,3,0)</f>
        <v>115000</v>
      </c>
      <c r="E30" s="9">
        <f>VLOOKUP(A30,[18]HISTOBQUEMARS23!$A$6:$G$39,4,0)</f>
        <v>0</v>
      </c>
      <c r="F30" s="9">
        <f>VLOOKUP(A30,[18]HISTOBQUEMARS23!$A$6:$G$39,5,0)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VLOOKUP($A30,[20]TONTMARS23!$A$6:$P$35,12,0)</f>
        <v>0</v>
      </c>
      <c r="Q30" s="2">
        <f>VLOOKUP($A30,[13]TONTMARS23!$A$6:$P$20,10,0)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9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9" ht="18.75" x14ac:dyDescent="0.3">
      <c r="A31" s="1" t="s">
        <v>37</v>
      </c>
      <c r="B31" s="1" t="str">
        <f>VLOOKUP(A31,[17]LISTADHERENT!A$5:H$39,3,0)</f>
        <v>SIMO PIERRE</v>
      </c>
      <c r="C31" s="9">
        <f t="shared" si="0"/>
        <v>-70000</v>
      </c>
      <c r="D31" s="9">
        <f>VLOOKUP(A31,[18]HISTOBQUEMARS23!$A$6:$G$44,3,0)</f>
        <v>140000</v>
      </c>
      <c r="E31" s="9">
        <f>VLOOKUP(A31,[18]HISTOBQUEMARS23!$A$6:$G$39,4,0)</f>
        <v>0</v>
      </c>
      <c r="F31" s="9">
        <f>VLOOKUP(A31,[18]HISTOBQUEMARS23!$A$6:$G$39,5,0)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VLOOKUP($A31,[20]TONTMARS23!$A$6:$P$35,12,0)</f>
        <v>0</v>
      </c>
      <c r="Q31" s="2"/>
      <c r="R31" s="2">
        <f>VLOOKUP($A31,[19]TONTMARS23!$A$6:$P$21,10,0)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>
        <v>11000</v>
      </c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289000</v>
      </c>
      <c r="AX31" s="15">
        <f t="shared" si="10"/>
        <v>0</v>
      </c>
      <c r="AY31" s="15">
        <f t="shared" si="11"/>
        <v>0</v>
      </c>
      <c r="AZ31" s="16">
        <f t="shared" si="12"/>
        <v>289000</v>
      </c>
      <c r="BA31" s="58"/>
      <c r="BB31" s="58">
        <v>70000</v>
      </c>
      <c r="BC31" s="15"/>
      <c r="BD31" s="57">
        <f t="shared" si="13"/>
        <v>219000</v>
      </c>
      <c r="BE31" s="82">
        <v>219000</v>
      </c>
      <c r="BF31" s="29">
        <f t="shared" si="6"/>
        <v>0</v>
      </c>
      <c r="BG31" s="29">
        <v>9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s="72" customFormat="1" ht="18.75" x14ac:dyDescent="0.3">
      <c r="A32" s="73" t="s">
        <v>38</v>
      </c>
      <c r="B32" s="73" t="str">
        <f>VLOOKUP(A32,[17]LISTADHERENT!A$5:H$39,3,0)</f>
        <v>TCHOUAMOU MATHIEU</v>
      </c>
      <c r="C32" s="14">
        <f t="shared" si="0"/>
        <v>0</v>
      </c>
      <c r="D32" s="14">
        <f>VLOOKUP(A32,[18]HISTOBQUEMARS23!$A$6:$G$44,3,0)</f>
        <v>115000</v>
      </c>
      <c r="E32" s="14">
        <f>VLOOKUP(A32,[18]HISTOBQUEMARS23!$A$6:$G$39,4,0)</f>
        <v>0</v>
      </c>
      <c r="F32" s="14">
        <f>VLOOKUP(A32,[18]HISTOBQUEMARS23!$A$6:$G$39,5,0)</f>
        <v>0</v>
      </c>
      <c r="G32" s="14">
        <f t="shared" si="7"/>
        <v>0</v>
      </c>
      <c r="H32" s="74" t="str">
        <f t="shared" si="1"/>
        <v>BANQUE</v>
      </c>
      <c r="I32" s="74"/>
      <c r="J32" s="75">
        <v>1</v>
      </c>
      <c r="K32" s="75">
        <f t="shared" si="14"/>
        <v>40000</v>
      </c>
      <c r="L32" s="70">
        <v>1</v>
      </c>
      <c r="M32" s="75">
        <f t="shared" si="2"/>
        <v>75000</v>
      </c>
      <c r="N32" s="70"/>
      <c r="O32" s="75">
        <f t="shared" si="3"/>
        <v>0</v>
      </c>
      <c r="P32" s="76">
        <f>VLOOKUP($A32,[20]TONTMARS23!$A$6:$P$35,12,0)</f>
        <v>0</v>
      </c>
      <c r="Q32" s="76">
        <f>VLOOKUP($A32,[13]TONTMARS23!$A$6:$P$20,10,0)</f>
        <v>0</v>
      </c>
      <c r="R32" s="76"/>
      <c r="S32" s="77"/>
      <c r="T32" s="78"/>
      <c r="U32" s="79">
        <f t="shared" si="15"/>
        <v>115000</v>
      </c>
      <c r="V32" s="78"/>
      <c r="W32" s="78"/>
      <c r="X32" s="78"/>
      <c r="Y32" s="78"/>
      <c r="Z32" s="78">
        <v>200000</v>
      </c>
      <c r="AA32" s="78" t="s">
        <v>8</v>
      </c>
      <c r="AB32" s="78"/>
      <c r="AC32" s="78"/>
      <c r="AD32" s="78">
        <v>7500</v>
      </c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8">
        <f t="shared" si="4"/>
        <v>0</v>
      </c>
      <c r="AR32" s="8">
        <f t="shared" si="5"/>
        <v>0</v>
      </c>
      <c r="AS32" s="75">
        <f t="shared" si="8"/>
        <v>15000</v>
      </c>
      <c r="AT32" s="78"/>
      <c r="AV32" s="80"/>
      <c r="AW32" s="80">
        <f t="shared" si="9"/>
        <v>0</v>
      </c>
      <c r="AX32" s="80">
        <f>IF(AD32=0,AJ32,(1*75000*12)+(AJ32)-AD32)-892500</f>
        <v>0</v>
      </c>
      <c r="AY32" s="80">
        <f t="shared" si="11"/>
        <v>0</v>
      </c>
      <c r="AZ32" s="71">
        <f>SUM(AV32:AY32)-BF32+Z32-F32+BH32+BI32+BJ32+BK32+BL32+BM32</f>
        <v>194000</v>
      </c>
      <c r="BA32" s="58"/>
      <c r="BB32" s="58"/>
      <c r="BC32" s="80"/>
      <c r="BD32" s="71">
        <f>IF(AZ32=0,(AZ32-BA32-BC32),(AZ32-BA32-BB32-BC32))+F32</f>
        <v>194000</v>
      </c>
      <c r="BE32" s="83">
        <v>86500</v>
      </c>
      <c r="BF32" s="81">
        <f t="shared" si="6"/>
        <v>6000</v>
      </c>
      <c r="BG32" s="81">
        <v>3</v>
      </c>
      <c r="BH32" s="80"/>
      <c r="BI32" s="80"/>
      <c r="BJ32" s="80"/>
      <c r="BK32" s="80"/>
      <c r="BL32" s="76"/>
      <c r="BP32" s="70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VLOOKUP(A33,[18]HISTOBQUEMARS23!$A$6:$G$44,3,0)</f>
        <v>40000</v>
      </c>
      <c r="E33" s="9">
        <f>VLOOKUP(A33,[18]HISTOBQUEMARS23!$A$6:$G$39,4,0)</f>
        <v>0</v>
      </c>
      <c r="F33" s="9">
        <f>VLOOKUP(A33,[18]HISTOBQUEMARS23!$A$6:$G$39,5,0)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VLOOKUP($A33,[20]TONTMARS23!$A$6:$P$35,12,0)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9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25000</v>
      </c>
      <c r="D34" s="9">
        <f>VLOOKUP(A34,[18]HISTOBQUEMARS23!$A$6:$G$44,3,0)</f>
        <v>100000</v>
      </c>
      <c r="E34" s="9">
        <f>VLOOKUP(A34,[18]HISTOBQUEMARS23!$A$6:$G$39,4,0)</f>
        <v>0</v>
      </c>
      <c r="F34" s="9">
        <f>VLOOKUP(A34,[18]HISTOBQUEMARS23!$A$6:$G$39,5,0)</f>
        <v>0</v>
      </c>
      <c r="G34" s="5">
        <f t="shared" si="7"/>
        <v>0</v>
      </c>
      <c r="H34" s="10" t="str">
        <f t="shared" si="1"/>
        <v>BANQUE</v>
      </c>
      <c r="I34" s="10">
        <v>35000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VLOOKUP($A34,[20]TONTMARS23!$A$6:$P$35,12,0)</f>
        <v>0</v>
      </c>
      <c r="Q34" s="2"/>
      <c r="R34" s="2"/>
      <c r="S34" s="20"/>
      <c r="T34" s="12"/>
      <c r="U34" s="17">
        <f t="shared" si="15"/>
        <v>75000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50000</v>
      </c>
      <c r="AT34" s="12">
        <v>25000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9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-6000</v>
      </c>
      <c r="D35" s="9">
        <f>VLOOKUP(A35,[18]HISTOBQUEMARS23!$A$6:$G$44,3,0)</f>
        <v>34000</v>
      </c>
      <c r="E35" s="9">
        <f>VLOOKUP(A35,[18]HISTOBQUEMARS23!$A$6:$G$39,4,0)</f>
        <v>0</v>
      </c>
      <c r="F35" s="9">
        <f>VLOOKUP(A35,[18]HISTOBQUEMARS23!$A$6:$G$39,5,0)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VLOOKUP($A35,[20]TONTMARS23!$A$6:$P$35,12,0)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IF(H35="ECHEC",0,(K35+I35-25000))-6000</f>
        <v>9000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9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VLOOKUP(A36,[18]HISTOBQUEMARS23!$A$6:$G$44,3,0)</f>
        <v>290000</v>
      </c>
      <c r="E36" s="9">
        <f>VLOOKUP(A36,[18]HISTOBQUEMARS23!$A$6:$G$39,4,0)</f>
        <v>0</v>
      </c>
      <c r="F36" s="9">
        <f>VLOOKUP(A36,[18]HISTOBQUEMARS23!$A$6:$G$39,5,0)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VLOOKUP($A36,[20]TONTMARS23!$A$6:$P$35,12,0)</f>
        <v>0</v>
      </c>
      <c r="Q36" s="2">
        <f>VLOOKUP($A36,[13]TONTMARS23!$A$6:$P$20,10,0)</f>
        <v>0</v>
      </c>
      <c r="R36" s="2">
        <f>VLOOKUP($A36,[19]TONTMARS23!$A$6:$P$21,10,0)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9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-70000</v>
      </c>
      <c r="D38" s="5">
        <f t="shared" si="16"/>
        <v>4752000</v>
      </c>
      <c r="E38" s="5">
        <f t="shared" si="16"/>
        <v>299000</v>
      </c>
      <c r="F38" s="5">
        <f t="shared" si="16"/>
        <v>760000</v>
      </c>
      <c r="G38" s="5">
        <f t="shared" si="16"/>
        <v>6000</v>
      </c>
      <c r="H38" s="5">
        <f t="shared" si="16"/>
        <v>0</v>
      </c>
      <c r="I38" s="5">
        <f t="shared" si="16"/>
        <v>93000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114500</v>
      </c>
      <c r="Q38" s="5">
        <f t="shared" si="16"/>
        <v>0</v>
      </c>
      <c r="R38" s="5">
        <f t="shared" si="16"/>
        <v>0</v>
      </c>
      <c r="S38" s="5">
        <f t="shared" si="16"/>
        <v>1582500</v>
      </c>
      <c r="T38" s="5"/>
      <c r="U38" s="5">
        <f t="shared" ref="U38:AA38" si="17">SUM(U6:U37)</f>
        <v>5671000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200000</v>
      </c>
      <c r="AA38" s="5">
        <f t="shared" si="17"/>
        <v>0</v>
      </c>
      <c r="AB38" s="5"/>
      <c r="AC38" s="5">
        <f>SUM(AC6:AC37)</f>
        <v>32000</v>
      </c>
      <c r="AD38" s="5">
        <f>SUM(AD6:AD37)</f>
        <v>15000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0</v>
      </c>
      <c r="AJ38" s="5">
        <f t="shared" si="18"/>
        <v>0</v>
      </c>
      <c r="AK38" s="5">
        <f t="shared" si="18"/>
        <v>964000</v>
      </c>
      <c r="AL38" s="5">
        <f t="shared" si="18"/>
        <v>0</v>
      </c>
      <c r="AM38" s="5">
        <f t="shared" si="18"/>
        <v>0</v>
      </c>
      <c r="AN38" s="5">
        <f t="shared" si="18"/>
        <v>9000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527000</v>
      </c>
      <c r="AT38" s="5">
        <f t="shared" si="18"/>
        <v>25000</v>
      </c>
      <c r="AU38" s="5">
        <f t="shared" si="18"/>
        <v>0</v>
      </c>
      <c r="AV38" s="5">
        <f t="shared" si="18"/>
        <v>0</v>
      </c>
      <c r="AW38" s="5">
        <f t="shared" si="18"/>
        <v>868000</v>
      </c>
      <c r="AX38" s="5">
        <f t="shared" si="18"/>
        <v>892500</v>
      </c>
      <c r="AY38" s="5">
        <f t="shared" si="18"/>
        <v>3344000</v>
      </c>
      <c r="AZ38" s="5">
        <f t="shared" si="18"/>
        <v>4644500</v>
      </c>
      <c r="BA38" s="5">
        <f t="shared" si="18"/>
        <v>399000</v>
      </c>
      <c r="BB38" s="5">
        <f t="shared" si="18"/>
        <v>210000</v>
      </c>
      <c r="BC38" s="5">
        <f t="shared" si="18"/>
        <v>0</v>
      </c>
      <c r="BD38" s="5">
        <f t="shared" si="18"/>
        <v>2455500</v>
      </c>
      <c r="BE38" s="5">
        <f t="shared" si="18"/>
        <v>5007500</v>
      </c>
      <c r="BF38" s="5">
        <f>SUM(BF6:BF37)</f>
        <v>6000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  <c r="BD39" t="s">
        <v>184</v>
      </c>
      <c r="BE39" s="70">
        <v>1750000</v>
      </c>
    </row>
    <row r="40" spans="1:68" ht="18.75" x14ac:dyDescent="0.3">
      <c r="C40" s="3" t="s">
        <v>8</v>
      </c>
      <c r="D40" s="66"/>
      <c r="E40" s="66"/>
      <c r="F40" s="3" t="s">
        <v>9</v>
      </c>
      <c r="G40" s="66"/>
      <c r="H40" s="66"/>
      <c r="I40" s="66"/>
      <c r="Z40" s="12"/>
      <c r="AI40" s="5"/>
      <c r="AV40" s="3"/>
      <c r="AW40" s="66"/>
      <c r="AX40" s="15"/>
      <c r="AY40" s="15"/>
      <c r="AZ40" s="16" t="s">
        <v>182</v>
      </c>
      <c r="BA40" s="14">
        <v>299000</v>
      </c>
      <c r="BD40" t="s">
        <v>181</v>
      </c>
      <c r="BE40">
        <v>5005000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4644500</v>
      </c>
      <c r="D43" s="9">
        <f>SUMIFS(D8:D38,H8:H38,"BANQUE")</f>
        <v>4537000</v>
      </c>
      <c r="F43" s="9">
        <f>E38</f>
        <v>299000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9183000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5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7.85546875" customWidth="1"/>
    <col min="58" max="58" width="15" bestFit="1" customWidth="1"/>
    <col min="63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  <c r="BE4" s="6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VLOOKUP(A6,[18]HISTOBQUEAVRIL23!$A$6:$G$44,3,0)</f>
        <v>175000</v>
      </c>
      <c r="E6" s="9">
        <f>VLOOKUP(A6,[18]HISTOBQUEAVRIL23!$A$6:$G$39,4,0)</f>
        <v>0</v>
      </c>
      <c r="F6" s="9">
        <f>VLOOKUP(A6,[18]HISTOBQUEAVRIL23!$A$6:$G$39,5,0)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VLOOKUP($A6,[13]TONTAVRIL23!$A$6:$P$20,10,0)</f>
        <v>0</v>
      </c>
      <c r="R6" s="2">
        <f>VLOOKUP($A6,[19]TONTAVRIL23!$A$6:$P$21,10,0)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8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VLOOKUP(A7,[18]HISTOBQUEAVRIL23!$A$6:$G$44,3,0)</f>
        <v>40000</v>
      </c>
      <c r="E7" s="9">
        <f>VLOOKUP(A7,[18]HISTOBQUEAVRIL23!$A$6:$G$39,4,0)</f>
        <v>0</v>
      </c>
      <c r="F7" s="9">
        <f>VLOOKUP(A7,[18]HISTOBQUEAVRIL23!$A$6:$G$39,5,0)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VLOOKUP($A7,[20]TONTAVRIL23!$A$6:$P$35,12,0)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8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VLOOKUP(A8,[18]HISTOBQUEAVRIL23!$A$6:$G$44,3,0)</f>
        <v>115000</v>
      </c>
      <c r="E8" s="9">
        <f>VLOOKUP(A8,[18]HISTOBQUEAVRIL23!$A$6:$G$39,4,0)</f>
        <v>0</v>
      </c>
      <c r="F8" s="9">
        <f>VLOOKUP(A8,[18]HISTOBQUEAVRIL23!$A$6:$G$39,5,0)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VLOOKUP($A8,[20]TONTAVRIL23!$A$6:$P$35,12,0)</f>
        <v>0</v>
      </c>
      <c r="Q8" s="2">
        <f>VLOOKUP($A8,[13]TONTAVRIL23!$A$6:$P$20,10,0)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>
        <v>500000</v>
      </c>
      <c r="AA8" s="12" t="s">
        <v>8</v>
      </c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490000</v>
      </c>
      <c r="BA8" s="58"/>
      <c r="BB8" s="58"/>
      <c r="BC8" s="15"/>
      <c r="BD8" s="57">
        <f t="shared" si="13"/>
        <v>490000</v>
      </c>
      <c r="BE8" s="82">
        <v>490000</v>
      </c>
      <c r="BF8" s="29">
        <f t="shared" si="6"/>
        <v>10000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VLOOKUP(A9,[18]HISTOBQUEAVRIL23!$A$6:$G$44,3,0)</f>
        <v>145000</v>
      </c>
      <c r="E9" s="9">
        <f>VLOOKUP(A9,[18]HISTOBQUEAVRIL23!$A$6:$G$39,4,0)</f>
        <v>0</v>
      </c>
      <c r="F9" s="9">
        <f>VLOOKUP(A9,[18]HISTOBQUEAVRIL23!$A$6:$G$39,5,0)</f>
        <v>0</v>
      </c>
      <c r="G9" s="5">
        <f t="shared" si="7"/>
        <v>0</v>
      </c>
      <c r="H9" s="10" t="str">
        <f t="shared" si="1"/>
        <v>BANQUE</v>
      </c>
      <c r="I9" s="10">
        <v>5000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VLOOKUP($A9,[20]TONTAVRIL23!$A$6:$P$35,12,0)</f>
        <v>0</v>
      </c>
      <c r="Q9" s="2"/>
      <c r="R9" s="2">
        <f>VLOOKUP($A9,[19]TONTAVRIL23!$A$6:$P$21,10,0)</f>
        <v>0</v>
      </c>
      <c r="S9" s="20"/>
      <c r="T9" s="12"/>
      <c r="U9" s="17">
        <f t="shared" si="15"/>
        <v>145000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>
        <v>22500</v>
      </c>
      <c r="AJ9" s="12"/>
      <c r="AK9" s="12"/>
      <c r="AL9" s="12">
        <v>500</v>
      </c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20000</v>
      </c>
      <c r="AT9" s="12"/>
      <c r="AV9" s="15"/>
      <c r="AW9" s="15">
        <f t="shared" si="9"/>
        <v>22500</v>
      </c>
      <c r="AX9" s="15">
        <f t="shared" si="10"/>
        <v>0</v>
      </c>
      <c r="AY9" s="15">
        <f t="shared" si="11"/>
        <v>0</v>
      </c>
      <c r="AZ9" s="16">
        <f t="shared" si="12"/>
        <v>22500</v>
      </c>
      <c r="BA9" s="58">
        <v>22500</v>
      </c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8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9">
        <f t="shared" si="0"/>
        <v>-70000</v>
      </c>
      <c r="D10" s="9">
        <f>VLOOKUP(A10,[18]HISTOBQUEAVRIL23!$A$6:$G$44,3,0)</f>
        <v>0</v>
      </c>
      <c r="E10" s="9">
        <f>VLOOKUP(A10,[18]HISTOBQUEAVRIL23!$A$6:$G$39,4,0)</f>
        <v>43000</v>
      </c>
      <c r="F10" s="9">
        <f>VLOOKUP(A10,[18]HISTOBQUEAVRIL23!$A$6:$G$39,5,0)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VLOOKUP($A10,[20]TONTAVRIL23!$A$6:$P$35,12,0)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>
        <v>11000</v>
      </c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2000</v>
      </c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349000</v>
      </c>
      <c r="AX10" s="15">
        <f t="shared" si="10"/>
        <v>0</v>
      </c>
      <c r="AY10" s="15">
        <f t="shared" si="11"/>
        <v>0</v>
      </c>
      <c r="AZ10" s="16">
        <f t="shared" si="12"/>
        <v>349000</v>
      </c>
      <c r="BA10" s="58">
        <v>60000</v>
      </c>
      <c r="BB10" s="58">
        <v>70000</v>
      </c>
      <c r="BC10" s="15"/>
      <c r="BD10" s="57">
        <f t="shared" si="13"/>
        <v>219000</v>
      </c>
      <c r="BE10" s="82">
        <v>219000</v>
      </c>
      <c r="BF10" s="29">
        <f t="shared" si="6"/>
        <v>0</v>
      </c>
      <c r="BG10" s="29">
        <v>8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9">
        <f t="shared" si="0"/>
        <v>-157500</v>
      </c>
      <c r="D11" s="9">
        <f>VLOOKUP(A11,[18]HISTOBQUEAVRIL23!$A$6:$G$44,3,0)</f>
        <v>115000</v>
      </c>
      <c r="E11" s="9">
        <f>VLOOKUP(A11,[18]HISTOBQUEAVRIL23!$A$6:$G$39,4,0)</f>
        <v>0</v>
      </c>
      <c r="F11" s="9">
        <f>VLOOKUP(A11,[18]HISTOBQUEAVRIL23!$A$6:$G$39,5,0)+70000</f>
        <v>70000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VLOOKUP($A11,[20]TONTAVRIL23!$A$6:$P$35,12,0)</f>
        <v>0</v>
      </c>
      <c r="Q11" s="2">
        <f>VLOOKUP($A11,[13]TONTAVRIL23!$A$6:$P$20,10,0)</f>
        <v>0</v>
      </c>
      <c r="R11" s="2"/>
      <c r="S11" s="20">
        <v>157500</v>
      </c>
      <c r="T11" s="12"/>
      <c r="U11" s="17">
        <f t="shared" si="15"/>
        <v>272500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>
        <v>10000</v>
      </c>
      <c r="AD11" s="12"/>
      <c r="AE11" s="12"/>
      <c r="AF11" s="12"/>
      <c r="AG11" s="12"/>
      <c r="AH11" s="12"/>
      <c r="AI11" s="12"/>
      <c r="AJ11" s="12">
        <f>50000+100000</f>
        <v>150000</v>
      </c>
      <c r="AK11" s="12"/>
      <c r="AL11" s="12"/>
      <c r="AM11" s="12"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>IF(AC11=0,AI11,(1*25000*12)+AI11-AC11)-S11</f>
        <v>132500</v>
      </c>
      <c r="AX11" s="15">
        <f t="shared" si="10"/>
        <v>150000</v>
      </c>
      <c r="AY11" s="15">
        <f t="shared" si="11"/>
        <v>0</v>
      </c>
      <c r="AZ11" s="16">
        <f t="shared" si="12"/>
        <v>1132500</v>
      </c>
      <c r="BA11" s="58"/>
      <c r="BB11" s="58">
        <v>70000</v>
      </c>
      <c r="BC11" s="15"/>
      <c r="BD11" s="71">
        <f>IF(AZ11=0,(AZ11-BA11-BC11),(AZ11-BA11-BB11-BC11))+F11</f>
        <v>1132500</v>
      </c>
      <c r="BE11" s="82">
        <f>62500+150000+920000</f>
        <v>1132500</v>
      </c>
      <c r="BF11" s="29">
        <f t="shared" si="6"/>
        <v>80000</v>
      </c>
      <c r="BG11" s="29">
        <v>8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VLOOKUP(A12,[18]HISTOBQUEAVRIL23!$A$6:$G$44,3,0)</f>
        <v>320000</v>
      </c>
      <c r="E12" s="9">
        <f>VLOOKUP(A12,[18]HISTOBQUEAVRIL23!$A$6:$G$39,4,0)</f>
        <v>0</v>
      </c>
      <c r="F12" s="9">
        <f>VLOOKUP(A12,[18]HISTOBQUEAVRIL23!$A$6:$G$39,5,0)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VLOOKUP($A12,[20]TONTAVRIL23!$A$6:$P$35,12,0)</f>
        <v>0</v>
      </c>
      <c r="Q12" s="2">
        <f>VLOOKUP($A12,[13]TONTAVRIL23!$A$6:$P$20,10,0)</f>
        <v>0</v>
      </c>
      <c r="R12" s="2">
        <f>VLOOKUP($A12,[19]TONTAVRIL23!$A$6:$P$21,10,0)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>
        <f>BD11-BE11</f>
        <v>0</v>
      </c>
      <c r="BF12" s="29">
        <f t="shared" si="6"/>
        <v>0</v>
      </c>
      <c r="BG12" s="29">
        <v>8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VLOOKUP(A13,[18]HISTOBQUEAVRIL23!$A$6:$G$44,3,0)</f>
        <v>40000</v>
      </c>
      <c r="E13" s="9">
        <f>VLOOKUP(A13,[18]HISTOBQUEAVRIL23!$A$6:$G$39,4,0)</f>
        <v>0</v>
      </c>
      <c r="F13" s="9">
        <f>VLOOKUP(A13,[18]HISTOBQUEAVRIL23!$A$6:$G$39,5,0)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VLOOKUP($A13,[20]TONTAVRIL23!$A$6:$P$35,12,0)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8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VLOOKUP(A14,[18]HISTOBQUEAVRIL23!$A$6:$G$44,3,0)</f>
        <v>40000</v>
      </c>
      <c r="E14" s="9">
        <f>VLOOKUP(A14,[18]HISTOBQUEAVRIL23!$A$6:$G$39,4,0)</f>
        <v>0</v>
      </c>
      <c r="F14" s="9">
        <f>VLOOKUP(A14,[18]HISTOBQUEAVRIL23!$A$6:$G$39,5,0)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VLOOKUP($A14,[20]TONTAVRIL23!$A$6:$P$35,12,0)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8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VLOOKUP(A15,[18]HISTOBQUEAVRIL23!$A$6:$G$44,3,0)</f>
        <v>115000</v>
      </c>
      <c r="E15" s="9">
        <f>VLOOKUP(A15,[18]HISTOBQUEAVRIL23!$A$6:$G$39,4,0)</f>
        <v>0</v>
      </c>
      <c r="F15" s="9">
        <f>VLOOKUP(A15,[18]HISTOBQUEAVRIL23!$A$6:$G$39,5,0)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VLOOKUP($A15,[20]TONTAVRIL23!$A$6:$P$35,12,0)</f>
        <v>0</v>
      </c>
      <c r="Q15" s="2">
        <f>VLOOKUP($A15,[13]TONTMARS23!$A$6:$P$20,10,0)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8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VLOOKUP(A16,[18]HISTOBQUEAVRIL23!$A$6:$G$44,3,0)-101000</f>
        <v>415000</v>
      </c>
      <c r="E16" s="9">
        <f>VLOOKUP(A16,[18]HISTOBQUEAVRIL23!$A$6:$G$39,4,0)</f>
        <v>0</v>
      </c>
      <c r="F16" s="9">
        <f>VLOOKUP(A16,[18]HISTOBQUEAVRIL23!$A$6:$G$39,5,0)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VLOOKUP($A16,[20]TONTAVRIL23!$A$6:$P$35,12,0)</f>
        <v>0</v>
      </c>
      <c r="Q16" s="2">
        <f>VLOOKUP($A16,[13]TONTMARS23!$A$6:$P$20,10,0)</f>
        <v>0</v>
      </c>
      <c r="R16" s="2">
        <f>VLOOKUP($A16,[19]TONTAVRIL23!$A$6:$P$21,10,0)</f>
        <v>165000</v>
      </c>
      <c r="S16" s="20"/>
      <c r="T16" s="12"/>
      <c r="U16" s="17">
        <f t="shared" si="15"/>
        <v>415000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8</v>
      </c>
      <c r="BH16" s="15"/>
      <c r="BI16" s="15"/>
      <c r="BJ16" s="15"/>
      <c r="BK16" s="15"/>
      <c r="BL16" s="61"/>
      <c r="BN16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VLOOKUP(A17,[18]HISTOBQUEAVRIL23!$A$6:$G$44,3,0)+101000</f>
        <v>342000</v>
      </c>
      <c r="E17" s="9">
        <f>VLOOKUP(A17,[18]HISTOBQUEAVRIL23!$A$6:$G$39,4,0)</f>
        <v>0</v>
      </c>
      <c r="F17" s="9">
        <f>VLOOKUP(A17,[18]HISTOBQUEAVRIL23!$A$6:$G$39,5,0)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VLOOKUP($A17,[20]TONTAVRIL23!$A$6:$P$35,12,0)</f>
        <v>0</v>
      </c>
      <c r="Q17" s="2"/>
      <c r="R17" s="2">
        <f>VLOOKUP($A17,[19]TONTAVRIL23!$A$6:$P$21,10,0)</f>
        <v>202000</v>
      </c>
      <c r="S17" s="20"/>
      <c r="T17" s="12"/>
      <c r="U17" s="17">
        <f t="shared" si="15"/>
        <v>342000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8</v>
      </c>
      <c r="BH17" s="15"/>
      <c r="BI17" s="15"/>
      <c r="BJ17" s="15"/>
      <c r="BK17" s="15"/>
      <c r="BL17" s="61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>D18+E18+F18-U18-BB18</f>
        <v>0</v>
      </c>
      <c r="D18" s="9">
        <f>VLOOKUP(A18,[18]HISTOBQUEAVRIL23!$A$6:$G$44,3,0)</f>
        <v>419000</v>
      </c>
      <c r="E18" s="9">
        <f>VLOOKUP(A18,[18]HISTOBQUEAVRIL23!$A$6:$G$39,4,0)</f>
        <v>0</v>
      </c>
      <c r="F18" s="9">
        <f>VLOOKUP(A18,[18]HISTOBQUEAVRIL23!$A$6:$G$39,5,0)</f>
        <v>0</v>
      </c>
      <c r="G18" s="5">
        <f t="shared" si="7"/>
        <v>0</v>
      </c>
      <c r="H18" s="10" t="str">
        <f t="shared" si="1"/>
        <v>BANQUE</v>
      </c>
      <c r="I18" s="10">
        <v>2000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VLOOKUP($A18,[20]TONTAVRIL23!$A$6:$P$35,12,0)</f>
        <v>0</v>
      </c>
      <c r="Q18" s="2">
        <f>VLOOKUP($A18,[13]TONTAVRIL23!$A$6:$P$20,10,0)</f>
        <v>0</v>
      </c>
      <c r="R18" s="2">
        <f>VLOOKUP($A18,[19]TONTAVRIL23!$A$6:$P$21,10,0)</f>
        <v>202000</v>
      </c>
      <c r="S18" s="20"/>
      <c r="T18" s="12"/>
      <c r="U18" s="17">
        <f t="shared" si="15"/>
        <v>419000</v>
      </c>
      <c r="V18" s="12"/>
      <c r="W18" s="12"/>
      <c r="X18" s="12"/>
      <c r="Y18" s="12"/>
      <c r="Z18" s="12"/>
      <c r="AA18" s="12"/>
      <c r="AB18" s="12"/>
      <c r="AC18" s="12"/>
      <c r="AD18" s="12">
        <v>13000</v>
      </c>
      <c r="AE18" s="12"/>
      <c r="AF18" s="12"/>
      <c r="AG18" s="12"/>
      <c r="AH18" s="12"/>
      <c r="AI18" s="12"/>
      <c r="AJ18" s="12">
        <v>100000</v>
      </c>
      <c r="AK18" s="12"/>
      <c r="AL18" s="12"/>
      <c r="AM18" s="12">
        <v>1000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17000</v>
      </c>
      <c r="AT18" s="12"/>
      <c r="AV18" s="15"/>
      <c r="AW18" s="15">
        <f t="shared" si="9"/>
        <v>0</v>
      </c>
      <c r="AX18" s="15">
        <f>IF(AD18=0,AJ18,(1*75000*12)+(AJ18)-AD18)</f>
        <v>987000</v>
      </c>
      <c r="AY18" s="15">
        <f t="shared" si="11"/>
        <v>0</v>
      </c>
      <c r="AZ18" s="16">
        <f>SUM(AV18:AY18)-BF18+Z18-F18+BH18+BI18+BJ18+BK18+BL18+BM18-887000</f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8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9">
        <f t="shared" si="0"/>
        <v>-1000000</v>
      </c>
      <c r="D19" s="9">
        <f>VLOOKUP(A19,[18]HISTOBQUEAVRIL23!$A$6:$G$44,3,0)</f>
        <v>40000</v>
      </c>
      <c r="E19" s="9">
        <f>VLOOKUP(A19,[18]HISTOBQUEAVRIL23!$A$6:$G$39,4,0)</f>
        <v>0</v>
      </c>
      <c r="F19" s="9">
        <f>VLOOKUP(A19,[18]HISTOBQUEAVRIL23!$A$6:$G$39,5,0)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VLOOKUP($A19,[20]TONTAVRIL23!$A$6:$P$35,12,0)</f>
        <v>0</v>
      </c>
      <c r="Q19" s="2"/>
      <c r="R19" s="2"/>
      <c r="S19" s="20">
        <v>1000000</v>
      </c>
      <c r="T19" s="12" t="s">
        <v>8</v>
      </c>
      <c r="U19" s="17">
        <f t="shared" si="15"/>
        <v>1040000</v>
      </c>
      <c r="V19" s="12"/>
      <c r="W19" s="12"/>
      <c r="X19" s="12"/>
      <c r="Y19" s="12"/>
      <c r="Z19" s="12">
        <v>300000</v>
      </c>
      <c r="AA19" s="12" t="s">
        <v>8</v>
      </c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>SUM(AV19:AY19)-BF19+Z19-F19+BH19+BI19+BJ19+BK19+BL19+BM19-113000</f>
        <v>175000</v>
      </c>
      <c r="BA19" s="58"/>
      <c r="BB19" s="58"/>
      <c r="BC19" s="15"/>
      <c r="BD19" s="57">
        <f t="shared" si="13"/>
        <v>175000</v>
      </c>
      <c r="BE19" s="82">
        <v>175000</v>
      </c>
      <c r="BF19" s="29">
        <f t="shared" si="6"/>
        <v>12000</v>
      </c>
      <c r="BG19" s="29">
        <v>4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VLOOKUP(A20,[18]HISTOBQUEAVRIL23!$A$6:$G$44,3,0)</f>
        <v>422000</v>
      </c>
      <c r="E20" s="9">
        <f>VLOOKUP(A20,[18]HISTOBQUEAVRIL23!$A$6:$G$39,4,0)</f>
        <v>0</v>
      </c>
      <c r="F20" s="9">
        <f>VLOOKUP(A20,[18]HISTOBQUEAVRIL23!$A$6:$G$39,5,0)</f>
        <v>0</v>
      </c>
      <c r="G20" s="5">
        <f t="shared" si="7"/>
        <v>0</v>
      </c>
      <c r="H20" s="10" t="str">
        <f t="shared" si="1"/>
        <v>BANQUE</v>
      </c>
      <c r="I20" s="10">
        <v>5000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VLOOKUP($A20,[20]TONTAVRIL23!$A$6:$P$35,12,0)</f>
        <v>0</v>
      </c>
      <c r="Q20" s="2">
        <f>VLOOKUP($A20,[13]TONTAVRIL23!$A$6:$P$20,10,0)</f>
        <v>0</v>
      </c>
      <c r="R20" s="2">
        <f>VLOOKUP($A20,[19]TONTAVRIL23!$A$6:$P$21,10,0)</f>
        <v>202000</v>
      </c>
      <c r="S20" s="20"/>
      <c r="T20" s="12"/>
      <c r="U20" s="17">
        <f t="shared" si="15"/>
        <v>422000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20000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0</v>
      </c>
      <c r="BA20" s="58"/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8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VLOOKUP(A21,[18]HISTOBQUEAVRIL23!$A$6:$G$44,3,0)</f>
        <v>40000</v>
      </c>
      <c r="E21" s="9">
        <f>VLOOKUP(A21,[18]HISTOBQUEAVRIL23!$A$6:$G$39,4,0)</f>
        <v>0</v>
      </c>
      <c r="F21" s="9">
        <f>VLOOKUP(A21,[18]HISTOBQUEAVRIL23!$A$6:$G$39,5,0)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VLOOKUP($A21,[20]TONTAVRIL23!$A$6:$P$35,12,0)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8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VLOOKUP(A22,[18]HISTOBQUEAVRIL23!$A$6:$G$44,3,0)</f>
        <v>115000</v>
      </c>
      <c r="E22" s="9">
        <f>VLOOKUP(A22,[18]HISTOBQUEAVRIL23!$A$6:$G$39,4,0)</f>
        <v>0</v>
      </c>
      <c r="F22" s="9">
        <f>VLOOKUP(A22,[18]HISTOBQUEAVRIL23!$A$6:$G$39,5,0)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VLOOKUP($A22,[20]TONTAVRIL23!$A$6:$P$35,12,0)</f>
        <v>0</v>
      </c>
      <c r="Q22" s="2">
        <f>VLOOKUP($A22,[13]TONTAVRIL23!$A$6:$P$20,10,0)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8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VLOOKUP(A23,[18]HISTOBQUEAVRIL23!$A$6:$G$44,3,0)</f>
        <v>452000</v>
      </c>
      <c r="E23" s="9">
        <f>VLOOKUP(A23,[18]HISTOBQUEAVRIL23!$A$6:$G$39,4,0)</f>
        <v>0</v>
      </c>
      <c r="F23" s="9">
        <f>VLOOKUP(A23,[18]HISTOBQUEAVRIL23!$A$6:$G$39,5,0)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VLOOKUP($A23,[20]TONTAVRIL23!$A$6:$P$35,12,0)</f>
        <v>0</v>
      </c>
      <c r="Q23" s="2"/>
      <c r="R23" s="2">
        <f>VLOOKUP($A23,[19]TONTAVRIL23!$A$6:$P$21,10,0)</f>
        <v>202000</v>
      </c>
      <c r="S23" s="20"/>
      <c r="T23" s="12"/>
      <c r="U23" s="17">
        <f t="shared" si="15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8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VLOOKUP(A24,[18]HISTOBQUEAVRIL23!$A$6:$G$44,3,0)</f>
        <v>220000</v>
      </c>
      <c r="E24" s="9">
        <f>VLOOKUP(A24,[18]HISTOBQUEAVRIL23!$A$6:$G$39,4,0)</f>
        <v>0</v>
      </c>
      <c r="F24" s="9">
        <f>VLOOKUP(A24,[18]HISTOBQUEAVRIL23!$A$6:$G$39,5,0)</f>
        <v>0</v>
      </c>
      <c r="G24" s="5">
        <f t="shared" si="7"/>
        <v>0</v>
      </c>
      <c r="H24" s="10" t="str">
        <f t="shared" si="1"/>
        <v>BANQUE</v>
      </c>
      <c r="I24" s="10">
        <v>5000</v>
      </c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VLOOKUP($A24,[20]TONTAVRIL23!$A$6:$P$35,12,0)</f>
        <v>0</v>
      </c>
      <c r="Q24" s="2">
        <f>VLOOKUP($A24,[13]TONTAVRIL23!$A$6:$P$20,10,0)</f>
        <v>0</v>
      </c>
      <c r="R24" s="2">
        <f>VLOOKUP($A24,[19]TONTAVRIL23!$A$6:$P$21,10,0)</f>
        <v>0</v>
      </c>
      <c r="S24" s="20"/>
      <c r="T24" s="12"/>
      <c r="U24" s="17">
        <f t="shared" si="15"/>
        <v>220000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20000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8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VLOOKUP(A25,[18]HISTOBQUEAVRIL23!$A$6:$G$44,3,0)</f>
        <v>280000</v>
      </c>
      <c r="E25" s="9">
        <f>VLOOKUP(A25,[18]HISTOBQUEAVRIL23!$A$6:$G$39,4,0)</f>
        <v>0</v>
      </c>
      <c r="F25" s="9">
        <f>VLOOKUP(A25,[18]HISTOBQUEAVRIL23!$A$6:$G$39,5,0)</f>
        <v>0</v>
      </c>
      <c r="G25" s="5">
        <f t="shared" si="7"/>
        <v>0</v>
      </c>
      <c r="H25" s="10" t="str">
        <f t="shared" si="1"/>
        <v>BANQUE</v>
      </c>
      <c r="I25" s="10">
        <v>-10000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VLOOKUP($A25,[20]TONTAVRIL23!$A$6:$P$35,12,0)</f>
        <v>0</v>
      </c>
      <c r="Q25" s="2">
        <f>VLOOKUP($A25,[13]TONTAVRIL23!$A$6:$P$20,10,0)</f>
        <v>0</v>
      </c>
      <c r="R25" s="2">
        <f>VLOOKUP($A25,[19]TONTAVRIL23!$A$6:$P$21,10,0)</f>
        <v>0</v>
      </c>
      <c r="S25" s="20"/>
      <c r="T25" s="12"/>
      <c r="U25" s="17">
        <f t="shared" si="15"/>
        <v>280000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>
        <v>20000</v>
      </c>
      <c r="AF25" s="12" t="s">
        <v>8</v>
      </c>
      <c r="AG25" s="12"/>
      <c r="AH25" s="12"/>
      <c r="AI25" s="12"/>
      <c r="AJ25" s="12"/>
      <c r="AK25" s="12">
        <v>93000</v>
      </c>
      <c r="AL25" s="12"/>
      <c r="AM25" s="12"/>
      <c r="AN25" s="12">
        <v>6000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>IF(H25="ECHEC",0,(K25+I25-25000))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1273000</v>
      </c>
      <c r="AZ25" s="16">
        <f t="shared" si="12"/>
        <v>1273000</v>
      </c>
      <c r="BA25" s="58"/>
      <c r="BB25" s="58"/>
      <c r="BC25" s="15"/>
      <c r="BD25" s="57">
        <f t="shared" si="13"/>
        <v>1273000</v>
      </c>
      <c r="BE25" s="82">
        <f>1180000+93000</f>
        <v>1273000</v>
      </c>
      <c r="BF25" s="29">
        <f t="shared" si="6"/>
        <v>0</v>
      </c>
      <c r="BG25" s="29">
        <v>8</v>
      </c>
      <c r="BH25" s="15"/>
      <c r="BI25" s="15"/>
      <c r="BJ25" s="15"/>
      <c r="BK25" s="15"/>
      <c r="BL25" s="61"/>
      <c r="BN25" t="s">
        <v>125</v>
      </c>
      <c r="BO25" t="s">
        <v>143</v>
      </c>
      <c r="BP25" s="6"/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VLOOKUP(A26,[18]HISTOBQUEAVRIL23!$A$6:$G$44,3,0)</f>
        <v>0</v>
      </c>
      <c r="E26" s="9">
        <f>VLOOKUP(A26,[18]HISTOBQUEAVRIL23!$A$6:$G$39,4,0)</f>
        <v>43000</v>
      </c>
      <c r="F26" s="9">
        <f>VLOOKUP(A26,[18]HISTOBQUEAVRIL23!$A$6:$G$39,5,0)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VLOOKUP($A26,[20]TONTAVRIL23!$A$6:$P$35,12,0)</f>
        <v>0</v>
      </c>
      <c r="Q26" s="2"/>
      <c r="R26" s="2"/>
      <c r="S26" s="20"/>
      <c r="T26" s="12"/>
      <c r="U26" s="17">
        <f t="shared" si="15"/>
        <v>43000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8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VLOOKUP(A27,[18]HISTOBQUEAVRIL23!$A$6:$G$44,3,0)</f>
        <v>50000</v>
      </c>
      <c r="E27" s="9">
        <f>VLOOKUP(A27,[18]HISTOBQUEAVRIL23!$A$6:$G$39,4,0)</f>
        <v>0</v>
      </c>
      <c r="F27" s="9">
        <f>VLOOKUP(A27,[18]HISTOBQUEAVRIL23!$A$6:$G$39,5,0)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VLOOKUP($A27,[20]TONTAVRIL23!$A$6:$P$35,12,0)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8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VLOOKUP(A28,[18]HISTOBQUEAVRIL23!$A$6:$G$44,3,0)</f>
        <v>115000</v>
      </c>
      <c r="E28" s="9">
        <f>VLOOKUP(A28,[18]HISTOBQUEAVRIL23!$A$6:$G$39,4,0)</f>
        <v>0</v>
      </c>
      <c r="F28" s="9">
        <f>VLOOKUP(A28,[18]HISTOBQUEAVRIL23!$A$6:$G$39,5,0)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VLOOKUP($A28,[20]TONTAVRIL23!$A$6:$P$35,12,0)</f>
        <v>0</v>
      </c>
      <c r="Q28" s="2">
        <f>VLOOKUP($A28,[13]TONTAVRIL23!$A$6:$P$20,10,0)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8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9">
        <f t="shared" si="0"/>
        <v>120000</v>
      </c>
      <c r="D29" s="9">
        <f>VLOOKUP(A29,[18]HISTOBQUEAVRIL23!$A$6:$G$44,3,0)</f>
        <v>160000</v>
      </c>
      <c r="E29" s="9">
        <f>VLOOKUP(A29,[18]HISTOBQUEAVRIL23!$A$6:$G$39,4,0)</f>
        <v>0</v>
      </c>
      <c r="F29" s="9">
        <f>VLOOKUP(A29,[18]HISTOBQUEAVRIL23!$A$6:$G$39,5,0)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VLOOKUP($A29,[20]TONTAVRIL23!$A$6:$P$35,12,0)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>
        <v>120000</v>
      </c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8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VLOOKUP(A30,[18]HISTOBQUEAVRIL23!$A$6:$G$44,3,0)</f>
        <v>115000</v>
      </c>
      <c r="E30" s="9">
        <f>VLOOKUP(A30,[18]HISTOBQUEAVRIL23!$A$6:$G$39,4,0)</f>
        <v>0</v>
      </c>
      <c r="F30" s="9">
        <f>VLOOKUP(A30,[18]HISTOBQUEAVRIL23!$A$6:$G$39,5,0)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VLOOKUP($A30,[20]TONTAVRIL23!$A$6:$P$35,12,0)</f>
        <v>0</v>
      </c>
      <c r="Q30" s="2">
        <f>VLOOKUP($A30,[13]TONTAVRIL23!$A$6:$P$20,10,0)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8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VLOOKUP(A31,[18]HISTOBQUEAVRIL23!$A$6:$G$44,3,0)</f>
        <v>140000</v>
      </c>
      <c r="E31" s="9">
        <f>VLOOKUP(A31,[18]HISTOBQUEAVRIL23!$A$6:$G$39,4,0)</f>
        <v>0</v>
      </c>
      <c r="F31" s="9">
        <f>VLOOKUP(A31,[18]HISTOBQUEAVRIL23!$A$6:$G$39,5,0)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VLOOKUP($A31,[20]TONTAVRIL23!$A$6:$P$35,12,0)</f>
        <v>0</v>
      </c>
      <c r="Q31" s="2"/>
      <c r="R31" s="2">
        <f>VLOOKUP($A31,[19]TONTAVRIL23!$A$6:$P$21,10,0)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8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9">
        <f t="shared" si="0"/>
        <v>-200000</v>
      </c>
      <c r="D32" s="9">
        <f>VLOOKUP(A32,[18]HISTOBQUEAVRIL23!$A$6:$G$44,3,0)</f>
        <v>115000</v>
      </c>
      <c r="E32" s="9">
        <f>VLOOKUP(A32,[18]HISTOBQUEAVRIL23!$A$6:$G$39,4,0)</f>
        <v>0</v>
      </c>
      <c r="F32" s="9">
        <f>VLOOKUP(A32,[18]HISTOBQUEAVRIL23!$A$6:$G$39,5,0)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VLOOKUP($A32,[20]TONTAVRIL23!$A$6:$P$35,12,0)</f>
        <v>0</v>
      </c>
      <c r="Q32" s="2">
        <f>VLOOKUP($A32,[13]TONTAVRIL23!$A$6:$P$20,10,0)</f>
        <v>0</v>
      </c>
      <c r="R32" s="2"/>
      <c r="S32" s="20">
        <v>200000</v>
      </c>
      <c r="T32" s="12" t="s">
        <v>8</v>
      </c>
      <c r="U32" s="17">
        <f t="shared" si="15"/>
        <v>315000</v>
      </c>
      <c r="V32" s="12"/>
      <c r="W32" s="12"/>
      <c r="X32" s="12"/>
      <c r="Y32" s="12"/>
      <c r="Z32" s="12">
        <v>700000</v>
      </c>
      <c r="AA32" s="12" t="s">
        <v>8</v>
      </c>
      <c r="AB32" s="12"/>
      <c r="AC32" s="12"/>
      <c r="AD32" s="12"/>
      <c r="AE32" s="12"/>
      <c r="AF32" s="12"/>
      <c r="AG32" s="12"/>
      <c r="AH32" s="12"/>
      <c r="AI32" s="12"/>
      <c r="AJ32" s="12">
        <f>50000+88000</f>
        <v>138000</v>
      </c>
      <c r="AK32" s="12"/>
      <c r="AL32" s="12"/>
      <c r="AM32" s="12">
        <v>2000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138000</v>
      </c>
      <c r="AY32" s="15">
        <f t="shared" si="11"/>
        <v>0</v>
      </c>
      <c r="AZ32" s="16">
        <f>SUM(AV32:AY32)-BF32+Z32-F32+BH32+BI32+BJ32+BK32+BL32+BM32-200000</f>
        <v>596000</v>
      </c>
      <c r="BA32" s="58">
        <v>86500</v>
      </c>
      <c r="BB32" s="58"/>
      <c r="BC32" s="15"/>
      <c r="BD32" s="57">
        <f t="shared" si="13"/>
        <v>509500</v>
      </c>
      <c r="BE32" s="82">
        <f>51500+458000</f>
        <v>509500</v>
      </c>
      <c r="BF32" s="29">
        <f t="shared" si="6"/>
        <v>42000</v>
      </c>
      <c r="BG32" s="29">
        <v>6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VLOOKUP(A33,[18]HISTOBQUEAVRIL23!$A$6:$G$44,3,0)</f>
        <v>0</v>
      </c>
      <c r="E33" s="9">
        <f>VLOOKUP(A33,[18]HISTOBQUEAVRIL23!$A$6:$G$39,4,0)</f>
        <v>43000</v>
      </c>
      <c r="F33" s="9">
        <f>VLOOKUP(A33,[18]HISTOBQUEAVRIL23!$A$6:$G$39,5,0)</f>
        <v>0</v>
      </c>
      <c r="G33" s="5">
        <f t="shared" si="7"/>
        <v>3000</v>
      </c>
      <c r="H33" s="10" t="str">
        <f t="shared" si="1"/>
        <v>ESPECES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VLOOKUP($A33,[20]TONTAVRIL23!$A$6:$P$35,12,0)</f>
        <v>0</v>
      </c>
      <c r="Q33" s="2"/>
      <c r="R33" s="2"/>
      <c r="S33" s="20"/>
      <c r="T33" s="12"/>
      <c r="U33" s="17">
        <f t="shared" si="15"/>
        <v>43000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8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VLOOKUP(A34,[18]HISTOBQUEAVRIL23!$A$6:$G$44,3,0)</f>
        <v>0</v>
      </c>
      <c r="E34" s="9">
        <f>VLOOKUP(A34,[18]HISTOBQUEAVRIL23!$A$6:$G$39,4,0)</f>
        <v>100000</v>
      </c>
      <c r="F34" s="9">
        <f>VLOOKUP(A34,[18]HISTOBQUEAVRIL23!$A$6:$G$39,5,0)</f>
        <v>0</v>
      </c>
      <c r="G34" s="5">
        <f t="shared" si="7"/>
        <v>3000</v>
      </c>
      <c r="H34" s="10" t="str">
        <f t="shared" si="1"/>
        <v>ESPECES</v>
      </c>
      <c r="I34" s="10">
        <v>57000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VLOOKUP($A34,[20]TONTAVRIL23!$A$6:$P$35,12,0)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72000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8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VLOOKUP(A35,[18]HISTOBQUEAVRIL23!$A$6:$G$44,3,0)</f>
        <v>0</v>
      </c>
      <c r="E35" s="9">
        <f>VLOOKUP(A35,[18]HISTOBQUEAVRIL23!$A$6:$G$39,4,0)+40000</f>
        <v>40000</v>
      </c>
      <c r="F35" s="9">
        <f>VLOOKUP(A35,[18]HISTOBQUEAVRIL23!$A$6:$G$39,5,0)</f>
        <v>0</v>
      </c>
      <c r="G35" s="5"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VLOOKUP($A35,[20]TONTAVRIL23!$A$6:$P$35,12,0)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>IF(H35="ECHEC",((K35+M35+O35)*20/100),0)+4000</f>
        <v>4000</v>
      </c>
      <c r="AS35" s="13">
        <f>IF(H35="ECHEC",0,(K35+I35-25000))-1000</f>
        <v>14000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8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VLOOKUP(A36,[18]HISTOBQUEAVRIL23!$A$6:$G$44,3,0)</f>
        <v>290000</v>
      </c>
      <c r="E36" s="9">
        <f>VLOOKUP(A36,[18]HISTOBQUEAVRIL23!$A$6:$G$39,4,0)</f>
        <v>0</v>
      </c>
      <c r="F36" s="9">
        <f>VLOOKUP(A36,[18]HISTOBQUEAVRIL23!$A$6:$G$39,5,0)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VLOOKUP($A36,[20]TONTAVRIL23!$A$6:$P$35,12,0)</f>
        <v>0</v>
      </c>
      <c r="Q36" s="2">
        <f>VLOOKUP($A36,[13]TONTAVRIL23!$A$6:$P$20,10,0)</f>
        <v>0</v>
      </c>
      <c r="R36" s="2">
        <f>VLOOKUP($A36,[19]TONTAVRIL23!$A$6:$P$21,10,0)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>
        <v>1000000</v>
      </c>
      <c r="AA36" s="12" t="s">
        <v>8</v>
      </c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940000</v>
      </c>
      <c r="BA36" s="58"/>
      <c r="BB36" s="58"/>
      <c r="BC36" s="15"/>
      <c r="BD36" s="57">
        <f t="shared" si="13"/>
        <v>940000</v>
      </c>
      <c r="BE36" s="82">
        <v>940000</v>
      </c>
      <c r="BF36" s="29">
        <f t="shared" si="6"/>
        <v>60000</v>
      </c>
      <c r="BG36" s="29">
        <v>6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2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-1307500</v>
      </c>
      <c r="D38" s="5">
        <f t="shared" si="16"/>
        <v>4835000</v>
      </c>
      <c r="E38" s="5">
        <f t="shared" si="16"/>
        <v>269000</v>
      </c>
      <c r="F38" s="5">
        <f t="shared" si="16"/>
        <v>70000</v>
      </c>
      <c r="G38" s="5">
        <f t="shared" si="16"/>
        <v>12000</v>
      </c>
      <c r="H38" s="5">
        <f t="shared" si="16"/>
        <v>0</v>
      </c>
      <c r="I38" s="5">
        <f t="shared" si="16"/>
        <v>124000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0</v>
      </c>
      <c r="Q38" s="5">
        <f t="shared" si="16"/>
        <v>0</v>
      </c>
      <c r="R38" s="5">
        <f t="shared" si="16"/>
        <v>973000</v>
      </c>
      <c r="S38" s="5">
        <f t="shared" si="16"/>
        <v>1357500</v>
      </c>
      <c r="T38" s="5"/>
      <c r="U38" s="5">
        <f t="shared" ref="U38:AA38" si="17">SUM(U6:U37)</f>
        <v>6341500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3500000</v>
      </c>
      <c r="AA38" s="5">
        <f t="shared" si="17"/>
        <v>0</v>
      </c>
      <c r="AB38" s="5"/>
      <c r="AC38" s="5">
        <f>SUM(AC6:AC37)</f>
        <v>21000</v>
      </c>
      <c r="AD38" s="5">
        <f>SUM(AD6:AD37)</f>
        <v>13000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142500</v>
      </c>
      <c r="AJ38" s="5">
        <f t="shared" si="18"/>
        <v>388000</v>
      </c>
      <c r="AK38" s="5">
        <f t="shared" si="18"/>
        <v>93000</v>
      </c>
      <c r="AL38" s="5">
        <f t="shared" si="18"/>
        <v>3500</v>
      </c>
      <c r="AM38" s="5">
        <f t="shared" si="18"/>
        <v>5000</v>
      </c>
      <c r="AN38" s="5">
        <f t="shared" si="18"/>
        <v>6000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4000</v>
      </c>
      <c r="AS38" s="5">
        <f t="shared" si="18"/>
        <v>573000</v>
      </c>
      <c r="AT38" s="5">
        <f t="shared" si="18"/>
        <v>120000</v>
      </c>
      <c r="AU38" s="5">
        <f t="shared" si="18"/>
        <v>0</v>
      </c>
      <c r="AV38" s="5">
        <f t="shared" si="18"/>
        <v>0</v>
      </c>
      <c r="AW38" s="5">
        <f t="shared" si="18"/>
        <v>564000</v>
      </c>
      <c r="AX38" s="5">
        <f t="shared" si="18"/>
        <v>1275000</v>
      </c>
      <c r="AY38" s="5">
        <f t="shared" si="18"/>
        <v>1273000</v>
      </c>
      <c r="AZ38" s="5">
        <f t="shared" si="18"/>
        <v>5244000</v>
      </c>
      <c r="BA38" s="5">
        <f t="shared" si="18"/>
        <v>229000</v>
      </c>
      <c r="BB38" s="5">
        <f t="shared" si="18"/>
        <v>140000</v>
      </c>
      <c r="BC38" s="5">
        <f t="shared" si="18"/>
        <v>0</v>
      </c>
      <c r="BD38" s="5">
        <f t="shared" si="18"/>
        <v>4945000</v>
      </c>
      <c r="BE38" s="5">
        <f t="shared" si="18"/>
        <v>4945000</v>
      </c>
      <c r="BF38" s="5">
        <f>SUM(BF6:BF37)</f>
        <v>204000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D40" s="70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5244000</v>
      </c>
      <c r="D43" s="9">
        <f>SUMIFS(D8:D38,H8:H38,"BANQUE")</f>
        <v>4620000</v>
      </c>
      <c r="F43" s="9">
        <f>E38</f>
        <v>269000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10382000</v>
      </c>
    </row>
  </sheetData>
  <autoFilter ref="A5:AF36"/>
  <mergeCells count="1">
    <mergeCell ref="B4:M4"/>
  </mergeCells>
  <dataValidations disablePrompts="1"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8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VLOOKUP(A6,[18]HISTOBQUEMAI23!$A$6:$G$44,3,0)</f>
        <v>175000</v>
      </c>
      <c r="E6" s="9">
        <f>VLOOKUP(A6,[18]HISTOBQUEMAI23!$A$6:$G$39,4,0)</f>
        <v>0</v>
      </c>
      <c r="F6" s="9">
        <f>VLOOKUP(A6,[18]HISTOBQUEMAI23!$A$6:$G$39,5,0)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VLOOKUP($A6,[13]TONTMAI23!$A$6:$P$20,10,0)</f>
        <v>0</v>
      </c>
      <c r="R6" s="2">
        <f>VLOOKUP($A6,[19]TONTMAI23!$A$6:$P$21,10,0)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SUM(AV6:AY6)-BF6+Z6-F6+BH6+BI6+BJ6+BK6+BL6+BM6-3000</f>
        <v>303000</v>
      </c>
      <c r="BA6" s="58">
        <v>3000</v>
      </c>
      <c r="BB6" s="58"/>
      <c r="BC6" s="15"/>
      <c r="BD6" s="57">
        <f>IF(AZ6=0,(AZ6-BA6-BC6),(AZ6-BA6-BB6-BC6))+BH6</f>
        <v>306000</v>
      </c>
      <c r="BE6" s="82">
        <v>276000</v>
      </c>
      <c r="BF6" s="29">
        <f t="shared" ref="BF6:BF36" si="6">Z6*1/100*BG6</f>
        <v>0</v>
      </c>
      <c r="BG6" s="29">
        <v>7</v>
      </c>
      <c r="BH6" s="15">
        <f>BP16</f>
        <v>6000</v>
      </c>
      <c r="BI6" s="15">
        <f>BP28</f>
        <v>0</v>
      </c>
      <c r="BJ6" s="15">
        <f>BP33</f>
        <v>200000</v>
      </c>
      <c r="BK6" s="15">
        <f>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VLOOKUP(A7,[18]HISTOBQUEMAI23!$A$6:$G$44,3,0)</f>
        <v>40000</v>
      </c>
      <c r="E7" s="9">
        <f>VLOOKUP(A7,[18]HISTOBQUEMAI23!$A$6:$G$39,4,0)</f>
        <v>0</v>
      </c>
      <c r="F7" s="9">
        <f>VLOOKUP(A7,[18]HISTOBQUEMAI23!$A$6:$G$39,5,0)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VLOOKUP($A7,[20]TONTMAI23!$A$6:$P$35,12,0)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>IF(AZ7=0,(AZ7-BA7-BC7),(AZ7-BA7-BB7-BC7))+F7</f>
        <v>0</v>
      </c>
      <c r="BE7" s="82"/>
      <c r="BF7" s="29">
        <f t="shared" si="6"/>
        <v>0</v>
      </c>
      <c r="BG7" s="29">
        <v>7</v>
      </c>
      <c r="BH7" s="15">
        <f>BP17</f>
        <v>0</v>
      </c>
      <c r="BI7" s="15"/>
      <c r="BJ7" s="15"/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VLOOKUP(A8,[18]HISTOBQUEMAI23!$A$6:$G$44,3,0)</f>
        <v>115000</v>
      </c>
      <c r="E8" s="9">
        <f>VLOOKUP(A8,[18]HISTOBQUEMAI23!$A$6:$G$39,4,0)</f>
        <v>0</v>
      </c>
      <c r="F8" s="9">
        <f>VLOOKUP(A8,[18]HISTOBQUEMAI23!$A$6:$G$39,5,0)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VLOOKUP($A8,[20]TONTMAI23!$A$6:$P$35,12,0)</f>
        <v>0</v>
      </c>
      <c r="Q8" s="2">
        <f>VLOOKUP($A8,[13]TONTMAI23!$A$6:$P$20,10,0)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ref="BD8:BD36" si="15">IF(AZ8=0,(AZ8-BA8-BC8),(AZ8-BA8-BB8-BC8))+F8</f>
        <v>0</v>
      </c>
      <c r="BE8" s="82"/>
      <c r="BF8" s="29">
        <f t="shared" si="6"/>
        <v>0</v>
      </c>
      <c r="BG8" s="29">
        <v>7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VLOOKUP(A9,[18]HISTOBQUEMAI23!$A$6:$G$44,3,0)</f>
        <v>145000</v>
      </c>
      <c r="E9" s="9">
        <f>VLOOKUP(A9,[18]HISTOBQUEMAI23!$A$6:$G$39,4,0)</f>
        <v>23000</v>
      </c>
      <c r="F9" s="9">
        <f>VLOOKUP(A9,[18]HISTOBQUEMAI23!$A$6:$G$39,5,0)</f>
        <v>0</v>
      </c>
      <c r="G9" s="5">
        <f t="shared" si="7"/>
        <v>0</v>
      </c>
      <c r="H9" s="10" t="str">
        <f t="shared" si="1"/>
        <v>BANQUE</v>
      </c>
      <c r="I9" s="10">
        <v>5000</v>
      </c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VLOOKUP($A9,[20]TONTMAI23!$A$6:$P$35,12,0)</f>
        <v>23000</v>
      </c>
      <c r="Q9" s="2"/>
      <c r="R9" s="2">
        <f>VLOOKUP($A9,[19]TONTMAI23!$A$6:$P$21,10,0)</f>
        <v>0</v>
      </c>
      <c r="S9" s="20"/>
      <c r="T9" s="12"/>
      <c r="U9" s="17">
        <f t="shared" si="14"/>
        <v>168000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50000</v>
      </c>
      <c r="AL9" s="12"/>
      <c r="AM9" s="12"/>
      <c r="AN9" s="12">
        <v>1000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20000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50000</v>
      </c>
      <c r="AZ9" s="16">
        <f t="shared" si="12"/>
        <v>50000</v>
      </c>
      <c r="BA9" s="58">
        <v>50000</v>
      </c>
      <c r="BB9" s="58"/>
      <c r="BC9" s="15"/>
      <c r="BD9" s="57">
        <f>IF(AZ9=0,(AZ9-BA9-BC9),(AZ9-BA9-BB9-BC9))+F9+690000</f>
        <v>690000</v>
      </c>
      <c r="BE9" s="82">
        <v>690000</v>
      </c>
      <c r="BF9" s="29">
        <f t="shared" si="6"/>
        <v>0</v>
      </c>
      <c r="BG9" s="29">
        <v>7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VLOOKUP(A10,[18]HISTOBQUEMAI23!$A$6:$G$44,3,0)</f>
        <v>0</v>
      </c>
      <c r="E10" s="9">
        <f>VLOOKUP(A10,[18]HISTOBQUEMAI23!$A$6:$G$39,4,0)</f>
        <v>105000</v>
      </c>
      <c r="F10" s="9">
        <f>VLOOKUP(A10,[18]HISTOBQUEMAI23!$A$6:$G$39,5,0)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VLOOKUP($A10,[20]TONTMAI23!$A$6:$P$35,12,0)</f>
        <v>62000</v>
      </c>
      <c r="Q10" s="2"/>
      <c r="R10" s="2"/>
      <c r="S10" s="20"/>
      <c r="T10" s="12"/>
      <c r="U10" s="17">
        <f t="shared" si="14"/>
        <v>105000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5"/>
        <v>0</v>
      </c>
      <c r="BE10" s="82"/>
      <c r="BF10" s="29">
        <f t="shared" si="6"/>
        <v>0</v>
      </c>
      <c r="BG10" s="29">
        <v>7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VLOOKUP(A11,[18]HISTOBQUEMAI23!$A$6:$G$44,3,0)</f>
        <v>267000</v>
      </c>
      <c r="E11" s="9">
        <f>VLOOKUP(A11,[18]HISTOBQUEMAI23!$A$6:$G$39,4,0)</f>
        <v>0</v>
      </c>
      <c r="F11" s="9">
        <f>VLOOKUP(A11,[18]HISTOBQUEMAI23!$A$6:$G$39,5,0)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VLOOKUP($A11,[20]TONTMAI23!$A$6:$P$35,12,0)</f>
        <v>0</v>
      </c>
      <c r="Q11" s="2">
        <f>VLOOKUP($A11,[13]TONTMAI23!$A$6:$P$20,10,0)</f>
        <v>152000</v>
      </c>
      <c r="R11" s="2"/>
      <c r="S11" s="20"/>
      <c r="T11" s="12"/>
      <c r="U11" s="17">
        <f t="shared" si="14"/>
        <v>267000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29500</v>
      </c>
      <c r="AJ11" s="12">
        <f>50000+50000</f>
        <v>100000</v>
      </c>
      <c r="AK11" s="12"/>
      <c r="AL11" s="12">
        <v>1500</v>
      </c>
      <c r="AM11" s="12">
        <f>1000+1000</f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29500</v>
      </c>
      <c r="AX11" s="15">
        <f t="shared" si="10"/>
        <v>100000</v>
      </c>
      <c r="AY11" s="15">
        <f t="shared" si="11"/>
        <v>0</v>
      </c>
      <c r="AZ11" s="16">
        <f t="shared" si="12"/>
        <v>129500</v>
      </c>
      <c r="BA11" s="58">
        <v>50000</v>
      </c>
      <c r="BB11" s="58"/>
      <c r="BC11" s="15"/>
      <c r="BD11" s="57">
        <f t="shared" si="15"/>
        <v>79500</v>
      </c>
      <c r="BE11" s="82">
        <f>50000+29500</f>
        <v>79500</v>
      </c>
      <c r="BF11" s="29">
        <f t="shared" si="6"/>
        <v>0</v>
      </c>
      <c r="BG11" s="29">
        <v>7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VLOOKUP(A12,[18]HISTOBQUEMAI23!$A$6:$G$44,3,0)</f>
        <v>420000</v>
      </c>
      <c r="E12" s="9">
        <f>VLOOKUP(A12,[18]HISTOBQUEMAI23!$A$6:$G$39,4,0)</f>
        <v>0</v>
      </c>
      <c r="F12" s="9">
        <f>VLOOKUP(A12,[18]HISTOBQUEMAI23!$A$6:$G$39,5,0)</f>
        <v>70000</v>
      </c>
      <c r="G12" s="5">
        <f t="shared" si="7"/>
        <v>0</v>
      </c>
      <c r="H12" s="10" t="str">
        <f t="shared" si="1"/>
        <v>BANQUE</v>
      </c>
      <c r="I12" s="10">
        <v>105000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VLOOKUP($A12,[20]TONTMAI23!$A$6:$P$35,12,0)</f>
        <v>0</v>
      </c>
      <c r="Q12" s="2">
        <f>VLOOKUP($A12,[13]TONTMAI23!$A$6:$P$20,10,0)</f>
        <v>0</v>
      </c>
      <c r="R12" s="2">
        <f>VLOOKUP($A12,[19]TONTMAI23!$A$6:$P$21,10,0)</f>
        <v>0</v>
      </c>
      <c r="S12" s="20"/>
      <c r="T12" s="12"/>
      <c r="U12" s="17">
        <f t="shared" si="14"/>
        <v>420000</v>
      </c>
      <c r="V12" s="12"/>
      <c r="W12" s="12"/>
      <c r="X12" s="12"/>
      <c r="Y12" s="12"/>
      <c r="Z12" s="12"/>
      <c r="AA12" s="12"/>
      <c r="AB12" s="12"/>
      <c r="AC12" s="12"/>
      <c r="AD12" s="12">
        <v>10000</v>
      </c>
      <c r="AE12" s="12"/>
      <c r="AF12" s="12" t="s">
        <v>8</v>
      </c>
      <c r="AG12" s="12"/>
      <c r="AH12" s="12"/>
      <c r="AI12" s="12"/>
      <c r="AJ12" s="12">
        <v>38000</v>
      </c>
      <c r="AK12" s="12">
        <v>200000</v>
      </c>
      <c r="AL12" s="12"/>
      <c r="AM12" s="12">
        <v>1000</v>
      </c>
      <c r="AN12" s="12">
        <v>2000</v>
      </c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120000</v>
      </c>
      <c r="AT12" s="12"/>
      <c r="AV12" s="15"/>
      <c r="AW12" s="15">
        <f t="shared" si="9"/>
        <v>0</v>
      </c>
      <c r="AX12" s="15">
        <f t="shared" si="10"/>
        <v>928000</v>
      </c>
      <c r="AY12" s="15">
        <f t="shared" si="11"/>
        <v>200000</v>
      </c>
      <c r="AZ12" s="16">
        <f>SUM(AV12:AY12)-BF12+Z12-F12+BH12+BI12+BJ12+BK12+BL12+BM12</f>
        <v>1058000</v>
      </c>
      <c r="BA12" s="58">
        <v>23000</v>
      </c>
      <c r="BB12" s="58">
        <v>70000</v>
      </c>
      <c r="BC12" s="15"/>
      <c r="BD12" s="57">
        <f t="shared" si="15"/>
        <v>1035000</v>
      </c>
      <c r="BE12" s="82">
        <f>200000+820000+15000</f>
        <v>1035000</v>
      </c>
      <c r="BF12" s="29">
        <f t="shared" si="6"/>
        <v>0</v>
      </c>
      <c r="BG12" s="29">
        <v>7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VLOOKUP(A13,[18]HISTOBQUEMAI23!$A$6:$G$44,3,0)</f>
        <v>40000</v>
      </c>
      <c r="E13" s="9">
        <f>VLOOKUP(A13,[18]HISTOBQUEMAI23!$A$6:$G$39,4,0)</f>
        <v>0</v>
      </c>
      <c r="F13" s="9">
        <f>VLOOKUP(A13,[18]HISTOBQUEMAI23!$A$6:$G$39,5,0)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VLOOKUP($A13,[20]TONTMAI23!$A$6:$P$35,12,0)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5"/>
        <v>0</v>
      </c>
      <c r="BE13" s="82"/>
      <c r="BF13" s="29">
        <f t="shared" si="6"/>
        <v>0</v>
      </c>
      <c r="BG13" s="29">
        <v>7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VLOOKUP(A14,[18]HISTOBQUEMAI23!$A$6:$G$44,3,0)</f>
        <v>40000</v>
      </c>
      <c r="E14" s="9">
        <f>VLOOKUP(A14,[18]HISTOBQUEMAI23!$A$6:$G$39,4,0)</f>
        <v>0</v>
      </c>
      <c r="F14" s="9">
        <f>VLOOKUP(A14,[18]HISTOBQUEMAI23!$A$6:$G$39,5,0)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VLOOKUP($A14,[20]TONTMAI23!$A$6:$P$35,12,0)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5"/>
        <v>0</v>
      </c>
      <c r="BE14" s="82"/>
      <c r="BF14" s="29">
        <f t="shared" si="6"/>
        <v>0</v>
      </c>
      <c r="BG14" s="29">
        <v>7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VLOOKUP(A15,[18]HISTOBQUEMAI23!$A$6:$G$44,3,0)</f>
        <v>0</v>
      </c>
      <c r="E15" s="9">
        <f>VLOOKUP(A15,[18]HISTOBQUEMAI23!$A$6:$G$39,4,0)</f>
        <v>118000</v>
      </c>
      <c r="F15" s="9">
        <f>VLOOKUP(A15,[18]HISTOBQUEMAI23!$A$6:$G$39,5,0)</f>
        <v>0</v>
      </c>
      <c r="G15" s="5">
        <f t="shared" si="7"/>
        <v>3000</v>
      </c>
      <c r="H15" s="10" t="str">
        <f t="shared" si="1"/>
        <v>ESPECES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VLOOKUP($A15,[20]TONTMAI23!$A$6:$P$35,12,0)</f>
        <v>0</v>
      </c>
      <c r="Q15" s="2">
        <f>VLOOKUP($A15,[13]TONTMAI23!$A$6:$P$20,10,0)</f>
        <v>0</v>
      </c>
      <c r="R15" s="2"/>
      <c r="S15" s="20"/>
      <c r="T15" s="12"/>
      <c r="U15" s="17">
        <f t="shared" si="14"/>
        <v>118000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5"/>
        <v>0</v>
      </c>
      <c r="BE15" s="82"/>
      <c r="BF15" s="29">
        <f t="shared" si="6"/>
        <v>0</v>
      </c>
      <c r="BG15" s="29">
        <v>7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VLOOKUP(A16,[18]HISTOBQUEMAI23!$A$6:$G$44,3,0)</f>
        <v>230000</v>
      </c>
      <c r="E16" s="9">
        <f>VLOOKUP(A16,[18]HISTOBQUEMAI23!$A$6:$G$39,4,0)</f>
        <v>0</v>
      </c>
      <c r="F16" s="9">
        <f>VLOOKUP(A16,[18]HISTOBQUEMAI23!$A$6:$G$39,5,0)</f>
        <v>70000</v>
      </c>
      <c r="G16" s="5">
        <f t="shared" si="7"/>
        <v>0</v>
      </c>
      <c r="H16" s="10" t="str">
        <f t="shared" si="1"/>
        <v>BANQUE</v>
      </c>
      <c r="I16" s="10">
        <v>15000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VLOOKUP($A16,[20]TONTMAI23!$A$6:$P$35,12,0)</f>
        <v>0</v>
      </c>
      <c r="Q16" s="2">
        <f>VLOOKUP($A16,[13]TONTMAI23!$A$6:$P$20,10,0)</f>
        <v>0</v>
      </c>
      <c r="R16" s="2">
        <f>VLOOKUP($A16,[19]TONTMAI23!$A$6:$P$21,10,0)</f>
        <v>0</v>
      </c>
      <c r="S16" s="20"/>
      <c r="T16" s="12"/>
      <c r="U16" s="17">
        <f t="shared" si="14"/>
        <v>230000</v>
      </c>
      <c r="V16" s="12"/>
      <c r="W16" s="12"/>
      <c r="X16" s="12"/>
      <c r="Y16" s="12"/>
      <c r="Z16" s="12"/>
      <c r="AA16" s="12"/>
      <c r="AB16" s="12"/>
      <c r="AC16" s="12">
        <v>2500</v>
      </c>
      <c r="AD16" s="12"/>
      <c r="AE16" s="12"/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30000</v>
      </c>
      <c r="AT16" s="12"/>
      <c r="AV16" s="15"/>
      <c r="AW16" s="15">
        <f t="shared" si="9"/>
        <v>297500</v>
      </c>
      <c r="AX16" s="15">
        <f t="shared" si="10"/>
        <v>0</v>
      </c>
      <c r="AY16" s="15">
        <f t="shared" si="11"/>
        <v>0</v>
      </c>
      <c r="AZ16" s="16">
        <f t="shared" si="12"/>
        <v>227500</v>
      </c>
      <c r="BA16" s="58"/>
      <c r="BB16" s="58">
        <v>70000</v>
      </c>
      <c r="BC16" s="15"/>
      <c r="BD16" s="57">
        <f t="shared" si="15"/>
        <v>227500</v>
      </c>
      <c r="BE16" s="82">
        <v>227500</v>
      </c>
      <c r="BF16" s="29">
        <f t="shared" si="6"/>
        <v>0</v>
      </c>
      <c r="BG16" s="29">
        <v>7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VLOOKUP(A17,[18]HISTOBQUEMAI23!$A$6:$G$44,3,0)</f>
        <v>140000</v>
      </c>
      <c r="E17" s="9">
        <f>VLOOKUP(A17,[18]HISTOBQUEMAI23!$A$6:$G$39,4,0)</f>
        <v>0</v>
      </c>
      <c r="F17" s="9">
        <f>VLOOKUP(A17,[18]HISTOBQUEMAI23!$A$6:$G$39,5,0)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VLOOKUP($A17,[20]TONTMAI23!$A$6:$P$35,12,0)</f>
        <v>0</v>
      </c>
      <c r="Q17" s="2"/>
      <c r="R17" s="2">
        <f>VLOOKUP($A17,[19]TONTMAI23!$A$6:$P$21,10,0)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5"/>
        <v>0</v>
      </c>
      <c r="BE17" s="82"/>
      <c r="BF17" s="29">
        <f t="shared" si="6"/>
        <v>0</v>
      </c>
      <c r="BG17" s="29">
        <v>7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9">
        <f t="shared" si="0"/>
        <v>0</v>
      </c>
      <c r="D18" s="9">
        <f>VLOOKUP(A18,[18]HISTOBQUEMAI23!$A$6:$G$44,3,0)</f>
        <v>315000</v>
      </c>
      <c r="E18" s="9">
        <f>VLOOKUP(A18,[18]HISTOBQUEMAI23!$A$6:$G$39,4,0)</f>
        <v>0</v>
      </c>
      <c r="F18" s="9">
        <f>VLOOKUP(A18,[18]HISTOBQUEMAI23!$A$6:$G$39,5,0)</f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VLOOKUP($A18,[20]TONTMAI23!$A$6:$P$35,12,0)</f>
        <v>0</v>
      </c>
      <c r="Q18" s="2">
        <f>VLOOKUP($A18,[13]TONTMAI23!$A$6:$P$20,10,0)</f>
        <v>101000</v>
      </c>
      <c r="R18" s="2">
        <f>VLOOKUP($A18,[19]TONTMAI23!$A$6:$P$21,10,0)</f>
        <v>0</v>
      </c>
      <c r="S18" s="20"/>
      <c r="T18" s="12"/>
      <c r="U18" s="17">
        <f t="shared" si="14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>IF(H18="ECHEC",0,(K18+I18-25000))</f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5"/>
        <v>0</v>
      </c>
      <c r="BE18" s="82"/>
      <c r="BF18" s="29">
        <f t="shared" si="6"/>
        <v>0</v>
      </c>
      <c r="BG18" s="29">
        <v>7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VLOOKUP(A19,[18]HISTOBQUEMAI23!$A$6:$G$44,3,0)</f>
        <v>40000</v>
      </c>
      <c r="E19" s="9">
        <f>VLOOKUP(A19,[18]HISTOBQUEMAI23!$A$6:$G$39,4,0)</f>
        <v>0</v>
      </c>
      <c r="F19" s="9">
        <f>VLOOKUP(A19,[18]HISTOBQUEMAI23!$A$6:$G$39,5,0)</f>
        <v>70000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VLOOKUP($A19,[20]TONTMAI23!$A$6:$P$35,12,0)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>
        <v>3000</v>
      </c>
      <c r="AD19" s="12"/>
      <c r="AE19" s="12"/>
      <c r="AF19" s="12" t="s">
        <v>8</v>
      </c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297000</v>
      </c>
      <c r="AX19" s="15">
        <f t="shared" si="10"/>
        <v>0</v>
      </c>
      <c r="AY19" s="15">
        <f t="shared" si="11"/>
        <v>0</v>
      </c>
      <c r="AZ19" s="16">
        <f t="shared" si="12"/>
        <v>227000</v>
      </c>
      <c r="BA19" s="58"/>
      <c r="BB19" s="58">
        <v>70000</v>
      </c>
      <c r="BC19" s="15"/>
      <c r="BD19" s="57">
        <f t="shared" si="15"/>
        <v>227000</v>
      </c>
      <c r="BE19" s="82">
        <v>227000</v>
      </c>
      <c r="BF19" s="29">
        <f t="shared" si="6"/>
        <v>0</v>
      </c>
      <c r="BG19" s="29">
        <v>7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VLOOKUP(A20,[18]HISTOBQUEMAI23!$A$6:$G$44,3,0)</f>
        <v>215000</v>
      </c>
      <c r="E20" s="9">
        <f>VLOOKUP(A20,[18]HISTOBQUEMAI23!$A$6:$G$39,4,0)</f>
        <v>0</v>
      </c>
      <c r="F20" s="9">
        <f>VLOOKUP(A20,[18]HISTOBQUEMAI23!$A$6:$G$39,5,0)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VLOOKUP($A20,[20]TONTMAI23!$A$6:$P$35,12,0)</f>
        <v>0</v>
      </c>
      <c r="Q20" s="2">
        <f>VLOOKUP($A20,[13]TONTMAI23!$A$6:$P$20,10,0)</f>
        <v>0</v>
      </c>
      <c r="R20" s="2">
        <f>VLOOKUP($A20,[19]TONTMAI23!$A$6:$P$21,10,0)</f>
        <v>0</v>
      </c>
      <c r="S20" s="20"/>
      <c r="T20" s="12"/>
      <c r="U20" s="17">
        <f t="shared" si="14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0</v>
      </c>
      <c r="BA20" s="58"/>
      <c r="BB20" s="58"/>
      <c r="BC20" s="15"/>
      <c r="BD20" s="57">
        <f t="shared" si="15"/>
        <v>0</v>
      </c>
      <c r="BE20" s="82"/>
      <c r="BF20" s="29">
        <f t="shared" si="6"/>
        <v>0</v>
      </c>
      <c r="BG20" s="29">
        <v>7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VLOOKUP(A21,[18]HISTOBQUEMAI23!$A$6:$G$44,3,0)</f>
        <v>40000</v>
      </c>
      <c r="E21" s="9">
        <f>VLOOKUP(A21,[18]HISTOBQUEMAI23!$A$6:$G$39,4,0)</f>
        <v>0</v>
      </c>
      <c r="F21" s="9">
        <f>VLOOKUP(A21,[18]HISTOBQUEMAI23!$A$6:$G$39,5,0)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VLOOKUP($A21,[20]TONTMAI23!$A$6:$P$35,12,0)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5"/>
        <v>0</v>
      </c>
      <c r="BE21" s="82"/>
      <c r="BF21" s="29">
        <f t="shared" si="6"/>
        <v>0</v>
      </c>
      <c r="BG21" s="29">
        <v>7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VLOOKUP(A22,[18]HISTOBQUEMAI23!$A$6:$G$44,3,0)</f>
        <v>115000</v>
      </c>
      <c r="E22" s="9">
        <f>VLOOKUP(A22,[18]HISTOBQUEMAI23!$A$6:$G$39,4,0)</f>
        <v>0</v>
      </c>
      <c r="F22" s="9">
        <f>VLOOKUP(A22,[18]HISTOBQUEMAI23!$A$6:$G$39,5,0)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VLOOKUP($A22,[20]TONTMAI23!$A$6:$P$35,12,0)</f>
        <v>0</v>
      </c>
      <c r="Q22" s="2">
        <f>VLOOKUP($A22,[13]TONTMAI23!$A$6:$P$20,10,0)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5"/>
        <v>0</v>
      </c>
      <c r="BE22" s="82"/>
      <c r="BF22" s="29">
        <f t="shared" si="6"/>
        <v>0</v>
      </c>
      <c r="BG22" s="29">
        <v>7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VLOOKUP(A23,[18]HISTOBQUEMAI23!$A$6:$G$44,3,0)</f>
        <v>250000</v>
      </c>
      <c r="E23" s="9">
        <f>VLOOKUP(A23,[18]HISTOBQUEMAI23!$A$6:$G$39,4,0)</f>
        <v>0</v>
      </c>
      <c r="F23" s="9">
        <f>VLOOKUP(A23,[18]HISTOBQUEMAI23!$A$6:$G$39,5,0)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VLOOKUP($A23,[20]TONTMAI23!$A$6:$P$35,12,0)</f>
        <v>0</v>
      </c>
      <c r="Q23" s="2"/>
      <c r="R23" s="2">
        <f>VLOOKUP($A23,[19]TONTMAI23!$A$6:$P$21,10,0)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200000</v>
      </c>
      <c r="BB23" s="58"/>
      <c r="BC23" s="15"/>
      <c r="BD23" s="57">
        <f t="shared" si="15"/>
        <v>0</v>
      </c>
      <c r="BE23" s="82"/>
      <c r="BF23" s="29">
        <f t="shared" si="6"/>
        <v>0</v>
      </c>
      <c r="BG23" s="29">
        <v>7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VLOOKUP(A24,[18]HISTOBQUEMAI23!$A$6:$G$44,3,0)</f>
        <v>210000</v>
      </c>
      <c r="E24" s="9">
        <f>VLOOKUP(A24,[18]HISTOBQUEMAI23!$A$6:$G$39,4,0)</f>
        <v>0</v>
      </c>
      <c r="F24" s="9">
        <f>VLOOKUP(A24,[18]HISTOBQUEMAI23!$A$6:$G$39,5,0)+70000</f>
        <v>70000</v>
      </c>
      <c r="G24" s="5">
        <f t="shared" si="7"/>
        <v>0</v>
      </c>
      <c r="H24" s="10" t="str">
        <f t="shared" si="1"/>
        <v>BANQUE</v>
      </c>
      <c r="I24" s="10">
        <v>-5000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VLOOKUP($A24,[20]TONTMAI23!$A$6:$P$35,12,0)</f>
        <v>0</v>
      </c>
      <c r="Q24" s="2">
        <f>VLOOKUP($A24,[13]TONTMAI23!$A$6:$P$20,10,0)</f>
        <v>0</v>
      </c>
      <c r="R24" s="2">
        <f>VLOOKUP($A24,[19]TONTMAI23!$A$6:$P$21,10,0)</f>
        <v>0</v>
      </c>
      <c r="S24" s="20"/>
      <c r="T24" s="12"/>
      <c r="U24" s="17">
        <f t="shared" si="14"/>
        <v>210000</v>
      </c>
      <c r="V24" s="12"/>
      <c r="W24" s="12"/>
      <c r="X24" s="12"/>
      <c r="Y24" s="12"/>
      <c r="Z24" s="12"/>
      <c r="AA24" s="12"/>
      <c r="AB24" s="12"/>
      <c r="AC24" s="12">
        <v>3000</v>
      </c>
      <c r="AD24" s="12"/>
      <c r="AE24" s="12"/>
      <c r="AF24" s="12" t="s">
        <v>8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>IF(H24="ECHEC",0,(K24+I24-25000))</f>
        <v>10000</v>
      </c>
      <c r="AT24" s="12"/>
      <c r="AV24" s="15"/>
      <c r="AW24" s="15">
        <f t="shared" si="9"/>
        <v>297000</v>
      </c>
      <c r="AX24" s="15">
        <f t="shared" si="10"/>
        <v>0</v>
      </c>
      <c r="AY24" s="15">
        <f t="shared" si="11"/>
        <v>0</v>
      </c>
      <c r="AZ24" s="16">
        <f t="shared" si="12"/>
        <v>227000</v>
      </c>
      <c r="BA24" s="58"/>
      <c r="BB24" s="58">
        <v>70000</v>
      </c>
      <c r="BC24" s="15"/>
      <c r="BD24" s="57">
        <f t="shared" si="15"/>
        <v>227000</v>
      </c>
      <c r="BE24" s="82">
        <v>227000</v>
      </c>
      <c r="BF24" s="29">
        <f t="shared" si="6"/>
        <v>0</v>
      </c>
      <c r="BG24" s="29">
        <v>7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VLOOKUP(A25,[18]HISTOBQUEMAI23!$A$6:$G$44,3,0)+27000</f>
        <v>407000</v>
      </c>
      <c r="E25" s="9">
        <f>VLOOKUP(A25,[18]HISTOBQUEMAI23!$A$6:$G$39,4,0)</f>
        <v>0</v>
      </c>
      <c r="F25" s="9">
        <f>VLOOKUP(A25,[18]HISTOBQUEMAI23!$A$6:$G$39,5,0)</f>
        <v>0</v>
      </c>
      <c r="G25" s="5">
        <f t="shared" si="7"/>
        <v>0</v>
      </c>
      <c r="H25" s="10" t="str">
        <f t="shared" si="1"/>
        <v>BANQUE</v>
      </c>
      <c r="I25" s="10">
        <v>18000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VLOOKUP($A25,[20]TONTMAI23!$A$6:$P$35,12,0)</f>
        <v>0</v>
      </c>
      <c r="Q25" s="2">
        <f>VLOOKUP($A25,[13]TONTMAI23!$A$6:$P$20,10,0)</f>
        <v>0</v>
      </c>
      <c r="R25" s="2">
        <f>VLOOKUP($A25,[19]TONTMAI23!$A$6:$P$21,10,0)</f>
        <v>99000</v>
      </c>
      <c r="S25" s="20"/>
      <c r="T25" s="12"/>
      <c r="U25" s="17">
        <f t="shared" si="14"/>
        <v>407000</v>
      </c>
      <c r="V25" s="12"/>
      <c r="W25" s="12"/>
      <c r="X25" s="12"/>
      <c r="Y25" s="12"/>
      <c r="Z25" s="12"/>
      <c r="AA25" s="12"/>
      <c r="AB25" s="12"/>
      <c r="AC25" s="12"/>
      <c r="AD25" s="12">
        <v>15000</v>
      </c>
      <c r="AE25" s="12"/>
      <c r="AF25" s="12" t="s">
        <v>8</v>
      </c>
      <c r="AG25" s="12"/>
      <c r="AH25" s="12"/>
      <c r="AI25" s="12"/>
      <c r="AJ25" s="12">
        <v>50000</v>
      </c>
      <c r="AK25" s="12"/>
      <c r="AL25" s="12"/>
      <c r="AM25" s="12">
        <v>1000</v>
      </c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>IF(H25="ECHEC",0,(K25+I25-25000))</f>
        <v>33000</v>
      </c>
      <c r="AT25" s="12"/>
      <c r="AV25" s="15"/>
      <c r="AW25" s="15">
        <f t="shared" si="9"/>
        <v>0</v>
      </c>
      <c r="AX25" s="15">
        <f t="shared" si="10"/>
        <v>935000</v>
      </c>
      <c r="AY25" s="15">
        <f t="shared" si="11"/>
        <v>0</v>
      </c>
      <c r="AZ25" s="16">
        <f>SUM(AV25:AY25)-BF25+Z25-F25+BH25+BI25+BJ25+BK25+BL25+BM25</f>
        <v>935000</v>
      </c>
      <c r="BA25" s="58">
        <v>50000</v>
      </c>
      <c r="BB25" s="58"/>
      <c r="BC25" s="15"/>
      <c r="BD25" s="57">
        <f>IF(AZ25=0,(AZ25-BA25-BC25),(AZ25-BA25-BB25-BC25))+F25-49000</f>
        <v>836000</v>
      </c>
      <c r="BE25" s="82">
        <v>836000</v>
      </c>
      <c r="BF25" s="29">
        <f t="shared" si="6"/>
        <v>0</v>
      </c>
      <c r="BG25" s="29">
        <v>7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VLOOKUP(A26,[18]HISTOBQUEMAI23!$A$6:$G$44,3,0)</f>
        <v>0</v>
      </c>
      <c r="E26" s="9">
        <f>VLOOKUP(A26,[18]HISTOBQUEMAI23!$A$6:$G$39,4,0)</f>
        <v>104000</v>
      </c>
      <c r="F26" s="9">
        <f>VLOOKUP(A26,[18]HISTOBQUEMAI23!$A$6:$G$39,5,0)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VLOOKUP($A26,[20]TONTMAI23!$A$6:$P$35,12,0)</f>
        <v>61000</v>
      </c>
      <c r="Q26" s="2"/>
      <c r="R26" s="2"/>
      <c r="S26" s="20"/>
      <c r="T26" s="12"/>
      <c r="U26" s="17">
        <f t="shared" si="14"/>
        <v>104000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-30000</v>
      </c>
      <c r="BA26" s="58"/>
      <c r="BB26" s="58"/>
      <c r="BC26" s="15"/>
      <c r="BD26" s="57">
        <f>IF(AZ26=0,(AZ26-BA26-BC26),(AZ26-BA26-BB26-BC26))+F26+30000</f>
        <v>0</v>
      </c>
      <c r="BE26" s="82">
        <f>BD25-BE25</f>
        <v>0</v>
      </c>
      <c r="BF26" s="29">
        <f>Z26*1/100*BG26+30000</f>
        <v>30000</v>
      </c>
      <c r="BG26" s="29">
        <v>7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9">
        <f t="shared" si="0"/>
        <v>120000</v>
      </c>
      <c r="D27" s="9">
        <f>VLOOKUP(A27,[18]HISTOBQUEMAI23!$A$6:$G$44,3,0)</f>
        <v>560000</v>
      </c>
      <c r="E27" s="9">
        <f>VLOOKUP(A27,[18]HISTOBQUEMAI23!$A$6:$G$39,4,0)</f>
        <v>0</v>
      </c>
      <c r="F27" s="9">
        <f>VLOOKUP(A27,[18]HISTOBQUEMAI23!$A$6:$G$39,5,0)</f>
        <v>0</v>
      </c>
      <c r="G27" s="5">
        <f t="shared" si="7"/>
        <v>0</v>
      </c>
      <c r="H27" s="10" t="str">
        <f t="shared" si="1"/>
        <v>BANQUE</v>
      </c>
      <c r="I27" s="10">
        <v>400000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VLOOKUP($A27,[20]TONTMAI23!$A$6:$P$35,12,0)</f>
        <v>0</v>
      </c>
      <c r="Q27" s="2"/>
      <c r="R27" s="2"/>
      <c r="S27" s="20"/>
      <c r="T27" s="12"/>
      <c r="U27" s="17">
        <f t="shared" si="14"/>
        <v>440000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415000</v>
      </c>
      <c r="AT27" s="12">
        <v>120000</v>
      </c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5"/>
        <v>0</v>
      </c>
      <c r="BE27" s="82"/>
      <c r="BF27" s="29">
        <f t="shared" si="6"/>
        <v>0</v>
      </c>
      <c r="BG27" s="29">
        <v>7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VLOOKUP(A28,[18]HISTOBQUEMAI23!$A$6:$G$44,3,0)</f>
        <v>115000</v>
      </c>
      <c r="E28" s="9">
        <f>VLOOKUP(A28,[18]HISTOBQUEMAI23!$A$6:$G$39,4,0)</f>
        <v>0</v>
      </c>
      <c r="F28" s="9">
        <f>VLOOKUP(A28,[18]HISTOBQUEMAI23!$A$6:$G$39,5,0)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VLOOKUP($A28,[20]TONTMAI23!$A$6:$P$35,12,0)</f>
        <v>0</v>
      </c>
      <c r="Q28" s="2">
        <f>VLOOKUP($A28,[13]TONTMAI23!$A$6:$P$20,10,0)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5"/>
        <v>0</v>
      </c>
      <c r="BE28" s="82"/>
      <c r="BF28" s="29">
        <f t="shared" si="6"/>
        <v>0</v>
      </c>
      <c r="BG28" s="29">
        <v>7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VLOOKUP(A29,[18]HISTOBQUEMAI23!$A$6:$G$44,3,0)</f>
        <v>40000</v>
      </c>
      <c r="E29" s="9">
        <f>VLOOKUP(A29,[18]HISTOBQUEMAI23!$A$6:$G$39,4,0)</f>
        <v>0</v>
      </c>
      <c r="F29" s="9">
        <f>VLOOKUP(A29,[18]HISTOBQUEMAI23!$A$6:$G$39,5,0)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VLOOKUP($A29,[20]TONTMAI23!$A$6:$P$35,12,0)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5"/>
        <v>0</v>
      </c>
      <c r="BE29" s="82"/>
      <c r="BF29" s="29">
        <f t="shared" si="6"/>
        <v>0</v>
      </c>
      <c r="BG29" s="29">
        <v>7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VLOOKUP(A30,[18]HISTOBQUEMAI23!$A$6:$G$44,3,0)</f>
        <v>115000</v>
      </c>
      <c r="E30" s="9">
        <f>VLOOKUP(A30,[18]HISTOBQUEMAI23!$A$6:$G$39,4,0)</f>
        <v>0</v>
      </c>
      <c r="F30" s="9">
        <f>VLOOKUP(A30,[18]HISTOBQUEMAI23!$A$6:$G$39,5,0)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VLOOKUP($A30,[20]TONTMAI23!$A$6:$P$35,12,0)</f>
        <v>0</v>
      </c>
      <c r="Q30" s="2">
        <f>VLOOKUP($A30,[13]TONTMAI23!$A$6:$P$20,10,0)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5"/>
        <v>0</v>
      </c>
      <c r="BE30" s="82"/>
      <c r="BF30" s="29">
        <f t="shared" si="6"/>
        <v>0</v>
      </c>
      <c r="BG30" s="29">
        <v>7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200000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VLOOKUP(A31,[18]HISTOBQUEMAI23!$A$6:$G$44,3,0)</f>
        <v>140000</v>
      </c>
      <c r="E31" s="9">
        <f>VLOOKUP(A31,[18]HISTOBQUEMAI23!$A$6:$G$39,4,0)</f>
        <v>0</v>
      </c>
      <c r="F31" s="9">
        <f>VLOOKUP(A31,[18]HISTOBQUEMAI23!$A$6:$G$39,5,0)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VLOOKUP($A31,[20]TONTMAI23!$A$6:$P$35,12,0)</f>
        <v>0</v>
      </c>
      <c r="Q31" s="2"/>
      <c r="R31" s="2">
        <f>VLOOKUP($A31,[19]TONTMAI23!$A$6:$P$21,10,0)</f>
        <v>0</v>
      </c>
      <c r="S31" s="20"/>
      <c r="T31" s="12"/>
      <c r="U31" s="17">
        <f t="shared" si="14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>
        <v>10000</v>
      </c>
      <c r="AF31" s="12" t="s">
        <v>8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1190000</v>
      </c>
      <c r="AZ31" s="16">
        <f t="shared" si="12"/>
        <v>1190000</v>
      </c>
      <c r="BA31" s="58"/>
      <c r="BB31" s="58"/>
      <c r="BC31" s="15"/>
      <c r="BD31" s="57">
        <f t="shared" si="15"/>
        <v>1190000</v>
      </c>
      <c r="BE31" s="82">
        <v>1190000</v>
      </c>
      <c r="BF31" s="29">
        <f t="shared" si="6"/>
        <v>0</v>
      </c>
      <c r="BG31" s="29">
        <v>7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VLOOKUP(A32,[18]HISTOBQUEMAI23!$A$6:$G$44,3,0)</f>
        <v>255000</v>
      </c>
      <c r="E32" s="9">
        <f>VLOOKUP(A32,[18]HISTOBQUEMAI23!$A$6:$G$39,4,0)</f>
        <v>0</v>
      </c>
      <c r="F32" s="9">
        <f>VLOOKUP(A32,[18]HISTOBQUEMAI23!$A$6:$G$39,5,0)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VLOOKUP($A32,[20]TONTMAI23!$A$6:$P$35,12,0)</f>
        <v>0</v>
      </c>
      <c r="Q32" s="2">
        <f>VLOOKUP($A32,[13]TONTMAI23!$A$6:$P$20,10,0)</f>
        <v>140000</v>
      </c>
      <c r="R32" s="2"/>
      <c r="S32" s="20"/>
      <c r="T32" s="12"/>
      <c r="U32" s="17">
        <f t="shared" si="14"/>
        <v>255000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2000</v>
      </c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2"/>
        <v>100000</v>
      </c>
      <c r="BA32" s="58">
        <v>100000</v>
      </c>
      <c r="BB32" s="58"/>
      <c r="BC32" s="15"/>
      <c r="BD32" s="57">
        <f t="shared" si="15"/>
        <v>0</v>
      </c>
      <c r="BE32" s="82"/>
      <c r="BF32" s="29">
        <f t="shared" si="6"/>
        <v>0</v>
      </c>
      <c r="BG32" s="29">
        <v>7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9">
        <f t="shared" si="0"/>
        <v>-3000</v>
      </c>
      <c r="D33" s="9">
        <f>VLOOKUP(A33,[18]HISTOBQUEMAI23!$A$6:$G$44,3,0)</f>
        <v>0</v>
      </c>
      <c r="E33" s="9">
        <f>VLOOKUP(A33,[18]HISTOBQUEMAI23!$A$6:$G$39,4,0)</f>
        <v>40000</v>
      </c>
      <c r="F33" s="9">
        <f>VLOOKUP(A33,[18]HISTOBQUEMAI23!$A$6:$G$39,5,0)</f>
        <v>0</v>
      </c>
      <c r="G33" s="5">
        <f t="shared" si="7"/>
        <v>3000</v>
      </c>
      <c r="H33" s="10" t="str">
        <f t="shared" si="1"/>
        <v>ESPECES</v>
      </c>
      <c r="I33" s="10"/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VLOOKUP($A33,[20]TONTMAI23!$A$6:$P$35,12,0)</f>
        <v>0</v>
      </c>
      <c r="Q33" s="2"/>
      <c r="R33" s="2"/>
      <c r="S33" s="20"/>
      <c r="T33" s="12"/>
      <c r="U33" s="17">
        <f t="shared" si="14"/>
        <v>43000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>IF(H33="ECHEC",0,(K33+I33-25000))-3000</f>
        <v>12000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5"/>
        <v>0</v>
      </c>
      <c r="BE33" s="82"/>
      <c r="BF33" s="29">
        <f t="shared" si="6"/>
        <v>0</v>
      </c>
      <c r="BG33" s="29">
        <v>7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200000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VLOOKUP(A34,[18]HISTOBQUEMAI23!$A$6:$G$44,3,0)</f>
        <v>100000</v>
      </c>
      <c r="E34" s="9">
        <f>VLOOKUP(A34,[18]HISTOBQUEMAI23!$A$6:$G$39,4,0)</f>
        <v>0</v>
      </c>
      <c r="F34" s="9">
        <f>VLOOKUP(A34,[18]HISTOBQUEMAI23!$A$6:$G$39,5,0)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VLOOKUP($A34,[20]TONTMAI23!$A$6:$P$35,12,0)</f>
        <v>0</v>
      </c>
      <c r="Q34" s="2"/>
      <c r="R34" s="2"/>
      <c r="S34" s="20"/>
      <c r="T34" s="12"/>
      <c r="U34" s="17">
        <f t="shared" si="14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5"/>
        <v>0</v>
      </c>
      <c r="BE34" s="82"/>
      <c r="BF34" s="29">
        <f t="shared" si="6"/>
        <v>0</v>
      </c>
      <c r="BG34" s="29">
        <v>7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43000</v>
      </c>
      <c r="D35" s="9">
        <f>VLOOKUP(A35,[18]HISTOBQUEMAI23!$A$6:$G$44,3,0)</f>
        <v>0</v>
      </c>
      <c r="E35" s="9">
        <f>VLOOKUP(A35,[18]HISTOBQUEMAI23!$A$6:$G$39,4,0)</f>
        <v>86000</v>
      </c>
      <c r="F35" s="9">
        <f>VLOOKUP(A35,[18]HISTOBQUEMAI23!$A$6:$G$39,5,0)</f>
        <v>0</v>
      </c>
      <c r="G35" s="5">
        <f>IF(H35="ESPECES",3000,0)</f>
        <v>3000</v>
      </c>
      <c r="H35" s="10" t="str">
        <f t="shared" si="1"/>
        <v>ESPECES</v>
      </c>
      <c r="I35" s="10"/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VLOOKUP($A35,[20]TONTMAI23!$A$6:$P$35,12,0)</f>
        <v>0</v>
      </c>
      <c r="Q35" s="2"/>
      <c r="R35" s="2"/>
      <c r="S35" s="20"/>
      <c r="T35" s="12"/>
      <c r="U35" s="17">
        <f t="shared" si="14"/>
        <v>43000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IF(H35="ECHEC",0,(K35+I35-25000))+8000</f>
        <v>23000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5"/>
        <v>0</v>
      </c>
      <c r="BE35" s="82"/>
      <c r="BF35" s="29">
        <f t="shared" si="6"/>
        <v>0</v>
      </c>
      <c r="BG35" s="29">
        <v>7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VLOOKUP(A36,[18]HISTOBQUEMAI23!$A$6:$G$44,3,0)</f>
        <v>290000</v>
      </c>
      <c r="E36" s="9">
        <f>VLOOKUP(A36,[18]HISTOBQUEMAI23!$A$6:$G$39,4,0)</f>
        <v>0</v>
      </c>
      <c r="F36" s="9">
        <f>VLOOKUP(A36,[18]HISTOBQUEMAI23!$A$6:$G$39,5,0)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VLOOKUP($A36,[20]TONTMAI23!$A$6:$P$35,12,0)</f>
        <v>0</v>
      </c>
      <c r="Q36" s="2">
        <f>VLOOKUP($A36,[13]TONTMAI23!$A$6:$P$20,10,0)</f>
        <v>0</v>
      </c>
      <c r="R36" s="2">
        <f>VLOOKUP($A36,[19]TONTMAI23!$A$6:$P$21,10,0)</f>
        <v>0</v>
      </c>
      <c r="S36" s="6"/>
      <c r="T36" s="12"/>
      <c r="U36" s="17">
        <f t="shared" si="14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5"/>
        <v>0</v>
      </c>
      <c r="BE36" s="82"/>
      <c r="BF36" s="29">
        <f t="shared" si="6"/>
        <v>0</v>
      </c>
      <c r="BG36" s="29">
        <v>7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160000</v>
      </c>
      <c r="D38" s="5">
        <f t="shared" si="16"/>
        <v>4819000</v>
      </c>
      <c r="E38" s="5">
        <f t="shared" si="16"/>
        <v>476000</v>
      </c>
      <c r="F38" s="5">
        <f t="shared" si="16"/>
        <v>280000</v>
      </c>
      <c r="G38" s="5">
        <f t="shared" si="16"/>
        <v>15000</v>
      </c>
      <c r="H38" s="5">
        <f t="shared" si="16"/>
        <v>0</v>
      </c>
      <c r="I38" s="5">
        <f t="shared" si="16"/>
        <v>607000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146000</v>
      </c>
      <c r="Q38" s="5">
        <f t="shared" si="16"/>
        <v>393000</v>
      </c>
      <c r="R38" s="5">
        <f t="shared" si="16"/>
        <v>99000</v>
      </c>
      <c r="S38" s="5">
        <f t="shared" si="16"/>
        <v>0</v>
      </c>
      <c r="T38" s="5"/>
      <c r="U38" s="5">
        <f t="shared" ref="U38:AA38" si="17">SUM(U6:U37)</f>
        <v>5135000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8500</v>
      </c>
      <c r="AD38" s="5">
        <f>SUM(AD6:AD37)</f>
        <v>25000</v>
      </c>
      <c r="AE38" s="5">
        <f>SUM(AE6:AE37)</f>
        <v>10000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29500</v>
      </c>
      <c r="AJ38" s="5">
        <f t="shared" si="18"/>
        <v>288000</v>
      </c>
      <c r="AK38" s="5">
        <f t="shared" si="18"/>
        <v>450000</v>
      </c>
      <c r="AL38" s="5">
        <f t="shared" si="18"/>
        <v>1500</v>
      </c>
      <c r="AM38" s="5">
        <f t="shared" si="18"/>
        <v>6000</v>
      </c>
      <c r="AN38" s="5">
        <f t="shared" si="18"/>
        <v>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1062000</v>
      </c>
      <c r="AT38" s="5">
        <f t="shared" si="18"/>
        <v>120000</v>
      </c>
      <c r="AU38" s="5">
        <f t="shared" si="18"/>
        <v>0</v>
      </c>
      <c r="AV38" s="5">
        <f t="shared" si="18"/>
        <v>0</v>
      </c>
      <c r="AW38" s="5">
        <f t="shared" si="18"/>
        <v>921000</v>
      </c>
      <c r="AX38" s="5">
        <f t="shared" si="18"/>
        <v>2063000</v>
      </c>
      <c r="AY38" s="5">
        <f t="shared" si="18"/>
        <v>1640000</v>
      </c>
      <c r="AZ38" s="5">
        <f t="shared" si="18"/>
        <v>4617000</v>
      </c>
      <c r="BA38" s="5">
        <f t="shared" si="18"/>
        <v>476000</v>
      </c>
      <c r="BB38" s="5">
        <f t="shared" si="18"/>
        <v>280000</v>
      </c>
      <c r="BC38" s="5">
        <f t="shared" si="18"/>
        <v>0</v>
      </c>
      <c r="BD38" s="5">
        <f t="shared" si="18"/>
        <v>4818000</v>
      </c>
      <c r="BE38" s="5">
        <v>4788000</v>
      </c>
      <c r="BF38" s="5">
        <f>SUM(BF6:BF37)</f>
        <v>30000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200000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D40" s="70">
        <f>BD38-BE38</f>
        <v>30000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306000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4617000</v>
      </c>
      <c r="D43" s="9">
        <f>SUMIFS(D8:D38,H8:H38,"BANQUE")</f>
        <v>4604000</v>
      </c>
      <c r="F43" s="9">
        <f>E38</f>
        <v>476000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8931000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="112" zoomScaleNormal="112" workbookViewId="0">
      <pane xSplit="4" ySplit="5" topLeftCell="R21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0" width="15" customWidth="1"/>
    <col min="51" max="51" width="8.4257812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VLOOKUP(A6,[18]HISTOBQUEJUIN23!$A$6:$G$44,3,0)</f>
        <v>175000</v>
      </c>
      <c r="E6" s="9">
        <f>VLOOKUP(A6,[18]HISTOBQUEJUIN23!$A$6:$G$39,4,0)</f>
        <v>0</v>
      </c>
      <c r="F6" s="9">
        <f>VLOOKUP(A6,[18]HISTOBQUEJUIN23!$A$6:$G$39,5,0)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VLOOKUP($A6,[13]TONTJUIN23!$A$6:$P$20,10,0)</f>
        <v>0</v>
      </c>
      <c r="R6" s="2">
        <f>VLOOKUP($A6,[19]TONTJUIN23!$A$6:$P$21,10,0)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144000</v>
      </c>
      <c r="BA6" s="58"/>
      <c r="BB6" s="58"/>
      <c r="BC6" s="15"/>
      <c r="BD6" s="57">
        <f>IF(AZ6=0,(AZ6-BA6-BC6),(AZ6-BA6-BB6-BC6))+F6</f>
        <v>144000</v>
      </c>
      <c r="BE6" s="82">
        <v>109000</v>
      </c>
      <c r="BF6" s="29">
        <f t="shared" ref="BF6:BF36" si="6">Z6*1/100*BG6</f>
        <v>0</v>
      </c>
      <c r="BG6" s="29">
        <v>6</v>
      </c>
      <c r="BH6" s="15">
        <f>BP16</f>
        <v>24000</v>
      </c>
      <c r="BI6" s="15">
        <f>BP28</f>
        <v>20000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VLOOKUP(A7,[18]HISTOBQUEJUIN23!$A$6:$G$44,3,0)</f>
        <v>40000</v>
      </c>
      <c r="E7" s="9">
        <f>VLOOKUP(A7,[18]HISTOBQUEJUIN23!$A$6:$G$39,4,0)</f>
        <v>0</v>
      </c>
      <c r="F7" s="9">
        <f>VLOOKUP(A7,[18]HISTOBQUEJUIN23!$A$6:$G$39,5,0)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VLOOKUP($A7,[20]TONTJUIN23!$A$6:$P$35,12,0)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>
        <v>600000</v>
      </c>
      <c r="AA7" s="12" t="s">
        <v>8</v>
      </c>
      <c r="AB7" s="12"/>
      <c r="AC7" s="12"/>
      <c r="AD7" s="12"/>
      <c r="AE7" s="12"/>
      <c r="AF7" s="12"/>
      <c r="AG7" s="12"/>
      <c r="AH7" s="12"/>
      <c r="AI7" s="12">
        <v>30000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30000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594000</v>
      </c>
      <c r="BA7" s="58"/>
      <c r="BB7" s="58"/>
      <c r="BC7" s="15"/>
      <c r="BD7" s="57">
        <f t="shared" ref="BD7:BD36" si="13">IF(AZ7=0,(AZ7-BA7-BC7),(AZ7-BA7-BB7-BC7))+F7</f>
        <v>594000</v>
      </c>
      <c r="BE7" s="82">
        <f>30000+564000</f>
        <v>594000</v>
      </c>
      <c r="BF7" s="29">
        <f t="shared" si="6"/>
        <v>36000</v>
      </c>
      <c r="BG7" s="29">
        <v>6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VLOOKUP(A8,[18]HISTOBQUEJUIN23!$A$6:$G$44,3,0)+500000</f>
        <v>615000</v>
      </c>
      <c r="E8" s="9">
        <f>VLOOKUP(A8,[18]HISTOBQUEJUIN23!$A$6:$G$39,4,0)</f>
        <v>0</v>
      </c>
      <c r="F8" s="9">
        <f>VLOOKUP(A8,[18]HISTOBQUEJUIN23!$A$6:$G$39,5,0)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VLOOKUP($A8,[20]TONTJUIN23!$A$6:$P$35,12,0)</f>
        <v>0</v>
      </c>
      <c r="Q8" s="2">
        <f>VLOOKUP($A8,[13]TONTJUIN23!$A$6:$P$20,10,0)</f>
        <v>0</v>
      </c>
      <c r="R8" s="2"/>
      <c r="S8" s="20">
        <v>500000</v>
      </c>
      <c r="T8" s="12" t="s">
        <v>8</v>
      </c>
      <c r="U8" s="17">
        <f t="shared" ref="U8:U36" si="15">G8+S8++R8+P8+O8+M8+I8+K8+Q8+V8+W8</f>
        <v>615000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6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15000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VLOOKUP(A9,[18]HISTOBQUEJUIN23!$A$6:$G$44,3,0)</f>
        <v>191000</v>
      </c>
      <c r="E9" s="9">
        <f>VLOOKUP(A9,[18]HISTOBQUEJUIN23!$A$6:$G$39,4,0)</f>
        <v>0</v>
      </c>
      <c r="F9" s="9">
        <f>VLOOKUP(A9,[18]HISTOBQUEJUIN23!$A$6:$G$39,5,0)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VLOOKUP($A9,[20]TONTJUIN23!$A$6:$P$35,12,0)</f>
        <v>0</v>
      </c>
      <c r="Q9" s="2"/>
      <c r="R9" s="2">
        <f>VLOOKUP($A9,[19]TONTJUIN23!$A$6:$P$21,10,0)</f>
        <v>51000</v>
      </c>
      <c r="S9" s="20"/>
      <c r="T9" s="12"/>
      <c r="U9" s="17">
        <f t="shared" si="15"/>
        <v>191000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184000</v>
      </c>
      <c r="AL9" s="12"/>
      <c r="AM9" s="12"/>
      <c r="AN9" s="12">
        <v>1500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184000</v>
      </c>
      <c r="AZ9" s="16">
        <f t="shared" si="12"/>
        <v>184000</v>
      </c>
      <c r="BA9" s="58"/>
      <c r="BB9" s="58"/>
      <c r="BC9" s="15"/>
      <c r="BD9" s="57">
        <f t="shared" si="13"/>
        <v>184000</v>
      </c>
      <c r="BE9" s="82">
        <v>184000</v>
      </c>
      <c r="BF9" s="29">
        <f t="shared" si="6"/>
        <v>0</v>
      </c>
      <c r="BG9" s="29">
        <v>6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VLOOKUP(A10,[18]HISTOBQUEJUIN23!$A$6:$G$44,3,0)</f>
        <v>0</v>
      </c>
      <c r="E10" s="9">
        <f>VLOOKUP(A10,[18]HISTOBQUEJUIN23!$A$6:$G$39,4,0)</f>
        <v>43000</v>
      </c>
      <c r="F10" s="9">
        <f>VLOOKUP(A10,[18]HISTOBQUEJUIN23!$A$6:$G$39,5,0)</f>
        <v>0</v>
      </c>
      <c r="G10" s="5">
        <f>IF(H10="ESPECES",3000,0)</f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VLOOKUP($A10,[20]TONTJUIN23!$A$6:$P$35,12,0)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6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-500</v>
      </c>
      <c r="D11" s="9">
        <f>VLOOKUP(A11,[18]HISTOBQUEJUIN23!$A$6:$G$44,3,0)+81500</f>
        <v>251500</v>
      </c>
      <c r="E11" s="9">
        <f>VLOOKUP(A11,[18]HISTOBQUEJUIN23!$A$6:$G$39,4,0)</f>
        <v>0</v>
      </c>
      <c r="F11" s="9">
        <f>VLOOKUP(A11,[18]HISTOBQUEJUIN23!$A$6:$G$39,5,0)</f>
        <v>0</v>
      </c>
      <c r="G11" s="5">
        <f t="shared" si="7"/>
        <v>0</v>
      </c>
      <c r="H11" s="10" t="str">
        <f t="shared" si="1"/>
        <v>BANQUE</v>
      </c>
      <c r="I11" s="10">
        <v>4000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VLOOKUP($A11,[20]TONTJUIN23!$A$6:$P$35,12,0)</f>
        <v>31000</v>
      </c>
      <c r="Q11" s="2">
        <f>VLOOKUP($A11,[13]TONTJUIN23!$A$6:$P$20,10,0)</f>
        <v>102000</v>
      </c>
      <c r="R11" s="2"/>
      <c r="S11" s="20"/>
      <c r="T11" s="12"/>
      <c r="U11" s="17">
        <f t="shared" si="15"/>
        <v>252000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30000</v>
      </c>
      <c r="AJ11" s="12">
        <v>100000</v>
      </c>
      <c r="AK11" s="12"/>
      <c r="AL11" s="12">
        <v>500</v>
      </c>
      <c r="AM11" s="12">
        <v>2000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19000</v>
      </c>
      <c r="AT11" s="12"/>
      <c r="AV11" s="15"/>
      <c r="AW11" s="15">
        <f t="shared" si="9"/>
        <v>30000</v>
      </c>
      <c r="AX11" s="15">
        <f t="shared" si="10"/>
        <v>100000</v>
      </c>
      <c r="AY11" s="15">
        <f t="shared" si="11"/>
        <v>0</v>
      </c>
      <c r="AZ11" s="16">
        <f t="shared" si="12"/>
        <v>130000</v>
      </c>
      <c r="BA11" s="58">
        <v>50000</v>
      </c>
      <c r="BB11" s="58"/>
      <c r="BC11" s="15"/>
      <c r="BD11" s="57">
        <f t="shared" si="13"/>
        <v>80000</v>
      </c>
      <c r="BE11" s="82">
        <f>50000+30000</f>
        <v>80000</v>
      </c>
      <c r="BF11" s="29">
        <f t="shared" si="6"/>
        <v>0</v>
      </c>
      <c r="BG11" s="29">
        <v>6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VLOOKUP(A12,[18]HISTOBQUEJUIN23!$A$6:$G$44,3,0)+202500</f>
        <v>590500</v>
      </c>
      <c r="E12" s="9">
        <f>VLOOKUP(A12,[18]HISTOBQUEJUIN23!$A$6:$G$39,4,0)</f>
        <v>0</v>
      </c>
      <c r="F12" s="9">
        <f>VLOOKUP(A12,[18]HISTOBQUEJUIN23!$A$6:$G$39,5,0)+1000000</f>
        <v>1000000</v>
      </c>
      <c r="G12" s="5">
        <f t="shared" si="7"/>
        <v>0</v>
      </c>
      <c r="H12" s="10" t="str">
        <f t="shared" si="1"/>
        <v>BANQUE</v>
      </c>
      <c r="I12" s="10">
        <v>34500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VLOOKUP($A12,[20]TONTJUIN23!$A$6:$P$35,12,0)</f>
        <v>0</v>
      </c>
      <c r="Q12" s="2">
        <f>VLOOKUP($A12,[13]TONTJUIN23!$A$6:$P$20,10,0)</f>
        <v>39000</v>
      </c>
      <c r="R12" s="2">
        <f>VLOOKUP($A12,[19]TONTJUIN23!$A$6:$P$21,10,0)</f>
        <v>202000</v>
      </c>
      <c r="S12" s="20">
        <v>1000000</v>
      </c>
      <c r="T12" s="12" t="s">
        <v>8</v>
      </c>
      <c r="U12" s="17">
        <f t="shared" si="15"/>
        <v>1590500</v>
      </c>
      <c r="V12" s="12"/>
      <c r="W12" s="12"/>
      <c r="X12" s="12"/>
      <c r="Y12" s="12"/>
      <c r="Z12" s="12">
        <v>705000</v>
      </c>
      <c r="AA12" s="12" t="s">
        <v>8</v>
      </c>
      <c r="AB12" s="12"/>
      <c r="AC12" s="12">
        <v>5000</v>
      </c>
      <c r="AD12" s="12"/>
      <c r="AE12" s="12"/>
      <c r="AF12" s="12"/>
      <c r="AG12" s="12"/>
      <c r="AH12" s="12"/>
      <c r="AI12" s="12">
        <v>30000</v>
      </c>
      <c r="AJ12" s="12"/>
      <c r="AK12" s="12"/>
      <c r="AL12" s="12">
        <v>500</v>
      </c>
      <c r="AM12" s="12"/>
      <c r="AN12" s="12"/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49500</v>
      </c>
      <c r="AT12" s="12"/>
      <c r="AV12" s="15"/>
      <c r="AW12" s="15">
        <f t="shared" si="9"/>
        <v>325000</v>
      </c>
      <c r="AX12" s="15">
        <f t="shared" si="10"/>
        <v>0</v>
      </c>
      <c r="AY12" s="15">
        <f t="shared" si="11"/>
        <v>0</v>
      </c>
      <c r="AZ12" s="16">
        <f t="shared" si="12"/>
        <v>1800</v>
      </c>
      <c r="BA12" s="58"/>
      <c r="BB12" s="58"/>
      <c r="BC12" s="15"/>
      <c r="BD12" s="57">
        <f>IF(AZ12=0,(AZ12-BA12-BC12),(AZ12-BA12-BB12-BC12))+F12-1001800</f>
        <v>0</v>
      </c>
      <c r="BE12" s="82"/>
      <c r="BF12" s="29">
        <f t="shared" si="6"/>
        <v>28200</v>
      </c>
      <c r="BG12" s="29">
        <v>4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VLOOKUP(A13,[18]HISTOBQUEJUIN23!$A$6:$G$44,3,0)</f>
        <v>40000</v>
      </c>
      <c r="E13" s="9">
        <f>VLOOKUP(A13,[18]HISTOBQUEJUIN23!$A$6:$G$39,4,0)</f>
        <v>0</v>
      </c>
      <c r="F13" s="9">
        <f>VLOOKUP(A13,[18]HISTOBQUEJUIN23!$A$6:$G$39,5,0)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VLOOKUP($A13,[20]TONTJUIN23!$A$6:$P$35,12,0)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6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VLOOKUP(A14,[18]HISTOBQUEJUIN23!$A$6:$G$44,3,0)</f>
        <v>40000</v>
      </c>
      <c r="E14" s="9">
        <f>VLOOKUP(A14,[18]HISTOBQUEJUIN23!$A$6:$G$39,4,0)</f>
        <v>0</v>
      </c>
      <c r="F14" s="9">
        <f>VLOOKUP(A14,[18]HISTOBQUEJUIN23!$A$6:$G$39,5,0)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VLOOKUP($A14,[20]TONTJUIN23!$A$6:$P$35,12,0)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6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VLOOKUP(A15,[18]HISTOBQUEJUIN23!$A$6:$G$44,3,0)</f>
        <v>115000</v>
      </c>
      <c r="E15" s="9">
        <f>VLOOKUP(A15,[18]HISTOBQUEJUIN23!$A$6:$G$39,4,0)</f>
        <v>0</v>
      </c>
      <c r="F15" s="9">
        <f>VLOOKUP(A15,[18]HISTOBQUEJUIN23!$A$6:$G$39,5,0)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VLOOKUP($A15,[20]TONTJUIN23!$A$6:$P$35,12,0)</f>
        <v>0</v>
      </c>
      <c r="Q15" s="2">
        <f>VLOOKUP($A15,[13]TONTJUIN23!$A$6:$P$20,10,0)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6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VLOOKUP(A16,[18]HISTOBQUEJUIN23!$A$6:$G$44,3,0)</f>
        <v>250000</v>
      </c>
      <c r="E16" s="9">
        <f>VLOOKUP(A16,[18]HISTOBQUEJUIN23!$A$6:$G$39,4,0)</f>
        <v>0</v>
      </c>
      <c r="F16" s="9">
        <f>VLOOKUP(A16,[18]HISTOBQUEJUIN23!$A$6:$G$39,5,0)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VLOOKUP($A16,[20]TONTJUIN23!$A$6:$P$35,12,0)</f>
        <v>0</v>
      </c>
      <c r="Q16" s="2">
        <f>VLOOKUP($A16,[13]TONTJUIN23!$A$6:$P$20,10,0)</f>
        <v>0</v>
      </c>
      <c r="R16" s="2">
        <f>VLOOKUP($A16,[19]TONTJUIN23!$A$6:$P$21,10,0)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6</v>
      </c>
      <c r="BH16" s="15"/>
      <c r="BI16" s="15"/>
      <c r="BJ16" s="15"/>
      <c r="BK16" s="15"/>
      <c r="BL16" s="61"/>
      <c r="BN16" s="62" t="s">
        <v>142</v>
      </c>
      <c r="BP16" s="62">
        <f>SUM(BP6:BP15)</f>
        <v>24000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VLOOKUP(A17,[18]HISTOBQUEJUIN23!$A$6:$G$44,3,0)</f>
        <v>140000</v>
      </c>
      <c r="E17" s="9">
        <f>VLOOKUP(A17,[18]HISTOBQUEJUIN23!$A$6:$G$39,4,0)</f>
        <v>0</v>
      </c>
      <c r="F17" s="9">
        <f>VLOOKUP(A17,[18]HISTOBQUEJUIN23!$A$6:$G$39,5,0)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VLOOKUP($A17,[20]TONTJUIN23!$A$6:$P$35,12,0)</f>
        <v>0</v>
      </c>
      <c r="Q17" s="2"/>
      <c r="R17" s="2">
        <f>VLOOKUP($A17,[19]TONTJUIN23!$A$6:$P$21,10,0)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6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VLOOKUP(A18,[18]HISTOBQUEJUIN23!$A$6:$G$44,3,0)</f>
        <v>1215000</v>
      </c>
      <c r="E18" s="9">
        <f>VLOOKUP(A18,[18]HISTOBQUEJUIN23!$A$6:$G$39,4,0)</f>
        <v>0</v>
      </c>
      <c r="F18" s="9">
        <f>VLOOKUP(A18,[18]HISTOBQUEJUIN23!$A$6:$G$39,5,0)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VLOOKUP($A18,[20]TONTJUIN23!$A$6:$P$35,12,0)</f>
        <v>0</v>
      </c>
      <c r="Q18" s="2">
        <f>VLOOKUP($A18,[13]TONTJUIN23!$A$6:$P$20,10,0)</f>
        <v>0</v>
      </c>
      <c r="R18" s="2">
        <f>VLOOKUP($A18,[19]TONTJUIN23!$A$6:$P$21,10,0)</f>
        <v>0</v>
      </c>
      <c r="S18" s="20">
        <v>1000000</v>
      </c>
      <c r="T18" s="12" t="s">
        <v>8</v>
      </c>
      <c r="U18" s="17">
        <f t="shared" si="15"/>
        <v>1215000</v>
      </c>
      <c r="V18" s="12"/>
      <c r="W18" s="12"/>
      <c r="X18" s="12"/>
      <c r="Y18" s="12"/>
      <c r="Z18" s="12">
        <v>250000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240000</v>
      </c>
      <c r="BA18" s="58"/>
      <c r="BB18" s="58"/>
      <c r="BC18" s="15"/>
      <c r="BD18" s="57">
        <f t="shared" si="13"/>
        <v>240000</v>
      </c>
      <c r="BE18" s="82">
        <v>240000</v>
      </c>
      <c r="BF18" s="29">
        <f t="shared" si="6"/>
        <v>10000</v>
      </c>
      <c r="BG18" s="29">
        <v>4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VLOOKUP(A19,[18]HISTOBQUEJUIN23!$A$6:$G$44,3,0)</f>
        <v>40000</v>
      </c>
      <c r="E19" s="9">
        <f>VLOOKUP(A19,[18]HISTOBQUEJUIN23!$A$6:$G$39,4,0)</f>
        <v>0</v>
      </c>
      <c r="F19" s="9">
        <f>VLOOKUP(A19,[18]HISTOBQUEJUIN23!$A$6:$G$39,5,0)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VLOOKUP($A19,[20]TONTJUIN23!$A$6:$P$35,12,0)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6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>D20+E20+F20-U20-BB20-202000-81500-500000</f>
        <v>0</v>
      </c>
      <c r="D20" s="9">
        <f>VLOOKUP(A20,[18]HISTOBQUEJUIN23!$A$6:$G$44,3,0)-500</f>
        <v>997500</v>
      </c>
      <c r="E20" s="9">
        <f>VLOOKUP(A20,[18]HISTOBQUEJUIN23!$A$6:$G$39,4,0)</f>
        <v>0</v>
      </c>
      <c r="F20" s="9">
        <f>VLOOKUP(A20,[18]HISTOBQUEJUIN23!$A$6:$G$39,5,0)</f>
        <v>0</v>
      </c>
      <c r="G20" s="5">
        <f t="shared" si="7"/>
        <v>0</v>
      </c>
      <c r="H20" s="10" t="str">
        <f t="shared" si="1"/>
        <v>BANQUE</v>
      </c>
      <c r="I20" s="10">
        <v>-1000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VLOOKUP($A20,[20]TONTJUIN23!$A$6:$P$35,12,0)</f>
        <v>0</v>
      </c>
      <c r="Q20" s="2">
        <f>VLOOKUP($A20,[13]TONTJUIN23!$A$6:$P$20,10,0)</f>
        <v>0</v>
      </c>
      <c r="R20" s="2">
        <f>VLOOKUP($A20,[19]TONTJUIN23!$A$6:$P$21,10,0)</f>
        <v>0</v>
      </c>
      <c r="S20" s="20"/>
      <c r="T20" s="12"/>
      <c r="U20" s="17">
        <f t="shared" si="15"/>
        <v>214000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100000</v>
      </c>
      <c r="AK20" s="12">
        <v>200000</v>
      </c>
      <c r="AL20" s="12"/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14000</v>
      </c>
      <c r="AT20" s="12"/>
      <c r="AV20" s="15"/>
      <c r="AW20" s="15">
        <f t="shared" si="9"/>
        <v>0</v>
      </c>
      <c r="AX20" s="15">
        <f t="shared" si="10"/>
        <v>100000</v>
      </c>
      <c r="AY20" s="15">
        <f t="shared" si="11"/>
        <v>200000</v>
      </c>
      <c r="AZ20" s="16">
        <f t="shared" si="12"/>
        <v>300000</v>
      </c>
      <c r="BA20" s="58">
        <v>9000</v>
      </c>
      <c r="BB20" s="58"/>
      <c r="BC20" s="15"/>
      <c r="BD20" s="57">
        <f t="shared" si="13"/>
        <v>291000</v>
      </c>
      <c r="BE20" s="82">
        <f>91000+200000</f>
        <v>291000</v>
      </c>
      <c r="BF20" s="29">
        <f t="shared" si="6"/>
        <v>0</v>
      </c>
      <c r="BG20" s="29">
        <v>6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VLOOKUP(A21,[18]HISTOBQUEJUIN23!$A$6:$G$44,3,0)</f>
        <v>40000</v>
      </c>
      <c r="E21" s="9">
        <f>VLOOKUP(A21,[18]HISTOBQUEJUIN23!$A$6:$G$39,4,0)</f>
        <v>0</v>
      </c>
      <c r="F21" s="9">
        <f>VLOOKUP(A21,[18]HISTOBQUEJUIN23!$A$6:$G$39,5,0)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VLOOKUP($A21,[20]TONTJUIN23!$A$6:$P$35,12,0)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6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VLOOKUP(A22,[18]HISTOBQUEJUIN23!$A$6:$G$44,3,0)</f>
        <v>115000</v>
      </c>
      <c r="E22" s="9">
        <f>VLOOKUP(A22,[18]HISTOBQUEJUIN23!$A$6:$G$39,4,0)</f>
        <v>0</v>
      </c>
      <c r="F22" s="9">
        <f>VLOOKUP(A22,[18]HISTOBQUEJUIN23!$A$6:$G$39,5,0)</f>
        <v>70000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VLOOKUP($A22,[20]TONTJUIN23!$A$6:$P$35,12,0)</f>
        <v>0</v>
      </c>
      <c r="Q22" s="2">
        <f>VLOOKUP($A22,[13]TONTJUIN23!$A$6:$P$20,10,0)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>
        <v>4500</v>
      </c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295500</v>
      </c>
      <c r="AX22" s="15">
        <f t="shared" si="10"/>
        <v>0</v>
      </c>
      <c r="AY22" s="15">
        <f t="shared" si="11"/>
        <v>0</v>
      </c>
      <c r="AZ22" s="16">
        <f t="shared" si="12"/>
        <v>225500</v>
      </c>
      <c r="BA22" s="58"/>
      <c r="BB22" s="58">
        <v>70000</v>
      </c>
      <c r="BC22" s="15"/>
      <c r="BD22" s="57">
        <f t="shared" si="13"/>
        <v>225500</v>
      </c>
      <c r="BE22" s="82">
        <f>225500</f>
        <v>225500</v>
      </c>
      <c r="BF22" s="29">
        <f t="shared" si="6"/>
        <v>0</v>
      </c>
      <c r="BG22" s="29">
        <v>6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VLOOKUP(A23,[18]HISTOBQUEJUIN23!$A$6:$G$44,3,0)</f>
        <v>452000</v>
      </c>
      <c r="E23" s="9">
        <f>VLOOKUP(A23,[18]HISTOBQUEJUIN23!$A$6:$G$39,4,0)</f>
        <v>0</v>
      </c>
      <c r="F23" s="9">
        <f>VLOOKUP(A23,[18]HISTOBQUEJUIN23!$A$6:$G$39,5,0)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VLOOKUP($A23,[20]TONTJUIN23!$A$6:$P$35,12,0)</f>
        <v>0</v>
      </c>
      <c r="Q23" s="2"/>
      <c r="R23" s="2">
        <f>VLOOKUP($A23,[19]TONTJUIN23!$A$6:$P$21,10,0)</f>
        <v>202000</v>
      </c>
      <c r="S23" s="20"/>
      <c r="T23" s="12"/>
      <c r="U23" s="17">
        <f t="shared" si="15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>
        <v>10000</v>
      </c>
      <c r="AF23" s="12" t="s">
        <v>8</v>
      </c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1390000</v>
      </c>
      <c r="AZ23" s="16">
        <f t="shared" si="12"/>
        <v>1390000</v>
      </c>
      <c r="BA23" s="58"/>
      <c r="BB23" s="58"/>
      <c r="BC23" s="15"/>
      <c r="BD23" s="57">
        <f t="shared" si="13"/>
        <v>1390000</v>
      </c>
      <c r="BE23" s="82">
        <f>1190000+200000</f>
        <v>1390000</v>
      </c>
      <c r="BF23" s="29">
        <f t="shared" si="6"/>
        <v>0</v>
      </c>
      <c r="BG23" s="29">
        <v>6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VLOOKUP(A24,[18]HISTOBQUEJUIN23!$A$6:$G$44,3,0)</f>
        <v>215000</v>
      </c>
      <c r="E24" s="9">
        <f>VLOOKUP(A24,[18]HISTOBQUEJUIN23!$A$6:$G$39,4,0)</f>
        <v>0</v>
      </c>
      <c r="F24" s="9">
        <f>VLOOKUP(A24,[18]HISTOBQUEJUIN23!$A$6:$G$39,5,0)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VLOOKUP($A24,[20]TONTJUIN23!$A$6:$P$35,12,0)</f>
        <v>0</v>
      </c>
      <c r="Q24" s="2">
        <f>VLOOKUP($A24,[13]TONTJUIN23!$A$6:$P$20,10,0)</f>
        <v>0</v>
      </c>
      <c r="R24" s="2">
        <f>VLOOKUP($A24,[19]TONTJUIN23!$A$6:$P$21,10,0)</f>
        <v>0</v>
      </c>
      <c r="S24" s="20"/>
      <c r="T24" s="12"/>
      <c r="U24" s="17">
        <f t="shared" si="15"/>
        <v>215000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>
        <v>60000</v>
      </c>
      <c r="AJ24" s="12"/>
      <c r="AK24" s="12"/>
      <c r="AL24" s="12">
        <v>1000</v>
      </c>
      <c r="AM24" s="12"/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60000</v>
      </c>
      <c r="AX24" s="15">
        <f t="shared" si="10"/>
        <v>0</v>
      </c>
      <c r="AY24" s="15">
        <f t="shared" si="11"/>
        <v>0</v>
      </c>
      <c r="AZ24" s="16">
        <f t="shared" si="12"/>
        <v>60000</v>
      </c>
      <c r="BA24" s="58"/>
      <c r="BB24" s="58"/>
      <c r="BC24" s="15"/>
      <c r="BD24" s="57">
        <f t="shared" si="13"/>
        <v>60000</v>
      </c>
      <c r="BE24" s="82">
        <v>60000</v>
      </c>
      <c r="BF24" s="29">
        <f t="shared" si="6"/>
        <v>0</v>
      </c>
      <c r="BG24" s="29">
        <v>6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VLOOKUP(A25,[18]HISTOBQUEJUIN23!$A$6:$G$44,3,0)</f>
        <v>350000</v>
      </c>
      <c r="E25" s="9">
        <f>VLOOKUP(A25,[18]HISTOBQUEJUIN23!$A$6:$G$39,4,0)</f>
        <v>0</v>
      </c>
      <c r="F25" s="9">
        <f>VLOOKUP(A25,[18]HISTOBQUEJUIN23!$A$6:$G$39,5,0)</f>
        <v>0</v>
      </c>
      <c r="G25" s="5">
        <f t="shared" si="7"/>
        <v>0</v>
      </c>
      <c r="H25" s="10" t="str">
        <f t="shared" si="1"/>
        <v>BANQUE</v>
      </c>
      <c r="I25" s="10">
        <v>9000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VLOOKUP($A25,[20]TONTJUIN23!$A$6:$P$35,12,0)</f>
        <v>0</v>
      </c>
      <c r="Q25" s="2">
        <f>VLOOKUP($A25,[13]TONTJUIN23!$A$6:$P$20,10,0)</f>
        <v>51000</v>
      </c>
      <c r="R25" s="2">
        <f>VLOOKUP($A25,[19]TONTJUIN23!$A$6:$P$21,10,0)</f>
        <v>0</v>
      </c>
      <c r="S25" s="20"/>
      <c r="T25" s="12"/>
      <c r="U25" s="17">
        <f t="shared" si="15"/>
        <v>350000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>
        <v>100000</v>
      </c>
      <c r="AK25" s="12"/>
      <c r="AL25" s="12"/>
      <c r="AM25" s="12">
        <v>2000</v>
      </c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24000</v>
      </c>
      <c r="AT25" s="12"/>
      <c r="AV25" s="15"/>
      <c r="AW25" s="15">
        <f t="shared" si="9"/>
        <v>0</v>
      </c>
      <c r="AX25" s="15">
        <f t="shared" si="10"/>
        <v>100000</v>
      </c>
      <c r="AY25" s="15">
        <f t="shared" si="11"/>
        <v>0</v>
      </c>
      <c r="AZ25" s="16">
        <f t="shared" si="12"/>
        <v>100000</v>
      </c>
      <c r="BA25" s="58"/>
      <c r="BB25" s="58"/>
      <c r="BC25" s="15"/>
      <c r="BD25" s="57">
        <f t="shared" si="13"/>
        <v>100000</v>
      </c>
      <c r="BE25" s="82">
        <v>100000</v>
      </c>
      <c r="BF25" s="29">
        <f t="shared" si="6"/>
        <v>0</v>
      </c>
      <c r="BG25" s="29">
        <v>6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VLOOKUP(A26,[18]HISTOBQUEJUIN23!$A$6:$G$44,3,0)</f>
        <v>40000</v>
      </c>
      <c r="E26" s="9">
        <f>VLOOKUP(A26,[18]HISTOBQUEJUIN23!$A$6:$G$39,4,0)</f>
        <v>0</v>
      </c>
      <c r="F26" s="9">
        <f>VLOOKUP(A26,[18]HISTOBQUEJUIN23!$A$6:$G$39,5,0)</f>
        <v>0</v>
      </c>
      <c r="G26" s="5">
        <f t="shared" si="7"/>
        <v>0</v>
      </c>
      <c r="H26" s="10" t="str">
        <f t="shared" si="1"/>
        <v>BANQUE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VLOOKUP($A26,[20]TONTJUIN23!$A$6:$P$35,12,0)</f>
        <v>0</v>
      </c>
      <c r="Q26" s="2"/>
      <c r="R26" s="2"/>
      <c r="S26" s="20"/>
      <c r="T26" s="12"/>
      <c r="U26" s="17">
        <f t="shared" si="15"/>
        <v>40000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6</v>
      </c>
      <c r="BH26" s="15"/>
      <c r="BI26" s="15"/>
      <c r="BJ26" s="15"/>
      <c r="BK26" s="15"/>
      <c r="BL26" s="61"/>
      <c r="BN26" t="s">
        <v>192</v>
      </c>
      <c r="BO26" t="s">
        <v>143</v>
      </c>
      <c r="BP26" s="62">
        <v>20000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VLOOKUP(A27,[18]HISTOBQUEJUIN23!$A$6:$G$44,3,0)</f>
        <v>45000</v>
      </c>
      <c r="E27" s="9">
        <f>VLOOKUP(A27,[18]HISTOBQUEJUIN23!$A$6:$G$39,4,0)</f>
        <v>0</v>
      </c>
      <c r="F27" s="9">
        <f>VLOOKUP(A27,[18]HISTOBQUEJUIN23!$A$6:$G$39,5,0)</f>
        <v>0</v>
      </c>
      <c r="G27" s="5">
        <f t="shared" si="7"/>
        <v>0</v>
      </c>
      <c r="H27" s="10" t="str">
        <f t="shared" si="1"/>
        <v>BANQUE</v>
      </c>
      <c r="I27" s="10">
        <v>5000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VLOOKUP($A27,[20]TONTJUIN23!$A$6:$P$35,12,0)</f>
        <v>0</v>
      </c>
      <c r="Q27" s="2"/>
      <c r="R27" s="2"/>
      <c r="S27" s="20"/>
      <c r="T27" s="12"/>
      <c r="U27" s="17">
        <f t="shared" si="15"/>
        <v>45000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20000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6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VLOOKUP(A28,[18]HISTOBQUEJUIN23!$A$6:$G$44,3,0)</f>
        <v>115000</v>
      </c>
      <c r="E28" s="9">
        <f>VLOOKUP(A28,[18]HISTOBQUEJUIN23!$A$6:$G$39,4,0)</f>
        <v>0</v>
      </c>
      <c r="F28" s="9">
        <f>VLOOKUP(A28,[18]HISTOBQUEJUIN23!$A$6:$G$39,5,0)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VLOOKUP($A28,[20]TONTJUIN23!$A$6:$P$35,12,0)</f>
        <v>0</v>
      </c>
      <c r="Q28" s="2">
        <f>VLOOKUP($A28,[13]TONTJUIN23!$A$6:$P$20,10,0)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6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20000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VLOOKUP(A29,[18]HISTOBQUEJUIN23!$A$6:$G$44,3,0)</f>
        <v>40000</v>
      </c>
      <c r="E29" s="9">
        <f>VLOOKUP(A29,[18]HISTOBQUEJUIN23!$A$6:$G$39,4,0)</f>
        <v>0</v>
      </c>
      <c r="F29" s="9">
        <f>VLOOKUP(A29,[18]HISTOBQUEJUIN23!$A$6:$G$39,5,0)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VLOOKUP($A29,[20]TONTJUIN23!$A$6:$P$35,12,0)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6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VLOOKUP(A30,[18]HISTOBQUEJUIN23!$A$6:$G$44,3,0)</f>
        <v>115000</v>
      </c>
      <c r="E30" s="9">
        <f>VLOOKUP(A30,[18]HISTOBQUEJUIN23!$A$6:$G$39,4,0)</f>
        <v>0</v>
      </c>
      <c r="F30" s="9">
        <f>VLOOKUP(A30,[18]HISTOBQUEJUIN23!$A$6:$G$39,5,0)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VLOOKUP($A30,[20]TONTJUIN23!$A$6:$P$35,12,0)</f>
        <v>0</v>
      </c>
      <c r="Q30" s="2">
        <f>VLOOKUP($A30,[13]TONTJUIN23!$A$6:$P$20,10,0)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VLOOKUP(A31,[18]HISTOBQUEJUIN23!$A$6:$G$44,3,0)</f>
        <v>140000</v>
      </c>
      <c r="E31" s="9">
        <f>VLOOKUP(A31,[18]HISTOBQUEJUIN23!$A$6:$G$39,4,0)</f>
        <v>0</v>
      </c>
      <c r="F31" s="9">
        <f>VLOOKUP(A31,[18]HISTOBQUEJUIN23!$A$6:$G$39,5,0)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VLOOKUP($A31,[20]TONTJUIN23!$A$6:$P$35,12,0)</f>
        <v>0</v>
      </c>
      <c r="Q31" s="2"/>
      <c r="R31" s="2">
        <f>VLOOKUP($A31,[19]TONTJUIN23!$A$6:$P$21,10,0)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VLOOKUP(A32,[18]HISTOBQUEJUIN23!$A$6:$G$44,3,0)</f>
        <v>217000</v>
      </c>
      <c r="E32" s="9">
        <f>VLOOKUP(A32,[18]HISTOBQUEJUIN23!$A$6:$G$39,4,0)</f>
        <v>0</v>
      </c>
      <c r="F32" s="9">
        <f>VLOOKUP(A32,[18]HISTOBQUEJUIN23!$A$6:$G$39,5,0)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VLOOKUP($A32,[20]TONTJUIN23!$A$6:$P$35,12,0)</f>
        <v>0</v>
      </c>
      <c r="Q32" s="2">
        <f>VLOOKUP($A32,[13]TONTJUIN23!$A$6:$P$20,10,0)</f>
        <v>102000</v>
      </c>
      <c r="R32" s="2"/>
      <c r="S32" s="20"/>
      <c r="T32" s="12"/>
      <c r="U32" s="17">
        <f t="shared" si="15"/>
        <v>217000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2000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2"/>
        <v>100000</v>
      </c>
      <c r="BA32" s="58"/>
      <c r="BB32" s="58"/>
      <c r="BC32" s="15"/>
      <c r="BD32" s="57">
        <f t="shared" si="13"/>
        <v>100000</v>
      </c>
      <c r="BE32" s="82">
        <v>100000</v>
      </c>
      <c r="BF32" s="29">
        <f t="shared" si="6"/>
        <v>0</v>
      </c>
      <c r="BG32" s="29">
        <v>6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VLOOKUP(A33,[18]HISTOBQUEJUIN23!$A$6:$G$44,3,0)</f>
        <v>40000</v>
      </c>
      <c r="E33" s="9">
        <f>VLOOKUP(A33,[18]HISTOBQUEJUIN23!$A$6:$G$39,4,0)</f>
        <v>0</v>
      </c>
      <c r="F33" s="9">
        <f>VLOOKUP(A33,[18]HISTOBQUEJUIN23!$A$6:$G$39,5,0)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VLOOKUP($A33,[20]TONTJUIN23!$A$6:$P$35,12,0)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6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VLOOKUP(A34,[18]HISTOBQUEJUIN23!$A$6:$G$44,3,0)</f>
        <v>100000</v>
      </c>
      <c r="E34" s="9">
        <f>VLOOKUP(A34,[18]HISTOBQUEJUIN23!$A$6:$G$39,4,0)</f>
        <v>0</v>
      </c>
      <c r="F34" s="9">
        <f>VLOOKUP(A34,[18]HISTOBQUEJUIN23!$A$6:$G$39,5,0)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VLOOKUP($A34,[20]TONTJUIN23!$A$6:$P$35,12,0)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6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VLOOKUP(A35,[18]HISTOBQUEJUIN23!$A$6:$G$44,3,0)</f>
        <v>40000</v>
      </c>
      <c r="E35" s="9">
        <f>VLOOKUP(A35,[18]HISTOBQUEJUIN23!$A$6:$G$39,4,0)</f>
        <v>0</v>
      </c>
      <c r="F35" s="9">
        <f>VLOOKUP(A35,[18]HISTOBQUEJUIN23!$A$6:$G$39,5,0)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VLOOKUP($A35,[20]TONTJUIN23!$A$6:$P$35,12,0)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6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VLOOKUP(A36,[18]HISTOBQUEJUIN23!$A$6:$G$44,3,0)</f>
        <v>290000</v>
      </c>
      <c r="E36" s="9">
        <f>VLOOKUP(A36,[18]HISTOBQUEJUIN23!$A$6:$G$39,4,0)</f>
        <v>0</v>
      </c>
      <c r="F36" s="9">
        <f>VLOOKUP(A36,[18]HISTOBQUEJUIN23!$A$6:$G$39,5,0)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VLOOKUP($A36,[20]TONTJUIN23!$A$6:$P$35,12,0)</f>
        <v>0</v>
      </c>
      <c r="Q36" s="2">
        <f>VLOOKUP($A36,[13]TONTJUIN23!$A$6:$P$20,10,0)</f>
        <v>0</v>
      </c>
      <c r="R36" s="2">
        <f>VLOOKUP($A36,[19]TONTJUIN23!$A$6:$P$21,10,0)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>
        <v>7500</v>
      </c>
      <c r="AE36" s="12">
        <v>10000</v>
      </c>
      <c r="AF36" s="12" t="s">
        <v>8</v>
      </c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892500</v>
      </c>
      <c r="AY36" s="15">
        <f t="shared" si="11"/>
        <v>1190000</v>
      </c>
      <c r="AZ36" s="16">
        <f t="shared" si="12"/>
        <v>2082500</v>
      </c>
      <c r="BA36" s="58"/>
      <c r="BB36" s="58"/>
      <c r="BC36" s="15"/>
      <c r="BD36" s="57">
        <f t="shared" si="13"/>
        <v>2082500</v>
      </c>
      <c r="BE36" s="82">
        <f>892500+1190000</f>
        <v>2082500</v>
      </c>
      <c r="BF36" s="29">
        <f t="shared" si="6"/>
        <v>0</v>
      </c>
      <c r="BG36" s="29">
        <v>6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-500</v>
      </c>
      <c r="D38" s="5">
        <f t="shared" si="16"/>
        <v>7054500</v>
      </c>
      <c r="E38" s="5">
        <f t="shared" si="16"/>
        <v>43000</v>
      </c>
      <c r="F38" s="5">
        <f t="shared" si="16"/>
        <v>1070000</v>
      </c>
      <c r="G38" s="5">
        <f t="shared" si="16"/>
        <v>3000</v>
      </c>
      <c r="H38" s="5">
        <f t="shared" si="16"/>
        <v>0</v>
      </c>
      <c r="I38" s="5">
        <f t="shared" si="16"/>
        <v>156500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31000</v>
      </c>
      <c r="Q38" s="5">
        <f t="shared" si="16"/>
        <v>294000</v>
      </c>
      <c r="R38" s="5">
        <f t="shared" si="16"/>
        <v>455000</v>
      </c>
      <c r="S38" s="5">
        <f t="shared" si="16"/>
        <v>2500000</v>
      </c>
      <c r="T38" s="5"/>
      <c r="U38" s="5">
        <f t="shared" ref="U38:AA38" si="17">SUM(U6:U37)</f>
        <v>7314500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1555000</v>
      </c>
      <c r="AA38" s="5">
        <f t="shared" si="17"/>
        <v>0</v>
      </c>
      <c r="AB38" s="5"/>
      <c r="AC38" s="5">
        <f>SUM(AC6:AC37)</f>
        <v>9500</v>
      </c>
      <c r="AD38" s="5">
        <f>SUM(AD6:AD37)</f>
        <v>7500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150000</v>
      </c>
      <c r="AJ38" s="5">
        <f t="shared" si="18"/>
        <v>400000</v>
      </c>
      <c r="AK38" s="5">
        <f t="shared" si="18"/>
        <v>584000</v>
      </c>
      <c r="AL38" s="5">
        <f t="shared" si="18"/>
        <v>2500</v>
      </c>
      <c r="AM38" s="5">
        <f t="shared" si="18"/>
        <v>8000</v>
      </c>
      <c r="AN38" s="5">
        <f t="shared" si="18"/>
        <v>5500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606500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740500</v>
      </c>
      <c r="AX38" s="5">
        <f t="shared" si="18"/>
        <v>1292500</v>
      </c>
      <c r="AY38" s="5">
        <f t="shared" si="18"/>
        <v>2964000</v>
      </c>
      <c r="AZ38" s="5">
        <f t="shared" si="18"/>
        <v>5551800</v>
      </c>
      <c r="BA38" s="5">
        <f t="shared" si="18"/>
        <v>59000</v>
      </c>
      <c r="BB38" s="5">
        <f t="shared" si="18"/>
        <v>70000</v>
      </c>
      <c r="BC38" s="5">
        <f t="shared" si="18"/>
        <v>0</v>
      </c>
      <c r="BD38" s="5">
        <f t="shared" si="18"/>
        <v>5491000</v>
      </c>
      <c r="BE38" s="5">
        <f t="shared" si="18"/>
        <v>5456000</v>
      </c>
      <c r="BF38" s="5">
        <f>SUM(BF6:BF37)</f>
        <v>74200</v>
      </c>
      <c r="BH38" s="5">
        <f t="shared" ref="BH38:BL38" si="19">SUM(BH6:BH37)</f>
        <v>24000</v>
      </c>
      <c r="BI38" s="5">
        <f t="shared" si="19"/>
        <v>20000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 t="s">
        <v>180</v>
      </c>
      <c r="BA39" s="5">
        <v>94000</v>
      </c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A40" s="70">
        <f>BA39-BA38</f>
        <v>35000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144000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5551800</v>
      </c>
      <c r="D43" s="9">
        <f>SUMIFS(D8:D38,H8:H38,"BANQUE")</f>
        <v>6839500</v>
      </c>
      <c r="F43" s="9">
        <f>E38</f>
        <v>43000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10365600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F22" activePane="bottomRight" state="frozen"/>
      <selection activeCell="C36" sqref="C36"/>
      <selection pane="topRight" activeCell="C36" sqref="C36"/>
      <selection pane="bottomLeft" activeCell="C36" sqref="C36"/>
      <selection pane="bottomRight" activeCell="I29" sqref="I29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8" customWidth="1"/>
    <col min="58" max="58" width="15" bestFit="1" customWidth="1"/>
    <col min="64" max="64" width="12.42578125" bestFit="1" customWidth="1"/>
    <col min="65" max="65" width="14.85546875" customWidth="1"/>
    <col min="66" max="66" width="14.4257812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VLOOKUP(A6,[18]HISTOBQUESEPT23!$A$6:$G$44,3,0)</f>
        <v>175000</v>
      </c>
      <c r="E6" s="9">
        <f>VLOOKUP(A6,[18]HISTOBQUESEPT23!$A$6:$G$39,4,0)</f>
        <v>0</v>
      </c>
      <c r="F6" s="9">
        <f>VLOOKUP(A6,[18]HISTOBQUESEPT23!$A$6:$G$39,5,0)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VLOOKUP($A6,[13]TONTSEPT23!$A$6:$P$20,10,0)</f>
        <v>0</v>
      </c>
      <c r="R6" s="2">
        <f>VLOOKUP($A6,[19]TONTSEPT23!$A$6:$P$21,10,0)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246000</v>
      </c>
      <c r="BF6" s="29">
        <f t="shared" ref="BF6:BF36" si="6">Z6*1/100*BG6</f>
        <v>0</v>
      </c>
      <c r="BG6" s="29">
        <v>3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VLOOKUP(A7,[18]HISTOBQUESEPT23!$A$6:$G$44,3,0)</f>
        <v>40000</v>
      </c>
      <c r="E7" s="9">
        <f>VLOOKUP(A7,[18]HISTOBQUESEPT23!$A$6:$G$39,4,0)</f>
        <v>0</v>
      </c>
      <c r="F7" s="9">
        <f>VLOOKUP(A7,[18]HISTOBQUESEPT23!$A$6:$G$39,5,0)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VLOOKUP($A7,[20]TONTSEPT23!$A$6:$P$35,12,0)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3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VLOOKUP(A8,[18]HISTOBQUESEPT23!$A$6:$G$44,3,0)</f>
        <v>115000</v>
      </c>
      <c r="E8" s="9">
        <f>VLOOKUP(A8,[18]HISTOBQUESEPT23!$A$6:$G$39,4,0)</f>
        <v>0</v>
      </c>
      <c r="F8" s="9">
        <f>VLOOKUP(A8,[18]HISTOBQUESEPT23!$A$6:$G$39,5,0)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VLOOKUP($A8,[20]TONTSEPT23!$A$6:$P$35,12,0)</f>
        <v>0</v>
      </c>
      <c r="Q8" s="2">
        <f>VLOOKUP($A8,[13]TONTSEPT23!$A$6:$P$20,10,0)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>
        <v>7500</v>
      </c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892500</v>
      </c>
      <c r="AY8" s="15">
        <f t="shared" si="11"/>
        <v>0</v>
      </c>
      <c r="AZ8" s="16">
        <f t="shared" si="12"/>
        <v>892500</v>
      </c>
      <c r="BA8" s="58"/>
      <c r="BB8" s="58"/>
      <c r="BC8" s="15"/>
      <c r="BD8" s="57">
        <f t="shared" si="13"/>
        <v>892500</v>
      </c>
      <c r="BE8" s="82">
        <v>892500</v>
      </c>
      <c r="BF8" s="29">
        <f t="shared" si="6"/>
        <v>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VLOOKUP(A9,[18]HISTOBQUESEPT23!$A$6:$G$44,3,0)+101000</f>
        <v>441000</v>
      </c>
      <c r="E9" s="9">
        <f>VLOOKUP(A9,[18]HISTOBQUESEPT23!$A$6:$G$39,4,0)</f>
        <v>0</v>
      </c>
      <c r="F9" s="9">
        <f>VLOOKUP(A9,[18]HISTOBQUESEPT23!$A$6:$G$39,5,0)</f>
        <v>0</v>
      </c>
      <c r="G9" s="5">
        <f t="shared" si="7"/>
        <v>0</v>
      </c>
      <c r="H9" s="10" t="str">
        <f t="shared" si="1"/>
        <v>BANQUE</v>
      </c>
      <c r="I9" s="10">
        <v>-2000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VLOOKUP($A9,[20]TONTSEPT23!$A$6:$P$35,12,0)</f>
        <v>0</v>
      </c>
      <c r="Q9" s="2"/>
      <c r="R9" s="2">
        <f>VLOOKUP($A9,[19]TONTSEPT23!$A$6:$P$21,10,0)</f>
        <v>303000</v>
      </c>
      <c r="S9" s="20"/>
      <c r="T9" s="12"/>
      <c r="U9" s="17">
        <f t="shared" si="15"/>
        <v>441000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200000</v>
      </c>
      <c r="BF9" s="29">
        <f t="shared" si="6"/>
        <v>0</v>
      </c>
      <c r="BG9" s="29">
        <v>3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VLOOKUP(A10,[18]HISTOBQUESEPT23!$A$6:$G$44,3,0)-101000</f>
        <v>40000</v>
      </c>
      <c r="E10" s="9">
        <f>VLOOKUP(A10,[18]HISTOBQUESEPT23!$A$6:$G$39,4,0)</f>
        <v>0</v>
      </c>
      <c r="F10" s="9">
        <f>VLOOKUP(A10,[18]HISTOBQUESEPT23!$A$6:$G$39,5,0)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VLOOKUP($A10,[20]TONTSEPT23!$A$6:$P$35,12,0)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3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VLOOKUP(A11,[18]HISTOBQUESEPT23!$A$6:$G$44,3,0)</f>
        <v>347000</v>
      </c>
      <c r="E11" s="9">
        <f>VLOOKUP(A11,[18]HISTOBQUESEPT23!$A$6:$G$39,4,0)</f>
        <v>0</v>
      </c>
      <c r="F11" s="9">
        <f>VLOOKUP(A11,[18]HISTOBQUESEPT23!$A$6:$G$39,5,0)</f>
        <v>0</v>
      </c>
      <c r="G11" s="5">
        <f t="shared" si="7"/>
        <v>0</v>
      </c>
      <c r="H11" s="10" t="str">
        <f t="shared" si="1"/>
        <v>BANQUE</v>
      </c>
      <c r="I11" s="10">
        <v>500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VLOOKUP($A11,[20]TONTSEPT23!$A$6:$P$35,12,0)</f>
        <v>62500</v>
      </c>
      <c r="Q11" s="2">
        <f>VLOOKUP($A11,[13]TONTSEPT23!$A$6:$P$20,10,0)</f>
        <v>169000</v>
      </c>
      <c r="R11" s="2"/>
      <c r="S11" s="20"/>
      <c r="T11" s="12"/>
      <c r="U11" s="17">
        <f t="shared" si="15"/>
        <v>347000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58000</v>
      </c>
      <c r="AK11" s="12"/>
      <c r="AL11" s="12"/>
      <c r="AM11" s="12">
        <v>1000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15500</v>
      </c>
      <c r="AT11" s="12"/>
      <c r="AV11" s="15"/>
      <c r="AW11" s="15">
        <f t="shared" si="9"/>
        <v>0</v>
      </c>
      <c r="AX11" s="15">
        <f t="shared" si="10"/>
        <v>58000</v>
      </c>
      <c r="AY11" s="15">
        <f t="shared" si="11"/>
        <v>0</v>
      </c>
      <c r="AZ11" s="16">
        <f t="shared" si="12"/>
        <v>58000</v>
      </c>
      <c r="BA11" s="58">
        <v>58000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3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VLOOKUP(A12,[18]HISTOBQUESEPT23!$A$6:$G$44,3,0)</f>
        <v>320000</v>
      </c>
      <c r="E12" s="9">
        <f>VLOOKUP(A12,[18]HISTOBQUESEPT23!$A$6:$G$39,4,0)</f>
        <v>0</v>
      </c>
      <c r="F12" s="9">
        <f>VLOOKUP(A12,[18]HISTOBQUESEPT23!$A$6:$G$39,5,0)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VLOOKUP($A12,[20]TONTSEPT23!$A$6:$P$35,12,0)</f>
        <v>0</v>
      </c>
      <c r="Q12" s="2">
        <f>VLOOKUP($A12,[13]TONTSEPT23!$A$6:$P$20,10,0)</f>
        <v>0</v>
      </c>
      <c r="R12" s="2">
        <f>VLOOKUP($A12,[19]TONTSEPT23!$A$6:$P$21,10,0)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3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VLOOKUP(A13,[18]HISTOBQUESEPT23!$A$6:$G$44,3,0)</f>
        <v>40000</v>
      </c>
      <c r="E13" s="9">
        <f>VLOOKUP(A13,[18]HISTOBQUESEPT23!$A$6:$G$39,4,0)</f>
        <v>0</v>
      </c>
      <c r="F13" s="9">
        <f>VLOOKUP(A13,[18]HISTOBQUESEPT23!$A$6:$G$39,5,0)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VLOOKUP($A13,[20]TONTSEPT23!$A$6:$P$35,12,0)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3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VLOOKUP(A14,[18]HISTOBQUESEPT23!$A$6:$G$44,3,0)</f>
        <v>40000</v>
      </c>
      <c r="E14" s="9">
        <f>VLOOKUP(A14,[18]HISTOBQUESEPT23!$A$6:$G$39,4,0)</f>
        <v>0</v>
      </c>
      <c r="F14" s="9">
        <f>VLOOKUP(A14,[18]HISTOBQUESEPT23!$A$6:$G$39,5,0)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VLOOKUP($A14,[20]TONTSEPT23!$A$6:$P$35,12,0)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3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VLOOKUP(A15,[18]HISTOBQUESEPT23!$A$6:$G$44,3,0)</f>
        <v>115000</v>
      </c>
      <c r="E15" s="9">
        <f>VLOOKUP(A15,[18]HISTOBQUESEPT23!$A$6:$G$39,4,0)</f>
        <v>0</v>
      </c>
      <c r="F15" s="9">
        <f>VLOOKUP(A15,[18]HISTOBQUESEPT23!$A$6:$G$39,5,0)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VLOOKUP($A15,[20]TONTSEPT23!$A$6:$P$35,12,0)</f>
        <v>0</v>
      </c>
      <c r="Q15" s="2">
        <f>VLOOKUP($A15,[13]TONTSEPT23!$A$6:$P$20,10,0)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3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VLOOKUP(A16,[18]HISTOBQUESEPT23!$A$6:$G$44,3,0)</f>
        <v>250000</v>
      </c>
      <c r="E16" s="9">
        <f>VLOOKUP(A16,[18]HISTOBQUESEPT23!$A$6:$G$39,4,0)</f>
        <v>0</v>
      </c>
      <c r="F16" s="9">
        <f>VLOOKUP(A16,[18]HISTOBQUESEPT23!$A$6:$G$39,5,0)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VLOOKUP($A16,[20]TONTSEPT23!$A$6:$P$35,12,0)</f>
        <v>0</v>
      </c>
      <c r="Q16" s="2">
        <f>VLOOKUP($A16,[13]TONTSEPT23!$A$6:$P$20,10,0)</f>
        <v>0</v>
      </c>
      <c r="R16" s="2">
        <f>VLOOKUP($A16,[19]TONTSEPT23!$A$6:$P$21,10,0)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200000</v>
      </c>
      <c r="BA16" s="58">
        <v>9000</v>
      </c>
      <c r="BB16" s="58"/>
      <c r="BC16" s="15"/>
      <c r="BD16" s="57">
        <f t="shared" si="13"/>
        <v>191000</v>
      </c>
      <c r="BE16" s="82">
        <v>191000</v>
      </c>
      <c r="BF16" s="29">
        <f t="shared" si="6"/>
        <v>0</v>
      </c>
      <c r="BG16" s="29">
        <v>3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VLOOKUP(A17,[18]HISTOBQUESEPT23!$A$6:$G$44,3,0)</f>
        <v>140000</v>
      </c>
      <c r="E17" s="9">
        <f>VLOOKUP(A17,[18]HISTOBQUESEPT23!$A$6:$G$39,4,0)</f>
        <v>0</v>
      </c>
      <c r="F17" s="9">
        <f>VLOOKUP(A17,[18]HISTOBQUESEPT23!$A$6:$G$39,5,0)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VLOOKUP($A17,[20]TONTSEPT23!$A$6:$P$35,12,0)</f>
        <v>0</v>
      </c>
      <c r="Q17" s="2"/>
      <c r="R17" s="2">
        <f>VLOOKUP($A17,[19]TONTSEPT23!$A$6:$P$21,10,0)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3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VLOOKUP(A18,[18]HISTOBQUESEPT23!$A$6:$G$44,3,0)</f>
        <v>215000</v>
      </c>
      <c r="E18" s="9">
        <f>VLOOKUP(A18,[18]HISTOBQUESEPT23!$A$6:$G$39,4,0)</f>
        <v>100000</v>
      </c>
      <c r="F18" s="9">
        <f>VLOOKUP(A18,[18]HISTOBQUESEPT23!$A$6:$G$39,5,0)</f>
        <v>0</v>
      </c>
      <c r="G18" s="5">
        <f>IF(H18="ESPECES",3000,0)</f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VLOOKUP($A18,[20]TONTSEPT23!$A$6:$P$35,12,0)</f>
        <v>0</v>
      </c>
      <c r="Q18" s="2">
        <f>VLOOKUP($A18,[13]TONTSEPT23!$A$6:$P$20,10,0)</f>
        <v>0</v>
      </c>
      <c r="R18" s="2">
        <f>VLOOKUP($A18,[19]TONTSEPT23!$A$6:$P$21,10,0)</f>
        <v>0</v>
      </c>
      <c r="S18" s="20">
        <v>100000</v>
      </c>
      <c r="T18" s="12" t="s">
        <v>8</v>
      </c>
      <c r="U18" s="17">
        <f t="shared" si="15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100000</v>
      </c>
      <c r="AL18" s="12"/>
      <c r="AM18" s="12"/>
      <c r="AN18" s="12">
        <v>1000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100000</v>
      </c>
      <c r="AZ18" s="16">
        <f t="shared" si="12"/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3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VLOOKUP(A19,[18]HISTOBQUESEPT23!$A$6:$G$44,3,0)</f>
        <v>40000</v>
      </c>
      <c r="E19" s="9">
        <f>VLOOKUP(A19,[18]HISTOBQUESEPT23!$A$6:$G$39,4,0)</f>
        <v>0</v>
      </c>
      <c r="F19" s="9">
        <f>VLOOKUP(A19,[18]HISTOBQUESEPT23!$A$6:$G$39,5,0)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VLOOKUP($A19,[20]TONTSEPT23!$A$6:$P$35,12,0)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3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VLOOKUP(A20,[18]HISTOBQUESEPT23!$A$6:$G$44,3,0)</f>
        <v>528500</v>
      </c>
      <c r="E20" s="9">
        <f>VLOOKUP(A20,[18]HISTOBQUESEPT23!$A$6:$G$39,4,0)</f>
        <v>0</v>
      </c>
      <c r="F20" s="9">
        <f>VLOOKUP(A20,[18]HISTOBQUESEPT23!$A$6:$G$39,5,0)</f>
        <v>0</v>
      </c>
      <c r="G20" s="5">
        <f t="shared" si="7"/>
        <v>0</v>
      </c>
      <c r="H20" s="10" t="str">
        <f t="shared" si="1"/>
        <v>BANQUE</v>
      </c>
      <c r="I20" s="10">
        <v>-500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VLOOKUP($A20,[20]TONTSEPT23!$A$6:$P$35,12,0)</f>
        <v>61000</v>
      </c>
      <c r="Q20" s="2">
        <f>VLOOKUP($A20,[13]TONTSEPT23!$A$6:$P$20,10,0)</f>
        <v>152000</v>
      </c>
      <c r="R20" s="2">
        <f>VLOOKUP($A20,[19]TONTSEPT23!$A$6:$P$21,10,0)</f>
        <v>101000</v>
      </c>
      <c r="S20" s="20"/>
      <c r="T20" s="12"/>
      <c r="U20" s="17">
        <f t="shared" si="15"/>
        <v>528500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>
        <v>200000</v>
      </c>
      <c r="AL20" s="12"/>
      <c r="AM20" s="12"/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14500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200000</v>
      </c>
      <c r="AZ20" s="16">
        <f t="shared" si="12"/>
        <v>200000</v>
      </c>
      <c r="BA20" s="58"/>
      <c r="BB20" s="58"/>
      <c r="BC20" s="15"/>
      <c r="BD20" s="57">
        <f t="shared" si="13"/>
        <v>200000</v>
      </c>
      <c r="BE20" s="82">
        <f>200000</f>
        <v>200000</v>
      </c>
      <c r="BF20" s="29">
        <f t="shared" si="6"/>
        <v>0</v>
      </c>
      <c r="BG20" s="29">
        <v>3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VLOOKUP(A21,[18]HISTOBQUESEPT23!$A$6:$G$44,3,0)</f>
        <v>40000</v>
      </c>
      <c r="E21" s="9">
        <f>VLOOKUP(A21,[18]HISTOBQUESEPT23!$A$6:$G$39,4,0)</f>
        <v>0</v>
      </c>
      <c r="F21" s="9">
        <f>VLOOKUP(A21,[18]HISTOBQUESEPT23!$A$6:$G$39,5,0)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VLOOKUP($A21,[20]TONTSEPT23!$A$6:$P$35,12,0)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3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VLOOKUP(A22,[18]HISTOBQUESEPT23!$A$6:$G$44,3,0)</f>
        <v>115000</v>
      </c>
      <c r="E22" s="9">
        <f>VLOOKUP(A22,[18]HISTOBQUESEPT23!$A$6:$G$39,4,0)</f>
        <v>0</v>
      </c>
      <c r="F22" s="9">
        <f>VLOOKUP(A22,[18]HISTOBQUESEPT23!$A$6:$G$39,5,0)+892500</f>
        <v>892500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VLOOKUP($A22,[20]TONTSEPT23!$A$6:$P$35,12,0)</f>
        <v>0</v>
      </c>
      <c r="Q22" s="2">
        <f>VLOOKUP($A22,[13]TONTSEPT23!$A$6:$P$20,10,0)</f>
        <v>0</v>
      </c>
      <c r="R22" s="2"/>
      <c r="S22" s="20">
        <v>892500</v>
      </c>
      <c r="T22" s="12"/>
      <c r="U22" s="17">
        <f t="shared" si="15"/>
        <v>1007500</v>
      </c>
      <c r="V22" s="12"/>
      <c r="W22" s="12"/>
      <c r="X22" s="12"/>
      <c r="Y22" s="12"/>
      <c r="Z22" s="12"/>
      <c r="AA22" s="12"/>
      <c r="AB22" s="12"/>
      <c r="AC22" s="12"/>
      <c r="AD22" s="12">
        <v>7500</v>
      </c>
      <c r="AE22" s="12"/>
      <c r="AF22" s="12" t="s">
        <v>8</v>
      </c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892500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>IF(AZ22=0,(AZ22-BA22-BC22),(AZ22-BA22-BB22-BC22))+F22-892500</f>
        <v>0</v>
      </c>
      <c r="BE22" s="82"/>
      <c r="BF22" s="29">
        <f t="shared" si="6"/>
        <v>0</v>
      </c>
      <c r="BG22" s="29">
        <v>3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VLOOKUP(A23,[18]HISTOBQUESEPT23!$A$6:$G$44,3,0)</f>
        <v>250000</v>
      </c>
      <c r="E23" s="9">
        <f>VLOOKUP(A23,[18]HISTOBQUESEPT23!$A$6:$G$39,4,0)</f>
        <v>0</v>
      </c>
      <c r="F23" s="9">
        <f>VLOOKUP(A23,[18]HISTOBQUESEPT23!$A$6:$G$39,5,0)+70000</f>
        <v>70000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VLOOKUP($A23,[20]TONTSEPT23!$A$6:$P$35,12,0)</f>
        <v>0</v>
      </c>
      <c r="Q23" s="2"/>
      <c r="R23" s="2">
        <f>VLOOKUP($A23,[19]TONTSEPT23!$A$6:$P$21,10,0)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>
        <v>2500</v>
      </c>
      <c r="AD23" s="12"/>
      <c r="AE23" s="12"/>
      <c r="AF23" s="12" t="s">
        <v>8</v>
      </c>
      <c r="AG23" s="12"/>
      <c r="AH23" s="12"/>
      <c r="AI23" s="12"/>
      <c r="AJ23" s="12"/>
      <c r="AK23" s="12">
        <v>100000</v>
      </c>
      <c r="AL23" s="12"/>
      <c r="AM23" s="12"/>
      <c r="AN23" s="12">
        <v>1000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297500</v>
      </c>
      <c r="AX23" s="15">
        <f t="shared" si="10"/>
        <v>0</v>
      </c>
      <c r="AY23" s="15">
        <f t="shared" si="11"/>
        <v>100000</v>
      </c>
      <c r="AZ23" s="16">
        <f t="shared" si="12"/>
        <v>327500</v>
      </c>
      <c r="BA23" s="58">
        <v>100000</v>
      </c>
      <c r="BB23" s="58">
        <v>70000</v>
      </c>
      <c r="BC23" s="15"/>
      <c r="BD23" s="57">
        <f t="shared" si="13"/>
        <v>227500</v>
      </c>
      <c r="BE23" s="82">
        <v>227500</v>
      </c>
      <c r="BF23" s="29">
        <f t="shared" si="6"/>
        <v>0</v>
      </c>
      <c r="BG23" s="29">
        <v>3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-171000</v>
      </c>
      <c r="D24" s="9">
        <f>VLOOKUP(A24,[18]HISTOBQUESEPT23!$A$6:$G$44,3,0)</f>
        <v>215000</v>
      </c>
      <c r="E24" s="9">
        <f>VLOOKUP(A24,[18]HISTOBQUESEPT23!$A$6:$G$39,4,0)</f>
        <v>0</v>
      </c>
      <c r="F24" s="9">
        <f>VLOOKUP(A24,[18]HISTOBQUESEPT23!$A$6:$G$39,5,0)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VLOOKUP($A24,[20]TONTSEPT23!$A$6:$P$35,12,0)</f>
        <v>0</v>
      </c>
      <c r="Q24" s="2">
        <f>VLOOKUP($A24,[13]TONTSEPT23!$A$6:$P$20,10,0)</f>
        <v>171000</v>
      </c>
      <c r="R24" s="2">
        <f>VLOOKUP($A24,[19]TONTSEPT23!$A$6:$P$21,10,0)</f>
        <v>0</v>
      </c>
      <c r="S24" s="20"/>
      <c r="T24" s="12"/>
      <c r="U24" s="17">
        <f t="shared" si="15"/>
        <v>386000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/>
      <c r="BB24" s="58"/>
      <c r="BC24" s="15"/>
      <c r="BD24" s="57">
        <f t="shared" si="13"/>
        <v>200000</v>
      </c>
      <c r="BE24" s="82">
        <v>200000</v>
      </c>
      <c r="BF24" s="29">
        <f t="shared" si="6"/>
        <v>0</v>
      </c>
      <c r="BG24" s="29">
        <v>3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VLOOKUP(A25,[18]HISTOBQUESEPT23!$A$6:$G$44,3,0)</f>
        <v>440000</v>
      </c>
      <c r="E25" s="9">
        <f>VLOOKUP(A25,[18]HISTOBQUESEPT23!$A$6:$G$39,4,0)</f>
        <v>0</v>
      </c>
      <c r="F25" s="9">
        <f>VLOOKUP(A25,[18]HISTOBQUESEPT23!$A$6:$G$39,5,0)</f>
        <v>0</v>
      </c>
      <c r="G25" s="5">
        <f t="shared" si="7"/>
        <v>0</v>
      </c>
      <c r="H25" s="10" t="str">
        <f t="shared" si="1"/>
        <v>BANQUE</v>
      </c>
      <c r="I25" s="10">
        <v>150000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VLOOKUP($A25,[20]TONTSEPT23!$A$6:$P$35,12,0)</f>
        <v>0</v>
      </c>
      <c r="Q25" s="2">
        <f>VLOOKUP($A25,[13]TONTSEPT23!$A$6:$P$20,10,0)</f>
        <v>0</v>
      </c>
      <c r="R25" s="2">
        <f>VLOOKUP($A25,[19]TONTSEPT23!$A$6:$P$21,10,0)</f>
        <v>0</v>
      </c>
      <c r="S25" s="20"/>
      <c r="T25" s="12"/>
      <c r="U25" s="17">
        <f t="shared" si="15"/>
        <v>440000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165000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3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s="72" customFormat="1" ht="18.75" x14ac:dyDescent="0.3">
      <c r="A26" s="73" t="s">
        <v>31</v>
      </c>
      <c r="B26" s="73" t="str">
        <f>VLOOKUP(A26,[17]LISTADHERENT!A$5:H$39,3,0)</f>
        <v>NKAMGANG JUSTIN DEJOLIE</v>
      </c>
      <c r="C26" s="14">
        <f t="shared" si="0"/>
        <v>40000</v>
      </c>
      <c r="D26" s="14">
        <f>VLOOKUP(A26,[18]HISTOBQUESEPT23!$A$6:$G$44,3,0)</f>
        <v>50000</v>
      </c>
      <c r="E26" s="14">
        <f>VLOOKUP(A26,[18]HISTOBQUESEPT23!$A$6:$G$39,4,0)</f>
        <v>94000</v>
      </c>
      <c r="F26" s="14">
        <f>VLOOKUP(A26,[18]HISTOBQUESEPT23!$A$6:$G$39,5,0)</f>
        <v>0</v>
      </c>
      <c r="G26" s="14">
        <f>IF(H26="ESPECES",3000,0)+3000</f>
        <v>3000</v>
      </c>
      <c r="H26" s="74" t="str">
        <f t="shared" si="1"/>
        <v>BANQUE</v>
      </c>
      <c r="I26" s="74"/>
      <c r="J26" s="75">
        <v>1</v>
      </c>
      <c r="K26" s="75">
        <f t="shared" si="14"/>
        <v>40000</v>
      </c>
      <c r="L26" s="70"/>
      <c r="M26" s="75">
        <f t="shared" si="2"/>
        <v>0</v>
      </c>
      <c r="N26" s="70"/>
      <c r="O26" s="75">
        <f t="shared" si="3"/>
        <v>0</v>
      </c>
      <c r="P26" s="76">
        <f>VLOOKUP($A26,[20]TONTSEPT23!$A$6:$P$35,12,0)</f>
        <v>61000</v>
      </c>
      <c r="Q26" s="76"/>
      <c r="R26" s="76"/>
      <c r="S26" s="77"/>
      <c r="T26" s="78"/>
      <c r="U26" s="79">
        <f t="shared" si="15"/>
        <v>104000</v>
      </c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>
        <v>17000</v>
      </c>
      <c r="AJ26" s="78"/>
      <c r="AK26" s="78"/>
      <c r="AL26" s="78">
        <v>500</v>
      </c>
      <c r="AM26" s="78"/>
      <c r="AN26" s="78"/>
      <c r="AO26" s="78"/>
      <c r="AP26" s="78"/>
      <c r="AQ26" s="8">
        <f t="shared" si="4"/>
        <v>0</v>
      </c>
      <c r="AR26" s="8">
        <f t="shared" si="5"/>
        <v>0</v>
      </c>
      <c r="AS26" s="75">
        <f t="shared" si="8"/>
        <v>15000</v>
      </c>
      <c r="AT26" s="78"/>
      <c r="AV26" s="80"/>
      <c r="AW26" s="80">
        <f t="shared" si="9"/>
        <v>17000</v>
      </c>
      <c r="AX26" s="80">
        <f t="shared" si="10"/>
        <v>0</v>
      </c>
      <c r="AY26" s="80">
        <f t="shared" si="11"/>
        <v>0</v>
      </c>
      <c r="AZ26" s="71">
        <f t="shared" si="12"/>
        <v>17000</v>
      </c>
      <c r="BA26" s="58">
        <v>17000</v>
      </c>
      <c r="BB26" s="58"/>
      <c r="BC26" s="80"/>
      <c r="BD26" s="71">
        <f t="shared" si="13"/>
        <v>0</v>
      </c>
      <c r="BE26" s="83"/>
      <c r="BF26" s="81">
        <f t="shared" si="6"/>
        <v>0</v>
      </c>
      <c r="BG26" s="81">
        <v>3</v>
      </c>
      <c r="BH26" s="80"/>
      <c r="BI26" s="80"/>
      <c r="BJ26" s="80"/>
      <c r="BK26" s="80"/>
      <c r="BL26" s="76"/>
      <c r="BN26" s="72" t="s">
        <v>144</v>
      </c>
      <c r="BO26" s="72" t="s">
        <v>143</v>
      </c>
      <c r="BP26" s="71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9">
        <f t="shared" si="0"/>
        <v>-127500</v>
      </c>
      <c r="D27" s="9">
        <f>VLOOKUP(A27,[18]HISTOBQUESEPT23!$A$6:$G$44,3,0)</f>
        <v>50000</v>
      </c>
      <c r="E27" s="9">
        <f>VLOOKUP(A27,[18]HISTOBQUESEPT23!$A$6:$G$39,4,0)</f>
        <v>0</v>
      </c>
      <c r="F27" s="9">
        <f>VLOOKUP(A27,[18]HISTOBQUESEPT23!$A$6:$G$39,5,0)+70000</f>
        <v>70000</v>
      </c>
      <c r="G27" s="5">
        <f t="shared" si="7"/>
        <v>0</v>
      </c>
      <c r="H27" s="10" t="str">
        <f t="shared" si="1"/>
        <v>BANQUE</v>
      </c>
      <c r="I27" s="10">
        <f>127500+10000</f>
        <v>137500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VLOOKUP($A27,[20]TONTSEPT23!$A$6:$P$35,12,0)</f>
        <v>0</v>
      </c>
      <c r="Q27" s="2"/>
      <c r="R27" s="2"/>
      <c r="S27" s="20"/>
      <c r="T27" s="12"/>
      <c r="U27" s="17">
        <f t="shared" si="15"/>
        <v>177500</v>
      </c>
      <c r="V27" s="12"/>
      <c r="W27" s="12"/>
      <c r="X27" s="12"/>
      <c r="Y27" s="12"/>
      <c r="Z27" s="12"/>
      <c r="AA27" s="12"/>
      <c r="AB27" s="12"/>
      <c r="AC27" s="12">
        <v>2500</v>
      </c>
      <c r="AD27" s="12"/>
      <c r="AE27" s="12"/>
      <c r="AF27" s="12" t="s">
        <v>8</v>
      </c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152500</v>
      </c>
      <c r="AT27" s="12"/>
      <c r="AV27" s="15"/>
      <c r="AW27" s="15">
        <f t="shared" si="9"/>
        <v>297500</v>
      </c>
      <c r="AX27" s="15">
        <f t="shared" si="10"/>
        <v>0</v>
      </c>
      <c r="AY27" s="15">
        <f t="shared" si="11"/>
        <v>0</v>
      </c>
      <c r="AZ27" s="16">
        <f>SUM(AV27:AY27)-BF27+Z27-F27+BH27+BI27+BJ27+BK27+BL27+BM27</f>
        <v>227500</v>
      </c>
      <c r="BA27" s="58"/>
      <c r="BB27" s="58">
        <v>70000</v>
      </c>
      <c r="BC27" s="15"/>
      <c r="BD27" s="57">
        <f>IF(AZ27=0,(AZ27-BA27-BC27),(AZ27-BA27-BB27-BC27))+F27-127500</f>
        <v>100000</v>
      </c>
      <c r="BE27" s="82">
        <v>100000</v>
      </c>
      <c r="BF27" s="29">
        <f t="shared" si="6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VLOOKUP(A28,[18]HISTOBQUESEPT23!$A$6:$G$44,3,0)</f>
        <v>115000</v>
      </c>
      <c r="E28" s="9">
        <f>VLOOKUP(A28,[18]HISTOBQUESEPT23!$A$6:$G$39,4,0)</f>
        <v>0</v>
      </c>
      <c r="F28" s="9">
        <f>VLOOKUP(A28,[18]HISTOBQUESEPT23!$A$6:$G$39,5,0)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VLOOKUP($A28,[20]TONTSEPT23!$A$6:$P$35,12,0)</f>
        <v>0</v>
      </c>
      <c r="Q28" s="2">
        <f>VLOOKUP($A28,[13]TONTSEPT23!$A$6:$P$20,10,0)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3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9">
        <f t="shared" si="0"/>
        <v>-177500</v>
      </c>
      <c r="D29" s="9">
        <f>VLOOKUP(A29,[18]HISTOBQUESEPT23!$A$6:$G$44,3,0)</f>
        <v>40000</v>
      </c>
      <c r="E29" s="9">
        <f>VLOOKUP(A29,[18]HISTOBQUESEPT23!$A$6:$G$39,4,0)</f>
        <v>0</v>
      </c>
      <c r="F29" s="9">
        <v>70000</v>
      </c>
      <c r="G29" s="5">
        <f t="shared" si="7"/>
        <v>0</v>
      </c>
      <c r="H29" s="10" t="str">
        <f t="shared" si="1"/>
        <v>BANQUE</v>
      </c>
      <c r="I29" s="10">
        <v>177500</v>
      </c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VLOOKUP($A29,[20]TONTSEPT23!$A$6:$P$35,12,0)</f>
        <v>0</v>
      </c>
      <c r="Q29" s="2"/>
      <c r="R29" s="2"/>
      <c r="S29" s="20"/>
      <c r="T29" s="12"/>
      <c r="U29" s="17">
        <f t="shared" si="15"/>
        <v>217500</v>
      </c>
      <c r="V29" s="12"/>
      <c r="W29" s="12"/>
      <c r="X29" s="12"/>
      <c r="Y29" s="12"/>
      <c r="Z29" s="12"/>
      <c r="AA29" s="12"/>
      <c r="AB29" s="12"/>
      <c r="AC29" s="12">
        <v>2500</v>
      </c>
      <c r="AD29" s="12"/>
      <c r="AE29" s="12"/>
      <c r="AF29" s="12" t="s">
        <v>8</v>
      </c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192500</v>
      </c>
      <c r="AT29" s="12"/>
      <c r="AV29" s="15"/>
      <c r="AW29" s="15">
        <f t="shared" si="9"/>
        <v>297500</v>
      </c>
      <c r="AX29" s="15">
        <f t="shared" si="10"/>
        <v>0</v>
      </c>
      <c r="AY29" s="15">
        <f t="shared" si="11"/>
        <v>0</v>
      </c>
      <c r="AZ29" s="16">
        <f>SUM(AV29:AY29)-BF29+Z29-F29+BH29+BI29+BJ29+BK29+BL29+BM29</f>
        <v>227500</v>
      </c>
      <c r="BA29" s="58">
        <v>50000</v>
      </c>
      <c r="BB29" s="58">
        <v>70000</v>
      </c>
      <c r="BC29" s="15"/>
      <c r="BD29" s="57">
        <f>IF(AZ29=0,(AZ29-BA29-BC29),(AZ29-BA29-BB29-BC29))+F29-177500</f>
        <v>0</v>
      </c>
      <c r="BE29" s="82"/>
      <c r="BF29" s="29">
        <f t="shared" si="6"/>
        <v>0</v>
      </c>
      <c r="BG29" s="29">
        <v>3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VLOOKUP(A30,[18]HISTOBQUESEPT23!$A$6:$G$44,3,0)</f>
        <v>115000</v>
      </c>
      <c r="E30" s="9">
        <f>VLOOKUP(A30,[18]HISTOBQUESEPT23!$A$6:$G$39,4,0)</f>
        <v>0</v>
      </c>
      <c r="F30" s="9">
        <f>VLOOKUP(A30,[18]HISTOBQUESEPT23!$A$6:$G$39,5,0)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VLOOKUP($A30,[20]TONTSEPT23!$A$6:$P$35,12,0)</f>
        <v>0</v>
      </c>
      <c r="Q30" s="2">
        <f>VLOOKUP($A30,[13]TONTSEPT23!$A$6:$P$20,10,0)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3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VLOOKUP(A31,[18]HISTOBQUESEPT23!$A$6:$G$44,3,0)</f>
        <v>140000</v>
      </c>
      <c r="E31" s="9">
        <f>VLOOKUP(A31,[18]HISTOBQUESEPT23!$A$6:$G$39,4,0)</f>
        <v>0</v>
      </c>
      <c r="F31" s="9">
        <f>VLOOKUP(A31,[18]HISTOBQUESEPT23!$A$6:$G$39,5,0)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VLOOKUP($A31,[20]TONTSEPT23!$A$6:$P$35,12,0)</f>
        <v>0</v>
      </c>
      <c r="Q31" s="2"/>
      <c r="R31" s="2">
        <f>VLOOKUP($A31,[19]TONTSEPT23!$A$6:$P$21,10,0)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2"/>
        <v>30000</v>
      </c>
      <c r="BA31" s="58">
        <v>30000</v>
      </c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VLOOKUP(A32,[18]HISTOBQUESEPT23!$A$6:$G$44,3,0)</f>
        <v>191000</v>
      </c>
      <c r="E32" s="9">
        <f>VLOOKUP(A32,[18]HISTOBQUESEPT23!$A$6:$G$39,4,0)</f>
        <v>0</v>
      </c>
      <c r="F32" s="9">
        <f>VLOOKUP(A32,[18]HISTOBQUESEPT23!$A$6:$G$39,5,0)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VLOOKUP($A32,[20]TONTSEPT23!$A$6:$P$35,12,0)</f>
        <v>0</v>
      </c>
      <c r="Q32" s="2">
        <f>VLOOKUP($A32,[13]TONTSEPT23!$A$6:$P$20,10,0)</f>
        <v>76000</v>
      </c>
      <c r="R32" s="2"/>
      <c r="S32" s="20"/>
      <c r="T32" s="12"/>
      <c r="U32" s="17">
        <f t="shared" si="15"/>
        <v>191000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3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VLOOKUP(A33,[18]HISTOBQUESEPT23!$A$6:$G$44,3,0)+40000</f>
        <v>40000</v>
      </c>
      <c r="E33" s="9">
        <f>VLOOKUP(A33,[18]HISTOBQUESEPT23!$A$6:$G$39,4,0)</f>
        <v>0</v>
      </c>
      <c r="F33" s="9">
        <f>VLOOKUP(A33,[18]HISTOBQUESEPT23!$A$6:$G$39,5,0)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VLOOKUP($A33,[20]TONTSEPT23!$A$6:$P$35,12,0)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3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VLOOKUP(A34,[18]HISTOBQUESEPT23!$A$6:$G$44,3,0)</f>
        <v>40000</v>
      </c>
      <c r="E34" s="9">
        <f>VLOOKUP(A34,[18]HISTOBQUESEPT23!$A$6:$G$39,4,0)</f>
        <v>0</v>
      </c>
      <c r="F34" s="9">
        <f>VLOOKUP(A34,[18]HISTOBQUESEPT23!$A$6:$G$39,5,0)</f>
        <v>0</v>
      </c>
      <c r="G34" s="5">
        <f t="shared" si="7"/>
        <v>0</v>
      </c>
      <c r="H34" s="10" t="str">
        <f t="shared" si="1"/>
        <v>BANQUE</v>
      </c>
      <c r="I34" s="10"/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VLOOKUP($A34,[20]TONTSEPT23!$A$6:$P$35,12,0)</f>
        <v>0</v>
      </c>
      <c r="Q34" s="2"/>
      <c r="R34" s="2"/>
      <c r="S34" s="20"/>
      <c r="T34" s="12"/>
      <c r="U34" s="17">
        <f t="shared" si="15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3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VLOOKUP(A35,[18]HISTOBQUESEPT23!$A$6:$G$44,3,0)</f>
        <v>40000</v>
      </c>
      <c r="E35" s="9">
        <f>VLOOKUP(A35,[18]HISTOBQUESEPT23!$A$6:$G$39,4,0)</f>
        <v>0</v>
      </c>
      <c r="F35" s="9">
        <f>VLOOKUP(A35,[18]HISTOBQUESEPT23!$A$6:$G$39,5,0)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VLOOKUP($A35,[20]TONTSEPT23!$A$6:$P$35,12,0)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3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VLOOKUP(A36,[18]HISTOBQUESEPT23!$A$6:$G$44,3,0)</f>
        <v>400000</v>
      </c>
      <c r="E36" s="9">
        <f>VLOOKUP(A36,[18]HISTOBQUESEPT23!$A$6:$G$39,4,0)</f>
        <v>0</v>
      </c>
      <c r="F36" s="9">
        <f>VLOOKUP(A36,[18]HISTOBQUESEPT23!$A$6:$G$39,5,0)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VLOOKUP($A36,[20]TONTSEPT23!$A$6:$P$35,12,0)</f>
        <v>0</v>
      </c>
      <c r="Q36" s="2">
        <f>VLOOKUP($A36,[13]TONTSEPT23!$A$6:$P$20,10,0)</f>
        <v>0</v>
      </c>
      <c r="R36" s="2">
        <f>VLOOKUP($A36,[19]TONTSEPT23!$A$6:$P$21,10,0)</f>
        <v>0</v>
      </c>
      <c r="S36" s="2">
        <v>110000</v>
      </c>
      <c r="T36" s="12" t="s">
        <v>8</v>
      </c>
      <c r="U36" s="17">
        <f t="shared" si="15"/>
        <v>400000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3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-436000</v>
      </c>
      <c r="D38" s="5">
        <f t="shared" si="16"/>
        <v>5127500</v>
      </c>
      <c r="E38" s="5">
        <f t="shared" si="16"/>
        <v>194000</v>
      </c>
      <c r="F38" s="5">
        <f t="shared" si="16"/>
        <v>1102500</v>
      </c>
      <c r="G38" s="5">
        <f t="shared" si="16"/>
        <v>3000</v>
      </c>
      <c r="H38" s="5">
        <f t="shared" si="16"/>
        <v>0</v>
      </c>
      <c r="I38" s="5">
        <f t="shared" si="16"/>
        <v>513000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184500</v>
      </c>
      <c r="Q38" s="5">
        <f t="shared" si="16"/>
        <v>568000</v>
      </c>
      <c r="R38" s="5">
        <f t="shared" si="16"/>
        <v>404000</v>
      </c>
      <c r="S38" s="5">
        <f t="shared" si="16"/>
        <v>1102500</v>
      </c>
      <c r="T38" s="5"/>
      <c r="U38" s="5">
        <f t="shared" ref="U38:AA38" si="17">SUM(U6:U37)</f>
        <v>6650000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17000</v>
      </c>
      <c r="AJ38" s="5">
        <f t="shared" si="18"/>
        <v>58000</v>
      </c>
      <c r="AK38" s="5">
        <f t="shared" si="18"/>
        <v>1430000</v>
      </c>
      <c r="AL38" s="5">
        <f t="shared" si="18"/>
        <v>500</v>
      </c>
      <c r="AM38" s="5">
        <f t="shared" si="18"/>
        <v>1000</v>
      </c>
      <c r="AN38" s="5">
        <f t="shared" si="18"/>
        <v>15000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963000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909500</v>
      </c>
      <c r="AX38" s="5">
        <f t="shared" si="18"/>
        <v>1843000</v>
      </c>
      <c r="AY38" s="5">
        <f t="shared" si="18"/>
        <v>1430000</v>
      </c>
      <c r="AZ38" s="5">
        <f t="shared" si="18"/>
        <v>3186000</v>
      </c>
      <c r="BA38" s="5">
        <f t="shared" si="18"/>
        <v>264000</v>
      </c>
      <c r="BB38" s="5">
        <f t="shared" si="18"/>
        <v>210000</v>
      </c>
      <c r="BC38" s="5">
        <f t="shared" si="18"/>
        <v>0</v>
      </c>
      <c r="BD38" s="5">
        <f t="shared" si="18"/>
        <v>2617000</v>
      </c>
      <c r="BE38" s="5">
        <f t="shared" si="18"/>
        <v>2757000</v>
      </c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E40" s="5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3186000</v>
      </c>
      <c r="D43" s="9">
        <f>SUMIFS(D8:D38,H8:H38,"BANQUE")</f>
        <v>4912500</v>
      </c>
      <c r="F43" s="9">
        <f>E38</f>
        <v>194000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6266000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E30" activePane="bottomRight" state="frozen"/>
      <selection activeCell="C36" sqref="C36"/>
      <selection pane="topRight" activeCell="C36" sqref="C36"/>
      <selection pane="bottomLeft" activeCell="C36" sqref="C36"/>
      <selection pane="bottomRight" activeCell="A33" sqref="A33:XFD33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35" width="16" customWidth="1"/>
    <col min="36" max="36" width="13" customWidth="1"/>
    <col min="37" max="37" width="15.140625" customWidth="1"/>
    <col min="38" max="38" width="11.5703125" customWidth="1"/>
    <col min="39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5.8554687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5" si="0">D6+E6+F6-U6-BB6</f>
        <v>0</v>
      </c>
      <c r="D6" s="9">
        <f>VLOOKUP(A6,[18]HISTOBQUEOCT23!$A$6:$G$44,3,0)</f>
        <v>175000</v>
      </c>
      <c r="E6" s="9">
        <f>VLOOKUP(A6,[18]HISTOBQUEOCT23!$A$6:$G$39,4,0)</f>
        <v>0</v>
      </c>
      <c r="F6" s="9">
        <f>VLOOKUP(A6,[18]HISTOBQUEOCT23!$A$6:$G$39,5,0)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VLOOKUP($A6,[13]TONTOCT23!$A$6:$P$20,10,0)</f>
        <v>0</v>
      </c>
      <c r="R6" s="2">
        <f>VLOOKUP($A6,[19]TONTOCT23!$A$6:$P$21,10,0)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713500</v>
      </c>
      <c r="BA6" s="58"/>
      <c r="BB6" s="58"/>
      <c r="BC6" s="15"/>
      <c r="BD6" s="57">
        <f>IF(AZ6=0,(AZ6-BA6-BC6),(AZ6-BA6-BB6-BC6))+F6</f>
        <v>713500</v>
      </c>
      <c r="BE6" s="82">
        <v>749500</v>
      </c>
      <c r="BF6" s="29">
        <f t="shared" ref="BF6:BF36" si="6">Z6*1/100*BG6</f>
        <v>0</v>
      </c>
      <c r="BG6" s="29">
        <v>2</v>
      </c>
      <c r="BH6" s="15">
        <f>BP16</f>
        <v>13500</v>
      </c>
      <c r="BI6" s="15">
        <f>BP28</f>
        <v>600000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VLOOKUP(A7,[18]HISTOBQUEOCT23!$A$6:$G$44,3,0)</f>
        <v>40000</v>
      </c>
      <c r="E7" s="9">
        <f>VLOOKUP(A7,[18]HISTOBQUEOCT23!$A$6:$G$39,4,0)</f>
        <v>0</v>
      </c>
      <c r="F7" s="9">
        <f>VLOOKUP(A7,[18]HISTOBQUEOCT23!$A$6:$G$39,5,0)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VLOOKUP($A7,[20]TONTOCT23!$A$6:$P$35,12,0)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27500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27500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27500</v>
      </c>
      <c r="BA7" s="58">
        <v>27500</v>
      </c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VLOOKUP(A8,[18]HISTOBQUEOCT23!$A$6:$G$44,3,0)</f>
        <v>0</v>
      </c>
      <c r="E8" s="9">
        <f>VLOOKUP(A8,[18]HISTOBQUEOCT23!$A$6:$G$39,4,0)</f>
        <v>115000</v>
      </c>
      <c r="F8" s="9">
        <f>VLOOKUP(A8,[18]HISTOBQUEOCT23!$A$6:$G$39,5,0)+70000</f>
        <v>70000</v>
      </c>
      <c r="G8" s="5">
        <f>IF(H8="ESPECES",3000,0)-3000</f>
        <v>0</v>
      </c>
      <c r="H8" s="10" t="str">
        <f t="shared" si="1"/>
        <v>ESPECES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VLOOKUP($A8,[20]TONTOCT23!$A$6:$P$35,12,0)</f>
        <v>0</v>
      </c>
      <c r="Q8" s="2">
        <f>VLOOKUP($A8,[13]TONTOCT23!$A$6:$P$20,10,0)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>
        <v>2500</v>
      </c>
      <c r="AD8" s="12"/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297500</v>
      </c>
      <c r="AX8" s="15">
        <f t="shared" si="10"/>
        <v>0</v>
      </c>
      <c r="AY8" s="15">
        <f t="shared" si="11"/>
        <v>0</v>
      </c>
      <c r="AZ8" s="16">
        <f t="shared" si="12"/>
        <v>227500</v>
      </c>
      <c r="BA8" s="58"/>
      <c r="BB8" s="58">
        <v>70000</v>
      </c>
      <c r="BC8" s="15"/>
      <c r="BD8" s="57">
        <f t="shared" si="13"/>
        <v>227500</v>
      </c>
      <c r="BE8" s="82">
        <v>227500</v>
      </c>
      <c r="BF8" s="29">
        <f t="shared" si="6"/>
        <v>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VLOOKUP(A9,[18]HISTOBQUEOCT23!$A$6:$G$44,3,0)+202000</f>
        <v>342000</v>
      </c>
      <c r="E9" s="9">
        <f>VLOOKUP(A9,[18]HISTOBQUEOCT23!$A$6:$G$39,4,0)</f>
        <v>0</v>
      </c>
      <c r="F9" s="9">
        <f>VLOOKUP(A9,[18]HISTOBQUEOCT23!$A$6:$G$39,5,0)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VLOOKUP($A9,[20]TONTOCT23!$A$6:$P$35,12,0)</f>
        <v>0</v>
      </c>
      <c r="Q9" s="2"/>
      <c r="R9" s="2">
        <f>VLOOKUP($A9,[19]TONTOCT23!$A$6:$P$21,10,0)</f>
        <v>202000</v>
      </c>
      <c r="S9" s="20"/>
      <c r="T9" s="12"/>
      <c r="U9" s="17">
        <f t="shared" si="15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100000</v>
      </c>
      <c r="BF9" s="29">
        <f t="shared" si="6"/>
        <v>0</v>
      </c>
      <c r="BG9" s="29">
        <v>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VLOOKUP(A10,[18]HISTOBQUEOCT23!$A$6:$G$44,3,0)-303000</f>
        <v>40000</v>
      </c>
      <c r="E10" s="9">
        <f>VLOOKUP(A10,[18]HISTOBQUEOCT23!$A$6:$G$39,4,0)</f>
        <v>0</v>
      </c>
      <c r="F10" s="9">
        <f>VLOOKUP(A10,[18]HISTOBQUEOCT23!$A$6:$G$39,5,0)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VLOOKUP($A10,[20]TONTOCT23!$A$6:$P$35,12,0)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VLOOKUP(A11,[18]HISTOBQUEOCT23!$A$6:$G$44,3,0)</f>
        <v>115000</v>
      </c>
      <c r="E11" s="9">
        <f>VLOOKUP(A11,[18]HISTOBQUEOCT23!$A$6:$G$39,4,0)</f>
        <v>59000</v>
      </c>
      <c r="F11" s="9">
        <f>VLOOKUP(A11,[18]HISTOBQUEOCT23!$A$6:$G$39,5,0)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VLOOKUP($A11,[20]TONTOCT23!$A$6:$P$35,12,0)</f>
        <v>0</v>
      </c>
      <c r="Q11" s="2">
        <f>VLOOKUP($A11,[13]TONTOCT23!$A$6:$P$20,10,0)</f>
        <v>59000</v>
      </c>
      <c r="R11" s="2"/>
      <c r="S11" s="20"/>
      <c r="T11" s="12"/>
      <c r="U11" s="17">
        <f t="shared" si="15"/>
        <v>174000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75000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75000</v>
      </c>
      <c r="AY11" s="15">
        <f t="shared" si="11"/>
        <v>0</v>
      </c>
      <c r="AZ11" s="16">
        <f t="shared" si="12"/>
        <v>75000</v>
      </c>
      <c r="BA11" s="58">
        <v>75000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VLOOKUP(A12,[18]HISTOBQUEOCT23!$A$6:$G$44,3,0)</f>
        <v>522000</v>
      </c>
      <c r="E12" s="9">
        <f>VLOOKUP(A12,[18]HISTOBQUEOCT23!$A$6:$G$39,4,0)</f>
        <v>0</v>
      </c>
      <c r="F12" s="9">
        <f>VLOOKUP(A12,[18]HISTOBQUEOCT23!$A$6:$G$39,5,0)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VLOOKUP($A12,[20]TONTOCT23!$A$6:$P$35,12,0)</f>
        <v>0</v>
      </c>
      <c r="Q12" s="2">
        <f>VLOOKUP($A12,[13]TONTOCT23!$A$6:$P$20,10,0)</f>
        <v>0</v>
      </c>
      <c r="R12" s="2">
        <f>VLOOKUP($A12,[19]TONTOCT23!$A$6:$P$21,10,0)</f>
        <v>202000</v>
      </c>
      <c r="S12" s="20"/>
      <c r="T12" s="12"/>
      <c r="U12" s="17">
        <f t="shared" si="15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2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VLOOKUP(A13,[18]HISTOBQUEOCT23!$A$6:$G$44,3,0)</f>
        <v>40000</v>
      </c>
      <c r="E13" s="9">
        <f>VLOOKUP(A13,[18]HISTOBQUEOCT23!$A$6:$G$39,4,0)</f>
        <v>0</v>
      </c>
      <c r="F13" s="9">
        <f>VLOOKUP(A13,[18]HISTOBQUEOCT23!$A$6:$G$39,5,0)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VLOOKUP($A13,[20]TONTOCT23!$A$6:$P$35,12,0)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VLOOKUP(A14,[18]HISTOBQUEOCT23!$A$6:$G$44,3,0)</f>
        <v>40000</v>
      </c>
      <c r="E14" s="9">
        <f>VLOOKUP(A14,[18]HISTOBQUEOCT23!$A$6:$G$39,4,0)</f>
        <v>0</v>
      </c>
      <c r="F14" s="9">
        <f>VLOOKUP(A14,[18]HISTOBQUEOCT23!$A$6:$G$39,5,0)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VLOOKUP($A14,[20]TONTOCT23!$A$6:$P$35,12,0)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VLOOKUP(A15,[18]HISTOBQUEOCT23!$A$6:$G$44,3,0)</f>
        <v>115000</v>
      </c>
      <c r="E15" s="9">
        <f>VLOOKUP(A15,[18]HISTOBQUEOCT23!$A$6:$G$39,4,0)</f>
        <v>0</v>
      </c>
      <c r="F15" s="9">
        <f>VLOOKUP(A15,[18]HISTOBQUEOCT23!$A$6:$G$39,5,0)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VLOOKUP($A15,[20]TONTOCT23!$A$6:$P$35,12,0)</f>
        <v>0</v>
      </c>
      <c r="Q15" s="2">
        <f>VLOOKUP($A15,[13]TONTOCT23!$A$6:$P$20,10,0)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136500</v>
      </c>
      <c r="D16" s="9">
        <f>VLOOKUP(A16,[18]HISTOBQUEOCT23!$A$6:$G$44,3,0)</f>
        <v>452000</v>
      </c>
      <c r="E16" s="9">
        <f>VLOOKUP(A16,[18]HISTOBQUEOCT23!$A$6:$G$39,4,0)</f>
        <v>136500</v>
      </c>
      <c r="F16" s="9">
        <f>VLOOKUP(A16,[18]HISTOBQUEOCT23!$A$6:$G$39,5,0)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VLOOKUP($A16,[20]TONTOCT23!$A$6:$P$35,12,0)</f>
        <v>0</v>
      </c>
      <c r="Q16" s="2">
        <f>VLOOKUP($A16,[13]TONTOCT23!$A$6:$P$20,10,0)</f>
        <v>0</v>
      </c>
      <c r="R16" s="2">
        <f>VLOOKUP($A16,[19]TONTOCT23!$A$6:$P$21,10,0)</f>
        <v>202000</v>
      </c>
      <c r="S16" s="20"/>
      <c r="T16" s="12"/>
      <c r="U16" s="17">
        <f t="shared" si="15"/>
        <v>452000</v>
      </c>
      <c r="V16" s="12"/>
      <c r="W16" s="12"/>
      <c r="X16" s="12"/>
      <c r="Y16" s="12"/>
      <c r="Z16" s="12">
        <v>500000</v>
      </c>
      <c r="AA16" s="12" t="s">
        <v>8</v>
      </c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700000</v>
      </c>
      <c r="BA16" s="58"/>
      <c r="BB16" s="58"/>
      <c r="BC16" s="15"/>
      <c r="BD16" s="57">
        <f t="shared" si="13"/>
        <v>700000</v>
      </c>
      <c r="BE16" s="82">
        <f>500000+200000</f>
        <v>700000</v>
      </c>
      <c r="BF16" s="29">
        <f t="shared" si="6"/>
        <v>0</v>
      </c>
      <c r="BG16" s="29"/>
      <c r="BH16" s="15"/>
      <c r="BI16" s="15"/>
      <c r="BJ16" s="15"/>
      <c r="BK16" s="15"/>
      <c r="BL16" s="61"/>
      <c r="BN16" t="s">
        <v>142</v>
      </c>
      <c r="BP16" s="6">
        <f>SUM(BP6:BP15)</f>
        <v>13500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VLOOKUP(A17,[18]HISTOBQUEOCT23!$A$6:$G$44,3,0)</f>
        <v>140000</v>
      </c>
      <c r="E17" s="9">
        <f>VLOOKUP(A17,[18]HISTOBQUEOCT23!$A$6:$G$39,4,0)</f>
        <v>0</v>
      </c>
      <c r="F17" s="9">
        <f>VLOOKUP(A17,[18]HISTOBQUEOCT23!$A$6:$G$39,5,0)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VLOOKUP($A17,[20]TONTOCT23!$A$6:$P$35,12,0)</f>
        <v>0</v>
      </c>
      <c r="Q17" s="2"/>
      <c r="R17" s="2">
        <f>VLOOKUP($A17,[19]TONTOCT23!$A$6:$P$21,10,0)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VLOOKUP(A18,[18]HISTOBQUEOCT23!$A$6:$G$44,3,0)+101000</f>
        <v>456000</v>
      </c>
      <c r="E18" s="14">
        <f>VLOOKUP(A18,[18]HISTOBQUEOCT23!$A$6:$G$39,4,0)+10000</f>
        <v>10000</v>
      </c>
      <c r="F18" s="9">
        <f>VLOOKUP(A18,[18]HISTOBQUEOCT23!$A$6:$G$39,5,0)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VLOOKUP($A18,[20]TONTOCT23!$A$6:$P$35,12,0)</f>
        <v>0</v>
      </c>
      <c r="Q18" s="2">
        <f>VLOOKUP($A18,[13]TONTOCT23!$A$6:$P$20,10,0)</f>
        <v>0</v>
      </c>
      <c r="R18" s="2">
        <f>VLOOKUP($A18,[19]TONTOCT23!$A$6:$P$21,10,0)</f>
        <v>101000</v>
      </c>
      <c r="S18" s="20">
        <v>150000</v>
      </c>
      <c r="T18" s="12" t="s">
        <v>8</v>
      </c>
      <c r="U18" s="17">
        <f t="shared" si="15"/>
        <v>466000</v>
      </c>
      <c r="V18" s="12"/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>
        <v>150000</v>
      </c>
      <c r="AK18" s="12"/>
      <c r="AL18" s="12"/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150000</v>
      </c>
      <c r="AY18" s="15">
        <f t="shared" si="11"/>
        <v>0</v>
      </c>
      <c r="AZ18" s="16">
        <f t="shared" si="12"/>
        <v>1130000</v>
      </c>
      <c r="BA18" s="58">
        <v>100000</v>
      </c>
      <c r="BB18" s="58"/>
      <c r="BC18" s="15"/>
      <c r="BD18" s="57">
        <f t="shared" si="13"/>
        <v>1030000</v>
      </c>
      <c r="BE18" s="82">
        <f>980000+150000</f>
        <v>1130000</v>
      </c>
      <c r="BF18" s="29">
        <f t="shared" si="6"/>
        <v>20000</v>
      </c>
      <c r="BG18" s="29">
        <v>2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VLOOKUP(A19,[18]HISTOBQUEOCT23!$A$6:$G$44,3,0)</f>
        <v>40000</v>
      </c>
      <c r="E19" s="9">
        <f>VLOOKUP(A19,[18]HISTOBQUEOCT23!$A$6:$G$39,4,0)</f>
        <v>0</v>
      </c>
      <c r="F19" s="9">
        <f>VLOOKUP(A19,[18]HISTOBQUEOCT23!$A$6:$G$39,5,0)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VLOOKUP($A19,[20]TONTOCT23!$A$6:$P$35,12,0)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VLOOKUP(A20,[18]HISTOBQUEOCT23!$A$6:$G$44,3,0)</f>
        <v>417000</v>
      </c>
      <c r="E20" s="9">
        <f>VLOOKUP(A20,[18]HISTOBQUEOCT23!$A$6:$G$39,4,0)</f>
        <v>0</v>
      </c>
      <c r="F20" s="9">
        <f>VLOOKUP(A20,[18]HISTOBQUEOCT23!$A$6:$G$39,5,0)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VLOOKUP($A20,[20]TONTOCT23!$A$6:$P$35,12,0)</f>
        <v>0</v>
      </c>
      <c r="Q20" s="2">
        <f>VLOOKUP($A20,[13]TONTOCT23!$A$6:$P$20,10,0)</f>
        <v>0</v>
      </c>
      <c r="R20" s="2">
        <f>VLOOKUP($A20,[19]TONTOCT23!$A$6:$P$21,10,0)</f>
        <v>202000</v>
      </c>
      <c r="S20" s="20"/>
      <c r="T20" s="12"/>
      <c r="U20" s="17">
        <f t="shared" si="15"/>
        <v>417000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30000</v>
      </c>
      <c r="AJ20" s="12">
        <v>150000</v>
      </c>
      <c r="AK20" s="12">
        <v>200000</v>
      </c>
      <c r="AL20" s="12">
        <v>500</v>
      </c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30000</v>
      </c>
      <c r="AX20" s="15">
        <f t="shared" si="10"/>
        <v>150000</v>
      </c>
      <c r="AY20" s="15">
        <f t="shared" si="11"/>
        <v>200000</v>
      </c>
      <c r="AZ20" s="16">
        <f t="shared" si="12"/>
        <v>380000</v>
      </c>
      <c r="BA20" s="58">
        <f>30000+27000</f>
        <v>57000</v>
      </c>
      <c r="BB20" s="58"/>
      <c r="BC20" s="15"/>
      <c r="BD20" s="57">
        <f t="shared" si="13"/>
        <v>323000</v>
      </c>
      <c r="BE20" s="82">
        <f>123000+200000</f>
        <v>323000</v>
      </c>
      <c r="BF20" s="29">
        <f t="shared" si="6"/>
        <v>0</v>
      </c>
      <c r="BG20" s="29">
        <v>2</v>
      </c>
      <c r="BH20" s="15"/>
      <c r="BI20" s="15"/>
      <c r="BJ20" s="15"/>
      <c r="BK20" s="15"/>
      <c r="BL20" s="61"/>
      <c r="BN20" s="62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VLOOKUP(A21,[18]HISTOBQUEOCT23!$A$6:$G$44,3,0)</f>
        <v>40000</v>
      </c>
      <c r="E21" s="9">
        <f>VLOOKUP(A21,[18]HISTOBQUEOCT23!$A$6:$G$39,4,0)</f>
        <v>0</v>
      </c>
      <c r="F21" s="9">
        <f>VLOOKUP(A21,[18]HISTOBQUEOCT23!$A$6:$G$39,5,0)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VLOOKUP($A21,[20]TONTOCT23!$A$6:$P$35,12,0)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2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VLOOKUP(A22,[18]HISTOBQUEOCT23!$A$6:$G$44,3,0)</f>
        <v>115000</v>
      </c>
      <c r="E22" s="9">
        <f>VLOOKUP(A22,[18]HISTOBQUEOCT23!$A$6:$G$39,4,0)</f>
        <v>0</v>
      </c>
      <c r="F22" s="9">
        <f>VLOOKUP(A22,[18]HISTOBQUEOCT23!$A$6:$G$39,5,0)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VLOOKUP($A22,[20]TONTOCT23!$A$6:$P$35,12,0)</f>
        <v>0</v>
      </c>
      <c r="Q22" s="2">
        <f>VLOOKUP($A22,[13]TONTOCT23!$A$6:$P$20,10,0)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VLOOKUP(A23,[18]HISTOBQUEOCT23!$A$6:$G$44,3,0)+101000</f>
        <v>351000</v>
      </c>
      <c r="E23" s="9">
        <f>VLOOKUP(A23,[18]HISTOBQUEOCT23!$A$6:$G$39,4,0)</f>
        <v>0</v>
      </c>
      <c r="F23" s="9">
        <f>VLOOKUP(A23,[18]HISTOBQUEOCT23!$A$6:$G$39,5,0)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VLOOKUP($A23,[20]TONTOCT23!$A$6:$P$35,12,0)</f>
        <v>0</v>
      </c>
      <c r="Q23" s="2"/>
      <c r="R23" s="2">
        <f>VLOOKUP($A23,[19]TONTOCT23!$A$6:$P$21,10,0)</f>
        <v>101000</v>
      </c>
      <c r="S23" s="20"/>
      <c r="T23" s="12"/>
      <c r="U23" s="17">
        <f t="shared" si="15"/>
        <v>351000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2</v>
      </c>
      <c r="BH23" s="15"/>
      <c r="BI23" s="15"/>
      <c r="BJ23" s="15"/>
      <c r="BK23" s="15"/>
      <c r="BL23" s="61"/>
      <c r="BN23" s="62"/>
      <c r="BP23" s="62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VLOOKUP(A24,[18]HISTOBQUEOCT23!$A$6:$G$44,3,0)</f>
        <v>400000</v>
      </c>
      <c r="E24" s="9">
        <f>VLOOKUP(A24,[18]HISTOBQUEOCT23!$A$6:$G$39,4,0)</f>
        <v>17000</v>
      </c>
      <c r="F24" s="9">
        <f>VLOOKUP(A24,[18]HISTOBQUEOCT23!$A$6:$G$39,5,0)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VLOOKUP($A24,[20]TONTOCT23!$A$6:$P$35,12,0)</f>
        <v>0</v>
      </c>
      <c r="Q24" s="2">
        <f>VLOOKUP($A24,[13]TONTOCT23!$A$6:$P$20,10,0)</f>
        <v>0</v>
      </c>
      <c r="R24" s="2">
        <f>VLOOKUP($A24,[19]TONTOCT23!$A$6:$P$21,10,0)</f>
        <v>202000</v>
      </c>
      <c r="S24" s="20"/>
      <c r="T24" s="12"/>
      <c r="U24" s="17">
        <f t="shared" si="15"/>
        <v>417000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>
        <v>70000</v>
      </c>
      <c r="BB24" s="58"/>
      <c r="BC24" s="15"/>
      <c r="BD24" s="57">
        <f t="shared" si="13"/>
        <v>130000</v>
      </c>
      <c r="BE24" s="82">
        <v>130000</v>
      </c>
      <c r="BF24" s="29">
        <f t="shared" si="6"/>
        <v>0</v>
      </c>
      <c r="BG24" s="29">
        <v>2</v>
      </c>
      <c r="BH24" s="15"/>
      <c r="BI24" s="15"/>
      <c r="BJ24" s="15"/>
      <c r="BK24" s="15"/>
      <c r="BL24" s="61"/>
      <c r="BN24" s="62" t="s">
        <v>148</v>
      </c>
      <c r="BO24" t="s">
        <v>143</v>
      </c>
      <c r="BP24" s="62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VLOOKUP(A25,[18]HISTOBQUEOCT23!$A$6:$G$44,3,0)</f>
        <v>500000</v>
      </c>
      <c r="E25" s="9">
        <f>VLOOKUP(A25,[18]HISTOBQUEOCT23!$A$6:$G$39,4,0)</f>
        <v>0</v>
      </c>
      <c r="F25" s="9">
        <f>VLOOKUP(A25,[18]HISTOBQUEOCT23!$A$6:$G$39,5,0)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VLOOKUP($A25,[20]TONTOCT23!$A$6:$P$35,12,0)</f>
        <v>0</v>
      </c>
      <c r="Q25" s="2">
        <f>VLOOKUP($A25,[13]TONTOCT23!$A$6:$P$20,10,0)</f>
        <v>0</v>
      </c>
      <c r="R25" s="2">
        <f>VLOOKUP($A25,[19]TONTOCT23!$A$6:$P$21,10,0)</f>
        <v>202000</v>
      </c>
      <c r="S25" s="20"/>
      <c r="T25" s="12"/>
      <c r="U25" s="17">
        <f t="shared" si="15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2</v>
      </c>
      <c r="BH25" s="15"/>
      <c r="BI25" s="15"/>
      <c r="BJ25" s="15"/>
      <c r="BK25" s="15"/>
      <c r="BL25" s="61"/>
      <c r="BN25" t="s">
        <v>178</v>
      </c>
      <c r="BO25" t="s">
        <v>143</v>
      </c>
      <c r="BP25">
        <f>500000+100000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9">
        <f t="shared" si="0"/>
        <v>101000</v>
      </c>
      <c r="D26" s="9">
        <f>VLOOKUP(A26,[18]HISTOBQUEOCT23!$A$6:$G$44,3,0)</f>
        <v>0</v>
      </c>
      <c r="E26" s="9">
        <f>VLOOKUP(A26,[18]HISTOBQUEOCT23!$A$6:$G$39,4,0)</f>
        <v>158500</v>
      </c>
      <c r="F26" s="9">
        <f>VLOOKUP(A26,[18]HISTOBQUEOCT23!$A$6:$G$39,5,0)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VLOOKUP($A26,[20]TONTOCT23!$A$6:$P$35,12,0)</f>
        <v>17500</v>
      </c>
      <c r="Q26" s="2"/>
      <c r="R26" s="2"/>
      <c r="S26" s="20"/>
      <c r="T26" s="12"/>
      <c r="U26" s="17">
        <f t="shared" si="15"/>
        <v>57500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2</v>
      </c>
      <c r="BH26" s="15"/>
      <c r="BI26" s="15"/>
      <c r="BJ26" s="15"/>
      <c r="BK26" s="15"/>
      <c r="BL26" s="61"/>
      <c r="BN26" s="62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VLOOKUP(A27,[18]HISTOBQUEOCT23!$A$6:$G$44,3,0)</f>
        <v>50000</v>
      </c>
      <c r="E27" s="9">
        <f>VLOOKUP(A27,[18]HISTOBQUEOCT23!$A$6:$G$39,4,0)</f>
        <v>0</v>
      </c>
      <c r="F27" s="9">
        <f>VLOOKUP(A27,[18]HISTOBQUEOCT23!$A$6:$G$39,5,0)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VLOOKUP($A27,[20]TONTOCT23!$A$6:$P$35,12,0)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VLOOKUP(A28,[18]HISTOBQUEOCT23!$A$6:$G$44,3,0)</f>
        <v>115000</v>
      </c>
      <c r="E28" s="9">
        <f>VLOOKUP(A28,[18]HISTOBQUEOCT23!$A$6:$G$39,4,0)</f>
        <v>0</v>
      </c>
      <c r="F28" s="9">
        <f>VLOOKUP(A28,[18]HISTOBQUEOCT23!$A$6:$G$39,5,0)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VLOOKUP($A28,[20]TONTOCT23!$A$6:$P$35,12,0)</f>
        <v>0</v>
      </c>
      <c r="Q28" s="2">
        <f>VLOOKUP($A28,[13]TONTOCT23!$A$6:$P$20,10,0)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>
        <v>500000</v>
      </c>
      <c r="BF28" s="29">
        <f t="shared" si="6"/>
        <v>0</v>
      </c>
      <c r="BG28" s="29">
        <v>2</v>
      </c>
      <c r="BH28" s="15"/>
      <c r="BI28" s="15"/>
      <c r="BJ28" s="15"/>
      <c r="BK28" s="15"/>
      <c r="BL28" s="61"/>
      <c r="BN28" t="s">
        <v>142</v>
      </c>
      <c r="BP28" s="6">
        <f>SUM(BP24:BP26)</f>
        <v>600000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VLOOKUP(A29,[18]HISTOBQUEOCT23!$A$6:$G$44,3,0)</f>
        <v>40000</v>
      </c>
      <c r="E29" s="9">
        <f>VLOOKUP(A29,[18]HISTOBQUEOCT23!$A$6:$G$39,4,0)</f>
        <v>0</v>
      </c>
      <c r="F29" s="9">
        <f>VLOOKUP(A29,[18]HISTOBQUEOCT23!$A$6:$G$39,5,0)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VLOOKUP($A29,[20]TONTOCT23!$A$6:$P$35,12,0)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VLOOKUP(A30,[18]HISTOBQUEOCT23!$A$6:$G$44,3,0)</f>
        <v>115000</v>
      </c>
      <c r="E30" s="9">
        <f>VLOOKUP(A30,[18]HISTOBQUEOCT23!$A$6:$G$39,4,0)</f>
        <v>0</v>
      </c>
      <c r="F30" s="9">
        <f>VLOOKUP(A30,[18]HISTOBQUEOCT23!$A$6:$G$39,5,0)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VLOOKUP($A30,[20]TONTOCT23!$A$6:$P$35,12,0)</f>
        <v>0</v>
      </c>
      <c r="Q30" s="2">
        <f>VLOOKUP($A30,[13]TONTOCT23!$A$6:$P$20,10,0)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2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VLOOKUP(A31,[18]HISTOBQUEOCT23!$A$6:$G$44,3,0)</f>
        <v>171000</v>
      </c>
      <c r="E31" s="9">
        <f>VLOOKUP(A31,[18]HISTOBQUEOCT23!$A$6:$G$39,4,0)</f>
        <v>0</v>
      </c>
      <c r="F31" s="9">
        <f>VLOOKUP(A31,[18]HISTOBQUEOCT23!$A$6:$G$39,5,0)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VLOOKUP($A31,[20]TONTOCT23!$A$6:$P$35,12,0)</f>
        <v>0</v>
      </c>
      <c r="Q31" s="2"/>
      <c r="R31" s="2">
        <f>VLOOKUP($A31,[19]TONTOCT23!$A$6:$P$21,10,0)</f>
        <v>31000</v>
      </c>
      <c r="S31" s="20"/>
      <c r="T31" s="12"/>
      <c r="U31" s="17">
        <f t="shared" si="15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30000</v>
      </c>
      <c r="AJ31" s="12"/>
      <c r="AK31" s="12"/>
      <c r="AL31" s="12">
        <v>500</v>
      </c>
      <c r="AM31" s="12"/>
      <c r="AN31" s="12"/>
      <c r="AO31" s="12"/>
      <c r="AP31" s="12" t="s">
        <v>8</v>
      </c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30000</v>
      </c>
      <c r="AX31" s="15">
        <f t="shared" si="10"/>
        <v>0</v>
      </c>
      <c r="AY31" s="15">
        <f t="shared" si="11"/>
        <v>0</v>
      </c>
      <c r="AZ31" s="16">
        <f t="shared" si="12"/>
        <v>30000</v>
      </c>
      <c r="BA31" s="58"/>
      <c r="BB31" s="58"/>
      <c r="BC31" s="15"/>
      <c r="BD31" s="57">
        <f t="shared" si="13"/>
        <v>30000</v>
      </c>
      <c r="BE31" s="82">
        <v>30000</v>
      </c>
      <c r="BF31" s="29">
        <f t="shared" si="6"/>
        <v>0</v>
      </c>
      <c r="BG31" s="29">
        <v>2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VLOOKUP(A32,[18]HISTOBQUEOCT23!$A$6:$G$44,3,0)</f>
        <v>115000</v>
      </c>
      <c r="E32" s="9">
        <f>VLOOKUP(A32,[18]HISTOBQUEOCT23!$A$6:$G$39,4,0)</f>
        <v>0</v>
      </c>
      <c r="F32" s="9">
        <f>VLOOKUP(A32,[18]HISTOBQUEOCT23!$A$6:$G$39,5,0)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VLOOKUP($A32,[20]TONTOCT23!$A$6:$P$35,12,0)</f>
        <v>0</v>
      </c>
      <c r="Q32" s="2">
        <f>VLOOKUP($A32,[13]TONTOCT23!$A$6:$P$20,10,0)</f>
        <v>0</v>
      </c>
      <c r="R32" s="2"/>
      <c r="S32" s="20"/>
      <c r="T32" s="12"/>
      <c r="U32" s="17">
        <f t="shared" si="15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VLOOKUP(A33,[18]HISTOBQUEOCT23!$A$6:$G$44,3,0)</f>
        <v>40000</v>
      </c>
      <c r="E33" s="9">
        <f>VLOOKUP(A33,[18]HISTOBQUEOCT23!$A$6:$G$39,4,0)</f>
        <v>0</v>
      </c>
      <c r="F33" s="9">
        <f>VLOOKUP(A33,[18]HISTOBQUEOCT23!$A$6:$G$39,5,0)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VLOOKUP($A33,[20]TONTOCT23!$A$6:$P$35,12,0)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-227500</v>
      </c>
      <c r="D34" s="9">
        <f>VLOOKUP(A34,[18]HISTOBQUEOCT23!$A$6:$G$44,3,0)</f>
        <v>80000</v>
      </c>
      <c r="E34" s="9">
        <f>VLOOKUP(A34,[18]HISTOBQUEOCT23!$A$6:$G$39,4,0)</f>
        <v>0</v>
      </c>
      <c r="F34" s="9">
        <f>VLOOKUP(A34,[18]HISTOBQUEOCT23!$A$6:$G$39,5,0)+70000</f>
        <v>70000</v>
      </c>
      <c r="G34" s="5">
        <f t="shared" si="7"/>
        <v>0</v>
      </c>
      <c r="H34" s="10" t="str">
        <f t="shared" si="1"/>
        <v>BANQUE</v>
      </c>
      <c r="I34" s="10">
        <f>40000+227500</f>
        <v>267500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VLOOKUP($A34,[20]TONTOCT23!$A$6:$P$35,12,0)</f>
        <v>0</v>
      </c>
      <c r="Q34" s="2"/>
      <c r="R34" s="2"/>
      <c r="S34" s="20"/>
      <c r="T34" s="12"/>
      <c r="U34" s="17">
        <f t="shared" si="15"/>
        <v>307500</v>
      </c>
      <c r="V34" s="12"/>
      <c r="W34" s="12"/>
      <c r="X34" s="12"/>
      <c r="Y34" s="12"/>
      <c r="Z34" s="12"/>
      <c r="AA34" s="12"/>
      <c r="AB34" s="12"/>
      <c r="AC34" s="12">
        <v>2500</v>
      </c>
      <c r="AD34" s="12"/>
      <c r="AE34" s="12"/>
      <c r="AF34" s="12" t="s">
        <v>8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282500</v>
      </c>
      <c r="AT34" s="12"/>
      <c r="AV34" s="15"/>
      <c r="AW34" s="15">
        <f t="shared" si="9"/>
        <v>297500</v>
      </c>
      <c r="AX34" s="15">
        <f t="shared" si="10"/>
        <v>0</v>
      </c>
      <c r="AY34" s="15">
        <f t="shared" si="11"/>
        <v>0</v>
      </c>
      <c r="AZ34" s="16">
        <f t="shared" si="12"/>
        <v>227500</v>
      </c>
      <c r="BA34" s="58"/>
      <c r="BB34" s="58">
        <v>70000</v>
      </c>
      <c r="BC34" s="15"/>
      <c r="BD34" s="57">
        <f>IF(AZ34=0,(AZ34-BA34-BC34),(AZ34-BA34-BB34-BC34))+F34-227500</f>
        <v>0</v>
      </c>
      <c r="BE34" s="82"/>
      <c r="BF34" s="29">
        <f t="shared" si="6"/>
        <v>0</v>
      </c>
      <c r="BG34" s="29">
        <v>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VLOOKUP(A35,[18]HISTOBQUEOCT23!$A$6:$G$44,3,0)</f>
        <v>0</v>
      </c>
      <c r="E35" s="9">
        <f>VLOOKUP(A35,[18]HISTOBQUEOCT23!$A$6:$G$39,4,0)</f>
        <v>40000</v>
      </c>
      <c r="F35" s="9">
        <f>VLOOKUP(A35,[18]HISTOBQUEOCT23!$A$6:$G$39,5,0)</f>
        <v>0</v>
      </c>
      <c r="G35" s="5">
        <f>IF(H35="ESPECES",3000,0)-3000</f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VLOOKUP($A35,[20]TONTOCT23!$A$6:$P$35,12,0)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D36+E36+F36-U36-BB36</f>
        <v>0</v>
      </c>
      <c r="D36" s="9">
        <f>VLOOKUP(A36,[18]HISTOBQUEOCT23!$A$6:$G$44,3,0)</f>
        <v>880000</v>
      </c>
      <c r="E36" s="9">
        <f>VLOOKUP(A36,[18]HISTOBQUEOCT23!$A$6:$G$39,4,0)</f>
        <v>0</v>
      </c>
      <c r="F36" s="9">
        <f>VLOOKUP(A36,[18]HISTOBQUEOCT23!$A$6:$G$39,5,0)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VLOOKUP($A36,[20]TONTOCT23!$A$6:$P$35,12,0)</f>
        <v>0</v>
      </c>
      <c r="Q36" s="2">
        <f>VLOOKUP($A36,[13]TONTOCT23!$A$6:$P$20,10,0)</f>
        <v>0</v>
      </c>
      <c r="R36" s="2">
        <f>VLOOKUP($A36,[19]TONTOCT23!$A$6:$P$21,10,0)</f>
        <v>0</v>
      </c>
      <c r="S36" s="6">
        <v>590000</v>
      </c>
      <c r="T36" s="12" t="s">
        <v>8</v>
      </c>
      <c r="U36" s="17">
        <f t="shared" si="15"/>
        <v>880000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10000</v>
      </c>
      <c r="D38" s="5">
        <f t="shared" si="16"/>
        <v>5946000</v>
      </c>
      <c r="E38" s="5">
        <f t="shared" si="16"/>
        <v>536000</v>
      </c>
      <c r="F38" s="5">
        <f t="shared" si="16"/>
        <v>140000</v>
      </c>
      <c r="G38" s="5">
        <f t="shared" si="16"/>
        <v>0</v>
      </c>
      <c r="H38" s="5">
        <f t="shared" si="16"/>
        <v>0</v>
      </c>
      <c r="I38" s="5">
        <f t="shared" si="16"/>
        <v>335500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17500</v>
      </c>
      <c r="Q38" s="5">
        <f t="shared" si="16"/>
        <v>59000</v>
      </c>
      <c r="R38" s="5">
        <f t="shared" si="16"/>
        <v>1445000</v>
      </c>
      <c r="S38" s="5">
        <f t="shared" si="16"/>
        <v>740000</v>
      </c>
      <c r="T38" s="5"/>
      <c r="U38" s="5">
        <f t="shared" ref="U38:AA38" si="17">SUM(U6:U37)</f>
        <v>6472000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1500000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147500</v>
      </c>
      <c r="AJ38" s="5">
        <f t="shared" si="18"/>
        <v>375000</v>
      </c>
      <c r="AK38" s="5">
        <f t="shared" si="18"/>
        <v>1200000</v>
      </c>
      <c r="AL38" s="5">
        <f t="shared" si="18"/>
        <v>2500</v>
      </c>
      <c r="AM38" s="5">
        <f t="shared" si="18"/>
        <v>5000</v>
      </c>
      <c r="AN38" s="5">
        <f t="shared" si="18"/>
        <v>12000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785500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742500</v>
      </c>
      <c r="AX38" s="5">
        <f t="shared" si="18"/>
        <v>375000</v>
      </c>
      <c r="AY38" s="5">
        <f t="shared" si="18"/>
        <v>1200000</v>
      </c>
      <c r="AZ38" s="5">
        <f t="shared" si="18"/>
        <v>4371000</v>
      </c>
      <c r="BA38" s="5">
        <f t="shared" si="18"/>
        <v>389500</v>
      </c>
      <c r="BB38" s="5">
        <f t="shared" si="18"/>
        <v>140000</v>
      </c>
      <c r="BC38" s="5">
        <f t="shared" si="18"/>
        <v>0</v>
      </c>
      <c r="BD38" s="5">
        <f t="shared" si="18"/>
        <v>3754000</v>
      </c>
      <c r="BE38" s="5">
        <f t="shared" si="18"/>
        <v>4290000</v>
      </c>
      <c r="BF38" s="5">
        <f>SUM(BF6:BF37)</f>
        <v>20000</v>
      </c>
      <c r="BH38" s="5">
        <f t="shared" ref="BH38:BL38" si="19">SUM(BH6:BH37)</f>
        <v>13500</v>
      </c>
      <c r="BI38" s="5">
        <f t="shared" si="19"/>
        <v>600000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713500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4371000</v>
      </c>
      <c r="D43" s="9">
        <f>SUMIFS(D8:D38,H8:H38,"BANQUE")</f>
        <v>5731000</v>
      </c>
      <c r="F43" s="9">
        <f>E38</f>
        <v>536000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8001000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A6:AA36 AF6:AF33 AF35:AF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AI18" activePane="bottomRight" state="frozen"/>
      <selection activeCell="C36" sqref="C36"/>
      <selection pane="topRight" activeCell="C36" sqref="C36"/>
      <selection pane="bottomLeft" activeCell="C36" sqref="C36"/>
      <selection pane="bottomRight" activeCell="AK20" sqref="AK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VLOOKUP(A6,[18]HISTOBQUENOV23!$A$6:$G$44,3,0)</f>
        <v>175000</v>
      </c>
      <c r="E6" s="9">
        <f>VLOOKUP(A6,[18]HISTOBQUENOV23!$A$6:$G$39,4,0)</f>
        <v>0</v>
      </c>
      <c r="F6" s="9">
        <f>VLOOKUP(A6,[18]HISTOBQUENOV23!$A$6:$G$39,5,0)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VLOOKUP($A6,[13]TONTNOV23!$A$6:$P$20,10,0)</f>
        <v>0</v>
      </c>
      <c r="R6" s="2">
        <f>VLOOKUP($A6,[19]TONTNOV23!$A$6:$P$21,10,0)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SUM(AV6:AY6)-BF6+Z6-F6+BH6+BI6+BJ6+BK6+BL6+BM6-1190000</f>
        <v>-1074000</v>
      </c>
      <c r="BA6" s="58"/>
      <c r="BB6" s="58"/>
      <c r="BC6" s="15"/>
      <c r="BD6" s="57">
        <f>IF(AZ6=0,(AZ6-BA6-BC6),(AZ6-BA6-BB6-BC6))+F6</f>
        <v>-1074000</v>
      </c>
      <c r="BE6" s="82" t="s">
        <v>186</v>
      </c>
      <c r="BF6" s="29">
        <f t="shared" ref="BF6:BF36" si="6">Z6*1/100*BG6</f>
        <v>0</v>
      </c>
      <c r="BG6" s="29">
        <v>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110000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VLOOKUP(A7,[18]HISTOBQUENOV23!$A$6:$G$44,3,0)+28000</f>
        <v>68000</v>
      </c>
      <c r="E7" s="9">
        <f>VLOOKUP(A7,[18]HISTOBQUENOV23!$A$6:$G$39,4,0)</f>
        <v>0</v>
      </c>
      <c r="F7" s="9">
        <f>VLOOKUP(A7,[18]HISTOBQUENOV23!$A$6:$G$39,5,0)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VLOOKUP($A7,[20]TONTNOV23!$A$6:$P$35,12,0)</f>
        <v>28000</v>
      </c>
      <c r="Q7" s="2"/>
      <c r="R7" s="2"/>
      <c r="S7" s="20"/>
      <c r="T7" s="12"/>
      <c r="U7" s="17">
        <f>G7+S7++R7+P7+O7+M7+I7+K7+Q7+V7+W7</f>
        <v>68000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28000</v>
      </c>
      <c r="AJ7" s="12"/>
      <c r="AK7" s="12"/>
      <c r="AL7" s="12">
        <v>1000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28000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>SUM(AV7:AY7)-BF7+Z7-F7+BH7+BI7+BJ7+BK7+BL7+BM7-28000</f>
        <v>0</v>
      </c>
      <c r="BA7" s="58"/>
      <c r="BB7" s="58"/>
      <c r="BC7" s="15"/>
      <c r="BD7" s="57">
        <f t="shared" ref="BD7:BD36" si="12">IF(AZ7=0,(AZ7-BA7-BC7),(AZ7-BA7-BB7-BC7))+F7</f>
        <v>0</v>
      </c>
      <c r="BE7" s="82"/>
      <c r="BF7" s="29">
        <f t="shared" si="6"/>
        <v>0</v>
      </c>
      <c r="BG7" s="29">
        <v>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VLOOKUP(A8,[18]HISTOBQUENOV23!$A$6:$G$44,3,0)</f>
        <v>115000</v>
      </c>
      <c r="E8" s="9">
        <f>VLOOKUP(A8,[18]HISTOBQUENOV23!$A$6:$G$39,4,0)</f>
        <v>0</v>
      </c>
      <c r="F8" s="9">
        <f>VLOOKUP(A8,[18]HISTOBQUENOV23!$A$6:$G$39,5,0)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VLOOKUP($A8,[20]TONTNOV23!$A$6:$P$35,12,0)</f>
        <v>0</v>
      </c>
      <c r="Q8" s="2">
        <f>VLOOKUP($A8,[13]TONTNOV23!$A$6:$P$20,10,0)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>
        <v>100000</v>
      </c>
      <c r="AK8" s="12"/>
      <c r="AL8" s="12"/>
      <c r="AM8" s="12">
        <v>1000</v>
      </c>
      <c r="AN8" s="12"/>
      <c r="AO8" s="12"/>
      <c r="AP8" s="12" t="s">
        <v>8</v>
      </c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100000</v>
      </c>
      <c r="AY8" s="15">
        <f t="shared" si="11"/>
        <v>0</v>
      </c>
      <c r="AZ8" s="16">
        <f t="shared" ref="AZ8:AZ36" si="15">SUM(AV8:AY8)-BF8+Z8-F8+BH8+BI8+BJ8+BK8+BL8+BM8</f>
        <v>100000</v>
      </c>
      <c r="BA8" s="58"/>
      <c r="BB8" s="58"/>
      <c r="BC8" s="15"/>
      <c r="BD8" s="57">
        <f t="shared" si="12"/>
        <v>100000</v>
      </c>
      <c r="BE8" s="82" t="s">
        <v>186</v>
      </c>
      <c r="BF8" s="29">
        <f t="shared" si="6"/>
        <v>0</v>
      </c>
      <c r="BG8" s="29">
        <v>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VLOOKUP(A9,[18]HISTOBQUENOV23!$A$6:$G$44,3,0)</f>
        <v>342000</v>
      </c>
      <c r="E9" s="9">
        <f>VLOOKUP(A9,[18]HISTOBQUENOV23!$A$6:$G$39,4,0)</f>
        <v>0</v>
      </c>
      <c r="F9" s="9">
        <f>VLOOKUP(A9,[18]HISTOBQUENOV23!$A$6:$G$39,5,0)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VLOOKUP($A9,[20]TONTNOV23!$A$6:$P$35,12,0)</f>
        <v>0</v>
      </c>
      <c r="Q9" s="2"/>
      <c r="R9" s="2">
        <f>VLOOKUP($A9,[19]TONTNOV23!$A$6:$P$21,10,0)</f>
        <v>202000</v>
      </c>
      <c r="S9" s="20"/>
      <c r="T9" s="12"/>
      <c r="U9" s="17">
        <f t="shared" si="14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5"/>
        <v>0</v>
      </c>
      <c r="BA9" s="58"/>
      <c r="BB9" s="58"/>
      <c r="BC9" s="15"/>
      <c r="BD9" s="57">
        <f t="shared" si="12"/>
        <v>0</v>
      </c>
      <c r="BE9" s="82"/>
      <c r="BF9" s="29">
        <f t="shared" si="6"/>
        <v>0</v>
      </c>
      <c r="BG9" s="29">
        <v>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VLOOKUP(A10,[18]HISTOBQUENOV23!$A$6:$G$44,3,0)</f>
        <v>40000</v>
      </c>
      <c r="E10" s="9">
        <f>VLOOKUP(A10,[18]HISTOBQUENOV23!$A$6:$G$39,4,0)</f>
        <v>0</v>
      </c>
      <c r="F10" s="9">
        <f>VLOOKUP(A10,[18]HISTOBQUENOV23!$A$6:$G$39,5,0)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VLOOKUP($A10,[20]TONTNOV23!$A$6:$P$35,12,0)</f>
        <v>0</v>
      </c>
      <c r="Q10" s="2"/>
      <c r="R10" s="2"/>
      <c r="S10" s="20"/>
      <c r="T10" s="12"/>
      <c r="U10" s="17">
        <f t="shared" si="14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5"/>
        <v>0</v>
      </c>
      <c r="BA10" s="58"/>
      <c r="BB10" s="58"/>
      <c r="BC10" s="15"/>
      <c r="BD10" s="57">
        <f t="shared" si="12"/>
        <v>0</v>
      </c>
      <c r="BE10" s="82"/>
      <c r="BF10" s="29">
        <f t="shared" si="6"/>
        <v>0</v>
      </c>
      <c r="BG10" s="29">
        <v>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VLOOKUP(A11,[18]HISTOBQUENOV23!$A$6:$G$44,3,0)+76000</f>
        <v>191000</v>
      </c>
      <c r="E11" s="9">
        <f>VLOOKUP(A11,[18]HISTOBQUENOV23!$A$6:$G$39,4,0)</f>
        <v>0</v>
      </c>
      <c r="F11" s="9">
        <f>VLOOKUP(A11,[18]HISTOBQUENOV23!$A$6:$G$39,5,0)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VLOOKUP($A11,[20]TONTNOV23!$A$6:$P$35,12,0)</f>
        <v>0</v>
      </c>
      <c r="Q11" s="2">
        <f>VLOOKUP($A11,[13]TONTNOV23!$A$6:$P$20,10,0)</f>
        <v>76000</v>
      </c>
      <c r="R11" s="2"/>
      <c r="S11" s="20"/>
      <c r="T11" s="12"/>
      <c r="U11" s="17">
        <f t="shared" si="14"/>
        <v>191000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76000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76000</v>
      </c>
      <c r="AY11" s="15">
        <f t="shared" si="11"/>
        <v>0</v>
      </c>
      <c r="AZ11" s="16">
        <f>SUM(AV11:AY11)-BF11+Z11-F11+BH11+BI11+BJ11+BK11+BL11+BM11-76000</f>
        <v>0</v>
      </c>
      <c r="BA11" s="58"/>
      <c r="BB11" s="58"/>
      <c r="BC11" s="15"/>
      <c r="BD11" s="57">
        <f t="shared" si="12"/>
        <v>0</v>
      </c>
      <c r="BE11" s="82"/>
      <c r="BF11" s="29">
        <f t="shared" si="6"/>
        <v>0</v>
      </c>
      <c r="BG11" s="29">
        <v>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VLOOKUP(A12,[18]HISTOBQUENOV23!$A$6:$G$44,3,0)+202000</f>
        <v>522000</v>
      </c>
      <c r="E12" s="9">
        <f>VLOOKUP(A12,[18]HISTOBQUENOV23!$A$6:$G$39,4,0)</f>
        <v>0</v>
      </c>
      <c r="F12" s="9">
        <f>VLOOKUP(A12,[18]HISTOBQUENOV23!$A$6:$G$39,5,0)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VLOOKUP($A12,[20]TONTNOV23!$A$6:$P$35,12,0)</f>
        <v>0</v>
      </c>
      <c r="Q12" s="2">
        <f>VLOOKUP($A12,[13]TONTNOV23!$A$6:$P$20,10,0)</f>
        <v>0</v>
      </c>
      <c r="R12" s="2">
        <f>VLOOKUP($A12,[19]TONTNOV23!$A$6:$P$21,10,0)</f>
        <v>202000</v>
      </c>
      <c r="S12" s="20"/>
      <c r="T12" s="12"/>
      <c r="U12" s="17">
        <f t="shared" si="14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>
        <v>50000</v>
      </c>
      <c r="AK12" s="12">
        <v>202000</v>
      </c>
      <c r="AL12" s="12"/>
      <c r="AM12" s="12">
        <v>1000</v>
      </c>
      <c r="AN12" s="12">
        <v>4000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50000</v>
      </c>
      <c r="AY12" s="15">
        <f t="shared" si="11"/>
        <v>202000</v>
      </c>
      <c r="AZ12" s="16">
        <f>SUM(AV12:AY12)-BF12+Z12-F12+BH12+BI12+BJ12+BK12+BL12+BM12-202000</f>
        <v>50000</v>
      </c>
      <c r="BA12" s="58">
        <v>50000</v>
      </c>
      <c r="BB12" s="58"/>
      <c r="BC12" s="15"/>
      <c r="BD12" s="57">
        <f t="shared" si="12"/>
        <v>0</v>
      </c>
      <c r="BE12" s="82"/>
      <c r="BF12" s="29">
        <f t="shared" si="6"/>
        <v>0</v>
      </c>
      <c r="BG12" s="29">
        <v>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VLOOKUP(A13,[18]HISTOBQUENOV23!$A$6:$G$44,3,0)</f>
        <v>40000</v>
      </c>
      <c r="E13" s="9">
        <f>VLOOKUP(A13,[18]HISTOBQUENOV23!$A$6:$G$39,4,0)</f>
        <v>0</v>
      </c>
      <c r="F13" s="9">
        <f>VLOOKUP(A13,[18]HISTOBQUENOV23!$A$6:$G$39,5,0)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VLOOKUP($A13,[20]TONTNOV23!$A$6:$P$35,12,0)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5"/>
        <v>0</v>
      </c>
      <c r="BA13" s="58"/>
      <c r="BB13" s="58"/>
      <c r="BC13" s="15"/>
      <c r="BD13" s="57">
        <f t="shared" si="12"/>
        <v>0</v>
      </c>
      <c r="BE13" s="82"/>
      <c r="BF13" s="29">
        <f t="shared" si="6"/>
        <v>0</v>
      </c>
      <c r="BG13" s="29">
        <v>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9">
        <f t="shared" si="0"/>
        <v>-70000</v>
      </c>
      <c r="D14" s="9">
        <f>VLOOKUP(A14,[18]HISTOBQUENOV23!$A$6:$G$44,3,0)</f>
        <v>40000</v>
      </c>
      <c r="E14" s="9">
        <f>VLOOKUP(A14,[18]HISTOBQUENOV23!$A$6:$G$39,4,0)</f>
        <v>0</v>
      </c>
      <c r="F14" s="9">
        <f>VLOOKUP(A14,[18]HISTOBQUENOV23!$A$6:$G$39,5,0)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VLOOKUP($A14,[20]TONTNOV23!$A$6:$P$35,12,0)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>
        <v>2500</v>
      </c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297500</v>
      </c>
      <c r="AX14" s="15">
        <f t="shared" si="10"/>
        <v>0</v>
      </c>
      <c r="AY14" s="15">
        <f t="shared" si="11"/>
        <v>0</v>
      </c>
      <c r="AZ14" s="16">
        <f t="shared" si="15"/>
        <v>297500</v>
      </c>
      <c r="BA14" s="58"/>
      <c r="BB14" s="58">
        <v>70000</v>
      </c>
      <c r="BC14" s="15"/>
      <c r="BD14" s="57">
        <f t="shared" si="12"/>
        <v>227500</v>
      </c>
      <c r="BE14" s="82" t="s">
        <v>186</v>
      </c>
      <c r="BF14" s="29">
        <f t="shared" si="6"/>
        <v>0</v>
      </c>
      <c r="BG14" s="29">
        <v>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VLOOKUP(A15,[18]HISTOBQUENOV23!$A$6:$G$44,3,0)</f>
        <v>115000</v>
      </c>
      <c r="E15" s="9">
        <f>VLOOKUP(A15,[18]HISTOBQUENOV23!$A$6:$G$39,4,0)</f>
        <v>0</v>
      </c>
      <c r="F15" s="9">
        <f>VLOOKUP(A15,[18]HISTOBQUENOV23!$A$6:$G$39,5,0)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VLOOKUP($A15,[20]TONTNOV23!$A$6:$P$35,12,0)</f>
        <v>0</v>
      </c>
      <c r="Q15" s="2">
        <f>VLOOKUP($A15,[13]TONTNOV23!$A$6:$P$20,10,0)</f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5"/>
        <v>0</v>
      </c>
      <c r="BA15" s="58"/>
      <c r="BB15" s="58"/>
      <c r="BC15" s="15"/>
      <c r="BD15" s="57">
        <f t="shared" si="12"/>
        <v>0</v>
      </c>
      <c r="BE15" s="82"/>
      <c r="BF15" s="29">
        <f t="shared" si="6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-136500</v>
      </c>
      <c r="D16" s="9">
        <f>VLOOKUP(A16,[18]HISTOBQUENOV23!$A$6:$G$44,3,0)+202000</f>
        <v>452000</v>
      </c>
      <c r="E16" s="9">
        <f>VLOOKUP(A16,[18]HISTOBQUENOV23!$A$6:$G$39,4,0)</f>
        <v>0</v>
      </c>
      <c r="F16" s="9">
        <f>VLOOKUP(A16,[18]HISTOBQUENOV23!$A$6:$G$39,5,0)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VLOOKUP($A16,[20]TONTNOV23!$A$6:$P$35,12,0)</f>
        <v>0</v>
      </c>
      <c r="Q16" s="2">
        <f>VLOOKUP($A16,[13]TONTNOV23!$A$6:$P$20,10,0)</f>
        <v>0</v>
      </c>
      <c r="R16" s="2">
        <f>VLOOKUP($A16,[19]TONTNOV23!$A$6:$P$21,10,0)</f>
        <v>202000</v>
      </c>
      <c r="S16" s="20">
        <v>136500</v>
      </c>
      <c r="T16" s="12"/>
      <c r="U16" s="17">
        <f t="shared" si="14"/>
        <v>588500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202000</v>
      </c>
      <c r="AL16" s="12"/>
      <c r="AM16" s="12"/>
      <c r="AN16" s="12">
        <v>4000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202000</v>
      </c>
      <c r="AZ16" s="16">
        <f>SUM(AV16:AY16)-BF16+Z16-F16+BH16+BI16+BJ16+BK16+BL16+BM16-202000</f>
        <v>0</v>
      </c>
      <c r="BA16" s="58"/>
      <c r="BB16" s="58"/>
      <c r="BC16" s="15"/>
      <c r="BD16" s="57">
        <f t="shared" si="12"/>
        <v>0</v>
      </c>
      <c r="BE16" s="82"/>
      <c r="BF16" s="29">
        <f t="shared" si="6"/>
        <v>0</v>
      </c>
      <c r="BG16" s="29">
        <v>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VLOOKUP(A17,[18]HISTOBQUENOV23!$A$6:$G$44,3,0)</f>
        <v>140000</v>
      </c>
      <c r="E17" s="9">
        <f>VLOOKUP(A17,[18]HISTOBQUENOV23!$A$6:$G$39,4,0)</f>
        <v>0</v>
      </c>
      <c r="F17" s="9">
        <f>VLOOKUP(A17,[18]HISTOBQUENOV23!$A$6:$G$39,5,0)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VLOOKUP($A17,[20]TONTNOV23!$A$6:$P$35,12,0)</f>
        <v>0</v>
      </c>
      <c r="Q17" s="2"/>
      <c r="R17" s="2">
        <f>VLOOKUP($A17,[19]TONTNOV23!$A$6:$P$21,10,0)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5"/>
        <v>0</v>
      </c>
      <c r="BA17" s="58"/>
      <c r="BB17" s="58"/>
      <c r="BC17" s="15"/>
      <c r="BD17" s="57">
        <f t="shared" si="12"/>
        <v>0</v>
      </c>
      <c r="BE17" s="82"/>
      <c r="BF17" s="29">
        <f t="shared" si="6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VLOOKUP(A18,[18]HISTOBQUENOV23!$A$6:$G$44,3,0)</f>
        <v>367000</v>
      </c>
      <c r="E18" s="9">
        <f>VLOOKUP(A18,[18]HISTOBQUENOV23!$A$6:$G$39,4,0)</f>
        <v>0</v>
      </c>
      <c r="F18" s="9">
        <f>VLOOKUP(A18,[18]HISTOBQUENOV23!$A$6:$G$39,5,0)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VLOOKUP($A18,[20]TONTNOV23!$A$6:$P$35,12,0)</f>
        <v>0</v>
      </c>
      <c r="Q18" s="2">
        <f>VLOOKUP($A18,[13]TONTNOV23!$A$6:$P$20,10,0)</f>
        <v>152000</v>
      </c>
      <c r="R18" s="2">
        <f>VLOOKUP($A18,[19]TONTNOV23!$A$6:$P$21,10,0)</f>
        <v>0</v>
      </c>
      <c r="S18" s="20"/>
      <c r="T18" s="12"/>
      <c r="U18" s="17">
        <f t="shared" si="14"/>
        <v>367000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>
        <v>30000</v>
      </c>
      <c r="AJ18" s="12">
        <v>200000</v>
      </c>
      <c r="AK18" s="12"/>
      <c r="AL18" s="12">
        <v>500</v>
      </c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30000</v>
      </c>
      <c r="AX18" s="15">
        <f t="shared" si="10"/>
        <v>200000</v>
      </c>
      <c r="AY18" s="15">
        <f t="shared" si="11"/>
        <v>0</v>
      </c>
      <c r="AZ18" s="16">
        <f t="shared" si="15"/>
        <v>230000</v>
      </c>
      <c r="BA18" s="58">
        <f>17500+30000</f>
        <v>47500</v>
      </c>
      <c r="BB18" s="58"/>
      <c r="BC18" s="15"/>
      <c r="BD18" s="57">
        <f t="shared" si="12"/>
        <v>182500</v>
      </c>
      <c r="BE18" s="82" t="s">
        <v>186</v>
      </c>
      <c r="BF18" s="29">
        <f t="shared" si="6"/>
        <v>0</v>
      </c>
      <c r="BG18" s="29">
        <v>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VLOOKUP(A19,[18]HISTOBQUENOV23!$A$6:$G$44,3,0)</f>
        <v>40000</v>
      </c>
      <c r="E19" s="9">
        <f>VLOOKUP(A19,[18]HISTOBQUENOV23!$A$6:$G$39,4,0)</f>
        <v>0</v>
      </c>
      <c r="F19" s="9">
        <f>VLOOKUP(A19,[18]HISTOBQUENOV23!$A$6:$G$39,5,0)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VLOOKUP($A19,[20]TONTNOV23!$A$6:$P$35,12,0)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5"/>
        <v>0</v>
      </c>
      <c r="BA19" s="58"/>
      <c r="BB19" s="58"/>
      <c r="BC19" s="15"/>
      <c r="BD19" s="57">
        <f t="shared" si="12"/>
        <v>0</v>
      </c>
      <c r="BE19" s="82"/>
      <c r="BF19" s="29">
        <f t="shared" si="6"/>
        <v>0</v>
      </c>
      <c r="BG19" s="29">
        <v>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VLOOKUP(A20,[18]HISTOBQUENOV23!$A$6:$G$44,3,0)+354000</f>
        <v>599500</v>
      </c>
      <c r="E20" s="9">
        <f>VLOOKUP(A20,[18]HISTOBQUENOV23!$A$6:$G$39,4,0)</f>
        <v>0</v>
      </c>
      <c r="F20" s="9">
        <f>VLOOKUP(A20,[18]HISTOBQUENOV23!$A$6:$G$39,5,0)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VLOOKUP($A20,[20]TONTNOV23!$A$6:$P$35,12,0)</f>
        <v>30500</v>
      </c>
      <c r="Q20" s="2">
        <f>VLOOKUP($A20,[13]TONTNOV23!$A$6:$P$20,10,0)</f>
        <v>152000</v>
      </c>
      <c r="R20" s="2">
        <f>VLOOKUP($A20,[19]TONTNOV23!$A$6:$P$21,10,0)</f>
        <v>202000</v>
      </c>
      <c r="S20" s="20"/>
      <c r="T20" s="12"/>
      <c r="U20" s="17">
        <f t="shared" si="14"/>
        <v>599500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f>152000+51000+100000</f>
        <v>303000</v>
      </c>
      <c r="AK20" s="12">
        <f>202000+100000</f>
        <v>302000</v>
      </c>
      <c r="AL20" s="12"/>
      <c r="AM20" s="12">
        <f>1000+1000+2000</f>
        <v>4000</v>
      </c>
      <c r="AN20" s="12">
        <v>5000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303000</v>
      </c>
      <c r="AY20" s="15">
        <f t="shared" si="11"/>
        <v>302000</v>
      </c>
      <c r="AZ20" s="16">
        <f>SUM(AV20:AY20)-BF20+Z20-F20+BH20+BI20+BJ20+BK20+BL20+BM20-354000-151000</f>
        <v>100000</v>
      </c>
      <c r="BA20" s="58"/>
      <c r="BB20" s="58"/>
      <c r="BC20" s="15"/>
      <c r="BD20" s="57">
        <f t="shared" si="12"/>
        <v>100000</v>
      </c>
      <c r="BE20" s="82"/>
      <c r="BF20" s="29">
        <f t="shared" si="6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VLOOKUP(A21,[18]HISTOBQUENOV23!$A$6:$G$44,3,0)</f>
        <v>40000</v>
      </c>
      <c r="E21" s="9">
        <f>VLOOKUP(A21,[18]HISTOBQUENOV23!$A$6:$G$39,4,0)</f>
        <v>0</v>
      </c>
      <c r="F21" s="9">
        <f>VLOOKUP(A21,[18]HISTOBQUENOV23!$A$6:$G$39,5,0)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VLOOKUP($A21,[20]TONTNOV23!$A$6:$P$35,12,0)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5"/>
        <v>0</v>
      </c>
      <c r="BA21" s="58"/>
      <c r="BB21" s="58"/>
      <c r="BC21" s="15"/>
      <c r="BD21" s="57">
        <f t="shared" si="12"/>
        <v>0</v>
      </c>
      <c r="BE21" s="82"/>
      <c r="BF21" s="29">
        <f t="shared" si="6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VLOOKUP(A22,[18]HISTOBQUENOV23!$A$6:$G$44,3,0)</f>
        <v>115000</v>
      </c>
      <c r="E22" s="9">
        <f>VLOOKUP(A22,[18]HISTOBQUENOV23!$A$6:$G$39,4,0)</f>
        <v>0</v>
      </c>
      <c r="F22" s="9">
        <f>VLOOKUP(A22,[18]HISTOBQUENOV23!$A$6:$G$39,5,0)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VLOOKUP($A22,[20]TONTNOV23!$A$6:$P$35,12,0)</f>
        <v>0</v>
      </c>
      <c r="Q22" s="2">
        <f>VLOOKUP($A22,[13]TONTNOV23!$A$6:$P$20,10,0)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5"/>
        <v>0</v>
      </c>
      <c r="BA22" s="58"/>
      <c r="BB22" s="58"/>
      <c r="BC22" s="15"/>
      <c r="BD22" s="57">
        <f t="shared" si="12"/>
        <v>0</v>
      </c>
      <c r="BE22" s="82"/>
      <c r="BF22" s="29">
        <f t="shared" si="6"/>
        <v>0</v>
      </c>
      <c r="BG22" s="29">
        <v>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VLOOKUP(A23,[18]HISTOBQUENOV23!$A$6:$G$44,3,0)</f>
        <v>250000</v>
      </c>
      <c r="E23" s="9">
        <f>VLOOKUP(A23,[18]HISTOBQUENOV23!$A$6:$G$39,4,0)</f>
        <v>0</v>
      </c>
      <c r="F23" s="9">
        <f>VLOOKUP(A23,[18]HISTOBQUENOV23!$A$6:$G$39,5,0)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VLOOKUP($A23,[20]TONTNOV23!$A$6:$P$35,12,0)</f>
        <v>0</v>
      </c>
      <c r="Q23" s="2"/>
      <c r="R23" s="2">
        <f>VLOOKUP($A23,[19]TONTNOV23!$A$6:$P$21,10,0)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5"/>
        <v>0</v>
      </c>
      <c r="BA23" s="58"/>
      <c r="BB23" s="58"/>
      <c r="BC23" s="15"/>
      <c r="BD23" s="57">
        <f t="shared" si="12"/>
        <v>0</v>
      </c>
      <c r="BE23" s="82"/>
      <c r="BF23" s="29">
        <f t="shared" si="6"/>
        <v>0</v>
      </c>
      <c r="BG23" s="29">
        <v>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VLOOKUP(A24,[18]HISTOBQUENOV23!$A$6:$G$44,3,0)</f>
        <v>420000</v>
      </c>
      <c r="E24" s="9">
        <f>VLOOKUP(A24,[18]HISTOBQUENOV23!$A$6:$G$39,4,0)</f>
        <v>0</v>
      </c>
      <c r="F24" s="9">
        <f>VLOOKUP(A24,[18]HISTOBQUENOV23!$A$6:$G$39,5,0)</f>
        <v>0</v>
      </c>
      <c r="G24" s="5">
        <f t="shared" si="7"/>
        <v>0</v>
      </c>
      <c r="H24" s="10" t="str">
        <f t="shared" si="1"/>
        <v>BANQUE</v>
      </c>
      <c r="I24" s="10">
        <v>3000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VLOOKUP($A24,[20]TONTNOV23!$A$6:$P$35,12,0)</f>
        <v>0</v>
      </c>
      <c r="Q24" s="2">
        <f>VLOOKUP($A24,[13]TONTNOV23!$A$6:$P$20,10,0)</f>
        <v>0</v>
      </c>
      <c r="R24" s="2">
        <f>VLOOKUP($A24,[19]TONTNOV23!$A$6:$P$21,10,0)</f>
        <v>202000</v>
      </c>
      <c r="S24" s="20"/>
      <c r="T24" s="12"/>
      <c r="U24" s="17">
        <f t="shared" si="14"/>
        <v>420000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18000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5"/>
        <v>200000</v>
      </c>
      <c r="BA24" s="58"/>
      <c r="BB24" s="58"/>
      <c r="BC24" s="15"/>
      <c r="BD24" s="57">
        <f t="shared" si="12"/>
        <v>200000</v>
      </c>
      <c r="BE24" s="82" t="s">
        <v>186</v>
      </c>
      <c r="BF24" s="29">
        <f t="shared" si="6"/>
        <v>0</v>
      </c>
      <c r="BG24" s="29">
        <v>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VLOOKUP(A25,[18]HISTOBQUENOV23!$A$6:$G$44,3,0)</f>
        <v>500000</v>
      </c>
      <c r="E25" s="9">
        <f>VLOOKUP(A25,[18]HISTOBQUENOV23!$A$6:$G$39,4,0)</f>
        <v>0</v>
      </c>
      <c r="F25" s="9">
        <f>VLOOKUP(A25,[18]HISTOBQUENOV23!$A$6:$G$39,5,0)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VLOOKUP($A25,[20]TONTNOV23!$A$6:$P$35,12,0)</f>
        <v>0</v>
      </c>
      <c r="Q25" s="2">
        <f>VLOOKUP($A25,[13]TONTNOV23!$A$6:$P$20,10,0)</f>
        <v>0</v>
      </c>
      <c r="R25" s="2">
        <f>VLOOKUP($A25,[19]TONTNOV23!$A$6:$P$21,10,0)</f>
        <v>202000</v>
      </c>
      <c r="S25" s="20"/>
      <c r="T25" s="12"/>
      <c r="U25" s="17">
        <f t="shared" si="14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5"/>
        <v>200000</v>
      </c>
      <c r="BA25" s="58"/>
      <c r="BB25" s="58"/>
      <c r="BC25" s="15"/>
      <c r="BD25" s="57">
        <f t="shared" si="12"/>
        <v>200000</v>
      </c>
      <c r="BE25" s="82" t="s">
        <v>186</v>
      </c>
      <c r="BF25" s="29">
        <f t="shared" si="6"/>
        <v>0</v>
      </c>
      <c r="BG25" s="29">
        <v>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VLOOKUP(A26,[18]HISTOBQUENOV23!$A$6:$G$44,3,0)</f>
        <v>0</v>
      </c>
      <c r="E26" s="9">
        <f>VLOOKUP(A26,[18]HISTOBQUENOV23!$A$6:$G$39,4,0)</f>
        <v>102000</v>
      </c>
      <c r="F26" s="9">
        <f>VLOOKUP(A26,[18]HISTOBQUENOV23!$A$6:$G$39,5,0)</f>
        <v>0</v>
      </c>
      <c r="G26" s="5">
        <f t="shared" si="7"/>
        <v>3000</v>
      </c>
      <c r="H26" s="10" t="str">
        <f t="shared" si="1"/>
        <v>ESPECES</v>
      </c>
      <c r="I26" s="10">
        <v>-2000</v>
      </c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VLOOKUP($A26,[20]TONTNOV23!$A$6:$P$35,12,0)</f>
        <v>61000</v>
      </c>
      <c r="Q26" s="2"/>
      <c r="R26" s="2"/>
      <c r="S26" s="20"/>
      <c r="T26" s="12"/>
      <c r="U26" s="17">
        <f t="shared" si="14"/>
        <v>102000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13000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5"/>
        <v>0</v>
      </c>
      <c r="BA26" s="58"/>
      <c r="BB26" s="58"/>
      <c r="BC26" s="15"/>
      <c r="BD26" s="57">
        <f t="shared" si="12"/>
        <v>0</v>
      </c>
      <c r="BE26" s="82"/>
      <c r="BF26" s="29">
        <f t="shared" si="6"/>
        <v>0</v>
      </c>
      <c r="BG26" s="29">
        <v>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VLOOKUP(A27,[18]HISTOBQUENOV23!$A$6:$G$44,3,0)</f>
        <v>50000</v>
      </c>
      <c r="E27" s="9">
        <f>VLOOKUP(A27,[18]HISTOBQUENOV23!$A$6:$G$39,4,0)</f>
        <v>0</v>
      </c>
      <c r="F27" s="9">
        <f>VLOOKUP(A27,[18]HISTOBQUENOV23!$A$6:$G$39,5,0)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VLOOKUP($A27,[20]TONTNOV23!$A$6:$P$35,12,0)</f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5"/>
        <v>0</v>
      </c>
      <c r="BA27" s="58"/>
      <c r="BB27" s="58"/>
      <c r="BC27" s="15"/>
      <c r="BD27" s="57">
        <f t="shared" si="12"/>
        <v>0</v>
      </c>
      <c r="BE27" s="82"/>
      <c r="BF27" s="29">
        <f t="shared" si="6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9">
        <f t="shared" si="0"/>
        <v>-70000</v>
      </c>
      <c r="D28" s="9">
        <f>VLOOKUP(A28,[18]HISTOBQUENOV23!$A$6:$G$44,3,0)</f>
        <v>115000</v>
      </c>
      <c r="E28" s="9">
        <f>VLOOKUP(A28,[18]HISTOBQUENOV23!$A$6:$G$39,4,0)</f>
        <v>0</v>
      </c>
      <c r="F28" s="9">
        <f>VLOOKUP(A28,[18]HISTOBQUENOV23!$A$6:$G$39,5,0)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VLOOKUP($A28,[20]TONTNOV23!$A$6:$P$35,12,0)</f>
        <v>0</v>
      </c>
      <c r="Q28" s="2">
        <f>VLOOKUP($A28,[13]TONTNOV23!$A$6:$P$20,10,0)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>
        <v>2500</v>
      </c>
      <c r="AD28" s="12">
        <v>7500</v>
      </c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297500</v>
      </c>
      <c r="AX28" s="15">
        <f t="shared" si="10"/>
        <v>892500</v>
      </c>
      <c r="AY28" s="15">
        <f t="shared" si="11"/>
        <v>0</v>
      </c>
      <c r="AZ28" s="16">
        <f>SUM(AV28:AY28)-BF28+Z28-F28+BH28+BI28+BJ28+BK28+BL28+BM28-500000-30000-115000</f>
        <v>545000</v>
      </c>
      <c r="BA28" s="58"/>
      <c r="BB28" s="58">
        <v>70000</v>
      </c>
      <c r="BC28" s="15"/>
      <c r="BD28" s="57">
        <f t="shared" si="12"/>
        <v>475000</v>
      </c>
      <c r="BE28" s="82" t="s">
        <v>186</v>
      </c>
      <c r="BF28" s="29">
        <f t="shared" si="6"/>
        <v>0</v>
      </c>
      <c r="BG28" s="29">
        <v>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VLOOKUP(A29,[18]HISTOBQUENOV23!$A$6:$G$44,3,0)</f>
        <v>40000</v>
      </c>
      <c r="E29" s="9">
        <f>VLOOKUP(A29,[18]HISTOBQUENOV23!$A$6:$G$39,4,0)</f>
        <v>0</v>
      </c>
      <c r="F29" s="9">
        <f>VLOOKUP(A29,[18]HISTOBQUENOV23!$A$6:$G$39,5,0)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VLOOKUP($A29,[20]TONTNOV23!$A$6:$P$35,12,0)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5"/>
        <v>0</v>
      </c>
      <c r="BA29" s="58"/>
      <c r="BB29" s="58"/>
      <c r="BC29" s="15"/>
      <c r="BD29" s="57">
        <f t="shared" si="12"/>
        <v>0</v>
      </c>
      <c r="BE29" s="82"/>
      <c r="BF29" s="29">
        <f t="shared" si="6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VLOOKUP(A30,[18]HISTOBQUENOV23!$A$6:$G$44,3,0)</f>
        <v>115000</v>
      </c>
      <c r="E30" s="9">
        <f>VLOOKUP(A30,[18]HISTOBQUENOV23!$A$6:$G$39,4,0)</f>
        <v>0</v>
      </c>
      <c r="F30" s="9">
        <f>VLOOKUP(A30,[18]HISTOBQUENOV23!$A$6:$G$39,5,0)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VLOOKUP($A30,[20]TONTNOV23!$A$6:$P$35,12,0)</f>
        <v>0</v>
      </c>
      <c r="Q30" s="2">
        <f>VLOOKUP($A30,[13]TONTNOV23!$A$6:$P$20,10,0)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5"/>
        <v>0</v>
      </c>
      <c r="BA30" s="58"/>
      <c r="BB30" s="58"/>
      <c r="BC30" s="15"/>
      <c r="BD30" s="57">
        <f t="shared" si="12"/>
        <v>0</v>
      </c>
      <c r="BE30" s="82"/>
      <c r="BF30" s="29">
        <f t="shared" si="6"/>
        <v>0</v>
      </c>
      <c r="BG30" s="29">
        <v>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VLOOKUP(A31,[18]HISTOBQUENOV23!$A$6:$G$44,3,0)</f>
        <v>171000</v>
      </c>
      <c r="E31" s="9">
        <f>VLOOKUP(A31,[18]HISTOBQUENOV23!$A$6:$G$39,4,0)</f>
        <v>0</v>
      </c>
      <c r="F31" s="9">
        <f>VLOOKUP(A31,[18]HISTOBQUENOV23!$A$6:$G$39,5,0)</f>
        <v>0</v>
      </c>
      <c r="G31" s="5">
        <f t="shared" si="7"/>
        <v>0</v>
      </c>
      <c r="H31" s="10" t="str">
        <f t="shared" si="1"/>
        <v>BANQUE</v>
      </c>
      <c r="I31" s="10">
        <v>500</v>
      </c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VLOOKUP($A31,[20]TONTNOV23!$A$6:$P$35,12,0)</f>
        <v>30500</v>
      </c>
      <c r="Q31" s="2"/>
      <c r="R31" s="2">
        <f>VLOOKUP($A31,[19]TONTNOV23!$A$6:$P$21,10,0)</f>
        <v>0</v>
      </c>
      <c r="S31" s="20"/>
      <c r="T31" s="12"/>
      <c r="U31" s="17">
        <f t="shared" si="14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15500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5"/>
        <v>30000</v>
      </c>
      <c r="BA31" s="58">
        <v>30000</v>
      </c>
      <c r="BB31" s="58"/>
      <c r="BC31" s="15"/>
      <c r="BD31" s="57">
        <f t="shared" si="12"/>
        <v>0</v>
      </c>
      <c r="BE31" s="82" t="s">
        <v>186</v>
      </c>
      <c r="BF31" s="29">
        <f t="shared" si="6"/>
        <v>0</v>
      </c>
      <c r="BG31" s="29">
        <v>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VLOOKUP(A32,[18]HISTOBQUENOV23!$A$6:$G$44,3,0)</f>
        <v>115000</v>
      </c>
      <c r="E32" s="9">
        <f>VLOOKUP(A32,[18]HISTOBQUENOV23!$A$6:$G$39,4,0)</f>
        <v>0</v>
      </c>
      <c r="F32" s="9">
        <f>VLOOKUP(A32,[18]HISTOBQUENOV23!$A$6:$G$39,5,0)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VLOOKUP($A32,[20]TONTNOV23!$A$6:$P$35,12,0)</f>
        <v>0</v>
      </c>
      <c r="Q32" s="2">
        <f>VLOOKUP($A32,[13]TONTNOV23!$A$6:$P$20,10,0)</f>
        <v>0</v>
      </c>
      <c r="R32" s="2"/>
      <c r="S32" s="20"/>
      <c r="T32" s="12"/>
      <c r="U32" s="17">
        <f t="shared" si="14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5"/>
        <v>100000</v>
      </c>
      <c r="BA32" s="58"/>
      <c r="BB32" s="58"/>
      <c r="BC32" s="15"/>
      <c r="BD32" s="57">
        <f t="shared" si="12"/>
        <v>100000</v>
      </c>
      <c r="BE32" s="82" t="s">
        <v>186</v>
      </c>
      <c r="BF32" s="29">
        <f t="shared" si="6"/>
        <v>0</v>
      </c>
      <c r="BG32" s="29">
        <v>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9">
        <f t="shared" si="0"/>
        <v>80000</v>
      </c>
      <c r="D33" s="9">
        <f>VLOOKUP(A33,[18]HISTOBQUENOV23!$A$6:$G$44,3,0)</f>
        <v>120000</v>
      </c>
      <c r="E33" s="9">
        <f>VLOOKUP(A33,[18]HISTOBQUENOV23!$A$6:$G$39,4,0)</f>
        <v>0</v>
      </c>
      <c r="F33" s="9">
        <f>VLOOKUP(A33,[18]HISTOBQUENOV23!$A$6:$G$39,5,0)</f>
        <v>0</v>
      </c>
      <c r="G33" s="5">
        <f>IF(H33="ESPECES",3000,0)+12000</f>
        <v>12000</v>
      </c>
      <c r="H33" s="10" t="str">
        <f t="shared" si="1"/>
        <v>BANQUE</v>
      </c>
      <c r="I33" s="10">
        <v>-12000</v>
      </c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VLOOKUP($A33,[20]TONTNOV23!$A$6:$P$35,12,0)</f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3000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5"/>
        <v>0</v>
      </c>
      <c r="BA33" s="58"/>
      <c r="BB33" s="58"/>
      <c r="BC33" s="15"/>
      <c r="BD33" s="57">
        <f t="shared" si="12"/>
        <v>0</v>
      </c>
      <c r="BE33" s="82"/>
      <c r="BF33" s="29">
        <f t="shared" si="6"/>
        <v>0</v>
      </c>
      <c r="BG33" s="29">
        <v>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VLOOKUP(A34,[18]HISTOBQUENOV23!$A$6:$G$44,3,0)</f>
        <v>70000</v>
      </c>
      <c r="E34" s="9">
        <f>VLOOKUP(A34,[18]HISTOBQUENOV23!$A$6:$G$39,4,0)</f>
        <v>0</v>
      </c>
      <c r="F34" s="9">
        <f>VLOOKUP(A34,[18]HISTOBQUENOV23!$A$6:$G$39,5,0)</f>
        <v>0</v>
      </c>
      <c r="G34" s="5">
        <f t="shared" si="7"/>
        <v>0</v>
      </c>
      <c r="H34" s="10" t="str">
        <f t="shared" si="1"/>
        <v>BANQUE</v>
      </c>
      <c r="I34" s="10">
        <v>30000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VLOOKUP($A34,[20]TONTNOV23!$A$6:$P$35,12,0)</f>
        <v>0</v>
      </c>
      <c r="Q34" s="2"/>
      <c r="R34" s="2"/>
      <c r="S34" s="20"/>
      <c r="T34" s="12"/>
      <c r="U34" s="17">
        <f t="shared" si="14"/>
        <v>70000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45000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5"/>
        <v>0</v>
      </c>
      <c r="BA34" s="58"/>
      <c r="BB34" s="58"/>
      <c r="BC34" s="15"/>
      <c r="BD34" s="57">
        <f t="shared" si="12"/>
        <v>0</v>
      </c>
      <c r="BE34" s="82"/>
      <c r="BF34" s="29">
        <f t="shared" si="6"/>
        <v>0</v>
      </c>
      <c r="BG34" s="29">
        <v>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VLOOKUP(A35,[18]HISTOBQUENOV23!$A$6:$G$44,3,0)</f>
        <v>0</v>
      </c>
      <c r="E35" s="9">
        <f>VLOOKUP(A35,[18]HISTOBQUENOV23!$A$6:$G$39,4,0)</f>
        <v>40000</v>
      </c>
      <c r="F35" s="9">
        <f>VLOOKUP(A35,[18]HISTOBQUENOV23!$A$6:$G$39,5,0)</f>
        <v>0</v>
      </c>
      <c r="G35" s="5">
        <f t="shared" si="7"/>
        <v>3000</v>
      </c>
      <c r="H35" s="10" t="str">
        <f t="shared" si="1"/>
        <v>ESPECES</v>
      </c>
      <c r="I35" s="10">
        <v>-3000</v>
      </c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VLOOKUP($A35,[20]TONTNOV23!$A$6:$P$35,12,0)</f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12000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5"/>
        <v>0</v>
      </c>
      <c r="BA35" s="58"/>
      <c r="BB35" s="58"/>
      <c r="BC35" s="15"/>
      <c r="BD35" s="57">
        <f t="shared" si="12"/>
        <v>0</v>
      </c>
      <c r="BE35" s="82"/>
      <c r="BF35" s="29">
        <f t="shared" si="6"/>
        <v>0</v>
      </c>
      <c r="BG35" s="29">
        <v>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f>100000+10000</f>
        <v>110000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9">
        <f t="shared" si="0"/>
        <v>-70000</v>
      </c>
      <c r="D36" s="9">
        <f>VLOOKUP(A36,[18]HISTOBQUENOV23!$A$6:$G$44,3,0)</f>
        <v>593000</v>
      </c>
      <c r="E36" s="9">
        <f>VLOOKUP(A36,[18]HISTOBQUENOV23!$A$6:$G$39,4,0)</f>
        <v>0</v>
      </c>
      <c r="F36" s="9">
        <f>VLOOKUP(A36,[18]HISTOBQUENOV23!$A$6:$G$39,5,0)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VLOOKUP($A36,[20]TONTNOV23!$A$6:$P$35,12,0)</f>
        <v>0</v>
      </c>
      <c r="Q36" s="2">
        <f>VLOOKUP($A36,[13]TONTNOV23!$A$6:$P$20,10,0)</f>
        <v>0</v>
      </c>
      <c r="R36" s="2">
        <f>VLOOKUP($A36,[19]TONTNOV23!$A$6:$P$21,10,0)</f>
        <v>0</v>
      </c>
      <c r="S36" s="20">
        <v>303000</v>
      </c>
      <c r="T36" s="12" t="s">
        <v>8</v>
      </c>
      <c r="U36" s="17">
        <f t="shared" si="14"/>
        <v>593000</v>
      </c>
      <c r="V36" s="12"/>
      <c r="W36" s="12"/>
      <c r="X36" s="12"/>
      <c r="Y36" s="12"/>
      <c r="Z36" s="12"/>
      <c r="AA36" s="12"/>
      <c r="AB36" s="12"/>
      <c r="AC36" s="12">
        <v>2500</v>
      </c>
      <c r="AD36" s="12">
        <v>7500</v>
      </c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297500</v>
      </c>
      <c r="AX36" s="15">
        <f t="shared" si="10"/>
        <v>892500</v>
      </c>
      <c r="AY36" s="15">
        <f t="shared" si="11"/>
        <v>0</v>
      </c>
      <c r="AZ36" s="16">
        <f t="shared" si="15"/>
        <v>1190000</v>
      </c>
      <c r="BA36" s="58"/>
      <c r="BB36" s="58">
        <v>70000</v>
      </c>
      <c r="BC36" s="15"/>
      <c r="BD36" s="57">
        <f t="shared" si="12"/>
        <v>1120000</v>
      </c>
      <c r="BE36" s="82" t="s">
        <v>186</v>
      </c>
      <c r="BF36" s="29">
        <f t="shared" si="6"/>
        <v>0</v>
      </c>
      <c r="BG36" s="29">
        <v>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-266500</v>
      </c>
      <c r="D38" s="5">
        <f t="shared" si="16"/>
        <v>5960500</v>
      </c>
      <c r="E38" s="5">
        <f t="shared" si="16"/>
        <v>142000</v>
      </c>
      <c r="F38" s="5">
        <f t="shared" si="16"/>
        <v>0</v>
      </c>
      <c r="G38" s="5">
        <f t="shared" si="16"/>
        <v>18000</v>
      </c>
      <c r="H38" s="5">
        <f t="shared" si="16"/>
        <v>0</v>
      </c>
      <c r="I38" s="5">
        <f t="shared" si="16"/>
        <v>84500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150000</v>
      </c>
      <c r="Q38" s="5">
        <f t="shared" si="16"/>
        <v>380000</v>
      </c>
      <c r="R38" s="5">
        <f t="shared" si="16"/>
        <v>1212000</v>
      </c>
      <c r="S38" s="5">
        <f t="shared" si="16"/>
        <v>439500</v>
      </c>
      <c r="T38" s="5"/>
      <c r="U38" s="5">
        <f t="shared" ref="U38:AA38" si="17">SUM(U6:U37)</f>
        <v>6159000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58000</v>
      </c>
      <c r="AJ38" s="5">
        <f t="shared" si="18"/>
        <v>829000</v>
      </c>
      <c r="AK38" s="5">
        <f t="shared" si="18"/>
        <v>1136000</v>
      </c>
      <c r="AL38" s="5">
        <f t="shared" si="18"/>
        <v>1500</v>
      </c>
      <c r="AM38" s="5">
        <f t="shared" si="18"/>
        <v>10000</v>
      </c>
      <c r="AN38" s="5">
        <f t="shared" si="18"/>
        <v>18000</v>
      </c>
      <c r="AO38" s="5"/>
      <c r="AP38" s="5"/>
      <c r="AQ38" s="5">
        <f t="shared" si="18"/>
        <v>0</v>
      </c>
      <c r="AR38" s="5">
        <f t="shared" si="18"/>
        <v>0</v>
      </c>
      <c r="AS38" s="5">
        <f t="shared" si="18"/>
        <v>534500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950500</v>
      </c>
      <c r="AX38" s="5">
        <f t="shared" si="18"/>
        <v>2614000</v>
      </c>
      <c r="AY38" s="5">
        <f t="shared" si="18"/>
        <v>1136000</v>
      </c>
      <c r="AZ38" s="5">
        <f t="shared" si="18"/>
        <v>1968500</v>
      </c>
      <c r="BA38" s="5">
        <f t="shared" si="18"/>
        <v>127500</v>
      </c>
      <c r="BB38" s="5">
        <f t="shared" si="18"/>
        <v>210000</v>
      </c>
      <c r="BC38" s="5">
        <f t="shared" si="18"/>
        <v>0</v>
      </c>
      <c r="BD38" s="5">
        <f t="shared" si="18"/>
        <v>1631000</v>
      </c>
      <c r="BE38" s="5"/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110000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116000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1968500</v>
      </c>
      <c r="D43" s="9">
        <f>SUMIFS(D8:D38,H8:H38,"BANQUE")</f>
        <v>5717500</v>
      </c>
      <c r="F43" s="9">
        <f>E38</f>
        <v>142000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5011000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6" sqref="I1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/>
  <dcterms:created xsi:type="dcterms:W3CDTF">2020-03-01T01:00:00Z</dcterms:created>
</cp:coreProperties>
</file>