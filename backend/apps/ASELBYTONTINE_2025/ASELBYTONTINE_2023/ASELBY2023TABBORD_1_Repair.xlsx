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alcChain.xml><?xml version="1.0" encoding="utf-8"?>
<calcChain xmlns="http://schemas.openxmlformats.org/spreadsheetml/2006/main">
  <c r="F38" i="49" l="1"/>
  <c r="E38" i="49"/>
  <c r="F37" i="49"/>
  <c r="E37" i="49"/>
  <c r="F36" i="49"/>
  <c r="E36" i="49"/>
  <c r="F35" i="49"/>
  <c r="E35" i="49"/>
  <c r="F34" i="49"/>
  <c r="E34" i="49"/>
  <c r="F33" i="49"/>
  <c r="E33" i="49"/>
  <c r="F32" i="49"/>
  <c r="E32" i="49"/>
  <c r="F31" i="49"/>
  <c r="E31" i="49"/>
  <c r="F30" i="49"/>
  <c r="E30" i="49"/>
  <c r="F29" i="49"/>
  <c r="E29" i="49"/>
  <c r="F28" i="49"/>
  <c r="E28" i="49"/>
  <c r="F27" i="49"/>
  <c r="E27" i="49"/>
  <c r="F26" i="49"/>
  <c r="E26" i="49"/>
  <c r="F25" i="49"/>
  <c r="E25" i="49"/>
  <c r="F24" i="49"/>
  <c r="E24" i="49"/>
  <c r="F23" i="49"/>
  <c r="E23" i="49"/>
  <c r="F22" i="49"/>
  <c r="E22" i="49"/>
  <c r="F21" i="49"/>
  <c r="E21" i="49"/>
  <c r="F20" i="49"/>
  <c r="E20" i="49"/>
  <c r="F19" i="49"/>
  <c r="E19" i="49"/>
  <c r="F18" i="49"/>
  <c r="E18" i="49"/>
  <c r="F17" i="49"/>
  <c r="E17" i="49"/>
  <c r="F16" i="49"/>
  <c r="E16" i="49"/>
  <c r="F15" i="49"/>
  <c r="E15" i="49"/>
  <c r="F14" i="49"/>
  <c r="E14" i="49"/>
  <c r="F13" i="49"/>
  <c r="E13" i="49"/>
  <c r="F12" i="49"/>
  <c r="E12" i="49"/>
  <c r="F11" i="49"/>
  <c r="E11" i="49"/>
  <c r="F10" i="49"/>
  <c r="E10" i="49"/>
  <c r="F9" i="49"/>
  <c r="E9" i="49"/>
  <c r="F8" i="49"/>
  <c r="E8" i="49"/>
  <c r="F7" i="49"/>
  <c r="E7" i="49"/>
  <c r="F6" i="49"/>
  <c r="E6" i="49"/>
  <c r="F38" i="50"/>
  <c r="E38" i="50"/>
  <c r="F37" i="50"/>
  <c r="E37" i="50"/>
  <c r="F36" i="50"/>
  <c r="E36" i="50"/>
  <c r="F35" i="50"/>
  <c r="E35" i="50"/>
  <c r="F34" i="50"/>
  <c r="E34" i="50"/>
  <c r="F33" i="50"/>
  <c r="E33" i="50"/>
  <c r="F32" i="50"/>
  <c r="E32" i="50"/>
  <c r="F31" i="50"/>
  <c r="E31" i="50"/>
  <c r="F30" i="50"/>
  <c r="E30" i="50"/>
  <c r="F29" i="50"/>
  <c r="E29" i="50"/>
  <c r="F28" i="50"/>
  <c r="E28" i="50"/>
  <c r="F27" i="50"/>
  <c r="E27" i="50"/>
  <c r="F26" i="50"/>
  <c r="E26" i="50"/>
  <c r="F25" i="50"/>
  <c r="E25" i="50"/>
  <c r="F24" i="50"/>
  <c r="E24" i="50"/>
  <c r="F23" i="50"/>
  <c r="E23" i="50"/>
  <c r="F22" i="50"/>
  <c r="E22" i="50"/>
  <c r="F21" i="50"/>
  <c r="E21" i="50"/>
  <c r="F20" i="50"/>
  <c r="E20" i="50"/>
  <c r="F19" i="50"/>
  <c r="E19" i="50"/>
  <c r="F18" i="50"/>
  <c r="E18" i="50"/>
  <c r="F17" i="50"/>
  <c r="E17" i="50"/>
  <c r="F16" i="50"/>
  <c r="E16" i="50"/>
  <c r="F15" i="50"/>
  <c r="E15" i="50"/>
  <c r="F14" i="50"/>
  <c r="E14" i="50"/>
  <c r="F13" i="50"/>
  <c r="E13" i="50"/>
  <c r="F12" i="50"/>
  <c r="E12" i="50"/>
  <c r="F11" i="50"/>
  <c r="E11" i="50"/>
  <c r="F10" i="50"/>
  <c r="E10" i="50"/>
  <c r="F9" i="50"/>
  <c r="E9" i="50"/>
  <c r="F8" i="50"/>
  <c r="E8" i="50"/>
  <c r="F7" i="50"/>
  <c r="E7" i="50"/>
  <c r="F6" i="50"/>
  <c r="E6" i="50"/>
  <c r="F38" i="51"/>
  <c r="E38" i="51"/>
  <c r="F37" i="51"/>
  <c r="E37" i="51"/>
  <c r="F36" i="51"/>
  <c r="E36" i="51"/>
  <c r="F35" i="51"/>
  <c r="E35" i="51"/>
  <c r="F34" i="51"/>
  <c r="E34" i="51"/>
  <c r="F33" i="51"/>
  <c r="E33" i="51"/>
  <c r="F32" i="51"/>
  <c r="E32" i="51"/>
  <c r="F31" i="51"/>
  <c r="E31" i="51"/>
  <c r="F30" i="51"/>
  <c r="E30" i="51"/>
  <c r="F29" i="51"/>
  <c r="E29" i="51"/>
  <c r="F28" i="51"/>
  <c r="E28" i="51"/>
  <c r="F27" i="51"/>
  <c r="E27" i="51"/>
  <c r="F26" i="51"/>
  <c r="E26" i="51"/>
  <c r="F25" i="51"/>
  <c r="E25" i="51"/>
  <c r="F24" i="51"/>
  <c r="E24" i="51"/>
  <c r="F23" i="51"/>
  <c r="E23" i="51"/>
  <c r="F22" i="51"/>
  <c r="E22" i="51"/>
  <c r="F21" i="51"/>
  <c r="E21" i="51"/>
  <c r="F20" i="51"/>
  <c r="E20" i="51"/>
  <c r="F19" i="51"/>
  <c r="E19" i="51"/>
  <c r="F18" i="51"/>
  <c r="E18" i="51"/>
  <c r="F17" i="51"/>
  <c r="E17" i="51"/>
  <c r="F16" i="51"/>
  <c r="E16" i="51"/>
  <c r="F15" i="51"/>
  <c r="E15" i="51"/>
  <c r="F14" i="51"/>
  <c r="E14" i="51"/>
  <c r="F13" i="51"/>
  <c r="E13" i="51"/>
  <c r="F12" i="51"/>
  <c r="E12" i="51"/>
  <c r="F11" i="51"/>
  <c r="E11" i="51"/>
  <c r="F10" i="51"/>
  <c r="E10" i="51"/>
  <c r="F9" i="51"/>
  <c r="E9" i="51"/>
  <c r="F8" i="51"/>
  <c r="E8" i="51"/>
  <c r="F7" i="51"/>
  <c r="E7" i="51"/>
  <c r="F6" i="51"/>
  <c r="E6" i="51"/>
  <c r="F38" i="52"/>
  <c r="E38" i="52"/>
  <c r="F37" i="52"/>
  <c r="E37" i="52"/>
  <c r="F36" i="52"/>
  <c r="E36" i="52"/>
  <c r="F35" i="52"/>
  <c r="E35" i="52"/>
  <c r="F34" i="52"/>
  <c r="E34" i="52"/>
  <c r="F33" i="52"/>
  <c r="E33" i="52"/>
  <c r="F32" i="52"/>
  <c r="E32" i="52"/>
  <c r="F31" i="52"/>
  <c r="E31" i="52"/>
  <c r="F30" i="52"/>
  <c r="E30" i="52"/>
  <c r="F29" i="52"/>
  <c r="E29" i="52"/>
  <c r="F28" i="52"/>
  <c r="E28" i="52"/>
  <c r="F27" i="52"/>
  <c r="E27" i="52"/>
  <c r="F26" i="52"/>
  <c r="E26" i="52"/>
  <c r="F25" i="52"/>
  <c r="E25" i="52"/>
  <c r="F24" i="52"/>
  <c r="E24" i="52"/>
  <c r="F23" i="52"/>
  <c r="E23" i="52"/>
  <c r="F22" i="52"/>
  <c r="E22" i="52"/>
  <c r="F21" i="52"/>
  <c r="E21" i="52"/>
  <c r="F20" i="52"/>
  <c r="E20" i="52"/>
  <c r="F19" i="52"/>
  <c r="E19" i="52"/>
  <c r="F18" i="52"/>
  <c r="E18" i="52"/>
  <c r="F17" i="52"/>
  <c r="E17" i="52"/>
  <c r="F16" i="52"/>
  <c r="E16" i="52"/>
  <c r="F15" i="52"/>
  <c r="E15" i="52"/>
  <c r="F14" i="52"/>
  <c r="E14" i="52"/>
  <c r="F13" i="52"/>
  <c r="E13" i="52"/>
  <c r="F12" i="52"/>
  <c r="E12" i="52"/>
  <c r="F11" i="52"/>
  <c r="E11" i="52"/>
  <c r="F10" i="52"/>
  <c r="E10" i="52"/>
  <c r="F9" i="52"/>
  <c r="E9" i="52"/>
  <c r="F8" i="52"/>
  <c r="E8" i="52"/>
  <c r="F7" i="52"/>
  <c r="E7" i="52"/>
  <c r="F6" i="52"/>
  <c r="E6" i="52"/>
  <c r="F38" i="53"/>
  <c r="E38" i="53"/>
  <c r="F37" i="53"/>
  <c r="E37" i="53"/>
  <c r="F36" i="53"/>
  <c r="E36" i="53"/>
  <c r="F35" i="53"/>
  <c r="E35" i="53"/>
  <c r="F34" i="53"/>
  <c r="E34" i="53"/>
  <c r="F33" i="53"/>
  <c r="E33" i="53"/>
  <c r="F32" i="53"/>
  <c r="E32" i="53"/>
  <c r="F31" i="53"/>
  <c r="E31" i="53"/>
  <c r="F30" i="53"/>
  <c r="E30" i="53"/>
  <c r="F29" i="53"/>
  <c r="E29" i="53"/>
  <c r="F28" i="53"/>
  <c r="E28" i="53"/>
  <c r="F27" i="53"/>
  <c r="E27" i="53"/>
  <c r="F26" i="53"/>
  <c r="E26" i="53"/>
  <c r="F25" i="53"/>
  <c r="E25" i="53"/>
  <c r="F24" i="53"/>
  <c r="E24" i="53"/>
  <c r="F23" i="53"/>
  <c r="E23" i="53"/>
  <c r="F22" i="53"/>
  <c r="E22" i="53"/>
  <c r="F21" i="53"/>
  <c r="E21" i="53"/>
  <c r="F20" i="53"/>
  <c r="E20" i="53"/>
  <c r="F19" i="53"/>
  <c r="E19" i="53"/>
  <c r="F18" i="53"/>
  <c r="E18" i="53"/>
  <c r="F17" i="53"/>
  <c r="E17" i="53"/>
  <c r="F16" i="53"/>
  <c r="E16" i="53"/>
  <c r="F15" i="53"/>
  <c r="E15" i="53"/>
  <c r="F14" i="53"/>
  <c r="E14" i="53"/>
  <c r="F13" i="53"/>
  <c r="E13" i="53"/>
  <c r="F12" i="53"/>
  <c r="E12" i="53"/>
  <c r="F11" i="53"/>
  <c r="E11" i="53"/>
  <c r="F10" i="53"/>
  <c r="E10" i="53"/>
  <c r="F9" i="53"/>
  <c r="E9" i="53"/>
  <c r="F8" i="53"/>
  <c r="E8" i="53"/>
  <c r="F7" i="53"/>
  <c r="E7" i="53"/>
  <c r="F6" i="53"/>
  <c r="E6" i="53"/>
  <c r="F38" i="54"/>
  <c r="E38" i="54"/>
  <c r="F37" i="54"/>
  <c r="E37" i="54"/>
  <c r="F36" i="54"/>
  <c r="E36" i="54"/>
  <c r="F35" i="54"/>
  <c r="E35" i="54"/>
  <c r="F34" i="54"/>
  <c r="E34" i="54"/>
  <c r="F33" i="54"/>
  <c r="E33" i="54"/>
  <c r="F32" i="54"/>
  <c r="E32" i="54"/>
  <c r="F31" i="54"/>
  <c r="E31" i="54"/>
  <c r="F30" i="54"/>
  <c r="E30" i="54"/>
  <c r="F29" i="54"/>
  <c r="E29" i="54"/>
  <c r="F28" i="54"/>
  <c r="E28" i="54"/>
  <c r="F27" i="54"/>
  <c r="E27" i="54"/>
  <c r="F26" i="54"/>
  <c r="E26" i="54"/>
  <c r="F25" i="54"/>
  <c r="E25" i="54"/>
  <c r="F24" i="54"/>
  <c r="E24" i="54"/>
  <c r="F23" i="54"/>
  <c r="E23" i="54"/>
  <c r="F22" i="54"/>
  <c r="E22" i="54"/>
  <c r="F21" i="54"/>
  <c r="E21" i="54"/>
  <c r="F20" i="54"/>
  <c r="E20" i="54"/>
  <c r="F19" i="54"/>
  <c r="E19" i="54"/>
  <c r="F18" i="54"/>
  <c r="E18" i="54"/>
  <c r="F17" i="54"/>
  <c r="E17" i="54"/>
  <c r="F16" i="54"/>
  <c r="E16" i="54"/>
  <c r="F15" i="54"/>
  <c r="E15" i="54"/>
  <c r="F14" i="54"/>
  <c r="E14" i="54"/>
  <c r="F13" i="54"/>
  <c r="E13" i="54"/>
  <c r="F12" i="54"/>
  <c r="E12" i="54"/>
  <c r="F11" i="54"/>
  <c r="E11" i="54"/>
  <c r="F10" i="54"/>
  <c r="E10" i="54"/>
  <c r="F9" i="54"/>
  <c r="E9" i="54"/>
  <c r="F8" i="54"/>
  <c r="E8" i="54"/>
  <c r="F7" i="54"/>
  <c r="E7" i="54"/>
  <c r="F6" i="54"/>
  <c r="E6" i="54"/>
  <c r="F38" i="55"/>
  <c r="E38" i="55"/>
  <c r="F37" i="55"/>
  <c r="E37" i="55"/>
  <c r="F36" i="55"/>
  <c r="E36" i="55"/>
  <c r="F35" i="55"/>
  <c r="E35" i="55"/>
  <c r="F34" i="55"/>
  <c r="E34" i="55"/>
  <c r="F33" i="55"/>
  <c r="E33" i="55"/>
  <c r="F32" i="55"/>
  <c r="E32" i="55"/>
  <c r="F31" i="55"/>
  <c r="E31" i="55"/>
  <c r="F30" i="55"/>
  <c r="E30" i="55"/>
  <c r="F29" i="55"/>
  <c r="E29" i="55"/>
  <c r="F28" i="55"/>
  <c r="E28" i="55"/>
  <c r="F27" i="55"/>
  <c r="E27" i="55"/>
  <c r="F26" i="55"/>
  <c r="E26" i="55"/>
  <c r="F25" i="55"/>
  <c r="E25" i="55"/>
  <c r="F24" i="55"/>
  <c r="E24" i="55"/>
  <c r="F23" i="55"/>
  <c r="E23" i="55"/>
  <c r="F22" i="55"/>
  <c r="E22" i="55"/>
  <c r="F21" i="55"/>
  <c r="E21" i="55"/>
  <c r="F20" i="55"/>
  <c r="E20" i="55"/>
  <c r="F19" i="55"/>
  <c r="E19" i="55"/>
  <c r="F18" i="55"/>
  <c r="E18" i="55"/>
  <c r="F17" i="55"/>
  <c r="E17" i="55"/>
  <c r="F16" i="55"/>
  <c r="E16" i="55"/>
  <c r="F15" i="55"/>
  <c r="E15" i="55"/>
  <c r="F14" i="55"/>
  <c r="E14" i="55"/>
  <c r="F13" i="55"/>
  <c r="E13" i="55"/>
  <c r="F12" i="55"/>
  <c r="E12" i="55"/>
  <c r="F11" i="55"/>
  <c r="E11" i="55"/>
  <c r="F10" i="55"/>
  <c r="E10" i="55"/>
  <c r="F9" i="55"/>
  <c r="E9" i="55"/>
  <c r="F8" i="55"/>
  <c r="E8" i="55"/>
  <c r="F7" i="55"/>
  <c r="E7" i="55"/>
  <c r="F6" i="55"/>
  <c r="E6" i="55"/>
  <c r="F38" i="56"/>
  <c r="E38" i="56"/>
  <c r="F37" i="56"/>
  <c r="E37" i="56"/>
  <c r="F36" i="56"/>
  <c r="E36" i="56"/>
  <c r="F35" i="56"/>
  <c r="E35" i="56"/>
  <c r="F34" i="56"/>
  <c r="E34" i="56"/>
  <c r="F33" i="56"/>
  <c r="E33" i="56"/>
  <c r="F32" i="56"/>
  <c r="E32" i="56"/>
  <c r="F31" i="56"/>
  <c r="E31" i="56"/>
  <c r="F30" i="56"/>
  <c r="E30" i="56"/>
  <c r="F29" i="56"/>
  <c r="E29" i="56"/>
  <c r="F28" i="56"/>
  <c r="E28" i="56"/>
  <c r="F27" i="56"/>
  <c r="E27" i="56"/>
  <c r="F26" i="56"/>
  <c r="E26" i="56"/>
  <c r="F25" i="56"/>
  <c r="E25" i="56"/>
  <c r="F24" i="56"/>
  <c r="E24" i="56"/>
  <c r="F23" i="56"/>
  <c r="E23" i="56"/>
  <c r="F22" i="56"/>
  <c r="E22" i="56"/>
  <c r="F21" i="56"/>
  <c r="E21" i="56"/>
  <c r="F20" i="56"/>
  <c r="E20" i="56"/>
  <c r="F19" i="56"/>
  <c r="E19" i="56"/>
  <c r="F18" i="56"/>
  <c r="E18" i="56"/>
  <c r="F17" i="56"/>
  <c r="E17" i="56"/>
  <c r="F16" i="56"/>
  <c r="E16" i="56"/>
  <c r="F15" i="56"/>
  <c r="E15" i="56"/>
  <c r="F14" i="56"/>
  <c r="E14" i="56"/>
  <c r="F13" i="56"/>
  <c r="E13" i="56"/>
  <c r="F12" i="56"/>
  <c r="E12" i="56"/>
  <c r="F11" i="56"/>
  <c r="E11" i="56"/>
  <c r="F10" i="56"/>
  <c r="E10" i="56"/>
  <c r="F9" i="56"/>
  <c r="E9" i="56"/>
  <c r="F8" i="56"/>
  <c r="E8" i="56"/>
  <c r="F7" i="56"/>
  <c r="E7" i="56"/>
  <c r="F6" i="56"/>
  <c r="E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6" i="56"/>
  <c r="D7" i="55"/>
  <c r="D8" i="55"/>
  <c r="D9" i="55"/>
  <c r="D10" i="55"/>
  <c r="D11" i="55"/>
  <c r="D12" i="55"/>
  <c r="D13" i="55"/>
  <c r="D14" i="55"/>
  <c r="D15" i="55"/>
  <c r="D16" i="55"/>
  <c r="D17" i="55"/>
  <c r="D18" i="55"/>
  <c r="D19" i="55"/>
  <c r="D20" i="55"/>
  <c r="D21" i="55"/>
  <c r="D22" i="55"/>
  <c r="D23" i="55"/>
  <c r="D24" i="55"/>
  <c r="D25" i="55"/>
  <c r="D26" i="55"/>
  <c r="D27" i="55"/>
  <c r="D28" i="55"/>
  <c r="D29" i="55"/>
  <c r="D30" i="55"/>
  <c r="D31" i="55"/>
  <c r="D32" i="55"/>
  <c r="D33" i="55"/>
  <c r="D34" i="55"/>
  <c r="D35" i="55"/>
  <c r="D36" i="55"/>
  <c r="D37" i="55"/>
  <c r="D38" i="55"/>
  <c r="D6" i="55"/>
  <c r="D7" i="54"/>
  <c r="D8" i="54"/>
  <c r="D9" i="54"/>
  <c r="D10" i="54"/>
  <c r="D11" i="54"/>
  <c r="D12" i="54"/>
  <c r="D13" i="54"/>
  <c r="D14" i="54"/>
  <c r="D15" i="54"/>
  <c r="D16" i="54"/>
  <c r="D17" i="54"/>
  <c r="D18" i="54"/>
  <c r="D19" i="54"/>
  <c r="D20" i="54"/>
  <c r="D21" i="54"/>
  <c r="D22" i="54"/>
  <c r="D23" i="54"/>
  <c r="D24" i="54"/>
  <c r="D25" i="54"/>
  <c r="D26" i="54"/>
  <c r="D27" i="54"/>
  <c r="D28" i="54"/>
  <c r="D29" i="54"/>
  <c r="D30" i="54"/>
  <c r="D31" i="54"/>
  <c r="D32" i="54"/>
  <c r="D33" i="54"/>
  <c r="D34" i="54"/>
  <c r="D35" i="54"/>
  <c r="D36" i="54"/>
  <c r="D37" i="54"/>
  <c r="D38" i="54"/>
  <c r="D6" i="54"/>
  <c r="D7" i="53"/>
  <c r="D8" i="53"/>
  <c r="D9" i="53"/>
  <c r="D10" i="53"/>
  <c r="D11" i="53"/>
  <c r="D12" i="53"/>
  <c r="D13" i="53"/>
  <c r="D14" i="53"/>
  <c r="D15" i="53"/>
  <c r="D16" i="53"/>
  <c r="D17" i="53"/>
  <c r="D18" i="53"/>
  <c r="D19" i="53"/>
  <c r="D20" i="53"/>
  <c r="D21" i="53"/>
  <c r="D22" i="53"/>
  <c r="D23" i="53"/>
  <c r="D24" i="53"/>
  <c r="D25" i="53"/>
  <c r="D26" i="53"/>
  <c r="D27" i="53"/>
  <c r="D28" i="53"/>
  <c r="D29" i="53"/>
  <c r="D30" i="53"/>
  <c r="D31" i="53"/>
  <c r="D32" i="53"/>
  <c r="D33" i="53"/>
  <c r="D34" i="53"/>
  <c r="D35" i="53"/>
  <c r="D36" i="53"/>
  <c r="D37" i="53"/>
  <c r="D38" i="53"/>
  <c r="D6" i="53"/>
  <c r="D7" i="52"/>
  <c r="D8" i="52"/>
  <c r="D9" i="52"/>
  <c r="D10" i="52"/>
  <c r="D11" i="52"/>
  <c r="D12" i="52"/>
  <c r="D13" i="52"/>
  <c r="D14" i="52"/>
  <c r="D15" i="52"/>
  <c r="D16" i="52"/>
  <c r="D17" i="52"/>
  <c r="D18" i="52"/>
  <c r="D19" i="52"/>
  <c r="D20" i="52"/>
  <c r="D21" i="52"/>
  <c r="D22" i="52"/>
  <c r="D23" i="52"/>
  <c r="D24" i="52"/>
  <c r="D25" i="52"/>
  <c r="D26" i="52"/>
  <c r="D27" i="52"/>
  <c r="D28" i="52"/>
  <c r="D29" i="52"/>
  <c r="D30" i="52"/>
  <c r="D31" i="52"/>
  <c r="D32" i="52"/>
  <c r="D33" i="52"/>
  <c r="D34" i="52"/>
  <c r="D35" i="52"/>
  <c r="D36" i="52"/>
  <c r="D37" i="52"/>
  <c r="D38" i="52"/>
  <c r="D6" i="52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6" i="51"/>
  <c r="D7" i="50"/>
  <c r="D8" i="50"/>
  <c r="D9" i="50"/>
  <c r="D10" i="50"/>
  <c r="D11" i="50"/>
  <c r="D12" i="50"/>
  <c r="D13" i="50"/>
  <c r="D14" i="50"/>
  <c r="D15" i="50"/>
  <c r="D16" i="50"/>
  <c r="D17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6" i="50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6" i="49"/>
  <c r="AN18" i="48" l="1"/>
  <c r="AN25" i="48"/>
  <c r="E36" i="48"/>
  <c r="D26" i="48"/>
  <c r="BF7" i="56" l="1"/>
  <c r="BF8" i="56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1" i="56"/>
  <c r="BF22" i="56"/>
  <c r="BF23" i="56"/>
  <c r="BF24" i="56"/>
  <c r="BF25" i="56"/>
  <c r="BF26" i="56"/>
  <c r="BF27" i="56"/>
  <c r="BF28" i="56"/>
  <c r="BF29" i="56"/>
  <c r="BF30" i="56"/>
  <c r="BF31" i="56"/>
  <c r="BF32" i="56"/>
  <c r="BF33" i="56"/>
  <c r="BF34" i="56"/>
  <c r="BF35" i="56"/>
  <c r="BF36" i="56"/>
  <c r="BF37" i="56"/>
  <c r="BF38" i="56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7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7" i="51"/>
  <c r="BF8" i="51"/>
  <c r="BF9" i="51"/>
  <c r="BF10" i="51"/>
  <c r="BF11" i="51"/>
  <c r="BF12" i="51"/>
  <c r="BF13" i="51"/>
  <c r="BF14" i="51"/>
  <c r="BF15" i="51"/>
  <c r="BF16" i="51"/>
  <c r="BF17" i="51"/>
  <c r="BF18" i="51"/>
  <c r="BF19" i="51"/>
  <c r="BF20" i="51"/>
  <c r="BF21" i="51"/>
  <c r="BF22" i="51"/>
  <c r="BF23" i="51"/>
  <c r="BF24" i="51"/>
  <c r="BF25" i="51"/>
  <c r="BF26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7" i="50"/>
  <c r="BF8" i="50"/>
  <c r="BF9" i="50"/>
  <c r="BF10" i="50"/>
  <c r="BF11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0" i="50"/>
  <c r="BF31" i="50"/>
  <c r="BF32" i="50"/>
  <c r="BF33" i="50"/>
  <c r="BF34" i="50"/>
  <c r="BF35" i="50"/>
  <c r="BF36" i="50"/>
  <c r="BF37" i="50"/>
  <c r="BF38" i="50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BF7" i="48"/>
  <c r="BF8" i="48"/>
  <c r="BF9" i="48"/>
  <c r="BF10" i="48"/>
  <c r="BF11" i="48"/>
  <c r="BF12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BH6" i="57" l="1"/>
  <c r="BH40" i="57" s="1"/>
  <c r="BB38" i="57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20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7" i="57"/>
  <c r="BA6" i="57"/>
  <c r="AY38" i="57"/>
  <c r="AX38" i="57"/>
  <c r="AY37" i="57"/>
  <c r="AX37" i="57"/>
  <c r="AY36" i="57"/>
  <c r="AX36" i="57"/>
  <c r="AY35" i="57"/>
  <c r="AX35" i="57"/>
  <c r="AY34" i="57"/>
  <c r="AX34" i="57"/>
  <c r="AY33" i="57"/>
  <c r="AX33" i="57"/>
  <c r="AY32" i="57"/>
  <c r="AX31" i="57"/>
  <c r="AY30" i="57"/>
  <c r="AX30" i="57"/>
  <c r="AY29" i="57"/>
  <c r="AX29" i="57"/>
  <c r="AY28" i="57"/>
  <c r="AX28" i="57"/>
  <c r="AY27" i="57"/>
  <c r="AX27" i="57"/>
  <c r="AY26" i="57"/>
  <c r="AX26" i="57"/>
  <c r="AX25" i="57"/>
  <c r="AX24" i="57"/>
  <c r="AY23" i="57"/>
  <c r="AX23" i="57"/>
  <c r="AY22" i="57"/>
  <c r="AX22" i="57"/>
  <c r="AY21" i="57"/>
  <c r="AX21" i="57"/>
  <c r="AY20" i="57"/>
  <c r="AY19" i="57"/>
  <c r="AX19" i="57"/>
  <c r="AX18" i="57"/>
  <c r="AY17" i="57"/>
  <c r="AX17" i="57"/>
  <c r="AX16" i="57"/>
  <c r="AY15" i="57"/>
  <c r="AX15" i="57"/>
  <c r="AY14" i="57"/>
  <c r="AX14" i="57"/>
  <c r="AY13" i="57"/>
  <c r="AX13" i="57"/>
  <c r="AY12" i="57"/>
  <c r="AX12" i="57"/>
  <c r="AY11" i="57"/>
  <c r="AX11" i="57"/>
  <c r="AY10" i="57"/>
  <c r="AY9" i="57"/>
  <c r="AX9" i="57"/>
  <c r="AY8" i="57"/>
  <c r="AX8" i="57"/>
  <c r="AY7" i="57"/>
  <c r="AX7" i="57"/>
  <c r="AY6" i="57"/>
  <c r="AX6" i="57"/>
  <c r="AW38" i="57"/>
  <c r="AW37" i="57"/>
  <c r="AW36" i="57"/>
  <c r="AW35" i="57"/>
  <c r="AW34" i="57"/>
  <c r="AW33" i="57"/>
  <c r="AW31" i="57"/>
  <c r="AW30" i="57"/>
  <c r="AW29" i="57"/>
  <c r="AW28" i="57"/>
  <c r="AW27" i="57"/>
  <c r="AW26" i="57"/>
  <c r="AW25" i="57"/>
  <c r="AW24" i="57"/>
  <c r="AW23" i="57"/>
  <c r="AW22" i="57"/>
  <c r="AW21" i="57"/>
  <c r="AW20" i="57"/>
  <c r="AW19" i="57"/>
  <c r="AW18" i="57"/>
  <c r="AW17" i="57"/>
  <c r="AW16" i="57"/>
  <c r="AW14" i="57"/>
  <c r="AW13" i="57"/>
  <c r="AW12" i="57"/>
  <c r="AW9" i="57"/>
  <c r="AW8" i="57"/>
  <c r="AW7" i="57"/>
  <c r="AW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N20" i="57"/>
  <c r="AM20" i="57"/>
  <c r="AL20" i="57"/>
  <c r="AK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K40" i="57" s="1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M40" i="57" s="1"/>
  <c r="AL11" i="57"/>
  <c r="AK11" i="57"/>
  <c r="AJ11" i="57"/>
  <c r="AI11" i="57"/>
  <c r="AI40" i="57" s="1"/>
  <c r="AN10" i="57"/>
  <c r="AM10" i="57"/>
  <c r="AL10" i="57"/>
  <c r="AK10" i="57"/>
  <c r="AJ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Z40" i="57" s="1"/>
  <c r="Y6" i="57"/>
  <c r="X6" i="57"/>
  <c r="W6" i="57"/>
  <c r="W40" i="57" s="1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40" i="57" s="1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40" i="57" s="1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P45" i="57"/>
  <c r="BP40" i="57"/>
  <c r="BL40" i="57"/>
  <c r="BE40" i="57"/>
  <c r="BC40" i="57"/>
  <c r="BB40" i="57"/>
  <c r="AV40" i="57"/>
  <c r="AU40" i="57"/>
  <c r="AT40" i="57"/>
  <c r="AP40" i="57"/>
  <c r="AO40" i="57"/>
  <c r="AL40" i="57"/>
  <c r="AG40" i="57"/>
  <c r="AF40" i="57"/>
  <c r="AD40" i="57"/>
  <c r="AA40" i="57"/>
  <c r="Y40" i="57"/>
  <c r="X40" i="57"/>
  <c r="N40" i="57"/>
  <c r="L40" i="57"/>
  <c r="J40" i="57"/>
  <c r="B38" i="57"/>
  <c r="B37" i="57"/>
  <c r="B36" i="57"/>
  <c r="B35" i="57"/>
  <c r="B34" i="57"/>
  <c r="BP33" i="57"/>
  <c r="BP34" i="57" s="1"/>
  <c r="B33" i="57"/>
  <c r="B32" i="57"/>
  <c r="B31" i="57"/>
  <c r="B30" i="57"/>
  <c r="B29" i="57"/>
  <c r="BP28" i="57"/>
  <c r="B28" i="57"/>
  <c r="B27" i="57"/>
  <c r="B26" i="57"/>
  <c r="B25" i="57"/>
  <c r="B24" i="57"/>
  <c r="B23" i="57"/>
  <c r="BP22" i="57"/>
  <c r="B22" i="57"/>
  <c r="B21" i="57"/>
  <c r="B20" i="57"/>
  <c r="B19" i="57"/>
  <c r="B18" i="57"/>
  <c r="B17" i="57"/>
  <c r="BP16" i="57"/>
  <c r="B16" i="57"/>
  <c r="B15" i="57"/>
  <c r="B14" i="57"/>
  <c r="B13" i="57"/>
  <c r="B12" i="57"/>
  <c r="B11" i="57"/>
  <c r="B10" i="57"/>
  <c r="B9" i="57"/>
  <c r="B8" i="57"/>
  <c r="B7" i="57"/>
  <c r="BM6" i="57"/>
  <c r="BM40" i="57" s="1"/>
  <c r="B6" i="57"/>
  <c r="BP45" i="56"/>
  <c r="BP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AZ38" i="56"/>
  <c r="BD38" i="56" s="1"/>
  <c r="B38" i="56"/>
  <c r="AY37" i="56"/>
  <c r="AX37" i="56"/>
  <c r="AW37" i="56"/>
  <c r="AZ37" i="56"/>
  <c r="BD37" i="56" s="1"/>
  <c r="B37" i="56"/>
  <c r="AY36" i="56"/>
  <c r="AX36" i="56"/>
  <c r="AW36" i="56"/>
  <c r="AZ36" i="56"/>
  <c r="BD36" i="56" s="1"/>
  <c r="B36" i="56"/>
  <c r="AY35" i="56"/>
  <c r="AX35" i="56"/>
  <c r="AW35" i="56"/>
  <c r="AZ35" i="56"/>
  <c r="BD35" i="56" s="1"/>
  <c r="B35" i="56"/>
  <c r="AY34" i="56"/>
  <c r="AX34" i="56"/>
  <c r="AW34" i="56"/>
  <c r="AZ34" i="56"/>
  <c r="BD34" i="56" s="1"/>
  <c r="B34" i="56"/>
  <c r="BP33" i="56"/>
  <c r="AY33" i="56"/>
  <c r="AX33" i="56"/>
  <c r="AW33" i="56"/>
  <c r="AZ33" i="56"/>
  <c r="BD33" i="56" s="1"/>
  <c r="B33" i="56"/>
  <c r="AY32" i="56"/>
  <c r="AX32" i="56"/>
  <c r="AW32" i="56"/>
  <c r="AZ32" i="56"/>
  <c r="BD32" i="56" s="1"/>
  <c r="B32" i="56"/>
  <c r="AY31" i="56"/>
  <c r="AX31" i="56"/>
  <c r="AW31" i="56"/>
  <c r="AZ31" i="56"/>
  <c r="BD31" i="56" s="1"/>
  <c r="B31" i="56"/>
  <c r="AY30" i="56"/>
  <c r="AX30" i="56"/>
  <c r="AW30" i="56"/>
  <c r="AZ30" i="56"/>
  <c r="BD30" i="56" s="1"/>
  <c r="B30" i="56"/>
  <c r="AY29" i="56"/>
  <c r="AX29" i="56"/>
  <c r="AW29" i="56"/>
  <c r="AZ29" i="56"/>
  <c r="BD29" i="56" s="1"/>
  <c r="B29" i="56"/>
  <c r="BP28" i="56"/>
  <c r="AY28" i="56"/>
  <c r="AX28" i="56"/>
  <c r="AW28" i="56"/>
  <c r="AZ28" i="56"/>
  <c r="BD28" i="56" s="1"/>
  <c r="B28" i="56"/>
  <c r="AY27" i="56"/>
  <c r="AX27" i="56"/>
  <c r="AW27" i="56"/>
  <c r="AZ27" i="56"/>
  <c r="BD27" i="56" s="1"/>
  <c r="B27" i="56"/>
  <c r="AY26" i="56"/>
  <c r="AX26" i="56"/>
  <c r="AW26" i="56"/>
  <c r="AZ26" i="56"/>
  <c r="BD26" i="56" s="1"/>
  <c r="B26" i="56"/>
  <c r="AY25" i="56"/>
  <c r="AX25" i="56"/>
  <c r="AW25" i="56"/>
  <c r="AZ25" i="56"/>
  <c r="BD25" i="56" s="1"/>
  <c r="B25" i="56"/>
  <c r="AY24" i="56"/>
  <c r="AX24" i="56"/>
  <c r="AW24" i="56"/>
  <c r="AZ24" i="56"/>
  <c r="BD24" i="56" s="1"/>
  <c r="B24" i="56"/>
  <c r="AY23" i="56"/>
  <c r="AX23" i="56"/>
  <c r="AW23" i="56"/>
  <c r="AZ23" i="56"/>
  <c r="BD23" i="56" s="1"/>
  <c r="B23" i="56"/>
  <c r="BP22" i="56"/>
  <c r="AY22" i="56"/>
  <c r="AX22" i="56"/>
  <c r="AW22" i="56"/>
  <c r="AZ22" i="56"/>
  <c r="BD22" i="56" s="1"/>
  <c r="B22" i="56"/>
  <c r="AY21" i="56"/>
  <c r="AX21" i="56"/>
  <c r="AW21" i="56"/>
  <c r="AZ21" i="56"/>
  <c r="BD21" i="56" s="1"/>
  <c r="B21" i="56"/>
  <c r="AY20" i="56"/>
  <c r="AX20" i="56"/>
  <c r="AW20" i="56"/>
  <c r="AZ20" i="56"/>
  <c r="BD20" i="56" s="1"/>
  <c r="B20" i="56"/>
  <c r="AY19" i="56"/>
  <c r="AX19" i="56"/>
  <c r="AW19" i="56"/>
  <c r="AZ19" i="56"/>
  <c r="BD19" i="56" s="1"/>
  <c r="B19" i="56"/>
  <c r="AY18" i="56"/>
  <c r="AX18" i="56"/>
  <c r="AW18" i="56"/>
  <c r="AZ18" i="56"/>
  <c r="BD18" i="56" s="1"/>
  <c r="B18" i="56"/>
  <c r="AY17" i="56"/>
  <c r="AX17" i="56"/>
  <c r="AW17" i="56"/>
  <c r="AZ17" i="56"/>
  <c r="BD17" i="56" s="1"/>
  <c r="B17" i="56"/>
  <c r="BP16" i="56"/>
  <c r="AY16" i="56"/>
  <c r="AX16" i="56"/>
  <c r="AW16" i="56"/>
  <c r="AZ16" i="56"/>
  <c r="BD16" i="56" s="1"/>
  <c r="B16" i="56"/>
  <c r="AY15" i="56"/>
  <c r="AX15" i="56"/>
  <c r="AW15" i="56"/>
  <c r="AZ15" i="56"/>
  <c r="BD15" i="56" s="1"/>
  <c r="B15" i="56"/>
  <c r="AY14" i="56"/>
  <c r="AX14" i="56"/>
  <c r="AW14" i="56"/>
  <c r="AZ14" i="56"/>
  <c r="BD14" i="56" s="1"/>
  <c r="B14" i="56"/>
  <c r="AY13" i="56"/>
  <c r="AX13" i="56"/>
  <c r="AW13" i="56"/>
  <c r="AZ13" i="56"/>
  <c r="BD13" i="56" s="1"/>
  <c r="B13" i="56"/>
  <c r="AY12" i="56"/>
  <c r="AY40" i="56" s="1"/>
  <c r="AX12" i="56"/>
  <c r="AW12" i="56"/>
  <c r="AZ12" i="56"/>
  <c r="BD12" i="56" s="1"/>
  <c r="B12" i="56"/>
  <c r="AY11" i="56"/>
  <c r="AX11" i="56"/>
  <c r="AW11" i="56"/>
  <c r="AZ11" i="56"/>
  <c r="BD11" i="56" s="1"/>
  <c r="B11" i="56"/>
  <c r="AY10" i="56"/>
  <c r="AX10" i="56"/>
  <c r="AW10" i="56"/>
  <c r="AZ10" i="56"/>
  <c r="BD10" i="56" s="1"/>
  <c r="B10" i="56"/>
  <c r="AY9" i="56"/>
  <c r="AX9" i="56"/>
  <c r="AW9" i="56"/>
  <c r="AZ9" i="56"/>
  <c r="BD9" i="56" s="1"/>
  <c r="B9" i="56"/>
  <c r="AY8" i="56"/>
  <c r="AX8" i="56"/>
  <c r="AW8" i="56"/>
  <c r="AZ8" i="56"/>
  <c r="BD8" i="56" s="1"/>
  <c r="B8" i="56"/>
  <c r="AY7" i="56"/>
  <c r="AX7" i="56"/>
  <c r="AW7" i="56"/>
  <c r="AZ7" i="56"/>
  <c r="BD7" i="56" s="1"/>
  <c r="B7" i="56"/>
  <c r="BM6" i="56"/>
  <c r="BM40" i="56" s="1"/>
  <c r="BK6" i="56"/>
  <c r="BK40" i="56" s="1"/>
  <c r="BI6" i="56"/>
  <c r="BI40" i="56" s="1"/>
  <c r="BH6" i="56"/>
  <c r="BH40" i="56" s="1"/>
  <c r="BF6" i="56"/>
  <c r="AY6" i="56"/>
  <c r="AX6" i="56"/>
  <c r="AW6" i="56"/>
  <c r="B6" i="56"/>
  <c r="BP45" i="55"/>
  <c r="BP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AZ38" i="55"/>
  <c r="BD38" i="55" s="1"/>
  <c r="B38" i="55"/>
  <c r="AY37" i="55"/>
  <c r="AX37" i="55"/>
  <c r="AW37" i="55"/>
  <c r="AZ37" i="55"/>
  <c r="BD37" i="55" s="1"/>
  <c r="B37" i="55"/>
  <c r="AY36" i="55"/>
  <c r="AX36" i="55"/>
  <c r="AW36" i="55"/>
  <c r="AZ36" i="55"/>
  <c r="BD36" i="55" s="1"/>
  <c r="B36" i="55"/>
  <c r="AY35" i="55"/>
  <c r="AX35" i="55"/>
  <c r="AW35" i="55"/>
  <c r="AZ35" i="55"/>
  <c r="BD35" i="55" s="1"/>
  <c r="B35" i="55"/>
  <c r="AY34" i="55"/>
  <c r="AX34" i="55"/>
  <c r="AW34" i="55"/>
  <c r="AZ34" i="55"/>
  <c r="BD34" i="55" s="1"/>
  <c r="B34" i="55"/>
  <c r="BP33" i="55"/>
  <c r="BP34" i="55" s="1"/>
  <c r="AY33" i="55"/>
  <c r="AX33" i="55"/>
  <c r="AW33" i="55"/>
  <c r="AZ33" i="55"/>
  <c r="BD33" i="55" s="1"/>
  <c r="B33" i="55"/>
  <c r="AY32" i="55"/>
  <c r="AX32" i="55"/>
  <c r="AW32" i="55"/>
  <c r="AZ32" i="55"/>
  <c r="BD32" i="55" s="1"/>
  <c r="B32" i="55"/>
  <c r="AY31" i="55"/>
  <c r="AX31" i="55"/>
  <c r="AW31" i="55"/>
  <c r="AZ31" i="55"/>
  <c r="BD31" i="55" s="1"/>
  <c r="B31" i="55"/>
  <c r="AY30" i="55"/>
  <c r="AX30" i="55"/>
  <c r="AW30" i="55"/>
  <c r="AZ30" i="55"/>
  <c r="BD30" i="55" s="1"/>
  <c r="B30" i="55"/>
  <c r="AY29" i="55"/>
  <c r="AX29" i="55"/>
  <c r="AW29" i="55"/>
  <c r="AZ29" i="55"/>
  <c r="BD29" i="55" s="1"/>
  <c r="B29" i="55"/>
  <c r="BP28" i="55"/>
  <c r="BI6" i="55" s="1"/>
  <c r="BI40" i="55" s="1"/>
  <c r="AY28" i="55"/>
  <c r="AX28" i="55"/>
  <c r="AW28" i="55"/>
  <c r="AZ28" i="55"/>
  <c r="BD28" i="55" s="1"/>
  <c r="B28" i="55"/>
  <c r="AY27" i="55"/>
  <c r="AX27" i="55"/>
  <c r="AW27" i="55"/>
  <c r="AZ27" i="55"/>
  <c r="BD27" i="55" s="1"/>
  <c r="B27" i="55"/>
  <c r="AY26" i="55"/>
  <c r="AX26" i="55"/>
  <c r="AW26" i="55"/>
  <c r="AZ26" i="55"/>
  <c r="BD26" i="55" s="1"/>
  <c r="B26" i="55"/>
  <c r="AY25" i="55"/>
  <c r="AX25" i="55"/>
  <c r="AW25" i="55"/>
  <c r="AZ25" i="55"/>
  <c r="BD25" i="55" s="1"/>
  <c r="B25" i="55"/>
  <c r="AY24" i="55"/>
  <c r="AX24" i="55"/>
  <c r="AW24" i="55"/>
  <c r="AZ24" i="55"/>
  <c r="BD24" i="55" s="1"/>
  <c r="B24" i="55"/>
  <c r="AY23" i="55"/>
  <c r="AX23" i="55"/>
  <c r="AW23" i="55"/>
  <c r="AZ23" i="55"/>
  <c r="BD23" i="55" s="1"/>
  <c r="B23" i="55"/>
  <c r="BP22" i="55"/>
  <c r="AY22" i="55"/>
  <c r="AX22" i="55"/>
  <c r="AW22" i="55"/>
  <c r="AZ22" i="55"/>
  <c r="BD22" i="55" s="1"/>
  <c r="B22" i="55"/>
  <c r="AY21" i="55"/>
  <c r="AX21" i="55"/>
  <c r="AW21" i="55"/>
  <c r="AZ21" i="55"/>
  <c r="BD21" i="55" s="1"/>
  <c r="B21" i="55"/>
  <c r="AY20" i="55"/>
  <c r="AX20" i="55"/>
  <c r="AW20" i="55"/>
  <c r="AZ20" i="55"/>
  <c r="BD20" i="55" s="1"/>
  <c r="B20" i="55"/>
  <c r="AY19" i="55"/>
  <c r="AX19" i="55"/>
  <c r="AW19" i="55"/>
  <c r="AZ19" i="55"/>
  <c r="BD19" i="55" s="1"/>
  <c r="B19" i="55"/>
  <c r="AY18" i="55"/>
  <c r="AX18" i="55"/>
  <c r="AW18" i="55"/>
  <c r="AZ18" i="55"/>
  <c r="BD18" i="55" s="1"/>
  <c r="B18" i="55"/>
  <c r="AY17" i="55"/>
  <c r="AX17" i="55"/>
  <c r="AW17" i="55"/>
  <c r="AZ17" i="55"/>
  <c r="BD17" i="55" s="1"/>
  <c r="B17" i="55"/>
  <c r="BP16" i="55"/>
  <c r="AY16" i="55"/>
  <c r="AX16" i="55"/>
  <c r="AW16" i="55"/>
  <c r="AZ16" i="55"/>
  <c r="BD16" i="55" s="1"/>
  <c r="B16" i="55"/>
  <c r="AY15" i="55"/>
  <c r="AX15" i="55"/>
  <c r="AW15" i="55"/>
  <c r="AZ15" i="55"/>
  <c r="BD15" i="55" s="1"/>
  <c r="B15" i="55"/>
  <c r="AY14" i="55"/>
  <c r="AX14" i="55"/>
  <c r="AW14" i="55"/>
  <c r="AZ14" i="55"/>
  <c r="BD14" i="55" s="1"/>
  <c r="B14" i="55"/>
  <c r="AY13" i="55"/>
  <c r="AX13" i="55"/>
  <c r="AW13" i="55"/>
  <c r="AZ13" i="55"/>
  <c r="BD13" i="55" s="1"/>
  <c r="B13" i="55"/>
  <c r="AY12" i="55"/>
  <c r="AX12" i="55"/>
  <c r="AW12" i="55"/>
  <c r="AZ12" i="55"/>
  <c r="BD12" i="55" s="1"/>
  <c r="B12" i="55"/>
  <c r="AY11" i="55"/>
  <c r="AX11" i="55"/>
  <c r="AW11" i="55"/>
  <c r="AZ11" i="55"/>
  <c r="BD11" i="55" s="1"/>
  <c r="B11" i="55"/>
  <c r="AY10" i="55"/>
  <c r="AX10" i="55"/>
  <c r="AW10" i="55"/>
  <c r="AZ10" i="55"/>
  <c r="BD10" i="55" s="1"/>
  <c r="B10" i="55"/>
  <c r="AY9" i="55"/>
  <c r="AX9" i="55"/>
  <c r="AW9" i="55"/>
  <c r="AZ9" i="55"/>
  <c r="BD9" i="55" s="1"/>
  <c r="B9" i="55"/>
  <c r="AY8" i="55"/>
  <c r="AX8" i="55"/>
  <c r="AW8" i="55"/>
  <c r="AZ8" i="55"/>
  <c r="BD8" i="55" s="1"/>
  <c r="B8" i="55"/>
  <c r="AY7" i="55"/>
  <c r="AX7" i="55"/>
  <c r="AW7" i="55"/>
  <c r="AZ7" i="55"/>
  <c r="BD7" i="55" s="1"/>
  <c r="B7" i="55"/>
  <c r="BM6" i="55"/>
  <c r="BM40" i="55" s="1"/>
  <c r="BK6" i="55"/>
  <c r="BK40" i="55" s="1"/>
  <c r="BJ6" i="55"/>
  <c r="BJ40" i="55" s="1"/>
  <c r="BH6" i="55"/>
  <c r="BH40" i="55" s="1"/>
  <c r="BF6" i="55"/>
  <c r="AY6" i="55"/>
  <c r="AX6" i="55"/>
  <c r="AW6" i="55"/>
  <c r="B6" i="55"/>
  <c r="BP45" i="54"/>
  <c r="BP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AZ38" i="54"/>
  <c r="BD38" i="54" s="1"/>
  <c r="B38" i="54"/>
  <c r="AY37" i="54"/>
  <c r="AX37" i="54"/>
  <c r="AW37" i="54"/>
  <c r="AZ37" i="54"/>
  <c r="BD37" i="54" s="1"/>
  <c r="B37" i="54"/>
  <c r="AY36" i="54"/>
  <c r="AX36" i="54"/>
  <c r="AW36" i="54"/>
  <c r="AZ36" i="54"/>
  <c r="BD36" i="54" s="1"/>
  <c r="B36" i="54"/>
  <c r="AY35" i="54"/>
  <c r="AX35" i="54"/>
  <c r="AW35" i="54"/>
  <c r="AZ35" i="54"/>
  <c r="BD35" i="54" s="1"/>
  <c r="B35" i="54"/>
  <c r="BP34" i="54"/>
  <c r="AY34" i="54"/>
  <c r="AX34" i="54"/>
  <c r="AW34" i="54"/>
  <c r="AZ34" i="54"/>
  <c r="BD34" i="54" s="1"/>
  <c r="B34" i="54"/>
  <c r="BP33" i="54"/>
  <c r="AY33" i="54"/>
  <c r="AX33" i="54"/>
  <c r="AW33" i="54"/>
  <c r="AZ33" i="54"/>
  <c r="BD33" i="54" s="1"/>
  <c r="B33" i="54"/>
  <c r="AY32" i="54"/>
  <c r="AX32" i="54"/>
  <c r="AW32" i="54"/>
  <c r="AZ32" i="54"/>
  <c r="BD32" i="54" s="1"/>
  <c r="B32" i="54"/>
  <c r="AY31" i="54"/>
  <c r="AX31" i="54"/>
  <c r="AW31" i="54"/>
  <c r="AZ31" i="54"/>
  <c r="BD31" i="54" s="1"/>
  <c r="B31" i="54"/>
  <c r="AY30" i="54"/>
  <c r="AX30" i="54"/>
  <c r="AW30" i="54"/>
  <c r="AZ30" i="54"/>
  <c r="BD30" i="54" s="1"/>
  <c r="B30" i="54"/>
  <c r="AY29" i="54"/>
  <c r="AX29" i="54"/>
  <c r="AW29" i="54"/>
  <c r="AZ29" i="54"/>
  <c r="BD29" i="54" s="1"/>
  <c r="B29" i="54"/>
  <c r="BP28" i="54"/>
  <c r="AY28" i="54"/>
  <c r="AX28" i="54"/>
  <c r="AW28" i="54"/>
  <c r="AZ28" i="54"/>
  <c r="BD28" i="54" s="1"/>
  <c r="B28" i="54"/>
  <c r="AY27" i="54"/>
  <c r="AX27" i="54"/>
  <c r="AW27" i="54"/>
  <c r="AZ27" i="54"/>
  <c r="BD27" i="54" s="1"/>
  <c r="B27" i="54"/>
  <c r="AY26" i="54"/>
  <c r="AX26" i="54"/>
  <c r="AW26" i="54"/>
  <c r="AZ26" i="54"/>
  <c r="BD26" i="54" s="1"/>
  <c r="B26" i="54"/>
  <c r="AY25" i="54"/>
  <c r="AX25" i="54"/>
  <c r="AW25" i="54"/>
  <c r="AZ25" i="54"/>
  <c r="BD25" i="54" s="1"/>
  <c r="B25" i="54"/>
  <c r="AY24" i="54"/>
  <c r="AX24" i="54"/>
  <c r="AW24" i="54"/>
  <c r="AZ24" i="54"/>
  <c r="BD24" i="54" s="1"/>
  <c r="B24" i="54"/>
  <c r="AY23" i="54"/>
  <c r="AX23" i="54"/>
  <c r="AW23" i="54"/>
  <c r="AZ23" i="54"/>
  <c r="BD23" i="54" s="1"/>
  <c r="B23" i="54"/>
  <c r="BP22" i="54"/>
  <c r="AY22" i="54"/>
  <c r="AX22" i="54"/>
  <c r="AW22" i="54"/>
  <c r="AZ22" i="54"/>
  <c r="BD22" i="54" s="1"/>
  <c r="B22" i="54"/>
  <c r="AY21" i="54"/>
  <c r="AX21" i="54"/>
  <c r="AW21" i="54"/>
  <c r="AZ21" i="54"/>
  <c r="BD21" i="54" s="1"/>
  <c r="B21" i="54"/>
  <c r="AY20" i="54"/>
  <c r="AX20" i="54"/>
  <c r="AW20" i="54"/>
  <c r="AZ20" i="54"/>
  <c r="BD20" i="54" s="1"/>
  <c r="B20" i="54"/>
  <c r="AY19" i="54"/>
  <c r="AX19" i="54"/>
  <c r="AW19" i="54"/>
  <c r="AZ19" i="54"/>
  <c r="BD19" i="54" s="1"/>
  <c r="B19" i="54"/>
  <c r="AY18" i="54"/>
  <c r="AX18" i="54"/>
  <c r="AW18" i="54"/>
  <c r="AZ18" i="54"/>
  <c r="BD18" i="54" s="1"/>
  <c r="B18" i="54"/>
  <c r="AY17" i="54"/>
  <c r="AX17" i="54"/>
  <c r="AW17" i="54"/>
  <c r="AZ17" i="54"/>
  <c r="BD17" i="54" s="1"/>
  <c r="B17" i="54"/>
  <c r="BP16" i="54"/>
  <c r="AY16" i="54"/>
  <c r="AX16" i="54"/>
  <c r="AW16" i="54"/>
  <c r="AZ16" i="54"/>
  <c r="BD16" i="54" s="1"/>
  <c r="B16" i="54"/>
  <c r="AY15" i="54"/>
  <c r="AX15" i="54"/>
  <c r="AW15" i="54"/>
  <c r="AZ15" i="54"/>
  <c r="BD15" i="54" s="1"/>
  <c r="B15" i="54"/>
  <c r="AY14" i="54"/>
  <c r="AX14" i="54"/>
  <c r="AW14" i="54"/>
  <c r="AZ14" i="54"/>
  <c r="BD14" i="54" s="1"/>
  <c r="B14" i="54"/>
  <c r="AY13" i="54"/>
  <c r="AX13" i="54"/>
  <c r="AW13" i="54"/>
  <c r="AZ13" i="54"/>
  <c r="BD13" i="54" s="1"/>
  <c r="B13" i="54"/>
  <c r="AY12" i="54"/>
  <c r="AX12" i="54"/>
  <c r="AW12" i="54"/>
  <c r="AZ12" i="54"/>
  <c r="BD12" i="54" s="1"/>
  <c r="B12" i="54"/>
  <c r="AY11" i="54"/>
  <c r="AX11" i="54"/>
  <c r="AW11" i="54"/>
  <c r="AZ11" i="54"/>
  <c r="BD11" i="54" s="1"/>
  <c r="B11" i="54"/>
  <c r="AY10" i="54"/>
  <c r="AX10" i="54"/>
  <c r="AW10" i="54"/>
  <c r="AZ10" i="54"/>
  <c r="BD10" i="54" s="1"/>
  <c r="B10" i="54"/>
  <c r="AY9" i="54"/>
  <c r="AX9" i="54"/>
  <c r="AW9" i="54"/>
  <c r="AZ9" i="54"/>
  <c r="BD9" i="54" s="1"/>
  <c r="B9" i="54"/>
  <c r="AY8" i="54"/>
  <c r="AX8" i="54"/>
  <c r="AW8" i="54"/>
  <c r="AZ8" i="54"/>
  <c r="BD8" i="54" s="1"/>
  <c r="B8" i="54"/>
  <c r="AY7" i="54"/>
  <c r="AX7" i="54"/>
  <c r="AW7" i="54"/>
  <c r="AZ7" i="54"/>
  <c r="BD7" i="54" s="1"/>
  <c r="B7" i="54"/>
  <c r="BM6" i="54"/>
  <c r="BM40" i="54" s="1"/>
  <c r="BK6" i="54"/>
  <c r="BK40" i="54" s="1"/>
  <c r="BJ6" i="54"/>
  <c r="BJ40" i="54" s="1"/>
  <c r="BI6" i="54"/>
  <c r="BI40" i="54" s="1"/>
  <c r="BH6" i="54"/>
  <c r="BH40" i="54" s="1"/>
  <c r="BF6" i="54"/>
  <c r="AY6" i="54"/>
  <c r="AY40" i="54" s="1"/>
  <c r="AX6" i="54"/>
  <c r="AW6" i="54"/>
  <c r="AW40" i="54" s="1"/>
  <c r="B6" i="54"/>
  <c r="BP45" i="53"/>
  <c r="BP40" i="53"/>
  <c r="BK6" i="53" s="1"/>
  <c r="BK40" i="53" s="1"/>
  <c r="BL40" i="53"/>
  <c r="BI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AZ38" i="53"/>
  <c r="BD38" i="53" s="1"/>
  <c r="B38" i="53"/>
  <c r="AY37" i="53"/>
  <c r="AX37" i="53"/>
  <c r="AW37" i="53"/>
  <c r="AZ37" i="53"/>
  <c r="BD37" i="53" s="1"/>
  <c r="B37" i="53"/>
  <c r="AY36" i="53"/>
  <c r="AX36" i="53"/>
  <c r="AW36" i="53"/>
  <c r="AZ36" i="53"/>
  <c r="BD36" i="53" s="1"/>
  <c r="B36" i="53"/>
  <c r="AY35" i="53"/>
  <c r="AX35" i="53"/>
  <c r="AW35" i="53"/>
  <c r="AZ35" i="53"/>
  <c r="BD35" i="53" s="1"/>
  <c r="B35" i="53"/>
  <c r="AY34" i="53"/>
  <c r="AX34" i="53"/>
  <c r="AW34" i="53"/>
  <c r="AZ34" i="53"/>
  <c r="BD34" i="53" s="1"/>
  <c r="B34" i="53"/>
  <c r="BP33" i="53"/>
  <c r="BP34" i="53" s="1"/>
  <c r="AY33" i="53"/>
  <c r="AX33" i="53"/>
  <c r="AW33" i="53"/>
  <c r="AZ33" i="53"/>
  <c r="BD33" i="53" s="1"/>
  <c r="B33" i="53"/>
  <c r="AY32" i="53"/>
  <c r="AX32" i="53"/>
  <c r="AW32" i="53"/>
  <c r="AZ32" i="53"/>
  <c r="BD32" i="53" s="1"/>
  <c r="B32" i="53"/>
  <c r="AY31" i="53"/>
  <c r="AX31" i="53"/>
  <c r="AW31" i="53"/>
  <c r="AZ31" i="53"/>
  <c r="BD31" i="53" s="1"/>
  <c r="B31" i="53"/>
  <c r="AY30" i="53"/>
  <c r="AX30" i="53"/>
  <c r="AW30" i="53"/>
  <c r="AZ30" i="53"/>
  <c r="BD30" i="53" s="1"/>
  <c r="B30" i="53"/>
  <c r="AY29" i="53"/>
  <c r="AX29" i="53"/>
  <c r="AW29" i="53"/>
  <c r="AZ29" i="53"/>
  <c r="BD29" i="53" s="1"/>
  <c r="B29" i="53"/>
  <c r="BP28" i="53"/>
  <c r="AY28" i="53"/>
  <c r="AX28" i="53"/>
  <c r="AW28" i="53"/>
  <c r="AZ28" i="53"/>
  <c r="BD28" i="53" s="1"/>
  <c r="B28" i="53"/>
  <c r="AY27" i="53"/>
  <c r="AX27" i="53"/>
  <c r="AW27" i="53"/>
  <c r="AZ27" i="53"/>
  <c r="BD27" i="53" s="1"/>
  <c r="B27" i="53"/>
  <c r="AY26" i="53"/>
  <c r="AX26" i="53"/>
  <c r="AW26" i="53"/>
  <c r="AZ26" i="53"/>
  <c r="BD26" i="53" s="1"/>
  <c r="B26" i="53"/>
  <c r="AY25" i="53"/>
  <c r="AX25" i="53"/>
  <c r="AW25" i="53"/>
  <c r="AZ25" i="53"/>
  <c r="BD25" i="53" s="1"/>
  <c r="B25" i="53"/>
  <c r="AY24" i="53"/>
  <c r="AX24" i="53"/>
  <c r="AW24" i="53"/>
  <c r="AZ24" i="53"/>
  <c r="BD24" i="53" s="1"/>
  <c r="B24" i="53"/>
  <c r="AY23" i="53"/>
  <c r="AX23" i="53"/>
  <c r="AW23" i="53"/>
  <c r="AZ23" i="53"/>
  <c r="BD23" i="53" s="1"/>
  <c r="B23" i="53"/>
  <c r="BP22" i="53"/>
  <c r="AY22" i="53"/>
  <c r="AX22" i="53"/>
  <c r="AW22" i="53"/>
  <c r="AZ22" i="53"/>
  <c r="BD22" i="53" s="1"/>
  <c r="B22" i="53"/>
  <c r="AY21" i="53"/>
  <c r="AX21" i="53"/>
  <c r="AW21" i="53"/>
  <c r="AZ21" i="53"/>
  <c r="BD21" i="53" s="1"/>
  <c r="B21" i="53"/>
  <c r="AY20" i="53"/>
  <c r="AX20" i="53"/>
  <c r="AW20" i="53"/>
  <c r="AZ20" i="53"/>
  <c r="BD20" i="53" s="1"/>
  <c r="B20" i="53"/>
  <c r="AY19" i="53"/>
  <c r="AX19" i="53"/>
  <c r="AW19" i="53"/>
  <c r="AZ19" i="53"/>
  <c r="BD19" i="53" s="1"/>
  <c r="B19" i="53"/>
  <c r="AY18" i="53"/>
  <c r="AX18" i="53"/>
  <c r="AW18" i="53"/>
  <c r="AZ18" i="53"/>
  <c r="BD18" i="53" s="1"/>
  <c r="B18" i="53"/>
  <c r="AY17" i="53"/>
  <c r="AX17" i="53"/>
  <c r="AW17" i="53"/>
  <c r="AZ17" i="53"/>
  <c r="BD17" i="53" s="1"/>
  <c r="B17" i="53"/>
  <c r="BP16" i="53"/>
  <c r="AY16" i="53"/>
  <c r="AX16" i="53"/>
  <c r="AW16" i="53"/>
  <c r="AZ16" i="53"/>
  <c r="BD16" i="53" s="1"/>
  <c r="B16" i="53"/>
  <c r="AY15" i="53"/>
  <c r="AX15" i="53"/>
  <c r="AW15" i="53"/>
  <c r="AZ15" i="53"/>
  <c r="BD15" i="53" s="1"/>
  <c r="B15" i="53"/>
  <c r="AY14" i="53"/>
  <c r="AX14" i="53"/>
  <c r="AW14" i="53"/>
  <c r="AZ14" i="53"/>
  <c r="BD14" i="53" s="1"/>
  <c r="B14" i="53"/>
  <c r="AY13" i="53"/>
  <c r="AX13" i="53"/>
  <c r="AW13" i="53"/>
  <c r="AZ13" i="53"/>
  <c r="BD13" i="53" s="1"/>
  <c r="B13" i="53"/>
  <c r="AY12" i="53"/>
  <c r="AX12" i="53"/>
  <c r="AW12" i="53"/>
  <c r="AZ12" i="53"/>
  <c r="BD12" i="53" s="1"/>
  <c r="B12" i="53"/>
  <c r="AY11" i="53"/>
  <c r="AX11" i="53"/>
  <c r="AW11" i="53"/>
  <c r="AZ11" i="53"/>
  <c r="BD11" i="53" s="1"/>
  <c r="B11" i="53"/>
  <c r="AY10" i="53"/>
  <c r="AX10" i="53"/>
  <c r="AW10" i="53"/>
  <c r="AZ10" i="53"/>
  <c r="BD10" i="53" s="1"/>
  <c r="B10" i="53"/>
  <c r="AY9" i="53"/>
  <c r="AX9" i="53"/>
  <c r="AW9" i="53"/>
  <c r="AZ9" i="53"/>
  <c r="BD9" i="53" s="1"/>
  <c r="B9" i="53"/>
  <c r="AY8" i="53"/>
  <c r="AX8" i="53"/>
  <c r="AW8" i="53"/>
  <c r="AZ8" i="53"/>
  <c r="BD8" i="53" s="1"/>
  <c r="B8" i="53"/>
  <c r="AY7" i="53"/>
  <c r="AX7" i="53"/>
  <c r="AW7" i="53"/>
  <c r="AZ7" i="53"/>
  <c r="BD7" i="53" s="1"/>
  <c r="B7" i="53"/>
  <c r="BM6" i="53"/>
  <c r="BM40" i="53" s="1"/>
  <c r="BJ6" i="53"/>
  <c r="BJ40" i="53" s="1"/>
  <c r="BI6" i="53"/>
  <c r="BH6" i="53"/>
  <c r="BH40" i="53" s="1"/>
  <c r="BF6" i="53"/>
  <c r="AY6" i="53"/>
  <c r="AX6" i="53"/>
  <c r="AW6" i="53"/>
  <c r="AW40" i="53" s="1"/>
  <c r="B6" i="53"/>
  <c r="BP45" i="52"/>
  <c r="BP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AZ38" i="52"/>
  <c r="BD38" i="52" s="1"/>
  <c r="B38" i="52"/>
  <c r="AY37" i="52"/>
  <c r="AX37" i="52"/>
  <c r="AW37" i="52"/>
  <c r="AZ37" i="52"/>
  <c r="BD37" i="52" s="1"/>
  <c r="B37" i="52"/>
  <c r="AY36" i="52"/>
  <c r="AX36" i="52"/>
  <c r="AW36" i="52"/>
  <c r="AZ36" i="52"/>
  <c r="BD36" i="52" s="1"/>
  <c r="B36" i="52"/>
  <c r="AY35" i="52"/>
  <c r="AX35" i="52"/>
  <c r="AW35" i="52"/>
  <c r="AZ35" i="52"/>
  <c r="BD35" i="52" s="1"/>
  <c r="B35" i="52"/>
  <c r="AY34" i="52"/>
  <c r="AX34" i="52"/>
  <c r="AW34" i="52"/>
  <c r="AZ34" i="52"/>
  <c r="BD34" i="52" s="1"/>
  <c r="B34" i="52"/>
  <c r="BP33" i="52"/>
  <c r="BP34" i="52" s="1"/>
  <c r="AY33" i="52"/>
  <c r="AX33" i="52"/>
  <c r="AW33" i="52"/>
  <c r="AZ33" i="52"/>
  <c r="BD33" i="52" s="1"/>
  <c r="B33" i="52"/>
  <c r="AY32" i="52"/>
  <c r="AX32" i="52"/>
  <c r="AW32" i="52"/>
  <c r="AZ32" i="52"/>
  <c r="BD32" i="52" s="1"/>
  <c r="B32" i="52"/>
  <c r="AY31" i="52"/>
  <c r="AX31" i="52"/>
  <c r="AW31" i="52"/>
  <c r="AZ31" i="52"/>
  <c r="BD31" i="52" s="1"/>
  <c r="B31" i="52"/>
  <c r="AY30" i="52"/>
  <c r="AX30" i="52"/>
  <c r="AW30" i="52"/>
  <c r="AZ30" i="52"/>
  <c r="BD30" i="52" s="1"/>
  <c r="B30" i="52"/>
  <c r="AY29" i="52"/>
  <c r="AX29" i="52"/>
  <c r="AW29" i="52"/>
  <c r="AZ29" i="52"/>
  <c r="BD29" i="52" s="1"/>
  <c r="B29" i="52"/>
  <c r="BP28" i="52"/>
  <c r="AY28" i="52"/>
  <c r="AX28" i="52"/>
  <c r="AW28" i="52"/>
  <c r="AZ28" i="52"/>
  <c r="BD28" i="52" s="1"/>
  <c r="B28" i="52"/>
  <c r="AY27" i="52"/>
  <c r="AX27" i="52"/>
  <c r="AW27" i="52"/>
  <c r="AZ27" i="52"/>
  <c r="BD27" i="52" s="1"/>
  <c r="B27" i="52"/>
  <c r="AY26" i="52"/>
  <c r="AX26" i="52"/>
  <c r="AW26" i="52"/>
  <c r="AZ26" i="52"/>
  <c r="BD26" i="52" s="1"/>
  <c r="B26" i="52"/>
  <c r="AY25" i="52"/>
  <c r="AX25" i="52"/>
  <c r="AW25" i="52"/>
  <c r="AZ25" i="52"/>
  <c r="BD25" i="52" s="1"/>
  <c r="B25" i="52"/>
  <c r="AY24" i="52"/>
  <c r="AX24" i="52"/>
  <c r="AW24" i="52"/>
  <c r="AZ24" i="52"/>
  <c r="BD24" i="52" s="1"/>
  <c r="B24" i="52"/>
  <c r="AY23" i="52"/>
  <c r="AX23" i="52"/>
  <c r="AW23" i="52"/>
  <c r="AZ23" i="52"/>
  <c r="BD23" i="52" s="1"/>
  <c r="B23" i="52"/>
  <c r="BP22" i="52"/>
  <c r="AY22" i="52"/>
  <c r="AX22" i="52"/>
  <c r="AW22" i="52"/>
  <c r="AZ22" i="52"/>
  <c r="BD22" i="52" s="1"/>
  <c r="B22" i="52"/>
  <c r="AY21" i="52"/>
  <c r="AX21" i="52"/>
  <c r="AW21" i="52"/>
  <c r="AZ21" i="52"/>
  <c r="BD21" i="52" s="1"/>
  <c r="B21" i="52"/>
  <c r="AY20" i="52"/>
  <c r="AX20" i="52"/>
  <c r="AW20" i="52"/>
  <c r="AZ20" i="52"/>
  <c r="BD20" i="52" s="1"/>
  <c r="B20" i="52"/>
  <c r="AY19" i="52"/>
  <c r="AX19" i="52"/>
  <c r="AW19" i="52"/>
  <c r="AZ19" i="52"/>
  <c r="BD19" i="52" s="1"/>
  <c r="B19" i="52"/>
  <c r="AY18" i="52"/>
  <c r="AX18" i="52"/>
  <c r="AW18" i="52"/>
  <c r="AZ18" i="52"/>
  <c r="BD18" i="52" s="1"/>
  <c r="B18" i="52"/>
  <c r="AY17" i="52"/>
  <c r="AX17" i="52"/>
  <c r="AW17" i="52"/>
  <c r="AZ17" i="52"/>
  <c r="BD17" i="52" s="1"/>
  <c r="B17" i="52"/>
  <c r="BP16" i="52"/>
  <c r="AY16" i="52"/>
  <c r="AX16" i="52"/>
  <c r="AW16" i="52"/>
  <c r="AZ16" i="52"/>
  <c r="BD16" i="52" s="1"/>
  <c r="B16" i="52"/>
  <c r="AY15" i="52"/>
  <c r="AX15" i="52"/>
  <c r="AW15" i="52"/>
  <c r="AZ15" i="52"/>
  <c r="BD15" i="52" s="1"/>
  <c r="B15" i="52"/>
  <c r="AY14" i="52"/>
  <c r="AX14" i="52"/>
  <c r="AW14" i="52"/>
  <c r="AZ14" i="52"/>
  <c r="BD14" i="52" s="1"/>
  <c r="B14" i="52"/>
  <c r="AY13" i="52"/>
  <c r="AX13" i="52"/>
  <c r="AW13" i="52"/>
  <c r="AZ13" i="52"/>
  <c r="BD13" i="52" s="1"/>
  <c r="B13" i="52"/>
  <c r="AY12" i="52"/>
  <c r="AX12" i="52"/>
  <c r="AW12" i="52"/>
  <c r="AZ12" i="52"/>
  <c r="BD12" i="52" s="1"/>
  <c r="B12" i="52"/>
  <c r="AY11" i="52"/>
  <c r="AX11" i="52"/>
  <c r="AW11" i="52"/>
  <c r="AZ11" i="52"/>
  <c r="BD11" i="52" s="1"/>
  <c r="B11" i="52"/>
  <c r="AY10" i="52"/>
  <c r="AX10" i="52"/>
  <c r="AW10" i="52"/>
  <c r="AZ10" i="52"/>
  <c r="BD10" i="52" s="1"/>
  <c r="B10" i="52"/>
  <c r="AY9" i="52"/>
  <c r="AX9" i="52"/>
  <c r="AW9" i="52"/>
  <c r="AZ9" i="52"/>
  <c r="BD9" i="52" s="1"/>
  <c r="B9" i="52"/>
  <c r="AY8" i="52"/>
  <c r="AX8" i="52"/>
  <c r="AW8" i="52"/>
  <c r="AZ8" i="52"/>
  <c r="BD8" i="52" s="1"/>
  <c r="B8" i="52"/>
  <c r="AY7" i="52"/>
  <c r="AX7" i="52"/>
  <c r="AW7" i="52"/>
  <c r="AZ7" i="52"/>
  <c r="BD7" i="52" s="1"/>
  <c r="B7" i="52"/>
  <c r="BM6" i="52"/>
  <c r="BK6" i="52"/>
  <c r="BK40" i="52" s="1"/>
  <c r="BJ6" i="52"/>
  <c r="BJ40" i="52" s="1"/>
  <c r="BI6" i="52"/>
  <c r="BI40" i="52" s="1"/>
  <c r="BH6" i="52"/>
  <c r="BH40" i="52" s="1"/>
  <c r="BF6" i="52"/>
  <c r="AY6" i="52"/>
  <c r="AX6" i="52"/>
  <c r="AW6" i="52"/>
  <c r="AW40" i="52" s="1"/>
  <c r="B6" i="52"/>
  <c r="BP45" i="51"/>
  <c r="BP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AZ38" i="51"/>
  <c r="BD38" i="51" s="1"/>
  <c r="B38" i="51"/>
  <c r="AY37" i="51"/>
  <c r="AX37" i="51"/>
  <c r="AW37" i="51"/>
  <c r="AZ37" i="51"/>
  <c r="BD37" i="51" s="1"/>
  <c r="B37" i="51"/>
  <c r="AY36" i="51"/>
  <c r="AX36" i="51"/>
  <c r="AW36" i="51"/>
  <c r="AZ36" i="51"/>
  <c r="BD36" i="51" s="1"/>
  <c r="B36" i="51"/>
  <c r="AY35" i="51"/>
  <c r="AX35" i="51"/>
  <c r="AW35" i="51"/>
  <c r="AZ35" i="51"/>
  <c r="BD35" i="51" s="1"/>
  <c r="B35" i="51"/>
  <c r="AY34" i="51"/>
  <c r="AX34" i="51"/>
  <c r="AW34" i="51"/>
  <c r="AZ34" i="51"/>
  <c r="BD34" i="51" s="1"/>
  <c r="B34" i="51"/>
  <c r="BP33" i="51"/>
  <c r="AY33" i="51"/>
  <c r="AX33" i="51"/>
  <c r="AW33" i="51"/>
  <c r="AZ33" i="51"/>
  <c r="BD33" i="51" s="1"/>
  <c r="B33" i="51"/>
  <c r="AY32" i="51"/>
  <c r="AX32" i="51"/>
  <c r="AW32" i="51"/>
  <c r="AZ32" i="51"/>
  <c r="BD32" i="51" s="1"/>
  <c r="B32" i="51"/>
  <c r="AY31" i="51"/>
  <c r="AX31" i="51"/>
  <c r="AW31" i="51"/>
  <c r="AZ31" i="51"/>
  <c r="BD31" i="51" s="1"/>
  <c r="B31" i="51"/>
  <c r="AY30" i="51"/>
  <c r="AX30" i="51"/>
  <c r="AW30" i="51"/>
  <c r="AZ30" i="51"/>
  <c r="BD30" i="51" s="1"/>
  <c r="B30" i="51"/>
  <c r="AY29" i="51"/>
  <c r="AX29" i="51"/>
  <c r="AW29" i="51"/>
  <c r="AZ29" i="51"/>
  <c r="BD29" i="51" s="1"/>
  <c r="B29" i="51"/>
  <c r="BP28" i="51"/>
  <c r="AY28" i="51"/>
  <c r="AX28" i="51"/>
  <c r="AW28" i="51"/>
  <c r="AZ28" i="51"/>
  <c r="BD28" i="51" s="1"/>
  <c r="B28" i="51"/>
  <c r="AY27" i="51"/>
  <c r="AX27" i="51"/>
  <c r="AW27" i="51"/>
  <c r="AZ27" i="51"/>
  <c r="BD27" i="51" s="1"/>
  <c r="B27" i="51"/>
  <c r="AY26" i="51"/>
  <c r="AX26" i="51"/>
  <c r="AW26" i="51"/>
  <c r="AZ26" i="51"/>
  <c r="BD26" i="51" s="1"/>
  <c r="B26" i="51"/>
  <c r="AY25" i="51"/>
  <c r="AX25" i="51"/>
  <c r="AW25" i="51"/>
  <c r="AZ25" i="51"/>
  <c r="BD25" i="51" s="1"/>
  <c r="B25" i="51"/>
  <c r="AY24" i="51"/>
  <c r="AX24" i="51"/>
  <c r="AW24" i="51"/>
  <c r="AZ24" i="51"/>
  <c r="BD24" i="51" s="1"/>
  <c r="B24" i="51"/>
  <c r="AY23" i="51"/>
  <c r="AX23" i="51"/>
  <c r="AW23" i="51"/>
  <c r="AZ23" i="51"/>
  <c r="BD23" i="51" s="1"/>
  <c r="B23" i="51"/>
  <c r="BP22" i="51"/>
  <c r="AY22" i="51"/>
  <c r="AX22" i="51"/>
  <c r="AW22" i="51"/>
  <c r="AZ22" i="51"/>
  <c r="BD22" i="51" s="1"/>
  <c r="B22" i="51"/>
  <c r="AY21" i="51"/>
  <c r="AX21" i="51"/>
  <c r="AW21" i="51"/>
  <c r="AZ21" i="51"/>
  <c r="BD21" i="51" s="1"/>
  <c r="B21" i="51"/>
  <c r="AY20" i="51"/>
  <c r="AX20" i="51"/>
  <c r="AW20" i="51"/>
  <c r="AZ20" i="51"/>
  <c r="BD20" i="51" s="1"/>
  <c r="B20" i="51"/>
  <c r="AY19" i="51"/>
  <c r="AX19" i="51"/>
  <c r="AW19" i="51"/>
  <c r="AZ19" i="51"/>
  <c r="BD19" i="51" s="1"/>
  <c r="B19" i="51"/>
  <c r="AY18" i="51"/>
  <c r="AX18" i="51"/>
  <c r="AW18" i="51"/>
  <c r="AZ18" i="51"/>
  <c r="BD18" i="51" s="1"/>
  <c r="B18" i="51"/>
  <c r="AY17" i="51"/>
  <c r="AX17" i="51"/>
  <c r="AW17" i="51"/>
  <c r="AZ17" i="51"/>
  <c r="BD17" i="51" s="1"/>
  <c r="B17" i="51"/>
  <c r="BP16" i="51"/>
  <c r="AY16" i="51"/>
  <c r="AX16" i="51"/>
  <c r="AW16" i="51"/>
  <c r="AZ16" i="51"/>
  <c r="BD16" i="51" s="1"/>
  <c r="B16" i="51"/>
  <c r="AY15" i="51"/>
  <c r="AX15" i="51"/>
  <c r="AW15" i="51"/>
  <c r="AZ15" i="51"/>
  <c r="BD15" i="51" s="1"/>
  <c r="B15" i="51"/>
  <c r="AY14" i="51"/>
  <c r="AX14" i="51"/>
  <c r="AW14" i="51"/>
  <c r="AZ14" i="51"/>
  <c r="BD14" i="51" s="1"/>
  <c r="B14" i="51"/>
  <c r="AY13" i="51"/>
  <c r="AX13" i="51"/>
  <c r="AW13" i="51"/>
  <c r="AZ13" i="51"/>
  <c r="BD13" i="51" s="1"/>
  <c r="B13" i="51"/>
  <c r="AY12" i="51"/>
  <c r="AX12" i="51"/>
  <c r="AW12" i="51"/>
  <c r="AZ12" i="51"/>
  <c r="BD12" i="51" s="1"/>
  <c r="B12" i="51"/>
  <c r="AY11" i="51"/>
  <c r="AX11" i="51"/>
  <c r="AW11" i="51"/>
  <c r="AZ11" i="51"/>
  <c r="BD11" i="51" s="1"/>
  <c r="B11" i="51"/>
  <c r="AY10" i="51"/>
  <c r="AX10" i="51"/>
  <c r="AW10" i="51"/>
  <c r="AZ10" i="51"/>
  <c r="BD10" i="51" s="1"/>
  <c r="B10" i="51"/>
  <c r="AY9" i="51"/>
  <c r="AX9" i="51"/>
  <c r="AW9" i="51"/>
  <c r="AZ9" i="51"/>
  <c r="BD9" i="51" s="1"/>
  <c r="B9" i="51"/>
  <c r="AY8" i="51"/>
  <c r="AX8" i="51"/>
  <c r="AW8" i="51"/>
  <c r="AZ8" i="51"/>
  <c r="BD8" i="51" s="1"/>
  <c r="B8" i="51"/>
  <c r="AY7" i="51"/>
  <c r="AX7" i="51"/>
  <c r="AW7" i="51"/>
  <c r="AZ7" i="51"/>
  <c r="BD7" i="51" s="1"/>
  <c r="B7" i="51"/>
  <c r="BM6" i="51"/>
  <c r="BM40" i="51" s="1"/>
  <c r="BK6" i="51"/>
  <c r="BK40" i="51" s="1"/>
  <c r="BI6" i="51"/>
  <c r="BI40" i="51" s="1"/>
  <c r="BH6" i="51"/>
  <c r="BH40" i="51" s="1"/>
  <c r="BF6" i="51"/>
  <c r="AY6" i="51"/>
  <c r="AX6" i="51"/>
  <c r="AX40" i="51" s="1"/>
  <c r="AW6" i="51"/>
  <c r="B6" i="51"/>
  <c r="BP45" i="50"/>
  <c r="BP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AZ38" i="50"/>
  <c r="BD38" i="50" s="1"/>
  <c r="B38" i="50"/>
  <c r="AY37" i="50"/>
  <c r="AX37" i="50"/>
  <c r="AW37" i="50"/>
  <c r="AZ37" i="50"/>
  <c r="BD37" i="50" s="1"/>
  <c r="B37" i="50"/>
  <c r="AY36" i="50"/>
  <c r="AX36" i="50"/>
  <c r="AW36" i="50"/>
  <c r="AZ36" i="50"/>
  <c r="BD36" i="50" s="1"/>
  <c r="B36" i="50"/>
  <c r="AY35" i="50"/>
  <c r="AX35" i="50"/>
  <c r="AW35" i="50"/>
  <c r="AZ35" i="50"/>
  <c r="BD35" i="50" s="1"/>
  <c r="B35" i="50"/>
  <c r="BP34" i="50"/>
  <c r="AY34" i="50"/>
  <c r="AX34" i="50"/>
  <c r="AW34" i="50"/>
  <c r="AZ34" i="50"/>
  <c r="BD34" i="50" s="1"/>
  <c r="B34" i="50"/>
  <c r="BP33" i="50"/>
  <c r="AY33" i="50"/>
  <c r="AX33" i="50"/>
  <c r="AW33" i="50"/>
  <c r="AZ33" i="50"/>
  <c r="BD33" i="50" s="1"/>
  <c r="B33" i="50"/>
  <c r="AY32" i="50"/>
  <c r="AX32" i="50"/>
  <c r="AW32" i="50"/>
  <c r="AZ32" i="50"/>
  <c r="BD32" i="50" s="1"/>
  <c r="B32" i="50"/>
  <c r="AY31" i="50"/>
  <c r="AX31" i="50"/>
  <c r="AW31" i="50"/>
  <c r="AZ31" i="50"/>
  <c r="BD31" i="50" s="1"/>
  <c r="B31" i="50"/>
  <c r="AY30" i="50"/>
  <c r="AX30" i="50"/>
  <c r="AW30" i="50"/>
  <c r="AZ30" i="50"/>
  <c r="BD30" i="50" s="1"/>
  <c r="B30" i="50"/>
  <c r="AY29" i="50"/>
  <c r="AX29" i="50"/>
  <c r="AW29" i="50"/>
  <c r="AZ29" i="50"/>
  <c r="BD29" i="50" s="1"/>
  <c r="B29" i="50"/>
  <c r="BP28" i="50"/>
  <c r="AY28" i="50"/>
  <c r="AX28" i="50"/>
  <c r="AW28" i="50"/>
  <c r="AZ28" i="50"/>
  <c r="BD28" i="50" s="1"/>
  <c r="B28" i="50"/>
  <c r="AY27" i="50"/>
  <c r="AX27" i="50"/>
  <c r="AW27" i="50"/>
  <c r="AZ27" i="50"/>
  <c r="BD27" i="50" s="1"/>
  <c r="B27" i="50"/>
  <c r="AY26" i="50"/>
  <c r="AX26" i="50"/>
  <c r="AW26" i="50"/>
  <c r="AZ26" i="50"/>
  <c r="BD26" i="50" s="1"/>
  <c r="B26" i="50"/>
  <c r="AY25" i="50"/>
  <c r="AX25" i="50"/>
  <c r="AW25" i="50"/>
  <c r="AZ25" i="50"/>
  <c r="BD25" i="50" s="1"/>
  <c r="B25" i="50"/>
  <c r="AY24" i="50"/>
  <c r="AX24" i="50"/>
  <c r="AW24" i="50"/>
  <c r="AZ24" i="50"/>
  <c r="BD24" i="50" s="1"/>
  <c r="B24" i="50"/>
  <c r="AY23" i="50"/>
  <c r="AX23" i="50"/>
  <c r="AW23" i="50"/>
  <c r="AZ23" i="50"/>
  <c r="BD23" i="50" s="1"/>
  <c r="B23" i="50"/>
  <c r="BP22" i="50"/>
  <c r="AY22" i="50"/>
  <c r="AX22" i="50"/>
  <c r="AW22" i="50"/>
  <c r="AZ22" i="50"/>
  <c r="BD22" i="50" s="1"/>
  <c r="B22" i="50"/>
  <c r="AY21" i="50"/>
  <c r="AX21" i="50"/>
  <c r="AW21" i="50"/>
  <c r="AZ21" i="50"/>
  <c r="BD21" i="50" s="1"/>
  <c r="B21" i="50"/>
  <c r="AY20" i="50"/>
  <c r="AX20" i="50"/>
  <c r="AW20" i="50"/>
  <c r="AZ20" i="50"/>
  <c r="BD20" i="50" s="1"/>
  <c r="B20" i="50"/>
  <c r="AY19" i="50"/>
  <c r="AX19" i="50"/>
  <c r="AW19" i="50"/>
  <c r="AZ19" i="50"/>
  <c r="BD19" i="50" s="1"/>
  <c r="B19" i="50"/>
  <c r="AY18" i="50"/>
  <c r="AX18" i="50"/>
  <c r="AW18" i="50"/>
  <c r="AZ18" i="50"/>
  <c r="BD18" i="50" s="1"/>
  <c r="B18" i="50"/>
  <c r="AY17" i="50"/>
  <c r="AX17" i="50"/>
  <c r="AW17" i="50"/>
  <c r="AZ17" i="50"/>
  <c r="BD17" i="50" s="1"/>
  <c r="B17" i="50"/>
  <c r="BP16" i="50"/>
  <c r="AY16" i="50"/>
  <c r="AX16" i="50"/>
  <c r="AW16" i="50"/>
  <c r="AZ16" i="50"/>
  <c r="BD16" i="50" s="1"/>
  <c r="B16" i="50"/>
  <c r="AY15" i="50"/>
  <c r="AX15" i="50"/>
  <c r="AW15" i="50"/>
  <c r="AZ15" i="50"/>
  <c r="BD15" i="50" s="1"/>
  <c r="B15" i="50"/>
  <c r="AY14" i="50"/>
  <c r="AX14" i="50"/>
  <c r="AW14" i="50"/>
  <c r="AZ14" i="50"/>
  <c r="BD14" i="50" s="1"/>
  <c r="B14" i="50"/>
  <c r="AY13" i="50"/>
  <c r="AX13" i="50"/>
  <c r="AW13" i="50"/>
  <c r="AZ13" i="50"/>
  <c r="BD13" i="50" s="1"/>
  <c r="B13" i="50"/>
  <c r="AY12" i="50"/>
  <c r="AX12" i="50"/>
  <c r="AW12" i="50"/>
  <c r="AZ12" i="50"/>
  <c r="BD12" i="50" s="1"/>
  <c r="B12" i="50"/>
  <c r="AY11" i="50"/>
  <c r="AX11" i="50"/>
  <c r="AW11" i="50"/>
  <c r="AZ11" i="50"/>
  <c r="BD11" i="50" s="1"/>
  <c r="B11" i="50"/>
  <c r="AY10" i="50"/>
  <c r="AX10" i="50"/>
  <c r="AW10" i="50"/>
  <c r="AZ10" i="50"/>
  <c r="BD10" i="50" s="1"/>
  <c r="B10" i="50"/>
  <c r="AY9" i="50"/>
  <c r="AX9" i="50"/>
  <c r="AW9" i="50"/>
  <c r="AZ9" i="50"/>
  <c r="BD9" i="50" s="1"/>
  <c r="B9" i="50"/>
  <c r="AY8" i="50"/>
  <c r="AX8" i="50"/>
  <c r="AW8" i="50"/>
  <c r="AZ8" i="50"/>
  <c r="BD8" i="50" s="1"/>
  <c r="B8" i="50"/>
  <c r="AY7" i="50"/>
  <c r="AX7" i="50"/>
  <c r="AW7" i="50"/>
  <c r="AZ7" i="50"/>
  <c r="BD7" i="50" s="1"/>
  <c r="B7" i="50"/>
  <c r="BM6" i="50"/>
  <c r="BM40" i="50" s="1"/>
  <c r="BK6" i="50"/>
  <c r="BK40" i="50" s="1"/>
  <c r="BJ6" i="50"/>
  <c r="BJ40" i="50" s="1"/>
  <c r="BI6" i="50"/>
  <c r="BI40" i="50" s="1"/>
  <c r="BH6" i="50"/>
  <c r="BH40" i="50" s="1"/>
  <c r="BF6" i="50"/>
  <c r="AY6" i="50"/>
  <c r="AY40" i="50" s="1"/>
  <c r="AX6" i="50"/>
  <c r="AW6" i="50"/>
  <c r="B6" i="50"/>
  <c r="BP45" i="49"/>
  <c r="BP40" i="49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AZ38" i="49"/>
  <c r="BD38" i="49" s="1"/>
  <c r="B38" i="49"/>
  <c r="AY37" i="49"/>
  <c r="AX37" i="49"/>
  <c r="AW37" i="49"/>
  <c r="AZ37" i="49"/>
  <c r="BD37" i="49" s="1"/>
  <c r="B37" i="49"/>
  <c r="AY36" i="49"/>
  <c r="AX36" i="49"/>
  <c r="AW36" i="49"/>
  <c r="AZ36" i="49"/>
  <c r="BD36" i="49" s="1"/>
  <c r="B36" i="49"/>
  <c r="AY35" i="49"/>
  <c r="AX35" i="49"/>
  <c r="AW35" i="49"/>
  <c r="AZ35" i="49"/>
  <c r="BD35" i="49" s="1"/>
  <c r="B35" i="49"/>
  <c r="AY34" i="49"/>
  <c r="AX34" i="49"/>
  <c r="AW34" i="49"/>
  <c r="AZ34" i="49"/>
  <c r="BD34" i="49" s="1"/>
  <c r="B34" i="49"/>
  <c r="BP33" i="49"/>
  <c r="BP34" i="49" s="1"/>
  <c r="AY33" i="49"/>
  <c r="AX33" i="49"/>
  <c r="AW33" i="49"/>
  <c r="AZ33" i="49"/>
  <c r="BD33" i="49" s="1"/>
  <c r="B33" i="49"/>
  <c r="AY32" i="49"/>
  <c r="AX32" i="49"/>
  <c r="AW32" i="49"/>
  <c r="AZ32" i="49"/>
  <c r="BD32" i="49" s="1"/>
  <c r="B32" i="49"/>
  <c r="AY31" i="49"/>
  <c r="AX31" i="49"/>
  <c r="AW31" i="49"/>
  <c r="AZ31" i="49"/>
  <c r="BD31" i="49" s="1"/>
  <c r="B31" i="49"/>
  <c r="AY30" i="49"/>
  <c r="AX30" i="49"/>
  <c r="AW30" i="49"/>
  <c r="AZ30" i="49"/>
  <c r="BD30" i="49" s="1"/>
  <c r="B30" i="49"/>
  <c r="AY29" i="49"/>
  <c r="AX29" i="49"/>
  <c r="AW29" i="49"/>
  <c r="AZ29" i="49"/>
  <c r="BD29" i="49" s="1"/>
  <c r="B29" i="49"/>
  <c r="BP28" i="49"/>
  <c r="AY28" i="49"/>
  <c r="AX28" i="49"/>
  <c r="AW28" i="49"/>
  <c r="AZ28" i="49"/>
  <c r="BD28" i="49" s="1"/>
  <c r="B28" i="49"/>
  <c r="AY27" i="49"/>
  <c r="AX27" i="49"/>
  <c r="AW27" i="49"/>
  <c r="AZ27" i="49"/>
  <c r="BD27" i="49" s="1"/>
  <c r="B27" i="49"/>
  <c r="AY26" i="49"/>
  <c r="AX26" i="49"/>
  <c r="AW26" i="49"/>
  <c r="AZ26" i="49"/>
  <c r="BD26" i="49" s="1"/>
  <c r="B26" i="49"/>
  <c r="AY25" i="49"/>
  <c r="AX25" i="49"/>
  <c r="AW25" i="49"/>
  <c r="AZ25" i="49"/>
  <c r="BD25" i="49" s="1"/>
  <c r="B25" i="49"/>
  <c r="AY24" i="49"/>
  <c r="AX24" i="49"/>
  <c r="AW24" i="49"/>
  <c r="AZ24" i="49"/>
  <c r="BD24" i="49" s="1"/>
  <c r="B24" i="49"/>
  <c r="AY23" i="49"/>
  <c r="AX23" i="49"/>
  <c r="AW23" i="49"/>
  <c r="AZ23" i="49"/>
  <c r="BD23" i="49" s="1"/>
  <c r="B23" i="49"/>
  <c r="BP22" i="49"/>
  <c r="AY22" i="49"/>
  <c r="AX22" i="49"/>
  <c r="AW22" i="49"/>
  <c r="AZ22" i="49"/>
  <c r="BD22" i="49" s="1"/>
  <c r="B22" i="49"/>
  <c r="AY21" i="49"/>
  <c r="AX21" i="49"/>
  <c r="AW21" i="49"/>
  <c r="AZ21" i="49"/>
  <c r="BD21" i="49" s="1"/>
  <c r="B21" i="49"/>
  <c r="AY20" i="49"/>
  <c r="AX20" i="49"/>
  <c r="AW20" i="49"/>
  <c r="AZ20" i="49"/>
  <c r="BD20" i="49" s="1"/>
  <c r="B20" i="49"/>
  <c r="AY19" i="49"/>
  <c r="AX19" i="49"/>
  <c r="AW19" i="49"/>
  <c r="AZ19" i="49"/>
  <c r="BD19" i="49" s="1"/>
  <c r="B19" i="49"/>
  <c r="AY18" i="49"/>
  <c r="AX18" i="49"/>
  <c r="AW18" i="49"/>
  <c r="AZ18" i="49"/>
  <c r="BD18" i="49" s="1"/>
  <c r="B18" i="49"/>
  <c r="AY17" i="49"/>
  <c r="AX17" i="49"/>
  <c r="AW17" i="49"/>
  <c r="AZ17" i="49"/>
  <c r="BD17" i="49" s="1"/>
  <c r="B17" i="49"/>
  <c r="BP16" i="49"/>
  <c r="AY16" i="49"/>
  <c r="AX16" i="49"/>
  <c r="AW16" i="49"/>
  <c r="AZ16" i="49"/>
  <c r="BD16" i="49" s="1"/>
  <c r="B16" i="49"/>
  <c r="AY15" i="49"/>
  <c r="AX15" i="49"/>
  <c r="AW15" i="49"/>
  <c r="AZ15" i="49"/>
  <c r="BD15" i="49" s="1"/>
  <c r="B15" i="49"/>
  <c r="AY14" i="49"/>
  <c r="AX14" i="49"/>
  <c r="AW14" i="49"/>
  <c r="AZ14" i="49"/>
  <c r="BD14" i="49" s="1"/>
  <c r="B14" i="49"/>
  <c r="AY13" i="49"/>
  <c r="AX13" i="49"/>
  <c r="AW13" i="49"/>
  <c r="AZ13" i="49"/>
  <c r="BD13" i="49" s="1"/>
  <c r="B13" i="49"/>
  <c r="AY12" i="49"/>
  <c r="AX12" i="49"/>
  <c r="AW12" i="49"/>
  <c r="AZ12" i="49"/>
  <c r="BD12" i="49" s="1"/>
  <c r="B12" i="49"/>
  <c r="AY11" i="49"/>
  <c r="AX11" i="49"/>
  <c r="AW11" i="49"/>
  <c r="AZ11" i="49"/>
  <c r="BD11" i="49" s="1"/>
  <c r="B11" i="49"/>
  <c r="AY10" i="49"/>
  <c r="AX10" i="49"/>
  <c r="AW10" i="49"/>
  <c r="AZ10" i="49"/>
  <c r="BD10" i="49" s="1"/>
  <c r="B10" i="49"/>
  <c r="AY9" i="49"/>
  <c r="AX9" i="49"/>
  <c r="AW9" i="49"/>
  <c r="AZ9" i="49"/>
  <c r="BD9" i="49" s="1"/>
  <c r="B9" i="49"/>
  <c r="AY8" i="49"/>
  <c r="AX8" i="49"/>
  <c r="AW8" i="49"/>
  <c r="AZ8" i="49"/>
  <c r="BD8" i="49" s="1"/>
  <c r="B8" i="49"/>
  <c r="AY7" i="49"/>
  <c r="AX7" i="49"/>
  <c r="AW7" i="49"/>
  <c r="AW40" i="49" s="1"/>
  <c r="AZ7" i="49"/>
  <c r="BD7" i="49" s="1"/>
  <c r="B7" i="49"/>
  <c r="BM6" i="49"/>
  <c r="BM40" i="49" s="1"/>
  <c r="BK6" i="49"/>
  <c r="BK40" i="49" s="1"/>
  <c r="BI6" i="49"/>
  <c r="BI40" i="49" s="1"/>
  <c r="BH6" i="49"/>
  <c r="BH40" i="49" s="1"/>
  <c r="BF6" i="49"/>
  <c r="AY6" i="49"/>
  <c r="AX6" i="49"/>
  <c r="AX40" i="49" s="1"/>
  <c r="AW6" i="49"/>
  <c r="B6" i="49"/>
  <c r="F7" i="48"/>
  <c r="AZ7" i="48" s="1"/>
  <c r="BD7" i="48" s="1"/>
  <c r="F8" i="48"/>
  <c r="AZ8" i="48" s="1"/>
  <c r="BD8" i="48" s="1"/>
  <c r="F9" i="48"/>
  <c r="AZ9" i="48" s="1"/>
  <c r="BD9" i="48" s="1"/>
  <c r="F10" i="48"/>
  <c r="F11" i="48"/>
  <c r="F12" i="48"/>
  <c r="AZ12" i="48" s="1"/>
  <c r="BD12" i="48" s="1"/>
  <c r="F13" i="48"/>
  <c r="AZ13" i="48" s="1"/>
  <c r="BD13" i="48" s="1"/>
  <c r="F14" i="48"/>
  <c r="AZ14" i="48" s="1"/>
  <c r="BD14" i="48" s="1"/>
  <c r="F15" i="48"/>
  <c r="AZ15" i="48" s="1"/>
  <c r="BD15" i="48" s="1"/>
  <c r="F16" i="48"/>
  <c r="AZ16" i="48" s="1"/>
  <c r="BD16" i="48" s="1"/>
  <c r="F17" i="48"/>
  <c r="AZ17" i="48" s="1"/>
  <c r="BD17" i="48" s="1"/>
  <c r="F18" i="48"/>
  <c r="F19" i="48"/>
  <c r="AZ19" i="48" s="1"/>
  <c r="BD19" i="48" s="1"/>
  <c r="F20" i="48"/>
  <c r="F21" i="48"/>
  <c r="AZ21" i="48" s="1"/>
  <c r="BD21" i="48" s="1"/>
  <c r="F22" i="48"/>
  <c r="AZ22" i="48" s="1"/>
  <c r="BD22" i="48" s="1"/>
  <c r="F23" i="48"/>
  <c r="AZ23" i="48" s="1"/>
  <c r="BD23" i="48" s="1"/>
  <c r="F24" i="48"/>
  <c r="F25" i="48"/>
  <c r="F26" i="48"/>
  <c r="AZ26" i="48" s="1"/>
  <c r="BD26" i="48" s="1"/>
  <c r="F27" i="48"/>
  <c r="AZ27" i="48" s="1"/>
  <c r="BD27" i="48" s="1"/>
  <c r="F28" i="48"/>
  <c r="AZ28" i="48" s="1"/>
  <c r="BD28" i="48" s="1"/>
  <c r="F29" i="48"/>
  <c r="AZ29" i="48" s="1"/>
  <c r="BD29" i="48" s="1"/>
  <c r="F30" i="48"/>
  <c r="AZ30" i="48" s="1"/>
  <c r="BD30" i="48" s="1"/>
  <c r="F31" i="48"/>
  <c r="F32" i="48"/>
  <c r="F33" i="48"/>
  <c r="AZ33" i="48" s="1"/>
  <c r="BD33" i="48" s="1"/>
  <c r="F34" i="48"/>
  <c r="AZ34" i="48" s="1"/>
  <c r="BD34" i="48" s="1"/>
  <c r="F35" i="48"/>
  <c r="AZ35" i="48" s="1"/>
  <c r="BD35" i="48" s="1"/>
  <c r="F36" i="48"/>
  <c r="AZ36" i="48" s="1"/>
  <c r="BD36" i="48" s="1"/>
  <c r="F37" i="48"/>
  <c r="AZ37" i="48" s="1"/>
  <c r="BD37" i="48" s="1"/>
  <c r="F38" i="48"/>
  <c r="AZ38" i="48" s="1"/>
  <c r="BD38" i="48" s="1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7" i="48"/>
  <c r="E38" i="48"/>
  <c r="F6" i="48"/>
  <c r="E6" i="48"/>
  <c r="BP45" i="48"/>
  <c r="BP40" i="48"/>
  <c r="BL40" i="48"/>
  <c r="BE40" i="48"/>
  <c r="BC40" i="48"/>
  <c r="BB40" i="48"/>
  <c r="AV40" i="48"/>
  <c r="AU40" i="48"/>
  <c r="AT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B38" i="48"/>
  <c r="AY37" i="48"/>
  <c r="AX37" i="48"/>
  <c r="AW37" i="48"/>
  <c r="B37" i="48"/>
  <c r="AY36" i="48"/>
  <c r="AX36" i="48"/>
  <c r="AW36" i="48"/>
  <c r="B36" i="48"/>
  <c r="AY35" i="48"/>
  <c r="AX35" i="48"/>
  <c r="AW35" i="48"/>
  <c r="B35" i="48"/>
  <c r="BP34" i="48"/>
  <c r="AY34" i="48"/>
  <c r="AX34" i="48"/>
  <c r="AW34" i="48"/>
  <c r="B34" i="48"/>
  <c r="BP33" i="48"/>
  <c r="AY33" i="48"/>
  <c r="AX33" i="48"/>
  <c r="AW33" i="48"/>
  <c r="B33" i="48"/>
  <c r="AY32" i="48"/>
  <c r="AX32" i="48"/>
  <c r="AX32" i="57" s="1"/>
  <c r="AW32" i="48"/>
  <c r="AW32" i="57" s="1"/>
  <c r="B32" i="48"/>
  <c r="AY31" i="48"/>
  <c r="AY31" i="57" s="1"/>
  <c r="AX31" i="48"/>
  <c r="AW31" i="48"/>
  <c r="B31" i="48"/>
  <c r="AY30" i="48"/>
  <c r="AX30" i="48"/>
  <c r="AW30" i="48"/>
  <c r="B30" i="48"/>
  <c r="AY29" i="48"/>
  <c r="AX29" i="48"/>
  <c r="AW29" i="48"/>
  <c r="B29" i="48"/>
  <c r="BP28" i="48"/>
  <c r="BI6" i="48" s="1"/>
  <c r="BI40" i="48" s="1"/>
  <c r="AY28" i="48"/>
  <c r="AX28" i="48"/>
  <c r="AW28" i="48"/>
  <c r="B28" i="48"/>
  <c r="AY27" i="48"/>
  <c r="AX27" i="48"/>
  <c r="AW27" i="48"/>
  <c r="B27" i="48"/>
  <c r="AY26" i="48"/>
  <c r="AX26" i="48"/>
  <c r="AW26" i="48"/>
  <c r="B26" i="48"/>
  <c r="AY25" i="48"/>
  <c r="AY25" i="57" s="1"/>
  <c r="AX25" i="48"/>
  <c r="AW25" i="48"/>
  <c r="B25" i="48"/>
  <c r="AY24" i="48"/>
  <c r="AY24" i="57" s="1"/>
  <c r="AX24" i="48"/>
  <c r="AW24" i="48"/>
  <c r="B24" i="48"/>
  <c r="AY23" i="48"/>
  <c r="AX23" i="48"/>
  <c r="AW23" i="48"/>
  <c r="B23" i="48"/>
  <c r="BP22" i="48"/>
  <c r="AY22" i="48"/>
  <c r="AX22" i="48"/>
  <c r="AW22" i="48"/>
  <c r="B22" i="48"/>
  <c r="AY21" i="48"/>
  <c r="AX21" i="48"/>
  <c r="AW21" i="48"/>
  <c r="B21" i="48"/>
  <c r="BA40" i="48"/>
  <c r="AY20" i="48"/>
  <c r="AX20" i="48"/>
  <c r="AX20" i="57" s="1"/>
  <c r="AW20" i="48"/>
  <c r="B20" i="48"/>
  <c r="AY19" i="48"/>
  <c r="AX19" i="48"/>
  <c r="AW19" i="48"/>
  <c r="B19" i="48"/>
  <c r="AY18" i="48"/>
  <c r="AY18" i="57" s="1"/>
  <c r="AX18" i="48"/>
  <c r="AW18" i="48"/>
  <c r="B18" i="48"/>
  <c r="AY17" i="48"/>
  <c r="AX17" i="48"/>
  <c r="AW17" i="48"/>
  <c r="B17" i="48"/>
  <c r="BP16" i="48"/>
  <c r="AY16" i="48"/>
  <c r="AY16" i="57" s="1"/>
  <c r="AX16" i="48"/>
  <c r="AW16" i="48"/>
  <c r="B16" i="48"/>
  <c r="AY15" i="48"/>
  <c r="AX15" i="48"/>
  <c r="AW15" i="48"/>
  <c r="AW15" i="57" s="1"/>
  <c r="B15" i="48"/>
  <c r="AY14" i="48"/>
  <c r="AX14" i="48"/>
  <c r="AW14" i="48"/>
  <c r="B14" i="48"/>
  <c r="AY13" i="48"/>
  <c r="AX13" i="48"/>
  <c r="AW13" i="48"/>
  <c r="B13" i="48"/>
  <c r="AY12" i="48"/>
  <c r="AX12" i="48"/>
  <c r="AW12" i="48"/>
  <c r="B12" i="48"/>
  <c r="AY11" i="48"/>
  <c r="AX11" i="48"/>
  <c r="AW11" i="48"/>
  <c r="AW11" i="57" s="1"/>
  <c r="B11" i="48"/>
  <c r="AY10" i="48"/>
  <c r="AX10" i="48"/>
  <c r="AX10" i="57" s="1"/>
  <c r="AW10" i="48"/>
  <c r="B10" i="48"/>
  <c r="AY9" i="48"/>
  <c r="AX9" i="48"/>
  <c r="AW9" i="48"/>
  <c r="B9" i="48"/>
  <c r="AY8" i="48"/>
  <c r="AX8" i="48"/>
  <c r="AW8" i="48"/>
  <c r="B8" i="48"/>
  <c r="AY7" i="48"/>
  <c r="AX7" i="48"/>
  <c r="AW7" i="48"/>
  <c r="B7" i="48"/>
  <c r="BM6" i="48"/>
  <c r="BM40" i="48" s="1"/>
  <c r="BK6" i="48"/>
  <c r="BK40" i="48" s="1"/>
  <c r="BJ6" i="48"/>
  <c r="BJ40" i="48" s="1"/>
  <c r="BH6" i="48"/>
  <c r="BH40" i="48" s="1"/>
  <c r="BF6" i="48"/>
  <c r="AY6" i="48"/>
  <c r="AX6" i="48"/>
  <c r="AW6" i="48"/>
  <c r="B6" i="48"/>
  <c r="BA40" i="57" l="1"/>
  <c r="AZ18" i="48"/>
  <c r="BD18" i="48" s="1"/>
  <c r="AN40" i="57"/>
  <c r="AZ24" i="48"/>
  <c r="BD24" i="48" s="1"/>
  <c r="AZ31" i="48"/>
  <c r="BD31" i="48" s="1"/>
  <c r="AC40" i="57"/>
  <c r="AZ25" i="48"/>
  <c r="BD25" i="48" s="1"/>
  <c r="AZ32" i="48"/>
  <c r="BD32" i="48" s="1"/>
  <c r="AJ40" i="57"/>
  <c r="AZ10" i="48"/>
  <c r="BD10" i="48" s="1"/>
  <c r="AZ20" i="48"/>
  <c r="BD20" i="48" s="1"/>
  <c r="AZ11" i="48"/>
  <c r="BD11" i="48" s="1"/>
  <c r="I40" i="57"/>
  <c r="F40" i="51"/>
  <c r="F40" i="50"/>
  <c r="F40" i="49"/>
  <c r="F40" i="55"/>
  <c r="E40" i="52"/>
  <c r="F47" i="52" s="1"/>
  <c r="AY40" i="57"/>
  <c r="AE40" i="57"/>
  <c r="AX40" i="57"/>
  <c r="AR38" i="57"/>
  <c r="AR15" i="57"/>
  <c r="AQ25" i="57"/>
  <c r="AR25" i="57"/>
  <c r="AQ29" i="57"/>
  <c r="AQ20" i="57"/>
  <c r="AR20" i="57"/>
  <c r="AR22" i="57"/>
  <c r="F40" i="56"/>
  <c r="AX40" i="56"/>
  <c r="AW40" i="56"/>
  <c r="BF40" i="56"/>
  <c r="BP34" i="56"/>
  <c r="BJ6" i="56"/>
  <c r="BJ40" i="56" s="1"/>
  <c r="E40" i="56"/>
  <c r="F47" i="56" s="1"/>
  <c r="AW40" i="55"/>
  <c r="E40" i="55"/>
  <c r="F47" i="55" s="1"/>
  <c r="AY40" i="55"/>
  <c r="AZ6" i="55"/>
  <c r="AX40" i="55"/>
  <c r="BF40" i="55"/>
  <c r="F40" i="54"/>
  <c r="AZ6" i="54"/>
  <c r="AX40" i="54"/>
  <c r="BF40" i="54"/>
  <c r="E40" i="54"/>
  <c r="F47" i="54" s="1"/>
  <c r="F40" i="53"/>
  <c r="E40" i="53"/>
  <c r="F47" i="53" s="1"/>
  <c r="AY40" i="53"/>
  <c r="AZ6" i="53"/>
  <c r="AX40" i="53"/>
  <c r="BF40" i="53"/>
  <c r="AX40" i="52"/>
  <c r="BF40" i="52"/>
  <c r="AY40" i="52"/>
  <c r="F40" i="52"/>
  <c r="AZ6" i="52"/>
  <c r="AY40" i="51"/>
  <c r="AW40" i="51"/>
  <c r="BF40" i="51"/>
  <c r="BP34" i="51"/>
  <c r="BJ6" i="51"/>
  <c r="BJ40" i="51" s="1"/>
  <c r="E40" i="51"/>
  <c r="F47" i="51" s="1"/>
  <c r="E40" i="50"/>
  <c r="F47" i="50" s="1"/>
  <c r="AZ6" i="50"/>
  <c r="AW40" i="50"/>
  <c r="AX40" i="50"/>
  <c r="BF40" i="50"/>
  <c r="BF40" i="49"/>
  <c r="E40" i="49"/>
  <c r="F47" i="49" s="1"/>
  <c r="AY40" i="49"/>
  <c r="BJ6" i="49"/>
  <c r="BJ40" i="49" s="1"/>
  <c r="E40" i="48"/>
  <c r="F47" i="48" s="1"/>
  <c r="AY40" i="48"/>
  <c r="AX40" i="48"/>
  <c r="BF40" i="48"/>
  <c r="F40" i="48"/>
  <c r="AZ6" i="48"/>
  <c r="AW40" i="48"/>
  <c r="AQ36" i="57" l="1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Z6" i="56"/>
  <c r="AZ40" i="55"/>
  <c r="C47" i="55" s="1"/>
  <c r="BD6" i="55"/>
  <c r="BD40" i="55" s="1"/>
  <c r="AZ40" i="54"/>
  <c r="C47" i="54" s="1"/>
  <c r="BD6" i="54"/>
  <c r="BD40" i="54" s="1"/>
  <c r="AZ40" i="53"/>
  <c r="C47" i="53" s="1"/>
  <c r="BD6" i="53"/>
  <c r="BD6" i="52"/>
  <c r="BD40" i="52" s="1"/>
  <c r="AZ40" i="52"/>
  <c r="C47" i="52" s="1"/>
  <c r="AZ6" i="51"/>
  <c r="AZ40" i="50"/>
  <c r="C47" i="50" s="1"/>
  <c r="BD6" i="50"/>
  <c r="BD40" i="50" s="1"/>
  <c r="AZ6" i="49"/>
  <c r="AZ40" i="48"/>
  <c r="C47" i="48" s="1"/>
  <c r="BD6" i="48"/>
  <c r="BD40" i="48" s="1"/>
  <c r="AZ85" i="54" l="1"/>
  <c r="AZ85" i="52"/>
  <c r="AZ85" i="50"/>
  <c r="AZ85" i="48"/>
  <c r="C40" i="57"/>
  <c r="AZ40" i="56"/>
  <c r="BD6" i="56"/>
  <c r="BD40" i="56" s="1"/>
  <c r="AZ85" i="55"/>
  <c r="AZ85" i="53"/>
  <c r="BD40" i="53"/>
  <c r="AZ40" i="51"/>
  <c r="BD6" i="51"/>
  <c r="BD40" i="51" s="1"/>
  <c r="AZ40" i="49"/>
  <c r="BD6" i="49"/>
  <c r="BD40" i="49" s="1"/>
  <c r="C47" i="56" l="1"/>
  <c r="AZ85" i="56"/>
  <c r="C47" i="51"/>
  <c r="AZ85" i="51"/>
  <c r="C47" i="49"/>
  <c r="AZ85" i="49"/>
  <c r="BF31" i="47" l="1"/>
  <c r="BA20" i="47"/>
  <c r="BF26" i="47"/>
  <c r="BF8" i="47"/>
  <c r="BF7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6" i="47"/>
  <c r="E6" i="47"/>
  <c r="BF11" i="57" l="1"/>
  <c r="AZ16" i="47"/>
  <c r="BD16" i="47" s="1"/>
  <c r="AZ34" i="47"/>
  <c r="BD34" i="47" s="1"/>
  <c r="E40" i="47"/>
  <c r="F40" i="47"/>
  <c r="BP45" i="47"/>
  <c r="BP40" i="47"/>
  <c r="BK6" i="47" s="1"/>
  <c r="BK40" i="47" s="1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AZ38" i="47" s="1"/>
  <c r="BD38" i="47" s="1"/>
  <c r="B38" i="47"/>
  <c r="AY37" i="47"/>
  <c r="AX37" i="47"/>
  <c r="AW37" i="47"/>
  <c r="AZ37" i="47" s="1"/>
  <c r="BD37" i="47" s="1"/>
  <c r="B37" i="47"/>
  <c r="AY36" i="47"/>
  <c r="AX36" i="47"/>
  <c r="AW36" i="47"/>
  <c r="AZ36" i="47" s="1"/>
  <c r="BD36" i="47" s="1"/>
  <c r="B36" i="47"/>
  <c r="AY35" i="47"/>
  <c r="AX35" i="47"/>
  <c r="AW35" i="47"/>
  <c r="AZ35" i="47" s="1"/>
  <c r="BD35" i="47" s="1"/>
  <c r="B35" i="47"/>
  <c r="AY34" i="47"/>
  <c r="AX34" i="47"/>
  <c r="AW34" i="47"/>
  <c r="B34" i="47"/>
  <c r="BP33" i="47"/>
  <c r="BJ6" i="47" s="1"/>
  <c r="AY33" i="47"/>
  <c r="AX33" i="47"/>
  <c r="AW33" i="47"/>
  <c r="AZ33" i="47" s="1"/>
  <c r="BD33" i="47" s="1"/>
  <c r="B33" i="47"/>
  <c r="AY32" i="47"/>
  <c r="AX32" i="47"/>
  <c r="AW32" i="47"/>
  <c r="AZ32" i="47" s="1"/>
  <c r="BD32" i="47" s="1"/>
  <c r="B32" i="47"/>
  <c r="AY31" i="47"/>
  <c r="AX31" i="47"/>
  <c r="AW31" i="47"/>
  <c r="AZ31" i="47" s="1"/>
  <c r="BD31" i="47" s="1"/>
  <c r="B31" i="47"/>
  <c r="AY30" i="47"/>
  <c r="AX30" i="47"/>
  <c r="AW30" i="47"/>
  <c r="AZ30" i="47" s="1"/>
  <c r="BD30" i="47" s="1"/>
  <c r="B30" i="47"/>
  <c r="AY29" i="47"/>
  <c r="AX29" i="47"/>
  <c r="AW29" i="47"/>
  <c r="AZ29" i="47" s="1"/>
  <c r="BD29" i="47" s="1"/>
  <c r="B29" i="47"/>
  <c r="BP28" i="47"/>
  <c r="AY28" i="47"/>
  <c r="AX28" i="47"/>
  <c r="AW28" i="47"/>
  <c r="AZ28" i="47" s="1"/>
  <c r="BD28" i="47" s="1"/>
  <c r="B28" i="47"/>
  <c r="AY27" i="47"/>
  <c r="AX27" i="47"/>
  <c r="AW27" i="47"/>
  <c r="AZ27" i="47" s="1"/>
  <c r="BD27" i="47" s="1"/>
  <c r="B27" i="47"/>
  <c r="AY26" i="47"/>
  <c r="AX26" i="47"/>
  <c r="AW26" i="47"/>
  <c r="AZ26" i="47" s="1"/>
  <c r="BD26" i="47" s="1"/>
  <c r="B26" i="47"/>
  <c r="AY25" i="47"/>
  <c r="AX25" i="47"/>
  <c r="AW25" i="47"/>
  <c r="B25" i="47"/>
  <c r="AY24" i="47"/>
  <c r="AX24" i="47"/>
  <c r="AW24" i="47"/>
  <c r="B24" i="47"/>
  <c r="AY23" i="47"/>
  <c r="AX23" i="47"/>
  <c r="AW23" i="47"/>
  <c r="B23" i="47"/>
  <c r="BP22" i="47"/>
  <c r="BM6" i="47" s="1"/>
  <c r="BM40" i="47" s="1"/>
  <c r="AY22" i="47"/>
  <c r="AX22" i="47"/>
  <c r="AW22" i="47"/>
  <c r="B22" i="47"/>
  <c r="AY21" i="47"/>
  <c r="AZ21" i="47" s="1"/>
  <c r="BD21" i="47" s="1"/>
  <c r="AX21" i="47"/>
  <c r="AW21" i="47"/>
  <c r="B21" i="47"/>
  <c r="AX20" i="47"/>
  <c r="AW20" i="47"/>
  <c r="AY20" i="47"/>
  <c r="B20" i="47"/>
  <c r="AY19" i="47"/>
  <c r="AX19" i="47"/>
  <c r="AW19" i="47"/>
  <c r="AZ19" i="47" s="1"/>
  <c r="BD19" i="47" s="1"/>
  <c r="B19" i="47"/>
  <c r="AY18" i="47"/>
  <c r="AZ18" i="47" s="1"/>
  <c r="BD18" i="47" s="1"/>
  <c r="AX18" i="47"/>
  <c r="AW18" i="47"/>
  <c r="B18" i="47"/>
  <c r="AY17" i="47"/>
  <c r="AZ17" i="47" s="1"/>
  <c r="BD17" i="47" s="1"/>
  <c r="AX17" i="47"/>
  <c r="AW17" i="47"/>
  <c r="B17" i="47"/>
  <c r="BP16" i="47"/>
  <c r="BH6" i="47" s="1"/>
  <c r="BH40" i="47" s="1"/>
  <c r="AY16" i="47"/>
  <c r="AX16" i="47"/>
  <c r="AW16" i="47"/>
  <c r="B16" i="47"/>
  <c r="AY15" i="47"/>
  <c r="AX15" i="47"/>
  <c r="AW15" i="47"/>
  <c r="AZ15" i="47" s="1"/>
  <c r="BD15" i="47" s="1"/>
  <c r="B15" i="47"/>
  <c r="AY14" i="47"/>
  <c r="AX14" i="47"/>
  <c r="AW14" i="47"/>
  <c r="AZ14" i="47" s="1"/>
  <c r="BD14" i="47" s="1"/>
  <c r="B14" i="47"/>
  <c r="AY13" i="47"/>
  <c r="AX13" i="47"/>
  <c r="AW13" i="47"/>
  <c r="AZ13" i="47" s="1"/>
  <c r="BD13" i="47" s="1"/>
  <c r="B13" i="47"/>
  <c r="AY12" i="47"/>
  <c r="AX12" i="47"/>
  <c r="AW12" i="47"/>
  <c r="AZ12" i="47" s="1"/>
  <c r="BD12" i="47" s="1"/>
  <c r="B12" i="47"/>
  <c r="AY11" i="47"/>
  <c r="AX11" i="47"/>
  <c r="AW11" i="47"/>
  <c r="B11" i="47"/>
  <c r="AY10" i="47"/>
  <c r="AX10" i="47"/>
  <c r="AW10" i="47"/>
  <c r="AW10" i="57" s="1"/>
  <c r="AW40" i="57" s="1"/>
  <c r="B10" i="47"/>
  <c r="AY9" i="47"/>
  <c r="AX9" i="47"/>
  <c r="AW9" i="47"/>
  <c r="B9" i="47"/>
  <c r="AY8" i="47"/>
  <c r="AX8" i="47"/>
  <c r="AW8" i="47"/>
  <c r="AZ8" i="47" s="1"/>
  <c r="BD8" i="47" s="1"/>
  <c r="B8" i="47"/>
  <c r="AY7" i="47"/>
  <c r="AX7" i="47"/>
  <c r="AW7" i="47"/>
  <c r="AZ7" i="47" s="1"/>
  <c r="BD7" i="47" s="1"/>
  <c r="B7" i="47"/>
  <c r="BI6" i="47"/>
  <c r="BI40" i="47" s="1"/>
  <c r="BF6" i="47"/>
  <c r="AY6" i="47"/>
  <c r="AX6" i="47"/>
  <c r="AW6" i="47"/>
  <c r="B6" i="47"/>
  <c r="BJ40" i="47" l="1"/>
  <c r="BJ6" i="57"/>
  <c r="BJ40" i="57" s="1"/>
  <c r="AZ23" i="47"/>
  <c r="BD23" i="47" s="1"/>
  <c r="AZ25" i="47"/>
  <c r="BD25" i="47" s="1"/>
  <c r="AZ10" i="47"/>
  <c r="BD10" i="47" s="1"/>
  <c r="AZ22" i="47"/>
  <c r="BD22" i="47" s="1"/>
  <c r="AZ24" i="47"/>
  <c r="BD24" i="47" s="1"/>
  <c r="AZ9" i="47"/>
  <c r="BD9" i="47" s="1"/>
  <c r="AZ20" i="47"/>
  <c r="BD20" i="47" s="1"/>
  <c r="AZ11" i="47"/>
  <c r="BD11" i="47" s="1"/>
  <c r="AY40" i="47"/>
  <c r="AW40" i="47"/>
  <c r="BP34" i="47"/>
  <c r="F47" i="47"/>
  <c r="AZ6" i="47"/>
  <c r="BF40" i="47"/>
  <c r="AX40" i="47"/>
  <c r="AK40" i="47"/>
  <c r="F11" i="46"/>
  <c r="AN20" i="46"/>
  <c r="AK20" i="46"/>
  <c r="AZ40" i="47" l="1"/>
  <c r="C47" i="47" s="1"/>
  <c r="BD6" i="47"/>
  <c r="BD40" i="47" s="1"/>
  <c r="BF7" i="45"/>
  <c r="BF7" i="46"/>
  <c r="BF7" i="57" l="1"/>
  <c r="AZ85" i="47"/>
  <c r="F38" i="46"/>
  <c r="E38" i="46"/>
  <c r="F37" i="46"/>
  <c r="F36" i="46"/>
  <c r="E36" i="46"/>
  <c r="F35" i="46"/>
  <c r="E35" i="46"/>
  <c r="F34" i="46"/>
  <c r="E34" i="46"/>
  <c r="F33" i="46"/>
  <c r="E33" i="46"/>
  <c r="F32" i="46"/>
  <c r="E32" i="46"/>
  <c r="F31" i="46"/>
  <c r="E31" i="46"/>
  <c r="F30" i="46"/>
  <c r="E30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E11" i="46"/>
  <c r="F10" i="46"/>
  <c r="E10" i="46"/>
  <c r="F9" i="46"/>
  <c r="E9" i="46"/>
  <c r="F8" i="46"/>
  <c r="E8" i="46"/>
  <c r="F7" i="46"/>
  <c r="E7" i="46"/>
  <c r="F6" i="46"/>
  <c r="E6" i="46"/>
  <c r="BP45" i="46"/>
  <c r="BP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38" i="46"/>
  <c r="BF37" i="46"/>
  <c r="AY37" i="46"/>
  <c r="AX37" i="46"/>
  <c r="AW37" i="46"/>
  <c r="B37" i="46"/>
  <c r="BF36" i="46"/>
  <c r="AY36" i="46"/>
  <c r="AX36" i="46"/>
  <c r="AW36" i="46"/>
  <c r="B36" i="46"/>
  <c r="BF35" i="46"/>
  <c r="AY35" i="46"/>
  <c r="AX35" i="46"/>
  <c r="AW35" i="46"/>
  <c r="B35" i="46"/>
  <c r="BF34" i="46"/>
  <c r="AY34" i="46"/>
  <c r="AX34" i="46"/>
  <c r="AW34" i="46"/>
  <c r="B34" i="46"/>
  <c r="BP33" i="46"/>
  <c r="BP34" i="46" s="1"/>
  <c r="BF33" i="46"/>
  <c r="AY33" i="46"/>
  <c r="AX33" i="46"/>
  <c r="AW33" i="46"/>
  <c r="B33" i="46"/>
  <c r="BF32" i="46"/>
  <c r="AY32" i="46"/>
  <c r="AX32" i="46"/>
  <c r="AW32" i="46"/>
  <c r="B32" i="46"/>
  <c r="BF31" i="46"/>
  <c r="AY31" i="46"/>
  <c r="AX31" i="46"/>
  <c r="AW31" i="46"/>
  <c r="B31" i="46"/>
  <c r="BF30" i="46"/>
  <c r="AY30" i="46"/>
  <c r="AX30" i="46"/>
  <c r="AW30" i="46"/>
  <c r="B30" i="46"/>
  <c r="BF29" i="46"/>
  <c r="AY29" i="46"/>
  <c r="AX29" i="46"/>
  <c r="AW29" i="46"/>
  <c r="B29" i="46"/>
  <c r="BP28" i="46"/>
  <c r="BI6" i="46" s="1"/>
  <c r="BI40" i="46" s="1"/>
  <c r="BF28" i="46"/>
  <c r="AY28" i="46"/>
  <c r="AX28" i="46"/>
  <c r="AW28" i="46"/>
  <c r="B28" i="46"/>
  <c r="BF27" i="46"/>
  <c r="AY27" i="46"/>
  <c r="AX27" i="46"/>
  <c r="AW27" i="46"/>
  <c r="B27" i="46"/>
  <c r="BF26" i="46"/>
  <c r="AY26" i="46"/>
  <c r="AX26" i="46"/>
  <c r="AW26" i="46"/>
  <c r="B26" i="46"/>
  <c r="BF25" i="46"/>
  <c r="AY25" i="46"/>
  <c r="AX25" i="46"/>
  <c r="AW25" i="46"/>
  <c r="B25" i="46"/>
  <c r="BF24" i="46"/>
  <c r="AY24" i="46"/>
  <c r="AX24" i="46"/>
  <c r="AW24" i="46"/>
  <c r="B24" i="46"/>
  <c r="BF23" i="46"/>
  <c r="AY23" i="46"/>
  <c r="AX23" i="46"/>
  <c r="AW23" i="46"/>
  <c r="B23" i="46"/>
  <c r="BP22" i="46"/>
  <c r="BF22" i="46"/>
  <c r="AY22" i="46"/>
  <c r="AX22" i="46"/>
  <c r="AW22" i="46"/>
  <c r="B22" i="46"/>
  <c r="BF21" i="46"/>
  <c r="AY21" i="46"/>
  <c r="AX21" i="46"/>
  <c r="AW21" i="46"/>
  <c r="B21" i="46"/>
  <c r="BF20" i="46"/>
  <c r="AY20" i="46"/>
  <c r="AX20" i="46"/>
  <c r="AW20" i="46"/>
  <c r="B20" i="46"/>
  <c r="BF19" i="46"/>
  <c r="AY19" i="46"/>
  <c r="AX19" i="46"/>
  <c r="AW19" i="46"/>
  <c r="B19" i="46"/>
  <c r="BF18" i="46"/>
  <c r="AY18" i="46"/>
  <c r="AX18" i="46"/>
  <c r="AW18" i="46"/>
  <c r="B18" i="46"/>
  <c r="BF17" i="46"/>
  <c r="AY17" i="46"/>
  <c r="AX17" i="46"/>
  <c r="AW17" i="46"/>
  <c r="B17" i="46"/>
  <c r="BP16" i="46"/>
  <c r="BH6" i="46" s="1"/>
  <c r="BH40" i="46" s="1"/>
  <c r="BF16" i="46"/>
  <c r="AY16" i="46"/>
  <c r="AX16" i="46"/>
  <c r="AW16" i="46"/>
  <c r="B16" i="46"/>
  <c r="BF15" i="46"/>
  <c r="AY15" i="46"/>
  <c r="AX15" i="46"/>
  <c r="AW15" i="46"/>
  <c r="B15" i="46"/>
  <c r="BF14" i="46"/>
  <c r="AY14" i="46"/>
  <c r="AX14" i="46"/>
  <c r="AW14" i="46"/>
  <c r="B14" i="46"/>
  <c r="BF13" i="46"/>
  <c r="AY13" i="46"/>
  <c r="AX13" i="46"/>
  <c r="AW13" i="46"/>
  <c r="B13" i="46"/>
  <c r="BF12" i="46"/>
  <c r="AY12" i="46"/>
  <c r="AX12" i="46"/>
  <c r="AW12" i="46"/>
  <c r="B12" i="46"/>
  <c r="BF11" i="46"/>
  <c r="AY11" i="46"/>
  <c r="AW11" i="46"/>
  <c r="AX11" i="46"/>
  <c r="B11" i="46"/>
  <c r="BF10" i="46"/>
  <c r="AY10" i="46"/>
  <c r="AX10" i="46"/>
  <c r="AW10" i="46"/>
  <c r="B10" i="46"/>
  <c r="BF9" i="46"/>
  <c r="AY9" i="46"/>
  <c r="AX9" i="46"/>
  <c r="AW9" i="46"/>
  <c r="B9" i="46"/>
  <c r="BF8" i="46"/>
  <c r="AY8" i="46"/>
  <c r="AX8" i="46"/>
  <c r="AW8" i="46"/>
  <c r="B8" i="46"/>
  <c r="AY7" i="46"/>
  <c r="AX7" i="46"/>
  <c r="AW7" i="46"/>
  <c r="B7" i="46"/>
  <c r="BM6" i="46"/>
  <c r="BM40" i="46" s="1"/>
  <c r="BK6" i="46"/>
  <c r="BK40" i="46" s="1"/>
  <c r="BF6" i="46"/>
  <c r="AY6" i="46"/>
  <c r="AX6" i="46"/>
  <c r="AW6" i="46"/>
  <c r="B6" i="46"/>
  <c r="BF14" i="57" l="1"/>
  <c r="BF28" i="57"/>
  <c r="BF15" i="57"/>
  <c r="BF18" i="57"/>
  <c r="BF22" i="57"/>
  <c r="BF25" i="57"/>
  <c r="BF32" i="57"/>
  <c r="BF35" i="57"/>
  <c r="BF24" i="57"/>
  <c r="BF38" i="57"/>
  <c r="BF12" i="57"/>
  <c r="BF16" i="57"/>
  <c r="BF19" i="57"/>
  <c r="BF26" i="57"/>
  <c r="BF29" i="57"/>
  <c r="BF33" i="57"/>
  <c r="BF36" i="57"/>
  <c r="BF17" i="57"/>
  <c r="BF21" i="57"/>
  <c r="BF31" i="57"/>
  <c r="BF34" i="57"/>
  <c r="BF13" i="57"/>
  <c r="BF20" i="57"/>
  <c r="BF23" i="57"/>
  <c r="BF27" i="57"/>
  <c r="BF30" i="57"/>
  <c r="BF37" i="57"/>
  <c r="BF8" i="57"/>
  <c r="BF10" i="57"/>
  <c r="BF9" i="57"/>
  <c r="BF6" i="57"/>
  <c r="AZ7" i="46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BF40" i="57" l="1"/>
  <c r="AZ40" i="46"/>
  <c r="C47" i="46" s="1"/>
  <c r="AJ11" i="45"/>
  <c r="BF19" i="45"/>
  <c r="AY19" i="45"/>
  <c r="AX19" i="45"/>
  <c r="AW19" i="45"/>
  <c r="F19" i="45"/>
  <c r="F19" i="57" s="1"/>
  <c r="E19" i="45"/>
  <c r="E19" i="57" s="1"/>
  <c r="B19" i="45"/>
  <c r="BD40" i="46" l="1"/>
  <c r="AZ85" i="46"/>
  <c r="AZ19" i="45"/>
  <c r="BD19" i="45" l="1"/>
  <c r="BD19" i="57" s="1"/>
  <c r="AZ19" i="57"/>
  <c r="BF34" i="45"/>
  <c r="AY34" i="45"/>
  <c r="AX34" i="45"/>
  <c r="AW34" i="45"/>
  <c r="F34" i="45"/>
  <c r="F34" i="57" s="1"/>
  <c r="E34" i="45"/>
  <c r="E34" i="57" s="1"/>
  <c r="B3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5" i="45"/>
  <c r="B36" i="45"/>
  <c r="B37" i="45"/>
  <c r="B38" i="45"/>
  <c r="B6" i="45"/>
  <c r="BF37" i="45"/>
  <c r="AY37" i="45"/>
  <c r="AX37" i="45"/>
  <c r="AW37" i="45"/>
  <c r="F37" i="45"/>
  <c r="F37" i="57" s="1"/>
  <c r="E37" i="45"/>
  <c r="AZ34" i="45" l="1"/>
  <c r="AZ37" i="45"/>
  <c r="BD37" i="45" l="1"/>
  <c r="BD37" i="57" s="1"/>
  <c r="AZ37" i="57"/>
  <c r="BD34" i="45"/>
  <c r="BD34" i="57" s="1"/>
  <c r="AZ34" i="57"/>
  <c r="F7" i="45"/>
  <c r="F7" i="57" s="1"/>
  <c r="F8" i="45"/>
  <c r="F8" i="57" s="1"/>
  <c r="F9" i="45"/>
  <c r="F9" i="57" s="1"/>
  <c r="F10" i="45"/>
  <c r="F10" i="57" s="1"/>
  <c r="F11" i="45"/>
  <c r="F11" i="57" s="1"/>
  <c r="F12" i="45"/>
  <c r="F12" i="57" s="1"/>
  <c r="F13" i="45"/>
  <c r="F13" i="57" s="1"/>
  <c r="F14" i="45"/>
  <c r="F14" i="57" s="1"/>
  <c r="F15" i="45"/>
  <c r="F15" i="57" s="1"/>
  <c r="F16" i="45"/>
  <c r="F16" i="57" s="1"/>
  <c r="F17" i="45"/>
  <c r="F17" i="57" s="1"/>
  <c r="F18" i="45"/>
  <c r="F18" i="57" s="1"/>
  <c r="F20" i="45"/>
  <c r="F20" i="57" s="1"/>
  <c r="F21" i="45"/>
  <c r="F21" i="57" s="1"/>
  <c r="F22" i="45"/>
  <c r="F22" i="57" s="1"/>
  <c r="F23" i="45"/>
  <c r="F23" i="57" s="1"/>
  <c r="F24" i="45"/>
  <c r="F24" i="57" s="1"/>
  <c r="F25" i="45"/>
  <c r="F25" i="57" s="1"/>
  <c r="F26" i="45"/>
  <c r="F26" i="57" s="1"/>
  <c r="F27" i="45"/>
  <c r="F27" i="57" s="1"/>
  <c r="F28" i="45"/>
  <c r="F28" i="57" s="1"/>
  <c r="F29" i="45"/>
  <c r="F29" i="57" s="1"/>
  <c r="F30" i="45"/>
  <c r="F30" i="57" s="1"/>
  <c r="F31" i="45"/>
  <c r="F31" i="57" s="1"/>
  <c r="F32" i="45"/>
  <c r="F32" i="57" s="1"/>
  <c r="F33" i="45"/>
  <c r="F33" i="57" s="1"/>
  <c r="F35" i="45"/>
  <c r="F35" i="57" s="1"/>
  <c r="F36" i="45"/>
  <c r="F36" i="57" s="1"/>
  <c r="F38" i="45"/>
  <c r="F38" i="57" s="1"/>
  <c r="F6" i="45"/>
  <c r="F6" i="57" s="1"/>
  <c r="E7" i="45"/>
  <c r="E7" i="57" s="1"/>
  <c r="E8" i="45"/>
  <c r="E8" i="57" s="1"/>
  <c r="E9" i="45"/>
  <c r="E9" i="57" s="1"/>
  <c r="E10" i="45"/>
  <c r="E10" i="57" s="1"/>
  <c r="E11" i="45"/>
  <c r="E11" i="57" s="1"/>
  <c r="E12" i="45"/>
  <c r="E12" i="57" s="1"/>
  <c r="E13" i="45"/>
  <c r="E13" i="57" s="1"/>
  <c r="E14" i="45"/>
  <c r="E14" i="57" s="1"/>
  <c r="E15" i="45"/>
  <c r="E15" i="57" s="1"/>
  <c r="E16" i="45"/>
  <c r="E16" i="57" s="1"/>
  <c r="E17" i="45"/>
  <c r="E17" i="57" s="1"/>
  <c r="E18" i="45"/>
  <c r="E18" i="57" s="1"/>
  <c r="E20" i="45"/>
  <c r="E20" i="57" s="1"/>
  <c r="E21" i="45"/>
  <c r="E21" i="57" s="1"/>
  <c r="E22" i="45"/>
  <c r="E22" i="57" s="1"/>
  <c r="E23" i="45"/>
  <c r="E23" i="57" s="1"/>
  <c r="E24" i="45"/>
  <c r="E24" i="57" s="1"/>
  <c r="E25" i="45"/>
  <c r="E25" i="57" s="1"/>
  <c r="E26" i="45"/>
  <c r="E26" i="57" s="1"/>
  <c r="E27" i="45"/>
  <c r="E27" i="57" s="1"/>
  <c r="E28" i="45"/>
  <c r="E28" i="57" s="1"/>
  <c r="E29" i="45"/>
  <c r="E29" i="57" s="1"/>
  <c r="E30" i="45"/>
  <c r="E30" i="57" s="1"/>
  <c r="E31" i="45"/>
  <c r="E31" i="57" s="1"/>
  <c r="E32" i="45"/>
  <c r="E32" i="57" s="1"/>
  <c r="E33" i="45"/>
  <c r="E33" i="57" s="1"/>
  <c r="E35" i="45"/>
  <c r="E35" i="57" s="1"/>
  <c r="E36" i="45"/>
  <c r="E36" i="57" s="1"/>
  <c r="E38" i="45"/>
  <c r="E38" i="57" s="1"/>
  <c r="E6" i="45"/>
  <c r="E6" i="57" s="1"/>
  <c r="BP45" i="45"/>
  <c r="BP40" i="45"/>
  <c r="BK6" i="45" s="1"/>
  <c r="BL40" i="45"/>
  <c r="BC40" i="45"/>
  <c r="BB40" i="45"/>
  <c r="BA40" i="45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AY38" i="45"/>
  <c r="AX38" i="45"/>
  <c r="AW38" i="45"/>
  <c r="Q38" i="45"/>
  <c r="BF36" i="45"/>
  <c r="AY36" i="45"/>
  <c r="AX36" i="45"/>
  <c r="AW36" i="45"/>
  <c r="BF35" i="45"/>
  <c r="AY35" i="45"/>
  <c r="AX35" i="45"/>
  <c r="AW35" i="45"/>
  <c r="BP33" i="45"/>
  <c r="BP34" i="45" s="1"/>
  <c r="BF33" i="45"/>
  <c r="AY33" i="45"/>
  <c r="AX33" i="45"/>
  <c r="AW33" i="45"/>
  <c r="BF32" i="45"/>
  <c r="AY32" i="45"/>
  <c r="AX32" i="45"/>
  <c r="AW32" i="45"/>
  <c r="BF31" i="45"/>
  <c r="AY31" i="45"/>
  <c r="AX31" i="45"/>
  <c r="AW31" i="45"/>
  <c r="BF30" i="45"/>
  <c r="AY30" i="45"/>
  <c r="AX30" i="45"/>
  <c r="AW30" i="45"/>
  <c r="BF29" i="45"/>
  <c r="AY29" i="45"/>
  <c r="AX29" i="45"/>
  <c r="AW29" i="45"/>
  <c r="BP28" i="45"/>
  <c r="BI6" i="45" s="1"/>
  <c r="BF28" i="45"/>
  <c r="AY28" i="45"/>
  <c r="AX28" i="45"/>
  <c r="AW28" i="45"/>
  <c r="Q28" i="45"/>
  <c r="BF27" i="45"/>
  <c r="AY27" i="45"/>
  <c r="AX27" i="45"/>
  <c r="AW27" i="45"/>
  <c r="BF26" i="45"/>
  <c r="AY26" i="45"/>
  <c r="AX26" i="45"/>
  <c r="AW26" i="45"/>
  <c r="BF25" i="45"/>
  <c r="AX25" i="45"/>
  <c r="AW25" i="45"/>
  <c r="AY25" i="45"/>
  <c r="Q25" i="45"/>
  <c r="BF24" i="45"/>
  <c r="AY24" i="45"/>
  <c r="AW24" i="45"/>
  <c r="AX24" i="45"/>
  <c r="Q24" i="45"/>
  <c r="BF23" i="45"/>
  <c r="AY23" i="45"/>
  <c r="AX23" i="45"/>
  <c r="AW23" i="45"/>
  <c r="BP22" i="45"/>
  <c r="BF22" i="45"/>
  <c r="AY22" i="45"/>
  <c r="AX22" i="45"/>
  <c r="AW22" i="45"/>
  <c r="Q22" i="45"/>
  <c r="BF21" i="45"/>
  <c r="AY21" i="45"/>
  <c r="AX21" i="45"/>
  <c r="AW21" i="45"/>
  <c r="BF20" i="45"/>
  <c r="AY20" i="45"/>
  <c r="AW20" i="45"/>
  <c r="AX20" i="45"/>
  <c r="Q20" i="45"/>
  <c r="BF18" i="45"/>
  <c r="AY18" i="45"/>
  <c r="AX18" i="45"/>
  <c r="AW18" i="45"/>
  <c r="BF17" i="45"/>
  <c r="AY17" i="45"/>
  <c r="AX17" i="45"/>
  <c r="AW17" i="45"/>
  <c r="BP16" i="45"/>
  <c r="BH6" i="45" s="1"/>
  <c r="BH40" i="45" s="1"/>
  <c r="BF16" i="45"/>
  <c r="AY16" i="45"/>
  <c r="AX16" i="45"/>
  <c r="AW16" i="45"/>
  <c r="Q16" i="45"/>
  <c r="BF15" i="45"/>
  <c r="AY15" i="45"/>
  <c r="AX15" i="45"/>
  <c r="AW15" i="45"/>
  <c r="Q15" i="45"/>
  <c r="BF14" i="45"/>
  <c r="AY14" i="45"/>
  <c r="AX14" i="45"/>
  <c r="AW14" i="45"/>
  <c r="BF13" i="45"/>
  <c r="AY13" i="45"/>
  <c r="AX13" i="45"/>
  <c r="AW13" i="45"/>
  <c r="BF12" i="45"/>
  <c r="AY12" i="45"/>
  <c r="AX12" i="45"/>
  <c r="AW12" i="45"/>
  <c r="Q12" i="45"/>
  <c r="BF11" i="45"/>
  <c r="AY11" i="45"/>
  <c r="AX11" i="45"/>
  <c r="AW11" i="45"/>
  <c r="Q11" i="45"/>
  <c r="BF10" i="45"/>
  <c r="AY10" i="45"/>
  <c r="AX10" i="45"/>
  <c r="AW10" i="45"/>
  <c r="BF9" i="45"/>
  <c r="AY9" i="45"/>
  <c r="AX9" i="45"/>
  <c r="AW9" i="45"/>
  <c r="BF8" i="45"/>
  <c r="AY8" i="45"/>
  <c r="AX8" i="45"/>
  <c r="AW8" i="45"/>
  <c r="Q8" i="45"/>
  <c r="AY7" i="45"/>
  <c r="AX7" i="45"/>
  <c r="AW7" i="45"/>
  <c r="BM6" i="45"/>
  <c r="BM40" i="45" s="1"/>
  <c r="BJ6" i="45"/>
  <c r="BF6" i="45"/>
  <c r="AY6" i="45"/>
  <c r="AX6" i="45"/>
  <c r="AW6" i="45"/>
  <c r="BK40" i="45" l="1"/>
  <c r="BK6" i="57"/>
  <c r="BK40" i="57" s="1"/>
  <c r="BI40" i="45"/>
  <c r="BI6" i="57"/>
  <c r="BI40" i="57" s="1"/>
  <c r="F40" i="57"/>
  <c r="AZ17" i="45"/>
  <c r="AZ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BJ40" i="45"/>
  <c r="AZ18" i="45"/>
  <c r="F40" i="45"/>
  <c r="BF40" i="45"/>
  <c r="AZ6" i="45"/>
  <c r="AZ13" i="45"/>
  <c r="AZ35" i="45"/>
  <c r="AJ40" i="45"/>
  <c r="AZ23" i="45"/>
  <c r="AZ26" i="45"/>
  <c r="AZ28" i="45"/>
  <c r="AZ36" i="45"/>
  <c r="AZ24" i="45"/>
  <c r="BD30" i="42"/>
  <c r="BD21" i="42"/>
  <c r="BD16" i="42"/>
  <c r="BD13" i="42"/>
  <c r="BD22" i="42"/>
  <c r="BD24" i="42"/>
  <c r="BD12" i="42"/>
  <c r="BD31" i="42"/>
  <c r="BD10" i="42"/>
  <c r="BD25" i="42"/>
  <c r="E20" i="42"/>
  <c r="E16" i="42"/>
  <c r="S16" i="42"/>
  <c r="E35" i="42"/>
  <c r="D35" i="42"/>
  <c r="E18" i="42"/>
  <c r="E26" i="42"/>
  <c r="D26" i="42"/>
  <c r="E12" i="42"/>
  <c r="F35" i="42"/>
  <c r="D20" i="42"/>
  <c r="I12" i="42"/>
  <c r="E11" i="42"/>
  <c r="BD24" i="45" l="1"/>
  <c r="BD24" i="57" s="1"/>
  <c r="AZ24" i="57"/>
  <c r="BD23" i="45"/>
  <c r="BD23" i="57" s="1"/>
  <c r="AZ23" i="57"/>
  <c r="BD6" i="45"/>
  <c r="BD6" i="57" s="1"/>
  <c r="AZ6" i="57"/>
  <c r="BD16" i="45"/>
  <c r="BD16" i="57" s="1"/>
  <c r="AZ16" i="57"/>
  <c r="BD15" i="45"/>
  <c r="BD15" i="57" s="1"/>
  <c r="AZ15" i="57"/>
  <c r="BD21" i="45"/>
  <c r="BD21" i="57" s="1"/>
  <c r="AZ21" i="57"/>
  <c r="BD27" i="45"/>
  <c r="BD27" i="57" s="1"/>
  <c r="AZ27" i="57"/>
  <c r="BD33" i="45"/>
  <c r="BD33" i="57" s="1"/>
  <c r="AZ33" i="57"/>
  <c r="BD36" i="45"/>
  <c r="BD36" i="57" s="1"/>
  <c r="AZ36" i="57"/>
  <c r="BD38" i="45"/>
  <c r="BD38" i="57" s="1"/>
  <c r="AZ38" i="57"/>
  <c r="BD30" i="45"/>
  <c r="BD30" i="57" s="1"/>
  <c r="AZ30" i="57"/>
  <c r="BD20" i="45"/>
  <c r="BD20" i="57" s="1"/>
  <c r="AZ20" i="57"/>
  <c r="BD25" i="45"/>
  <c r="BD25" i="57" s="1"/>
  <c r="AZ25" i="57"/>
  <c r="BD7" i="45"/>
  <c r="BD7" i="57" s="1"/>
  <c r="AZ7" i="57"/>
  <c r="BD28" i="45"/>
  <c r="BD28" i="57" s="1"/>
  <c r="AZ28" i="57"/>
  <c r="BD35" i="45"/>
  <c r="BD35" i="57" s="1"/>
  <c r="AZ35" i="57"/>
  <c r="BD29" i="45"/>
  <c r="BD29" i="57" s="1"/>
  <c r="AZ29" i="57"/>
  <c r="BD32" i="45"/>
  <c r="BD32" i="57" s="1"/>
  <c r="AZ32" i="57"/>
  <c r="BD8" i="45"/>
  <c r="BD8" i="57" s="1"/>
  <c r="AZ8" i="57"/>
  <c r="BD11" i="45"/>
  <c r="BD11" i="57" s="1"/>
  <c r="AZ11" i="57"/>
  <c r="BD22" i="45"/>
  <c r="BD22" i="57" s="1"/>
  <c r="AZ22" i="57"/>
  <c r="BD17" i="45"/>
  <c r="BD17" i="57" s="1"/>
  <c r="AZ17" i="57"/>
  <c r="BD26" i="45"/>
  <c r="BD26" i="57" s="1"/>
  <c r="AZ26" i="57"/>
  <c r="BD13" i="45"/>
  <c r="BD13" i="57" s="1"/>
  <c r="AZ13" i="57"/>
  <c r="BD18" i="45"/>
  <c r="BD18" i="57" s="1"/>
  <c r="AZ18" i="57"/>
  <c r="BD12" i="45"/>
  <c r="BD12" i="57" s="1"/>
  <c r="AZ12" i="57"/>
  <c r="BD31" i="45"/>
  <c r="BD31" i="57" s="1"/>
  <c r="AZ31" i="57"/>
  <c r="BD10" i="45"/>
  <c r="BD10" i="57" s="1"/>
  <c r="AZ10" i="57"/>
  <c r="BD14" i="45"/>
  <c r="BD14" i="57" s="1"/>
  <c r="AZ14" i="57"/>
  <c r="BD9" i="45"/>
  <c r="BD9" i="57" s="1"/>
  <c r="AZ9" i="57"/>
  <c r="BE40" i="45"/>
  <c r="AZ40" i="45"/>
  <c r="C47" i="45" s="1"/>
  <c r="E18" i="36"/>
  <c r="I27" i="35"/>
  <c r="F27" i="35"/>
  <c r="AZ27" i="35" s="1"/>
  <c r="BD40" i="45" l="1"/>
  <c r="AZ40" i="57"/>
  <c r="C47" i="57" s="1"/>
  <c r="BD40" i="57"/>
  <c r="AZ85" i="45"/>
  <c r="AW11" i="34"/>
  <c r="F11" i="34"/>
  <c r="AZ11" i="34" s="1"/>
  <c r="BD11" i="34" s="1"/>
  <c r="F18" i="33"/>
  <c r="AZ18" i="33" s="1"/>
  <c r="V30" i="42"/>
  <c r="V25" i="42"/>
  <c r="V24" i="42"/>
  <c r="V22" i="42"/>
  <c r="V19" i="42"/>
  <c r="V16" i="42"/>
  <c r="V15" i="42"/>
  <c r="V10" i="42"/>
  <c r="V8" i="42"/>
  <c r="V36" i="42"/>
  <c r="AZ85" i="57" l="1"/>
  <c r="BF26" i="37"/>
  <c r="AM20" i="41" l="1"/>
  <c r="AJ20" i="41"/>
  <c r="I34" i="36"/>
  <c r="BD29" i="35"/>
  <c r="AZ29" i="35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K6" i="41"/>
  <c r="BP35" i="41"/>
  <c r="AK20" i="41"/>
  <c r="Q12" i="42" l="1"/>
  <c r="Q11" i="42" l="1"/>
  <c r="D33" i="41" l="1"/>
  <c r="AY8" i="36" l="1"/>
  <c r="BP38" i="42"/>
  <c r="BP38" i="4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5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38" i="32"/>
  <c r="BE18" i="31" l="1"/>
  <c r="BE24" i="31"/>
  <c r="BE38" i="33"/>
  <c r="BE30" i="40"/>
  <c r="BP25" i="36"/>
  <c r="BE38" i="36"/>
  <c r="BK6" i="36"/>
  <c r="BE20" i="36"/>
  <c r="BE16" i="36"/>
  <c r="BE18" i="36"/>
  <c r="BE20" i="35"/>
  <c r="BE38" i="35" s="1"/>
  <c r="BK6" i="35"/>
  <c r="BE38" i="40"/>
  <c r="BE11" i="40"/>
  <c r="BE20" i="40"/>
  <c r="BE23" i="40"/>
  <c r="F24" i="37" l="1"/>
  <c r="BE23" i="38" l="1"/>
  <c r="BE22" i="38"/>
  <c r="F12" i="38"/>
  <c r="BE38" i="39"/>
  <c r="BK6" i="39"/>
  <c r="BE17" i="39"/>
  <c r="BE20" i="39"/>
  <c r="BE15" i="39"/>
  <c r="BE38" i="38"/>
  <c r="BK6" i="38"/>
  <c r="BE7" i="38"/>
  <c r="BE11" i="38"/>
  <c r="BE20" i="38"/>
  <c r="BE36" i="38"/>
  <c r="E35" i="34" l="1"/>
  <c r="D35" i="34"/>
  <c r="BE11" i="37" l="1"/>
  <c r="BE12" i="37"/>
  <c r="D11" i="33"/>
  <c r="AX18" i="34"/>
  <c r="D19" i="34"/>
  <c r="D18" i="34"/>
  <c r="BE11" i="34"/>
  <c r="BK6" i="34" l="1"/>
  <c r="F11" i="33" l="1"/>
  <c r="AZ11" i="33" s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16" i="32"/>
  <c r="BE17" i="32"/>
  <c r="AY24" i="31" l="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AZ16" i="41" s="1"/>
  <c r="F15" i="41"/>
  <c r="F14" i="41"/>
  <c r="F13" i="41"/>
  <c r="F12" i="41"/>
  <c r="AZ12" i="41" s="1"/>
  <c r="F11" i="41"/>
  <c r="AZ11" i="41" s="1"/>
  <c r="F10" i="41"/>
  <c r="F9" i="41"/>
  <c r="F8" i="41"/>
  <c r="F7" i="41"/>
  <c r="AZ7" i="41" s="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F36" i="44"/>
  <c r="AZ36" i="44" s="1"/>
  <c r="BD36" i="44" s="1"/>
  <c r="E36" i="44"/>
  <c r="D36" i="44"/>
  <c r="H36" i="44" s="1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AZ32" i="44" s="1"/>
  <c r="BD32" i="44" s="1"/>
  <c r="E32" i="44"/>
  <c r="D32" i="44"/>
  <c r="B32" i="44"/>
  <c r="BF31" i="44"/>
  <c r="AY31" i="44"/>
  <c r="AX31" i="44"/>
  <c r="AW31" i="44"/>
  <c r="F31" i="44"/>
  <c r="E31" i="44"/>
  <c r="D31" i="44"/>
  <c r="H31" i="44" s="1"/>
  <c r="B31" i="44"/>
  <c r="BF30" i="44"/>
  <c r="AY30" i="44"/>
  <c r="AX30" i="44"/>
  <c r="AW30" i="44"/>
  <c r="Q30" i="44"/>
  <c r="P30" i="44"/>
  <c r="H30" i="44"/>
  <c r="F30" i="44"/>
  <c r="AZ30" i="44" s="1"/>
  <c r="BD30" i="44" s="1"/>
  <c r="E30" i="44"/>
  <c r="D30" i="44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M27" i="44"/>
  <c r="F27" i="44"/>
  <c r="AZ27" i="44" s="1"/>
  <c r="BD27" i="44" s="1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H22" i="44"/>
  <c r="F22" i="44"/>
  <c r="E22" i="44"/>
  <c r="D22" i="44"/>
  <c r="M22" i="44" s="1"/>
  <c r="B22" i="44"/>
  <c r="BF21" i="44"/>
  <c r="AY21" i="44"/>
  <c r="AX21" i="44"/>
  <c r="AW21" i="44"/>
  <c r="P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H17" i="44"/>
  <c r="F17" i="44"/>
  <c r="E17" i="44"/>
  <c r="D17" i="44"/>
  <c r="B17" i="44"/>
  <c r="BP16" i="44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J14" i="44" s="1"/>
  <c r="B14" i="44"/>
  <c r="BF13" i="44"/>
  <c r="AY13" i="44"/>
  <c r="AX13" i="44"/>
  <c r="AW13" i="44"/>
  <c r="P13" i="44"/>
  <c r="F13" i="44"/>
  <c r="E13" i="44"/>
  <c r="D13" i="44"/>
  <c r="H13" i="44" s="1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F7" i="44"/>
  <c r="E7" i="44"/>
  <c r="D7" i="44"/>
  <c r="H7" i="44" s="1"/>
  <c r="B7" i="44"/>
  <c r="BH6" i="44"/>
  <c r="BH38" i="44" s="1"/>
  <c r="BF6" i="44"/>
  <c r="AY6" i="44"/>
  <c r="AX6" i="44"/>
  <c r="AW6" i="44"/>
  <c r="R6" i="44"/>
  <c r="M6" i="44"/>
  <c r="F6" i="44"/>
  <c r="E6" i="44"/>
  <c r="D6" i="44"/>
  <c r="O6" i="44" s="1"/>
  <c r="B6" i="44"/>
  <c r="G10" i="44" l="1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AS35" i="44"/>
  <c r="G35" i="44"/>
  <c r="AQ35" i="44"/>
  <c r="O36" i="44"/>
  <c r="M36" i="44"/>
  <c r="J36" i="44"/>
  <c r="AS36" i="44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AZ12" i="37" s="1"/>
  <c r="BD12" i="37" s="1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AZ32" i="34" s="1"/>
  <c r="F31" i="34"/>
  <c r="F30" i="34"/>
  <c r="F29" i="34"/>
  <c r="AZ29" i="34" s="1"/>
  <c r="BD29" i="34" s="1"/>
  <c r="F28" i="34"/>
  <c r="F27" i="34"/>
  <c r="F26" i="34"/>
  <c r="F25" i="34"/>
  <c r="F24" i="34"/>
  <c r="AZ24" i="34" s="1"/>
  <c r="BD24" i="34" s="1"/>
  <c r="F23" i="34"/>
  <c r="F22" i="34"/>
  <c r="F21" i="34"/>
  <c r="F20" i="34"/>
  <c r="F19" i="34"/>
  <c r="AZ19" i="34" s="1"/>
  <c r="F18" i="34"/>
  <c r="AZ18" i="34" s="1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AX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AW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J18" i="43"/>
  <c r="AK18" i="43"/>
  <c r="AL18" i="43"/>
  <c r="AM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J20" i="43"/>
  <c r="AK20" i="43"/>
  <c r="AL20" i="43"/>
  <c r="AM20" i="43"/>
  <c r="AN20" i="43"/>
  <c r="AO20" i="43"/>
  <c r="AP20" i="43"/>
  <c r="AT20" i="43"/>
  <c r="AU20" i="43"/>
  <c r="AV20" i="43"/>
  <c r="BA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J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J25" i="43"/>
  <c r="AK25" i="43"/>
  <c r="AL25" i="43"/>
  <c r="AM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A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AW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AZ35" i="42" s="1"/>
  <c r="BD35" i="42" s="1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AZ32" i="42"/>
  <c r="BD32" i="42" s="1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AZ28" i="42"/>
  <c r="BD28" i="42" s="1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Z24" i="42" s="1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AW38" i="42" s="1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Y19" i="42"/>
  <c r="AX19" i="42"/>
  <c r="AW19" i="42"/>
  <c r="AZ19" i="42"/>
  <c r="BD19" i="42" s="1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BF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Z11" i="42" s="1"/>
  <c r="BD11" i="42" s="1"/>
  <c r="AY11" i="42"/>
  <c r="AX11" i="42"/>
  <c r="AW11" i="42"/>
  <c r="B11" i="42"/>
  <c r="BF10" i="42"/>
  <c r="AY10" i="42"/>
  <c r="AX10" i="42"/>
  <c r="AW10" i="42"/>
  <c r="B10" i="42"/>
  <c r="BF9" i="42"/>
  <c r="AZ9" i="42" s="1"/>
  <c r="BD9" i="42" s="1"/>
  <c r="AY9" i="42"/>
  <c r="AX9" i="42"/>
  <c r="AW9" i="42"/>
  <c r="B9" i="42"/>
  <c r="BF8" i="42"/>
  <c r="AY8" i="42"/>
  <c r="AX8" i="42"/>
  <c r="AW8" i="42"/>
  <c r="AZ8" i="42"/>
  <c r="BD8" i="42" s="1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M38" i="41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Z35" i="41" s="1"/>
  <c r="BD35" i="41" s="1"/>
  <c r="AX35" i="41"/>
  <c r="AW35" i="41"/>
  <c r="B35" i="41"/>
  <c r="BF34" i="41"/>
  <c r="AY34" i="41"/>
  <c r="AX34" i="41"/>
  <c r="AW34" i="41"/>
  <c r="AZ34" i="41"/>
  <c r="BD34" i="41" s="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AZ30" i="41"/>
  <c r="BD30" i="41" s="1"/>
  <c r="B30" i="41"/>
  <c r="BF29" i="41"/>
  <c r="AY29" i="41"/>
  <c r="AX29" i="41"/>
  <c r="AW29" i="41"/>
  <c r="B29" i="41"/>
  <c r="BP28" i="41"/>
  <c r="BF28" i="41"/>
  <c r="AY28" i="41"/>
  <c r="AX28" i="41"/>
  <c r="AW28" i="41"/>
  <c r="AZ28" i="41" s="1"/>
  <c r="BD28" i="41" s="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Z25" i="41" s="1"/>
  <c r="BD25" i="41" s="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Z20" i="41" s="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Z17" i="41" s="1"/>
  <c r="BD17" i="41" s="1"/>
  <c r="AY17" i="41"/>
  <c r="AX17" i="41"/>
  <c r="AW17" i="41"/>
  <c r="B17" i="41"/>
  <c r="BP16" i="41"/>
  <c r="BF16" i="41"/>
  <c r="AY16" i="41"/>
  <c r="AX16" i="41"/>
  <c r="AW16" i="41"/>
  <c r="B16" i="41"/>
  <c r="BF15" i="41"/>
  <c r="AY15" i="41"/>
  <c r="AX15" i="41"/>
  <c r="AW15" i="41"/>
  <c r="AZ15" i="41"/>
  <c r="BD15" i="41" s="1"/>
  <c r="B15" i="41"/>
  <c r="BF14" i="41"/>
  <c r="AY14" i="41"/>
  <c r="AX14" i="41"/>
  <c r="AW14" i="41"/>
  <c r="AW14" i="43" s="1"/>
  <c r="B14" i="41"/>
  <c r="BF13" i="41"/>
  <c r="AY13" i="41"/>
  <c r="AX13" i="41"/>
  <c r="AW13" i="41"/>
  <c r="AZ13" i="41"/>
  <c r="BD13" i="41" s="1"/>
  <c r="B13" i="41"/>
  <c r="BF12" i="41"/>
  <c r="AY12" i="41"/>
  <c r="AX12" i="41"/>
  <c r="AW12" i="41"/>
  <c r="B12" i="41"/>
  <c r="BF11" i="41"/>
  <c r="AY11" i="41"/>
  <c r="AX11" i="41"/>
  <c r="BD11" i="41" s="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M6" i="41"/>
  <c r="BI6" i="41"/>
  <c r="BI38" i="41" s="1"/>
  <c r="BH6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Y35" i="43" s="1"/>
  <c r="AX35" i="40"/>
  <c r="AX35" i="43" s="1"/>
  <c r="AW35" i="40"/>
  <c r="AW35" i="43" s="1"/>
  <c r="B35" i="40"/>
  <c r="BF34" i="40"/>
  <c r="AY34" i="40"/>
  <c r="AX34" i="40"/>
  <c r="AX34" i="43" s="1"/>
  <c r="AW34" i="40"/>
  <c r="B34" i="40"/>
  <c r="BP33" i="40"/>
  <c r="BF33" i="40"/>
  <c r="AY33" i="40"/>
  <c r="AY33" i="43" s="1"/>
  <c r="AX33" i="40"/>
  <c r="AX33" i="43" s="1"/>
  <c r="AW33" i="40"/>
  <c r="B33" i="40"/>
  <c r="BF32" i="40"/>
  <c r="AY32" i="40"/>
  <c r="AX32" i="40"/>
  <c r="AW32" i="40"/>
  <c r="B32" i="40"/>
  <c r="BF31" i="40"/>
  <c r="AY31" i="40"/>
  <c r="AX31" i="40"/>
  <c r="AX31" i="43" s="1"/>
  <c r="AW31" i="40"/>
  <c r="B31" i="40"/>
  <c r="BF30" i="40"/>
  <c r="AY30" i="40"/>
  <c r="AY30" i="43" s="1"/>
  <c r="AX30" i="40"/>
  <c r="AX30" i="43" s="1"/>
  <c r="AW30" i="40"/>
  <c r="B30" i="40"/>
  <c r="BF29" i="40"/>
  <c r="AY29" i="40"/>
  <c r="AY29" i="43" s="1"/>
  <c r="AX29" i="40"/>
  <c r="AX29" i="43" s="1"/>
  <c r="AW29" i="40"/>
  <c r="B29" i="40"/>
  <c r="BP28" i="40"/>
  <c r="BF28" i="40"/>
  <c r="AY28" i="40"/>
  <c r="AX28" i="40"/>
  <c r="AW28" i="40"/>
  <c r="B28" i="40"/>
  <c r="BF27" i="40"/>
  <c r="AY27" i="40"/>
  <c r="AY27" i="43" s="1"/>
  <c r="AX27" i="40"/>
  <c r="AX27" i="43" s="1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F22" i="40"/>
  <c r="AY22" i="40"/>
  <c r="AY22" i="43" s="1"/>
  <c r="AX22" i="40"/>
  <c r="AW22" i="40"/>
  <c r="B22" i="40"/>
  <c r="BF21" i="40"/>
  <c r="AY21" i="40"/>
  <c r="AX21" i="40"/>
  <c r="AW21" i="40"/>
  <c r="AW21" i="43" s="1"/>
  <c r="B21" i="40"/>
  <c r="BF20" i="40"/>
  <c r="AY20" i="40"/>
  <c r="AX20" i="40"/>
  <c r="AW20" i="40"/>
  <c r="B20" i="40"/>
  <c r="BF19" i="40"/>
  <c r="AY19" i="40"/>
  <c r="AY19" i="43" s="1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X16" i="43" s="1"/>
  <c r="AW16" i="40"/>
  <c r="B16" i="40"/>
  <c r="BF15" i="40"/>
  <c r="AY15" i="40"/>
  <c r="AY15" i="43" s="1"/>
  <c r="AX15" i="40"/>
  <c r="AW15" i="40"/>
  <c r="B15" i="40"/>
  <c r="BF14" i="40"/>
  <c r="AY14" i="40"/>
  <c r="AY14" i="43" s="1"/>
  <c r="AX14" i="40"/>
  <c r="AW14" i="40"/>
  <c r="B14" i="40"/>
  <c r="BF13" i="40"/>
  <c r="AY13" i="40"/>
  <c r="AY13" i="43" s="1"/>
  <c r="AX13" i="40"/>
  <c r="AX13" i="43" s="1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Y7" i="43" s="1"/>
  <c r="AX7" i="40"/>
  <c r="AW7" i="40"/>
  <c r="B7" i="40"/>
  <c r="BM6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Z34" i="39" s="1"/>
  <c r="BD34" i="39" s="1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Z30" i="39" s="1"/>
  <c r="BD30" i="39" s="1"/>
  <c r="AY30" i="39"/>
  <c r="AX30" i="39"/>
  <c r="AW30" i="39"/>
  <c r="B30" i="39"/>
  <c r="BF29" i="39"/>
  <c r="AZ29" i="39" s="1"/>
  <c r="BD29" i="39" s="1"/>
  <c r="AY29" i="39"/>
  <c r="AX29" i="39"/>
  <c r="AW29" i="39"/>
  <c r="B29" i="39"/>
  <c r="BP28" i="39"/>
  <c r="BF28" i="39"/>
  <c r="AY28" i="39"/>
  <c r="AX28" i="39"/>
  <c r="AW28" i="39"/>
  <c r="B28" i="39"/>
  <c r="BF27" i="39"/>
  <c r="AY27" i="39"/>
  <c r="AX27" i="39"/>
  <c r="AZ27" i="39" s="1"/>
  <c r="BD27" i="39" s="1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AZ24" i="39" s="1"/>
  <c r="BD24" i="39" s="1"/>
  <c r="B24" i="39"/>
  <c r="BF23" i="39"/>
  <c r="AY23" i="39"/>
  <c r="AX23" i="39"/>
  <c r="AW23" i="39"/>
  <c r="B23" i="39"/>
  <c r="BP22" i="39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Z19" i="39" s="1"/>
  <c r="BD19" i="39" s="1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Z17" i="39" s="1"/>
  <c r="AY17" i="39"/>
  <c r="AX17" i="39"/>
  <c r="AW17" i="39"/>
  <c r="B17" i="39"/>
  <c r="BP16" i="39"/>
  <c r="BF16" i="39"/>
  <c r="AZ16" i="39"/>
  <c r="BD16" i="39" s="1"/>
  <c r="AY16" i="39"/>
  <c r="AX16" i="39"/>
  <c r="AW16" i="39"/>
  <c r="B16" i="39"/>
  <c r="BF15" i="39"/>
  <c r="AY15" i="39"/>
  <c r="AX15" i="39"/>
  <c r="AW15" i="39"/>
  <c r="AW15" i="43" s="1"/>
  <c r="B15" i="39"/>
  <c r="BF14" i="39"/>
  <c r="AZ14" i="39" s="1"/>
  <c r="BD14" i="39" s="1"/>
  <c r="AY14" i="39"/>
  <c r="AX14" i="39"/>
  <c r="AW14" i="39"/>
  <c r="B14" i="39"/>
  <c r="BF13" i="39"/>
  <c r="AZ13" i="39"/>
  <c r="BD13" i="39" s="1"/>
  <c r="AY13" i="39"/>
  <c r="AX13" i="39"/>
  <c r="AW13" i="39"/>
  <c r="B13" i="39"/>
  <c r="BF12" i="39"/>
  <c r="AZ12" i="39" s="1"/>
  <c r="BD12" i="39" s="1"/>
  <c r="AY12" i="39"/>
  <c r="AX12" i="39"/>
  <c r="AW12" i="39"/>
  <c r="B12" i="39"/>
  <c r="BF11" i="39"/>
  <c r="AZ11" i="39" s="1"/>
  <c r="BD11" i="39" s="1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M6" i="39"/>
  <c r="BI6" i="39"/>
  <c r="BI38" i="39" s="1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X36" i="43" s="1"/>
  <c r="AW36" i="38"/>
  <c r="B36" i="38"/>
  <c r="BF35" i="38"/>
  <c r="AZ35" i="38" s="1"/>
  <c r="BD35" i="38" s="1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Z32" i="38" s="1"/>
  <c r="BD32" i="38" s="1"/>
  <c r="AW32" i="38"/>
  <c r="O32" i="38"/>
  <c r="K32" i="38"/>
  <c r="M32" i="38"/>
  <c r="B32" i="38"/>
  <c r="BF31" i="38"/>
  <c r="AZ31" i="38" s="1"/>
  <c r="BD31" i="38" s="1"/>
  <c r="AY31" i="38"/>
  <c r="AX31" i="38"/>
  <c r="AW31" i="38"/>
  <c r="B31" i="38"/>
  <c r="BF30" i="38"/>
  <c r="AZ30" i="38"/>
  <c r="BD30" i="38" s="1"/>
  <c r="AY30" i="38"/>
  <c r="AX30" i="38"/>
  <c r="AW30" i="38"/>
  <c r="B30" i="38"/>
  <c r="BF29" i="38"/>
  <c r="AZ29" i="38" s="1"/>
  <c r="BD29" i="38" s="1"/>
  <c r="AY29" i="38"/>
  <c r="AX29" i="38"/>
  <c r="AW29" i="38"/>
  <c r="B29" i="38"/>
  <c r="BP28" i="38"/>
  <c r="BI6" i="38" s="1"/>
  <c r="BF28" i="38"/>
  <c r="AZ28" i="38"/>
  <c r="BD28" i="38" s="1"/>
  <c r="AY28" i="38"/>
  <c r="AX28" i="38"/>
  <c r="AW28" i="38"/>
  <c r="B28" i="38"/>
  <c r="BF27" i="38"/>
  <c r="AY27" i="38"/>
  <c r="AX27" i="38"/>
  <c r="AW27" i="38"/>
  <c r="M27" i="38"/>
  <c r="K27" i="38"/>
  <c r="AZ27" i="38"/>
  <c r="BD27" i="38" s="1"/>
  <c r="O27" i="38"/>
  <c r="B27" i="38"/>
  <c r="BF26" i="38"/>
  <c r="AY26" i="38"/>
  <c r="AX26" i="38"/>
  <c r="AZ26" i="38" s="1"/>
  <c r="BD26" i="38" s="1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F22" i="38"/>
  <c r="AY22" i="38"/>
  <c r="AX22" i="38"/>
  <c r="AW22" i="38"/>
  <c r="AW22" i="43" s="1"/>
  <c r="B22" i="38"/>
  <c r="BF21" i="38"/>
  <c r="AZ21" i="38"/>
  <c r="BD21" i="38" s="1"/>
  <c r="AY21" i="38"/>
  <c r="AX21" i="38"/>
  <c r="AW21" i="38"/>
  <c r="B21" i="38"/>
  <c r="BF20" i="38"/>
  <c r="AY20" i="38"/>
  <c r="AX20" i="38"/>
  <c r="AW20" i="38"/>
  <c r="O20" i="38"/>
  <c r="K20" i="38"/>
  <c r="M20" i="38"/>
  <c r="B20" i="38"/>
  <c r="BF19" i="38"/>
  <c r="AZ19" i="38"/>
  <c r="BD19" i="38" s="1"/>
  <c r="AY19" i="38"/>
  <c r="AX19" i="38"/>
  <c r="AW19" i="38"/>
  <c r="B19" i="38"/>
  <c r="BF18" i="38"/>
  <c r="AZ18" i="38" s="1"/>
  <c r="BD18" i="38" s="1"/>
  <c r="AY18" i="38"/>
  <c r="AX18" i="38"/>
  <c r="AW18" i="38"/>
  <c r="O18" i="38"/>
  <c r="K18" i="38"/>
  <c r="M18" i="38"/>
  <c r="B18" i="38"/>
  <c r="BF17" i="38"/>
  <c r="AZ17" i="38"/>
  <c r="BD17" i="38" s="1"/>
  <c r="AY17" i="38"/>
  <c r="AX17" i="38"/>
  <c r="AW17" i="38"/>
  <c r="B17" i="38"/>
  <c r="BP16" i="38"/>
  <c r="BF16" i="38"/>
  <c r="AY16" i="38"/>
  <c r="AX16" i="38"/>
  <c r="AW16" i="38"/>
  <c r="B16" i="38"/>
  <c r="BF15" i="38"/>
  <c r="AZ15" i="38"/>
  <c r="BD15" i="38" s="1"/>
  <c r="AY15" i="38"/>
  <c r="AX15" i="38"/>
  <c r="AW15" i="38"/>
  <c r="B15" i="38"/>
  <c r="BF14" i="38"/>
  <c r="AZ14" i="38" s="1"/>
  <c r="BD14" i="38" s="1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Z8" i="38" s="1"/>
  <c r="BD8" i="38" s="1"/>
  <c r="AY8" i="38"/>
  <c r="AX8" i="38"/>
  <c r="AW8" i="38"/>
  <c r="B8" i="38"/>
  <c r="BM7" i="38"/>
  <c r="BI7" i="38"/>
  <c r="BH7" i="38"/>
  <c r="BF7" i="38"/>
  <c r="AY7" i="38"/>
  <c r="AX7" i="38"/>
  <c r="AW7" i="38"/>
  <c r="B7" i="38"/>
  <c r="BM6" i="38"/>
  <c r="BJ6" i="38"/>
  <c r="BJ38" i="38" s="1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Z34" i="37" s="1"/>
  <c r="BD34" i="37" s="1"/>
  <c r="AW34" i="37"/>
  <c r="H34" i="37"/>
  <c r="B34" i="37"/>
  <c r="BP33" i="37"/>
  <c r="BF33" i="37"/>
  <c r="AZ33" i="37" s="1"/>
  <c r="BD33" i="37" s="1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AZ29" i="37" s="1"/>
  <c r="BD29" i="37" s="1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AZ27" i="37" s="1"/>
  <c r="BD27" i="37" s="1"/>
  <c r="O27" i="37"/>
  <c r="K27" i="37"/>
  <c r="M27" i="37"/>
  <c r="B27" i="37"/>
  <c r="AZ26" i="37"/>
  <c r="BD26" i="37" s="1"/>
  <c r="AY26" i="37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Z23" i="37" s="1"/>
  <c r="BD23" i="37" s="1"/>
  <c r="AX23" i="37"/>
  <c r="AW23" i="37"/>
  <c r="O23" i="37"/>
  <c r="B23" i="37"/>
  <c r="BP22" i="37"/>
  <c r="BF22" i="37"/>
  <c r="AZ22" i="37" s="1"/>
  <c r="BD22" i="37" s="1"/>
  <c r="AY22" i="37"/>
  <c r="AX22" i="37"/>
  <c r="AW22" i="37"/>
  <c r="O22" i="37"/>
  <c r="K22" i="37"/>
  <c r="M22" i="37"/>
  <c r="B22" i="37"/>
  <c r="BF21" i="37"/>
  <c r="AZ21" i="37" s="1"/>
  <c r="BD21" i="37" s="1"/>
  <c r="AY21" i="37"/>
  <c r="AX21" i="37"/>
  <c r="AW21" i="37"/>
  <c r="O21" i="37"/>
  <c r="B21" i="37"/>
  <c r="BF20" i="37"/>
  <c r="AZ20" i="37" s="1"/>
  <c r="BD20" i="37" s="1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Z18" i="37" s="1"/>
  <c r="BD18" i="37" s="1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P41" i="37" s="1"/>
  <c r="BF16" i="37"/>
  <c r="AY16" i="37"/>
  <c r="AX16" i="37"/>
  <c r="AW16" i="37"/>
  <c r="O16" i="37"/>
  <c r="M16" i="37"/>
  <c r="K16" i="37"/>
  <c r="AZ16" i="37"/>
  <c r="BD16" i="37" s="1"/>
  <c r="H16" i="37"/>
  <c r="B16" i="37"/>
  <c r="BF15" i="37"/>
  <c r="AZ15" i="37" s="1"/>
  <c r="BD15" i="37" s="1"/>
  <c r="AY15" i="37"/>
  <c r="AX15" i="37"/>
  <c r="AW15" i="37"/>
  <c r="O15" i="37"/>
  <c r="K15" i="37"/>
  <c r="M15" i="37"/>
  <c r="B15" i="37"/>
  <c r="BF14" i="37"/>
  <c r="AZ14" i="37" s="1"/>
  <c r="BD14" i="37" s="1"/>
  <c r="AY14" i="37"/>
  <c r="AX14" i="37"/>
  <c r="AW14" i="37"/>
  <c r="O14" i="37"/>
  <c r="B14" i="37"/>
  <c r="BF13" i="37"/>
  <c r="AZ13" i="37" s="1"/>
  <c r="BD13" i="37" s="1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AZ10" i="37" s="1"/>
  <c r="BD10" i="37" s="1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Z8" i="37" s="1"/>
  <c r="BD8" i="37" s="1"/>
  <c r="AY8" i="37"/>
  <c r="AX8" i="37"/>
  <c r="AW8" i="37"/>
  <c r="O8" i="37"/>
  <c r="K8" i="37"/>
  <c r="M8" i="37"/>
  <c r="B8" i="37"/>
  <c r="BM7" i="37"/>
  <c r="BH7" i="37"/>
  <c r="BF7" i="37"/>
  <c r="AZ7" i="37"/>
  <c r="BD7" i="37" s="1"/>
  <c r="AY7" i="37"/>
  <c r="AX7" i="37"/>
  <c r="AW7" i="37"/>
  <c r="F38" i="37"/>
  <c r="O7" i="37"/>
  <c r="B7" i="37"/>
  <c r="BM6" i="37"/>
  <c r="BM38" i="37" s="1"/>
  <c r="BJ6" i="37"/>
  <c r="BJ38" i="37" s="1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AW34" i="43" s="1"/>
  <c r="BP33" i="36"/>
  <c r="BF33" i="36"/>
  <c r="AY33" i="36"/>
  <c r="AX33" i="36"/>
  <c r="AW33" i="36"/>
  <c r="B33" i="36"/>
  <c r="BF32" i="36"/>
  <c r="AZ32" i="36"/>
  <c r="BD32" i="36" s="1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AW28" i="43" s="1"/>
  <c r="AZ28" i="36"/>
  <c r="BD28" i="36" s="1"/>
  <c r="B28" i="36"/>
  <c r="BF27" i="36"/>
  <c r="AY27" i="36"/>
  <c r="AX27" i="36"/>
  <c r="AW27" i="36"/>
  <c r="B27" i="36"/>
  <c r="BF26" i="36"/>
  <c r="AY26" i="36"/>
  <c r="AY26" i="43" s="1"/>
  <c r="AX26" i="36"/>
  <c r="AW26" i="36"/>
  <c r="B26" i="36"/>
  <c r="BF25" i="36"/>
  <c r="AY25" i="36"/>
  <c r="AZ25" i="36" s="1"/>
  <c r="BD25" i="36" s="1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AZ17" i="36"/>
  <c r="BD17" i="36" s="1"/>
  <c r="B17" i="36"/>
  <c r="BP16" i="36"/>
  <c r="BH6" i="36" s="1"/>
  <c r="BH38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AZ13" i="36"/>
  <c r="BD13" i="36" s="1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Y10" i="36"/>
  <c r="AX10" i="36"/>
  <c r="AW10" i="36"/>
  <c r="AZ10" i="36"/>
  <c r="BD10" i="36" s="1"/>
  <c r="B10" i="36"/>
  <c r="BF9" i="36"/>
  <c r="AY9" i="36"/>
  <c r="AZ9" i="36" s="1"/>
  <c r="BD9" i="36" s="1"/>
  <c r="AX9" i="36"/>
  <c r="AW9" i="36"/>
  <c r="B9" i="36"/>
  <c r="BF8" i="36"/>
  <c r="AY8" i="43"/>
  <c r="AX8" i="36"/>
  <c r="AW8" i="36"/>
  <c r="AW8" i="43" s="1"/>
  <c r="B8" i="36"/>
  <c r="BM7" i="36"/>
  <c r="BJ7" i="36"/>
  <c r="BI7" i="36"/>
  <c r="BH7" i="36"/>
  <c r="BF7" i="36"/>
  <c r="AY7" i="36"/>
  <c r="AX7" i="36"/>
  <c r="AW7" i="36"/>
  <c r="B7" i="36"/>
  <c r="BM6" i="36"/>
  <c r="BJ6" i="36"/>
  <c r="BJ38" i="36" s="1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AZ33" i="35"/>
  <c r="BD33" i="35" s="1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AW27" i="43" s="1"/>
  <c r="B27" i="35"/>
  <c r="BF26" i="35"/>
  <c r="AY26" i="35"/>
  <c r="AX26" i="35"/>
  <c r="AW26" i="35"/>
  <c r="AZ26" i="35"/>
  <c r="BD26" i="35" s="1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M38" i="35" s="1"/>
  <c r="BF22" i="35"/>
  <c r="AY22" i="35"/>
  <c r="AX22" i="35"/>
  <c r="AW22" i="35"/>
  <c r="B22" i="35"/>
  <c r="BF21" i="35"/>
  <c r="AY21" i="35"/>
  <c r="AX21" i="35"/>
  <c r="AW21" i="35"/>
  <c r="AZ21" i="35"/>
  <c r="BD21" i="35" s="1"/>
  <c r="B21" i="35"/>
  <c r="BF20" i="35"/>
  <c r="AY20" i="35"/>
  <c r="AX20" i="35"/>
  <c r="AW20" i="35"/>
  <c r="B20" i="35"/>
  <c r="BF19" i="35"/>
  <c r="AY19" i="35"/>
  <c r="AX19" i="35"/>
  <c r="AW19" i="35"/>
  <c r="AZ19" i="35"/>
  <c r="BD19" i="35" s="1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H38" i="35" s="1"/>
  <c r="BF16" i="35"/>
  <c r="AY16" i="35"/>
  <c r="AZ16" i="35" s="1"/>
  <c r="BD16" i="35" s="1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AZ12" i="35"/>
  <c r="BD12" i="35" s="1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Z8" i="35" s="1"/>
  <c r="BD8" i="35" s="1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X17" i="43" s="1"/>
  <c r="AW17" i="34"/>
  <c r="B17" i="34"/>
  <c r="BP16" i="34"/>
  <c r="BP41" i="34" s="1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AW10" i="43" s="1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H7" i="43" s="1"/>
  <c r="BF7" i="34"/>
  <c r="AY7" i="34"/>
  <c r="AX7" i="34"/>
  <c r="AW7" i="34"/>
  <c r="B7" i="34"/>
  <c r="BJ6" i="34"/>
  <c r="BJ38" i="34" s="1"/>
  <c r="BI6" i="34"/>
  <c r="BI38" i="34" s="1"/>
  <c r="BF6" i="34"/>
  <c r="AY6" i="34"/>
  <c r="AX6" i="34"/>
  <c r="AW6" i="34"/>
  <c r="B6" i="34"/>
  <c r="BH38" i="39" l="1"/>
  <c r="AX18" i="43"/>
  <c r="AZ8" i="40"/>
  <c r="BD8" i="40" s="1"/>
  <c r="AZ19" i="40"/>
  <c r="BD19" i="40" s="1"/>
  <c r="AA38" i="43"/>
  <c r="AY21" i="43"/>
  <c r="AW26" i="43"/>
  <c r="AY34" i="43"/>
  <c r="AW18" i="43"/>
  <c r="AW36" i="43"/>
  <c r="AW33" i="43"/>
  <c r="AW19" i="43"/>
  <c r="AW29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X19" i="43"/>
  <c r="AX14" i="43"/>
  <c r="AY36" i="43"/>
  <c r="AF38" i="43"/>
  <c r="AZ24" i="40"/>
  <c r="BD24" i="40" s="1"/>
  <c r="AX22" i="43"/>
  <c r="AX28" i="43"/>
  <c r="AX10" i="43"/>
  <c r="AY28" i="43"/>
  <c r="AY10" i="43"/>
  <c r="AX15" i="43"/>
  <c r="AX21" i="43"/>
  <c r="AY11" i="43"/>
  <c r="AX26" i="43"/>
  <c r="AZ24" i="36"/>
  <c r="BD24" i="36" s="1"/>
  <c r="BM38" i="36"/>
  <c r="BM7" i="43"/>
  <c r="AW25" i="43"/>
  <c r="BH38" i="41"/>
  <c r="AZ6" i="41"/>
  <c r="BD6" i="41" s="1"/>
  <c r="AZ31" i="41"/>
  <c r="BD31" i="41" s="1"/>
  <c r="AZ36" i="41"/>
  <c r="BD36" i="41" s="1"/>
  <c r="BD20" i="41"/>
  <c r="BD12" i="41"/>
  <c r="AX38" i="41"/>
  <c r="AX6" i="43"/>
  <c r="AY6" i="43"/>
  <c r="X38" i="43"/>
  <c r="AX12" i="43"/>
  <c r="AW12" i="43"/>
  <c r="AV38" i="43"/>
  <c r="AZ23" i="40"/>
  <c r="BD23" i="40" s="1"/>
  <c r="BM38" i="40"/>
  <c r="BM38" i="39"/>
  <c r="AZ23" i="39"/>
  <c r="BD23" i="39" s="1"/>
  <c r="AX23" i="43"/>
  <c r="AZ24" i="37"/>
  <c r="BD24" i="37" s="1"/>
  <c r="AG38" i="43"/>
  <c r="BL38" i="43"/>
  <c r="V38" i="43"/>
  <c r="AW16" i="43"/>
  <c r="AZ17" i="34"/>
  <c r="BD17" i="34" s="1"/>
  <c r="AZ16" i="36"/>
  <c r="BD16" i="36" s="1"/>
  <c r="AZ18" i="36"/>
  <c r="BD18" i="36" s="1"/>
  <c r="AZ23" i="35"/>
  <c r="BD23" i="35" s="1"/>
  <c r="BC38" i="43"/>
  <c r="AU38" i="43"/>
  <c r="AX24" i="43"/>
  <c r="AO38" i="43"/>
  <c r="Y38" i="43"/>
  <c r="BP41" i="38"/>
  <c r="AS35" i="37"/>
  <c r="G35" i="37"/>
  <c r="AW11" i="43"/>
  <c r="AZ20" i="36"/>
  <c r="BD20" i="36" s="1"/>
  <c r="AW7" i="43"/>
  <c r="AY31" i="43"/>
  <c r="AY38" i="35"/>
  <c r="AY25" i="43"/>
  <c r="AZ22" i="35"/>
  <c r="BD22" i="35" s="1"/>
  <c r="AX8" i="43"/>
  <c r="AY24" i="43"/>
  <c r="AW23" i="43"/>
  <c r="AW38" i="35"/>
  <c r="AZ32" i="40"/>
  <c r="BD32" i="40" s="1"/>
  <c r="AX38" i="40"/>
  <c r="AZ11" i="40"/>
  <c r="BD11" i="40" s="1"/>
  <c r="AZ30" i="40"/>
  <c r="BD30" i="40" s="1"/>
  <c r="AW30" i="43"/>
  <c r="AX38" i="39"/>
  <c r="AZ32" i="39"/>
  <c r="BD32" i="39" s="1"/>
  <c r="AZ15" i="39"/>
  <c r="BD15" i="39" s="1"/>
  <c r="J38" i="43"/>
  <c r="AZ7" i="38"/>
  <c r="BD7" i="38" s="1"/>
  <c r="AZ24" i="38"/>
  <c r="BD24" i="38" s="1"/>
  <c r="AW24" i="43"/>
  <c r="AZ12" i="38"/>
  <c r="BD12" i="38" s="1"/>
  <c r="AW38" i="38"/>
  <c r="AZ22" i="38"/>
  <c r="BD22" i="38" s="1"/>
  <c r="AK38" i="43"/>
  <c r="AZ20" i="38"/>
  <c r="BD20" i="38" s="1"/>
  <c r="AP38" i="43"/>
  <c r="AX25" i="43"/>
  <c r="AZ25" i="38"/>
  <c r="BD25" i="38" s="1"/>
  <c r="AX38" i="38"/>
  <c r="AZ9" i="38"/>
  <c r="BD9" i="38" s="1"/>
  <c r="AZ6" i="37"/>
  <c r="BD6" i="37" s="1"/>
  <c r="AY38" i="37"/>
  <c r="AZ9" i="37"/>
  <c r="BD9" i="37" s="1"/>
  <c r="BB38" i="43"/>
  <c r="AW38" i="37"/>
  <c r="AZ19" i="37"/>
  <c r="BD19" i="37" s="1"/>
  <c r="AJ38" i="43"/>
  <c r="AZ11" i="37"/>
  <c r="BD11" i="37" s="1"/>
  <c r="BE26" i="37"/>
  <c r="BE26" i="43" s="1"/>
  <c r="AZ30" i="34"/>
  <c r="BD30" i="34" s="1"/>
  <c r="Z38" i="43"/>
  <c r="BH6" i="34"/>
  <c r="BH38" i="34" s="1"/>
  <c r="BA38" i="43"/>
  <c r="AZ10" i="34"/>
  <c r="BD10" i="34" s="1"/>
  <c r="AC38" i="43"/>
  <c r="AX38" i="34"/>
  <c r="AM38" i="43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BD19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AZ21" i="42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BD7" i="41" s="1"/>
  <c r="AY38" i="41"/>
  <c r="F38" i="42"/>
  <c r="AY38" i="42"/>
  <c r="AZ7" i="42"/>
  <c r="BD7" i="42" s="1"/>
  <c r="AZ22" i="42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AZ13" i="42"/>
  <c r="AZ16" i="42"/>
  <c r="AZ18" i="42"/>
  <c r="BD18" i="42" s="1"/>
  <c r="AZ23" i="42"/>
  <c r="BD23" i="42" s="1"/>
  <c r="AZ15" i="42"/>
  <c r="BD15" i="42" s="1"/>
  <c r="AZ25" i="42"/>
  <c r="AX38" i="42"/>
  <c r="BM38" i="42"/>
  <c r="AZ12" i="42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AZ6" i="38"/>
  <c r="BD6" i="38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F26" i="32"/>
  <c r="BA20" i="32"/>
  <c r="F17" i="32"/>
  <c r="AS18" i="37" l="1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D38" i="4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BD11" i="33"/>
  <c r="F12" i="33"/>
  <c r="F14" i="33"/>
  <c r="F15" i="33"/>
  <c r="AZ15" i="33" s="1"/>
  <c r="BD15" i="33" s="1"/>
  <c r="F16" i="33"/>
  <c r="F17" i="33"/>
  <c r="F19" i="33"/>
  <c r="AZ19" i="33" s="1"/>
  <c r="BD19" i="33" s="1"/>
  <c r="F20" i="33"/>
  <c r="F21" i="33"/>
  <c r="F22" i="33"/>
  <c r="AZ22" i="33" s="1"/>
  <c r="BD22" i="33" s="1"/>
  <c r="F23" i="33"/>
  <c r="F24" i="33"/>
  <c r="F25" i="33"/>
  <c r="F26" i="33"/>
  <c r="AZ26" i="33" s="1"/>
  <c r="BD26" i="33" s="1"/>
  <c r="F27" i="33"/>
  <c r="F28" i="33"/>
  <c r="F29" i="33"/>
  <c r="F30" i="33"/>
  <c r="F31" i="33"/>
  <c r="F32" i="33"/>
  <c r="F33" i="33"/>
  <c r="F34" i="33"/>
  <c r="F35" i="33"/>
  <c r="AZ35" i="33" s="1"/>
  <c r="BD35" i="33" s="1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J7" i="43" s="1"/>
  <c r="BF33" i="33"/>
  <c r="AY33" i="33"/>
  <c r="AX33" i="33"/>
  <c r="AW33" i="33"/>
  <c r="B33" i="33"/>
  <c r="BF32" i="33"/>
  <c r="AY32" i="33"/>
  <c r="AY32" i="43" s="1"/>
  <c r="AX32" i="43"/>
  <c r="AW32" i="33"/>
  <c r="AW32" i="43" s="1"/>
  <c r="B32" i="33"/>
  <c r="BF31" i="33"/>
  <c r="AY31" i="33"/>
  <c r="AX31" i="33"/>
  <c r="AW31" i="33"/>
  <c r="AW31" i="43" s="1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Y23" i="43" s="1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Y20" i="43" s="1"/>
  <c r="AX20" i="33"/>
  <c r="AX20" i="43" s="1"/>
  <c r="AW20" i="33"/>
  <c r="AW20" i="43" s="1"/>
  <c r="B20" i="33"/>
  <c r="BF19" i="33"/>
  <c r="AY19" i="33"/>
  <c r="AX19" i="33"/>
  <c r="AW19" i="33"/>
  <c r="B19" i="33"/>
  <c r="BF18" i="33"/>
  <c r="AY18" i="33"/>
  <c r="AY18" i="43" s="1"/>
  <c r="AX18" i="33"/>
  <c r="AW18" i="33"/>
  <c r="B18" i="33"/>
  <c r="BF17" i="33"/>
  <c r="AY17" i="33"/>
  <c r="AY17" i="43" s="1"/>
  <c r="AX17" i="33"/>
  <c r="AW17" i="33"/>
  <c r="B17" i="33"/>
  <c r="BP16" i="33"/>
  <c r="BF16" i="33"/>
  <c r="AY16" i="33"/>
  <c r="AY16" i="43" s="1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AW13" i="43" s="1"/>
  <c r="B13" i="33"/>
  <c r="BF12" i="33"/>
  <c r="AY12" i="33"/>
  <c r="AY12" i="43" s="1"/>
  <c r="AX12" i="33"/>
  <c r="AW12" i="33"/>
  <c r="B12" i="33"/>
  <c r="BF11" i="33"/>
  <c r="AY11" i="33"/>
  <c r="AX11" i="33"/>
  <c r="AX11" i="43" s="1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I7" i="43" s="1"/>
  <c r="BH7" i="33"/>
  <c r="BF7" i="33"/>
  <c r="AY7" i="33"/>
  <c r="AX7" i="33"/>
  <c r="AW7" i="33"/>
  <c r="B7" i="33"/>
  <c r="BH6" i="33"/>
  <c r="BF6" i="33"/>
  <c r="AY6" i="33"/>
  <c r="AX6" i="33"/>
  <c r="AW6" i="33"/>
  <c r="B6" i="33"/>
  <c r="AZ38" i="34" l="1"/>
  <c r="C43" i="34" s="1"/>
  <c r="BK38" i="33"/>
  <c r="BJ6" i="33"/>
  <c r="AZ32" i="33"/>
  <c r="BD32" i="33" s="1"/>
  <c r="AZ7" i="33"/>
  <c r="BD7" i="33" s="1"/>
  <c r="BM38" i="33"/>
  <c r="BM6" i="43"/>
  <c r="BM38" i="43" s="1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7" i="32"/>
  <c r="AW8" i="32"/>
  <c r="AW9" i="32"/>
  <c r="AW9" i="43" s="1"/>
  <c r="AW38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Y7" i="32" l="1"/>
  <c r="AY8" i="32"/>
  <c r="AY9" i="32"/>
  <c r="AY9" i="43" s="1"/>
  <c r="AY38" i="43" s="1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6" i="32"/>
  <c r="AX7" i="32"/>
  <c r="AX8" i="32"/>
  <c r="AX9" i="32"/>
  <c r="AX9" i="43" s="1"/>
  <c r="AX38" i="43" s="1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X29" i="32"/>
  <c r="AX30" i="32"/>
  <c r="AX31" i="32"/>
  <c r="AX32" i="32"/>
  <c r="AX33" i="32"/>
  <c r="AX34" i="32"/>
  <c r="AX35" i="32"/>
  <c r="AX36" i="32"/>
  <c r="AX6" i="32"/>
  <c r="D26" i="32" l="1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J6" i="43" s="1"/>
  <c r="BJ38" i="43" s="1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M6" i="31"/>
  <c r="BJ6" i="31"/>
  <c r="BI6" i="31"/>
  <c r="BP33" i="31"/>
  <c r="BP28" i="31"/>
  <c r="BP22" i="31"/>
  <c r="BP16" i="31"/>
  <c r="BH6" i="31" s="1"/>
  <c r="BH6" i="43" s="1"/>
  <c r="BH38" i="43" s="1"/>
  <c r="AJ24" i="31" l="1"/>
  <c r="AM20" i="31"/>
  <c r="AJ20" i="31"/>
  <c r="AM25" i="31"/>
  <c r="AJ25" i="31"/>
  <c r="AM18" i="31"/>
  <c r="AJ18" i="31"/>
  <c r="AK25" i="31" l="1"/>
  <c r="B7" i="31"/>
  <c r="D7" i="31"/>
  <c r="E7" i="31"/>
  <c r="E7" i="43" s="1"/>
  <c r="F7" i="31"/>
  <c r="BF7" i="31"/>
  <c r="BF7" i="43" s="1"/>
  <c r="BH7" i="31"/>
  <c r="BM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Z34" i="31" l="1"/>
  <c r="F34" i="43"/>
  <c r="AZ7" i="31"/>
  <c r="F7" i="43"/>
  <c r="K7" i="31"/>
  <c r="M7" i="31"/>
  <c r="K34" i="31"/>
  <c r="H7" i="31"/>
  <c r="H34" i="31"/>
  <c r="O7" i="31"/>
  <c r="M34" i="31"/>
  <c r="O34" i="31"/>
  <c r="AZ7" i="43" l="1"/>
  <c r="BD7" i="31"/>
  <c r="AZ34" i="43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F36" i="43" l="1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U29" i="31"/>
  <c r="U27" i="31"/>
  <c r="G33" i="31"/>
  <c r="AQ29" i="31"/>
  <c r="AS29" i="31"/>
  <c r="G29" i="31"/>
  <c r="AR29" i="31"/>
  <c r="AQ27" i="31"/>
  <c r="AS27" i="31"/>
  <c r="G27" i="3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BD7" i="43" s="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D6" i="31" l="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BD20" i="43" l="1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39" i="14" l="1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S39" i="14" l="1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43"/>
  <c r="BI38" i="43" s="1"/>
  <c r="BI6" i="33"/>
  <c r="BI38" i="33" s="1"/>
  <c r="AZ6" i="33" l="1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32" i="42" l="1"/>
  <c r="D9" i="42"/>
  <c r="D29" i="42"/>
  <c r="D18" i="42"/>
  <c r="D13" i="42"/>
  <c r="D12" i="42"/>
  <c r="D34" i="42"/>
  <c r="D17" i="42"/>
  <c r="D25" i="42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D11" i="36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D8" i="4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D20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D9" i="36"/>
  <c r="D24" i="35"/>
  <c r="D11" i="40"/>
  <c r="D9" i="40"/>
  <c r="D21" i="40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D12" i="39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D36" i="42"/>
  <c r="D33" i="42"/>
  <c r="D31" i="42"/>
  <c r="D30" i="42"/>
  <c r="D28" i="42"/>
  <c r="D27" i="42"/>
  <c r="D24" i="42"/>
  <c r="D23" i="42"/>
  <c r="D22" i="42"/>
  <c r="D21" i="42"/>
  <c r="D19" i="42"/>
  <c r="D16" i="42"/>
  <c r="D15" i="42"/>
  <c r="D14" i="42"/>
  <c r="D11" i="42"/>
  <c r="D10" i="42"/>
  <c r="D8" i="42"/>
  <c r="D7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K8" i="43" s="1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O26" i="43" s="1"/>
  <c r="M26" i="42"/>
  <c r="K26" i="42"/>
  <c r="O31" i="42"/>
  <c r="M31" i="42"/>
  <c r="M31" i="43" s="1"/>
  <c r="K31" i="42"/>
  <c r="H31" i="42"/>
  <c r="G10" i="42" l="1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C18" i="43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32" i="43" l="1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E37" i="46" l="1"/>
  <c r="E40" i="46" l="1"/>
  <c r="F47" i="46" s="1"/>
  <c r="E37" i="57"/>
  <c r="E40" i="57" s="1"/>
  <c r="F47" i="57" s="1"/>
  <c r="AR29" i="57" l="1"/>
  <c r="AR19" i="57" l="1"/>
  <c r="AQ13" i="57" l="1"/>
  <c r="AR6" i="57"/>
  <c r="AQ27" i="57"/>
  <c r="AQ15" i="57"/>
  <c r="AQ22" i="57"/>
  <c r="AQ38" i="57"/>
  <c r="AQ35" i="57"/>
  <c r="AQ40" i="57" l="1"/>
  <c r="D36" i="48" l="1"/>
  <c r="D28" i="48"/>
  <c r="D16" i="48"/>
  <c r="D35" i="48"/>
  <c r="D31" i="48"/>
  <c r="D23" i="48"/>
  <c r="D19" i="48"/>
  <c r="D15" i="48"/>
  <c r="D11" i="48"/>
  <c r="D7" i="48"/>
  <c r="D38" i="48"/>
  <c r="D22" i="48"/>
  <c r="D18" i="48"/>
  <c r="D34" i="48"/>
  <c r="D37" i="48"/>
  <c r="D33" i="48"/>
  <c r="D29" i="48"/>
  <c r="D25" i="48"/>
  <c r="D21" i="48"/>
  <c r="D17" i="48"/>
  <c r="D13" i="48"/>
  <c r="D9" i="48"/>
  <c r="D21" i="46"/>
  <c r="D32" i="48"/>
  <c r="D24" i="48"/>
  <c r="D20" i="48"/>
  <c r="D12" i="48"/>
  <c r="D8" i="48"/>
  <c r="K8" i="52" l="1"/>
  <c r="M8" i="52"/>
  <c r="H8" i="52"/>
  <c r="O8" i="52"/>
  <c r="M12" i="49"/>
  <c r="O12" i="49"/>
  <c r="H12" i="49"/>
  <c r="K12" i="49"/>
  <c r="H12" i="55"/>
  <c r="O12" i="55"/>
  <c r="M12" i="55"/>
  <c r="K12" i="55"/>
  <c r="H20" i="52"/>
  <c r="M20" i="52"/>
  <c r="K20" i="52"/>
  <c r="O20" i="52"/>
  <c r="M8" i="54"/>
  <c r="H8" i="54"/>
  <c r="K8" i="54"/>
  <c r="O8" i="54"/>
  <c r="K8" i="51"/>
  <c r="M8" i="51"/>
  <c r="H8" i="51"/>
  <c r="O8" i="51"/>
  <c r="H12" i="53"/>
  <c r="K12" i="53"/>
  <c r="M12" i="53"/>
  <c r="O12" i="53"/>
  <c r="M12" i="48"/>
  <c r="H12" i="48"/>
  <c r="O12" i="48"/>
  <c r="K12" i="48"/>
  <c r="H20" i="53"/>
  <c r="K20" i="53"/>
  <c r="M20" i="53"/>
  <c r="O20" i="53"/>
  <c r="M20" i="56"/>
  <c r="H20" i="56"/>
  <c r="K20" i="56"/>
  <c r="O20" i="56"/>
  <c r="H24" i="50"/>
  <c r="O24" i="50"/>
  <c r="M24" i="50"/>
  <c r="K24" i="50"/>
  <c r="M24" i="53"/>
  <c r="K24" i="53"/>
  <c r="O24" i="53"/>
  <c r="H24" i="53"/>
  <c r="H32" i="48"/>
  <c r="K32" i="48"/>
  <c r="O32" i="48"/>
  <c r="M32" i="48"/>
  <c r="K32" i="53"/>
  <c r="M32" i="53"/>
  <c r="O32" i="53"/>
  <c r="H32" i="53"/>
  <c r="O9" i="56"/>
  <c r="K9" i="56"/>
  <c r="H9" i="56"/>
  <c r="M9" i="56"/>
  <c r="K9" i="55"/>
  <c r="H9" i="55"/>
  <c r="O9" i="55"/>
  <c r="M9" i="55"/>
  <c r="H13" i="51"/>
  <c r="O13" i="51"/>
  <c r="K13" i="51"/>
  <c r="M13" i="51"/>
  <c r="M13" i="53"/>
  <c r="K13" i="53"/>
  <c r="O13" i="53"/>
  <c r="H13" i="53"/>
  <c r="H17" i="53"/>
  <c r="K17" i="53"/>
  <c r="M17" i="53"/>
  <c r="O17" i="53"/>
  <c r="O17" i="56"/>
  <c r="K17" i="56"/>
  <c r="M17" i="56"/>
  <c r="H17" i="56"/>
  <c r="K21" i="48"/>
  <c r="M21" i="48"/>
  <c r="O21" i="48"/>
  <c r="H21" i="48"/>
  <c r="M21" i="50"/>
  <c r="K21" i="50"/>
  <c r="O21" i="50"/>
  <c r="H21" i="50"/>
  <c r="M25" i="55"/>
  <c r="K25" i="55"/>
  <c r="O25" i="55"/>
  <c r="H25" i="55"/>
  <c r="M25" i="54"/>
  <c r="H25" i="54"/>
  <c r="O25" i="54"/>
  <c r="K25" i="54"/>
  <c r="H29" i="55"/>
  <c r="K29" i="55"/>
  <c r="M29" i="55"/>
  <c r="O29" i="55"/>
  <c r="M29" i="52"/>
  <c r="H29" i="52"/>
  <c r="K29" i="52"/>
  <c r="O29" i="52"/>
  <c r="M33" i="48"/>
  <c r="O33" i="48"/>
  <c r="H33" i="48"/>
  <c r="K33" i="48"/>
  <c r="H33" i="53"/>
  <c r="K33" i="53"/>
  <c r="O33" i="53"/>
  <c r="M33" i="53"/>
  <c r="M37" i="48"/>
  <c r="O37" i="48"/>
  <c r="H37" i="48"/>
  <c r="K37" i="48"/>
  <c r="M37" i="50"/>
  <c r="O37" i="50"/>
  <c r="H37" i="50"/>
  <c r="K37" i="50"/>
  <c r="O34" i="51"/>
  <c r="K34" i="51"/>
  <c r="M34" i="51"/>
  <c r="H34" i="51"/>
  <c r="M34" i="53"/>
  <c r="H34" i="53"/>
  <c r="O34" i="53"/>
  <c r="K34" i="53"/>
  <c r="H18" i="51"/>
  <c r="O18" i="51"/>
  <c r="K18" i="51"/>
  <c r="M18" i="51"/>
  <c r="H18" i="53"/>
  <c r="K18" i="53"/>
  <c r="M18" i="53"/>
  <c r="O18" i="53"/>
  <c r="M22" i="52"/>
  <c r="K22" i="52"/>
  <c r="H22" i="52"/>
  <c r="O22" i="52"/>
  <c r="H22" i="55"/>
  <c r="K22" i="55"/>
  <c r="M22" i="55"/>
  <c r="O22" i="55"/>
  <c r="M26" i="54"/>
  <c r="K26" i="54"/>
  <c r="O26" i="54"/>
  <c r="H26" i="54"/>
  <c r="K26" i="50"/>
  <c r="M26" i="50"/>
  <c r="O26" i="50"/>
  <c r="H26" i="50"/>
  <c r="O38" i="49"/>
  <c r="M38" i="49"/>
  <c r="H38" i="49"/>
  <c r="K38" i="49"/>
  <c r="K38" i="54"/>
  <c r="H38" i="54"/>
  <c r="M38" i="54"/>
  <c r="O38" i="54"/>
  <c r="K7" i="55"/>
  <c r="H7" i="55"/>
  <c r="O7" i="55"/>
  <c r="M7" i="55"/>
  <c r="M7" i="52"/>
  <c r="O7" i="52"/>
  <c r="K7" i="52"/>
  <c r="H7" i="52"/>
  <c r="O11" i="50"/>
  <c r="K11" i="50"/>
  <c r="H11" i="50"/>
  <c r="M11" i="50"/>
  <c r="M11" i="54"/>
  <c r="O11" i="54"/>
  <c r="K11" i="54"/>
  <c r="H11" i="54"/>
  <c r="K11" i="51"/>
  <c r="H11" i="51"/>
  <c r="O11" i="51"/>
  <c r="M11" i="51"/>
  <c r="M15" i="49"/>
  <c r="H15" i="49"/>
  <c r="O15" i="49"/>
  <c r="K15" i="49"/>
  <c r="O15" i="56"/>
  <c r="M15" i="56"/>
  <c r="K15" i="56"/>
  <c r="H15" i="56"/>
  <c r="M19" i="51"/>
  <c r="H19" i="51"/>
  <c r="K19" i="51"/>
  <c r="O19" i="51"/>
  <c r="M19" i="53"/>
  <c r="O19" i="53"/>
  <c r="K19" i="53"/>
  <c r="H19" i="53"/>
  <c r="M19" i="56"/>
  <c r="O19" i="56"/>
  <c r="H19" i="56"/>
  <c r="K19" i="56"/>
  <c r="K23" i="51"/>
  <c r="O23" i="51"/>
  <c r="H23" i="51"/>
  <c r="M23" i="51"/>
  <c r="O23" i="49"/>
  <c r="H23" i="49"/>
  <c r="K23" i="49"/>
  <c r="M23" i="49"/>
  <c r="M31" i="54"/>
  <c r="K31" i="54"/>
  <c r="O31" i="54"/>
  <c r="H31" i="54"/>
  <c r="M31" i="48"/>
  <c r="O31" i="48"/>
  <c r="K31" i="48"/>
  <c r="H31" i="48"/>
  <c r="K35" i="55"/>
  <c r="O35" i="55"/>
  <c r="H35" i="55"/>
  <c r="M35" i="55"/>
  <c r="H35" i="52"/>
  <c r="M35" i="52"/>
  <c r="K35" i="52"/>
  <c r="O35" i="52"/>
  <c r="K35" i="51"/>
  <c r="H35" i="51"/>
  <c r="O35" i="51"/>
  <c r="M35" i="51"/>
  <c r="K16" i="54"/>
  <c r="M16" i="54"/>
  <c r="O16" i="54"/>
  <c r="H16" i="54"/>
  <c r="M16" i="51"/>
  <c r="K16" i="51"/>
  <c r="O16" i="51"/>
  <c r="H16" i="51"/>
  <c r="H28" i="51"/>
  <c r="K28" i="51"/>
  <c r="O28" i="51"/>
  <c r="M28" i="51"/>
  <c r="M28" i="49"/>
  <c r="K28" i="49"/>
  <c r="O28" i="49"/>
  <c r="H28" i="49"/>
  <c r="H28" i="56"/>
  <c r="O28" i="56"/>
  <c r="K28" i="56"/>
  <c r="M28" i="56"/>
  <c r="K36" i="53"/>
  <c r="H36" i="53"/>
  <c r="M36" i="53"/>
  <c r="O36" i="53"/>
  <c r="H36" i="48"/>
  <c r="O36" i="48"/>
  <c r="M36" i="48"/>
  <c r="K36" i="48"/>
  <c r="K12" i="51"/>
  <c r="M12" i="51"/>
  <c r="H12" i="51"/>
  <c r="O12" i="51"/>
  <c r="H20" i="54"/>
  <c r="M20" i="54"/>
  <c r="K20" i="54"/>
  <c r="O20" i="54"/>
  <c r="O20" i="51"/>
  <c r="M20" i="51"/>
  <c r="K20" i="51"/>
  <c r="H20" i="51"/>
  <c r="H24" i="54"/>
  <c r="O24" i="54"/>
  <c r="M24" i="54"/>
  <c r="K24" i="54"/>
  <c r="K32" i="52"/>
  <c r="O32" i="52"/>
  <c r="M32" i="52"/>
  <c r="H32" i="52"/>
  <c r="H32" i="50"/>
  <c r="O32" i="50"/>
  <c r="M32" i="50"/>
  <c r="K32" i="50"/>
  <c r="H32" i="54"/>
  <c r="M32" i="54"/>
  <c r="K32" i="54"/>
  <c r="O32" i="54"/>
  <c r="H21" i="46"/>
  <c r="O21" i="46"/>
  <c r="K21" i="46"/>
  <c r="M21" i="46"/>
  <c r="M9" i="48"/>
  <c r="K9" i="48"/>
  <c r="H9" i="48"/>
  <c r="O9" i="48"/>
  <c r="K9" i="49"/>
  <c r="M9" i="49"/>
  <c r="O9" i="49"/>
  <c r="H9" i="49"/>
  <c r="K13" i="52"/>
  <c r="M13" i="52"/>
  <c r="O13" i="52"/>
  <c r="H13" i="52"/>
  <c r="H13" i="50"/>
  <c r="M13" i="50"/>
  <c r="K13" i="50"/>
  <c r="O13" i="50"/>
  <c r="K13" i="54"/>
  <c r="M13" i="54"/>
  <c r="H13" i="54"/>
  <c r="O13" i="54"/>
  <c r="M17" i="54"/>
  <c r="K17" i="54"/>
  <c r="O17" i="54"/>
  <c r="H17" i="54"/>
  <c r="M17" i="51"/>
  <c r="K17" i="51"/>
  <c r="O17" i="51"/>
  <c r="H17" i="51"/>
  <c r="O21" i="49"/>
  <c r="H21" i="49"/>
  <c r="K21" i="49"/>
  <c r="M21" i="49"/>
  <c r="K21" i="52"/>
  <c r="M21" i="52"/>
  <c r="O21" i="52"/>
  <c r="H21" i="52"/>
  <c r="H21" i="55"/>
  <c r="O21" i="55"/>
  <c r="M21" i="55"/>
  <c r="K21" i="55"/>
  <c r="M25" i="48"/>
  <c r="O25" i="48"/>
  <c r="K25" i="48"/>
  <c r="H25" i="48"/>
  <c r="K25" i="52"/>
  <c r="M25" i="52"/>
  <c r="H25" i="52"/>
  <c r="O25" i="52"/>
  <c r="H29" i="51"/>
  <c r="K29" i="51"/>
  <c r="O29" i="51"/>
  <c r="M29" i="51"/>
  <c r="H29" i="49"/>
  <c r="O29" i="49"/>
  <c r="M29" i="49"/>
  <c r="K29" i="49"/>
  <c r="K29" i="56"/>
  <c r="H29" i="56"/>
  <c r="M29" i="56"/>
  <c r="O29" i="56"/>
  <c r="H33" i="50"/>
  <c r="K33" i="50"/>
  <c r="O33" i="50"/>
  <c r="M33" i="50"/>
  <c r="K33" i="54"/>
  <c r="M33" i="54"/>
  <c r="H33" i="54"/>
  <c r="O33" i="54"/>
  <c r="H37" i="52"/>
  <c r="K37" i="52"/>
  <c r="O37" i="52"/>
  <c r="M37" i="52"/>
  <c r="K37" i="51"/>
  <c r="M37" i="51"/>
  <c r="O37" i="51"/>
  <c r="H37" i="51"/>
  <c r="M37" i="53"/>
  <c r="H37" i="53"/>
  <c r="O37" i="53"/>
  <c r="K37" i="53"/>
  <c r="M34" i="50"/>
  <c r="O34" i="50"/>
  <c r="K34" i="50"/>
  <c r="H34" i="50"/>
  <c r="M34" i="54"/>
  <c r="O34" i="54"/>
  <c r="H34" i="54"/>
  <c r="K34" i="54"/>
  <c r="O18" i="48"/>
  <c r="K18" i="48"/>
  <c r="M18" i="48"/>
  <c r="H18" i="48"/>
  <c r="H18" i="50"/>
  <c r="M18" i="50"/>
  <c r="K18" i="50"/>
  <c r="O18" i="50"/>
  <c r="H18" i="54"/>
  <c r="O18" i="54"/>
  <c r="M18" i="54"/>
  <c r="K18" i="54"/>
  <c r="O22" i="56"/>
  <c r="M22" i="56"/>
  <c r="K22" i="56"/>
  <c r="H22" i="56"/>
  <c r="K22" i="49"/>
  <c r="O22" i="49"/>
  <c r="M22" i="49"/>
  <c r="H22" i="49"/>
  <c r="K26" i="48"/>
  <c r="M26" i="48"/>
  <c r="H26" i="48"/>
  <c r="O26" i="48"/>
  <c r="O26" i="52"/>
  <c r="K26" i="52"/>
  <c r="M26" i="52"/>
  <c r="H26" i="52"/>
  <c r="M26" i="55"/>
  <c r="O26" i="55"/>
  <c r="H26" i="55"/>
  <c r="K26" i="55"/>
  <c r="O38" i="51"/>
  <c r="K38" i="51"/>
  <c r="M38" i="51"/>
  <c r="H38" i="51"/>
  <c r="K38" i="50"/>
  <c r="O38" i="50"/>
  <c r="H38" i="50"/>
  <c r="M38" i="50"/>
  <c r="O38" i="56"/>
  <c r="K38" i="56"/>
  <c r="M38" i="56"/>
  <c r="H38" i="56"/>
  <c r="H7" i="49"/>
  <c r="K7" i="49"/>
  <c r="M7" i="49"/>
  <c r="O7" i="49"/>
  <c r="H7" i="56"/>
  <c r="O7" i="56"/>
  <c r="K7" i="56"/>
  <c r="M7" i="56"/>
  <c r="K11" i="55"/>
  <c r="O11" i="55"/>
  <c r="M11" i="55"/>
  <c r="H11" i="55"/>
  <c r="O11" i="52"/>
  <c r="H11" i="52"/>
  <c r="K11" i="52"/>
  <c r="M11" i="52"/>
  <c r="H15" i="53"/>
  <c r="M15" i="53"/>
  <c r="O15" i="53"/>
  <c r="K15" i="53"/>
  <c r="O15" i="48"/>
  <c r="K15" i="48"/>
  <c r="M15" i="48"/>
  <c r="H15" i="48"/>
  <c r="M19" i="50"/>
  <c r="K19" i="50"/>
  <c r="H19" i="50"/>
  <c r="O19" i="50"/>
  <c r="O19" i="54"/>
  <c r="K19" i="54"/>
  <c r="M19" i="54"/>
  <c r="H19" i="54"/>
  <c r="M23" i="50"/>
  <c r="K23" i="50"/>
  <c r="O23" i="50"/>
  <c r="H23" i="50"/>
  <c r="H23" i="53"/>
  <c r="K23" i="53"/>
  <c r="M23" i="53"/>
  <c r="O23" i="53"/>
  <c r="K31" i="52"/>
  <c r="H31" i="52"/>
  <c r="O31" i="52"/>
  <c r="M31" i="52"/>
  <c r="O31" i="50"/>
  <c r="H31" i="50"/>
  <c r="M31" i="50"/>
  <c r="K31" i="50"/>
  <c r="O35" i="49"/>
  <c r="M35" i="49"/>
  <c r="H35" i="49"/>
  <c r="K35" i="49"/>
  <c r="M35" i="54"/>
  <c r="O35" i="54"/>
  <c r="H35" i="54"/>
  <c r="K35" i="54"/>
  <c r="K16" i="52"/>
  <c r="M16" i="52"/>
  <c r="O16" i="52"/>
  <c r="H16" i="52"/>
  <c r="M16" i="50"/>
  <c r="K16" i="50"/>
  <c r="O16" i="50"/>
  <c r="H16" i="50"/>
  <c r="O28" i="50"/>
  <c r="H28" i="50"/>
  <c r="M28" i="50"/>
  <c r="K28" i="50"/>
  <c r="M28" i="53"/>
  <c r="O28" i="53"/>
  <c r="K28" i="53"/>
  <c r="H28" i="53"/>
  <c r="K36" i="52"/>
  <c r="M36" i="52"/>
  <c r="O36" i="52"/>
  <c r="H36" i="52"/>
  <c r="H36" i="51"/>
  <c r="K36" i="51"/>
  <c r="M36" i="51"/>
  <c r="O36" i="51"/>
  <c r="H12" i="54"/>
  <c r="K12" i="54"/>
  <c r="M12" i="54"/>
  <c r="O12" i="54"/>
  <c r="K20" i="50"/>
  <c r="M20" i="50"/>
  <c r="H20" i="50"/>
  <c r="O20" i="50"/>
  <c r="H24" i="55"/>
  <c r="O24" i="55"/>
  <c r="K24" i="55"/>
  <c r="M24" i="55"/>
  <c r="K8" i="49"/>
  <c r="M8" i="49"/>
  <c r="O8" i="49"/>
  <c r="H8" i="49"/>
  <c r="K8" i="56"/>
  <c r="M8" i="56"/>
  <c r="H8" i="56"/>
  <c r="O8" i="56"/>
  <c r="H8" i="55"/>
  <c r="M8" i="55"/>
  <c r="O8" i="55"/>
  <c r="K8" i="55"/>
  <c r="H12" i="52"/>
  <c r="M12" i="52"/>
  <c r="K12" i="52"/>
  <c r="O12" i="52"/>
  <c r="O12" i="50"/>
  <c r="K12" i="50"/>
  <c r="M12" i="50"/>
  <c r="H12" i="50"/>
  <c r="H20" i="55"/>
  <c r="K20" i="55"/>
  <c r="M20" i="55"/>
  <c r="O20" i="55"/>
  <c r="M20" i="48"/>
  <c r="O20" i="48"/>
  <c r="K20" i="48"/>
  <c r="H20" i="48"/>
  <c r="H24" i="48"/>
  <c r="O24" i="48"/>
  <c r="M24" i="48"/>
  <c r="K24" i="48"/>
  <c r="K24" i="52"/>
  <c r="H24" i="52"/>
  <c r="M24" i="52"/>
  <c r="O24" i="52"/>
  <c r="H32" i="56"/>
  <c r="M32" i="56"/>
  <c r="O32" i="56"/>
  <c r="K32" i="56"/>
  <c r="H32" i="55"/>
  <c r="M32" i="55"/>
  <c r="O32" i="55"/>
  <c r="K32" i="55"/>
  <c r="O9" i="51"/>
  <c r="H9" i="51"/>
  <c r="K9" i="51"/>
  <c r="M9" i="51"/>
  <c r="H9" i="53"/>
  <c r="M9" i="53"/>
  <c r="K9" i="53"/>
  <c r="O9" i="53"/>
  <c r="H13" i="56"/>
  <c r="O13" i="56"/>
  <c r="K13" i="56"/>
  <c r="M13" i="56"/>
  <c r="M13" i="55"/>
  <c r="O13" i="55"/>
  <c r="H13" i="55"/>
  <c r="K13" i="55"/>
  <c r="M17" i="48"/>
  <c r="H17" i="48"/>
  <c r="K17" i="48"/>
  <c r="O17" i="48"/>
  <c r="O17" i="50"/>
  <c r="K17" i="50"/>
  <c r="M17" i="50"/>
  <c r="H17" i="50"/>
  <c r="H21" i="53"/>
  <c r="K21" i="53"/>
  <c r="M21" i="53"/>
  <c r="O21" i="53"/>
  <c r="M21" i="56"/>
  <c r="K21" i="56"/>
  <c r="O21" i="56"/>
  <c r="H21" i="56"/>
  <c r="K25" i="49"/>
  <c r="H25" i="49"/>
  <c r="O25" i="49"/>
  <c r="M25" i="49"/>
  <c r="K25" i="56"/>
  <c r="H25" i="56"/>
  <c r="M25" i="56"/>
  <c r="O25" i="56"/>
  <c r="M29" i="48"/>
  <c r="O29" i="48"/>
  <c r="K29" i="48"/>
  <c r="H29" i="48"/>
  <c r="H29" i="53"/>
  <c r="O29" i="53"/>
  <c r="M29" i="53"/>
  <c r="K29" i="53"/>
  <c r="H33" i="55"/>
  <c r="K33" i="55"/>
  <c r="O33" i="55"/>
  <c r="M33" i="55"/>
  <c r="H33" i="52"/>
  <c r="O33" i="52"/>
  <c r="K33" i="52"/>
  <c r="M33" i="52"/>
  <c r="O37" i="54"/>
  <c r="M37" i="54"/>
  <c r="H37" i="54"/>
  <c r="K37" i="54"/>
  <c r="M37" i="55"/>
  <c r="H37" i="55"/>
  <c r="K37" i="55"/>
  <c r="O37" i="55"/>
  <c r="K34" i="55"/>
  <c r="M34" i="55"/>
  <c r="O34" i="55"/>
  <c r="H34" i="55"/>
  <c r="H34" i="52"/>
  <c r="O34" i="52"/>
  <c r="M34" i="52"/>
  <c r="K34" i="52"/>
  <c r="H18" i="52"/>
  <c r="K18" i="52"/>
  <c r="O18" i="52"/>
  <c r="M18" i="52"/>
  <c r="M18" i="55"/>
  <c r="H18" i="55"/>
  <c r="O18" i="55"/>
  <c r="K18" i="55"/>
  <c r="O22" i="51"/>
  <c r="M22" i="51"/>
  <c r="K22" i="51"/>
  <c r="H22" i="51"/>
  <c r="H22" i="53"/>
  <c r="O22" i="53"/>
  <c r="M22" i="53"/>
  <c r="K22" i="53"/>
  <c r="H26" i="49"/>
  <c r="M26" i="49"/>
  <c r="O26" i="49"/>
  <c r="K26" i="49"/>
  <c r="H26" i="56"/>
  <c r="M26" i="56"/>
  <c r="K26" i="56"/>
  <c r="O26" i="56"/>
  <c r="H38" i="48"/>
  <c r="M38" i="48"/>
  <c r="O38" i="48"/>
  <c r="K38" i="48"/>
  <c r="H38" i="53"/>
  <c r="O38" i="53"/>
  <c r="M38" i="53"/>
  <c r="K38" i="53"/>
  <c r="M7" i="53"/>
  <c r="O7" i="53"/>
  <c r="H7" i="53"/>
  <c r="K7" i="53"/>
  <c r="O7" i="48"/>
  <c r="K7" i="48"/>
  <c r="H7" i="48"/>
  <c r="M7" i="48"/>
  <c r="K11" i="49"/>
  <c r="M11" i="49"/>
  <c r="H11" i="49"/>
  <c r="O11" i="49"/>
  <c r="M11" i="56"/>
  <c r="O11" i="56"/>
  <c r="H11" i="56"/>
  <c r="K11" i="56"/>
  <c r="H15" i="50"/>
  <c r="O15" i="50"/>
  <c r="K15" i="50"/>
  <c r="M15" i="50"/>
  <c r="M15" i="54"/>
  <c r="K15" i="54"/>
  <c r="H15" i="54"/>
  <c r="O15" i="54"/>
  <c r="M15" i="51"/>
  <c r="H15" i="51"/>
  <c r="K15" i="51"/>
  <c r="O15" i="51"/>
  <c r="H19" i="55"/>
  <c r="O19" i="55"/>
  <c r="M19" i="55"/>
  <c r="K19" i="55"/>
  <c r="O19" i="48"/>
  <c r="K19" i="48"/>
  <c r="M19" i="48"/>
  <c r="H19" i="48"/>
  <c r="M23" i="52"/>
  <c r="K23" i="52"/>
  <c r="O23" i="52"/>
  <c r="H23" i="52"/>
  <c r="O23" i="55"/>
  <c r="H23" i="55"/>
  <c r="M23" i="55"/>
  <c r="K23" i="55"/>
  <c r="M23" i="54"/>
  <c r="O23" i="54"/>
  <c r="K23" i="54"/>
  <c r="H23" i="54"/>
  <c r="O31" i="49"/>
  <c r="M31" i="49"/>
  <c r="H31" i="49"/>
  <c r="K31" i="49"/>
  <c r="M31" i="56"/>
  <c r="O31" i="56"/>
  <c r="H31" i="56"/>
  <c r="K31" i="56"/>
  <c r="H31" i="55"/>
  <c r="K31" i="55"/>
  <c r="O31" i="55"/>
  <c r="M31" i="55"/>
  <c r="K35" i="50"/>
  <c r="H35" i="50"/>
  <c r="M35" i="50"/>
  <c r="O35" i="50"/>
  <c r="H35" i="56"/>
  <c r="K35" i="56"/>
  <c r="O35" i="56"/>
  <c r="M35" i="56"/>
  <c r="M16" i="49"/>
  <c r="O16" i="49"/>
  <c r="H16" i="49"/>
  <c r="K16" i="49"/>
  <c r="M16" i="56"/>
  <c r="K16" i="56"/>
  <c r="H16" i="56"/>
  <c r="O16" i="56"/>
  <c r="H16" i="55"/>
  <c r="K16" i="55"/>
  <c r="O16" i="55"/>
  <c r="M16" i="55"/>
  <c r="H28" i="55"/>
  <c r="K28" i="55"/>
  <c r="M28" i="55"/>
  <c r="O28" i="55"/>
  <c r="O28" i="54"/>
  <c r="M28" i="54"/>
  <c r="H28" i="54"/>
  <c r="K28" i="54"/>
  <c r="H36" i="49"/>
  <c r="M36" i="49"/>
  <c r="K36" i="49"/>
  <c r="O36" i="49"/>
  <c r="K36" i="54"/>
  <c r="O36" i="54"/>
  <c r="M36" i="54"/>
  <c r="H36" i="54"/>
  <c r="M36" i="55"/>
  <c r="K36" i="55"/>
  <c r="H36" i="55"/>
  <c r="O36" i="55"/>
  <c r="O8" i="50"/>
  <c r="K8" i="50"/>
  <c r="H8" i="50"/>
  <c r="M8" i="50"/>
  <c r="H8" i="53"/>
  <c r="O8" i="53"/>
  <c r="K8" i="53"/>
  <c r="M8" i="53"/>
  <c r="M8" i="48"/>
  <c r="H8" i="48"/>
  <c r="O8" i="48"/>
  <c r="K8" i="48"/>
  <c r="O12" i="56"/>
  <c r="H12" i="56"/>
  <c r="M12" i="56"/>
  <c r="K12" i="56"/>
  <c r="M20" i="49"/>
  <c r="H20" i="49"/>
  <c r="K20" i="49"/>
  <c r="O20" i="49"/>
  <c r="H24" i="51"/>
  <c r="O24" i="51"/>
  <c r="M24" i="51"/>
  <c r="K24" i="51"/>
  <c r="O24" i="49"/>
  <c r="K24" i="49"/>
  <c r="M24" i="49"/>
  <c r="H24" i="49"/>
  <c r="H24" i="56"/>
  <c r="M24" i="56"/>
  <c r="O24" i="56"/>
  <c r="K24" i="56"/>
  <c r="H32" i="51"/>
  <c r="O32" i="51"/>
  <c r="M32" i="51"/>
  <c r="K32" i="51"/>
  <c r="K32" i="49"/>
  <c r="O32" i="49"/>
  <c r="H32" i="49"/>
  <c r="M32" i="49"/>
  <c r="O9" i="52"/>
  <c r="K9" i="52"/>
  <c r="M9" i="52"/>
  <c r="H9" i="52"/>
  <c r="O9" i="50"/>
  <c r="M9" i="50"/>
  <c r="K9" i="50"/>
  <c r="H9" i="50"/>
  <c r="M9" i="54"/>
  <c r="H9" i="54"/>
  <c r="O9" i="54"/>
  <c r="K9" i="54"/>
  <c r="O13" i="48"/>
  <c r="M13" i="48"/>
  <c r="K13" i="48"/>
  <c r="H13" i="48"/>
  <c r="H13" i="49"/>
  <c r="M13" i="49"/>
  <c r="O13" i="49"/>
  <c r="K13" i="49"/>
  <c r="K17" i="49"/>
  <c r="M17" i="49"/>
  <c r="O17" i="49"/>
  <c r="H17" i="49"/>
  <c r="K17" i="52"/>
  <c r="M17" i="52"/>
  <c r="O17" i="52"/>
  <c r="H17" i="52"/>
  <c r="O17" i="55"/>
  <c r="K17" i="55"/>
  <c r="H17" i="55"/>
  <c r="M17" i="55"/>
  <c r="M21" i="54"/>
  <c r="O21" i="54"/>
  <c r="K21" i="54"/>
  <c r="H21" i="54"/>
  <c r="M21" i="51"/>
  <c r="O21" i="51"/>
  <c r="H21" i="51"/>
  <c r="K21" i="51"/>
  <c r="M25" i="50"/>
  <c r="K25" i="50"/>
  <c r="O25" i="50"/>
  <c r="H25" i="50"/>
  <c r="M25" i="53"/>
  <c r="K25" i="53"/>
  <c r="H25" i="53"/>
  <c r="O25" i="53"/>
  <c r="H25" i="51"/>
  <c r="K25" i="51"/>
  <c r="M25" i="51"/>
  <c r="O25" i="51"/>
  <c r="K29" i="50"/>
  <c r="M29" i="50"/>
  <c r="H29" i="50"/>
  <c r="O29" i="50"/>
  <c r="H29" i="54"/>
  <c r="K29" i="54"/>
  <c r="M29" i="54"/>
  <c r="O29" i="54"/>
  <c r="O33" i="51"/>
  <c r="M33" i="51"/>
  <c r="K33" i="51"/>
  <c r="H33" i="51"/>
  <c r="O33" i="49"/>
  <c r="M33" i="49"/>
  <c r="H33" i="49"/>
  <c r="K33" i="49"/>
  <c r="K33" i="56"/>
  <c r="O33" i="56"/>
  <c r="M33" i="56"/>
  <c r="H33" i="56"/>
  <c r="M37" i="56"/>
  <c r="K37" i="56"/>
  <c r="O37" i="56"/>
  <c r="H37" i="56"/>
  <c r="M37" i="49"/>
  <c r="O37" i="49"/>
  <c r="K37" i="49"/>
  <c r="H37" i="49"/>
  <c r="M34" i="48"/>
  <c r="O34" i="48"/>
  <c r="H34" i="48"/>
  <c r="K34" i="48"/>
  <c r="K34" i="49"/>
  <c r="H34" i="49"/>
  <c r="M34" i="49"/>
  <c r="O34" i="49"/>
  <c r="M34" i="56"/>
  <c r="H34" i="56"/>
  <c r="K34" i="56"/>
  <c r="O34" i="56"/>
  <c r="H18" i="56"/>
  <c r="M18" i="56"/>
  <c r="O18" i="56"/>
  <c r="K18" i="56"/>
  <c r="H18" i="49"/>
  <c r="M18" i="49"/>
  <c r="K18" i="49"/>
  <c r="O18" i="49"/>
  <c r="O22" i="48"/>
  <c r="K22" i="48"/>
  <c r="H22" i="48"/>
  <c r="M22" i="48"/>
  <c r="M22" i="50"/>
  <c r="K22" i="50"/>
  <c r="H22" i="50"/>
  <c r="O22" i="50"/>
  <c r="M22" i="54"/>
  <c r="K22" i="54"/>
  <c r="O22" i="54"/>
  <c r="H22" i="54"/>
  <c r="O26" i="53"/>
  <c r="M26" i="53"/>
  <c r="H26" i="53"/>
  <c r="K26" i="53"/>
  <c r="H26" i="51"/>
  <c r="K26" i="51"/>
  <c r="O26" i="51"/>
  <c r="M26" i="51"/>
  <c r="H38" i="55"/>
  <c r="O38" i="55"/>
  <c r="K38" i="55"/>
  <c r="M38" i="55"/>
  <c r="H38" i="52"/>
  <c r="M38" i="52"/>
  <c r="O38" i="52"/>
  <c r="K38" i="52"/>
  <c r="H7" i="50"/>
  <c r="O7" i="50"/>
  <c r="M7" i="50"/>
  <c r="K7" i="50"/>
  <c r="H7" i="54"/>
  <c r="K7" i="54"/>
  <c r="O7" i="54"/>
  <c r="M7" i="54"/>
  <c r="H7" i="51"/>
  <c r="K7" i="51"/>
  <c r="M7" i="51"/>
  <c r="O7" i="51"/>
  <c r="H11" i="53"/>
  <c r="K11" i="53"/>
  <c r="O11" i="53"/>
  <c r="M11" i="53"/>
  <c r="M11" i="48"/>
  <c r="H11" i="48"/>
  <c r="K11" i="48"/>
  <c r="O11" i="48"/>
  <c r="H15" i="55"/>
  <c r="K15" i="55"/>
  <c r="O15" i="55"/>
  <c r="M15" i="55"/>
  <c r="H15" i="52"/>
  <c r="M15" i="52"/>
  <c r="K15" i="52"/>
  <c r="O15" i="52"/>
  <c r="H19" i="49"/>
  <c r="K19" i="49"/>
  <c r="M19" i="49"/>
  <c r="O19" i="49"/>
  <c r="O19" i="52"/>
  <c r="H19" i="52"/>
  <c r="K19" i="52"/>
  <c r="M19" i="52"/>
  <c r="H23" i="56"/>
  <c r="K23" i="56"/>
  <c r="O23" i="56"/>
  <c r="M23" i="56"/>
  <c r="K23" i="48"/>
  <c r="O23" i="48"/>
  <c r="M23" i="48"/>
  <c r="H23" i="48"/>
  <c r="M31" i="53"/>
  <c r="H31" i="53"/>
  <c r="O31" i="53"/>
  <c r="K31" i="53"/>
  <c r="M31" i="51"/>
  <c r="K31" i="51"/>
  <c r="O31" i="51"/>
  <c r="H31" i="51"/>
  <c r="M35" i="53"/>
  <c r="H35" i="53"/>
  <c r="O35" i="53"/>
  <c r="K35" i="53"/>
  <c r="K35" i="48"/>
  <c r="H35" i="48"/>
  <c r="O35" i="48"/>
  <c r="M35" i="48"/>
  <c r="H16" i="53"/>
  <c r="K16" i="53"/>
  <c r="M16" i="53"/>
  <c r="O16" i="53"/>
  <c r="M16" i="48"/>
  <c r="K16" i="48"/>
  <c r="H16" i="48"/>
  <c r="O16" i="48"/>
  <c r="M28" i="48"/>
  <c r="K28" i="48"/>
  <c r="H28" i="48"/>
  <c r="O28" i="48"/>
  <c r="K28" i="52"/>
  <c r="O28" i="52"/>
  <c r="M28" i="52"/>
  <c r="H28" i="52"/>
  <c r="O36" i="50"/>
  <c r="M36" i="50"/>
  <c r="H36" i="50"/>
  <c r="K36" i="50"/>
  <c r="H36" i="56"/>
  <c r="K36" i="56"/>
  <c r="M36" i="56"/>
  <c r="O36" i="56"/>
  <c r="D8" i="47"/>
  <c r="AR25" i="49" l="1"/>
  <c r="AR22" i="48"/>
  <c r="AQ25" i="53"/>
  <c r="AQ31" i="50"/>
  <c r="AQ29" i="56"/>
  <c r="AR7" i="50"/>
  <c r="AS24" i="48"/>
  <c r="AS36" i="56"/>
  <c r="G36" i="56"/>
  <c r="AQ36" i="56"/>
  <c r="AR36" i="56"/>
  <c r="AS23" i="56"/>
  <c r="AQ23" i="56"/>
  <c r="AR23" i="56"/>
  <c r="G23" i="56"/>
  <c r="AS15" i="52"/>
  <c r="G15" i="52"/>
  <c r="AQ15" i="52"/>
  <c r="AR15" i="52"/>
  <c r="AQ28" i="52"/>
  <c r="AR28" i="52"/>
  <c r="G28" i="52"/>
  <c r="AS28" i="52"/>
  <c r="AQ35" i="53"/>
  <c r="AS31" i="51"/>
  <c r="AQ31" i="51"/>
  <c r="G31" i="51"/>
  <c r="AR31" i="51"/>
  <c r="G23" i="48"/>
  <c r="AR23" i="48"/>
  <c r="AS23" i="48"/>
  <c r="AQ23" i="48"/>
  <c r="AR11" i="48"/>
  <c r="AS7" i="51"/>
  <c r="G7" i="51"/>
  <c r="AR7" i="51"/>
  <c r="AQ7" i="51"/>
  <c r="AS26" i="53"/>
  <c r="G26" i="53"/>
  <c r="AR26" i="53"/>
  <c r="AQ26" i="53"/>
  <c r="AR22" i="50"/>
  <c r="AQ22" i="50"/>
  <c r="G22" i="50"/>
  <c r="AS22" i="50"/>
  <c r="G22" i="48"/>
  <c r="AS22" i="48"/>
  <c r="AQ22" i="48"/>
  <c r="G34" i="48"/>
  <c r="AQ34" i="48"/>
  <c r="AS34" i="48"/>
  <c r="AR34" i="48"/>
  <c r="AR33" i="49"/>
  <c r="AS33" i="49"/>
  <c r="G33" i="49"/>
  <c r="AQ33" i="49"/>
  <c r="AS29" i="50"/>
  <c r="AR29" i="50"/>
  <c r="G29" i="50"/>
  <c r="AQ29" i="50"/>
  <c r="AR25" i="53"/>
  <c r="G25" i="53"/>
  <c r="AS25" i="53"/>
  <c r="AS21" i="51"/>
  <c r="AR21" i="51"/>
  <c r="G21" i="51"/>
  <c r="AQ21" i="51"/>
  <c r="AQ17" i="55"/>
  <c r="AS17" i="55"/>
  <c r="G17" i="55"/>
  <c r="AR17" i="55"/>
  <c r="AS32" i="51"/>
  <c r="G32" i="51"/>
  <c r="AR32" i="51"/>
  <c r="AQ32" i="51"/>
  <c r="G24" i="56"/>
  <c r="AS24" i="56"/>
  <c r="AR24" i="56"/>
  <c r="AQ24" i="56"/>
  <c r="AS24" i="51"/>
  <c r="G24" i="51"/>
  <c r="AR24" i="51"/>
  <c r="AQ24" i="51"/>
  <c r="G8" i="53"/>
  <c r="AS8" i="53"/>
  <c r="AQ8" i="53"/>
  <c r="AR8" i="53"/>
  <c r="AS36" i="49"/>
  <c r="AQ36" i="49"/>
  <c r="G36" i="49"/>
  <c r="AR36" i="49"/>
  <c r="AS28" i="55"/>
  <c r="G28" i="55"/>
  <c r="AQ28" i="55"/>
  <c r="AR28" i="55"/>
  <c r="AS16" i="55"/>
  <c r="G16" i="55"/>
  <c r="AQ16" i="55"/>
  <c r="AR16" i="55"/>
  <c r="G35" i="56"/>
  <c r="AR35" i="56"/>
  <c r="AS35" i="56"/>
  <c r="AQ35" i="56"/>
  <c r="AS31" i="55"/>
  <c r="G31" i="55"/>
  <c r="AQ31" i="55"/>
  <c r="AS19" i="55"/>
  <c r="G19" i="55"/>
  <c r="AR19" i="55"/>
  <c r="AQ19" i="55"/>
  <c r="AS15" i="50"/>
  <c r="G15" i="50"/>
  <c r="AR15" i="50"/>
  <c r="AQ15" i="50"/>
  <c r="AQ7" i="53"/>
  <c r="G7" i="53"/>
  <c r="AR7" i="53"/>
  <c r="AS7" i="53"/>
  <c r="AR37" i="54"/>
  <c r="G37" i="54"/>
  <c r="AS37" i="54"/>
  <c r="AQ37" i="54"/>
  <c r="AS17" i="48"/>
  <c r="AR13" i="55"/>
  <c r="AQ13" i="55"/>
  <c r="AS13" i="55"/>
  <c r="G13" i="55"/>
  <c r="G20" i="48"/>
  <c r="AS20" i="48"/>
  <c r="AQ20" i="48"/>
  <c r="AR20" i="48"/>
  <c r="G12" i="50"/>
  <c r="AR12" i="50"/>
  <c r="AS12" i="50"/>
  <c r="AQ12" i="50"/>
  <c r="AR8" i="49"/>
  <c r="AQ8" i="49"/>
  <c r="AS8" i="49"/>
  <c r="G8" i="49"/>
  <c r="AR20" i="50"/>
  <c r="AS36" i="52"/>
  <c r="G36" i="52"/>
  <c r="AR36" i="52"/>
  <c r="AQ36" i="52"/>
  <c r="AR28" i="53"/>
  <c r="AQ28" i="53"/>
  <c r="AS28" i="53"/>
  <c r="G28" i="53"/>
  <c r="AQ16" i="50"/>
  <c r="AS16" i="50"/>
  <c r="G16" i="50"/>
  <c r="AR16" i="50"/>
  <c r="AQ16" i="52"/>
  <c r="AS16" i="52"/>
  <c r="AR16" i="52"/>
  <c r="G16" i="52"/>
  <c r="AQ23" i="50"/>
  <c r="G23" i="50"/>
  <c r="AS23" i="50"/>
  <c r="AR23" i="50"/>
  <c r="AS19" i="54"/>
  <c r="AQ19" i="54"/>
  <c r="AR19" i="54"/>
  <c r="G19" i="54"/>
  <c r="G15" i="48"/>
  <c r="AQ15" i="48"/>
  <c r="AS15" i="48"/>
  <c r="AR15" i="48"/>
  <c r="AR11" i="55"/>
  <c r="G11" i="55"/>
  <c r="AS11" i="55"/>
  <c r="AQ11" i="55"/>
  <c r="G7" i="56"/>
  <c r="AQ7" i="56"/>
  <c r="AS7" i="56"/>
  <c r="AR7" i="56"/>
  <c r="AR37" i="53"/>
  <c r="AQ37" i="53"/>
  <c r="G37" i="53"/>
  <c r="AS37" i="53"/>
  <c r="AS29" i="56"/>
  <c r="G29" i="56"/>
  <c r="AR29" i="56"/>
  <c r="G21" i="49"/>
  <c r="AS21" i="49"/>
  <c r="AQ21" i="49"/>
  <c r="AR21" i="49"/>
  <c r="G36" i="53"/>
  <c r="AS36" i="53"/>
  <c r="AQ36" i="53"/>
  <c r="AR36" i="53"/>
  <c r="G35" i="51"/>
  <c r="AS35" i="51"/>
  <c r="AR35" i="51"/>
  <c r="AR23" i="49"/>
  <c r="AQ23" i="49"/>
  <c r="G23" i="49"/>
  <c r="AS23" i="49"/>
  <c r="AR19" i="51"/>
  <c r="G19" i="51"/>
  <c r="AS19" i="51"/>
  <c r="AQ19" i="51"/>
  <c r="AS15" i="49"/>
  <c r="G15" i="49"/>
  <c r="AQ15" i="49"/>
  <c r="AR15" i="49"/>
  <c r="AQ11" i="51"/>
  <c r="AS11" i="51"/>
  <c r="AR11" i="51"/>
  <c r="G11" i="51"/>
  <c r="AQ38" i="49"/>
  <c r="AR26" i="50"/>
  <c r="G26" i="50"/>
  <c r="AQ26" i="50"/>
  <c r="AS26" i="50"/>
  <c r="AQ26" i="54"/>
  <c r="AR26" i="54"/>
  <c r="AS26" i="54"/>
  <c r="G26" i="54"/>
  <c r="AS34" i="51"/>
  <c r="G34" i="51"/>
  <c r="AQ34" i="51"/>
  <c r="AR34" i="51"/>
  <c r="G25" i="55"/>
  <c r="AQ25" i="55"/>
  <c r="AS25" i="55"/>
  <c r="AR25" i="55"/>
  <c r="AR21" i="50"/>
  <c r="G21" i="50"/>
  <c r="AQ21" i="50"/>
  <c r="AS21" i="50"/>
  <c r="G21" i="48"/>
  <c r="AR21" i="48"/>
  <c r="AQ21" i="48"/>
  <c r="AS21" i="48"/>
  <c r="G17" i="56"/>
  <c r="AR17" i="56"/>
  <c r="AQ17" i="56"/>
  <c r="AS17" i="56"/>
  <c r="AQ13" i="53"/>
  <c r="G13" i="53"/>
  <c r="AS13" i="53"/>
  <c r="AR13" i="53"/>
  <c r="AR32" i="53"/>
  <c r="AQ32" i="53"/>
  <c r="G32" i="53"/>
  <c r="AS32" i="53"/>
  <c r="AS24" i="53"/>
  <c r="AQ24" i="53"/>
  <c r="AR24" i="53"/>
  <c r="G24" i="53"/>
  <c r="G16" i="48"/>
  <c r="AS16" i="48"/>
  <c r="AR16" i="48"/>
  <c r="AQ16" i="48"/>
  <c r="G7" i="54"/>
  <c r="AS7" i="54"/>
  <c r="AR7" i="54"/>
  <c r="AQ7" i="54"/>
  <c r="AR34" i="56"/>
  <c r="G34" i="56"/>
  <c r="AS34" i="56"/>
  <c r="AQ34" i="56"/>
  <c r="G34" i="49"/>
  <c r="AS34" i="49"/>
  <c r="AQ34" i="49"/>
  <c r="AR34" i="49"/>
  <c r="G9" i="54"/>
  <c r="AR9" i="54"/>
  <c r="AS9" i="54"/>
  <c r="AQ9" i="54"/>
  <c r="AR24" i="49"/>
  <c r="G24" i="49"/>
  <c r="AQ24" i="49"/>
  <c r="AS24" i="49"/>
  <c r="AQ20" i="49"/>
  <c r="AS36" i="54"/>
  <c r="G36" i="54"/>
  <c r="AR36" i="54"/>
  <c r="AQ36" i="54"/>
  <c r="G23" i="54"/>
  <c r="AR23" i="54"/>
  <c r="AS23" i="54"/>
  <c r="AQ23" i="54"/>
  <c r="AQ23" i="52"/>
  <c r="AR23" i="52"/>
  <c r="AS23" i="52"/>
  <c r="G23" i="52"/>
  <c r="G19" i="48"/>
  <c r="AS19" i="48"/>
  <c r="AQ19" i="48"/>
  <c r="AR19" i="48"/>
  <c r="AS18" i="55"/>
  <c r="AQ18" i="55"/>
  <c r="G18" i="55"/>
  <c r="AR18" i="55"/>
  <c r="AR37" i="55"/>
  <c r="AQ37" i="55"/>
  <c r="G37" i="55"/>
  <c r="AS37" i="55"/>
  <c r="AS25" i="56"/>
  <c r="G25" i="56"/>
  <c r="AQ25" i="56"/>
  <c r="AR25" i="56"/>
  <c r="G25" i="49"/>
  <c r="AS25" i="49"/>
  <c r="AQ25" i="49"/>
  <c r="G17" i="48"/>
  <c r="AQ17" i="48"/>
  <c r="AR17" i="48"/>
  <c r="AR9" i="51"/>
  <c r="AQ9" i="51"/>
  <c r="AS9" i="51"/>
  <c r="G9" i="51"/>
  <c r="AR24" i="52"/>
  <c r="AS24" i="52"/>
  <c r="AQ24" i="52"/>
  <c r="G24" i="52"/>
  <c r="AR8" i="56"/>
  <c r="AQ8" i="56"/>
  <c r="G8" i="56"/>
  <c r="AS8" i="56"/>
  <c r="AS20" i="50"/>
  <c r="G20" i="50"/>
  <c r="AQ20" i="50"/>
  <c r="AR35" i="54"/>
  <c r="AQ35" i="54"/>
  <c r="AS35" i="54"/>
  <c r="G35" i="54"/>
  <c r="AS35" i="49"/>
  <c r="G35" i="49"/>
  <c r="AR35" i="49"/>
  <c r="AQ35" i="49"/>
  <c r="AS19" i="50"/>
  <c r="AQ19" i="50"/>
  <c r="AR19" i="50"/>
  <c r="G19" i="50"/>
  <c r="G7" i="49"/>
  <c r="AS7" i="49"/>
  <c r="AQ7" i="49"/>
  <c r="AR7" i="49"/>
  <c r="G18" i="54"/>
  <c r="AS18" i="54"/>
  <c r="AQ18" i="54"/>
  <c r="AR18" i="54"/>
  <c r="AS18" i="50"/>
  <c r="G18" i="50"/>
  <c r="AQ18" i="50"/>
  <c r="AR18" i="50"/>
  <c r="AS37" i="52"/>
  <c r="G37" i="52"/>
  <c r="AR37" i="52"/>
  <c r="AQ37" i="52"/>
  <c r="AS33" i="50"/>
  <c r="G33" i="50"/>
  <c r="AQ33" i="50"/>
  <c r="AR33" i="50"/>
  <c r="AS29" i="49"/>
  <c r="G29" i="49"/>
  <c r="AR29" i="49"/>
  <c r="AQ29" i="49"/>
  <c r="AS29" i="51"/>
  <c r="G29" i="51"/>
  <c r="AQ29" i="51"/>
  <c r="AR29" i="51"/>
  <c r="G21" i="55"/>
  <c r="AS21" i="55"/>
  <c r="AQ21" i="55"/>
  <c r="AR21" i="55"/>
  <c r="G13" i="50"/>
  <c r="AS13" i="50"/>
  <c r="AQ13" i="50"/>
  <c r="AR13" i="50"/>
  <c r="AQ21" i="46"/>
  <c r="AS21" i="46"/>
  <c r="G21" i="46"/>
  <c r="AR21" i="46"/>
  <c r="AS32" i="54"/>
  <c r="G32" i="54"/>
  <c r="AQ32" i="54"/>
  <c r="AR32" i="54"/>
  <c r="AS32" i="50"/>
  <c r="G32" i="50"/>
  <c r="AR32" i="50"/>
  <c r="AQ32" i="50"/>
  <c r="G24" i="54"/>
  <c r="AS24" i="54"/>
  <c r="AR24" i="54"/>
  <c r="AQ24" i="54"/>
  <c r="AS20" i="54"/>
  <c r="AR20" i="54"/>
  <c r="G20" i="54"/>
  <c r="AQ20" i="54"/>
  <c r="G36" i="48"/>
  <c r="AQ36" i="48"/>
  <c r="AR36" i="48"/>
  <c r="G28" i="56"/>
  <c r="AR28" i="56"/>
  <c r="AS28" i="56"/>
  <c r="AQ28" i="56"/>
  <c r="G28" i="51"/>
  <c r="AS28" i="51"/>
  <c r="AR28" i="51"/>
  <c r="AQ28" i="51"/>
  <c r="G35" i="52"/>
  <c r="AS35" i="52"/>
  <c r="AR35" i="52"/>
  <c r="AQ35" i="52"/>
  <c r="AS38" i="49"/>
  <c r="G38" i="49"/>
  <c r="AR38" i="49"/>
  <c r="G22" i="52"/>
  <c r="AS22" i="52"/>
  <c r="AR22" i="52"/>
  <c r="AQ22" i="52"/>
  <c r="AR37" i="50"/>
  <c r="AQ37" i="50"/>
  <c r="G37" i="50"/>
  <c r="AS37" i="50"/>
  <c r="G37" i="48"/>
  <c r="AQ37" i="48"/>
  <c r="AS37" i="48"/>
  <c r="AR37" i="48"/>
  <c r="G33" i="48"/>
  <c r="AS33" i="48"/>
  <c r="AR33" i="48"/>
  <c r="AQ33" i="48"/>
  <c r="G9" i="56"/>
  <c r="AS9" i="56"/>
  <c r="AR9" i="56"/>
  <c r="AQ9" i="56"/>
  <c r="AS8" i="51"/>
  <c r="G8" i="51"/>
  <c r="AR8" i="51"/>
  <c r="AQ8" i="51"/>
  <c r="G12" i="49"/>
  <c r="AQ12" i="49"/>
  <c r="AR12" i="49"/>
  <c r="AS12" i="49"/>
  <c r="G8" i="52"/>
  <c r="AS8" i="52"/>
  <c r="AQ8" i="52"/>
  <c r="AR8" i="52"/>
  <c r="G36" i="50"/>
  <c r="AQ36" i="50"/>
  <c r="AS36" i="50"/>
  <c r="AR36" i="50"/>
  <c r="G28" i="48"/>
  <c r="AQ28" i="48"/>
  <c r="AS28" i="48"/>
  <c r="AR28" i="48"/>
  <c r="G35" i="48"/>
  <c r="AS35" i="48"/>
  <c r="AQ35" i="48"/>
  <c r="AR35" i="48"/>
  <c r="AS35" i="53"/>
  <c r="G35" i="53"/>
  <c r="AR35" i="53"/>
  <c r="G31" i="53"/>
  <c r="AQ31" i="53"/>
  <c r="AS31" i="53"/>
  <c r="AR31" i="53"/>
  <c r="AS19" i="52"/>
  <c r="G19" i="52"/>
  <c r="AQ19" i="52"/>
  <c r="AR19" i="52"/>
  <c r="G11" i="48"/>
  <c r="AS11" i="48"/>
  <c r="AQ11" i="48"/>
  <c r="AS7" i="50"/>
  <c r="G7" i="50"/>
  <c r="AQ7" i="50"/>
  <c r="AS38" i="52"/>
  <c r="AQ38" i="52"/>
  <c r="G38" i="52"/>
  <c r="AR38" i="52"/>
  <c r="G38" i="55"/>
  <c r="AS38" i="55"/>
  <c r="AR38" i="55"/>
  <c r="AQ38" i="55"/>
  <c r="AS26" i="51"/>
  <c r="AQ26" i="51"/>
  <c r="G26" i="51"/>
  <c r="AR26" i="51"/>
  <c r="G18" i="49"/>
  <c r="AS18" i="49"/>
  <c r="AR18" i="49"/>
  <c r="AQ18" i="49"/>
  <c r="G18" i="56"/>
  <c r="AS18" i="56"/>
  <c r="AQ18" i="56"/>
  <c r="AR18" i="56"/>
  <c r="AS29" i="54"/>
  <c r="G29" i="54"/>
  <c r="AQ29" i="54"/>
  <c r="AR29" i="54"/>
  <c r="G25" i="51"/>
  <c r="AS25" i="51"/>
  <c r="AR25" i="51"/>
  <c r="AQ25" i="51"/>
  <c r="AS13" i="49"/>
  <c r="G13" i="49"/>
  <c r="AR13" i="49"/>
  <c r="AQ13" i="49"/>
  <c r="AS32" i="49"/>
  <c r="AQ32" i="49"/>
  <c r="G32" i="49"/>
  <c r="AR32" i="49"/>
  <c r="AR8" i="50"/>
  <c r="AS8" i="50"/>
  <c r="AQ8" i="50"/>
  <c r="G8" i="50"/>
  <c r="AR36" i="55"/>
  <c r="AQ36" i="55"/>
  <c r="G36" i="55"/>
  <c r="AS36" i="55"/>
  <c r="AR28" i="54"/>
  <c r="G28" i="54"/>
  <c r="AQ28" i="54"/>
  <c r="AS28" i="54"/>
  <c r="AS16" i="56"/>
  <c r="AQ16" i="56"/>
  <c r="AR16" i="56"/>
  <c r="G16" i="56"/>
  <c r="G16" i="49"/>
  <c r="AR16" i="49"/>
  <c r="AS16" i="49"/>
  <c r="AQ16" i="49"/>
  <c r="AR31" i="55"/>
  <c r="AQ31" i="56"/>
  <c r="G31" i="56"/>
  <c r="AS31" i="56"/>
  <c r="AR31" i="56"/>
  <c r="AR31" i="49"/>
  <c r="AS31" i="49"/>
  <c r="G31" i="49"/>
  <c r="AQ31" i="49"/>
  <c r="AR15" i="54"/>
  <c r="G15" i="54"/>
  <c r="AQ15" i="54"/>
  <c r="AS15" i="54"/>
  <c r="AR11" i="56"/>
  <c r="AQ11" i="56"/>
  <c r="G11" i="56"/>
  <c r="AS11" i="56"/>
  <c r="AS11" i="49"/>
  <c r="AQ11" i="49"/>
  <c r="G11" i="49"/>
  <c r="AR11" i="49"/>
  <c r="G38" i="53"/>
  <c r="AS38" i="53"/>
  <c r="AR38" i="53"/>
  <c r="AQ38" i="53"/>
  <c r="AS38" i="48"/>
  <c r="G38" i="48"/>
  <c r="AR38" i="48"/>
  <c r="AQ38" i="48"/>
  <c r="AS26" i="56"/>
  <c r="G26" i="56"/>
  <c r="AQ26" i="56"/>
  <c r="AR26" i="56"/>
  <c r="AS26" i="49"/>
  <c r="G26" i="49"/>
  <c r="AQ26" i="49"/>
  <c r="AR26" i="49"/>
  <c r="G22" i="53"/>
  <c r="AR22" i="53"/>
  <c r="AS22" i="53"/>
  <c r="AQ22" i="53"/>
  <c r="G18" i="52"/>
  <c r="AS18" i="52"/>
  <c r="AQ18" i="52"/>
  <c r="AR18" i="52"/>
  <c r="AS34" i="52"/>
  <c r="G34" i="52"/>
  <c r="AR34" i="52"/>
  <c r="AQ34" i="52"/>
  <c r="AS33" i="52"/>
  <c r="G33" i="52"/>
  <c r="AQ33" i="52"/>
  <c r="AR33" i="52"/>
  <c r="AS33" i="55"/>
  <c r="G33" i="55"/>
  <c r="AQ33" i="55"/>
  <c r="AR33" i="55"/>
  <c r="G29" i="53"/>
  <c r="AQ29" i="53"/>
  <c r="AR29" i="53"/>
  <c r="AS29" i="53"/>
  <c r="G21" i="53"/>
  <c r="AS21" i="53"/>
  <c r="AQ21" i="53"/>
  <c r="AR21" i="53"/>
  <c r="G13" i="56"/>
  <c r="AS13" i="56"/>
  <c r="AQ13" i="56"/>
  <c r="AR13" i="56"/>
  <c r="G9" i="53"/>
  <c r="AS9" i="53"/>
  <c r="AQ9" i="53"/>
  <c r="AR9" i="53"/>
  <c r="G32" i="55"/>
  <c r="AR32" i="55"/>
  <c r="AQ32" i="55"/>
  <c r="AS32" i="55"/>
  <c r="G32" i="56"/>
  <c r="AR32" i="56"/>
  <c r="AS32" i="56"/>
  <c r="AQ32" i="56"/>
  <c r="G24" i="48"/>
  <c r="AQ24" i="48"/>
  <c r="AR24" i="48"/>
  <c r="G28" i="50"/>
  <c r="AS28" i="50"/>
  <c r="AR28" i="50"/>
  <c r="AQ28" i="50"/>
  <c r="G31" i="50"/>
  <c r="AR31" i="50"/>
  <c r="AS31" i="50"/>
  <c r="G31" i="52"/>
  <c r="AS31" i="52"/>
  <c r="AR31" i="52"/>
  <c r="AQ31" i="52"/>
  <c r="G11" i="52"/>
  <c r="AR11" i="52"/>
  <c r="AQ11" i="52"/>
  <c r="AS11" i="52"/>
  <c r="AQ38" i="56"/>
  <c r="G38" i="56"/>
  <c r="AS38" i="56"/>
  <c r="AR38" i="56"/>
  <c r="G38" i="51"/>
  <c r="AQ38" i="51"/>
  <c r="AR38" i="51"/>
  <c r="AS38" i="51"/>
  <c r="AS26" i="52"/>
  <c r="AR26" i="52"/>
  <c r="G26" i="52"/>
  <c r="AQ26" i="52"/>
  <c r="AS22" i="49"/>
  <c r="G22" i="49"/>
  <c r="AR22" i="49"/>
  <c r="AQ22" i="49"/>
  <c r="AS22" i="56"/>
  <c r="G22" i="56"/>
  <c r="AQ22" i="56"/>
  <c r="AR22" i="56"/>
  <c r="G18" i="48"/>
  <c r="AS18" i="48"/>
  <c r="AQ18" i="48"/>
  <c r="AR18" i="48"/>
  <c r="AS34" i="50"/>
  <c r="G34" i="50"/>
  <c r="AR34" i="50"/>
  <c r="AQ34" i="50"/>
  <c r="G37" i="51"/>
  <c r="AQ37" i="51"/>
  <c r="AR37" i="51"/>
  <c r="AS37" i="51"/>
  <c r="G25" i="48"/>
  <c r="AS25" i="48"/>
  <c r="AR25" i="48"/>
  <c r="AQ25" i="48"/>
  <c r="AQ21" i="52"/>
  <c r="G21" i="52"/>
  <c r="AS21" i="52"/>
  <c r="AR21" i="52"/>
  <c r="AR17" i="51"/>
  <c r="AS17" i="51"/>
  <c r="AQ17" i="51"/>
  <c r="G17" i="51"/>
  <c r="AS17" i="54"/>
  <c r="G17" i="54"/>
  <c r="AR17" i="54"/>
  <c r="AQ17" i="54"/>
  <c r="G13" i="52"/>
  <c r="AQ13" i="52"/>
  <c r="AR13" i="52"/>
  <c r="AS13" i="52"/>
  <c r="AS9" i="49"/>
  <c r="AQ9" i="49"/>
  <c r="G9" i="49"/>
  <c r="AR9" i="49"/>
  <c r="AS32" i="52"/>
  <c r="G32" i="52"/>
  <c r="AR32" i="52"/>
  <c r="AQ32" i="52"/>
  <c r="AS20" i="51"/>
  <c r="G20" i="51"/>
  <c r="AR20" i="51"/>
  <c r="AQ20" i="51"/>
  <c r="AS36" i="48"/>
  <c r="AR28" i="49"/>
  <c r="AS28" i="49"/>
  <c r="AQ28" i="49"/>
  <c r="G28" i="49"/>
  <c r="AS16" i="51"/>
  <c r="G16" i="51"/>
  <c r="AR16" i="51"/>
  <c r="AQ16" i="51"/>
  <c r="G16" i="54"/>
  <c r="AQ16" i="54"/>
  <c r="AR16" i="54"/>
  <c r="AS16" i="54"/>
  <c r="AQ35" i="51"/>
  <c r="G31" i="48"/>
  <c r="AS31" i="48"/>
  <c r="AR31" i="48"/>
  <c r="AQ31" i="48"/>
  <c r="G31" i="54"/>
  <c r="AR31" i="54"/>
  <c r="AS31" i="54"/>
  <c r="AQ31" i="54"/>
  <c r="AR19" i="53"/>
  <c r="AQ19" i="53"/>
  <c r="AS19" i="53"/>
  <c r="G19" i="53"/>
  <c r="AQ15" i="56"/>
  <c r="G15" i="56"/>
  <c r="AS15" i="56"/>
  <c r="AR15" i="56"/>
  <c r="AS11" i="54"/>
  <c r="G11" i="54"/>
  <c r="AQ11" i="54"/>
  <c r="AR11" i="54"/>
  <c r="AS7" i="55"/>
  <c r="G7" i="55"/>
  <c r="AQ7" i="55"/>
  <c r="AR7" i="55"/>
  <c r="G38" i="54"/>
  <c r="AR38" i="54"/>
  <c r="AQ38" i="54"/>
  <c r="AS38" i="54"/>
  <c r="AS34" i="53"/>
  <c r="AR34" i="53"/>
  <c r="G34" i="53"/>
  <c r="AQ34" i="53"/>
  <c r="AS29" i="52"/>
  <c r="G29" i="52"/>
  <c r="AQ29" i="52"/>
  <c r="AR29" i="52"/>
  <c r="AQ25" i="54"/>
  <c r="AS25" i="54"/>
  <c r="G25" i="54"/>
  <c r="AR25" i="54"/>
  <c r="AR9" i="55"/>
  <c r="AS9" i="55"/>
  <c r="AQ9" i="55"/>
  <c r="G9" i="55"/>
  <c r="AS32" i="48"/>
  <c r="AS20" i="56"/>
  <c r="AR20" i="56"/>
  <c r="AQ20" i="56"/>
  <c r="G20" i="56"/>
  <c r="AQ20" i="53"/>
  <c r="G12" i="48"/>
  <c r="AS12" i="48"/>
  <c r="AQ12" i="48"/>
  <c r="AR12" i="48"/>
  <c r="AS8" i="54"/>
  <c r="G8" i="54"/>
  <c r="AQ8" i="54"/>
  <c r="AR8" i="54"/>
  <c r="O8" i="47"/>
  <c r="H8" i="47"/>
  <c r="M8" i="47"/>
  <c r="K8" i="47"/>
  <c r="AS16" i="53"/>
  <c r="G16" i="53"/>
  <c r="AQ16" i="53"/>
  <c r="AR16" i="53"/>
  <c r="AS19" i="49"/>
  <c r="G19" i="49"/>
  <c r="AQ19" i="49"/>
  <c r="AR19" i="49"/>
  <c r="AS15" i="55"/>
  <c r="AQ15" i="55"/>
  <c r="AR15" i="55"/>
  <c r="G15" i="55"/>
  <c r="AS11" i="53"/>
  <c r="AR11" i="53"/>
  <c r="G11" i="53"/>
  <c r="AQ11" i="53"/>
  <c r="AS22" i="54"/>
  <c r="AQ22" i="54"/>
  <c r="AR22" i="54"/>
  <c r="G22" i="54"/>
  <c r="AS37" i="49"/>
  <c r="AQ37" i="49"/>
  <c r="G37" i="49"/>
  <c r="AR37" i="49"/>
  <c r="AR37" i="56"/>
  <c r="G37" i="56"/>
  <c r="AQ37" i="56"/>
  <c r="AS37" i="56"/>
  <c r="G33" i="56"/>
  <c r="AR33" i="56"/>
  <c r="AQ33" i="56"/>
  <c r="AS33" i="56"/>
  <c r="AR33" i="51"/>
  <c r="AS33" i="51"/>
  <c r="AQ33" i="51"/>
  <c r="G33" i="51"/>
  <c r="AQ25" i="50"/>
  <c r="G25" i="50"/>
  <c r="AS25" i="50"/>
  <c r="AR25" i="50"/>
  <c r="AS21" i="54"/>
  <c r="G21" i="54"/>
  <c r="AR21" i="54"/>
  <c r="AQ21" i="54"/>
  <c r="AQ17" i="52"/>
  <c r="AR17" i="52"/>
  <c r="AS17" i="52"/>
  <c r="G17" i="52"/>
  <c r="G17" i="49"/>
  <c r="AQ17" i="49"/>
  <c r="AS17" i="49"/>
  <c r="AR17" i="49"/>
  <c r="G13" i="48"/>
  <c r="AQ13" i="48"/>
  <c r="AR13" i="48"/>
  <c r="AS13" i="48"/>
  <c r="AQ9" i="50"/>
  <c r="G9" i="50"/>
  <c r="AR9" i="50"/>
  <c r="AS9" i="50"/>
  <c r="AS9" i="52"/>
  <c r="G9" i="52"/>
  <c r="AQ9" i="52"/>
  <c r="AR9" i="52"/>
  <c r="G20" i="49"/>
  <c r="AS20" i="49"/>
  <c r="AR20" i="49"/>
  <c r="G12" i="56"/>
  <c r="AR12" i="56"/>
  <c r="AQ12" i="56"/>
  <c r="AS12" i="56"/>
  <c r="G8" i="48"/>
  <c r="AS8" i="48"/>
  <c r="AQ8" i="48"/>
  <c r="AR8" i="48"/>
  <c r="AS35" i="50"/>
  <c r="AR35" i="50"/>
  <c r="G35" i="50"/>
  <c r="AQ35" i="50"/>
  <c r="AR23" i="55"/>
  <c r="AQ23" i="55"/>
  <c r="AS23" i="55"/>
  <c r="G23" i="55"/>
  <c r="AS15" i="51"/>
  <c r="G15" i="51"/>
  <c r="AQ15" i="51"/>
  <c r="AR15" i="51"/>
  <c r="G7" i="48"/>
  <c r="AR7" i="48"/>
  <c r="AQ7" i="48"/>
  <c r="AS7" i="48"/>
  <c r="G22" i="51"/>
  <c r="AR22" i="51"/>
  <c r="AQ22" i="51"/>
  <c r="AS22" i="51"/>
  <c r="AR34" i="55"/>
  <c r="AS34" i="55"/>
  <c r="AQ34" i="55"/>
  <c r="G34" i="55"/>
  <c r="G29" i="48"/>
  <c r="AR29" i="48"/>
  <c r="AQ29" i="48"/>
  <c r="AS29" i="48"/>
  <c r="G21" i="56"/>
  <c r="AS21" i="56"/>
  <c r="AR21" i="56"/>
  <c r="AQ21" i="56"/>
  <c r="AS17" i="50"/>
  <c r="AR17" i="50"/>
  <c r="G17" i="50"/>
  <c r="AQ17" i="50"/>
  <c r="G20" i="55"/>
  <c r="AQ20" i="55"/>
  <c r="AS20" i="55"/>
  <c r="AR20" i="55"/>
  <c r="AS12" i="52"/>
  <c r="AQ12" i="52"/>
  <c r="AR12" i="52"/>
  <c r="G12" i="52"/>
  <c r="AS8" i="55"/>
  <c r="G8" i="55"/>
  <c r="AR8" i="55"/>
  <c r="AQ8" i="55"/>
  <c r="AS24" i="55"/>
  <c r="G24" i="55"/>
  <c r="AQ24" i="55"/>
  <c r="AR24" i="55"/>
  <c r="AS12" i="54"/>
  <c r="G12" i="54"/>
  <c r="AR12" i="54"/>
  <c r="AQ12" i="54"/>
  <c r="G36" i="51"/>
  <c r="AS36" i="51"/>
  <c r="AR36" i="51"/>
  <c r="AQ36" i="51"/>
  <c r="G23" i="53"/>
  <c r="AS23" i="53"/>
  <c r="AQ23" i="53"/>
  <c r="AR23" i="53"/>
  <c r="G15" i="53"/>
  <c r="AR15" i="53"/>
  <c r="AQ15" i="53"/>
  <c r="AS15" i="53"/>
  <c r="AR38" i="50"/>
  <c r="AQ38" i="50"/>
  <c r="G38" i="50"/>
  <c r="AS38" i="50"/>
  <c r="G26" i="55"/>
  <c r="AS26" i="55"/>
  <c r="AQ26" i="55"/>
  <c r="AR26" i="55"/>
  <c r="G26" i="48"/>
  <c r="AS26" i="48"/>
  <c r="AR26" i="48"/>
  <c r="AQ26" i="48"/>
  <c r="AQ34" i="54"/>
  <c r="G34" i="54"/>
  <c r="AS34" i="54"/>
  <c r="AR34" i="54"/>
  <c r="AQ33" i="54"/>
  <c r="AS33" i="54"/>
  <c r="G33" i="54"/>
  <c r="AR33" i="54"/>
  <c r="AS25" i="52"/>
  <c r="G25" i="52"/>
  <c r="AR25" i="52"/>
  <c r="AQ25" i="52"/>
  <c r="G13" i="54"/>
  <c r="AS13" i="54"/>
  <c r="AQ13" i="54"/>
  <c r="AR13" i="54"/>
  <c r="AS9" i="48"/>
  <c r="G9" i="48"/>
  <c r="AR9" i="48"/>
  <c r="AQ9" i="48"/>
  <c r="AR12" i="51"/>
  <c r="AS12" i="51"/>
  <c r="AQ12" i="51"/>
  <c r="G12" i="51"/>
  <c r="AS35" i="55"/>
  <c r="AR35" i="55"/>
  <c r="G35" i="55"/>
  <c r="AQ35" i="55"/>
  <c r="AR23" i="51"/>
  <c r="AS23" i="51"/>
  <c r="AQ23" i="51"/>
  <c r="G23" i="51"/>
  <c r="AS19" i="56"/>
  <c r="AQ19" i="56"/>
  <c r="G19" i="56"/>
  <c r="AR19" i="56"/>
  <c r="G11" i="50"/>
  <c r="AQ11" i="50"/>
  <c r="AS11" i="50"/>
  <c r="AR11" i="50"/>
  <c r="AS7" i="52"/>
  <c r="G7" i="52"/>
  <c r="AR7" i="52"/>
  <c r="AQ7" i="52"/>
  <c r="AS22" i="55"/>
  <c r="AQ22" i="55"/>
  <c r="G22" i="55"/>
  <c r="AR22" i="55"/>
  <c r="AS18" i="53"/>
  <c r="G18" i="53"/>
  <c r="AQ18" i="53"/>
  <c r="AR18" i="53"/>
  <c r="G18" i="51"/>
  <c r="AQ18" i="51"/>
  <c r="AS18" i="51"/>
  <c r="AR18" i="51"/>
  <c r="G33" i="53"/>
  <c r="AQ33" i="53"/>
  <c r="AS33" i="53"/>
  <c r="AR33" i="53"/>
  <c r="AS29" i="55"/>
  <c r="G29" i="55"/>
  <c r="AQ29" i="55"/>
  <c r="AR29" i="55"/>
  <c r="AS17" i="53"/>
  <c r="G17" i="53"/>
  <c r="AR17" i="53"/>
  <c r="AQ17" i="53"/>
  <c r="G13" i="51"/>
  <c r="AS13" i="51"/>
  <c r="AQ13" i="51"/>
  <c r="AR13" i="51"/>
  <c r="G32" i="48"/>
  <c r="AQ32" i="48"/>
  <c r="AR32" i="48"/>
  <c r="G24" i="50"/>
  <c r="AS24" i="50"/>
  <c r="AQ24" i="50"/>
  <c r="AR24" i="50"/>
  <c r="G20" i="53"/>
  <c r="AS20" i="53"/>
  <c r="AR20" i="53"/>
  <c r="AS12" i="53"/>
  <c r="G12" i="53"/>
  <c r="AQ12" i="53"/>
  <c r="AR12" i="53"/>
  <c r="AS20" i="52"/>
  <c r="G20" i="52"/>
  <c r="AR20" i="52"/>
  <c r="AQ20" i="52"/>
  <c r="AS12" i="55"/>
  <c r="AQ12" i="55"/>
  <c r="G12" i="55"/>
  <c r="AR12" i="55"/>
  <c r="D34" i="47"/>
  <c r="D25" i="47"/>
  <c r="D29" i="47"/>
  <c r="D12" i="47"/>
  <c r="D20" i="47"/>
  <c r="D10" i="47"/>
  <c r="D18" i="47"/>
  <c r="D24" i="47"/>
  <c r="M20" i="47" l="1"/>
  <c r="K20" i="47"/>
  <c r="O20" i="47"/>
  <c r="H20" i="47"/>
  <c r="M10" i="47"/>
  <c r="O10" i="47"/>
  <c r="K10" i="47"/>
  <c r="H10" i="47"/>
  <c r="M25" i="47"/>
  <c r="K25" i="47"/>
  <c r="O25" i="47"/>
  <c r="H25" i="47"/>
  <c r="AQ8" i="47"/>
  <c r="AR8" i="47"/>
  <c r="G8" i="47"/>
  <c r="AS8" i="47"/>
  <c r="M34" i="47"/>
  <c r="H34" i="47"/>
  <c r="K34" i="47"/>
  <c r="O34" i="47"/>
  <c r="H24" i="47"/>
  <c r="M24" i="47"/>
  <c r="K24" i="47"/>
  <c r="O24" i="47"/>
  <c r="O12" i="47"/>
  <c r="M12" i="47"/>
  <c r="H12" i="47"/>
  <c r="K12" i="47"/>
  <c r="O18" i="47"/>
  <c r="K18" i="47"/>
  <c r="H18" i="47"/>
  <c r="M18" i="47"/>
  <c r="H29" i="47"/>
  <c r="M29" i="47"/>
  <c r="O29" i="47"/>
  <c r="K29" i="47"/>
  <c r="D33" i="47"/>
  <c r="D31" i="47"/>
  <c r="D7" i="47"/>
  <c r="D9" i="47"/>
  <c r="D11" i="47"/>
  <c r="D13" i="47"/>
  <c r="D14" i="47"/>
  <c r="D15" i="47"/>
  <c r="D16" i="47"/>
  <c r="D17" i="47"/>
  <c r="D19" i="47"/>
  <c r="D21" i="47"/>
  <c r="D22" i="47"/>
  <c r="D23" i="47"/>
  <c r="D26" i="47"/>
  <c r="D27" i="47"/>
  <c r="D28" i="47"/>
  <c r="D30" i="47"/>
  <c r="D32" i="47"/>
  <c r="D35" i="47"/>
  <c r="D36" i="47"/>
  <c r="D37" i="47"/>
  <c r="D38" i="47"/>
  <c r="O30" i="47" l="1"/>
  <c r="H30" i="47"/>
  <c r="K30" i="47"/>
  <c r="M30" i="47"/>
  <c r="K23" i="47"/>
  <c r="H23" i="47"/>
  <c r="O23" i="47"/>
  <c r="M23" i="47"/>
  <c r="K17" i="47"/>
  <c r="O17" i="47"/>
  <c r="H17" i="47"/>
  <c r="M17" i="47"/>
  <c r="O13" i="47"/>
  <c r="K13" i="47"/>
  <c r="M13" i="47"/>
  <c r="H13" i="47"/>
  <c r="O31" i="47"/>
  <c r="H31" i="47"/>
  <c r="M31" i="47"/>
  <c r="K31" i="47"/>
  <c r="AQ18" i="47"/>
  <c r="AR18" i="47"/>
  <c r="G18" i="47"/>
  <c r="AS18" i="47"/>
  <c r="G12" i="47"/>
  <c r="AR12" i="47"/>
  <c r="AQ12" i="47"/>
  <c r="AS12" i="47"/>
  <c r="AR25" i="47"/>
  <c r="G25" i="47"/>
  <c r="AS25" i="47"/>
  <c r="AQ25" i="47"/>
  <c r="G10" i="47"/>
  <c r="AR10" i="47"/>
  <c r="AS10" i="47"/>
  <c r="AQ10" i="47"/>
  <c r="G20" i="47"/>
  <c r="AR20" i="47"/>
  <c r="AS20" i="47"/>
  <c r="AQ20" i="47"/>
  <c r="K37" i="47"/>
  <c r="O37" i="47"/>
  <c r="M37" i="47"/>
  <c r="H37" i="47"/>
  <c r="H28" i="47"/>
  <c r="K28" i="47"/>
  <c r="O28" i="47"/>
  <c r="M28" i="47"/>
  <c r="O22" i="47"/>
  <c r="M22" i="47"/>
  <c r="K22" i="47"/>
  <c r="H22" i="47"/>
  <c r="M16" i="47"/>
  <c r="O16" i="47"/>
  <c r="K16" i="47"/>
  <c r="H16" i="47"/>
  <c r="M11" i="47"/>
  <c r="H11" i="47"/>
  <c r="O11" i="47"/>
  <c r="K11" i="47"/>
  <c r="H33" i="47"/>
  <c r="M33" i="47"/>
  <c r="O33" i="47"/>
  <c r="K33" i="47"/>
  <c r="K36" i="47"/>
  <c r="H36" i="47"/>
  <c r="O36" i="47"/>
  <c r="M36" i="47"/>
  <c r="H35" i="47"/>
  <c r="O35" i="47"/>
  <c r="K35" i="47"/>
  <c r="M35" i="47"/>
  <c r="K27" i="47"/>
  <c r="M27" i="47"/>
  <c r="O27" i="47"/>
  <c r="H27" i="47"/>
  <c r="H21" i="47"/>
  <c r="M21" i="47"/>
  <c r="O21" i="47"/>
  <c r="K21" i="47"/>
  <c r="H15" i="47"/>
  <c r="M15" i="47"/>
  <c r="K15" i="47"/>
  <c r="O15" i="47"/>
  <c r="K9" i="47"/>
  <c r="O9" i="47"/>
  <c r="M9" i="47"/>
  <c r="H9" i="47"/>
  <c r="AQ29" i="47"/>
  <c r="AR29" i="47"/>
  <c r="AS29" i="47"/>
  <c r="G29" i="47"/>
  <c r="G24" i="47"/>
  <c r="AS24" i="47"/>
  <c r="AR24" i="47"/>
  <c r="AQ24" i="47"/>
  <c r="O38" i="47"/>
  <c r="M38" i="47"/>
  <c r="H38" i="47"/>
  <c r="K38" i="47"/>
  <c r="K32" i="47"/>
  <c r="O32" i="47"/>
  <c r="M32" i="47"/>
  <c r="H32" i="47"/>
  <c r="M26" i="47"/>
  <c r="K26" i="47"/>
  <c r="H26" i="47"/>
  <c r="O26" i="47"/>
  <c r="O19" i="47"/>
  <c r="H19" i="47"/>
  <c r="M19" i="47"/>
  <c r="K19" i="47"/>
  <c r="K14" i="47"/>
  <c r="H14" i="47"/>
  <c r="O14" i="47"/>
  <c r="M14" i="47"/>
  <c r="M7" i="47"/>
  <c r="K7" i="47"/>
  <c r="H7" i="47"/>
  <c r="O7" i="47"/>
  <c r="AS34" i="47"/>
  <c r="AQ34" i="47"/>
  <c r="AR34" i="47"/>
  <c r="G34" i="47"/>
  <c r="D6" i="47"/>
  <c r="G14" i="47" l="1"/>
  <c r="AR14" i="47"/>
  <c r="AS14" i="47"/>
  <c r="AQ14" i="47"/>
  <c r="AS19" i="47"/>
  <c r="AQ19" i="47"/>
  <c r="AR19" i="47"/>
  <c r="G19" i="47"/>
  <c r="G36" i="47"/>
  <c r="AS36" i="47"/>
  <c r="AQ36" i="47"/>
  <c r="AR36" i="47"/>
  <c r="AR11" i="47"/>
  <c r="AQ11" i="47"/>
  <c r="AS11" i="47"/>
  <c r="G11" i="47"/>
  <c r="G13" i="47"/>
  <c r="AQ13" i="47"/>
  <c r="AS13" i="47"/>
  <c r="AR13" i="47"/>
  <c r="K6" i="47"/>
  <c r="K40" i="47" s="1"/>
  <c r="D40" i="47"/>
  <c r="M6" i="47"/>
  <c r="M40" i="47" s="1"/>
  <c r="O6" i="47"/>
  <c r="O40" i="47" s="1"/>
  <c r="H6" i="47"/>
  <c r="G15" i="47"/>
  <c r="AS15" i="47"/>
  <c r="AR15" i="47"/>
  <c r="AQ15" i="47"/>
  <c r="AQ21" i="47"/>
  <c r="AR21" i="47"/>
  <c r="AS21" i="47"/>
  <c r="G21" i="47"/>
  <c r="AS35" i="47"/>
  <c r="G35" i="47"/>
  <c r="AQ35" i="47"/>
  <c r="AR35" i="47"/>
  <c r="G33" i="47"/>
  <c r="AS33" i="47"/>
  <c r="AR33" i="47"/>
  <c r="AQ33" i="47"/>
  <c r="G28" i="47"/>
  <c r="AS28" i="47"/>
  <c r="AQ28" i="47"/>
  <c r="AR28" i="47"/>
  <c r="G17" i="47"/>
  <c r="AQ17" i="47"/>
  <c r="AS17" i="47"/>
  <c r="AR17" i="47"/>
  <c r="AQ32" i="47"/>
  <c r="AS32" i="47"/>
  <c r="AR32" i="47"/>
  <c r="G32" i="47"/>
  <c r="AR9" i="47"/>
  <c r="AQ9" i="47"/>
  <c r="AS9" i="47"/>
  <c r="G9" i="47"/>
  <c r="AR27" i="47"/>
  <c r="AS27" i="47"/>
  <c r="AQ27" i="47"/>
  <c r="G27" i="47"/>
  <c r="AS16" i="47"/>
  <c r="AR16" i="47"/>
  <c r="AQ16" i="47"/>
  <c r="G16" i="47"/>
  <c r="AR22" i="47"/>
  <c r="AQ22" i="47"/>
  <c r="G22" i="47"/>
  <c r="AS22" i="47"/>
  <c r="G37" i="47"/>
  <c r="AS37" i="47"/>
  <c r="AR37" i="47"/>
  <c r="AQ37" i="47"/>
  <c r="AR31" i="47"/>
  <c r="G31" i="47"/>
  <c r="AQ31" i="47"/>
  <c r="AS31" i="47"/>
  <c r="G23" i="47"/>
  <c r="AR23" i="47"/>
  <c r="AQ23" i="47"/>
  <c r="AS23" i="47"/>
  <c r="AS30" i="47"/>
  <c r="G30" i="47"/>
  <c r="AR30" i="47"/>
  <c r="AQ30" i="47"/>
  <c r="G7" i="47"/>
  <c r="AQ7" i="47"/>
  <c r="AR7" i="47"/>
  <c r="AS7" i="47"/>
  <c r="G26" i="47"/>
  <c r="AR26" i="47"/>
  <c r="AQ26" i="47"/>
  <c r="AS26" i="47"/>
  <c r="AR38" i="47"/>
  <c r="AQ38" i="47"/>
  <c r="AS38" i="47"/>
  <c r="G38" i="47"/>
  <c r="D7" i="46"/>
  <c r="H7" i="46" l="1"/>
  <c r="K7" i="46"/>
  <c r="O7" i="46"/>
  <c r="M7" i="46"/>
  <c r="AS40" i="47"/>
  <c r="AR6" i="47"/>
  <c r="G6" i="47"/>
  <c r="AQ6" i="47"/>
  <c r="H40" i="47"/>
  <c r="D47" i="47" s="1"/>
  <c r="D11" i="46"/>
  <c r="D20" i="46"/>
  <c r="D7" i="45"/>
  <c r="AQ40" i="47" l="1"/>
  <c r="AR40" i="47"/>
  <c r="M20" i="46"/>
  <c r="O20" i="46"/>
  <c r="H20" i="46"/>
  <c r="K20" i="46"/>
  <c r="K11" i="46"/>
  <c r="H11" i="46"/>
  <c r="M11" i="46"/>
  <c r="O11" i="46"/>
  <c r="U6" i="47"/>
  <c r="G40" i="47"/>
  <c r="D7" i="57"/>
  <c r="M7" i="45"/>
  <c r="H7" i="45"/>
  <c r="K7" i="45"/>
  <c r="O7" i="45"/>
  <c r="AR7" i="46"/>
  <c r="G7" i="46"/>
  <c r="AS7" i="46"/>
  <c r="AQ7" i="46"/>
  <c r="D25" i="46"/>
  <c r="D8" i="46"/>
  <c r="D24" i="46"/>
  <c r="O24" i="46" l="1"/>
  <c r="K24" i="46"/>
  <c r="M24" i="46"/>
  <c r="H24" i="46"/>
  <c r="O8" i="46"/>
  <c r="H8" i="46"/>
  <c r="K8" i="46"/>
  <c r="M8" i="46"/>
  <c r="K7" i="57"/>
  <c r="AS7" i="57" s="1"/>
  <c r="M7" i="57"/>
  <c r="O7" i="57"/>
  <c r="G20" i="46"/>
  <c r="AQ20" i="46"/>
  <c r="AR20" i="46"/>
  <c r="AS20" i="46"/>
  <c r="K25" i="46"/>
  <c r="M25" i="46"/>
  <c r="H25" i="46"/>
  <c r="O25" i="46"/>
  <c r="G11" i="46"/>
  <c r="AR11" i="46"/>
  <c r="AQ11" i="46"/>
  <c r="AS11" i="46"/>
  <c r="G7" i="45"/>
  <c r="AR7" i="45"/>
  <c r="AS7" i="45"/>
  <c r="AQ7" i="45"/>
  <c r="C6" i="47"/>
  <c r="D18" i="46"/>
  <c r="D31" i="46"/>
  <c r="D33" i="46"/>
  <c r="D33" i="45"/>
  <c r="D17" i="46"/>
  <c r="D29" i="45"/>
  <c r="H17" i="46" l="1"/>
  <c r="K17" i="46"/>
  <c r="M17" i="46"/>
  <c r="O17" i="46"/>
  <c r="M18" i="46"/>
  <c r="K18" i="46"/>
  <c r="H18" i="46"/>
  <c r="O18" i="46"/>
  <c r="AS24" i="46"/>
  <c r="AR24" i="46"/>
  <c r="G24" i="46"/>
  <c r="AQ24" i="46"/>
  <c r="D33" i="57"/>
  <c r="M33" i="45"/>
  <c r="O33" i="45"/>
  <c r="H33" i="45"/>
  <c r="K33" i="45"/>
  <c r="K33" i="46"/>
  <c r="H33" i="46"/>
  <c r="M33" i="46"/>
  <c r="O33" i="46"/>
  <c r="AR25" i="46"/>
  <c r="G25" i="46"/>
  <c r="AS25" i="46"/>
  <c r="AQ25" i="46"/>
  <c r="AS8" i="46"/>
  <c r="AR8" i="46"/>
  <c r="G8" i="46"/>
  <c r="AQ8" i="46"/>
  <c r="O29" i="45"/>
  <c r="H29" i="45"/>
  <c r="K29" i="45"/>
  <c r="M29" i="45"/>
  <c r="O31" i="46"/>
  <c r="K31" i="46"/>
  <c r="M31" i="46"/>
  <c r="H31" i="46"/>
  <c r="G7" i="57"/>
  <c r="U7" i="45"/>
  <c r="C7" i="45" s="1"/>
  <c r="D38" i="46"/>
  <c r="D37" i="46"/>
  <c r="D36" i="46"/>
  <c r="D35" i="46"/>
  <c r="D34" i="46"/>
  <c r="D32" i="46"/>
  <c r="D30" i="46"/>
  <c r="D29" i="46"/>
  <c r="D28" i="46"/>
  <c r="D27" i="46"/>
  <c r="D26" i="46"/>
  <c r="D23" i="46"/>
  <c r="D22" i="46"/>
  <c r="D19" i="46"/>
  <c r="D16" i="46"/>
  <c r="D15" i="46"/>
  <c r="D14" i="46"/>
  <c r="D13" i="46"/>
  <c r="D12" i="46"/>
  <c r="D10" i="46"/>
  <c r="D9" i="46"/>
  <c r="D6" i="46"/>
  <c r="H22" i="46" l="1"/>
  <c r="M22" i="46"/>
  <c r="O22" i="46"/>
  <c r="K22" i="46"/>
  <c r="O27" i="46"/>
  <c r="K27" i="46"/>
  <c r="M27" i="46"/>
  <c r="H27" i="46"/>
  <c r="M29" i="46"/>
  <c r="O29" i="46"/>
  <c r="H29" i="46"/>
  <c r="K29" i="46"/>
  <c r="K34" i="46"/>
  <c r="M34" i="46"/>
  <c r="H34" i="46"/>
  <c r="O34" i="46"/>
  <c r="K36" i="46"/>
  <c r="H36" i="46"/>
  <c r="M36" i="46"/>
  <c r="O36" i="46"/>
  <c r="O38" i="46"/>
  <c r="M38" i="46"/>
  <c r="K38" i="46"/>
  <c r="H38" i="46"/>
  <c r="G29" i="45"/>
  <c r="AR29" i="45"/>
  <c r="AQ29" i="45"/>
  <c r="AS29" i="45"/>
  <c r="AS33" i="46"/>
  <c r="AQ33" i="46"/>
  <c r="G33" i="46"/>
  <c r="AR33" i="46"/>
  <c r="G33" i="45"/>
  <c r="AS33" i="45"/>
  <c r="AQ33" i="45"/>
  <c r="AR33" i="45"/>
  <c r="O9" i="46"/>
  <c r="H9" i="46"/>
  <c r="M9" i="46"/>
  <c r="K9" i="46"/>
  <c r="K12" i="46"/>
  <c r="H12" i="46"/>
  <c r="M12" i="46"/>
  <c r="O12" i="46"/>
  <c r="H14" i="46"/>
  <c r="O14" i="46"/>
  <c r="M14" i="46"/>
  <c r="K14" i="46"/>
  <c r="H16" i="46"/>
  <c r="O16" i="46"/>
  <c r="M16" i="46"/>
  <c r="K16" i="46"/>
  <c r="K19" i="46"/>
  <c r="O19" i="46"/>
  <c r="H19" i="46"/>
  <c r="M19" i="46"/>
  <c r="H32" i="46"/>
  <c r="O32" i="46"/>
  <c r="M32" i="46"/>
  <c r="K32" i="46"/>
  <c r="AQ31" i="46"/>
  <c r="G31" i="46"/>
  <c r="AS31" i="46"/>
  <c r="AR31" i="46"/>
  <c r="AS18" i="46"/>
  <c r="G18" i="46"/>
  <c r="AQ18" i="46"/>
  <c r="AR18" i="46"/>
  <c r="O6" i="46"/>
  <c r="K6" i="46"/>
  <c r="H6" i="46"/>
  <c r="M6" i="46"/>
  <c r="D40" i="46"/>
  <c r="O23" i="46"/>
  <c r="H23" i="46"/>
  <c r="K23" i="46"/>
  <c r="M23" i="46"/>
  <c r="M26" i="46"/>
  <c r="O26" i="46"/>
  <c r="H26" i="46"/>
  <c r="K26" i="46"/>
  <c r="O28" i="46"/>
  <c r="H28" i="46"/>
  <c r="M28" i="46"/>
  <c r="K28" i="46"/>
  <c r="H30" i="46"/>
  <c r="M30" i="46"/>
  <c r="O30" i="46"/>
  <c r="K30" i="46"/>
  <c r="K35" i="46"/>
  <c r="O35" i="46"/>
  <c r="M35" i="46"/>
  <c r="H35" i="46"/>
  <c r="M37" i="46"/>
  <c r="O37" i="46"/>
  <c r="K37" i="46"/>
  <c r="H37" i="46"/>
  <c r="D29" i="57"/>
  <c r="H10" i="46"/>
  <c r="O10" i="46"/>
  <c r="M10" i="46"/>
  <c r="K10" i="46"/>
  <c r="K13" i="46"/>
  <c r="O13" i="46"/>
  <c r="H13" i="46"/>
  <c r="M13" i="46"/>
  <c r="H15" i="46"/>
  <c r="O15" i="46"/>
  <c r="K15" i="46"/>
  <c r="M15" i="46"/>
  <c r="O33" i="57"/>
  <c r="M33" i="57"/>
  <c r="K33" i="57"/>
  <c r="AS33" i="57" s="1"/>
  <c r="AQ17" i="46"/>
  <c r="AR17" i="46"/>
  <c r="AS17" i="46"/>
  <c r="G17" i="46"/>
  <c r="D19" i="45"/>
  <c r="O29" i="57" l="1"/>
  <c r="M29" i="57"/>
  <c r="K29" i="57"/>
  <c r="AS29" i="57" s="1"/>
  <c r="AQ30" i="46"/>
  <c r="AS30" i="46"/>
  <c r="AR30" i="46"/>
  <c r="G30" i="46"/>
  <c r="H40" i="46"/>
  <c r="D47" i="46" s="1"/>
  <c r="AQ6" i="46"/>
  <c r="AR6" i="46"/>
  <c r="G6" i="46"/>
  <c r="AR38" i="46"/>
  <c r="G38" i="46"/>
  <c r="AQ38" i="46"/>
  <c r="AS38" i="46"/>
  <c r="AR27" i="46"/>
  <c r="AS27" i="46"/>
  <c r="AQ27" i="46"/>
  <c r="G27" i="46"/>
  <c r="G13" i="46"/>
  <c r="AR13" i="46"/>
  <c r="AS13" i="46"/>
  <c r="AQ13" i="46"/>
  <c r="AQ37" i="46"/>
  <c r="AR37" i="46"/>
  <c r="G37" i="46"/>
  <c r="AS37" i="46"/>
  <c r="AS35" i="46"/>
  <c r="AQ35" i="46"/>
  <c r="G35" i="46"/>
  <c r="AR35" i="46"/>
  <c r="K40" i="46"/>
  <c r="AQ19" i="46"/>
  <c r="AR19" i="46"/>
  <c r="G19" i="46"/>
  <c r="AS19" i="46"/>
  <c r="AQ34" i="46"/>
  <c r="G34" i="46"/>
  <c r="AS34" i="46"/>
  <c r="AR34" i="46"/>
  <c r="AR29" i="46"/>
  <c r="AQ29" i="46"/>
  <c r="AS29" i="46"/>
  <c r="G29" i="46"/>
  <c r="D19" i="57"/>
  <c r="K19" i="45"/>
  <c r="H19" i="45"/>
  <c r="O19" i="45"/>
  <c r="M19" i="45"/>
  <c r="AQ26" i="46"/>
  <c r="G26" i="46"/>
  <c r="AR26" i="46"/>
  <c r="AS26" i="46"/>
  <c r="O40" i="46"/>
  <c r="AS12" i="46"/>
  <c r="AR12" i="46"/>
  <c r="G12" i="46"/>
  <c r="AQ12" i="46"/>
  <c r="AR9" i="46"/>
  <c r="G9" i="46"/>
  <c r="AS9" i="46"/>
  <c r="AQ9" i="46"/>
  <c r="AQ36" i="46"/>
  <c r="AS36" i="46"/>
  <c r="G36" i="46"/>
  <c r="AR36" i="46"/>
  <c r="AR15" i="46"/>
  <c r="AQ15" i="46"/>
  <c r="G15" i="46"/>
  <c r="AS15" i="46"/>
  <c r="AS10" i="46"/>
  <c r="G10" i="46"/>
  <c r="AR10" i="46"/>
  <c r="AQ10" i="46"/>
  <c r="AS28" i="46"/>
  <c r="AQ28" i="46"/>
  <c r="AR28" i="46"/>
  <c r="G28" i="46"/>
  <c r="AR23" i="46"/>
  <c r="G23" i="46"/>
  <c r="AS23" i="46"/>
  <c r="AQ23" i="46"/>
  <c r="M40" i="46"/>
  <c r="AQ32" i="46"/>
  <c r="AR32" i="46"/>
  <c r="G32" i="46"/>
  <c r="AS32" i="46"/>
  <c r="AS16" i="46"/>
  <c r="G16" i="46"/>
  <c r="AQ16" i="46"/>
  <c r="AR16" i="46"/>
  <c r="AS14" i="46"/>
  <c r="AQ14" i="46"/>
  <c r="G14" i="46"/>
  <c r="AR14" i="46"/>
  <c r="G33" i="57"/>
  <c r="U33" i="45"/>
  <c r="C33" i="45" s="1"/>
  <c r="G29" i="57"/>
  <c r="U29" i="45"/>
  <c r="C29" i="45" s="1"/>
  <c r="AQ22" i="46"/>
  <c r="AS22" i="46"/>
  <c r="AR22" i="46"/>
  <c r="G22" i="46"/>
  <c r="D34" i="45"/>
  <c r="D31" i="45"/>
  <c r="D37" i="45"/>
  <c r="D34" i="57" l="1"/>
  <c r="K34" i="45"/>
  <c r="M34" i="45"/>
  <c r="H34" i="45"/>
  <c r="O34" i="45"/>
  <c r="AQ19" i="45"/>
  <c r="AR19" i="45"/>
  <c r="AS19" i="45"/>
  <c r="G19" i="45"/>
  <c r="U6" i="46"/>
  <c r="G40" i="46"/>
  <c r="D37" i="57"/>
  <c r="K37" i="45"/>
  <c r="M37" i="45"/>
  <c r="O37" i="45"/>
  <c r="H37" i="45"/>
  <c r="AR40" i="46"/>
  <c r="D31" i="57"/>
  <c r="O31" i="45"/>
  <c r="K31" i="45"/>
  <c r="M31" i="45"/>
  <c r="H31" i="45"/>
  <c r="AS40" i="46"/>
  <c r="O19" i="57"/>
  <c r="K19" i="57"/>
  <c r="AS19" i="57" s="1"/>
  <c r="M19" i="57"/>
  <c r="AQ40" i="46"/>
  <c r="D38" i="45"/>
  <c r="D36" i="45"/>
  <c r="D35" i="45"/>
  <c r="D32" i="45"/>
  <c r="D30" i="45"/>
  <c r="D28" i="45"/>
  <c r="D27" i="45"/>
  <c r="D26" i="45"/>
  <c r="D25" i="45"/>
  <c r="D24" i="45"/>
  <c r="D23" i="45"/>
  <c r="D22" i="45"/>
  <c r="D21" i="45"/>
  <c r="D20" i="45"/>
  <c r="D18" i="45"/>
  <c r="D17" i="45"/>
  <c r="D16" i="45"/>
  <c r="D15" i="45"/>
  <c r="D14" i="45"/>
  <c r="D13" i="45"/>
  <c r="D12" i="45"/>
  <c r="D11" i="45"/>
  <c r="D10" i="45"/>
  <c r="D9" i="45"/>
  <c r="D8" i="45"/>
  <c r="D6" i="45"/>
  <c r="D16" i="57" l="1"/>
  <c r="K16" i="45"/>
  <c r="M16" i="45"/>
  <c r="H16" i="45"/>
  <c r="O16" i="45"/>
  <c r="D9" i="57"/>
  <c r="K9" i="45"/>
  <c r="M9" i="45"/>
  <c r="H9" i="45"/>
  <c r="O9" i="45"/>
  <c r="D13" i="57"/>
  <c r="H13" i="45"/>
  <c r="K13" i="45"/>
  <c r="M13" i="45"/>
  <c r="O13" i="45"/>
  <c r="D17" i="57"/>
  <c r="K17" i="45"/>
  <c r="M17" i="45"/>
  <c r="O17" i="45"/>
  <c r="H17" i="45"/>
  <c r="D22" i="57"/>
  <c r="M22" i="45"/>
  <c r="O22" i="45"/>
  <c r="K22" i="45"/>
  <c r="H22" i="45"/>
  <c r="D26" i="57"/>
  <c r="H26" i="45"/>
  <c r="M26" i="45"/>
  <c r="O26" i="45"/>
  <c r="K26" i="45"/>
  <c r="D32" i="57"/>
  <c r="O32" i="45"/>
  <c r="M32" i="45"/>
  <c r="H32" i="45"/>
  <c r="K32" i="45"/>
  <c r="AR37" i="45"/>
  <c r="AQ37" i="45"/>
  <c r="G37" i="45"/>
  <c r="AS37" i="45"/>
  <c r="K37" i="57"/>
  <c r="AS37" i="57" s="1"/>
  <c r="O37" i="57"/>
  <c r="M37" i="57"/>
  <c r="AS34" i="45"/>
  <c r="AQ34" i="45"/>
  <c r="AR34" i="45"/>
  <c r="G34" i="45"/>
  <c r="D12" i="57"/>
  <c r="K12" i="45"/>
  <c r="M12" i="45"/>
  <c r="O12" i="45"/>
  <c r="H12" i="45"/>
  <c r="K10" i="45"/>
  <c r="M10" i="45"/>
  <c r="O10" i="45"/>
  <c r="H10" i="45"/>
  <c r="H14" i="45"/>
  <c r="M14" i="45"/>
  <c r="O14" i="45"/>
  <c r="K14" i="45"/>
  <c r="D18" i="57"/>
  <c r="M18" i="45"/>
  <c r="K18" i="45"/>
  <c r="O18" i="45"/>
  <c r="H18" i="45"/>
  <c r="D23" i="57"/>
  <c r="M23" i="45"/>
  <c r="K23" i="45"/>
  <c r="O23" i="45"/>
  <c r="H23" i="45"/>
  <c r="H27" i="45"/>
  <c r="O27" i="45"/>
  <c r="M27" i="45"/>
  <c r="K27" i="45"/>
  <c r="D35" i="57"/>
  <c r="O35" i="45"/>
  <c r="K35" i="45"/>
  <c r="H35" i="45"/>
  <c r="M35" i="45"/>
  <c r="M6" i="45"/>
  <c r="D40" i="45"/>
  <c r="H6" i="45"/>
  <c r="K6" i="45"/>
  <c r="O6" i="45"/>
  <c r="D11" i="57"/>
  <c r="O11" i="45"/>
  <c r="H11" i="45"/>
  <c r="K11" i="45"/>
  <c r="M11" i="45"/>
  <c r="D15" i="57"/>
  <c r="K15" i="45"/>
  <c r="O15" i="45"/>
  <c r="M15" i="45"/>
  <c r="H15" i="45"/>
  <c r="D20" i="57"/>
  <c r="O20" i="45"/>
  <c r="K20" i="45"/>
  <c r="H20" i="45"/>
  <c r="M20" i="45"/>
  <c r="D24" i="57"/>
  <c r="H24" i="45"/>
  <c r="O24" i="45"/>
  <c r="M24" i="45"/>
  <c r="K24" i="45"/>
  <c r="D28" i="57"/>
  <c r="K28" i="45"/>
  <c r="M28" i="45"/>
  <c r="O28" i="45"/>
  <c r="H28" i="45"/>
  <c r="D36" i="57"/>
  <c r="O36" i="45"/>
  <c r="K36" i="45"/>
  <c r="H36" i="45"/>
  <c r="M36" i="45"/>
  <c r="AS31" i="45"/>
  <c r="AR31" i="45"/>
  <c r="AQ31" i="45"/>
  <c r="G31" i="45"/>
  <c r="O31" i="57"/>
  <c r="K31" i="57"/>
  <c r="AS31" i="57" s="1"/>
  <c r="M31" i="57"/>
  <c r="C6" i="46"/>
  <c r="D8" i="57"/>
  <c r="K8" i="45"/>
  <c r="H8" i="45"/>
  <c r="M8" i="45"/>
  <c r="O8" i="45"/>
  <c r="D21" i="57"/>
  <c r="H21" i="45"/>
  <c r="M21" i="45"/>
  <c r="K21" i="45"/>
  <c r="O21" i="45"/>
  <c r="D25" i="57"/>
  <c r="K25" i="45"/>
  <c r="H25" i="45"/>
  <c r="M25" i="45"/>
  <c r="O25" i="45"/>
  <c r="K30" i="45"/>
  <c r="M30" i="45"/>
  <c r="H30" i="45"/>
  <c r="O30" i="45"/>
  <c r="D38" i="57"/>
  <c r="K38" i="45"/>
  <c r="H38" i="45"/>
  <c r="M38" i="45"/>
  <c r="O38" i="45"/>
  <c r="G19" i="57"/>
  <c r="U19" i="45"/>
  <c r="C19" i="45" s="1"/>
  <c r="K34" i="57"/>
  <c r="AS34" i="57" s="1"/>
  <c r="M34" i="57"/>
  <c r="O34" i="57"/>
  <c r="O38" i="57" l="1"/>
  <c r="K38" i="57"/>
  <c r="AS38" i="57" s="1"/>
  <c r="M38" i="57"/>
  <c r="AQ25" i="45"/>
  <c r="AR25" i="45"/>
  <c r="AS25" i="45"/>
  <c r="G25" i="45"/>
  <c r="M8" i="57"/>
  <c r="K8" i="57"/>
  <c r="AS8" i="57" s="1"/>
  <c r="O8" i="57"/>
  <c r="O24" i="57"/>
  <c r="K24" i="57"/>
  <c r="AS24" i="57" s="1"/>
  <c r="M24" i="57"/>
  <c r="G35" i="45"/>
  <c r="AQ35" i="45"/>
  <c r="AS35" i="45"/>
  <c r="AR35" i="45"/>
  <c r="AQ10" i="45"/>
  <c r="AS10" i="45"/>
  <c r="G10" i="45"/>
  <c r="AR10" i="45"/>
  <c r="G17" i="45"/>
  <c r="AQ17" i="45"/>
  <c r="AS17" i="45"/>
  <c r="AR17" i="45"/>
  <c r="K17" i="57"/>
  <c r="AS17" i="57" s="1"/>
  <c r="O17" i="57"/>
  <c r="M17" i="57"/>
  <c r="AR13" i="45"/>
  <c r="AS13" i="45"/>
  <c r="G13" i="45"/>
  <c r="AQ13" i="45"/>
  <c r="AR16" i="45"/>
  <c r="G16" i="45"/>
  <c r="AS16" i="45"/>
  <c r="AQ16" i="45"/>
  <c r="M20" i="57"/>
  <c r="K20" i="57"/>
  <c r="AS20" i="57" s="1"/>
  <c r="O20" i="57"/>
  <c r="AR11" i="45"/>
  <c r="G11" i="45"/>
  <c r="AS11" i="45"/>
  <c r="AQ11" i="45"/>
  <c r="O40" i="45"/>
  <c r="M40" i="45"/>
  <c r="AS23" i="45"/>
  <c r="AQ23" i="45"/>
  <c r="AR23" i="45"/>
  <c r="G23" i="45"/>
  <c r="M23" i="57"/>
  <c r="K23" i="57"/>
  <c r="AS23" i="57" s="1"/>
  <c r="O23" i="57"/>
  <c r="AR12" i="45"/>
  <c r="AS12" i="45"/>
  <c r="G12" i="45"/>
  <c r="AQ12" i="45"/>
  <c r="K12" i="57"/>
  <c r="AS12" i="57" s="1"/>
  <c r="M12" i="57"/>
  <c r="O12" i="57"/>
  <c r="K32" i="57"/>
  <c r="AS32" i="57" s="1"/>
  <c r="M32" i="57"/>
  <c r="O32" i="57"/>
  <c r="AS26" i="45"/>
  <c r="AR26" i="45"/>
  <c r="G26" i="45"/>
  <c r="AQ26" i="45"/>
  <c r="M13" i="57"/>
  <c r="AR13" i="57" s="1"/>
  <c r="AR40" i="57" s="1"/>
  <c r="O13" i="57"/>
  <c r="K13" i="57"/>
  <c r="AS13" i="57" s="1"/>
  <c r="G38" i="45"/>
  <c r="AQ38" i="45"/>
  <c r="AR38" i="45"/>
  <c r="AS38" i="45"/>
  <c r="G30" i="45"/>
  <c r="AQ30" i="45"/>
  <c r="AR30" i="45"/>
  <c r="AS30" i="45"/>
  <c r="M25" i="57"/>
  <c r="K25" i="57"/>
  <c r="AS25" i="57" s="1"/>
  <c r="O25" i="57"/>
  <c r="AR21" i="45"/>
  <c r="G21" i="45"/>
  <c r="AQ21" i="45"/>
  <c r="AS21" i="45"/>
  <c r="AR8" i="45"/>
  <c r="G8" i="45"/>
  <c r="AS8" i="45"/>
  <c r="AQ8" i="45"/>
  <c r="G31" i="57"/>
  <c r="U31" i="45"/>
  <c r="C31" i="45" s="1"/>
  <c r="M36" i="57"/>
  <c r="K36" i="57"/>
  <c r="AS36" i="57" s="1"/>
  <c r="O36" i="57"/>
  <c r="AQ20" i="45"/>
  <c r="AR20" i="45"/>
  <c r="G20" i="45"/>
  <c r="AS20" i="45"/>
  <c r="AR15" i="45"/>
  <c r="G15" i="45"/>
  <c r="AS15" i="45"/>
  <c r="AQ15" i="45"/>
  <c r="M15" i="57"/>
  <c r="K15" i="57"/>
  <c r="AS15" i="57" s="1"/>
  <c r="O15" i="57"/>
  <c r="K40" i="45"/>
  <c r="AS18" i="45"/>
  <c r="AR18" i="45"/>
  <c r="G18" i="45"/>
  <c r="AQ18" i="45"/>
  <c r="O18" i="57"/>
  <c r="M18" i="57"/>
  <c r="K18" i="57"/>
  <c r="AS18" i="57" s="1"/>
  <c r="AR14" i="45"/>
  <c r="AQ14" i="45"/>
  <c r="AS14" i="45"/>
  <c r="G14" i="45"/>
  <c r="G34" i="57"/>
  <c r="U34" i="45"/>
  <c r="C34" i="45" s="1"/>
  <c r="G37" i="57"/>
  <c r="U37" i="45"/>
  <c r="C37" i="45" s="1"/>
  <c r="AR32" i="45"/>
  <c r="AQ32" i="45"/>
  <c r="G32" i="45"/>
  <c r="AS32" i="45"/>
  <c r="K26" i="57"/>
  <c r="AS26" i="57" s="1"/>
  <c r="M26" i="57"/>
  <c r="O26" i="57"/>
  <c r="K9" i="57"/>
  <c r="AS9" i="57" s="1"/>
  <c r="M9" i="57"/>
  <c r="O9" i="57"/>
  <c r="O21" i="57"/>
  <c r="K21" i="57"/>
  <c r="AS21" i="57" s="1"/>
  <c r="M21" i="57"/>
  <c r="AR36" i="45"/>
  <c r="AS36" i="45"/>
  <c r="G36" i="45"/>
  <c r="AQ36" i="45"/>
  <c r="AS28" i="45"/>
  <c r="AR28" i="45"/>
  <c r="AQ28" i="45"/>
  <c r="G28" i="45"/>
  <c r="M28" i="57"/>
  <c r="O28" i="57"/>
  <c r="K28" i="57"/>
  <c r="AS28" i="57" s="1"/>
  <c r="AR24" i="45"/>
  <c r="AQ24" i="45"/>
  <c r="G24" i="45"/>
  <c r="AS24" i="45"/>
  <c r="O11" i="57"/>
  <c r="K11" i="57"/>
  <c r="AS11" i="57" s="1"/>
  <c r="M11" i="57"/>
  <c r="AQ6" i="45"/>
  <c r="AR6" i="45"/>
  <c r="H40" i="45"/>
  <c r="D47" i="45" s="1"/>
  <c r="G6" i="45"/>
  <c r="K35" i="57"/>
  <c r="AS35" i="57" s="1"/>
  <c r="O35" i="57"/>
  <c r="M35" i="57"/>
  <c r="AR27" i="45"/>
  <c r="AS27" i="45"/>
  <c r="G27" i="45"/>
  <c r="AQ27" i="45"/>
  <c r="AQ22" i="45"/>
  <c r="AS22" i="45"/>
  <c r="G22" i="45"/>
  <c r="AR22" i="45"/>
  <c r="O22" i="57"/>
  <c r="K22" i="57"/>
  <c r="AS22" i="57" s="1"/>
  <c r="M22" i="57"/>
  <c r="AR9" i="45"/>
  <c r="AQ9" i="45"/>
  <c r="G9" i="45"/>
  <c r="AS9" i="45"/>
  <c r="M16" i="57"/>
  <c r="K16" i="57"/>
  <c r="AS16" i="57" s="1"/>
  <c r="O16" i="57"/>
  <c r="G9" i="57" l="1"/>
  <c r="U9" i="45"/>
  <c r="C9" i="45" s="1"/>
  <c r="G40" i="45"/>
  <c r="U6" i="45"/>
  <c r="G24" i="57"/>
  <c r="U24" i="45"/>
  <c r="C24" i="45" s="1"/>
  <c r="G32" i="57"/>
  <c r="U32" i="45"/>
  <c r="C32" i="45" s="1"/>
  <c r="G15" i="57"/>
  <c r="U15" i="45"/>
  <c r="C15" i="45" s="1"/>
  <c r="AS40" i="45"/>
  <c r="G12" i="57"/>
  <c r="U12" i="45"/>
  <c r="C12" i="45" s="1"/>
  <c r="G16" i="57"/>
  <c r="U16" i="45"/>
  <c r="C16" i="45" s="1"/>
  <c r="G17" i="57"/>
  <c r="U17" i="45"/>
  <c r="C17" i="45" s="1"/>
  <c r="G8" i="57"/>
  <c r="U8" i="45"/>
  <c r="C8" i="45" s="1"/>
  <c r="G21" i="57"/>
  <c r="U21" i="45"/>
  <c r="C21" i="45" s="1"/>
  <c r="U30" i="45"/>
  <c r="C30" i="45" s="1"/>
  <c r="G38" i="57"/>
  <c r="U38" i="45"/>
  <c r="C38" i="45" s="1"/>
  <c r="U10" i="45"/>
  <c r="C10" i="45" s="1"/>
  <c r="G25" i="57"/>
  <c r="U25" i="45"/>
  <c r="C25" i="45" s="1"/>
  <c r="U27" i="45"/>
  <c r="C27" i="45" s="1"/>
  <c r="AR40" i="45"/>
  <c r="G28" i="57"/>
  <c r="U28" i="45"/>
  <c r="C28" i="45" s="1"/>
  <c r="G26" i="57"/>
  <c r="U26" i="45"/>
  <c r="C26" i="45" s="1"/>
  <c r="G23" i="57"/>
  <c r="U23" i="45"/>
  <c r="C23" i="45" s="1"/>
  <c r="G11" i="57"/>
  <c r="U11" i="45"/>
  <c r="C11" i="45" s="1"/>
  <c r="G35" i="57"/>
  <c r="U35" i="45"/>
  <c r="C35" i="45" s="1"/>
  <c r="G22" i="57"/>
  <c r="U22" i="45"/>
  <c r="C22" i="45" s="1"/>
  <c r="AQ40" i="45"/>
  <c r="G36" i="57"/>
  <c r="U36" i="45"/>
  <c r="C36" i="45" s="1"/>
  <c r="U14" i="45"/>
  <c r="C14" i="45" s="1"/>
  <c r="G18" i="57"/>
  <c r="U18" i="45"/>
  <c r="C18" i="45" s="1"/>
  <c r="G20" i="57"/>
  <c r="U20" i="45"/>
  <c r="C20" i="45" s="1"/>
  <c r="G13" i="57"/>
  <c r="U13" i="45"/>
  <c r="C13" i="45" s="1"/>
  <c r="U40" i="45" l="1"/>
  <c r="C6" i="45"/>
  <c r="C40" i="45" s="1"/>
  <c r="D14" i="48" l="1"/>
  <c r="D6" i="48"/>
  <c r="D10" i="48"/>
  <c r="D27" i="48"/>
  <c r="D30" i="48"/>
  <c r="M14" i="54" l="1"/>
  <c r="O14" i="54"/>
  <c r="H14" i="54"/>
  <c r="K14" i="54"/>
  <c r="H14" i="49"/>
  <c r="M14" i="49"/>
  <c r="O14" i="49"/>
  <c r="K14" i="49"/>
  <c r="K14" i="55"/>
  <c r="O14" i="55"/>
  <c r="M14" i="55"/>
  <c r="H14" i="55"/>
  <c r="M14" i="56"/>
  <c r="O14" i="56"/>
  <c r="H14" i="56"/>
  <c r="K14" i="56"/>
  <c r="O14" i="52"/>
  <c r="M14" i="52"/>
  <c r="H14" i="52"/>
  <c r="K14" i="52"/>
  <c r="M14" i="51"/>
  <c r="H14" i="51"/>
  <c r="K14" i="51"/>
  <c r="O14" i="51"/>
  <c r="M14" i="50"/>
  <c r="H14" i="50"/>
  <c r="K14" i="50"/>
  <c r="O14" i="50"/>
  <c r="O14" i="48"/>
  <c r="K14" i="48"/>
  <c r="M14" i="48"/>
  <c r="H14" i="48"/>
  <c r="D14" i="57"/>
  <c r="K14" i="53"/>
  <c r="O14" i="53"/>
  <c r="H14" i="53"/>
  <c r="M14" i="53"/>
  <c r="M6" i="52"/>
  <c r="O6" i="52"/>
  <c r="H6" i="52"/>
  <c r="K6" i="52"/>
  <c r="K6" i="48"/>
  <c r="O6" i="48"/>
  <c r="M6" i="48"/>
  <c r="H6" i="48"/>
  <c r="D6" i="57"/>
  <c r="O6" i="55"/>
  <c r="H6" i="55"/>
  <c r="M6" i="55"/>
  <c r="K6" i="55"/>
  <c r="M6" i="56"/>
  <c r="O6" i="56"/>
  <c r="K6" i="56"/>
  <c r="H6" i="56"/>
  <c r="K6" i="53"/>
  <c r="O6" i="53"/>
  <c r="H6" i="53"/>
  <c r="M6" i="53"/>
  <c r="H6" i="50"/>
  <c r="M6" i="50"/>
  <c r="K6" i="50"/>
  <c r="O6" i="50"/>
  <c r="H6" i="49"/>
  <c r="M6" i="49"/>
  <c r="O6" i="49"/>
  <c r="K6" i="49"/>
  <c r="K6" i="51"/>
  <c r="O6" i="51"/>
  <c r="H6" i="51"/>
  <c r="M6" i="51"/>
  <c r="M6" i="54"/>
  <c r="H6" i="54"/>
  <c r="O6" i="54"/>
  <c r="K6" i="54"/>
  <c r="K10" i="53"/>
  <c r="M10" i="53"/>
  <c r="H10" i="53"/>
  <c r="O10" i="53"/>
  <c r="O10" i="50"/>
  <c r="H10" i="50"/>
  <c r="K10" i="50"/>
  <c r="M10" i="50"/>
  <c r="O10" i="51"/>
  <c r="K10" i="51"/>
  <c r="H10" i="51"/>
  <c r="M10" i="51"/>
  <c r="K10" i="56"/>
  <c r="M10" i="56"/>
  <c r="O10" i="56"/>
  <c r="H10" i="56"/>
  <c r="M10" i="55"/>
  <c r="O10" i="55"/>
  <c r="H10" i="55"/>
  <c r="K10" i="55"/>
  <c r="K10" i="49"/>
  <c r="M10" i="49"/>
  <c r="H10" i="49"/>
  <c r="O10" i="49"/>
  <c r="M10" i="48"/>
  <c r="O10" i="48"/>
  <c r="K10" i="48"/>
  <c r="H10" i="48"/>
  <c r="D10" i="57"/>
  <c r="M10" i="54"/>
  <c r="H10" i="54"/>
  <c r="K10" i="54"/>
  <c r="O10" i="54"/>
  <c r="H10" i="52"/>
  <c r="M10" i="52"/>
  <c r="K10" i="52"/>
  <c r="O10" i="52"/>
  <c r="H27" i="49"/>
  <c r="M27" i="49"/>
  <c r="O27" i="49"/>
  <c r="K27" i="49"/>
  <c r="M27" i="50"/>
  <c r="H27" i="50"/>
  <c r="K27" i="50"/>
  <c r="O27" i="50"/>
  <c r="H27" i="52"/>
  <c r="M27" i="52"/>
  <c r="K27" i="52"/>
  <c r="O27" i="52"/>
  <c r="K27" i="56"/>
  <c r="M27" i="56"/>
  <c r="H27" i="56"/>
  <c r="O27" i="56"/>
  <c r="M27" i="54"/>
  <c r="O27" i="54"/>
  <c r="H27" i="54"/>
  <c r="K27" i="54"/>
  <c r="M27" i="53"/>
  <c r="O27" i="53"/>
  <c r="H27" i="53"/>
  <c r="K27" i="53"/>
  <c r="H27" i="51"/>
  <c r="K27" i="51"/>
  <c r="O27" i="51"/>
  <c r="M27" i="51"/>
  <c r="O27" i="55"/>
  <c r="M27" i="55"/>
  <c r="K27" i="55"/>
  <c r="H27" i="55"/>
  <c r="H27" i="48"/>
  <c r="O27" i="48"/>
  <c r="K27" i="48"/>
  <c r="M27" i="48"/>
  <c r="D27" i="57"/>
  <c r="H30" i="49"/>
  <c r="O30" i="49"/>
  <c r="K30" i="49"/>
  <c r="D40" i="49"/>
  <c r="M30" i="49"/>
  <c r="K30" i="50"/>
  <c r="H30" i="50"/>
  <c r="O30" i="50"/>
  <c r="M30" i="50"/>
  <c r="D40" i="50"/>
  <c r="D40" i="48"/>
  <c r="O30" i="48"/>
  <c r="H30" i="48"/>
  <c r="M30" i="48"/>
  <c r="K30" i="48"/>
  <c r="D30" i="57"/>
  <c r="K30" i="54"/>
  <c r="H30" i="54"/>
  <c r="O30" i="54"/>
  <c r="M30" i="54"/>
  <c r="D40" i="54"/>
  <c r="K30" i="53"/>
  <c r="D40" i="53"/>
  <c r="O30" i="53"/>
  <c r="M30" i="53"/>
  <c r="H30" i="53"/>
  <c r="K30" i="56"/>
  <c r="D40" i="56"/>
  <c r="O30" i="56"/>
  <c r="M30" i="56"/>
  <c r="H30" i="56"/>
  <c r="K30" i="52"/>
  <c r="H30" i="52"/>
  <c r="O30" i="52"/>
  <c r="D40" i="52"/>
  <c r="M30" i="52"/>
  <c r="D40" i="55"/>
  <c r="H30" i="55"/>
  <c r="M30" i="55"/>
  <c r="O30" i="55"/>
  <c r="K30" i="55"/>
  <c r="K30" i="51"/>
  <c r="D40" i="51"/>
  <c r="M30" i="51"/>
  <c r="O30" i="51"/>
  <c r="H30" i="51"/>
  <c r="M40" i="49" l="1"/>
  <c r="M40" i="53"/>
  <c r="O40" i="55"/>
  <c r="K40" i="56"/>
  <c r="K40" i="49"/>
  <c r="O40" i="49"/>
  <c r="AR14" i="53"/>
  <c r="AS14" i="53"/>
  <c r="AQ14" i="53"/>
  <c r="G14" i="53"/>
  <c r="AS14" i="48"/>
  <c r="AR14" i="48"/>
  <c r="AQ14" i="48"/>
  <c r="G14" i="48"/>
  <c r="AR14" i="55"/>
  <c r="AQ14" i="55"/>
  <c r="G14" i="55"/>
  <c r="AS14" i="55"/>
  <c r="G14" i="52"/>
  <c r="AS14" i="52"/>
  <c r="AR14" i="52"/>
  <c r="AQ14" i="52"/>
  <c r="G14" i="56"/>
  <c r="AQ14" i="56"/>
  <c r="AR14" i="56"/>
  <c r="AS14" i="56"/>
  <c r="AR14" i="54"/>
  <c r="AS14" i="54"/>
  <c r="AQ14" i="54"/>
  <c r="G14" i="54"/>
  <c r="AR14" i="50"/>
  <c r="AS14" i="50"/>
  <c r="G14" i="50"/>
  <c r="AQ14" i="50"/>
  <c r="G14" i="51"/>
  <c r="AQ14" i="51"/>
  <c r="AS14" i="51"/>
  <c r="AR14" i="51"/>
  <c r="M14" i="57"/>
  <c r="O14" i="57"/>
  <c r="K14" i="57"/>
  <c r="AS14" i="57" s="1"/>
  <c r="G14" i="49"/>
  <c r="AS14" i="49"/>
  <c r="AQ14" i="49"/>
  <c r="AR14" i="49"/>
  <c r="G6" i="54"/>
  <c r="U6" i="54" s="1"/>
  <c r="C6" i="54" s="1"/>
  <c r="AQ6" i="54"/>
  <c r="AR6" i="54"/>
  <c r="G6" i="50"/>
  <c r="U6" i="50" s="1"/>
  <c r="C6" i="50" s="1"/>
  <c r="AQ6" i="50"/>
  <c r="AR6" i="50"/>
  <c r="AR6" i="52"/>
  <c r="AQ6" i="52"/>
  <c r="G6" i="52"/>
  <c r="U6" i="52" s="1"/>
  <c r="C6" i="52" s="1"/>
  <c r="M40" i="54"/>
  <c r="AQ6" i="49"/>
  <c r="AR6" i="49"/>
  <c r="G6" i="49"/>
  <c r="U6" i="49" s="1"/>
  <c r="C6" i="49" s="1"/>
  <c r="AQ6" i="53"/>
  <c r="G6" i="53"/>
  <c r="U6" i="53" s="1"/>
  <c r="C6" i="53" s="1"/>
  <c r="AR6" i="53"/>
  <c r="G6" i="56"/>
  <c r="U6" i="56" s="1"/>
  <c r="C6" i="56" s="1"/>
  <c r="AQ6" i="56"/>
  <c r="AR6" i="56"/>
  <c r="G6" i="51"/>
  <c r="U6" i="51" s="1"/>
  <c r="C6" i="51" s="1"/>
  <c r="AR6" i="51"/>
  <c r="AQ6" i="51"/>
  <c r="K6" i="57"/>
  <c r="O6" i="57"/>
  <c r="M6" i="57"/>
  <c r="AR6" i="55"/>
  <c r="G6" i="55"/>
  <c r="U6" i="55" s="1"/>
  <c r="C6" i="55" s="1"/>
  <c r="AQ6" i="55"/>
  <c r="AR6" i="48"/>
  <c r="AQ6" i="48"/>
  <c r="G6" i="48"/>
  <c r="K40" i="50"/>
  <c r="M40" i="55"/>
  <c r="AQ10" i="56"/>
  <c r="G10" i="56"/>
  <c r="AS10" i="56"/>
  <c r="AR10" i="56"/>
  <c r="M40" i="50"/>
  <c r="AS10" i="54"/>
  <c r="G10" i="54"/>
  <c r="AQ10" i="54"/>
  <c r="AR10" i="54"/>
  <c r="AS10" i="49"/>
  <c r="AQ10" i="49"/>
  <c r="G10" i="49"/>
  <c r="AR10" i="49"/>
  <c r="AS10" i="55"/>
  <c r="AQ10" i="55"/>
  <c r="AR10" i="55"/>
  <c r="G10" i="55"/>
  <c r="AQ10" i="51"/>
  <c r="AR10" i="51"/>
  <c r="AS10" i="51"/>
  <c r="G10" i="51"/>
  <c r="AQ10" i="53"/>
  <c r="AS10" i="53"/>
  <c r="AR10" i="53"/>
  <c r="G10" i="53"/>
  <c r="AS10" i="48"/>
  <c r="AQ10" i="48"/>
  <c r="AR10" i="48"/>
  <c r="G10" i="48"/>
  <c r="AR10" i="52"/>
  <c r="AQ10" i="52"/>
  <c r="AS10" i="52"/>
  <c r="G10" i="52"/>
  <c r="G10" i="50"/>
  <c r="AS10" i="50"/>
  <c r="AR10" i="50"/>
  <c r="AQ10" i="50"/>
  <c r="M10" i="57"/>
  <c r="K10" i="57"/>
  <c r="AS10" i="57" s="1"/>
  <c r="O10" i="57"/>
  <c r="O40" i="54"/>
  <c r="O40" i="56"/>
  <c r="K40" i="54"/>
  <c r="K40" i="48"/>
  <c r="K40" i="55"/>
  <c r="O40" i="51"/>
  <c r="K40" i="52"/>
  <c r="AS27" i="55"/>
  <c r="G27" i="55"/>
  <c r="AQ27" i="55"/>
  <c r="AR27" i="55"/>
  <c r="K40" i="51"/>
  <c r="O40" i="52"/>
  <c r="M40" i="56"/>
  <c r="K40" i="53"/>
  <c r="M40" i="48"/>
  <c r="AS27" i="53"/>
  <c r="AQ27" i="53"/>
  <c r="AR27" i="53"/>
  <c r="G27" i="53"/>
  <c r="G27" i="54"/>
  <c r="AQ27" i="54"/>
  <c r="AS27" i="54"/>
  <c r="AR27" i="54"/>
  <c r="AQ27" i="56"/>
  <c r="AS27" i="56"/>
  <c r="AR27" i="56"/>
  <c r="G27" i="56"/>
  <c r="AQ27" i="50"/>
  <c r="AR27" i="50"/>
  <c r="G27" i="50"/>
  <c r="AS27" i="50"/>
  <c r="M40" i="51"/>
  <c r="M40" i="52"/>
  <c r="O40" i="53"/>
  <c r="O40" i="48"/>
  <c r="O40" i="50"/>
  <c r="K27" i="57"/>
  <c r="AS27" i="57" s="1"/>
  <c r="M27" i="57"/>
  <c r="O27" i="57"/>
  <c r="AR27" i="48"/>
  <c r="AQ27" i="48"/>
  <c r="AS27" i="48"/>
  <c r="G27" i="48"/>
  <c r="AQ27" i="51"/>
  <c r="G27" i="51"/>
  <c r="AR27" i="51"/>
  <c r="AS27" i="51"/>
  <c r="G27" i="52"/>
  <c r="AR27" i="52"/>
  <c r="AQ27" i="52"/>
  <c r="AS27" i="52"/>
  <c r="AR27" i="49"/>
  <c r="G27" i="49"/>
  <c r="AQ27" i="49"/>
  <c r="AS27" i="49"/>
  <c r="G30" i="56"/>
  <c r="AS30" i="56"/>
  <c r="AQ30" i="56"/>
  <c r="AR30" i="56"/>
  <c r="H40" i="56"/>
  <c r="D47" i="56" s="1"/>
  <c r="AS30" i="50"/>
  <c r="AR30" i="50"/>
  <c r="G30" i="50"/>
  <c r="H40" i="50"/>
  <c r="D47" i="50" s="1"/>
  <c r="AQ30" i="50"/>
  <c r="O30" i="57"/>
  <c r="D40" i="57"/>
  <c r="K30" i="57"/>
  <c r="M30" i="57"/>
  <c r="AQ30" i="51"/>
  <c r="H40" i="51"/>
  <c r="D47" i="51" s="1"/>
  <c r="AS30" i="51"/>
  <c r="AS40" i="51" s="1"/>
  <c r="AR30" i="51"/>
  <c r="G30" i="51"/>
  <c r="G30" i="55"/>
  <c r="H40" i="55"/>
  <c r="D47" i="55" s="1"/>
  <c r="AQ30" i="55"/>
  <c r="AS30" i="55"/>
  <c r="AR30" i="55"/>
  <c r="AQ30" i="53"/>
  <c r="H40" i="53"/>
  <c r="D47" i="53" s="1"/>
  <c r="G30" i="53"/>
  <c r="AS30" i="53"/>
  <c r="AR30" i="53"/>
  <c r="G30" i="54"/>
  <c r="AR30" i="54"/>
  <c r="H40" i="54"/>
  <c r="D47" i="54" s="1"/>
  <c r="AS30" i="54"/>
  <c r="AQ30" i="54"/>
  <c r="AR30" i="52"/>
  <c r="AQ30" i="52"/>
  <c r="H40" i="52"/>
  <c r="D47" i="52" s="1"/>
  <c r="AS30" i="52"/>
  <c r="G30" i="52"/>
  <c r="H40" i="48"/>
  <c r="D47" i="48" s="1"/>
  <c r="G30" i="48"/>
  <c r="AR30" i="48"/>
  <c r="AQ30" i="48"/>
  <c r="AS30" i="48"/>
  <c r="AS30" i="49"/>
  <c r="G30" i="49"/>
  <c r="AR30" i="49"/>
  <c r="AQ30" i="49"/>
  <c r="H40" i="49"/>
  <c r="D47" i="49" s="1"/>
  <c r="AR40" i="50" l="1"/>
  <c r="G14" i="57"/>
  <c r="AR40" i="56"/>
  <c r="U6" i="48"/>
  <c r="C6" i="48" s="1"/>
  <c r="G6" i="57"/>
  <c r="U6" i="57" s="1"/>
  <c r="AS40" i="53"/>
  <c r="AS40" i="48"/>
  <c r="AS40" i="52"/>
  <c r="G10" i="57"/>
  <c r="AR40" i="55"/>
  <c r="AQ40" i="51"/>
  <c r="O40" i="57"/>
  <c r="AQ40" i="49"/>
  <c r="AS40" i="49"/>
  <c r="AQ40" i="48"/>
  <c r="AQ40" i="54"/>
  <c r="AQ40" i="53"/>
  <c r="AS40" i="55"/>
  <c r="AR40" i="53"/>
  <c r="AS40" i="50"/>
  <c r="AQ40" i="56"/>
  <c r="M40" i="57"/>
  <c r="AQ40" i="50"/>
  <c r="AS40" i="56"/>
  <c r="AQ40" i="55"/>
  <c r="G27" i="57"/>
  <c r="AR40" i="49"/>
  <c r="AQ40" i="52"/>
  <c r="AS40" i="54"/>
  <c r="AR40" i="51"/>
  <c r="AR40" i="48"/>
  <c r="AR40" i="54"/>
  <c r="AR40" i="52"/>
  <c r="G40" i="54"/>
  <c r="G40" i="53"/>
  <c r="G40" i="48"/>
  <c r="G30" i="57"/>
  <c r="G40" i="50"/>
  <c r="G40" i="49"/>
  <c r="G40" i="55"/>
  <c r="G40" i="52"/>
  <c r="G40" i="51"/>
  <c r="AS30" i="57"/>
  <c r="AS40" i="57" s="1"/>
  <c r="K40" i="57"/>
  <c r="G40" i="56"/>
  <c r="G40" i="57" l="1"/>
  <c r="R33" i="52" l="1"/>
  <c r="R12" i="55"/>
  <c r="R9" i="53"/>
  <c r="R17" i="56"/>
  <c r="R20" i="50"/>
  <c r="R24" i="50"/>
  <c r="R23" i="50"/>
  <c r="R37" i="55"/>
  <c r="R30" i="55"/>
  <c r="R24" i="55"/>
  <c r="R31" i="50"/>
  <c r="R18" i="53"/>
  <c r="R30" i="53"/>
  <c r="R30" i="56"/>
  <c r="R23" i="54"/>
  <c r="R18" i="56"/>
  <c r="R12" i="54"/>
  <c r="R17" i="54"/>
  <c r="R17" i="55"/>
  <c r="R37" i="56"/>
  <c r="R18" i="51"/>
  <c r="R12" i="50"/>
  <c r="R17" i="50"/>
  <c r="R33" i="50"/>
  <c r="R33" i="51"/>
  <c r="R23" i="52"/>
  <c r="R30" i="54"/>
  <c r="R33" i="54"/>
  <c r="R31" i="54"/>
  <c r="R37" i="54"/>
  <c r="R31" i="56"/>
  <c r="R33" i="55"/>
  <c r="R20" i="56"/>
  <c r="R9" i="56"/>
  <c r="R24" i="56"/>
  <c r="R33" i="56"/>
  <c r="R37" i="51"/>
  <c r="R25" i="53"/>
  <c r="R20" i="55"/>
  <c r="R23" i="51"/>
  <c r="R25" i="51"/>
  <c r="R31" i="55"/>
  <c r="R17" i="49"/>
  <c r="R12" i="56"/>
  <c r="R25" i="56"/>
  <c r="R24" i="49"/>
  <c r="R31" i="53"/>
  <c r="R23" i="55"/>
  <c r="R20" i="54"/>
  <c r="R30" i="50"/>
  <c r="R31" i="49"/>
  <c r="R30" i="51"/>
  <c r="R31" i="51"/>
  <c r="R18" i="52"/>
  <c r="R24" i="54"/>
  <c r="R9" i="51"/>
  <c r="R37" i="53"/>
  <c r="R9" i="49"/>
  <c r="R12" i="49"/>
  <c r="R18" i="49"/>
  <c r="R20" i="49"/>
  <c r="R25" i="49"/>
  <c r="R30" i="49"/>
  <c r="R37" i="49"/>
  <c r="R9" i="52"/>
  <c r="R12" i="51"/>
  <c r="R17" i="51"/>
  <c r="R20" i="51"/>
  <c r="R24" i="51"/>
  <c r="R23" i="56"/>
  <c r="R12" i="52"/>
  <c r="R17" i="52"/>
  <c r="R20" i="52"/>
  <c r="R24" i="52"/>
  <c r="R25" i="52"/>
  <c r="R30" i="52"/>
  <c r="R31" i="52"/>
  <c r="R37" i="52"/>
  <c r="R12" i="53"/>
  <c r="R17" i="53"/>
  <c r="R20" i="53"/>
  <c r="R23" i="53"/>
  <c r="R24" i="53"/>
  <c r="R33" i="53"/>
  <c r="R9" i="54"/>
  <c r="R18" i="54"/>
  <c r="R25" i="54"/>
  <c r="R9" i="55"/>
  <c r="R18" i="55"/>
  <c r="R25" i="55"/>
  <c r="R23" i="49"/>
  <c r="R33" i="49"/>
  <c r="R37" i="50"/>
  <c r="R25" i="50"/>
  <c r="R18" i="50"/>
  <c r="R9" i="50"/>
  <c r="R33" i="48" l="1"/>
  <c r="R9" i="48"/>
  <c r="R18" i="48"/>
  <c r="R25" i="48"/>
  <c r="R37" i="48"/>
  <c r="R23" i="48"/>
  <c r="R17" i="48"/>
  <c r="R24" i="48"/>
  <c r="R31" i="48"/>
  <c r="R12" i="48"/>
  <c r="R20" i="48"/>
  <c r="R30" i="48"/>
  <c r="R23" i="47"/>
  <c r="R33" i="47"/>
  <c r="R31" i="47"/>
  <c r="R24" i="47"/>
  <c r="R17" i="47"/>
  <c r="R30" i="47"/>
  <c r="R12" i="47"/>
  <c r="R37" i="47"/>
  <c r="R25" i="47"/>
  <c r="R18" i="47"/>
  <c r="R9" i="47"/>
  <c r="R33" i="46" l="1"/>
  <c r="R30" i="46"/>
  <c r="R30" i="57" l="1"/>
  <c r="R33" i="57"/>
  <c r="R20" i="46"/>
  <c r="R9" i="46" l="1"/>
  <c r="R18" i="46"/>
  <c r="R25" i="46"/>
  <c r="R12" i="46"/>
  <c r="R31" i="46"/>
  <c r="R16" i="52"/>
  <c r="R16" i="55"/>
  <c r="R16" i="48"/>
  <c r="R16" i="54"/>
  <c r="R16" i="51"/>
  <c r="R16" i="50"/>
  <c r="R16" i="49"/>
  <c r="R16" i="53"/>
  <c r="R16" i="56"/>
  <c r="R16" i="47"/>
  <c r="R16" i="46"/>
  <c r="R23" i="46"/>
  <c r="R37" i="46"/>
  <c r="R17" i="46"/>
  <c r="R24" i="46"/>
  <c r="R40" i="48" l="1"/>
  <c r="R40" i="50"/>
  <c r="R40" i="55"/>
  <c r="R12" i="57"/>
  <c r="R18" i="57"/>
  <c r="R37" i="57"/>
  <c r="R16" i="57"/>
  <c r="R17" i="57"/>
  <c r="R23" i="57"/>
  <c r="R40" i="56"/>
  <c r="R40" i="51"/>
  <c r="R40" i="52"/>
  <c r="R24" i="57"/>
  <c r="R40" i="49"/>
  <c r="R40" i="53"/>
  <c r="R40" i="54"/>
  <c r="R31" i="57"/>
  <c r="R25" i="57"/>
  <c r="R40" i="46"/>
  <c r="R9" i="57"/>
  <c r="R20" i="47" l="1"/>
  <c r="R20" i="57" l="1"/>
  <c r="R40" i="47"/>
  <c r="R40" i="57" l="1"/>
  <c r="Q8" i="49" l="1"/>
  <c r="Q16" i="50"/>
  <c r="Q38" i="54"/>
  <c r="Q12" i="51"/>
  <c r="Q25" i="54"/>
  <c r="Q32" i="54"/>
  <c r="Q12" i="56"/>
  <c r="Q22" i="56"/>
  <c r="Q32" i="56"/>
  <c r="Q10" i="53"/>
  <c r="Q11" i="55"/>
  <c r="Q10" i="51"/>
  <c r="Q22" i="54"/>
  <c r="Q20" i="55"/>
  <c r="Q10" i="55"/>
  <c r="Q22" i="52"/>
  <c r="Q25" i="48"/>
  <c r="Q15" i="48"/>
  <c r="Q10" i="48"/>
  <c r="Q25" i="55"/>
  <c r="Q20" i="50"/>
  <c r="Q25" i="50"/>
  <c r="Q32" i="50"/>
  <c r="Q22" i="55"/>
  <c r="Q12" i="54"/>
  <c r="Q28" i="55"/>
  <c r="Q15" i="55"/>
  <c r="Q28" i="48"/>
  <c r="Q20" i="48"/>
  <c r="Q11" i="48"/>
  <c r="Q24" i="50"/>
  <c r="Q15" i="53"/>
  <c r="Q12" i="50"/>
  <c r="Q8" i="54"/>
  <c r="Q16" i="54"/>
  <c r="Q8" i="50"/>
  <c r="Q25" i="53"/>
  <c r="Q8" i="51"/>
  <c r="Q16" i="51"/>
  <c r="Q24" i="51"/>
  <c r="Q38" i="51"/>
  <c r="Q32" i="52"/>
  <c r="Q8" i="56"/>
  <c r="Q16" i="56"/>
  <c r="Q24" i="56"/>
  <c r="Q38" i="56"/>
  <c r="Q22" i="53"/>
  <c r="Q11" i="53"/>
  <c r="Q20" i="53"/>
  <c r="Q28" i="53"/>
  <c r="Q32" i="51"/>
  <c r="Q12" i="48"/>
  <c r="Q10" i="49"/>
  <c r="Q10" i="50"/>
  <c r="Q38" i="48"/>
  <c r="Q24" i="48"/>
  <c r="Q16" i="48"/>
  <c r="Q8" i="48"/>
  <c r="Q40" i="48" s="1"/>
  <c r="Q10" i="52"/>
  <c r="Q32" i="48"/>
  <c r="Q22" i="48"/>
  <c r="Q32" i="53"/>
  <c r="Q15" i="56"/>
  <c r="Q10" i="54"/>
  <c r="Q38" i="49"/>
  <c r="Q38" i="50"/>
  <c r="Q12" i="55"/>
  <c r="Q15" i="50"/>
  <c r="Q22" i="51"/>
  <c r="Q15" i="52"/>
  <c r="Q25" i="56"/>
  <c r="Q25" i="51"/>
  <c r="Q24" i="54"/>
  <c r="Q28" i="50"/>
  <c r="Q12" i="52"/>
  <c r="Q10" i="56"/>
  <c r="Q24" i="49"/>
  <c r="Q25" i="49"/>
  <c r="Q15" i="51"/>
  <c r="Q25" i="52"/>
  <c r="Q12" i="53"/>
  <c r="Q15" i="54"/>
  <c r="Q32" i="55"/>
  <c r="Q11" i="50"/>
  <c r="Q16" i="49"/>
  <c r="Q15" i="49"/>
  <c r="Q22" i="50"/>
  <c r="Q11" i="51"/>
  <c r="Q20" i="51"/>
  <c r="Q28" i="51"/>
  <c r="Q11" i="52"/>
  <c r="Q20" i="52"/>
  <c r="Q28" i="52"/>
  <c r="Q8" i="53"/>
  <c r="Q16" i="53"/>
  <c r="Q24" i="53"/>
  <c r="Q38" i="53"/>
  <c r="Q11" i="54"/>
  <c r="Q20" i="54"/>
  <c r="Q28" i="54"/>
  <c r="Q8" i="55"/>
  <c r="Q16" i="55"/>
  <c r="Q24" i="55"/>
  <c r="Q38" i="55"/>
  <c r="Q11" i="56"/>
  <c r="Q20" i="56"/>
  <c r="Q28" i="56"/>
  <c r="Q38" i="52"/>
  <c r="Q24" i="52"/>
  <c r="Q16" i="52"/>
  <c r="Q8" i="52"/>
  <c r="Q11" i="49"/>
  <c r="Q20" i="49"/>
  <c r="Q28" i="49"/>
  <c r="Q12" i="49"/>
  <c r="Q22" i="49"/>
  <c r="Q32" i="49"/>
  <c r="Q40" i="53" l="1"/>
  <c r="Q40" i="49"/>
  <c r="Q40" i="55"/>
  <c r="Q40" i="56"/>
  <c r="Q40" i="50"/>
  <c r="Q40" i="52"/>
  <c r="Q40" i="51"/>
  <c r="Q40" i="54"/>
  <c r="Q10" i="47" l="1"/>
  <c r="Q15" i="47"/>
  <c r="Q20" i="47"/>
  <c r="Q28" i="47"/>
  <c r="Q12" i="47"/>
  <c r="Q22" i="47"/>
  <c r="Q32" i="47"/>
  <c r="Q25" i="47"/>
  <c r="Q11" i="47"/>
  <c r="Q8" i="47"/>
  <c r="Q16" i="47"/>
  <c r="Q24" i="47"/>
  <c r="Q38" i="47"/>
  <c r="Q40" i="47" l="1"/>
  <c r="Q15" i="46" l="1"/>
  <c r="Q15" i="57" s="1"/>
  <c r="Q12" i="46"/>
  <c r="Q12" i="57" s="1"/>
  <c r="Q25" i="46"/>
  <c r="Q25" i="57" s="1"/>
  <c r="Q8" i="46"/>
  <c r="Q38" i="46"/>
  <c r="Q38" i="57" s="1"/>
  <c r="Q24" i="46"/>
  <c r="Q24" i="57" s="1"/>
  <c r="Q20" i="46"/>
  <c r="Q20" i="57" s="1"/>
  <c r="Q16" i="46"/>
  <c r="Q16" i="57" s="1"/>
  <c r="Q32" i="46"/>
  <c r="Q32" i="57" s="1"/>
  <c r="Q28" i="46"/>
  <c r="Q28" i="57" s="1"/>
  <c r="Q22" i="46"/>
  <c r="Q22" i="57" s="1"/>
  <c r="Q8" i="57" l="1"/>
  <c r="Q10" i="46" l="1"/>
  <c r="Q10" i="57" l="1"/>
  <c r="Q11" i="46"/>
  <c r="Q11" i="57" s="1"/>
  <c r="Q40" i="46" l="1"/>
  <c r="Q40" i="57"/>
  <c r="P14" i="56" l="1"/>
  <c r="U14" i="56" s="1"/>
  <c r="C14" i="56" s="1"/>
  <c r="P24" i="55"/>
  <c r="U24" i="55" s="1"/>
  <c r="C24" i="55" s="1"/>
  <c r="P23" i="54"/>
  <c r="U23" i="54" s="1"/>
  <c r="C23" i="54" s="1"/>
  <c r="P16" i="55"/>
  <c r="U16" i="55" s="1"/>
  <c r="C16" i="55" s="1"/>
  <c r="P36" i="55"/>
  <c r="U36" i="55" s="1"/>
  <c r="C36" i="55" s="1"/>
  <c r="P27" i="52"/>
  <c r="U27" i="52" s="1"/>
  <c r="C27" i="52" s="1"/>
  <c r="P22" i="56"/>
  <c r="U22" i="56" s="1"/>
  <c r="C22" i="56" s="1"/>
  <c r="P24" i="53"/>
  <c r="U24" i="53" s="1"/>
  <c r="C24" i="53" s="1"/>
  <c r="P38" i="56"/>
  <c r="U38" i="56" s="1"/>
  <c r="C38" i="56" s="1"/>
  <c r="P18" i="52"/>
  <c r="U18" i="52" s="1"/>
  <c r="C18" i="52" s="1"/>
  <c r="P27" i="56"/>
  <c r="U27" i="56" s="1"/>
  <c r="C27" i="56" s="1"/>
  <c r="P37" i="55"/>
  <c r="U37" i="55" s="1"/>
  <c r="C37" i="55" s="1"/>
  <c r="P24" i="50"/>
  <c r="U24" i="50" s="1"/>
  <c r="C24" i="50" s="1"/>
  <c r="P19" i="52"/>
  <c r="U19" i="52" s="1"/>
  <c r="C19" i="52" s="1"/>
  <c r="P19" i="54"/>
  <c r="U19" i="54" s="1"/>
  <c r="C19" i="54" s="1"/>
  <c r="P21" i="56"/>
  <c r="U21" i="56" s="1"/>
  <c r="C21" i="56" s="1"/>
  <c r="P14" i="50"/>
  <c r="U14" i="50" s="1"/>
  <c r="C14" i="50" s="1"/>
  <c r="P30" i="56"/>
  <c r="U30" i="56" s="1"/>
  <c r="C30" i="56" s="1"/>
  <c r="P25" i="53"/>
  <c r="U25" i="53" s="1"/>
  <c r="C25" i="53" s="1"/>
  <c r="P28" i="51"/>
  <c r="U28" i="51" s="1"/>
  <c r="C28" i="51" s="1"/>
  <c r="P32" i="51"/>
  <c r="U32" i="51" s="1"/>
  <c r="C32" i="51" s="1"/>
  <c r="P27" i="51"/>
  <c r="U27" i="51" s="1"/>
  <c r="C27" i="51" s="1"/>
  <c r="P37" i="56"/>
  <c r="U37" i="56" s="1"/>
  <c r="C37" i="56" s="1"/>
  <c r="P11" i="56"/>
  <c r="U11" i="56" s="1"/>
  <c r="C11" i="56" s="1"/>
  <c r="P31" i="51"/>
  <c r="U31" i="51" s="1"/>
  <c r="C31" i="51" s="1"/>
  <c r="P7" i="52"/>
  <c r="P9" i="54"/>
  <c r="U9" i="54" s="1"/>
  <c r="C9" i="54" s="1"/>
  <c r="P22" i="55"/>
  <c r="U22" i="55" s="1"/>
  <c r="C22" i="55" s="1"/>
  <c r="P17" i="50"/>
  <c r="U17" i="50" s="1"/>
  <c r="C17" i="50" s="1"/>
  <c r="P19" i="51"/>
  <c r="U19" i="51" s="1"/>
  <c r="C19" i="51" s="1"/>
  <c r="P13" i="54"/>
  <c r="U13" i="54" s="1"/>
  <c r="C13" i="54" s="1"/>
  <c r="P21" i="55"/>
  <c r="U21" i="55" s="1"/>
  <c r="C21" i="55" s="1"/>
  <c r="P20" i="55"/>
  <c r="U20" i="55" s="1"/>
  <c r="C20" i="55" s="1"/>
  <c r="P16" i="53"/>
  <c r="U16" i="53" s="1"/>
  <c r="C16" i="53" s="1"/>
  <c r="P28" i="50"/>
  <c r="U28" i="50" s="1"/>
  <c r="C28" i="50" s="1"/>
  <c r="P13" i="51"/>
  <c r="U13" i="51" s="1"/>
  <c r="C13" i="51" s="1"/>
  <c r="P8" i="50"/>
  <c r="U8" i="50" s="1"/>
  <c r="C8" i="50" s="1"/>
  <c r="P12" i="50"/>
  <c r="U12" i="50" s="1"/>
  <c r="C12" i="50" s="1"/>
  <c r="P34" i="50"/>
  <c r="U34" i="50" s="1"/>
  <c r="C34" i="50" s="1"/>
  <c r="P32" i="53"/>
  <c r="U32" i="53" s="1"/>
  <c r="C32" i="53" s="1"/>
  <c r="P9" i="56"/>
  <c r="U9" i="56" s="1"/>
  <c r="C9" i="56" s="1"/>
  <c r="P28" i="53"/>
  <c r="U28" i="53" s="1"/>
  <c r="C28" i="53" s="1"/>
  <c r="P17" i="54"/>
  <c r="U17" i="54" s="1"/>
  <c r="C17" i="54" s="1"/>
  <c r="P25" i="56"/>
  <c r="U25" i="56" s="1"/>
  <c r="C25" i="56" s="1"/>
  <c r="P22" i="53"/>
  <c r="U22" i="53" s="1"/>
  <c r="C22" i="53" s="1"/>
  <c r="P26" i="53"/>
  <c r="U26" i="53" s="1"/>
  <c r="C26" i="53" s="1"/>
  <c r="P7" i="54"/>
  <c r="P29" i="54"/>
  <c r="U29" i="54" s="1"/>
  <c r="C29" i="54" s="1"/>
  <c r="P38" i="54"/>
  <c r="U38" i="54" s="1"/>
  <c r="C38" i="54" s="1"/>
  <c r="P35" i="52"/>
  <c r="U35" i="52" s="1"/>
  <c r="C35" i="52" s="1"/>
  <c r="P25" i="51"/>
  <c r="U25" i="51" s="1"/>
  <c r="C25" i="51" s="1"/>
  <c r="P25" i="54"/>
  <c r="U25" i="54" s="1"/>
  <c r="C25" i="54" s="1"/>
  <c r="P18" i="55"/>
  <c r="U18" i="55" s="1"/>
  <c r="C18" i="55" s="1"/>
  <c r="P28" i="55"/>
  <c r="U28" i="55" s="1"/>
  <c r="C28" i="55" s="1"/>
  <c r="P32" i="55"/>
  <c r="U32" i="55" s="1"/>
  <c r="C32" i="55" s="1"/>
  <c r="P29" i="56"/>
  <c r="U29" i="56" s="1"/>
  <c r="C29" i="56" s="1"/>
  <c r="P25" i="50"/>
  <c r="U25" i="50" s="1"/>
  <c r="C25" i="50" s="1"/>
  <c r="P11" i="52"/>
  <c r="U11" i="52" s="1"/>
  <c r="C11" i="52" s="1"/>
  <c r="P35" i="54"/>
  <c r="U35" i="54" s="1"/>
  <c r="C35" i="54" s="1"/>
  <c r="P30" i="50"/>
  <c r="U30" i="50" s="1"/>
  <c r="C30" i="50" s="1"/>
  <c r="P31" i="54"/>
  <c r="U31" i="54" s="1"/>
  <c r="C31" i="54" s="1"/>
  <c r="P17" i="51"/>
  <c r="U17" i="51" s="1"/>
  <c r="C17" i="51" s="1"/>
  <c r="P10" i="51"/>
  <c r="U10" i="51" s="1"/>
  <c r="C10" i="51" s="1"/>
  <c r="P35" i="51"/>
  <c r="U35" i="51" s="1"/>
  <c r="C35" i="51" s="1"/>
  <c r="P37" i="52"/>
  <c r="U37" i="52" s="1"/>
  <c r="C37" i="52" s="1"/>
  <c r="P14" i="53"/>
  <c r="U14" i="53" s="1"/>
  <c r="C14" i="53" s="1"/>
  <c r="P33" i="56"/>
  <c r="U33" i="56" s="1"/>
  <c r="C33" i="56" s="1"/>
  <c r="P34" i="56"/>
  <c r="U34" i="56" s="1"/>
  <c r="C34" i="56" s="1"/>
  <c r="P31" i="52"/>
  <c r="U31" i="52" s="1"/>
  <c r="C31" i="52" s="1"/>
  <c r="P17" i="53"/>
  <c r="U17" i="53" s="1"/>
  <c r="C17" i="53" s="1"/>
  <c r="P29" i="55"/>
  <c r="U29" i="55" s="1"/>
  <c r="C29" i="55" s="1"/>
  <c r="P35" i="56"/>
  <c r="U35" i="56" s="1"/>
  <c r="C35" i="56" s="1"/>
  <c r="P9" i="51"/>
  <c r="U9" i="51" s="1"/>
  <c r="C9" i="51" s="1"/>
  <c r="P9" i="52"/>
  <c r="U9" i="52" s="1"/>
  <c r="C9" i="52" s="1"/>
  <c r="P15" i="52"/>
  <c r="U15" i="52" s="1"/>
  <c r="C15" i="52" s="1"/>
  <c r="P8" i="53"/>
  <c r="U8" i="53" s="1"/>
  <c r="C8" i="53" s="1"/>
  <c r="P12" i="53"/>
  <c r="U12" i="53" s="1"/>
  <c r="C12" i="53" s="1"/>
  <c r="P15" i="53"/>
  <c r="U15" i="53" s="1"/>
  <c r="C15" i="53" s="1"/>
  <c r="P29" i="53"/>
  <c r="U29" i="53" s="1"/>
  <c r="C29" i="53" s="1"/>
  <c r="P34" i="53"/>
  <c r="U34" i="53" s="1"/>
  <c r="C34" i="53" s="1"/>
  <c r="P37" i="53"/>
  <c r="U37" i="53" s="1"/>
  <c r="C37" i="53" s="1"/>
  <c r="P12" i="55"/>
  <c r="U12" i="55" s="1"/>
  <c r="C12" i="55" s="1"/>
  <c r="P33" i="55"/>
  <c r="U33" i="55" s="1"/>
  <c r="C33" i="55" s="1"/>
  <c r="P34" i="55"/>
  <c r="U34" i="55" s="1"/>
  <c r="C34" i="55" s="1"/>
  <c r="P23" i="50"/>
  <c r="U23" i="50" s="1"/>
  <c r="C23" i="50" s="1"/>
  <c r="P15" i="49"/>
  <c r="U15" i="49" s="1"/>
  <c r="C15" i="49" s="1"/>
  <c r="P26" i="52"/>
  <c r="U26" i="52" s="1"/>
  <c r="C26" i="52" s="1"/>
  <c r="P20" i="53"/>
  <c r="U20" i="53" s="1"/>
  <c r="C20" i="53" s="1"/>
  <c r="P30" i="53"/>
  <c r="U30" i="53" s="1"/>
  <c r="C30" i="53" s="1"/>
  <c r="P15" i="54"/>
  <c r="U15" i="54" s="1"/>
  <c r="C15" i="54" s="1"/>
  <c r="P13" i="55"/>
  <c r="U13" i="55" s="1"/>
  <c r="C13" i="55" s="1"/>
  <c r="P38" i="55"/>
  <c r="U38" i="55" s="1"/>
  <c r="C38" i="55" s="1"/>
  <c r="P17" i="56"/>
  <c r="U17" i="56" s="1"/>
  <c r="C17" i="56" s="1"/>
  <c r="P24" i="49"/>
  <c r="U24" i="49" s="1"/>
  <c r="C24" i="49" s="1"/>
  <c r="P28" i="49"/>
  <c r="U28" i="49" s="1"/>
  <c r="C28" i="49" s="1"/>
  <c r="P36" i="49"/>
  <c r="U36" i="49" s="1"/>
  <c r="C36" i="49" s="1"/>
  <c r="P20" i="49"/>
  <c r="U20" i="49" s="1"/>
  <c r="C20" i="49" s="1"/>
  <c r="P11" i="49"/>
  <c r="U11" i="49" s="1"/>
  <c r="C11" i="49" s="1"/>
  <c r="P23" i="49"/>
  <c r="U23" i="49" s="1"/>
  <c r="C23" i="49" s="1"/>
  <c r="P27" i="49"/>
  <c r="U27" i="49" s="1"/>
  <c r="C27" i="49" s="1"/>
  <c r="P35" i="49"/>
  <c r="U35" i="49" s="1"/>
  <c r="C35" i="49" s="1"/>
  <c r="P18" i="53"/>
  <c r="U18" i="53" s="1"/>
  <c r="C18" i="53" s="1"/>
  <c r="P33" i="54"/>
  <c r="U33" i="54" s="1"/>
  <c r="C33" i="54" s="1"/>
  <c r="P37" i="54"/>
  <c r="U37" i="54" s="1"/>
  <c r="C37" i="54" s="1"/>
  <c r="P7" i="49"/>
  <c r="P19" i="49"/>
  <c r="U19" i="49" s="1"/>
  <c r="C19" i="49" s="1"/>
  <c r="P31" i="49"/>
  <c r="U31" i="49" s="1"/>
  <c r="C31" i="49" s="1"/>
  <c r="P12" i="49"/>
  <c r="U12" i="49" s="1"/>
  <c r="C12" i="49" s="1"/>
  <c r="P32" i="49"/>
  <c r="U32" i="49" s="1"/>
  <c r="C32" i="49" s="1"/>
  <c r="P19" i="56"/>
  <c r="U19" i="56" s="1"/>
  <c r="C19" i="56" s="1"/>
  <c r="P20" i="50"/>
  <c r="U20" i="50" s="1"/>
  <c r="C20" i="50" s="1"/>
  <c r="P37" i="50"/>
  <c r="U37" i="50" s="1"/>
  <c r="C37" i="50" s="1"/>
  <c r="P8" i="51"/>
  <c r="U8" i="51" s="1"/>
  <c r="C8" i="51" s="1"/>
  <c r="P20" i="51"/>
  <c r="U20" i="51" s="1"/>
  <c r="C20" i="51" s="1"/>
  <c r="P21" i="51"/>
  <c r="U21" i="51" s="1"/>
  <c r="C21" i="51" s="1"/>
  <c r="P30" i="52"/>
  <c r="U30" i="52" s="1"/>
  <c r="C30" i="52" s="1"/>
  <c r="P21" i="54"/>
  <c r="U21" i="54" s="1"/>
  <c r="C21" i="54" s="1"/>
  <c r="P10" i="50"/>
  <c r="U10" i="50" s="1"/>
  <c r="C10" i="50" s="1"/>
  <c r="P32" i="50"/>
  <c r="U32" i="50" s="1"/>
  <c r="C32" i="50" s="1"/>
  <c r="P29" i="50"/>
  <c r="U29" i="50" s="1"/>
  <c r="C29" i="50" s="1"/>
  <c r="P33" i="51"/>
  <c r="U33" i="51" s="1"/>
  <c r="C33" i="51" s="1"/>
  <c r="P23" i="51"/>
  <c r="U23" i="51" s="1"/>
  <c r="C23" i="51" s="1"/>
  <c r="P11" i="51"/>
  <c r="U11" i="51" s="1"/>
  <c r="C11" i="51" s="1"/>
  <c r="P34" i="52"/>
  <c r="U34" i="52" s="1"/>
  <c r="C34" i="52" s="1"/>
  <c r="P23" i="52"/>
  <c r="U23" i="52" s="1"/>
  <c r="C23" i="52" s="1"/>
  <c r="P10" i="52"/>
  <c r="U10" i="52" s="1"/>
  <c r="C10" i="52" s="1"/>
  <c r="P10" i="53"/>
  <c r="U10" i="53" s="1"/>
  <c r="C10" i="53" s="1"/>
  <c r="P27" i="54"/>
  <c r="U27" i="54" s="1"/>
  <c r="C27" i="54" s="1"/>
  <c r="P24" i="51"/>
  <c r="U24" i="51" s="1"/>
  <c r="C24" i="51" s="1"/>
  <c r="P17" i="52"/>
  <c r="U17" i="52" s="1"/>
  <c r="C17" i="52" s="1"/>
  <c r="P21" i="52"/>
  <c r="U21" i="52" s="1"/>
  <c r="C21" i="52" s="1"/>
  <c r="P33" i="52"/>
  <c r="U33" i="52" s="1"/>
  <c r="C33" i="52" s="1"/>
  <c r="P27" i="53"/>
  <c r="U27" i="53" s="1"/>
  <c r="C27" i="53" s="1"/>
  <c r="P12" i="54"/>
  <c r="U12" i="54" s="1"/>
  <c r="C12" i="54" s="1"/>
  <c r="P14" i="54"/>
  <c r="U14" i="54" s="1"/>
  <c r="C14" i="54" s="1"/>
  <c r="P32" i="54"/>
  <c r="U32" i="54" s="1"/>
  <c r="C32" i="54" s="1"/>
  <c r="P36" i="54"/>
  <c r="U36" i="54" s="1"/>
  <c r="C36" i="54" s="1"/>
  <c r="P13" i="56"/>
  <c r="U13" i="56" s="1"/>
  <c r="C13" i="56" s="1"/>
  <c r="P15" i="50"/>
  <c r="U15" i="50" s="1"/>
  <c r="C15" i="50" s="1"/>
  <c r="P16" i="50"/>
  <c r="U16" i="50" s="1"/>
  <c r="C16" i="50" s="1"/>
  <c r="P22" i="50"/>
  <c r="U22" i="50" s="1"/>
  <c r="C22" i="50" s="1"/>
  <c r="P36" i="50"/>
  <c r="U36" i="50" s="1"/>
  <c r="C36" i="50" s="1"/>
  <c r="P13" i="52"/>
  <c r="U13" i="52" s="1"/>
  <c r="C13" i="52" s="1"/>
  <c r="P33" i="53"/>
  <c r="U33" i="53" s="1"/>
  <c r="C33" i="53" s="1"/>
  <c r="P30" i="49"/>
  <c r="U30" i="49" s="1"/>
  <c r="C30" i="49" s="1"/>
  <c r="P34" i="49"/>
  <c r="U34" i="49" s="1"/>
  <c r="C34" i="49" s="1"/>
  <c r="P9" i="49"/>
  <c r="U9" i="49" s="1"/>
  <c r="C9" i="49" s="1"/>
  <c r="P7" i="50"/>
  <c r="P13" i="50"/>
  <c r="U13" i="50" s="1"/>
  <c r="C13" i="50" s="1"/>
  <c r="P21" i="49"/>
  <c r="U21" i="49" s="1"/>
  <c r="C21" i="49" s="1"/>
  <c r="P29" i="49"/>
  <c r="U29" i="49" s="1"/>
  <c r="C29" i="49" s="1"/>
  <c r="P37" i="49"/>
  <c r="U37" i="49" s="1"/>
  <c r="C37" i="49" s="1"/>
  <c r="P27" i="50"/>
  <c r="U27" i="50" s="1"/>
  <c r="C27" i="50" s="1"/>
  <c r="P31" i="50"/>
  <c r="U31" i="50" s="1"/>
  <c r="C31" i="50" s="1"/>
  <c r="P33" i="50"/>
  <c r="U33" i="50" s="1"/>
  <c r="C33" i="50" s="1"/>
  <c r="P9" i="50"/>
  <c r="U9" i="50" s="1"/>
  <c r="C9" i="50" s="1"/>
  <c r="P16" i="49"/>
  <c r="U16" i="49" s="1"/>
  <c r="C16" i="49" s="1"/>
  <c r="P8" i="49"/>
  <c r="U8" i="49" s="1"/>
  <c r="C8" i="49" s="1"/>
  <c r="P22" i="52"/>
  <c r="U22" i="52" s="1"/>
  <c r="C22" i="52" s="1"/>
  <c r="P36" i="53"/>
  <c r="U36" i="53" s="1"/>
  <c r="C36" i="53" s="1"/>
  <c r="P26" i="50"/>
  <c r="U26" i="50" s="1"/>
  <c r="C26" i="50" s="1"/>
  <c r="P35" i="50"/>
  <c r="U35" i="50" s="1"/>
  <c r="C35" i="50" s="1"/>
  <c r="P38" i="50"/>
  <c r="U38" i="50" s="1"/>
  <c r="C38" i="50" s="1"/>
  <c r="P8" i="55"/>
  <c r="U8" i="55" s="1"/>
  <c r="C8" i="55" s="1"/>
  <c r="P22" i="49"/>
  <c r="U22" i="49" s="1"/>
  <c r="C22" i="49" s="1"/>
  <c r="P26" i="49"/>
  <c r="U26" i="49" s="1"/>
  <c r="C26" i="49" s="1"/>
  <c r="P38" i="49"/>
  <c r="U38" i="49" s="1"/>
  <c r="C38" i="49" s="1"/>
  <c r="P17" i="49"/>
  <c r="U17" i="49" s="1"/>
  <c r="C17" i="49" s="1"/>
  <c r="P13" i="49"/>
  <c r="U13" i="49" s="1"/>
  <c r="C13" i="49" s="1"/>
  <c r="P11" i="50"/>
  <c r="U11" i="50" s="1"/>
  <c r="C11" i="50" s="1"/>
  <c r="P19" i="50"/>
  <c r="U19" i="50" s="1"/>
  <c r="C19" i="50" s="1"/>
  <c r="P21" i="50"/>
  <c r="U21" i="50" s="1"/>
  <c r="C21" i="50" s="1"/>
  <c r="P38" i="52"/>
  <c r="U38" i="52" s="1"/>
  <c r="C38" i="52" s="1"/>
  <c r="P38" i="53"/>
  <c r="U38" i="53" s="1"/>
  <c r="C38" i="53" s="1"/>
  <c r="P25" i="49"/>
  <c r="U25" i="49" s="1"/>
  <c r="C25" i="49" s="1"/>
  <c r="P33" i="49"/>
  <c r="U33" i="49" s="1"/>
  <c r="C33" i="49" s="1"/>
  <c r="P18" i="50"/>
  <c r="U18" i="50" s="1"/>
  <c r="C18" i="50" s="1"/>
  <c r="P29" i="51"/>
  <c r="U29" i="51" s="1"/>
  <c r="C29" i="51" s="1"/>
  <c r="P11" i="53"/>
  <c r="U11" i="53" s="1"/>
  <c r="C11" i="53" s="1"/>
  <c r="P7" i="51"/>
  <c r="P15" i="51"/>
  <c r="U15" i="51" s="1"/>
  <c r="C15" i="51" s="1"/>
  <c r="P18" i="49"/>
  <c r="U18" i="49" s="1"/>
  <c r="C18" i="49" s="1"/>
  <c r="P14" i="49"/>
  <c r="U14" i="49" s="1"/>
  <c r="C14" i="49" s="1"/>
  <c r="P10" i="49"/>
  <c r="U10" i="49" s="1"/>
  <c r="C10" i="49" s="1"/>
  <c r="P12" i="51"/>
  <c r="U12" i="51" s="1"/>
  <c r="C12" i="51" s="1"/>
  <c r="P16" i="51"/>
  <c r="U16" i="51" s="1"/>
  <c r="C16" i="51" s="1"/>
  <c r="P22" i="51"/>
  <c r="U22" i="51" s="1"/>
  <c r="C22" i="51" s="1"/>
  <c r="P26" i="51"/>
  <c r="U26" i="51" s="1"/>
  <c r="C26" i="51" s="1"/>
  <c r="P34" i="51"/>
  <c r="U34" i="51" s="1"/>
  <c r="C34" i="51" s="1"/>
  <c r="P38" i="51"/>
  <c r="U38" i="51" s="1"/>
  <c r="C38" i="51" s="1"/>
  <c r="P23" i="53"/>
  <c r="U23" i="53" s="1"/>
  <c r="C23" i="53" s="1"/>
  <c r="P14" i="51"/>
  <c r="U14" i="51" s="1"/>
  <c r="C14" i="51" s="1"/>
  <c r="P18" i="51"/>
  <c r="U18" i="51" s="1"/>
  <c r="C18" i="51" s="1"/>
  <c r="P30" i="51"/>
  <c r="U30" i="51" s="1"/>
  <c r="C30" i="51" s="1"/>
  <c r="P36" i="51"/>
  <c r="U36" i="51" s="1"/>
  <c r="C36" i="51" s="1"/>
  <c r="P37" i="51"/>
  <c r="U37" i="51" s="1"/>
  <c r="C37" i="51" s="1"/>
  <c r="P14" i="52"/>
  <c r="U14" i="52" s="1"/>
  <c r="C14" i="52" s="1"/>
  <c r="P13" i="53"/>
  <c r="U13" i="53" s="1"/>
  <c r="C13" i="53" s="1"/>
  <c r="P19" i="53"/>
  <c r="U19" i="53" s="1"/>
  <c r="C19" i="53" s="1"/>
  <c r="P10" i="54"/>
  <c r="U10" i="54" s="1"/>
  <c r="C10" i="54" s="1"/>
  <c r="P16" i="54"/>
  <c r="U16" i="54" s="1"/>
  <c r="C16" i="54" s="1"/>
  <c r="P18" i="54"/>
  <c r="U18" i="54" s="1"/>
  <c r="C18" i="54" s="1"/>
  <c r="P24" i="54"/>
  <c r="U24" i="54" s="1"/>
  <c r="C24" i="54" s="1"/>
  <c r="P26" i="54"/>
  <c r="U26" i="54" s="1"/>
  <c r="C26" i="54" s="1"/>
  <c r="P17" i="55"/>
  <c r="U17" i="55" s="1"/>
  <c r="C17" i="55" s="1"/>
  <c r="P25" i="52"/>
  <c r="U25" i="52" s="1"/>
  <c r="C25" i="52" s="1"/>
  <c r="P29" i="52"/>
  <c r="U29" i="52" s="1"/>
  <c r="C29" i="52" s="1"/>
  <c r="P7" i="53"/>
  <c r="P9" i="53"/>
  <c r="U9" i="53" s="1"/>
  <c r="C9" i="53" s="1"/>
  <c r="P21" i="53"/>
  <c r="U21" i="53" s="1"/>
  <c r="C21" i="53" s="1"/>
  <c r="P31" i="53"/>
  <c r="U31" i="53" s="1"/>
  <c r="C31" i="53" s="1"/>
  <c r="P35" i="53"/>
  <c r="U35" i="53" s="1"/>
  <c r="C35" i="53" s="1"/>
  <c r="P8" i="54"/>
  <c r="U8" i="54" s="1"/>
  <c r="C8" i="54" s="1"/>
  <c r="P20" i="54"/>
  <c r="U20" i="54" s="1"/>
  <c r="C20" i="54" s="1"/>
  <c r="P30" i="54"/>
  <c r="U30" i="54" s="1"/>
  <c r="C30" i="54" s="1"/>
  <c r="P28" i="54"/>
  <c r="U28" i="54" s="1"/>
  <c r="C28" i="54" s="1"/>
  <c r="P34" i="54"/>
  <c r="U34" i="54" s="1"/>
  <c r="C34" i="54" s="1"/>
  <c r="P25" i="55"/>
  <c r="U25" i="55" s="1"/>
  <c r="C25" i="55" s="1"/>
  <c r="P7" i="56"/>
  <c r="P10" i="56"/>
  <c r="U10" i="56" s="1"/>
  <c r="C10" i="56" s="1"/>
  <c r="P15" i="56"/>
  <c r="U15" i="56" s="1"/>
  <c r="C15" i="56" s="1"/>
  <c r="P18" i="56"/>
  <c r="U18" i="56" s="1"/>
  <c r="C18" i="56" s="1"/>
  <c r="P26" i="56"/>
  <c r="U26" i="56" s="1"/>
  <c r="C26" i="56" s="1"/>
  <c r="P22" i="54"/>
  <c r="U22" i="54" s="1"/>
  <c r="C22" i="54" s="1"/>
  <c r="P9" i="55"/>
  <c r="U9" i="55" s="1"/>
  <c r="C9" i="55" s="1"/>
  <c r="P20" i="56"/>
  <c r="U20" i="56" s="1"/>
  <c r="C20" i="56" s="1"/>
  <c r="P28" i="56"/>
  <c r="U28" i="56" s="1"/>
  <c r="C28" i="56" s="1"/>
  <c r="P36" i="56"/>
  <c r="U36" i="56" s="1"/>
  <c r="C36" i="56" s="1"/>
  <c r="P23" i="56"/>
  <c r="U23" i="56" s="1"/>
  <c r="C23" i="56" s="1"/>
  <c r="P12" i="56"/>
  <c r="U12" i="56" s="1"/>
  <c r="C12" i="56" s="1"/>
  <c r="P8" i="56"/>
  <c r="U8" i="56" s="1"/>
  <c r="C8" i="56" s="1"/>
  <c r="P16" i="56"/>
  <c r="U16" i="56" s="1"/>
  <c r="C16" i="56" s="1"/>
  <c r="P24" i="56"/>
  <c r="U24" i="56" s="1"/>
  <c r="C24" i="56" s="1"/>
  <c r="P32" i="56"/>
  <c r="U32" i="56" s="1"/>
  <c r="C32" i="56" s="1"/>
  <c r="P31" i="56"/>
  <c r="U31" i="56" s="1"/>
  <c r="C31" i="56" s="1"/>
  <c r="P15" i="55"/>
  <c r="U15" i="55" s="1"/>
  <c r="C15" i="55" s="1"/>
  <c r="P23" i="55"/>
  <c r="U23" i="55" s="1"/>
  <c r="C23" i="55" s="1"/>
  <c r="P31" i="55"/>
  <c r="U31" i="55" s="1"/>
  <c r="C31" i="55" s="1"/>
  <c r="P26" i="55"/>
  <c r="U26" i="55" s="1"/>
  <c r="C26" i="55" s="1"/>
  <c r="P10" i="55"/>
  <c r="U10" i="55" s="1"/>
  <c r="C10" i="55" s="1"/>
  <c r="P11" i="55"/>
  <c r="U11" i="55" s="1"/>
  <c r="C11" i="55" s="1"/>
  <c r="P19" i="55"/>
  <c r="U19" i="55" s="1"/>
  <c r="C19" i="55" s="1"/>
  <c r="P27" i="55"/>
  <c r="U27" i="55" s="1"/>
  <c r="C27" i="55" s="1"/>
  <c r="P35" i="55"/>
  <c r="U35" i="55" s="1"/>
  <c r="C35" i="55" s="1"/>
  <c r="P30" i="55"/>
  <c r="U30" i="55" s="1"/>
  <c r="C30" i="55" s="1"/>
  <c r="P14" i="55"/>
  <c r="U14" i="55" s="1"/>
  <c r="C14" i="55" s="1"/>
  <c r="P7" i="55"/>
  <c r="P11" i="54"/>
  <c r="U11" i="54" s="1"/>
  <c r="C11" i="54" s="1"/>
  <c r="P36" i="52"/>
  <c r="U36" i="52" s="1"/>
  <c r="C36" i="52" s="1"/>
  <c r="P32" i="52"/>
  <c r="U32" i="52" s="1"/>
  <c r="C32" i="52" s="1"/>
  <c r="P28" i="52"/>
  <c r="U28" i="52" s="1"/>
  <c r="C28" i="52" s="1"/>
  <c r="P24" i="52"/>
  <c r="U24" i="52" s="1"/>
  <c r="C24" i="52" s="1"/>
  <c r="P20" i="52"/>
  <c r="U20" i="52" s="1"/>
  <c r="C20" i="52" s="1"/>
  <c r="P16" i="52"/>
  <c r="U16" i="52" s="1"/>
  <c r="C16" i="52" s="1"/>
  <c r="P12" i="52"/>
  <c r="U12" i="52" s="1"/>
  <c r="C12" i="52" s="1"/>
  <c r="P8" i="52"/>
  <c r="U8" i="52" s="1"/>
  <c r="C8" i="52" s="1"/>
  <c r="P40" i="49" l="1"/>
  <c r="U7" i="49"/>
  <c r="P40" i="54"/>
  <c r="U7" i="54"/>
  <c r="P40" i="52"/>
  <c r="U7" i="52"/>
  <c r="P40" i="56"/>
  <c r="U7" i="56"/>
  <c r="P40" i="50"/>
  <c r="U7" i="50"/>
  <c r="P40" i="55"/>
  <c r="U7" i="55"/>
  <c r="P40" i="53"/>
  <c r="U7" i="53"/>
  <c r="P40" i="51"/>
  <c r="U7" i="51"/>
  <c r="C7" i="51" l="1"/>
  <c r="C40" i="51" s="1"/>
  <c r="U40" i="51"/>
  <c r="C7" i="56"/>
  <c r="C40" i="56" s="1"/>
  <c r="U40" i="56"/>
  <c r="C7" i="50"/>
  <c r="C40" i="50" s="1"/>
  <c r="U40" i="50"/>
  <c r="C7" i="55"/>
  <c r="C40" i="55" s="1"/>
  <c r="U40" i="55"/>
  <c r="C7" i="53"/>
  <c r="C40" i="53" s="1"/>
  <c r="U40" i="53"/>
  <c r="C7" i="54"/>
  <c r="C40" i="54" s="1"/>
  <c r="U40" i="54"/>
  <c r="C7" i="49"/>
  <c r="C40" i="49" s="1"/>
  <c r="U40" i="49"/>
  <c r="C7" i="52"/>
  <c r="C40" i="52" s="1"/>
  <c r="U40" i="52"/>
  <c r="P8" i="48" l="1"/>
  <c r="U8" i="48" s="1"/>
  <c r="C8" i="48" s="1"/>
  <c r="P10" i="48"/>
  <c r="U10" i="48" s="1"/>
  <c r="C10" i="48" s="1"/>
  <c r="P11" i="48"/>
  <c r="U11" i="48" s="1"/>
  <c r="C11" i="48" s="1"/>
  <c r="P7" i="48"/>
  <c r="U7" i="48" l="1"/>
  <c r="P38" i="48"/>
  <c r="U38" i="48" s="1"/>
  <c r="C38" i="48" s="1"/>
  <c r="P30" i="48"/>
  <c r="U30" i="48" s="1"/>
  <c r="C30" i="48" s="1"/>
  <c r="P22" i="48"/>
  <c r="U22" i="48" s="1"/>
  <c r="C22" i="48" s="1"/>
  <c r="P14" i="48"/>
  <c r="U14" i="48" s="1"/>
  <c r="C14" i="48" s="1"/>
  <c r="P37" i="48"/>
  <c r="U37" i="48" s="1"/>
  <c r="C37" i="48" s="1"/>
  <c r="P29" i="48"/>
  <c r="U29" i="48" s="1"/>
  <c r="C29" i="48" s="1"/>
  <c r="P21" i="48"/>
  <c r="U21" i="48" s="1"/>
  <c r="C21" i="48" s="1"/>
  <c r="P36" i="48"/>
  <c r="U36" i="48" s="1"/>
  <c r="C36" i="48" s="1"/>
  <c r="P35" i="48"/>
  <c r="U35" i="48" s="1"/>
  <c r="C35" i="48" s="1"/>
  <c r="P31" i="48"/>
  <c r="U31" i="48" s="1"/>
  <c r="C31" i="48" s="1"/>
  <c r="P27" i="48"/>
  <c r="U27" i="48" s="1"/>
  <c r="C27" i="48" s="1"/>
  <c r="P23" i="48"/>
  <c r="U23" i="48" s="1"/>
  <c r="C23" i="48" s="1"/>
  <c r="P19" i="48"/>
  <c r="U19" i="48" s="1"/>
  <c r="C19" i="48" s="1"/>
  <c r="P15" i="48"/>
  <c r="U15" i="48" s="1"/>
  <c r="C15" i="48" s="1"/>
  <c r="P34" i="48"/>
  <c r="U34" i="48" s="1"/>
  <c r="C34" i="48" s="1"/>
  <c r="P26" i="48"/>
  <c r="U26" i="48" s="1"/>
  <c r="C26" i="48" s="1"/>
  <c r="P18" i="48"/>
  <c r="U18" i="48" s="1"/>
  <c r="C18" i="48" s="1"/>
  <c r="P33" i="48"/>
  <c r="U33" i="48" s="1"/>
  <c r="C33" i="48" s="1"/>
  <c r="P25" i="48"/>
  <c r="U25" i="48" s="1"/>
  <c r="C25" i="48" s="1"/>
  <c r="P17" i="48"/>
  <c r="U17" i="48" s="1"/>
  <c r="C17" i="48" s="1"/>
  <c r="P13" i="48"/>
  <c r="U13" i="48" s="1"/>
  <c r="C13" i="48" s="1"/>
  <c r="P9" i="48"/>
  <c r="U9" i="48" s="1"/>
  <c r="C9" i="48" s="1"/>
  <c r="P32" i="48"/>
  <c r="U32" i="48" s="1"/>
  <c r="C32" i="48" s="1"/>
  <c r="P28" i="48"/>
  <c r="U28" i="48" s="1"/>
  <c r="C28" i="48" s="1"/>
  <c r="P24" i="48"/>
  <c r="U24" i="48" s="1"/>
  <c r="C24" i="48" s="1"/>
  <c r="P20" i="48"/>
  <c r="U20" i="48" s="1"/>
  <c r="C20" i="48" s="1"/>
  <c r="P16" i="48"/>
  <c r="U16" i="48" s="1"/>
  <c r="C16" i="48" s="1"/>
  <c r="P12" i="48"/>
  <c r="U12" i="48" s="1"/>
  <c r="C12" i="48" s="1"/>
  <c r="C7" i="48" l="1"/>
  <c r="C40" i="48" s="1"/>
  <c r="U40" i="48"/>
  <c r="P40" i="48"/>
  <c r="P32" i="47" l="1"/>
  <c r="U32" i="47" s="1"/>
  <c r="C32" i="47" s="1"/>
  <c r="P36" i="47"/>
  <c r="U36" i="47" s="1"/>
  <c r="C36" i="47" s="1"/>
  <c r="P9" i="47"/>
  <c r="U9" i="47" s="1"/>
  <c r="C9" i="47" s="1"/>
  <c r="P13" i="47"/>
  <c r="U13" i="47" s="1"/>
  <c r="C13" i="47" s="1"/>
  <c r="P17" i="47"/>
  <c r="U17" i="47" s="1"/>
  <c r="C17" i="47" s="1"/>
  <c r="P20" i="47"/>
  <c r="U20" i="47" s="1"/>
  <c r="C20" i="47" s="1"/>
  <c r="P7" i="47"/>
  <c r="P11" i="47"/>
  <c r="U11" i="47" s="1"/>
  <c r="C11" i="47" s="1"/>
  <c r="P15" i="47"/>
  <c r="U15" i="47" s="1"/>
  <c r="C15" i="47" s="1"/>
  <c r="P22" i="47"/>
  <c r="U22" i="47" s="1"/>
  <c r="C22" i="47" s="1"/>
  <c r="P26" i="47"/>
  <c r="U26" i="47" s="1"/>
  <c r="C26" i="47" s="1"/>
  <c r="P30" i="47"/>
  <c r="U30" i="47" s="1"/>
  <c r="C30" i="47" s="1"/>
  <c r="P34" i="47"/>
  <c r="U34" i="47" s="1"/>
  <c r="C34" i="47" s="1"/>
  <c r="P38" i="47"/>
  <c r="U38" i="47" s="1"/>
  <c r="C38" i="47" s="1"/>
  <c r="P23" i="47"/>
  <c r="U23" i="47" s="1"/>
  <c r="C23" i="47" s="1"/>
  <c r="P27" i="47"/>
  <c r="U27" i="47" s="1"/>
  <c r="C27" i="47" s="1"/>
  <c r="P25" i="47"/>
  <c r="U25" i="47" s="1"/>
  <c r="C25" i="47" s="1"/>
  <c r="P8" i="47"/>
  <c r="U8" i="47" s="1"/>
  <c r="C8" i="47" s="1"/>
  <c r="P12" i="47"/>
  <c r="U12" i="47" s="1"/>
  <c r="C12" i="47" s="1"/>
  <c r="P16" i="47"/>
  <c r="U16" i="47" s="1"/>
  <c r="C16" i="47" s="1"/>
  <c r="P19" i="47"/>
  <c r="U19" i="47" s="1"/>
  <c r="C19" i="47" s="1"/>
  <c r="P31" i="47"/>
  <c r="U31" i="47" s="1"/>
  <c r="C31" i="47" s="1"/>
  <c r="P35" i="47"/>
  <c r="U35" i="47" s="1"/>
  <c r="C35" i="47" s="1"/>
  <c r="P24" i="47"/>
  <c r="U24" i="47" s="1"/>
  <c r="C24" i="47" s="1"/>
  <c r="P28" i="47"/>
  <c r="U28" i="47" s="1"/>
  <c r="C28" i="47" s="1"/>
  <c r="P10" i="47"/>
  <c r="U10" i="47" s="1"/>
  <c r="C10" i="47" s="1"/>
  <c r="P14" i="47"/>
  <c r="U14" i="47" s="1"/>
  <c r="C14" i="47" s="1"/>
  <c r="P18" i="47"/>
  <c r="U18" i="47" s="1"/>
  <c r="C18" i="47" s="1"/>
  <c r="P21" i="47"/>
  <c r="U21" i="47" s="1"/>
  <c r="C21" i="47" s="1"/>
  <c r="P29" i="47"/>
  <c r="U29" i="47" s="1"/>
  <c r="C29" i="47" s="1"/>
  <c r="P33" i="47"/>
  <c r="U33" i="47" s="1"/>
  <c r="C33" i="47" s="1"/>
  <c r="P37" i="47"/>
  <c r="U37" i="47" s="1"/>
  <c r="C37" i="47" s="1"/>
  <c r="P40" i="47" l="1"/>
  <c r="U7" i="47"/>
  <c r="C7" i="47" l="1"/>
  <c r="C40" i="47" s="1"/>
  <c r="U40" i="47"/>
  <c r="P19" i="46"/>
  <c r="P19" i="57" l="1"/>
  <c r="U19" i="57" s="1"/>
  <c r="U19" i="46"/>
  <c r="C19" i="46" s="1"/>
  <c r="P37" i="46" l="1"/>
  <c r="P33" i="46"/>
  <c r="P33" i="57" l="1"/>
  <c r="U33" i="57" s="1"/>
  <c r="U33" i="46"/>
  <c r="C33" i="46" s="1"/>
  <c r="P37" i="57"/>
  <c r="U37" i="57" s="1"/>
  <c r="U37" i="46"/>
  <c r="C37" i="46" s="1"/>
  <c r="P13" i="46" l="1"/>
  <c r="P21" i="46"/>
  <c r="P29" i="46"/>
  <c r="P10" i="46"/>
  <c r="P18" i="46"/>
  <c r="P26" i="46"/>
  <c r="P35" i="46"/>
  <c r="P31" i="46"/>
  <c r="P16" i="46"/>
  <c r="P32" i="46"/>
  <c r="P15" i="46"/>
  <c r="P27" i="46"/>
  <c r="P36" i="46"/>
  <c r="P12" i="46"/>
  <c r="P20" i="46"/>
  <c r="P28" i="46"/>
  <c r="P38" i="46"/>
  <c r="P11" i="46"/>
  <c r="P23" i="46"/>
  <c r="P8" i="46"/>
  <c r="P24" i="46"/>
  <c r="P9" i="46"/>
  <c r="P17" i="46"/>
  <c r="P25" i="46"/>
  <c r="P34" i="46"/>
  <c r="P14" i="46"/>
  <c r="P22" i="46"/>
  <c r="P30" i="46"/>
  <c r="P7" i="46"/>
  <c r="P14" i="57" l="1"/>
  <c r="U14" i="57" s="1"/>
  <c r="U14" i="46"/>
  <c r="C14" i="46" s="1"/>
  <c r="P8" i="57"/>
  <c r="U8" i="57" s="1"/>
  <c r="U8" i="46"/>
  <c r="C8" i="46" s="1"/>
  <c r="P27" i="57"/>
  <c r="U27" i="57" s="1"/>
  <c r="U27" i="46"/>
  <c r="C27" i="46" s="1"/>
  <c r="P31" i="57"/>
  <c r="U31" i="57" s="1"/>
  <c r="U31" i="46"/>
  <c r="C31" i="46" s="1"/>
  <c r="P26" i="57"/>
  <c r="U26" i="57" s="1"/>
  <c r="U26" i="46"/>
  <c r="C26" i="46" s="1"/>
  <c r="P10" i="57"/>
  <c r="U10" i="57" s="1"/>
  <c r="U10" i="46"/>
  <c r="C10" i="46" s="1"/>
  <c r="P21" i="57"/>
  <c r="U21" i="57" s="1"/>
  <c r="U21" i="46"/>
  <c r="C21" i="46" s="1"/>
  <c r="P30" i="57"/>
  <c r="U30" i="57" s="1"/>
  <c r="U30" i="46"/>
  <c r="C30" i="46" s="1"/>
  <c r="P9" i="57"/>
  <c r="U9" i="57" s="1"/>
  <c r="U9" i="46"/>
  <c r="C9" i="46" s="1"/>
  <c r="P11" i="57"/>
  <c r="U11" i="57" s="1"/>
  <c r="U11" i="46"/>
  <c r="C11" i="46" s="1"/>
  <c r="P12" i="57"/>
  <c r="U12" i="57" s="1"/>
  <c r="U12" i="46"/>
  <c r="C12" i="46" s="1"/>
  <c r="P22" i="57"/>
  <c r="U22" i="57" s="1"/>
  <c r="U22" i="46"/>
  <c r="C22" i="46" s="1"/>
  <c r="P17" i="57"/>
  <c r="U17" i="57" s="1"/>
  <c r="U17" i="46"/>
  <c r="C17" i="46" s="1"/>
  <c r="P23" i="57"/>
  <c r="U23" i="57" s="1"/>
  <c r="U23" i="46"/>
  <c r="C23" i="46" s="1"/>
  <c r="P20" i="57"/>
  <c r="U20" i="57" s="1"/>
  <c r="U20" i="46"/>
  <c r="C20" i="46" s="1"/>
  <c r="P35" i="57"/>
  <c r="U35" i="57" s="1"/>
  <c r="U35" i="46"/>
  <c r="C35" i="46" s="1"/>
  <c r="P18" i="57"/>
  <c r="U18" i="57" s="1"/>
  <c r="U18" i="46"/>
  <c r="C18" i="46" s="1"/>
  <c r="P29" i="57"/>
  <c r="U29" i="57" s="1"/>
  <c r="U29" i="46"/>
  <c r="C29" i="46" s="1"/>
  <c r="P13" i="57"/>
  <c r="U13" i="57" s="1"/>
  <c r="U13" i="46"/>
  <c r="C13" i="46" s="1"/>
  <c r="P25" i="57"/>
  <c r="U25" i="57" s="1"/>
  <c r="U25" i="46"/>
  <c r="C25" i="46" s="1"/>
  <c r="P28" i="57"/>
  <c r="U28" i="57" s="1"/>
  <c r="U28" i="46"/>
  <c r="C28" i="46" s="1"/>
  <c r="P32" i="57"/>
  <c r="U32" i="57" s="1"/>
  <c r="U32" i="46"/>
  <c r="C32" i="46" s="1"/>
  <c r="P7" i="57"/>
  <c r="P40" i="46"/>
  <c r="U7" i="46"/>
  <c r="P34" i="57"/>
  <c r="U34" i="57" s="1"/>
  <c r="U34" i="46"/>
  <c r="C34" i="46" s="1"/>
  <c r="P24" i="57"/>
  <c r="U24" i="57" s="1"/>
  <c r="U24" i="46"/>
  <c r="C24" i="46" s="1"/>
  <c r="P38" i="57"/>
  <c r="U38" i="57" s="1"/>
  <c r="U38" i="46"/>
  <c r="C38" i="46" s="1"/>
  <c r="P36" i="57"/>
  <c r="U36" i="57" s="1"/>
  <c r="U36" i="46"/>
  <c r="C36" i="46" s="1"/>
  <c r="P15" i="57"/>
  <c r="U15" i="57" s="1"/>
  <c r="U15" i="46"/>
  <c r="C15" i="46" s="1"/>
  <c r="P16" i="57"/>
  <c r="U16" i="57" s="1"/>
  <c r="U16" i="46"/>
  <c r="C16" i="46" s="1"/>
  <c r="C7" i="46" l="1"/>
  <c r="C40" i="46" s="1"/>
  <c r="U40" i="46"/>
  <c r="P40" i="57"/>
  <c r="U7" i="57"/>
  <c r="U40" i="57" s="1"/>
</calcChain>
</file>

<file path=xl/comments1.xml><?xml version="1.0" encoding="utf-8"?>
<comments xmlns="http://schemas.openxmlformats.org/spreadsheetml/2006/main">
  <authors>
    <author>DJUOMBESSY</author>
  </authors>
  <commentLis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T75 000 DJOUNGOUE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VERSEMENT ESPECES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102000 PAIEMENT PETIT LOT DE T100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DE 5 000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JANVIER ET FEVRIER 2024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KOUAMO MOISE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YOUMBY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MBONING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NGONDIEP CLAUDE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REMBOURSEMENT
RECONDUIT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23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24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<sst xmlns="http://schemas.openxmlformats.org/spreadsheetml/2006/main" count="4724" uniqueCount="206">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</sst>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ABBHISTOBQU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3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7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HISTOBQU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HISTOBQU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3"/>
      <sheetName val="HISTOBQUEFEV23"/>
      <sheetName val="HISTOBQUEMARS23"/>
      <sheetName val="HISTOBQUEAVRIL23"/>
      <sheetName val="HISTOBQUEMAI23"/>
      <sheetName val="HISTOBQUEJUIN23"/>
      <sheetName val="HISTOBQUEJUIL23"/>
      <sheetName val="HISTOBQUEAOUT23"/>
      <sheetName val="HISTOBQUESEPT23"/>
      <sheetName val="HISTOBQUEOCT23"/>
      <sheetName val="HISTOBQUENOV23"/>
      <sheetName val="HISTOBQUEDEC23"/>
      <sheetName val="HISTOBQUERESUME23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104000</v>
          </cell>
          <cell r="F7">
            <v>104000</v>
          </cell>
        </row>
        <row r="8">
          <cell r="A8" t="str">
            <v>AS201602</v>
          </cell>
          <cell r="B8" t="str">
            <v>BOUTCHOUANG WILLIAM</v>
          </cell>
          <cell r="C8">
            <v>105000</v>
          </cell>
          <cell r="D8">
            <v>10000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160000</v>
          </cell>
          <cell r="F9">
            <v>160000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  <cell r="G10">
            <v>250000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280000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320000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180000</v>
          </cell>
          <cell r="D18">
            <v>35000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215000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160000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D24">
            <v>5000</v>
          </cell>
          <cell r="F24">
            <v>215000</v>
          </cell>
          <cell r="G24">
            <v>115000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D25">
            <v>10000</v>
          </cell>
          <cell r="F25">
            <v>290000</v>
          </cell>
        </row>
        <row r="26">
          <cell r="A26" t="str">
            <v>AS201628</v>
          </cell>
          <cell r="B26" t="str">
            <v>NKAMGANG JUSTIN DEJOLIE</v>
          </cell>
          <cell r="D26">
            <v>40000</v>
          </cell>
          <cell r="F26">
            <v>40000</v>
          </cell>
        </row>
        <row r="27">
          <cell r="A27" t="str">
            <v>AS201656</v>
          </cell>
          <cell r="B27" t="str">
            <v>NOUBE ETIENNE</v>
          </cell>
          <cell r="D27">
            <v>65000</v>
          </cell>
          <cell r="F27">
            <v>65000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D29">
            <v>65000</v>
          </cell>
          <cell r="F29">
            <v>65000</v>
          </cell>
        </row>
        <row r="30">
          <cell r="A30" t="str">
            <v>AS201653</v>
          </cell>
          <cell r="B30" t="str">
            <v>SIME BRICE</v>
          </cell>
          <cell r="D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250000</v>
          </cell>
          <cell r="F31">
            <v>250000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3465000</v>
          </cell>
          <cell r="D38">
            <v>589000</v>
          </cell>
          <cell r="E38">
            <v>0</v>
          </cell>
          <cell r="F38">
            <v>4054000</v>
          </cell>
          <cell r="G38">
            <v>2705000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615000</v>
          </cell>
          <cell r="F8">
            <v>615000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120000</v>
          </cell>
          <cell r="D9">
            <v>80000</v>
          </cell>
          <cell r="F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103000</v>
          </cell>
          <cell r="F10">
            <v>103000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177000</v>
          </cell>
          <cell r="F11">
            <v>177000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D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E16">
            <v>1000000</v>
          </cell>
          <cell r="F16">
            <v>1250000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51000</v>
          </cell>
          <cell r="D18">
            <v>266000</v>
          </cell>
          <cell r="F18">
            <v>317000</v>
          </cell>
        </row>
        <row r="19">
          <cell r="A19" t="str">
            <v>AS201620</v>
          </cell>
          <cell r="B19" t="str">
            <v>LOWE JEAN</v>
          </cell>
          <cell r="D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107000</v>
          </cell>
          <cell r="D20">
            <v>215000</v>
          </cell>
          <cell r="F20">
            <v>322000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551000</v>
          </cell>
          <cell r="F24">
            <v>551000</v>
          </cell>
        </row>
        <row r="25">
          <cell r="A25" t="str">
            <v>AS201626</v>
          </cell>
          <cell r="B25" t="str">
            <v>NGUIEMEGNI MATHIEU BLAISE</v>
          </cell>
          <cell r="C25">
            <v>451000</v>
          </cell>
          <cell r="D25">
            <v>50000</v>
          </cell>
          <cell r="E25">
            <v>70000</v>
          </cell>
          <cell r="F25">
            <v>571000</v>
          </cell>
        </row>
        <row r="26">
          <cell r="A26" t="str">
            <v>AS201628</v>
          </cell>
          <cell r="B26" t="str">
            <v>NKAMGANG JUSTIN DEJOLIE</v>
          </cell>
          <cell r="D26">
            <v>102000</v>
          </cell>
          <cell r="E26">
            <v>70000</v>
          </cell>
          <cell r="F26">
            <v>172000</v>
          </cell>
        </row>
        <row r="27">
          <cell r="A27" t="str">
            <v>AS201656</v>
          </cell>
          <cell r="B27" t="str">
            <v>NOUBE ETIENNE</v>
          </cell>
          <cell r="C27">
            <v>40000</v>
          </cell>
          <cell r="F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D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4300000</v>
          </cell>
          <cell r="D38">
            <v>1013000</v>
          </cell>
          <cell r="E38">
            <v>1140000</v>
          </cell>
          <cell r="F38">
            <v>6453000</v>
          </cell>
          <cell r="G38">
            <v>0</v>
          </cell>
        </row>
        <row r="40">
          <cell r="E40">
            <v>422000</v>
          </cell>
        </row>
        <row r="41">
          <cell r="E41">
            <v>201000</v>
          </cell>
        </row>
        <row r="42">
          <cell r="E42">
            <v>390000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20000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  <cell r="G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82000</v>
          </cell>
          <cell r="F10">
            <v>82000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20000</v>
          </cell>
          <cell r="F11">
            <v>20000</v>
          </cell>
          <cell r="G11">
            <v>320000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250000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72500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267000</v>
          </cell>
        </row>
        <row r="20">
          <cell r="A20" t="str">
            <v>AS201649</v>
          </cell>
          <cell r="B20" t="str">
            <v>MBOGNING TUGMA GUY</v>
          </cell>
          <cell r="C20">
            <v>403500</v>
          </cell>
          <cell r="F20">
            <v>403500</v>
          </cell>
          <cell r="G20">
            <v>319000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D24">
            <v>215000</v>
          </cell>
          <cell r="F24">
            <v>215000</v>
          </cell>
          <cell r="G24">
            <v>290000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50000</v>
          </cell>
        </row>
        <row r="26">
          <cell r="A26" t="str">
            <v>AS201628</v>
          </cell>
          <cell r="B26" t="str">
            <v>NKAMGANG JUSTIN DEJOLIE</v>
          </cell>
          <cell r="D26">
            <v>84000</v>
          </cell>
          <cell r="F26">
            <v>84000</v>
          </cell>
          <cell r="G26">
            <v>280000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140000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115000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82000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  <cell r="G32">
            <v>34000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115000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34000</v>
          </cell>
          <cell r="F35">
            <v>34000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3684500</v>
          </cell>
          <cell r="D38">
            <v>299000</v>
          </cell>
          <cell r="E38">
            <v>0</v>
          </cell>
          <cell r="F38">
            <v>3983500</v>
          </cell>
          <cell r="G38">
            <v>3684500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F9">
            <v>145000</v>
          </cell>
          <cell r="G9">
            <v>40000</v>
          </cell>
        </row>
        <row r="10">
          <cell r="A10" t="str">
            <v>AS201654</v>
          </cell>
          <cell r="B10" t="str">
            <v>DJOMOU TCHAPDA</v>
          </cell>
          <cell r="D10">
            <v>43000</v>
          </cell>
          <cell r="F10">
            <v>43000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241000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516000</v>
          </cell>
        </row>
        <row r="16">
          <cell r="A16" t="str">
            <v>AS201613</v>
          </cell>
          <cell r="B16" t="str">
            <v>HOTCHO BENJAMIN</v>
          </cell>
          <cell r="C16">
            <v>516000</v>
          </cell>
          <cell r="F16">
            <v>516000</v>
          </cell>
          <cell r="G16">
            <v>160000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  <cell r="G17">
            <v>422000</v>
          </cell>
        </row>
        <row r="18">
          <cell r="A18" t="str">
            <v>AS201619</v>
          </cell>
          <cell r="B18" t="str">
            <v>KOUATCHO MESSACK</v>
          </cell>
          <cell r="C18">
            <v>419000</v>
          </cell>
          <cell r="F18">
            <v>419000</v>
          </cell>
          <cell r="G18">
            <v>452000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320000</v>
          </cell>
        </row>
        <row r="20">
          <cell r="A20" t="str">
            <v>AS201649</v>
          </cell>
          <cell r="B20" t="str">
            <v>MBOGNING TUGMA GUY</v>
          </cell>
          <cell r="C20">
            <v>422000</v>
          </cell>
          <cell r="F20">
            <v>422000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280000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  <cell r="G24">
            <v>145000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220000</v>
          </cell>
        </row>
        <row r="26">
          <cell r="A26" t="str">
            <v>AS201628</v>
          </cell>
          <cell r="B26" t="str">
            <v>NKAMGANG JUSTIN DEJOLIE</v>
          </cell>
          <cell r="D26">
            <v>43000</v>
          </cell>
          <cell r="F26">
            <v>43000</v>
          </cell>
          <cell r="G26">
            <v>419000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160000</v>
          </cell>
          <cell r="F29">
            <v>160000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290000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115000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43000</v>
          </cell>
          <cell r="F33">
            <v>43000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F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4660000</v>
          </cell>
          <cell r="D38">
            <v>229000</v>
          </cell>
          <cell r="E38">
            <v>0</v>
          </cell>
          <cell r="F38">
            <v>4889000</v>
          </cell>
          <cell r="G38">
            <v>4660000</v>
          </cell>
        </row>
        <row r="41">
          <cell r="G41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255000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D9">
            <v>23000</v>
          </cell>
          <cell r="F9">
            <v>168000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D10">
            <v>105000</v>
          </cell>
          <cell r="F10">
            <v>105000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267000</v>
          </cell>
          <cell r="F11">
            <v>267000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420000</v>
          </cell>
          <cell r="E12">
            <v>70000</v>
          </cell>
          <cell r="F12">
            <v>490000</v>
          </cell>
          <cell r="G12">
            <v>380000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560000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420000</v>
          </cell>
        </row>
        <row r="15">
          <cell r="A15" t="str">
            <v>AS201611</v>
          </cell>
          <cell r="B15" t="str">
            <v>HENGUE PAUL OMER</v>
          </cell>
          <cell r="D15">
            <v>118000</v>
          </cell>
          <cell r="F15">
            <v>118000</v>
          </cell>
          <cell r="G15">
            <v>230000</v>
          </cell>
        </row>
        <row r="16">
          <cell r="A16" t="str">
            <v>AS201613</v>
          </cell>
          <cell r="B16" t="str">
            <v>HOTCHO BENJAMIN</v>
          </cell>
          <cell r="C16">
            <v>230000</v>
          </cell>
          <cell r="E16">
            <v>70000</v>
          </cell>
          <cell r="F16">
            <v>300000</v>
          </cell>
          <cell r="G16">
            <v>115000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315000</v>
          </cell>
          <cell r="F18">
            <v>315000</v>
          </cell>
          <cell r="G18">
            <v>40000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E19">
            <v>70000</v>
          </cell>
          <cell r="F19">
            <v>110000</v>
          </cell>
          <cell r="G19">
            <v>100000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F24">
            <v>210000</v>
          </cell>
          <cell r="G24">
            <v>367000</v>
          </cell>
        </row>
        <row r="25">
          <cell r="A25" t="str">
            <v>AS201626</v>
          </cell>
          <cell r="B25" t="str">
            <v>NGUIEMEGNI MATHIEU BLAISE</v>
          </cell>
          <cell r="C25">
            <v>380000</v>
          </cell>
          <cell r="F25">
            <v>380000</v>
          </cell>
          <cell r="G25">
            <v>250000</v>
          </cell>
        </row>
        <row r="26">
          <cell r="A26" t="str">
            <v>AS201628</v>
          </cell>
          <cell r="B26" t="str">
            <v>NKAMGANG JUSTIN DEJOLIE</v>
          </cell>
          <cell r="D26">
            <v>104000</v>
          </cell>
          <cell r="F26">
            <v>104000</v>
          </cell>
          <cell r="G26">
            <v>40000</v>
          </cell>
        </row>
        <row r="27">
          <cell r="A27" t="str">
            <v>AS201656</v>
          </cell>
          <cell r="B27" t="str">
            <v>NOUBE ETIENNE</v>
          </cell>
          <cell r="C27">
            <v>560000</v>
          </cell>
          <cell r="F27">
            <v>560000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315000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210000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255000</v>
          </cell>
          <cell r="F32">
            <v>255000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D35">
            <v>86000</v>
          </cell>
          <cell r="F35">
            <v>86000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4617000</v>
          </cell>
          <cell r="D38">
            <v>476000</v>
          </cell>
          <cell r="E38">
            <v>210000</v>
          </cell>
          <cell r="F38">
            <v>5303000</v>
          </cell>
          <cell r="G38">
            <v>4207000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191000</v>
          </cell>
          <cell r="F9">
            <v>191000</v>
          </cell>
          <cell r="G9">
            <v>170000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170000</v>
          </cell>
          <cell r="F11">
            <v>170000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388000</v>
          </cell>
          <cell r="F12">
            <v>388000</v>
          </cell>
          <cell r="G12">
            <v>350000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1215000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40000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1215000</v>
          </cell>
          <cell r="F18">
            <v>1215000</v>
          </cell>
          <cell r="G18">
            <v>115000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115000</v>
          </cell>
        </row>
        <row r="20">
          <cell r="A20" t="str">
            <v>AS201649</v>
          </cell>
          <cell r="B20" t="str">
            <v>MBOGNING TUGMA GUY</v>
          </cell>
          <cell r="C20">
            <v>998000</v>
          </cell>
          <cell r="F20">
            <v>998000</v>
          </cell>
          <cell r="G20">
            <v>102000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250000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E22">
            <v>70000</v>
          </cell>
          <cell r="F22">
            <v>185000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  <cell r="G24">
            <v>350000</v>
          </cell>
        </row>
        <row r="25">
          <cell r="A25" t="str">
            <v>AS201626</v>
          </cell>
          <cell r="B25" t="str">
            <v>NGUIEMEGNI MATHIEU BLAISE</v>
          </cell>
          <cell r="C25">
            <v>350000</v>
          </cell>
          <cell r="F25">
            <v>350000</v>
          </cell>
          <cell r="G25">
            <v>38500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F26">
            <v>40000</v>
          </cell>
          <cell r="G26">
            <v>250000</v>
          </cell>
        </row>
        <row r="27">
          <cell r="A27" t="str">
            <v>AS201656</v>
          </cell>
          <cell r="B27" t="str">
            <v>NOUBE ETIENNE</v>
          </cell>
          <cell r="C27">
            <v>45000</v>
          </cell>
          <cell r="F27">
            <v>45000</v>
          </cell>
          <cell r="G27">
            <v>202000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998000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40000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45000</v>
          </cell>
        </row>
        <row r="32">
          <cell r="A32" t="str">
            <v>AS201641</v>
          </cell>
          <cell r="B32" t="str">
            <v>TCHOUAMOU MATHIEU</v>
          </cell>
          <cell r="C32">
            <v>217000</v>
          </cell>
          <cell r="F32">
            <v>217000</v>
          </cell>
          <cell r="G32">
            <v>40000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  <cell r="G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  <cell r="G36">
            <v>470000</v>
          </cell>
        </row>
        <row r="38">
          <cell r="B38" t="str">
            <v>TOTAUX</v>
          </cell>
          <cell r="C38">
            <v>6096000</v>
          </cell>
          <cell r="D38">
            <v>43000</v>
          </cell>
          <cell r="E38">
            <v>70000</v>
          </cell>
          <cell r="F38">
            <v>6209000</v>
          </cell>
          <cell r="G38">
            <v>6045500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D7">
            <v>33500</v>
          </cell>
          <cell r="E7">
            <v>140000</v>
          </cell>
          <cell r="F7">
            <v>213500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241000</v>
          </cell>
          <cell r="D9">
            <v>87500</v>
          </cell>
          <cell r="F9">
            <v>328500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85500</v>
          </cell>
          <cell r="F11">
            <v>200500</v>
          </cell>
        </row>
        <row r="12">
          <cell r="A12" t="str">
            <v>AS201608</v>
          </cell>
          <cell r="B12" t="str">
            <v>DJUOMBESSY ANTOINE</v>
          </cell>
          <cell r="C12">
            <v>360000</v>
          </cell>
          <cell r="F12">
            <v>360000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E15">
            <v>70000</v>
          </cell>
          <cell r="F15">
            <v>185000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1021000</v>
          </cell>
          <cell r="F20">
            <v>1021000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43000</v>
          </cell>
          <cell r="F26">
            <v>43000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D32">
            <v>102000</v>
          </cell>
          <cell r="E32">
            <v>70000</v>
          </cell>
          <cell r="F32">
            <v>287000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4802000</v>
          </cell>
          <cell r="D38">
            <v>391500</v>
          </cell>
          <cell r="E38">
            <v>280000</v>
          </cell>
          <cell r="F38">
            <v>5473500</v>
          </cell>
          <cell r="G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D9">
            <v>202000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340000</v>
          </cell>
          <cell r="F19">
            <v>340000</v>
          </cell>
        </row>
        <row r="20">
          <cell r="A20" t="str">
            <v>AS201649</v>
          </cell>
          <cell r="B20" t="str">
            <v>MBOGNING TUGMA GUY</v>
          </cell>
          <cell r="C20">
            <v>586500</v>
          </cell>
          <cell r="F20">
            <v>586500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E21">
            <v>70000</v>
          </cell>
          <cell r="F21">
            <v>110000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270000</v>
          </cell>
          <cell r="F23">
            <v>270000</v>
          </cell>
        </row>
        <row r="24">
          <cell r="A24" t="str">
            <v>AS201624</v>
          </cell>
          <cell r="B24" t="str">
            <v>NGONDIEP CLAUDE</v>
          </cell>
          <cell r="C24">
            <v>320000</v>
          </cell>
          <cell r="F24">
            <v>320000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116000</v>
          </cell>
          <cell r="F26">
            <v>116000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E30">
            <v>70000</v>
          </cell>
          <cell r="F30">
            <v>185000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365000</v>
          </cell>
          <cell r="F32">
            <v>365000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5073500</v>
          </cell>
          <cell r="D38">
            <v>245000</v>
          </cell>
          <cell r="E38">
            <v>140000</v>
          </cell>
          <cell r="F38">
            <v>5458500</v>
          </cell>
          <cell r="G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340000</v>
          </cell>
          <cell r="F9">
            <v>340000</v>
          </cell>
        </row>
        <row r="10">
          <cell r="A10" t="str">
            <v>AS201654</v>
          </cell>
          <cell r="B10" t="str">
            <v>DJOMOU TCHAPDA</v>
          </cell>
          <cell r="C10">
            <v>141000</v>
          </cell>
          <cell r="F10">
            <v>141000</v>
          </cell>
        </row>
        <row r="11">
          <cell r="A11" t="str">
            <v>AS201605</v>
          </cell>
          <cell r="B11" t="str">
            <v>DJOUKWE NANGUEN GUY BLAISE</v>
          </cell>
          <cell r="C11">
            <v>347000</v>
          </cell>
          <cell r="F11">
            <v>347000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D18">
            <v>100000</v>
          </cell>
          <cell r="F18">
            <v>315000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528500</v>
          </cell>
          <cell r="F20">
            <v>528500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</row>
        <row r="25">
          <cell r="A25" t="str">
            <v>AS201626</v>
          </cell>
          <cell r="B25" t="str">
            <v>NGUIEMEGNI MATHIEU BLAISE</v>
          </cell>
          <cell r="C25">
            <v>440000</v>
          </cell>
          <cell r="F25">
            <v>440000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94000</v>
          </cell>
          <cell r="F26">
            <v>144000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191000</v>
          </cell>
          <cell r="F32">
            <v>191000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400000</v>
          </cell>
          <cell r="F36">
            <v>400000</v>
          </cell>
        </row>
        <row r="38">
          <cell r="B38" t="str">
            <v>TOTAUX</v>
          </cell>
          <cell r="C38">
            <v>4912500</v>
          </cell>
          <cell r="D38">
            <v>194000</v>
          </cell>
          <cell r="E38">
            <v>0</v>
          </cell>
          <cell r="F38">
            <v>5106500</v>
          </cell>
          <cell r="G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343000</v>
          </cell>
          <cell r="F10">
            <v>343000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59000</v>
          </cell>
          <cell r="F11">
            <v>174000</v>
          </cell>
        </row>
        <row r="12">
          <cell r="A12" t="str">
            <v>AS201608</v>
          </cell>
          <cell r="B12" t="str">
            <v>DJUOMBESSY ANTOINE</v>
          </cell>
          <cell r="C12">
            <v>522000</v>
          </cell>
          <cell r="F12">
            <v>522000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452000</v>
          </cell>
          <cell r="D16">
            <v>136500</v>
          </cell>
          <cell r="F16">
            <v>588500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355000</v>
          </cell>
          <cell r="F18">
            <v>355000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417000</v>
          </cell>
          <cell r="F20">
            <v>417000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400000</v>
          </cell>
          <cell r="D24">
            <v>17000</v>
          </cell>
          <cell r="F24">
            <v>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158500</v>
          </cell>
          <cell r="F26">
            <v>158500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80000</v>
          </cell>
          <cell r="F34">
            <v>80000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880000</v>
          </cell>
          <cell r="F36">
            <v>880000</v>
          </cell>
        </row>
        <row r="38">
          <cell r="B38" t="str">
            <v>TOTAUX</v>
          </cell>
          <cell r="C38">
            <v>5670000</v>
          </cell>
          <cell r="D38">
            <v>526000</v>
          </cell>
          <cell r="E38">
            <v>0</v>
          </cell>
          <cell r="F38">
            <v>6196000</v>
          </cell>
          <cell r="G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367000</v>
          </cell>
          <cell r="F18">
            <v>367000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245500</v>
          </cell>
          <cell r="F20">
            <v>245500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420000</v>
          </cell>
          <cell r="F24">
            <v>420000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102000</v>
          </cell>
          <cell r="F26">
            <v>102000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120000</v>
          </cell>
          <cell r="F33">
            <v>120000</v>
          </cell>
        </row>
        <row r="34">
          <cell r="A34" t="str">
            <v>AS201658</v>
          </cell>
          <cell r="B34" t="str">
            <v>YANTCHOU GERVAIS</v>
          </cell>
          <cell r="C34">
            <v>70000</v>
          </cell>
          <cell r="F34">
            <v>70000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593000</v>
          </cell>
          <cell r="F36">
            <v>593000</v>
          </cell>
        </row>
        <row r="38">
          <cell r="B38" t="str">
            <v>TOTAUX</v>
          </cell>
          <cell r="C38">
            <v>4923500</v>
          </cell>
          <cell r="D38">
            <v>142000</v>
          </cell>
          <cell r="E38">
            <v>0</v>
          </cell>
          <cell r="F38">
            <v>5065500</v>
          </cell>
          <cell r="G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669000</v>
          </cell>
          <cell r="F7">
            <v>669000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386000</v>
          </cell>
          <cell r="D9">
            <v>1000000</v>
          </cell>
          <cell r="F9">
            <v>1386000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1000000</v>
          </cell>
          <cell r="F11">
            <v>1115000</v>
          </cell>
        </row>
        <row r="12">
          <cell r="A12" t="str">
            <v>AS201608</v>
          </cell>
          <cell r="B12" t="str">
            <v>DJUOMBESSY ANTOINE</v>
          </cell>
          <cell r="C12">
            <v>1040000</v>
          </cell>
          <cell r="D12">
            <v>51000</v>
          </cell>
          <cell r="F12">
            <v>1091000</v>
          </cell>
        </row>
        <row r="13">
          <cell r="A13" t="str">
            <v>AS201651</v>
          </cell>
          <cell r="B13" t="str">
            <v>DOMOU FABIEN</v>
          </cell>
          <cell r="C13">
            <v>1040000</v>
          </cell>
          <cell r="F13">
            <v>1040000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1140000</v>
          </cell>
          <cell r="F17">
            <v>1140000</v>
          </cell>
        </row>
        <row r="18">
          <cell r="A18" t="str">
            <v>AS201619</v>
          </cell>
          <cell r="B18" t="str">
            <v>KOUATCHO MESSACK</v>
          </cell>
          <cell r="C18">
            <v>1000000</v>
          </cell>
          <cell r="D18">
            <v>447500</v>
          </cell>
          <cell r="F18">
            <v>1447500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D20">
            <v>1529000</v>
          </cell>
          <cell r="F20">
            <v>1529000</v>
          </cell>
        </row>
        <row r="21">
          <cell r="A21" t="str">
            <v>AS201639</v>
          </cell>
          <cell r="B21" t="str">
            <v>NANGUEN MARTIN</v>
          </cell>
          <cell r="C21">
            <v>540000</v>
          </cell>
          <cell r="F21">
            <v>540000</v>
          </cell>
        </row>
        <row r="22">
          <cell r="A22" t="str">
            <v>AS201621</v>
          </cell>
          <cell r="B22" t="str">
            <v>NANKAM APPOLINAIRE</v>
          </cell>
          <cell r="C22">
            <v>222500</v>
          </cell>
          <cell r="F22">
            <v>222500</v>
          </cell>
        </row>
        <row r="23">
          <cell r="A23" t="str">
            <v>AS201622</v>
          </cell>
          <cell r="B23" t="str">
            <v>NDJOMO ETIENNE</v>
          </cell>
          <cell r="C23">
            <v>850000</v>
          </cell>
          <cell r="F23">
            <v>850000</v>
          </cell>
        </row>
        <row r="24">
          <cell r="A24" t="str">
            <v>AS201624</v>
          </cell>
          <cell r="B24" t="str">
            <v>NGONDIEP CLAUDE</v>
          </cell>
          <cell r="C24">
            <v>1215000</v>
          </cell>
          <cell r="D24">
            <v>202000</v>
          </cell>
          <cell r="F24">
            <v>1417000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1000000</v>
          </cell>
          <cell r="F25">
            <v>1600000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1040000</v>
          </cell>
          <cell r="F26">
            <v>1040000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1171000</v>
          </cell>
          <cell r="F31">
            <v>1171000</v>
          </cell>
        </row>
        <row r="32">
          <cell r="A32" t="str">
            <v>AS201641</v>
          </cell>
          <cell r="B32" t="str">
            <v>TCHOUAMOU MATHIEU</v>
          </cell>
          <cell r="C32">
            <v>416000</v>
          </cell>
          <cell r="F32">
            <v>416000</v>
          </cell>
        </row>
        <row r="33">
          <cell r="A33" t="str">
            <v>AS201643</v>
          </cell>
          <cell r="B33" t="str">
            <v>TCHOUTOU NANA CLAUDE</v>
          </cell>
          <cell r="C33">
            <v>90000</v>
          </cell>
          <cell r="F33">
            <v>90000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11035500</v>
          </cell>
          <cell r="D38">
            <v>7018500</v>
          </cell>
          <cell r="E38">
            <v>0</v>
          </cell>
          <cell r="F38">
            <v>18054000</v>
          </cell>
          <cell r="G38">
            <v>0</v>
          </cell>
        </row>
      </sheetData>
      <sheetData sheetId="1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 refreshError="1"/>
      <sheetData sheetId="1" refreshError="1"/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52000</v>
          </cell>
          <cell r="K7">
            <v>52000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1172000</v>
          </cell>
          <cell r="P9">
            <v>28000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1172000</v>
          </cell>
          <cell r="P10">
            <v>28000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208000</v>
          </cell>
          <cell r="K14">
            <v>208000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78000</v>
          </cell>
          <cell r="K15">
            <v>78000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ESPECES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338000</v>
          </cell>
          <cell r="K20">
            <v>338000</v>
          </cell>
          <cell r="N20">
            <v>0</v>
          </cell>
          <cell r="O20">
            <v>2344000</v>
          </cell>
          <cell r="P20">
            <v>56000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164000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964000</v>
          </cell>
          <cell r="G20">
            <v>9000</v>
          </cell>
          <cell r="I20">
            <v>0</v>
          </cell>
          <cell r="J20">
            <v>0</v>
          </cell>
          <cell r="K20">
            <v>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165000</v>
          </cell>
          <cell r="K9">
            <v>165000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93000</v>
          </cell>
          <cell r="G15">
            <v>6000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1180000</v>
          </cell>
          <cell r="P15">
            <v>20000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93000</v>
          </cell>
          <cell r="G20">
            <v>6000</v>
          </cell>
          <cell r="I20">
            <v>0</v>
          </cell>
          <cell r="J20">
            <v>973000</v>
          </cell>
          <cell r="K20">
            <v>973000</v>
          </cell>
          <cell r="N20">
            <v>0</v>
          </cell>
          <cell r="O20">
            <v>1180000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50000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99000</v>
          </cell>
          <cell r="K15">
            <v>99000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1190000</v>
          </cell>
          <cell r="P16">
            <v>10000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450000</v>
          </cell>
          <cell r="G20">
            <v>5000</v>
          </cell>
          <cell r="I20">
            <v>0</v>
          </cell>
          <cell r="J20">
            <v>99000</v>
          </cell>
          <cell r="K20">
            <v>99000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184000</v>
          </cell>
          <cell r="G7">
            <v>1500</v>
          </cell>
          <cell r="H7" t="str">
            <v>BANQUE</v>
          </cell>
          <cell r="I7">
            <v>0</v>
          </cell>
          <cell r="J7">
            <v>51000</v>
          </cell>
          <cell r="K7">
            <v>51000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584000</v>
          </cell>
          <cell r="G20">
            <v>5500</v>
          </cell>
          <cell r="I20">
            <v>0</v>
          </cell>
          <cell r="J20">
            <v>455000</v>
          </cell>
          <cell r="K20">
            <v>455000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185500</v>
          </cell>
          <cell r="K7">
            <v>185500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289500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789500</v>
          </cell>
          <cell r="G20">
            <v>7000</v>
          </cell>
          <cell r="I20">
            <v>0</v>
          </cell>
          <cell r="J20">
            <v>589500</v>
          </cell>
          <cell r="K20">
            <v>589500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300000</v>
          </cell>
          <cell r="G7">
            <v>3000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291500</v>
          </cell>
          <cell r="K12">
            <v>291500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H14" t="str">
            <v>ECHEC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400000</v>
          </cell>
          <cell r="G20">
            <v>4000</v>
          </cell>
          <cell r="I20">
            <v>0</v>
          </cell>
          <cell r="J20">
            <v>796500</v>
          </cell>
          <cell r="K20">
            <v>796500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303000</v>
          </cell>
          <cell r="K7">
            <v>303000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1430000</v>
          </cell>
          <cell r="G20">
            <v>15000</v>
          </cell>
          <cell r="I20">
            <v>0</v>
          </cell>
          <cell r="J20">
            <v>404000</v>
          </cell>
          <cell r="K20">
            <v>404000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1200000</v>
          </cell>
          <cell r="G20">
            <v>12000</v>
          </cell>
          <cell r="I20">
            <v>0</v>
          </cell>
          <cell r="J20">
            <v>1445000</v>
          </cell>
          <cell r="K20">
            <v>1445000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202000</v>
          </cell>
          <cell r="G8">
            <v>4000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202000</v>
          </cell>
          <cell r="G9">
            <v>4000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302000</v>
          </cell>
          <cell r="G12">
            <v>5000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1136000</v>
          </cell>
          <cell r="G20">
            <v>18000</v>
          </cell>
          <cell r="I20">
            <v>0</v>
          </cell>
          <cell r="J20">
            <v>1212000</v>
          </cell>
          <cell r="K20">
            <v>1212000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206000</v>
          </cell>
          <cell r="K8">
            <v>206000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206000</v>
          </cell>
          <cell r="K9">
            <v>206000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ESPECES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307000</v>
          </cell>
          <cell r="K12">
            <v>307000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202000</v>
          </cell>
          <cell r="K14">
            <v>202000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1154000</v>
          </cell>
          <cell r="K20">
            <v>1154000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3">
        <row r="6">
          <cell r="S6">
            <v>44678.571428571428</v>
          </cell>
        </row>
      </sheetData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 refreshError="1"/>
      <sheetData sheetId="1" refreshError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63000</v>
          </cell>
          <cell r="M9">
            <v>63000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62000</v>
          </cell>
          <cell r="M10">
            <v>62000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ESPECES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ESPECES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31500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26000</v>
          </cell>
          <cell r="M23">
            <v>26000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31000</v>
          </cell>
          <cell r="M24">
            <v>31000</v>
          </cell>
          <cell r="N24" t="str">
            <v>BANQUE</v>
          </cell>
          <cell r="O24" t="str">
            <v>BANQUE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40000</v>
          </cell>
          <cell r="I25">
            <v>1000</v>
          </cell>
          <cell r="J25" t="str">
            <v>BANQUE</v>
          </cell>
          <cell r="K25">
            <v>0</v>
          </cell>
          <cell r="L25">
            <v>62000</v>
          </cell>
          <cell r="M25">
            <v>62000</v>
          </cell>
          <cell r="N25" t="str">
            <v>ESPECES</v>
          </cell>
          <cell r="O25" t="str">
            <v>BANQUE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41000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41000</v>
          </cell>
          <cell r="M9">
            <v>41000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45000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33000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32500</v>
          </cell>
          <cell r="M19">
            <v>32500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41000</v>
          </cell>
          <cell r="M25">
            <v>41000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34000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22500</v>
          </cell>
          <cell r="I8">
            <v>500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60000</v>
          </cell>
          <cell r="I9">
            <v>2000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42000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43000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39000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23000</v>
          </cell>
          <cell r="M8">
            <v>23000</v>
          </cell>
          <cell r="N8" t="str">
            <v>BANQUE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62000</v>
          </cell>
          <cell r="M9">
            <v>62000</v>
          </cell>
          <cell r="N9" t="str">
            <v>ESPECES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29500</v>
          </cell>
          <cell r="I10">
            <v>1500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145000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43000</v>
          </cell>
          <cell r="F14">
            <v>3000</v>
          </cell>
          <cell r="G14" t="str">
            <v>ESPECES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 t="str">
            <v>BANQUE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 t="str">
            <v>BANQUE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35000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 t="str">
            <v>BANQUE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51000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30000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44000</v>
          </cell>
          <cell r="F10">
            <v>0</v>
          </cell>
          <cell r="G10" t="str">
            <v>BANQUE</v>
          </cell>
          <cell r="H10">
            <v>30000</v>
          </cell>
          <cell r="I10">
            <v>500</v>
          </cell>
          <cell r="J10" t="str">
            <v>BANQUE</v>
          </cell>
          <cell r="K10">
            <v>0</v>
          </cell>
          <cell r="L10">
            <v>31000</v>
          </cell>
          <cell r="M10">
            <v>31000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74500</v>
          </cell>
          <cell r="F11">
            <v>0</v>
          </cell>
          <cell r="G11" t="str">
            <v>BANQUE</v>
          </cell>
          <cell r="H11">
            <v>30000</v>
          </cell>
          <cell r="I11">
            <v>500</v>
          </cell>
          <cell r="J11" t="str">
            <v>BANQUE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60000</v>
          </cell>
          <cell r="I23">
            <v>1000</v>
          </cell>
          <cell r="J23" t="str">
            <v>BANQUE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3000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30500</v>
          </cell>
          <cell r="M6">
            <v>30500</v>
          </cell>
          <cell r="N6" t="str">
            <v>BANQUE</v>
          </cell>
          <cell r="O6" t="str">
            <v>BANQUE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43000</v>
          </cell>
          <cell r="F8">
            <v>3000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43000</v>
          </cell>
          <cell r="F10">
            <v>3000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30500</v>
          </cell>
          <cell r="M10">
            <v>30500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56300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30500</v>
          </cell>
          <cell r="M11">
            <v>30500</v>
          </cell>
          <cell r="N11" t="str">
            <v>BANQUE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61000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61500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44000</v>
          </cell>
          <cell r="F19">
            <v>0</v>
          </cell>
          <cell r="G19" t="str">
            <v>BANQUE</v>
          </cell>
          <cell r="H19">
            <v>60000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46000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44000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 t="str">
            <v>BANQUE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38000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62500</v>
          </cell>
          <cell r="M10">
            <v>62500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39500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61000</v>
          </cell>
          <cell r="M19">
            <v>61000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 t="str">
            <v>BANQUE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190000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BANQUE</v>
          </cell>
          <cell r="H25">
            <v>17000</v>
          </cell>
          <cell r="I25">
            <v>500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177500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 t="str">
            <v>BANQUE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217500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 t="str">
            <v>BANQUE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27500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ESPECES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30000</v>
          </cell>
          <cell r="I19">
            <v>500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17500</v>
          </cell>
          <cell r="M25">
            <v>17500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30000</v>
          </cell>
          <cell r="I30">
            <v>500</v>
          </cell>
          <cell r="J30" t="str">
            <v>BANQUE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307500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 t="str">
            <v>BANQUE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28000</v>
          </cell>
          <cell r="I6">
            <v>1000</v>
          </cell>
          <cell r="J6" t="str">
            <v>BANQUE</v>
          </cell>
          <cell r="K6">
            <v>0</v>
          </cell>
          <cell r="L6">
            <v>28000</v>
          </cell>
          <cell r="M6">
            <v>28000</v>
          </cell>
          <cell r="N6" t="str">
            <v>BANQUE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30000</v>
          </cell>
          <cell r="I17">
            <v>500</v>
          </cell>
          <cell r="J17" t="str">
            <v>BANQUE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30500</v>
          </cell>
          <cell r="M19">
            <v>30500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41000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40500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30500</v>
          </cell>
          <cell r="M30">
            <v>30500</v>
          </cell>
          <cell r="N30" t="str">
            <v>BANQUE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12000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29000</v>
          </cell>
          <cell r="M6">
            <v>29000</v>
          </cell>
          <cell r="N6" t="str">
            <v>ESPECES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65000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45800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30500</v>
          </cell>
          <cell r="M17">
            <v>30500</v>
          </cell>
          <cell r="N17" t="str">
            <v>BANQUE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ESPECES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3">
        <row r="35">
          <cell r="V35">
            <v>7000</v>
          </cell>
        </row>
      </sheetData>
      <sheetData sheetId="14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VLOOKUP(A6,[12]HISTOBQUENOV24!$A$6:$G$46,3,0)</f>
        <v>0</v>
      </c>
      <c r="E6" s="9">
        <f>VLOOKUP(A6,[12]HISTOBQUENOV24!$A$6:$G$41,4,0)</f>
        <v>0</v>
      </c>
      <c r="F6" s="9">
        <f>VLOOKUP(A6,[12]HISTOBQUENOV24!$A$6:$G$41,5,0)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VLOOKUP(A7,[12]HISTOBQUENOV24!$A$6:$G$46,3,0)</f>
        <v>0</v>
      </c>
      <c r="E7" s="9">
        <f>VLOOKUP(A7,[12]HISTOBQUENOV24!$A$6:$G$41,4,0)</f>
        <v>0</v>
      </c>
      <c r="F7" s="9">
        <f>VLOOKUP(A7,[12]HISTOBQUENOV24!$A$6:$G$41,5,0)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VLOOKUP(A8,[12]HISTOBQUENOV24!$A$6:$G$46,3,0)</f>
        <v>0</v>
      </c>
      <c r="E8" s="9">
        <f>VLOOKUP(A8,[12]HISTOBQUENOV24!$A$6:$G$41,4,0)</f>
        <v>0</v>
      </c>
      <c r="F8" s="9">
        <f>VLOOKUP(A8,[12]HISTOBQUENOV24!$A$6:$G$41,5,0)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VLOOKUP(A9,[12]HISTOBQUENOV24!$A$6:$G$46,3,0)</f>
        <v>0</v>
      </c>
      <c r="E9" s="9">
        <f>VLOOKUP(A9,[12]HISTOBQUENOV24!$A$6:$G$41,4,0)</f>
        <v>0</v>
      </c>
      <c r="F9" s="9">
        <f>VLOOKUP(A9,[12]HISTOBQUENOV24!$A$6:$G$41,5,0)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VLOOKUP(A10,[12]HISTOBQUENOV24!$A$6:$G$46,3,0)</f>
        <v>0</v>
      </c>
      <c r="E10" s="9">
        <f>VLOOKUP(A10,[12]HISTOBQUENOV24!$A$6:$G$41,4,0)</f>
        <v>0</v>
      </c>
      <c r="F10" s="9">
        <f>VLOOKUP(A10,[12]HISTOBQUENOV24!$A$6:$G$41,5,0)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VLOOKUP(A11,[12]HISTOBQUENOV24!$A$6:$G$46,3,0)</f>
        <v>0</v>
      </c>
      <c r="E11" s="9">
        <f>VLOOKUP(A11,[12]HISTOBQUENOV24!$A$6:$G$41,4,0)</f>
        <v>0</v>
      </c>
      <c r="F11" s="9">
        <f>VLOOKUP(A11,[12]HISTOBQUENOV24!$A$6:$G$41,5,0)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VLOOKUP(A12,[12]HISTOBQUENOV24!$A$6:$G$46,3,0)</f>
        <v>0</v>
      </c>
      <c r="E12" s="9">
        <f>VLOOKUP(A12,[12]HISTOBQUENOV24!$A$6:$G$41,4,0)</f>
        <v>0</v>
      </c>
      <c r="F12" s="9">
        <f>VLOOKUP(A12,[12]HISTOBQUENOV24!$A$6:$G$41,5,0)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VLOOKUP(A13,[12]HISTOBQUENOV24!$A$6:$G$46,3,0)</f>
        <v>0</v>
      </c>
      <c r="E13" s="9">
        <f>VLOOKUP(A13,[12]HISTOBQUENOV24!$A$6:$G$41,4,0)</f>
        <v>0</v>
      </c>
      <c r="F13" s="9">
        <f>VLOOKUP(A13,[12]HISTOBQUENOV24!$A$6:$G$41,5,0)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VLOOKUP(A14,[12]HISTOBQUENOV24!$A$6:$G$46,3,0)</f>
        <v>0</v>
      </c>
      <c r="E14" s="9">
        <f>VLOOKUP(A14,[12]HISTOBQUENOV24!$A$6:$G$41,4,0)</f>
        <v>0</v>
      </c>
      <c r="F14" s="9">
        <f>VLOOKUP(A14,[12]HISTOBQUENOV24!$A$6:$G$41,5,0)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VLOOKUP(A15,[12]HISTOBQUENOV24!$A$6:$G$46,3,0)</f>
        <v>0</v>
      </c>
      <c r="E15" s="9">
        <f>VLOOKUP(A15,[12]HISTOBQUENOV24!$A$6:$G$41,4,0)</f>
        <v>0</v>
      </c>
      <c r="F15" s="9">
        <f>VLOOKUP(A15,[12]HISTOBQUENOV24!$A$6:$G$41,5,0)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VLOOKUP(A16,[12]HISTOBQUENOV24!$A$6:$G$46,3,0)</f>
        <v>0</v>
      </c>
      <c r="E16" s="9">
        <f>VLOOKUP(A16,[12]HISTOBQUENOV24!$A$6:$G$41,4,0)</f>
        <v>0</v>
      </c>
      <c r="F16" s="9">
        <f>VLOOKUP(A16,[12]HISTOBQUENOV24!$A$6:$G$41,5,0)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VLOOKUP(A17,[12]HISTOBQUENOV24!$A$6:$G$46,3,0)</f>
        <v>0</v>
      </c>
      <c r="E17" s="9">
        <f>VLOOKUP(A17,[12]HISTOBQUENOV24!$A$6:$G$41,4,0)</f>
        <v>0</v>
      </c>
      <c r="F17" s="9">
        <f>VLOOKUP(A17,[12]HISTOBQUENOV24!$A$6:$G$41,5,0)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VLOOKUP(A18,[12]HISTOBQUENOV24!$A$6:$G$46,3,0)</f>
        <v>0</v>
      </c>
      <c r="E18" s="9">
        <f>VLOOKUP(A18,[12]HISTOBQUENOV24!$A$6:$G$41,4,0)</f>
        <v>0</v>
      </c>
      <c r="F18" s="9">
        <f>VLOOKUP(A18,[12]HISTOBQUENOV24!$A$6:$G$41,5,0)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VLOOKUP(A19,[12]HISTOBQUENOV24!$A$6:$G$46,3,0)</f>
        <v>0</v>
      </c>
      <c r="E19" s="9">
        <f>VLOOKUP(A19,[12]HISTOBQUENOV24!$A$6:$G$41,4,0)</f>
        <v>0</v>
      </c>
      <c r="F19" s="9">
        <f>VLOOKUP(A19,[12]HISTOBQUENOV24!$A$6:$G$41,5,0)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VLOOKUP(A20,[12]HISTOBQUENOV24!$A$6:$G$46,3,0)</f>
        <v>0</v>
      </c>
      <c r="E20" s="9">
        <f>VLOOKUP(A20,[12]HISTOBQUENOV24!$A$6:$G$41,4,0)</f>
        <v>0</v>
      </c>
      <c r="F20" s="9">
        <f>VLOOKUP(A20,[12]HISTOBQUENOV24!$A$6:$G$41,5,0)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VLOOKUP(A21,[12]HISTOBQUENOV24!$A$6:$G$46,3,0)</f>
        <v>0</v>
      </c>
      <c r="E21" s="9">
        <f>VLOOKUP(A21,[12]HISTOBQUENOV24!$A$6:$G$41,4,0)</f>
        <v>0</v>
      </c>
      <c r="F21" s="9">
        <f>VLOOKUP(A21,[12]HISTOBQUENOV24!$A$6:$G$41,5,0)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VLOOKUP(A22,[12]HISTOBQUENOV24!$A$6:$G$46,3,0)</f>
        <v>0</v>
      </c>
      <c r="E22" s="9">
        <f>VLOOKUP(A22,[12]HISTOBQUENOV24!$A$6:$G$41,4,0)</f>
        <v>0</v>
      </c>
      <c r="F22" s="9">
        <f>VLOOKUP(A22,[12]HISTOBQUENOV24!$A$6:$G$41,5,0)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VLOOKUP(A23,[12]HISTOBQUENOV24!$A$6:$G$46,3,0)</f>
        <v>0</v>
      </c>
      <c r="E23" s="9">
        <f>VLOOKUP(A23,[12]HISTOBQUENOV24!$A$6:$G$41,4,0)</f>
        <v>0</v>
      </c>
      <c r="F23" s="9">
        <f>VLOOKUP(A23,[12]HISTOBQUENOV24!$A$6:$G$41,5,0)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VLOOKUP(A24,[12]HISTOBQUENOV24!$A$6:$G$46,3,0)</f>
        <v>0</v>
      </c>
      <c r="E24" s="9">
        <f>VLOOKUP(A24,[12]HISTOBQUENOV24!$A$6:$G$41,4,0)</f>
        <v>0</v>
      </c>
      <c r="F24" s="9">
        <f>VLOOKUP(A24,[12]HISTOBQUENOV24!$A$6:$G$41,5,0)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VLOOKUP(A25,[12]HISTOBQUENOV24!$A$6:$G$46,3,0)</f>
        <v>0</v>
      </c>
      <c r="E25" s="9">
        <f>VLOOKUP(A25,[12]HISTOBQUENOV24!$A$6:$G$41,4,0)</f>
        <v>0</v>
      </c>
      <c r="F25" s="9">
        <f>VLOOKUP(A25,[12]HISTOBQUENOV24!$A$6:$G$41,5,0)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VLOOKUP(A26,[12]HISTOBQUENOV24!$A$6:$G$46,3,0)</f>
        <v>0</v>
      </c>
      <c r="E26" s="9">
        <f>VLOOKUP(A26,[12]HISTOBQUENOV24!$A$6:$G$41,4,0)</f>
        <v>0</v>
      </c>
      <c r="F26" s="9">
        <f>VLOOKUP(A26,[12]HISTOBQUENOV24!$A$6:$G$41,5,0)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VLOOKUP(A27,[12]HISTOBQUENOV24!$A$6:$G$46,3,0)</f>
        <v>0</v>
      </c>
      <c r="E27" s="9">
        <f>VLOOKUP(A27,[12]HISTOBQUENOV24!$A$6:$G$41,4,0)</f>
        <v>0</v>
      </c>
      <c r="F27" s="9">
        <f>VLOOKUP(A27,[12]HISTOBQUENOV24!$A$6:$G$41,5,0)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VLOOKUP(A28,[12]HISTOBQUENOV24!$A$6:$G$46,3,0)</f>
        <v>0</v>
      </c>
      <c r="E28" s="9">
        <f>VLOOKUP(A28,[12]HISTOBQUENOV24!$A$6:$G$41,4,0)</f>
        <v>0</v>
      </c>
      <c r="F28" s="9">
        <f>VLOOKUP(A28,[12]HISTOBQUENOV24!$A$6:$G$41,5,0)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VLOOKUP(A29,[12]HISTOBQUENOV24!$A$6:$G$46,3,0)</f>
        <v>0</v>
      </c>
      <c r="E29" s="9">
        <f>VLOOKUP(A29,[12]HISTOBQUENOV24!$A$6:$G$41,4,0)</f>
        <v>0</v>
      </c>
      <c r="F29" s="9">
        <f>VLOOKUP(A29,[12]HISTOBQUENOV24!$A$6:$G$41,5,0)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VLOOKUP(A30,[12]HISTOBQUENOV24!$A$6:$G$46,3,0)</f>
        <v>0</v>
      </c>
      <c r="E30" s="9">
        <f>VLOOKUP(A30,[12]HISTOBQUENOV24!$A$6:$G$41,4,0)</f>
        <v>0</v>
      </c>
      <c r="F30" s="9">
        <f>VLOOKUP(A30,[12]HISTOBQUENOV24!$A$6:$G$41,5,0)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VLOOKUP(A31,[12]HISTOBQUENOV24!$A$6:$G$46,3,0)</f>
        <v>0</v>
      </c>
      <c r="E31" s="9">
        <f>VLOOKUP(A31,[12]HISTOBQUENOV24!$A$6:$G$41,4,0)</f>
        <v>0</v>
      </c>
      <c r="F31" s="9">
        <f>VLOOKUP(A31,[12]HISTOBQUENOV24!$A$6:$G$41,5,0)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VLOOKUP(A32,[12]HISTOBQUENOV24!$A$6:$G$46,3,0)</f>
        <v>0</v>
      </c>
      <c r="E32" s="9">
        <f>VLOOKUP(A32,[12]HISTOBQUENOV24!$A$6:$G$41,4,0)</f>
        <v>0</v>
      </c>
      <c r="F32" s="9">
        <f>VLOOKUP(A32,[12]HISTOBQUENOV24!$A$6:$G$41,5,0)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VLOOKUP(A33,[12]HISTOBQUENOV24!$A$6:$G$46,3,0)</f>
        <v>0</v>
      </c>
      <c r="E33" s="9">
        <f>VLOOKUP(A33,[12]HISTOBQUENOV24!$A$6:$G$41,4,0)</f>
        <v>0</v>
      </c>
      <c r="F33" s="9">
        <f>VLOOKUP(A33,[12]HISTOBQUENOV24!$A$6:$G$41,5,0)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VLOOKUP(A34,[12]HISTOBQUENOV24!$A$6:$G$46,3,0)</f>
        <v>0</v>
      </c>
      <c r="E34" s="9">
        <f>VLOOKUP(A34,[12]HISTOBQUENOV24!$A$6:$G$41,4,0)</f>
        <v>0</v>
      </c>
      <c r="F34" s="9">
        <f>VLOOKUP(A34,[12]HISTOBQUENOV24!$A$6:$G$41,5,0)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VLOOKUP(A35,[12]HISTOBQUENOV24!$A$6:$G$46,3,0)</f>
        <v>0</v>
      </c>
      <c r="E35" s="9">
        <f>VLOOKUP(A35,[12]HISTOBQUENOV24!$A$6:$G$41,4,0)</f>
        <v>0</v>
      </c>
      <c r="F35" s="9">
        <f>VLOOKUP(A35,[12]HISTOBQUENOV24!$A$6:$G$41,5,0)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VLOOKUP(A36,[12]HISTOBQUENOV24!$A$6:$G$46,3,0)</f>
        <v>0</v>
      </c>
      <c r="E36" s="9">
        <f>VLOOKUP(A36,[12]HISTOBQUENOV24!$A$6:$G$41,4,0)</f>
        <v>0</v>
      </c>
      <c r="F36" s="9">
        <f>VLOOKUP(A36,[12]HISTOBQUENOV24!$A$6:$G$41,5,0)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VLOOKUP(A37,[12]HISTOBQUENOV24!$A$6:$G$46,3,0)</f>
        <v>0</v>
      </c>
      <c r="E37" s="9">
        <f>VLOOKUP(A37,[12]HISTOBQUENOV24!$A$6:$G$41,4,0)</f>
        <v>0</v>
      </c>
      <c r="F37" s="9">
        <f>VLOOKUP(A37,[12]HISTOBQUENOV24!$A$6:$G$41,5,0)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VLOOKUP(A38,[12]HISTOBQUENOV24!$A$6:$G$46,3,0)</f>
        <v>0</v>
      </c>
      <c r="E38" s="9">
        <f>VLOOKUP(A38,[12]HISTOBQUENOV24!$A$6:$G$41,4,0)</f>
        <v>0</v>
      </c>
      <c r="F38" s="9">
        <f>VLOOKUP(A38,[12]HISTOBQUENOV24!$A$6:$G$41,5,0)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VLOOKUP(A6,[12]HISTOBQUEDEC24!$A$6:$G$46,3,0)</f>
        <v>0</v>
      </c>
      <c r="E6" s="9">
        <f>VLOOKUP(A6,[12]HISTOBQUEDEC24!$A$6:$G$41,4,0)</f>
        <v>0</v>
      </c>
      <c r="F6" s="9">
        <f>VLOOKUP(A6,[12]HISTOBQUEDEC24!$A$6:$G$41,5,0)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VLOOKUP(A7,[12]HISTOBQUEDEC24!$A$6:$G$46,3,0)</f>
        <v>0</v>
      </c>
      <c r="E7" s="9">
        <f>VLOOKUP(A7,[12]HISTOBQUEDEC24!$A$6:$G$41,4,0)</f>
        <v>0</v>
      </c>
      <c r="F7" s="9">
        <f>VLOOKUP(A7,[12]HISTOBQUEDEC24!$A$6:$G$41,5,0)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VLOOKUP(A8,[12]HISTOBQUEDEC24!$A$6:$G$46,3,0)</f>
        <v>0</v>
      </c>
      <c r="E8" s="9">
        <f>VLOOKUP(A8,[12]HISTOBQUEDEC24!$A$6:$G$41,4,0)</f>
        <v>0</v>
      </c>
      <c r="F8" s="9">
        <f>VLOOKUP(A8,[12]HISTOBQUEDEC24!$A$6:$G$41,5,0)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VLOOKUP(A9,[12]HISTOBQUEDEC24!$A$6:$G$46,3,0)</f>
        <v>0</v>
      </c>
      <c r="E9" s="9">
        <f>VLOOKUP(A9,[12]HISTOBQUEDEC24!$A$6:$G$41,4,0)</f>
        <v>0</v>
      </c>
      <c r="F9" s="9">
        <f>VLOOKUP(A9,[12]HISTOBQUEDEC24!$A$6:$G$41,5,0)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VLOOKUP(A10,[12]HISTOBQUEDEC24!$A$6:$G$46,3,0)</f>
        <v>0</v>
      </c>
      <c r="E10" s="9">
        <f>VLOOKUP(A10,[12]HISTOBQUEDEC24!$A$6:$G$41,4,0)</f>
        <v>0</v>
      </c>
      <c r="F10" s="9">
        <f>VLOOKUP(A10,[12]HISTOBQUEDEC24!$A$6:$G$41,5,0)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VLOOKUP(A11,[12]HISTOBQUEDEC24!$A$6:$G$46,3,0)</f>
        <v>0</v>
      </c>
      <c r="E11" s="9">
        <f>VLOOKUP(A11,[12]HISTOBQUEDEC24!$A$6:$G$41,4,0)</f>
        <v>0</v>
      </c>
      <c r="F11" s="9">
        <f>VLOOKUP(A11,[12]HISTOBQUEDEC24!$A$6:$G$41,5,0)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VLOOKUP(A12,[12]HISTOBQUEDEC24!$A$6:$G$46,3,0)</f>
        <v>0</v>
      </c>
      <c r="E12" s="9">
        <f>VLOOKUP(A12,[12]HISTOBQUEDEC24!$A$6:$G$41,4,0)</f>
        <v>0</v>
      </c>
      <c r="F12" s="9">
        <f>VLOOKUP(A12,[12]HISTOBQUEDEC24!$A$6:$G$41,5,0)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VLOOKUP(A13,[12]HISTOBQUEDEC24!$A$6:$G$46,3,0)</f>
        <v>0</v>
      </c>
      <c r="E13" s="9">
        <f>VLOOKUP(A13,[12]HISTOBQUEDEC24!$A$6:$G$41,4,0)</f>
        <v>0</v>
      </c>
      <c r="F13" s="9">
        <f>VLOOKUP(A13,[12]HISTOBQUEDEC24!$A$6:$G$41,5,0)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VLOOKUP(A14,[12]HISTOBQUEDEC24!$A$6:$G$46,3,0)</f>
        <v>0</v>
      </c>
      <c r="E14" s="9">
        <f>VLOOKUP(A14,[12]HISTOBQUEDEC24!$A$6:$G$41,4,0)</f>
        <v>0</v>
      </c>
      <c r="F14" s="9">
        <f>VLOOKUP(A14,[12]HISTOBQUEDEC24!$A$6:$G$41,5,0)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VLOOKUP(A15,[12]HISTOBQUEDEC24!$A$6:$G$46,3,0)</f>
        <v>0</v>
      </c>
      <c r="E15" s="9">
        <f>VLOOKUP(A15,[12]HISTOBQUEDEC24!$A$6:$G$41,4,0)</f>
        <v>0</v>
      </c>
      <c r="F15" s="9">
        <f>VLOOKUP(A15,[12]HISTOBQUEDEC24!$A$6:$G$41,5,0)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VLOOKUP(A16,[12]HISTOBQUEDEC24!$A$6:$G$46,3,0)</f>
        <v>0</v>
      </c>
      <c r="E16" s="9">
        <f>VLOOKUP(A16,[12]HISTOBQUEDEC24!$A$6:$G$41,4,0)</f>
        <v>0</v>
      </c>
      <c r="F16" s="9">
        <f>VLOOKUP(A16,[12]HISTOBQUEDEC24!$A$6:$G$41,5,0)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VLOOKUP(A17,[12]HISTOBQUEDEC24!$A$6:$G$46,3,0)</f>
        <v>0</v>
      </c>
      <c r="E17" s="9">
        <f>VLOOKUP(A17,[12]HISTOBQUEDEC24!$A$6:$G$41,4,0)</f>
        <v>0</v>
      </c>
      <c r="F17" s="9">
        <f>VLOOKUP(A17,[12]HISTOBQUEDEC24!$A$6:$G$41,5,0)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VLOOKUP(A18,[12]HISTOBQUEDEC24!$A$6:$G$46,3,0)</f>
        <v>0</v>
      </c>
      <c r="E18" s="9">
        <f>VLOOKUP(A18,[12]HISTOBQUEDEC24!$A$6:$G$41,4,0)</f>
        <v>0</v>
      </c>
      <c r="F18" s="9">
        <f>VLOOKUP(A18,[12]HISTOBQUEDEC24!$A$6:$G$41,5,0)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VLOOKUP(A19,[12]HISTOBQUEDEC24!$A$6:$G$46,3,0)</f>
        <v>0</v>
      </c>
      <c r="E19" s="9">
        <f>VLOOKUP(A19,[12]HISTOBQUEDEC24!$A$6:$G$41,4,0)</f>
        <v>0</v>
      </c>
      <c r="F19" s="9">
        <f>VLOOKUP(A19,[12]HISTOBQUEDEC24!$A$6:$G$41,5,0)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VLOOKUP(A20,[12]HISTOBQUEDEC24!$A$6:$G$46,3,0)</f>
        <v>0</v>
      </c>
      <c r="E20" s="9">
        <f>VLOOKUP(A20,[12]HISTOBQUEDEC24!$A$6:$G$41,4,0)</f>
        <v>0</v>
      </c>
      <c r="F20" s="9">
        <f>VLOOKUP(A20,[12]HISTOBQUEDEC24!$A$6:$G$41,5,0)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VLOOKUP(A21,[12]HISTOBQUEDEC24!$A$6:$G$46,3,0)</f>
        <v>0</v>
      </c>
      <c r="E21" s="9">
        <f>VLOOKUP(A21,[12]HISTOBQUEDEC24!$A$6:$G$41,4,0)</f>
        <v>0</v>
      </c>
      <c r="F21" s="9">
        <f>VLOOKUP(A21,[12]HISTOBQUEDEC24!$A$6:$G$41,5,0)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VLOOKUP(A22,[12]HISTOBQUEDEC24!$A$6:$G$46,3,0)</f>
        <v>0</v>
      </c>
      <c r="E22" s="9">
        <f>VLOOKUP(A22,[12]HISTOBQUEDEC24!$A$6:$G$41,4,0)</f>
        <v>0</v>
      </c>
      <c r="F22" s="9">
        <f>VLOOKUP(A22,[12]HISTOBQUEDEC24!$A$6:$G$41,5,0)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VLOOKUP(A23,[12]HISTOBQUEDEC24!$A$6:$G$46,3,0)</f>
        <v>0</v>
      </c>
      <c r="E23" s="9">
        <f>VLOOKUP(A23,[12]HISTOBQUEDEC24!$A$6:$G$41,4,0)</f>
        <v>0</v>
      </c>
      <c r="F23" s="9">
        <f>VLOOKUP(A23,[12]HISTOBQUEDEC24!$A$6:$G$41,5,0)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VLOOKUP(A24,[12]HISTOBQUEDEC24!$A$6:$G$46,3,0)</f>
        <v>0</v>
      </c>
      <c r="E24" s="9">
        <f>VLOOKUP(A24,[12]HISTOBQUEDEC24!$A$6:$G$41,4,0)</f>
        <v>0</v>
      </c>
      <c r="F24" s="9">
        <f>VLOOKUP(A24,[12]HISTOBQUEDEC24!$A$6:$G$41,5,0)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VLOOKUP(A25,[12]HISTOBQUEDEC24!$A$6:$G$46,3,0)</f>
        <v>0</v>
      </c>
      <c r="E25" s="9">
        <f>VLOOKUP(A25,[12]HISTOBQUEDEC24!$A$6:$G$41,4,0)</f>
        <v>0</v>
      </c>
      <c r="F25" s="9">
        <f>VLOOKUP(A25,[12]HISTOBQUEDEC24!$A$6:$G$41,5,0)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VLOOKUP(A26,[12]HISTOBQUEDEC24!$A$6:$G$46,3,0)</f>
        <v>0</v>
      </c>
      <c r="E26" s="9">
        <f>VLOOKUP(A26,[12]HISTOBQUEDEC24!$A$6:$G$41,4,0)</f>
        <v>0</v>
      </c>
      <c r="F26" s="9">
        <f>VLOOKUP(A26,[12]HISTOBQUEDEC24!$A$6:$G$41,5,0)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VLOOKUP(A27,[12]HISTOBQUEDEC24!$A$6:$G$46,3,0)</f>
        <v>0</v>
      </c>
      <c r="E27" s="9">
        <f>VLOOKUP(A27,[12]HISTOBQUEDEC24!$A$6:$G$41,4,0)</f>
        <v>0</v>
      </c>
      <c r="F27" s="9">
        <f>VLOOKUP(A27,[12]HISTOBQUEDEC24!$A$6:$G$41,5,0)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VLOOKUP(A28,[12]HISTOBQUEDEC24!$A$6:$G$46,3,0)</f>
        <v>0</v>
      </c>
      <c r="E28" s="9">
        <f>VLOOKUP(A28,[12]HISTOBQUEDEC24!$A$6:$G$41,4,0)</f>
        <v>0</v>
      </c>
      <c r="F28" s="9">
        <f>VLOOKUP(A28,[12]HISTOBQUEDEC24!$A$6:$G$41,5,0)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VLOOKUP(A29,[12]HISTOBQUEDEC24!$A$6:$G$46,3,0)</f>
        <v>0</v>
      </c>
      <c r="E29" s="9">
        <f>VLOOKUP(A29,[12]HISTOBQUEDEC24!$A$6:$G$41,4,0)</f>
        <v>0</v>
      </c>
      <c r="F29" s="9">
        <f>VLOOKUP(A29,[12]HISTOBQUEDEC24!$A$6:$G$41,5,0)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VLOOKUP(A30,[12]HISTOBQUEDEC24!$A$6:$G$46,3,0)</f>
        <v>0</v>
      </c>
      <c r="E30" s="9">
        <f>VLOOKUP(A30,[12]HISTOBQUEDEC24!$A$6:$G$41,4,0)</f>
        <v>0</v>
      </c>
      <c r="F30" s="9">
        <f>VLOOKUP(A30,[12]HISTOBQUEDEC24!$A$6:$G$41,5,0)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VLOOKUP(A31,[12]HISTOBQUEDEC24!$A$6:$G$46,3,0)</f>
        <v>0</v>
      </c>
      <c r="E31" s="9">
        <f>VLOOKUP(A31,[12]HISTOBQUEDEC24!$A$6:$G$41,4,0)</f>
        <v>0</v>
      </c>
      <c r="F31" s="9">
        <f>VLOOKUP(A31,[12]HISTOBQUEDEC24!$A$6:$G$41,5,0)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VLOOKUP(A32,[12]HISTOBQUEDEC24!$A$6:$G$46,3,0)</f>
        <v>0</v>
      </c>
      <c r="E32" s="9">
        <f>VLOOKUP(A32,[12]HISTOBQUEDEC24!$A$6:$G$41,4,0)</f>
        <v>0</v>
      </c>
      <c r="F32" s="9">
        <f>VLOOKUP(A32,[12]HISTOBQUEDEC24!$A$6:$G$41,5,0)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VLOOKUP(A33,[12]HISTOBQUEDEC24!$A$6:$G$46,3,0)</f>
        <v>0</v>
      </c>
      <c r="E33" s="9">
        <f>VLOOKUP(A33,[12]HISTOBQUEDEC24!$A$6:$G$41,4,0)</f>
        <v>0</v>
      </c>
      <c r="F33" s="9">
        <f>VLOOKUP(A33,[12]HISTOBQUEDEC24!$A$6:$G$41,5,0)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VLOOKUP(A34,[12]HISTOBQUEDEC24!$A$6:$G$46,3,0)</f>
        <v>0</v>
      </c>
      <c r="E34" s="9">
        <f>VLOOKUP(A34,[12]HISTOBQUEDEC24!$A$6:$G$41,4,0)</f>
        <v>0</v>
      </c>
      <c r="F34" s="9">
        <f>VLOOKUP(A34,[12]HISTOBQUEDEC24!$A$6:$G$41,5,0)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VLOOKUP(A35,[12]HISTOBQUEDEC24!$A$6:$G$46,3,0)</f>
        <v>0</v>
      </c>
      <c r="E35" s="9">
        <f>VLOOKUP(A35,[12]HISTOBQUEDEC24!$A$6:$G$41,4,0)</f>
        <v>0</v>
      </c>
      <c r="F35" s="9">
        <f>VLOOKUP(A35,[12]HISTOBQUEDEC24!$A$6:$G$41,5,0)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VLOOKUP(A36,[12]HISTOBQUEDEC24!$A$6:$G$46,3,0)</f>
        <v>0</v>
      </c>
      <c r="E36" s="9">
        <f>VLOOKUP(A36,[12]HISTOBQUEDEC24!$A$6:$G$41,4,0)</f>
        <v>0</v>
      </c>
      <c r="F36" s="9">
        <f>VLOOKUP(A36,[12]HISTOBQUEDEC24!$A$6:$G$41,5,0)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VLOOKUP(A37,[12]HISTOBQUEDEC24!$A$6:$G$46,3,0)</f>
        <v>0</v>
      </c>
      <c r="E37" s="9">
        <f>VLOOKUP(A37,[12]HISTOBQUEDEC24!$A$6:$G$41,4,0)</f>
        <v>0</v>
      </c>
      <c r="F37" s="9">
        <f>VLOOKUP(A37,[12]HISTOBQUEDEC24!$A$6:$G$41,5,0)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VLOOKUP(A38,[12]HISTOBQUEDEC24!$A$6:$G$46,3,0)</f>
        <v>0</v>
      </c>
      <c r="E38" s="9">
        <f>VLOOKUP(A38,[12]HISTOBQUEDEC24!$A$6:$G$41,4,0)</f>
        <v>0</v>
      </c>
      <c r="F38" s="9">
        <f>VLOOKUP(A38,[12]HISTOBQUEDEC24!$A$6:$G$41,5,0)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5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13" sqref="C1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700000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1102000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1075000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111000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3000</v>
      </c>
      <c r="H7" s="10"/>
      <c r="I7" s="9">
        <f>HISTOJANV24!I7+HISTOFEV24!I7+HISTOMARS24!I7+HISTOAVRIL24!I7+HISTOMAI24!I7+HISTOJUIN24!I7+HISTOJUIL24!I7+HISTOAOUT24!I7+HISTOSEPT24!I7+HISTOOCT24!I7+HISTONOV24!I7+HISTODEC24!I7</f>
        <v>19000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133000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44000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500000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1205000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-2500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455000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22500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595000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101000</v>
      </c>
      <c r="Q10" s="9">
        <f>HISTOJANV24!Q10+HISTOFEV24!Q10+HISTOMARS24!Q10+HISTOAVRIL24!Q10+HISTOMAI24!Q10+HISTOJUIN24!Q10+HISTOJUIL24!Q10+HISTOAOUT24!Q10+HISTOSEPT24!Q10+HISTOOCT24!Q10+HISTONOV24!Q10+HISTODEC24!Q10</f>
        <v>206000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429000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99000</v>
      </c>
      <c r="AJ10" s="9">
        <f>HISTOJANV24!AJ10+HISTOFEV24!AJ10+HISTOMARS24!AJ10+HISTOAVRIL24!AJ10+HISTOMAI24!AJ10+HISTOJUIN24!AJ10+HISTOJUIL24!AJ10+HISTOAOUT24!AJ10+HISTOSEPT24!AJ10+HISTOOCT24!AJ10+HISTONOV24!AJ10+HISTODEC24!AJ10</f>
        <v>201500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4500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99000</v>
      </c>
      <c r="AX10" s="9">
        <f>HISTOJANV24!AX10+HISTOFEV24!AX10+HISTOMARS24!AX10+HISTOAVRIL24!AX10+HISTOMAI24!AX10+HISTOJUIN24!AX10+HISTOJUIL24!AX10+HISTOAOUT24!AX10+HISTOSEPT24!AX10+HISTOOCT24!AX10+HISTONOV24!AX10+HISTODEC24!AX10</f>
        <v>1073500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1172500</v>
      </c>
      <c r="BA10" s="9">
        <f>HISTOJANV24!BA10+HISTOFEV24!BA10+HISTOMARS24!BA10+HISTOAVRIL24!BA10+HISTOMAI24!BA10+HISTOJUIN24!BA10+HISTOJUIL24!BA10+HISTOAOUT24!BA10+HISTOSEPT24!BA10+HISTOOCT24!BA10+HISTONOV24!BA10+HISTODEC24!BA10</f>
        <v>139000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1033500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715000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10000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84000</v>
      </c>
      <c r="Q11" s="9">
        <f>HISTOJANV24!Q11+HISTOFEV24!Q11+HISTOMARS24!Q11+HISTOAVRIL24!Q11+HISTOMAI24!Q11+HISTOJUIN24!Q11+HISTOJUIL24!Q11+HISTOAOUT24!Q11+HISTOSEPT24!Q11+HISTOOCT24!Q11+HISTONOV24!Q11+HISTODEC24!Q11</f>
        <v>408000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1627000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81000</v>
      </c>
      <c r="AJ11" s="9">
        <f>HISTOJANV24!AJ11+HISTOFEV24!AJ11+HISTOMARS24!AJ11+HISTOAVRIL24!AJ11+HISTOMAI24!AJ11+HISTOJUIN24!AJ11+HISTOJUIL24!AJ11+HISTOAOUT24!AJ11+HISTOSEPT24!AJ11+HISTOOCT24!AJ11+HISTONOV24!AJ11+HISTODEC24!AJ11</f>
        <v>400000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3000</v>
      </c>
      <c r="AM11" s="9">
        <f>HISTOJANV24!AM11+HISTOFEV24!AM11+HISTOMARS24!AM11+HISTOAVRIL24!AM11+HISTOMAI24!AM11+HISTOJUIN24!AM11+HISTOJUIL24!AM11+HISTOAOUT24!AM11+HISTOSEPT24!AM11+HISTOOCT24!AM11+HISTONOV24!AM11+HISTODEC24!AM11</f>
        <v>8000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35000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365000</v>
      </c>
      <c r="AX11" s="9">
        <f>HISTOJANV24!AX11+HISTOFEV24!AX11+HISTOMARS24!AX11+HISTOAVRIL24!AX11+HISTOMAI24!AX11+HISTOJUIN24!AX11+HISTOJUIL24!AX11+HISTOAOUT24!AX11+HISTOSEPT24!AX11+HISTOOCT24!AX11+HISTONOV24!AX11+HISTODEC24!AX11</f>
        <v>1284000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1629000</v>
      </c>
      <c r="BA11" s="9">
        <f>HISTOJANV24!BA11+HISTOFEV24!BA11+HISTOMARS24!BA11+HISTOAVRIL24!BA11+HISTOMAI24!BA11+HISTOJUIN24!BA11+HISTOJUIL24!BA11+HISTOAOUT24!BA11+HISTOSEPT24!BA11+HISTOOCT24!BA11+HISTONOV24!BA11+HISTODEC24!BA11</f>
        <v>568000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959000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1452000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20000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477000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45000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200000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150000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500000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10000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290000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290000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290000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1040000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140000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365000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15000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165000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1185000</v>
      </c>
      <c r="AZ16" s="9">
        <f>HISTOJANV24!AZ16+HISTOFEV24!AZ16+HISTOMARS24!AZ16+HISTOAVRIL24!AZ16+HISTOMAI24!AZ16+HISTOJUIN24!AZ16+HISTOJUIL24!AZ16+HISTOAOUT24!AZ16+HISTOSEPT24!AZ16+HISTOOCT24!AZ16+HISTONOV24!AZ16+HISTODEC24!AZ16</f>
        <v>1473000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1473000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701000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832000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30000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407000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587000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400000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7000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55000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1560000</v>
      </c>
      <c r="AZ18" s="9">
        <f>HISTOJANV24!AZ18+HISTOFEV24!AZ18+HISTOMARS24!AZ18+HISTOAVRIL24!AZ18+HISTOMAI24!AZ18+HISTOJUIN24!AZ18+HISTOJUIL24!AZ18+HISTOAOUT24!AZ18+HISTOSEPT24!AZ18+HISTOOCT24!AZ18+HISTONOV24!AZ18+HISTODEC24!AZ18</f>
        <v>1847000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1847000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200000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1394000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-1000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192500</v>
      </c>
      <c r="R20" s="9">
        <f>HISTOJANV24!R20+HISTOFEV24!R20+HISTOMARS24!R20+HISTOAVRIL24!R20+HISTOMAI24!R20+HISTOJUIN24!R20+HISTOJUIL24!R20+HISTOAOUT24!R20+HISTOSEPT24!R20+HISTOOCT24!R20+HISTONOV24!R20+HISTODEC24!R20</f>
        <v>475000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891500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189000</v>
      </c>
      <c r="AK20" s="9">
        <f>HISTOJANV24!AK20+HISTOFEV24!AK20+HISTOMARS24!AK20+HISTOAVRIL24!AK20+HISTOMAI24!AK20+HISTOJUIN24!AK20+HISTOJUIL24!AK20+HISTOAOUT24!AK20+HISTOSEPT24!AK20+HISTOOCT24!AK20+HISTONOV24!AK20+HISTODEC24!AK20</f>
        <v>470000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3500</v>
      </c>
      <c r="AN20" s="9">
        <f>HISTOJANV24!AN20+HISTOFEV24!AN20+HISTOMARS24!AN20+HISTOAVRIL24!AN20+HISTOMAI24!AN20+HISTOJUIN24!AN20+HISTOJUIL24!AN20+HISTOAOUT24!AN20+HISTOSEPT24!AN20+HISTOOCT24!AN20+HISTONOV24!AN20+HISTODEC24!AN20</f>
        <v>5000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24000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1073000</v>
      </c>
      <c r="AY20" s="9">
        <f>HISTOJANV24!AY20+HISTOFEV24!AY20+HISTOMARS24!AY20+HISTOAVRIL24!AY20+HISTOMAI24!AY20+HISTOJUIN24!AY20+HISTOJUIL24!AY20+HISTOAOUT24!AY20+HISTOSEPT24!AY20+HISTOOCT24!AY20+HISTONOV24!AY20+HISTODEC24!AY20</f>
        <v>1555000</v>
      </c>
      <c r="AZ20" s="9">
        <f>HISTOJANV24!AZ20+HISTOFEV24!AZ20+HISTOMARS24!AZ20+HISTOAVRIL24!AZ20+HISTOMAI24!AZ20+HISTOJUIN24!AZ20+HISTOJUIL24!AZ20+HISTOAOUT24!AZ20+HISTOSEPT24!AZ20+HISTOOCT24!AZ20+HISTONOV24!AZ20+HISTODEC24!AZ20</f>
        <v>2628000</v>
      </c>
      <c r="BA20" s="9">
        <f>HISTOJANV24!BA20+HISTOFEV24!BA20+HISTOMARS24!BA20+HISTOAVRIL24!BA20+HISTOMAI24!BA20+HISTOJUIN24!BA20+HISTOJUIL24!BA20+HISTOAOUT24!BA20+HISTOSEPT24!BA20+HISTOOCT24!BA20+HISTONOV24!BA20+HISTODEC24!BA20</f>
        <v>425500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2202500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200000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500000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1242000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492000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250000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3000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205000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463000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201000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4000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201000</v>
      </c>
      <c r="AZ24" s="9">
        <f>HISTOJANV24!AZ24+HISTOFEV24!AZ24+HISTOMARS24!AZ24+HISTOAVRIL24!AZ24+HISTOMAI24!AZ24+HISTOJUIN24!AZ24+HISTOJUIL24!AZ24+HISTOAOUT24!AZ24+HISTOSEPT24!AZ24+HISTOOCT24!AZ24+HISTONOV24!AZ24+HISTODEC24!AZ24</f>
        <v>201000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201000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1700000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-2000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509000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885000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11000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500000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9000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23000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289000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1575000</v>
      </c>
      <c r="AZ25" s="9">
        <f>HISTOJANV24!AZ25+HISTOFEV24!AZ25+HISTOMARS24!AZ25+HISTOAVRIL24!AZ25+HISTOMAI24!AZ25+HISTOJUIN24!AZ25+HISTOJUIL24!AZ25+HISTOAOUT24!AZ25+HISTOSEPT24!AZ25+HISTOOCT24!AZ25+HISTONOV24!AZ25+HISTODEC24!AZ25</f>
        <v>2699000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2599000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150000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200000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744500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1000000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850000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40000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1160000</v>
      </c>
      <c r="AZ31" s="9">
        <f>HISTOJANV24!AZ31+HISTOFEV24!AZ31+HISTOMARS24!AZ31+HISTOAVRIL24!AZ31+HISTOMAI24!AZ31+HISTOJUIN24!AZ31+HISTOJUIL24!AZ31+HISTOAOUT24!AZ31+HISTOSEPT24!AZ31+HISTOOCT24!AZ31+HISTONOV24!AZ31+HISTODEC24!AZ31</f>
        <v>2160000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2130000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500000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101000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226000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10500</v>
      </c>
      <c r="AD32" s="9">
        <f>HISTOJANV24!AD32+HISTOFEV24!AD32+HISTOMARS24!AD32+HISTOAVRIL24!AD32+HISTOMAI24!AD32+HISTOJUIN24!AD32+HISTOJUIL24!AD32+HISTOAOUT24!AD32+HISTOSEPT24!AD32+HISTOOCT24!AD32+HISTONOV24!AD32+HISTODEC24!AD32</f>
        <v>7500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100000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1000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289500</v>
      </c>
      <c r="AX32" s="9">
        <f>HISTOJANV24!AX32+HISTOFEV24!AX32+HISTOMARS24!AX32+HISTOAVRIL24!AX32+HISTOMAI24!AX32+HISTOJUIN24!AX32+HISTOJUIL24!AX32+HISTOAOUT24!AX32+HISTOSEPT24!AX32+HISTOOCT24!AX32+HISTONOV24!AX32+HISTODEC24!AX32</f>
        <v>992500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2222000</v>
      </c>
      <c r="BA32" s="9">
        <f>HISTOJANV24!BA32+HISTOFEV24!BA32+HISTOMARS24!BA32+HISTOAVRIL24!BA32+HISTOMAI24!BA32+HISTOJUIN24!BA32+HISTOJUIL24!BA32+HISTOAOUT24!BA32+HISTOSEPT24!BA32+HISTOOCT24!BA32+HISTONOV24!BA32+HISTODEC24!BA32</f>
        <v>20000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2202000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1150000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405000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580000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430000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50000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3000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-3000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50000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22000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240000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40000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90000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65000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103000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3000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53000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300000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21105500</v>
      </c>
      <c r="E40" s="5">
        <f t="shared" si="7"/>
        <v>1204500</v>
      </c>
      <c r="F40" s="5">
        <f t="shared" si="7"/>
        <v>1500000</v>
      </c>
      <c r="G40" s="5">
        <f t="shared" si="7"/>
        <v>24000</v>
      </c>
      <c r="H40" s="5">
        <f t="shared" si="7"/>
        <v>0</v>
      </c>
      <c r="I40" s="5">
        <f t="shared" si="7"/>
        <v>1166500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340500</v>
      </c>
      <c r="Q40" s="5">
        <f t="shared" si="7"/>
        <v>907500</v>
      </c>
      <c r="R40" s="5">
        <f t="shared" si="7"/>
        <v>2238500</v>
      </c>
      <c r="S40" s="5">
        <f t="shared" si="7"/>
        <v>1750000</v>
      </c>
      <c r="T40" s="5"/>
      <c r="U40" s="5">
        <f t="shared" ref="U40:AA40" si="8">SUM(U6:U39)</f>
        <v>11102000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147500</v>
      </c>
      <c r="AD40" s="5">
        <f>SUM(AD6:AD39)</f>
        <v>192500</v>
      </c>
      <c r="AE40" s="5">
        <f>SUM(AE6:AE39)</f>
        <v>555000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331000</v>
      </c>
      <c r="AJ40" s="5">
        <f t="shared" si="9"/>
        <v>890500</v>
      </c>
      <c r="AK40" s="5">
        <f t="shared" si="9"/>
        <v>2207500</v>
      </c>
      <c r="AL40" s="5">
        <f t="shared" si="9"/>
        <v>9500</v>
      </c>
      <c r="AM40" s="5">
        <f t="shared" si="9"/>
        <v>17000</v>
      </c>
      <c r="AN40" s="5">
        <f t="shared" si="9"/>
        <v>31000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1966500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3483500</v>
      </c>
      <c r="AX40" s="5">
        <f t="shared" si="9"/>
        <v>6098000</v>
      </c>
      <c r="AY40" s="5">
        <f t="shared" si="9"/>
        <v>11252500</v>
      </c>
      <c r="AZ40" s="5">
        <f t="shared" si="9"/>
        <v>24448500</v>
      </c>
      <c r="BA40" s="5">
        <f t="shared" si="9"/>
        <v>2331200</v>
      </c>
      <c r="BB40" s="5">
        <f t="shared" si="9"/>
        <v>0</v>
      </c>
      <c r="BC40" s="5">
        <f t="shared" si="9"/>
        <v>0</v>
      </c>
      <c r="BD40" s="5">
        <f t="shared" si="9"/>
        <v>22022300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24448500</v>
      </c>
      <c r="D47" s="9">
        <f>SUMIFS(D8:D40,H8:H40,"BANQUE")</f>
        <v>0</v>
      </c>
      <c r="F47" s="9">
        <f>E40</f>
        <v>1204500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47451000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4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VLOOKUP(A6,[18]HISTOBQUEJUIL23!$A$6:$G$44,3,0)</f>
        <v>175000</v>
      </c>
      <c r="E6" s="9">
        <f>VLOOKUP(A6,[18]HISTOBQUEJUIL23!$A$6:$G$39,4,0)</f>
        <v>0</v>
      </c>
      <c r="F6" s="9">
        <f>VLOOKUP(A6,[18]HISTOBQUEJUIL23!$A$6:$G$39,5,0)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VLOOKUP($A6,[13]TONTJUIL23!$A$6:$P$20,10,0)</f>
        <v>0</v>
      </c>
      <c r="R6" s="2">
        <f>VLOOKUP($A6,[19]TONTJUIL23!$A$6:$P$21,10,0)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VLOOKUP(A7,[18]HISTOBQUEJUIL23!$A$6:$G$44,3,0)</f>
        <v>40000</v>
      </c>
      <c r="E7" s="9">
        <f>VLOOKUP(A7,[18]HISTOBQUEJUIL23!$A$6:$G$39,4,0)</f>
        <v>33500</v>
      </c>
      <c r="F7" s="9">
        <f>VLOOKUP(A7,[18]HISTOBQUEJUIL23!$A$6:$G$39,5,0)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VLOOKUP(A8,[18]HISTOBQUEJUIL23!$A$6:$G$44,3,0)</f>
        <v>115000</v>
      </c>
      <c r="E8" s="9">
        <f>VLOOKUP(A8,[18]HISTOBQUEJUIL23!$A$6:$G$39,4,0)</f>
        <v>0</v>
      </c>
      <c r="F8" s="9">
        <f>VLOOKUP(A8,[18]HISTOBQUEJUIL23!$A$6:$G$39,5,0)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VLOOKUP($A8,[20]TONTJUIL23!$A$6:$P$35,12,0)</f>
        <v>0</v>
      </c>
      <c r="Q8" s="2">
        <f>VLOOKUP($A8,[13]TONTJUIL23!$A$6:$P$20,10,0)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VLOOKUP(A9,[18]HISTOBQUEJUIL23!$A$6:$G$44,3,0)</f>
        <v>241000</v>
      </c>
      <c r="E9" s="9">
        <f>VLOOKUP(A9,[18]HISTOBQUEJUIL23!$A$6:$G$39,4,0)</f>
        <v>87500</v>
      </c>
      <c r="F9" s="9">
        <f>VLOOKUP(A9,[18]HISTOBQUEJUIL23!$A$6:$G$39,5,0)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VLOOKUP($A9,[20]TONTJUIL23!$A$6:$P$35,12,0)</f>
        <v>0</v>
      </c>
      <c r="Q9" s="2"/>
      <c r="R9" s="2">
        <f>VLOOKUP($A9,[19]TONTJUIL23!$A$6:$P$21,10,0)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14">
        <f t="shared" si="0"/>
        <v>0</v>
      </c>
      <c r="D10" s="9">
        <f>VLOOKUP(A10,[18]HISTOBQUEJUIL23!$A$6:$G$44,3,0)</f>
        <v>0</v>
      </c>
      <c r="E10" s="9">
        <f>VLOOKUP(A10,[18]HISTOBQUEJUIL23!$A$6:$G$39,4,0)+3000</f>
        <v>43000</v>
      </c>
      <c r="F10" s="9">
        <f>VLOOKUP(A10,[18]HISTOBQUEJUIL23!$A$6:$G$39,5,0)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VLOOKUP(A11,[18]HISTOBQUEJUIL23!$A$6:$G$44,3,0)+50000</f>
        <v>165000</v>
      </c>
      <c r="E11" s="9">
        <f>VLOOKUP(A11,[18]HISTOBQUEJUIL23!$A$6:$G$39,4,0)</f>
        <v>85500</v>
      </c>
      <c r="F11" s="9">
        <f>VLOOKUP(A11,[18]HISTOBQUEJUIL23!$A$6:$G$39,5,0)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VLOOKUP($A11,[20]TONTJUIL23!$A$6:$P$35,12,0)</f>
        <v>30500</v>
      </c>
      <c r="Q11" s="2">
        <f>VLOOKUP($A11,[13]TONTJUIL23!$A$6:$P$20,10,0)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VLOOKUP(A12,[18]HISTOBQUEJUIL23!$A$6:$G$44,3,0)</f>
        <v>360000</v>
      </c>
      <c r="E12" s="9">
        <f>VLOOKUP(A12,[18]HISTOBQUEJUIL23!$A$6:$G$39,4,0)</f>
        <v>0</v>
      </c>
      <c r="F12" s="9">
        <f>VLOOKUP(A12,[18]HISTOBQUEJUIL23!$A$6:$G$39,5,0)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VLOOKUP($A12,[20]TONTJUIL23!$A$6:$P$35,12,0)</f>
        <v>30500</v>
      </c>
      <c r="Q12" s="2">
        <f>VLOOKUP($A12,[13]TONTJUIL23!$A$6:$P$20,10,0)</f>
        <v>0</v>
      </c>
      <c r="R12" s="2">
        <f>VLOOKUP($A12,[19]TONTJUIL23!$A$6:$P$21,10,0)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VLOOKUP(A13,[18]HISTOBQUEJUIL23!$A$6:$G$44,3,0)</f>
        <v>40000</v>
      </c>
      <c r="E13" s="9">
        <f>VLOOKUP(A13,[18]HISTOBQUEJUIL23!$A$6:$G$39,4,0)</f>
        <v>0</v>
      </c>
      <c r="F13" s="9">
        <f>VLOOKUP(A13,[18]HISTOBQUEJUIL23!$A$6:$G$39,5,0)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VLOOKUP(A14,[18]HISTOBQUEJUIL23!$A$6:$G$44,3,0)</f>
        <v>40000</v>
      </c>
      <c r="E14" s="9">
        <f>VLOOKUP(A14,[18]HISTOBQUEJUIL23!$A$6:$G$39,4,0)</f>
        <v>0</v>
      </c>
      <c r="F14" s="9">
        <f>VLOOKUP(A14,[18]HISTOBQUEJUIL23!$A$6:$G$39,5,0)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VLOOKUP(A15,[18]HISTOBQUEJUIL23!$A$6:$G$44,3,0)</f>
        <v>115000</v>
      </c>
      <c r="E15" s="9">
        <f>VLOOKUP(A15,[18]HISTOBQUEJUIL23!$A$6:$G$39,4,0)</f>
        <v>0</v>
      </c>
      <c r="F15" s="9">
        <f>VLOOKUP(A15,[18]HISTOBQUEJUIL23!$A$6:$G$39,5,0)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VLOOKUP($A15,[20]TONTJUIL23!$A$6:$P$35,12,0)</f>
        <v>0</v>
      </c>
      <c r="Q15" s="2">
        <f>VLOOKUP($A15,[13]TONTJUIL23!$A$6:$P$20,10,0)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VLOOKUP(A16,[18]HISTOBQUEJUIL23!$A$6:$G$44,3,0)</f>
        <v>250000</v>
      </c>
      <c r="E16" s="9">
        <f>VLOOKUP(A16,[18]HISTOBQUEJUIL23!$A$6:$G$39,4,0)</f>
        <v>0</v>
      </c>
      <c r="F16" s="9">
        <f>VLOOKUP(A16,[18]HISTOBQUEJUIL23!$A$6:$G$39,5,0)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VLOOKUP($A16,[20]TONTJUIL23!$A$6:$P$35,12,0)</f>
        <v>0</v>
      </c>
      <c r="Q16" s="2">
        <f>VLOOKUP($A16,[13]TONTJUIL23!$A$6:$P$20,10,0)</f>
        <v>0</v>
      </c>
      <c r="R16" s="2">
        <f>VLOOKUP($A16,[19]TONTJUIL23!$A$6:$P$21,10,0)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VLOOKUP(A17,[18]HISTOBQUEJUIL23!$A$6:$G$44,3,0)</f>
        <v>140000</v>
      </c>
      <c r="E17" s="9">
        <f>VLOOKUP(A17,[18]HISTOBQUEJUIL23!$A$6:$G$39,4,0)</f>
        <v>0</v>
      </c>
      <c r="F17" s="9">
        <f>VLOOKUP(A17,[18]HISTOBQUEJUIL23!$A$6:$G$39,5,0)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VLOOKUP($A17,[20]TONTJUIL23!$A$6:$P$35,12,0)</f>
        <v>0</v>
      </c>
      <c r="Q17" s="2"/>
      <c r="R17" s="2">
        <f>VLOOKUP($A17,[19]TONTJUIL23!$A$6:$P$21,10,0)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VLOOKUP(A18,[18]HISTOBQUEJUIL23!$A$6:$G$44,3,0)</f>
        <v>215000</v>
      </c>
      <c r="E18" s="9">
        <f>VLOOKUP(A18,[18]HISTOBQUEJUIL23!$A$6:$G$39,4,0)</f>
        <v>0</v>
      </c>
      <c r="F18" s="9">
        <f>VLOOKUP(A18,[18]HISTOBQUEJUIL23!$A$6:$G$39,5,0)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VLOOKUP($A18,[20]TONTJUIL23!$A$6:$P$35,12,0)</f>
        <v>0</v>
      </c>
      <c r="Q18" s="2">
        <f>VLOOKUP($A18,[13]TONTJUIL23!$A$6:$P$20,10,0)</f>
        <v>0</v>
      </c>
      <c r="R18" s="2">
        <f>VLOOKUP($A18,[19]TONTJUIL23!$A$6:$P$21,10,0)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VLOOKUP(A19,[18]HISTOBQUEJUIL23!$A$6:$G$44,3,0)</f>
        <v>40000</v>
      </c>
      <c r="E19" s="9">
        <f>VLOOKUP(A19,[18]HISTOBQUEJUIL23!$A$6:$G$39,4,0)</f>
        <v>0</v>
      </c>
      <c r="F19" s="9">
        <f>VLOOKUP(A19,[18]HISTOBQUEJUIL23!$A$6:$G$39,5,0)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VLOOKUP(A20,[18]HISTOBQUEJUIL23!$A$6:$G$44,3,0)-202000-250000-50000</f>
        <v>519000</v>
      </c>
      <c r="E20" s="9">
        <f>VLOOKUP(A20,[18]HISTOBQUEJUIL23!$A$6:$G$39,4,0)</f>
        <v>0</v>
      </c>
      <c r="F20" s="9">
        <f>VLOOKUP(A20,[18]HISTOBQUEJUIL23!$A$6:$G$39,5,0)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VLOOKUP($A20,[20]TONTJUIL23!$A$6:$P$35,12,0)</f>
        <v>0</v>
      </c>
      <c r="Q20" s="2">
        <f>VLOOKUP($A20,[13]TONTJUIL23!$A$6:$P$20,10,0)</f>
        <v>102000</v>
      </c>
      <c r="R20" s="2">
        <f>VLOOKUP($A20,[19]TONTJUIL23!$A$6:$P$21,10,0)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VLOOKUP(A21,[18]HISTOBQUEJUIL23!$A$6:$G$44,3,0)</f>
        <v>40000</v>
      </c>
      <c r="E21" s="9">
        <f>VLOOKUP(A21,[18]HISTOBQUEJUIL23!$A$6:$G$39,4,0)</f>
        <v>0</v>
      </c>
      <c r="F21" s="9">
        <f>VLOOKUP(A21,[18]HISTOBQUEJUIL23!$A$6:$G$39,5,0)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VLOOKUP(A22,[18]HISTOBQUEJUIL23!$A$6:$G$44,3,0)</f>
        <v>115000</v>
      </c>
      <c r="E22" s="9">
        <f>VLOOKUP(A22,[18]HISTOBQUEJUIL23!$A$6:$G$39,4,0)</f>
        <v>0</v>
      </c>
      <c r="F22" s="9">
        <f>VLOOKUP(A22,[18]HISTOBQUEJUIL23!$A$6:$G$39,5,0)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VLOOKUP($A22,[20]TONTJUIL23!$A$6:$P$35,12,0)</f>
        <v>0</v>
      </c>
      <c r="Q22" s="2">
        <f>VLOOKUP($A22,[13]TONTJUIL23!$A$6:$P$20,10,0)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VLOOKUP(A23,[18]HISTOBQUEJUIL23!$A$6:$G$44,3,0)+202000</f>
        <v>452000</v>
      </c>
      <c r="E23" s="9">
        <f>VLOOKUP(A23,[18]HISTOBQUEJUIL23!$A$6:$G$39,4,0)</f>
        <v>0</v>
      </c>
      <c r="F23" s="9">
        <f>VLOOKUP(A23,[18]HISTOBQUEJUIL23!$A$6:$G$39,5,0)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VLOOKUP($A23,[20]TONTJUIL23!$A$6:$P$35,12,0)</f>
        <v>0</v>
      </c>
      <c r="Q23" s="2"/>
      <c r="R23" s="2">
        <f>VLOOKUP($A23,[19]TONTJUIL23!$A$6:$P$21,10,0)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-122000</v>
      </c>
      <c r="D24" s="9">
        <f>VLOOKUP(A24,[18]HISTOBQUEJUIL23!$A$6:$G$44,3,0)-61000</f>
        <v>159000</v>
      </c>
      <c r="E24" s="9">
        <f>VLOOKUP(A24,[18]HISTOBQUEJUIL23!$A$6:$G$39,4,0)</f>
        <v>0</v>
      </c>
      <c r="F24" s="9">
        <f>VLOOKUP(A24,[18]HISTOBQUEJUIL23!$A$6:$G$39,5,0)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VLOOKUP($A24,[20]TONTJUIL23!$A$6:$P$35,12,0)</f>
        <v>61000</v>
      </c>
      <c r="Q24" s="2">
        <f>VLOOKUP($A24,[13]TONTJUIL23!$A$6:$P$20,10,0)</f>
        <v>0</v>
      </c>
      <c r="R24" s="2">
        <f>VLOOKUP($A24,[19]TONTJUIL23!$A$6:$P$21,10,0)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VLOOKUP(A25,[18]HISTOBQUEJUIL23!$A$6:$G$44,3,0)</f>
        <v>400000</v>
      </c>
      <c r="E25" s="9">
        <f>VLOOKUP(A25,[18]HISTOBQUEJUIL23!$A$6:$G$39,4,0)</f>
        <v>0</v>
      </c>
      <c r="F25" s="9">
        <f>VLOOKUP(A25,[18]HISTOBQUEJUIL23!$A$6:$G$39,5,0)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VLOOKUP($A25,[20]TONTJUIL23!$A$6:$P$35,12,0)</f>
        <v>0</v>
      </c>
      <c r="Q25" s="2">
        <f>VLOOKUP($A25,[13]TONTJUIL23!$A$6:$P$20,10,0)</f>
        <v>102000</v>
      </c>
      <c r="R25" s="2">
        <f>VLOOKUP($A25,[19]TONTJUIL23!$A$6:$P$21,10,0)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VLOOKUP(A26,[18]HISTOBQUEJUIL23!$A$6:$G$44,3,0)</f>
        <v>0</v>
      </c>
      <c r="E26" s="9">
        <f>VLOOKUP(A26,[18]HISTOBQUEJUIL23!$A$6:$G$39,4,0)</f>
        <v>43000</v>
      </c>
      <c r="F26" s="9">
        <f>VLOOKUP(A26,[18]HISTOBQUEJUIL23!$A$6:$G$39,5,0)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VLOOKUP(A27,[18]HISTOBQUEJUIL23!$A$6:$G$44,3,0)</f>
        <v>50000</v>
      </c>
      <c r="E27" s="9">
        <f>VLOOKUP(A27,[18]HISTOBQUEJUIL23!$A$6:$G$39,4,0)</f>
        <v>0</v>
      </c>
      <c r="F27" s="9">
        <f>VLOOKUP(A27,[18]HISTOBQUEJUIL23!$A$6:$G$39,5,0)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VLOOKUP(A28,[18]HISTOBQUEJUIL23!$A$6:$G$44,3,0)</f>
        <v>115000</v>
      </c>
      <c r="E28" s="9">
        <f>VLOOKUP(A28,[18]HISTOBQUEJUIL23!$A$6:$G$39,4,0)</f>
        <v>0</v>
      </c>
      <c r="F28" s="9">
        <f>VLOOKUP(A28,[18]HISTOBQUEJUIL23!$A$6:$G$39,5,0)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VLOOKUP($A28,[20]TONTJUIL23!$A$6:$P$35,12,0)</f>
        <v>0</v>
      </c>
      <c r="Q28" s="2">
        <f>VLOOKUP($A28,[13]TONTJUIL23!$A$6:$P$20,10,0)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VLOOKUP(A29,[18]HISTOBQUEJUIL23!$A$6:$G$44,3,0)</f>
        <v>40000</v>
      </c>
      <c r="E29" s="9">
        <f>VLOOKUP(A29,[18]HISTOBQUEJUIL23!$A$6:$G$39,4,0)</f>
        <v>0</v>
      </c>
      <c r="F29" s="9">
        <f>VLOOKUP(A29,[18]HISTOBQUEJUIL23!$A$6:$G$39,5,0)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VLOOKUP(A30,[18]HISTOBQUEJUIL23!$A$6:$G$44,3,0)</f>
        <v>115000</v>
      </c>
      <c r="E30" s="9">
        <f>VLOOKUP(A30,[18]HISTOBQUEJUIL23!$A$6:$G$39,4,0)</f>
        <v>0</v>
      </c>
      <c r="F30" s="9">
        <f>VLOOKUP(A30,[18]HISTOBQUEJUIL23!$A$6:$G$39,5,0)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VLOOKUP($A30,[20]TONTJUIL23!$A$6:$P$35,12,0)</f>
        <v>0</v>
      </c>
      <c r="Q30" s="2">
        <f>VLOOKUP($A30,[13]TONTJUIL23!$A$6:$P$20,10,0)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VLOOKUP(A31,[18]HISTOBQUEJUIL23!$A$6:$G$44,3,0)</f>
        <v>140000</v>
      </c>
      <c r="E31" s="9">
        <f>VLOOKUP(A31,[18]HISTOBQUEJUIL23!$A$6:$G$39,4,0)</f>
        <v>0</v>
      </c>
      <c r="F31" s="9">
        <f>VLOOKUP(A31,[18]HISTOBQUEJUIL23!$A$6:$G$39,5,0)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VLOOKUP($A31,[20]TONTJUIL23!$A$6:$P$35,12,0)</f>
        <v>0</v>
      </c>
      <c r="Q31" s="2"/>
      <c r="R31" s="2">
        <f>VLOOKUP($A31,[19]TONTJUIL23!$A$6:$P$21,10,0)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VLOOKUP(A32,[18]HISTOBQUEJUIL23!$A$6:$G$44,3,0)+250000</f>
        <v>365000</v>
      </c>
      <c r="E32" s="9">
        <f>VLOOKUP(A32,[18]HISTOBQUEJUIL23!$A$6:$G$39,4,0)</f>
        <v>102000</v>
      </c>
      <c r="F32" s="9">
        <f>VLOOKUP(A32,[18]HISTOBQUEJUIL23!$A$6:$G$39,5,0)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VLOOKUP($A32,[20]TONTJUIL23!$A$6:$P$35,12,0)</f>
        <v>0</v>
      </c>
      <c r="Q32" s="2">
        <f>VLOOKUP($A32,[13]TONTJUIL23!$A$6:$P$20,10,0)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VLOOKUP(A33,[18]HISTOBQUEJUIL23!$A$6:$G$44,3,0)</f>
        <v>40000</v>
      </c>
      <c r="E33" s="9">
        <f>VLOOKUP(A33,[18]HISTOBQUEJUIL23!$A$6:$G$39,4,0)</f>
        <v>0</v>
      </c>
      <c r="F33" s="9">
        <f>VLOOKUP(A33,[18]HISTOBQUEJUIL23!$A$6:$G$39,5,0)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VLOOKUP(A34,[18]HISTOBQUEJUIL23!$A$6:$G$44,3,0)</f>
        <v>100000</v>
      </c>
      <c r="E34" s="9">
        <f>VLOOKUP(A34,[18]HISTOBQUEJUIL23!$A$6:$G$39,4,0)</f>
        <v>0</v>
      </c>
      <c r="F34" s="9">
        <f>VLOOKUP(A34,[18]HISTOBQUEJUIL23!$A$6:$G$39,5,0)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VLOOKUP(A35,[18]HISTOBQUEJUIL23!$A$6:$G$44,3,0)</f>
        <v>40000</v>
      </c>
      <c r="E35" s="9">
        <f>VLOOKUP(A35,[18]HISTOBQUEJUIL23!$A$6:$G$39,4,0)</f>
        <v>0</v>
      </c>
      <c r="F35" s="9">
        <f>VLOOKUP(A35,[18]HISTOBQUEJUIL23!$A$6:$G$39,5,0)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VLOOKUP(A36,[18]HISTOBQUEJUIL23!$A$6:$G$44,3,0)</f>
        <v>290000</v>
      </c>
      <c r="E36" s="9">
        <f>VLOOKUP(A36,[18]HISTOBQUEJUIL23!$A$6:$G$39,4,0)</f>
        <v>0</v>
      </c>
      <c r="F36" s="9">
        <f>VLOOKUP(A36,[18]HISTOBQUEJUIL23!$A$6:$G$39,5,0)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VLOOKUP($A36,[20]TONTJUIL23!$A$6:$P$35,12,0)</f>
        <v>0</v>
      </c>
      <c r="Q36" s="2">
        <f>VLOOKUP($A36,[13]TONTJUIL23!$A$6:$P$20,10,0)</f>
        <v>0</v>
      </c>
      <c r="R36" s="2">
        <f>VLOOKUP($A36,[19]TONTJUIL23!$A$6:$P$21,10,0)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7121000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2024-04-22T09:01:07Z</dcterms:modified>
</cp:coreProperties>
</file>