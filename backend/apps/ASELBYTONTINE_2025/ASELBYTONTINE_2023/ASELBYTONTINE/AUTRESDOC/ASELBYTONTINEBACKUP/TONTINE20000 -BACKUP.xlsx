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15600" windowHeight="7950" activeTab="1"/>
  </bookViews>
  <sheets>
    <sheet name="LISTADHERENT" sheetId="15" r:id="rId1"/>
    <sheet name="RECAPTONT20000" sheetId="2" r:id="rId2"/>
    <sheet name="TONT20000DEC2015" sheetId="14" r:id="rId3"/>
    <sheet name="TONT20000JANV" sheetId="1" r:id="rId4"/>
    <sheet name="TONT20000FEV" sheetId="4" r:id="rId5"/>
    <sheet name="TONT20000MARS" sheetId="5" r:id="rId6"/>
    <sheet name="TONT20000AVRIL" sheetId="7" r:id="rId7"/>
    <sheet name="TONT20000MAI" sheetId="8" r:id="rId8"/>
    <sheet name="TONT20000JUIN" sheetId="9" r:id="rId9"/>
    <sheet name="TONT20000JUIL" sheetId="10" r:id="rId10"/>
    <sheet name="TONT20000AOUT" sheetId="6" r:id="rId11"/>
    <sheet name="TONT20000SEPT" sheetId="3" r:id="rId12"/>
    <sheet name="TONT20000OCT" sheetId="12" r:id="rId13"/>
    <sheet name="TONT20000NOV" sheetId="11" r:id="rId14"/>
  </sheets>
  <externalReferences>
    <externalReference r:id="rId15"/>
  </externalReferences>
  <definedNames>
    <definedName name="_xlnm._FilterDatabase" localSheetId="0" hidden="1">LISTADHERENT!$A$4:$H$51</definedName>
    <definedName name="_xlnm._FilterDatabase" localSheetId="1" hidden="1">RECAPTONT20000!$A$4:$S$49</definedName>
    <definedName name="_xlnm._FilterDatabase" localSheetId="10" hidden="1">TONT20000AOUT!$A$4:$L$50</definedName>
    <definedName name="_xlnm._FilterDatabase" localSheetId="6" hidden="1">TONT20000AVRIL!$A$4:$L$50</definedName>
    <definedName name="_xlnm._FilterDatabase" localSheetId="2" hidden="1">TONT20000DEC2015!$A$4:$L$48</definedName>
    <definedName name="_xlnm._FilterDatabase" localSheetId="4" hidden="1">TONT20000FEV!$A$4:$L$50</definedName>
    <definedName name="_xlnm._FilterDatabase" localSheetId="3" hidden="1">TONT20000JANV!$A$4:$L$50</definedName>
    <definedName name="_xlnm._FilterDatabase" localSheetId="9" hidden="1">TONT20000JUIL!$A$4:$L$50</definedName>
    <definedName name="_xlnm._FilterDatabase" localSheetId="8" hidden="1">TONT20000JUIN!$A$4:$L$50</definedName>
    <definedName name="_xlnm._FilterDatabase" localSheetId="7" hidden="1">TONT20000MAI!$A$4:$L$50</definedName>
    <definedName name="_xlnm._FilterDatabase" localSheetId="5" hidden="1">TONT20000MARS!$A$4:$L$50</definedName>
    <definedName name="_xlnm._FilterDatabase" localSheetId="13" hidden="1">TONT20000NOV!$A$4:$L$50</definedName>
    <definedName name="_xlnm._FilterDatabase" localSheetId="12" hidden="1">TONT20000OCT!$A$4:$L$50</definedName>
    <definedName name="_xlnm._FilterDatabase" localSheetId="11" hidden="1">TONT20000SEPT!$A$4:$L$50</definedName>
    <definedName name="_xlnm.Print_Titles" localSheetId="0">LISTADHERENT!$1:$4</definedName>
    <definedName name="MODEPAID">[1]Feuil2!$A$1:$A$3</definedName>
  </definedNames>
  <calcPr calcId="124519"/>
</workbook>
</file>

<file path=xl/calcChain.xml><?xml version="1.0" encoding="utf-8"?>
<calcChain xmlns="http://schemas.openxmlformats.org/spreadsheetml/2006/main">
  <c r="E55" i="2"/>
  <c r="C46"/>
  <c r="C30"/>
  <c r="C16"/>
  <c r="C55"/>
  <c r="C12"/>
  <c r="D5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3"/>
  <c r="P5"/>
  <c r="K42" i="1"/>
  <c r="K6" i="10"/>
  <c r="K31" i="5"/>
  <c r="K7" i="1"/>
  <c r="J54" i="11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J54" i="12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J54" i="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J54" i="6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54" s="1"/>
  <c r="J54" i="10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1"/>
  <c r="K20"/>
  <c r="K19"/>
  <c r="K18"/>
  <c r="K17"/>
  <c r="K16"/>
  <c r="K15"/>
  <c r="K14"/>
  <c r="K13"/>
  <c r="K12"/>
  <c r="K11"/>
  <c r="K10"/>
  <c r="K9"/>
  <c r="K8"/>
  <c r="K7"/>
  <c r="K5"/>
  <c r="J54" i="9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J54" i="8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54" s="1"/>
  <c r="J54" i="7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J54" i="5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J54" i="4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54" s="1"/>
  <c r="J54" i="1"/>
  <c r="K52"/>
  <c r="K51"/>
  <c r="K50"/>
  <c r="K49"/>
  <c r="K48"/>
  <c r="K47"/>
  <c r="K46"/>
  <c r="K45"/>
  <c r="K44"/>
  <c r="K43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6"/>
  <c r="K5"/>
  <c r="K6" i="14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"/>
  <c r="G53" i="2"/>
  <c r="H53"/>
  <c r="I53"/>
  <c r="J53"/>
  <c r="K53"/>
  <c r="L53"/>
  <c r="M53"/>
  <c r="N53"/>
  <c r="O53"/>
  <c r="Q53"/>
  <c r="O50"/>
  <c r="O51"/>
  <c r="Q30"/>
  <c r="Q31"/>
  <c r="Q32"/>
  <c r="Q33"/>
  <c r="Q34"/>
  <c r="Q35"/>
  <c r="Q36"/>
  <c r="Q37"/>
  <c r="Q38"/>
  <c r="Q39"/>
  <c r="Q40"/>
  <c r="Q41"/>
  <c r="Q42"/>
  <c r="Q43"/>
  <c r="Q44"/>
  <c r="Q45"/>
  <c r="Q46"/>
  <c r="Q47"/>
  <c r="Q48"/>
  <c r="Q49"/>
  <c r="Q50"/>
  <c r="Q51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"/>
  <c r="D54" i="11"/>
  <c r="E54"/>
  <c r="F54"/>
  <c r="G54"/>
  <c r="H54"/>
  <c r="I54"/>
  <c r="C54"/>
  <c r="Q26" i="2"/>
  <c r="Q27"/>
  <c r="Q28"/>
  <c r="Q29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5"/>
  <c r="R55"/>
  <c r="D54" i="12"/>
  <c r="E54"/>
  <c r="F54"/>
  <c r="G54"/>
  <c r="H54"/>
  <c r="I54"/>
  <c r="L54" i="3"/>
  <c r="N54"/>
  <c r="D54"/>
  <c r="E54"/>
  <c r="F54"/>
  <c r="G54"/>
  <c r="H54"/>
  <c r="I54"/>
  <c r="C12" i="6"/>
  <c r="C30" i="3"/>
  <c r="E54" i="6"/>
  <c r="F54"/>
  <c r="G54"/>
  <c r="H54"/>
  <c r="I54"/>
  <c r="D54"/>
  <c r="C6"/>
  <c r="C7"/>
  <c r="C8"/>
  <c r="C9"/>
  <c r="C10"/>
  <c r="C11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"/>
  <c r="D54" i="10"/>
  <c r="E54"/>
  <c r="F54"/>
  <c r="G54"/>
  <c r="H54"/>
  <c r="I54"/>
  <c r="I52" i="9"/>
  <c r="D54"/>
  <c r="E54"/>
  <c r="F54"/>
  <c r="G54"/>
  <c r="H54"/>
  <c r="I54"/>
  <c r="I52" i="8"/>
  <c r="D54"/>
  <c r="E54"/>
  <c r="F54"/>
  <c r="G54"/>
  <c r="H54"/>
  <c r="I54"/>
  <c r="D54" i="7"/>
  <c r="E54"/>
  <c r="F54"/>
  <c r="G54"/>
  <c r="H54"/>
  <c r="I54"/>
  <c r="C54"/>
  <c r="I54" i="5"/>
  <c r="I54" i="4"/>
  <c r="C51" i="11"/>
  <c r="B51"/>
  <c r="C50"/>
  <c r="B50"/>
  <c r="C49"/>
  <c r="B49"/>
  <c r="C48"/>
  <c r="B48"/>
  <c r="C47"/>
  <c r="B47"/>
  <c r="C46"/>
  <c r="B46"/>
  <c r="C45"/>
  <c r="B45"/>
  <c r="C44"/>
  <c r="B44"/>
  <c r="C43"/>
  <c r="B43"/>
  <c r="C42"/>
  <c r="B42"/>
  <c r="C41"/>
  <c r="B41"/>
  <c r="C40"/>
  <c r="B40"/>
  <c r="C39"/>
  <c r="B39"/>
  <c r="C38"/>
  <c r="B38"/>
  <c r="C37"/>
  <c r="B37"/>
  <c r="C36"/>
  <c r="B36"/>
  <c r="C35"/>
  <c r="B35"/>
  <c r="C34"/>
  <c r="B34"/>
  <c r="C33"/>
  <c r="B33"/>
  <c r="C32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51" i="12"/>
  <c r="B51"/>
  <c r="C50"/>
  <c r="B50"/>
  <c r="C49"/>
  <c r="B49"/>
  <c r="C48"/>
  <c r="C54" s="1"/>
  <c r="B48"/>
  <c r="C47"/>
  <c r="B47"/>
  <c r="C46"/>
  <c r="B46"/>
  <c r="C45"/>
  <c r="B45"/>
  <c r="C44"/>
  <c r="B44"/>
  <c r="C43"/>
  <c r="B43"/>
  <c r="C42"/>
  <c r="B42"/>
  <c r="C41"/>
  <c r="B41"/>
  <c r="C40"/>
  <c r="B40"/>
  <c r="C39"/>
  <c r="B39"/>
  <c r="C38"/>
  <c r="B38"/>
  <c r="C37"/>
  <c r="B37"/>
  <c r="C36"/>
  <c r="B36"/>
  <c r="C35"/>
  <c r="B35"/>
  <c r="C34"/>
  <c r="B34"/>
  <c r="C33"/>
  <c r="B33"/>
  <c r="C32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51" i="3"/>
  <c r="B51"/>
  <c r="C50"/>
  <c r="B50"/>
  <c r="C49"/>
  <c r="B49"/>
  <c r="C48"/>
  <c r="B48"/>
  <c r="C47"/>
  <c r="B47"/>
  <c r="C46"/>
  <c r="B46"/>
  <c r="C45"/>
  <c r="B45"/>
  <c r="C44"/>
  <c r="B44"/>
  <c r="C43"/>
  <c r="B43"/>
  <c r="C42"/>
  <c r="B42"/>
  <c r="C41"/>
  <c r="B41"/>
  <c r="C40"/>
  <c r="B40"/>
  <c r="C39"/>
  <c r="B39"/>
  <c r="C38"/>
  <c r="B38"/>
  <c r="C37"/>
  <c r="B37"/>
  <c r="C36"/>
  <c r="B36"/>
  <c r="C35"/>
  <c r="B35"/>
  <c r="C34"/>
  <c r="B34"/>
  <c r="C33"/>
  <c r="B33"/>
  <c r="C32"/>
  <c r="B32"/>
  <c r="C31"/>
  <c r="B31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C54" s="1"/>
  <c r="B5"/>
  <c r="B51" i="6"/>
  <c r="B50"/>
  <c r="B49"/>
  <c r="B48"/>
  <c r="B47"/>
  <c r="B46"/>
  <c r="B45"/>
  <c r="B44"/>
  <c r="B43"/>
  <c r="B4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B7"/>
  <c r="B6"/>
  <c r="B5"/>
  <c r="C51" i="10"/>
  <c r="B51"/>
  <c r="C50"/>
  <c r="B50"/>
  <c r="C49"/>
  <c r="B49"/>
  <c r="C48"/>
  <c r="B48"/>
  <c r="C47"/>
  <c r="B47"/>
  <c r="C46"/>
  <c r="B46"/>
  <c r="C45"/>
  <c r="B45"/>
  <c r="C44"/>
  <c r="B44"/>
  <c r="C43"/>
  <c r="B43"/>
  <c r="C42"/>
  <c r="B42"/>
  <c r="C41"/>
  <c r="B41"/>
  <c r="C40"/>
  <c r="B40"/>
  <c r="C39"/>
  <c r="B39"/>
  <c r="C38"/>
  <c r="B38"/>
  <c r="C37"/>
  <c r="B37"/>
  <c r="C36"/>
  <c r="B36"/>
  <c r="C35"/>
  <c r="B35"/>
  <c r="C34"/>
  <c r="B34"/>
  <c r="C33"/>
  <c r="B33"/>
  <c r="C32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51" i="9"/>
  <c r="B51"/>
  <c r="C50"/>
  <c r="B50"/>
  <c r="C49"/>
  <c r="B49"/>
  <c r="C48"/>
  <c r="B48"/>
  <c r="C47"/>
  <c r="C54" s="1"/>
  <c r="B47"/>
  <c r="C46"/>
  <c r="B46"/>
  <c r="C45"/>
  <c r="B45"/>
  <c r="C44"/>
  <c r="B44"/>
  <c r="C43"/>
  <c r="B43"/>
  <c r="C42"/>
  <c r="B42"/>
  <c r="C41"/>
  <c r="B41"/>
  <c r="C40"/>
  <c r="B40"/>
  <c r="C39"/>
  <c r="B39"/>
  <c r="C38"/>
  <c r="B38"/>
  <c r="C37"/>
  <c r="B37"/>
  <c r="C36"/>
  <c r="B36"/>
  <c r="C35"/>
  <c r="B35"/>
  <c r="C34"/>
  <c r="B34"/>
  <c r="C33"/>
  <c r="B33"/>
  <c r="C32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51" i="8"/>
  <c r="B51"/>
  <c r="C50"/>
  <c r="B50"/>
  <c r="C49"/>
  <c r="B49"/>
  <c r="C48"/>
  <c r="B48"/>
  <c r="C47"/>
  <c r="B47"/>
  <c r="C46"/>
  <c r="B46"/>
  <c r="C45"/>
  <c r="B45"/>
  <c r="C44"/>
  <c r="B44"/>
  <c r="C43"/>
  <c r="B43"/>
  <c r="C42"/>
  <c r="B42"/>
  <c r="C41"/>
  <c r="B41"/>
  <c r="C40"/>
  <c r="B40"/>
  <c r="C39"/>
  <c r="B39"/>
  <c r="C38"/>
  <c r="B38"/>
  <c r="C37"/>
  <c r="B37"/>
  <c r="C36"/>
  <c r="B36"/>
  <c r="C35"/>
  <c r="B35"/>
  <c r="C34"/>
  <c r="B34"/>
  <c r="C33"/>
  <c r="B33"/>
  <c r="C32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C54" s="1"/>
  <c r="B11"/>
  <c r="C10"/>
  <c r="B10"/>
  <c r="C9"/>
  <c r="B9"/>
  <c r="C8"/>
  <c r="B8"/>
  <c r="C7"/>
  <c r="B7"/>
  <c r="C6"/>
  <c r="B6"/>
  <c r="C5"/>
  <c r="B5"/>
  <c r="C51" i="7"/>
  <c r="B51"/>
  <c r="C50"/>
  <c r="B50"/>
  <c r="C49"/>
  <c r="B49"/>
  <c r="C48"/>
  <c r="B48"/>
  <c r="C47"/>
  <c r="B47"/>
  <c r="C46"/>
  <c r="B46"/>
  <c r="C45"/>
  <c r="B45"/>
  <c r="C44"/>
  <c r="B44"/>
  <c r="C43"/>
  <c r="B43"/>
  <c r="C42"/>
  <c r="B42"/>
  <c r="C41"/>
  <c r="B41"/>
  <c r="C40"/>
  <c r="B40"/>
  <c r="C39"/>
  <c r="B39"/>
  <c r="C38"/>
  <c r="B38"/>
  <c r="C37"/>
  <c r="B37"/>
  <c r="C36"/>
  <c r="B36"/>
  <c r="C35"/>
  <c r="B35"/>
  <c r="C34"/>
  <c r="B34"/>
  <c r="C33"/>
  <c r="B33"/>
  <c r="C32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H54" i="5"/>
  <c r="G54"/>
  <c r="F54"/>
  <c r="E54"/>
  <c r="D54"/>
  <c r="C51"/>
  <c r="B51"/>
  <c r="C50"/>
  <c r="B50"/>
  <c r="C49"/>
  <c r="B49"/>
  <c r="C48"/>
  <c r="B48"/>
  <c r="C47"/>
  <c r="B47"/>
  <c r="C46"/>
  <c r="B46"/>
  <c r="C45"/>
  <c r="B45"/>
  <c r="C44"/>
  <c r="B44"/>
  <c r="C43"/>
  <c r="B43"/>
  <c r="C42"/>
  <c r="B42"/>
  <c r="C41"/>
  <c r="B41"/>
  <c r="C40"/>
  <c r="B40"/>
  <c r="C39"/>
  <c r="B39"/>
  <c r="C38"/>
  <c r="B38"/>
  <c r="C37"/>
  <c r="B37"/>
  <c r="C36"/>
  <c r="B36"/>
  <c r="C35"/>
  <c r="B35"/>
  <c r="C34"/>
  <c r="B34"/>
  <c r="C33"/>
  <c r="B33"/>
  <c r="C32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C54" s="1"/>
  <c r="B5"/>
  <c r="H54" i="4"/>
  <c r="G54"/>
  <c r="F54"/>
  <c r="E54"/>
  <c r="D54"/>
  <c r="C51"/>
  <c r="B51"/>
  <c r="C50"/>
  <c r="B50"/>
  <c r="C49"/>
  <c r="B49"/>
  <c r="C48"/>
  <c r="B48"/>
  <c r="C47"/>
  <c r="B47"/>
  <c r="C46"/>
  <c r="B46"/>
  <c r="C45"/>
  <c r="B45"/>
  <c r="C44"/>
  <c r="B44"/>
  <c r="C43"/>
  <c r="B43"/>
  <c r="C42"/>
  <c r="B42"/>
  <c r="C41"/>
  <c r="B41"/>
  <c r="C40"/>
  <c r="B40"/>
  <c r="C39"/>
  <c r="B39"/>
  <c r="C38"/>
  <c r="B38"/>
  <c r="C37"/>
  <c r="B37"/>
  <c r="C36"/>
  <c r="B36"/>
  <c r="C35"/>
  <c r="B35"/>
  <c r="C34"/>
  <c r="B34"/>
  <c r="C33"/>
  <c r="B33"/>
  <c r="C32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C54" s="1"/>
  <c r="B5"/>
  <c r="C27" i="1"/>
  <c r="C26"/>
  <c r="C5"/>
  <c r="D54"/>
  <c r="E54"/>
  <c r="F54"/>
  <c r="G54"/>
  <c r="H54"/>
  <c r="I54"/>
  <c r="C51"/>
  <c r="B49"/>
  <c r="B50"/>
  <c r="B51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I54" i="14"/>
  <c r="C51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G51" i="2"/>
  <c r="I51"/>
  <c r="J51"/>
  <c r="K51"/>
  <c r="L51"/>
  <c r="M51"/>
  <c r="N51"/>
  <c r="G50"/>
  <c r="I50"/>
  <c r="J50"/>
  <c r="K50"/>
  <c r="L50"/>
  <c r="M50"/>
  <c r="N50"/>
  <c r="B51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C26" i="14"/>
  <c r="D54"/>
  <c r="E54"/>
  <c r="F54"/>
  <c r="G54"/>
  <c r="H54"/>
  <c r="J54"/>
  <c r="L54"/>
  <c r="C50"/>
  <c r="C49"/>
  <c r="B5" i="1"/>
  <c r="B5" i="14"/>
  <c r="B5" i="2"/>
  <c r="G6"/>
  <c r="I6"/>
  <c r="J6"/>
  <c r="K6"/>
  <c r="L6"/>
  <c r="M6"/>
  <c r="N6"/>
  <c r="O6"/>
  <c r="G7"/>
  <c r="I7"/>
  <c r="J7"/>
  <c r="K7"/>
  <c r="L7"/>
  <c r="M7"/>
  <c r="N7"/>
  <c r="O7"/>
  <c r="G8"/>
  <c r="I8"/>
  <c r="J8"/>
  <c r="K8"/>
  <c r="L8"/>
  <c r="M8"/>
  <c r="N8"/>
  <c r="O8"/>
  <c r="G9"/>
  <c r="I9"/>
  <c r="J9"/>
  <c r="K9"/>
  <c r="L9"/>
  <c r="M9"/>
  <c r="N9"/>
  <c r="O9"/>
  <c r="G10"/>
  <c r="I10"/>
  <c r="J10"/>
  <c r="K10"/>
  <c r="L10"/>
  <c r="M10"/>
  <c r="N10"/>
  <c r="O10"/>
  <c r="G11"/>
  <c r="I11"/>
  <c r="J11"/>
  <c r="K11"/>
  <c r="L11"/>
  <c r="M11"/>
  <c r="N11"/>
  <c r="O11"/>
  <c r="G12"/>
  <c r="I12"/>
  <c r="J12"/>
  <c r="K12"/>
  <c r="L12"/>
  <c r="M12"/>
  <c r="N12"/>
  <c r="O12"/>
  <c r="G13"/>
  <c r="I13"/>
  <c r="J13"/>
  <c r="K13"/>
  <c r="L13"/>
  <c r="M13"/>
  <c r="N13"/>
  <c r="O13"/>
  <c r="G14"/>
  <c r="I14"/>
  <c r="J14"/>
  <c r="K14"/>
  <c r="L14"/>
  <c r="M14"/>
  <c r="N14"/>
  <c r="O14"/>
  <c r="G15"/>
  <c r="I15"/>
  <c r="J15"/>
  <c r="K15"/>
  <c r="L15"/>
  <c r="M15"/>
  <c r="N15"/>
  <c r="O15"/>
  <c r="G16"/>
  <c r="I16"/>
  <c r="J16"/>
  <c r="K16"/>
  <c r="L16"/>
  <c r="M16"/>
  <c r="N16"/>
  <c r="O16"/>
  <c r="G17"/>
  <c r="I17"/>
  <c r="J17"/>
  <c r="K17"/>
  <c r="L17"/>
  <c r="M17"/>
  <c r="N17"/>
  <c r="O17"/>
  <c r="G18"/>
  <c r="I18"/>
  <c r="J18"/>
  <c r="K18"/>
  <c r="L18"/>
  <c r="M18"/>
  <c r="N18"/>
  <c r="O18"/>
  <c r="G19"/>
  <c r="I19"/>
  <c r="J19"/>
  <c r="K19"/>
  <c r="L19"/>
  <c r="M19"/>
  <c r="N19"/>
  <c r="O19"/>
  <c r="G20"/>
  <c r="I20"/>
  <c r="J20"/>
  <c r="K20"/>
  <c r="L20"/>
  <c r="M20"/>
  <c r="N20"/>
  <c r="O20"/>
  <c r="G21"/>
  <c r="I21"/>
  <c r="J21"/>
  <c r="K21"/>
  <c r="L21"/>
  <c r="M21"/>
  <c r="N21"/>
  <c r="O21"/>
  <c r="G22"/>
  <c r="I22"/>
  <c r="J22"/>
  <c r="K22"/>
  <c r="L22"/>
  <c r="M22"/>
  <c r="N22"/>
  <c r="O22"/>
  <c r="G23"/>
  <c r="I23"/>
  <c r="J23"/>
  <c r="K23"/>
  <c r="L23"/>
  <c r="M23"/>
  <c r="N23"/>
  <c r="O23"/>
  <c r="G24"/>
  <c r="I24"/>
  <c r="J24"/>
  <c r="K24"/>
  <c r="L24"/>
  <c r="M24"/>
  <c r="N24"/>
  <c r="O24"/>
  <c r="G25"/>
  <c r="I25"/>
  <c r="J25"/>
  <c r="K25"/>
  <c r="L25"/>
  <c r="M25"/>
  <c r="N25"/>
  <c r="O25"/>
  <c r="G26"/>
  <c r="I26"/>
  <c r="J26"/>
  <c r="K26"/>
  <c r="L26"/>
  <c r="M26"/>
  <c r="N26"/>
  <c r="O26"/>
  <c r="G27"/>
  <c r="I27"/>
  <c r="J27"/>
  <c r="K27"/>
  <c r="L27"/>
  <c r="M27"/>
  <c r="N27"/>
  <c r="O27"/>
  <c r="G28"/>
  <c r="I28"/>
  <c r="J28"/>
  <c r="K28"/>
  <c r="L28"/>
  <c r="M28"/>
  <c r="N28"/>
  <c r="O28"/>
  <c r="G29"/>
  <c r="I29"/>
  <c r="J29"/>
  <c r="K29"/>
  <c r="L29"/>
  <c r="M29"/>
  <c r="N29"/>
  <c r="O29"/>
  <c r="G30"/>
  <c r="I30"/>
  <c r="J30"/>
  <c r="K30"/>
  <c r="L30"/>
  <c r="M30"/>
  <c r="N30"/>
  <c r="O30"/>
  <c r="G31"/>
  <c r="I31"/>
  <c r="J31"/>
  <c r="K31"/>
  <c r="L31"/>
  <c r="M31"/>
  <c r="N31"/>
  <c r="O31"/>
  <c r="G32"/>
  <c r="I32"/>
  <c r="J32"/>
  <c r="K32"/>
  <c r="L32"/>
  <c r="M32"/>
  <c r="N32"/>
  <c r="O32"/>
  <c r="G33"/>
  <c r="I33"/>
  <c r="J33"/>
  <c r="K33"/>
  <c r="L33"/>
  <c r="M33"/>
  <c r="N33"/>
  <c r="O33"/>
  <c r="G34"/>
  <c r="I34"/>
  <c r="J34"/>
  <c r="K34"/>
  <c r="L34"/>
  <c r="M34"/>
  <c r="N34"/>
  <c r="O34"/>
  <c r="G35"/>
  <c r="I35"/>
  <c r="J35"/>
  <c r="K35"/>
  <c r="L35"/>
  <c r="M35"/>
  <c r="N35"/>
  <c r="O35"/>
  <c r="G36"/>
  <c r="I36"/>
  <c r="J36"/>
  <c r="K36"/>
  <c r="L36"/>
  <c r="M36"/>
  <c r="N36"/>
  <c r="O36"/>
  <c r="G37"/>
  <c r="I37"/>
  <c r="J37"/>
  <c r="K37"/>
  <c r="L37"/>
  <c r="M37"/>
  <c r="N37"/>
  <c r="O37"/>
  <c r="G38"/>
  <c r="I38"/>
  <c r="J38"/>
  <c r="K38"/>
  <c r="L38"/>
  <c r="M38"/>
  <c r="N38"/>
  <c r="O38"/>
  <c r="G39"/>
  <c r="I39"/>
  <c r="J39"/>
  <c r="K39"/>
  <c r="L39"/>
  <c r="M39"/>
  <c r="N39"/>
  <c r="O39"/>
  <c r="G40"/>
  <c r="I40"/>
  <c r="J40"/>
  <c r="K40"/>
  <c r="L40"/>
  <c r="M40"/>
  <c r="N40"/>
  <c r="O40"/>
  <c r="G41"/>
  <c r="I41"/>
  <c r="J41"/>
  <c r="K41"/>
  <c r="L41"/>
  <c r="M41"/>
  <c r="N41"/>
  <c r="O41"/>
  <c r="G42"/>
  <c r="I42"/>
  <c r="J42"/>
  <c r="K42"/>
  <c r="L42"/>
  <c r="M42"/>
  <c r="N42"/>
  <c r="O42"/>
  <c r="G43"/>
  <c r="I43"/>
  <c r="J43"/>
  <c r="K43"/>
  <c r="L43"/>
  <c r="M43"/>
  <c r="N43"/>
  <c r="O43"/>
  <c r="G44"/>
  <c r="I44"/>
  <c r="J44"/>
  <c r="K44"/>
  <c r="L44"/>
  <c r="M44"/>
  <c r="N44"/>
  <c r="O44"/>
  <c r="G45"/>
  <c r="I45"/>
  <c r="J45"/>
  <c r="K45"/>
  <c r="L45"/>
  <c r="M45"/>
  <c r="N45"/>
  <c r="O45"/>
  <c r="G46"/>
  <c r="I46"/>
  <c r="J46"/>
  <c r="K46"/>
  <c r="L46"/>
  <c r="M46"/>
  <c r="N46"/>
  <c r="O46"/>
  <c r="G47"/>
  <c r="I47"/>
  <c r="J47"/>
  <c r="K47"/>
  <c r="L47"/>
  <c r="M47"/>
  <c r="N47"/>
  <c r="O47"/>
  <c r="G48"/>
  <c r="I48"/>
  <c r="J48"/>
  <c r="K48"/>
  <c r="L48"/>
  <c r="M48"/>
  <c r="N48"/>
  <c r="O48"/>
  <c r="G49"/>
  <c r="I49"/>
  <c r="J49"/>
  <c r="K49"/>
  <c r="L49"/>
  <c r="M49"/>
  <c r="N49"/>
  <c r="O49"/>
  <c r="N5"/>
  <c r="O5"/>
  <c r="H55"/>
  <c r="I5"/>
  <c r="J5"/>
  <c r="J55" s="1"/>
  <c r="K5"/>
  <c r="L5"/>
  <c r="M5"/>
  <c r="G5"/>
  <c r="F5" l="1"/>
  <c r="F50"/>
  <c r="F51"/>
  <c r="F49"/>
  <c r="F48"/>
  <c r="F47"/>
  <c r="F46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3"/>
  <c r="F45"/>
  <c r="O55"/>
  <c r="K54" i="11"/>
  <c r="K54" i="12"/>
  <c r="K54" i="3"/>
  <c r="K54" i="10"/>
  <c r="K54" i="9"/>
  <c r="K54" i="7"/>
  <c r="K54" i="5"/>
  <c r="K54" i="1"/>
  <c r="K54" i="14"/>
  <c r="L55" i="2"/>
  <c r="K55"/>
  <c r="M55"/>
  <c r="I55"/>
  <c r="N55"/>
  <c r="G55"/>
  <c r="Q55"/>
  <c r="C54" i="6"/>
  <c r="C54" i="10"/>
  <c r="C41" i="14" l="1"/>
  <c r="C22"/>
  <c r="C42"/>
  <c r="C6"/>
  <c r="C48"/>
  <c r="C47"/>
  <c r="C46"/>
  <c r="C45"/>
  <c r="C44"/>
  <c r="C43"/>
  <c r="C40"/>
  <c r="C39"/>
  <c r="C38"/>
  <c r="C37"/>
  <c r="C36"/>
  <c r="C35"/>
  <c r="C34"/>
  <c r="C32"/>
  <c r="C31"/>
  <c r="C30"/>
  <c r="C29"/>
  <c r="C28"/>
  <c r="C27"/>
  <c r="C25"/>
  <c r="C24"/>
  <c r="C23"/>
  <c r="C21"/>
  <c r="C20"/>
  <c r="C19"/>
  <c r="C33"/>
  <c r="C18"/>
  <c r="C17"/>
  <c r="C16"/>
  <c r="C15"/>
  <c r="C14"/>
  <c r="C13"/>
  <c r="C12"/>
  <c r="C11"/>
  <c r="C10"/>
  <c r="C54" s="1"/>
  <c r="C9"/>
  <c r="C8"/>
  <c r="C7"/>
  <c r="C5"/>
  <c r="C42" i="1"/>
  <c r="C23"/>
  <c r="C6"/>
  <c r="C7"/>
  <c r="C8"/>
  <c r="C9"/>
  <c r="C10"/>
  <c r="C11"/>
  <c r="C12"/>
  <c r="C13"/>
  <c r="C14"/>
  <c r="C15"/>
  <c r="C16"/>
  <c r="C17"/>
  <c r="C18"/>
  <c r="C33"/>
  <c r="C19"/>
  <c r="C20"/>
  <c r="C21"/>
  <c r="C22"/>
  <c r="C24"/>
  <c r="C25"/>
  <c r="C28"/>
  <c r="C29"/>
  <c r="C30"/>
  <c r="C31"/>
  <c r="C32"/>
  <c r="C34"/>
  <c r="C35"/>
  <c r="C36"/>
  <c r="C37"/>
  <c r="C38"/>
  <c r="C39"/>
  <c r="C40"/>
  <c r="C41"/>
  <c r="C43"/>
  <c r="C44"/>
  <c r="C45"/>
  <c r="C46"/>
  <c r="C47"/>
  <c r="C48"/>
  <c r="C49"/>
  <c r="C50"/>
  <c r="F55" i="2" l="1"/>
  <c r="C54" i="1"/>
</calcChain>
</file>

<file path=xl/sharedStrings.xml><?xml version="1.0" encoding="utf-8"?>
<sst xmlns="http://schemas.openxmlformats.org/spreadsheetml/2006/main" count="1081" uniqueCount="186">
  <si>
    <t>ASSOCIATION</t>
  </si>
  <si>
    <t>ASELBY</t>
  </si>
  <si>
    <t>ANNEE</t>
  </si>
  <si>
    <t>2016/2017</t>
  </si>
  <si>
    <t xml:space="preserve">TONTINE </t>
  </si>
  <si>
    <t>20 000</t>
  </si>
  <si>
    <t>MATRICULE</t>
  </si>
  <si>
    <t>NOM ET PRENOM</t>
  </si>
  <si>
    <t>REMBOURSEMENT</t>
  </si>
  <si>
    <t>INTERET ACHAT</t>
  </si>
  <si>
    <t>DATE ACHAT</t>
  </si>
  <si>
    <t>AS201601</t>
  </si>
  <si>
    <t>AS201602</t>
  </si>
  <si>
    <t>AS201603</t>
  </si>
  <si>
    <t>AS201604</t>
  </si>
  <si>
    <t>AS201605</t>
  </si>
  <si>
    <t>AS201606</t>
  </si>
  <si>
    <t>AS201607</t>
  </si>
  <si>
    <t>AS201608</t>
  </si>
  <si>
    <t>AS201609</t>
  </si>
  <si>
    <t>AS201610</t>
  </si>
  <si>
    <t>AS201611</t>
  </si>
  <si>
    <t>AS201612</t>
  </si>
  <si>
    <t>AS201613</t>
  </si>
  <si>
    <t>AS201614</t>
  </si>
  <si>
    <t>AS201615</t>
  </si>
  <si>
    <t>AS201616</t>
  </si>
  <si>
    <t>AS201617</t>
  </si>
  <si>
    <t>AS201618</t>
  </si>
  <si>
    <t>AS201619</t>
  </si>
  <si>
    <t>AS201620</t>
  </si>
  <si>
    <t>AS201621</t>
  </si>
  <si>
    <t>AS201622</t>
  </si>
  <si>
    <t>AS201623</t>
  </si>
  <si>
    <t>AS201624</t>
  </si>
  <si>
    <t>AS201625</t>
  </si>
  <si>
    <t>AS201626</t>
  </si>
  <si>
    <t>AS201627</t>
  </si>
  <si>
    <t>AS201628</t>
  </si>
  <si>
    <t>AS201629</t>
  </si>
  <si>
    <t>AS201630</t>
  </si>
  <si>
    <t>AS201631</t>
  </si>
  <si>
    <t>AS201632</t>
  </si>
  <si>
    <t>AS201633</t>
  </si>
  <si>
    <t>AS201634</t>
  </si>
  <si>
    <t>AS201635</t>
  </si>
  <si>
    <t>AS201636</t>
  </si>
  <si>
    <t>AS201637</t>
  </si>
  <si>
    <t>AS201638</t>
  </si>
  <si>
    <t>AS201639</t>
  </si>
  <si>
    <t>AS201640</t>
  </si>
  <si>
    <t>AS201641</t>
  </si>
  <si>
    <t>AS201642</t>
  </si>
  <si>
    <t>AS201643</t>
  </si>
  <si>
    <t>AS201644</t>
  </si>
  <si>
    <t>AS201645</t>
  </si>
  <si>
    <t>TOTAL</t>
  </si>
  <si>
    <t>EPARGNE</t>
  </si>
  <si>
    <t>FONDS DE ROULEMENT</t>
  </si>
  <si>
    <t>FRAIS EXCEPTIONNEL</t>
  </si>
  <si>
    <t>COLLATION</t>
  </si>
  <si>
    <t>MUTUELLE</t>
  </si>
  <si>
    <t>TONTINE</t>
  </si>
  <si>
    <t>EMPRUNT</t>
  </si>
  <si>
    <t>INTERET EMPRUNT</t>
  </si>
  <si>
    <t>MONTANT VERSE</t>
  </si>
  <si>
    <t>AS201646</t>
  </si>
  <si>
    <t>LOWE JEAN</t>
  </si>
  <si>
    <t>BAKOP ACHILLE</t>
  </si>
  <si>
    <t>BOUTCHOUANG WILLIAM</t>
  </si>
  <si>
    <t>CHINGUE FABRICE</t>
  </si>
  <si>
    <t xml:space="preserve">DJOMO JEAN PAUL </t>
  </si>
  <si>
    <t>DJOUKWE GUY</t>
  </si>
  <si>
    <t>DJOUNKEP SAMUEL</t>
  </si>
  <si>
    <t>DJUOMBESSY ANTOINE</t>
  </si>
  <si>
    <t>DONHOU DAVID</t>
  </si>
  <si>
    <t>FOTSO THOMAS</t>
  </si>
  <si>
    <t>HENGUE PAUL OMER</t>
  </si>
  <si>
    <t>HODIEP JULES</t>
  </si>
  <si>
    <t>HOTCHO BENJAMIN</t>
  </si>
  <si>
    <t>KEPHE DAVID</t>
  </si>
  <si>
    <t>KEPSEU FRANCIS</t>
  </si>
  <si>
    <t>KOUAMOU EMMANUEL</t>
  </si>
  <si>
    <t>KOUAMOU MOISE</t>
  </si>
  <si>
    <t>KOUAMOU VICTOR PEGUY</t>
  </si>
  <si>
    <t>NANKAM APPOLINAIRE</t>
  </si>
  <si>
    <t>NDJOMO ETIENNE</t>
  </si>
  <si>
    <t>NDOMBOU JEAN CLAUDE</t>
  </si>
  <si>
    <t>NGONDIEP CLAUDE</t>
  </si>
  <si>
    <t>NGONGANG JEAN THEODORE</t>
  </si>
  <si>
    <t>NGUIEMEGNI MATHIEU BLAISE</t>
  </si>
  <si>
    <t>NJEPDJIO MBOUKAM DELUXE</t>
  </si>
  <si>
    <t>NKAMGANG JUSTIN DEJOLIE</t>
  </si>
  <si>
    <t>NKEPSEU DIEUDONNE</t>
  </si>
  <si>
    <t>NTEPDIE TUEMAC MZ</t>
  </si>
  <si>
    <t>PATEGO NJOSSU GUSTAVE</t>
  </si>
  <si>
    <t>SEUNOU RICHELOT</t>
  </si>
  <si>
    <t>SIME ABEL</t>
  </si>
  <si>
    <t>SIME FONGANG ERIC</t>
  </si>
  <si>
    <t>SIME MATHIEU</t>
  </si>
  <si>
    <t>SIME PIERRE</t>
  </si>
  <si>
    <t>TCHOUANTE FRANCOIS</t>
  </si>
  <si>
    <t>TCHOUTOU NANA CLAUDE</t>
  </si>
  <si>
    <t>TIEYAM ERNEST</t>
  </si>
  <si>
    <t>TUGMA PIERRE LOTI</t>
  </si>
  <si>
    <t>YEPMOU JEAN JACQUES</t>
  </si>
  <si>
    <t>YOUMBI EMMANUEL</t>
  </si>
  <si>
    <t>NKEPSEU HENANG RENE</t>
  </si>
  <si>
    <t>LISTE DES ADHERENTS 19 JUN 2016</t>
  </si>
  <si>
    <t>MLE</t>
  </si>
  <si>
    <t>NOM ET  PRENOM</t>
  </si>
  <si>
    <t>FONCTION</t>
  </si>
  <si>
    <t>DATE ADHESION</t>
  </si>
  <si>
    <t>CONTACT</t>
  </si>
  <si>
    <t>CONTACT 2</t>
  </si>
  <si>
    <t>RESIDENCE</t>
  </si>
  <si>
    <t>DATE RECEPTION</t>
  </si>
  <si>
    <t>FONCTIONNAIRE DE POLICE</t>
  </si>
  <si>
    <t>NKOLBISSON</t>
  </si>
  <si>
    <t>OPERATEUR ECONOMIQUE</t>
  </si>
  <si>
    <t>EMANA</t>
  </si>
  <si>
    <t>SANTA BARBARA</t>
  </si>
  <si>
    <t>RETRAITE</t>
  </si>
  <si>
    <t>RUE MANGUIERS</t>
  </si>
  <si>
    <t>PROFESSEUR DES LYCEES TECHNIQUE</t>
  </si>
  <si>
    <t>COMPTABLE RETRAITE</t>
  </si>
  <si>
    <t>BIYEM ASSI LYCEE</t>
  </si>
  <si>
    <t>ANALYSTE CONCEPTEUR SI</t>
  </si>
  <si>
    <t>MESSASSI</t>
  </si>
  <si>
    <t>MAGISTRAT</t>
  </si>
  <si>
    <t>TONGOLO</t>
  </si>
  <si>
    <t>CADRE BANQUE</t>
  </si>
  <si>
    <t>OYOMABANG</t>
  </si>
  <si>
    <t>SOCIOLOGUE</t>
  </si>
  <si>
    <t>CADRE CNPS</t>
  </si>
  <si>
    <t>NYOM 2</t>
  </si>
  <si>
    <t>COMPTABLE</t>
  </si>
  <si>
    <t>DAMAS</t>
  </si>
  <si>
    <t>OFFICIER DE POLICE RETRAITE</t>
  </si>
  <si>
    <t>SIMBOCK</t>
  </si>
  <si>
    <t>CADRE SONEL RETRAITE</t>
  </si>
  <si>
    <t>MONTEE JOUVENCE</t>
  </si>
  <si>
    <t>INGENIEUR E-F</t>
  </si>
  <si>
    <t>S/OFFICIER SUPERIEUR</t>
  </si>
  <si>
    <t>KOUATCHO MESSACK</t>
  </si>
  <si>
    <t>INSPECTEUR DE TRAVAIL</t>
  </si>
  <si>
    <t>SECRETAIRE D'ADMINISTRATION</t>
  </si>
  <si>
    <t>ENSEIGNANT</t>
  </si>
  <si>
    <t>ING AGRONOME RETRAITE</t>
  </si>
  <si>
    <t>ETOUG EBE</t>
  </si>
  <si>
    <t>DAS(DIRECTEUR ADMINISTRATEUR SOCIETE)</t>
  </si>
  <si>
    <t>CITE VERTE</t>
  </si>
  <si>
    <t>CHEF ENTREPRISE</t>
  </si>
  <si>
    <t>CADRE CADASTRE</t>
  </si>
  <si>
    <t>MONATELE</t>
  </si>
  <si>
    <t>MENDONG</t>
  </si>
  <si>
    <t>DELEGUE COMMERCIAL</t>
  </si>
  <si>
    <t>ESSOS</t>
  </si>
  <si>
    <t>NTOMBOU ADOLPHE</t>
  </si>
  <si>
    <t xml:space="preserve">INGENIEUR </t>
  </si>
  <si>
    <t>INGENIEUR T-P</t>
  </si>
  <si>
    <t>EBOGO 1(SOA)</t>
  </si>
  <si>
    <t>ELEVEUR</t>
  </si>
  <si>
    <t>PARC NATIONAL</t>
  </si>
  <si>
    <t>TECHNICIEN DE SANTE RETRAITE</t>
  </si>
  <si>
    <t>TCHOUAMOU JEAN PAUL</t>
  </si>
  <si>
    <t>TCHOUAMOU MATHIEU</t>
  </si>
  <si>
    <t>OFFICIER SUPERIEUR</t>
  </si>
  <si>
    <t>NKOL FOULOU</t>
  </si>
  <si>
    <t>INGENIEUR ELECTRONICIEN</t>
  </si>
  <si>
    <t>BASTOS</t>
  </si>
  <si>
    <t>PROFESSEUR DES LYCEES RETRAITE</t>
  </si>
  <si>
    <t>ADMINISTRATEUR CIVIL</t>
  </si>
  <si>
    <t>MENDONG (NKOLZIE)</t>
  </si>
  <si>
    <t>PROFESSEUR DES UNIVERSITES</t>
  </si>
  <si>
    <t>MENDONG (GUINNESS)</t>
  </si>
  <si>
    <t>TAGNE NANGUEN MARTIN</t>
  </si>
  <si>
    <t>PROFESSEUR DE LYCEE</t>
  </si>
  <si>
    <t>AS201647</t>
  </si>
  <si>
    <t>DJOSSEU JOSUE</t>
  </si>
  <si>
    <t>REMBOURSEMENT INTERET</t>
  </si>
  <si>
    <t>PENALITE FONDS</t>
  </si>
  <si>
    <t>PENALITE EMPRUNT</t>
  </si>
  <si>
    <t>FONDS</t>
  </si>
  <si>
    <t>RELIQUAT 2015</t>
  </si>
  <si>
    <t>SANCTION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</si>
</sst>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4"/>
      <color theme="1"/>
      <name val="Britannic Bold"/>
      <family val="2"/>
    </font>
    <font>
      <sz val="11"/>
      <color theme="1"/>
      <name val="Castellar"/>
      <family val="1"/>
    </font>
    <font>
      <sz val="11"/>
      <name val="Castellar"/>
      <family val="1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Britannic Bold"/>
      <family val="2"/>
    </font>
    <font>
      <sz val="11"/>
      <color rgb="FFFF0000"/>
      <name val="Castellar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3" fontId="1" fillId="0" borderId="0" xfId="0" applyNumberFormat="1" applyFont="1" applyAlignment="1">
      <alignment wrapText="1"/>
    </xf>
    <xf numFmtId="3" fontId="1" fillId="0" borderId="0" xfId="0" applyNumberFormat="1" applyFont="1"/>
    <xf numFmtId="3" fontId="3" fillId="0" borderId="0" xfId="0" applyNumberFormat="1" applyFont="1"/>
    <xf numFmtId="0" fontId="2" fillId="0" borderId="0" xfId="0" applyFont="1"/>
    <xf numFmtId="3" fontId="2" fillId="0" borderId="0" xfId="0" applyNumberFormat="1" applyFont="1"/>
    <xf numFmtId="3" fontId="4" fillId="0" borderId="0" xfId="0" applyNumberFormat="1" applyFont="1"/>
    <xf numFmtId="0" fontId="5" fillId="0" borderId="0" xfId="0" applyFont="1"/>
    <xf numFmtId="0" fontId="6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7" fontId="0" fillId="0" borderId="6" xfId="0" applyNumberFormat="1" applyBorder="1"/>
    <xf numFmtId="0" fontId="0" fillId="0" borderId="7" xfId="0" applyBorder="1"/>
    <xf numFmtId="17" fontId="0" fillId="0" borderId="8" xfId="0" applyNumberFormat="1" applyBorder="1"/>
    <xf numFmtId="0" fontId="8" fillId="0" borderId="0" xfId="0" applyFont="1"/>
    <xf numFmtId="3" fontId="9" fillId="0" borderId="0" xfId="0" applyNumberFormat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ONTASELB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</sheetNames>
    <sheetDataSet>
      <sheetData sheetId="0"/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workbookViewId="0">
      <selection activeCell="A5" sqref="A5:XFD5"/>
    </sheetView>
  </sheetViews>
  <sheetFormatPr baseColWidth="10" defaultRowHeight="15"/>
  <cols>
    <col min="2" max="2" width="27.140625" bestFit="1" customWidth="1"/>
    <col min="3" max="3" width="29.5703125" bestFit="1" customWidth="1"/>
    <col min="4" max="4" width="15.28515625" bestFit="1" customWidth="1"/>
    <col min="5" max="5" width="14.140625" customWidth="1"/>
    <col min="6" max="6" width="10.85546875" bestFit="1" customWidth="1"/>
    <col min="7" max="7" width="21.7109375" bestFit="1" customWidth="1"/>
    <col min="8" max="8" width="15.85546875" bestFit="1" customWidth="1"/>
  </cols>
  <sheetData>
    <row r="1" spans="1:8" ht="18.75">
      <c r="A1" s="12" t="s">
        <v>1</v>
      </c>
    </row>
    <row r="2" spans="1:8" ht="18.75">
      <c r="A2" s="12" t="s">
        <v>108</v>
      </c>
    </row>
    <row r="3" spans="1:8" ht="19.5" thickBot="1">
      <c r="A3" s="12"/>
    </row>
    <row r="4" spans="1:8" ht="15.75" thickTop="1">
      <c r="A4" s="13" t="s">
        <v>109</v>
      </c>
      <c r="B4" s="14" t="s">
        <v>110</v>
      </c>
      <c r="C4" s="14" t="s">
        <v>111</v>
      </c>
      <c r="D4" s="14" t="s">
        <v>112</v>
      </c>
      <c r="E4" s="14" t="s">
        <v>113</v>
      </c>
      <c r="F4" s="14" t="s">
        <v>114</v>
      </c>
      <c r="G4" s="14" t="s">
        <v>115</v>
      </c>
      <c r="H4" s="15" t="s">
        <v>116</v>
      </c>
    </row>
    <row r="5" spans="1:8">
      <c r="A5" s="16" t="s">
        <v>11</v>
      </c>
      <c r="B5" s="17" t="s">
        <v>68</v>
      </c>
      <c r="C5" s="17" t="s">
        <v>117</v>
      </c>
      <c r="D5" s="17"/>
      <c r="E5" s="17">
        <v>677841881</v>
      </c>
      <c r="F5" s="17"/>
      <c r="G5" s="17" t="s">
        <v>118</v>
      </c>
      <c r="H5" s="18">
        <v>42887</v>
      </c>
    </row>
    <row r="6" spans="1:8">
      <c r="A6" s="16" t="s">
        <v>12</v>
      </c>
      <c r="B6" s="17" t="s">
        <v>69</v>
      </c>
      <c r="C6" s="17" t="s">
        <v>119</v>
      </c>
      <c r="D6" s="17"/>
      <c r="E6" s="17">
        <v>677704694</v>
      </c>
      <c r="F6" s="17"/>
      <c r="G6" s="17" t="s">
        <v>120</v>
      </c>
      <c r="H6" s="18">
        <v>43191</v>
      </c>
    </row>
    <row r="7" spans="1:8">
      <c r="A7" s="16" t="s">
        <v>13</v>
      </c>
      <c r="B7" s="17" t="s">
        <v>70</v>
      </c>
      <c r="C7" s="17" t="s">
        <v>119</v>
      </c>
      <c r="D7" s="17"/>
      <c r="E7" s="17">
        <v>677881912</v>
      </c>
      <c r="F7" s="17"/>
      <c r="G7" s="17" t="s">
        <v>121</v>
      </c>
      <c r="H7" s="18">
        <v>43466</v>
      </c>
    </row>
    <row r="8" spans="1:8">
      <c r="A8" s="16" t="s">
        <v>14</v>
      </c>
      <c r="B8" s="17" t="s">
        <v>71</v>
      </c>
      <c r="C8" s="17" t="s">
        <v>122</v>
      </c>
      <c r="D8" s="17"/>
      <c r="E8" s="17">
        <v>677986676</v>
      </c>
      <c r="F8" s="17"/>
      <c r="G8" s="17" t="s">
        <v>123</v>
      </c>
      <c r="H8" s="18">
        <v>43132</v>
      </c>
    </row>
    <row r="9" spans="1:8">
      <c r="A9" s="16" t="s">
        <v>15</v>
      </c>
      <c r="B9" s="17" t="s">
        <v>72</v>
      </c>
      <c r="C9" s="17" t="s">
        <v>124</v>
      </c>
      <c r="D9" s="17"/>
      <c r="E9" s="17">
        <v>675250451</v>
      </c>
      <c r="F9" s="17"/>
      <c r="G9" s="17" t="s">
        <v>123</v>
      </c>
      <c r="H9" s="18">
        <v>43313</v>
      </c>
    </row>
    <row r="10" spans="1:8">
      <c r="A10" s="16" t="s">
        <v>16</v>
      </c>
      <c r="B10" s="17" t="s">
        <v>179</v>
      </c>
      <c r="C10" s="17" t="s">
        <v>124</v>
      </c>
      <c r="D10" s="17"/>
      <c r="E10" s="17">
        <v>675250451</v>
      </c>
      <c r="F10" s="17"/>
      <c r="G10" s="17" t="s">
        <v>123</v>
      </c>
      <c r="H10" s="18">
        <v>43313</v>
      </c>
    </row>
    <row r="11" spans="1:8">
      <c r="A11" s="16" t="s">
        <v>17</v>
      </c>
      <c r="B11" s="17" t="s">
        <v>73</v>
      </c>
      <c r="C11" s="17" t="s">
        <v>125</v>
      </c>
      <c r="D11" s="17"/>
      <c r="E11" s="17">
        <v>697103557</v>
      </c>
      <c r="F11" s="17"/>
      <c r="G11" s="17" t="s">
        <v>126</v>
      </c>
      <c r="H11" s="18">
        <v>42401</v>
      </c>
    </row>
    <row r="12" spans="1:8">
      <c r="A12" s="16" t="s">
        <v>18</v>
      </c>
      <c r="B12" s="17" t="s">
        <v>74</v>
      </c>
      <c r="C12" s="17" t="s">
        <v>127</v>
      </c>
      <c r="D12" s="17"/>
      <c r="E12" s="17">
        <v>677501239</v>
      </c>
      <c r="F12" s="17">
        <v>699324095</v>
      </c>
      <c r="G12" s="17" t="s">
        <v>128</v>
      </c>
      <c r="H12" s="18">
        <v>43647</v>
      </c>
    </row>
    <row r="13" spans="1:8">
      <c r="A13" s="16" t="s">
        <v>19</v>
      </c>
      <c r="B13" s="17" t="s">
        <v>75</v>
      </c>
      <c r="C13" s="17" t="s">
        <v>129</v>
      </c>
      <c r="D13" s="17"/>
      <c r="E13" s="17">
        <v>699908065</v>
      </c>
      <c r="F13" s="17"/>
      <c r="G13" s="17" t="s">
        <v>130</v>
      </c>
      <c r="H13" s="18">
        <v>42979</v>
      </c>
    </row>
    <row r="14" spans="1:8">
      <c r="A14" s="16" t="s">
        <v>20</v>
      </c>
      <c r="B14" s="17" t="s">
        <v>76</v>
      </c>
      <c r="C14" s="17" t="s">
        <v>131</v>
      </c>
      <c r="D14" s="17"/>
      <c r="E14" s="17">
        <v>677910278</v>
      </c>
      <c r="F14" s="17"/>
      <c r="G14" s="17" t="s">
        <v>132</v>
      </c>
      <c r="H14" s="18">
        <v>43344</v>
      </c>
    </row>
    <row r="15" spans="1:8">
      <c r="A15" s="16" t="s">
        <v>21</v>
      </c>
      <c r="B15" s="17" t="s">
        <v>77</v>
      </c>
      <c r="C15" s="17" t="s">
        <v>133</v>
      </c>
      <c r="D15" s="17"/>
      <c r="E15" s="17">
        <v>694468080</v>
      </c>
      <c r="F15" s="17"/>
      <c r="G15" s="17" t="s">
        <v>128</v>
      </c>
      <c r="H15" s="18">
        <v>42583</v>
      </c>
    </row>
    <row r="16" spans="1:8">
      <c r="A16" s="16" t="s">
        <v>22</v>
      </c>
      <c r="B16" s="17" t="s">
        <v>78</v>
      </c>
      <c r="C16" s="17" t="s">
        <v>134</v>
      </c>
      <c r="D16" s="17"/>
      <c r="E16" s="17">
        <v>675291170</v>
      </c>
      <c r="F16" s="17"/>
      <c r="G16" s="17" t="s">
        <v>135</v>
      </c>
      <c r="H16" s="18">
        <v>43009</v>
      </c>
    </row>
    <row r="17" spans="1:8">
      <c r="A17" s="16" t="s">
        <v>23</v>
      </c>
      <c r="B17" s="17" t="s">
        <v>79</v>
      </c>
      <c r="C17" s="17" t="s">
        <v>136</v>
      </c>
      <c r="D17" s="17"/>
      <c r="E17" s="17">
        <v>699956355</v>
      </c>
      <c r="F17" s="17"/>
      <c r="G17" s="17" t="s">
        <v>137</v>
      </c>
      <c r="H17" s="18">
        <v>42614</v>
      </c>
    </row>
    <row r="18" spans="1:8">
      <c r="A18" s="16" t="s">
        <v>24</v>
      </c>
      <c r="B18" s="17" t="s">
        <v>80</v>
      </c>
      <c r="C18" s="17" t="s">
        <v>119</v>
      </c>
      <c r="D18" s="17"/>
      <c r="E18" s="17">
        <v>677053815</v>
      </c>
      <c r="F18" s="17"/>
      <c r="G18" s="17" t="s">
        <v>128</v>
      </c>
      <c r="H18" s="18">
        <v>43374</v>
      </c>
    </row>
    <row r="19" spans="1:8">
      <c r="A19" s="16" t="s">
        <v>25</v>
      </c>
      <c r="B19" s="17" t="s">
        <v>81</v>
      </c>
      <c r="C19" s="17" t="s">
        <v>138</v>
      </c>
      <c r="D19" s="17"/>
      <c r="E19" s="17">
        <v>699528700</v>
      </c>
      <c r="F19" s="17"/>
      <c r="G19" s="17" t="s">
        <v>139</v>
      </c>
      <c r="H19" s="18">
        <v>43405</v>
      </c>
    </row>
    <row r="20" spans="1:8">
      <c r="A20" s="16" t="s">
        <v>26</v>
      </c>
      <c r="B20" s="17" t="s">
        <v>82</v>
      </c>
      <c r="C20" s="17" t="s">
        <v>119</v>
      </c>
      <c r="D20" s="17"/>
      <c r="E20" s="17">
        <v>699335584</v>
      </c>
      <c r="F20" s="17"/>
      <c r="G20" s="17" t="s">
        <v>141</v>
      </c>
      <c r="H20" s="18">
        <v>42795</v>
      </c>
    </row>
    <row r="21" spans="1:8">
      <c r="A21" s="16" t="s">
        <v>27</v>
      </c>
      <c r="B21" s="17" t="s">
        <v>83</v>
      </c>
      <c r="C21" s="17" t="s">
        <v>142</v>
      </c>
      <c r="D21" s="17"/>
      <c r="E21" s="17">
        <v>675836725</v>
      </c>
      <c r="F21" s="17"/>
      <c r="G21" s="17" t="s">
        <v>137</v>
      </c>
      <c r="H21" s="18">
        <v>42370</v>
      </c>
    </row>
    <row r="22" spans="1:8">
      <c r="A22" s="16" t="s">
        <v>28</v>
      </c>
      <c r="B22" s="17" t="s">
        <v>84</v>
      </c>
      <c r="C22" s="17" t="s">
        <v>143</v>
      </c>
      <c r="D22" s="17"/>
      <c r="E22" s="17">
        <v>696564847</v>
      </c>
      <c r="F22" s="17"/>
      <c r="G22" s="17" t="s">
        <v>128</v>
      </c>
      <c r="H22" s="18">
        <v>43617</v>
      </c>
    </row>
    <row r="23" spans="1:8">
      <c r="A23" s="16" t="s">
        <v>29</v>
      </c>
      <c r="B23" s="17" t="s">
        <v>144</v>
      </c>
      <c r="C23" s="17" t="s">
        <v>145</v>
      </c>
      <c r="D23" s="17"/>
      <c r="E23" s="17">
        <v>677735778</v>
      </c>
      <c r="F23" s="17"/>
      <c r="G23" s="17" t="s">
        <v>121</v>
      </c>
      <c r="H23" s="18">
        <v>42644</v>
      </c>
    </row>
    <row r="24" spans="1:8">
      <c r="A24" s="16" t="s">
        <v>30</v>
      </c>
      <c r="B24" s="17" t="s">
        <v>67</v>
      </c>
      <c r="C24" s="17" t="s">
        <v>177</v>
      </c>
      <c r="D24" s="17"/>
      <c r="E24" s="17"/>
      <c r="F24" s="17"/>
      <c r="G24" s="17"/>
      <c r="H24" s="18"/>
    </row>
    <row r="25" spans="1:8">
      <c r="A25" s="16" t="s">
        <v>31</v>
      </c>
      <c r="B25" s="17" t="s">
        <v>85</v>
      </c>
      <c r="C25" s="17" t="s">
        <v>147</v>
      </c>
      <c r="D25" s="17"/>
      <c r="E25" s="17">
        <v>693055118</v>
      </c>
      <c r="F25" s="17"/>
      <c r="G25" s="17" t="s">
        <v>137</v>
      </c>
      <c r="H25" s="18">
        <v>43678</v>
      </c>
    </row>
    <row r="26" spans="1:8">
      <c r="A26" s="16" t="s">
        <v>32</v>
      </c>
      <c r="B26" s="17" t="s">
        <v>86</v>
      </c>
      <c r="C26" s="17" t="s">
        <v>136</v>
      </c>
      <c r="D26" s="17"/>
      <c r="E26" s="17">
        <v>677553702</v>
      </c>
      <c r="F26" s="17"/>
      <c r="G26" s="17" t="s">
        <v>141</v>
      </c>
      <c r="H26" s="18">
        <v>42705</v>
      </c>
    </row>
    <row r="27" spans="1:8">
      <c r="A27" s="16" t="s">
        <v>33</v>
      </c>
      <c r="B27" s="17" t="s">
        <v>87</v>
      </c>
      <c r="C27" s="17" t="s">
        <v>148</v>
      </c>
      <c r="D27" s="17"/>
      <c r="E27" s="17">
        <v>699358350</v>
      </c>
      <c r="F27" s="17"/>
      <c r="G27" s="17" t="s">
        <v>149</v>
      </c>
      <c r="H27" s="18">
        <v>42767</v>
      </c>
    </row>
    <row r="28" spans="1:8">
      <c r="A28" s="16" t="s">
        <v>34</v>
      </c>
      <c r="B28" s="17" t="s">
        <v>88</v>
      </c>
      <c r="C28" s="17" t="s">
        <v>150</v>
      </c>
      <c r="D28" s="17"/>
      <c r="E28" s="17">
        <v>675249207</v>
      </c>
      <c r="F28" s="17"/>
      <c r="G28" s="17" t="s">
        <v>151</v>
      </c>
      <c r="H28" s="18">
        <v>43070</v>
      </c>
    </row>
    <row r="29" spans="1:8">
      <c r="A29" s="16" t="s">
        <v>35</v>
      </c>
      <c r="B29" s="17" t="s">
        <v>89</v>
      </c>
      <c r="C29" s="17" t="s">
        <v>152</v>
      </c>
      <c r="D29" s="17"/>
      <c r="E29" s="17">
        <v>677766503</v>
      </c>
      <c r="F29" s="17"/>
      <c r="G29" s="17" t="s">
        <v>123</v>
      </c>
      <c r="H29" s="18">
        <v>42491</v>
      </c>
    </row>
    <row r="30" spans="1:8">
      <c r="A30" s="16" t="s">
        <v>36</v>
      </c>
      <c r="B30" s="17" t="s">
        <v>90</v>
      </c>
      <c r="C30" s="17" t="s">
        <v>153</v>
      </c>
      <c r="D30" s="17"/>
      <c r="E30" s="17">
        <v>677068360</v>
      </c>
      <c r="F30" s="17"/>
      <c r="G30" s="17" t="s">
        <v>154</v>
      </c>
      <c r="H30" s="18">
        <v>43101</v>
      </c>
    </row>
    <row r="31" spans="1:8">
      <c r="A31" s="16" t="s">
        <v>37</v>
      </c>
      <c r="B31" s="17" t="s">
        <v>91</v>
      </c>
      <c r="C31" s="17" t="s">
        <v>119</v>
      </c>
      <c r="D31" s="17"/>
      <c r="E31" s="17">
        <v>670909070</v>
      </c>
      <c r="F31" s="17"/>
      <c r="G31" s="17" t="s">
        <v>155</v>
      </c>
      <c r="H31" s="18">
        <v>43586</v>
      </c>
    </row>
    <row r="32" spans="1:8">
      <c r="A32" s="16" t="s">
        <v>38</v>
      </c>
      <c r="B32" s="17" t="s">
        <v>92</v>
      </c>
      <c r="C32" s="17" t="s">
        <v>156</v>
      </c>
      <c r="D32" s="17"/>
      <c r="E32" s="17">
        <v>676659191</v>
      </c>
      <c r="F32" s="17"/>
      <c r="G32" s="17" t="s">
        <v>155</v>
      </c>
      <c r="H32" s="18">
        <v>43497</v>
      </c>
    </row>
    <row r="33" spans="1:8">
      <c r="A33" s="16" t="s">
        <v>39</v>
      </c>
      <c r="B33" s="17" t="s">
        <v>93</v>
      </c>
      <c r="C33" s="17" t="s">
        <v>119</v>
      </c>
      <c r="D33" s="17"/>
      <c r="E33" s="17">
        <v>677575366</v>
      </c>
      <c r="F33" s="17"/>
      <c r="G33" s="17" t="s">
        <v>157</v>
      </c>
      <c r="H33" s="18">
        <v>42917</v>
      </c>
    </row>
    <row r="34" spans="1:8">
      <c r="A34" s="16" t="s">
        <v>40</v>
      </c>
      <c r="B34" s="17" t="s">
        <v>107</v>
      </c>
      <c r="C34" s="17" t="s">
        <v>140</v>
      </c>
      <c r="D34" s="17"/>
      <c r="E34" s="17">
        <v>699843118</v>
      </c>
      <c r="F34" s="17"/>
      <c r="G34" s="17" t="s">
        <v>126</v>
      </c>
      <c r="H34" s="18">
        <v>42522</v>
      </c>
    </row>
    <row r="35" spans="1:8">
      <c r="A35" s="16" t="s">
        <v>41</v>
      </c>
      <c r="B35" s="17" t="s">
        <v>94</v>
      </c>
      <c r="C35" s="17" t="s">
        <v>119</v>
      </c>
      <c r="D35" s="17"/>
      <c r="E35" s="17">
        <v>677377251</v>
      </c>
      <c r="F35" s="17"/>
      <c r="G35" s="17" t="s">
        <v>141</v>
      </c>
      <c r="H35" s="18">
        <v>43282</v>
      </c>
    </row>
    <row r="36" spans="1:8">
      <c r="A36" s="16" t="s">
        <v>42</v>
      </c>
      <c r="B36" s="17" t="s">
        <v>158</v>
      </c>
      <c r="C36" s="17" t="s">
        <v>159</v>
      </c>
      <c r="D36" s="17"/>
      <c r="E36" s="17">
        <v>677867173</v>
      </c>
      <c r="F36" s="17"/>
      <c r="G36" s="17" t="s">
        <v>126</v>
      </c>
      <c r="H36" s="18">
        <v>42461</v>
      </c>
    </row>
    <row r="37" spans="1:8">
      <c r="A37" s="16" t="s">
        <v>43</v>
      </c>
      <c r="B37" s="17" t="s">
        <v>95</v>
      </c>
      <c r="C37" s="17" t="s">
        <v>160</v>
      </c>
      <c r="D37" s="17"/>
      <c r="E37" s="17">
        <v>699995086</v>
      </c>
      <c r="F37" s="17"/>
      <c r="G37" s="17" t="s">
        <v>161</v>
      </c>
      <c r="H37" s="18">
        <v>43525</v>
      </c>
    </row>
    <row r="38" spans="1:8">
      <c r="A38" s="16" t="s">
        <v>44</v>
      </c>
      <c r="B38" s="17" t="s">
        <v>96</v>
      </c>
      <c r="C38" s="17" t="s">
        <v>119</v>
      </c>
      <c r="D38" s="17"/>
      <c r="E38" s="17">
        <v>677054646</v>
      </c>
      <c r="F38" s="17"/>
      <c r="G38" s="17" t="s">
        <v>120</v>
      </c>
      <c r="H38" s="18">
        <v>43160</v>
      </c>
    </row>
    <row r="39" spans="1:8">
      <c r="A39" s="16" t="s">
        <v>45</v>
      </c>
      <c r="B39" s="17" t="s">
        <v>97</v>
      </c>
      <c r="C39" s="17" t="s">
        <v>119</v>
      </c>
      <c r="D39" s="17"/>
      <c r="E39" s="17">
        <v>699549665</v>
      </c>
      <c r="F39" s="17"/>
      <c r="G39" s="17" t="s">
        <v>162</v>
      </c>
      <c r="H39" s="18">
        <v>43556</v>
      </c>
    </row>
    <row r="40" spans="1:8">
      <c r="A40" s="16" t="s">
        <v>46</v>
      </c>
      <c r="B40" s="17" t="s">
        <v>98</v>
      </c>
      <c r="C40" s="17" t="s">
        <v>131</v>
      </c>
      <c r="D40" s="17"/>
      <c r="E40" s="17">
        <v>699350133</v>
      </c>
      <c r="F40" s="17"/>
      <c r="G40" s="17" t="s">
        <v>137</v>
      </c>
      <c r="H40" s="18">
        <v>43435</v>
      </c>
    </row>
    <row r="41" spans="1:8">
      <c r="A41" s="16" t="s">
        <v>47</v>
      </c>
      <c r="B41" s="17" t="s">
        <v>99</v>
      </c>
      <c r="C41" s="17" t="s">
        <v>152</v>
      </c>
      <c r="D41" s="17"/>
      <c r="E41" s="17">
        <v>677477649</v>
      </c>
      <c r="F41" s="17"/>
      <c r="G41" s="17" t="s">
        <v>163</v>
      </c>
      <c r="H41" s="18">
        <v>42948</v>
      </c>
    </row>
    <row r="42" spans="1:8">
      <c r="A42" s="16" t="s">
        <v>48</v>
      </c>
      <c r="B42" s="17" t="s">
        <v>100</v>
      </c>
      <c r="C42" s="17" t="s">
        <v>164</v>
      </c>
      <c r="D42" s="17"/>
      <c r="E42" s="17">
        <v>677546060</v>
      </c>
      <c r="F42" s="17"/>
      <c r="G42" s="17" t="s">
        <v>132</v>
      </c>
      <c r="H42" s="18">
        <v>42736</v>
      </c>
    </row>
    <row r="43" spans="1:8">
      <c r="A43" s="16" t="s">
        <v>49</v>
      </c>
      <c r="B43" s="17" t="s">
        <v>176</v>
      </c>
      <c r="C43" s="17" t="s">
        <v>146</v>
      </c>
      <c r="D43" s="17"/>
      <c r="E43" s="17">
        <v>677648306</v>
      </c>
      <c r="F43" s="17"/>
      <c r="G43" s="17" t="s">
        <v>123</v>
      </c>
      <c r="H43" s="18">
        <v>43040</v>
      </c>
    </row>
    <row r="44" spans="1:8">
      <c r="A44" s="16" t="s">
        <v>50</v>
      </c>
      <c r="B44" s="17" t="s">
        <v>165</v>
      </c>
      <c r="C44" s="17" t="s">
        <v>134</v>
      </c>
      <c r="D44" s="17"/>
      <c r="E44" s="17">
        <v>677780149</v>
      </c>
      <c r="F44" s="17"/>
      <c r="G44" s="17" t="s">
        <v>128</v>
      </c>
      <c r="H44" s="18">
        <v>42552</v>
      </c>
    </row>
    <row r="45" spans="1:8">
      <c r="A45" s="16" t="s">
        <v>51</v>
      </c>
      <c r="B45" s="17" t="s">
        <v>166</v>
      </c>
      <c r="C45" s="17" t="s">
        <v>167</v>
      </c>
      <c r="D45" s="17"/>
      <c r="E45" s="17">
        <v>699778906</v>
      </c>
      <c r="F45" s="17"/>
      <c r="G45" s="17" t="s">
        <v>155</v>
      </c>
      <c r="H45" s="18">
        <v>43709</v>
      </c>
    </row>
    <row r="46" spans="1:8">
      <c r="A46" s="16" t="s">
        <v>52</v>
      </c>
      <c r="B46" s="17" t="s">
        <v>101</v>
      </c>
      <c r="C46" s="17" t="s">
        <v>147</v>
      </c>
      <c r="D46" s="17"/>
      <c r="E46" s="17">
        <v>678639806</v>
      </c>
      <c r="F46" s="17"/>
      <c r="G46" s="17" t="s">
        <v>155</v>
      </c>
      <c r="H46" s="18">
        <v>43252</v>
      </c>
    </row>
    <row r="47" spans="1:8">
      <c r="A47" s="16" t="s">
        <v>53</v>
      </c>
      <c r="B47" s="17" t="s">
        <v>102</v>
      </c>
      <c r="C47" s="17" t="s">
        <v>119</v>
      </c>
      <c r="D47" s="17"/>
      <c r="E47" s="17">
        <v>677775940</v>
      </c>
      <c r="F47" s="17"/>
      <c r="G47" s="17" t="s">
        <v>168</v>
      </c>
      <c r="H47" s="18">
        <v>43221</v>
      </c>
    </row>
    <row r="48" spans="1:8">
      <c r="A48" s="16" t="s">
        <v>54</v>
      </c>
      <c r="B48" s="17" t="s">
        <v>103</v>
      </c>
      <c r="C48" s="17" t="s">
        <v>169</v>
      </c>
      <c r="D48" s="17"/>
      <c r="E48" s="17">
        <v>677508603</v>
      </c>
      <c r="F48" s="17"/>
      <c r="G48" s="17" t="s">
        <v>170</v>
      </c>
      <c r="H48" s="18">
        <v>42856</v>
      </c>
    </row>
    <row r="49" spans="1:8">
      <c r="A49" s="16" t="s">
        <v>55</v>
      </c>
      <c r="B49" s="17" t="s">
        <v>104</v>
      </c>
      <c r="C49" s="17" t="s">
        <v>171</v>
      </c>
      <c r="D49" s="17"/>
      <c r="E49" s="17">
        <v>677726329</v>
      </c>
      <c r="F49" s="17"/>
      <c r="G49" s="17" t="s">
        <v>126</v>
      </c>
      <c r="H49" s="18">
        <v>42430</v>
      </c>
    </row>
    <row r="50" spans="1:8">
      <c r="A50" s="16" t="s">
        <v>66</v>
      </c>
      <c r="B50" s="17" t="s">
        <v>105</v>
      </c>
      <c r="C50" s="17" t="s">
        <v>172</v>
      </c>
      <c r="D50" s="17"/>
      <c r="E50" s="17">
        <v>699663416</v>
      </c>
      <c r="F50" s="17"/>
      <c r="G50" s="17" t="s">
        <v>173</v>
      </c>
      <c r="H50" s="18">
        <v>42826</v>
      </c>
    </row>
    <row r="51" spans="1:8" ht="15.75" thickBot="1">
      <c r="A51" s="16" t="s">
        <v>178</v>
      </c>
      <c r="B51" s="19" t="s">
        <v>106</v>
      </c>
      <c r="C51" s="19" t="s">
        <v>174</v>
      </c>
      <c r="D51" s="19"/>
      <c r="E51" s="19">
        <v>677547311</v>
      </c>
      <c r="F51" s="19"/>
      <c r="G51" s="19" t="s">
        <v>175</v>
      </c>
      <c r="H51" s="20">
        <v>42675</v>
      </c>
    </row>
    <row r="52" spans="1:8" ht="15.75" thickTop="1"/>
  </sheetData>
  <autoFilter ref="A4:H51">
    <sortState ref="A5:H50">
      <sortCondition ref="B4:B50"/>
    </sortState>
  </autoFilter>
  <pageMargins left="0.31496062992125984" right="0.31496062992125984" top="0.35433070866141736" bottom="0.35433070866141736" header="0.31496062992125984" footer="0.31496062992125984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56"/>
  <sheetViews>
    <sheetView tabSelected="1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E56" sqref="E56:E57"/>
    </sheetView>
  </sheetViews>
  <sheetFormatPr baseColWidth="10" defaultRowHeight="15"/>
  <cols>
    <col min="1" max="1" width="13.85546875" customWidth="1"/>
    <col min="2" max="2" width="29.5703125" bestFit="1" customWidth="1"/>
    <col min="3" max="3" width="17.28515625" style="2" customWidth="1"/>
    <col min="4" max="4" width="17.28515625" customWidth="1"/>
    <col min="5" max="5" width="13.140625" customWidth="1"/>
    <col min="6" max="6" width="16.85546875" style="2" bestFit="1" customWidth="1"/>
    <col min="7" max="7" width="15" bestFit="1" customWidth="1"/>
    <col min="8" max="8" width="17.5703125" style="3" bestFit="1" customWidth="1"/>
    <col min="9" max="9" width="15.7109375" style="2" customWidth="1"/>
    <col min="10" max="10" width="15" style="2" bestFit="1" customWidth="1"/>
    <col min="11" max="11" width="18.140625" style="2" bestFit="1" customWidth="1"/>
    <col min="12" max="17" width="18.140625" customWidth="1"/>
    <col min="18" max="18" width="21.28515625" style="2" bestFit="1" customWidth="1"/>
    <col min="19" max="19" width="19" bestFit="1" customWidth="1"/>
  </cols>
  <sheetData>
    <row r="1" spans="1:19">
      <c r="A1" s="1" t="s">
        <v>0</v>
      </c>
      <c r="B1" s="1" t="s">
        <v>1</v>
      </c>
      <c r="C1" s="6"/>
      <c r="D1" s="1"/>
      <c r="E1" s="1"/>
    </row>
    <row r="2" spans="1:19">
      <c r="A2" s="1" t="s">
        <v>2</v>
      </c>
      <c r="B2" s="1" t="s">
        <v>3</v>
      </c>
      <c r="C2" s="6"/>
      <c r="D2" s="1"/>
      <c r="E2" s="1"/>
    </row>
    <row r="3" spans="1:19">
      <c r="A3" s="1" t="s">
        <v>4</v>
      </c>
      <c r="B3" s="1" t="s">
        <v>5</v>
      </c>
      <c r="C3" s="6"/>
      <c r="D3" s="1"/>
      <c r="E3" s="1"/>
    </row>
    <row r="4" spans="1:19" ht="29.25">
      <c r="A4" s="1" t="s">
        <v>6</v>
      </c>
      <c r="B4" s="1" t="s">
        <v>7</v>
      </c>
      <c r="C4" s="6" t="s">
        <v>183</v>
      </c>
      <c r="D4" s="1" t="s">
        <v>184</v>
      </c>
      <c r="E4" s="1" t="s">
        <v>185</v>
      </c>
      <c r="F4" s="5" t="s">
        <v>65</v>
      </c>
      <c r="G4" s="1" t="s">
        <v>57</v>
      </c>
      <c r="H4" s="5" t="s">
        <v>58</v>
      </c>
      <c r="I4" s="5" t="s">
        <v>59</v>
      </c>
      <c r="J4" s="5" t="s">
        <v>60</v>
      </c>
      <c r="K4" s="5" t="s">
        <v>61</v>
      </c>
      <c r="L4" s="5" t="s">
        <v>62</v>
      </c>
      <c r="M4" s="5" t="s">
        <v>63</v>
      </c>
      <c r="N4" s="5" t="s">
        <v>64</v>
      </c>
      <c r="O4" s="5" t="s">
        <v>8</v>
      </c>
      <c r="P4" s="5" t="s">
        <v>182</v>
      </c>
      <c r="Q4" s="5" t="s">
        <v>181</v>
      </c>
      <c r="R4" s="6" t="s">
        <v>9</v>
      </c>
      <c r="S4" s="1" t="s">
        <v>10</v>
      </c>
    </row>
    <row r="5" spans="1:19">
      <c r="A5" s="1" t="s">
        <v>11</v>
      </c>
      <c r="B5" s="1" t="str">
        <f>VLOOKUP(A5,LISTADHERENT!A$5:H$51,2)</f>
        <v>BAKOP ACHILLE</v>
      </c>
      <c r="C5" s="6">
        <v>390000</v>
      </c>
      <c r="D5" s="6">
        <v>33536</v>
      </c>
      <c r="E5" s="6"/>
      <c r="F5" s="7">
        <f>G5+H5+I5+J5+K5+L5+Q5</f>
        <v>225000</v>
      </c>
      <c r="G5" s="7">
        <f>TONT20000DEC2015!D5+TONT20000JANV!D5+TONT20000FEV!D5+TONT20000MARS!D5+TONT20000AVRIL!D5+TONT20000MAI!D5+TONT20000JUIN!D5+TONT20000JUIL!D5+TONT20000AOUT!D5+TONT20000SEPT!D5+TONT20000OCT!D5+TONT20000NOV!D5</f>
        <v>30000</v>
      </c>
      <c r="H5" s="7">
        <f>TONT20000DEC2015!E5+TONT20000JANV!E5+TONT20000FEV!E5+TONT20000MARS!E5+TONT20000AVRIL!E5+TONT20000MAI!E5+TONT20000JUIN!E5+TONT20000JUIL!E5+TONT20000AOUT!E5+TONT20000SEPT!E5+TONT20000OCT!E5+TONT20000NOV!E5</f>
        <v>5000</v>
      </c>
      <c r="I5" s="7">
        <f>TONT20000DEC2015!F5+TONT20000JANV!F5+TONT20000FEV!F5+TONT20000MARS!F5+TONT20000AVRIL!F5+TONT20000MAI!F5+TONT20000JUIN!F5+TONT20000JUIL!F5+TONT20000AOUT!F5+TONT20000SEPT!F5+TONT20000OCT!F5+TONT20000NOV!F5</f>
        <v>10000</v>
      </c>
      <c r="J5" s="7">
        <f>TONT20000DEC2015!G5+TONT20000JANV!G5+TONT20000FEV!G5+TONT20000MARS!G5+TONT20000AVRIL!G5+TONT20000MAI!G5+TONT20000JUIN!G5+TONT20000JUIL!G5+TONT20000AOUT!G5+TONT20000SEPT!G5+TONT20000OCT!G5+TONT20000NOV!G5</f>
        <v>25000</v>
      </c>
      <c r="K5" s="7">
        <f>TONT20000DEC2015!H5+TONT20000JANV!H5+TONT20000FEV!H5+TONT20000MARS!H5+TONT20000AVRIL!H5+TONT20000MAI!H5+TONT20000JUIN!H5+TONT20000JUIL!H5+TONT20000AOUT!H5+TONT20000SEPT!H5+TONT20000OCT!H5+TONT20000NOV!H5</f>
        <v>25000</v>
      </c>
      <c r="L5" s="7">
        <f>TONT20000DEC2015!I5+TONT20000JANV!I5+TONT20000FEV!I5+TONT20000MARS!I5+TONT20000AVRIL!I5+TONT20000MAI!I5+TONT20000JUIN!I5+TONT20000JUIL!I5+TONT20000AOUT!I5+TONT20000SEPT!I5+TONT20000OCT!I5+TONT20000NOV!I5</f>
        <v>130000</v>
      </c>
      <c r="M5" s="7">
        <f>TONT20000DEC2015!J5+TONT20000JANV!J5+TONT20000FEV!J5+TONT20000MARS!J5+TONT20000AVRIL!J5+TONT20000MAI!J5+TONT20000JUIN!J5+TONT20000JUIL!J5+TONT20000AOUT!J5+TONT20000SEPT!J5+TONT20000OCT!J5+TONT20000NOV!J5</f>
        <v>500000</v>
      </c>
      <c r="N5" s="7">
        <f>TONT20000DEC2015!K5+TONT20000JANV!K5+TONT20000FEV!K5+TONT20000MARS!K5+TONT20000AVRIL!K5+TONT20000MAI!K5+TONT20000JUIN!K5+TONT20000JUIL!K5+TONT20000AOUT!K5+TONT20000SEPT!K5+TONT20000OCT!K5+TONT20000NOV!K5</f>
        <v>15000</v>
      </c>
      <c r="O5" s="7">
        <f>TONT20000DEC2015!L5+TONT20000JANV!L5+TONT20000FEV!L5+TONT20000MARS!L5+TONT20000AVRIL!L5+TONT20000MAI!L5+TONT20000JUIN!L5+TONT20000JUIL!L5+TONT20000AOUT!L5+TONT20000SEPT!L5+TONT20000OCT!L5+TONT20000NOV!L5</f>
        <v>0</v>
      </c>
      <c r="P5" s="7">
        <f>TONT20000DEC2015!M5+TONT20000JANV!M5+TONT20000FEV!M5+TONT20000MARS!M5+TONT20000AVRIL!M5+TONT20000MAI!M5+TONT20000JUIN!M5+TONT20000JUIL!M5+TONT20000AOUT!M5+TONT20000SEPT!N5+TONT20000OCT!M5+TONT20000NOV!M5</f>
        <v>0</v>
      </c>
      <c r="Q5" s="7">
        <f>TONT20000DEC2015!M5+TONT20000JANV!M5+TONT20000FEV!M5+TONT20000MARS!M5+TONT20000AVRIL!M5+TONT20000MAI!M5+TONT20000JUIN!M5+TONT20000JUIL!M5+TONT20000AOUT!M5+TONT20000SEPT!N5+TONT20000OCT!M5+TONT20000NOV!M5</f>
        <v>0</v>
      </c>
      <c r="R5" s="7"/>
    </row>
    <row r="6" spans="1:19">
      <c r="A6" s="1" t="s">
        <v>12</v>
      </c>
      <c r="B6" s="1" t="str">
        <f>VLOOKUP(A6,LISTADHERENT!A$5:H$51,2)</f>
        <v>BOUTCHOUANG WILLIAM</v>
      </c>
      <c r="C6" s="6">
        <v>390000</v>
      </c>
      <c r="D6" s="6">
        <v>1704</v>
      </c>
      <c r="E6" s="6"/>
      <c r="F6" s="7">
        <f t="shared" ref="F6:F53" si="0">G6+H6+I6+J6+K6+L6+Q6</f>
        <v>240000</v>
      </c>
      <c r="G6" s="7">
        <f>TONT20000DEC2015!D6+TONT20000JANV!D6+TONT20000FEV!D6+TONT20000MARS!D6+TONT20000AVRIL!D6+TONT20000MAI!D6+TONT20000JUIN!D6+TONT20000JUIL!D6+TONT20000AOUT!D6+TONT20000SEPT!D6+TONT20000OCT!D6+TONT20000NOV!D6</f>
        <v>36000</v>
      </c>
      <c r="H6" s="7">
        <f>TONT20000DEC2015!E6+TONT20000JANV!E6+TONT20000FEV!E6+TONT20000MARS!E6+TONT20000AVRIL!E6+TONT20000MAI!E6+TONT20000JUIN!E6+TONT20000JUIL!E6+TONT20000AOUT!E6+TONT20000SEPT!E6+TONT20000OCT!E6+TONT20000NOV!E6</f>
        <v>6000</v>
      </c>
      <c r="I6" s="7">
        <f>TONT20000DEC2015!F6+TONT20000JANV!F6+TONT20000FEV!F6+TONT20000MARS!F6+TONT20000AVRIL!F6+TONT20000MAI!F6+TONT20000JUIN!F6+TONT20000JUIL!F6+TONT20000AOUT!F6+TONT20000SEPT!F6+TONT20000OCT!F6+TONT20000NOV!F6</f>
        <v>12000</v>
      </c>
      <c r="J6" s="7">
        <f>TONT20000DEC2015!G6+TONT20000JANV!G6+TONT20000FEV!G6+TONT20000MARS!G6+TONT20000AVRIL!G6+TONT20000MAI!G6+TONT20000JUIN!G6+TONT20000JUIL!G6+TONT20000AOUT!G6+TONT20000SEPT!G6+TONT20000OCT!G6+TONT20000NOV!G6</f>
        <v>30000</v>
      </c>
      <c r="K6" s="7">
        <f>TONT20000DEC2015!H6+TONT20000JANV!H6+TONT20000FEV!H6+TONT20000MARS!H6+TONT20000AVRIL!H6+TONT20000MAI!H6+TONT20000JUIN!H6+TONT20000JUIL!H6+TONT20000AOUT!H6+TONT20000SEPT!H6+TONT20000OCT!H6+TONT20000NOV!H6</f>
        <v>0</v>
      </c>
      <c r="L6" s="7">
        <f>TONT20000DEC2015!I6+TONT20000JANV!I6+TONT20000FEV!I6+TONT20000MARS!I6+TONT20000AVRIL!I6+TONT20000MAI!I6+TONT20000JUIN!I6+TONT20000JUIL!I6+TONT20000AOUT!I6+TONT20000SEPT!I6+TONT20000OCT!I6+TONT20000NOV!I6</f>
        <v>156000</v>
      </c>
      <c r="M6" s="7">
        <f>TONT20000DEC2015!J6+TONT20000JANV!J6+TONT20000FEV!J6+TONT20000MARS!J6+TONT20000AVRIL!J6+TONT20000MAI!J6+TONT20000JUIN!J6+TONT20000JUIL!J6+TONT20000AOUT!J6+TONT20000SEPT!J6+TONT20000OCT!J6+TONT20000NOV!J6</f>
        <v>1700000</v>
      </c>
      <c r="N6" s="7">
        <f>TONT20000DEC2015!K6+TONT20000JANV!K6+TONT20000FEV!K6+TONT20000MARS!K6+TONT20000AVRIL!K6+TONT20000MAI!K6+TONT20000JUIN!K6+TONT20000JUIL!K6+TONT20000AOUT!K6+TONT20000SEPT!K6+TONT20000OCT!K6+TONT20000NOV!K6</f>
        <v>124000</v>
      </c>
      <c r="O6" s="7">
        <f>TONT20000DEC2015!L6+TONT20000JANV!L6+TONT20000FEV!L6+TONT20000MARS!L6+TONT20000AVRIL!L6+TONT20000MAI!L6+TONT20000JUIN!L6+TONT20000JUIL!L6+TONT20000AOUT!L6+TONT20000SEPT!L6+TONT20000OCT!L6+TONT20000NOV!L6</f>
        <v>1000000</v>
      </c>
      <c r="P6" s="7">
        <f>TONT20000DEC2015!M6+TONT20000JANV!M6+TONT20000FEV!M6+TONT20000MARS!M6+TONT20000AVRIL!M6+TONT20000MAI!M6+TONT20000JUIN!M6+TONT20000JUIL!M6+TONT20000AOUT!M6+TONT20000SEPT!N6+TONT20000OCT!M6+TONT20000NOV!M6</f>
        <v>0</v>
      </c>
      <c r="Q6" s="7">
        <f>TONT20000DEC2015!M6+TONT20000JANV!M6+TONT20000FEV!M6+TONT20000MARS!M6+TONT20000AVRIL!M6+TONT20000MAI!M6+TONT20000JUIN!M6+TONT20000JUIL!M6+TONT20000AOUT!M6+TONT20000SEPT!N6+TONT20000OCT!M6+TONT20000NOV!M6</f>
        <v>0</v>
      </c>
      <c r="R6" s="7"/>
    </row>
    <row r="7" spans="1:19">
      <c r="A7" s="1" t="s">
        <v>13</v>
      </c>
      <c r="B7" s="1" t="str">
        <f>VLOOKUP(A7,LISTADHERENT!A$5:H$51,2)</f>
        <v>CHINGUE FABRICE</v>
      </c>
      <c r="C7" s="6">
        <v>390000</v>
      </c>
      <c r="D7" s="6">
        <v>1842</v>
      </c>
      <c r="E7" s="6"/>
      <c r="F7" s="7">
        <f t="shared" si="0"/>
        <v>240000</v>
      </c>
      <c r="G7" s="7">
        <f>TONT20000DEC2015!D7+TONT20000JANV!D7+TONT20000FEV!D7+TONT20000MARS!D7+TONT20000AVRIL!D7+TONT20000MAI!D7+TONT20000JUIN!D7+TONT20000JUIL!D7+TONT20000AOUT!D7+TONT20000SEPT!D7+TONT20000OCT!D7+TONT20000NOV!D7</f>
        <v>36000</v>
      </c>
      <c r="H7" s="7">
        <f>TONT20000DEC2015!E7+TONT20000JANV!E7+TONT20000FEV!E7+TONT20000MARS!E7+TONT20000AVRIL!E7+TONT20000MAI!E7+TONT20000JUIN!E7+TONT20000JUIL!E7+TONT20000AOUT!E7+TONT20000SEPT!E7+TONT20000OCT!E7+TONT20000NOV!E7</f>
        <v>6000</v>
      </c>
      <c r="I7" s="7">
        <f>TONT20000DEC2015!F7+TONT20000JANV!F7+TONT20000FEV!F7+TONT20000MARS!F7+TONT20000AVRIL!F7+TONT20000MAI!F7+TONT20000JUIN!F7+TONT20000JUIL!F7+TONT20000AOUT!F7+TONT20000SEPT!F7+TONT20000OCT!F7+TONT20000NOV!F7</f>
        <v>12000</v>
      </c>
      <c r="J7" s="7">
        <f>TONT20000DEC2015!G7+TONT20000JANV!G7+TONT20000FEV!G7+TONT20000MARS!G7+TONT20000AVRIL!G7+TONT20000MAI!G7+TONT20000JUIN!G7+TONT20000JUIL!G7+TONT20000AOUT!G7+TONT20000SEPT!G7+TONT20000OCT!G7+TONT20000NOV!G7</f>
        <v>30000</v>
      </c>
      <c r="K7" s="7">
        <f>TONT20000DEC2015!H7+TONT20000JANV!H7+TONT20000FEV!H7+TONT20000MARS!H7+TONT20000AVRIL!H7+TONT20000MAI!H7+TONT20000JUIN!H7+TONT20000JUIL!H7+TONT20000AOUT!H7+TONT20000SEPT!H7+TONT20000OCT!H7+TONT20000NOV!H7</f>
        <v>0</v>
      </c>
      <c r="L7" s="7">
        <f>TONT20000DEC2015!I7+TONT20000JANV!I7+TONT20000FEV!I7+TONT20000MARS!I7+TONT20000AVRIL!I7+TONT20000MAI!I7+TONT20000JUIN!I7+TONT20000JUIL!I7+TONT20000AOUT!I7+TONT20000SEPT!I7+TONT20000OCT!I7+TONT20000NOV!I7</f>
        <v>156000</v>
      </c>
      <c r="M7" s="7">
        <f>TONT20000DEC2015!J7+TONT20000JANV!J7+TONT20000FEV!J7+TONT20000MARS!J7+TONT20000AVRIL!J7+TONT20000MAI!J7+TONT20000JUIN!J7+TONT20000JUIL!J7+TONT20000AOUT!J7+TONT20000SEPT!J7+TONT20000OCT!J7+TONT20000NOV!J7</f>
        <v>2000000</v>
      </c>
      <c r="N7" s="7">
        <f>TONT20000DEC2015!K7+TONT20000JANV!K7+TONT20000FEV!K7+TONT20000MARS!K7+TONT20000AVRIL!K7+TONT20000MAI!K7+TONT20000JUIN!K7+TONT20000JUIL!K7+TONT20000AOUT!K7+TONT20000SEPT!K7+TONT20000OCT!K7+TONT20000NOV!K7</f>
        <v>180000</v>
      </c>
      <c r="O7" s="7">
        <f>TONT20000DEC2015!L7+TONT20000JANV!L7+TONT20000FEV!L7+TONT20000MARS!L7+TONT20000AVRIL!L7+TONT20000MAI!L7+TONT20000JUIN!L7+TONT20000JUIL!L7+TONT20000AOUT!L7+TONT20000SEPT!L7+TONT20000OCT!L7+TONT20000NOV!L7</f>
        <v>1000000</v>
      </c>
      <c r="P7" s="7">
        <f>TONT20000DEC2015!M7+TONT20000JANV!M7+TONT20000FEV!M7+TONT20000MARS!M7+TONT20000AVRIL!M7+TONT20000MAI!M7+TONT20000JUIN!M7+TONT20000JUIL!M7+TONT20000AOUT!M7+TONT20000SEPT!N7+TONT20000OCT!M7+TONT20000NOV!M7</f>
        <v>0</v>
      </c>
      <c r="Q7" s="7">
        <f>TONT20000DEC2015!M7+TONT20000JANV!M7+TONT20000FEV!M7+TONT20000MARS!M7+TONT20000AVRIL!M7+TONT20000MAI!M7+TONT20000JUIN!M7+TONT20000JUIL!M7+TONT20000AOUT!M7+TONT20000SEPT!N7+TONT20000OCT!M7+TONT20000NOV!M7</f>
        <v>0</v>
      </c>
      <c r="R7" s="7"/>
    </row>
    <row r="8" spans="1:19">
      <c r="A8" s="1" t="s">
        <v>14</v>
      </c>
      <c r="B8" s="1" t="str">
        <f>VLOOKUP(A8,LISTADHERENT!A$5:H$51,2)</f>
        <v xml:space="preserve">DJOMO JEAN PAUL </v>
      </c>
      <c r="C8" s="6">
        <v>390000</v>
      </c>
      <c r="D8" s="6">
        <v>8156</v>
      </c>
      <c r="E8" s="6"/>
      <c r="F8" s="7">
        <f t="shared" si="0"/>
        <v>247000</v>
      </c>
      <c r="G8" s="7">
        <f>TONT20000DEC2015!D8+TONT20000JANV!D8+TONT20000FEV!D8+TONT20000MARS!D8+TONT20000AVRIL!D8+TONT20000MAI!D8+TONT20000JUIN!D8+TONT20000JUIL!D8+TONT20000AOUT!D8+TONT20000SEPT!D8+TONT20000OCT!D8+TONT20000NOV!D8</f>
        <v>43000</v>
      </c>
      <c r="H8" s="7">
        <f>TONT20000DEC2015!E8+TONT20000JANV!E8+TONT20000FEV!E8+TONT20000MARS!E8+TONT20000AVRIL!E8+TONT20000MAI!E8+TONT20000JUIN!E8+TONT20000JUIL!E8+TONT20000AOUT!E8+TONT20000SEPT!E8+TONT20000OCT!E8+TONT20000NOV!E8</f>
        <v>6000</v>
      </c>
      <c r="I8" s="7">
        <f>TONT20000DEC2015!F8+TONT20000JANV!F8+TONT20000FEV!F8+TONT20000MARS!F8+TONT20000AVRIL!F8+TONT20000MAI!F8+TONT20000JUIN!F8+TONT20000JUIL!F8+TONT20000AOUT!F8+TONT20000SEPT!F8+TONT20000OCT!F8+TONT20000NOV!F8</f>
        <v>12000</v>
      </c>
      <c r="J8" s="7">
        <f>TONT20000DEC2015!G8+TONT20000JANV!G8+TONT20000FEV!G8+TONT20000MARS!G8+TONT20000AVRIL!G8+TONT20000MAI!G8+TONT20000JUIN!G8+TONT20000JUIL!G8+TONT20000AOUT!G8+TONT20000SEPT!G8+TONT20000OCT!G8+TONT20000NOV!G8</f>
        <v>30000</v>
      </c>
      <c r="K8" s="7">
        <f>TONT20000DEC2015!H8+TONT20000JANV!H8+TONT20000FEV!H8+TONT20000MARS!H8+TONT20000AVRIL!H8+TONT20000MAI!H8+TONT20000JUIN!H8+TONT20000JUIL!H8+TONT20000AOUT!H8+TONT20000SEPT!H8+TONT20000OCT!H8+TONT20000NOV!H8</f>
        <v>0</v>
      </c>
      <c r="L8" s="7">
        <f>TONT20000DEC2015!I8+TONT20000JANV!I8+TONT20000FEV!I8+TONT20000MARS!I8+TONT20000AVRIL!I8+TONT20000MAI!I8+TONT20000JUIN!I8+TONT20000JUIL!I8+TONT20000AOUT!I8+TONT20000SEPT!I8+TONT20000OCT!I8+TONT20000NOV!I8</f>
        <v>156000</v>
      </c>
      <c r="M8" s="7">
        <f>TONT20000DEC2015!J8+TONT20000JANV!J8+TONT20000FEV!J8+TONT20000MARS!J8+TONT20000AVRIL!J8+TONT20000MAI!J8+TONT20000JUIN!J8+TONT20000JUIL!J8+TONT20000AOUT!J8+TONT20000SEPT!J8+TONT20000OCT!J8+TONT20000NOV!J8</f>
        <v>200000</v>
      </c>
      <c r="N8" s="7">
        <f>TONT20000DEC2015!K8+TONT20000JANV!K8+TONT20000FEV!K8+TONT20000MARS!K8+TONT20000AVRIL!K8+TONT20000MAI!K8+TONT20000JUIN!K8+TONT20000JUIL!K8+TONT20000AOUT!K8+TONT20000SEPT!K8+TONT20000OCT!K8+TONT20000NOV!K8</f>
        <v>6000</v>
      </c>
      <c r="O8" s="7">
        <f>TONT20000DEC2015!L8+TONT20000JANV!L8+TONT20000FEV!L8+TONT20000MARS!L8+TONT20000AVRIL!L8+TONT20000MAI!L8+TONT20000JUIN!L8+TONT20000JUIL!L8+TONT20000AOUT!L8+TONT20000SEPT!L8+TONT20000OCT!L8+TONT20000NOV!L8</f>
        <v>0</v>
      </c>
      <c r="P8" s="7">
        <f>TONT20000DEC2015!M8+TONT20000JANV!M8+TONT20000FEV!M8+TONT20000MARS!M8+TONT20000AVRIL!M8+TONT20000MAI!M8+TONT20000JUIN!M8+TONT20000JUIL!M8+TONT20000AOUT!M8+TONT20000SEPT!N8+TONT20000OCT!M8+TONT20000NOV!M8</f>
        <v>0</v>
      </c>
      <c r="Q8" s="7">
        <f>TONT20000DEC2015!M8+TONT20000JANV!M8+TONT20000FEV!M8+TONT20000MARS!M8+TONT20000AVRIL!M8+TONT20000MAI!M8+TONT20000JUIN!M8+TONT20000JUIL!M8+TONT20000AOUT!M8+TONT20000SEPT!N8+TONT20000OCT!M8+TONT20000NOV!M8</f>
        <v>0</v>
      </c>
      <c r="R8" s="7"/>
    </row>
    <row r="9" spans="1:19">
      <c r="A9" s="1" t="s">
        <v>15</v>
      </c>
      <c r="B9" s="1" t="str">
        <f>VLOOKUP(A9,LISTADHERENT!A$5:H$51,2)</f>
        <v>DJOUKWE GUY</v>
      </c>
      <c r="C9" s="6">
        <v>390000</v>
      </c>
      <c r="D9" s="6">
        <v>5905</v>
      </c>
      <c r="E9" s="6"/>
      <c r="F9" s="7">
        <f t="shared" si="0"/>
        <v>280000</v>
      </c>
      <c r="G9" s="7">
        <f>TONT20000DEC2015!D9+TONT20000JANV!D9+TONT20000FEV!D9+TONT20000MARS!D9+TONT20000AVRIL!D9+TONT20000MAI!D9+TONT20000JUIN!D9+TONT20000JUIL!D9+TONT20000AOUT!D9+TONT20000SEPT!D9+TONT20000OCT!D9+TONT20000NOV!D9</f>
        <v>76000</v>
      </c>
      <c r="H9" s="7">
        <f>TONT20000DEC2015!E9+TONT20000JANV!E9+TONT20000FEV!E9+TONT20000MARS!E9+TONT20000AVRIL!E9+TONT20000MAI!E9+TONT20000JUIN!E9+TONT20000JUIL!E9+TONT20000AOUT!E9+TONT20000SEPT!E9+TONT20000OCT!E9+TONT20000NOV!E9</f>
        <v>6000</v>
      </c>
      <c r="I9" s="7">
        <f>TONT20000DEC2015!F9+TONT20000JANV!F9+TONT20000FEV!F9+TONT20000MARS!F9+TONT20000AVRIL!F9+TONT20000MAI!F9+TONT20000JUIN!F9+TONT20000JUIL!F9+TONT20000AOUT!F9+TONT20000SEPT!F9+TONT20000OCT!F9+TONT20000NOV!F9</f>
        <v>12000</v>
      </c>
      <c r="J9" s="7">
        <f>TONT20000DEC2015!G9+TONT20000JANV!G9+TONT20000FEV!G9+TONT20000MARS!G9+TONT20000AVRIL!G9+TONT20000MAI!G9+TONT20000JUIN!G9+TONT20000JUIL!G9+TONT20000AOUT!G9+TONT20000SEPT!G9+TONT20000OCT!G9+TONT20000NOV!G9</f>
        <v>30000</v>
      </c>
      <c r="K9" s="7">
        <f>TONT20000DEC2015!H9+TONT20000JANV!H9+TONT20000FEV!H9+TONT20000MARS!H9+TONT20000AVRIL!H9+TONT20000MAI!H9+TONT20000JUIN!H9+TONT20000JUIL!H9+TONT20000AOUT!H9+TONT20000SEPT!H9+TONT20000OCT!H9+TONT20000NOV!H9</f>
        <v>0</v>
      </c>
      <c r="L9" s="7">
        <f>TONT20000DEC2015!I9+TONT20000JANV!I9+TONT20000FEV!I9+TONT20000MARS!I9+TONT20000AVRIL!I9+TONT20000MAI!I9+TONT20000JUIN!I9+TONT20000JUIL!I9+TONT20000AOUT!I9+TONT20000SEPT!I9+TONT20000OCT!I9+TONT20000NOV!I9</f>
        <v>156000</v>
      </c>
      <c r="M9" s="7">
        <f>TONT20000DEC2015!J9+TONT20000JANV!J9+TONT20000FEV!J9+TONT20000MARS!J9+TONT20000AVRIL!J9+TONT20000MAI!J9+TONT20000JUIN!J9+TONT20000JUIL!J9+TONT20000AOUT!J9+TONT20000SEPT!J9+TONT20000OCT!J9+TONT20000NOV!J9</f>
        <v>250000</v>
      </c>
      <c r="N9" s="7">
        <f>TONT20000DEC2015!K9+TONT20000JANV!K9+TONT20000FEV!K9+TONT20000MARS!K9+TONT20000AVRIL!K9+TONT20000MAI!K9+TONT20000JUIN!K9+TONT20000JUIL!K9+TONT20000AOUT!K9+TONT20000SEPT!K9+TONT20000OCT!K9+TONT20000NOV!K9</f>
        <v>7500</v>
      </c>
      <c r="O9" s="7">
        <f>TONT20000DEC2015!L9+TONT20000JANV!L9+TONT20000FEV!L9+TONT20000MARS!L9+TONT20000AVRIL!L9+TONT20000MAI!L9+TONT20000JUIN!L9+TONT20000JUIL!L9+TONT20000AOUT!L9+TONT20000SEPT!L9+TONT20000OCT!L9+TONT20000NOV!L9</f>
        <v>0</v>
      </c>
      <c r="P9" s="7">
        <f>TONT20000DEC2015!M9+TONT20000JANV!M9+TONT20000FEV!M9+TONT20000MARS!M9+TONT20000AVRIL!M9+TONT20000MAI!M9+TONT20000JUIN!M9+TONT20000JUIL!M9+TONT20000AOUT!M9+TONT20000SEPT!N9+TONT20000OCT!M9+TONT20000NOV!M9</f>
        <v>0</v>
      </c>
      <c r="Q9" s="7">
        <f>TONT20000DEC2015!M9+TONT20000JANV!M9+TONT20000FEV!M9+TONT20000MARS!M9+TONT20000AVRIL!M9+TONT20000MAI!M9+TONT20000JUIN!M9+TONT20000JUIL!M9+TONT20000AOUT!M9+TONT20000SEPT!N9+TONT20000OCT!M9+TONT20000NOV!M9</f>
        <v>0</v>
      </c>
      <c r="R9" s="7"/>
    </row>
    <row r="10" spans="1:19">
      <c r="A10" s="1" t="s">
        <v>16</v>
      </c>
      <c r="B10" s="1" t="str">
        <f>VLOOKUP(A10,LISTADHERENT!A$5:H$51,2)</f>
        <v>DJOSSEU JOSUE</v>
      </c>
      <c r="C10" s="6">
        <v>0</v>
      </c>
      <c r="D10" s="6">
        <v>0</v>
      </c>
      <c r="E10" s="6"/>
      <c r="F10" s="7">
        <f t="shared" si="0"/>
        <v>22000</v>
      </c>
      <c r="G10" s="7">
        <f>TONT20000DEC2015!D10+TONT20000JANV!D10+TONT20000FEV!D10+TONT20000MARS!D10+TONT20000AVRIL!D10+TONT20000MAI!D10+TONT20000JUIN!D10+TONT20000JUIL!D10+TONT20000AOUT!D10+TONT20000SEPT!D10+TONT20000OCT!D10+TONT20000NOV!D10</f>
        <v>5000</v>
      </c>
      <c r="H10" s="7">
        <f>TONT20000DEC2015!E10+TONT20000JANV!E10+TONT20000FEV!E10+TONT20000MARS!E10+TONT20000AVRIL!E10+TONT20000MAI!E10+TONT20000JUIN!E10+TONT20000JUIL!E10+TONT20000AOUT!E10+TONT20000SEPT!E10+TONT20000OCT!E10+TONT20000NOV!E10</f>
        <v>500</v>
      </c>
      <c r="I10" s="7">
        <f>TONT20000DEC2015!F10+TONT20000JANV!F10+TONT20000FEV!F10+TONT20000MARS!F10+TONT20000AVRIL!F10+TONT20000MAI!F10+TONT20000JUIN!F10+TONT20000JUIL!F10+TONT20000AOUT!F10+TONT20000SEPT!F10+TONT20000OCT!F10+TONT20000NOV!F10</f>
        <v>1000</v>
      </c>
      <c r="J10" s="7">
        <f>TONT20000DEC2015!G10+TONT20000JANV!G10+TONT20000FEV!G10+TONT20000MARS!G10+TONT20000AVRIL!G10+TONT20000MAI!G10+TONT20000JUIN!G10+TONT20000JUIL!G10+TONT20000AOUT!G10+TONT20000SEPT!G10+TONT20000OCT!G10+TONT20000NOV!G10</f>
        <v>2500</v>
      </c>
      <c r="K10" s="7">
        <f>TONT20000DEC2015!H10+TONT20000JANV!H10+TONT20000FEV!H10+TONT20000MARS!H10+TONT20000AVRIL!H10+TONT20000MAI!H10+TONT20000JUIN!H10+TONT20000JUIL!H10+TONT20000AOUT!H10+TONT20000SEPT!H10+TONT20000OCT!H10+TONT20000NOV!H10</f>
        <v>0</v>
      </c>
      <c r="L10" s="7">
        <f>TONT20000DEC2015!I10+TONT20000JANV!I10+TONT20000FEV!I10+TONT20000MARS!I10+TONT20000AVRIL!I10+TONT20000MAI!I10+TONT20000JUIN!I10+TONT20000JUIL!I10+TONT20000AOUT!I10+TONT20000SEPT!I10+TONT20000OCT!I10+TONT20000NOV!I10</f>
        <v>13000</v>
      </c>
      <c r="M10" s="7">
        <f>TONT20000DEC2015!J10+TONT20000JANV!J10+TONT20000FEV!J10+TONT20000MARS!J10+TONT20000AVRIL!J10+TONT20000MAI!J10+TONT20000JUIN!J10+TONT20000JUIL!J10+TONT20000AOUT!J10+TONT20000SEPT!J10+TONT20000OCT!J10+TONT20000NOV!J10</f>
        <v>0</v>
      </c>
      <c r="N10" s="7">
        <f>TONT20000DEC2015!K10+TONT20000JANV!K10+TONT20000FEV!K10+TONT20000MARS!K10+TONT20000AVRIL!K10+TONT20000MAI!K10+TONT20000JUIN!K10+TONT20000JUIL!K10+TONT20000AOUT!K10+TONT20000SEPT!K10+TONT20000OCT!K10+TONT20000NOV!K10</f>
        <v>0</v>
      </c>
      <c r="O10" s="7">
        <f>TONT20000DEC2015!L10+TONT20000JANV!L10+TONT20000FEV!L10+TONT20000MARS!L10+TONT20000AVRIL!L10+TONT20000MAI!L10+TONT20000JUIN!L10+TONT20000JUIL!L10+TONT20000AOUT!L10+TONT20000SEPT!L10+TONT20000OCT!L10+TONT20000NOV!L10</f>
        <v>0</v>
      </c>
      <c r="P10" s="7">
        <f>TONT20000DEC2015!M10+TONT20000JANV!M10+TONT20000FEV!M10+TONT20000MARS!M10+TONT20000AVRIL!M10+TONT20000MAI!M10+TONT20000JUIN!M10+TONT20000JUIL!M10+TONT20000AOUT!M10+TONT20000SEPT!N10+TONT20000OCT!M10+TONT20000NOV!M10</f>
        <v>0</v>
      </c>
      <c r="Q10" s="7">
        <f>TONT20000DEC2015!M10+TONT20000JANV!M10+TONT20000FEV!M10+TONT20000MARS!M10+TONT20000AVRIL!M10+TONT20000MAI!M10+TONT20000JUIN!M10+TONT20000JUIL!M10+TONT20000AOUT!M10+TONT20000SEPT!N10+TONT20000OCT!M10+TONT20000NOV!M10</f>
        <v>0</v>
      </c>
      <c r="R10" s="7"/>
    </row>
    <row r="11" spans="1:19">
      <c r="A11" s="1" t="s">
        <v>17</v>
      </c>
      <c r="B11" s="1" t="str">
        <f>VLOOKUP(A11,LISTADHERENT!A$5:H$51,2)</f>
        <v>DJOUNKEP SAMUEL</v>
      </c>
      <c r="C11" s="6">
        <v>390000</v>
      </c>
      <c r="D11" s="6">
        <v>1055294</v>
      </c>
      <c r="E11" s="6"/>
      <c r="F11" s="7">
        <f t="shared" si="0"/>
        <v>760000</v>
      </c>
      <c r="G11" s="7">
        <f>TONT20000DEC2015!D11+TONT20000JANV!D11+TONT20000FEV!D11+TONT20000MARS!D11+TONT20000AVRIL!D11+TONT20000MAI!D11+TONT20000JUIN!D11+TONT20000JUIL!D11+TONT20000AOUT!D11+TONT20000SEPT!D11+TONT20000OCT!D11+TONT20000NOV!D11</f>
        <v>556000</v>
      </c>
      <c r="H11" s="7">
        <f>TONT20000DEC2015!E11+TONT20000JANV!E11+TONT20000FEV!E11+TONT20000MARS!E11+TONT20000AVRIL!E11+TONT20000MAI!E11+TONT20000JUIN!E11+TONT20000JUIL!E11+TONT20000AOUT!E11+TONT20000SEPT!E11+TONT20000OCT!E11+TONT20000NOV!E11</f>
        <v>6000</v>
      </c>
      <c r="I11" s="7">
        <f>TONT20000DEC2015!F11+TONT20000JANV!F11+TONT20000FEV!F11+TONT20000MARS!F11+TONT20000AVRIL!F11+TONT20000MAI!F11+TONT20000JUIN!F11+TONT20000JUIL!F11+TONT20000AOUT!F11+TONT20000SEPT!F11+TONT20000OCT!F11+TONT20000NOV!F11</f>
        <v>12000</v>
      </c>
      <c r="J11" s="7">
        <f>TONT20000DEC2015!G11+TONT20000JANV!G11+TONT20000FEV!G11+TONT20000MARS!G11+TONT20000AVRIL!G11+TONT20000MAI!G11+TONT20000JUIN!G11+TONT20000JUIL!G11+TONT20000AOUT!G11+TONT20000SEPT!G11+TONT20000OCT!G11+TONT20000NOV!G11</f>
        <v>30000</v>
      </c>
      <c r="K11" s="7">
        <f>TONT20000DEC2015!H11+TONT20000JANV!H11+TONT20000FEV!H11+TONT20000MARS!H11+TONT20000AVRIL!H11+TONT20000MAI!H11+TONT20000JUIN!H11+TONT20000JUIL!H11+TONT20000AOUT!H11+TONT20000SEPT!H11+TONT20000OCT!H11+TONT20000NOV!H11</f>
        <v>0</v>
      </c>
      <c r="L11" s="7">
        <f>TONT20000DEC2015!I11+TONT20000JANV!I11+TONT20000FEV!I11+TONT20000MARS!I11+TONT20000AVRIL!I11+TONT20000MAI!I11+TONT20000JUIN!I11+TONT20000JUIL!I11+TONT20000AOUT!I11+TONT20000SEPT!I11+TONT20000OCT!I11+TONT20000NOV!I11</f>
        <v>156000</v>
      </c>
      <c r="M11" s="7">
        <f>TONT20000DEC2015!J11+TONT20000JANV!J11+TONT20000FEV!J11+TONT20000MARS!J11+TONT20000AVRIL!J11+TONT20000MAI!J11+TONT20000JUIN!J11+TONT20000JUIL!J11+TONT20000AOUT!J11+TONT20000SEPT!J11+TONT20000OCT!J11+TONT20000NOV!J11</f>
        <v>0</v>
      </c>
      <c r="N11" s="7">
        <f>TONT20000DEC2015!K11+TONT20000JANV!K11+TONT20000FEV!K11+TONT20000MARS!K11+TONT20000AVRIL!K11+TONT20000MAI!K11+TONT20000JUIN!K11+TONT20000JUIL!K11+TONT20000AOUT!K11+TONT20000SEPT!K11+TONT20000OCT!K11+TONT20000NOV!K11</f>
        <v>0</v>
      </c>
      <c r="O11" s="7">
        <f>TONT20000DEC2015!L11+TONT20000JANV!L11+TONT20000FEV!L11+TONT20000MARS!L11+TONT20000AVRIL!L11+TONT20000MAI!L11+TONT20000JUIN!L11+TONT20000JUIL!L11+TONT20000AOUT!L11+TONT20000SEPT!L11+TONT20000OCT!L11+TONT20000NOV!L11</f>
        <v>0</v>
      </c>
      <c r="P11" s="7">
        <f>TONT20000DEC2015!M11+TONT20000JANV!M11+TONT20000FEV!M11+TONT20000MARS!M11+TONT20000AVRIL!M11+TONT20000MAI!M11+TONT20000JUIN!M11+TONT20000JUIL!M11+TONT20000AOUT!M11+TONT20000SEPT!N11+TONT20000OCT!M11+TONT20000NOV!M11</f>
        <v>0</v>
      </c>
      <c r="Q11" s="7">
        <f>TONT20000DEC2015!M11+TONT20000JANV!M11+TONT20000FEV!M11+TONT20000MARS!M11+TONT20000AVRIL!M11+TONT20000MAI!M11+TONT20000JUIN!M11+TONT20000JUIL!M11+TONT20000AOUT!M11+TONT20000SEPT!N11+TONT20000OCT!M11+TONT20000NOV!M11</f>
        <v>0</v>
      </c>
      <c r="R11" s="7"/>
    </row>
    <row r="12" spans="1:19">
      <c r="A12" s="1" t="s">
        <v>18</v>
      </c>
      <c r="B12" s="1" t="str">
        <f>VLOOKUP(A12,LISTADHERENT!A$5:H$51,2)</f>
        <v>DJUOMBESSY ANTOINE</v>
      </c>
      <c r="C12" s="6">
        <f>390000-70866</f>
        <v>319134</v>
      </c>
      <c r="D12" s="6">
        <v>0</v>
      </c>
      <c r="E12" s="6"/>
      <c r="F12" s="7">
        <f t="shared" si="0"/>
        <v>320000</v>
      </c>
      <c r="G12" s="7">
        <f>TONT20000DEC2015!D12+TONT20000JANV!D12+TONT20000FEV!D12+TONT20000MARS!D12+TONT20000AVRIL!D12+TONT20000MAI!D12+TONT20000JUIN!D12+TONT20000JUIL!D12+TONT20000AOUT!D12+TONT20000SEPT!D12+TONT20000OCT!D12+TONT20000NOV!D12</f>
        <v>67560</v>
      </c>
      <c r="H12" s="7">
        <f>TONT20000DEC2015!E12+TONT20000JANV!E12+TONT20000FEV!E12+TONT20000MARS!E12+TONT20000AVRIL!E12+TONT20000MAI!E12+TONT20000JUIN!E12+TONT20000JUIL!E12+TONT20000AOUT!E12+TONT20000SEPT!E12+TONT20000OCT!E12+TONT20000NOV!E12</f>
        <v>6000</v>
      </c>
      <c r="I12" s="7">
        <f>TONT20000DEC2015!F12+TONT20000JANV!F12+TONT20000FEV!F12+TONT20000MARS!F12+TONT20000AVRIL!F12+TONT20000MAI!F12+TONT20000JUIN!F12+TONT20000JUIL!F12+TONT20000AOUT!F12+TONT20000SEPT!F12+TONT20000OCT!F12+TONT20000NOV!F12</f>
        <v>12000</v>
      </c>
      <c r="J12" s="7">
        <f>TONT20000DEC2015!G12+TONT20000JANV!G12+TONT20000FEV!G12+TONT20000MARS!G12+TONT20000AVRIL!G12+TONT20000MAI!G12+TONT20000JUIN!G12+TONT20000JUIL!G12+TONT20000AOUT!G12+TONT20000SEPT!G12+TONT20000OCT!G12+TONT20000NOV!G12</f>
        <v>30000</v>
      </c>
      <c r="K12" s="7">
        <f>TONT20000DEC2015!H12+TONT20000JANV!H12+TONT20000FEV!H12+TONT20000MARS!H12+TONT20000AVRIL!H12+TONT20000MAI!H12+TONT20000JUIN!H12+TONT20000JUIL!H12+TONT20000AOUT!H12+TONT20000SEPT!H12+TONT20000OCT!H12+TONT20000NOV!H12</f>
        <v>0</v>
      </c>
      <c r="L12" s="7">
        <f>TONT20000DEC2015!I12+TONT20000JANV!I12+TONT20000FEV!I12+TONT20000MARS!I12+TONT20000AVRIL!I12+TONT20000MAI!I12+TONT20000JUIN!I12+TONT20000JUIL!I12+TONT20000AOUT!I12+TONT20000SEPT!I12+TONT20000OCT!I12+TONT20000NOV!I12</f>
        <v>156000</v>
      </c>
      <c r="M12" s="7">
        <f>TONT20000DEC2015!J12+TONT20000JANV!J12+TONT20000FEV!J12+TONT20000MARS!J12+TONT20000AVRIL!J12+TONT20000MAI!J12+TONT20000JUIN!J12+TONT20000JUIL!J12+TONT20000AOUT!J12+TONT20000SEPT!J12+TONT20000OCT!J12+TONT20000NOV!J12</f>
        <v>700000</v>
      </c>
      <c r="N12" s="7">
        <f>TONT20000DEC2015!K12+TONT20000JANV!K12+TONT20000FEV!K12+TONT20000MARS!K12+TONT20000AVRIL!K12+TONT20000MAI!K12+TONT20000JUIN!K12+TONT20000JUIL!K12+TONT20000AOUT!K12+TONT20000SEPT!K12+TONT20000OCT!K12+TONT20000NOV!K12</f>
        <v>84000</v>
      </c>
      <c r="O12" s="7">
        <f>TONT20000DEC2015!L12+TONT20000JANV!L12+TONT20000FEV!L12+TONT20000MARS!L12+TONT20000AVRIL!L12+TONT20000MAI!L12+TONT20000JUIN!L12+TONT20000JUIL!L12+TONT20000AOUT!L12+TONT20000SEPT!L12+TONT20000OCT!L12+TONT20000NOV!L12</f>
        <v>0</v>
      </c>
      <c r="P12" s="7">
        <f>TONT20000DEC2015!M12+TONT20000JANV!M12+TONT20000FEV!M12+TONT20000MARS!M12+TONT20000AVRIL!M12+TONT20000MAI!M12+TONT20000JUIN!M12+TONT20000JUIL!M12+TONT20000AOUT!M12+TONT20000SEPT!N12+TONT20000OCT!M12+TONT20000NOV!M12</f>
        <v>48440</v>
      </c>
      <c r="Q12" s="7">
        <f>TONT20000DEC2015!M12+TONT20000JANV!M12+TONT20000FEV!M12+TONT20000MARS!M12+TONT20000AVRIL!M12+TONT20000MAI!M12+TONT20000JUIN!M12+TONT20000JUIL!M12+TONT20000AOUT!M12+TONT20000SEPT!N12+TONT20000OCT!M12+TONT20000NOV!M12</f>
        <v>48440</v>
      </c>
      <c r="R12" s="7"/>
    </row>
    <row r="13" spans="1:19">
      <c r="A13" s="1" t="s">
        <v>19</v>
      </c>
      <c r="B13" s="1" t="str">
        <f>VLOOKUP(A13,LISTADHERENT!A$5:H$51,2)</f>
        <v>DONHOU DAVID</v>
      </c>
      <c r="C13" s="6">
        <v>390000</v>
      </c>
      <c r="D13" s="6">
        <v>44734</v>
      </c>
      <c r="E13" s="6"/>
      <c r="F13" s="7">
        <f t="shared" si="0"/>
        <v>240000</v>
      </c>
      <c r="G13" s="7">
        <f>TONT20000DEC2015!D13+TONT20000JANV!D13+TONT20000FEV!D13+TONT20000MARS!D13+TONT20000AVRIL!D13+TONT20000MAI!D13+TONT20000JUIN!D13+TONT20000JUIL!D13+TONT20000AOUT!D13+TONT20000SEPT!D13+TONT20000OCT!D13+TONT20000NOV!D13</f>
        <v>36000</v>
      </c>
      <c r="H13" s="7">
        <f>TONT20000DEC2015!E13+TONT20000JANV!E13+TONT20000FEV!E13+TONT20000MARS!E13+TONT20000AVRIL!E13+TONT20000MAI!E13+TONT20000JUIN!E13+TONT20000JUIL!E13+TONT20000AOUT!E13+TONT20000SEPT!E13+TONT20000OCT!E13+TONT20000NOV!E13</f>
        <v>6000</v>
      </c>
      <c r="I13" s="7">
        <f>TONT20000DEC2015!F13+TONT20000JANV!F13+TONT20000FEV!F13+TONT20000MARS!F13+TONT20000AVRIL!F13+TONT20000MAI!F13+TONT20000JUIN!F13+TONT20000JUIL!F13+TONT20000AOUT!F13+TONT20000SEPT!F13+TONT20000OCT!F13+TONT20000NOV!F13</f>
        <v>12000</v>
      </c>
      <c r="J13" s="7">
        <f>TONT20000DEC2015!G13+TONT20000JANV!G13+TONT20000FEV!G13+TONT20000MARS!G13+TONT20000AVRIL!G13+TONT20000MAI!G13+TONT20000JUIN!G13+TONT20000JUIL!G13+TONT20000AOUT!G13+TONT20000SEPT!G13+TONT20000OCT!G13+TONT20000NOV!G13</f>
        <v>30000</v>
      </c>
      <c r="K13" s="7">
        <f>TONT20000DEC2015!H13+TONT20000JANV!H13+TONT20000FEV!H13+TONT20000MARS!H13+TONT20000AVRIL!H13+TONT20000MAI!H13+TONT20000JUIN!H13+TONT20000JUIL!H13+TONT20000AOUT!H13+TONT20000SEPT!H13+TONT20000OCT!H13+TONT20000NOV!H13</f>
        <v>0</v>
      </c>
      <c r="L13" s="7">
        <f>TONT20000DEC2015!I13+TONT20000JANV!I13+TONT20000FEV!I13+TONT20000MARS!I13+TONT20000AVRIL!I13+TONT20000MAI!I13+TONT20000JUIN!I13+TONT20000JUIL!I13+TONT20000AOUT!I13+TONT20000SEPT!I13+TONT20000OCT!I13+TONT20000NOV!I13</f>
        <v>156000</v>
      </c>
      <c r="M13" s="7">
        <f>TONT20000DEC2015!J13+TONT20000JANV!J13+TONT20000FEV!J13+TONT20000MARS!J13+TONT20000AVRIL!J13+TONT20000MAI!J13+TONT20000JUIN!J13+TONT20000JUIL!J13+TONT20000AOUT!J13+TONT20000SEPT!J13+TONT20000OCT!J13+TONT20000NOV!J13</f>
        <v>0</v>
      </c>
      <c r="N13" s="7">
        <f>TONT20000DEC2015!K13+TONT20000JANV!K13+TONT20000FEV!K13+TONT20000MARS!K13+TONT20000AVRIL!K13+TONT20000MAI!K13+TONT20000JUIN!K13+TONT20000JUIL!K13+TONT20000AOUT!K13+TONT20000SEPT!K13+TONT20000OCT!K13+TONT20000NOV!K13</f>
        <v>0</v>
      </c>
      <c r="O13" s="7">
        <f>TONT20000DEC2015!L13+TONT20000JANV!L13+TONT20000FEV!L13+TONT20000MARS!L13+TONT20000AVRIL!L13+TONT20000MAI!L13+TONT20000JUIN!L13+TONT20000JUIL!L13+TONT20000AOUT!L13+TONT20000SEPT!L13+TONT20000OCT!L13+TONT20000NOV!L13</f>
        <v>0</v>
      </c>
      <c r="P13" s="7">
        <f>TONT20000DEC2015!M13+TONT20000JANV!M13+TONT20000FEV!M13+TONT20000MARS!M13+TONT20000AVRIL!M13+TONT20000MAI!M13+TONT20000JUIN!M13+TONT20000JUIL!M13+TONT20000AOUT!M13+TONT20000SEPT!N13+TONT20000OCT!M13+TONT20000NOV!M13</f>
        <v>0</v>
      </c>
      <c r="Q13" s="7">
        <f>TONT20000DEC2015!M13+TONT20000JANV!M13+TONT20000FEV!M13+TONT20000MARS!M13+TONT20000AVRIL!M13+TONT20000MAI!M13+TONT20000JUIN!M13+TONT20000JUIL!M13+TONT20000AOUT!M13+TONT20000SEPT!N13+TONT20000OCT!M13+TONT20000NOV!M13</f>
        <v>0</v>
      </c>
      <c r="R13" s="7"/>
    </row>
    <row r="14" spans="1:19">
      <c r="A14" s="1" t="s">
        <v>20</v>
      </c>
      <c r="B14" s="1" t="str">
        <f>VLOOKUP(A14,LISTADHERENT!A$5:H$51,2)</f>
        <v>FOTSO THOMAS</v>
      </c>
      <c r="C14" s="6">
        <v>390000</v>
      </c>
      <c r="D14" s="6">
        <v>3318</v>
      </c>
      <c r="E14" s="6"/>
      <c r="F14" s="7">
        <f t="shared" si="0"/>
        <v>240000</v>
      </c>
      <c r="G14" s="7">
        <f>TONT20000DEC2015!D14+TONT20000JANV!D14+TONT20000FEV!D14+TONT20000MARS!D14+TONT20000AVRIL!D14+TONT20000MAI!D14+TONT20000JUIN!D14+TONT20000JUIL!D14+TONT20000AOUT!D14+TONT20000SEPT!D14+TONT20000OCT!D14+TONT20000NOV!D14</f>
        <v>36000</v>
      </c>
      <c r="H14" s="7">
        <f>TONT20000DEC2015!E14+TONT20000JANV!E14+TONT20000FEV!E14+TONT20000MARS!E14+TONT20000AVRIL!E14+TONT20000MAI!E14+TONT20000JUIN!E14+TONT20000JUIL!E14+TONT20000AOUT!E14+TONT20000SEPT!E14+TONT20000OCT!E14+TONT20000NOV!E14</f>
        <v>6000</v>
      </c>
      <c r="I14" s="7">
        <f>TONT20000DEC2015!F14+TONT20000JANV!F14+TONT20000FEV!F14+TONT20000MARS!F14+TONT20000AVRIL!F14+TONT20000MAI!F14+TONT20000JUIN!F14+TONT20000JUIL!F14+TONT20000AOUT!F14+TONT20000SEPT!F14+TONT20000OCT!F14+TONT20000NOV!F14</f>
        <v>12000</v>
      </c>
      <c r="J14" s="7">
        <f>TONT20000DEC2015!G14+TONT20000JANV!G14+TONT20000FEV!G14+TONT20000MARS!G14+TONT20000AVRIL!G14+TONT20000MAI!G14+TONT20000JUIN!G14+TONT20000JUIL!G14+TONT20000AOUT!G14+TONT20000SEPT!G14+TONT20000OCT!G14+TONT20000NOV!G14</f>
        <v>30000</v>
      </c>
      <c r="K14" s="7">
        <f>TONT20000DEC2015!H14+TONT20000JANV!H14+TONT20000FEV!H14+TONT20000MARS!H14+TONT20000AVRIL!H14+TONT20000MAI!H14+TONT20000JUIN!H14+TONT20000JUIL!H14+TONT20000AOUT!H14+TONT20000SEPT!H14+TONT20000OCT!H14+TONT20000NOV!H14</f>
        <v>0</v>
      </c>
      <c r="L14" s="7">
        <f>TONT20000DEC2015!I14+TONT20000JANV!I14+TONT20000FEV!I14+TONT20000MARS!I14+TONT20000AVRIL!I14+TONT20000MAI!I14+TONT20000JUIN!I14+TONT20000JUIL!I14+TONT20000AOUT!I14+TONT20000SEPT!I14+TONT20000OCT!I14+TONT20000NOV!I14</f>
        <v>156000</v>
      </c>
      <c r="M14" s="7">
        <f>TONT20000DEC2015!J14+TONT20000JANV!J14+TONT20000FEV!J14+TONT20000MARS!J14+TONT20000AVRIL!J14+TONT20000MAI!J14+TONT20000JUIN!J14+TONT20000JUIL!J14+TONT20000AOUT!J14+TONT20000SEPT!J14+TONT20000OCT!J14+TONT20000NOV!J14</f>
        <v>1000000</v>
      </c>
      <c r="N14" s="7">
        <f>TONT20000DEC2015!K14+TONT20000JANV!K14+TONT20000FEV!K14+TONT20000MARS!K14+TONT20000AVRIL!K14+TONT20000MAI!K14+TONT20000JUIN!K14+TONT20000JUIL!K14+TONT20000AOUT!K14+TONT20000SEPT!K14+TONT20000OCT!K14+TONT20000NOV!K14</f>
        <v>120000</v>
      </c>
      <c r="O14" s="7">
        <f>TONT20000DEC2015!L14+TONT20000JANV!L14+TONT20000FEV!L14+TONT20000MARS!L14+TONT20000AVRIL!L14+TONT20000MAI!L14+TONT20000JUIN!L14+TONT20000JUIL!L14+TONT20000AOUT!L14+TONT20000SEPT!L14+TONT20000OCT!L14+TONT20000NOV!L14</f>
        <v>0</v>
      </c>
      <c r="P14" s="7">
        <f>TONT20000DEC2015!M14+TONT20000JANV!M14+TONT20000FEV!M14+TONT20000MARS!M14+TONT20000AVRIL!M14+TONT20000MAI!M14+TONT20000JUIN!M14+TONT20000JUIL!M14+TONT20000AOUT!M14+TONT20000SEPT!N14+TONT20000OCT!M14+TONT20000NOV!M14</f>
        <v>0</v>
      </c>
      <c r="Q14" s="7">
        <f>TONT20000DEC2015!M14+TONT20000JANV!M14+TONT20000FEV!M14+TONT20000MARS!M14+TONT20000AVRIL!M14+TONT20000MAI!M14+TONT20000JUIN!M14+TONT20000JUIL!M14+TONT20000AOUT!M14+TONT20000SEPT!N14+TONT20000OCT!M14+TONT20000NOV!M14</f>
        <v>0</v>
      </c>
      <c r="R14" s="7"/>
    </row>
    <row r="15" spans="1:19">
      <c r="A15" s="1" t="s">
        <v>21</v>
      </c>
      <c r="B15" s="1" t="str">
        <f>VLOOKUP(A15,LISTADHERENT!A$5:H$51,2)</f>
        <v>HENGUE PAUL OMER</v>
      </c>
      <c r="C15" s="6">
        <v>390000</v>
      </c>
      <c r="D15" s="6">
        <v>1083990</v>
      </c>
      <c r="E15" s="6"/>
      <c r="F15" s="7">
        <f t="shared" si="0"/>
        <v>200000</v>
      </c>
      <c r="G15" s="7">
        <f>TONT20000DEC2015!D15+TONT20000JANV!D15+TONT20000FEV!D15+TONT20000MARS!D15+TONT20000AVRIL!D15+TONT20000MAI!D15+TONT20000JUIN!D15+TONT20000JUIL!D15+TONT20000AOUT!D15+TONT20000SEPT!D15+TONT20000OCT!D15+TONT20000NOV!D15</f>
        <v>30000</v>
      </c>
      <c r="H15" s="7">
        <f>TONT20000DEC2015!E15+TONT20000JANV!E15+TONT20000FEV!E15+TONT20000MARS!E15+TONT20000AVRIL!E15+TONT20000MAI!E15+TONT20000JUIN!E15+TONT20000JUIL!E15+TONT20000AOUT!E15+TONT20000SEPT!E15+TONT20000OCT!E15+TONT20000NOV!E15</f>
        <v>5000</v>
      </c>
      <c r="I15" s="7">
        <f>TONT20000DEC2015!F15+TONT20000JANV!F15+TONT20000FEV!F15+TONT20000MARS!F15+TONT20000AVRIL!F15+TONT20000MAI!F15+TONT20000JUIN!F15+TONT20000JUIL!F15+TONT20000AOUT!F15+TONT20000SEPT!F15+TONT20000OCT!F15+TONT20000NOV!F15</f>
        <v>10000</v>
      </c>
      <c r="J15" s="7">
        <f>TONT20000DEC2015!G15+TONT20000JANV!G15+TONT20000FEV!G15+TONT20000MARS!G15+TONT20000AVRIL!G15+TONT20000MAI!G15+TONT20000JUIN!G15+TONT20000JUIL!G15+TONT20000AOUT!G15+TONT20000SEPT!G15+TONT20000OCT!G15+TONT20000NOV!G15</f>
        <v>25000</v>
      </c>
      <c r="K15" s="7">
        <f>TONT20000DEC2015!H15+TONT20000JANV!H15+TONT20000FEV!H15+TONT20000MARS!H15+TONT20000AVRIL!H15+TONT20000MAI!H15+TONT20000JUIN!H15+TONT20000JUIL!H15+TONT20000AOUT!H15+TONT20000SEPT!H15+TONT20000OCT!H15+TONT20000NOV!H15</f>
        <v>0</v>
      </c>
      <c r="L15" s="7">
        <f>TONT20000DEC2015!I15+TONT20000JANV!I15+TONT20000FEV!I15+TONT20000MARS!I15+TONT20000AVRIL!I15+TONT20000MAI!I15+TONT20000JUIN!I15+TONT20000JUIL!I15+TONT20000AOUT!I15+TONT20000SEPT!I15+TONT20000OCT!I15+TONT20000NOV!I15</f>
        <v>130000</v>
      </c>
      <c r="M15" s="7">
        <f>TONT20000DEC2015!J15+TONT20000JANV!J15+TONT20000FEV!J15+TONT20000MARS!J15+TONT20000AVRIL!J15+TONT20000MAI!J15+TONT20000JUIN!J15+TONT20000JUIL!J15+TONT20000AOUT!J15+TONT20000SEPT!J15+TONT20000OCT!J15+TONT20000NOV!J15</f>
        <v>0</v>
      </c>
      <c r="N15" s="7">
        <f>TONT20000DEC2015!K15+TONT20000JANV!K15+TONT20000FEV!K15+TONT20000MARS!K15+TONT20000AVRIL!K15+TONT20000MAI!K15+TONT20000JUIN!K15+TONT20000JUIL!K15+TONT20000AOUT!K15+TONT20000SEPT!K15+TONT20000OCT!K15+TONT20000NOV!K15</f>
        <v>0</v>
      </c>
      <c r="O15" s="7">
        <f>TONT20000DEC2015!L15+TONT20000JANV!L15+TONT20000FEV!L15+TONT20000MARS!L15+TONT20000AVRIL!L15+TONT20000MAI!L15+TONT20000JUIN!L15+TONT20000JUIL!L15+TONT20000AOUT!L15+TONT20000SEPT!L15+TONT20000OCT!L15+TONT20000NOV!L15</f>
        <v>0</v>
      </c>
      <c r="P15" s="7">
        <f>TONT20000DEC2015!M15+TONT20000JANV!M15+TONT20000FEV!M15+TONT20000MARS!M15+TONT20000AVRIL!M15+TONT20000MAI!M15+TONT20000JUIN!M15+TONT20000JUIL!M15+TONT20000AOUT!M15+TONT20000SEPT!N15+TONT20000OCT!M15+TONT20000NOV!M15</f>
        <v>0</v>
      </c>
      <c r="Q15" s="7">
        <f>TONT20000DEC2015!M15+TONT20000JANV!M15+TONT20000FEV!M15+TONT20000MARS!M15+TONT20000AVRIL!M15+TONT20000MAI!M15+TONT20000JUIN!M15+TONT20000JUIL!M15+TONT20000AOUT!M15+TONT20000SEPT!N15+TONT20000OCT!M15+TONT20000NOV!M15</f>
        <v>0</v>
      </c>
      <c r="R15" s="7"/>
    </row>
    <row r="16" spans="1:19">
      <c r="A16" s="1" t="s">
        <v>22</v>
      </c>
      <c r="B16" s="1" t="str">
        <f>VLOOKUP(A16,LISTADHERENT!A$5:H$51,2)</f>
        <v>HODIEP JULES</v>
      </c>
      <c r="C16" s="6">
        <f>390000-111192</f>
        <v>278808</v>
      </c>
      <c r="D16" s="6">
        <v>0</v>
      </c>
      <c r="E16" s="6"/>
      <c r="F16" s="7">
        <f t="shared" si="0"/>
        <v>240000</v>
      </c>
      <c r="G16" s="7">
        <f>TONT20000DEC2015!D16+TONT20000JANV!D16+TONT20000FEV!D16+TONT20000MARS!D16+TONT20000AVRIL!D16+TONT20000MAI!D16+TONT20000JUIN!D16+TONT20000JUIL!D16+TONT20000AOUT!D16+TONT20000SEPT!D16+TONT20000OCT!D16+TONT20000NOV!D16</f>
        <v>36000</v>
      </c>
      <c r="H16" s="7">
        <f>TONT20000DEC2015!E16+TONT20000JANV!E16+TONT20000FEV!E16+TONT20000MARS!E16+TONT20000AVRIL!E16+TONT20000MAI!E16+TONT20000JUIN!E16+TONT20000JUIL!E16+TONT20000AOUT!E16+TONT20000SEPT!E16+TONT20000OCT!E16+TONT20000NOV!E16</f>
        <v>6000</v>
      </c>
      <c r="I16" s="7">
        <f>TONT20000DEC2015!F16+TONT20000JANV!F16+TONT20000FEV!F16+TONT20000MARS!F16+TONT20000AVRIL!F16+TONT20000MAI!F16+TONT20000JUIN!F16+TONT20000JUIL!F16+TONT20000AOUT!F16+TONT20000SEPT!F16+TONT20000OCT!F16+TONT20000NOV!F16</f>
        <v>12000</v>
      </c>
      <c r="J16" s="7">
        <f>TONT20000DEC2015!G16+TONT20000JANV!G16+TONT20000FEV!G16+TONT20000MARS!G16+TONT20000AVRIL!G16+TONT20000MAI!G16+TONT20000JUIN!G16+TONT20000JUIL!G16+TONT20000AOUT!G16+TONT20000SEPT!G16+TONT20000OCT!G16+TONT20000NOV!G16</f>
        <v>30000</v>
      </c>
      <c r="K16" s="7">
        <f>TONT20000DEC2015!H16+TONT20000JANV!H16+TONT20000FEV!H16+TONT20000MARS!H16+TONT20000AVRIL!H16+TONT20000MAI!H16+TONT20000JUIN!H16+TONT20000JUIL!H16+TONT20000AOUT!H16+TONT20000SEPT!H16+TONT20000OCT!H16+TONT20000NOV!H16</f>
        <v>0</v>
      </c>
      <c r="L16" s="7">
        <f>TONT20000DEC2015!I16+TONT20000JANV!I16+TONT20000FEV!I16+TONT20000MARS!I16+TONT20000AVRIL!I16+TONT20000MAI!I16+TONT20000JUIN!I16+TONT20000JUIL!I16+TONT20000AOUT!I16+TONT20000SEPT!I16+TONT20000OCT!I16+TONT20000NOV!I16</f>
        <v>156000</v>
      </c>
      <c r="M16" s="7">
        <f>TONT20000DEC2015!J16+TONT20000JANV!J16+TONT20000FEV!J16+TONT20000MARS!J16+TONT20000AVRIL!J16+TONT20000MAI!J16+TONT20000JUIN!J16+TONT20000JUIL!J16+TONT20000AOUT!J16+TONT20000SEPT!J16+TONT20000OCT!J16+TONT20000NOV!J16</f>
        <v>0</v>
      </c>
      <c r="N16" s="7">
        <f>TONT20000DEC2015!K16+TONT20000JANV!K16+TONT20000FEV!K16+TONT20000MARS!K16+TONT20000AVRIL!K16+TONT20000MAI!K16+TONT20000JUIN!K16+TONT20000JUIL!K16+TONT20000AOUT!K16+TONT20000SEPT!K16+TONT20000OCT!K16+TONT20000NOV!K16</f>
        <v>0</v>
      </c>
      <c r="O16" s="7">
        <f>TONT20000DEC2015!L16+TONT20000JANV!L16+TONT20000FEV!L16+TONT20000MARS!L16+TONT20000AVRIL!L16+TONT20000MAI!L16+TONT20000JUIN!L16+TONT20000JUIL!L16+TONT20000AOUT!L16+TONT20000SEPT!L16+TONT20000OCT!L16+TONT20000NOV!L16</f>
        <v>0</v>
      </c>
      <c r="P16" s="7">
        <f>TONT20000DEC2015!M16+TONT20000JANV!M16+TONT20000FEV!M16+TONT20000MARS!M16+TONT20000AVRIL!M16+TONT20000MAI!M16+TONT20000JUIN!M16+TONT20000JUIL!M16+TONT20000AOUT!M16+TONT20000SEPT!N16+TONT20000OCT!M16+TONT20000NOV!M16</f>
        <v>0</v>
      </c>
      <c r="Q16" s="7">
        <f>TONT20000DEC2015!M16+TONT20000JANV!M16+TONT20000FEV!M16+TONT20000MARS!M16+TONT20000AVRIL!M16+TONT20000MAI!M16+TONT20000JUIN!M16+TONT20000JUIL!M16+TONT20000AOUT!M16+TONT20000SEPT!N16+TONT20000OCT!M16+TONT20000NOV!M16</f>
        <v>0</v>
      </c>
      <c r="R16" s="7"/>
    </row>
    <row r="17" spans="1:18">
      <c r="A17" s="1" t="s">
        <v>23</v>
      </c>
      <c r="B17" s="1" t="str">
        <f>VLOOKUP(A17,LISTADHERENT!A$5:H$51,2)</f>
        <v>HOTCHO BENJAMIN</v>
      </c>
      <c r="C17" s="6">
        <v>390000</v>
      </c>
      <c r="D17" s="6">
        <v>8723</v>
      </c>
      <c r="E17" s="6"/>
      <c r="F17" s="7">
        <f t="shared" si="0"/>
        <v>338000</v>
      </c>
      <c r="G17" s="7">
        <f>TONT20000DEC2015!D17+TONT20000JANV!D17+TONT20000FEV!D17+TONT20000MARS!D17+TONT20000AVRIL!D17+TONT20000MAI!D17+TONT20000JUIN!D17+TONT20000JUIL!D17+TONT20000AOUT!D17+TONT20000SEPT!D17+TONT20000OCT!D17+TONT20000NOV!D17</f>
        <v>84000</v>
      </c>
      <c r="H17" s="7">
        <f>TONT20000DEC2015!E17+TONT20000JANV!E17+TONT20000FEV!E17+TONT20000MARS!E17+TONT20000AVRIL!E17+TONT20000MAI!E17+TONT20000JUIN!E17+TONT20000JUIL!E17+TONT20000AOUT!E17+TONT20000SEPT!E17+TONT20000OCT!E17+TONT20000NOV!E17</f>
        <v>6000</v>
      </c>
      <c r="I17" s="7">
        <f>TONT20000DEC2015!F17+TONT20000JANV!F17+TONT20000FEV!F17+TONT20000MARS!F17+TONT20000AVRIL!F17+TONT20000MAI!F17+TONT20000JUIN!F17+TONT20000JUIL!F17+TONT20000AOUT!F17+TONT20000SEPT!F17+TONT20000OCT!F17+TONT20000NOV!F17</f>
        <v>12000</v>
      </c>
      <c r="J17" s="7">
        <f>TONT20000DEC2015!G17+TONT20000JANV!G17+TONT20000FEV!G17+TONT20000MARS!G17+TONT20000AVRIL!G17+TONT20000MAI!G17+TONT20000JUIN!G17+TONT20000JUIL!G17+TONT20000AOUT!G17+TONT20000SEPT!G17+TONT20000OCT!G17+TONT20000NOV!G17</f>
        <v>30000</v>
      </c>
      <c r="K17" s="7">
        <f>TONT20000DEC2015!H17+TONT20000JANV!H17+TONT20000FEV!H17+TONT20000MARS!H17+TONT20000AVRIL!H17+TONT20000MAI!H17+TONT20000JUIN!H17+TONT20000JUIL!H17+TONT20000AOUT!H17+TONT20000SEPT!H17+TONT20000OCT!H17+TONT20000NOV!H17</f>
        <v>50000</v>
      </c>
      <c r="L17" s="7">
        <f>TONT20000DEC2015!I17+TONT20000JANV!I17+TONT20000FEV!I17+TONT20000MARS!I17+TONT20000AVRIL!I17+TONT20000MAI!I17+TONT20000JUIN!I17+TONT20000JUIL!I17+TONT20000AOUT!I17+TONT20000SEPT!I17+TONT20000OCT!I17+TONT20000NOV!I17</f>
        <v>156000</v>
      </c>
      <c r="M17" s="7">
        <f>TONT20000DEC2015!J17+TONT20000JANV!J17+TONT20000FEV!J17+TONT20000MARS!J17+TONT20000AVRIL!J17+TONT20000MAI!J17+TONT20000JUIN!J17+TONT20000JUIL!J17+TONT20000AOUT!J17+TONT20000SEPT!J17+TONT20000OCT!J17+TONT20000NOV!J17</f>
        <v>0</v>
      </c>
      <c r="N17" s="7">
        <f>TONT20000DEC2015!K17+TONT20000JANV!K17+TONT20000FEV!K17+TONT20000MARS!K17+TONT20000AVRIL!K17+TONT20000MAI!K17+TONT20000JUIN!K17+TONT20000JUIL!K17+TONT20000AOUT!K17+TONT20000SEPT!K17+TONT20000OCT!K17+TONT20000NOV!K17</f>
        <v>0</v>
      </c>
      <c r="O17" s="7">
        <f>TONT20000DEC2015!L17+TONT20000JANV!L17+TONT20000FEV!L17+TONT20000MARS!L17+TONT20000AVRIL!L17+TONT20000MAI!L17+TONT20000JUIN!L17+TONT20000JUIL!L17+TONT20000AOUT!L17+TONT20000SEPT!L17+TONT20000OCT!L17+TONT20000NOV!L17</f>
        <v>0</v>
      </c>
      <c r="P17" s="7">
        <f>TONT20000DEC2015!M17+TONT20000JANV!M17+TONT20000FEV!M17+TONT20000MARS!M17+TONT20000AVRIL!M17+TONT20000MAI!M17+TONT20000JUIN!M17+TONT20000JUIL!M17+TONT20000AOUT!M17+TONT20000SEPT!N17+TONT20000OCT!M17+TONT20000NOV!M17</f>
        <v>0</v>
      </c>
      <c r="Q17" s="7">
        <f>TONT20000DEC2015!M17+TONT20000JANV!M17+TONT20000FEV!M17+TONT20000MARS!M17+TONT20000AVRIL!M17+TONT20000MAI!M17+TONT20000JUIN!M17+TONT20000JUIL!M17+TONT20000AOUT!M17+TONT20000SEPT!N17+TONT20000OCT!M17+TONT20000NOV!M17</f>
        <v>0</v>
      </c>
      <c r="R17" s="7"/>
    </row>
    <row r="18" spans="1:18">
      <c r="A18" s="1" t="s">
        <v>24</v>
      </c>
      <c r="B18" s="1" t="str">
        <f>VLOOKUP(A18,LISTADHERENT!A$5:H$51,2)</f>
        <v>KEPHE DAVID</v>
      </c>
      <c r="C18" s="6">
        <v>0</v>
      </c>
      <c r="D18" s="6">
        <v>12795</v>
      </c>
      <c r="E18" s="6"/>
      <c r="F18" s="7">
        <f t="shared" si="0"/>
        <v>243000</v>
      </c>
      <c r="G18" s="7">
        <f>TONT20000DEC2015!D18+TONT20000JANV!D18+TONT20000FEV!D18+TONT20000MARS!D18+TONT20000AVRIL!D18+TONT20000MAI!D18+TONT20000JUIN!D18+TONT20000JUIL!D18+TONT20000AOUT!D18+TONT20000SEPT!D18+TONT20000OCT!D18+TONT20000NOV!D18</f>
        <v>39000</v>
      </c>
      <c r="H18" s="7">
        <f>TONT20000DEC2015!E18+TONT20000JANV!E18+TONT20000FEV!E18+TONT20000MARS!E18+TONT20000AVRIL!E18+TONT20000MAI!E18+TONT20000JUIN!E18+TONT20000JUIL!E18+TONT20000AOUT!E18+TONT20000SEPT!E18+TONT20000OCT!E18+TONT20000NOV!E18</f>
        <v>6000</v>
      </c>
      <c r="I18" s="7">
        <f>TONT20000DEC2015!F18+TONT20000JANV!F18+TONT20000FEV!F18+TONT20000MARS!F18+TONT20000AVRIL!F18+TONT20000MAI!F18+TONT20000JUIN!F18+TONT20000JUIL!F18+TONT20000AOUT!F18+TONT20000SEPT!F18+TONT20000OCT!F18+TONT20000NOV!F18</f>
        <v>12000</v>
      </c>
      <c r="J18" s="7">
        <f>TONT20000DEC2015!G18+TONT20000JANV!G18+TONT20000FEV!G18+TONT20000MARS!G18+TONT20000AVRIL!G18+TONT20000MAI!G18+TONT20000JUIN!G18+TONT20000JUIL!G18+TONT20000AOUT!G18+TONT20000SEPT!G18+TONT20000OCT!G18+TONT20000NOV!G18</f>
        <v>30000</v>
      </c>
      <c r="K18" s="7">
        <f>TONT20000DEC2015!H18+TONT20000JANV!H18+TONT20000FEV!H18+TONT20000MARS!H18+TONT20000AVRIL!H18+TONT20000MAI!H18+TONT20000JUIN!H18+TONT20000JUIL!H18+TONT20000AOUT!H18+TONT20000SEPT!H18+TONT20000OCT!H18+TONT20000NOV!H18</f>
        <v>0</v>
      </c>
      <c r="L18" s="7">
        <f>TONT20000DEC2015!I18+TONT20000JANV!I18+TONT20000FEV!I18+TONT20000MARS!I18+TONT20000AVRIL!I18+TONT20000MAI!I18+TONT20000JUIN!I18+TONT20000JUIL!I18+TONT20000AOUT!I18+TONT20000SEPT!I18+TONT20000OCT!I18+TONT20000NOV!I18</f>
        <v>156000</v>
      </c>
      <c r="M18" s="7">
        <f>TONT20000DEC2015!J18+TONT20000JANV!J18+TONT20000FEV!J18+TONT20000MARS!J18+TONT20000AVRIL!J18+TONT20000MAI!J18+TONT20000JUIN!J18+TONT20000JUIL!J18+TONT20000AOUT!J18+TONT20000SEPT!J18+TONT20000OCT!J18+TONT20000NOV!J18</f>
        <v>0</v>
      </c>
      <c r="N18" s="7">
        <f>TONT20000DEC2015!K18+TONT20000JANV!K18+TONT20000FEV!K18+TONT20000MARS!K18+TONT20000AVRIL!K18+TONT20000MAI!K18+TONT20000JUIN!K18+TONT20000JUIL!K18+TONT20000AOUT!K18+TONT20000SEPT!K18+TONT20000OCT!K18+TONT20000NOV!K18</f>
        <v>0</v>
      </c>
      <c r="O18" s="7">
        <f>TONT20000DEC2015!L18+TONT20000JANV!L18+TONT20000FEV!L18+TONT20000MARS!L18+TONT20000AVRIL!L18+TONT20000MAI!L18+TONT20000JUIN!L18+TONT20000JUIL!L18+TONT20000AOUT!L18+TONT20000SEPT!L18+TONT20000OCT!L18+TONT20000NOV!L18</f>
        <v>0</v>
      </c>
      <c r="P18" s="7">
        <f>TONT20000DEC2015!M18+TONT20000JANV!M18+TONT20000FEV!M18+TONT20000MARS!M18+TONT20000AVRIL!M18+TONT20000MAI!M18+TONT20000JUIN!M18+TONT20000JUIL!M18+TONT20000AOUT!M18+TONT20000SEPT!N18+TONT20000OCT!M18+TONT20000NOV!M18</f>
        <v>0</v>
      </c>
      <c r="Q18" s="7">
        <f>TONT20000DEC2015!M18+TONT20000JANV!M18+TONT20000FEV!M18+TONT20000MARS!M18+TONT20000AVRIL!M18+TONT20000MAI!M18+TONT20000JUIN!M18+TONT20000JUIL!M18+TONT20000AOUT!M18+TONT20000SEPT!N18+TONT20000OCT!M18+TONT20000NOV!M18</f>
        <v>0</v>
      </c>
      <c r="R18" s="7"/>
    </row>
    <row r="19" spans="1:18">
      <c r="A19" s="1" t="s">
        <v>25</v>
      </c>
      <c r="B19" s="1" t="str">
        <f>VLOOKUP(A19,LISTADHERENT!A$5:H$51,2)</f>
        <v>KEPSEU FRANCIS</v>
      </c>
      <c r="C19" s="6">
        <v>390000</v>
      </c>
      <c r="D19" s="6">
        <v>186997</v>
      </c>
      <c r="E19" s="6"/>
      <c r="F19" s="7">
        <f t="shared" si="0"/>
        <v>753000</v>
      </c>
      <c r="G19" s="7">
        <f>TONT20000DEC2015!D19+TONT20000JANV!D19+TONT20000FEV!D19+TONT20000MARS!D19+TONT20000AVRIL!D19+TONT20000MAI!D19+TONT20000JUIN!D19+TONT20000JUIL!D19+TONT20000AOUT!D19+TONT20000SEPT!D19+TONT20000OCT!D19+TONT20000NOV!D19</f>
        <v>549000</v>
      </c>
      <c r="H19" s="7">
        <f>TONT20000DEC2015!E19+TONT20000JANV!E19+TONT20000FEV!E19+TONT20000MARS!E19+TONT20000AVRIL!E19+TONT20000MAI!E19+TONT20000JUIN!E19+TONT20000JUIL!E19+TONT20000AOUT!E19+TONT20000SEPT!E19+TONT20000OCT!E19+TONT20000NOV!E19</f>
        <v>6000</v>
      </c>
      <c r="I19" s="7">
        <f>TONT20000DEC2015!F19+TONT20000JANV!F19+TONT20000FEV!F19+TONT20000MARS!F19+TONT20000AVRIL!F19+TONT20000MAI!F19+TONT20000JUIN!F19+TONT20000JUIL!F19+TONT20000AOUT!F19+TONT20000SEPT!F19+TONT20000OCT!F19+TONT20000NOV!F19</f>
        <v>12000</v>
      </c>
      <c r="J19" s="7">
        <f>TONT20000DEC2015!G19+TONT20000JANV!G19+TONT20000FEV!G19+TONT20000MARS!G19+TONT20000AVRIL!G19+TONT20000MAI!G19+TONT20000JUIN!G19+TONT20000JUIL!G19+TONT20000AOUT!G19+TONT20000SEPT!G19+TONT20000OCT!G19+TONT20000NOV!G19</f>
        <v>30000</v>
      </c>
      <c r="K19" s="7">
        <f>TONT20000DEC2015!H19+TONT20000JANV!H19+TONT20000FEV!H19+TONT20000MARS!H19+TONT20000AVRIL!H19+TONT20000MAI!H19+TONT20000JUIN!H19+TONT20000JUIL!H19+TONT20000AOUT!H19+TONT20000SEPT!H19+TONT20000OCT!H19+TONT20000NOV!H19</f>
        <v>0</v>
      </c>
      <c r="L19" s="7">
        <f>TONT20000DEC2015!I19+TONT20000JANV!I19+TONT20000FEV!I19+TONT20000MARS!I19+TONT20000AVRIL!I19+TONT20000MAI!I19+TONT20000JUIN!I19+TONT20000JUIL!I19+TONT20000AOUT!I19+TONT20000SEPT!I19+TONT20000OCT!I19+TONT20000NOV!I19</f>
        <v>156000</v>
      </c>
      <c r="M19" s="7">
        <f>TONT20000DEC2015!J19+TONT20000JANV!J19+TONT20000FEV!J19+TONT20000MARS!J19+TONT20000AVRIL!J19+TONT20000MAI!J19+TONT20000JUIN!J19+TONT20000JUIL!J19+TONT20000AOUT!J19+TONT20000SEPT!J19+TONT20000OCT!J19+TONT20000NOV!J19</f>
        <v>0</v>
      </c>
      <c r="N19" s="7">
        <f>TONT20000DEC2015!K19+TONT20000JANV!K19+TONT20000FEV!K19+TONT20000MARS!K19+TONT20000AVRIL!K19+TONT20000MAI!K19+TONT20000JUIN!K19+TONT20000JUIL!K19+TONT20000AOUT!K19+TONT20000SEPT!K19+TONT20000OCT!K19+TONT20000NOV!K19</f>
        <v>0</v>
      </c>
      <c r="O19" s="7">
        <f>TONT20000DEC2015!L19+TONT20000JANV!L19+TONT20000FEV!L19+TONT20000MARS!L19+TONT20000AVRIL!L19+TONT20000MAI!L19+TONT20000JUIN!L19+TONT20000JUIL!L19+TONT20000AOUT!L19+TONT20000SEPT!L19+TONT20000OCT!L19+TONT20000NOV!L19</f>
        <v>0</v>
      </c>
      <c r="P19" s="7">
        <f>TONT20000DEC2015!M19+TONT20000JANV!M19+TONT20000FEV!M19+TONT20000MARS!M19+TONT20000AVRIL!M19+TONT20000MAI!M19+TONT20000JUIN!M19+TONT20000JUIL!M19+TONT20000AOUT!M19+TONT20000SEPT!N19+TONT20000OCT!M19+TONT20000NOV!M19</f>
        <v>0</v>
      </c>
      <c r="Q19" s="7">
        <f>TONT20000DEC2015!M19+TONT20000JANV!M19+TONT20000FEV!M19+TONT20000MARS!M19+TONT20000AVRIL!M19+TONT20000MAI!M19+TONT20000JUIN!M19+TONT20000JUIL!M19+TONT20000AOUT!M19+TONT20000SEPT!N19+TONT20000OCT!M19+TONT20000NOV!M19</f>
        <v>0</v>
      </c>
      <c r="R19" s="7"/>
    </row>
    <row r="20" spans="1:18">
      <c r="A20" s="1" t="s">
        <v>26</v>
      </c>
      <c r="B20" s="1" t="str">
        <f>VLOOKUP(A20,LISTADHERENT!A$5:H$51,2)</f>
        <v>KOUAMOU EMMANUEL</v>
      </c>
      <c r="C20" s="6">
        <v>390000</v>
      </c>
      <c r="D20" s="6">
        <v>2723</v>
      </c>
      <c r="E20" s="6"/>
      <c r="F20" s="7">
        <f t="shared" si="0"/>
        <v>240000</v>
      </c>
      <c r="G20" s="7">
        <f>TONT20000DEC2015!D20+TONT20000JANV!D20+TONT20000FEV!D20+TONT20000MARS!D20+TONT20000AVRIL!D20+TONT20000MAI!D20+TONT20000JUIN!D20+TONT20000JUIL!D20+TONT20000AOUT!D20+TONT20000SEPT!D20+TONT20000OCT!D20+TONT20000NOV!D20</f>
        <v>36000</v>
      </c>
      <c r="H20" s="7">
        <f>TONT20000DEC2015!E20+TONT20000JANV!E20+TONT20000FEV!E20+TONT20000MARS!E20+TONT20000AVRIL!E20+TONT20000MAI!E20+TONT20000JUIN!E20+TONT20000JUIL!E20+TONT20000AOUT!E20+TONT20000SEPT!E20+TONT20000OCT!E20+TONT20000NOV!E20</f>
        <v>6000</v>
      </c>
      <c r="I20" s="7">
        <f>TONT20000DEC2015!F20+TONT20000JANV!F20+TONT20000FEV!F20+TONT20000MARS!F20+TONT20000AVRIL!F20+TONT20000MAI!F20+TONT20000JUIN!F20+TONT20000JUIL!F20+TONT20000AOUT!F20+TONT20000SEPT!F20+TONT20000OCT!F20+TONT20000NOV!F20</f>
        <v>12000</v>
      </c>
      <c r="J20" s="7">
        <f>TONT20000DEC2015!G20+TONT20000JANV!G20+TONT20000FEV!G20+TONT20000MARS!G20+TONT20000AVRIL!G20+TONT20000MAI!G20+TONT20000JUIN!G20+TONT20000JUIL!G20+TONT20000AOUT!G20+TONT20000SEPT!G20+TONT20000OCT!G20+TONT20000NOV!G20</f>
        <v>30000</v>
      </c>
      <c r="K20" s="7">
        <f>TONT20000DEC2015!H20+TONT20000JANV!H20+TONT20000FEV!H20+TONT20000MARS!H20+TONT20000AVRIL!H20+TONT20000MAI!H20+TONT20000JUIN!H20+TONT20000JUIL!H20+TONT20000AOUT!H20+TONT20000SEPT!H20+TONT20000OCT!H20+TONT20000NOV!H20</f>
        <v>0</v>
      </c>
      <c r="L20" s="7">
        <f>TONT20000DEC2015!I20+TONT20000JANV!I20+TONT20000FEV!I20+TONT20000MARS!I20+TONT20000AVRIL!I20+TONT20000MAI!I20+TONT20000JUIN!I20+TONT20000JUIL!I20+TONT20000AOUT!I20+TONT20000SEPT!I20+TONT20000OCT!I20+TONT20000NOV!I20</f>
        <v>156000</v>
      </c>
      <c r="M20" s="7">
        <f>TONT20000DEC2015!J20+TONT20000JANV!J20+TONT20000FEV!J20+TONT20000MARS!J20+TONT20000AVRIL!J20+TONT20000MAI!J20+TONT20000JUIN!J20+TONT20000JUIL!J20+TONT20000AOUT!J20+TONT20000SEPT!J20+TONT20000OCT!J20+TONT20000NOV!J20</f>
        <v>1000000</v>
      </c>
      <c r="N20" s="7">
        <f>TONT20000DEC2015!K20+TONT20000JANV!K20+TONT20000FEV!K20+TONT20000MARS!K20+TONT20000AVRIL!K20+TONT20000MAI!K20+TONT20000JUIN!K20+TONT20000JUIL!K20+TONT20000AOUT!K20+TONT20000SEPT!K20+TONT20000OCT!K20+TONT20000NOV!K20</f>
        <v>120000</v>
      </c>
      <c r="O20" s="7">
        <f>TONT20000DEC2015!L20+TONT20000JANV!L20+TONT20000FEV!L20+TONT20000MARS!L20+TONT20000AVRIL!L20+TONT20000MAI!L20+TONT20000JUIN!L20+TONT20000JUIL!L20+TONT20000AOUT!L20+TONT20000SEPT!L20+TONT20000OCT!L20+TONT20000NOV!L20</f>
        <v>0</v>
      </c>
      <c r="P20" s="7">
        <f>TONT20000DEC2015!M20+TONT20000JANV!M20+TONT20000FEV!M20+TONT20000MARS!M20+TONT20000AVRIL!M20+TONT20000MAI!M20+TONT20000JUIN!M20+TONT20000JUIL!M20+TONT20000AOUT!M20+TONT20000SEPT!N20+TONT20000OCT!M20+TONT20000NOV!M20</f>
        <v>0</v>
      </c>
      <c r="Q20" s="7">
        <f>TONT20000DEC2015!M20+TONT20000JANV!M20+TONT20000FEV!M20+TONT20000MARS!M20+TONT20000AVRIL!M20+TONT20000MAI!M20+TONT20000JUIN!M20+TONT20000JUIL!M20+TONT20000AOUT!M20+TONT20000SEPT!N20+TONT20000OCT!M20+TONT20000NOV!M20</f>
        <v>0</v>
      </c>
      <c r="R20" s="7"/>
    </row>
    <row r="21" spans="1:18" ht="12.75" customHeight="1">
      <c r="A21" s="1" t="s">
        <v>27</v>
      </c>
      <c r="B21" s="1" t="str">
        <f>VLOOKUP(A21,LISTADHERENT!A$5:H$51,2)</f>
        <v>KOUAMOU MOISE</v>
      </c>
      <c r="C21" s="6">
        <v>390000</v>
      </c>
      <c r="D21" s="6">
        <v>2099</v>
      </c>
      <c r="E21" s="6"/>
      <c r="F21" s="7">
        <f t="shared" si="0"/>
        <v>240000</v>
      </c>
      <c r="G21" s="7">
        <f>TONT20000DEC2015!D21+TONT20000JANV!D21+TONT20000FEV!D21+TONT20000MARS!D21+TONT20000AVRIL!D21+TONT20000MAI!D21+TONT20000JUIN!D21+TONT20000JUIL!D21+TONT20000AOUT!D21+TONT20000SEPT!D21+TONT20000OCT!D21+TONT20000NOV!D21</f>
        <v>36000</v>
      </c>
      <c r="H21" s="7">
        <f>TONT20000DEC2015!E21+TONT20000JANV!E21+TONT20000FEV!E21+TONT20000MARS!E21+TONT20000AVRIL!E21+TONT20000MAI!E21+TONT20000JUIN!E21+TONT20000JUIL!E21+TONT20000AOUT!E21+TONT20000SEPT!E21+TONT20000OCT!E21+TONT20000NOV!E21</f>
        <v>6000</v>
      </c>
      <c r="I21" s="7">
        <f>TONT20000DEC2015!F21+TONT20000JANV!F21+TONT20000FEV!F21+TONT20000MARS!F21+TONT20000AVRIL!F21+TONT20000MAI!F21+TONT20000JUIN!F21+TONT20000JUIL!F21+TONT20000AOUT!F21+TONT20000SEPT!F21+TONT20000OCT!F21+TONT20000NOV!F21</f>
        <v>12000</v>
      </c>
      <c r="J21" s="7">
        <f>TONT20000DEC2015!G21+TONT20000JANV!G21+TONT20000FEV!G21+TONT20000MARS!G21+TONT20000AVRIL!G21+TONT20000MAI!G21+TONT20000JUIN!G21+TONT20000JUIL!G21+TONT20000AOUT!G21+TONT20000SEPT!G21+TONT20000OCT!G21+TONT20000NOV!G21</f>
        <v>30000</v>
      </c>
      <c r="K21" s="7">
        <f>TONT20000DEC2015!H21+TONT20000JANV!H21+TONT20000FEV!H21+TONT20000MARS!H21+TONT20000AVRIL!H21+TONT20000MAI!H21+TONT20000JUIN!H21+TONT20000JUIL!H21+TONT20000AOUT!H21+TONT20000SEPT!H21+TONT20000OCT!H21+TONT20000NOV!H21</f>
        <v>0</v>
      </c>
      <c r="L21" s="7">
        <f>TONT20000DEC2015!I21+TONT20000JANV!I21+TONT20000FEV!I21+TONT20000MARS!I21+TONT20000AVRIL!I21+TONT20000MAI!I21+TONT20000JUIN!I21+TONT20000JUIL!I21+TONT20000AOUT!I21+TONT20000SEPT!I21+TONT20000OCT!I21+TONT20000NOV!I21</f>
        <v>156000</v>
      </c>
      <c r="M21" s="7">
        <f>TONT20000DEC2015!J21+TONT20000JANV!J21+TONT20000FEV!J21+TONT20000MARS!J21+TONT20000AVRIL!J21+TONT20000MAI!J21+TONT20000JUIN!J21+TONT20000JUIL!J21+TONT20000AOUT!J21+TONT20000SEPT!J21+TONT20000OCT!J21+TONT20000NOV!J21</f>
        <v>860000</v>
      </c>
      <c r="N21" s="7">
        <f>TONT20000DEC2015!K21+TONT20000JANV!K21+TONT20000FEV!K21+TONT20000MARS!K21+TONT20000AVRIL!K21+TONT20000MAI!K21+TONT20000JUIN!K21+TONT20000JUIL!K21+TONT20000AOUT!K21+TONT20000SEPT!K21+TONT20000OCT!K21+TONT20000NOV!K21</f>
        <v>97800</v>
      </c>
      <c r="O21" s="7">
        <f>TONT20000DEC2015!L21+TONT20000JANV!L21+TONT20000FEV!L21+TONT20000MARS!L21+TONT20000AVRIL!L21+TONT20000MAI!L21+TONT20000JUIN!L21+TONT20000JUIL!L21+TONT20000AOUT!L21+TONT20000SEPT!L21+TONT20000OCT!L21+TONT20000NOV!L21</f>
        <v>0</v>
      </c>
      <c r="P21" s="7">
        <f>TONT20000DEC2015!M21+TONT20000JANV!M21+TONT20000FEV!M21+TONT20000MARS!M21+TONT20000AVRIL!M21+TONT20000MAI!M21+TONT20000JUIN!M21+TONT20000JUIL!M21+TONT20000AOUT!M21+TONT20000SEPT!N21+TONT20000OCT!M21+TONT20000NOV!M21</f>
        <v>0</v>
      </c>
      <c r="Q21" s="7">
        <f>TONT20000DEC2015!M21+TONT20000JANV!M21+TONT20000FEV!M21+TONT20000MARS!M21+TONT20000AVRIL!M21+TONT20000MAI!M21+TONT20000JUIN!M21+TONT20000JUIL!M21+TONT20000AOUT!M21+TONT20000SEPT!N21+TONT20000OCT!M21+TONT20000NOV!M21</f>
        <v>0</v>
      </c>
      <c r="R21" s="7"/>
    </row>
    <row r="22" spans="1:18">
      <c r="A22" s="1" t="s">
        <v>28</v>
      </c>
      <c r="B22" s="1" t="str">
        <f>VLOOKUP(A22,LISTADHERENT!A$5:H$51,2)</f>
        <v>KOUAMOU VICTOR PEGUY</v>
      </c>
      <c r="C22" s="6">
        <v>390000</v>
      </c>
      <c r="D22" s="6">
        <v>36629</v>
      </c>
      <c r="E22" s="6"/>
      <c r="F22" s="7">
        <f t="shared" si="0"/>
        <v>239000</v>
      </c>
      <c r="G22" s="7">
        <f>TONT20000DEC2015!D22+TONT20000JANV!D22+TONT20000FEV!D22+TONT20000MARS!D22+TONT20000AVRIL!D22+TONT20000MAI!D22+TONT20000JUIN!D22+TONT20000JUIL!D22+TONT20000AOUT!D22+TONT20000SEPT!D22+TONT20000OCT!D22+TONT20000NOV!D22</f>
        <v>35000</v>
      </c>
      <c r="H22" s="7">
        <f>TONT20000DEC2015!E22+TONT20000JANV!E22+TONT20000FEV!E22+TONT20000MARS!E22+TONT20000AVRIL!E22+TONT20000MAI!E22+TONT20000JUIN!E22+TONT20000JUIL!E22+TONT20000AOUT!E22+TONT20000SEPT!E22+TONT20000OCT!E22+TONT20000NOV!E22</f>
        <v>6000</v>
      </c>
      <c r="I22" s="7">
        <f>TONT20000DEC2015!F22+TONT20000JANV!F22+TONT20000FEV!F22+TONT20000MARS!F22+TONT20000AVRIL!F22+TONT20000MAI!F22+TONT20000JUIN!F22+TONT20000JUIL!F22+TONT20000AOUT!F22+TONT20000SEPT!F22+TONT20000OCT!F22+TONT20000NOV!F22</f>
        <v>12000</v>
      </c>
      <c r="J22" s="7">
        <f>TONT20000DEC2015!G22+TONT20000JANV!G22+TONT20000FEV!G22+TONT20000MARS!G22+TONT20000AVRIL!G22+TONT20000MAI!G22+TONT20000JUIN!G22+TONT20000JUIL!G22+TONT20000AOUT!G22+TONT20000SEPT!G22+TONT20000OCT!G22+TONT20000NOV!G22</f>
        <v>30000</v>
      </c>
      <c r="K22" s="7">
        <f>TONT20000DEC2015!H22+TONT20000JANV!H22+TONT20000FEV!H22+TONT20000MARS!H22+TONT20000AVRIL!H22+TONT20000MAI!H22+TONT20000JUIN!H22+TONT20000JUIL!H22+TONT20000AOUT!H22+TONT20000SEPT!H22+TONT20000OCT!H22+TONT20000NOV!H22</f>
        <v>0</v>
      </c>
      <c r="L22" s="7">
        <f>TONT20000DEC2015!I22+TONT20000JANV!I22+TONT20000FEV!I22+TONT20000MARS!I22+TONT20000AVRIL!I22+TONT20000MAI!I22+TONT20000JUIN!I22+TONT20000JUIL!I22+TONT20000AOUT!I22+TONT20000SEPT!I22+TONT20000OCT!I22+TONT20000NOV!I22</f>
        <v>156000</v>
      </c>
      <c r="M22" s="7">
        <f>TONT20000DEC2015!J22+TONT20000JANV!J22+TONT20000FEV!J22+TONT20000MARS!J22+TONT20000AVRIL!J22+TONT20000MAI!J22+TONT20000JUIN!J22+TONT20000JUIL!J22+TONT20000AOUT!J22+TONT20000SEPT!J22+TONT20000OCT!J22+TONT20000NOV!J22</f>
        <v>1800000</v>
      </c>
      <c r="N22" s="7">
        <f>TONT20000DEC2015!K22+TONT20000JANV!K22+TONT20000FEV!K22+TONT20000MARS!K22+TONT20000AVRIL!K22+TONT20000MAI!K22+TONT20000JUIN!K22+TONT20000JUIL!K22+TONT20000AOUT!K22+TONT20000SEPT!K22+TONT20000OCT!K22+TONT20000NOV!K22</f>
        <v>128000</v>
      </c>
      <c r="O22" s="7">
        <f>TONT20000DEC2015!L22+TONT20000JANV!L22+TONT20000FEV!L22+TONT20000MARS!L22+TONT20000AVRIL!L22+TONT20000MAI!L22+TONT20000JUIN!L22+TONT20000JUIL!L22+TONT20000AOUT!L22+TONT20000SEPT!L22+TONT20000OCT!L22+TONT20000NOV!L22</f>
        <v>1000000</v>
      </c>
      <c r="P22" s="7">
        <f>TONT20000DEC2015!M22+TONT20000JANV!M22+TONT20000FEV!M22+TONT20000MARS!M22+TONT20000AVRIL!M22+TONT20000MAI!M22+TONT20000JUIN!M22+TONT20000JUIL!M22+TONT20000AOUT!M22+TONT20000SEPT!N22+TONT20000OCT!M22+TONT20000NOV!M22</f>
        <v>0</v>
      </c>
      <c r="Q22" s="7">
        <f>TONT20000DEC2015!M22+TONT20000JANV!M22+TONT20000FEV!M22+TONT20000MARS!M22+TONT20000AVRIL!M22+TONT20000MAI!M22+TONT20000JUIN!M22+TONT20000JUIL!M22+TONT20000AOUT!M22+TONT20000SEPT!N22+TONT20000OCT!M22+TONT20000NOV!M22</f>
        <v>0</v>
      </c>
      <c r="R22" s="7"/>
    </row>
    <row r="23" spans="1:18">
      <c r="A23" s="1" t="s">
        <v>29</v>
      </c>
      <c r="B23" s="1" t="str">
        <f>VLOOKUP(A23,LISTADHERENT!A$5:H$51,2)</f>
        <v>KOUATCHO MESSACK</v>
      </c>
      <c r="C23" s="6">
        <v>390000</v>
      </c>
      <c r="D23" s="6">
        <v>0</v>
      </c>
      <c r="E23" s="6"/>
      <c r="F23" s="7">
        <f t="shared" si="0"/>
        <v>240000</v>
      </c>
      <c r="G23" s="7">
        <f>TONT20000DEC2015!D23+TONT20000JANV!D23+TONT20000FEV!D23+TONT20000MARS!D23+TONT20000AVRIL!D23+TONT20000MAI!D23+TONT20000JUIN!D23+TONT20000JUIL!D23+TONT20000AOUT!D23+TONT20000SEPT!D23+TONT20000OCT!D23+TONT20000NOV!D23</f>
        <v>36000</v>
      </c>
      <c r="H23" s="7">
        <f>TONT20000DEC2015!E23+TONT20000JANV!E23+TONT20000FEV!E23+TONT20000MARS!E23+TONT20000AVRIL!E23+TONT20000MAI!E23+TONT20000JUIN!E23+TONT20000JUIL!E23+TONT20000AOUT!E23+TONT20000SEPT!E23+TONT20000OCT!E23+TONT20000NOV!E23</f>
        <v>6000</v>
      </c>
      <c r="I23" s="7">
        <f>TONT20000DEC2015!F23+TONT20000JANV!F23+TONT20000FEV!F23+TONT20000MARS!F23+TONT20000AVRIL!F23+TONT20000MAI!F23+TONT20000JUIN!F23+TONT20000JUIL!F23+TONT20000AOUT!F23+TONT20000SEPT!F23+TONT20000OCT!F23+TONT20000NOV!F23</f>
        <v>12000</v>
      </c>
      <c r="J23" s="7">
        <f>TONT20000DEC2015!G23+TONT20000JANV!G23+TONT20000FEV!G23+TONT20000MARS!G23+TONT20000AVRIL!G23+TONT20000MAI!G23+TONT20000JUIN!G23+TONT20000JUIL!G23+TONT20000AOUT!G23+TONT20000SEPT!G23+TONT20000OCT!G23+TONT20000NOV!G23</f>
        <v>30000</v>
      </c>
      <c r="K23" s="7">
        <f>TONT20000DEC2015!H23+TONT20000JANV!H23+TONT20000FEV!H23+TONT20000MARS!H23+TONT20000AVRIL!H23+TONT20000MAI!H23+TONT20000JUIN!H23+TONT20000JUIL!H23+TONT20000AOUT!H23+TONT20000SEPT!H23+TONT20000OCT!H23+TONT20000NOV!H23</f>
        <v>0</v>
      </c>
      <c r="L23" s="7">
        <f>TONT20000DEC2015!I23+TONT20000JANV!I23+TONT20000FEV!I23+TONT20000MARS!I23+TONT20000AVRIL!I23+TONT20000MAI!I23+TONT20000JUIN!I23+TONT20000JUIL!I23+TONT20000AOUT!I23+TONT20000SEPT!I23+TONT20000OCT!I23+TONT20000NOV!I23</f>
        <v>156000</v>
      </c>
      <c r="M23" s="7">
        <f>TONT20000DEC2015!J23+TONT20000JANV!J23+TONT20000FEV!J23+TONT20000MARS!J23+TONT20000AVRIL!J23+TONT20000MAI!J23+TONT20000JUIN!J23+TONT20000JUIL!J23+TONT20000AOUT!J23+TONT20000SEPT!J23+TONT20000OCT!J23+TONT20000NOV!J23</f>
        <v>1600000</v>
      </c>
      <c r="N23" s="7">
        <f>TONT20000DEC2015!K23+TONT20000JANV!K23+TONT20000FEV!K23+TONT20000MARS!K23+TONT20000AVRIL!K23+TONT20000MAI!K23+TONT20000JUIN!K23+TONT20000JUIL!K23+TONT20000AOUT!K23+TONT20000SEPT!K23+TONT20000OCT!K23+TONT20000NOV!K23</f>
        <v>192000</v>
      </c>
      <c r="O23" s="7">
        <f>TONT20000DEC2015!L23+TONT20000JANV!L23+TONT20000FEV!L23+TONT20000MARS!L23+TONT20000AVRIL!L23+TONT20000MAI!L23+TONT20000JUIN!L23+TONT20000JUIL!L23+TONT20000AOUT!L23+TONT20000SEPT!L23+TONT20000OCT!L23+TONT20000NOV!L23</f>
        <v>0</v>
      </c>
      <c r="P23" s="7">
        <f>TONT20000DEC2015!M23+TONT20000JANV!M23+TONT20000FEV!M23+TONT20000MARS!M23+TONT20000AVRIL!M23+TONT20000MAI!M23+TONT20000JUIN!M23+TONT20000JUIL!M23+TONT20000AOUT!M23+TONT20000SEPT!N23+TONT20000OCT!M23+TONT20000NOV!M23</f>
        <v>0</v>
      </c>
      <c r="Q23" s="7">
        <f>TONT20000DEC2015!M23+TONT20000JANV!M23+TONT20000FEV!M23+TONT20000MARS!M23+TONT20000AVRIL!M23+TONT20000MAI!M23+TONT20000JUIN!M23+TONT20000JUIL!M23+TONT20000AOUT!M23+TONT20000SEPT!N23+TONT20000OCT!M23+TONT20000NOV!M23</f>
        <v>0</v>
      </c>
      <c r="R23" s="7"/>
    </row>
    <row r="24" spans="1:18">
      <c r="A24" s="1" t="s">
        <v>30</v>
      </c>
      <c r="B24" s="1" t="str">
        <f>VLOOKUP(A24,LISTADHERENT!A$5:H$51,2)</f>
        <v>LOWE JEAN</v>
      </c>
      <c r="C24" s="6">
        <v>390000</v>
      </c>
      <c r="D24" s="6">
        <v>4331</v>
      </c>
      <c r="E24" s="6"/>
      <c r="F24" s="7">
        <f t="shared" si="0"/>
        <v>240000</v>
      </c>
      <c r="G24" s="7">
        <f>TONT20000DEC2015!D24+TONT20000JANV!D24+TONT20000FEV!D24+TONT20000MARS!D24+TONT20000AVRIL!D24+TONT20000MAI!D24+TONT20000JUIN!D24+TONT20000JUIL!D24+TONT20000AOUT!D24+TONT20000SEPT!D24+TONT20000OCT!D24+TONT20000NOV!D24</f>
        <v>36000</v>
      </c>
      <c r="H24" s="7">
        <f>TONT20000DEC2015!E24+TONT20000JANV!E24+TONT20000FEV!E24+TONT20000MARS!E24+TONT20000AVRIL!E24+TONT20000MAI!E24+TONT20000JUIN!E24+TONT20000JUIL!E24+TONT20000AOUT!E24+TONT20000SEPT!E24+TONT20000OCT!E24+TONT20000NOV!E24</f>
        <v>6000</v>
      </c>
      <c r="I24" s="7">
        <f>TONT20000DEC2015!F24+TONT20000JANV!F24+TONT20000FEV!F24+TONT20000MARS!F24+TONT20000AVRIL!F24+TONT20000MAI!F24+TONT20000JUIN!F24+TONT20000JUIL!F24+TONT20000AOUT!F24+TONT20000SEPT!F24+TONT20000OCT!F24+TONT20000NOV!F24</f>
        <v>12000</v>
      </c>
      <c r="J24" s="7">
        <f>TONT20000DEC2015!G24+TONT20000JANV!G24+TONT20000FEV!G24+TONT20000MARS!G24+TONT20000AVRIL!G24+TONT20000MAI!G24+TONT20000JUIN!G24+TONT20000JUIL!G24+TONT20000AOUT!G24+TONT20000SEPT!G24+TONT20000OCT!G24+TONT20000NOV!G24</f>
        <v>30000</v>
      </c>
      <c r="K24" s="7">
        <f>TONT20000DEC2015!H24+TONT20000JANV!H24+TONT20000FEV!H24+TONT20000MARS!H24+TONT20000AVRIL!H24+TONT20000MAI!H24+TONT20000JUIN!H24+TONT20000JUIL!H24+TONT20000AOUT!H24+TONT20000SEPT!H24+TONT20000OCT!H24+TONT20000NOV!H24</f>
        <v>0</v>
      </c>
      <c r="L24" s="7">
        <f>TONT20000DEC2015!I24+TONT20000JANV!I24+TONT20000FEV!I24+TONT20000MARS!I24+TONT20000AVRIL!I24+TONT20000MAI!I24+TONT20000JUIN!I24+TONT20000JUIL!I24+TONT20000AOUT!I24+TONT20000SEPT!I24+TONT20000OCT!I24+TONT20000NOV!I24</f>
        <v>156000</v>
      </c>
      <c r="M24" s="7">
        <f>TONT20000DEC2015!J24+TONT20000JANV!J24+TONT20000FEV!J24+TONT20000MARS!J24+TONT20000AVRIL!J24+TONT20000MAI!J24+TONT20000JUIN!J24+TONT20000JUIL!J24+TONT20000AOUT!J24+TONT20000SEPT!J24+TONT20000OCT!J24+TONT20000NOV!J24</f>
        <v>240000</v>
      </c>
      <c r="N24" s="7">
        <f>TONT20000DEC2015!K24+TONT20000JANV!K24+TONT20000FEV!K24+TONT20000MARS!K24+TONT20000AVRIL!K24+TONT20000MAI!K24+TONT20000JUIN!K24+TONT20000JUIL!K24+TONT20000AOUT!K24+TONT20000SEPT!K24+TONT20000OCT!K24+TONT20000NOV!K24</f>
        <v>7200</v>
      </c>
      <c r="O24" s="7">
        <f>TONT20000DEC2015!L24+TONT20000JANV!L24+TONT20000FEV!L24+TONT20000MARS!L24+TONT20000AVRIL!L24+TONT20000MAI!L24+TONT20000JUIN!L24+TONT20000JUIL!L24+TONT20000AOUT!L24+TONT20000SEPT!L24+TONT20000OCT!L24+TONT20000NOV!L24</f>
        <v>160000</v>
      </c>
      <c r="P24" s="7">
        <f>TONT20000DEC2015!M24+TONT20000JANV!M24+TONT20000FEV!M24+TONT20000MARS!M24+TONT20000AVRIL!M24+TONT20000MAI!M24+TONT20000JUIN!M24+TONT20000JUIL!M24+TONT20000AOUT!M24+TONT20000SEPT!N24+TONT20000OCT!M24+TONT20000NOV!M24</f>
        <v>0</v>
      </c>
      <c r="Q24" s="7">
        <f>TONT20000DEC2015!M24+TONT20000JANV!M24+TONT20000FEV!M24+TONT20000MARS!M24+TONT20000AVRIL!M24+TONT20000MAI!M24+TONT20000JUIN!M24+TONT20000JUIL!M24+TONT20000AOUT!M24+TONT20000SEPT!N24+TONT20000OCT!M24+TONT20000NOV!M24</f>
        <v>0</v>
      </c>
      <c r="R24" s="7"/>
    </row>
    <row r="25" spans="1:18">
      <c r="A25" s="1" t="s">
        <v>31</v>
      </c>
      <c r="B25" s="1" t="str">
        <f>VLOOKUP(A25,LISTADHERENT!A$5:H$51,2)</f>
        <v>NANKAM APPOLINAIRE</v>
      </c>
      <c r="C25" s="6">
        <v>390000</v>
      </c>
      <c r="D25" s="6">
        <v>4411</v>
      </c>
      <c r="E25" s="6"/>
      <c r="F25" s="7">
        <f t="shared" si="0"/>
        <v>245000</v>
      </c>
      <c r="G25" s="7">
        <f>TONT20000DEC2015!D25+TONT20000JANV!D25+TONT20000FEV!D25+TONT20000MARS!D25+TONT20000AVRIL!D25+TONT20000MAI!D25+TONT20000JUIN!D25+TONT20000JUIL!D25+TONT20000AOUT!D25+TONT20000SEPT!D25+TONT20000OCT!D25+TONT20000NOV!D25</f>
        <v>41000</v>
      </c>
      <c r="H25" s="7">
        <f>TONT20000DEC2015!E25+TONT20000JANV!E25+TONT20000FEV!E25+TONT20000MARS!E25+TONT20000AVRIL!E25+TONT20000MAI!E25+TONT20000JUIN!E25+TONT20000JUIL!E25+TONT20000AOUT!E25+TONT20000SEPT!E25+TONT20000OCT!E25+TONT20000NOV!E25</f>
        <v>6000</v>
      </c>
      <c r="I25" s="7">
        <f>TONT20000DEC2015!F25+TONT20000JANV!F25+TONT20000FEV!F25+TONT20000MARS!F25+TONT20000AVRIL!F25+TONT20000MAI!F25+TONT20000JUIN!F25+TONT20000JUIL!F25+TONT20000AOUT!F25+TONT20000SEPT!F25+TONT20000OCT!F25+TONT20000NOV!F25</f>
        <v>12000</v>
      </c>
      <c r="J25" s="7">
        <f>TONT20000DEC2015!G25+TONT20000JANV!G25+TONT20000FEV!G25+TONT20000MARS!G25+TONT20000AVRIL!G25+TONT20000MAI!G25+TONT20000JUIN!G25+TONT20000JUIL!G25+TONT20000AOUT!G25+TONT20000SEPT!G25+TONT20000OCT!G25+TONT20000NOV!G25</f>
        <v>30000</v>
      </c>
      <c r="K25" s="7">
        <f>TONT20000DEC2015!H25+TONT20000JANV!H25+TONT20000FEV!H25+TONT20000MARS!H25+TONT20000AVRIL!H25+TONT20000MAI!H25+TONT20000JUIN!H25+TONT20000JUIL!H25+TONT20000AOUT!H25+TONT20000SEPT!H25+TONT20000OCT!H25+TONT20000NOV!H25</f>
        <v>0</v>
      </c>
      <c r="L25" s="7">
        <f>TONT20000DEC2015!I25+TONT20000JANV!I25+TONT20000FEV!I25+TONT20000MARS!I25+TONT20000AVRIL!I25+TONT20000MAI!I25+TONT20000JUIN!I25+TONT20000JUIL!I25+TONT20000AOUT!I25+TONT20000SEPT!I25+TONT20000OCT!I25+TONT20000NOV!I25</f>
        <v>156000</v>
      </c>
      <c r="M25" s="7">
        <f>TONT20000DEC2015!J25+TONT20000JANV!J25+TONT20000FEV!J25+TONT20000MARS!J25+TONT20000AVRIL!J25+TONT20000MAI!J25+TONT20000JUIN!J25+TONT20000JUIL!J25+TONT20000AOUT!J25+TONT20000SEPT!J25+TONT20000OCT!J25+TONT20000NOV!J25</f>
        <v>1000000</v>
      </c>
      <c r="N25" s="7">
        <f>TONT20000DEC2015!K25+TONT20000JANV!K25+TONT20000FEV!K25+TONT20000MARS!K25+TONT20000AVRIL!K25+TONT20000MAI!K25+TONT20000JUIN!K25+TONT20000JUIL!K25+TONT20000AOUT!K25+TONT20000SEPT!K25+TONT20000OCT!K25+TONT20000NOV!K25</f>
        <v>120000</v>
      </c>
      <c r="O25" s="7">
        <f>TONT20000DEC2015!L25+TONT20000JANV!L25+TONT20000FEV!L25+TONT20000MARS!L25+TONT20000AVRIL!L25+TONT20000MAI!L25+TONT20000JUIN!L25+TONT20000JUIL!L25+TONT20000AOUT!L25+TONT20000SEPT!L25+TONT20000OCT!L25+TONT20000NOV!L25</f>
        <v>0</v>
      </c>
      <c r="P25" s="7">
        <f>TONT20000DEC2015!M25+TONT20000JANV!M25+TONT20000FEV!M25+TONT20000MARS!M25+TONT20000AVRIL!M25+TONT20000MAI!M25+TONT20000JUIN!M25+TONT20000JUIL!M25+TONT20000AOUT!M25+TONT20000SEPT!N25+TONT20000OCT!M25+TONT20000NOV!M25</f>
        <v>0</v>
      </c>
      <c r="Q25" s="7">
        <f>TONT20000DEC2015!M25+TONT20000JANV!M25+TONT20000FEV!M25+TONT20000MARS!M25+TONT20000AVRIL!M25+TONT20000MAI!M25+TONT20000JUIN!M25+TONT20000JUIL!M25+TONT20000AOUT!M25+TONT20000SEPT!N25+TONT20000OCT!M25+TONT20000NOV!M25</f>
        <v>0</v>
      </c>
      <c r="R25" s="7"/>
    </row>
    <row r="26" spans="1:18">
      <c r="A26" s="1" t="s">
        <v>32</v>
      </c>
      <c r="B26" s="1" t="str">
        <f>VLOOKUP(A26,LISTADHERENT!A$5:H$51,2)</f>
        <v>NDJOMO ETIENNE</v>
      </c>
      <c r="C26" s="6">
        <v>390000</v>
      </c>
      <c r="D26" s="6">
        <v>2060</v>
      </c>
      <c r="E26" s="6"/>
      <c r="F26" s="7">
        <f t="shared" si="0"/>
        <v>295000</v>
      </c>
      <c r="G26" s="7">
        <f>TONT20000DEC2015!D26+TONT20000JANV!D26+TONT20000FEV!D26+TONT20000MARS!D26+TONT20000AVRIL!D26+TONT20000MAI!D26+TONT20000JUIN!D26+TONT20000JUIL!D26+TONT20000AOUT!D26+TONT20000SEPT!D26+TONT20000OCT!D26+TONT20000NOV!D26</f>
        <v>91000</v>
      </c>
      <c r="H26" s="7">
        <f>TONT20000DEC2015!E26+TONT20000JANV!E26+TONT20000FEV!E26+TONT20000MARS!E26+TONT20000AVRIL!E26+TONT20000MAI!E26+TONT20000JUIN!E26+TONT20000JUIL!E26+TONT20000AOUT!E26+TONT20000SEPT!E26+TONT20000OCT!E26+TONT20000NOV!E26</f>
        <v>6000</v>
      </c>
      <c r="I26" s="7">
        <f>TONT20000DEC2015!F26+TONT20000JANV!F26+TONT20000FEV!F26+TONT20000MARS!F26+TONT20000AVRIL!F26+TONT20000MAI!F26+TONT20000JUIN!F26+TONT20000JUIL!F26+TONT20000AOUT!F26+TONT20000SEPT!F26+TONT20000OCT!F26+TONT20000NOV!F26</f>
        <v>12000</v>
      </c>
      <c r="J26" s="7">
        <f>TONT20000DEC2015!G26+TONT20000JANV!G26+TONT20000FEV!G26+TONT20000MARS!G26+TONT20000AVRIL!G26+TONT20000MAI!G26+TONT20000JUIN!G26+TONT20000JUIL!G26+TONT20000AOUT!G26+TONT20000SEPT!G26+TONT20000OCT!G26+TONT20000NOV!G26</f>
        <v>30000</v>
      </c>
      <c r="K26" s="7">
        <f>TONT20000DEC2015!H26+TONT20000JANV!H26+TONT20000FEV!H26+TONT20000MARS!H26+TONT20000AVRIL!H26+TONT20000MAI!H26+TONT20000JUIN!H26+TONT20000JUIL!H26+TONT20000AOUT!H26+TONT20000SEPT!H26+TONT20000OCT!H26+TONT20000NOV!H26</f>
        <v>0</v>
      </c>
      <c r="L26" s="7">
        <f>TONT20000DEC2015!I26+TONT20000JANV!I26+TONT20000FEV!I26+TONT20000MARS!I26+TONT20000AVRIL!I26+TONT20000MAI!I26+TONT20000JUIN!I26+TONT20000JUIL!I26+TONT20000AOUT!I26+TONT20000SEPT!I26+TONT20000OCT!I26+TONT20000NOV!I26</f>
        <v>156000</v>
      </c>
      <c r="M26" s="7">
        <f>TONT20000DEC2015!J26+TONT20000JANV!J26+TONT20000FEV!J26+TONT20000MARS!J26+TONT20000AVRIL!J26+TONT20000MAI!J26+TONT20000JUIN!J26+TONT20000JUIL!J26+TONT20000AOUT!J26+TONT20000SEPT!J26+TONT20000OCT!J26+TONT20000NOV!J26</f>
        <v>1600000</v>
      </c>
      <c r="N26" s="7">
        <f>TONT20000DEC2015!K26+TONT20000JANV!K26+TONT20000FEV!K26+TONT20000MARS!K26+TONT20000AVRIL!K26+TONT20000MAI!K26+TONT20000JUIN!K26+TONT20000JUIL!K26+TONT20000AOUT!K26+TONT20000SEPT!K26+TONT20000OCT!K26+TONT20000NOV!K26</f>
        <v>48000</v>
      </c>
      <c r="O26" s="7">
        <f>TONT20000DEC2015!L26+TONT20000JANV!L26+TONT20000FEV!L26+TONT20000MARS!L26+TONT20000AVRIL!L26+TONT20000MAI!L26+TONT20000JUIN!L26+TONT20000JUIL!L26+TONT20000AOUT!L26+TONT20000SEPT!L26+TONT20000OCT!L26+TONT20000NOV!L26</f>
        <v>1200000</v>
      </c>
      <c r="P26" s="7">
        <f>TONT20000DEC2015!M26+TONT20000JANV!M26+TONT20000FEV!M26+TONT20000MARS!M26+TONT20000AVRIL!M26+TONT20000MAI!M26+TONT20000JUIN!M26+TONT20000JUIL!M26+TONT20000AOUT!M26+TONT20000SEPT!N26+TONT20000OCT!M26+TONT20000NOV!M26</f>
        <v>0</v>
      </c>
      <c r="Q26" s="7">
        <f>TONT20000DEC2015!M26+TONT20000JANV!M26+TONT20000FEV!M26+TONT20000MARS!M26+TONT20000AVRIL!M26+TONT20000MAI!M26+TONT20000JUIN!M26+TONT20000JUIL!M26+TONT20000AOUT!M26+TONT20000SEPT!N26+TONT20000OCT!M26+TONT20000NOV!M26</f>
        <v>0</v>
      </c>
      <c r="R26" s="7"/>
    </row>
    <row r="27" spans="1:18">
      <c r="A27" s="1" t="s">
        <v>33</v>
      </c>
      <c r="B27" s="1" t="str">
        <f>VLOOKUP(A27,LISTADHERENT!A$5:H$51,2)</f>
        <v>NDOMBOU JEAN CLAUDE</v>
      </c>
      <c r="C27" s="6">
        <v>0</v>
      </c>
      <c r="D27" s="6">
        <v>0</v>
      </c>
      <c r="E27" s="6"/>
      <c r="F27" s="7">
        <f t="shared" si="0"/>
        <v>0</v>
      </c>
      <c r="G27" s="7">
        <f>TONT20000DEC2015!D27+TONT20000JANV!D27+TONT20000FEV!D27+TONT20000MARS!D27+TONT20000AVRIL!D27+TONT20000MAI!D27+TONT20000JUIN!D27+TONT20000JUIL!D27+TONT20000AOUT!D27+TONT20000SEPT!D27+TONT20000OCT!D27+TONT20000NOV!D27</f>
        <v>0</v>
      </c>
      <c r="H27" s="7">
        <f>TONT20000DEC2015!E27+TONT20000JANV!E27+TONT20000FEV!E27+TONT20000MARS!E27+TONT20000AVRIL!E27+TONT20000MAI!E27+TONT20000JUIN!E27+TONT20000JUIL!E27+TONT20000AOUT!E27+TONT20000SEPT!E27+TONT20000OCT!E27+TONT20000NOV!E27</f>
        <v>0</v>
      </c>
      <c r="I27" s="7">
        <f>TONT20000DEC2015!F27+TONT20000JANV!F27+TONT20000FEV!F27+TONT20000MARS!F27+TONT20000AVRIL!F27+TONT20000MAI!F27+TONT20000JUIN!F27+TONT20000JUIL!F27+TONT20000AOUT!F27+TONT20000SEPT!F27+TONT20000OCT!F27+TONT20000NOV!F27</f>
        <v>0</v>
      </c>
      <c r="J27" s="7">
        <f>TONT20000DEC2015!G27+TONT20000JANV!G27+TONT20000FEV!G27+TONT20000MARS!G27+TONT20000AVRIL!G27+TONT20000MAI!G27+TONT20000JUIN!G27+TONT20000JUIL!G27+TONT20000AOUT!G27+TONT20000SEPT!G27+TONT20000OCT!G27+TONT20000NOV!G27</f>
        <v>0</v>
      </c>
      <c r="K27" s="7">
        <f>TONT20000DEC2015!H27+TONT20000JANV!H27+TONT20000FEV!H27+TONT20000MARS!H27+TONT20000AVRIL!H27+TONT20000MAI!H27+TONT20000JUIN!H27+TONT20000JUIL!H27+TONT20000AOUT!H27+TONT20000SEPT!H27+TONT20000OCT!H27+TONT20000NOV!H27</f>
        <v>0</v>
      </c>
      <c r="L27" s="7">
        <f>TONT20000DEC2015!I27+TONT20000JANV!I27+TONT20000FEV!I27+TONT20000MARS!I27+TONT20000AVRIL!I27+TONT20000MAI!I27+TONT20000JUIN!I27+TONT20000JUIL!I27+TONT20000AOUT!I27+TONT20000SEPT!I27+TONT20000OCT!I27+TONT20000NOV!I27</f>
        <v>0</v>
      </c>
      <c r="M27" s="7">
        <f>TONT20000DEC2015!J27+TONT20000JANV!J27+TONT20000FEV!J27+TONT20000MARS!J27+TONT20000AVRIL!J27+TONT20000MAI!J27+TONT20000JUIN!J27+TONT20000JUIL!J27+TONT20000AOUT!J27+TONT20000SEPT!J27+TONT20000OCT!J27+TONT20000NOV!J27</f>
        <v>0</v>
      </c>
      <c r="N27" s="7">
        <f>TONT20000DEC2015!K27+TONT20000JANV!K27+TONT20000FEV!K27+TONT20000MARS!K27+TONT20000AVRIL!K27+TONT20000MAI!K27+TONT20000JUIN!K27+TONT20000JUIL!K27+TONT20000AOUT!K27+TONT20000SEPT!K27+TONT20000OCT!K27+TONT20000NOV!K27</f>
        <v>0</v>
      </c>
      <c r="O27" s="7">
        <f>TONT20000DEC2015!L27+TONT20000JANV!L27+TONT20000FEV!L27+TONT20000MARS!L27+TONT20000AVRIL!L27+TONT20000MAI!L27+TONT20000JUIN!L27+TONT20000JUIL!L27+TONT20000AOUT!L27+TONT20000SEPT!L27+TONT20000OCT!L27+TONT20000NOV!L27</f>
        <v>0</v>
      </c>
      <c r="P27" s="7">
        <f>TONT20000DEC2015!M27+TONT20000JANV!M27+TONT20000FEV!M27+TONT20000MARS!M27+TONT20000AVRIL!M27+TONT20000MAI!M27+TONT20000JUIN!M27+TONT20000JUIL!M27+TONT20000AOUT!M27+TONT20000SEPT!N27+TONT20000OCT!M27+TONT20000NOV!M27</f>
        <v>0</v>
      </c>
      <c r="Q27" s="7">
        <f>TONT20000DEC2015!M27+TONT20000JANV!M27+TONT20000FEV!M27+TONT20000MARS!M27+TONT20000AVRIL!M27+TONT20000MAI!M27+TONT20000JUIN!M27+TONT20000JUIL!M27+TONT20000AOUT!M27+TONT20000SEPT!N27+TONT20000OCT!M27+TONT20000NOV!M27</f>
        <v>0</v>
      </c>
      <c r="R27" s="7"/>
    </row>
    <row r="28" spans="1:18">
      <c r="A28" s="1" t="s">
        <v>34</v>
      </c>
      <c r="B28" s="1" t="str">
        <f>VLOOKUP(A28,LISTADHERENT!A$5:H$51,2)</f>
        <v>NGONDIEP CLAUDE</v>
      </c>
      <c r="C28" s="6">
        <v>390000</v>
      </c>
      <c r="D28" s="6">
        <v>179574</v>
      </c>
      <c r="E28" s="6"/>
      <c r="F28" s="7">
        <f t="shared" si="0"/>
        <v>240000</v>
      </c>
      <c r="G28" s="7">
        <f>TONT20000DEC2015!D28+TONT20000JANV!D28+TONT20000FEV!D28+TONT20000MARS!D28+TONT20000AVRIL!D28+TONT20000MAI!D28+TONT20000JUIN!D28+TONT20000JUIL!D28+TONT20000AOUT!D28+TONT20000SEPT!D28+TONT20000OCT!D28+TONT20000NOV!D28</f>
        <v>36000</v>
      </c>
      <c r="H28" s="7">
        <f>TONT20000DEC2015!E28+TONT20000JANV!E28+TONT20000FEV!E28+TONT20000MARS!E28+TONT20000AVRIL!E28+TONT20000MAI!E28+TONT20000JUIN!E28+TONT20000JUIL!E28+TONT20000AOUT!E28+TONT20000SEPT!E28+TONT20000OCT!E28+TONT20000NOV!E28</f>
        <v>6000</v>
      </c>
      <c r="I28" s="7">
        <f>TONT20000DEC2015!F28+TONT20000JANV!F28+TONT20000FEV!F28+TONT20000MARS!F28+TONT20000AVRIL!F28+TONT20000MAI!F28+TONT20000JUIN!F28+TONT20000JUIL!F28+TONT20000AOUT!F28+TONT20000SEPT!F28+TONT20000OCT!F28+TONT20000NOV!F28</f>
        <v>12000</v>
      </c>
      <c r="J28" s="7">
        <f>TONT20000DEC2015!G28+TONT20000JANV!G28+TONT20000FEV!G28+TONT20000MARS!G28+TONT20000AVRIL!G28+TONT20000MAI!G28+TONT20000JUIN!G28+TONT20000JUIL!G28+TONT20000AOUT!G28+TONT20000SEPT!G28+TONT20000OCT!G28+TONT20000NOV!G28</f>
        <v>30000</v>
      </c>
      <c r="K28" s="7">
        <f>TONT20000DEC2015!H28+TONT20000JANV!H28+TONT20000FEV!H28+TONT20000MARS!H28+TONT20000AVRIL!H28+TONT20000MAI!H28+TONT20000JUIN!H28+TONT20000JUIL!H28+TONT20000AOUT!H28+TONT20000SEPT!H28+TONT20000OCT!H28+TONT20000NOV!H28</f>
        <v>0</v>
      </c>
      <c r="L28" s="7">
        <f>TONT20000DEC2015!I28+TONT20000JANV!I28+TONT20000FEV!I28+TONT20000MARS!I28+TONT20000AVRIL!I28+TONT20000MAI!I28+TONT20000JUIN!I28+TONT20000JUIL!I28+TONT20000AOUT!I28+TONT20000SEPT!I28+TONT20000OCT!I28+TONT20000NOV!I28</f>
        <v>156000</v>
      </c>
      <c r="M28" s="7">
        <f>TONT20000DEC2015!J28+TONT20000JANV!J28+TONT20000FEV!J28+TONT20000MARS!J28+TONT20000AVRIL!J28+TONT20000MAI!J28+TONT20000JUIN!J28+TONT20000JUIL!J28+TONT20000AOUT!J28+TONT20000SEPT!J28+TONT20000OCT!J28+TONT20000NOV!J28</f>
        <v>0</v>
      </c>
      <c r="N28" s="7">
        <f>TONT20000DEC2015!K28+TONT20000JANV!K28+TONT20000FEV!K28+TONT20000MARS!K28+TONT20000AVRIL!K28+TONT20000MAI!K28+TONT20000JUIN!K28+TONT20000JUIL!K28+TONT20000AOUT!K28+TONT20000SEPT!K28+TONT20000OCT!K28+TONT20000NOV!K28</f>
        <v>0</v>
      </c>
      <c r="O28" s="7">
        <f>TONT20000DEC2015!L28+TONT20000JANV!L28+TONT20000FEV!L28+TONT20000MARS!L28+TONT20000AVRIL!L28+TONT20000MAI!L28+TONT20000JUIN!L28+TONT20000JUIL!L28+TONT20000AOUT!L28+TONT20000SEPT!L28+TONT20000OCT!L28+TONT20000NOV!L28</f>
        <v>0</v>
      </c>
      <c r="P28" s="7">
        <f>TONT20000DEC2015!M28+TONT20000JANV!M28+TONT20000FEV!M28+TONT20000MARS!M28+TONT20000AVRIL!M28+TONT20000MAI!M28+TONT20000JUIN!M28+TONT20000JUIL!M28+TONT20000AOUT!M28+TONT20000SEPT!N28+TONT20000OCT!M28+TONT20000NOV!M28</f>
        <v>0</v>
      </c>
      <c r="Q28" s="7">
        <f>TONT20000DEC2015!M28+TONT20000JANV!M28+TONT20000FEV!M28+TONT20000MARS!M28+TONT20000AVRIL!M28+TONT20000MAI!M28+TONT20000JUIN!M28+TONT20000JUIL!M28+TONT20000AOUT!M28+TONT20000SEPT!N28+TONT20000OCT!M28+TONT20000NOV!M28</f>
        <v>0</v>
      </c>
      <c r="R28" s="7"/>
    </row>
    <row r="29" spans="1:18">
      <c r="A29" s="1" t="s">
        <v>35</v>
      </c>
      <c r="B29" s="1" t="str">
        <f>VLOOKUP(A29,LISTADHERENT!A$5:H$51,2)</f>
        <v>NGONGANG JEAN THEODORE</v>
      </c>
      <c r="C29" s="6">
        <v>0</v>
      </c>
      <c r="D29" s="6">
        <v>0</v>
      </c>
      <c r="E29" s="6"/>
      <c r="F29" s="7">
        <f t="shared" si="0"/>
        <v>240000</v>
      </c>
      <c r="G29" s="7">
        <f>TONT20000DEC2015!D29+TONT20000JANV!D29+TONT20000FEV!D29+TONT20000MARS!D29+TONT20000AVRIL!D29+TONT20000MAI!D29+TONT20000JUIN!D29+TONT20000JUIL!D29+TONT20000AOUT!D29+TONT20000SEPT!D29+TONT20000OCT!D29+TONT20000NOV!D29</f>
        <v>36000</v>
      </c>
      <c r="H29" s="7">
        <f>TONT20000DEC2015!E29+TONT20000JANV!E29+TONT20000FEV!E29+TONT20000MARS!E29+TONT20000AVRIL!E29+TONT20000MAI!E29+TONT20000JUIN!E29+TONT20000JUIL!E29+TONT20000AOUT!E29+TONT20000SEPT!E29+TONT20000OCT!E29+TONT20000NOV!E29</f>
        <v>6000</v>
      </c>
      <c r="I29" s="7">
        <f>TONT20000DEC2015!F29+TONT20000JANV!F29+TONT20000FEV!F29+TONT20000MARS!F29+TONT20000AVRIL!F29+TONT20000MAI!F29+TONT20000JUIN!F29+TONT20000JUIL!F29+TONT20000AOUT!F29+TONT20000SEPT!F29+TONT20000OCT!F29+TONT20000NOV!F29</f>
        <v>12000</v>
      </c>
      <c r="J29" s="7">
        <f>TONT20000DEC2015!G29+TONT20000JANV!G29+TONT20000FEV!G29+TONT20000MARS!G29+TONT20000AVRIL!G29+TONT20000MAI!G29+TONT20000JUIN!G29+TONT20000JUIL!G29+TONT20000AOUT!G29+TONT20000SEPT!G29+TONT20000OCT!G29+TONT20000NOV!G29</f>
        <v>30000</v>
      </c>
      <c r="K29" s="7">
        <f>TONT20000DEC2015!H29+TONT20000JANV!H29+TONT20000FEV!H29+TONT20000MARS!H29+TONT20000AVRIL!H29+TONT20000MAI!H29+TONT20000JUIN!H29+TONT20000JUIL!H29+TONT20000AOUT!H29+TONT20000SEPT!H29+TONT20000OCT!H29+TONT20000NOV!H29</f>
        <v>0</v>
      </c>
      <c r="L29" s="7">
        <f>TONT20000DEC2015!I29+TONT20000JANV!I29+TONT20000FEV!I29+TONT20000MARS!I29+TONT20000AVRIL!I29+TONT20000MAI!I29+TONT20000JUIN!I29+TONT20000JUIL!I29+TONT20000AOUT!I29+TONT20000SEPT!I29+TONT20000OCT!I29+TONT20000NOV!I29</f>
        <v>156000</v>
      </c>
      <c r="M29" s="7">
        <f>TONT20000DEC2015!J29+TONT20000JANV!J29+TONT20000FEV!J29+TONT20000MARS!J29+TONT20000AVRIL!J29+TONT20000MAI!J29+TONT20000JUIN!J29+TONT20000JUIL!J29+TONT20000AOUT!J29+TONT20000SEPT!J29+TONT20000OCT!J29+TONT20000NOV!J29</f>
        <v>0</v>
      </c>
      <c r="N29" s="7">
        <f>TONT20000DEC2015!K29+TONT20000JANV!K29+TONT20000FEV!K29+TONT20000MARS!K29+TONT20000AVRIL!K29+TONT20000MAI!K29+TONT20000JUIN!K29+TONT20000JUIL!K29+TONT20000AOUT!K29+TONT20000SEPT!K29+TONT20000OCT!K29+TONT20000NOV!K29</f>
        <v>0</v>
      </c>
      <c r="O29" s="7">
        <f>TONT20000DEC2015!L29+TONT20000JANV!L29+TONT20000FEV!L29+TONT20000MARS!L29+TONT20000AVRIL!L29+TONT20000MAI!L29+TONT20000JUIN!L29+TONT20000JUIL!L29+TONT20000AOUT!L29+TONT20000SEPT!L29+TONT20000OCT!L29+TONT20000NOV!L29</f>
        <v>0</v>
      </c>
      <c r="P29" s="7">
        <f>TONT20000DEC2015!M29+TONT20000JANV!M29+TONT20000FEV!M29+TONT20000MARS!M29+TONT20000AVRIL!M29+TONT20000MAI!M29+TONT20000JUIN!M29+TONT20000JUIL!M29+TONT20000AOUT!M29+TONT20000SEPT!N29+TONT20000OCT!M29+TONT20000NOV!M29</f>
        <v>0</v>
      </c>
      <c r="Q29" s="7">
        <f>TONT20000DEC2015!M29+TONT20000JANV!M29+TONT20000FEV!M29+TONT20000MARS!M29+TONT20000AVRIL!M29+TONT20000MAI!M29+TONT20000JUIN!M29+TONT20000JUIL!M29+TONT20000AOUT!M29+TONT20000SEPT!N29+TONT20000OCT!M29+TONT20000NOV!M29</f>
        <v>0</v>
      </c>
      <c r="R29" s="7"/>
    </row>
    <row r="30" spans="1:18">
      <c r="A30" s="1" t="s">
        <v>36</v>
      </c>
      <c r="B30" s="1" t="str">
        <f>VLOOKUP(A30,LISTADHERENT!A$5:H$51,2)</f>
        <v>NGUIEMEGNI MATHIEU BLAISE</v>
      </c>
      <c r="C30" s="6">
        <f>390000-375111</f>
        <v>14889</v>
      </c>
      <c r="D30" s="6">
        <v>0</v>
      </c>
      <c r="E30" s="6"/>
      <c r="F30" s="7">
        <f t="shared" si="0"/>
        <v>862000</v>
      </c>
      <c r="G30" s="7">
        <f>TONT20000DEC2015!D30+TONT20000JANV!D30+TONT20000FEV!D30+TONT20000MARS!D30+TONT20000AVRIL!D30+TONT20000MAI!D30+TONT20000JUIN!D30+TONT20000JUIL!D30+TONT20000AOUT!D30+TONT20000SEPT!D30+TONT20000OCT!D30+TONT20000NOV!D30</f>
        <v>557945</v>
      </c>
      <c r="H30" s="7">
        <f>TONT20000DEC2015!E30+TONT20000JANV!E30+TONT20000FEV!E30+TONT20000MARS!E30+TONT20000AVRIL!E30+TONT20000MAI!E30+TONT20000JUIN!E30+TONT20000JUIL!E30+TONT20000AOUT!E30+TONT20000SEPT!E30+TONT20000OCT!E30+TONT20000NOV!E30</f>
        <v>6000</v>
      </c>
      <c r="I30" s="7">
        <f>TONT20000DEC2015!F30+TONT20000JANV!F30+TONT20000FEV!F30+TONT20000MARS!F30+TONT20000AVRIL!F30+TONT20000MAI!F30+TONT20000JUIN!F30+TONT20000JUIL!F30+TONT20000AOUT!F30+TONT20000SEPT!F30+TONT20000OCT!F30+TONT20000NOV!F30</f>
        <v>12000</v>
      </c>
      <c r="J30" s="7">
        <f>TONT20000DEC2015!G30+TONT20000JANV!G30+TONT20000FEV!G30+TONT20000MARS!G30+TONT20000AVRIL!G30+TONT20000MAI!G30+TONT20000JUIN!G30+TONT20000JUIL!G30+TONT20000AOUT!G30+TONT20000SEPT!G30+TONT20000OCT!G30+TONT20000NOV!G30</f>
        <v>30000</v>
      </c>
      <c r="K30" s="7">
        <f>TONT20000DEC2015!H30+TONT20000JANV!H30+TONT20000FEV!H30+TONT20000MARS!H30+TONT20000AVRIL!H30+TONT20000MAI!H30+TONT20000JUIN!H30+TONT20000JUIL!H30+TONT20000AOUT!H30+TONT20000SEPT!H30+TONT20000OCT!H30+TONT20000NOV!H30</f>
        <v>50000</v>
      </c>
      <c r="L30" s="7">
        <f>TONT20000DEC2015!I30+TONT20000JANV!I30+TONT20000FEV!I30+TONT20000MARS!I30+TONT20000AVRIL!I30+TONT20000MAI!I30+TONT20000JUIN!I30+TONT20000JUIL!I30+TONT20000AOUT!I30+TONT20000SEPT!I30+TONT20000OCT!I30+TONT20000NOV!I30</f>
        <v>156000</v>
      </c>
      <c r="M30" s="7">
        <f>TONT20000DEC2015!J30+TONT20000JANV!J30+TONT20000FEV!J30+TONT20000MARS!J30+TONT20000AVRIL!J30+TONT20000MAI!J30+TONT20000JUIN!J30+TONT20000JUIL!J30+TONT20000AOUT!J30+TONT20000SEPT!J30+TONT20000OCT!J30+TONT20000NOV!J30</f>
        <v>0</v>
      </c>
      <c r="N30" s="7">
        <f>TONT20000DEC2015!K30+TONT20000JANV!K30+TONT20000FEV!K30+TONT20000MARS!K30+TONT20000AVRIL!K30+TONT20000MAI!K30+TONT20000JUIN!K30+TONT20000JUIL!K30+TONT20000AOUT!K30+TONT20000SEPT!K30+TONT20000OCT!K30+TONT20000NOV!K30</f>
        <v>0</v>
      </c>
      <c r="O30" s="7">
        <f>TONT20000DEC2015!L30+TONT20000JANV!L30+TONT20000FEV!L30+TONT20000MARS!L30+TONT20000AVRIL!L30+TONT20000MAI!L30+TONT20000JUIN!L30+TONT20000JUIL!L30+TONT20000AOUT!L30+TONT20000SEPT!L30+TONT20000OCT!L30+TONT20000NOV!L30</f>
        <v>0</v>
      </c>
      <c r="P30" s="7">
        <f>TONT20000DEC2015!M30+TONT20000JANV!M30+TONT20000FEV!M30+TONT20000MARS!M30+TONT20000AVRIL!M30+TONT20000MAI!M30+TONT20000JUIN!M30+TONT20000JUIL!M30+TONT20000AOUT!M30+TONT20000SEPT!N30+TONT20000OCT!M30+TONT20000NOV!M30</f>
        <v>50055</v>
      </c>
      <c r="Q30" s="7">
        <f>TONT20000DEC2015!M30+TONT20000JANV!M30+TONT20000FEV!M30+TONT20000MARS!M30+TONT20000AVRIL!M30+TONT20000MAI!M30+TONT20000JUIN!M30+TONT20000JUIL!M30+TONT20000AOUT!M30+TONT20000SEPT!N30+TONT20000OCT!M30+TONT20000NOV!M30</f>
        <v>50055</v>
      </c>
      <c r="R30" s="7"/>
    </row>
    <row r="31" spans="1:18">
      <c r="A31" s="1" t="s">
        <v>37</v>
      </c>
      <c r="B31" s="1" t="str">
        <f>VLOOKUP(A31,LISTADHERENT!A$5:H$51,2)</f>
        <v>NJEPDJIO MBOUKAM DELUXE</v>
      </c>
      <c r="C31" s="6">
        <v>390000</v>
      </c>
      <c r="D31" s="6">
        <v>1734</v>
      </c>
      <c r="E31" s="6"/>
      <c r="F31" s="7">
        <f t="shared" si="0"/>
        <v>257000</v>
      </c>
      <c r="G31" s="7">
        <f>TONT20000DEC2015!D31+TONT20000JANV!D31+TONT20000FEV!D31+TONT20000MARS!D31+TONT20000AVRIL!D31+TONT20000MAI!D31+TONT20000JUIN!D31+TONT20000JUIL!D31+TONT20000AOUT!D31+TONT20000SEPT!D31+TONT20000OCT!D31+TONT20000NOV!D31</f>
        <v>53000</v>
      </c>
      <c r="H31" s="7">
        <f>TONT20000DEC2015!E31+TONT20000JANV!E31+TONT20000FEV!E31+TONT20000MARS!E31+TONT20000AVRIL!E31+TONT20000MAI!E31+TONT20000JUIN!E31+TONT20000JUIL!E31+TONT20000AOUT!E31+TONT20000SEPT!E31+TONT20000OCT!E31+TONT20000NOV!E31</f>
        <v>6000</v>
      </c>
      <c r="I31" s="7">
        <f>TONT20000DEC2015!F31+TONT20000JANV!F31+TONT20000FEV!F31+TONT20000MARS!F31+TONT20000AVRIL!F31+TONT20000MAI!F31+TONT20000JUIN!F31+TONT20000JUIL!F31+TONT20000AOUT!F31+TONT20000SEPT!F31+TONT20000OCT!F31+TONT20000NOV!F31</f>
        <v>12000</v>
      </c>
      <c r="J31" s="7">
        <f>TONT20000DEC2015!G31+TONT20000JANV!G31+TONT20000FEV!G31+TONT20000MARS!G31+TONT20000AVRIL!G31+TONT20000MAI!G31+TONT20000JUIN!G31+TONT20000JUIL!G31+TONT20000AOUT!G31+TONT20000SEPT!G31+TONT20000OCT!G31+TONT20000NOV!G31</f>
        <v>30000</v>
      </c>
      <c r="K31" s="7">
        <f>TONT20000DEC2015!H31+TONT20000JANV!H31+TONT20000FEV!H31+TONT20000MARS!H31+TONT20000AVRIL!H31+TONT20000MAI!H31+TONT20000JUIN!H31+TONT20000JUIL!H31+TONT20000AOUT!H31+TONT20000SEPT!H31+TONT20000OCT!H31+TONT20000NOV!H31</f>
        <v>0</v>
      </c>
      <c r="L31" s="7">
        <f>TONT20000DEC2015!I31+TONT20000JANV!I31+TONT20000FEV!I31+TONT20000MARS!I31+TONT20000AVRIL!I31+TONT20000MAI!I31+TONT20000JUIN!I31+TONT20000JUIL!I31+TONT20000AOUT!I31+TONT20000SEPT!I31+TONT20000OCT!I31+TONT20000NOV!I31</f>
        <v>156000</v>
      </c>
      <c r="M31" s="7">
        <f>TONT20000DEC2015!J31+TONT20000JANV!J31+TONT20000FEV!J31+TONT20000MARS!J31+TONT20000AVRIL!J31+TONT20000MAI!J31+TONT20000JUIN!J31+TONT20000JUIL!J31+TONT20000AOUT!J31+TONT20000SEPT!J31+TONT20000OCT!J31+TONT20000NOV!J31</f>
        <v>2000000</v>
      </c>
      <c r="N31" s="7">
        <f>TONT20000DEC2015!K31+TONT20000JANV!K31+TONT20000FEV!K31+TONT20000MARS!K31+TONT20000AVRIL!K31+TONT20000MAI!K31+TONT20000JUIN!K31+TONT20000JUIL!K31+TONT20000AOUT!K31+TONT20000SEPT!K31+TONT20000OCT!K31+TONT20000NOV!K31</f>
        <v>150000</v>
      </c>
      <c r="O31" s="7">
        <f>TONT20000DEC2015!L31+TONT20000JANV!L31+TONT20000FEV!L31+TONT20000MARS!L31+TONT20000AVRIL!L31+TONT20000MAI!L31+TONT20000JUIN!L31+TONT20000JUIL!L31+TONT20000AOUT!L31+TONT20000SEPT!L31+TONT20000OCT!L31+TONT20000NOV!L31</f>
        <v>1000000</v>
      </c>
      <c r="P31" s="7">
        <f>TONT20000DEC2015!M31+TONT20000JANV!M31+TONT20000FEV!M31+TONT20000MARS!M31+TONT20000AVRIL!M31+TONT20000MAI!M31+TONT20000JUIN!M31+TONT20000JUIL!M31+TONT20000AOUT!M31+TONT20000SEPT!N31+TONT20000OCT!M31+TONT20000NOV!M31</f>
        <v>0</v>
      </c>
      <c r="Q31" s="7">
        <f>TONT20000DEC2015!M31+TONT20000JANV!M31+TONT20000FEV!M31+TONT20000MARS!M31+TONT20000AVRIL!M31+TONT20000MAI!M31+TONT20000JUIN!M31+TONT20000JUIL!M31+TONT20000AOUT!M31+TONT20000SEPT!N31+TONT20000OCT!M31+TONT20000NOV!M31</f>
        <v>0</v>
      </c>
      <c r="R31" s="7"/>
    </row>
    <row r="32" spans="1:18">
      <c r="A32" s="1" t="s">
        <v>38</v>
      </c>
      <c r="B32" s="1" t="str">
        <f>VLOOKUP(A32,LISTADHERENT!A$5:H$51,2)</f>
        <v>NKAMGANG JUSTIN DEJOLIE</v>
      </c>
      <c r="C32" s="6">
        <v>0</v>
      </c>
      <c r="D32" s="6">
        <v>0</v>
      </c>
      <c r="E32" s="6"/>
      <c r="F32" s="7">
        <f t="shared" si="0"/>
        <v>278000</v>
      </c>
      <c r="G32" s="7">
        <f>TONT20000DEC2015!D32+TONT20000JANV!D32+TONT20000FEV!D32+TONT20000MARS!D32+TONT20000AVRIL!D32+TONT20000MAI!D32+TONT20000JUIN!D32+TONT20000JUIL!D32+TONT20000AOUT!D32+TONT20000SEPT!D32+TONT20000OCT!D32+TONT20000NOV!D32</f>
        <v>74000</v>
      </c>
      <c r="H32" s="7">
        <f>TONT20000DEC2015!E32+TONT20000JANV!E32+TONT20000FEV!E32+TONT20000MARS!E32+TONT20000AVRIL!E32+TONT20000MAI!E32+TONT20000JUIN!E32+TONT20000JUIL!E32+TONT20000AOUT!E32+TONT20000SEPT!E32+TONT20000OCT!E32+TONT20000NOV!E32</f>
        <v>6000</v>
      </c>
      <c r="I32" s="7">
        <f>TONT20000DEC2015!F32+TONT20000JANV!F32+TONT20000FEV!F32+TONT20000MARS!F32+TONT20000AVRIL!F32+TONT20000MAI!F32+TONT20000JUIN!F32+TONT20000JUIL!F32+TONT20000AOUT!F32+TONT20000SEPT!F32+TONT20000OCT!F32+TONT20000NOV!F32</f>
        <v>12000</v>
      </c>
      <c r="J32" s="7">
        <f>TONT20000DEC2015!G32+TONT20000JANV!G32+TONT20000FEV!G32+TONT20000MARS!G32+TONT20000AVRIL!G32+TONT20000MAI!G32+TONT20000JUIN!G32+TONT20000JUIL!G32+TONT20000AOUT!G32+TONT20000SEPT!G32+TONT20000OCT!G32+TONT20000NOV!G32</f>
        <v>30000</v>
      </c>
      <c r="K32" s="7">
        <f>TONT20000DEC2015!H32+TONT20000JANV!H32+TONT20000FEV!H32+TONT20000MARS!H32+TONT20000AVRIL!H32+TONT20000MAI!H32+TONT20000JUIN!H32+TONT20000JUIL!H32+TONT20000AOUT!H32+TONT20000SEPT!H32+TONT20000OCT!H32+TONT20000NOV!H32</f>
        <v>0</v>
      </c>
      <c r="L32" s="7">
        <f>TONT20000DEC2015!I32+TONT20000JANV!I32+TONT20000FEV!I32+TONT20000MARS!I32+TONT20000AVRIL!I32+TONT20000MAI!I32+TONT20000JUIN!I32+TONT20000JUIL!I32+TONT20000AOUT!I32+TONT20000SEPT!I32+TONT20000OCT!I32+TONT20000NOV!I32</f>
        <v>156000</v>
      </c>
      <c r="M32" s="7">
        <f>TONT20000DEC2015!J32+TONT20000JANV!J32+TONT20000FEV!J32+TONT20000MARS!J32+TONT20000AVRIL!J32+TONT20000MAI!J32+TONT20000JUIN!J32+TONT20000JUIL!J32+TONT20000AOUT!J32+TONT20000SEPT!J32+TONT20000OCT!J32+TONT20000NOV!J32</f>
        <v>1000000</v>
      </c>
      <c r="N32" s="7">
        <f>TONT20000DEC2015!K32+TONT20000JANV!K32+TONT20000FEV!K32+TONT20000MARS!K32+TONT20000AVRIL!K32+TONT20000MAI!K32+TONT20000JUIN!K32+TONT20000JUIL!K32+TONT20000AOUT!K32+TONT20000SEPT!K32+TONT20000OCT!K32+TONT20000NOV!K32</f>
        <v>120000</v>
      </c>
      <c r="O32" s="7">
        <f>TONT20000DEC2015!L32+TONT20000JANV!L32+TONT20000FEV!L32+TONT20000MARS!L32+TONT20000AVRIL!L32+TONT20000MAI!L32+TONT20000JUIN!L32+TONT20000JUIL!L32+TONT20000AOUT!L32+TONT20000SEPT!L32+TONT20000OCT!L32+TONT20000NOV!L32</f>
        <v>0</v>
      </c>
      <c r="P32" s="7">
        <f>TONT20000DEC2015!M32+TONT20000JANV!M32+TONT20000FEV!M32+TONT20000MARS!M32+TONT20000AVRIL!M32+TONT20000MAI!M32+TONT20000JUIN!M32+TONT20000JUIL!M32+TONT20000AOUT!M32+TONT20000SEPT!N32+TONT20000OCT!M32+TONT20000NOV!M32</f>
        <v>0</v>
      </c>
      <c r="Q32" s="7">
        <f>TONT20000DEC2015!M32+TONT20000JANV!M32+TONT20000FEV!M32+TONT20000MARS!M32+TONT20000AVRIL!M32+TONT20000MAI!M32+TONT20000JUIN!M32+TONT20000JUIL!M32+TONT20000AOUT!M32+TONT20000SEPT!N32+TONT20000OCT!M32+TONT20000NOV!M32</f>
        <v>0</v>
      </c>
      <c r="R32" s="7"/>
    </row>
    <row r="33" spans="1:18">
      <c r="A33" s="1" t="s">
        <v>39</v>
      </c>
      <c r="B33" s="1" t="str">
        <f>VLOOKUP(A33,LISTADHERENT!A$5:H$51,2)</f>
        <v>NKEPSEU DIEUDONNE</v>
      </c>
      <c r="C33" s="6">
        <v>390000</v>
      </c>
      <c r="D33" s="6">
        <v>8739</v>
      </c>
      <c r="E33" s="6"/>
      <c r="F33" s="7">
        <f t="shared" si="0"/>
        <v>345000</v>
      </c>
      <c r="G33" s="7">
        <f>TONT20000DEC2015!D33+TONT20000JANV!D33+TONT20000FEV!D33+TONT20000MARS!D33+TONT20000AVRIL!D33+TONT20000MAI!D33+TONT20000JUIN!D33+TONT20000JUIL!D33+TONT20000AOUT!D33+TONT20000SEPT!D33+TONT20000OCT!D33+TONT20000NOV!D33</f>
        <v>91000</v>
      </c>
      <c r="H33" s="7">
        <f>TONT20000DEC2015!E33+TONT20000JANV!E33+TONT20000FEV!E33+TONT20000MARS!E33+TONT20000AVRIL!E33+TONT20000MAI!E33+TONT20000JUIN!E33+TONT20000JUIL!E33+TONT20000AOUT!E33+TONT20000SEPT!E33+TONT20000OCT!E33+TONT20000NOV!E33</f>
        <v>6000</v>
      </c>
      <c r="I33" s="7">
        <f>TONT20000DEC2015!F33+TONT20000JANV!F33+TONT20000FEV!F33+TONT20000MARS!F33+TONT20000AVRIL!F33+TONT20000MAI!F33+TONT20000JUIN!F33+TONT20000JUIL!F33+TONT20000AOUT!F33+TONT20000SEPT!F33+TONT20000OCT!F33+TONT20000NOV!F33</f>
        <v>12000</v>
      </c>
      <c r="J33" s="7">
        <f>TONT20000DEC2015!G33+TONT20000JANV!G33+TONT20000FEV!G33+TONT20000MARS!G33+TONT20000AVRIL!G33+TONT20000MAI!G33+TONT20000JUIN!G33+TONT20000JUIL!G33+TONT20000AOUT!G33+TONT20000SEPT!G33+TONT20000OCT!G33+TONT20000NOV!G33</f>
        <v>30000</v>
      </c>
      <c r="K33" s="7">
        <f>TONT20000DEC2015!H33+TONT20000JANV!H33+TONT20000FEV!H33+TONT20000MARS!H33+TONT20000AVRIL!H33+TONT20000MAI!H33+TONT20000JUIN!H33+TONT20000JUIL!H33+TONT20000AOUT!H33+TONT20000SEPT!H33+TONT20000OCT!H33+TONT20000NOV!H33</f>
        <v>50000</v>
      </c>
      <c r="L33" s="7">
        <f>TONT20000DEC2015!I33+TONT20000JANV!I33+TONT20000FEV!I33+TONT20000MARS!I33+TONT20000AVRIL!I33+TONT20000MAI!I33+TONT20000JUIN!I33+TONT20000JUIL!I33+TONT20000AOUT!I33+TONT20000SEPT!I33+TONT20000OCT!I33+TONT20000NOV!I33</f>
        <v>156000</v>
      </c>
      <c r="M33" s="7">
        <f>TONT20000DEC2015!J33+TONT20000JANV!J33+TONT20000FEV!J33+TONT20000MARS!J33+TONT20000AVRIL!J33+TONT20000MAI!J33+TONT20000JUIN!J33+TONT20000JUIL!J33+TONT20000AOUT!J33+TONT20000SEPT!J33+TONT20000OCT!J33+TONT20000NOV!J33</f>
        <v>600000</v>
      </c>
      <c r="N33" s="7">
        <f>TONT20000DEC2015!K33+TONT20000JANV!K33+TONT20000FEV!K33+TONT20000MARS!K33+TONT20000AVRIL!K33+TONT20000MAI!K33+TONT20000JUIN!K33+TONT20000JUIL!K33+TONT20000AOUT!K33+TONT20000SEPT!K33+TONT20000OCT!K33+TONT20000NOV!K33</f>
        <v>72000</v>
      </c>
      <c r="O33" s="7">
        <f>TONT20000DEC2015!L33+TONT20000JANV!L33+TONT20000FEV!L33+TONT20000MARS!L33+TONT20000AVRIL!L33+TONT20000MAI!L33+TONT20000JUIN!L33+TONT20000JUIL!L33+TONT20000AOUT!L33+TONT20000SEPT!L33+TONT20000OCT!L33+TONT20000NOV!L33</f>
        <v>0</v>
      </c>
      <c r="P33" s="7">
        <f>TONT20000DEC2015!M33+TONT20000JANV!M33+TONT20000FEV!M33+TONT20000MARS!M33+TONT20000AVRIL!M33+TONT20000MAI!M33+TONT20000JUIN!M33+TONT20000JUIL!M33+TONT20000AOUT!M33+TONT20000SEPT!N33+TONT20000OCT!M33+TONT20000NOV!M33</f>
        <v>0</v>
      </c>
      <c r="Q33" s="7">
        <f>TONT20000DEC2015!M33+TONT20000JANV!M33+TONT20000FEV!M33+TONT20000MARS!M33+TONT20000AVRIL!M33+TONT20000MAI!M33+TONT20000JUIN!M33+TONT20000JUIL!M33+TONT20000AOUT!M33+TONT20000SEPT!N33+TONT20000OCT!M33+TONT20000NOV!M33</f>
        <v>0</v>
      </c>
      <c r="R33" s="7"/>
    </row>
    <row r="34" spans="1:18">
      <c r="A34" s="1" t="s">
        <v>40</v>
      </c>
      <c r="B34" s="1" t="str">
        <f>VLOOKUP(A34,LISTADHERENT!A$5:H$51,2)</f>
        <v>NKEPSEU HENANG RENE</v>
      </c>
      <c r="C34" s="6">
        <v>390000</v>
      </c>
      <c r="D34" s="6">
        <v>7983</v>
      </c>
      <c r="E34" s="6"/>
      <c r="F34" s="7">
        <f t="shared" si="0"/>
        <v>180000</v>
      </c>
      <c r="G34" s="7">
        <f>TONT20000DEC2015!D34+TONT20000JANV!D34+TONT20000FEV!D34+TONT20000MARS!D34+TONT20000AVRIL!D34+TONT20000MAI!D34+TONT20000JUIN!D34+TONT20000JUIL!D34+TONT20000AOUT!D34+TONT20000SEPT!D34+TONT20000OCT!D34+TONT20000NOV!D34</f>
        <v>27000</v>
      </c>
      <c r="H34" s="7">
        <f>TONT20000DEC2015!E34+TONT20000JANV!E34+TONT20000FEV!E34+TONT20000MARS!E34+TONT20000AVRIL!E34+TONT20000MAI!E34+TONT20000JUIN!E34+TONT20000JUIL!E34+TONT20000AOUT!E34+TONT20000SEPT!E34+TONT20000OCT!E34+TONT20000NOV!E34</f>
        <v>4500</v>
      </c>
      <c r="I34" s="7">
        <f>TONT20000DEC2015!F34+TONT20000JANV!F34+TONT20000FEV!F34+TONT20000MARS!F34+TONT20000AVRIL!F34+TONT20000MAI!F34+TONT20000JUIN!F34+TONT20000JUIL!F34+TONT20000AOUT!F34+TONT20000SEPT!F34+TONT20000OCT!F34+TONT20000NOV!F34</f>
        <v>9000</v>
      </c>
      <c r="J34" s="7">
        <f>TONT20000DEC2015!G34+TONT20000JANV!G34+TONT20000FEV!G34+TONT20000MARS!G34+TONT20000AVRIL!G34+TONT20000MAI!G34+TONT20000JUIN!G34+TONT20000JUIL!G34+TONT20000AOUT!G34+TONT20000SEPT!G34+TONT20000OCT!G34+TONT20000NOV!G34</f>
        <v>22500</v>
      </c>
      <c r="K34" s="7">
        <f>TONT20000DEC2015!H34+TONT20000JANV!H34+TONT20000FEV!H34+TONT20000MARS!H34+TONT20000AVRIL!H34+TONT20000MAI!H34+TONT20000JUIN!H34+TONT20000JUIL!H34+TONT20000AOUT!H34+TONT20000SEPT!H34+TONT20000OCT!H34+TONT20000NOV!H34</f>
        <v>0</v>
      </c>
      <c r="L34" s="7">
        <f>TONT20000DEC2015!I34+TONT20000JANV!I34+TONT20000FEV!I34+TONT20000MARS!I34+TONT20000AVRIL!I34+TONT20000MAI!I34+TONT20000JUIN!I34+TONT20000JUIL!I34+TONT20000AOUT!I34+TONT20000SEPT!I34+TONT20000OCT!I34+TONT20000NOV!I34</f>
        <v>117000</v>
      </c>
      <c r="M34" s="7">
        <f>TONT20000DEC2015!J34+TONT20000JANV!J34+TONT20000FEV!J34+TONT20000MARS!J34+TONT20000AVRIL!J34+TONT20000MAI!J34+TONT20000JUIN!J34+TONT20000JUIL!J34+TONT20000AOUT!J34+TONT20000SEPT!J34+TONT20000OCT!J34+TONT20000NOV!J34</f>
        <v>0</v>
      </c>
      <c r="N34" s="7">
        <f>TONT20000DEC2015!K34+TONT20000JANV!K34+TONT20000FEV!K34+TONT20000MARS!K34+TONT20000AVRIL!K34+TONT20000MAI!K34+TONT20000JUIN!K34+TONT20000JUIL!K34+TONT20000AOUT!K34+TONT20000SEPT!K34+TONT20000OCT!K34+TONT20000NOV!K34</f>
        <v>0</v>
      </c>
      <c r="O34" s="7">
        <f>TONT20000DEC2015!L34+TONT20000JANV!L34+TONT20000FEV!L34+TONT20000MARS!L34+TONT20000AVRIL!L34+TONT20000MAI!L34+TONT20000JUIN!L34+TONT20000JUIL!L34+TONT20000AOUT!L34+TONT20000SEPT!L34+TONT20000OCT!L34+TONT20000NOV!L34</f>
        <v>0</v>
      </c>
      <c r="P34" s="7">
        <f>TONT20000DEC2015!M34+TONT20000JANV!M34+TONT20000FEV!M34+TONT20000MARS!M34+TONT20000AVRIL!M34+TONT20000MAI!M34+TONT20000JUIN!M34+TONT20000JUIL!M34+TONT20000AOUT!M34+TONT20000SEPT!N34+TONT20000OCT!M34+TONT20000NOV!M34</f>
        <v>0</v>
      </c>
      <c r="Q34" s="7">
        <f>TONT20000DEC2015!M34+TONT20000JANV!M34+TONT20000FEV!M34+TONT20000MARS!M34+TONT20000AVRIL!M34+TONT20000MAI!M34+TONT20000JUIN!M34+TONT20000JUIL!M34+TONT20000AOUT!M34+TONT20000SEPT!N34+TONT20000OCT!M34+TONT20000NOV!M34</f>
        <v>0</v>
      </c>
      <c r="R34" s="7"/>
    </row>
    <row r="35" spans="1:18">
      <c r="A35" s="1" t="s">
        <v>41</v>
      </c>
      <c r="B35" s="1" t="str">
        <f>VLOOKUP(A35,LISTADHERENT!A$5:H$51,2)</f>
        <v>NTEPDIE TUEMAC MZ</v>
      </c>
      <c r="C35" s="6">
        <v>0</v>
      </c>
      <c r="D35" s="6">
        <v>0</v>
      </c>
      <c r="E35" s="6"/>
      <c r="F35" s="7">
        <f t="shared" si="0"/>
        <v>100000</v>
      </c>
      <c r="G35" s="7">
        <f>TONT20000DEC2015!D35+TONT20000JANV!D35+TONT20000FEV!D35+TONT20000MARS!D35+TONT20000AVRIL!D35+TONT20000MAI!D35+TONT20000JUIN!D35+TONT20000JUIL!D35+TONT20000AOUT!D35+TONT20000SEPT!D35+TONT20000OCT!D35+TONT20000NOV!D35</f>
        <v>15000</v>
      </c>
      <c r="H35" s="7">
        <f>TONT20000DEC2015!E35+TONT20000JANV!E35+TONT20000FEV!E35+TONT20000MARS!E35+TONT20000AVRIL!E35+TONT20000MAI!E35+TONT20000JUIN!E35+TONT20000JUIL!E35+TONT20000AOUT!E35+TONT20000SEPT!E35+TONT20000OCT!E35+TONT20000NOV!E35</f>
        <v>2500</v>
      </c>
      <c r="I35" s="7">
        <f>TONT20000DEC2015!F35+TONT20000JANV!F35+TONT20000FEV!F35+TONT20000MARS!F35+TONT20000AVRIL!F35+TONT20000MAI!F35+TONT20000JUIN!F35+TONT20000JUIL!F35+TONT20000AOUT!F35+TONT20000SEPT!F35+TONT20000OCT!F35+TONT20000NOV!F35</f>
        <v>5000</v>
      </c>
      <c r="J35" s="7">
        <f>TONT20000DEC2015!G35+TONT20000JANV!G35+TONT20000FEV!G35+TONT20000MARS!G35+TONT20000AVRIL!G35+TONT20000MAI!G35+TONT20000JUIN!G35+TONT20000JUIL!G35+TONT20000AOUT!G35+TONT20000SEPT!G35+TONT20000OCT!G35+TONT20000NOV!G35</f>
        <v>12500</v>
      </c>
      <c r="K35" s="7">
        <f>TONT20000DEC2015!H35+TONT20000JANV!H35+TONT20000FEV!H35+TONT20000MARS!H35+TONT20000AVRIL!H35+TONT20000MAI!H35+TONT20000JUIN!H35+TONT20000JUIL!H35+TONT20000AOUT!H35+TONT20000SEPT!H35+TONT20000OCT!H35+TONT20000NOV!H35</f>
        <v>0</v>
      </c>
      <c r="L35" s="7">
        <f>TONT20000DEC2015!I35+TONT20000JANV!I35+TONT20000FEV!I35+TONT20000MARS!I35+TONT20000AVRIL!I35+TONT20000MAI!I35+TONT20000JUIN!I35+TONT20000JUIL!I35+TONT20000AOUT!I35+TONT20000SEPT!I35+TONT20000OCT!I35+TONT20000NOV!I35</f>
        <v>65000</v>
      </c>
      <c r="M35" s="7">
        <f>TONT20000DEC2015!J35+TONT20000JANV!J35+TONT20000FEV!J35+TONT20000MARS!J35+TONT20000AVRIL!J35+TONT20000MAI!J35+TONT20000JUIN!J35+TONT20000JUIL!J35+TONT20000AOUT!J35+TONT20000SEPT!J35+TONT20000OCT!J35+TONT20000NOV!J35</f>
        <v>0</v>
      </c>
      <c r="N35" s="7">
        <f>TONT20000DEC2015!K35+TONT20000JANV!K35+TONT20000FEV!K35+TONT20000MARS!K35+TONT20000AVRIL!K35+TONT20000MAI!K35+TONT20000JUIN!K35+TONT20000JUIL!K35+TONT20000AOUT!K35+TONT20000SEPT!K35+TONT20000OCT!K35+TONT20000NOV!K35</f>
        <v>0</v>
      </c>
      <c r="O35" s="7">
        <f>TONT20000DEC2015!L35+TONT20000JANV!L35+TONT20000FEV!L35+TONT20000MARS!L35+TONT20000AVRIL!L35+TONT20000MAI!L35+TONT20000JUIN!L35+TONT20000JUIL!L35+TONT20000AOUT!L35+TONT20000SEPT!L35+TONT20000OCT!L35+TONT20000NOV!L35</f>
        <v>0</v>
      </c>
      <c r="P35" s="7">
        <f>TONT20000DEC2015!M35+TONT20000JANV!M35+TONT20000FEV!M35+TONT20000MARS!M35+TONT20000AVRIL!M35+TONT20000MAI!M35+TONT20000JUIN!M35+TONT20000JUIL!M35+TONT20000AOUT!M35+TONT20000SEPT!N35+TONT20000OCT!M35+TONT20000NOV!M35</f>
        <v>0</v>
      </c>
      <c r="Q35" s="7">
        <f>TONT20000DEC2015!M35+TONT20000JANV!M35+TONT20000FEV!M35+TONT20000MARS!M35+TONT20000AVRIL!M35+TONT20000MAI!M35+TONT20000JUIN!M35+TONT20000JUIL!M35+TONT20000AOUT!M35+TONT20000SEPT!N35+TONT20000OCT!M35+TONT20000NOV!M35</f>
        <v>0</v>
      </c>
      <c r="R35" s="7"/>
    </row>
    <row r="36" spans="1:18">
      <c r="A36" s="1" t="s">
        <v>42</v>
      </c>
      <c r="B36" s="1" t="str">
        <f>VLOOKUP(A36,LISTADHERENT!A$5:H$51,2)</f>
        <v>NTOMBOU ADOLPHE</v>
      </c>
      <c r="C36" s="6">
        <v>0</v>
      </c>
      <c r="D36" s="6">
        <v>0</v>
      </c>
      <c r="E36" s="6"/>
      <c r="F36" s="7">
        <f t="shared" si="0"/>
        <v>180000</v>
      </c>
      <c r="G36" s="7">
        <f>TONT20000DEC2015!D36+TONT20000JANV!D36+TONT20000FEV!D36+TONT20000MARS!D36+TONT20000AVRIL!D36+TONT20000MAI!D36+TONT20000JUIN!D36+TONT20000JUIL!D36+TONT20000AOUT!D36+TONT20000SEPT!D36+TONT20000OCT!D36+TONT20000NOV!D36</f>
        <v>27000</v>
      </c>
      <c r="H36" s="7">
        <f>TONT20000DEC2015!E36+TONT20000JANV!E36+TONT20000FEV!E36+TONT20000MARS!E36+TONT20000AVRIL!E36+TONT20000MAI!E36+TONT20000JUIN!E36+TONT20000JUIL!E36+TONT20000AOUT!E36+TONT20000SEPT!E36+TONT20000OCT!E36+TONT20000NOV!E36</f>
        <v>4500</v>
      </c>
      <c r="I36" s="7">
        <f>TONT20000DEC2015!F36+TONT20000JANV!F36+TONT20000FEV!F36+TONT20000MARS!F36+TONT20000AVRIL!F36+TONT20000MAI!F36+TONT20000JUIN!F36+TONT20000JUIL!F36+TONT20000AOUT!F36+TONT20000SEPT!F36+TONT20000OCT!F36+TONT20000NOV!F36</f>
        <v>9000</v>
      </c>
      <c r="J36" s="7">
        <f>TONT20000DEC2015!G36+TONT20000JANV!G36+TONT20000FEV!G36+TONT20000MARS!G36+TONT20000AVRIL!G36+TONT20000MAI!G36+TONT20000JUIN!G36+TONT20000JUIL!G36+TONT20000AOUT!G36+TONT20000SEPT!G36+TONT20000OCT!G36+TONT20000NOV!G36</f>
        <v>22500</v>
      </c>
      <c r="K36" s="7">
        <f>TONT20000DEC2015!H36+TONT20000JANV!H36+TONT20000FEV!H36+TONT20000MARS!H36+TONT20000AVRIL!H36+TONT20000MAI!H36+TONT20000JUIN!H36+TONT20000JUIL!H36+TONT20000AOUT!H36+TONT20000SEPT!H36+TONT20000OCT!H36+TONT20000NOV!H36</f>
        <v>0</v>
      </c>
      <c r="L36" s="7">
        <f>TONT20000DEC2015!I36+TONT20000JANV!I36+TONT20000FEV!I36+TONT20000MARS!I36+TONT20000AVRIL!I36+TONT20000MAI!I36+TONT20000JUIN!I36+TONT20000JUIL!I36+TONT20000AOUT!I36+TONT20000SEPT!I36+TONT20000OCT!I36+TONT20000NOV!I36</f>
        <v>117000</v>
      </c>
      <c r="M36" s="7">
        <f>TONT20000DEC2015!J36+TONT20000JANV!J36+TONT20000FEV!J36+TONT20000MARS!J36+TONT20000AVRIL!J36+TONT20000MAI!J36+TONT20000JUIN!J36+TONT20000JUIL!J36+TONT20000AOUT!J36+TONT20000SEPT!J36+TONT20000OCT!J36+TONT20000NOV!J36</f>
        <v>0</v>
      </c>
      <c r="N36" s="7">
        <f>TONT20000DEC2015!K36+TONT20000JANV!K36+TONT20000FEV!K36+TONT20000MARS!K36+TONT20000AVRIL!K36+TONT20000MAI!K36+TONT20000JUIN!K36+TONT20000JUIL!K36+TONT20000AOUT!K36+TONT20000SEPT!K36+TONT20000OCT!K36+TONT20000NOV!K36</f>
        <v>0</v>
      </c>
      <c r="O36" s="7">
        <f>TONT20000DEC2015!L36+TONT20000JANV!L36+TONT20000FEV!L36+TONT20000MARS!L36+TONT20000AVRIL!L36+TONT20000MAI!L36+TONT20000JUIN!L36+TONT20000JUIL!L36+TONT20000AOUT!L36+TONT20000SEPT!L36+TONT20000OCT!L36+TONT20000NOV!L36</f>
        <v>0</v>
      </c>
      <c r="P36" s="7">
        <f>TONT20000DEC2015!M36+TONT20000JANV!M36+TONT20000FEV!M36+TONT20000MARS!M36+TONT20000AVRIL!M36+TONT20000MAI!M36+TONT20000JUIN!M36+TONT20000JUIL!M36+TONT20000AOUT!M36+TONT20000SEPT!N36+TONT20000OCT!M36+TONT20000NOV!M36</f>
        <v>0</v>
      </c>
      <c r="Q36" s="7">
        <f>TONT20000DEC2015!M36+TONT20000JANV!M36+TONT20000FEV!M36+TONT20000MARS!M36+TONT20000AVRIL!M36+TONT20000MAI!M36+TONT20000JUIN!M36+TONT20000JUIL!M36+TONT20000AOUT!M36+TONT20000SEPT!N36+TONT20000OCT!M36+TONT20000NOV!M36</f>
        <v>0</v>
      </c>
      <c r="R36" s="7"/>
    </row>
    <row r="37" spans="1:18">
      <c r="A37" s="1" t="s">
        <v>43</v>
      </c>
      <c r="B37" s="1" t="str">
        <f>VLOOKUP(A37,LISTADHERENT!A$5:H$51,2)</f>
        <v>PATEGO NJOSSU GUSTAVE</v>
      </c>
      <c r="C37" s="6">
        <v>390000</v>
      </c>
      <c r="D37" s="6">
        <v>140</v>
      </c>
      <c r="E37" s="6"/>
      <c r="F37" s="7">
        <f t="shared" si="0"/>
        <v>240000</v>
      </c>
      <c r="G37" s="7">
        <f>TONT20000DEC2015!D37+TONT20000JANV!D37+TONT20000FEV!D37+TONT20000MARS!D37+TONT20000AVRIL!D37+TONT20000MAI!D37+TONT20000JUIN!D37+TONT20000JUIL!D37+TONT20000AOUT!D37+TONT20000SEPT!D37+TONT20000OCT!D37+TONT20000NOV!D37</f>
        <v>36000</v>
      </c>
      <c r="H37" s="7">
        <f>TONT20000DEC2015!E37+TONT20000JANV!E37+TONT20000FEV!E37+TONT20000MARS!E37+TONT20000AVRIL!E37+TONT20000MAI!E37+TONT20000JUIN!E37+TONT20000JUIL!E37+TONT20000AOUT!E37+TONT20000SEPT!E37+TONT20000OCT!E37+TONT20000NOV!E37</f>
        <v>6000</v>
      </c>
      <c r="I37" s="7">
        <f>TONT20000DEC2015!F37+TONT20000JANV!F37+TONT20000FEV!F37+TONT20000MARS!F37+TONT20000AVRIL!F37+TONT20000MAI!F37+TONT20000JUIN!F37+TONT20000JUIL!F37+TONT20000AOUT!F37+TONT20000SEPT!F37+TONT20000OCT!F37+TONT20000NOV!F37</f>
        <v>12000</v>
      </c>
      <c r="J37" s="7">
        <f>TONT20000DEC2015!G37+TONT20000JANV!G37+TONT20000FEV!G37+TONT20000MARS!G37+TONT20000AVRIL!G37+TONT20000MAI!G37+TONT20000JUIN!G37+TONT20000JUIL!G37+TONT20000AOUT!G37+TONT20000SEPT!G37+TONT20000OCT!G37+TONT20000NOV!G37</f>
        <v>30000</v>
      </c>
      <c r="K37" s="7">
        <f>TONT20000DEC2015!H37+TONT20000JANV!H37+TONT20000FEV!H37+TONT20000MARS!H37+TONT20000AVRIL!H37+TONT20000MAI!H37+TONT20000JUIN!H37+TONT20000JUIL!H37+TONT20000AOUT!H37+TONT20000SEPT!H37+TONT20000OCT!H37+TONT20000NOV!H37</f>
        <v>0</v>
      </c>
      <c r="L37" s="7">
        <f>TONT20000DEC2015!I37+TONT20000JANV!I37+TONT20000FEV!I37+TONT20000MARS!I37+TONT20000AVRIL!I37+TONT20000MAI!I37+TONT20000JUIN!I37+TONT20000JUIL!I37+TONT20000AOUT!I37+TONT20000SEPT!I37+TONT20000OCT!I37+TONT20000NOV!I37</f>
        <v>156000</v>
      </c>
      <c r="M37" s="7">
        <f>TONT20000DEC2015!J37+TONT20000JANV!J37+TONT20000FEV!J37+TONT20000MARS!J37+TONT20000AVRIL!J37+TONT20000MAI!J37+TONT20000JUIN!J37+TONT20000JUIL!J37+TONT20000AOUT!J37+TONT20000SEPT!J37+TONT20000OCT!J37+TONT20000NOV!J37</f>
        <v>0</v>
      </c>
      <c r="N37" s="7">
        <f>TONT20000DEC2015!K37+TONT20000JANV!K37+TONT20000FEV!K37+TONT20000MARS!K37+TONT20000AVRIL!K37+TONT20000MAI!K37+TONT20000JUIN!K37+TONT20000JUIL!K37+TONT20000AOUT!K37+TONT20000SEPT!K37+TONT20000OCT!K37+TONT20000NOV!K37</f>
        <v>0</v>
      </c>
      <c r="O37" s="7">
        <f>TONT20000DEC2015!L37+TONT20000JANV!L37+TONT20000FEV!L37+TONT20000MARS!L37+TONT20000AVRIL!L37+TONT20000MAI!L37+TONT20000JUIN!L37+TONT20000JUIL!L37+TONT20000AOUT!L37+TONT20000SEPT!L37+TONT20000OCT!L37+TONT20000NOV!L37</f>
        <v>0</v>
      </c>
      <c r="P37" s="7">
        <f>TONT20000DEC2015!M37+TONT20000JANV!M37+TONT20000FEV!M37+TONT20000MARS!M37+TONT20000AVRIL!M37+TONT20000MAI!M37+TONT20000JUIN!M37+TONT20000JUIL!M37+TONT20000AOUT!M37+TONT20000SEPT!N37+TONT20000OCT!M37+TONT20000NOV!M37</f>
        <v>0</v>
      </c>
      <c r="Q37" s="7">
        <f>TONT20000DEC2015!M37+TONT20000JANV!M37+TONT20000FEV!M37+TONT20000MARS!M37+TONT20000AVRIL!M37+TONT20000MAI!M37+TONT20000JUIN!M37+TONT20000JUIL!M37+TONT20000AOUT!M37+TONT20000SEPT!N37+TONT20000OCT!M37+TONT20000NOV!M37</f>
        <v>0</v>
      </c>
      <c r="R37" s="7"/>
    </row>
    <row r="38" spans="1:18">
      <c r="A38" s="1" t="s">
        <v>44</v>
      </c>
      <c r="B38" s="1" t="str">
        <f>VLOOKUP(A38,LISTADHERENT!A$5:H$51,2)</f>
        <v>SEUNOU RICHELOT</v>
      </c>
      <c r="C38" s="6">
        <v>390000</v>
      </c>
      <c r="D38" s="6">
        <v>2632</v>
      </c>
      <c r="E38" s="6"/>
      <c r="F38" s="7">
        <f t="shared" si="0"/>
        <v>240000</v>
      </c>
      <c r="G38" s="7">
        <f>TONT20000DEC2015!D38+TONT20000JANV!D38+TONT20000FEV!D38+TONT20000MARS!D38+TONT20000AVRIL!D38+TONT20000MAI!D38+TONT20000JUIN!D38+TONT20000JUIL!D38+TONT20000AOUT!D38+TONT20000SEPT!D38+TONT20000OCT!D38+TONT20000NOV!D38</f>
        <v>36000</v>
      </c>
      <c r="H38" s="7">
        <f>TONT20000DEC2015!E38+TONT20000JANV!E38+TONT20000FEV!E38+TONT20000MARS!E38+TONT20000AVRIL!E38+TONT20000MAI!E38+TONT20000JUIN!E38+TONT20000JUIL!E38+TONT20000AOUT!E38+TONT20000SEPT!E38+TONT20000OCT!E38+TONT20000NOV!E38</f>
        <v>6000</v>
      </c>
      <c r="I38" s="7">
        <f>TONT20000DEC2015!F38+TONT20000JANV!F38+TONT20000FEV!F38+TONT20000MARS!F38+TONT20000AVRIL!F38+TONT20000MAI!F38+TONT20000JUIN!F38+TONT20000JUIL!F38+TONT20000AOUT!F38+TONT20000SEPT!F38+TONT20000OCT!F38+TONT20000NOV!F38</f>
        <v>12000</v>
      </c>
      <c r="J38" s="7">
        <f>TONT20000DEC2015!G38+TONT20000JANV!G38+TONT20000FEV!G38+TONT20000MARS!G38+TONT20000AVRIL!G38+TONT20000MAI!G38+TONT20000JUIN!G38+TONT20000JUIL!G38+TONT20000AOUT!G38+TONT20000SEPT!G38+TONT20000OCT!G38+TONT20000NOV!G38</f>
        <v>30000</v>
      </c>
      <c r="K38" s="7">
        <f>TONT20000DEC2015!H38+TONT20000JANV!H38+TONT20000FEV!H38+TONT20000MARS!H38+TONT20000AVRIL!H38+TONT20000MAI!H38+TONT20000JUIN!H38+TONT20000JUIL!H38+TONT20000AOUT!H38+TONT20000SEPT!H38+TONT20000OCT!H38+TONT20000NOV!H38</f>
        <v>0</v>
      </c>
      <c r="L38" s="7">
        <f>TONT20000DEC2015!I38+TONT20000JANV!I38+TONT20000FEV!I38+TONT20000MARS!I38+TONT20000AVRIL!I38+TONT20000MAI!I38+TONT20000JUIN!I38+TONT20000JUIL!I38+TONT20000AOUT!I38+TONT20000SEPT!I38+TONT20000OCT!I38+TONT20000NOV!I38</f>
        <v>156000</v>
      </c>
      <c r="M38" s="7">
        <f>TONT20000DEC2015!J38+TONT20000JANV!J38+TONT20000FEV!J38+TONT20000MARS!J38+TONT20000AVRIL!J38+TONT20000MAI!J38+TONT20000JUIN!J38+TONT20000JUIL!J38+TONT20000AOUT!J38+TONT20000SEPT!J38+TONT20000OCT!J38+TONT20000NOV!J38</f>
        <v>1000000</v>
      </c>
      <c r="N38" s="7">
        <f>TONT20000DEC2015!K38+TONT20000JANV!K38+TONT20000FEV!K38+TONT20000MARS!K38+TONT20000AVRIL!K38+TONT20000MAI!K38+TONT20000JUIN!K38+TONT20000JUIL!K38+TONT20000AOUT!K38+TONT20000SEPT!K38+TONT20000OCT!K38+TONT20000NOV!K38</f>
        <v>120000</v>
      </c>
      <c r="O38" s="7">
        <f>TONT20000DEC2015!L38+TONT20000JANV!L38+TONT20000FEV!L38+TONT20000MARS!L38+TONT20000AVRIL!L38+TONT20000MAI!L38+TONT20000JUIN!L38+TONT20000JUIL!L38+TONT20000AOUT!L38+TONT20000SEPT!L38+TONT20000OCT!L38+TONT20000NOV!L38</f>
        <v>0</v>
      </c>
      <c r="P38" s="7">
        <f>TONT20000DEC2015!M38+TONT20000JANV!M38+TONT20000FEV!M38+TONT20000MARS!M38+TONT20000AVRIL!M38+TONT20000MAI!M38+TONT20000JUIN!M38+TONT20000JUIL!M38+TONT20000AOUT!M38+TONT20000SEPT!N38+TONT20000OCT!M38+TONT20000NOV!M38</f>
        <v>0</v>
      </c>
      <c r="Q38" s="7">
        <f>TONT20000DEC2015!M38+TONT20000JANV!M38+TONT20000FEV!M38+TONT20000MARS!M38+TONT20000AVRIL!M38+TONT20000MAI!M38+TONT20000JUIN!M38+TONT20000JUIL!M38+TONT20000AOUT!M38+TONT20000SEPT!N38+TONT20000OCT!M38+TONT20000NOV!M38</f>
        <v>0</v>
      </c>
      <c r="R38" s="7"/>
    </row>
    <row r="39" spans="1:18">
      <c r="A39" s="1" t="s">
        <v>45</v>
      </c>
      <c r="B39" s="1" t="str">
        <f>VLOOKUP(A39,LISTADHERENT!A$5:H$51,2)</f>
        <v>SIME ABEL</v>
      </c>
      <c r="C39" s="6">
        <v>0</v>
      </c>
      <c r="D39" s="6">
        <v>0</v>
      </c>
      <c r="E39" s="6"/>
      <c r="F39" s="7">
        <f t="shared" si="0"/>
        <v>240000</v>
      </c>
      <c r="G39" s="7">
        <f>TONT20000DEC2015!D39+TONT20000JANV!D39+TONT20000FEV!D39+TONT20000MARS!D39+TONT20000AVRIL!D39+TONT20000MAI!D39+TONT20000JUIN!D39+TONT20000JUIL!D39+TONT20000AOUT!D39+TONT20000SEPT!D39+TONT20000OCT!D39+TONT20000NOV!D39</f>
        <v>36000</v>
      </c>
      <c r="H39" s="7">
        <f>TONT20000DEC2015!E39+TONT20000JANV!E39+TONT20000FEV!E39+TONT20000MARS!E39+TONT20000AVRIL!E39+TONT20000MAI!E39+TONT20000JUIN!E39+TONT20000JUIL!E39+TONT20000AOUT!E39+TONT20000SEPT!E39+TONT20000OCT!E39+TONT20000NOV!E39</f>
        <v>6000</v>
      </c>
      <c r="I39" s="7">
        <f>TONT20000DEC2015!F39+TONT20000JANV!F39+TONT20000FEV!F39+TONT20000MARS!F39+TONT20000AVRIL!F39+TONT20000MAI!F39+TONT20000JUIN!F39+TONT20000JUIL!F39+TONT20000AOUT!F39+TONT20000SEPT!F39+TONT20000OCT!F39+TONT20000NOV!F39</f>
        <v>12000</v>
      </c>
      <c r="J39" s="7">
        <f>TONT20000DEC2015!G39+TONT20000JANV!G39+TONT20000FEV!G39+TONT20000MARS!G39+TONT20000AVRIL!G39+TONT20000MAI!G39+TONT20000JUIN!G39+TONT20000JUIL!G39+TONT20000AOUT!G39+TONT20000SEPT!G39+TONT20000OCT!G39+TONT20000NOV!G39</f>
        <v>30000</v>
      </c>
      <c r="K39" s="7">
        <f>TONT20000DEC2015!H39+TONT20000JANV!H39+TONT20000FEV!H39+TONT20000MARS!H39+TONT20000AVRIL!H39+TONT20000MAI!H39+TONT20000JUIN!H39+TONT20000JUIL!H39+TONT20000AOUT!H39+TONT20000SEPT!H39+TONT20000OCT!H39+TONT20000NOV!H39</f>
        <v>0</v>
      </c>
      <c r="L39" s="7">
        <f>TONT20000DEC2015!I39+TONT20000JANV!I39+TONT20000FEV!I39+TONT20000MARS!I39+TONT20000AVRIL!I39+TONT20000MAI!I39+TONT20000JUIN!I39+TONT20000JUIL!I39+TONT20000AOUT!I39+TONT20000SEPT!I39+TONT20000OCT!I39+TONT20000NOV!I39</f>
        <v>156000</v>
      </c>
      <c r="M39" s="7">
        <f>TONT20000DEC2015!J39+TONT20000JANV!J39+TONT20000FEV!J39+TONT20000MARS!J39+TONT20000AVRIL!J39+TONT20000MAI!J39+TONT20000JUIN!J39+TONT20000JUIL!J39+TONT20000AOUT!J39+TONT20000SEPT!J39+TONT20000OCT!J39+TONT20000NOV!J39</f>
        <v>0</v>
      </c>
      <c r="N39" s="7">
        <f>TONT20000DEC2015!K39+TONT20000JANV!K39+TONT20000FEV!K39+TONT20000MARS!K39+TONT20000AVRIL!K39+TONT20000MAI!K39+TONT20000JUIN!K39+TONT20000JUIL!K39+TONT20000AOUT!K39+TONT20000SEPT!K39+TONT20000OCT!K39+TONT20000NOV!K39</f>
        <v>0</v>
      </c>
      <c r="O39" s="7">
        <f>TONT20000DEC2015!L39+TONT20000JANV!L39+TONT20000FEV!L39+TONT20000MARS!L39+TONT20000AVRIL!L39+TONT20000MAI!L39+TONT20000JUIN!L39+TONT20000JUIL!L39+TONT20000AOUT!L39+TONT20000SEPT!L39+TONT20000OCT!L39+TONT20000NOV!L39</f>
        <v>0</v>
      </c>
      <c r="P39" s="7">
        <f>TONT20000DEC2015!M39+TONT20000JANV!M39+TONT20000FEV!M39+TONT20000MARS!M39+TONT20000AVRIL!M39+TONT20000MAI!M39+TONT20000JUIN!M39+TONT20000JUIL!M39+TONT20000AOUT!M39+TONT20000SEPT!N39+TONT20000OCT!M39+TONT20000NOV!M39</f>
        <v>0</v>
      </c>
      <c r="Q39" s="7">
        <f>TONT20000DEC2015!M39+TONT20000JANV!M39+TONT20000FEV!M39+TONT20000MARS!M39+TONT20000AVRIL!M39+TONT20000MAI!M39+TONT20000JUIN!M39+TONT20000JUIL!M39+TONT20000AOUT!M39+TONT20000SEPT!N39+TONT20000OCT!M39+TONT20000NOV!M39</f>
        <v>0</v>
      </c>
      <c r="R39" s="7"/>
    </row>
    <row r="40" spans="1:18">
      <c r="A40" s="1" t="s">
        <v>46</v>
      </c>
      <c r="B40" s="1" t="str">
        <f>VLOOKUP(A40,LISTADHERENT!A$5:H$51,2)</f>
        <v>SIME FONGANG ERIC</v>
      </c>
      <c r="C40" s="6">
        <v>390000</v>
      </c>
      <c r="D40" s="6">
        <v>982</v>
      </c>
      <c r="E40" s="6"/>
      <c r="F40" s="7">
        <f t="shared" si="0"/>
        <v>240000</v>
      </c>
      <c r="G40" s="7">
        <f>TONT20000DEC2015!D40+TONT20000JANV!D40+TONT20000FEV!D40+TONT20000MARS!D40+TONT20000AVRIL!D40+TONT20000MAI!D40+TONT20000JUIN!D40+TONT20000JUIL!D40+TONT20000AOUT!D40+TONT20000SEPT!D40+TONT20000OCT!D40+TONT20000NOV!D40</f>
        <v>36000</v>
      </c>
      <c r="H40" s="7">
        <f>TONT20000DEC2015!E40+TONT20000JANV!E40+TONT20000FEV!E40+TONT20000MARS!E40+TONT20000AVRIL!E40+TONT20000MAI!E40+TONT20000JUIN!E40+TONT20000JUIL!E40+TONT20000AOUT!E40+TONT20000SEPT!E40+TONT20000OCT!E40+TONT20000NOV!E40</f>
        <v>6000</v>
      </c>
      <c r="I40" s="7">
        <f>TONT20000DEC2015!F40+TONT20000JANV!F40+TONT20000FEV!F40+TONT20000MARS!F40+TONT20000AVRIL!F40+TONT20000MAI!F40+TONT20000JUIN!F40+TONT20000JUIL!F40+TONT20000AOUT!F40+TONT20000SEPT!F40+TONT20000OCT!F40+TONT20000NOV!F40</f>
        <v>12000</v>
      </c>
      <c r="J40" s="7">
        <f>TONT20000DEC2015!G40+TONT20000JANV!G40+TONT20000FEV!G40+TONT20000MARS!G40+TONT20000AVRIL!G40+TONT20000MAI!G40+TONT20000JUIN!G40+TONT20000JUIL!G40+TONT20000AOUT!G40+TONT20000SEPT!G40+TONT20000OCT!G40+TONT20000NOV!G40</f>
        <v>30000</v>
      </c>
      <c r="K40" s="7">
        <f>TONT20000DEC2015!H40+TONT20000JANV!H40+TONT20000FEV!H40+TONT20000MARS!H40+TONT20000AVRIL!H40+TONT20000MAI!H40+TONT20000JUIN!H40+TONT20000JUIL!H40+TONT20000AOUT!H40+TONT20000SEPT!H40+TONT20000OCT!H40+TONT20000NOV!H40</f>
        <v>0</v>
      </c>
      <c r="L40" s="7">
        <f>TONT20000DEC2015!I40+TONT20000JANV!I40+TONT20000FEV!I40+TONT20000MARS!I40+TONT20000AVRIL!I40+TONT20000MAI!I40+TONT20000JUIN!I40+TONT20000JUIL!I40+TONT20000AOUT!I40+TONT20000SEPT!I40+TONT20000OCT!I40+TONT20000NOV!I40</f>
        <v>156000</v>
      </c>
      <c r="M40" s="7">
        <f>TONT20000DEC2015!J40+TONT20000JANV!J40+TONT20000FEV!J40+TONT20000MARS!J40+TONT20000AVRIL!J40+TONT20000MAI!J40+TONT20000JUIN!J40+TONT20000JUIL!J40+TONT20000AOUT!J40+TONT20000SEPT!J40+TONT20000OCT!J40+TONT20000NOV!J40</f>
        <v>1000000</v>
      </c>
      <c r="N40" s="7">
        <f>TONT20000DEC2015!K40+TONT20000JANV!K40+TONT20000FEV!K40+TONT20000MARS!K40+TONT20000AVRIL!K40+TONT20000MAI!K40+TONT20000JUIN!K40+TONT20000JUIL!K40+TONT20000AOUT!K40+TONT20000SEPT!K40+TONT20000OCT!K40+TONT20000NOV!K40</f>
        <v>120000</v>
      </c>
      <c r="O40" s="7">
        <f>TONT20000DEC2015!L40+TONT20000JANV!L40+TONT20000FEV!L40+TONT20000MARS!L40+TONT20000AVRIL!L40+TONT20000MAI!L40+TONT20000JUIN!L40+TONT20000JUIL!L40+TONT20000AOUT!L40+TONT20000SEPT!L40+TONT20000OCT!L40+TONT20000NOV!L40</f>
        <v>0</v>
      </c>
      <c r="P40" s="7">
        <f>TONT20000DEC2015!M40+TONT20000JANV!M40+TONT20000FEV!M40+TONT20000MARS!M40+TONT20000AVRIL!M40+TONT20000MAI!M40+TONT20000JUIN!M40+TONT20000JUIL!M40+TONT20000AOUT!M40+TONT20000SEPT!N40+TONT20000OCT!M40+TONT20000NOV!M40</f>
        <v>0</v>
      </c>
      <c r="Q40" s="7">
        <f>TONT20000DEC2015!M40+TONT20000JANV!M40+TONT20000FEV!M40+TONT20000MARS!M40+TONT20000AVRIL!M40+TONT20000MAI!M40+TONT20000JUIN!M40+TONT20000JUIL!M40+TONT20000AOUT!M40+TONT20000SEPT!N40+TONT20000OCT!M40+TONT20000NOV!M40</f>
        <v>0</v>
      </c>
      <c r="R40" s="7"/>
    </row>
    <row r="41" spans="1:18">
      <c r="A41" s="1" t="s">
        <v>47</v>
      </c>
      <c r="B41" s="1" t="str">
        <f>VLOOKUP(A41,LISTADHERENT!A$5:H$51,2)</f>
        <v>SIME MATHIEU</v>
      </c>
      <c r="C41" s="6">
        <v>390000</v>
      </c>
      <c r="D41" s="6">
        <v>636</v>
      </c>
      <c r="E41" s="6"/>
      <c r="F41" s="7">
        <f t="shared" si="0"/>
        <v>1120000</v>
      </c>
      <c r="G41" s="7">
        <f>TONT20000DEC2015!D41+TONT20000JANV!D41+TONT20000FEV!D41+TONT20000MARS!D41+TONT20000AVRIL!D41+TONT20000MAI!D41+TONT20000JUIN!D41+TONT20000JUIL!D41+TONT20000AOUT!D41+TONT20000SEPT!D41+TONT20000OCT!D41+TONT20000NOV!D41</f>
        <v>916000</v>
      </c>
      <c r="H41" s="7">
        <f>TONT20000DEC2015!E41+TONT20000JANV!E41+TONT20000FEV!E41+TONT20000MARS!E41+TONT20000AVRIL!E41+TONT20000MAI!E41+TONT20000JUIN!E41+TONT20000JUIL!E41+TONT20000AOUT!E41+TONT20000SEPT!E41+TONT20000OCT!E41+TONT20000NOV!E41</f>
        <v>6000</v>
      </c>
      <c r="I41" s="7">
        <f>TONT20000DEC2015!F41+TONT20000JANV!F41+TONT20000FEV!F41+TONT20000MARS!F41+TONT20000AVRIL!F41+TONT20000MAI!F41+TONT20000JUIN!F41+TONT20000JUIL!F41+TONT20000AOUT!F41+TONT20000SEPT!F41+TONT20000OCT!F41+TONT20000NOV!F41</f>
        <v>12000</v>
      </c>
      <c r="J41" s="7">
        <f>TONT20000DEC2015!G41+TONT20000JANV!G41+TONT20000FEV!G41+TONT20000MARS!G41+TONT20000AVRIL!G41+TONT20000MAI!G41+TONT20000JUIN!G41+TONT20000JUIL!G41+TONT20000AOUT!G41+TONT20000SEPT!G41+TONT20000OCT!G41+TONT20000NOV!G41</f>
        <v>30000</v>
      </c>
      <c r="K41" s="7">
        <f>TONT20000DEC2015!H41+TONT20000JANV!H41+TONT20000FEV!H41+TONT20000MARS!H41+TONT20000AVRIL!H41+TONT20000MAI!H41+TONT20000JUIN!H41+TONT20000JUIL!H41+TONT20000AOUT!H41+TONT20000SEPT!H41+TONT20000OCT!H41+TONT20000NOV!H41</f>
        <v>0</v>
      </c>
      <c r="L41" s="7">
        <f>TONT20000DEC2015!I41+TONT20000JANV!I41+TONT20000FEV!I41+TONT20000MARS!I41+TONT20000AVRIL!I41+TONT20000MAI!I41+TONT20000JUIN!I41+TONT20000JUIL!I41+TONT20000AOUT!I41+TONT20000SEPT!I41+TONT20000OCT!I41+TONT20000NOV!I41</f>
        <v>156000</v>
      </c>
      <c r="M41" s="7">
        <f>TONT20000DEC2015!J41+TONT20000JANV!J41+TONT20000FEV!J41+TONT20000MARS!J41+TONT20000AVRIL!J41+TONT20000MAI!J41+TONT20000JUIN!J41+TONT20000JUIL!J41+TONT20000AOUT!J41+TONT20000SEPT!J41+TONT20000OCT!J41+TONT20000NOV!J41</f>
        <v>800000</v>
      </c>
      <c r="N41" s="7">
        <f>TONT20000DEC2015!K41+TONT20000JANV!K41+TONT20000FEV!K41+TONT20000MARS!K41+TONT20000AVRIL!K41+TONT20000MAI!K41+TONT20000JUIN!K41+TONT20000JUIL!K41+TONT20000AOUT!K41+TONT20000SEPT!K41+TONT20000OCT!K41+TONT20000NOV!K41</f>
        <v>96000</v>
      </c>
      <c r="O41" s="7">
        <f>TONT20000DEC2015!L41+TONT20000JANV!L41+TONT20000FEV!L41+TONT20000MARS!L41+TONT20000AVRIL!L41+TONT20000MAI!L41+TONT20000JUIN!L41+TONT20000JUIL!L41+TONT20000AOUT!L41+TONT20000SEPT!L41+TONT20000OCT!L41+TONT20000NOV!L41</f>
        <v>0</v>
      </c>
      <c r="P41" s="7">
        <f>TONT20000DEC2015!M41+TONT20000JANV!M41+TONT20000FEV!M41+TONT20000MARS!M41+TONT20000AVRIL!M41+TONT20000MAI!M41+TONT20000JUIN!M41+TONT20000JUIL!M41+TONT20000AOUT!M41+TONT20000SEPT!N41+TONT20000OCT!M41+TONT20000NOV!M41</f>
        <v>0</v>
      </c>
      <c r="Q41" s="7">
        <f>TONT20000DEC2015!M41+TONT20000JANV!M41+TONT20000FEV!M41+TONT20000MARS!M41+TONT20000AVRIL!M41+TONT20000MAI!M41+TONT20000JUIN!M41+TONT20000JUIL!M41+TONT20000AOUT!M41+TONT20000SEPT!N41+TONT20000OCT!M41+TONT20000NOV!M41</f>
        <v>0</v>
      </c>
      <c r="R41" s="7"/>
    </row>
    <row r="42" spans="1:18">
      <c r="A42" s="1" t="s">
        <v>48</v>
      </c>
      <c r="B42" s="1" t="str">
        <f>VLOOKUP(A42,LISTADHERENT!A$5:H$51,2)</f>
        <v>SIME PIERRE</v>
      </c>
      <c r="C42" s="6">
        <v>390000</v>
      </c>
      <c r="D42" s="6">
        <v>146079</v>
      </c>
      <c r="E42" s="6"/>
      <c r="F42" s="7">
        <f t="shared" si="0"/>
        <v>250000</v>
      </c>
      <c r="G42" s="7">
        <f>TONT20000DEC2015!D42+TONT20000JANV!D42+TONT20000FEV!D42+TONT20000MARS!D42+TONT20000AVRIL!D42+TONT20000MAI!D42+TONT20000JUIN!D42+TONT20000JUIL!D42+TONT20000AOUT!D42+TONT20000SEPT!D42+TONT20000OCT!D42+TONT20000NOV!D42</f>
        <v>36000</v>
      </c>
      <c r="H42" s="7">
        <f>TONT20000DEC2015!E42+TONT20000JANV!E42+TONT20000FEV!E42+TONT20000MARS!E42+TONT20000AVRIL!E42+TONT20000MAI!E42+TONT20000JUIN!E42+TONT20000JUIL!E42+TONT20000AOUT!E42+TONT20000SEPT!E42+TONT20000OCT!E42+TONT20000NOV!E42</f>
        <v>6000</v>
      </c>
      <c r="I42" s="7">
        <f>TONT20000DEC2015!F42+TONT20000JANV!F42+TONT20000FEV!F42+TONT20000MARS!F42+TONT20000AVRIL!F42+TONT20000MAI!F42+TONT20000JUIN!F42+TONT20000JUIL!F42+TONT20000AOUT!F42+TONT20000SEPT!F42+TONT20000OCT!F42+TONT20000NOV!F42</f>
        <v>12000</v>
      </c>
      <c r="J42" s="7">
        <f>TONT20000DEC2015!G42+TONT20000JANV!G42+TONT20000FEV!G42+TONT20000MARS!G42+TONT20000AVRIL!G42+TONT20000MAI!G42+TONT20000JUIN!G42+TONT20000JUIL!G42+TONT20000AOUT!G42+TONT20000SEPT!G42+TONT20000OCT!G42+TONT20000NOV!G42</f>
        <v>30000</v>
      </c>
      <c r="K42" s="7">
        <f>TONT20000DEC2015!H42+TONT20000JANV!H42+TONT20000FEV!H42+TONT20000MARS!H42+TONT20000AVRIL!H42+TONT20000MAI!H42+TONT20000JUIN!H42+TONT20000JUIL!H42+TONT20000AOUT!H42+TONT20000SEPT!H42+TONT20000OCT!H42+TONT20000NOV!H42</f>
        <v>10000</v>
      </c>
      <c r="L42" s="7">
        <f>TONT20000DEC2015!I42+TONT20000JANV!I42+TONT20000FEV!I42+TONT20000MARS!I42+TONT20000AVRIL!I42+TONT20000MAI!I42+TONT20000JUIN!I42+TONT20000JUIL!I42+TONT20000AOUT!I42+TONT20000SEPT!I42+TONT20000OCT!I42+TONT20000NOV!I42</f>
        <v>156000</v>
      </c>
      <c r="M42" s="7">
        <f>TONT20000DEC2015!J42+TONT20000JANV!J42+TONT20000FEV!J42+TONT20000MARS!J42+TONT20000AVRIL!J42+TONT20000MAI!J42+TONT20000JUIN!J42+TONT20000JUIL!J42+TONT20000AOUT!J42+TONT20000SEPT!J42+TONT20000OCT!J42+TONT20000NOV!J42</f>
        <v>1110000</v>
      </c>
      <c r="N42" s="7">
        <f>TONT20000DEC2015!K42+TONT20000JANV!K42+TONT20000FEV!K42+TONT20000MARS!K42+TONT20000AVRIL!K42+TONT20000MAI!K42+TONT20000JUIN!K42+TONT20000JUIL!K42+TONT20000AOUT!K42+TONT20000SEPT!K42+TONT20000OCT!K42+TONT20000NOV!K42</f>
        <v>84600</v>
      </c>
      <c r="O42" s="7">
        <f>TONT20000DEC2015!L42+TONT20000JANV!L42+TONT20000FEV!L42+TONT20000MARS!L42+TONT20000AVRIL!L42+TONT20000MAI!L42+TONT20000JUIN!L42+TONT20000JUIL!L42+TONT20000AOUT!L42+TONT20000SEPT!L42+TONT20000OCT!L42+TONT20000NOV!L42</f>
        <v>540000</v>
      </c>
      <c r="P42" s="7">
        <f>TONT20000DEC2015!M42+TONT20000JANV!M42+TONT20000FEV!M42+TONT20000MARS!M42+TONT20000AVRIL!M42+TONT20000MAI!M42+TONT20000JUIN!M42+TONT20000JUIL!M42+TONT20000AOUT!M42+TONT20000SEPT!N42+TONT20000OCT!M42+TONT20000NOV!M42</f>
        <v>0</v>
      </c>
      <c r="Q42" s="7">
        <f>TONT20000DEC2015!M42+TONT20000JANV!M42+TONT20000FEV!M42+TONT20000MARS!M42+TONT20000AVRIL!M42+TONT20000MAI!M42+TONT20000JUIN!M42+TONT20000JUIL!M42+TONT20000AOUT!M42+TONT20000SEPT!N42+TONT20000OCT!M42+TONT20000NOV!M42</f>
        <v>0</v>
      </c>
      <c r="R42" s="7"/>
    </row>
    <row r="43" spans="1:18">
      <c r="A43" s="1" t="s">
        <v>49</v>
      </c>
      <c r="B43" s="1" t="str">
        <f>VLOOKUP(A43,LISTADHERENT!A$5:H$51,2)</f>
        <v>TAGNE NANGUEN MARTIN</v>
      </c>
      <c r="C43" s="6">
        <v>0</v>
      </c>
      <c r="D43" s="6">
        <v>0</v>
      </c>
      <c r="E43" s="6"/>
      <c r="F43" s="7">
        <f t="shared" si="0"/>
        <v>240000</v>
      </c>
      <c r="G43" s="7">
        <f>TONT20000DEC2015!D43+TONT20000JANV!D43+TONT20000FEV!D43+TONT20000MARS!D43+TONT20000AVRIL!D43+TONT20000MAI!D43+TONT20000JUIN!D43+TONT20000JUIL!D43+TONT20000AOUT!D43+TONT20000SEPT!D43+TONT20000OCT!D43+TONT20000NOV!D43</f>
        <v>36000</v>
      </c>
      <c r="H43" s="7">
        <f>TONT20000DEC2015!E43+TONT20000JANV!E43+TONT20000FEV!E43+TONT20000MARS!E43+TONT20000AVRIL!E43+TONT20000MAI!E43+TONT20000JUIN!E43+TONT20000JUIL!E43+TONT20000AOUT!E43+TONT20000SEPT!E43+TONT20000OCT!E43+TONT20000NOV!E43</f>
        <v>6000</v>
      </c>
      <c r="I43" s="7">
        <f>TONT20000DEC2015!F43+TONT20000JANV!F43+TONT20000FEV!F43+TONT20000MARS!F43+TONT20000AVRIL!F43+TONT20000MAI!F43+TONT20000JUIN!F43+TONT20000JUIL!F43+TONT20000AOUT!F43+TONT20000SEPT!F43+TONT20000OCT!F43+TONT20000NOV!F43</f>
        <v>12000</v>
      </c>
      <c r="J43" s="7">
        <f>TONT20000DEC2015!G43+TONT20000JANV!G43+TONT20000FEV!G43+TONT20000MARS!G43+TONT20000AVRIL!G43+TONT20000MAI!G43+TONT20000JUIN!G43+TONT20000JUIL!G43+TONT20000AOUT!G43+TONT20000SEPT!G43+TONT20000OCT!G43+TONT20000NOV!G43</f>
        <v>30000</v>
      </c>
      <c r="K43" s="7">
        <f>TONT20000DEC2015!H43+TONT20000JANV!H43+TONT20000FEV!H43+TONT20000MARS!H43+TONT20000AVRIL!H43+TONT20000MAI!H43+TONT20000JUIN!H43+TONT20000JUIL!H43+TONT20000AOUT!H43+TONT20000SEPT!H43+TONT20000OCT!H43+TONT20000NOV!H43</f>
        <v>0</v>
      </c>
      <c r="L43" s="7">
        <f>TONT20000DEC2015!I43+TONT20000JANV!I43+TONT20000FEV!I43+TONT20000MARS!I43+TONT20000AVRIL!I43+TONT20000MAI!I43+TONT20000JUIN!I43+TONT20000JUIL!I43+TONT20000AOUT!I43+TONT20000SEPT!I43+TONT20000OCT!I43+TONT20000NOV!I43</f>
        <v>156000</v>
      </c>
      <c r="M43" s="7">
        <f>TONT20000DEC2015!J43+TONT20000JANV!J43+TONT20000FEV!J43+TONT20000MARS!J43+TONT20000AVRIL!J43+TONT20000MAI!J43+TONT20000JUIN!J43+TONT20000JUIL!J43+TONT20000AOUT!J43+TONT20000SEPT!J43+TONT20000OCT!J43+TONT20000NOV!J43</f>
        <v>0</v>
      </c>
      <c r="N43" s="7">
        <f>TONT20000DEC2015!K43+TONT20000JANV!K43+TONT20000FEV!K43+TONT20000MARS!K43+TONT20000AVRIL!K43+TONT20000MAI!K43+TONT20000JUIN!K43+TONT20000JUIL!K43+TONT20000AOUT!K43+TONT20000SEPT!K43+TONT20000OCT!K43+TONT20000NOV!K43</f>
        <v>0</v>
      </c>
      <c r="O43" s="7">
        <f>TONT20000DEC2015!L43+TONT20000JANV!L43+TONT20000FEV!L43+TONT20000MARS!L43+TONT20000AVRIL!L43+TONT20000MAI!L43+TONT20000JUIN!L43+TONT20000JUIL!L43+TONT20000AOUT!L43+TONT20000SEPT!L43+TONT20000OCT!L43+TONT20000NOV!L43</f>
        <v>0</v>
      </c>
      <c r="P43" s="7">
        <f>TONT20000DEC2015!M43+TONT20000JANV!M43+TONT20000FEV!M43+TONT20000MARS!M43+TONT20000AVRIL!M43+TONT20000MAI!M43+TONT20000JUIN!M43+TONT20000JUIL!M43+TONT20000AOUT!M43+TONT20000SEPT!N43+TONT20000OCT!M43+TONT20000NOV!M43</f>
        <v>0</v>
      </c>
      <c r="Q43" s="7">
        <f>TONT20000DEC2015!M43+TONT20000JANV!M43+TONT20000FEV!M43+TONT20000MARS!M43+TONT20000AVRIL!M43+TONT20000MAI!M43+TONT20000JUIN!M43+TONT20000JUIL!M43+TONT20000AOUT!M43+TONT20000SEPT!N43+TONT20000OCT!M43+TONT20000NOV!M43</f>
        <v>0</v>
      </c>
      <c r="R43" s="7"/>
    </row>
    <row r="44" spans="1:18">
      <c r="A44" s="1" t="s">
        <v>50</v>
      </c>
      <c r="B44" s="1" t="str">
        <f>VLOOKUP(A44,LISTADHERENT!A$5:H$51,2)</f>
        <v>TCHOUAMOU JEAN PAUL</v>
      </c>
      <c r="C44" s="6">
        <v>0</v>
      </c>
      <c r="D44" s="6">
        <v>0</v>
      </c>
      <c r="E44" s="6"/>
      <c r="F44" s="7">
        <f t="shared" si="0"/>
        <v>290000</v>
      </c>
      <c r="G44" s="7">
        <f>TONT20000DEC2015!D44+TONT20000JANV!D44+TONT20000FEV!D44+TONT20000MARS!D44+TONT20000AVRIL!D44+TONT20000MAI!D44+TONT20000JUIN!D44+TONT20000JUIL!D44+TONT20000AOUT!D44+TONT20000SEPT!D44+TONT20000OCT!D44+TONT20000NOV!D44</f>
        <v>36000</v>
      </c>
      <c r="H44" s="7">
        <f>TONT20000DEC2015!E44+TONT20000JANV!E44+TONT20000FEV!E44+TONT20000MARS!E44+TONT20000AVRIL!E44+TONT20000MAI!E44+TONT20000JUIN!E44+TONT20000JUIL!E44+TONT20000AOUT!E44+TONT20000SEPT!E44+TONT20000OCT!E44+TONT20000NOV!E44</f>
        <v>6000</v>
      </c>
      <c r="I44" s="7">
        <f>TONT20000DEC2015!F44+TONT20000JANV!F44+TONT20000FEV!F44+TONT20000MARS!F44+TONT20000AVRIL!F44+TONT20000MAI!F44+TONT20000JUIN!F44+TONT20000JUIL!F44+TONT20000AOUT!F44+TONT20000SEPT!F44+TONT20000OCT!F44+TONT20000NOV!F44</f>
        <v>12000</v>
      </c>
      <c r="J44" s="7">
        <f>TONT20000DEC2015!G44+TONT20000JANV!G44+TONT20000FEV!G44+TONT20000MARS!G44+TONT20000AVRIL!G44+TONT20000MAI!G44+TONT20000JUIN!G44+TONT20000JUIL!G44+TONT20000AOUT!G44+TONT20000SEPT!G44+TONT20000OCT!G44+TONT20000NOV!G44</f>
        <v>30000</v>
      </c>
      <c r="K44" s="7">
        <f>TONT20000DEC2015!H44+TONT20000JANV!H44+TONT20000FEV!H44+TONT20000MARS!H44+TONT20000AVRIL!H44+TONT20000MAI!H44+TONT20000JUIN!H44+TONT20000JUIL!H44+TONT20000AOUT!H44+TONT20000SEPT!H44+TONT20000OCT!H44+TONT20000NOV!H44</f>
        <v>50000</v>
      </c>
      <c r="L44" s="7">
        <f>TONT20000DEC2015!I44+TONT20000JANV!I44+TONT20000FEV!I44+TONT20000MARS!I44+TONT20000AVRIL!I44+TONT20000MAI!I44+TONT20000JUIN!I44+TONT20000JUIL!I44+TONT20000AOUT!I44+TONT20000SEPT!I44+TONT20000OCT!I44+TONT20000NOV!I44</f>
        <v>156000</v>
      </c>
      <c r="M44" s="7">
        <f>TONT20000DEC2015!J44+TONT20000JANV!J44+TONT20000FEV!J44+TONT20000MARS!J44+TONT20000AVRIL!J44+TONT20000MAI!J44+TONT20000JUIN!J44+TONT20000JUIL!J44+TONT20000AOUT!J44+TONT20000SEPT!J44+TONT20000OCT!J44+TONT20000NOV!J44</f>
        <v>0</v>
      </c>
      <c r="N44" s="7">
        <f>TONT20000DEC2015!K44+TONT20000JANV!K44+TONT20000FEV!K44+TONT20000MARS!K44+TONT20000AVRIL!K44+TONT20000MAI!K44+TONT20000JUIN!K44+TONT20000JUIL!K44+TONT20000AOUT!K44+TONT20000SEPT!K44+TONT20000OCT!K44+TONT20000NOV!K44</f>
        <v>0</v>
      </c>
      <c r="O44" s="7">
        <f>TONT20000DEC2015!L44+TONT20000JANV!L44+TONT20000FEV!L44+TONT20000MARS!L44+TONT20000AVRIL!L44+TONT20000MAI!L44+TONT20000JUIN!L44+TONT20000JUIL!L44+TONT20000AOUT!L44+TONT20000SEPT!L44+TONT20000OCT!L44+TONT20000NOV!L44</f>
        <v>0</v>
      </c>
      <c r="P44" s="7">
        <f>TONT20000DEC2015!M44+TONT20000JANV!M44+TONT20000FEV!M44+TONT20000MARS!M44+TONT20000AVRIL!M44+TONT20000MAI!M44+TONT20000JUIN!M44+TONT20000JUIL!M44+TONT20000AOUT!M44+TONT20000SEPT!N44+TONT20000OCT!M44+TONT20000NOV!M44</f>
        <v>0</v>
      </c>
      <c r="Q44" s="7">
        <f>TONT20000DEC2015!M44+TONT20000JANV!M44+TONT20000FEV!M44+TONT20000MARS!M44+TONT20000AVRIL!M44+TONT20000MAI!M44+TONT20000JUIN!M44+TONT20000JUIL!M44+TONT20000AOUT!M44+TONT20000SEPT!N44+TONT20000OCT!M44+TONT20000NOV!M44</f>
        <v>0</v>
      </c>
      <c r="R44" s="7"/>
    </row>
    <row r="45" spans="1:18">
      <c r="A45" s="1" t="s">
        <v>51</v>
      </c>
      <c r="B45" s="1" t="str">
        <f>VLOOKUP(A45,LISTADHERENT!A$5:H$51,2)</f>
        <v>TCHOUAMOU MATHIEU</v>
      </c>
      <c r="C45" s="6">
        <v>390000</v>
      </c>
      <c r="D45" s="6">
        <v>3437</v>
      </c>
      <c r="E45" s="6"/>
      <c r="F45" s="7">
        <f t="shared" si="0"/>
        <v>297075</v>
      </c>
      <c r="G45" s="7">
        <f>TONT20000DEC2015!D45+TONT20000JANV!D45+TONT20000FEV!D45+TONT20000MARS!D45+TONT20000AVRIL!D45+TONT20000MAI!D45+TONT20000JUIN!D45+TONT20000JUIL!D45+TONT20000AOUT!D45+TONT20000SEPT!D45+TONT20000OCT!D45+TONT20000NOV!D45</f>
        <v>39000</v>
      </c>
      <c r="H45" s="7">
        <f>TONT20000DEC2015!E45+TONT20000JANV!E45+TONT20000FEV!E45+TONT20000MARS!E45+TONT20000AVRIL!E45+TONT20000MAI!E45+TONT20000JUIN!E45+TONT20000JUIL!E45+TONT20000AOUT!E45+TONT20000SEPT!E45+TONT20000OCT!E45+TONT20000NOV!E45</f>
        <v>6000</v>
      </c>
      <c r="I45" s="7">
        <f>TONT20000DEC2015!F45+TONT20000JANV!F45+TONT20000FEV!F45+TONT20000MARS!F45+TONT20000AVRIL!F45+TONT20000MAI!F45+TONT20000JUIN!F45+TONT20000JUIL!F45+TONT20000AOUT!F45+TONT20000SEPT!F45+TONT20000OCT!F45+TONT20000NOV!F45</f>
        <v>12000</v>
      </c>
      <c r="J45" s="7">
        <f>TONT20000DEC2015!G45+TONT20000JANV!G45+TONT20000FEV!G45+TONT20000MARS!G45+TONT20000AVRIL!G45+TONT20000MAI!G45+TONT20000JUIN!G45+TONT20000JUIL!G45+TONT20000AOUT!G45+TONT20000SEPT!G45+TONT20000OCT!G45+TONT20000NOV!G45</f>
        <v>30000</v>
      </c>
      <c r="K45" s="7">
        <f>TONT20000DEC2015!H45+TONT20000JANV!H45+TONT20000FEV!H45+TONT20000MARS!H45+TONT20000AVRIL!H45+TONT20000MAI!H45+TONT20000JUIN!H45+TONT20000JUIL!H45+TONT20000AOUT!H45+TONT20000SEPT!H45+TONT20000OCT!H45+TONT20000NOV!H45</f>
        <v>0</v>
      </c>
      <c r="L45" s="7">
        <f>TONT20000DEC2015!I45+TONT20000JANV!I45+TONT20000FEV!I45+TONT20000MARS!I45+TONT20000AVRIL!I45+TONT20000MAI!I45+TONT20000JUIN!I45+TONT20000JUIL!I45+TONT20000AOUT!I45+TONT20000SEPT!I45+TONT20000OCT!I45+TONT20000NOV!I45</f>
        <v>156000</v>
      </c>
      <c r="M45" s="7">
        <f>TONT20000DEC2015!J45+TONT20000JANV!J45+TONT20000FEV!J45+TONT20000MARS!J45+TONT20000AVRIL!J45+TONT20000MAI!J45+TONT20000JUIN!J45+TONT20000JUIL!J45+TONT20000AOUT!J45+TONT20000SEPT!J45+TONT20000OCT!J45+TONT20000NOV!J45</f>
        <v>1500000</v>
      </c>
      <c r="N45" s="7">
        <f>TONT20000DEC2015!K45+TONT20000JANV!K45+TONT20000FEV!K45+TONT20000MARS!K45+TONT20000AVRIL!K45+TONT20000MAI!K45+TONT20000JUIN!K45+TONT20000JUIL!K45+TONT20000AOUT!K45+TONT20000SEPT!K45+TONT20000OCT!K45+TONT20000NOV!K45</f>
        <v>45000</v>
      </c>
      <c r="O45" s="7">
        <f>TONT20000DEC2015!L45+TONT20000JANV!L45+TONT20000FEV!L45+TONT20000MARS!L45+TONT20000AVRIL!L45+TONT20000MAI!L45+TONT20000JUIN!L45+TONT20000JUIL!L45+TONT20000AOUT!L45+TONT20000SEPT!L45+TONT20000OCT!L45+TONT20000NOV!L45</f>
        <v>1000000</v>
      </c>
      <c r="P45" s="7">
        <f>TONT20000DEC2015!M45+TONT20000JANV!M45+TONT20000FEV!M45+TONT20000MARS!M45+TONT20000AVRIL!M45+TONT20000MAI!M45+TONT20000JUIN!M45+TONT20000JUIL!M45+TONT20000AOUT!M45+TONT20000SEPT!N45+TONT20000OCT!M45+TONT20000NOV!M45</f>
        <v>54075</v>
      </c>
      <c r="Q45" s="7">
        <f>TONT20000DEC2015!M45+TONT20000JANV!M45+TONT20000FEV!M45+TONT20000MARS!M45+TONT20000AVRIL!M45+TONT20000MAI!M45+TONT20000JUIN!M45+TONT20000JUIL!M45+TONT20000AOUT!M45+TONT20000SEPT!N45+TONT20000OCT!M45+TONT20000NOV!M45</f>
        <v>54075</v>
      </c>
      <c r="R45" s="7"/>
    </row>
    <row r="46" spans="1:18">
      <c r="A46" s="1" t="s">
        <v>52</v>
      </c>
      <c r="B46" s="1" t="str">
        <f>VLOOKUP(A46,LISTADHERENT!A$5:H$51,2)</f>
        <v>TCHOUANTE FRANCOIS</v>
      </c>
      <c r="C46" s="6">
        <f>390000-132881</f>
        <v>257119</v>
      </c>
      <c r="D46" s="6">
        <v>4925</v>
      </c>
      <c r="E46" s="6"/>
      <c r="F46" s="7">
        <f t="shared" si="0"/>
        <v>264000</v>
      </c>
      <c r="G46" s="7">
        <f>TONT20000DEC2015!D46+TONT20000JANV!D46+TONT20000FEV!D46+TONT20000MARS!D46+TONT20000AVRIL!D46+TONT20000MAI!D46+TONT20000JUIN!D46+TONT20000JUIL!D46+TONT20000AOUT!D46+TONT20000SEPT!D46+TONT20000OCT!D46+TONT20000NOV!D46</f>
        <v>60000</v>
      </c>
      <c r="H46" s="7">
        <f>TONT20000DEC2015!E46+TONT20000JANV!E46+TONT20000FEV!E46+TONT20000MARS!E46+TONT20000AVRIL!E46+TONT20000MAI!E46+TONT20000JUIN!E46+TONT20000JUIL!E46+TONT20000AOUT!E46+TONT20000SEPT!E46+TONT20000OCT!E46+TONT20000NOV!E46</f>
        <v>6000</v>
      </c>
      <c r="I46" s="7">
        <f>TONT20000DEC2015!F46+TONT20000JANV!F46+TONT20000FEV!F46+TONT20000MARS!F46+TONT20000AVRIL!F46+TONT20000MAI!F46+TONT20000JUIN!F46+TONT20000JUIL!F46+TONT20000AOUT!F46+TONT20000SEPT!F46+TONT20000OCT!F46+TONT20000NOV!F46</f>
        <v>12000</v>
      </c>
      <c r="J46" s="7">
        <f>TONT20000DEC2015!G46+TONT20000JANV!G46+TONT20000FEV!G46+TONT20000MARS!G46+TONT20000AVRIL!G46+TONT20000MAI!G46+TONT20000JUIN!G46+TONT20000JUIL!G46+TONT20000AOUT!G46+TONT20000SEPT!G46+TONT20000OCT!G46+TONT20000NOV!G46</f>
        <v>30000</v>
      </c>
      <c r="K46" s="7">
        <f>TONT20000DEC2015!H46+TONT20000JANV!H46+TONT20000FEV!H46+TONT20000MARS!H46+TONT20000AVRIL!H46+TONT20000MAI!H46+TONT20000JUIN!H46+TONT20000JUIL!H46+TONT20000AOUT!H46+TONT20000SEPT!H46+TONT20000OCT!H46+TONT20000NOV!H46</f>
        <v>0</v>
      </c>
      <c r="L46" s="7">
        <f>TONT20000DEC2015!I46+TONT20000JANV!I46+TONT20000FEV!I46+TONT20000MARS!I46+TONT20000AVRIL!I46+TONT20000MAI!I46+TONT20000JUIN!I46+TONT20000JUIL!I46+TONT20000AOUT!I46+TONT20000SEPT!I46+TONT20000OCT!I46+TONT20000NOV!I46</f>
        <v>156000</v>
      </c>
      <c r="M46" s="7">
        <f>TONT20000DEC2015!J46+TONT20000JANV!J46+TONT20000FEV!J46+TONT20000MARS!J46+TONT20000AVRIL!J46+TONT20000MAI!J46+TONT20000JUIN!J46+TONT20000JUIL!J46+TONT20000AOUT!J46+TONT20000SEPT!J46+TONT20000OCT!J46+TONT20000NOV!J46</f>
        <v>1250000</v>
      </c>
      <c r="N46" s="7">
        <f>TONT20000DEC2015!K46+TONT20000JANV!K46+TONT20000FEV!K46+TONT20000MARS!K46+TONT20000AVRIL!K46+TONT20000MAI!K46+TONT20000JUIN!K46+TONT20000JUIL!K46+TONT20000AOUT!K46+TONT20000SEPT!K46+TONT20000OCT!K46+TONT20000NOV!K46</f>
        <v>105000</v>
      </c>
      <c r="O46" s="7">
        <f>TONT20000DEC2015!L46+TONT20000JANV!L46+TONT20000FEV!L46+TONT20000MARS!L46+TONT20000AVRIL!L46+TONT20000MAI!L46+TONT20000JUIN!L46+TONT20000JUIL!L46+TONT20000AOUT!L46+TONT20000SEPT!L46+TONT20000OCT!L46+TONT20000NOV!L46</f>
        <v>0</v>
      </c>
      <c r="P46" s="7">
        <f>TONT20000DEC2015!M46+TONT20000JANV!M46+TONT20000FEV!M46+TONT20000MARS!M46+TONT20000AVRIL!M46+TONT20000MAI!M46+TONT20000JUIN!M46+TONT20000JUIL!M46+TONT20000AOUT!M46+TONT20000SEPT!N46+TONT20000OCT!M46+TONT20000NOV!M46</f>
        <v>0</v>
      </c>
      <c r="Q46" s="7">
        <f>TONT20000DEC2015!M46+TONT20000JANV!M46+TONT20000FEV!M46+TONT20000MARS!M46+TONT20000AVRIL!M46+TONT20000MAI!M46+TONT20000JUIN!M46+TONT20000JUIL!M46+TONT20000AOUT!M46+TONT20000SEPT!N46+TONT20000OCT!M46+TONT20000NOV!M46</f>
        <v>0</v>
      </c>
      <c r="R46" s="7"/>
    </row>
    <row r="47" spans="1:18">
      <c r="A47" s="1" t="s">
        <v>53</v>
      </c>
      <c r="B47" s="1" t="str">
        <f>VLOOKUP(A47,LISTADHERENT!A$5:H$51,2)</f>
        <v>TCHOUTOU NANA CLAUDE</v>
      </c>
      <c r="C47" s="6">
        <v>0</v>
      </c>
      <c r="D47" s="6">
        <v>0</v>
      </c>
      <c r="E47" s="6"/>
      <c r="F47" s="7">
        <f t="shared" si="0"/>
        <v>160000</v>
      </c>
      <c r="G47" s="7">
        <f>TONT20000DEC2015!D47+TONT20000JANV!D47+TONT20000FEV!D47+TONT20000MARS!D47+TONT20000AVRIL!D47+TONT20000MAI!D47+TONT20000JUIN!D47+TONT20000JUIL!D47+TONT20000AOUT!D47+TONT20000SEPT!D47+TONT20000OCT!D47+TONT20000NOV!D47</f>
        <v>24000</v>
      </c>
      <c r="H47" s="7">
        <f>TONT20000DEC2015!E47+TONT20000JANV!E47+TONT20000FEV!E47+TONT20000MARS!E47+TONT20000AVRIL!E47+TONT20000MAI!E47+TONT20000JUIN!E47+TONT20000JUIL!E47+TONT20000AOUT!E47+TONT20000SEPT!E47+TONT20000OCT!E47+TONT20000NOV!E47</f>
        <v>4000</v>
      </c>
      <c r="I47" s="7">
        <f>TONT20000DEC2015!F47+TONT20000JANV!F47+TONT20000FEV!F47+TONT20000MARS!F47+TONT20000AVRIL!F47+TONT20000MAI!F47+TONT20000JUIN!F47+TONT20000JUIL!F47+TONT20000AOUT!F47+TONT20000SEPT!F47+TONT20000OCT!F47+TONT20000NOV!F47</f>
        <v>8000</v>
      </c>
      <c r="J47" s="7">
        <f>TONT20000DEC2015!G47+TONT20000JANV!G47+TONT20000FEV!G47+TONT20000MARS!G47+TONT20000AVRIL!G47+TONT20000MAI!G47+TONT20000JUIN!G47+TONT20000JUIL!G47+TONT20000AOUT!G47+TONT20000SEPT!G47+TONT20000OCT!G47+TONT20000NOV!G47</f>
        <v>20000</v>
      </c>
      <c r="K47" s="7">
        <f>TONT20000DEC2015!H47+TONT20000JANV!H47+TONT20000FEV!H47+TONT20000MARS!H47+TONT20000AVRIL!H47+TONT20000MAI!H47+TONT20000JUIN!H47+TONT20000JUIL!H47+TONT20000AOUT!H47+TONT20000SEPT!H47+TONT20000OCT!H47+TONT20000NOV!H47</f>
        <v>0</v>
      </c>
      <c r="L47" s="7">
        <f>TONT20000DEC2015!I47+TONT20000JANV!I47+TONT20000FEV!I47+TONT20000MARS!I47+TONT20000AVRIL!I47+TONT20000MAI!I47+TONT20000JUIN!I47+TONT20000JUIL!I47+TONT20000AOUT!I47+TONT20000SEPT!I47+TONT20000OCT!I47+TONT20000NOV!I47</f>
        <v>104000</v>
      </c>
      <c r="M47" s="7">
        <f>TONT20000DEC2015!J47+TONT20000JANV!J47+TONT20000FEV!J47+TONT20000MARS!J47+TONT20000AVRIL!J47+TONT20000MAI!J47+TONT20000JUIN!J47+TONT20000JUIL!J47+TONT20000AOUT!J47+TONT20000SEPT!J47+TONT20000OCT!J47+TONT20000NOV!J47</f>
        <v>0</v>
      </c>
      <c r="N47" s="7">
        <f>TONT20000DEC2015!K47+TONT20000JANV!K47+TONT20000FEV!K47+TONT20000MARS!K47+TONT20000AVRIL!K47+TONT20000MAI!K47+TONT20000JUIN!K47+TONT20000JUIL!K47+TONT20000AOUT!K47+TONT20000SEPT!K47+TONT20000OCT!K47+TONT20000NOV!K47</f>
        <v>0</v>
      </c>
      <c r="O47" s="7">
        <f>TONT20000DEC2015!L47+TONT20000JANV!L47+TONT20000FEV!L47+TONT20000MARS!L47+TONT20000AVRIL!L47+TONT20000MAI!L47+TONT20000JUIN!L47+TONT20000JUIL!L47+TONT20000AOUT!L47+TONT20000SEPT!L47+TONT20000OCT!L47+TONT20000NOV!L47</f>
        <v>0</v>
      </c>
      <c r="P47" s="7">
        <f>TONT20000DEC2015!M47+TONT20000JANV!M47+TONT20000FEV!M47+TONT20000MARS!M47+TONT20000AVRIL!M47+TONT20000MAI!M47+TONT20000JUIN!M47+TONT20000JUIL!M47+TONT20000AOUT!M47+TONT20000SEPT!N47+TONT20000OCT!M47+TONT20000NOV!M47</f>
        <v>0</v>
      </c>
      <c r="Q47" s="7">
        <f>TONT20000DEC2015!M47+TONT20000JANV!M47+TONT20000FEV!M47+TONT20000MARS!M47+TONT20000AVRIL!M47+TONT20000MAI!M47+TONT20000JUIN!M47+TONT20000JUIL!M47+TONT20000AOUT!M47+TONT20000SEPT!N47+TONT20000OCT!M47+TONT20000NOV!M47</f>
        <v>0</v>
      </c>
      <c r="R47" s="7"/>
    </row>
    <row r="48" spans="1:18">
      <c r="A48" s="1" t="s">
        <v>54</v>
      </c>
      <c r="B48" s="1" t="str">
        <f>VLOOKUP(A48,LISTADHERENT!A$5:H$51,2)</f>
        <v>TIEYAM ERNEST</v>
      </c>
      <c r="C48" s="6">
        <v>390000</v>
      </c>
      <c r="D48" s="6">
        <v>804</v>
      </c>
      <c r="E48" s="6"/>
      <c r="F48" s="7">
        <f t="shared" si="0"/>
        <v>240000</v>
      </c>
      <c r="G48" s="7">
        <f>TONT20000DEC2015!D48+TONT20000JANV!D48+TONT20000FEV!D48+TONT20000MARS!D48+TONT20000AVRIL!D48+TONT20000MAI!D48+TONT20000JUIN!D48+TONT20000JUIL!D48+TONT20000AOUT!D48+TONT20000SEPT!D48+TONT20000OCT!D48+TONT20000NOV!D48</f>
        <v>36000</v>
      </c>
      <c r="H48" s="7">
        <f>TONT20000DEC2015!E48+TONT20000JANV!E48+TONT20000FEV!E48+TONT20000MARS!E48+TONT20000AVRIL!E48+TONT20000MAI!E48+TONT20000JUIN!E48+TONT20000JUIL!E48+TONT20000AOUT!E48+TONT20000SEPT!E48+TONT20000OCT!E48+TONT20000NOV!E48</f>
        <v>6000</v>
      </c>
      <c r="I48" s="7">
        <f>TONT20000DEC2015!F48+TONT20000JANV!F48+TONT20000FEV!F48+TONT20000MARS!F48+TONT20000AVRIL!F48+TONT20000MAI!F48+TONT20000JUIN!F48+TONT20000JUIL!F48+TONT20000AOUT!F48+TONT20000SEPT!F48+TONT20000OCT!F48+TONT20000NOV!F48</f>
        <v>12000</v>
      </c>
      <c r="J48" s="7">
        <f>TONT20000DEC2015!G48+TONT20000JANV!G48+TONT20000FEV!G48+TONT20000MARS!G48+TONT20000AVRIL!G48+TONT20000MAI!G48+TONT20000JUIN!G48+TONT20000JUIL!G48+TONT20000AOUT!G48+TONT20000SEPT!G48+TONT20000OCT!G48+TONT20000NOV!G48</f>
        <v>30000</v>
      </c>
      <c r="K48" s="7">
        <f>TONT20000DEC2015!H48+TONT20000JANV!H48+TONT20000FEV!H48+TONT20000MARS!H48+TONT20000AVRIL!H48+TONT20000MAI!H48+TONT20000JUIN!H48+TONT20000JUIL!H48+TONT20000AOUT!H48+TONT20000SEPT!H48+TONT20000OCT!H48+TONT20000NOV!H48</f>
        <v>0</v>
      </c>
      <c r="L48" s="7">
        <f>TONT20000DEC2015!I48+TONT20000JANV!I48+TONT20000FEV!I48+TONT20000MARS!I48+TONT20000AVRIL!I48+TONT20000MAI!I48+TONT20000JUIN!I48+TONT20000JUIL!I48+TONT20000AOUT!I48+TONT20000SEPT!I48+TONT20000OCT!I48+TONT20000NOV!I48</f>
        <v>156000</v>
      </c>
      <c r="M48" s="7">
        <f>TONT20000DEC2015!J48+TONT20000JANV!J48+TONT20000FEV!J48+TONT20000MARS!J48+TONT20000AVRIL!J48+TONT20000MAI!J48+TONT20000JUIN!J48+TONT20000JUIL!J48+TONT20000AOUT!J48+TONT20000SEPT!J48+TONT20000OCT!J48+TONT20000NOV!J48</f>
        <v>1000000</v>
      </c>
      <c r="N48" s="7">
        <f>TONT20000DEC2015!K48+TONT20000JANV!K48+TONT20000FEV!K48+TONT20000MARS!K48+TONT20000AVRIL!K48+TONT20000MAI!K48+TONT20000JUIN!K48+TONT20000JUIL!K48+TONT20000AOUT!K48+TONT20000SEPT!K48+TONT20000OCT!K48+TONT20000NOV!K48</f>
        <v>120000</v>
      </c>
      <c r="O48" s="7">
        <f>TONT20000DEC2015!L48+TONT20000JANV!L48+TONT20000FEV!L48+TONT20000MARS!L48+TONT20000AVRIL!L48+TONT20000MAI!L48+TONT20000JUIN!L48+TONT20000JUIL!L48+TONT20000AOUT!L48+TONT20000SEPT!L48+TONT20000OCT!L48+TONT20000NOV!L48</f>
        <v>0</v>
      </c>
      <c r="P48" s="7">
        <f>TONT20000DEC2015!M48+TONT20000JANV!M48+TONT20000FEV!M48+TONT20000MARS!M48+TONT20000AVRIL!M48+TONT20000MAI!M48+TONT20000JUIN!M48+TONT20000JUIL!M48+TONT20000AOUT!M48+TONT20000SEPT!N48+TONT20000OCT!M48+TONT20000NOV!M48</f>
        <v>0</v>
      </c>
      <c r="Q48" s="7">
        <f>TONT20000DEC2015!M48+TONT20000JANV!M48+TONT20000FEV!M48+TONT20000MARS!M48+TONT20000AVRIL!M48+TONT20000MAI!M48+TONT20000JUIN!M48+TONT20000JUIL!M48+TONT20000AOUT!M48+TONT20000SEPT!N48+TONT20000OCT!M48+TONT20000NOV!M48</f>
        <v>0</v>
      </c>
      <c r="R48" s="7"/>
    </row>
    <row r="49" spans="1:18">
      <c r="A49" s="1" t="s">
        <v>55</v>
      </c>
      <c r="B49" s="1" t="str">
        <f>VLOOKUP(A49,LISTADHERENT!A$5:H$51,2)</f>
        <v>TUGMA PIERRE LOTI</v>
      </c>
      <c r="C49" s="6">
        <v>390000</v>
      </c>
      <c r="D49" s="6">
        <v>17636</v>
      </c>
      <c r="E49" s="6"/>
      <c r="F49" s="7">
        <f t="shared" si="0"/>
        <v>240000</v>
      </c>
      <c r="G49" s="7">
        <f>TONT20000DEC2015!D49+TONT20000JANV!D49+TONT20000FEV!D49+TONT20000MARS!D49+TONT20000AVRIL!D49+TONT20000MAI!D49+TONT20000JUIN!D49+TONT20000JUIL!D49+TONT20000AOUT!D49+TONT20000SEPT!D49+TONT20000OCT!D49+TONT20000NOV!D49</f>
        <v>36000</v>
      </c>
      <c r="H49" s="7">
        <f>TONT20000DEC2015!E49+TONT20000JANV!E49+TONT20000FEV!E49+TONT20000MARS!E49+TONT20000AVRIL!E49+TONT20000MAI!E49+TONT20000JUIN!E49+TONT20000JUIL!E49+TONT20000AOUT!E49+TONT20000SEPT!E49+TONT20000OCT!E49+TONT20000NOV!E49</f>
        <v>6000</v>
      </c>
      <c r="I49" s="7">
        <f>TONT20000DEC2015!F49+TONT20000JANV!F49+TONT20000FEV!F49+TONT20000MARS!F49+TONT20000AVRIL!F49+TONT20000MAI!F49+TONT20000JUIN!F49+TONT20000JUIL!F49+TONT20000AOUT!F49+TONT20000SEPT!F49+TONT20000OCT!F49+TONT20000NOV!F49</f>
        <v>12000</v>
      </c>
      <c r="J49" s="7">
        <f>TONT20000DEC2015!G49+TONT20000JANV!G49+TONT20000FEV!G49+TONT20000MARS!G49+TONT20000AVRIL!G49+TONT20000MAI!G49+TONT20000JUIN!G49+TONT20000JUIL!G49+TONT20000AOUT!G49+TONT20000SEPT!G49+TONT20000OCT!G49+TONT20000NOV!G49</f>
        <v>30000</v>
      </c>
      <c r="K49" s="7">
        <f>TONT20000DEC2015!H49+TONT20000JANV!H49+TONT20000FEV!H49+TONT20000MARS!H49+TONT20000AVRIL!H49+TONT20000MAI!H49+TONT20000JUIN!H49+TONT20000JUIL!H49+TONT20000AOUT!H49+TONT20000SEPT!H49+TONT20000OCT!H49+TONT20000NOV!H49</f>
        <v>0</v>
      </c>
      <c r="L49" s="7">
        <f>TONT20000DEC2015!I49+TONT20000JANV!I49+TONT20000FEV!I49+TONT20000MARS!I49+TONT20000AVRIL!I49+TONT20000MAI!I49+TONT20000JUIN!I49+TONT20000JUIL!I49+TONT20000AOUT!I49+TONT20000SEPT!I49+TONT20000OCT!I49+TONT20000NOV!I49</f>
        <v>156000</v>
      </c>
      <c r="M49" s="7">
        <f>TONT20000DEC2015!J49+TONT20000JANV!J49+TONT20000FEV!J49+TONT20000MARS!J49+TONT20000AVRIL!J49+TONT20000MAI!J49+TONT20000JUIN!J49+TONT20000JUIL!J49+TONT20000AOUT!J49+TONT20000SEPT!J49+TONT20000OCT!J49+TONT20000NOV!J49</f>
        <v>0</v>
      </c>
      <c r="N49" s="7">
        <f>TONT20000DEC2015!K49+TONT20000JANV!K49+TONT20000FEV!K49+TONT20000MARS!K49+TONT20000AVRIL!K49+TONT20000MAI!K49+TONT20000JUIN!K49+TONT20000JUIL!K49+TONT20000AOUT!K49+TONT20000SEPT!K49+TONT20000OCT!K49+TONT20000NOV!K49</f>
        <v>0</v>
      </c>
      <c r="O49" s="7">
        <f>TONT20000DEC2015!L49+TONT20000JANV!L49+TONT20000FEV!L49+TONT20000MARS!L49+TONT20000AVRIL!L49+TONT20000MAI!L49+TONT20000JUIN!L49+TONT20000JUIL!L49+TONT20000AOUT!L49+TONT20000SEPT!L49+TONT20000OCT!L49+TONT20000NOV!L49</f>
        <v>0</v>
      </c>
      <c r="P49" s="7">
        <f>TONT20000DEC2015!M49+TONT20000JANV!M49+TONT20000FEV!M49+TONT20000MARS!M49+TONT20000AVRIL!M49+TONT20000MAI!M49+TONT20000JUIN!M49+TONT20000JUIL!M49+TONT20000AOUT!M49+TONT20000SEPT!N49+TONT20000OCT!M49+TONT20000NOV!M49</f>
        <v>0</v>
      </c>
      <c r="Q49" s="7">
        <f>TONT20000DEC2015!M49+TONT20000JANV!M49+TONT20000FEV!M49+TONT20000MARS!M49+TONT20000AVRIL!M49+TONT20000MAI!M49+TONT20000JUIN!M49+TONT20000JUIL!M49+TONT20000AOUT!M49+TONT20000SEPT!N49+TONT20000OCT!M49+TONT20000NOV!M49</f>
        <v>0</v>
      </c>
      <c r="R49" s="7"/>
    </row>
    <row r="50" spans="1:18">
      <c r="A50" s="1" t="s">
        <v>66</v>
      </c>
      <c r="B50" s="1" t="str">
        <f>VLOOKUP(A50,LISTADHERENT!A$5:H$51,2)</f>
        <v>YEPMOU JEAN JACQUES</v>
      </c>
      <c r="C50" s="6">
        <v>390000</v>
      </c>
      <c r="D50" s="6">
        <v>421237</v>
      </c>
      <c r="E50" s="6"/>
      <c r="F50" s="7">
        <f t="shared" si="0"/>
        <v>240000</v>
      </c>
      <c r="G50" s="7">
        <f>TONT20000DEC2015!D50+TONT20000JANV!D50+TONT20000FEV!D50+TONT20000MARS!D50+TONT20000AVRIL!D50+TONT20000MAI!D50+TONT20000JUIN!D50+TONT20000JUIL!D50+TONT20000AOUT!D50+TONT20000SEPT!D50+TONT20000OCT!D50+TONT20000NOV!D50</f>
        <v>36000</v>
      </c>
      <c r="H50" s="7">
        <f>TONT20000DEC2015!E50+TONT20000JANV!E50+TONT20000FEV!E50+TONT20000MARS!E50+TONT20000AVRIL!E50+TONT20000MAI!E50+TONT20000JUIN!E50+TONT20000JUIL!E50+TONT20000AOUT!E50+TONT20000SEPT!E50+TONT20000OCT!E50+TONT20000NOV!E50</f>
        <v>6000</v>
      </c>
      <c r="I50" s="7">
        <f>TONT20000DEC2015!F50+TONT20000JANV!F50+TONT20000FEV!F50+TONT20000MARS!F50+TONT20000AVRIL!F50+TONT20000MAI!F50+TONT20000JUIN!F50+TONT20000JUIL!F50+TONT20000AOUT!F50+TONT20000SEPT!F50+TONT20000OCT!F50+TONT20000NOV!F50</f>
        <v>12000</v>
      </c>
      <c r="J50" s="7">
        <f>TONT20000DEC2015!G50+TONT20000JANV!G50+TONT20000FEV!G50+TONT20000MARS!G50+TONT20000AVRIL!G50+TONT20000MAI!G50+TONT20000JUIN!G50+TONT20000JUIL!G50+TONT20000AOUT!G50+TONT20000SEPT!G50+TONT20000OCT!G50+TONT20000NOV!G50</f>
        <v>30000</v>
      </c>
      <c r="K50" s="7">
        <f>TONT20000DEC2015!H50+TONT20000JANV!H50+TONT20000FEV!H50+TONT20000MARS!H50+TONT20000AVRIL!H50+TONT20000MAI!H50+TONT20000JUIN!H50+TONT20000JUIL!H50+TONT20000AOUT!H50+TONT20000SEPT!H50+TONT20000OCT!H50+TONT20000NOV!H50</f>
        <v>0</v>
      </c>
      <c r="L50" s="7">
        <f>TONT20000DEC2015!I50+TONT20000JANV!I50+TONT20000FEV!I50+TONT20000MARS!I50+TONT20000AVRIL!I50+TONT20000MAI!I50+TONT20000JUIN!I50+TONT20000JUIL!I50+TONT20000AOUT!I50+TONT20000SEPT!I50+TONT20000OCT!I50+TONT20000NOV!I50</f>
        <v>156000</v>
      </c>
      <c r="M50" s="7">
        <f>TONT20000DEC2015!J50+TONT20000JANV!J50+TONT20000FEV!J50+TONT20000MARS!J50+TONT20000AVRIL!J50+TONT20000MAI!J50+TONT20000JUIN!J50+TONT20000JUIL!J50+TONT20000AOUT!J50+TONT20000SEPT!J50+TONT20000OCT!J50+TONT20000NOV!J50</f>
        <v>0</v>
      </c>
      <c r="N50" s="7">
        <f>TONT20000DEC2015!K50+TONT20000JANV!K50+TONT20000FEV!K50+TONT20000MARS!K50+TONT20000AVRIL!K50+TONT20000MAI!K50+TONT20000JUIN!K50+TONT20000JUIL!K50+TONT20000AOUT!K50+TONT20000SEPT!K50+TONT20000OCT!K50+TONT20000NOV!K50</f>
        <v>0</v>
      </c>
      <c r="O50" s="7">
        <f>TONT20000DEC2015!L50+TONT20000JANV!L50+TONT20000FEV!L50+TONT20000MARS!L50+TONT20000AVRIL!L50+TONT20000MAI!L50+TONT20000JUIN!L50+TONT20000JUIL!L50+TONT20000AOUT!L50+TONT20000SEPT!L50+TONT20000OCT!L50+TONT20000NOV!L50</f>
        <v>0</v>
      </c>
      <c r="P50" s="7">
        <f>TONT20000DEC2015!M50+TONT20000JANV!M50+TONT20000FEV!M50+TONT20000MARS!M50+TONT20000AVRIL!M50+TONT20000MAI!M50+TONT20000JUIN!M50+TONT20000JUIL!M50+TONT20000AOUT!M50+TONT20000SEPT!N50+TONT20000OCT!M50+TONT20000NOV!M50</f>
        <v>0</v>
      </c>
      <c r="Q50" s="7">
        <f>TONT20000DEC2015!M50+TONT20000JANV!M50+TONT20000FEV!M50+TONT20000MARS!M50+TONT20000AVRIL!M50+TONT20000MAI!M50+TONT20000JUIN!M50+TONT20000JUIL!M50+TONT20000AOUT!M50+TONT20000SEPT!N50+TONT20000OCT!M50+TONT20000NOV!M50</f>
        <v>0</v>
      </c>
    </row>
    <row r="51" spans="1:18">
      <c r="A51" s="1" t="s">
        <v>178</v>
      </c>
      <c r="B51" s="1" t="str">
        <f>VLOOKUP(A51,LISTADHERENT!A$5:H$51,2)</f>
        <v>YOUMBI EMMANUEL</v>
      </c>
      <c r="C51" s="6">
        <v>390000</v>
      </c>
      <c r="D51" s="6">
        <v>1003279</v>
      </c>
      <c r="E51" s="6"/>
      <c r="F51" s="7">
        <f t="shared" si="0"/>
        <v>240000</v>
      </c>
      <c r="G51" s="7">
        <f>TONT20000DEC2015!D51+TONT20000JANV!D51+TONT20000FEV!D51+TONT20000MARS!D51+TONT20000AVRIL!D51+TONT20000MAI!D51+TONT20000JUIN!D51+TONT20000JUIL!D51+TONT20000AOUT!D51+TONT20000SEPT!D51+TONT20000OCT!D51+TONT20000NOV!D51</f>
        <v>36000</v>
      </c>
      <c r="H51" s="7">
        <f>TONT20000DEC2015!E51+TONT20000JANV!E51+TONT20000FEV!E51+TONT20000MARS!E51+TONT20000AVRIL!E51+TONT20000MAI!E51+TONT20000JUIN!E51+TONT20000JUIL!E51+TONT20000AOUT!E51+TONT20000SEPT!E51+TONT20000OCT!E51+TONT20000NOV!E51</f>
        <v>6000</v>
      </c>
      <c r="I51" s="7">
        <f>TONT20000DEC2015!F51+TONT20000JANV!F51+TONT20000FEV!F51+TONT20000MARS!F51+TONT20000AVRIL!F51+TONT20000MAI!F51+TONT20000JUIN!F51+TONT20000JUIL!F51+TONT20000AOUT!F51+TONT20000SEPT!F51+TONT20000OCT!F51+TONT20000NOV!F51</f>
        <v>12000</v>
      </c>
      <c r="J51" s="7">
        <f>TONT20000DEC2015!G51+TONT20000JANV!G51+TONT20000FEV!G51+TONT20000MARS!G51+TONT20000AVRIL!G51+TONT20000MAI!G51+TONT20000JUIN!G51+TONT20000JUIL!G51+TONT20000AOUT!G51+TONT20000SEPT!G51+TONT20000OCT!G51+TONT20000NOV!G51</f>
        <v>30000</v>
      </c>
      <c r="K51" s="7">
        <f>TONT20000DEC2015!H51+TONT20000JANV!H51+TONT20000FEV!H51+TONT20000MARS!H51+TONT20000AVRIL!H51+TONT20000MAI!H51+TONT20000JUIN!H51+TONT20000JUIL!H51+TONT20000AOUT!H51+TONT20000SEPT!H51+TONT20000OCT!H51+TONT20000NOV!H51</f>
        <v>0</v>
      </c>
      <c r="L51" s="7">
        <f>TONT20000DEC2015!I51+TONT20000JANV!I51+TONT20000FEV!I51+TONT20000MARS!I51+TONT20000AVRIL!I51+TONT20000MAI!I51+TONT20000JUIN!I51+TONT20000JUIL!I51+TONT20000AOUT!I51+TONT20000SEPT!I51+TONT20000OCT!I51+TONT20000NOV!I51</f>
        <v>156000</v>
      </c>
      <c r="M51" s="7">
        <f>TONT20000DEC2015!J51+TONT20000JANV!J51+TONT20000FEV!J51+TONT20000MARS!J51+TONT20000AVRIL!J51+TONT20000MAI!J51+TONT20000JUIN!J51+TONT20000JUIL!J51+TONT20000AOUT!J51+TONT20000SEPT!J51+TONT20000OCT!J51+TONT20000NOV!J51</f>
        <v>0</v>
      </c>
      <c r="N51" s="7">
        <f>TONT20000DEC2015!K51+TONT20000JANV!K51+TONT20000FEV!K51+TONT20000MARS!K51+TONT20000AVRIL!K51+TONT20000MAI!K51+TONT20000JUIN!K51+TONT20000JUIL!K51+TONT20000AOUT!K51+TONT20000SEPT!K51+TONT20000OCT!K51+TONT20000NOV!K51</f>
        <v>0</v>
      </c>
      <c r="O51" s="7">
        <f>TONT20000DEC2015!L51+TONT20000JANV!L51+TONT20000FEV!L51+TONT20000MARS!L51+TONT20000AVRIL!L51+TONT20000MAI!L51+TONT20000JUIN!L51+TONT20000JUIL!L51+TONT20000AOUT!L51+TONT20000SEPT!L51+TONT20000OCT!L51+TONT20000NOV!L51</f>
        <v>0</v>
      </c>
      <c r="P51" s="7">
        <f>TONT20000DEC2015!M51+TONT20000JANV!M51+TONT20000FEV!M51+TONT20000MARS!M51+TONT20000AVRIL!M51+TONT20000MAI!M51+TONT20000JUIN!M51+TONT20000JUIL!M51+TONT20000AOUT!M51+TONT20000SEPT!N51+TONT20000OCT!M51+TONT20000NOV!M51</f>
        <v>0</v>
      </c>
      <c r="Q51" s="7">
        <f>TONT20000DEC2015!M51+TONT20000JANV!M51+TONT20000FEV!M51+TONT20000MARS!M51+TONT20000AVRIL!M51+TONT20000MAI!M51+TONT20000JUIN!M51+TONT20000JUIL!M51+TONT20000AOUT!M51+TONT20000SEPT!N51+TONT20000OCT!M51+TONT20000NOV!M51</f>
        <v>0</v>
      </c>
    </row>
    <row r="52" spans="1:18">
      <c r="A52" s="1"/>
      <c r="B52" s="1" t="s">
        <v>1</v>
      </c>
      <c r="C52" s="6"/>
      <c r="D52" s="1">
        <v>318145</v>
      </c>
      <c r="E52" s="1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</row>
    <row r="53" spans="1:18">
      <c r="A53" s="1"/>
      <c r="B53" s="1" t="s">
        <v>180</v>
      </c>
      <c r="C53" s="6"/>
      <c r="D53" s="1"/>
      <c r="E53" s="1"/>
      <c r="F53" s="7">
        <f t="shared" si="0"/>
        <v>593500</v>
      </c>
      <c r="G53" s="7">
        <f>TONT20000DEC2015!D52+TONT20000JANV!D52+TONT20000FEV!D52+TONT20000MARS!D52+TONT20000AVRIL!D52+TONT20000MAI!D52+TONT20000JUIN!D52+TONT20000JUIL!D52+TONT20000AOUT!D52+TONT20000SEPT!D52+TONT20000OCT!D52+TONT20000NOV!D52</f>
        <v>0</v>
      </c>
      <c r="H53" s="7">
        <f>TONT20000DEC2015!E52+TONT20000JANV!E52+TONT20000FEV!E52+TONT20000MARS!E52+TONT20000AVRIL!E52+TONT20000MAI!E52+TONT20000JUIN!E52+TONT20000JUIL!E52+TONT20000AOUT!E52+TONT20000SEPT!E52+TONT20000OCT!E52+TONT20000NOV!E52</f>
        <v>0</v>
      </c>
      <c r="I53" s="7">
        <f>TONT20000DEC2015!F52+TONT20000JANV!F52+TONT20000FEV!F52+TONT20000MARS!F52+TONT20000AVRIL!F52+TONT20000MAI!F52+TONT20000JUIN!F52+TONT20000JUIL!F52+TONT20000AOUT!F52+TONT20000SEPT!F52+TONT20000OCT!F52+TONT20000NOV!F52</f>
        <v>0</v>
      </c>
      <c r="J53" s="7">
        <f>TONT20000DEC2015!G52+TONT20000JANV!G52+TONT20000FEV!G52+TONT20000MARS!G52+TONT20000AVRIL!G52+TONT20000MAI!G52+TONT20000JUIN!G52+TONT20000JUIL!G52+TONT20000AOUT!G52+TONT20000SEPT!G52+TONT20000OCT!G52+TONT20000NOV!G52</f>
        <v>0</v>
      </c>
      <c r="K53" s="7">
        <f>TONT20000DEC2015!H52+TONT20000JANV!H52+TONT20000FEV!H52+TONT20000MARS!H52+TONT20000AVRIL!H52+TONT20000MAI!H52+TONT20000JUIN!H52+TONT20000JUIL!H52+TONT20000AOUT!H52+TONT20000SEPT!H52+TONT20000OCT!H52+TONT20000NOV!H52</f>
        <v>0</v>
      </c>
      <c r="L53" s="7">
        <f>TONT20000DEC2015!I52+TONT20000JANV!I52+TONT20000FEV!I52+TONT20000MARS!I52+TONT20000AVRIL!I52+TONT20000MAI!I52+TONT20000JUIN!I52+TONT20000JUIL!I52+TONT20000AOUT!I52+TONT20000SEPT!I52+TONT20000OCT!I52+TONT20000NOV!I52</f>
        <v>593500</v>
      </c>
      <c r="M53" s="7">
        <f>TONT20000DEC2015!J52+TONT20000JANV!J52+TONT20000FEV!J52+TONT20000MARS!J52+TONT20000AVRIL!J52+TONT20000MAI!J52+TONT20000JUIN!J52+TONT20000JUIL!J52+TONT20000AOUT!J52+TONT20000SEPT!J52+TONT20000OCT!J52+TONT20000NOV!J52</f>
        <v>0</v>
      </c>
      <c r="N53" s="7">
        <f>TONT20000DEC2015!K52+TONT20000JANV!K52+TONT20000FEV!K52+TONT20000MARS!K52+TONT20000AVRIL!K52+TONT20000MAI!K52+TONT20000JUIN!K52+TONT20000JUIL!K52+TONT20000AOUT!K52+TONT20000SEPT!K52+TONT20000OCT!K52+TONT20000NOV!K52</f>
        <v>0</v>
      </c>
      <c r="O53" s="7">
        <f>TONT20000DEC2015!L52+TONT20000JANV!L52+TONT20000FEV!L52+TONT20000MARS!L52+TONT20000AVRIL!L52+TONT20000MAI!L52+TONT20000JUIN!L52+TONT20000JUIL!L52+TONT20000AOUT!L52+TONT20000SEPT!L52+TONT20000OCT!L52+TONT20000NOV!L52</f>
        <v>0</v>
      </c>
      <c r="P53" s="7">
        <f>TONT20000DEC2015!M52+TONT20000JANV!M52+TONT20000FEV!M52+TONT20000MARS!M52+TONT20000AVRIL!M52+TONT20000MAI!M52+TONT20000JUIN!M52+TONT20000JUIL!M52+TONT20000AOUT!M52+TONT20000SEPT!N52+TONT20000OCT!M52+TONT20000NOV!M52</f>
        <v>0</v>
      </c>
      <c r="Q53" s="7">
        <f>TONT20000DEC2015!M52+TONT20000JANV!M52+TONT20000FEV!M52+TONT20000MARS!M52+TONT20000AVRIL!M52+TONT20000MAI!M52+TONT20000JUIN!M52+TONT20000JUIL!M52+TONT20000AOUT!M52+TONT20000SEPT!N52+TONT20000OCT!M52+TONT20000NOV!M52</f>
        <v>0</v>
      </c>
      <c r="R53"/>
    </row>
    <row r="54" spans="1:18">
      <c r="A54" s="1"/>
      <c r="B54" s="1" t="s">
        <v>1</v>
      </c>
      <c r="C54" s="6"/>
      <c r="D54" s="1"/>
      <c r="E54" s="1"/>
      <c r="F54" s="7"/>
      <c r="G54" s="7"/>
      <c r="H54" s="7"/>
      <c r="I54" s="7"/>
      <c r="J54" s="7"/>
      <c r="K54" s="7"/>
      <c r="L54" s="7"/>
      <c r="M54" s="7"/>
      <c r="N54" s="7"/>
      <c r="Q54" s="7"/>
    </row>
    <row r="55" spans="1:18" ht="18">
      <c r="A55" s="8" t="s">
        <v>56</v>
      </c>
      <c r="B55" s="8"/>
      <c r="C55" s="9">
        <f>SUM(C5:C53)</f>
        <v>13349950</v>
      </c>
      <c r="D55" s="9">
        <f>SUM(D5:D54)</f>
        <v>4617209</v>
      </c>
      <c r="E55" s="9">
        <f>SUM(E5:E54)</f>
        <v>0</v>
      </c>
      <c r="F55" s="9">
        <f>SUM(F5:F53)</f>
        <v>14143575</v>
      </c>
      <c r="G55" s="9">
        <f>SUM(G5:G53)</f>
        <v>4322505</v>
      </c>
      <c r="H55" s="9">
        <f t="shared" ref="H55:R55" si="1">SUM(H5:H53)</f>
        <v>260000</v>
      </c>
      <c r="I55" s="9">
        <f t="shared" si="1"/>
        <v>520000</v>
      </c>
      <c r="J55" s="9">
        <f t="shared" si="1"/>
        <v>1300000</v>
      </c>
      <c r="K55" s="9">
        <f t="shared" si="1"/>
        <v>235000</v>
      </c>
      <c r="L55" s="9">
        <f t="shared" si="1"/>
        <v>7353500</v>
      </c>
      <c r="M55" s="9">
        <f t="shared" si="1"/>
        <v>25710000</v>
      </c>
      <c r="N55" s="9">
        <f t="shared" si="1"/>
        <v>2282100</v>
      </c>
      <c r="O55" s="9">
        <f t="shared" si="1"/>
        <v>6900000</v>
      </c>
      <c r="P55" s="9"/>
      <c r="Q55" s="9">
        <f t="shared" si="1"/>
        <v>152570</v>
      </c>
      <c r="R55" s="9">
        <f t="shared" si="1"/>
        <v>0</v>
      </c>
    </row>
    <row r="56" spans="1:18" ht="18">
      <c r="Q56" s="9"/>
    </row>
  </sheetData>
  <autoFilter ref="A4:S49">
    <filterColumn colId="2"/>
    <filterColumn colId="3"/>
    <filterColumn colId="4"/>
    <filterColumn colId="11"/>
    <filterColumn colId="12"/>
    <filterColumn colId="13"/>
    <filterColumn colId="14"/>
    <filterColumn colId="15"/>
    <filterColumn colId="16"/>
  </autoFilter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4"/>
  <sheetViews>
    <sheetView workbookViewId="0">
      <pane xSplit="2" ySplit="4" topLeftCell="E5" activePane="bottomRight" state="frozen"/>
      <selection activeCell="B22" sqref="B22"/>
      <selection pane="topRight" activeCell="B22" sqref="B22"/>
      <selection pane="bottomLeft" activeCell="B22" sqref="B22"/>
      <selection pane="bottomRight" activeCell="A45" sqref="A45:XFD45"/>
    </sheetView>
  </sheetViews>
  <sheetFormatPr baseColWidth="10" defaultRowHeight="15"/>
  <cols>
    <col min="1" max="1" width="13.85546875" customWidth="1"/>
    <col min="2" max="2" width="29.5703125" bestFit="1" customWidth="1"/>
    <col min="3" max="3" width="15" style="2" bestFit="1" customWidth="1"/>
    <col min="4" max="4" width="15" bestFit="1" customWidth="1"/>
    <col min="5" max="5" width="17.5703125" style="4" bestFit="1" customWidth="1"/>
    <col min="6" max="6" width="15.7109375" style="2" customWidth="1"/>
    <col min="7" max="7" width="12.42578125" style="2" customWidth="1"/>
    <col min="8" max="8" width="9.7109375" style="2" customWidth="1"/>
    <col min="9" max="9" width="18.140625" customWidth="1"/>
    <col min="10" max="10" width="15" bestFit="1" customWidth="1"/>
    <col min="11" max="11" width="12.5703125" bestFit="1" customWidth="1"/>
    <col min="12" max="12" width="18.140625" customWidth="1"/>
  </cols>
  <sheetData>
    <row r="1" spans="1:12">
      <c r="A1" s="1" t="s">
        <v>0</v>
      </c>
      <c r="B1" s="1" t="s">
        <v>1</v>
      </c>
    </row>
    <row r="2" spans="1:12">
      <c r="A2" s="1" t="s">
        <v>2</v>
      </c>
      <c r="B2" s="1" t="s">
        <v>3</v>
      </c>
    </row>
    <row r="3" spans="1:12">
      <c r="A3" s="1" t="s">
        <v>4</v>
      </c>
      <c r="B3" s="1" t="s">
        <v>5</v>
      </c>
    </row>
    <row r="4" spans="1:12" ht="29.25">
      <c r="A4" s="1" t="s">
        <v>6</v>
      </c>
      <c r="B4" s="1" t="s">
        <v>7</v>
      </c>
      <c r="C4" s="5" t="s">
        <v>65</v>
      </c>
      <c r="D4" s="1" t="s">
        <v>57</v>
      </c>
      <c r="E4" s="5" t="s">
        <v>58</v>
      </c>
      <c r="F4" s="5" t="s">
        <v>59</v>
      </c>
      <c r="G4" s="5" t="s">
        <v>60</v>
      </c>
      <c r="H4" s="5" t="s">
        <v>61</v>
      </c>
      <c r="I4" s="5" t="s">
        <v>62</v>
      </c>
      <c r="J4" s="5" t="s">
        <v>63</v>
      </c>
      <c r="K4" s="5" t="s">
        <v>64</v>
      </c>
      <c r="L4" s="5" t="s">
        <v>8</v>
      </c>
    </row>
    <row r="5" spans="1:12">
      <c r="A5" s="1" t="s">
        <v>11</v>
      </c>
      <c r="B5" s="1" t="str">
        <f>VLOOKUP(A5,LISTADHERENT!A$5:H$51,2)</f>
        <v>BAKOP ACHILLE</v>
      </c>
      <c r="C5" s="7">
        <f>D5+E5+F5+G5+H6+I6</f>
        <v>20000</v>
      </c>
      <c r="D5" s="7">
        <v>3000</v>
      </c>
      <c r="E5" s="7">
        <v>500</v>
      </c>
      <c r="F5" s="7">
        <v>1000</v>
      </c>
      <c r="G5" s="7">
        <v>2500</v>
      </c>
      <c r="H5" s="7"/>
      <c r="I5" s="7">
        <v>13000</v>
      </c>
      <c r="J5" s="7"/>
      <c r="K5" s="7">
        <f>IF(J5&lt;=500000,(J5*1*3/100),(J5*12/100))</f>
        <v>0</v>
      </c>
    </row>
    <row r="6" spans="1:12">
      <c r="A6" s="1" t="s">
        <v>12</v>
      </c>
      <c r="B6" s="1" t="str">
        <f>VLOOKUP(A6,LISTADHERENT!A$5:H$51,2)</f>
        <v>BOUTCHOUANG WILLIAM</v>
      </c>
      <c r="C6" s="7">
        <f>D6+E6+F6+G6+H7+I7</f>
        <v>20000</v>
      </c>
      <c r="D6" s="7">
        <v>3000</v>
      </c>
      <c r="E6" s="7">
        <v>500</v>
      </c>
      <c r="F6" s="7">
        <v>1000</v>
      </c>
      <c r="G6" s="7">
        <v>2500</v>
      </c>
      <c r="H6" s="7"/>
      <c r="I6" s="7">
        <v>13000</v>
      </c>
      <c r="J6" s="7"/>
      <c r="K6" s="7">
        <f t="shared" ref="K6:K52" si="0">IF(J6&lt;=500000,(J6*1*3/100),(J6*12/100))</f>
        <v>0</v>
      </c>
    </row>
    <row r="7" spans="1:12">
      <c r="A7" s="1" t="s">
        <v>13</v>
      </c>
      <c r="B7" s="1" t="str">
        <f>VLOOKUP(A7,LISTADHERENT!A$5:H$51,2)</f>
        <v>CHINGUE FABRICE</v>
      </c>
      <c r="C7" s="7">
        <f t="shared" ref="C7:C48" si="1">D7+E7+F7+G7+H7+I7</f>
        <v>20000</v>
      </c>
      <c r="D7" s="7">
        <v>3000</v>
      </c>
      <c r="E7" s="7">
        <v>500</v>
      </c>
      <c r="F7" s="7">
        <v>1000</v>
      </c>
      <c r="G7" s="7">
        <v>2500</v>
      </c>
      <c r="H7" s="7"/>
      <c r="I7" s="7">
        <v>13000</v>
      </c>
      <c r="K7" s="7">
        <f t="shared" si="0"/>
        <v>0</v>
      </c>
    </row>
    <row r="8" spans="1:12">
      <c r="A8" s="1" t="s">
        <v>14</v>
      </c>
      <c r="B8" s="1" t="str">
        <f>VLOOKUP(A8,LISTADHERENT!A$5:H$51,2)</f>
        <v xml:space="preserve">DJOMO JEAN PAUL </v>
      </c>
      <c r="C8" s="7">
        <f t="shared" si="1"/>
        <v>20000</v>
      </c>
      <c r="D8" s="7">
        <v>3000</v>
      </c>
      <c r="E8" s="7">
        <v>500</v>
      </c>
      <c r="F8" s="7">
        <v>1000</v>
      </c>
      <c r="G8" s="7">
        <v>2500</v>
      </c>
      <c r="H8" s="7"/>
      <c r="I8" s="7">
        <v>13000</v>
      </c>
      <c r="K8" s="7">
        <f t="shared" si="0"/>
        <v>0</v>
      </c>
    </row>
    <row r="9" spans="1:12">
      <c r="A9" s="1" t="s">
        <v>15</v>
      </c>
      <c r="B9" s="1" t="str">
        <f>VLOOKUP(A9,LISTADHERENT!A$5:H$51,2)</f>
        <v>DJOUKWE GUY</v>
      </c>
      <c r="C9" s="7">
        <f t="shared" si="1"/>
        <v>25000</v>
      </c>
      <c r="D9" s="7">
        <v>8000</v>
      </c>
      <c r="E9" s="7">
        <v>500</v>
      </c>
      <c r="F9" s="7">
        <v>1000</v>
      </c>
      <c r="G9" s="7">
        <v>2500</v>
      </c>
      <c r="H9" s="7"/>
      <c r="I9" s="7">
        <v>13000</v>
      </c>
      <c r="K9" s="7">
        <f t="shared" si="0"/>
        <v>0</v>
      </c>
    </row>
    <row r="10" spans="1:12">
      <c r="A10" s="1" t="s">
        <v>16</v>
      </c>
      <c r="B10" s="1" t="str">
        <f>VLOOKUP(A10,LISTADHERENT!A$5:H$51,2)</f>
        <v>DJOSSEU JOSUE</v>
      </c>
      <c r="C10" s="7">
        <f t="shared" si="1"/>
        <v>22000</v>
      </c>
      <c r="D10" s="7">
        <v>5000</v>
      </c>
      <c r="E10" s="7">
        <v>500</v>
      </c>
      <c r="F10" s="7">
        <v>1000</v>
      </c>
      <c r="G10" s="7">
        <v>2500</v>
      </c>
      <c r="H10" s="7"/>
      <c r="I10" s="7">
        <v>13000</v>
      </c>
      <c r="K10" s="7">
        <f t="shared" si="0"/>
        <v>0</v>
      </c>
    </row>
    <row r="11" spans="1:12">
      <c r="A11" s="1" t="s">
        <v>17</v>
      </c>
      <c r="B11" s="1" t="str">
        <f>VLOOKUP(A11,LISTADHERENT!A$5:H$51,2)</f>
        <v>DJOUNKEP SAMUEL</v>
      </c>
      <c r="C11" s="7">
        <f t="shared" si="1"/>
        <v>20000</v>
      </c>
      <c r="D11" s="7">
        <v>3000</v>
      </c>
      <c r="E11" s="7">
        <v>500</v>
      </c>
      <c r="F11" s="7">
        <v>1000</v>
      </c>
      <c r="G11" s="7">
        <v>2500</v>
      </c>
      <c r="H11" s="7"/>
      <c r="I11" s="7">
        <v>13000</v>
      </c>
      <c r="K11" s="7">
        <f t="shared" si="0"/>
        <v>0</v>
      </c>
    </row>
    <row r="12" spans="1:12">
      <c r="A12" s="1" t="s">
        <v>18</v>
      </c>
      <c r="B12" s="1" t="str">
        <f>VLOOKUP(A12,LISTADHERENT!A$5:H$51,2)</f>
        <v>DJUOMBESSY ANTOINE</v>
      </c>
      <c r="C12" s="7">
        <f t="shared" si="1"/>
        <v>20000</v>
      </c>
      <c r="D12" s="7">
        <v>3000</v>
      </c>
      <c r="E12" s="7">
        <v>500</v>
      </c>
      <c r="F12" s="7">
        <v>1000</v>
      </c>
      <c r="G12" s="7">
        <v>2500</v>
      </c>
      <c r="H12" s="7"/>
      <c r="I12" s="7">
        <v>13000</v>
      </c>
      <c r="K12" s="7">
        <f t="shared" si="0"/>
        <v>0</v>
      </c>
    </row>
    <row r="13" spans="1:12">
      <c r="A13" s="1" t="s">
        <v>19</v>
      </c>
      <c r="B13" s="1" t="str">
        <f>VLOOKUP(A13,LISTADHERENT!A$5:H$51,2)</f>
        <v>DONHOU DAVID</v>
      </c>
      <c r="C13" s="7">
        <f t="shared" si="1"/>
        <v>20000</v>
      </c>
      <c r="D13" s="7">
        <v>3000</v>
      </c>
      <c r="E13" s="7">
        <v>500</v>
      </c>
      <c r="F13" s="7">
        <v>1000</v>
      </c>
      <c r="G13" s="7">
        <v>2500</v>
      </c>
      <c r="H13" s="7"/>
      <c r="I13" s="7">
        <v>13000</v>
      </c>
      <c r="K13" s="7">
        <f t="shared" si="0"/>
        <v>0</v>
      </c>
    </row>
    <row r="14" spans="1:12">
      <c r="A14" s="1" t="s">
        <v>20</v>
      </c>
      <c r="B14" s="1" t="str">
        <f>VLOOKUP(A14,LISTADHERENT!A$5:H$51,2)</f>
        <v>FOTSO THOMAS</v>
      </c>
      <c r="C14" s="7">
        <f t="shared" si="1"/>
        <v>20000</v>
      </c>
      <c r="D14" s="7">
        <v>3000</v>
      </c>
      <c r="E14" s="7">
        <v>500</v>
      </c>
      <c r="F14" s="7">
        <v>1000</v>
      </c>
      <c r="G14" s="7">
        <v>2500</v>
      </c>
      <c r="H14" s="7"/>
      <c r="I14" s="7">
        <v>13000</v>
      </c>
      <c r="K14" s="7">
        <f t="shared" si="0"/>
        <v>0</v>
      </c>
    </row>
    <row r="15" spans="1:12">
      <c r="A15" s="1" t="s">
        <v>21</v>
      </c>
      <c r="B15" s="1" t="str">
        <f>VLOOKUP(A15,LISTADHERENT!A$5:H$51,2)</f>
        <v>HENGUE PAUL OMER</v>
      </c>
      <c r="C15" s="7">
        <f t="shared" si="1"/>
        <v>20000</v>
      </c>
      <c r="D15" s="7">
        <v>3000</v>
      </c>
      <c r="E15" s="7">
        <v>500</v>
      </c>
      <c r="F15" s="7">
        <v>1000</v>
      </c>
      <c r="G15" s="7">
        <v>2500</v>
      </c>
      <c r="H15" s="7"/>
      <c r="I15" s="7">
        <v>13000</v>
      </c>
      <c r="K15" s="7">
        <f t="shared" si="0"/>
        <v>0</v>
      </c>
    </row>
    <row r="16" spans="1:12">
      <c r="A16" s="1" t="s">
        <v>22</v>
      </c>
      <c r="B16" s="1" t="str">
        <f>VLOOKUP(A16,LISTADHERENT!A$5:H$51,2)</f>
        <v>HODIEP JULES</v>
      </c>
      <c r="C16" s="7">
        <f t="shared" si="1"/>
        <v>20000</v>
      </c>
      <c r="D16" s="7">
        <v>3000</v>
      </c>
      <c r="E16" s="7">
        <v>500</v>
      </c>
      <c r="F16" s="7">
        <v>1000</v>
      </c>
      <c r="G16" s="7">
        <v>2500</v>
      </c>
      <c r="H16" s="7"/>
      <c r="I16" s="7">
        <v>13000</v>
      </c>
      <c r="K16" s="7">
        <f t="shared" si="0"/>
        <v>0</v>
      </c>
    </row>
    <row r="17" spans="1:12">
      <c r="A17" s="1" t="s">
        <v>23</v>
      </c>
      <c r="B17" s="1" t="str">
        <f>VLOOKUP(A17,LISTADHERENT!A$5:H$51,2)</f>
        <v>HOTCHO BENJAMIN</v>
      </c>
      <c r="C17" s="7">
        <f t="shared" si="1"/>
        <v>20000</v>
      </c>
      <c r="D17" s="7">
        <v>3000</v>
      </c>
      <c r="E17" s="7">
        <v>500</v>
      </c>
      <c r="F17" s="7">
        <v>1000</v>
      </c>
      <c r="G17" s="7">
        <v>2500</v>
      </c>
      <c r="H17" s="7"/>
      <c r="I17" s="7">
        <v>13000</v>
      </c>
      <c r="K17" s="7">
        <f t="shared" si="0"/>
        <v>0</v>
      </c>
    </row>
    <row r="18" spans="1:12">
      <c r="A18" s="1" t="s">
        <v>24</v>
      </c>
      <c r="B18" s="1" t="str">
        <f>VLOOKUP(A18,LISTADHERENT!A$5:H$51,2)</f>
        <v>KEPHE DAVID</v>
      </c>
      <c r="C18" s="7">
        <f t="shared" si="1"/>
        <v>23000</v>
      </c>
      <c r="D18" s="7">
        <v>6000</v>
      </c>
      <c r="E18" s="7">
        <v>500</v>
      </c>
      <c r="F18" s="7">
        <v>1000</v>
      </c>
      <c r="G18" s="7">
        <v>2500</v>
      </c>
      <c r="H18" s="7"/>
      <c r="I18" s="7">
        <v>13000</v>
      </c>
      <c r="K18" s="7">
        <f t="shared" si="0"/>
        <v>0</v>
      </c>
    </row>
    <row r="19" spans="1:12">
      <c r="A19" s="1" t="s">
        <v>25</v>
      </c>
      <c r="B19" s="1" t="str">
        <f>VLOOKUP(A19,LISTADHERENT!A$5:H$51,2)</f>
        <v>KEPSEU FRANCIS</v>
      </c>
      <c r="C19" s="7">
        <f t="shared" si="1"/>
        <v>20000</v>
      </c>
      <c r="D19" s="7">
        <v>3000</v>
      </c>
      <c r="E19" s="7">
        <v>500</v>
      </c>
      <c r="F19" s="7">
        <v>1000</v>
      </c>
      <c r="G19" s="7">
        <v>2500</v>
      </c>
      <c r="H19" s="7"/>
      <c r="I19" s="7">
        <v>13000</v>
      </c>
      <c r="K19" s="7">
        <f t="shared" si="0"/>
        <v>0</v>
      </c>
    </row>
    <row r="20" spans="1:12">
      <c r="A20" s="1" t="s">
        <v>26</v>
      </c>
      <c r="B20" s="1" t="str">
        <f>VLOOKUP(A20,LISTADHERENT!A$5:H$51,2)</f>
        <v>KOUAMOU EMMANUEL</v>
      </c>
      <c r="C20" s="7">
        <f t="shared" si="1"/>
        <v>20000</v>
      </c>
      <c r="D20" s="7">
        <v>3000</v>
      </c>
      <c r="E20" s="7">
        <v>500</v>
      </c>
      <c r="F20" s="7">
        <v>1000</v>
      </c>
      <c r="G20" s="7">
        <v>2500</v>
      </c>
      <c r="H20" s="7"/>
      <c r="I20" s="7">
        <v>13000</v>
      </c>
      <c r="K20" s="7">
        <f t="shared" si="0"/>
        <v>0</v>
      </c>
    </row>
    <row r="21" spans="1:12">
      <c r="A21" s="1" t="s">
        <v>27</v>
      </c>
      <c r="B21" s="1" t="str">
        <f>VLOOKUP(A21,LISTADHERENT!A$5:H$51,2)</f>
        <v>KOUAMOU MOISE</v>
      </c>
      <c r="C21" s="7">
        <f t="shared" si="1"/>
        <v>20000</v>
      </c>
      <c r="D21" s="7">
        <v>3000</v>
      </c>
      <c r="E21" s="7">
        <v>500</v>
      </c>
      <c r="F21" s="7">
        <v>1000</v>
      </c>
      <c r="G21" s="7">
        <v>2500</v>
      </c>
      <c r="H21" s="7"/>
      <c r="I21" s="7">
        <v>13000</v>
      </c>
      <c r="K21" s="7">
        <f t="shared" si="0"/>
        <v>0</v>
      </c>
    </row>
    <row r="22" spans="1:12">
      <c r="A22" s="1" t="s">
        <v>28</v>
      </c>
      <c r="B22" s="1" t="str">
        <f>VLOOKUP(A22,LISTADHERENT!A$5:H$51,2)</f>
        <v>KOUAMOU VICTOR PEGUY</v>
      </c>
      <c r="C22" s="7">
        <f t="shared" si="1"/>
        <v>20000</v>
      </c>
      <c r="D22" s="7">
        <v>3000</v>
      </c>
      <c r="E22" s="7">
        <v>500</v>
      </c>
      <c r="F22" s="7">
        <v>1000</v>
      </c>
      <c r="G22" s="7">
        <v>2500</v>
      </c>
      <c r="H22" s="7"/>
      <c r="I22" s="7">
        <v>13000</v>
      </c>
      <c r="K22" s="7">
        <f t="shared" si="0"/>
        <v>0</v>
      </c>
    </row>
    <row r="23" spans="1:12">
      <c r="A23" s="1" t="s">
        <v>29</v>
      </c>
      <c r="B23" s="1" t="str">
        <f>VLOOKUP(A23,LISTADHERENT!A$5:H$51,2)</f>
        <v>KOUATCHO MESSACK</v>
      </c>
      <c r="C23" s="7">
        <f t="shared" si="1"/>
        <v>20000</v>
      </c>
      <c r="D23" s="7">
        <v>3000</v>
      </c>
      <c r="E23" s="7">
        <v>500</v>
      </c>
      <c r="F23" s="7">
        <v>1000</v>
      </c>
      <c r="G23" s="7">
        <v>2500</v>
      </c>
      <c r="H23" s="7"/>
      <c r="I23" s="7">
        <v>13000</v>
      </c>
      <c r="J23" s="7">
        <v>600000</v>
      </c>
      <c r="K23" s="7">
        <f t="shared" si="0"/>
        <v>72000</v>
      </c>
    </row>
    <row r="24" spans="1:12">
      <c r="A24" s="1" t="s">
        <v>30</v>
      </c>
      <c r="B24" s="1" t="str">
        <f>VLOOKUP(A24,LISTADHERENT!A$5:H$51,2)</f>
        <v>LOWE JEAN</v>
      </c>
      <c r="C24" s="7">
        <f t="shared" si="1"/>
        <v>20000</v>
      </c>
      <c r="D24" s="7">
        <v>3000</v>
      </c>
      <c r="E24" s="7">
        <v>500</v>
      </c>
      <c r="F24" s="7">
        <v>1000</v>
      </c>
      <c r="G24" s="7">
        <v>2500</v>
      </c>
      <c r="H24" s="7"/>
      <c r="I24" s="7">
        <v>13000</v>
      </c>
      <c r="K24" s="7">
        <f t="shared" si="0"/>
        <v>0</v>
      </c>
    </row>
    <row r="25" spans="1:12">
      <c r="A25" s="1" t="s">
        <v>31</v>
      </c>
      <c r="B25" s="1" t="str">
        <f>VLOOKUP(A25,LISTADHERENT!A$5:H$51,2)</f>
        <v>NANKAM APPOLINAIRE</v>
      </c>
      <c r="C25" s="7">
        <f t="shared" si="1"/>
        <v>25000</v>
      </c>
      <c r="D25" s="7">
        <v>8000</v>
      </c>
      <c r="E25" s="7">
        <v>500</v>
      </c>
      <c r="F25" s="7">
        <v>1000</v>
      </c>
      <c r="G25" s="7">
        <v>2500</v>
      </c>
      <c r="H25" s="7"/>
      <c r="I25" s="7">
        <v>13000</v>
      </c>
      <c r="K25" s="7">
        <f t="shared" si="0"/>
        <v>0</v>
      </c>
    </row>
    <row r="26" spans="1:12">
      <c r="A26" s="1" t="s">
        <v>32</v>
      </c>
      <c r="B26" s="1" t="str">
        <f>VLOOKUP(A26,LISTADHERENT!A$5:H$51,2)</f>
        <v>NDJOMO ETIENNE</v>
      </c>
      <c r="C26" s="7">
        <f t="shared" si="1"/>
        <v>20000</v>
      </c>
      <c r="D26" s="7">
        <v>3000</v>
      </c>
      <c r="E26" s="7">
        <v>500</v>
      </c>
      <c r="F26" s="7">
        <v>1000</v>
      </c>
      <c r="G26" s="7">
        <v>2500</v>
      </c>
      <c r="H26" s="7"/>
      <c r="I26" s="7">
        <v>13000</v>
      </c>
      <c r="J26" s="7">
        <v>400000</v>
      </c>
      <c r="K26" s="7">
        <f t="shared" si="0"/>
        <v>12000</v>
      </c>
    </row>
    <row r="27" spans="1:12">
      <c r="A27" s="1" t="s">
        <v>33</v>
      </c>
      <c r="B27" s="1" t="str">
        <f>VLOOKUP(A27,LISTADHERENT!A$5:H$51,2)</f>
        <v>NDOMBOU JEAN CLAUDE</v>
      </c>
      <c r="C27" s="7">
        <f t="shared" si="1"/>
        <v>0</v>
      </c>
      <c r="D27" s="7"/>
      <c r="E27" s="7"/>
      <c r="F27" s="7"/>
      <c r="G27" s="7"/>
      <c r="H27" s="7"/>
      <c r="I27" s="7"/>
      <c r="K27" s="7">
        <f t="shared" si="0"/>
        <v>0</v>
      </c>
    </row>
    <row r="28" spans="1:12">
      <c r="A28" s="1" t="s">
        <v>34</v>
      </c>
      <c r="B28" s="1" t="str">
        <f>VLOOKUP(A28,LISTADHERENT!A$5:H$51,2)</f>
        <v>NGONDIEP CLAUDE</v>
      </c>
      <c r="C28" s="7">
        <f t="shared" si="1"/>
        <v>20000</v>
      </c>
      <c r="D28" s="7">
        <v>3000</v>
      </c>
      <c r="E28" s="7">
        <v>500</v>
      </c>
      <c r="F28" s="7">
        <v>1000</v>
      </c>
      <c r="G28" s="7">
        <v>2500</v>
      </c>
      <c r="H28" s="7"/>
      <c r="I28" s="7">
        <v>13000</v>
      </c>
      <c r="K28" s="7">
        <f t="shared" si="0"/>
        <v>0</v>
      </c>
    </row>
    <row r="29" spans="1:12">
      <c r="A29" s="1" t="s">
        <v>35</v>
      </c>
      <c r="B29" s="1" t="str">
        <f>VLOOKUP(A29,LISTADHERENT!A$5:H$51,2)</f>
        <v>NGONGANG JEAN THEODORE</v>
      </c>
      <c r="C29" s="7">
        <f t="shared" si="1"/>
        <v>20000</v>
      </c>
      <c r="D29" s="7">
        <v>3000</v>
      </c>
      <c r="E29" s="7">
        <v>500</v>
      </c>
      <c r="F29" s="7">
        <v>1000</v>
      </c>
      <c r="G29" s="7">
        <v>2500</v>
      </c>
      <c r="H29" s="7"/>
      <c r="I29" s="7">
        <v>13000</v>
      </c>
      <c r="K29" s="7">
        <f t="shared" si="0"/>
        <v>0</v>
      </c>
    </row>
    <row r="30" spans="1:12">
      <c r="A30" s="1" t="s">
        <v>36</v>
      </c>
      <c r="B30" s="1" t="str">
        <f>VLOOKUP(A30,LISTADHERENT!A$5:H$51,2)</f>
        <v>NGUIEMEGNI MATHIEU BLAISE</v>
      </c>
      <c r="C30" s="7">
        <f t="shared" si="1"/>
        <v>22000</v>
      </c>
      <c r="D30" s="7">
        <v>5000</v>
      </c>
      <c r="E30" s="7">
        <v>500</v>
      </c>
      <c r="F30" s="7">
        <v>1000</v>
      </c>
      <c r="G30" s="7">
        <v>2500</v>
      </c>
      <c r="H30" s="7"/>
      <c r="I30" s="7">
        <v>13000</v>
      </c>
      <c r="K30" s="7">
        <f t="shared" si="0"/>
        <v>0</v>
      </c>
    </row>
    <row r="31" spans="1:12">
      <c r="A31" s="1" t="s">
        <v>37</v>
      </c>
      <c r="B31" s="1" t="str">
        <f>VLOOKUP(A31,LISTADHERENT!A$5:H$51,2)</f>
        <v>NJEPDJIO MBOUKAM DELUXE</v>
      </c>
      <c r="C31" s="7">
        <f t="shared" si="1"/>
        <v>23000</v>
      </c>
      <c r="D31" s="7">
        <v>6000</v>
      </c>
      <c r="E31" s="7">
        <v>500</v>
      </c>
      <c r="F31" s="7">
        <v>1000</v>
      </c>
      <c r="G31" s="7">
        <v>2500</v>
      </c>
      <c r="H31" s="7"/>
      <c r="I31" s="7">
        <v>13000</v>
      </c>
      <c r="K31" s="7">
        <f t="shared" si="0"/>
        <v>0</v>
      </c>
    </row>
    <row r="32" spans="1:12">
      <c r="A32" s="1" t="s">
        <v>38</v>
      </c>
      <c r="B32" s="1" t="str">
        <f>VLOOKUP(A32,LISTADHERENT!A$5:H$51,2)</f>
        <v>NKAMGANG JUSTIN DEJOLIE</v>
      </c>
      <c r="C32" s="10">
        <f t="shared" si="1"/>
        <v>25000</v>
      </c>
      <c r="D32" s="7">
        <v>8000</v>
      </c>
      <c r="E32" s="7">
        <v>500</v>
      </c>
      <c r="F32" s="7">
        <v>1000</v>
      </c>
      <c r="G32" s="7">
        <v>2500</v>
      </c>
      <c r="H32" s="7"/>
      <c r="I32" s="7">
        <v>13000</v>
      </c>
      <c r="J32" s="11"/>
      <c r="K32" s="7">
        <f t="shared" si="0"/>
        <v>0</v>
      </c>
      <c r="L32" s="11"/>
    </row>
    <row r="33" spans="1:12" s="11" customFormat="1">
      <c r="A33" s="1" t="s">
        <v>39</v>
      </c>
      <c r="B33" s="1" t="str">
        <f>VLOOKUP(A33,LISTADHERENT!A$5:H$51,2)</f>
        <v>NKEPSEU DIEUDONNE</v>
      </c>
      <c r="C33" s="7">
        <f t="shared" si="1"/>
        <v>20000</v>
      </c>
      <c r="D33" s="7">
        <v>3000</v>
      </c>
      <c r="E33" s="7">
        <v>500</v>
      </c>
      <c r="F33" s="7">
        <v>1000</v>
      </c>
      <c r="G33" s="7">
        <v>2500</v>
      </c>
      <c r="H33" s="7"/>
      <c r="I33" s="7">
        <v>13000</v>
      </c>
      <c r="J33"/>
      <c r="K33" s="7">
        <f t="shared" si="0"/>
        <v>0</v>
      </c>
      <c r="L33"/>
    </row>
    <row r="34" spans="1:12">
      <c r="A34" s="1" t="s">
        <v>40</v>
      </c>
      <c r="B34" s="1" t="str">
        <f>VLOOKUP(A34,LISTADHERENT!A$5:H$51,2)</f>
        <v>NKEPSEU HENANG RENE</v>
      </c>
      <c r="C34" s="7">
        <f t="shared" si="1"/>
        <v>20000</v>
      </c>
      <c r="D34" s="7">
        <v>3000</v>
      </c>
      <c r="E34" s="7">
        <v>500</v>
      </c>
      <c r="F34" s="7">
        <v>1000</v>
      </c>
      <c r="G34" s="7">
        <v>2500</v>
      </c>
      <c r="H34" s="7"/>
      <c r="I34" s="7">
        <v>13000</v>
      </c>
      <c r="K34" s="7">
        <f t="shared" si="0"/>
        <v>0</v>
      </c>
    </row>
    <row r="35" spans="1:12">
      <c r="A35" s="1" t="s">
        <v>41</v>
      </c>
      <c r="B35" s="1" t="str">
        <f>VLOOKUP(A35,LISTADHERENT!A$5:H$51,2)</f>
        <v>NTEPDIE TUEMAC MZ</v>
      </c>
      <c r="C35" s="7">
        <f t="shared" si="1"/>
        <v>20000</v>
      </c>
      <c r="D35" s="7">
        <v>3000</v>
      </c>
      <c r="E35" s="7">
        <v>500</v>
      </c>
      <c r="F35" s="7">
        <v>1000</v>
      </c>
      <c r="G35" s="7">
        <v>2500</v>
      </c>
      <c r="H35" s="7"/>
      <c r="I35" s="7">
        <v>13000</v>
      </c>
      <c r="K35" s="7">
        <f t="shared" si="0"/>
        <v>0</v>
      </c>
    </row>
    <row r="36" spans="1:12">
      <c r="A36" s="1" t="s">
        <v>42</v>
      </c>
      <c r="B36" s="1" t="str">
        <f>VLOOKUP(A36,LISTADHERENT!A$5:H$51,2)</f>
        <v>NTOMBOU ADOLPHE</v>
      </c>
      <c r="C36" s="7">
        <f t="shared" si="1"/>
        <v>20000</v>
      </c>
      <c r="D36" s="7">
        <v>3000</v>
      </c>
      <c r="E36" s="7">
        <v>500</v>
      </c>
      <c r="F36" s="7">
        <v>1000</v>
      </c>
      <c r="G36" s="7">
        <v>2500</v>
      </c>
      <c r="H36" s="7"/>
      <c r="I36" s="7">
        <v>13000</v>
      </c>
      <c r="K36" s="7">
        <f t="shared" si="0"/>
        <v>0</v>
      </c>
    </row>
    <row r="37" spans="1:12">
      <c r="A37" s="1" t="s">
        <v>43</v>
      </c>
      <c r="B37" s="1" t="str">
        <f>VLOOKUP(A37,LISTADHERENT!A$5:H$51,2)</f>
        <v>PATEGO NJOSSU GUSTAVE</v>
      </c>
      <c r="C37" s="7">
        <f t="shared" si="1"/>
        <v>20000</v>
      </c>
      <c r="D37" s="7">
        <v>3000</v>
      </c>
      <c r="E37" s="7">
        <v>500</v>
      </c>
      <c r="F37" s="7">
        <v>1000</v>
      </c>
      <c r="G37" s="7">
        <v>2500</v>
      </c>
      <c r="H37" s="7"/>
      <c r="I37" s="7">
        <v>13000</v>
      </c>
      <c r="K37" s="7">
        <f t="shared" si="0"/>
        <v>0</v>
      </c>
    </row>
    <row r="38" spans="1:12">
      <c r="A38" s="1" t="s">
        <v>44</v>
      </c>
      <c r="B38" s="1" t="str">
        <f>VLOOKUP(A38,LISTADHERENT!A$5:H$51,2)</f>
        <v>SEUNOU RICHELOT</v>
      </c>
      <c r="C38" s="7">
        <f t="shared" si="1"/>
        <v>20000</v>
      </c>
      <c r="D38" s="7">
        <v>3000</v>
      </c>
      <c r="E38" s="7">
        <v>500</v>
      </c>
      <c r="F38" s="7">
        <v>1000</v>
      </c>
      <c r="G38" s="7">
        <v>2500</v>
      </c>
      <c r="H38" s="7"/>
      <c r="I38" s="7">
        <v>13000</v>
      </c>
      <c r="K38" s="7">
        <f t="shared" si="0"/>
        <v>0</v>
      </c>
    </row>
    <row r="39" spans="1:12">
      <c r="A39" s="1" t="s">
        <v>45</v>
      </c>
      <c r="B39" s="1" t="str">
        <f>VLOOKUP(A39,LISTADHERENT!A$5:H$51,2)</f>
        <v>SIME ABEL</v>
      </c>
      <c r="C39" s="7">
        <f t="shared" si="1"/>
        <v>20000</v>
      </c>
      <c r="D39" s="7">
        <v>3000</v>
      </c>
      <c r="E39" s="7">
        <v>500</v>
      </c>
      <c r="F39" s="7">
        <v>1000</v>
      </c>
      <c r="G39" s="7">
        <v>2500</v>
      </c>
      <c r="H39" s="7"/>
      <c r="I39" s="7">
        <v>13000</v>
      </c>
      <c r="K39" s="7">
        <f t="shared" si="0"/>
        <v>0</v>
      </c>
    </row>
    <row r="40" spans="1:12">
      <c r="A40" s="1" t="s">
        <v>46</v>
      </c>
      <c r="B40" s="1" t="str">
        <f>VLOOKUP(A40,LISTADHERENT!A$5:H$51,2)</f>
        <v>SIME FONGANG ERIC</v>
      </c>
      <c r="C40" s="7">
        <f t="shared" si="1"/>
        <v>20000</v>
      </c>
      <c r="D40" s="7">
        <v>3000</v>
      </c>
      <c r="E40" s="7">
        <v>500</v>
      </c>
      <c r="F40" s="7">
        <v>1000</v>
      </c>
      <c r="G40" s="7">
        <v>2500</v>
      </c>
      <c r="H40" s="7"/>
      <c r="I40" s="7">
        <v>13000</v>
      </c>
      <c r="K40" s="7">
        <f t="shared" si="0"/>
        <v>0</v>
      </c>
    </row>
    <row r="41" spans="1:12">
      <c r="A41" s="1" t="s">
        <v>47</v>
      </c>
      <c r="B41" s="1" t="str">
        <f>VLOOKUP(A41,LISTADHERENT!A$5:H$51,2)</f>
        <v>SIME MATHIEU</v>
      </c>
      <c r="C41" s="7">
        <f t="shared" si="1"/>
        <v>900000</v>
      </c>
      <c r="D41" s="7">
        <v>883000</v>
      </c>
      <c r="E41" s="7">
        <v>500</v>
      </c>
      <c r="F41" s="7">
        <v>1000</v>
      </c>
      <c r="G41" s="7">
        <v>2500</v>
      </c>
      <c r="H41" s="7"/>
      <c r="I41" s="7">
        <v>13000</v>
      </c>
      <c r="K41" s="7">
        <f t="shared" si="0"/>
        <v>0</v>
      </c>
    </row>
    <row r="42" spans="1:12">
      <c r="A42" s="1" t="s">
        <v>48</v>
      </c>
      <c r="B42" s="1" t="str">
        <f>VLOOKUP(A42,LISTADHERENT!A$5:H$51,2)</f>
        <v>SIME PIERRE</v>
      </c>
      <c r="C42" s="7">
        <f t="shared" si="1"/>
        <v>20000</v>
      </c>
      <c r="D42" s="7">
        <v>3000</v>
      </c>
      <c r="E42" s="7">
        <v>500</v>
      </c>
      <c r="F42" s="7">
        <v>1000</v>
      </c>
      <c r="G42" s="7">
        <v>2500</v>
      </c>
      <c r="H42" s="7"/>
      <c r="I42" s="7">
        <v>13000</v>
      </c>
      <c r="K42" s="7">
        <f t="shared" si="0"/>
        <v>0</v>
      </c>
    </row>
    <row r="43" spans="1:12">
      <c r="A43" s="1" t="s">
        <v>49</v>
      </c>
      <c r="B43" s="1" t="str">
        <f>VLOOKUP(A43,LISTADHERENT!A$5:H$51,2)</f>
        <v>TAGNE NANGUEN MARTIN</v>
      </c>
      <c r="C43" s="7">
        <f t="shared" si="1"/>
        <v>20000</v>
      </c>
      <c r="D43" s="7">
        <v>3000</v>
      </c>
      <c r="E43" s="7">
        <v>500</v>
      </c>
      <c r="F43" s="7">
        <v>1000</v>
      </c>
      <c r="G43" s="7">
        <v>2500</v>
      </c>
      <c r="H43" s="7"/>
      <c r="I43" s="7">
        <v>13000</v>
      </c>
      <c r="K43" s="7">
        <f t="shared" si="0"/>
        <v>0</v>
      </c>
    </row>
    <row r="44" spans="1:12">
      <c r="A44" s="1" t="s">
        <v>50</v>
      </c>
      <c r="B44" s="1" t="str">
        <f>VLOOKUP(A44,LISTADHERENT!A$5:H$51,2)</f>
        <v>TCHOUAMOU JEAN PAUL</v>
      </c>
      <c r="C44" s="7">
        <f t="shared" si="1"/>
        <v>20000</v>
      </c>
      <c r="D44" s="7">
        <v>3000</v>
      </c>
      <c r="E44" s="7">
        <v>500</v>
      </c>
      <c r="F44" s="7">
        <v>1000</v>
      </c>
      <c r="G44" s="7">
        <v>2500</v>
      </c>
      <c r="H44" s="7"/>
      <c r="I44" s="7">
        <v>13000</v>
      </c>
      <c r="K44" s="7">
        <f t="shared" si="0"/>
        <v>0</v>
      </c>
    </row>
    <row r="45" spans="1:12">
      <c r="A45" s="1" t="s">
        <v>51</v>
      </c>
      <c r="B45" s="1" t="str">
        <f>VLOOKUP(A45,LISTADHERENT!A$5:H$51,2)</f>
        <v>TCHOUAMOU MATHIEU</v>
      </c>
      <c r="C45" s="7">
        <f t="shared" si="1"/>
        <v>23000</v>
      </c>
      <c r="D45" s="7">
        <v>6000</v>
      </c>
      <c r="E45" s="7">
        <v>500</v>
      </c>
      <c r="F45" s="7">
        <v>1000</v>
      </c>
      <c r="G45" s="7">
        <v>2500</v>
      </c>
      <c r="H45" s="7"/>
      <c r="I45" s="7">
        <v>13000</v>
      </c>
      <c r="J45" s="7">
        <v>500000</v>
      </c>
      <c r="K45" s="7">
        <f t="shared" si="0"/>
        <v>15000</v>
      </c>
    </row>
    <row r="46" spans="1:12">
      <c r="A46" s="1" t="s">
        <v>52</v>
      </c>
      <c r="B46" s="1" t="str">
        <f>VLOOKUP(A46,LISTADHERENT!A$5:H$51,2)</f>
        <v>TCHOUANTE FRANCOIS</v>
      </c>
      <c r="C46" s="7">
        <f t="shared" si="1"/>
        <v>20000</v>
      </c>
      <c r="D46" s="7">
        <v>3000</v>
      </c>
      <c r="E46" s="7">
        <v>500</v>
      </c>
      <c r="F46" s="7">
        <v>1000</v>
      </c>
      <c r="G46" s="7">
        <v>2500</v>
      </c>
      <c r="H46" s="7"/>
      <c r="I46" s="7">
        <v>13000</v>
      </c>
      <c r="K46" s="7">
        <f t="shared" si="0"/>
        <v>0</v>
      </c>
    </row>
    <row r="47" spans="1:12">
      <c r="A47" s="1" t="s">
        <v>53</v>
      </c>
      <c r="B47" s="1" t="str">
        <f>VLOOKUP(A47,LISTADHERENT!A$5:H$51,2)</f>
        <v>TCHOUTOU NANA CLAUDE</v>
      </c>
      <c r="C47" s="7">
        <f t="shared" si="1"/>
        <v>20000</v>
      </c>
      <c r="D47" s="7">
        <v>3000</v>
      </c>
      <c r="E47" s="7">
        <v>500</v>
      </c>
      <c r="F47" s="7">
        <v>1000</v>
      </c>
      <c r="G47" s="7">
        <v>2500</v>
      </c>
      <c r="H47" s="7"/>
      <c r="I47" s="7">
        <v>13000</v>
      </c>
      <c r="K47" s="7">
        <f t="shared" si="0"/>
        <v>0</v>
      </c>
    </row>
    <row r="48" spans="1:12">
      <c r="A48" s="1" t="s">
        <v>54</v>
      </c>
      <c r="B48" s="1" t="str">
        <f>VLOOKUP(A48,LISTADHERENT!A$5:H$51,2)</f>
        <v>TIEYAM ERNEST</v>
      </c>
      <c r="C48" s="7">
        <f t="shared" si="1"/>
        <v>20000</v>
      </c>
      <c r="D48" s="7">
        <v>3000</v>
      </c>
      <c r="E48" s="7">
        <v>500</v>
      </c>
      <c r="F48" s="7">
        <v>1000</v>
      </c>
      <c r="G48" s="7">
        <v>2500</v>
      </c>
      <c r="H48" s="7"/>
      <c r="I48" s="7">
        <v>13000</v>
      </c>
      <c r="K48" s="7">
        <f t="shared" si="0"/>
        <v>0</v>
      </c>
    </row>
    <row r="49" spans="1:12">
      <c r="A49" s="1" t="s">
        <v>55</v>
      </c>
      <c r="B49" s="1" t="str">
        <f>VLOOKUP(A49,LISTADHERENT!A$5:H$51,2)</f>
        <v>TUGMA PIERRE LOTI</v>
      </c>
      <c r="C49" s="7">
        <f t="shared" ref="C49:C50" si="2">D49+E49+F49+G49+H49+I49</f>
        <v>20000</v>
      </c>
      <c r="D49" s="7">
        <v>3000</v>
      </c>
      <c r="E49" s="7">
        <v>500</v>
      </c>
      <c r="F49" s="7">
        <v>1000</v>
      </c>
      <c r="G49" s="7">
        <v>2500</v>
      </c>
      <c r="H49" s="7"/>
      <c r="I49" s="7">
        <v>13000</v>
      </c>
      <c r="K49" s="7">
        <f t="shared" si="0"/>
        <v>0</v>
      </c>
    </row>
    <row r="50" spans="1:12" ht="18">
      <c r="A50" s="1" t="s">
        <v>66</v>
      </c>
      <c r="B50" s="1" t="str">
        <f>VLOOKUP(A50,LISTADHERENT!A$5:H$51,2)</f>
        <v>YEPMOU JEAN JACQUES</v>
      </c>
      <c r="C50" s="7">
        <f t="shared" si="2"/>
        <v>20000</v>
      </c>
      <c r="D50" s="7">
        <v>3000</v>
      </c>
      <c r="E50" s="7">
        <v>500</v>
      </c>
      <c r="F50" s="7">
        <v>1000</v>
      </c>
      <c r="G50" s="7">
        <v>2500</v>
      </c>
      <c r="H50" s="7"/>
      <c r="I50" s="7">
        <v>13000</v>
      </c>
      <c r="J50" s="9"/>
      <c r="K50" s="7">
        <f t="shared" si="0"/>
        <v>0</v>
      </c>
      <c r="L50" s="9"/>
    </row>
    <row r="51" spans="1:12">
      <c r="A51" s="1" t="s">
        <v>178</v>
      </c>
      <c r="B51" s="1" t="str">
        <f>VLOOKUP(A51,LISTADHERENT!A$5:H$51,2)</f>
        <v>YOUMBI EMMANUEL</v>
      </c>
      <c r="C51" s="7">
        <f t="shared" ref="C51" si="3">D51+E51+F51+G51+H51+I51</f>
        <v>20000</v>
      </c>
      <c r="D51" s="7">
        <v>3000</v>
      </c>
      <c r="E51" s="7">
        <v>500</v>
      </c>
      <c r="F51" s="7">
        <v>1000</v>
      </c>
      <c r="G51" s="7">
        <v>2500</v>
      </c>
      <c r="I51" s="7">
        <v>13000</v>
      </c>
      <c r="K51" s="7">
        <f t="shared" si="0"/>
        <v>0</v>
      </c>
    </row>
    <row r="52" spans="1:12">
      <c r="A52" s="1"/>
      <c r="B52" s="1" t="s">
        <v>180</v>
      </c>
      <c r="I52" s="7">
        <v>104000</v>
      </c>
      <c r="K52" s="7">
        <f t="shared" si="0"/>
        <v>0</v>
      </c>
    </row>
    <row r="53" spans="1:12">
      <c r="A53" s="1"/>
      <c r="B53" s="1"/>
      <c r="I53" s="7"/>
    </row>
    <row r="54" spans="1:12" ht="18">
      <c r="A54" s="1" t="s">
        <v>56</v>
      </c>
      <c r="B54" s="1"/>
      <c r="C54" s="9">
        <f t="shared" ref="C54:H54" si="4">SUM(C5:C51)</f>
        <v>1828000</v>
      </c>
      <c r="D54" s="9">
        <f t="shared" si="4"/>
        <v>1046000</v>
      </c>
      <c r="E54" s="9">
        <f t="shared" si="4"/>
        <v>23000</v>
      </c>
      <c r="F54" s="9">
        <f t="shared" si="4"/>
        <v>46000</v>
      </c>
      <c r="G54" s="9">
        <f t="shared" si="4"/>
        <v>115000</v>
      </c>
      <c r="H54" s="9">
        <f t="shared" si="4"/>
        <v>0</v>
      </c>
      <c r="I54" s="9">
        <f>SUM(I5:I52)</f>
        <v>702000</v>
      </c>
      <c r="J54" s="9">
        <f>SUM(J5:J51)</f>
        <v>1500000</v>
      </c>
      <c r="K54" s="9">
        <f>SUM(K5:K51)</f>
        <v>99000</v>
      </c>
      <c r="L54" s="9">
        <f>SUM(L5:L51)</f>
        <v>0</v>
      </c>
    </row>
  </sheetData>
  <autoFilter ref="A4:L48">
    <filterColumn colId="8"/>
    <filterColumn colId="9"/>
    <filterColumn colId="10"/>
    <filterColumn colId="11"/>
    <sortState ref="A5:L48">
      <sortCondition ref="B5:B48"/>
    </sortState>
  </autoFilter>
  <sortState ref="A5:L49">
    <sortCondition ref="B5:B49"/>
  </sortState>
  <dataValidations count="1">
    <dataValidation type="list" allowBlank="1" showInputMessage="1" showErrorMessage="1" promptTitle="Saissisez le mode de VERSEMENT" sqref="E5:E51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54"/>
  <sheetViews>
    <sheetView workbookViewId="0">
      <pane xSplit="2" ySplit="4" topLeftCell="H29" activePane="bottomRight" state="frozen"/>
      <selection activeCell="B22" sqref="B22"/>
      <selection pane="topRight" activeCell="B22" sqref="B22"/>
      <selection pane="bottomLeft" activeCell="B22" sqref="B22"/>
      <selection pane="bottomRight" activeCell="K42" sqref="K42"/>
    </sheetView>
  </sheetViews>
  <sheetFormatPr baseColWidth="10" defaultRowHeight="15"/>
  <cols>
    <col min="1" max="1" width="13.85546875" customWidth="1"/>
    <col min="2" max="2" width="29.5703125" bestFit="1" customWidth="1"/>
    <col min="3" max="3" width="13" style="2" customWidth="1"/>
    <col min="4" max="4" width="12.5703125" bestFit="1" customWidth="1"/>
    <col min="5" max="5" width="17.5703125" style="3" bestFit="1" customWidth="1"/>
    <col min="6" max="6" width="15.7109375" style="2" customWidth="1"/>
    <col min="7" max="7" width="14.7109375" style="2" customWidth="1"/>
    <col min="8" max="8" width="18.140625" style="2" bestFit="1" customWidth="1"/>
    <col min="9" max="9" width="18.140625" customWidth="1"/>
    <col min="10" max="10" width="15" bestFit="1" customWidth="1"/>
    <col min="11" max="11" width="12.5703125" bestFit="1" customWidth="1"/>
    <col min="12" max="12" width="18.140625" customWidth="1"/>
  </cols>
  <sheetData>
    <row r="1" spans="1:12">
      <c r="A1" s="1" t="s">
        <v>0</v>
      </c>
      <c r="B1" s="1" t="s">
        <v>1</v>
      </c>
    </row>
    <row r="2" spans="1:12">
      <c r="A2" s="1" t="s">
        <v>2</v>
      </c>
      <c r="B2" s="1" t="s">
        <v>3</v>
      </c>
    </row>
    <row r="3" spans="1:12">
      <c r="A3" s="1" t="s">
        <v>4</v>
      </c>
      <c r="B3" s="1" t="s">
        <v>5</v>
      </c>
    </row>
    <row r="4" spans="1:12" ht="29.25">
      <c r="A4" s="1" t="s">
        <v>6</v>
      </c>
      <c r="B4" s="1" t="s">
        <v>7</v>
      </c>
      <c r="C4" s="5" t="s">
        <v>65</v>
      </c>
      <c r="D4" s="1" t="s">
        <v>57</v>
      </c>
      <c r="E4" s="5" t="s">
        <v>58</v>
      </c>
      <c r="F4" s="5" t="s">
        <v>59</v>
      </c>
      <c r="G4" s="5" t="s">
        <v>60</v>
      </c>
      <c r="H4" s="5" t="s">
        <v>61</v>
      </c>
      <c r="I4" s="5" t="s">
        <v>62</v>
      </c>
      <c r="J4" s="5" t="s">
        <v>63</v>
      </c>
      <c r="K4" s="5" t="s">
        <v>64</v>
      </c>
      <c r="L4" s="5" t="s">
        <v>8</v>
      </c>
    </row>
    <row r="5" spans="1:12">
      <c r="A5" s="1" t="s">
        <v>11</v>
      </c>
      <c r="B5" s="1" t="str">
        <f>VLOOKUP(A5,LISTADHERENT!A$5:H$51,2)</f>
        <v>BAKOP ACHILLE</v>
      </c>
      <c r="C5" s="7">
        <f t="shared" ref="C5" si="0">D5+E5+F5+G5+H5+I5</f>
        <v>20000</v>
      </c>
      <c r="D5" s="7">
        <v>3000</v>
      </c>
      <c r="E5" s="7">
        <v>500</v>
      </c>
      <c r="F5" s="7">
        <v>1000</v>
      </c>
      <c r="G5" s="7">
        <v>2500</v>
      </c>
      <c r="H5" s="7"/>
      <c r="I5" s="7">
        <v>13000</v>
      </c>
      <c r="J5" s="7"/>
      <c r="K5" s="7">
        <f>IF(J5&lt;=500000,(J5*1*3/100),(J5*12/100))</f>
        <v>0</v>
      </c>
    </row>
    <row r="6" spans="1:12">
      <c r="A6" s="1" t="s">
        <v>12</v>
      </c>
      <c r="B6" s="1" t="str">
        <f>VLOOKUP(A6,LISTADHERENT!A$5:H$51,2)</f>
        <v>BOUTCHOUANG WILLIAM</v>
      </c>
      <c r="C6" s="7">
        <f t="shared" ref="C6:C50" si="1">D6+E6+F6+G6+H6+I6</f>
        <v>20000</v>
      </c>
      <c r="D6" s="7">
        <v>3000</v>
      </c>
      <c r="E6" s="7">
        <v>500</v>
      </c>
      <c r="F6" s="7">
        <v>1000</v>
      </c>
      <c r="G6" s="7">
        <v>2500</v>
      </c>
      <c r="H6" s="7"/>
      <c r="I6" s="7">
        <v>13000</v>
      </c>
      <c r="J6" s="7"/>
      <c r="K6" s="7">
        <f t="shared" ref="K6:K52" si="2">IF(J6&lt;=500000,(J6*1*3/100),(J6*12/100))</f>
        <v>0</v>
      </c>
    </row>
    <row r="7" spans="1:12">
      <c r="A7" s="1" t="s">
        <v>13</v>
      </c>
      <c r="B7" s="1" t="str">
        <f>VLOOKUP(A7,LISTADHERENT!A$5:H$51,2)</f>
        <v>CHINGUE FABRICE</v>
      </c>
      <c r="C7" s="7">
        <f t="shared" si="1"/>
        <v>20000</v>
      </c>
      <c r="D7" s="7">
        <v>3000</v>
      </c>
      <c r="E7" s="7">
        <v>500</v>
      </c>
      <c r="F7" s="7">
        <v>1000</v>
      </c>
      <c r="G7" s="7">
        <v>2500</v>
      </c>
      <c r="H7" s="7"/>
      <c r="I7" s="7">
        <v>13000</v>
      </c>
      <c r="J7" s="7">
        <v>1000000</v>
      </c>
      <c r="K7" s="7">
        <f>IF(J7&lt;=500000,(J7*1*3/100),(J7*12/100))/2</f>
        <v>60000</v>
      </c>
    </row>
    <row r="8" spans="1:12">
      <c r="A8" s="1" t="s">
        <v>14</v>
      </c>
      <c r="B8" s="1" t="str">
        <f>VLOOKUP(A8,LISTADHERENT!A$5:H$51,2)</f>
        <v xml:space="preserve">DJOMO JEAN PAUL </v>
      </c>
      <c r="C8" s="7">
        <f t="shared" si="1"/>
        <v>20000</v>
      </c>
      <c r="D8" s="7">
        <v>3000</v>
      </c>
      <c r="E8" s="7">
        <v>500</v>
      </c>
      <c r="F8" s="7">
        <v>1000</v>
      </c>
      <c r="G8" s="7">
        <v>2500</v>
      </c>
      <c r="H8" s="7"/>
      <c r="I8" s="7">
        <v>13000</v>
      </c>
      <c r="K8" s="7">
        <f t="shared" si="2"/>
        <v>0</v>
      </c>
    </row>
    <row r="9" spans="1:12">
      <c r="A9" s="1" t="s">
        <v>15</v>
      </c>
      <c r="B9" s="1" t="str">
        <f>VLOOKUP(A9,LISTADHERENT!A$5:H$51,2)</f>
        <v>DJOUKWE GUY</v>
      </c>
      <c r="C9" s="7">
        <f t="shared" si="1"/>
        <v>20000</v>
      </c>
      <c r="D9" s="7">
        <v>3000</v>
      </c>
      <c r="E9" s="7">
        <v>500</v>
      </c>
      <c r="F9" s="7">
        <v>1000</v>
      </c>
      <c r="G9" s="7">
        <v>2500</v>
      </c>
      <c r="H9" s="7"/>
      <c r="I9" s="7">
        <v>13000</v>
      </c>
      <c r="K9" s="7">
        <f t="shared" si="2"/>
        <v>0</v>
      </c>
    </row>
    <row r="10" spans="1:12">
      <c r="A10" s="1" t="s">
        <v>16</v>
      </c>
      <c r="B10" s="1" t="str">
        <f>VLOOKUP(A10,LISTADHERENT!A$5:H$51,2)</f>
        <v>DJOSSEU JOSUE</v>
      </c>
      <c r="C10" s="7">
        <f t="shared" si="1"/>
        <v>0</v>
      </c>
      <c r="D10" s="7"/>
      <c r="E10" s="7"/>
      <c r="F10" s="7"/>
      <c r="G10" s="7"/>
      <c r="H10" s="7"/>
      <c r="I10" s="7"/>
      <c r="K10" s="7">
        <f t="shared" si="2"/>
        <v>0</v>
      </c>
    </row>
    <row r="11" spans="1:12">
      <c r="A11" s="1" t="s">
        <v>17</v>
      </c>
      <c r="B11" s="1" t="str">
        <f>VLOOKUP(A11,LISTADHERENT!A$5:H$51,2)</f>
        <v>DJOUNKEP SAMUEL</v>
      </c>
      <c r="C11" s="7">
        <f t="shared" si="1"/>
        <v>40000</v>
      </c>
      <c r="D11" s="7">
        <v>23000</v>
      </c>
      <c r="E11" s="7">
        <v>500</v>
      </c>
      <c r="F11" s="7">
        <v>1000</v>
      </c>
      <c r="G11" s="7">
        <v>2500</v>
      </c>
      <c r="H11" s="7"/>
      <c r="I11" s="7">
        <v>13000</v>
      </c>
      <c r="K11" s="7">
        <f t="shared" si="2"/>
        <v>0</v>
      </c>
    </row>
    <row r="12" spans="1:12">
      <c r="A12" s="1" t="s">
        <v>18</v>
      </c>
      <c r="B12" s="1" t="str">
        <f>VLOOKUP(A12,LISTADHERENT!A$5:H$51,2)</f>
        <v>DJUOMBESSY ANTOINE</v>
      </c>
      <c r="C12" s="7">
        <f t="shared" si="1"/>
        <v>20000</v>
      </c>
      <c r="D12" s="7">
        <v>3000</v>
      </c>
      <c r="E12" s="7">
        <v>500</v>
      </c>
      <c r="F12" s="7">
        <v>1000</v>
      </c>
      <c r="G12" s="7">
        <v>2500</v>
      </c>
      <c r="H12" s="7"/>
      <c r="I12" s="7">
        <v>13000</v>
      </c>
      <c r="K12" s="7">
        <f t="shared" si="2"/>
        <v>0</v>
      </c>
    </row>
    <row r="13" spans="1:12">
      <c r="A13" s="1" t="s">
        <v>19</v>
      </c>
      <c r="B13" s="1" t="str">
        <f>VLOOKUP(A13,LISTADHERENT!A$5:H$51,2)</f>
        <v>DONHOU DAVID</v>
      </c>
      <c r="C13" s="7">
        <f t="shared" si="1"/>
        <v>20000</v>
      </c>
      <c r="D13" s="7">
        <v>3000</v>
      </c>
      <c r="E13" s="7">
        <v>500</v>
      </c>
      <c r="F13" s="7">
        <v>1000</v>
      </c>
      <c r="G13" s="7">
        <v>2500</v>
      </c>
      <c r="H13" s="7"/>
      <c r="I13" s="7">
        <v>13000</v>
      </c>
      <c r="K13" s="7">
        <f t="shared" si="2"/>
        <v>0</v>
      </c>
    </row>
    <row r="14" spans="1:12">
      <c r="A14" s="1" t="s">
        <v>20</v>
      </c>
      <c r="B14" s="1" t="str">
        <f>VLOOKUP(A14,LISTADHERENT!A$5:H$51,2)</f>
        <v>FOTSO THOMAS</v>
      </c>
      <c r="C14" s="7">
        <f t="shared" si="1"/>
        <v>20000</v>
      </c>
      <c r="D14" s="7">
        <v>3000</v>
      </c>
      <c r="E14" s="7">
        <v>500</v>
      </c>
      <c r="F14" s="7">
        <v>1000</v>
      </c>
      <c r="G14" s="7">
        <v>2500</v>
      </c>
      <c r="H14" s="7"/>
      <c r="I14" s="7">
        <v>13000</v>
      </c>
      <c r="K14" s="7">
        <f t="shared" si="2"/>
        <v>0</v>
      </c>
    </row>
    <row r="15" spans="1:12">
      <c r="A15" s="1" t="s">
        <v>21</v>
      </c>
      <c r="B15" s="1" t="str">
        <f>VLOOKUP(A15,LISTADHERENT!A$5:H$51,2)</f>
        <v>HENGUE PAUL OMER</v>
      </c>
      <c r="C15" s="7">
        <f t="shared" si="1"/>
        <v>20000</v>
      </c>
      <c r="D15" s="7">
        <v>3000</v>
      </c>
      <c r="E15" s="7">
        <v>500</v>
      </c>
      <c r="F15" s="7">
        <v>1000</v>
      </c>
      <c r="G15" s="7">
        <v>2500</v>
      </c>
      <c r="H15" s="7"/>
      <c r="I15" s="7">
        <v>13000</v>
      </c>
      <c r="K15" s="7">
        <f t="shared" si="2"/>
        <v>0</v>
      </c>
    </row>
    <row r="16" spans="1:12">
      <c r="A16" s="1" t="s">
        <v>22</v>
      </c>
      <c r="B16" s="1" t="str">
        <f>VLOOKUP(A16,LISTADHERENT!A$5:H$51,2)</f>
        <v>HODIEP JULES</v>
      </c>
      <c r="C16" s="7">
        <f t="shared" si="1"/>
        <v>20000</v>
      </c>
      <c r="D16" s="7">
        <v>3000</v>
      </c>
      <c r="E16" s="7">
        <v>500</v>
      </c>
      <c r="F16" s="7">
        <v>1000</v>
      </c>
      <c r="G16" s="7">
        <v>2500</v>
      </c>
      <c r="H16" s="7"/>
      <c r="I16" s="7">
        <v>13000</v>
      </c>
      <c r="K16" s="7">
        <f t="shared" si="2"/>
        <v>0</v>
      </c>
    </row>
    <row r="17" spans="1:11">
      <c r="A17" s="1" t="s">
        <v>23</v>
      </c>
      <c r="B17" s="1" t="str">
        <f>VLOOKUP(A17,LISTADHERENT!A$5:H$51,2)</f>
        <v>HOTCHO BENJAMIN</v>
      </c>
      <c r="C17" s="7">
        <f t="shared" si="1"/>
        <v>20000</v>
      </c>
      <c r="D17" s="7">
        <v>3000</v>
      </c>
      <c r="E17" s="7">
        <v>500</v>
      </c>
      <c r="F17" s="7">
        <v>1000</v>
      </c>
      <c r="G17" s="7">
        <v>2500</v>
      </c>
      <c r="H17" s="7"/>
      <c r="I17" s="7">
        <v>13000</v>
      </c>
      <c r="K17" s="7">
        <f t="shared" si="2"/>
        <v>0</v>
      </c>
    </row>
    <row r="18" spans="1:11">
      <c r="A18" s="1" t="s">
        <v>24</v>
      </c>
      <c r="B18" s="1" t="str">
        <f>VLOOKUP(A18,LISTADHERENT!A$5:H$51,2)</f>
        <v>KEPHE DAVID</v>
      </c>
      <c r="C18" s="7">
        <f t="shared" si="1"/>
        <v>20000</v>
      </c>
      <c r="D18" s="7">
        <v>3000</v>
      </c>
      <c r="E18" s="7">
        <v>500</v>
      </c>
      <c r="F18" s="7">
        <v>1000</v>
      </c>
      <c r="G18" s="7">
        <v>2500</v>
      </c>
      <c r="H18" s="7"/>
      <c r="I18" s="7">
        <v>13000</v>
      </c>
      <c r="K18" s="7">
        <f t="shared" si="2"/>
        <v>0</v>
      </c>
    </row>
    <row r="19" spans="1:11">
      <c r="A19" s="1" t="s">
        <v>25</v>
      </c>
      <c r="B19" s="1" t="str">
        <f>VLOOKUP(A19,LISTADHERENT!A$5:H$51,2)</f>
        <v>KEPSEU FRANCIS</v>
      </c>
      <c r="C19" s="7">
        <f t="shared" si="1"/>
        <v>23000</v>
      </c>
      <c r="D19" s="7">
        <v>6000</v>
      </c>
      <c r="E19" s="7">
        <v>500</v>
      </c>
      <c r="F19" s="7">
        <v>1000</v>
      </c>
      <c r="G19" s="7">
        <v>2500</v>
      </c>
      <c r="H19" s="7"/>
      <c r="I19" s="7">
        <v>13000</v>
      </c>
      <c r="K19" s="7">
        <f t="shared" si="2"/>
        <v>0</v>
      </c>
    </row>
    <row r="20" spans="1:11">
      <c r="A20" s="1" t="s">
        <v>26</v>
      </c>
      <c r="B20" s="1" t="str">
        <f>VLOOKUP(A20,LISTADHERENT!A$5:H$51,2)</f>
        <v>KOUAMOU EMMANUEL</v>
      </c>
      <c r="C20" s="7">
        <f t="shared" si="1"/>
        <v>20000</v>
      </c>
      <c r="D20" s="7">
        <v>3000</v>
      </c>
      <c r="E20" s="7">
        <v>500</v>
      </c>
      <c r="F20" s="7">
        <v>1000</v>
      </c>
      <c r="G20" s="7">
        <v>2500</v>
      </c>
      <c r="H20" s="7"/>
      <c r="I20" s="7">
        <v>13000</v>
      </c>
      <c r="K20" s="7">
        <f t="shared" si="2"/>
        <v>0</v>
      </c>
    </row>
    <row r="21" spans="1:11">
      <c r="A21" s="1" t="s">
        <v>27</v>
      </c>
      <c r="B21" s="1" t="str">
        <f>VLOOKUP(A21,LISTADHERENT!A$5:H$51,2)</f>
        <v>KOUAMOU MOISE</v>
      </c>
      <c r="C21" s="7">
        <f t="shared" si="1"/>
        <v>20000</v>
      </c>
      <c r="D21" s="7">
        <v>3000</v>
      </c>
      <c r="E21" s="7">
        <v>500</v>
      </c>
      <c r="F21" s="7">
        <v>1000</v>
      </c>
      <c r="G21" s="7">
        <v>2500</v>
      </c>
      <c r="H21" s="7"/>
      <c r="I21" s="7">
        <v>13000</v>
      </c>
      <c r="K21" s="7">
        <f t="shared" si="2"/>
        <v>0</v>
      </c>
    </row>
    <row r="22" spans="1:11">
      <c r="A22" s="1" t="s">
        <v>28</v>
      </c>
      <c r="B22" s="1" t="str">
        <f>VLOOKUP(A22,LISTADHERENT!A$5:H$51,2)</f>
        <v>KOUAMOU VICTOR PEGUY</v>
      </c>
      <c r="C22" s="7">
        <f t="shared" si="1"/>
        <v>20000</v>
      </c>
      <c r="D22" s="7">
        <v>3000</v>
      </c>
      <c r="E22" s="7">
        <v>500</v>
      </c>
      <c r="F22" s="7">
        <v>1000</v>
      </c>
      <c r="G22" s="7">
        <v>2500</v>
      </c>
      <c r="H22" s="7"/>
      <c r="I22" s="7">
        <v>13000</v>
      </c>
      <c r="K22" s="7">
        <f t="shared" si="2"/>
        <v>0</v>
      </c>
    </row>
    <row r="23" spans="1:11">
      <c r="A23" s="1" t="s">
        <v>29</v>
      </c>
      <c r="B23" s="1" t="str">
        <f>VLOOKUP(A23,LISTADHERENT!A$5:H$51,2)</f>
        <v>KOUATCHO MESSACK</v>
      </c>
      <c r="C23" s="7">
        <f t="shared" ref="C23" si="3">D23+E23+F23+G23+H23+I23</f>
        <v>20000</v>
      </c>
      <c r="D23" s="7">
        <v>3000</v>
      </c>
      <c r="E23" s="7">
        <v>500</v>
      </c>
      <c r="F23" s="7">
        <v>1000</v>
      </c>
      <c r="G23" s="7">
        <v>2500</v>
      </c>
      <c r="H23" s="7"/>
      <c r="I23" s="7">
        <v>13000</v>
      </c>
      <c r="J23" s="7"/>
      <c r="K23" s="7">
        <f t="shared" si="2"/>
        <v>0</v>
      </c>
    </row>
    <row r="24" spans="1:11">
      <c r="A24" s="1" t="s">
        <v>30</v>
      </c>
      <c r="B24" s="1" t="str">
        <f>VLOOKUP(A24,LISTADHERENT!A$5:H$51,2)</f>
        <v>LOWE JEAN</v>
      </c>
      <c r="C24" s="7">
        <f t="shared" si="1"/>
        <v>20000</v>
      </c>
      <c r="D24" s="7">
        <v>3000</v>
      </c>
      <c r="E24" s="7">
        <v>500</v>
      </c>
      <c r="F24" s="7">
        <v>1000</v>
      </c>
      <c r="G24" s="7">
        <v>2500</v>
      </c>
      <c r="H24" s="7"/>
      <c r="I24" s="7">
        <v>13000</v>
      </c>
      <c r="K24" s="7">
        <f t="shared" si="2"/>
        <v>0</v>
      </c>
    </row>
    <row r="25" spans="1:11">
      <c r="A25" s="1" t="s">
        <v>31</v>
      </c>
      <c r="B25" s="1" t="str">
        <f>VLOOKUP(A25,LISTADHERENT!A$5:H$51,2)</f>
        <v>NANKAM APPOLINAIRE</v>
      </c>
      <c r="C25" s="7">
        <f t="shared" si="1"/>
        <v>20000</v>
      </c>
      <c r="D25" s="7">
        <v>3000</v>
      </c>
      <c r="E25" s="7">
        <v>500</v>
      </c>
      <c r="F25" s="7">
        <v>1000</v>
      </c>
      <c r="G25" s="7">
        <v>2500</v>
      </c>
      <c r="H25" s="7"/>
      <c r="I25" s="7">
        <v>13000</v>
      </c>
      <c r="K25" s="7">
        <f t="shared" si="2"/>
        <v>0</v>
      </c>
    </row>
    <row r="26" spans="1:11">
      <c r="A26" s="1" t="s">
        <v>32</v>
      </c>
      <c r="B26" s="1" t="str">
        <f>VLOOKUP(A26,LISTADHERENT!A$5:H$51,2)</f>
        <v>NDJOMO ETIENNE</v>
      </c>
      <c r="C26" s="7">
        <f t="shared" ref="C26:C27" si="4">D26+E26+F26+G26+H26+I26</f>
        <v>25000</v>
      </c>
      <c r="D26" s="7">
        <v>8000</v>
      </c>
      <c r="E26" s="7">
        <v>500</v>
      </c>
      <c r="F26" s="7">
        <v>1000</v>
      </c>
      <c r="G26" s="7">
        <v>2500</v>
      </c>
      <c r="H26" s="7"/>
      <c r="I26" s="7">
        <v>13000</v>
      </c>
      <c r="J26" s="7"/>
      <c r="K26" s="7">
        <f t="shared" si="2"/>
        <v>0</v>
      </c>
    </row>
    <row r="27" spans="1:11">
      <c r="A27" s="1" t="s">
        <v>33</v>
      </c>
      <c r="B27" s="1" t="str">
        <f>VLOOKUP(A27,LISTADHERENT!A$5:H$51,2)</f>
        <v>NDOMBOU JEAN CLAUDE</v>
      </c>
      <c r="C27" s="7">
        <f t="shared" si="4"/>
        <v>0</v>
      </c>
      <c r="D27" s="7"/>
      <c r="E27" s="7"/>
      <c r="F27" s="7"/>
      <c r="G27" s="7"/>
      <c r="H27" s="7"/>
      <c r="I27" s="7"/>
      <c r="K27" s="7">
        <f t="shared" si="2"/>
        <v>0</v>
      </c>
    </row>
    <row r="28" spans="1:11">
      <c r="A28" s="1" t="s">
        <v>34</v>
      </c>
      <c r="B28" s="1" t="str">
        <f>VLOOKUP(A28,LISTADHERENT!A$5:H$51,2)</f>
        <v>NGONDIEP CLAUDE</v>
      </c>
      <c r="C28" s="7">
        <f t="shared" si="1"/>
        <v>20000</v>
      </c>
      <c r="D28" s="7">
        <v>3000</v>
      </c>
      <c r="E28" s="7">
        <v>500</v>
      </c>
      <c r="F28" s="7">
        <v>1000</v>
      </c>
      <c r="G28" s="7">
        <v>2500</v>
      </c>
      <c r="H28" s="7"/>
      <c r="I28" s="7">
        <v>13000</v>
      </c>
      <c r="K28" s="7">
        <f t="shared" si="2"/>
        <v>0</v>
      </c>
    </row>
    <row r="29" spans="1:11">
      <c r="A29" s="1" t="s">
        <v>35</v>
      </c>
      <c r="B29" s="1" t="str">
        <f>VLOOKUP(A29,LISTADHERENT!A$5:H$51,2)</f>
        <v>NGONGANG JEAN THEODORE</v>
      </c>
      <c r="C29" s="7">
        <f t="shared" si="1"/>
        <v>20000</v>
      </c>
      <c r="D29" s="7">
        <v>3000</v>
      </c>
      <c r="E29" s="7">
        <v>500</v>
      </c>
      <c r="F29" s="7">
        <v>1000</v>
      </c>
      <c r="G29" s="7">
        <v>2500</v>
      </c>
      <c r="H29" s="7"/>
      <c r="I29" s="7">
        <v>13000</v>
      </c>
      <c r="K29" s="7">
        <f t="shared" si="2"/>
        <v>0</v>
      </c>
    </row>
    <row r="30" spans="1:11">
      <c r="A30" s="1" t="s">
        <v>36</v>
      </c>
      <c r="B30" s="1" t="str">
        <f>VLOOKUP(A30,LISTADHERENT!A$5:H$51,2)</f>
        <v>NGUIEMEGNI MATHIEU BLAISE</v>
      </c>
      <c r="C30" s="7">
        <f t="shared" si="1"/>
        <v>20000</v>
      </c>
      <c r="D30" s="7">
        <v>3000</v>
      </c>
      <c r="E30" s="7">
        <v>500</v>
      </c>
      <c r="F30" s="7">
        <v>1000</v>
      </c>
      <c r="G30" s="7">
        <v>2500</v>
      </c>
      <c r="H30" s="7"/>
      <c r="I30" s="7">
        <v>13000</v>
      </c>
      <c r="K30" s="7">
        <f t="shared" si="2"/>
        <v>0</v>
      </c>
    </row>
    <row r="31" spans="1:11">
      <c r="A31" s="1" t="s">
        <v>37</v>
      </c>
      <c r="B31" s="1" t="str">
        <f>VLOOKUP(A31,LISTADHERENT!A$5:H$51,2)</f>
        <v>NJEPDJIO MBOUKAM DELUXE</v>
      </c>
      <c r="C31" s="7">
        <f t="shared" si="1"/>
        <v>20000</v>
      </c>
      <c r="D31" s="7">
        <v>3000</v>
      </c>
      <c r="E31" s="7">
        <v>500</v>
      </c>
      <c r="F31" s="7">
        <v>1000</v>
      </c>
      <c r="G31" s="7">
        <v>2500</v>
      </c>
      <c r="H31" s="7"/>
      <c r="I31" s="7">
        <v>13000</v>
      </c>
      <c r="K31" s="7">
        <f t="shared" si="2"/>
        <v>0</v>
      </c>
    </row>
    <row r="32" spans="1:11">
      <c r="A32" s="1" t="s">
        <v>38</v>
      </c>
      <c r="B32" s="1" t="str">
        <f>VLOOKUP(A32,LISTADHERENT!A$5:H$51,2)</f>
        <v>NKAMGANG JUSTIN DEJOLIE</v>
      </c>
      <c r="C32" s="7">
        <f t="shared" si="1"/>
        <v>23000</v>
      </c>
      <c r="D32" s="7">
        <v>6000</v>
      </c>
      <c r="E32" s="7">
        <v>500</v>
      </c>
      <c r="F32" s="7">
        <v>1000</v>
      </c>
      <c r="G32" s="7">
        <v>2500</v>
      </c>
      <c r="H32" s="7"/>
      <c r="I32" s="7">
        <v>13000</v>
      </c>
      <c r="J32" s="11"/>
      <c r="K32" s="7">
        <f t="shared" si="2"/>
        <v>0</v>
      </c>
    </row>
    <row r="33" spans="1:11" s="11" customFormat="1">
      <c r="A33" s="1" t="s">
        <v>39</v>
      </c>
      <c r="B33" s="1" t="str">
        <f>VLOOKUP(A33,LISTADHERENT!A$5:H$51,2)</f>
        <v>NKEPSEU DIEUDONNE</v>
      </c>
      <c r="C33" s="10">
        <f>D33+E33+F33+G33+H33+I33</f>
        <v>25000</v>
      </c>
      <c r="D33" s="7">
        <v>8000</v>
      </c>
      <c r="E33" s="7">
        <v>500</v>
      </c>
      <c r="F33" s="7">
        <v>1000</v>
      </c>
      <c r="G33" s="7">
        <v>2500</v>
      </c>
      <c r="H33" s="7"/>
      <c r="I33" s="7">
        <v>13000</v>
      </c>
      <c r="J33"/>
      <c r="K33" s="7">
        <f t="shared" si="2"/>
        <v>0</v>
      </c>
    </row>
    <row r="34" spans="1:11">
      <c r="A34" s="1" t="s">
        <v>40</v>
      </c>
      <c r="B34" s="1" t="str">
        <f>VLOOKUP(A34,LISTADHERENT!A$5:H$51,2)</f>
        <v>NKEPSEU HENANG RENE</v>
      </c>
      <c r="C34" s="7">
        <f t="shared" si="1"/>
        <v>20000</v>
      </c>
      <c r="D34" s="7">
        <v>3000</v>
      </c>
      <c r="E34" s="7">
        <v>500</v>
      </c>
      <c r="F34" s="7">
        <v>1000</v>
      </c>
      <c r="G34" s="7">
        <v>2500</v>
      </c>
      <c r="H34" s="7"/>
      <c r="I34" s="7">
        <v>13000</v>
      </c>
      <c r="K34" s="7">
        <f t="shared" si="2"/>
        <v>0</v>
      </c>
    </row>
    <row r="35" spans="1:11">
      <c r="A35" s="1" t="s">
        <v>41</v>
      </c>
      <c r="B35" s="1" t="str">
        <f>VLOOKUP(A35,LISTADHERENT!A$5:H$51,2)</f>
        <v>NTEPDIE TUEMAC MZ</v>
      </c>
      <c r="C35" s="7">
        <f t="shared" si="1"/>
        <v>20000</v>
      </c>
      <c r="D35" s="7">
        <v>3000</v>
      </c>
      <c r="E35" s="7">
        <v>500</v>
      </c>
      <c r="F35" s="7">
        <v>1000</v>
      </c>
      <c r="G35" s="7">
        <v>2500</v>
      </c>
      <c r="H35" s="7"/>
      <c r="I35" s="7">
        <v>13000</v>
      </c>
      <c r="K35" s="7">
        <f t="shared" si="2"/>
        <v>0</v>
      </c>
    </row>
    <row r="36" spans="1:11">
      <c r="A36" s="1" t="s">
        <v>42</v>
      </c>
      <c r="B36" s="1" t="str">
        <f>VLOOKUP(A36,LISTADHERENT!A$5:H$51,2)</f>
        <v>NTOMBOU ADOLPHE</v>
      </c>
      <c r="C36" s="7">
        <f t="shared" si="1"/>
        <v>20000</v>
      </c>
      <c r="D36" s="7">
        <v>3000</v>
      </c>
      <c r="E36" s="7">
        <v>500</v>
      </c>
      <c r="F36" s="7">
        <v>1000</v>
      </c>
      <c r="G36" s="7">
        <v>2500</v>
      </c>
      <c r="H36" s="7"/>
      <c r="I36" s="7">
        <v>13000</v>
      </c>
      <c r="K36" s="7">
        <f t="shared" si="2"/>
        <v>0</v>
      </c>
    </row>
    <row r="37" spans="1:11">
      <c r="A37" s="1" t="s">
        <v>43</v>
      </c>
      <c r="B37" s="1" t="str">
        <f>VLOOKUP(A37,LISTADHERENT!A$5:H$51,2)</f>
        <v>PATEGO NJOSSU GUSTAVE</v>
      </c>
      <c r="C37" s="7">
        <f t="shared" si="1"/>
        <v>20000</v>
      </c>
      <c r="D37" s="7">
        <v>3000</v>
      </c>
      <c r="E37" s="7">
        <v>500</v>
      </c>
      <c r="F37" s="7">
        <v>1000</v>
      </c>
      <c r="G37" s="7">
        <v>2500</v>
      </c>
      <c r="H37" s="7"/>
      <c r="I37" s="7">
        <v>13000</v>
      </c>
      <c r="K37" s="7">
        <f t="shared" si="2"/>
        <v>0</v>
      </c>
    </row>
    <row r="38" spans="1:11">
      <c r="A38" s="1" t="s">
        <v>44</v>
      </c>
      <c r="B38" s="1" t="str">
        <f>VLOOKUP(A38,LISTADHERENT!A$5:H$51,2)</f>
        <v>SEUNOU RICHELOT</v>
      </c>
      <c r="C38" s="7">
        <f t="shared" si="1"/>
        <v>20000</v>
      </c>
      <c r="D38" s="7">
        <v>3000</v>
      </c>
      <c r="E38" s="7">
        <v>500</v>
      </c>
      <c r="F38" s="7">
        <v>1000</v>
      </c>
      <c r="G38" s="7">
        <v>2500</v>
      </c>
      <c r="H38" s="7"/>
      <c r="I38" s="7">
        <v>13000</v>
      </c>
      <c r="K38" s="7">
        <f t="shared" si="2"/>
        <v>0</v>
      </c>
    </row>
    <row r="39" spans="1:11">
      <c r="A39" s="1" t="s">
        <v>45</v>
      </c>
      <c r="B39" s="1" t="str">
        <f>VLOOKUP(A39,LISTADHERENT!A$5:H$51,2)</f>
        <v>SIME ABEL</v>
      </c>
      <c r="C39" s="7">
        <f t="shared" si="1"/>
        <v>20000</v>
      </c>
      <c r="D39" s="7">
        <v>3000</v>
      </c>
      <c r="E39" s="7">
        <v>500</v>
      </c>
      <c r="F39" s="7">
        <v>1000</v>
      </c>
      <c r="G39" s="7">
        <v>2500</v>
      </c>
      <c r="H39" s="7"/>
      <c r="I39" s="7">
        <v>13000</v>
      </c>
      <c r="K39" s="7">
        <f t="shared" si="2"/>
        <v>0</v>
      </c>
    </row>
    <row r="40" spans="1:11">
      <c r="A40" s="1" t="s">
        <v>46</v>
      </c>
      <c r="B40" s="1" t="str">
        <f>VLOOKUP(A40,LISTADHERENT!A$5:H$51,2)</f>
        <v>SIME FONGANG ERIC</v>
      </c>
      <c r="C40" s="7">
        <f t="shared" si="1"/>
        <v>20000</v>
      </c>
      <c r="D40" s="7">
        <v>3000</v>
      </c>
      <c r="E40" s="7">
        <v>500</v>
      </c>
      <c r="F40" s="7">
        <v>1000</v>
      </c>
      <c r="G40" s="7">
        <v>2500</v>
      </c>
      <c r="H40" s="7"/>
      <c r="I40" s="7">
        <v>13000</v>
      </c>
      <c r="K40" s="7">
        <f t="shared" si="2"/>
        <v>0</v>
      </c>
    </row>
    <row r="41" spans="1:11">
      <c r="A41" s="1" t="s">
        <v>47</v>
      </c>
      <c r="B41" s="1" t="str">
        <f>VLOOKUP(A41,LISTADHERENT!A$5:H$51,2)</f>
        <v>SIME MATHIEU</v>
      </c>
      <c r="C41" s="7">
        <f t="shared" si="1"/>
        <v>20000</v>
      </c>
      <c r="D41" s="7">
        <v>3000</v>
      </c>
      <c r="E41" s="7">
        <v>500</v>
      </c>
      <c r="F41" s="7">
        <v>1000</v>
      </c>
      <c r="G41" s="7">
        <v>2500</v>
      </c>
      <c r="H41" s="7"/>
      <c r="I41" s="7">
        <v>13000</v>
      </c>
      <c r="K41" s="7">
        <f t="shared" si="2"/>
        <v>0</v>
      </c>
    </row>
    <row r="42" spans="1:11">
      <c r="A42" s="1" t="s">
        <v>48</v>
      </c>
      <c r="B42" s="1" t="str">
        <f>VLOOKUP(A42,LISTADHERENT!A$5:H$51,2)</f>
        <v>SIME PIERRE</v>
      </c>
      <c r="C42" s="7">
        <f t="shared" ref="C42" si="5">D42+E42+F42+G42+H42+I42</f>
        <v>20000</v>
      </c>
      <c r="D42" s="7">
        <v>3000</v>
      </c>
      <c r="E42" s="7">
        <v>500</v>
      </c>
      <c r="F42" s="7">
        <v>1000</v>
      </c>
      <c r="G42" s="7">
        <v>2500</v>
      </c>
      <c r="H42" s="7"/>
      <c r="I42" s="7">
        <v>13000</v>
      </c>
      <c r="J42" s="7">
        <v>200000</v>
      </c>
      <c r="K42" s="7">
        <f>IF(J42&lt;=500000,(J42*1*3/100),(J42*12/100))</f>
        <v>6000</v>
      </c>
    </row>
    <row r="43" spans="1:11">
      <c r="A43" s="1" t="s">
        <v>49</v>
      </c>
      <c r="B43" s="1" t="str">
        <f>VLOOKUP(A43,LISTADHERENT!A$5:H$51,2)</f>
        <v>TAGNE NANGUEN MARTIN</v>
      </c>
      <c r="C43" s="7">
        <f t="shared" si="1"/>
        <v>20000</v>
      </c>
      <c r="D43" s="7">
        <v>3000</v>
      </c>
      <c r="E43" s="7">
        <v>500</v>
      </c>
      <c r="F43" s="7">
        <v>1000</v>
      </c>
      <c r="G43" s="7">
        <v>2500</v>
      </c>
      <c r="H43" s="7"/>
      <c r="I43" s="7">
        <v>13000</v>
      </c>
      <c r="K43" s="7">
        <f t="shared" si="2"/>
        <v>0</v>
      </c>
    </row>
    <row r="44" spans="1:11">
      <c r="A44" s="1" t="s">
        <v>50</v>
      </c>
      <c r="B44" s="1" t="str">
        <f>VLOOKUP(A44,LISTADHERENT!A$5:H$51,2)</f>
        <v>TCHOUAMOU JEAN PAUL</v>
      </c>
      <c r="C44" s="7">
        <f t="shared" si="1"/>
        <v>20000</v>
      </c>
      <c r="D44" s="7">
        <v>3000</v>
      </c>
      <c r="E44" s="7">
        <v>500</v>
      </c>
      <c r="F44" s="7">
        <v>1000</v>
      </c>
      <c r="G44" s="7">
        <v>2500</v>
      </c>
      <c r="H44" s="7"/>
      <c r="I44" s="7">
        <v>13000</v>
      </c>
      <c r="K44" s="7">
        <f t="shared" si="2"/>
        <v>0</v>
      </c>
    </row>
    <row r="45" spans="1:11">
      <c r="A45" s="1" t="s">
        <v>51</v>
      </c>
      <c r="B45" s="1" t="str">
        <f>VLOOKUP(A45,LISTADHERENT!A$5:H$51,2)</f>
        <v>TCHOUAMOU MATHIEU</v>
      </c>
      <c r="C45" s="7">
        <f t="shared" si="1"/>
        <v>20000</v>
      </c>
      <c r="D45" s="7">
        <v>3000</v>
      </c>
      <c r="E45" s="7">
        <v>500</v>
      </c>
      <c r="F45" s="7">
        <v>1000</v>
      </c>
      <c r="G45" s="7">
        <v>2500</v>
      </c>
      <c r="H45" s="7"/>
      <c r="I45" s="7">
        <v>13000</v>
      </c>
      <c r="J45" s="7"/>
      <c r="K45" s="7">
        <f t="shared" si="2"/>
        <v>0</v>
      </c>
    </row>
    <row r="46" spans="1:11">
      <c r="A46" s="1" t="s">
        <v>52</v>
      </c>
      <c r="B46" s="1" t="str">
        <f>VLOOKUP(A46,LISTADHERENT!A$5:H$51,2)</f>
        <v>TCHOUANTE FRANCOIS</v>
      </c>
      <c r="C46" s="7">
        <f t="shared" si="1"/>
        <v>23000</v>
      </c>
      <c r="D46" s="7">
        <v>6000</v>
      </c>
      <c r="E46" s="7">
        <v>500</v>
      </c>
      <c r="F46" s="7">
        <v>1000</v>
      </c>
      <c r="G46" s="7">
        <v>2500</v>
      </c>
      <c r="H46" s="7"/>
      <c r="I46" s="7">
        <v>13000</v>
      </c>
      <c r="K46" s="7">
        <f t="shared" si="2"/>
        <v>0</v>
      </c>
    </row>
    <row r="47" spans="1:11">
      <c r="A47" s="1" t="s">
        <v>53</v>
      </c>
      <c r="B47" s="1" t="str">
        <f>VLOOKUP(A47,LISTADHERENT!A$5:H$51,2)</f>
        <v>TCHOUTOU NANA CLAUDE</v>
      </c>
      <c r="C47" s="7">
        <f t="shared" si="1"/>
        <v>0</v>
      </c>
      <c r="D47" s="7"/>
      <c r="E47" s="7"/>
      <c r="F47" s="7"/>
      <c r="G47" s="7"/>
      <c r="H47" s="7"/>
      <c r="I47" s="7"/>
      <c r="K47" s="7">
        <f t="shared" si="2"/>
        <v>0</v>
      </c>
    </row>
    <row r="48" spans="1:11">
      <c r="A48" s="1" t="s">
        <v>54</v>
      </c>
      <c r="B48" s="1" t="str">
        <f>VLOOKUP(A48,LISTADHERENT!A$5:H$51,2)</f>
        <v>TIEYAM ERNEST</v>
      </c>
      <c r="C48" s="7">
        <f t="shared" si="1"/>
        <v>20000</v>
      </c>
      <c r="D48" s="7">
        <v>3000</v>
      </c>
      <c r="E48" s="7">
        <v>500</v>
      </c>
      <c r="F48" s="7">
        <v>1000</v>
      </c>
      <c r="G48" s="7">
        <v>2500</v>
      </c>
      <c r="H48" s="7"/>
      <c r="I48" s="7">
        <v>13000</v>
      </c>
      <c r="J48" s="7">
        <v>1000000</v>
      </c>
      <c r="K48" s="7">
        <f t="shared" si="2"/>
        <v>120000</v>
      </c>
    </row>
    <row r="49" spans="1:12">
      <c r="A49" s="1" t="s">
        <v>55</v>
      </c>
      <c r="B49" s="1" t="str">
        <f>VLOOKUP(A49,LISTADHERENT!A$5:H$51,2)</f>
        <v>TUGMA PIERRE LOTI</v>
      </c>
      <c r="C49" s="7">
        <f t="shared" si="1"/>
        <v>20000</v>
      </c>
      <c r="D49" s="7">
        <v>3000</v>
      </c>
      <c r="E49" s="7">
        <v>500</v>
      </c>
      <c r="F49" s="7">
        <v>1000</v>
      </c>
      <c r="G49" s="7">
        <v>2500</v>
      </c>
      <c r="H49" s="7"/>
      <c r="I49" s="7">
        <v>13000</v>
      </c>
      <c r="K49" s="7">
        <f t="shared" si="2"/>
        <v>0</v>
      </c>
    </row>
    <row r="50" spans="1:12" ht="18">
      <c r="A50" s="1" t="s">
        <v>66</v>
      </c>
      <c r="B50" s="1" t="str">
        <f>VLOOKUP(A50,LISTADHERENT!A$5:H$51,2)</f>
        <v>YEPMOU JEAN JACQUES</v>
      </c>
      <c r="C50" s="7">
        <f t="shared" si="1"/>
        <v>20000</v>
      </c>
      <c r="D50" s="7">
        <v>3000</v>
      </c>
      <c r="E50" s="7">
        <v>500</v>
      </c>
      <c r="F50" s="7">
        <v>1000</v>
      </c>
      <c r="G50" s="7">
        <v>2500</v>
      </c>
      <c r="H50" s="7"/>
      <c r="I50" s="7">
        <v>13000</v>
      </c>
      <c r="J50" s="9"/>
      <c r="K50" s="7">
        <f t="shared" si="2"/>
        <v>0</v>
      </c>
    </row>
    <row r="51" spans="1:12">
      <c r="A51" s="1" t="s">
        <v>178</v>
      </c>
      <c r="B51" s="1" t="str">
        <f>VLOOKUP(A51,LISTADHERENT!A$5:H$51,2)</f>
        <v>YOUMBI EMMANUEL</v>
      </c>
      <c r="C51" s="7">
        <f t="shared" ref="C51" si="6">D51+E51+F51+G51+H51+I51</f>
        <v>20000</v>
      </c>
      <c r="D51" s="7">
        <v>3000</v>
      </c>
      <c r="E51" s="7">
        <v>500</v>
      </c>
      <c r="F51" s="7">
        <v>1000</v>
      </c>
      <c r="G51" s="7">
        <v>2500</v>
      </c>
      <c r="I51" s="7">
        <v>13000</v>
      </c>
      <c r="K51" s="7">
        <f t="shared" si="2"/>
        <v>0</v>
      </c>
    </row>
    <row r="52" spans="1:12">
      <c r="A52" s="1"/>
      <c r="B52" s="1" t="s">
        <v>180</v>
      </c>
      <c r="C52" s="7"/>
      <c r="D52" s="7"/>
      <c r="E52" s="7"/>
      <c r="F52" s="7"/>
      <c r="G52" s="7"/>
      <c r="I52" s="7"/>
      <c r="K52" s="7">
        <f t="shared" si="2"/>
        <v>0</v>
      </c>
    </row>
    <row r="53" spans="1:12">
      <c r="A53" s="1"/>
      <c r="B53" s="1"/>
      <c r="E53" s="4"/>
    </row>
    <row r="54" spans="1:12" ht="18">
      <c r="A54" s="8" t="s">
        <v>56</v>
      </c>
      <c r="B54" s="8"/>
      <c r="C54" s="9">
        <f>SUM(C5:C51)</f>
        <v>919000</v>
      </c>
      <c r="D54" s="9">
        <f t="shared" ref="D54" si="7">SUM(D5:D51)</f>
        <v>171000</v>
      </c>
      <c r="E54" s="9">
        <f t="shared" ref="E54" si="8">SUM(E5:E51)</f>
        <v>22000</v>
      </c>
      <c r="F54" s="9">
        <f t="shared" ref="F54" si="9">SUM(F5:F51)</f>
        <v>44000</v>
      </c>
      <c r="G54" s="9">
        <f t="shared" ref="G54" si="10">SUM(G5:G51)</f>
        <v>110000</v>
      </c>
      <c r="H54" s="9">
        <f t="shared" ref="H54" si="11">SUM(H5:H51)</f>
        <v>0</v>
      </c>
      <c r="I54" s="9">
        <f t="shared" ref="I54" si="12">SUM(I5:I51)</f>
        <v>572000</v>
      </c>
      <c r="J54" s="9">
        <f>SUM(J5:J51)</f>
        <v>2200000</v>
      </c>
      <c r="K54" s="9">
        <f>SUM(K5:K51)</f>
        <v>186000</v>
      </c>
      <c r="L54" s="9"/>
    </row>
  </sheetData>
  <autoFilter ref="A4:L50">
    <filterColumn colId="8"/>
    <filterColumn colId="9"/>
    <filterColumn colId="10"/>
    <filterColumn colId="11"/>
  </autoFilter>
  <dataValidations count="1">
    <dataValidation type="list" allowBlank="1" showInputMessage="1" showErrorMessage="1" promptTitle="Saissisez le mode de VERSEMENT" sqref="E5:E52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L54"/>
  <sheetViews>
    <sheetView workbookViewId="0">
      <pane xSplit="2" ySplit="4" topLeftCell="H11" activePane="bottomRight" state="frozen"/>
      <selection activeCell="B22" sqref="B22"/>
      <selection pane="topRight" activeCell="B22" sqref="B22"/>
      <selection pane="bottomLeft" activeCell="B22" sqref="B22"/>
      <selection pane="bottomRight" activeCell="J11" sqref="J11"/>
    </sheetView>
  </sheetViews>
  <sheetFormatPr baseColWidth="10" defaultRowHeight="15"/>
  <cols>
    <col min="1" max="1" width="13.85546875" customWidth="1"/>
    <col min="2" max="2" width="29.5703125" bestFit="1" customWidth="1"/>
    <col min="3" max="3" width="13" style="2" customWidth="1"/>
    <col min="4" max="4" width="12.5703125" bestFit="1" customWidth="1"/>
    <col min="5" max="5" width="17.5703125" style="3" bestFit="1" customWidth="1"/>
    <col min="6" max="6" width="15.7109375" style="2" customWidth="1"/>
    <col min="7" max="7" width="14.7109375" style="2" customWidth="1"/>
    <col min="8" max="8" width="18.140625" style="2" bestFit="1" customWidth="1"/>
    <col min="9" max="9" width="18.140625" customWidth="1"/>
    <col min="10" max="10" width="15" bestFit="1" customWidth="1"/>
    <col min="11" max="11" width="12.5703125" bestFit="1" customWidth="1"/>
    <col min="12" max="12" width="18.140625" customWidth="1"/>
  </cols>
  <sheetData>
    <row r="1" spans="1:12">
      <c r="A1" s="1" t="s">
        <v>0</v>
      </c>
      <c r="B1" s="1" t="s">
        <v>1</v>
      </c>
    </row>
    <row r="2" spans="1:12">
      <c r="A2" s="1" t="s">
        <v>2</v>
      </c>
      <c r="B2" s="1" t="s">
        <v>3</v>
      </c>
    </row>
    <row r="3" spans="1:12">
      <c r="A3" s="1" t="s">
        <v>4</v>
      </c>
      <c r="B3" s="1" t="s">
        <v>5</v>
      </c>
    </row>
    <row r="4" spans="1:12" ht="29.25">
      <c r="A4" s="1" t="s">
        <v>6</v>
      </c>
      <c r="B4" s="1" t="s">
        <v>7</v>
      </c>
      <c r="C4" s="5" t="s">
        <v>65</v>
      </c>
      <c r="D4" s="1" t="s">
        <v>57</v>
      </c>
      <c r="E4" s="5" t="s">
        <v>58</v>
      </c>
      <c r="F4" s="5" t="s">
        <v>59</v>
      </c>
      <c r="G4" s="5" t="s">
        <v>60</v>
      </c>
      <c r="H4" s="5" t="s">
        <v>61</v>
      </c>
      <c r="I4" s="5" t="s">
        <v>62</v>
      </c>
      <c r="J4" s="5" t="s">
        <v>63</v>
      </c>
      <c r="K4" s="5" t="s">
        <v>64</v>
      </c>
      <c r="L4" s="5" t="s">
        <v>8</v>
      </c>
    </row>
    <row r="5" spans="1:12">
      <c r="A5" s="1" t="s">
        <v>11</v>
      </c>
      <c r="B5" s="1" t="str">
        <f>VLOOKUP(A5,LISTADHERENT!A$5:H$51,2)</f>
        <v>BAKOP ACHILLE</v>
      </c>
      <c r="C5" s="7">
        <f t="shared" ref="C5:C51" si="0">D5+E5+F5+G5+H5+I5</f>
        <v>20000</v>
      </c>
      <c r="D5" s="7">
        <v>3000</v>
      </c>
      <c r="E5" s="7">
        <v>500</v>
      </c>
      <c r="F5" s="7">
        <v>1000</v>
      </c>
      <c r="G5" s="7">
        <v>2500</v>
      </c>
      <c r="H5" s="7"/>
      <c r="I5" s="7">
        <v>13000</v>
      </c>
      <c r="J5" s="7"/>
      <c r="K5" s="7">
        <f>IF(J5&lt;=500000,(J5*1*3/100),(J5*12/100))</f>
        <v>0</v>
      </c>
    </row>
    <row r="6" spans="1:12">
      <c r="A6" s="1" t="s">
        <v>12</v>
      </c>
      <c r="B6" s="1" t="str">
        <f>VLOOKUP(A6,LISTADHERENT!A$5:H$51,2)</f>
        <v>BOUTCHOUANG WILLIAM</v>
      </c>
      <c r="C6" s="7">
        <f t="shared" si="0"/>
        <v>20000</v>
      </c>
      <c r="D6" s="7">
        <v>3000</v>
      </c>
      <c r="E6" s="7">
        <v>500</v>
      </c>
      <c r="F6" s="7">
        <v>1000</v>
      </c>
      <c r="G6" s="7">
        <v>2500</v>
      </c>
      <c r="H6" s="7"/>
      <c r="I6" s="7">
        <v>13000</v>
      </c>
      <c r="J6" s="7"/>
      <c r="K6" s="7">
        <f t="shared" ref="K6:K52" si="1">IF(J6&lt;=500000,(J6*1*3/100),(J6*12/100))</f>
        <v>0</v>
      </c>
    </row>
    <row r="7" spans="1:12">
      <c r="A7" s="1" t="s">
        <v>13</v>
      </c>
      <c r="B7" s="1" t="str">
        <f>VLOOKUP(A7,LISTADHERENT!A$5:H$51,2)</f>
        <v>CHINGUE FABRICE</v>
      </c>
      <c r="C7" s="7">
        <f t="shared" si="0"/>
        <v>20000</v>
      </c>
      <c r="D7" s="7">
        <v>3000</v>
      </c>
      <c r="E7" s="7">
        <v>500</v>
      </c>
      <c r="F7" s="7">
        <v>1000</v>
      </c>
      <c r="G7" s="7">
        <v>2500</v>
      </c>
      <c r="H7" s="7"/>
      <c r="I7" s="7">
        <v>13000</v>
      </c>
      <c r="J7" s="7"/>
      <c r="K7" s="7">
        <f t="shared" si="1"/>
        <v>0</v>
      </c>
    </row>
    <row r="8" spans="1:12">
      <c r="A8" s="1" t="s">
        <v>14</v>
      </c>
      <c r="B8" s="1" t="str">
        <f>VLOOKUP(A8,LISTADHERENT!A$5:H$51,2)</f>
        <v xml:space="preserve">DJOMO JEAN PAUL </v>
      </c>
      <c r="C8" s="7">
        <f t="shared" si="0"/>
        <v>20000</v>
      </c>
      <c r="D8" s="7">
        <v>3000</v>
      </c>
      <c r="E8" s="7">
        <v>500</v>
      </c>
      <c r="F8" s="7">
        <v>1000</v>
      </c>
      <c r="G8" s="7">
        <v>2500</v>
      </c>
      <c r="H8" s="7"/>
      <c r="I8" s="7">
        <v>13000</v>
      </c>
      <c r="J8" s="7"/>
      <c r="K8" s="7">
        <f t="shared" si="1"/>
        <v>0</v>
      </c>
    </row>
    <row r="9" spans="1:12">
      <c r="A9" s="1" t="s">
        <v>15</v>
      </c>
      <c r="B9" s="1" t="str">
        <f>VLOOKUP(A9,LISTADHERENT!A$5:H$51,2)</f>
        <v>DJOUKWE GUY</v>
      </c>
      <c r="C9" s="7">
        <f t="shared" si="0"/>
        <v>20000</v>
      </c>
      <c r="D9" s="7">
        <v>3000</v>
      </c>
      <c r="E9" s="7">
        <v>500</v>
      </c>
      <c r="F9" s="7">
        <v>1000</v>
      </c>
      <c r="G9" s="7">
        <v>2500</v>
      </c>
      <c r="H9" s="7"/>
      <c r="I9" s="7">
        <v>13000</v>
      </c>
      <c r="J9" s="7">
        <v>250000</v>
      </c>
      <c r="K9" s="7">
        <f t="shared" si="1"/>
        <v>7500</v>
      </c>
    </row>
    <row r="10" spans="1:12">
      <c r="A10" s="1" t="s">
        <v>16</v>
      </c>
      <c r="B10" s="1" t="str">
        <f>VLOOKUP(A10,LISTADHERENT!A$5:H$51,2)</f>
        <v>DJOSSEU JOSUE</v>
      </c>
      <c r="C10" s="7">
        <f t="shared" si="0"/>
        <v>0</v>
      </c>
      <c r="D10" s="7"/>
      <c r="E10" s="7"/>
      <c r="F10" s="7"/>
      <c r="G10" s="7"/>
      <c r="H10" s="7"/>
      <c r="I10" s="7"/>
      <c r="J10" s="7"/>
      <c r="K10" s="7">
        <f t="shared" si="1"/>
        <v>0</v>
      </c>
    </row>
    <row r="11" spans="1:12">
      <c r="A11" s="1" t="s">
        <v>17</v>
      </c>
      <c r="B11" s="1" t="str">
        <f>VLOOKUP(A11,LISTADHERENT!A$5:H$51,2)</f>
        <v>DJOUNKEP SAMUEL</v>
      </c>
      <c r="C11" s="7">
        <f t="shared" si="0"/>
        <v>20000</v>
      </c>
      <c r="D11" s="7">
        <v>3000</v>
      </c>
      <c r="E11" s="7">
        <v>500</v>
      </c>
      <c r="F11" s="7">
        <v>1000</v>
      </c>
      <c r="G11" s="7">
        <v>2500</v>
      </c>
      <c r="H11" s="7"/>
      <c r="I11" s="7">
        <v>13000</v>
      </c>
      <c r="J11" s="7"/>
      <c r="K11" s="7">
        <f t="shared" si="1"/>
        <v>0</v>
      </c>
    </row>
    <row r="12" spans="1:12">
      <c r="A12" s="1" t="s">
        <v>18</v>
      </c>
      <c r="B12" s="1" t="str">
        <f>VLOOKUP(A12,LISTADHERENT!A$5:H$51,2)</f>
        <v>DJUOMBESSY ANTOINE</v>
      </c>
      <c r="C12" s="7">
        <f t="shared" si="0"/>
        <v>20000</v>
      </c>
      <c r="D12" s="7">
        <v>3000</v>
      </c>
      <c r="E12" s="7">
        <v>500</v>
      </c>
      <c r="F12" s="7">
        <v>1000</v>
      </c>
      <c r="G12" s="7">
        <v>2500</v>
      </c>
      <c r="H12" s="7"/>
      <c r="I12" s="7">
        <v>13000</v>
      </c>
      <c r="J12" s="7"/>
      <c r="K12" s="7">
        <f t="shared" si="1"/>
        <v>0</v>
      </c>
    </row>
    <row r="13" spans="1:12">
      <c r="A13" s="1" t="s">
        <v>19</v>
      </c>
      <c r="B13" s="1" t="str">
        <f>VLOOKUP(A13,LISTADHERENT!A$5:H$51,2)</f>
        <v>DONHOU DAVID</v>
      </c>
      <c r="C13" s="7">
        <f t="shared" si="0"/>
        <v>20000</v>
      </c>
      <c r="D13" s="7">
        <v>3000</v>
      </c>
      <c r="E13" s="7">
        <v>500</v>
      </c>
      <c r="F13" s="7">
        <v>1000</v>
      </c>
      <c r="G13" s="7">
        <v>2500</v>
      </c>
      <c r="H13" s="7"/>
      <c r="I13" s="7">
        <v>13000</v>
      </c>
      <c r="J13" s="7"/>
      <c r="K13" s="7">
        <f t="shared" si="1"/>
        <v>0</v>
      </c>
    </row>
    <row r="14" spans="1:12">
      <c r="A14" s="1" t="s">
        <v>20</v>
      </c>
      <c r="B14" s="1" t="str">
        <f>VLOOKUP(A14,LISTADHERENT!A$5:H$51,2)</f>
        <v>FOTSO THOMAS</v>
      </c>
      <c r="C14" s="7">
        <f t="shared" si="0"/>
        <v>20000</v>
      </c>
      <c r="D14" s="7">
        <v>3000</v>
      </c>
      <c r="E14" s="7">
        <v>500</v>
      </c>
      <c r="F14" s="7">
        <v>1000</v>
      </c>
      <c r="G14" s="7">
        <v>2500</v>
      </c>
      <c r="H14" s="7"/>
      <c r="I14" s="7">
        <v>13000</v>
      </c>
      <c r="J14" s="7"/>
      <c r="K14" s="7">
        <f t="shared" si="1"/>
        <v>0</v>
      </c>
    </row>
    <row r="15" spans="1:12">
      <c r="A15" s="1" t="s">
        <v>21</v>
      </c>
      <c r="B15" s="1" t="str">
        <f>VLOOKUP(A15,LISTADHERENT!A$5:H$51,2)</f>
        <v>HENGUE PAUL OMER</v>
      </c>
      <c r="C15" s="7">
        <f t="shared" si="0"/>
        <v>20000</v>
      </c>
      <c r="D15" s="7">
        <v>3000</v>
      </c>
      <c r="E15" s="7">
        <v>500</v>
      </c>
      <c r="F15" s="7">
        <v>1000</v>
      </c>
      <c r="G15" s="7">
        <v>2500</v>
      </c>
      <c r="H15" s="7"/>
      <c r="I15" s="7">
        <v>13000</v>
      </c>
      <c r="J15" s="7"/>
      <c r="K15" s="7">
        <f t="shared" si="1"/>
        <v>0</v>
      </c>
    </row>
    <row r="16" spans="1:12">
      <c r="A16" s="1" t="s">
        <v>22</v>
      </c>
      <c r="B16" s="1" t="str">
        <f>VLOOKUP(A16,LISTADHERENT!A$5:H$51,2)</f>
        <v>HODIEP JULES</v>
      </c>
      <c r="C16" s="7">
        <f t="shared" si="0"/>
        <v>20000</v>
      </c>
      <c r="D16" s="7">
        <v>3000</v>
      </c>
      <c r="E16" s="7">
        <v>500</v>
      </c>
      <c r="F16" s="7">
        <v>1000</v>
      </c>
      <c r="G16" s="7">
        <v>2500</v>
      </c>
      <c r="H16" s="7"/>
      <c r="I16" s="7">
        <v>13000</v>
      </c>
      <c r="J16" s="7"/>
      <c r="K16" s="7">
        <f t="shared" si="1"/>
        <v>0</v>
      </c>
    </row>
    <row r="17" spans="1:11">
      <c r="A17" s="1" t="s">
        <v>23</v>
      </c>
      <c r="B17" s="1" t="str">
        <f>VLOOKUP(A17,LISTADHERENT!A$5:H$51,2)</f>
        <v>HOTCHO BENJAMIN</v>
      </c>
      <c r="C17" s="7">
        <f t="shared" si="0"/>
        <v>20000</v>
      </c>
      <c r="D17" s="7">
        <v>3000</v>
      </c>
      <c r="E17" s="7">
        <v>500</v>
      </c>
      <c r="F17" s="7">
        <v>1000</v>
      </c>
      <c r="G17" s="7">
        <v>2500</v>
      </c>
      <c r="H17" s="7"/>
      <c r="I17" s="7">
        <v>13000</v>
      </c>
      <c r="J17" s="7"/>
      <c r="K17" s="7">
        <f t="shared" si="1"/>
        <v>0</v>
      </c>
    </row>
    <row r="18" spans="1:11">
      <c r="A18" s="1" t="s">
        <v>24</v>
      </c>
      <c r="B18" s="1" t="str">
        <f>VLOOKUP(A18,LISTADHERENT!A$5:H$51,2)</f>
        <v>KEPHE DAVID</v>
      </c>
      <c r="C18" s="7">
        <f t="shared" si="0"/>
        <v>20000</v>
      </c>
      <c r="D18" s="7">
        <v>3000</v>
      </c>
      <c r="E18" s="7">
        <v>500</v>
      </c>
      <c r="F18" s="7">
        <v>1000</v>
      </c>
      <c r="G18" s="7">
        <v>2500</v>
      </c>
      <c r="H18" s="7"/>
      <c r="I18" s="7">
        <v>13000</v>
      </c>
      <c r="J18" s="7"/>
      <c r="K18" s="7">
        <f t="shared" si="1"/>
        <v>0</v>
      </c>
    </row>
    <row r="19" spans="1:11">
      <c r="A19" s="1" t="s">
        <v>25</v>
      </c>
      <c r="B19" s="1" t="str">
        <f>VLOOKUP(A19,LISTADHERENT!A$5:H$51,2)</f>
        <v>KEPSEU FRANCIS</v>
      </c>
      <c r="C19" s="7">
        <f t="shared" si="0"/>
        <v>23000</v>
      </c>
      <c r="D19" s="7">
        <v>6000</v>
      </c>
      <c r="E19" s="7">
        <v>500</v>
      </c>
      <c r="F19" s="7">
        <v>1000</v>
      </c>
      <c r="G19" s="7">
        <v>2500</v>
      </c>
      <c r="H19" s="7"/>
      <c r="I19" s="7">
        <v>13000</v>
      </c>
      <c r="J19" s="7"/>
      <c r="K19" s="7">
        <f t="shared" si="1"/>
        <v>0</v>
      </c>
    </row>
    <row r="20" spans="1:11">
      <c r="A20" s="1" t="s">
        <v>26</v>
      </c>
      <c r="B20" s="1" t="str">
        <f>VLOOKUP(A20,LISTADHERENT!A$5:H$51,2)</f>
        <v>KOUAMOU EMMANUEL</v>
      </c>
      <c r="C20" s="7">
        <f t="shared" si="0"/>
        <v>20000</v>
      </c>
      <c r="D20" s="7">
        <v>3000</v>
      </c>
      <c r="E20" s="7">
        <v>500</v>
      </c>
      <c r="F20" s="7">
        <v>1000</v>
      </c>
      <c r="G20" s="7">
        <v>2500</v>
      </c>
      <c r="H20" s="7"/>
      <c r="I20" s="7">
        <v>13000</v>
      </c>
      <c r="J20" s="7"/>
      <c r="K20" s="7">
        <f t="shared" si="1"/>
        <v>0</v>
      </c>
    </row>
    <row r="21" spans="1:11">
      <c r="A21" s="1" t="s">
        <v>27</v>
      </c>
      <c r="B21" s="1" t="str">
        <f>VLOOKUP(A21,LISTADHERENT!A$5:H$51,2)</f>
        <v>KOUAMOU MOISE</v>
      </c>
      <c r="C21" s="7">
        <f t="shared" si="0"/>
        <v>20000</v>
      </c>
      <c r="D21" s="7">
        <v>3000</v>
      </c>
      <c r="E21" s="7">
        <v>500</v>
      </c>
      <c r="F21" s="7">
        <v>1000</v>
      </c>
      <c r="G21" s="7">
        <v>2500</v>
      </c>
      <c r="H21" s="7"/>
      <c r="I21" s="7">
        <v>13000</v>
      </c>
      <c r="J21" s="7"/>
      <c r="K21" s="7">
        <f t="shared" si="1"/>
        <v>0</v>
      </c>
    </row>
    <row r="22" spans="1:11">
      <c r="A22" s="1" t="s">
        <v>28</v>
      </c>
      <c r="B22" s="1" t="str">
        <f>VLOOKUP(A22,LISTADHERENT!A$5:H$51,2)</f>
        <v>KOUAMOU VICTOR PEGUY</v>
      </c>
      <c r="C22" s="7">
        <f t="shared" si="0"/>
        <v>20000</v>
      </c>
      <c r="D22" s="7">
        <v>3000</v>
      </c>
      <c r="E22" s="7">
        <v>500</v>
      </c>
      <c r="F22" s="7">
        <v>1000</v>
      </c>
      <c r="G22" s="7">
        <v>2500</v>
      </c>
      <c r="H22" s="7"/>
      <c r="I22" s="7">
        <v>13000</v>
      </c>
      <c r="J22" s="7"/>
      <c r="K22" s="7">
        <f t="shared" si="1"/>
        <v>0</v>
      </c>
    </row>
    <row r="23" spans="1:11">
      <c r="A23" s="1" t="s">
        <v>29</v>
      </c>
      <c r="B23" s="1" t="str">
        <f>VLOOKUP(A23,LISTADHERENT!A$5:H$51,2)</f>
        <v>KOUATCHO MESSACK</v>
      </c>
      <c r="C23" s="7">
        <f t="shared" si="0"/>
        <v>20000</v>
      </c>
      <c r="D23" s="7">
        <v>3000</v>
      </c>
      <c r="E23" s="7">
        <v>500</v>
      </c>
      <c r="F23" s="7">
        <v>1000</v>
      </c>
      <c r="G23" s="7">
        <v>2500</v>
      </c>
      <c r="H23" s="7"/>
      <c r="I23" s="7">
        <v>13000</v>
      </c>
      <c r="J23" s="7"/>
      <c r="K23" s="7">
        <f t="shared" si="1"/>
        <v>0</v>
      </c>
    </row>
    <row r="24" spans="1:11">
      <c r="A24" s="1" t="s">
        <v>30</v>
      </c>
      <c r="B24" s="1" t="str">
        <f>VLOOKUP(A24,LISTADHERENT!A$5:H$51,2)</f>
        <v>LOWE JEAN</v>
      </c>
      <c r="C24" s="7">
        <f t="shared" si="0"/>
        <v>20000</v>
      </c>
      <c r="D24" s="7">
        <v>3000</v>
      </c>
      <c r="E24" s="7">
        <v>500</v>
      </c>
      <c r="F24" s="7">
        <v>1000</v>
      </c>
      <c r="G24" s="7">
        <v>2500</v>
      </c>
      <c r="H24" s="7"/>
      <c r="I24" s="7">
        <v>13000</v>
      </c>
      <c r="J24" s="7"/>
      <c r="K24" s="7">
        <f t="shared" si="1"/>
        <v>0</v>
      </c>
    </row>
    <row r="25" spans="1:11">
      <c r="A25" s="1" t="s">
        <v>31</v>
      </c>
      <c r="B25" s="1" t="str">
        <f>VLOOKUP(A25,LISTADHERENT!A$5:H$51,2)</f>
        <v>NANKAM APPOLINAIRE</v>
      </c>
      <c r="C25" s="7">
        <f t="shared" si="0"/>
        <v>20000</v>
      </c>
      <c r="D25" s="7">
        <v>3000</v>
      </c>
      <c r="E25" s="7">
        <v>500</v>
      </c>
      <c r="F25" s="7">
        <v>1000</v>
      </c>
      <c r="G25" s="7">
        <v>2500</v>
      </c>
      <c r="H25" s="7"/>
      <c r="I25" s="7">
        <v>13000</v>
      </c>
      <c r="J25" s="7"/>
      <c r="K25" s="7">
        <f t="shared" si="1"/>
        <v>0</v>
      </c>
    </row>
    <row r="26" spans="1:11">
      <c r="A26" s="1" t="s">
        <v>32</v>
      </c>
      <c r="B26" s="1" t="str">
        <f>VLOOKUP(A26,LISTADHERENT!A$5:H$51,2)</f>
        <v>NDJOMO ETIENNE</v>
      </c>
      <c r="C26" s="7">
        <f t="shared" si="0"/>
        <v>25000</v>
      </c>
      <c r="D26" s="7">
        <v>8000</v>
      </c>
      <c r="E26" s="7">
        <v>500</v>
      </c>
      <c r="F26" s="7">
        <v>1000</v>
      </c>
      <c r="G26" s="7">
        <v>2500</v>
      </c>
      <c r="H26" s="7"/>
      <c r="I26" s="7">
        <v>13000</v>
      </c>
      <c r="J26" s="7"/>
      <c r="K26" s="7">
        <f t="shared" si="1"/>
        <v>0</v>
      </c>
    </row>
    <row r="27" spans="1:11">
      <c r="A27" s="1" t="s">
        <v>33</v>
      </c>
      <c r="B27" s="1" t="str">
        <f>VLOOKUP(A27,LISTADHERENT!A$5:H$51,2)</f>
        <v>NDOMBOU JEAN CLAUDE</v>
      </c>
      <c r="C27" s="7">
        <f t="shared" si="0"/>
        <v>0</v>
      </c>
      <c r="D27" s="7"/>
      <c r="E27" s="7"/>
      <c r="F27" s="7"/>
      <c r="G27" s="7"/>
      <c r="H27" s="7"/>
      <c r="I27" s="7"/>
      <c r="J27" s="7"/>
      <c r="K27" s="7">
        <f t="shared" si="1"/>
        <v>0</v>
      </c>
    </row>
    <row r="28" spans="1:11">
      <c r="A28" s="1" t="s">
        <v>34</v>
      </c>
      <c r="B28" s="1" t="str">
        <f>VLOOKUP(A28,LISTADHERENT!A$5:H$51,2)</f>
        <v>NGONDIEP CLAUDE</v>
      </c>
      <c r="C28" s="7">
        <f t="shared" si="0"/>
        <v>20000</v>
      </c>
      <c r="D28" s="7">
        <v>3000</v>
      </c>
      <c r="E28" s="7">
        <v>500</v>
      </c>
      <c r="F28" s="7">
        <v>1000</v>
      </c>
      <c r="G28" s="7">
        <v>2500</v>
      </c>
      <c r="H28" s="7"/>
      <c r="I28" s="7">
        <v>13000</v>
      </c>
      <c r="J28" s="7"/>
      <c r="K28" s="7">
        <f t="shared" si="1"/>
        <v>0</v>
      </c>
    </row>
    <row r="29" spans="1:11">
      <c r="A29" s="1" t="s">
        <v>35</v>
      </c>
      <c r="B29" s="1" t="str">
        <f>VLOOKUP(A29,LISTADHERENT!A$5:H$51,2)</f>
        <v>NGONGANG JEAN THEODORE</v>
      </c>
      <c r="C29" s="7">
        <f t="shared" si="0"/>
        <v>20000</v>
      </c>
      <c r="D29" s="7">
        <v>3000</v>
      </c>
      <c r="E29" s="7">
        <v>500</v>
      </c>
      <c r="F29" s="7">
        <v>1000</v>
      </c>
      <c r="G29" s="7">
        <v>2500</v>
      </c>
      <c r="H29" s="7"/>
      <c r="I29" s="7">
        <v>13000</v>
      </c>
      <c r="J29" s="7"/>
      <c r="K29" s="7">
        <f t="shared" si="1"/>
        <v>0</v>
      </c>
    </row>
    <row r="30" spans="1:11">
      <c r="A30" s="1" t="s">
        <v>36</v>
      </c>
      <c r="B30" s="1" t="str">
        <f>VLOOKUP(A30,LISTADHERENT!A$5:H$51,2)</f>
        <v>NGUIEMEGNI MATHIEU BLAISE</v>
      </c>
      <c r="C30" s="7">
        <f t="shared" si="0"/>
        <v>20000</v>
      </c>
      <c r="D30" s="7">
        <v>3000</v>
      </c>
      <c r="E30" s="7">
        <v>500</v>
      </c>
      <c r="F30" s="7">
        <v>1000</v>
      </c>
      <c r="G30" s="7">
        <v>2500</v>
      </c>
      <c r="H30" s="7"/>
      <c r="I30" s="7">
        <v>13000</v>
      </c>
      <c r="J30" s="7"/>
      <c r="K30" s="7">
        <f t="shared" si="1"/>
        <v>0</v>
      </c>
    </row>
    <row r="31" spans="1:11">
      <c r="A31" s="1" t="s">
        <v>37</v>
      </c>
      <c r="B31" s="1" t="str">
        <f>VLOOKUP(A31,LISTADHERENT!A$5:H$51,2)</f>
        <v>NJEPDJIO MBOUKAM DELUXE</v>
      </c>
      <c r="C31" s="7">
        <f t="shared" si="0"/>
        <v>25000</v>
      </c>
      <c r="D31" s="7">
        <v>8000</v>
      </c>
      <c r="E31" s="7">
        <v>500</v>
      </c>
      <c r="F31" s="7">
        <v>1000</v>
      </c>
      <c r="G31" s="7">
        <v>2500</v>
      </c>
      <c r="H31" s="7"/>
      <c r="I31" s="7">
        <v>13000</v>
      </c>
      <c r="J31" s="7"/>
      <c r="K31" s="7">
        <f t="shared" si="1"/>
        <v>0</v>
      </c>
    </row>
    <row r="32" spans="1:11">
      <c r="A32" s="1" t="s">
        <v>38</v>
      </c>
      <c r="B32" s="1" t="str">
        <f>VLOOKUP(A32,LISTADHERENT!A$5:H$51,2)</f>
        <v>NKAMGANG JUSTIN DEJOLIE</v>
      </c>
      <c r="C32" s="7">
        <f t="shared" si="0"/>
        <v>23000</v>
      </c>
      <c r="D32" s="7">
        <v>6000</v>
      </c>
      <c r="E32" s="7">
        <v>500</v>
      </c>
      <c r="F32" s="7">
        <v>1000</v>
      </c>
      <c r="G32" s="7">
        <v>2500</v>
      </c>
      <c r="H32" s="7"/>
      <c r="I32" s="7">
        <v>13000</v>
      </c>
      <c r="J32" s="7"/>
      <c r="K32" s="7">
        <f t="shared" si="1"/>
        <v>0</v>
      </c>
    </row>
    <row r="33" spans="1:11" s="11" customFormat="1">
      <c r="A33" s="1" t="s">
        <v>39</v>
      </c>
      <c r="B33" s="1" t="str">
        <f>VLOOKUP(A33,LISTADHERENT!A$5:H$51,2)</f>
        <v>NKEPSEU DIEUDONNE</v>
      </c>
      <c r="C33" s="10">
        <f>D33+E33+F33+G33+H33+I33</f>
        <v>25000</v>
      </c>
      <c r="D33" s="7">
        <v>8000</v>
      </c>
      <c r="E33" s="7">
        <v>500</v>
      </c>
      <c r="F33" s="7">
        <v>1000</v>
      </c>
      <c r="G33" s="7">
        <v>2500</v>
      </c>
      <c r="H33" s="7"/>
      <c r="I33" s="7">
        <v>13000</v>
      </c>
      <c r="J33" s="7"/>
      <c r="K33" s="7">
        <f t="shared" si="1"/>
        <v>0</v>
      </c>
    </row>
    <row r="34" spans="1:11">
      <c r="A34" s="1" t="s">
        <v>40</v>
      </c>
      <c r="B34" s="1" t="str">
        <f>VLOOKUP(A34,LISTADHERENT!A$5:H$51,2)</f>
        <v>NKEPSEU HENANG RENE</v>
      </c>
      <c r="C34" s="7">
        <f t="shared" si="0"/>
        <v>20000</v>
      </c>
      <c r="D34" s="7">
        <v>3000</v>
      </c>
      <c r="E34" s="7">
        <v>500</v>
      </c>
      <c r="F34" s="7">
        <v>1000</v>
      </c>
      <c r="G34" s="7">
        <v>2500</v>
      </c>
      <c r="H34" s="7"/>
      <c r="I34" s="7">
        <v>13000</v>
      </c>
      <c r="J34" s="7"/>
      <c r="K34" s="7">
        <f t="shared" si="1"/>
        <v>0</v>
      </c>
    </row>
    <row r="35" spans="1:11">
      <c r="A35" s="1" t="s">
        <v>41</v>
      </c>
      <c r="B35" s="1" t="str">
        <f>VLOOKUP(A35,LISTADHERENT!A$5:H$51,2)</f>
        <v>NTEPDIE TUEMAC MZ</v>
      </c>
      <c r="C35" s="7">
        <f t="shared" si="0"/>
        <v>0</v>
      </c>
      <c r="D35" s="7"/>
      <c r="E35" s="7"/>
      <c r="F35" s="7"/>
      <c r="G35" s="7"/>
      <c r="H35" s="7"/>
      <c r="I35" s="7"/>
      <c r="J35" s="7"/>
      <c r="K35" s="7">
        <f t="shared" si="1"/>
        <v>0</v>
      </c>
    </row>
    <row r="36" spans="1:11">
      <c r="A36" s="1" t="s">
        <v>42</v>
      </c>
      <c r="B36" s="1" t="str">
        <f>VLOOKUP(A36,LISTADHERENT!A$5:H$51,2)</f>
        <v>NTOMBOU ADOLPHE</v>
      </c>
      <c r="C36" s="7">
        <f t="shared" si="0"/>
        <v>20000</v>
      </c>
      <c r="D36" s="7">
        <v>3000</v>
      </c>
      <c r="E36" s="7">
        <v>500</v>
      </c>
      <c r="F36" s="7">
        <v>1000</v>
      </c>
      <c r="G36" s="7">
        <v>2500</v>
      </c>
      <c r="H36" s="7"/>
      <c r="I36" s="7">
        <v>13000</v>
      </c>
      <c r="J36" s="7"/>
      <c r="K36" s="7">
        <f t="shared" si="1"/>
        <v>0</v>
      </c>
    </row>
    <row r="37" spans="1:11">
      <c r="A37" s="1" t="s">
        <v>43</v>
      </c>
      <c r="B37" s="1" t="str">
        <f>VLOOKUP(A37,LISTADHERENT!A$5:H$51,2)</f>
        <v>PATEGO NJOSSU GUSTAVE</v>
      </c>
      <c r="C37" s="7">
        <f t="shared" si="0"/>
        <v>20000</v>
      </c>
      <c r="D37" s="7">
        <v>3000</v>
      </c>
      <c r="E37" s="7">
        <v>500</v>
      </c>
      <c r="F37" s="7">
        <v>1000</v>
      </c>
      <c r="G37" s="7">
        <v>2500</v>
      </c>
      <c r="H37" s="7"/>
      <c r="I37" s="7">
        <v>13000</v>
      </c>
      <c r="J37" s="7"/>
      <c r="K37" s="7">
        <f t="shared" si="1"/>
        <v>0</v>
      </c>
    </row>
    <row r="38" spans="1:11">
      <c r="A38" s="1" t="s">
        <v>44</v>
      </c>
      <c r="B38" s="1" t="str">
        <f>VLOOKUP(A38,LISTADHERENT!A$5:H$51,2)</f>
        <v>SEUNOU RICHELOT</v>
      </c>
      <c r="C38" s="7">
        <f t="shared" si="0"/>
        <v>20000</v>
      </c>
      <c r="D38" s="7">
        <v>3000</v>
      </c>
      <c r="E38" s="7">
        <v>500</v>
      </c>
      <c r="F38" s="7">
        <v>1000</v>
      </c>
      <c r="G38" s="7">
        <v>2500</v>
      </c>
      <c r="H38" s="7"/>
      <c r="I38" s="7">
        <v>13000</v>
      </c>
      <c r="J38" s="7"/>
      <c r="K38" s="7">
        <f t="shared" si="1"/>
        <v>0</v>
      </c>
    </row>
    <row r="39" spans="1:11">
      <c r="A39" s="1" t="s">
        <v>45</v>
      </c>
      <c r="B39" s="1" t="str">
        <f>VLOOKUP(A39,LISTADHERENT!A$5:H$51,2)</f>
        <v>SIME ABEL</v>
      </c>
      <c r="C39" s="7">
        <f t="shared" si="0"/>
        <v>20000</v>
      </c>
      <c r="D39" s="7">
        <v>3000</v>
      </c>
      <c r="E39" s="7">
        <v>500</v>
      </c>
      <c r="F39" s="7">
        <v>1000</v>
      </c>
      <c r="G39" s="7">
        <v>2500</v>
      </c>
      <c r="H39" s="7"/>
      <c r="I39" s="7">
        <v>13000</v>
      </c>
      <c r="J39" s="7"/>
      <c r="K39" s="7">
        <f t="shared" si="1"/>
        <v>0</v>
      </c>
    </row>
    <row r="40" spans="1:11">
      <c r="A40" s="1" t="s">
        <v>46</v>
      </c>
      <c r="B40" s="1" t="str">
        <f>VLOOKUP(A40,LISTADHERENT!A$5:H$51,2)</f>
        <v>SIME FONGANG ERIC</v>
      </c>
      <c r="C40" s="7">
        <f t="shared" si="0"/>
        <v>20000</v>
      </c>
      <c r="D40" s="7">
        <v>3000</v>
      </c>
      <c r="E40" s="7">
        <v>500</v>
      </c>
      <c r="F40" s="7">
        <v>1000</v>
      </c>
      <c r="G40" s="7">
        <v>2500</v>
      </c>
      <c r="H40" s="7"/>
      <c r="I40" s="7">
        <v>13000</v>
      </c>
      <c r="J40" s="7"/>
      <c r="K40" s="7">
        <f t="shared" si="1"/>
        <v>0</v>
      </c>
    </row>
    <row r="41" spans="1:11">
      <c r="A41" s="1" t="s">
        <v>47</v>
      </c>
      <c r="B41" s="1" t="str">
        <f>VLOOKUP(A41,LISTADHERENT!A$5:H$51,2)</f>
        <v>SIME MATHIEU</v>
      </c>
      <c r="C41" s="7">
        <f t="shared" si="0"/>
        <v>20000</v>
      </c>
      <c r="D41" s="7">
        <v>3000</v>
      </c>
      <c r="E41" s="7">
        <v>500</v>
      </c>
      <c r="F41" s="7">
        <v>1000</v>
      </c>
      <c r="G41" s="7">
        <v>2500</v>
      </c>
      <c r="H41" s="7"/>
      <c r="I41" s="7">
        <v>13000</v>
      </c>
      <c r="J41" s="7"/>
      <c r="K41" s="7">
        <f t="shared" si="1"/>
        <v>0</v>
      </c>
    </row>
    <row r="42" spans="1:11">
      <c r="A42" s="1" t="s">
        <v>48</v>
      </c>
      <c r="B42" s="1" t="str">
        <f>VLOOKUP(A42,LISTADHERENT!A$5:H$51,2)</f>
        <v>SIME PIERRE</v>
      </c>
      <c r="C42" s="7">
        <f t="shared" si="0"/>
        <v>20000</v>
      </c>
      <c r="D42" s="7">
        <v>3000</v>
      </c>
      <c r="E42" s="7">
        <v>500</v>
      </c>
      <c r="F42" s="7">
        <v>1000</v>
      </c>
      <c r="G42" s="7">
        <v>2500</v>
      </c>
      <c r="H42" s="7"/>
      <c r="I42" s="7">
        <v>13000</v>
      </c>
      <c r="J42" s="7"/>
      <c r="K42" s="7">
        <f t="shared" si="1"/>
        <v>0</v>
      </c>
    </row>
    <row r="43" spans="1:11">
      <c r="A43" s="1" t="s">
        <v>49</v>
      </c>
      <c r="B43" s="1" t="str">
        <f>VLOOKUP(A43,LISTADHERENT!A$5:H$51,2)</f>
        <v>TAGNE NANGUEN MARTIN</v>
      </c>
      <c r="C43" s="7">
        <f t="shared" si="0"/>
        <v>20000</v>
      </c>
      <c r="D43" s="7">
        <v>3000</v>
      </c>
      <c r="E43" s="7">
        <v>500</v>
      </c>
      <c r="F43" s="7">
        <v>1000</v>
      </c>
      <c r="G43" s="7">
        <v>2500</v>
      </c>
      <c r="H43" s="7"/>
      <c r="I43" s="7">
        <v>13000</v>
      </c>
      <c r="J43" s="7"/>
      <c r="K43" s="7">
        <f t="shared" si="1"/>
        <v>0</v>
      </c>
    </row>
    <row r="44" spans="1:11">
      <c r="A44" s="1" t="s">
        <v>50</v>
      </c>
      <c r="B44" s="1" t="str">
        <f>VLOOKUP(A44,LISTADHERENT!A$5:H$51,2)</f>
        <v>TCHOUAMOU JEAN PAUL</v>
      </c>
      <c r="C44" s="7">
        <f t="shared" si="0"/>
        <v>20000</v>
      </c>
      <c r="D44" s="7">
        <v>3000</v>
      </c>
      <c r="E44" s="7">
        <v>500</v>
      </c>
      <c r="F44" s="7">
        <v>1000</v>
      </c>
      <c r="G44" s="7">
        <v>2500</v>
      </c>
      <c r="H44" s="7"/>
      <c r="I44" s="7">
        <v>13000</v>
      </c>
      <c r="J44" s="7"/>
      <c r="K44" s="7">
        <f t="shared" si="1"/>
        <v>0</v>
      </c>
    </row>
    <row r="45" spans="1:11">
      <c r="A45" s="1" t="s">
        <v>51</v>
      </c>
      <c r="B45" s="1" t="str">
        <f>VLOOKUP(A45,LISTADHERENT!A$5:H$51,2)</f>
        <v>TCHOUAMOU MATHIEU</v>
      </c>
      <c r="C45" s="7">
        <f t="shared" si="0"/>
        <v>20000</v>
      </c>
      <c r="D45" s="7">
        <v>3000</v>
      </c>
      <c r="E45" s="7">
        <v>500</v>
      </c>
      <c r="F45" s="7">
        <v>1000</v>
      </c>
      <c r="G45" s="7">
        <v>2500</v>
      </c>
      <c r="H45" s="7"/>
      <c r="I45" s="7">
        <v>13000</v>
      </c>
      <c r="J45" s="7"/>
      <c r="K45" s="7">
        <f t="shared" si="1"/>
        <v>0</v>
      </c>
    </row>
    <row r="46" spans="1:11">
      <c r="A46" s="1" t="s">
        <v>52</v>
      </c>
      <c r="B46" s="1" t="str">
        <f>VLOOKUP(A46,LISTADHERENT!A$5:H$51,2)</f>
        <v>TCHOUANTE FRANCOIS</v>
      </c>
      <c r="C46" s="7">
        <f t="shared" si="0"/>
        <v>23000</v>
      </c>
      <c r="D46" s="7">
        <v>6000</v>
      </c>
      <c r="E46" s="7">
        <v>500</v>
      </c>
      <c r="F46" s="7">
        <v>1000</v>
      </c>
      <c r="G46" s="7">
        <v>2500</v>
      </c>
      <c r="H46" s="7"/>
      <c r="I46" s="7">
        <v>13000</v>
      </c>
      <c r="J46" s="7">
        <v>500000</v>
      </c>
      <c r="K46" s="7">
        <f t="shared" si="1"/>
        <v>15000</v>
      </c>
    </row>
    <row r="47" spans="1:11">
      <c r="A47" s="1" t="s">
        <v>53</v>
      </c>
      <c r="B47" s="1" t="str">
        <f>VLOOKUP(A47,LISTADHERENT!A$5:H$51,2)</f>
        <v>TCHOUTOU NANA CLAUDE</v>
      </c>
      <c r="C47" s="7">
        <f t="shared" si="0"/>
        <v>20000</v>
      </c>
      <c r="D47" s="7">
        <v>3000</v>
      </c>
      <c r="E47" s="7">
        <v>500</v>
      </c>
      <c r="F47" s="7">
        <v>1000</v>
      </c>
      <c r="G47" s="7">
        <v>2500</v>
      </c>
      <c r="H47" s="7"/>
      <c r="I47" s="7">
        <v>13000</v>
      </c>
      <c r="J47" s="7"/>
      <c r="K47" s="7">
        <f t="shared" si="1"/>
        <v>0</v>
      </c>
    </row>
    <row r="48" spans="1:11">
      <c r="A48" s="1" t="s">
        <v>54</v>
      </c>
      <c r="B48" s="1" t="str">
        <f>VLOOKUP(A48,LISTADHERENT!A$5:H$51,2)</f>
        <v>TIEYAM ERNEST</v>
      </c>
      <c r="C48" s="7">
        <f t="shared" si="0"/>
        <v>20000</v>
      </c>
      <c r="D48" s="7">
        <v>3000</v>
      </c>
      <c r="E48" s="7">
        <v>500</v>
      </c>
      <c r="F48" s="7">
        <v>1000</v>
      </c>
      <c r="G48" s="7">
        <v>2500</v>
      </c>
      <c r="H48" s="7"/>
      <c r="I48" s="7">
        <v>13000</v>
      </c>
      <c r="J48" s="7"/>
      <c r="K48" s="7">
        <f t="shared" si="1"/>
        <v>0</v>
      </c>
    </row>
    <row r="49" spans="1:12">
      <c r="A49" s="1" t="s">
        <v>55</v>
      </c>
      <c r="B49" s="1" t="str">
        <f>VLOOKUP(A49,LISTADHERENT!A$5:H$51,2)</f>
        <v>TUGMA PIERRE LOTI</v>
      </c>
      <c r="C49" s="7">
        <f t="shared" si="0"/>
        <v>20000</v>
      </c>
      <c r="D49" s="7">
        <v>3000</v>
      </c>
      <c r="E49" s="7">
        <v>500</v>
      </c>
      <c r="F49" s="7">
        <v>1000</v>
      </c>
      <c r="G49" s="7">
        <v>2500</v>
      </c>
      <c r="H49" s="7"/>
      <c r="I49" s="7">
        <v>13000</v>
      </c>
      <c r="J49" s="7"/>
      <c r="K49" s="7">
        <f t="shared" si="1"/>
        <v>0</v>
      </c>
    </row>
    <row r="50" spans="1:12">
      <c r="A50" s="1" t="s">
        <v>66</v>
      </c>
      <c r="B50" s="1" t="str">
        <f>VLOOKUP(A50,LISTADHERENT!A$5:H$51,2)</f>
        <v>YEPMOU JEAN JACQUES</v>
      </c>
      <c r="C50" s="7">
        <f t="shared" si="0"/>
        <v>20000</v>
      </c>
      <c r="D50" s="7">
        <v>3000</v>
      </c>
      <c r="E50" s="7">
        <v>500</v>
      </c>
      <c r="F50" s="7">
        <v>1000</v>
      </c>
      <c r="G50" s="7">
        <v>2500</v>
      </c>
      <c r="H50" s="7"/>
      <c r="I50" s="7">
        <v>13000</v>
      </c>
      <c r="J50" s="7"/>
      <c r="K50" s="7">
        <f t="shared" si="1"/>
        <v>0</v>
      </c>
    </row>
    <row r="51" spans="1:12">
      <c r="A51" s="1" t="s">
        <v>178</v>
      </c>
      <c r="B51" s="1" t="str">
        <f>VLOOKUP(A51,LISTADHERENT!A$5:H$51,2)</f>
        <v>YOUMBI EMMANUEL</v>
      </c>
      <c r="C51" s="7">
        <f t="shared" si="0"/>
        <v>20000</v>
      </c>
      <c r="D51" s="7">
        <v>3000</v>
      </c>
      <c r="E51" s="7">
        <v>500</v>
      </c>
      <c r="F51" s="7">
        <v>1000</v>
      </c>
      <c r="G51" s="7">
        <v>2500</v>
      </c>
      <c r="I51" s="7">
        <v>13000</v>
      </c>
      <c r="J51" s="7"/>
      <c r="K51" s="7">
        <f t="shared" si="1"/>
        <v>0</v>
      </c>
    </row>
    <row r="52" spans="1:12" ht="18">
      <c r="A52" s="1"/>
      <c r="B52" s="1" t="s">
        <v>180</v>
      </c>
      <c r="E52" s="4"/>
      <c r="I52" s="7">
        <v>48000</v>
      </c>
      <c r="J52" s="7"/>
      <c r="K52" s="7">
        <f t="shared" si="1"/>
        <v>0</v>
      </c>
      <c r="L52" s="9"/>
    </row>
    <row r="53" spans="1:12" ht="18">
      <c r="A53" s="1"/>
      <c r="B53" s="1"/>
      <c r="E53" s="4"/>
      <c r="L53" s="9"/>
    </row>
    <row r="54" spans="1:12" ht="18">
      <c r="A54" s="8" t="s">
        <v>56</v>
      </c>
      <c r="B54" s="8"/>
      <c r="C54" s="9">
        <f t="shared" ref="C54:H54" si="2">SUM(C5:C51)</f>
        <v>904000</v>
      </c>
      <c r="D54" s="9">
        <f t="shared" si="2"/>
        <v>156000</v>
      </c>
      <c r="E54" s="9">
        <f t="shared" si="2"/>
        <v>22000</v>
      </c>
      <c r="F54" s="9">
        <f t="shared" si="2"/>
        <v>44000</v>
      </c>
      <c r="G54" s="9">
        <f t="shared" si="2"/>
        <v>110000</v>
      </c>
      <c r="H54" s="9">
        <f t="shared" si="2"/>
        <v>0</v>
      </c>
      <c r="I54" s="9">
        <f>SUM(I5:I52)</f>
        <v>620000</v>
      </c>
      <c r="J54" s="9">
        <f>SUM(J5:J51)</f>
        <v>750000</v>
      </c>
      <c r="K54" s="9">
        <f>SUM(K5:K51)</f>
        <v>22500</v>
      </c>
    </row>
  </sheetData>
  <autoFilter ref="A4:L50">
    <filterColumn colId="8"/>
    <filterColumn colId="9"/>
    <filterColumn colId="10"/>
    <filterColumn colId="11"/>
  </autoFilter>
  <dataValidations count="1">
    <dataValidation type="list" allowBlank="1" showInputMessage="1" showErrorMessage="1" promptTitle="Saissisez le mode de VERSEMENT" sqref="E5:E51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54"/>
  <sheetViews>
    <sheetView workbookViewId="0">
      <pane xSplit="2" ySplit="4" topLeftCell="G20" activePane="bottomRight" state="frozen"/>
      <selection activeCell="B22" sqref="B22"/>
      <selection pane="topRight" activeCell="B22" sqref="B22"/>
      <selection pane="bottomLeft" activeCell="B22" sqref="B22"/>
      <selection pane="bottomRight" activeCell="K24" sqref="K24"/>
    </sheetView>
  </sheetViews>
  <sheetFormatPr baseColWidth="10" defaultRowHeight="15"/>
  <cols>
    <col min="1" max="1" width="13.85546875" customWidth="1"/>
    <col min="2" max="2" width="29.5703125" bestFit="1" customWidth="1"/>
    <col min="3" max="3" width="15" style="2" bestFit="1" customWidth="1"/>
    <col min="4" max="4" width="12.5703125" bestFit="1" customWidth="1"/>
    <col min="5" max="5" width="17.5703125" style="3" bestFit="1" customWidth="1"/>
    <col min="6" max="6" width="15.7109375" style="2" customWidth="1"/>
    <col min="7" max="7" width="14.7109375" style="2" customWidth="1"/>
    <col min="8" max="8" width="18.140625" style="2" bestFit="1" customWidth="1"/>
    <col min="9" max="9" width="18.140625" customWidth="1"/>
    <col min="10" max="10" width="15" bestFit="1" customWidth="1"/>
    <col min="11" max="11" width="12.5703125" bestFit="1" customWidth="1"/>
    <col min="12" max="12" width="18.140625" customWidth="1"/>
  </cols>
  <sheetData>
    <row r="1" spans="1:12">
      <c r="A1" s="1" t="s">
        <v>0</v>
      </c>
      <c r="B1" s="1" t="s">
        <v>1</v>
      </c>
    </row>
    <row r="2" spans="1:12">
      <c r="A2" s="1" t="s">
        <v>2</v>
      </c>
      <c r="B2" s="1" t="s">
        <v>3</v>
      </c>
    </row>
    <row r="3" spans="1:12">
      <c r="A3" s="1" t="s">
        <v>4</v>
      </c>
      <c r="B3" s="1" t="s">
        <v>5</v>
      </c>
    </row>
    <row r="4" spans="1:12" ht="29.25">
      <c r="A4" s="1" t="s">
        <v>6</v>
      </c>
      <c r="B4" s="1" t="s">
        <v>7</v>
      </c>
      <c r="C4" s="5" t="s">
        <v>65</v>
      </c>
      <c r="D4" s="1" t="s">
        <v>57</v>
      </c>
      <c r="E4" s="5" t="s">
        <v>58</v>
      </c>
      <c r="F4" s="5" t="s">
        <v>59</v>
      </c>
      <c r="G4" s="5" t="s">
        <v>60</v>
      </c>
      <c r="H4" s="5" t="s">
        <v>61</v>
      </c>
      <c r="I4" s="5" t="s">
        <v>62</v>
      </c>
      <c r="J4" s="5" t="s">
        <v>63</v>
      </c>
      <c r="K4" s="5" t="s">
        <v>64</v>
      </c>
      <c r="L4" s="5" t="s">
        <v>8</v>
      </c>
    </row>
    <row r="5" spans="1:12">
      <c r="A5" s="1" t="s">
        <v>11</v>
      </c>
      <c r="B5" s="1" t="str">
        <f>VLOOKUP(A5,LISTADHERENT!A$5:H$51,2)</f>
        <v>BAKOP ACHILLE</v>
      </c>
      <c r="C5" s="7">
        <f t="shared" ref="C5:C51" si="0">D5+E5+F5+G5+H5+I5</f>
        <v>20000</v>
      </c>
      <c r="D5" s="7">
        <v>3000</v>
      </c>
      <c r="E5" s="7">
        <v>500</v>
      </c>
      <c r="F5" s="7">
        <v>1000</v>
      </c>
      <c r="G5" s="7">
        <v>2500</v>
      </c>
      <c r="H5" s="7"/>
      <c r="I5" s="7">
        <v>13000</v>
      </c>
      <c r="J5" s="7"/>
      <c r="K5" s="7">
        <f>IF(J5&lt;=500000,(J5*1*3/100),(J5*12/100))</f>
        <v>0</v>
      </c>
    </row>
    <row r="6" spans="1:12">
      <c r="A6" s="1" t="s">
        <v>12</v>
      </c>
      <c r="B6" s="1" t="str">
        <f>VLOOKUP(A6,LISTADHERENT!A$5:H$51,2)</f>
        <v>BOUTCHOUANG WILLIAM</v>
      </c>
      <c r="C6" s="7">
        <f t="shared" si="0"/>
        <v>20000</v>
      </c>
      <c r="D6" s="7">
        <v>3000</v>
      </c>
      <c r="E6" s="7">
        <v>500</v>
      </c>
      <c r="F6" s="7">
        <v>1000</v>
      </c>
      <c r="G6" s="7">
        <v>2500</v>
      </c>
      <c r="H6" s="7"/>
      <c r="I6" s="7">
        <v>13000</v>
      </c>
      <c r="J6" s="7"/>
      <c r="K6" s="7">
        <f t="shared" ref="K6:K52" si="1">IF(J6&lt;=500000,(J6*1*3/100),(J6*12/100))</f>
        <v>0</v>
      </c>
    </row>
    <row r="7" spans="1:12">
      <c r="A7" s="1" t="s">
        <v>13</v>
      </c>
      <c r="B7" s="1" t="str">
        <f>VLOOKUP(A7,LISTADHERENT!A$5:H$51,2)</f>
        <v>CHINGUE FABRICE</v>
      </c>
      <c r="C7" s="7">
        <f t="shared" si="0"/>
        <v>20000</v>
      </c>
      <c r="D7" s="7">
        <v>3000</v>
      </c>
      <c r="E7" s="7">
        <v>500</v>
      </c>
      <c r="F7" s="7">
        <v>1000</v>
      </c>
      <c r="G7" s="7">
        <v>2500</v>
      </c>
      <c r="H7" s="7"/>
      <c r="I7" s="7">
        <v>13000</v>
      </c>
      <c r="K7" s="7">
        <f t="shared" si="1"/>
        <v>0</v>
      </c>
    </row>
    <row r="8" spans="1:12">
      <c r="A8" s="1" t="s">
        <v>14</v>
      </c>
      <c r="B8" s="1" t="str">
        <f>VLOOKUP(A8,LISTADHERENT!A$5:H$51,2)</f>
        <v xml:space="preserve">DJOMO JEAN PAUL </v>
      </c>
      <c r="C8" s="7">
        <f t="shared" si="0"/>
        <v>20000</v>
      </c>
      <c r="D8" s="7">
        <v>3000</v>
      </c>
      <c r="E8" s="7">
        <v>500</v>
      </c>
      <c r="F8" s="7">
        <v>1000</v>
      </c>
      <c r="G8" s="7">
        <v>2500</v>
      </c>
      <c r="H8" s="7"/>
      <c r="I8" s="7">
        <v>13000</v>
      </c>
      <c r="K8" s="7">
        <f t="shared" si="1"/>
        <v>0</v>
      </c>
    </row>
    <row r="9" spans="1:12">
      <c r="A9" s="1" t="s">
        <v>15</v>
      </c>
      <c r="B9" s="1" t="str">
        <f>VLOOKUP(A9,LISTADHERENT!A$5:H$51,2)</f>
        <v>DJOUKWE GUY</v>
      </c>
      <c r="C9" s="7">
        <f t="shared" si="0"/>
        <v>20000</v>
      </c>
      <c r="D9" s="7">
        <v>3000</v>
      </c>
      <c r="E9" s="7">
        <v>500</v>
      </c>
      <c r="F9" s="7">
        <v>1000</v>
      </c>
      <c r="G9" s="7">
        <v>2500</v>
      </c>
      <c r="H9" s="7"/>
      <c r="I9" s="7">
        <v>13000</v>
      </c>
      <c r="K9" s="7">
        <f t="shared" si="1"/>
        <v>0</v>
      </c>
    </row>
    <row r="10" spans="1:12">
      <c r="A10" s="1" t="s">
        <v>16</v>
      </c>
      <c r="B10" s="1" t="str">
        <f>VLOOKUP(A10,LISTADHERENT!A$5:H$51,2)</f>
        <v>DJOSSEU JOSUE</v>
      </c>
      <c r="C10" s="7">
        <f t="shared" si="0"/>
        <v>0</v>
      </c>
      <c r="D10" s="7"/>
      <c r="E10" s="7"/>
      <c r="F10" s="7"/>
      <c r="G10" s="7"/>
      <c r="H10" s="7"/>
      <c r="I10" s="7"/>
      <c r="K10" s="7">
        <f t="shared" si="1"/>
        <v>0</v>
      </c>
    </row>
    <row r="11" spans="1:12">
      <c r="A11" s="1" t="s">
        <v>17</v>
      </c>
      <c r="B11" s="1" t="str">
        <f>VLOOKUP(A11,LISTADHERENT!A$5:H$51,2)</f>
        <v>DJOUNKEP SAMUEL</v>
      </c>
      <c r="C11" s="7">
        <f t="shared" si="0"/>
        <v>20000</v>
      </c>
      <c r="D11" s="7">
        <v>3000</v>
      </c>
      <c r="E11" s="7">
        <v>500</v>
      </c>
      <c r="F11" s="7">
        <v>1000</v>
      </c>
      <c r="G11" s="7">
        <v>2500</v>
      </c>
      <c r="H11" s="7"/>
      <c r="I11" s="7">
        <v>13000</v>
      </c>
      <c r="K11" s="7">
        <f t="shared" si="1"/>
        <v>0</v>
      </c>
    </row>
    <row r="12" spans="1:12">
      <c r="A12" s="1" t="s">
        <v>18</v>
      </c>
      <c r="B12" s="1" t="str">
        <f>VLOOKUP(A12,LISTADHERENT!A$5:H$51,2)</f>
        <v>DJUOMBESSY ANTOINE</v>
      </c>
      <c r="C12" s="7">
        <f t="shared" si="0"/>
        <v>20000</v>
      </c>
      <c r="D12" s="7">
        <v>3000</v>
      </c>
      <c r="E12" s="7">
        <v>500</v>
      </c>
      <c r="F12" s="7">
        <v>1000</v>
      </c>
      <c r="G12" s="7">
        <v>2500</v>
      </c>
      <c r="H12" s="7"/>
      <c r="I12" s="7">
        <v>13000</v>
      </c>
      <c r="K12" s="7">
        <f t="shared" si="1"/>
        <v>0</v>
      </c>
    </row>
    <row r="13" spans="1:12">
      <c r="A13" s="1" t="s">
        <v>19</v>
      </c>
      <c r="B13" s="1" t="str">
        <f>VLOOKUP(A13,LISTADHERENT!A$5:H$51,2)</f>
        <v>DONHOU DAVID</v>
      </c>
      <c r="C13" s="7">
        <f t="shared" si="0"/>
        <v>20000</v>
      </c>
      <c r="D13" s="7">
        <v>3000</v>
      </c>
      <c r="E13" s="7">
        <v>500</v>
      </c>
      <c r="F13" s="7">
        <v>1000</v>
      </c>
      <c r="G13" s="7">
        <v>2500</v>
      </c>
      <c r="H13" s="7"/>
      <c r="I13" s="7">
        <v>13000</v>
      </c>
      <c r="K13" s="7">
        <f t="shared" si="1"/>
        <v>0</v>
      </c>
    </row>
    <row r="14" spans="1:12">
      <c r="A14" s="1" t="s">
        <v>20</v>
      </c>
      <c r="B14" s="1" t="str">
        <f>VLOOKUP(A14,LISTADHERENT!A$5:H$51,2)</f>
        <v>FOTSO THOMAS</v>
      </c>
      <c r="C14" s="7">
        <f t="shared" si="0"/>
        <v>20000</v>
      </c>
      <c r="D14" s="7">
        <v>3000</v>
      </c>
      <c r="E14" s="7">
        <v>500</v>
      </c>
      <c r="F14" s="7">
        <v>1000</v>
      </c>
      <c r="G14" s="7">
        <v>2500</v>
      </c>
      <c r="H14" s="7"/>
      <c r="I14" s="7">
        <v>13000</v>
      </c>
      <c r="K14" s="7">
        <f t="shared" si="1"/>
        <v>0</v>
      </c>
    </row>
    <row r="15" spans="1:12">
      <c r="A15" s="1" t="s">
        <v>21</v>
      </c>
      <c r="B15" s="1" t="str">
        <f>VLOOKUP(A15,LISTADHERENT!A$5:H$51,2)</f>
        <v>HENGUE PAUL OMER</v>
      </c>
      <c r="C15" s="7">
        <f t="shared" si="0"/>
        <v>20000</v>
      </c>
      <c r="D15" s="7">
        <v>3000</v>
      </c>
      <c r="E15" s="7">
        <v>500</v>
      </c>
      <c r="F15" s="7">
        <v>1000</v>
      </c>
      <c r="G15" s="7">
        <v>2500</v>
      </c>
      <c r="H15" s="7"/>
      <c r="I15" s="7">
        <v>13000</v>
      </c>
      <c r="K15" s="7">
        <f t="shared" si="1"/>
        <v>0</v>
      </c>
    </row>
    <row r="16" spans="1:12">
      <c r="A16" s="1" t="s">
        <v>22</v>
      </c>
      <c r="B16" s="1" t="str">
        <f>VLOOKUP(A16,LISTADHERENT!A$5:H$51,2)</f>
        <v>HODIEP JULES</v>
      </c>
      <c r="C16" s="7">
        <f t="shared" si="0"/>
        <v>20000</v>
      </c>
      <c r="D16" s="7">
        <v>3000</v>
      </c>
      <c r="E16" s="7">
        <v>500</v>
      </c>
      <c r="F16" s="7">
        <v>1000</v>
      </c>
      <c r="G16" s="7">
        <v>2500</v>
      </c>
      <c r="H16" s="7"/>
      <c r="I16" s="7">
        <v>13000</v>
      </c>
      <c r="K16" s="7">
        <f t="shared" si="1"/>
        <v>0</v>
      </c>
    </row>
    <row r="17" spans="1:12">
      <c r="A17" s="1" t="s">
        <v>23</v>
      </c>
      <c r="B17" s="1" t="str">
        <f>VLOOKUP(A17,LISTADHERENT!A$5:H$51,2)</f>
        <v>HOTCHO BENJAMIN</v>
      </c>
      <c r="C17" s="7">
        <f t="shared" si="0"/>
        <v>20000</v>
      </c>
      <c r="D17" s="7">
        <v>3000</v>
      </c>
      <c r="E17" s="7">
        <v>500</v>
      </c>
      <c r="F17" s="7">
        <v>1000</v>
      </c>
      <c r="G17" s="7">
        <v>2500</v>
      </c>
      <c r="H17" s="7"/>
      <c r="I17" s="7">
        <v>13000</v>
      </c>
      <c r="K17" s="7">
        <f t="shared" si="1"/>
        <v>0</v>
      </c>
    </row>
    <row r="18" spans="1:12">
      <c r="A18" s="1" t="s">
        <v>24</v>
      </c>
      <c r="B18" s="1" t="str">
        <f>VLOOKUP(A18,LISTADHERENT!A$5:H$51,2)</f>
        <v>KEPHE DAVID</v>
      </c>
      <c r="C18" s="7">
        <f t="shared" si="0"/>
        <v>20000</v>
      </c>
      <c r="D18" s="7">
        <v>3000</v>
      </c>
      <c r="E18" s="7">
        <v>500</v>
      </c>
      <c r="F18" s="7">
        <v>1000</v>
      </c>
      <c r="G18" s="7">
        <v>2500</v>
      </c>
      <c r="H18" s="7"/>
      <c r="I18" s="7">
        <v>13000</v>
      </c>
      <c r="K18" s="7">
        <f t="shared" si="1"/>
        <v>0</v>
      </c>
    </row>
    <row r="19" spans="1:12">
      <c r="A19" s="1" t="s">
        <v>25</v>
      </c>
      <c r="B19" s="1" t="str">
        <f>VLOOKUP(A19,LISTADHERENT!A$5:H$51,2)</f>
        <v>KEPSEU FRANCIS</v>
      </c>
      <c r="C19" s="7">
        <f t="shared" si="0"/>
        <v>163000</v>
      </c>
      <c r="D19" s="7">
        <v>146000</v>
      </c>
      <c r="E19" s="7">
        <v>500</v>
      </c>
      <c r="F19" s="7">
        <v>1000</v>
      </c>
      <c r="G19" s="7">
        <v>2500</v>
      </c>
      <c r="H19" s="7"/>
      <c r="I19" s="7">
        <v>13000</v>
      </c>
      <c r="K19" s="7">
        <f t="shared" si="1"/>
        <v>0</v>
      </c>
    </row>
    <row r="20" spans="1:12">
      <c r="A20" s="1" t="s">
        <v>26</v>
      </c>
      <c r="B20" s="1" t="str">
        <f>VLOOKUP(A20,LISTADHERENT!A$5:H$51,2)</f>
        <v>KOUAMOU EMMANUEL</v>
      </c>
      <c r="C20" s="7">
        <f t="shared" si="0"/>
        <v>20000</v>
      </c>
      <c r="D20" s="7">
        <v>3000</v>
      </c>
      <c r="E20" s="7">
        <v>500</v>
      </c>
      <c r="F20" s="7">
        <v>1000</v>
      </c>
      <c r="G20" s="7">
        <v>2500</v>
      </c>
      <c r="H20" s="7"/>
      <c r="I20" s="7">
        <v>13000</v>
      </c>
      <c r="K20" s="7">
        <f t="shared" si="1"/>
        <v>0</v>
      </c>
    </row>
    <row r="21" spans="1:12">
      <c r="A21" s="1" t="s">
        <v>27</v>
      </c>
      <c r="B21" s="1" t="str">
        <f>VLOOKUP(A21,LISTADHERENT!A$5:H$51,2)</f>
        <v>KOUAMOU MOISE</v>
      </c>
      <c r="C21" s="7">
        <f t="shared" si="0"/>
        <v>20000</v>
      </c>
      <c r="D21" s="7">
        <v>3000</v>
      </c>
      <c r="E21" s="7">
        <v>500</v>
      </c>
      <c r="F21" s="7">
        <v>1000</v>
      </c>
      <c r="G21" s="7">
        <v>2500</v>
      </c>
      <c r="H21" s="7"/>
      <c r="I21" s="7">
        <v>13000</v>
      </c>
      <c r="K21" s="7">
        <f t="shared" si="1"/>
        <v>0</v>
      </c>
    </row>
    <row r="22" spans="1:12">
      <c r="A22" s="1" t="s">
        <v>28</v>
      </c>
      <c r="B22" s="1" t="str">
        <f>VLOOKUP(A22,LISTADHERENT!A$5:H$51,2)</f>
        <v>KOUAMOU VICTOR PEGUY</v>
      </c>
      <c r="C22" s="7">
        <f t="shared" si="0"/>
        <v>20000</v>
      </c>
      <c r="D22" s="7">
        <v>3000</v>
      </c>
      <c r="E22" s="7">
        <v>500</v>
      </c>
      <c r="F22" s="7">
        <v>1000</v>
      </c>
      <c r="G22" s="7">
        <v>2500</v>
      </c>
      <c r="H22" s="7"/>
      <c r="I22" s="7">
        <v>13000</v>
      </c>
      <c r="K22" s="7">
        <f t="shared" si="1"/>
        <v>0</v>
      </c>
    </row>
    <row r="23" spans="1:12">
      <c r="A23" s="1" t="s">
        <v>29</v>
      </c>
      <c r="B23" s="1" t="str">
        <f>VLOOKUP(A23,LISTADHERENT!A$5:H$51,2)</f>
        <v>KOUATCHO MESSACK</v>
      </c>
      <c r="C23" s="7">
        <f t="shared" si="0"/>
        <v>20000</v>
      </c>
      <c r="D23" s="7">
        <v>3000</v>
      </c>
      <c r="E23" s="7">
        <v>500</v>
      </c>
      <c r="F23" s="7">
        <v>1000</v>
      </c>
      <c r="G23" s="7">
        <v>2500</v>
      </c>
      <c r="H23" s="7"/>
      <c r="I23" s="7">
        <v>13000</v>
      </c>
      <c r="J23" s="7"/>
      <c r="K23" s="7">
        <f t="shared" si="1"/>
        <v>0</v>
      </c>
    </row>
    <row r="24" spans="1:12">
      <c r="A24" s="1" t="s">
        <v>30</v>
      </c>
      <c r="B24" s="1" t="str">
        <f>VLOOKUP(A24,LISTADHERENT!A$5:H$51,2)</f>
        <v>LOWE JEAN</v>
      </c>
      <c r="C24" s="7">
        <f t="shared" si="0"/>
        <v>20000</v>
      </c>
      <c r="D24" s="7">
        <v>3000</v>
      </c>
      <c r="E24" s="7">
        <v>500</v>
      </c>
      <c r="F24" s="7">
        <v>1000</v>
      </c>
      <c r="G24" s="7">
        <v>2500</v>
      </c>
      <c r="H24" s="7"/>
      <c r="I24" s="7">
        <v>13000</v>
      </c>
      <c r="J24" s="7">
        <v>80000</v>
      </c>
      <c r="K24" s="7">
        <f t="shared" si="1"/>
        <v>2400</v>
      </c>
    </row>
    <row r="25" spans="1:12">
      <c r="A25" s="1" t="s">
        <v>31</v>
      </c>
      <c r="B25" s="1" t="str">
        <f>VLOOKUP(A25,LISTADHERENT!A$5:H$51,2)</f>
        <v>NANKAM APPOLINAIRE</v>
      </c>
      <c r="C25" s="7">
        <f t="shared" si="0"/>
        <v>20000</v>
      </c>
      <c r="D25" s="7">
        <v>3000</v>
      </c>
      <c r="E25" s="7">
        <v>500</v>
      </c>
      <c r="F25" s="7">
        <v>1000</v>
      </c>
      <c r="G25" s="7">
        <v>2500</v>
      </c>
      <c r="H25" s="7"/>
      <c r="I25" s="7">
        <v>13000</v>
      </c>
      <c r="K25" s="7">
        <f t="shared" si="1"/>
        <v>0</v>
      </c>
    </row>
    <row r="26" spans="1:12">
      <c r="A26" s="1" t="s">
        <v>32</v>
      </c>
      <c r="B26" s="1" t="str">
        <f>VLOOKUP(A26,LISTADHERENT!A$5:H$51,2)</f>
        <v>NDJOMO ETIENNE</v>
      </c>
      <c r="C26" s="7">
        <f t="shared" si="0"/>
        <v>25000</v>
      </c>
      <c r="D26" s="7">
        <v>8000</v>
      </c>
      <c r="E26" s="7">
        <v>500</v>
      </c>
      <c r="F26" s="7">
        <v>1000</v>
      </c>
      <c r="G26" s="7">
        <v>2500</v>
      </c>
      <c r="H26" s="7"/>
      <c r="I26" s="7">
        <v>13000</v>
      </c>
      <c r="J26" s="7">
        <v>400000</v>
      </c>
      <c r="K26" s="7">
        <f t="shared" si="1"/>
        <v>12000</v>
      </c>
      <c r="L26" s="7">
        <v>400000</v>
      </c>
    </row>
    <row r="27" spans="1:12">
      <c r="A27" s="1" t="s">
        <v>33</v>
      </c>
      <c r="B27" s="1" t="str">
        <f>VLOOKUP(A27,LISTADHERENT!A$5:H$51,2)</f>
        <v>NDOMBOU JEAN CLAUDE</v>
      </c>
      <c r="C27" s="7">
        <f t="shared" si="0"/>
        <v>0</v>
      </c>
      <c r="D27" s="7"/>
      <c r="E27" s="7"/>
      <c r="F27" s="7"/>
      <c r="G27" s="7"/>
      <c r="H27" s="7"/>
      <c r="I27" s="7"/>
      <c r="K27" s="7">
        <f t="shared" si="1"/>
        <v>0</v>
      </c>
    </row>
    <row r="28" spans="1:12">
      <c r="A28" s="1" t="s">
        <v>34</v>
      </c>
      <c r="B28" s="1" t="str">
        <f>VLOOKUP(A28,LISTADHERENT!A$5:H$51,2)</f>
        <v>NGONDIEP CLAUDE</v>
      </c>
      <c r="C28" s="7">
        <f t="shared" si="0"/>
        <v>20000</v>
      </c>
      <c r="D28" s="7">
        <v>3000</v>
      </c>
      <c r="E28" s="7">
        <v>500</v>
      </c>
      <c r="F28" s="7">
        <v>1000</v>
      </c>
      <c r="G28" s="7">
        <v>2500</v>
      </c>
      <c r="H28" s="7"/>
      <c r="I28" s="7">
        <v>13000</v>
      </c>
      <c r="K28" s="7">
        <f t="shared" si="1"/>
        <v>0</v>
      </c>
    </row>
    <row r="29" spans="1:12">
      <c r="A29" s="1" t="s">
        <v>35</v>
      </c>
      <c r="B29" s="1" t="str">
        <f>VLOOKUP(A29,LISTADHERENT!A$5:H$51,2)</f>
        <v>NGONGANG JEAN THEODORE</v>
      </c>
      <c r="C29" s="7">
        <f t="shared" si="0"/>
        <v>20000</v>
      </c>
      <c r="D29" s="7">
        <v>3000</v>
      </c>
      <c r="E29" s="7">
        <v>500</v>
      </c>
      <c r="F29" s="7">
        <v>1000</v>
      </c>
      <c r="G29" s="7">
        <v>2500</v>
      </c>
      <c r="H29" s="7"/>
      <c r="I29" s="7">
        <v>13000</v>
      </c>
      <c r="K29" s="7">
        <f t="shared" si="1"/>
        <v>0</v>
      </c>
    </row>
    <row r="30" spans="1:12">
      <c r="A30" s="1" t="s">
        <v>36</v>
      </c>
      <c r="B30" s="1" t="str">
        <f>VLOOKUP(A30,LISTADHERENT!A$5:H$51,2)</f>
        <v>NGUIEMEGNI MATHIEU BLAISE</v>
      </c>
      <c r="C30" s="7">
        <f t="shared" si="0"/>
        <v>20000</v>
      </c>
      <c r="D30" s="7">
        <v>3000</v>
      </c>
      <c r="E30" s="7">
        <v>500</v>
      </c>
      <c r="F30" s="7">
        <v>1000</v>
      </c>
      <c r="G30" s="7">
        <v>2500</v>
      </c>
      <c r="H30" s="7"/>
      <c r="I30" s="7">
        <v>13000</v>
      </c>
      <c r="K30" s="7">
        <f t="shared" si="1"/>
        <v>0</v>
      </c>
    </row>
    <row r="31" spans="1:12">
      <c r="A31" s="1" t="s">
        <v>37</v>
      </c>
      <c r="B31" s="1" t="str">
        <f>VLOOKUP(A31,LISTADHERENT!A$5:H$51,2)</f>
        <v>NJEPDJIO MBOUKAM DELUXE</v>
      </c>
      <c r="C31" s="7">
        <f t="shared" si="0"/>
        <v>23000</v>
      </c>
      <c r="D31" s="7">
        <v>6000</v>
      </c>
      <c r="E31" s="7">
        <v>500</v>
      </c>
      <c r="F31" s="7">
        <v>1000</v>
      </c>
      <c r="G31" s="7">
        <v>2500</v>
      </c>
      <c r="H31" s="7"/>
      <c r="I31" s="7">
        <v>13000</v>
      </c>
      <c r="J31" s="7">
        <v>1000000</v>
      </c>
      <c r="K31" s="7">
        <f>IF(J31&lt;=500000,(J31*1*3/100),(J31*12/100))/4</f>
        <v>30000</v>
      </c>
    </row>
    <row r="32" spans="1:12">
      <c r="A32" s="1" t="s">
        <v>38</v>
      </c>
      <c r="B32" s="1" t="str">
        <f>VLOOKUP(A32,LISTADHERENT!A$5:H$51,2)</f>
        <v>NKAMGANG JUSTIN DEJOLIE</v>
      </c>
      <c r="C32" s="7">
        <f t="shared" si="0"/>
        <v>23000</v>
      </c>
      <c r="D32" s="7">
        <v>6000</v>
      </c>
      <c r="E32" s="7">
        <v>500</v>
      </c>
      <c r="F32" s="7">
        <v>1000</v>
      </c>
      <c r="G32" s="7">
        <v>2500</v>
      </c>
      <c r="H32" s="7"/>
      <c r="I32" s="7">
        <v>13000</v>
      </c>
      <c r="J32" s="11"/>
      <c r="K32" s="7">
        <f t="shared" si="1"/>
        <v>0</v>
      </c>
    </row>
    <row r="33" spans="1:12" s="11" customFormat="1">
      <c r="A33" s="1" t="s">
        <v>39</v>
      </c>
      <c r="B33" s="1" t="str">
        <f>VLOOKUP(A33,LISTADHERENT!A$5:H$51,2)</f>
        <v>NKEPSEU DIEUDONNE</v>
      </c>
      <c r="C33" s="10">
        <f>D33+E33+F33+G33+H33+I33</f>
        <v>25000</v>
      </c>
      <c r="D33" s="7">
        <v>8000</v>
      </c>
      <c r="E33" s="7">
        <v>500</v>
      </c>
      <c r="F33" s="7">
        <v>1000</v>
      </c>
      <c r="G33" s="7">
        <v>2500</v>
      </c>
      <c r="H33" s="7"/>
      <c r="I33" s="7">
        <v>13000</v>
      </c>
      <c r="J33"/>
      <c r="K33" s="7">
        <f t="shared" si="1"/>
        <v>0</v>
      </c>
    </row>
    <row r="34" spans="1:12">
      <c r="A34" s="1" t="s">
        <v>40</v>
      </c>
      <c r="B34" s="1" t="str">
        <f>VLOOKUP(A34,LISTADHERENT!A$5:H$51,2)</f>
        <v>NKEPSEU HENANG RENE</v>
      </c>
      <c r="C34" s="7">
        <f t="shared" si="0"/>
        <v>20000</v>
      </c>
      <c r="D34" s="7">
        <v>3000</v>
      </c>
      <c r="E34" s="7">
        <v>500</v>
      </c>
      <c r="F34" s="7">
        <v>1000</v>
      </c>
      <c r="G34" s="7">
        <v>2500</v>
      </c>
      <c r="H34" s="7"/>
      <c r="I34" s="7">
        <v>13000</v>
      </c>
      <c r="K34" s="7">
        <f t="shared" si="1"/>
        <v>0</v>
      </c>
    </row>
    <row r="35" spans="1:12">
      <c r="A35" s="1" t="s">
        <v>41</v>
      </c>
      <c r="B35" s="1" t="str">
        <f>VLOOKUP(A35,LISTADHERENT!A$5:H$51,2)</f>
        <v>NTEPDIE TUEMAC MZ</v>
      </c>
      <c r="C35" s="7">
        <f t="shared" si="0"/>
        <v>0</v>
      </c>
      <c r="D35" s="7"/>
      <c r="E35" s="7"/>
      <c r="F35" s="7"/>
      <c r="G35" s="7"/>
      <c r="H35" s="7"/>
      <c r="I35" s="7"/>
      <c r="K35" s="7">
        <f t="shared" si="1"/>
        <v>0</v>
      </c>
    </row>
    <row r="36" spans="1:12">
      <c r="A36" s="1" t="s">
        <v>42</v>
      </c>
      <c r="B36" s="1" t="str">
        <f>VLOOKUP(A36,LISTADHERENT!A$5:H$51,2)</f>
        <v>NTOMBOU ADOLPHE</v>
      </c>
      <c r="C36" s="7">
        <f t="shared" si="0"/>
        <v>20000</v>
      </c>
      <c r="D36" s="7">
        <v>3000</v>
      </c>
      <c r="E36" s="7">
        <v>500</v>
      </c>
      <c r="F36" s="7">
        <v>1000</v>
      </c>
      <c r="G36" s="7">
        <v>2500</v>
      </c>
      <c r="H36" s="7"/>
      <c r="I36" s="7">
        <v>13000</v>
      </c>
      <c r="K36" s="7">
        <f t="shared" si="1"/>
        <v>0</v>
      </c>
    </row>
    <row r="37" spans="1:12">
      <c r="A37" s="1" t="s">
        <v>43</v>
      </c>
      <c r="B37" s="1" t="str">
        <f>VLOOKUP(A37,LISTADHERENT!A$5:H$51,2)</f>
        <v>PATEGO NJOSSU GUSTAVE</v>
      </c>
      <c r="C37" s="7">
        <f t="shared" si="0"/>
        <v>20000</v>
      </c>
      <c r="D37" s="7">
        <v>3000</v>
      </c>
      <c r="E37" s="7">
        <v>500</v>
      </c>
      <c r="F37" s="7">
        <v>1000</v>
      </c>
      <c r="G37" s="7">
        <v>2500</v>
      </c>
      <c r="H37" s="7"/>
      <c r="I37" s="7">
        <v>13000</v>
      </c>
      <c r="K37" s="7">
        <f t="shared" si="1"/>
        <v>0</v>
      </c>
    </row>
    <row r="38" spans="1:12">
      <c r="A38" s="1" t="s">
        <v>44</v>
      </c>
      <c r="B38" s="1" t="str">
        <f>VLOOKUP(A38,LISTADHERENT!A$5:H$51,2)</f>
        <v>SEUNOU RICHELOT</v>
      </c>
      <c r="C38" s="7">
        <f t="shared" si="0"/>
        <v>20000</v>
      </c>
      <c r="D38" s="7">
        <v>3000</v>
      </c>
      <c r="E38" s="7">
        <v>500</v>
      </c>
      <c r="F38" s="7">
        <v>1000</v>
      </c>
      <c r="G38" s="7">
        <v>2500</v>
      </c>
      <c r="H38" s="7"/>
      <c r="I38" s="7">
        <v>13000</v>
      </c>
      <c r="K38" s="7">
        <f t="shared" si="1"/>
        <v>0</v>
      </c>
    </row>
    <row r="39" spans="1:12">
      <c r="A39" s="1" t="s">
        <v>45</v>
      </c>
      <c r="B39" s="1" t="str">
        <f>VLOOKUP(A39,LISTADHERENT!A$5:H$51,2)</f>
        <v>SIME ABEL</v>
      </c>
      <c r="C39" s="7">
        <f t="shared" si="0"/>
        <v>20000</v>
      </c>
      <c r="D39" s="7">
        <v>3000</v>
      </c>
      <c r="E39" s="7">
        <v>500</v>
      </c>
      <c r="F39" s="7">
        <v>1000</v>
      </c>
      <c r="G39" s="7">
        <v>2500</v>
      </c>
      <c r="H39" s="7"/>
      <c r="I39" s="7">
        <v>13000</v>
      </c>
      <c r="K39" s="7">
        <f t="shared" si="1"/>
        <v>0</v>
      </c>
    </row>
    <row r="40" spans="1:12">
      <c r="A40" s="1" t="s">
        <v>46</v>
      </c>
      <c r="B40" s="1" t="str">
        <f>VLOOKUP(A40,LISTADHERENT!A$5:H$51,2)</f>
        <v>SIME FONGANG ERIC</v>
      </c>
      <c r="C40" s="7">
        <f t="shared" si="0"/>
        <v>20000</v>
      </c>
      <c r="D40" s="7">
        <v>3000</v>
      </c>
      <c r="E40" s="7">
        <v>500</v>
      </c>
      <c r="F40" s="7">
        <v>1000</v>
      </c>
      <c r="G40" s="7">
        <v>2500</v>
      </c>
      <c r="H40" s="7"/>
      <c r="I40" s="7">
        <v>13000</v>
      </c>
      <c r="K40" s="7">
        <f t="shared" si="1"/>
        <v>0</v>
      </c>
    </row>
    <row r="41" spans="1:12">
      <c r="A41" s="1" t="s">
        <v>47</v>
      </c>
      <c r="B41" s="1" t="str">
        <f>VLOOKUP(A41,LISTADHERENT!A$5:H$51,2)</f>
        <v>SIME MATHIEU</v>
      </c>
      <c r="C41" s="7">
        <f t="shared" si="0"/>
        <v>20000</v>
      </c>
      <c r="D41" s="7">
        <v>3000</v>
      </c>
      <c r="E41" s="7">
        <v>500</v>
      </c>
      <c r="F41" s="7">
        <v>1000</v>
      </c>
      <c r="G41" s="7">
        <v>2500</v>
      </c>
      <c r="H41" s="7"/>
      <c r="I41" s="7">
        <v>13000</v>
      </c>
      <c r="K41" s="7">
        <f t="shared" si="1"/>
        <v>0</v>
      </c>
    </row>
    <row r="42" spans="1:12">
      <c r="A42" s="1" t="s">
        <v>48</v>
      </c>
      <c r="B42" s="1" t="str">
        <f>VLOOKUP(A42,LISTADHERENT!A$5:H$51,2)</f>
        <v>SIME PIERRE</v>
      </c>
      <c r="C42" s="7">
        <f t="shared" si="0"/>
        <v>20000</v>
      </c>
      <c r="D42" s="7">
        <v>3000</v>
      </c>
      <c r="E42" s="7">
        <v>500</v>
      </c>
      <c r="F42" s="7">
        <v>1000</v>
      </c>
      <c r="G42" s="7">
        <v>2500</v>
      </c>
      <c r="H42" s="7"/>
      <c r="I42" s="7">
        <v>13000</v>
      </c>
      <c r="K42" s="7">
        <f t="shared" si="1"/>
        <v>0</v>
      </c>
    </row>
    <row r="43" spans="1:12">
      <c r="A43" s="1" t="s">
        <v>49</v>
      </c>
      <c r="B43" s="1" t="str">
        <f>VLOOKUP(A43,LISTADHERENT!A$5:H$51,2)</f>
        <v>TAGNE NANGUEN MARTIN</v>
      </c>
      <c r="C43" s="7">
        <f t="shared" si="0"/>
        <v>20000</v>
      </c>
      <c r="D43" s="7">
        <v>3000</v>
      </c>
      <c r="E43" s="7">
        <v>500</v>
      </c>
      <c r="F43" s="7">
        <v>1000</v>
      </c>
      <c r="G43" s="7">
        <v>2500</v>
      </c>
      <c r="H43" s="7"/>
      <c r="I43" s="7">
        <v>13000</v>
      </c>
      <c r="K43" s="7">
        <f t="shared" si="1"/>
        <v>0</v>
      </c>
    </row>
    <row r="44" spans="1:12">
      <c r="A44" s="1" t="s">
        <v>50</v>
      </c>
      <c r="B44" s="1" t="str">
        <f>VLOOKUP(A44,LISTADHERENT!A$5:H$51,2)</f>
        <v>TCHOUAMOU JEAN PAUL</v>
      </c>
      <c r="C44" s="7">
        <f t="shared" si="0"/>
        <v>20000</v>
      </c>
      <c r="D44" s="7">
        <v>3000</v>
      </c>
      <c r="E44" s="7">
        <v>500</v>
      </c>
      <c r="F44" s="7">
        <v>1000</v>
      </c>
      <c r="G44" s="7">
        <v>2500</v>
      </c>
      <c r="H44" s="7"/>
      <c r="I44" s="7">
        <v>13000</v>
      </c>
      <c r="K44" s="7">
        <f t="shared" si="1"/>
        <v>0</v>
      </c>
    </row>
    <row r="45" spans="1:12">
      <c r="A45" s="1" t="s">
        <v>51</v>
      </c>
      <c r="B45" s="1" t="str">
        <f>VLOOKUP(A45,LISTADHERENT!A$5:H$51,2)</f>
        <v>TCHOUAMOU MATHIEU</v>
      </c>
      <c r="C45" s="7">
        <f t="shared" si="0"/>
        <v>20000</v>
      </c>
      <c r="D45" s="7">
        <v>3000</v>
      </c>
      <c r="E45" s="7">
        <v>500</v>
      </c>
      <c r="F45" s="7">
        <v>1000</v>
      </c>
      <c r="G45" s="7">
        <v>2500</v>
      </c>
      <c r="H45" s="7"/>
      <c r="I45" s="7">
        <v>13000</v>
      </c>
      <c r="J45" s="7">
        <v>500000</v>
      </c>
      <c r="K45" s="7">
        <f t="shared" si="1"/>
        <v>15000</v>
      </c>
      <c r="L45" s="7">
        <v>500000</v>
      </c>
    </row>
    <row r="46" spans="1:12">
      <c r="A46" s="1" t="s">
        <v>52</v>
      </c>
      <c r="B46" s="1" t="str">
        <f>VLOOKUP(A46,LISTADHERENT!A$5:H$51,2)</f>
        <v>TCHOUANTE FRANCOIS</v>
      </c>
      <c r="C46" s="7">
        <f t="shared" si="0"/>
        <v>23000</v>
      </c>
      <c r="D46" s="7">
        <v>6000</v>
      </c>
      <c r="E46" s="7">
        <v>500</v>
      </c>
      <c r="F46" s="7">
        <v>1000</v>
      </c>
      <c r="G46" s="7">
        <v>2500</v>
      </c>
      <c r="H46" s="7"/>
      <c r="I46" s="7">
        <v>13000</v>
      </c>
      <c r="K46" s="7">
        <f t="shared" si="1"/>
        <v>0</v>
      </c>
    </row>
    <row r="47" spans="1:12">
      <c r="A47" s="1" t="s">
        <v>53</v>
      </c>
      <c r="B47" s="1" t="str">
        <f>VLOOKUP(A47,LISTADHERENT!A$5:H$51,2)</f>
        <v>TCHOUTOU NANA CLAUDE</v>
      </c>
      <c r="C47" s="7">
        <f t="shared" si="0"/>
        <v>0</v>
      </c>
      <c r="D47" s="7"/>
      <c r="E47" s="7"/>
      <c r="F47" s="7"/>
      <c r="G47" s="7"/>
      <c r="H47" s="7"/>
      <c r="I47" s="7"/>
      <c r="K47" s="7">
        <f t="shared" si="1"/>
        <v>0</v>
      </c>
    </row>
    <row r="48" spans="1:12">
      <c r="A48" s="1" t="s">
        <v>54</v>
      </c>
      <c r="B48" s="1" t="str">
        <f>VLOOKUP(A48,LISTADHERENT!A$5:H$51,2)</f>
        <v>TIEYAM ERNEST</v>
      </c>
      <c r="C48" s="7">
        <f t="shared" si="0"/>
        <v>20000</v>
      </c>
      <c r="D48" s="7">
        <v>3000</v>
      </c>
      <c r="E48" s="7">
        <v>500</v>
      </c>
      <c r="F48" s="7">
        <v>1000</v>
      </c>
      <c r="G48" s="7">
        <v>2500</v>
      </c>
      <c r="H48" s="7"/>
      <c r="I48" s="7">
        <v>13000</v>
      </c>
      <c r="K48" s="7">
        <f t="shared" si="1"/>
        <v>0</v>
      </c>
    </row>
    <row r="49" spans="1:12">
      <c r="A49" s="1" t="s">
        <v>55</v>
      </c>
      <c r="B49" s="1" t="str">
        <f>VLOOKUP(A49,LISTADHERENT!A$5:H$51,2)</f>
        <v>TUGMA PIERRE LOTI</v>
      </c>
      <c r="C49" s="7">
        <f t="shared" si="0"/>
        <v>20000</v>
      </c>
      <c r="D49" s="7">
        <v>3000</v>
      </c>
      <c r="E49" s="7">
        <v>500</v>
      </c>
      <c r="F49" s="7">
        <v>1000</v>
      </c>
      <c r="G49" s="7">
        <v>2500</v>
      </c>
      <c r="H49" s="7"/>
      <c r="I49" s="7">
        <v>13000</v>
      </c>
      <c r="K49" s="7">
        <f t="shared" si="1"/>
        <v>0</v>
      </c>
    </row>
    <row r="50" spans="1:12" ht="18">
      <c r="A50" s="1" t="s">
        <v>66</v>
      </c>
      <c r="B50" s="1" t="str">
        <f>VLOOKUP(A50,LISTADHERENT!A$5:H$51,2)</f>
        <v>YEPMOU JEAN JACQUES</v>
      </c>
      <c r="C50" s="7">
        <f t="shared" si="0"/>
        <v>20000</v>
      </c>
      <c r="D50" s="7">
        <v>3000</v>
      </c>
      <c r="E50" s="7">
        <v>500</v>
      </c>
      <c r="F50" s="7">
        <v>1000</v>
      </c>
      <c r="G50" s="7">
        <v>2500</v>
      </c>
      <c r="H50" s="7"/>
      <c r="I50" s="7">
        <v>13000</v>
      </c>
      <c r="J50" s="9"/>
      <c r="K50" s="7">
        <f t="shared" si="1"/>
        <v>0</v>
      </c>
    </row>
    <row r="51" spans="1:12">
      <c r="A51" s="1" t="s">
        <v>178</v>
      </c>
      <c r="B51" s="1" t="str">
        <f>VLOOKUP(A51,LISTADHERENT!A$5:H$51,2)</f>
        <v>YOUMBI EMMANUEL</v>
      </c>
      <c r="C51" s="7">
        <f t="shared" si="0"/>
        <v>20000</v>
      </c>
      <c r="D51" s="7">
        <v>3000</v>
      </c>
      <c r="E51" s="7">
        <v>500</v>
      </c>
      <c r="F51" s="7">
        <v>1000</v>
      </c>
      <c r="G51" s="7">
        <v>2500</v>
      </c>
      <c r="I51" s="7">
        <v>13000</v>
      </c>
      <c r="K51" s="7">
        <f t="shared" si="1"/>
        <v>0</v>
      </c>
    </row>
    <row r="52" spans="1:12" ht="18">
      <c r="A52" s="1"/>
      <c r="B52" s="1" t="s">
        <v>180</v>
      </c>
      <c r="E52" s="4"/>
      <c r="I52" s="7">
        <v>50500</v>
      </c>
      <c r="K52" s="7">
        <f t="shared" si="1"/>
        <v>0</v>
      </c>
      <c r="L52" s="9"/>
    </row>
    <row r="53" spans="1:12" ht="18">
      <c r="A53" s="1"/>
      <c r="B53" s="1"/>
      <c r="E53" s="4"/>
      <c r="L53" s="9"/>
    </row>
    <row r="54" spans="1:12" ht="18">
      <c r="A54" s="8" t="s">
        <v>56</v>
      </c>
      <c r="B54" s="8"/>
      <c r="C54" s="9">
        <f t="shared" ref="C54:H54" si="2">SUM(C5:C51)</f>
        <v>1022000</v>
      </c>
      <c r="D54" s="9">
        <f t="shared" si="2"/>
        <v>291000</v>
      </c>
      <c r="E54" s="9">
        <f t="shared" si="2"/>
        <v>21500</v>
      </c>
      <c r="F54" s="9">
        <f t="shared" si="2"/>
        <v>43000</v>
      </c>
      <c r="G54" s="9">
        <f t="shared" si="2"/>
        <v>107500</v>
      </c>
      <c r="H54" s="9">
        <f t="shared" si="2"/>
        <v>0</v>
      </c>
      <c r="I54" s="9">
        <f>SUM(I5:I52)</f>
        <v>609500</v>
      </c>
      <c r="J54" s="9">
        <f>SUM(J5:J51)</f>
        <v>1980000</v>
      </c>
      <c r="K54" s="9">
        <f>SUM(K5:K51)</f>
        <v>59400</v>
      </c>
    </row>
  </sheetData>
  <autoFilter ref="A4:L50">
    <filterColumn colId="8"/>
    <filterColumn colId="9"/>
    <filterColumn colId="10"/>
    <filterColumn colId="11"/>
  </autoFilter>
  <dataValidations count="1">
    <dataValidation type="list" allowBlank="1" showInputMessage="1" showErrorMessage="1" promptTitle="Saissisez le mode de VERSEMENT" sqref="E5:E51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L54"/>
  <sheetViews>
    <sheetView workbookViewId="0">
      <pane xSplit="2" ySplit="4" topLeftCell="I29" activePane="bottomRight" state="frozen"/>
      <selection activeCell="B22" sqref="B22"/>
      <selection pane="topRight" activeCell="B22" sqref="B22"/>
      <selection pane="bottomLeft" activeCell="B22" sqref="B22"/>
      <selection pane="bottomRight" activeCell="A42" sqref="A42:XFD42"/>
    </sheetView>
  </sheetViews>
  <sheetFormatPr baseColWidth="10" defaultRowHeight="15"/>
  <cols>
    <col min="1" max="1" width="13.85546875" customWidth="1"/>
    <col min="2" max="2" width="29.5703125" bestFit="1" customWidth="1"/>
    <col min="3" max="3" width="15" style="2" bestFit="1" customWidth="1"/>
    <col min="4" max="4" width="12.5703125" bestFit="1" customWidth="1"/>
    <col min="5" max="5" width="17.5703125" style="3" bestFit="1" customWidth="1"/>
    <col min="6" max="6" width="15.7109375" style="2" customWidth="1"/>
    <col min="7" max="7" width="14.7109375" style="2" customWidth="1"/>
    <col min="8" max="8" width="18.140625" style="2" bestFit="1" customWidth="1"/>
    <col min="9" max="9" width="18.140625" customWidth="1"/>
    <col min="10" max="10" width="15" bestFit="1" customWidth="1"/>
    <col min="11" max="11" width="12.5703125" bestFit="1" customWidth="1"/>
    <col min="12" max="12" width="18.140625" customWidth="1"/>
  </cols>
  <sheetData>
    <row r="1" spans="1:12">
      <c r="A1" s="1" t="s">
        <v>0</v>
      </c>
      <c r="B1" s="1" t="s">
        <v>1</v>
      </c>
    </row>
    <row r="2" spans="1:12">
      <c r="A2" s="1" t="s">
        <v>2</v>
      </c>
      <c r="B2" s="1" t="s">
        <v>3</v>
      </c>
    </row>
    <row r="3" spans="1:12">
      <c r="A3" s="1" t="s">
        <v>4</v>
      </c>
      <c r="B3" s="1" t="s">
        <v>5</v>
      </c>
    </row>
    <row r="4" spans="1:12" ht="29.25">
      <c r="A4" s="1" t="s">
        <v>6</v>
      </c>
      <c r="B4" s="1" t="s">
        <v>7</v>
      </c>
      <c r="C4" s="5" t="s">
        <v>65</v>
      </c>
      <c r="D4" s="1" t="s">
        <v>57</v>
      </c>
      <c r="E4" s="5" t="s">
        <v>58</v>
      </c>
      <c r="F4" s="5" t="s">
        <v>59</v>
      </c>
      <c r="G4" s="5" t="s">
        <v>60</v>
      </c>
      <c r="H4" s="5" t="s">
        <v>61</v>
      </c>
      <c r="I4" s="5" t="s">
        <v>62</v>
      </c>
      <c r="J4" s="5" t="s">
        <v>63</v>
      </c>
      <c r="K4" s="5" t="s">
        <v>64</v>
      </c>
      <c r="L4" s="5" t="s">
        <v>8</v>
      </c>
    </row>
    <row r="5" spans="1:12">
      <c r="A5" s="1" t="s">
        <v>11</v>
      </c>
      <c r="B5" s="1" t="str">
        <f>VLOOKUP(A5,LISTADHERENT!A$5:H$51,2)</f>
        <v>BAKOP ACHILLE</v>
      </c>
      <c r="C5" s="7">
        <f t="shared" ref="C5:C51" si="0">D5+E5+F5+G5+H5+I5</f>
        <v>20000</v>
      </c>
      <c r="D5" s="7">
        <v>3000</v>
      </c>
      <c r="E5" s="7">
        <v>500</v>
      </c>
      <c r="F5" s="7">
        <v>1000</v>
      </c>
      <c r="G5" s="7">
        <v>2500</v>
      </c>
      <c r="H5" s="7"/>
      <c r="I5" s="7">
        <v>13000</v>
      </c>
      <c r="J5" s="7"/>
      <c r="K5" s="7">
        <f>IF(J5&lt;=500000,(J5*1*3/100),(J5*12/100))</f>
        <v>0</v>
      </c>
    </row>
    <row r="6" spans="1:12">
      <c r="A6" s="1" t="s">
        <v>12</v>
      </c>
      <c r="B6" s="1" t="str">
        <f>VLOOKUP(A6,LISTADHERENT!A$5:H$51,2)</f>
        <v>BOUTCHOUANG WILLIAM</v>
      </c>
      <c r="C6" s="7">
        <f t="shared" si="0"/>
        <v>20000</v>
      </c>
      <c r="D6" s="7">
        <v>3000</v>
      </c>
      <c r="E6" s="7">
        <v>500</v>
      </c>
      <c r="F6" s="7">
        <v>1000</v>
      </c>
      <c r="G6" s="7">
        <v>2500</v>
      </c>
      <c r="H6" s="7"/>
      <c r="I6" s="7">
        <v>13000</v>
      </c>
      <c r="J6" s="7"/>
      <c r="K6" s="7">
        <f t="shared" ref="K6:K52" si="1">IF(J6&lt;=500000,(J6*1*3/100),(J6*12/100))</f>
        <v>0</v>
      </c>
    </row>
    <row r="7" spans="1:12">
      <c r="A7" s="1" t="s">
        <v>13</v>
      </c>
      <c r="B7" s="1" t="str">
        <f>VLOOKUP(A7,LISTADHERENT!A$5:H$51,2)</f>
        <v>CHINGUE FABRICE</v>
      </c>
      <c r="C7" s="7">
        <f t="shared" si="0"/>
        <v>20000</v>
      </c>
      <c r="D7" s="7">
        <v>3000</v>
      </c>
      <c r="E7" s="7">
        <v>500</v>
      </c>
      <c r="F7" s="7">
        <v>1000</v>
      </c>
      <c r="G7" s="7">
        <v>2500</v>
      </c>
      <c r="H7" s="7"/>
      <c r="I7" s="7">
        <v>13000</v>
      </c>
      <c r="K7" s="7">
        <f t="shared" si="1"/>
        <v>0</v>
      </c>
    </row>
    <row r="8" spans="1:12">
      <c r="A8" s="1" t="s">
        <v>14</v>
      </c>
      <c r="B8" s="1" t="str">
        <f>VLOOKUP(A8,LISTADHERENT!A$5:H$51,2)</f>
        <v xml:space="preserve">DJOMO JEAN PAUL </v>
      </c>
      <c r="C8" s="7">
        <f t="shared" si="0"/>
        <v>20000</v>
      </c>
      <c r="D8" s="7">
        <v>3000</v>
      </c>
      <c r="E8" s="7">
        <v>500</v>
      </c>
      <c r="F8" s="7">
        <v>1000</v>
      </c>
      <c r="G8" s="7">
        <v>2500</v>
      </c>
      <c r="H8" s="7"/>
      <c r="I8" s="7">
        <v>13000</v>
      </c>
      <c r="K8" s="7">
        <f t="shared" si="1"/>
        <v>0</v>
      </c>
    </row>
    <row r="9" spans="1:12">
      <c r="A9" s="1" t="s">
        <v>15</v>
      </c>
      <c r="B9" s="1" t="str">
        <f>VLOOKUP(A9,LISTADHERENT!A$5:H$51,2)</f>
        <v>DJOUKWE GUY</v>
      </c>
      <c r="C9" s="7">
        <f t="shared" si="0"/>
        <v>25000</v>
      </c>
      <c r="D9" s="7">
        <v>8000</v>
      </c>
      <c r="E9" s="7">
        <v>500</v>
      </c>
      <c r="F9" s="7">
        <v>1000</v>
      </c>
      <c r="G9" s="7">
        <v>2500</v>
      </c>
      <c r="H9" s="7"/>
      <c r="I9" s="7">
        <v>13000</v>
      </c>
      <c r="K9" s="7">
        <f t="shared" si="1"/>
        <v>0</v>
      </c>
    </row>
    <row r="10" spans="1:12">
      <c r="A10" s="1" t="s">
        <v>16</v>
      </c>
      <c r="B10" s="1" t="str">
        <f>VLOOKUP(A10,LISTADHERENT!A$5:H$51,2)</f>
        <v>DJOSSEU JOSUE</v>
      </c>
      <c r="C10" s="7">
        <f t="shared" si="0"/>
        <v>0</v>
      </c>
      <c r="D10" s="7"/>
      <c r="E10" s="7"/>
      <c r="F10" s="7"/>
      <c r="G10" s="7"/>
      <c r="H10" s="7"/>
      <c r="I10" s="7"/>
      <c r="K10" s="7">
        <f t="shared" si="1"/>
        <v>0</v>
      </c>
    </row>
    <row r="11" spans="1:12">
      <c r="A11" s="1" t="s">
        <v>17</v>
      </c>
      <c r="B11" s="1" t="str">
        <f>VLOOKUP(A11,LISTADHERENT!A$5:H$51,2)</f>
        <v>DJOUNKEP SAMUEL</v>
      </c>
      <c r="C11" s="7">
        <f t="shared" si="0"/>
        <v>20000</v>
      </c>
      <c r="D11" s="7">
        <v>3000</v>
      </c>
      <c r="E11" s="7">
        <v>500</v>
      </c>
      <c r="F11" s="7">
        <v>1000</v>
      </c>
      <c r="G11" s="7">
        <v>2500</v>
      </c>
      <c r="H11" s="7"/>
      <c r="I11" s="7">
        <v>13000</v>
      </c>
      <c r="K11" s="7">
        <f t="shared" si="1"/>
        <v>0</v>
      </c>
    </row>
    <row r="12" spans="1:12">
      <c r="A12" s="1" t="s">
        <v>18</v>
      </c>
      <c r="B12" s="1" t="str">
        <f>VLOOKUP(A12,LISTADHERENT!A$5:H$51,2)</f>
        <v>DJUOMBESSY ANTOINE</v>
      </c>
      <c r="C12" s="7">
        <f t="shared" si="0"/>
        <v>20000</v>
      </c>
      <c r="D12" s="7">
        <v>3000</v>
      </c>
      <c r="E12" s="7">
        <v>500</v>
      </c>
      <c r="F12" s="7">
        <v>1000</v>
      </c>
      <c r="G12" s="7">
        <v>2500</v>
      </c>
      <c r="H12" s="7"/>
      <c r="I12" s="7">
        <v>13000</v>
      </c>
      <c r="K12" s="7">
        <f t="shared" si="1"/>
        <v>0</v>
      </c>
    </row>
    <row r="13" spans="1:12">
      <c r="A13" s="1" t="s">
        <v>19</v>
      </c>
      <c r="B13" s="1" t="str">
        <f>VLOOKUP(A13,LISTADHERENT!A$5:H$51,2)</f>
        <v>DONHOU DAVID</v>
      </c>
      <c r="C13" s="7">
        <f t="shared" si="0"/>
        <v>20000</v>
      </c>
      <c r="D13" s="7">
        <v>3000</v>
      </c>
      <c r="E13" s="7">
        <v>500</v>
      </c>
      <c r="F13" s="7">
        <v>1000</v>
      </c>
      <c r="G13" s="7">
        <v>2500</v>
      </c>
      <c r="H13" s="7"/>
      <c r="I13" s="7">
        <v>13000</v>
      </c>
      <c r="K13" s="7">
        <f t="shared" si="1"/>
        <v>0</v>
      </c>
    </row>
    <row r="14" spans="1:12">
      <c r="A14" s="1" t="s">
        <v>20</v>
      </c>
      <c r="B14" s="1" t="str">
        <f>VLOOKUP(A14,LISTADHERENT!A$5:H$51,2)</f>
        <v>FOTSO THOMAS</v>
      </c>
      <c r="C14" s="7">
        <f t="shared" si="0"/>
        <v>20000</v>
      </c>
      <c r="D14" s="7">
        <v>3000</v>
      </c>
      <c r="E14" s="7">
        <v>500</v>
      </c>
      <c r="F14" s="7">
        <v>1000</v>
      </c>
      <c r="G14" s="7">
        <v>2500</v>
      </c>
      <c r="H14" s="7"/>
      <c r="I14" s="7">
        <v>13000</v>
      </c>
      <c r="J14" s="7">
        <v>1000000</v>
      </c>
      <c r="K14" s="7">
        <f t="shared" si="1"/>
        <v>120000</v>
      </c>
    </row>
    <row r="15" spans="1:12">
      <c r="A15" s="1" t="s">
        <v>21</v>
      </c>
      <c r="B15" s="1" t="str">
        <f>VLOOKUP(A15,LISTADHERENT!A$5:H$51,2)</f>
        <v>HENGUE PAUL OMER</v>
      </c>
      <c r="C15" s="7">
        <f t="shared" si="0"/>
        <v>20000</v>
      </c>
      <c r="D15" s="7">
        <v>3000</v>
      </c>
      <c r="E15" s="7">
        <v>500</v>
      </c>
      <c r="F15" s="7">
        <v>1000</v>
      </c>
      <c r="G15" s="7">
        <v>2500</v>
      </c>
      <c r="H15" s="7"/>
      <c r="I15" s="7">
        <v>13000</v>
      </c>
      <c r="K15" s="7">
        <f t="shared" si="1"/>
        <v>0</v>
      </c>
    </row>
    <row r="16" spans="1:12">
      <c r="A16" s="1" t="s">
        <v>22</v>
      </c>
      <c r="B16" s="1" t="str">
        <f>VLOOKUP(A16,LISTADHERENT!A$5:H$51,2)</f>
        <v>HODIEP JULES</v>
      </c>
      <c r="C16" s="7">
        <f t="shared" si="0"/>
        <v>20000</v>
      </c>
      <c r="D16" s="7">
        <v>3000</v>
      </c>
      <c r="E16" s="7">
        <v>500</v>
      </c>
      <c r="F16" s="7">
        <v>1000</v>
      </c>
      <c r="G16" s="7">
        <v>2500</v>
      </c>
      <c r="H16" s="7"/>
      <c r="I16" s="7">
        <v>13000</v>
      </c>
      <c r="K16" s="7">
        <f t="shared" si="1"/>
        <v>0</v>
      </c>
    </row>
    <row r="17" spans="1:11">
      <c r="A17" s="1" t="s">
        <v>23</v>
      </c>
      <c r="B17" s="1" t="str">
        <f>VLOOKUP(A17,LISTADHERENT!A$5:H$51,2)</f>
        <v>HOTCHO BENJAMIN</v>
      </c>
      <c r="C17" s="7">
        <f t="shared" si="0"/>
        <v>20000</v>
      </c>
      <c r="D17" s="7">
        <v>3000</v>
      </c>
      <c r="E17" s="7">
        <v>500</v>
      </c>
      <c r="F17" s="7">
        <v>1000</v>
      </c>
      <c r="G17" s="7">
        <v>2500</v>
      </c>
      <c r="H17" s="7"/>
      <c r="I17" s="7">
        <v>13000</v>
      </c>
      <c r="K17" s="7">
        <f t="shared" si="1"/>
        <v>0</v>
      </c>
    </row>
    <row r="18" spans="1:11">
      <c r="A18" s="1" t="s">
        <v>24</v>
      </c>
      <c r="B18" s="1" t="str">
        <f>VLOOKUP(A18,LISTADHERENT!A$5:H$51,2)</f>
        <v>KEPHE DAVID</v>
      </c>
      <c r="C18" s="7">
        <f t="shared" si="0"/>
        <v>20000</v>
      </c>
      <c r="D18" s="7">
        <v>3000</v>
      </c>
      <c r="E18" s="7">
        <v>500</v>
      </c>
      <c r="F18" s="7">
        <v>1000</v>
      </c>
      <c r="G18" s="7">
        <v>2500</v>
      </c>
      <c r="H18" s="7"/>
      <c r="I18" s="7">
        <v>13000</v>
      </c>
      <c r="K18" s="7">
        <f t="shared" si="1"/>
        <v>0</v>
      </c>
    </row>
    <row r="19" spans="1:11">
      <c r="A19" s="1" t="s">
        <v>25</v>
      </c>
      <c r="B19" s="1" t="str">
        <f>VLOOKUP(A19,LISTADHERENT!A$5:H$51,2)</f>
        <v>KEPSEU FRANCIS</v>
      </c>
      <c r="C19" s="7">
        <f t="shared" si="0"/>
        <v>363000</v>
      </c>
      <c r="D19" s="7">
        <v>346000</v>
      </c>
      <c r="E19" s="7">
        <v>500</v>
      </c>
      <c r="F19" s="7">
        <v>1000</v>
      </c>
      <c r="G19" s="7">
        <v>2500</v>
      </c>
      <c r="H19" s="7"/>
      <c r="I19" s="7">
        <v>13000</v>
      </c>
      <c r="K19" s="7">
        <f t="shared" si="1"/>
        <v>0</v>
      </c>
    </row>
    <row r="20" spans="1:11">
      <c r="A20" s="1" t="s">
        <v>26</v>
      </c>
      <c r="B20" s="1" t="str">
        <f>VLOOKUP(A20,LISTADHERENT!A$5:H$51,2)</f>
        <v>KOUAMOU EMMANUEL</v>
      </c>
      <c r="C20" s="7">
        <f t="shared" si="0"/>
        <v>20000</v>
      </c>
      <c r="D20" s="7">
        <v>3000</v>
      </c>
      <c r="E20" s="7">
        <v>500</v>
      </c>
      <c r="F20" s="7">
        <v>1000</v>
      </c>
      <c r="G20" s="7">
        <v>2500</v>
      </c>
      <c r="H20" s="7"/>
      <c r="I20" s="7">
        <v>13000</v>
      </c>
      <c r="K20" s="7">
        <f t="shared" si="1"/>
        <v>0</v>
      </c>
    </row>
    <row r="21" spans="1:11">
      <c r="A21" s="1" t="s">
        <v>27</v>
      </c>
      <c r="B21" s="1" t="str">
        <f>VLOOKUP(A21,LISTADHERENT!A$5:H$51,2)</f>
        <v>KOUAMOU MOISE</v>
      </c>
      <c r="C21" s="7">
        <f t="shared" si="0"/>
        <v>20000</v>
      </c>
      <c r="D21" s="7">
        <v>3000</v>
      </c>
      <c r="E21" s="7">
        <v>500</v>
      </c>
      <c r="F21" s="7">
        <v>1000</v>
      </c>
      <c r="G21" s="7">
        <v>2500</v>
      </c>
      <c r="H21" s="7"/>
      <c r="I21" s="7">
        <v>13000</v>
      </c>
      <c r="K21" s="7">
        <f t="shared" si="1"/>
        <v>0</v>
      </c>
    </row>
    <row r="22" spans="1:11">
      <c r="A22" s="1" t="s">
        <v>28</v>
      </c>
      <c r="B22" s="1" t="str">
        <f>VLOOKUP(A22,LISTADHERENT!A$5:H$51,2)</f>
        <v>KOUAMOU VICTOR PEGUY</v>
      </c>
      <c r="C22" s="7">
        <f t="shared" si="0"/>
        <v>20000</v>
      </c>
      <c r="D22" s="7">
        <v>3000</v>
      </c>
      <c r="E22" s="7">
        <v>500</v>
      </c>
      <c r="F22" s="7">
        <v>1000</v>
      </c>
      <c r="G22" s="7">
        <v>2500</v>
      </c>
      <c r="H22" s="7"/>
      <c r="I22" s="7">
        <v>13000</v>
      </c>
      <c r="K22" s="7">
        <f t="shared" si="1"/>
        <v>0</v>
      </c>
    </row>
    <row r="23" spans="1:11">
      <c r="A23" s="1" t="s">
        <v>29</v>
      </c>
      <c r="B23" s="1" t="str">
        <f>VLOOKUP(A23,LISTADHERENT!A$5:H$51,2)</f>
        <v>KOUATCHO MESSACK</v>
      </c>
      <c r="C23" s="7">
        <f t="shared" si="0"/>
        <v>20000</v>
      </c>
      <c r="D23" s="7">
        <v>3000</v>
      </c>
      <c r="E23" s="7">
        <v>500</v>
      </c>
      <c r="F23" s="7">
        <v>1000</v>
      </c>
      <c r="G23" s="7">
        <v>2500</v>
      </c>
      <c r="H23" s="7"/>
      <c r="I23" s="7">
        <v>13000</v>
      </c>
      <c r="J23" s="7">
        <v>1000000</v>
      </c>
      <c r="K23" s="7">
        <f t="shared" si="1"/>
        <v>120000</v>
      </c>
    </row>
    <row r="24" spans="1:11">
      <c r="A24" s="1" t="s">
        <v>30</v>
      </c>
      <c r="B24" s="1" t="str">
        <f>VLOOKUP(A24,LISTADHERENT!A$5:H$51,2)</f>
        <v>LOWE JEAN</v>
      </c>
      <c r="C24" s="7">
        <f t="shared" si="0"/>
        <v>20000</v>
      </c>
      <c r="D24" s="7">
        <v>3000</v>
      </c>
      <c r="E24" s="7">
        <v>500</v>
      </c>
      <c r="F24" s="7">
        <v>1000</v>
      </c>
      <c r="G24" s="7">
        <v>2500</v>
      </c>
      <c r="H24" s="7"/>
      <c r="I24" s="7">
        <v>13000</v>
      </c>
      <c r="K24" s="7">
        <f t="shared" si="1"/>
        <v>0</v>
      </c>
    </row>
    <row r="25" spans="1:11">
      <c r="A25" s="1" t="s">
        <v>31</v>
      </c>
      <c r="B25" s="1" t="str">
        <f>VLOOKUP(A25,LISTADHERENT!A$5:H$51,2)</f>
        <v>NANKAM APPOLINAIRE</v>
      </c>
      <c r="C25" s="7">
        <f t="shared" si="0"/>
        <v>20000</v>
      </c>
      <c r="D25" s="7">
        <v>3000</v>
      </c>
      <c r="E25" s="7">
        <v>500</v>
      </c>
      <c r="F25" s="7">
        <v>1000</v>
      </c>
      <c r="G25" s="7">
        <v>2500</v>
      </c>
      <c r="H25" s="7"/>
      <c r="I25" s="7">
        <v>13000</v>
      </c>
      <c r="K25" s="7">
        <f t="shared" si="1"/>
        <v>0</v>
      </c>
    </row>
    <row r="26" spans="1:11">
      <c r="A26" s="1" t="s">
        <v>32</v>
      </c>
      <c r="B26" s="1" t="str">
        <f>VLOOKUP(A26,LISTADHERENT!A$5:H$51,2)</f>
        <v>NDJOMO ETIENNE</v>
      </c>
      <c r="C26" s="7">
        <f t="shared" si="0"/>
        <v>25000</v>
      </c>
      <c r="D26" s="7">
        <v>8000</v>
      </c>
      <c r="E26" s="7">
        <v>500</v>
      </c>
      <c r="F26" s="7">
        <v>1000</v>
      </c>
      <c r="G26" s="7">
        <v>2500</v>
      </c>
      <c r="H26" s="7"/>
      <c r="I26" s="7">
        <v>13000</v>
      </c>
      <c r="J26" s="7"/>
      <c r="K26" s="7">
        <f t="shared" si="1"/>
        <v>0</v>
      </c>
    </row>
    <row r="27" spans="1:11">
      <c r="A27" s="1" t="s">
        <v>33</v>
      </c>
      <c r="B27" s="1" t="str">
        <f>VLOOKUP(A27,LISTADHERENT!A$5:H$51,2)</f>
        <v>NDOMBOU JEAN CLAUDE</v>
      </c>
      <c r="C27" s="7">
        <f t="shared" si="0"/>
        <v>0</v>
      </c>
      <c r="D27" s="7"/>
      <c r="E27" s="7"/>
      <c r="F27" s="7"/>
      <c r="G27" s="7"/>
      <c r="H27" s="7"/>
      <c r="I27" s="7"/>
      <c r="K27" s="7">
        <f t="shared" si="1"/>
        <v>0</v>
      </c>
    </row>
    <row r="28" spans="1:11">
      <c r="A28" s="1" t="s">
        <v>34</v>
      </c>
      <c r="B28" s="1" t="str">
        <f>VLOOKUP(A28,LISTADHERENT!A$5:H$51,2)</f>
        <v>NGONDIEP CLAUDE</v>
      </c>
      <c r="C28" s="7">
        <f t="shared" si="0"/>
        <v>20000</v>
      </c>
      <c r="D28" s="7">
        <v>3000</v>
      </c>
      <c r="E28" s="7">
        <v>500</v>
      </c>
      <c r="F28" s="7">
        <v>1000</v>
      </c>
      <c r="G28" s="7">
        <v>2500</v>
      </c>
      <c r="H28" s="7"/>
      <c r="I28" s="7">
        <v>13000</v>
      </c>
      <c r="K28" s="7">
        <f t="shared" si="1"/>
        <v>0</v>
      </c>
    </row>
    <row r="29" spans="1:11">
      <c r="A29" s="1" t="s">
        <v>35</v>
      </c>
      <c r="B29" s="1" t="str">
        <f>VLOOKUP(A29,LISTADHERENT!A$5:H$51,2)</f>
        <v>NGONGANG JEAN THEODORE</v>
      </c>
      <c r="C29" s="7">
        <f t="shared" si="0"/>
        <v>20000</v>
      </c>
      <c r="D29" s="7">
        <v>3000</v>
      </c>
      <c r="E29" s="7">
        <v>500</v>
      </c>
      <c r="F29" s="7">
        <v>1000</v>
      </c>
      <c r="G29" s="7">
        <v>2500</v>
      </c>
      <c r="H29" s="7"/>
      <c r="I29" s="7">
        <v>13000</v>
      </c>
      <c r="K29" s="7">
        <f t="shared" si="1"/>
        <v>0</v>
      </c>
    </row>
    <row r="30" spans="1:11">
      <c r="A30" s="1" t="s">
        <v>36</v>
      </c>
      <c r="B30" s="1" t="str">
        <f>VLOOKUP(A30,LISTADHERENT!A$5:H$51,2)</f>
        <v>NGUIEMEGNI MATHIEU BLAISE</v>
      </c>
      <c r="C30" s="7">
        <f t="shared" si="0"/>
        <v>20000</v>
      </c>
      <c r="D30" s="7">
        <v>3000</v>
      </c>
      <c r="E30" s="7">
        <v>500</v>
      </c>
      <c r="F30" s="7">
        <v>1000</v>
      </c>
      <c r="G30" s="7">
        <v>2500</v>
      </c>
      <c r="H30" s="7"/>
      <c r="I30" s="7">
        <v>13000</v>
      </c>
      <c r="K30" s="7">
        <f t="shared" si="1"/>
        <v>0</v>
      </c>
    </row>
    <row r="31" spans="1:11">
      <c r="A31" s="1" t="s">
        <v>37</v>
      </c>
      <c r="B31" s="1" t="str">
        <f>VLOOKUP(A31,LISTADHERENT!A$5:H$51,2)</f>
        <v>NJEPDJIO MBOUKAM DELUXE</v>
      </c>
      <c r="C31" s="7">
        <f t="shared" si="0"/>
        <v>23000</v>
      </c>
      <c r="D31" s="7">
        <v>6000</v>
      </c>
      <c r="E31" s="7">
        <v>500</v>
      </c>
      <c r="F31" s="7">
        <v>1000</v>
      </c>
      <c r="G31" s="7">
        <v>2500</v>
      </c>
      <c r="H31" s="7"/>
      <c r="I31" s="7">
        <v>13000</v>
      </c>
      <c r="K31" s="7">
        <f t="shared" si="1"/>
        <v>0</v>
      </c>
    </row>
    <row r="32" spans="1:11">
      <c r="A32" s="1" t="s">
        <v>38</v>
      </c>
      <c r="B32" s="1" t="str">
        <f>VLOOKUP(A32,LISTADHERENT!A$5:H$51,2)</f>
        <v>NKAMGANG JUSTIN DEJOLIE</v>
      </c>
      <c r="C32" s="7">
        <f t="shared" si="0"/>
        <v>23000</v>
      </c>
      <c r="D32" s="7">
        <v>6000</v>
      </c>
      <c r="E32" s="7">
        <v>500</v>
      </c>
      <c r="F32" s="7">
        <v>1000</v>
      </c>
      <c r="G32" s="7">
        <v>2500</v>
      </c>
      <c r="H32" s="7"/>
      <c r="I32" s="7">
        <v>13000</v>
      </c>
      <c r="J32" s="11"/>
      <c r="K32" s="7">
        <f t="shared" si="1"/>
        <v>0</v>
      </c>
    </row>
    <row r="33" spans="1:12" s="11" customFormat="1">
      <c r="A33" s="1" t="s">
        <v>39</v>
      </c>
      <c r="B33" s="1" t="str">
        <f>VLOOKUP(A33,LISTADHERENT!A$5:H$51,2)</f>
        <v>NKEPSEU DIEUDONNE</v>
      </c>
      <c r="C33" s="10">
        <f>D33+E33+F33+G33+H33+I33</f>
        <v>25000</v>
      </c>
      <c r="D33" s="7">
        <v>8000</v>
      </c>
      <c r="E33" s="7">
        <v>500</v>
      </c>
      <c r="F33" s="7">
        <v>1000</v>
      </c>
      <c r="G33" s="7">
        <v>2500</v>
      </c>
      <c r="H33" s="7"/>
      <c r="I33" s="7">
        <v>13000</v>
      </c>
      <c r="J33"/>
      <c r="K33" s="7">
        <f t="shared" si="1"/>
        <v>0</v>
      </c>
    </row>
    <row r="34" spans="1:12">
      <c r="A34" s="1" t="s">
        <v>40</v>
      </c>
      <c r="B34" s="1" t="str">
        <f>VLOOKUP(A34,LISTADHERENT!A$5:H$51,2)</f>
        <v>NKEPSEU HENANG RENE</v>
      </c>
      <c r="C34" s="7">
        <f t="shared" si="0"/>
        <v>20000</v>
      </c>
      <c r="D34" s="7">
        <v>3000</v>
      </c>
      <c r="E34" s="7">
        <v>500</v>
      </c>
      <c r="F34" s="7">
        <v>1000</v>
      </c>
      <c r="G34" s="7">
        <v>2500</v>
      </c>
      <c r="H34" s="7"/>
      <c r="I34" s="7">
        <v>13000</v>
      </c>
      <c r="K34" s="7">
        <f t="shared" si="1"/>
        <v>0</v>
      </c>
    </row>
    <row r="35" spans="1:12">
      <c r="A35" s="1" t="s">
        <v>41</v>
      </c>
      <c r="B35" s="1" t="str">
        <f>VLOOKUP(A35,LISTADHERENT!A$5:H$51,2)</f>
        <v>NTEPDIE TUEMAC MZ</v>
      </c>
      <c r="C35" s="7">
        <f t="shared" si="0"/>
        <v>0</v>
      </c>
      <c r="D35" s="7"/>
      <c r="E35" s="7"/>
      <c r="F35" s="7"/>
      <c r="G35" s="7"/>
      <c r="H35" s="7"/>
      <c r="I35" s="7"/>
      <c r="K35" s="7">
        <f t="shared" si="1"/>
        <v>0</v>
      </c>
    </row>
    <row r="36" spans="1:12">
      <c r="A36" s="1" t="s">
        <v>42</v>
      </c>
      <c r="B36" s="1" t="str">
        <f>VLOOKUP(A36,LISTADHERENT!A$5:H$51,2)</f>
        <v>NTOMBOU ADOLPHE</v>
      </c>
      <c r="C36" s="7">
        <f t="shared" si="0"/>
        <v>20000</v>
      </c>
      <c r="D36" s="7">
        <v>3000</v>
      </c>
      <c r="E36" s="7">
        <v>500</v>
      </c>
      <c r="F36" s="7">
        <v>1000</v>
      </c>
      <c r="G36" s="7">
        <v>2500</v>
      </c>
      <c r="H36" s="7"/>
      <c r="I36" s="7">
        <v>13000</v>
      </c>
      <c r="K36" s="7">
        <f t="shared" si="1"/>
        <v>0</v>
      </c>
    </row>
    <row r="37" spans="1:12">
      <c r="A37" s="1" t="s">
        <v>43</v>
      </c>
      <c r="B37" s="1" t="str">
        <f>VLOOKUP(A37,LISTADHERENT!A$5:H$51,2)</f>
        <v>PATEGO NJOSSU GUSTAVE</v>
      </c>
      <c r="C37" s="7">
        <f t="shared" si="0"/>
        <v>20000</v>
      </c>
      <c r="D37" s="7">
        <v>3000</v>
      </c>
      <c r="E37" s="7">
        <v>500</v>
      </c>
      <c r="F37" s="7">
        <v>1000</v>
      </c>
      <c r="G37" s="7">
        <v>2500</v>
      </c>
      <c r="H37" s="7"/>
      <c r="I37" s="7">
        <v>13000</v>
      </c>
      <c r="K37" s="7">
        <f t="shared" si="1"/>
        <v>0</v>
      </c>
    </row>
    <row r="38" spans="1:12">
      <c r="A38" s="1" t="s">
        <v>44</v>
      </c>
      <c r="B38" s="1" t="str">
        <f>VLOOKUP(A38,LISTADHERENT!A$5:H$51,2)</f>
        <v>SEUNOU RICHELOT</v>
      </c>
      <c r="C38" s="7">
        <f t="shared" si="0"/>
        <v>20000</v>
      </c>
      <c r="D38" s="7">
        <v>3000</v>
      </c>
      <c r="E38" s="7">
        <v>500</v>
      </c>
      <c r="F38" s="7">
        <v>1000</v>
      </c>
      <c r="G38" s="7">
        <v>2500</v>
      </c>
      <c r="H38" s="7"/>
      <c r="I38" s="7">
        <v>13000</v>
      </c>
      <c r="K38" s="7">
        <f t="shared" si="1"/>
        <v>0</v>
      </c>
    </row>
    <row r="39" spans="1:12">
      <c r="A39" s="1" t="s">
        <v>45</v>
      </c>
      <c r="B39" s="1" t="str">
        <f>VLOOKUP(A39,LISTADHERENT!A$5:H$51,2)</f>
        <v>SIME ABEL</v>
      </c>
      <c r="C39" s="7">
        <f t="shared" si="0"/>
        <v>20000</v>
      </c>
      <c r="D39" s="7">
        <v>3000</v>
      </c>
      <c r="E39" s="7">
        <v>500</v>
      </c>
      <c r="F39" s="7">
        <v>1000</v>
      </c>
      <c r="G39" s="7">
        <v>2500</v>
      </c>
      <c r="H39" s="7"/>
      <c r="I39" s="7">
        <v>13000</v>
      </c>
      <c r="K39" s="7">
        <f t="shared" si="1"/>
        <v>0</v>
      </c>
    </row>
    <row r="40" spans="1:12">
      <c r="A40" s="1" t="s">
        <v>46</v>
      </c>
      <c r="B40" s="1" t="str">
        <f>VLOOKUP(A40,LISTADHERENT!A$5:H$51,2)</f>
        <v>SIME FONGANG ERIC</v>
      </c>
      <c r="C40" s="7">
        <f t="shared" si="0"/>
        <v>20000</v>
      </c>
      <c r="D40" s="7">
        <v>3000</v>
      </c>
      <c r="E40" s="7">
        <v>500</v>
      </c>
      <c r="F40" s="7">
        <v>1000</v>
      </c>
      <c r="G40" s="7">
        <v>2500</v>
      </c>
      <c r="H40" s="7"/>
      <c r="I40" s="7">
        <v>13000</v>
      </c>
      <c r="K40" s="7">
        <f t="shared" si="1"/>
        <v>0</v>
      </c>
    </row>
    <row r="41" spans="1:12">
      <c r="A41" s="1" t="s">
        <v>47</v>
      </c>
      <c r="B41" s="1" t="str">
        <f>VLOOKUP(A41,LISTADHERENT!A$5:H$51,2)</f>
        <v>SIME MATHIEU</v>
      </c>
      <c r="C41" s="7">
        <f t="shared" si="0"/>
        <v>20000</v>
      </c>
      <c r="D41" s="7">
        <v>3000</v>
      </c>
      <c r="E41" s="7">
        <v>500</v>
      </c>
      <c r="F41" s="7">
        <v>1000</v>
      </c>
      <c r="G41" s="7">
        <v>2500</v>
      </c>
      <c r="H41" s="7"/>
      <c r="I41" s="7">
        <v>13000</v>
      </c>
      <c r="K41" s="7">
        <f t="shared" si="1"/>
        <v>0</v>
      </c>
    </row>
    <row r="42" spans="1:12">
      <c r="A42" s="1" t="s">
        <v>48</v>
      </c>
      <c r="B42" s="1" t="str">
        <f>VLOOKUP(A42,LISTADHERENT!A$5:H$51,2)</f>
        <v>SIME PIERRE</v>
      </c>
      <c r="C42" s="7">
        <f t="shared" si="0"/>
        <v>20000</v>
      </c>
      <c r="D42" s="7">
        <v>3000</v>
      </c>
      <c r="E42" s="7">
        <v>500</v>
      </c>
      <c r="F42" s="7">
        <v>1000</v>
      </c>
      <c r="G42" s="7">
        <v>2500</v>
      </c>
      <c r="H42" s="7"/>
      <c r="I42" s="7">
        <v>13000</v>
      </c>
      <c r="J42" s="7">
        <v>200000</v>
      </c>
      <c r="K42" s="7">
        <f t="shared" si="1"/>
        <v>6000</v>
      </c>
      <c r="L42" s="7">
        <v>200000</v>
      </c>
    </row>
    <row r="43" spans="1:12">
      <c r="A43" s="1" t="s">
        <v>49</v>
      </c>
      <c r="B43" s="1" t="str">
        <f>VLOOKUP(A43,LISTADHERENT!A$5:H$51,2)</f>
        <v>TAGNE NANGUEN MARTIN</v>
      </c>
      <c r="C43" s="7">
        <f t="shared" si="0"/>
        <v>20000</v>
      </c>
      <c r="D43" s="7">
        <v>3000</v>
      </c>
      <c r="E43" s="7">
        <v>500</v>
      </c>
      <c r="F43" s="7">
        <v>1000</v>
      </c>
      <c r="G43" s="7">
        <v>2500</v>
      </c>
      <c r="H43" s="7"/>
      <c r="I43" s="7">
        <v>13000</v>
      </c>
      <c r="K43" s="7">
        <f t="shared" si="1"/>
        <v>0</v>
      </c>
    </row>
    <row r="44" spans="1:12">
      <c r="A44" s="1" t="s">
        <v>50</v>
      </c>
      <c r="B44" s="1" t="str">
        <f>VLOOKUP(A44,LISTADHERENT!A$5:H$51,2)</f>
        <v>TCHOUAMOU JEAN PAUL</v>
      </c>
      <c r="C44" s="7">
        <f t="shared" si="0"/>
        <v>20000</v>
      </c>
      <c r="D44" s="7">
        <v>3000</v>
      </c>
      <c r="E44" s="7">
        <v>500</v>
      </c>
      <c r="F44" s="7">
        <v>1000</v>
      </c>
      <c r="G44" s="7">
        <v>2500</v>
      </c>
      <c r="H44" s="7"/>
      <c r="I44" s="7">
        <v>13000</v>
      </c>
      <c r="K44" s="7">
        <f t="shared" si="1"/>
        <v>0</v>
      </c>
    </row>
    <row r="45" spans="1:12">
      <c r="A45" s="1" t="s">
        <v>51</v>
      </c>
      <c r="B45" s="1" t="str">
        <f>VLOOKUP(A45,LISTADHERENT!A$5:H$51,2)</f>
        <v>TCHOUAMOU MATHIEU</v>
      </c>
      <c r="C45" s="7">
        <f t="shared" si="0"/>
        <v>20000</v>
      </c>
      <c r="D45" s="7">
        <v>3000</v>
      </c>
      <c r="E45" s="7">
        <v>500</v>
      </c>
      <c r="F45" s="7">
        <v>1000</v>
      </c>
      <c r="G45" s="7">
        <v>2500</v>
      </c>
      <c r="H45" s="7"/>
      <c r="I45" s="7">
        <v>13000</v>
      </c>
      <c r="J45" s="7"/>
      <c r="K45" s="7">
        <f t="shared" si="1"/>
        <v>0</v>
      </c>
    </row>
    <row r="46" spans="1:12">
      <c r="A46" s="1" t="s">
        <v>52</v>
      </c>
      <c r="B46" s="1" t="str">
        <f>VLOOKUP(A46,LISTADHERENT!A$5:H$51,2)</f>
        <v>TCHOUANTE FRANCOIS</v>
      </c>
      <c r="C46" s="7">
        <f t="shared" si="0"/>
        <v>23000</v>
      </c>
      <c r="D46" s="7">
        <v>6000</v>
      </c>
      <c r="E46" s="7">
        <v>500</v>
      </c>
      <c r="F46" s="7">
        <v>1000</v>
      </c>
      <c r="G46" s="7">
        <v>2500</v>
      </c>
      <c r="H46" s="7"/>
      <c r="I46" s="7">
        <v>13000</v>
      </c>
      <c r="K46" s="7">
        <f t="shared" si="1"/>
        <v>0</v>
      </c>
    </row>
    <row r="47" spans="1:12">
      <c r="A47" s="1" t="s">
        <v>53</v>
      </c>
      <c r="B47" s="1" t="str">
        <f>VLOOKUP(A47,LISTADHERENT!A$5:H$51,2)</f>
        <v>TCHOUTOU NANA CLAUDE</v>
      </c>
      <c r="C47" s="7">
        <f t="shared" si="0"/>
        <v>20000</v>
      </c>
      <c r="D47" s="7">
        <v>3000</v>
      </c>
      <c r="E47" s="7">
        <v>500</v>
      </c>
      <c r="F47" s="7">
        <v>1000</v>
      </c>
      <c r="G47" s="7">
        <v>2500</v>
      </c>
      <c r="H47" s="7"/>
      <c r="I47" s="7">
        <v>13000</v>
      </c>
      <c r="K47" s="7">
        <f t="shared" si="1"/>
        <v>0</v>
      </c>
    </row>
    <row r="48" spans="1:12">
      <c r="A48" s="1" t="s">
        <v>54</v>
      </c>
      <c r="B48" s="1" t="str">
        <f>VLOOKUP(A48,LISTADHERENT!A$5:H$51,2)</f>
        <v>TIEYAM ERNEST</v>
      </c>
      <c r="C48" s="7">
        <f t="shared" si="0"/>
        <v>20000</v>
      </c>
      <c r="D48" s="7">
        <v>3000</v>
      </c>
      <c r="E48" s="7">
        <v>500</v>
      </c>
      <c r="F48" s="7">
        <v>1000</v>
      </c>
      <c r="G48" s="7">
        <v>2500</v>
      </c>
      <c r="H48" s="7"/>
      <c r="I48" s="7">
        <v>13000</v>
      </c>
      <c r="K48" s="7">
        <f t="shared" si="1"/>
        <v>0</v>
      </c>
    </row>
    <row r="49" spans="1:12">
      <c r="A49" s="1" t="s">
        <v>55</v>
      </c>
      <c r="B49" s="1" t="str">
        <f>VLOOKUP(A49,LISTADHERENT!A$5:H$51,2)</f>
        <v>TUGMA PIERRE LOTI</v>
      </c>
      <c r="C49" s="7">
        <f t="shared" si="0"/>
        <v>20000</v>
      </c>
      <c r="D49" s="7">
        <v>3000</v>
      </c>
      <c r="E49" s="7">
        <v>500</v>
      </c>
      <c r="F49" s="7">
        <v>1000</v>
      </c>
      <c r="G49" s="7">
        <v>2500</v>
      </c>
      <c r="H49" s="7"/>
      <c r="I49" s="7">
        <v>13000</v>
      </c>
      <c r="K49" s="7">
        <f t="shared" si="1"/>
        <v>0</v>
      </c>
    </row>
    <row r="50" spans="1:12" ht="18">
      <c r="A50" s="1" t="s">
        <v>66</v>
      </c>
      <c r="B50" s="1" t="str">
        <f>VLOOKUP(A50,LISTADHERENT!A$5:H$51,2)</f>
        <v>YEPMOU JEAN JACQUES</v>
      </c>
      <c r="C50" s="7">
        <f t="shared" si="0"/>
        <v>20000</v>
      </c>
      <c r="D50" s="7">
        <v>3000</v>
      </c>
      <c r="E50" s="7">
        <v>500</v>
      </c>
      <c r="F50" s="7">
        <v>1000</v>
      </c>
      <c r="G50" s="7">
        <v>2500</v>
      </c>
      <c r="H50" s="7"/>
      <c r="I50" s="7">
        <v>13000</v>
      </c>
      <c r="J50" s="9"/>
      <c r="K50" s="7">
        <f t="shared" si="1"/>
        <v>0</v>
      </c>
    </row>
    <row r="51" spans="1:12">
      <c r="A51" s="1" t="s">
        <v>178</v>
      </c>
      <c r="B51" s="1" t="str">
        <f>VLOOKUP(A51,LISTADHERENT!A$5:H$51,2)</f>
        <v>YOUMBI EMMANUEL</v>
      </c>
      <c r="C51" s="7">
        <f t="shared" si="0"/>
        <v>20000</v>
      </c>
      <c r="D51" s="7">
        <v>3000</v>
      </c>
      <c r="E51" s="7">
        <v>500</v>
      </c>
      <c r="F51" s="7">
        <v>1000</v>
      </c>
      <c r="G51" s="7">
        <v>2500</v>
      </c>
      <c r="I51" s="7">
        <v>13000</v>
      </c>
      <c r="K51" s="7">
        <f t="shared" si="1"/>
        <v>0</v>
      </c>
    </row>
    <row r="52" spans="1:12" ht="18">
      <c r="A52" s="1"/>
      <c r="B52" s="1" t="s">
        <v>180</v>
      </c>
      <c r="E52" s="4"/>
      <c r="I52" s="7">
        <v>60500</v>
      </c>
      <c r="K52" s="7">
        <f t="shared" si="1"/>
        <v>0</v>
      </c>
      <c r="L52" s="9"/>
    </row>
    <row r="53" spans="1:12" ht="18">
      <c r="A53" s="1"/>
      <c r="B53" s="1"/>
      <c r="E53" s="4"/>
      <c r="L53" s="9"/>
    </row>
    <row r="54" spans="1:12" ht="18">
      <c r="A54" s="8" t="s">
        <v>56</v>
      </c>
      <c r="B54" s="8"/>
      <c r="C54" s="9">
        <f>SUM(C5:C52)</f>
        <v>1247000</v>
      </c>
      <c r="D54" s="9">
        <f t="shared" ref="D54:I54" si="2">SUM(D5:D52)</f>
        <v>499000</v>
      </c>
      <c r="E54" s="9">
        <f t="shared" si="2"/>
        <v>22000</v>
      </c>
      <c r="F54" s="9">
        <f t="shared" si="2"/>
        <v>44000</v>
      </c>
      <c r="G54" s="9">
        <f t="shared" si="2"/>
        <v>110000</v>
      </c>
      <c r="H54" s="9">
        <f t="shared" si="2"/>
        <v>0</v>
      </c>
      <c r="I54" s="9">
        <f t="shared" si="2"/>
        <v>632500</v>
      </c>
      <c r="J54" s="9">
        <f>SUM(J5:J51)</f>
        <v>2200000</v>
      </c>
      <c r="K54" s="9">
        <f>SUM(K5:K51)</f>
        <v>246000</v>
      </c>
    </row>
  </sheetData>
  <autoFilter ref="A4:L50">
    <filterColumn colId="8"/>
    <filterColumn colId="9"/>
    <filterColumn colId="10"/>
    <filterColumn colId="11"/>
  </autoFilter>
  <dataValidations count="1">
    <dataValidation type="list" allowBlank="1" showInputMessage="1" showErrorMessage="1" promptTitle="Saissisez le mode de VERSEMENT" sqref="E5:E51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L54"/>
  <sheetViews>
    <sheetView workbookViewId="0">
      <pane xSplit="2" ySplit="4" topLeftCell="H32" activePane="bottomRight" state="frozen"/>
      <selection activeCell="B22" sqref="B22"/>
      <selection pane="topRight" activeCell="B22" sqref="B22"/>
      <selection pane="bottomLeft" activeCell="B22" sqref="B22"/>
      <selection pane="bottomRight" activeCell="A42" sqref="A42:XFD42"/>
    </sheetView>
  </sheetViews>
  <sheetFormatPr baseColWidth="10" defaultRowHeight="15"/>
  <cols>
    <col min="1" max="1" width="13.85546875" customWidth="1"/>
    <col min="2" max="2" width="29.5703125" bestFit="1" customWidth="1"/>
    <col min="3" max="3" width="15" style="2" bestFit="1" customWidth="1"/>
    <col min="4" max="4" width="12.5703125" bestFit="1" customWidth="1"/>
    <col min="5" max="5" width="17.5703125" style="3" bestFit="1" customWidth="1"/>
    <col min="6" max="6" width="15.7109375" style="2" customWidth="1"/>
    <col min="7" max="7" width="14.7109375" style="2" customWidth="1"/>
    <col min="8" max="8" width="18.140625" style="2" bestFit="1" customWidth="1"/>
    <col min="9" max="9" width="18.140625" customWidth="1"/>
    <col min="10" max="10" width="15" bestFit="1" customWidth="1"/>
    <col min="11" max="11" width="12.5703125" bestFit="1" customWidth="1"/>
    <col min="12" max="12" width="18.140625" customWidth="1"/>
  </cols>
  <sheetData>
    <row r="1" spans="1:12">
      <c r="A1" s="1" t="s">
        <v>0</v>
      </c>
      <c r="B1" s="1" t="s">
        <v>1</v>
      </c>
    </row>
    <row r="2" spans="1:12">
      <c r="A2" s="1" t="s">
        <v>2</v>
      </c>
      <c r="B2" s="1" t="s">
        <v>3</v>
      </c>
    </row>
    <row r="3" spans="1:12">
      <c r="A3" s="1" t="s">
        <v>4</v>
      </c>
      <c r="B3" s="1" t="s">
        <v>5</v>
      </c>
    </row>
    <row r="4" spans="1:12" ht="29.25">
      <c r="A4" s="1" t="s">
        <v>6</v>
      </c>
      <c r="B4" s="1" t="s">
        <v>7</v>
      </c>
      <c r="C4" s="5" t="s">
        <v>65</v>
      </c>
      <c r="D4" s="1" t="s">
        <v>57</v>
      </c>
      <c r="E4" s="5" t="s">
        <v>58</v>
      </c>
      <c r="F4" s="5" t="s">
        <v>59</v>
      </c>
      <c r="G4" s="5" t="s">
        <v>60</v>
      </c>
      <c r="H4" s="5" t="s">
        <v>61</v>
      </c>
      <c r="I4" s="5" t="s">
        <v>62</v>
      </c>
      <c r="J4" s="5" t="s">
        <v>63</v>
      </c>
      <c r="K4" s="5" t="s">
        <v>64</v>
      </c>
      <c r="L4" s="5" t="s">
        <v>8</v>
      </c>
    </row>
    <row r="5" spans="1:12">
      <c r="A5" s="1" t="s">
        <v>11</v>
      </c>
      <c r="B5" s="1" t="str">
        <f>VLOOKUP(A5,LISTADHERENT!A$5:H$51,2)</f>
        <v>BAKOP ACHILLE</v>
      </c>
      <c r="C5" s="7">
        <f t="shared" ref="C5:C51" si="0">D5+E5+F5+G5+H5+I5</f>
        <v>20000</v>
      </c>
      <c r="D5" s="7">
        <v>3000</v>
      </c>
      <c r="E5" s="7">
        <v>500</v>
      </c>
      <c r="F5" s="7">
        <v>1000</v>
      </c>
      <c r="G5" s="7">
        <v>2500</v>
      </c>
      <c r="H5" s="7"/>
      <c r="I5" s="7">
        <v>13000</v>
      </c>
      <c r="J5" s="7"/>
      <c r="K5" s="7">
        <f>IF(J5&lt;=500000,(J5*1*3/100),(J5*12/100))</f>
        <v>0</v>
      </c>
    </row>
    <row r="6" spans="1:12">
      <c r="A6" s="1" t="s">
        <v>12</v>
      </c>
      <c r="B6" s="1" t="str">
        <f>VLOOKUP(A6,LISTADHERENT!A$5:H$51,2)</f>
        <v>BOUTCHOUANG WILLIAM</v>
      </c>
      <c r="C6" s="7">
        <f t="shared" si="0"/>
        <v>20000</v>
      </c>
      <c r="D6" s="7">
        <v>3000</v>
      </c>
      <c r="E6" s="7">
        <v>500</v>
      </c>
      <c r="F6" s="7">
        <v>1000</v>
      </c>
      <c r="G6" s="7">
        <v>2500</v>
      </c>
      <c r="H6" s="7"/>
      <c r="I6" s="7">
        <v>13000</v>
      </c>
      <c r="J6" s="7"/>
      <c r="K6" s="7">
        <f t="shared" ref="K6:K52" si="1">IF(J6&lt;=500000,(J6*1*3/100),(J6*12/100))</f>
        <v>0</v>
      </c>
    </row>
    <row r="7" spans="1:12">
      <c r="A7" s="1" t="s">
        <v>13</v>
      </c>
      <c r="B7" s="1" t="str">
        <f>VLOOKUP(A7,LISTADHERENT!A$5:H$51,2)</f>
        <v>CHINGUE FABRICE</v>
      </c>
      <c r="C7" s="7">
        <f t="shared" si="0"/>
        <v>20000</v>
      </c>
      <c r="D7" s="7">
        <v>3000</v>
      </c>
      <c r="E7" s="7">
        <v>500</v>
      </c>
      <c r="F7" s="7">
        <v>1000</v>
      </c>
      <c r="G7" s="7">
        <v>2500</v>
      </c>
      <c r="H7" s="7"/>
      <c r="I7" s="7">
        <v>13000</v>
      </c>
      <c r="K7" s="7">
        <f t="shared" si="1"/>
        <v>0</v>
      </c>
    </row>
    <row r="8" spans="1:12">
      <c r="A8" s="1" t="s">
        <v>14</v>
      </c>
      <c r="B8" s="1" t="str">
        <f>VLOOKUP(A8,LISTADHERENT!A$5:H$51,2)</f>
        <v xml:space="preserve">DJOMO JEAN PAUL </v>
      </c>
      <c r="C8" s="7">
        <f t="shared" si="0"/>
        <v>20000</v>
      </c>
      <c r="D8" s="7">
        <v>3000</v>
      </c>
      <c r="E8" s="7">
        <v>500</v>
      </c>
      <c r="F8" s="7">
        <v>1000</v>
      </c>
      <c r="G8" s="7">
        <v>2500</v>
      </c>
      <c r="H8" s="7"/>
      <c r="I8" s="7">
        <v>13000</v>
      </c>
      <c r="K8" s="7">
        <f t="shared" si="1"/>
        <v>0</v>
      </c>
    </row>
    <row r="9" spans="1:12">
      <c r="A9" s="1" t="s">
        <v>15</v>
      </c>
      <c r="B9" s="1" t="str">
        <f>VLOOKUP(A9,LISTADHERENT!A$5:H$51,2)</f>
        <v>DJOUKWE GUY</v>
      </c>
      <c r="C9" s="7">
        <f t="shared" si="0"/>
        <v>20000</v>
      </c>
      <c r="D9" s="7">
        <v>3000</v>
      </c>
      <c r="E9" s="7">
        <v>500</v>
      </c>
      <c r="F9" s="7">
        <v>1000</v>
      </c>
      <c r="G9" s="7">
        <v>2500</v>
      </c>
      <c r="H9" s="7"/>
      <c r="I9" s="7">
        <v>13000</v>
      </c>
      <c r="K9" s="7">
        <f t="shared" si="1"/>
        <v>0</v>
      </c>
    </row>
    <row r="10" spans="1:12">
      <c r="A10" s="1" t="s">
        <v>16</v>
      </c>
      <c r="B10" s="1" t="str">
        <f>VLOOKUP(A10,LISTADHERENT!A$5:H$51,2)</f>
        <v>DJOSSEU JOSUE</v>
      </c>
      <c r="C10" s="7">
        <f t="shared" si="0"/>
        <v>0</v>
      </c>
      <c r="D10" s="7"/>
      <c r="E10" s="7"/>
      <c r="F10" s="7"/>
      <c r="G10" s="7"/>
      <c r="H10" s="7"/>
      <c r="I10" s="7"/>
      <c r="K10" s="7">
        <f t="shared" si="1"/>
        <v>0</v>
      </c>
    </row>
    <row r="11" spans="1:12">
      <c r="A11" s="1" t="s">
        <v>17</v>
      </c>
      <c r="B11" s="1" t="str">
        <f>VLOOKUP(A11,LISTADHERENT!A$5:H$51,2)</f>
        <v>DJOUNKEP SAMUEL</v>
      </c>
      <c r="C11" s="7">
        <f t="shared" si="0"/>
        <v>520000</v>
      </c>
      <c r="D11" s="7">
        <v>503000</v>
      </c>
      <c r="E11" s="7">
        <v>500</v>
      </c>
      <c r="F11" s="7">
        <v>1000</v>
      </c>
      <c r="G11" s="7">
        <v>2500</v>
      </c>
      <c r="H11" s="7"/>
      <c r="I11" s="7">
        <v>13000</v>
      </c>
      <c r="K11" s="7">
        <f t="shared" si="1"/>
        <v>0</v>
      </c>
    </row>
    <row r="12" spans="1:12">
      <c r="A12" s="1" t="s">
        <v>18</v>
      </c>
      <c r="B12" s="1" t="str">
        <f>VLOOKUP(A12,LISTADHERENT!A$5:H$51,2)</f>
        <v>DJUOMBESSY ANTOINE</v>
      </c>
      <c r="C12" s="7">
        <f t="shared" si="0"/>
        <v>20000</v>
      </c>
      <c r="D12" s="7">
        <v>3000</v>
      </c>
      <c r="E12" s="7">
        <v>500</v>
      </c>
      <c r="F12" s="7">
        <v>1000</v>
      </c>
      <c r="G12" s="7">
        <v>2500</v>
      </c>
      <c r="H12" s="7"/>
      <c r="I12" s="7">
        <v>13000</v>
      </c>
      <c r="K12" s="7">
        <f t="shared" si="1"/>
        <v>0</v>
      </c>
    </row>
    <row r="13" spans="1:12">
      <c r="A13" s="1" t="s">
        <v>19</v>
      </c>
      <c r="B13" s="1" t="str">
        <f>VLOOKUP(A13,LISTADHERENT!A$5:H$51,2)</f>
        <v>DONHOU DAVID</v>
      </c>
      <c r="C13" s="7">
        <f t="shared" si="0"/>
        <v>20000</v>
      </c>
      <c r="D13" s="7">
        <v>3000</v>
      </c>
      <c r="E13" s="7">
        <v>500</v>
      </c>
      <c r="F13" s="7">
        <v>1000</v>
      </c>
      <c r="G13" s="7">
        <v>2500</v>
      </c>
      <c r="H13" s="7"/>
      <c r="I13" s="7">
        <v>13000</v>
      </c>
      <c r="K13" s="7">
        <f t="shared" si="1"/>
        <v>0</v>
      </c>
    </row>
    <row r="14" spans="1:12">
      <c r="A14" s="1" t="s">
        <v>20</v>
      </c>
      <c r="B14" s="1" t="str">
        <f>VLOOKUP(A14,LISTADHERENT!A$5:H$51,2)</f>
        <v>FOTSO THOMAS</v>
      </c>
      <c r="C14" s="7">
        <f t="shared" si="0"/>
        <v>20000</v>
      </c>
      <c r="D14" s="7">
        <v>3000</v>
      </c>
      <c r="E14" s="7">
        <v>500</v>
      </c>
      <c r="F14" s="7">
        <v>1000</v>
      </c>
      <c r="G14" s="7">
        <v>2500</v>
      </c>
      <c r="H14" s="7"/>
      <c r="I14" s="7">
        <v>13000</v>
      </c>
      <c r="K14" s="7">
        <f t="shared" si="1"/>
        <v>0</v>
      </c>
    </row>
    <row r="15" spans="1:12">
      <c r="A15" s="1" t="s">
        <v>21</v>
      </c>
      <c r="B15" s="1" t="str">
        <f>VLOOKUP(A15,LISTADHERENT!A$5:H$51,2)</f>
        <v>HENGUE PAUL OMER</v>
      </c>
      <c r="C15" s="7">
        <f t="shared" si="0"/>
        <v>20000</v>
      </c>
      <c r="D15" s="7">
        <v>3000</v>
      </c>
      <c r="E15" s="7">
        <v>500</v>
      </c>
      <c r="F15" s="7">
        <v>1000</v>
      </c>
      <c r="G15" s="7">
        <v>2500</v>
      </c>
      <c r="H15" s="7"/>
      <c r="I15" s="7">
        <v>13000</v>
      </c>
      <c r="K15" s="7">
        <f t="shared" si="1"/>
        <v>0</v>
      </c>
    </row>
    <row r="16" spans="1:12">
      <c r="A16" s="1" t="s">
        <v>22</v>
      </c>
      <c r="B16" s="1" t="str">
        <f>VLOOKUP(A16,LISTADHERENT!A$5:H$51,2)</f>
        <v>HODIEP JULES</v>
      </c>
      <c r="C16" s="7">
        <f t="shared" si="0"/>
        <v>20000</v>
      </c>
      <c r="D16" s="7">
        <v>3000</v>
      </c>
      <c r="E16" s="7">
        <v>500</v>
      </c>
      <c r="F16" s="7">
        <v>1000</v>
      </c>
      <c r="G16" s="7">
        <v>2500</v>
      </c>
      <c r="H16" s="7"/>
      <c r="I16" s="7">
        <v>13000</v>
      </c>
      <c r="K16" s="7">
        <f t="shared" si="1"/>
        <v>0</v>
      </c>
    </row>
    <row r="17" spans="1:11">
      <c r="A17" s="1" t="s">
        <v>23</v>
      </c>
      <c r="B17" s="1" t="str">
        <f>VLOOKUP(A17,LISTADHERENT!A$5:H$51,2)</f>
        <v>HOTCHO BENJAMIN</v>
      </c>
      <c r="C17" s="7">
        <f t="shared" si="0"/>
        <v>20000</v>
      </c>
      <c r="D17" s="7">
        <v>3000</v>
      </c>
      <c r="E17" s="7">
        <v>500</v>
      </c>
      <c r="F17" s="7">
        <v>1000</v>
      </c>
      <c r="G17" s="7">
        <v>2500</v>
      </c>
      <c r="H17" s="7"/>
      <c r="I17" s="7">
        <v>13000</v>
      </c>
      <c r="K17" s="7">
        <f t="shared" si="1"/>
        <v>0</v>
      </c>
    </row>
    <row r="18" spans="1:11">
      <c r="A18" s="1" t="s">
        <v>24</v>
      </c>
      <c r="B18" s="1" t="str">
        <f>VLOOKUP(A18,LISTADHERENT!A$5:H$51,2)</f>
        <v>KEPHE DAVID</v>
      </c>
      <c r="C18" s="7">
        <f t="shared" si="0"/>
        <v>20000</v>
      </c>
      <c r="D18" s="7">
        <v>3000</v>
      </c>
      <c r="E18" s="7">
        <v>500</v>
      </c>
      <c r="F18" s="7">
        <v>1000</v>
      </c>
      <c r="G18" s="7">
        <v>2500</v>
      </c>
      <c r="H18" s="7"/>
      <c r="I18" s="7">
        <v>13000</v>
      </c>
      <c r="K18" s="7">
        <f t="shared" si="1"/>
        <v>0</v>
      </c>
    </row>
    <row r="19" spans="1:11">
      <c r="A19" s="1" t="s">
        <v>25</v>
      </c>
      <c r="B19" s="1" t="str">
        <f>VLOOKUP(A19,LISTADHERENT!A$5:H$51,2)</f>
        <v>KEPSEU FRANCIS</v>
      </c>
      <c r="C19" s="7">
        <f t="shared" si="0"/>
        <v>23000</v>
      </c>
      <c r="D19" s="7">
        <v>6000</v>
      </c>
      <c r="E19" s="7">
        <v>500</v>
      </c>
      <c r="F19" s="7">
        <v>1000</v>
      </c>
      <c r="G19" s="7">
        <v>2500</v>
      </c>
      <c r="H19" s="7"/>
      <c r="I19" s="7">
        <v>13000</v>
      </c>
      <c r="K19" s="7">
        <f t="shared" si="1"/>
        <v>0</v>
      </c>
    </row>
    <row r="20" spans="1:11">
      <c r="A20" s="1" t="s">
        <v>26</v>
      </c>
      <c r="B20" s="1" t="str">
        <f>VLOOKUP(A20,LISTADHERENT!A$5:H$51,2)</f>
        <v>KOUAMOU EMMANUEL</v>
      </c>
      <c r="C20" s="7">
        <f t="shared" si="0"/>
        <v>20000</v>
      </c>
      <c r="D20" s="7">
        <v>3000</v>
      </c>
      <c r="E20" s="7">
        <v>500</v>
      </c>
      <c r="F20" s="7">
        <v>1000</v>
      </c>
      <c r="G20" s="7">
        <v>2500</v>
      </c>
      <c r="H20" s="7"/>
      <c r="I20" s="7">
        <v>13000</v>
      </c>
      <c r="K20" s="7">
        <f t="shared" si="1"/>
        <v>0</v>
      </c>
    </row>
    <row r="21" spans="1:11">
      <c r="A21" s="1" t="s">
        <v>27</v>
      </c>
      <c r="B21" s="1" t="str">
        <f>VLOOKUP(A21,LISTADHERENT!A$5:H$51,2)</f>
        <v>KOUAMOU MOISE</v>
      </c>
      <c r="C21" s="7">
        <f t="shared" si="0"/>
        <v>20000</v>
      </c>
      <c r="D21" s="7">
        <v>3000</v>
      </c>
      <c r="E21" s="7">
        <v>500</v>
      </c>
      <c r="F21" s="7">
        <v>1000</v>
      </c>
      <c r="G21" s="7">
        <v>2500</v>
      </c>
      <c r="H21" s="7"/>
      <c r="I21" s="7">
        <v>13000</v>
      </c>
      <c r="K21" s="7">
        <f t="shared" si="1"/>
        <v>0</v>
      </c>
    </row>
    <row r="22" spans="1:11">
      <c r="A22" s="1" t="s">
        <v>28</v>
      </c>
      <c r="B22" s="1" t="str">
        <f>VLOOKUP(A22,LISTADHERENT!A$5:H$51,2)</f>
        <v>KOUAMOU VICTOR PEGUY</v>
      </c>
      <c r="C22" s="7">
        <f t="shared" si="0"/>
        <v>20000</v>
      </c>
      <c r="D22" s="7">
        <v>3000</v>
      </c>
      <c r="E22" s="7">
        <v>500</v>
      </c>
      <c r="F22" s="7">
        <v>1000</v>
      </c>
      <c r="G22" s="7">
        <v>2500</v>
      </c>
      <c r="H22" s="7"/>
      <c r="I22" s="7">
        <v>13000</v>
      </c>
      <c r="K22" s="7">
        <f t="shared" si="1"/>
        <v>0</v>
      </c>
    </row>
    <row r="23" spans="1:11">
      <c r="A23" s="1" t="s">
        <v>29</v>
      </c>
      <c r="B23" s="1" t="str">
        <f>VLOOKUP(A23,LISTADHERENT!A$5:H$51,2)</f>
        <v>KOUATCHO MESSACK</v>
      </c>
      <c r="C23" s="7">
        <f t="shared" si="0"/>
        <v>20000</v>
      </c>
      <c r="D23" s="7">
        <v>3000</v>
      </c>
      <c r="E23" s="7">
        <v>500</v>
      </c>
      <c r="F23" s="7">
        <v>1000</v>
      </c>
      <c r="G23" s="7">
        <v>2500</v>
      </c>
      <c r="H23" s="7"/>
      <c r="I23" s="7">
        <v>13000</v>
      </c>
      <c r="J23" s="7"/>
      <c r="K23" s="7">
        <f t="shared" si="1"/>
        <v>0</v>
      </c>
    </row>
    <row r="24" spans="1:11">
      <c r="A24" s="1" t="s">
        <v>30</v>
      </c>
      <c r="B24" s="1" t="str">
        <f>VLOOKUP(A24,LISTADHERENT!A$5:H$51,2)</f>
        <v>LOWE JEAN</v>
      </c>
      <c r="C24" s="7">
        <f t="shared" si="0"/>
        <v>20000</v>
      </c>
      <c r="D24" s="7">
        <v>3000</v>
      </c>
      <c r="E24" s="7">
        <v>500</v>
      </c>
      <c r="F24" s="7">
        <v>1000</v>
      </c>
      <c r="G24" s="7">
        <v>2500</v>
      </c>
      <c r="H24" s="7"/>
      <c r="I24" s="7">
        <v>13000</v>
      </c>
      <c r="K24" s="7">
        <f t="shared" si="1"/>
        <v>0</v>
      </c>
    </row>
    <row r="25" spans="1:11">
      <c r="A25" s="1" t="s">
        <v>31</v>
      </c>
      <c r="B25" s="1" t="str">
        <f>VLOOKUP(A25,LISTADHERENT!A$5:H$51,2)</f>
        <v>NANKAM APPOLINAIRE</v>
      </c>
      <c r="C25" s="7">
        <f t="shared" si="0"/>
        <v>20000</v>
      </c>
      <c r="D25" s="7">
        <v>3000</v>
      </c>
      <c r="E25" s="7">
        <v>500</v>
      </c>
      <c r="F25" s="7">
        <v>1000</v>
      </c>
      <c r="G25" s="7">
        <v>2500</v>
      </c>
      <c r="H25" s="7"/>
      <c r="I25" s="7">
        <v>13000</v>
      </c>
      <c r="K25" s="7">
        <f t="shared" si="1"/>
        <v>0</v>
      </c>
    </row>
    <row r="26" spans="1:11">
      <c r="A26" s="1" t="s">
        <v>32</v>
      </c>
      <c r="B26" s="1" t="str">
        <f>VLOOKUP(A26,LISTADHERENT!A$5:H$51,2)</f>
        <v>NDJOMO ETIENNE</v>
      </c>
      <c r="C26" s="7">
        <f t="shared" si="0"/>
        <v>25000</v>
      </c>
      <c r="D26" s="7">
        <v>8000</v>
      </c>
      <c r="E26" s="7">
        <v>500</v>
      </c>
      <c r="F26" s="7">
        <v>1000</v>
      </c>
      <c r="G26" s="7">
        <v>2500</v>
      </c>
      <c r="H26" s="7"/>
      <c r="I26" s="7">
        <v>13000</v>
      </c>
      <c r="J26" s="7"/>
      <c r="K26" s="7">
        <f t="shared" si="1"/>
        <v>0</v>
      </c>
    </row>
    <row r="27" spans="1:11">
      <c r="A27" s="1" t="s">
        <v>33</v>
      </c>
      <c r="B27" s="1" t="str">
        <f>VLOOKUP(A27,LISTADHERENT!A$5:H$51,2)</f>
        <v>NDOMBOU JEAN CLAUDE</v>
      </c>
      <c r="C27" s="7">
        <f t="shared" si="0"/>
        <v>0</v>
      </c>
      <c r="D27" s="7"/>
      <c r="E27" s="7"/>
      <c r="F27" s="7"/>
      <c r="G27" s="7"/>
      <c r="H27" s="7"/>
      <c r="I27" s="7"/>
      <c r="K27" s="7">
        <f t="shared" si="1"/>
        <v>0</v>
      </c>
    </row>
    <row r="28" spans="1:11">
      <c r="A28" s="1" t="s">
        <v>34</v>
      </c>
      <c r="B28" s="1" t="str">
        <f>VLOOKUP(A28,LISTADHERENT!A$5:H$51,2)</f>
        <v>NGONDIEP CLAUDE</v>
      </c>
      <c r="C28" s="7">
        <f t="shared" si="0"/>
        <v>20000</v>
      </c>
      <c r="D28" s="7">
        <v>3000</v>
      </c>
      <c r="E28" s="7">
        <v>500</v>
      </c>
      <c r="F28" s="7">
        <v>1000</v>
      </c>
      <c r="G28" s="7">
        <v>2500</v>
      </c>
      <c r="H28" s="7"/>
      <c r="I28" s="7">
        <v>13000</v>
      </c>
      <c r="K28" s="7">
        <f t="shared" si="1"/>
        <v>0</v>
      </c>
    </row>
    <row r="29" spans="1:11">
      <c r="A29" s="1" t="s">
        <v>35</v>
      </c>
      <c r="B29" s="1" t="str">
        <f>VLOOKUP(A29,LISTADHERENT!A$5:H$51,2)</f>
        <v>NGONGANG JEAN THEODORE</v>
      </c>
      <c r="C29" s="7">
        <f t="shared" si="0"/>
        <v>20000</v>
      </c>
      <c r="D29" s="7">
        <v>3000</v>
      </c>
      <c r="E29" s="7">
        <v>500</v>
      </c>
      <c r="F29" s="7">
        <v>1000</v>
      </c>
      <c r="G29" s="7">
        <v>2500</v>
      </c>
      <c r="H29" s="7"/>
      <c r="I29" s="7">
        <v>13000</v>
      </c>
      <c r="K29" s="7">
        <f t="shared" si="1"/>
        <v>0</v>
      </c>
    </row>
    <row r="30" spans="1:11">
      <c r="A30" s="1" t="s">
        <v>36</v>
      </c>
      <c r="B30" s="1" t="str">
        <f>VLOOKUP(A30,LISTADHERENT!A$5:H$51,2)</f>
        <v>NGUIEMEGNI MATHIEU BLAISE</v>
      </c>
      <c r="C30" s="7">
        <f t="shared" si="0"/>
        <v>20000</v>
      </c>
      <c r="D30" s="7">
        <v>3000</v>
      </c>
      <c r="E30" s="7">
        <v>500</v>
      </c>
      <c r="F30" s="7">
        <v>1000</v>
      </c>
      <c r="G30" s="7">
        <v>2500</v>
      </c>
      <c r="H30" s="7"/>
      <c r="I30" s="7">
        <v>13000</v>
      </c>
      <c r="K30" s="7">
        <f t="shared" si="1"/>
        <v>0</v>
      </c>
    </row>
    <row r="31" spans="1:11">
      <c r="A31" s="1" t="s">
        <v>37</v>
      </c>
      <c r="B31" s="1" t="str">
        <f>VLOOKUP(A31,LISTADHERENT!A$5:H$51,2)</f>
        <v>NJEPDJIO MBOUKAM DELUXE</v>
      </c>
      <c r="C31" s="7">
        <f t="shared" si="0"/>
        <v>20000</v>
      </c>
      <c r="D31" s="7">
        <v>3000</v>
      </c>
      <c r="E31" s="7">
        <v>500</v>
      </c>
      <c r="F31" s="7">
        <v>1000</v>
      </c>
      <c r="G31" s="7">
        <v>2500</v>
      </c>
      <c r="H31" s="7"/>
      <c r="I31" s="7">
        <v>13000</v>
      </c>
      <c r="K31" s="7">
        <f t="shared" si="1"/>
        <v>0</v>
      </c>
    </row>
    <row r="32" spans="1:11">
      <c r="A32" s="1" t="s">
        <v>38</v>
      </c>
      <c r="B32" s="1" t="str">
        <f>VLOOKUP(A32,LISTADHERENT!A$5:H$51,2)</f>
        <v>NKAMGANG JUSTIN DEJOLIE</v>
      </c>
      <c r="C32" s="7">
        <f t="shared" si="0"/>
        <v>23000</v>
      </c>
      <c r="D32" s="7">
        <v>6000</v>
      </c>
      <c r="E32" s="7">
        <v>500</v>
      </c>
      <c r="F32" s="7">
        <v>1000</v>
      </c>
      <c r="G32" s="7">
        <v>2500</v>
      </c>
      <c r="H32" s="7"/>
      <c r="I32" s="7">
        <v>13000</v>
      </c>
      <c r="J32" s="11"/>
      <c r="K32" s="7">
        <f t="shared" si="1"/>
        <v>0</v>
      </c>
    </row>
    <row r="33" spans="1:11" s="11" customFormat="1">
      <c r="A33" s="1" t="s">
        <v>39</v>
      </c>
      <c r="B33" s="1" t="str">
        <f>VLOOKUP(A33,LISTADHERENT!A$5:H$51,2)</f>
        <v>NKEPSEU DIEUDONNE</v>
      </c>
      <c r="C33" s="10">
        <f>D33+E33+F33+G33+H33+I33</f>
        <v>25000</v>
      </c>
      <c r="D33" s="7">
        <v>8000</v>
      </c>
      <c r="E33" s="7">
        <v>500</v>
      </c>
      <c r="F33" s="7">
        <v>1000</v>
      </c>
      <c r="G33" s="7">
        <v>2500</v>
      </c>
      <c r="H33" s="7"/>
      <c r="I33" s="7">
        <v>13000</v>
      </c>
      <c r="J33"/>
      <c r="K33" s="7">
        <f t="shared" si="1"/>
        <v>0</v>
      </c>
    </row>
    <row r="34" spans="1:11">
      <c r="A34" s="1" t="s">
        <v>40</v>
      </c>
      <c r="B34" s="1" t="str">
        <f>VLOOKUP(A34,LISTADHERENT!A$5:H$51,2)</f>
        <v>NKEPSEU HENANG RENE</v>
      </c>
      <c r="C34" s="7">
        <f t="shared" si="0"/>
        <v>20000</v>
      </c>
      <c r="D34" s="7">
        <v>3000</v>
      </c>
      <c r="E34" s="7">
        <v>500</v>
      </c>
      <c r="F34" s="7">
        <v>1000</v>
      </c>
      <c r="G34" s="7">
        <v>2500</v>
      </c>
      <c r="H34" s="7"/>
      <c r="I34" s="7">
        <v>13000</v>
      </c>
      <c r="K34" s="7">
        <f t="shared" si="1"/>
        <v>0</v>
      </c>
    </row>
    <row r="35" spans="1:11">
      <c r="A35" s="1" t="s">
        <v>41</v>
      </c>
      <c r="B35" s="1" t="str">
        <f>VLOOKUP(A35,LISTADHERENT!A$5:H$51,2)</f>
        <v>NTEPDIE TUEMAC MZ</v>
      </c>
      <c r="C35" s="7">
        <f t="shared" si="0"/>
        <v>0</v>
      </c>
      <c r="D35" s="7"/>
      <c r="E35" s="7"/>
      <c r="F35" s="7"/>
      <c r="G35" s="7"/>
      <c r="H35" s="7"/>
      <c r="I35" s="7"/>
      <c r="K35" s="7">
        <f t="shared" si="1"/>
        <v>0</v>
      </c>
    </row>
    <row r="36" spans="1:11">
      <c r="A36" s="1" t="s">
        <v>42</v>
      </c>
      <c r="B36" s="1" t="str">
        <f>VLOOKUP(A36,LISTADHERENT!A$5:H$51,2)</f>
        <v>NTOMBOU ADOLPHE</v>
      </c>
      <c r="C36" s="7">
        <f t="shared" si="0"/>
        <v>20000</v>
      </c>
      <c r="D36" s="7">
        <v>3000</v>
      </c>
      <c r="E36" s="7">
        <v>500</v>
      </c>
      <c r="F36" s="7">
        <v>1000</v>
      </c>
      <c r="G36" s="7">
        <v>2500</v>
      </c>
      <c r="H36" s="7"/>
      <c r="I36" s="7">
        <v>13000</v>
      </c>
      <c r="K36" s="7">
        <f t="shared" si="1"/>
        <v>0</v>
      </c>
    </row>
    <row r="37" spans="1:11">
      <c r="A37" s="1" t="s">
        <v>43</v>
      </c>
      <c r="B37" s="1" t="str">
        <f>VLOOKUP(A37,LISTADHERENT!A$5:H$51,2)</f>
        <v>PATEGO NJOSSU GUSTAVE</v>
      </c>
      <c r="C37" s="7">
        <f t="shared" si="0"/>
        <v>20000</v>
      </c>
      <c r="D37" s="7">
        <v>3000</v>
      </c>
      <c r="E37" s="7">
        <v>500</v>
      </c>
      <c r="F37" s="7">
        <v>1000</v>
      </c>
      <c r="G37" s="7">
        <v>2500</v>
      </c>
      <c r="H37" s="7"/>
      <c r="I37" s="7">
        <v>13000</v>
      </c>
      <c r="K37" s="7">
        <f t="shared" si="1"/>
        <v>0</v>
      </c>
    </row>
    <row r="38" spans="1:11">
      <c r="A38" s="1" t="s">
        <v>44</v>
      </c>
      <c r="B38" s="1" t="str">
        <f>VLOOKUP(A38,LISTADHERENT!A$5:H$51,2)</f>
        <v>SEUNOU RICHELOT</v>
      </c>
      <c r="C38" s="7">
        <f t="shared" si="0"/>
        <v>20000</v>
      </c>
      <c r="D38" s="7">
        <v>3000</v>
      </c>
      <c r="E38" s="7">
        <v>500</v>
      </c>
      <c r="F38" s="7">
        <v>1000</v>
      </c>
      <c r="G38" s="7">
        <v>2500</v>
      </c>
      <c r="H38" s="7"/>
      <c r="I38" s="7">
        <v>13000</v>
      </c>
      <c r="K38" s="7">
        <f t="shared" si="1"/>
        <v>0</v>
      </c>
    </row>
    <row r="39" spans="1:11">
      <c r="A39" s="1" t="s">
        <v>45</v>
      </c>
      <c r="B39" s="1" t="str">
        <f>VLOOKUP(A39,LISTADHERENT!A$5:H$51,2)</f>
        <v>SIME ABEL</v>
      </c>
      <c r="C39" s="7">
        <f t="shared" si="0"/>
        <v>20000</v>
      </c>
      <c r="D39" s="7">
        <v>3000</v>
      </c>
      <c r="E39" s="7">
        <v>500</v>
      </c>
      <c r="F39" s="7">
        <v>1000</v>
      </c>
      <c r="G39" s="7">
        <v>2500</v>
      </c>
      <c r="H39" s="7"/>
      <c r="I39" s="7">
        <v>13000</v>
      </c>
      <c r="K39" s="7">
        <f t="shared" si="1"/>
        <v>0</v>
      </c>
    </row>
    <row r="40" spans="1:11">
      <c r="A40" s="1" t="s">
        <v>46</v>
      </c>
      <c r="B40" s="1" t="str">
        <f>VLOOKUP(A40,LISTADHERENT!A$5:H$51,2)</f>
        <v>SIME FONGANG ERIC</v>
      </c>
      <c r="C40" s="7">
        <f t="shared" si="0"/>
        <v>20000</v>
      </c>
      <c r="D40" s="7">
        <v>3000</v>
      </c>
      <c r="E40" s="7">
        <v>500</v>
      </c>
      <c r="F40" s="7">
        <v>1000</v>
      </c>
      <c r="G40" s="7">
        <v>2500</v>
      </c>
      <c r="H40" s="7"/>
      <c r="I40" s="7">
        <v>13000</v>
      </c>
      <c r="K40" s="7">
        <f t="shared" si="1"/>
        <v>0</v>
      </c>
    </row>
    <row r="41" spans="1:11">
      <c r="A41" s="1" t="s">
        <v>47</v>
      </c>
      <c r="B41" s="1" t="str">
        <f>VLOOKUP(A41,LISTADHERENT!A$5:H$51,2)</f>
        <v>SIME MATHIEU</v>
      </c>
      <c r="C41" s="7">
        <f t="shared" si="0"/>
        <v>20000</v>
      </c>
      <c r="D41" s="7">
        <v>3000</v>
      </c>
      <c r="E41" s="7">
        <v>500</v>
      </c>
      <c r="F41" s="7">
        <v>1000</v>
      </c>
      <c r="G41" s="7">
        <v>2500</v>
      </c>
      <c r="H41" s="7"/>
      <c r="I41" s="7">
        <v>13000</v>
      </c>
      <c r="K41" s="7">
        <f t="shared" si="1"/>
        <v>0</v>
      </c>
    </row>
    <row r="42" spans="1:11">
      <c r="A42" s="1" t="s">
        <v>48</v>
      </c>
      <c r="B42" s="1" t="str">
        <f>VLOOKUP(A42,LISTADHERENT!A$5:H$51,2)</f>
        <v>SIME PIERRE</v>
      </c>
      <c r="C42" s="7">
        <f t="shared" si="0"/>
        <v>20000</v>
      </c>
      <c r="D42" s="7">
        <v>3000</v>
      </c>
      <c r="E42" s="7">
        <v>500</v>
      </c>
      <c r="F42" s="7">
        <v>1000</v>
      </c>
      <c r="G42" s="7">
        <v>2500</v>
      </c>
      <c r="H42" s="7"/>
      <c r="I42" s="7">
        <v>13000</v>
      </c>
      <c r="K42" s="7">
        <f t="shared" si="1"/>
        <v>0</v>
      </c>
    </row>
    <row r="43" spans="1:11">
      <c r="A43" s="1" t="s">
        <v>49</v>
      </c>
      <c r="B43" s="1" t="str">
        <f>VLOOKUP(A43,LISTADHERENT!A$5:H$51,2)</f>
        <v>TAGNE NANGUEN MARTIN</v>
      </c>
      <c r="C43" s="7">
        <f t="shared" si="0"/>
        <v>20000</v>
      </c>
      <c r="D43" s="7">
        <v>3000</v>
      </c>
      <c r="E43" s="7">
        <v>500</v>
      </c>
      <c r="F43" s="7">
        <v>1000</v>
      </c>
      <c r="G43" s="7">
        <v>2500</v>
      </c>
      <c r="H43" s="7"/>
      <c r="I43" s="7">
        <v>13000</v>
      </c>
      <c r="K43" s="7">
        <f t="shared" si="1"/>
        <v>0</v>
      </c>
    </row>
    <row r="44" spans="1:11">
      <c r="A44" s="1" t="s">
        <v>50</v>
      </c>
      <c r="B44" s="1" t="str">
        <f>VLOOKUP(A44,LISTADHERENT!A$5:H$51,2)</f>
        <v>TCHOUAMOU JEAN PAUL</v>
      </c>
      <c r="C44" s="7">
        <f t="shared" si="0"/>
        <v>20000</v>
      </c>
      <c r="D44" s="7">
        <v>3000</v>
      </c>
      <c r="E44" s="7">
        <v>500</v>
      </c>
      <c r="F44" s="7">
        <v>1000</v>
      </c>
      <c r="G44" s="7">
        <v>2500</v>
      </c>
      <c r="H44" s="7"/>
      <c r="I44" s="7">
        <v>13000</v>
      </c>
      <c r="K44" s="7">
        <f t="shared" si="1"/>
        <v>0</v>
      </c>
    </row>
    <row r="45" spans="1:11">
      <c r="A45" s="1" t="s">
        <v>51</v>
      </c>
      <c r="B45" s="1" t="str">
        <f>VLOOKUP(A45,LISTADHERENT!A$5:H$51,2)</f>
        <v>TCHOUAMOU MATHIEU</v>
      </c>
      <c r="C45" s="7">
        <f t="shared" si="0"/>
        <v>20000</v>
      </c>
      <c r="D45" s="7">
        <v>3000</v>
      </c>
      <c r="E45" s="7">
        <v>500</v>
      </c>
      <c r="F45" s="7">
        <v>1000</v>
      </c>
      <c r="G45" s="7">
        <v>2500</v>
      </c>
      <c r="H45" s="7"/>
      <c r="I45" s="7">
        <v>13000</v>
      </c>
      <c r="J45" s="7"/>
      <c r="K45" s="7">
        <f t="shared" si="1"/>
        <v>0</v>
      </c>
    </row>
    <row r="46" spans="1:11">
      <c r="A46" s="1" t="s">
        <v>52</v>
      </c>
      <c r="B46" s="1" t="str">
        <f>VLOOKUP(A46,LISTADHERENT!A$5:H$51,2)</f>
        <v>TCHOUANTE FRANCOIS</v>
      </c>
      <c r="C46" s="7">
        <f t="shared" si="0"/>
        <v>23000</v>
      </c>
      <c r="D46" s="7">
        <v>6000</v>
      </c>
      <c r="E46" s="7">
        <v>500</v>
      </c>
      <c r="F46" s="7">
        <v>1000</v>
      </c>
      <c r="G46" s="7">
        <v>2500</v>
      </c>
      <c r="H46" s="7"/>
      <c r="I46" s="7">
        <v>13000</v>
      </c>
      <c r="J46" s="7">
        <v>750000</v>
      </c>
      <c r="K46" s="7">
        <f t="shared" si="1"/>
        <v>90000</v>
      </c>
    </row>
    <row r="47" spans="1:11">
      <c r="A47" s="1" t="s">
        <v>53</v>
      </c>
      <c r="B47" s="1" t="str">
        <f>VLOOKUP(A47,LISTADHERENT!A$5:H$51,2)</f>
        <v>TCHOUTOU NANA CLAUDE</v>
      </c>
      <c r="C47" s="7">
        <f t="shared" si="0"/>
        <v>0</v>
      </c>
      <c r="D47" s="7"/>
      <c r="E47" s="7"/>
      <c r="F47" s="7"/>
      <c r="G47" s="7"/>
      <c r="H47" s="7"/>
      <c r="I47" s="7"/>
      <c r="K47" s="7">
        <f t="shared" si="1"/>
        <v>0</v>
      </c>
    </row>
    <row r="48" spans="1:11">
      <c r="A48" s="1" t="s">
        <v>54</v>
      </c>
      <c r="B48" s="1" t="str">
        <f>VLOOKUP(A48,LISTADHERENT!A$5:H$51,2)</f>
        <v>TIEYAM ERNEST</v>
      </c>
      <c r="C48" s="7">
        <f t="shared" si="0"/>
        <v>0</v>
      </c>
      <c r="D48" s="7"/>
      <c r="E48" s="7"/>
      <c r="F48" s="7"/>
      <c r="G48" s="7"/>
      <c r="H48" s="7"/>
      <c r="I48" s="7"/>
      <c r="K48" s="7">
        <f t="shared" si="1"/>
        <v>0</v>
      </c>
    </row>
    <row r="49" spans="1:12">
      <c r="A49" s="1" t="s">
        <v>55</v>
      </c>
      <c r="B49" s="1" t="str">
        <f>VLOOKUP(A49,LISTADHERENT!A$5:H$51,2)</f>
        <v>TUGMA PIERRE LOTI</v>
      </c>
      <c r="C49" s="7">
        <f t="shared" si="0"/>
        <v>20000</v>
      </c>
      <c r="D49" s="7">
        <v>3000</v>
      </c>
      <c r="E49" s="7">
        <v>500</v>
      </c>
      <c r="F49" s="7">
        <v>1000</v>
      </c>
      <c r="G49" s="7">
        <v>2500</v>
      </c>
      <c r="H49" s="7"/>
      <c r="I49" s="7">
        <v>13000</v>
      </c>
      <c r="K49" s="7">
        <f t="shared" si="1"/>
        <v>0</v>
      </c>
    </row>
    <row r="50" spans="1:12" ht="18">
      <c r="A50" s="1" t="s">
        <v>66</v>
      </c>
      <c r="B50" s="1" t="str">
        <f>VLOOKUP(A50,LISTADHERENT!A$5:H$51,2)</f>
        <v>YEPMOU JEAN JACQUES</v>
      </c>
      <c r="C50" s="7">
        <f t="shared" si="0"/>
        <v>20000</v>
      </c>
      <c r="D50" s="7">
        <v>3000</v>
      </c>
      <c r="E50" s="7">
        <v>500</v>
      </c>
      <c r="F50" s="7">
        <v>1000</v>
      </c>
      <c r="G50" s="7">
        <v>2500</v>
      </c>
      <c r="H50" s="7"/>
      <c r="I50" s="7">
        <v>13000</v>
      </c>
      <c r="J50" s="9"/>
      <c r="K50" s="7">
        <f t="shared" si="1"/>
        <v>0</v>
      </c>
    </row>
    <row r="51" spans="1:12">
      <c r="A51" s="1" t="s">
        <v>178</v>
      </c>
      <c r="B51" s="1" t="str">
        <f>VLOOKUP(A51,LISTADHERENT!A$5:H$51,2)</f>
        <v>YOUMBI EMMANUEL</v>
      </c>
      <c r="C51" s="7">
        <f t="shared" si="0"/>
        <v>20000</v>
      </c>
      <c r="D51" s="7">
        <v>3000</v>
      </c>
      <c r="E51" s="7">
        <v>500</v>
      </c>
      <c r="F51" s="7">
        <v>1000</v>
      </c>
      <c r="G51" s="7">
        <v>2500</v>
      </c>
      <c r="I51" s="7">
        <v>13000</v>
      </c>
      <c r="K51" s="7">
        <f t="shared" si="1"/>
        <v>0</v>
      </c>
    </row>
    <row r="52" spans="1:12" ht="18">
      <c r="A52" s="1"/>
      <c r="B52" s="1" t="s">
        <v>180</v>
      </c>
      <c r="E52" s="4"/>
      <c r="I52" s="7">
        <f>52500+140000</f>
        <v>192500</v>
      </c>
      <c r="K52" s="7">
        <f t="shared" si="1"/>
        <v>0</v>
      </c>
      <c r="L52" s="9"/>
    </row>
    <row r="53" spans="1:12" ht="18">
      <c r="A53" s="1"/>
      <c r="B53" s="1"/>
      <c r="E53" s="4"/>
      <c r="L53" s="9"/>
    </row>
    <row r="54" spans="1:12" ht="18">
      <c r="A54" s="8" t="s">
        <v>56</v>
      </c>
      <c r="B54" s="8"/>
      <c r="C54" s="9">
        <f>SUM(C5:C52)</f>
        <v>1359000</v>
      </c>
      <c r="D54" s="9">
        <f t="shared" ref="D54:I54" si="2">SUM(D5:D52)</f>
        <v>645000</v>
      </c>
      <c r="E54" s="9">
        <f t="shared" si="2"/>
        <v>21000</v>
      </c>
      <c r="F54" s="9">
        <f t="shared" si="2"/>
        <v>42000</v>
      </c>
      <c r="G54" s="9">
        <f t="shared" si="2"/>
        <v>105000</v>
      </c>
      <c r="H54" s="9">
        <f t="shared" si="2"/>
        <v>0</v>
      </c>
      <c r="I54" s="9">
        <f t="shared" si="2"/>
        <v>738500</v>
      </c>
      <c r="J54" s="9">
        <f>SUM(J5:J51)</f>
        <v>750000</v>
      </c>
      <c r="K54" s="9">
        <f>SUM(K5:K51)</f>
        <v>90000</v>
      </c>
    </row>
  </sheetData>
  <autoFilter ref="A4:L50">
    <filterColumn colId="8"/>
    <filterColumn colId="9"/>
    <filterColumn colId="10"/>
    <filterColumn colId="11"/>
  </autoFilter>
  <dataValidations count="1">
    <dataValidation type="list" allowBlank="1" showInputMessage="1" showErrorMessage="1" promptTitle="Saissisez le mode de VERSEMENT" sqref="E5:E51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L54"/>
  <sheetViews>
    <sheetView workbookViewId="0">
      <pane xSplit="2" ySplit="4" topLeftCell="H20" activePane="bottomRight" state="frozen"/>
      <selection activeCell="B22" sqref="B22"/>
      <selection pane="topRight" activeCell="B22" sqref="B22"/>
      <selection pane="bottomLeft" activeCell="B22" sqref="B22"/>
      <selection pane="bottomRight" activeCell="L28" sqref="L28"/>
    </sheetView>
  </sheetViews>
  <sheetFormatPr baseColWidth="10" defaultRowHeight="15"/>
  <cols>
    <col min="1" max="1" width="13.85546875" customWidth="1"/>
    <col min="2" max="2" width="29.5703125" bestFit="1" customWidth="1"/>
    <col min="3" max="3" width="15" style="2" bestFit="1" customWidth="1"/>
    <col min="4" max="4" width="12.5703125" bestFit="1" customWidth="1"/>
    <col min="5" max="5" width="17.5703125" style="3" bestFit="1" customWidth="1"/>
    <col min="6" max="6" width="15.7109375" style="2" customWidth="1"/>
    <col min="7" max="7" width="14.7109375" style="2" customWidth="1"/>
    <col min="8" max="8" width="18.140625" style="2" bestFit="1" customWidth="1"/>
    <col min="9" max="9" width="18.140625" customWidth="1"/>
    <col min="10" max="10" width="15" bestFit="1" customWidth="1"/>
    <col min="11" max="11" width="12.5703125" bestFit="1" customWidth="1"/>
    <col min="12" max="12" width="18.140625" customWidth="1"/>
  </cols>
  <sheetData>
    <row r="1" spans="1:12">
      <c r="A1" s="1" t="s">
        <v>0</v>
      </c>
      <c r="B1" s="1" t="s">
        <v>1</v>
      </c>
    </row>
    <row r="2" spans="1:12">
      <c r="A2" s="1" t="s">
        <v>2</v>
      </c>
      <c r="B2" s="1" t="s">
        <v>3</v>
      </c>
    </row>
    <row r="3" spans="1:12">
      <c r="A3" s="1" t="s">
        <v>4</v>
      </c>
      <c r="B3" s="1" t="s">
        <v>5</v>
      </c>
    </row>
    <row r="4" spans="1:12" ht="29.25">
      <c r="A4" s="1" t="s">
        <v>6</v>
      </c>
      <c r="B4" s="1" t="s">
        <v>7</v>
      </c>
      <c r="C4" s="5" t="s">
        <v>65</v>
      </c>
      <c r="D4" s="1" t="s">
        <v>57</v>
      </c>
      <c r="E4" s="5" t="s">
        <v>58</v>
      </c>
      <c r="F4" s="5" t="s">
        <v>59</v>
      </c>
      <c r="G4" s="5" t="s">
        <v>60</v>
      </c>
      <c r="H4" s="5" t="s">
        <v>61</v>
      </c>
      <c r="I4" s="5" t="s">
        <v>62</v>
      </c>
      <c r="J4" s="5" t="s">
        <v>63</v>
      </c>
      <c r="K4" s="5" t="s">
        <v>64</v>
      </c>
      <c r="L4" s="5" t="s">
        <v>8</v>
      </c>
    </row>
    <row r="5" spans="1:12">
      <c r="A5" s="1" t="s">
        <v>11</v>
      </c>
      <c r="B5" s="1" t="str">
        <f>VLOOKUP(A5,LISTADHERENT!A$5:H$51,2)</f>
        <v>BAKOP ACHILLE</v>
      </c>
      <c r="C5" s="7">
        <f t="shared" ref="C5:C51" si="0">D5+E5+F5+G5+H5+I5</f>
        <v>20000</v>
      </c>
      <c r="D5" s="7">
        <v>3000</v>
      </c>
      <c r="E5" s="7">
        <v>500</v>
      </c>
      <c r="F5" s="7">
        <v>1000</v>
      </c>
      <c r="G5" s="7">
        <v>2500</v>
      </c>
      <c r="H5" s="7"/>
      <c r="I5" s="7">
        <v>13000</v>
      </c>
      <c r="J5" s="7"/>
      <c r="K5" s="7">
        <f>IF(J5&lt;=500000,(J5*1*3/100),(J5*12/100))</f>
        <v>0</v>
      </c>
    </row>
    <row r="6" spans="1:12">
      <c r="A6" s="1" t="s">
        <v>12</v>
      </c>
      <c r="B6" s="1" t="str">
        <f>VLOOKUP(A6,LISTADHERENT!A$5:H$51,2)</f>
        <v>BOUTCHOUANG WILLIAM</v>
      </c>
      <c r="C6" s="7">
        <f t="shared" si="0"/>
        <v>20000</v>
      </c>
      <c r="D6" s="7">
        <v>3000</v>
      </c>
      <c r="E6" s="7">
        <v>500</v>
      </c>
      <c r="F6" s="7">
        <v>1000</v>
      </c>
      <c r="G6" s="7">
        <v>2500</v>
      </c>
      <c r="H6" s="7"/>
      <c r="I6" s="7">
        <v>13000</v>
      </c>
      <c r="J6" s="7"/>
      <c r="K6" s="7">
        <f t="shared" ref="K6:K52" si="1">IF(J6&lt;=500000,(J6*1*3/100),(J6*12/100))</f>
        <v>0</v>
      </c>
    </row>
    <row r="7" spans="1:12" s="23" customFormat="1">
      <c r="A7" s="21" t="s">
        <v>13</v>
      </c>
      <c r="B7" s="21" t="str">
        <f>VLOOKUP(A7,LISTADHERENT!A$5:H$51,2)</f>
        <v>CHINGUE FABRICE</v>
      </c>
      <c r="C7" s="22">
        <f t="shared" si="0"/>
        <v>20000</v>
      </c>
      <c r="D7" s="22">
        <v>3000</v>
      </c>
      <c r="E7" s="22">
        <v>500</v>
      </c>
      <c r="F7" s="22">
        <v>1000</v>
      </c>
      <c r="G7" s="22">
        <v>2500</v>
      </c>
      <c r="H7" s="22"/>
      <c r="I7" s="22">
        <v>13000</v>
      </c>
      <c r="J7" s="22">
        <v>1000000</v>
      </c>
      <c r="K7" s="22">
        <f t="shared" si="1"/>
        <v>120000</v>
      </c>
      <c r="L7" s="22">
        <v>1000000</v>
      </c>
    </row>
    <row r="8" spans="1:12">
      <c r="A8" s="1" t="s">
        <v>14</v>
      </c>
      <c r="B8" s="1" t="str">
        <f>VLOOKUP(A8,LISTADHERENT!A$5:H$51,2)</f>
        <v xml:space="preserve">DJOMO JEAN PAUL </v>
      </c>
      <c r="C8" s="7">
        <f t="shared" si="0"/>
        <v>20000</v>
      </c>
      <c r="D8" s="7">
        <v>3000</v>
      </c>
      <c r="E8" s="7">
        <v>500</v>
      </c>
      <c r="F8" s="7">
        <v>1000</v>
      </c>
      <c r="G8" s="7">
        <v>2500</v>
      </c>
      <c r="H8" s="7"/>
      <c r="I8" s="7">
        <v>13000</v>
      </c>
      <c r="K8" s="7">
        <f t="shared" si="1"/>
        <v>0</v>
      </c>
    </row>
    <row r="9" spans="1:12">
      <c r="A9" s="1" t="s">
        <v>15</v>
      </c>
      <c r="B9" s="1" t="str">
        <f>VLOOKUP(A9,LISTADHERENT!A$5:H$51,2)</f>
        <v>DJOUKWE GUY</v>
      </c>
      <c r="C9" s="7">
        <f t="shared" si="0"/>
        <v>50000</v>
      </c>
      <c r="D9" s="7">
        <v>33000</v>
      </c>
      <c r="E9" s="7">
        <v>500</v>
      </c>
      <c r="F9" s="7">
        <v>1000</v>
      </c>
      <c r="G9" s="7">
        <v>2500</v>
      </c>
      <c r="H9" s="7"/>
      <c r="I9" s="7">
        <v>13000</v>
      </c>
      <c r="K9" s="7">
        <f t="shared" si="1"/>
        <v>0</v>
      </c>
    </row>
    <row r="10" spans="1:12">
      <c r="A10" s="1" t="s">
        <v>16</v>
      </c>
      <c r="B10" s="1" t="str">
        <f>VLOOKUP(A10,LISTADHERENT!A$5:H$51,2)</f>
        <v>DJOSSEU JOSUE</v>
      </c>
      <c r="C10" s="7">
        <f t="shared" si="0"/>
        <v>0</v>
      </c>
      <c r="D10" s="7"/>
      <c r="E10" s="7"/>
      <c r="F10" s="7"/>
      <c r="G10" s="7"/>
      <c r="H10" s="7"/>
      <c r="I10" s="7"/>
      <c r="K10" s="7">
        <f t="shared" si="1"/>
        <v>0</v>
      </c>
    </row>
    <row r="11" spans="1:12">
      <c r="A11" s="1" t="s">
        <v>17</v>
      </c>
      <c r="B11" s="1" t="str">
        <f>VLOOKUP(A11,LISTADHERENT!A$5:H$51,2)</f>
        <v>DJOUNKEP SAMUEL</v>
      </c>
      <c r="C11" s="7">
        <f t="shared" si="0"/>
        <v>20000</v>
      </c>
      <c r="D11" s="7">
        <v>3000</v>
      </c>
      <c r="E11" s="7">
        <v>500</v>
      </c>
      <c r="F11" s="7">
        <v>1000</v>
      </c>
      <c r="G11" s="7">
        <v>2500</v>
      </c>
      <c r="H11" s="7"/>
      <c r="I11" s="7">
        <v>13000</v>
      </c>
      <c r="K11" s="7">
        <f t="shared" si="1"/>
        <v>0</v>
      </c>
    </row>
    <row r="12" spans="1:12">
      <c r="A12" s="1" t="s">
        <v>18</v>
      </c>
      <c r="B12" s="1" t="str">
        <f>VLOOKUP(A12,LISTADHERENT!A$5:H$51,2)</f>
        <v>DJUOMBESSY ANTOINE</v>
      </c>
      <c r="C12" s="7">
        <f t="shared" si="0"/>
        <v>20000</v>
      </c>
      <c r="D12" s="7">
        <v>3000</v>
      </c>
      <c r="E12" s="7">
        <v>500</v>
      </c>
      <c r="F12" s="7">
        <v>1000</v>
      </c>
      <c r="G12" s="7">
        <v>2500</v>
      </c>
      <c r="H12" s="7"/>
      <c r="I12" s="7">
        <v>13000</v>
      </c>
      <c r="K12" s="7">
        <f t="shared" si="1"/>
        <v>0</v>
      </c>
    </row>
    <row r="13" spans="1:12">
      <c r="A13" s="1" t="s">
        <v>19</v>
      </c>
      <c r="B13" s="1" t="str">
        <f>VLOOKUP(A13,LISTADHERENT!A$5:H$51,2)</f>
        <v>DONHOU DAVID</v>
      </c>
      <c r="C13" s="7">
        <f t="shared" si="0"/>
        <v>20000</v>
      </c>
      <c r="D13" s="7">
        <v>3000</v>
      </c>
      <c r="E13" s="7">
        <v>500</v>
      </c>
      <c r="F13" s="7">
        <v>1000</v>
      </c>
      <c r="G13" s="7">
        <v>2500</v>
      </c>
      <c r="H13" s="7"/>
      <c r="I13" s="7">
        <v>13000</v>
      </c>
      <c r="K13" s="7">
        <f t="shared" si="1"/>
        <v>0</v>
      </c>
    </row>
    <row r="14" spans="1:12">
      <c r="A14" s="1" t="s">
        <v>20</v>
      </c>
      <c r="B14" s="1" t="str">
        <f>VLOOKUP(A14,LISTADHERENT!A$5:H$51,2)</f>
        <v>FOTSO THOMAS</v>
      </c>
      <c r="C14" s="7">
        <f t="shared" si="0"/>
        <v>20000</v>
      </c>
      <c r="D14" s="7">
        <v>3000</v>
      </c>
      <c r="E14" s="7">
        <v>500</v>
      </c>
      <c r="F14" s="7">
        <v>1000</v>
      </c>
      <c r="G14" s="7">
        <v>2500</v>
      </c>
      <c r="H14" s="7"/>
      <c r="I14" s="7">
        <v>13000</v>
      </c>
      <c r="K14" s="7">
        <f t="shared" si="1"/>
        <v>0</v>
      </c>
    </row>
    <row r="15" spans="1:12">
      <c r="A15" s="1" t="s">
        <v>21</v>
      </c>
      <c r="B15" s="1" t="str">
        <f>VLOOKUP(A15,LISTADHERENT!A$5:H$51,2)</f>
        <v>HENGUE PAUL OMER</v>
      </c>
      <c r="C15" s="7">
        <f t="shared" si="0"/>
        <v>20000</v>
      </c>
      <c r="D15" s="7">
        <v>3000</v>
      </c>
      <c r="E15" s="7">
        <v>500</v>
      </c>
      <c r="F15" s="7">
        <v>1000</v>
      </c>
      <c r="G15" s="7">
        <v>2500</v>
      </c>
      <c r="H15" s="7"/>
      <c r="I15" s="7">
        <v>13000</v>
      </c>
      <c r="K15" s="7">
        <f t="shared" si="1"/>
        <v>0</v>
      </c>
    </row>
    <row r="16" spans="1:12">
      <c r="A16" s="1" t="s">
        <v>22</v>
      </c>
      <c r="B16" s="1" t="str">
        <f>VLOOKUP(A16,LISTADHERENT!A$5:H$51,2)</f>
        <v>HODIEP JULES</v>
      </c>
      <c r="C16" s="7">
        <f t="shared" si="0"/>
        <v>20000</v>
      </c>
      <c r="D16" s="7">
        <v>3000</v>
      </c>
      <c r="E16" s="7">
        <v>500</v>
      </c>
      <c r="F16" s="7">
        <v>1000</v>
      </c>
      <c r="G16" s="7">
        <v>2500</v>
      </c>
      <c r="H16" s="7"/>
      <c r="I16" s="7">
        <v>13000</v>
      </c>
      <c r="K16" s="7">
        <f t="shared" si="1"/>
        <v>0</v>
      </c>
    </row>
    <row r="17" spans="1:12">
      <c r="A17" s="1" t="s">
        <v>23</v>
      </c>
      <c r="B17" s="1" t="str">
        <f>VLOOKUP(A17,LISTADHERENT!A$5:H$51,2)</f>
        <v>HOTCHO BENJAMIN</v>
      </c>
      <c r="C17" s="7">
        <f t="shared" si="0"/>
        <v>20000</v>
      </c>
      <c r="D17" s="7">
        <v>3000</v>
      </c>
      <c r="E17" s="7">
        <v>500</v>
      </c>
      <c r="F17" s="7">
        <v>1000</v>
      </c>
      <c r="G17" s="7">
        <v>2500</v>
      </c>
      <c r="H17" s="7"/>
      <c r="I17" s="7">
        <v>13000</v>
      </c>
      <c r="K17" s="7">
        <f t="shared" si="1"/>
        <v>0</v>
      </c>
    </row>
    <row r="18" spans="1:12">
      <c r="A18" s="1" t="s">
        <v>24</v>
      </c>
      <c r="B18" s="1" t="str">
        <f>VLOOKUP(A18,LISTADHERENT!A$5:H$51,2)</f>
        <v>KEPHE DAVID</v>
      </c>
      <c r="C18" s="7">
        <f t="shared" si="0"/>
        <v>20000</v>
      </c>
      <c r="D18" s="7">
        <v>3000</v>
      </c>
      <c r="E18" s="7">
        <v>500</v>
      </c>
      <c r="F18" s="7">
        <v>1000</v>
      </c>
      <c r="G18" s="7">
        <v>2500</v>
      </c>
      <c r="H18" s="7"/>
      <c r="I18" s="7">
        <v>13000</v>
      </c>
      <c r="K18" s="7">
        <f t="shared" si="1"/>
        <v>0</v>
      </c>
    </row>
    <row r="19" spans="1:12">
      <c r="A19" s="1" t="s">
        <v>25</v>
      </c>
      <c r="B19" s="1" t="str">
        <f>VLOOKUP(A19,LISTADHERENT!A$5:H$51,2)</f>
        <v>KEPSEU FRANCIS</v>
      </c>
      <c r="C19" s="7">
        <f t="shared" si="0"/>
        <v>23000</v>
      </c>
      <c r="D19" s="7">
        <v>6000</v>
      </c>
      <c r="E19" s="7">
        <v>500</v>
      </c>
      <c r="F19" s="7">
        <v>1000</v>
      </c>
      <c r="G19" s="7">
        <v>2500</v>
      </c>
      <c r="H19" s="7"/>
      <c r="I19" s="7">
        <v>13000</v>
      </c>
      <c r="K19" s="7">
        <f t="shared" si="1"/>
        <v>0</v>
      </c>
    </row>
    <row r="20" spans="1:12">
      <c r="A20" s="1" t="s">
        <v>26</v>
      </c>
      <c r="B20" s="1" t="str">
        <f>VLOOKUP(A20,LISTADHERENT!A$5:H$51,2)</f>
        <v>KOUAMOU EMMANUEL</v>
      </c>
      <c r="C20" s="7">
        <f t="shared" si="0"/>
        <v>20000</v>
      </c>
      <c r="D20" s="7">
        <v>3000</v>
      </c>
      <c r="E20" s="7">
        <v>500</v>
      </c>
      <c r="F20" s="7">
        <v>1000</v>
      </c>
      <c r="G20" s="7">
        <v>2500</v>
      </c>
      <c r="H20" s="7"/>
      <c r="I20" s="7">
        <v>13000</v>
      </c>
      <c r="K20" s="7">
        <f t="shared" si="1"/>
        <v>0</v>
      </c>
    </row>
    <row r="21" spans="1:12">
      <c r="A21" s="1" t="s">
        <v>27</v>
      </c>
      <c r="B21" s="1" t="str">
        <f>VLOOKUP(A21,LISTADHERENT!A$5:H$51,2)</f>
        <v>KOUAMOU MOISE</v>
      </c>
      <c r="C21" s="7">
        <f t="shared" si="0"/>
        <v>20000</v>
      </c>
      <c r="D21" s="7">
        <v>3000</v>
      </c>
      <c r="E21" s="7">
        <v>500</v>
      </c>
      <c r="F21" s="7">
        <v>1000</v>
      </c>
      <c r="G21" s="7">
        <v>2500</v>
      </c>
      <c r="H21" s="7"/>
      <c r="I21" s="7">
        <v>13000</v>
      </c>
      <c r="J21" s="7">
        <v>60000</v>
      </c>
      <c r="K21" s="7">
        <f t="shared" si="1"/>
        <v>1800</v>
      </c>
    </row>
    <row r="22" spans="1:12">
      <c r="A22" s="1" t="s">
        <v>28</v>
      </c>
      <c r="B22" s="1" t="str">
        <f>VLOOKUP(A22,LISTADHERENT!A$5:H$51,2)</f>
        <v>KOUAMOU VICTOR PEGUY</v>
      </c>
      <c r="C22" s="7">
        <f t="shared" si="0"/>
        <v>20000</v>
      </c>
      <c r="D22" s="7">
        <v>3000</v>
      </c>
      <c r="E22" s="7">
        <v>500</v>
      </c>
      <c r="F22" s="7">
        <v>1000</v>
      </c>
      <c r="G22" s="7">
        <v>2500</v>
      </c>
      <c r="H22" s="7"/>
      <c r="I22" s="7">
        <v>13000</v>
      </c>
      <c r="K22" s="7">
        <f t="shared" si="1"/>
        <v>0</v>
      </c>
    </row>
    <row r="23" spans="1:12">
      <c r="A23" s="1" t="s">
        <v>29</v>
      </c>
      <c r="B23" s="1" t="str">
        <f>VLOOKUP(A23,LISTADHERENT!A$5:H$51,2)</f>
        <v>KOUATCHO MESSACK</v>
      </c>
      <c r="C23" s="7">
        <f t="shared" si="0"/>
        <v>20000</v>
      </c>
      <c r="D23" s="7">
        <v>3000</v>
      </c>
      <c r="E23" s="7">
        <v>500</v>
      </c>
      <c r="F23" s="7">
        <v>1000</v>
      </c>
      <c r="G23" s="7">
        <v>2500</v>
      </c>
      <c r="H23" s="7"/>
      <c r="I23" s="7">
        <v>13000</v>
      </c>
      <c r="J23" s="7"/>
      <c r="K23" s="7">
        <f t="shared" si="1"/>
        <v>0</v>
      </c>
    </row>
    <row r="24" spans="1:12">
      <c r="A24" s="1" t="s">
        <v>30</v>
      </c>
      <c r="B24" s="1" t="str">
        <f>VLOOKUP(A24,LISTADHERENT!A$5:H$51,2)</f>
        <v>LOWE JEAN</v>
      </c>
      <c r="C24" s="7">
        <f t="shared" si="0"/>
        <v>20000</v>
      </c>
      <c r="D24" s="7">
        <v>3000</v>
      </c>
      <c r="E24" s="7">
        <v>500</v>
      </c>
      <c r="F24" s="7">
        <v>1000</v>
      </c>
      <c r="G24" s="7">
        <v>2500</v>
      </c>
      <c r="H24" s="7"/>
      <c r="I24" s="7">
        <v>13000</v>
      </c>
      <c r="J24" s="7">
        <v>80000</v>
      </c>
      <c r="K24" s="7">
        <f t="shared" si="1"/>
        <v>2400</v>
      </c>
      <c r="L24" s="7">
        <v>80000</v>
      </c>
    </row>
    <row r="25" spans="1:12">
      <c r="A25" s="1" t="s">
        <v>31</v>
      </c>
      <c r="B25" s="1" t="str">
        <f>VLOOKUP(A25,LISTADHERENT!A$5:H$51,2)</f>
        <v>NANKAM APPOLINAIRE</v>
      </c>
      <c r="C25" s="7">
        <f t="shared" si="0"/>
        <v>20000</v>
      </c>
      <c r="D25" s="7">
        <v>3000</v>
      </c>
      <c r="E25" s="7">
        <v>500</v>
      </c>
      <c r="F25" s="7">
        <v>1000</v>
      </c>
      <c r="G25" s="7">
        <v>2500</v>
      </c>
      <c r="H25" s="7"/>
      <c r="I25" s="7">
        <v>13000</v>
      </c>
      <c r="K25" s="7">
        <f t="shared" si="1"/>
        <v>0</v>
      </c>
    </row>
    <row r="26" spans="1:12">
      <c r="A26" s="1" t="s">
        <v>32</v>
      </c>
      <c r="B26" s="1" t="str">
        <f>VLOOKUP(A26,LISTADHERENT!A$5:H$51,2)</f>
        <v>NDJOMO ETIENNE</v>
      </c>
      <c r="C26" s="7">
        <f t="shared" si="0"/>
        <v>25000</v>
      </c>
      <c r="D26" s="7">
        <v>8000</v>
      </c>
      <c r="E26" s="7">
        <v>500</v>
      </c>
      <c r="F26" s="7">
        <v>1000</v>
      </c>
      <c r="G26" s="7">
        <v>2500</v>
      </c>
      <c r="H26" s="7"/>
      <c r="I26" s="7">
        <v>13000</v>
      </c>
      <c r="J26" s="7">
        <v>400000</v>
      </c>
      <c r="K26" s="7">
        <f t="shared" si="1"/>
        <v>12000</v>
      </c>
      <c r="L26" s="7">
        <v>400000</v>
      </c>
    </row>
    <row r="27" spans="1:12">
      <c r="A27" s="1" t="s">
        <v>33</v>
      </c>
      <c r="B27" s="1" t="str">
        <f>VLOOKUP(A27,LISTADHERENT!A$5:H$51,2)</f>
        <v>NDOMBOU JEAN CLAUDE</v>
      </c>
      <c r="C27" s="7">
        <f t="shared" si="0"/>
        <v>0</v>
      </c>
      <c r="D27" s="7"/>
      <c r="E27" s="7"/>
      <c r="F27" s="7"/>
      <c r="G27" s="7"/>
      <c r="H27" s="7"/>
      <c r="I27" s="7"/>
      <c r="K27" s="7">
        <f t="shared" si="1"/>
        <v>0</v>
      </c>
    </row>
    <row r="28" spans="1:12">
      <c r="A28" s="1" t="s">
        <v>34</v>
      </c>
      <c r="B28" s="1" t="str">
        <f>VLOOKUP(A28,LISTADHERENT!A$5:H$51,2)</f>
        <v>NGONDIEP CLAUDE</v>
      </c>
      <c r="C28" s="7">
        <f t="shared" si="0"/>
        <v>20000</v>
      </c>
      <c r="D28" s="7">
        <v>3000</v>
      </c>
      <c r="E28" s="7">
        <v>500</v>
      </c>
      <c r="F28" s="7">
        <v>1000</v>
      </c>
      <c r="G28" s="7">
        <v>2500</v>
      </c>
      <c r="H28" s="7"/>
      <c r="I28" s="7">
        <v>13000</v>
      </c>
      <c r="K28" s="7">
        <f t="shared" si="1"/>
        <v>0</v>
      </c>
    </row>
    <row r="29" spans="1:12">
      <c r="A29" s="1" t="s">
        <v>35</v>
      </c>
      <c r="B29" s="1" t="str">
        <f>VLOOKUP(A29,LISTADHERENT!A$5:H$51,2)</f>
        <v>NGONGANG JEAN THEODORE</v>
      </c>
      <c r="C29" s="7">
        <f t="shared" si="0"/>
        <v>20000</v>
      </c>
      <c r="D29" s="7">
        <v>3000</v>
      </c>
      <c r="E29" s="7">
        <v>500</v>
      </c>
      <c r="F29" s="7">
        <v>1000</v>
      </c>
      <c r="G29" s="7">
        <v>2500</v>
      </c>
      <c r="H29" s="7"/>
      <c r="I29" s="7">
        <v>13000</v>
      </c>
      <c r="K29" s="7">
        <f t="shared" si="1"/>
        <v>0</v>
      </c>
    </row>
    <row r="30" spans="1:12">
      <c r="A30" s="1" t="s">
        <v>36</v>
      </c>
      <c r="B30" s="1" t="str">
        <f>VLOOKUP(A30,LISTADHERENT!A$5:H$51,2)</f>
        <v>NGUIEMEGNI MATHIEU BLAISE</v>
      </c>
      <c r="C30" s="7">
        <f t="shared" si="0"/>
        <v>140000</v>
      </c>
      <c r="D30" s="7">
        <v>123000</v>
      </c>
      <c r="E30" s="7">
        <v>500</v>
      </c>
      <c r="F30" s="7">
        <v>1000</v>
      </c>
      <c r="G30" s="7">
        <v>2500</v>
      </c>
      <c r="H30" s="7"/>
      <c r="I30" s="7">
        <v>13000</v>
      </c>
      <c r="K30" s="7">
        <f t="shared" si="1"/>
        <v>0</v>
      </c>
    </row>
    <row r="31" spans="1:12" s="23" customFormat="1">
      <c r="A31" s="21" t="s">
        <v>37</v>
      </c>
      <c r="B31" s="21" t="str">
        <f>VLOOKUP(A31,LISTADHERENT!A$5:H$51,2)</f>
        <v>NJEPDJIO MBOUKAM DELUXE</v>
      </c>
      <c r="C31" s="22">
        <f t="shared" si="0"/>
        <v>23000</v>
      </c>
      <c r="D31" s="22">
        <v>6000</v>
      </c>
      <c r="E31" s="22">
        <v>500</v>
      </c>
      <c r="F31" s="22">
        <v>1000</v>
      </c>
      <c r="G31" s="22">
        <v>2500</v>
      </c>
      <c r="H31" s="22"/>
      <c r="I31" s="22">
        <v>13000</v>
      </c>
      <c r="J31" s="22">
        <v>1000000</v>
      </c>
      <c r="K31" s="22">
        <f t="shared" si="1"/>
        <v>120000</v>
      </c>
      <c r="L31" s="22">
        <v>1000000</v>
      </c>
    </row>
    <row r="32" spans="1:12">
      <c r="A32" s="1" t="s">
        <v>38</v>
      </c>
      <c r="B32" s="1" t="str">
        <f>VLOOKUP(A32,LISTADHERENT!A$5:H$51,2)</f>
        <v>NKAMGANG JUSTIN DEJOLIE</v>
      </c>
      <c r="C32" s="7">
        <f t="shared" si="0"/>
        <v>23000</v>
      </c>
      <c r="D32" s="7">
        <v>6000</v>
      </c>
      <c r="E32" s="7">
        <v>500</v>
      </c>
      <c r="F32" s="7">
        <v>1000</v>
      </c>
      <c r="G32" s="7">
        <v>2500</v>
      </c>
      <c r="H32" s="7"/>
      <c r="I32" s="7">
        <v>13000</v>
      </c>
      <c r="J32" s="11"/>
      <c r="K32" s="7">
        <f t="shared" si="1"/>
        <v>0</v>
      </c>
    </row>
    <row r="33" spans="1:12" s="11" customFormat="1">
      <c r="A33" s="1" t="s">
        <v>39</v>
      </c>
      <c r="B33" s="1" t="str">
        <f>VLOOKUP(A33,LISTADHERENT!A$5:H$51,2)</f>
        <v>NKEPSEU DIEUDONNE</v>
      </c>
      <c r="C33" s="10">
        <f>D33+E33+F33+G33+H33+I33</f>
        <v>25000</v>
      </c>
      <c r="D33" s="7">
        <v>8000</v>
      </c>
      <c r="E33" s="7">
        <v>500</v>
      </c>
      <c r="F33" s="7">
        <v>1000</v>
      </c>
      <c r="G33" s="7">
        <v>2500</v>
      </c>
      <c r="H33" s="7"/>
      <c r="I33" s="7">
        <v>13000</v>
      </c>
      <c r="J33"/>
      <c r="K33" s="7">
        <f t="shared" si="1"/>
        <v>0</v>
      </c>
    </row>
    <row r="34" spans="1:12">
      <c r="A34" s="1" t="s">
        <v>40</v>
      </c>
      <c r="B34" s="1" t="str">
        <f>VLOOKUP(A34,LISTADHERENT!A$5:H$51,2)</f>
        <v>NKEPSEU HENANG RENE</v>
      </c>
      <c r="C34" s="7">
        <f t="shared" si="0"/>
        <v>20000</v>
      </c>
      <c r="D34" s="7">
        <v>3000</v>
      </c>
      <c r="E34" s="7">
        <v>500</v>
      </c>
      <c r="F34" s="7">
        <v>1000</v>
      </c>
      <c r="G34" s="7">
        <v>2500</v>
      </c>
      <c r="H34" s="7"/>
      <c r="I34" s="7">
        <v>13000</v>
      </c>
      <c r="K34" s="7">
        <f t="shared" si="1"/>
        <v>0</v>
      </c>
    </row>
    <row r="35" spans="1:12">
      <c r="A35" s="1" t="s">
        <v>41</v>
      </c>
      <c r="B35" s="1" t="str">
        <f>VLOOKUP(A35,LISTADHERENT!A$5:H$51,2)</f>
        <v>NTEPDIE TUEMAC MZ</v>
      </c>
      <c r="C35" s="7">
        <f t="shared" si="0"/>
        <v>0</v>
      </c>
      <c r="D35" s="7"/>
      <c r="E35" s="7"/>
      <c r="F35" s="7"/>
      <c r="G35" s="7"/>
      <c r="H35" s="7"/>
      <c r="I35" s="7"/>
      <c r="K35" s="7">
        <f t="shared" si="1"/>
        <v>0</v>
      </c>
    </row>
    <row r="36" spans="1:12">
      <c r="A36" s="1" t="s">
        <v>42</v>
      </c>
      <c r="B36" s="1" t="str">
        <f>VLOOKUP(A36,LISTADHERENT!A$5:H$51,2)</f>
        <v>NTOMBOU ADOLPHE</v>
      </c>
      <c r="C36" s="7">
        <f t="shared" si="0"/>
        <v>20000</v>
      </c>
      <c r="D36" s="7">
        <v>3000</v>
      </c>
      <c r="E36" s="7">
        <v>500</v>
      </c>
      <c r="F36" s="7">
        <v>1000</v>
      </c>
      <c r="G36" s="7">
        <v>2500</v>
      </c>
      <c r="H36" s="7"/>
      <c r="I36" s="7">
        <v>13000</v>
      </c>
      <c r="K36" s="7">
        <f t="shared" si="1"/>
        <v>0</v>
      </c>
    </row>
    <row r="37" spans="1:12">
      <c r="A37" s="1" t="s">
        <v>43</v>
      </c>
      <c r="B37" s="1" t="str">
        <f>VLOOKUP(A37,LISTADHERENT!A$5:H$51,2)</f>
        <v>PATEGO NJOSSU GUSTAVE</v>
      </c>
      <c r="C37" s="7">
        <f t="shared" si="0"/>
        <v>20000</v>
      </c>
      <c r="D37" s="7">
        <v>3000</v>
      </c>
      <c r="E37" s="7">
        <v>500</v>
      </c>
      <c r="F37" s="7">
        <v>1000</v>
      </c>
      <c r="G37" s="7">
        <v>2500</v>
      </c>
      <c r="H37" s="7"/>
      <c r="I37" s="7">
        <v>13000</v>
      </c>
      <c r="K37" s="7">
        <f t="shared" si="1"/>
        <v>0</v>
      </c>
    </row>
    <row r="38" spans="1:12">
      <c r="A38" s="1" t="s">
        <v>44</v>
      </c>
      <c r="B38" s="1" t="str">
        <f>VLOOKUP(A38,LISTADHERENT!A$5:H$51,2)</f>
        <v>SEUNOU RICHELOT</v>
      </c>
      <c r="C38" s="7">
        <f t="shared" si="0"/>
        <v>20000</v>
      </c>
      <c r="D38" s="7">
        <v>3000</v>
      </c>
      <c r="E38" s="7">
        <v>500</v>
      </c>
      <c r="F38" s="7">
        <v>1000</v>
      </c>
      <c r="G38" s="7">
        <v>2500</v>
      </c>
      <c r="H38" s="7"/>
      <c r="I38" s="7">
        <v>13000</v>
      </c>
      <c r="K38" s="7">
        <f t="shared" si="1"/>
        <v>0</v>
      </c>
    </row>
    <row r="39" spans="1:12">
      <c r="A39" s="1" t="s">
        <v>45</v>
      </c>
      <c r="B39" s="1" t="str">
        <f>VLOOKUP(A39,LISTADHERENT!A$5:H$51,2)</f>
        <v>SIME ABEL</v>
      </c>
      <c r="C39" s="7">
        <f t="shared" si="0"/>
        <v>20000</v>
      </c>
      <c r="D39" s="7">
        <v>3000</v>
      </c>
      <c r="E39" s="7">
        <v>500</v>
      </c>
      <c r="F39" s="7">
        <v>1000</v>
      </c>
      <c r="G39" s="7">
        <v>2500</v>
      </c>
      <c r="H39" s="7"/>
      <c r="I39" s="7">
        <v>13000</v>
      </c>
      <c r="K39" s="7">
        <f t="shared" si="1"/>
        <v>0</v>
      </c>
    </row>
    <row r="40" spans="1:12">
      <c r="A40" s="1" t="s">
        <v>46</v>
      </c>
      <c r="B40" s="1" t="str">
        <f>VLOOKUP(A40,LISTADHERENT!A$5:H$51,2)</f>
        <v>SIME FONGANG ERIC</v>
      </c>
      <c r="C40" s="7">
        <f t="shared" si="0"/>
        <v>20000</v>
      </c>
      <c r="D40" s="7">
        <v>3000</v>
      </c>
      <c r="E40" s="7">
        <v>500</v>
      </c>
      <c r="F40" s="7">
        <v>1000</v>
      </c>
      <c r="G40" s="7">
        <v>2500</v>
      </c>
      <c r="H40" s="7"/>
      <c r="I40" s="7">
        <v>13000</v>
      </c>
      <c r="K40" s="7">
        <f t="shared" si="1"/>
        <v>0</v>
      </c>
    </row>
    <row r="41" spans="1:12">
      <c r="A41" s="1" t="s">
        <v>47</v>
      </c>
      <c r="B41" s="1" t="str">
        <f>VLOOKUP(A41,LISTADHERENT!A$5:H$51,2)</f>
        <v>SIME MATHIEU</v>
      </c>
      <c r="C41" s="7">
        <f t="shared" si="0"/>
        <v>20000</v>
      </c>
      <c r="D41" s="7">
        <v>3000</v>
      </c>
      <c r="E41" s="7">
        <v>500</v>
      </c>
      <c r="F41" s="7">
        <v>1000</v>
      </c>
      <c r="G41" s="7">
        <v>2500</v>
      </c>
      <c r="H41" s="7"/>
      <c r="I41" s="7">
        <v>13000</v>
      </c>
      <c r="K41" s="7">
        <f t="shared" si="1"/>
        <v>0</v>
      </c>
    </row>
    <row r="42" spans="1:12">
      <c r="A42" s="1" t="s">
        <v>48</v>
      </c>
      <c r="B42" s="1" t="str">
        <f>VLOOKUP(A42,LISTADHERENT!A$5:H$51,2)</f>
        <v>SIME PIERRE</v>
      </c>
      <c r="C42" s="7">
        <f t="shared" si="0"/>
        <v>20000</v>
      </c>
      <c r="D42" s="7">
        <v>3000</v>
      </c>
      <c r="E42" s="7">
        <v>500</v>
      </c>
      <c r="F42" s="7">
        <v>1000</v>
      </c>
      <c r="G42" s="7">
        <v>2500</v>
      </c>
      <c r="H42" s="7"/>
      <c r="I42" s="7">
        <v>13000</v>
      </c>
      <c r="K42" s="7">
        <f t="shared" si="1"/>
        <v>0</v>
      </c>
    </row>
    <row r="43" spans="1:12">
      <c r="A43" s="1" t="s">
        <v>49</v>
      </c>
      <c r="B43" s="1" t="str">
        <f>VLOOKUP(A43,LISTADHERENT!A$5:H$51,2)</f>
        <v>TAGNE NANGUEN MARTIN</v>
      </c>
      <c r="C43" s="7">
        <f t="shared" si="0"/>
        <v>20000</v>
      </c>
      <c r="D43" s="7">
        <v>3000</v>
      </c>
      <c r="E43" s="7">
        <v>500</v>
      </c>
      <c r="F43" s="7">
        <v>1000</v>
      </c>
      <c r="G43" s="7">
        <v>2500</v>
      </c>
      <c r="H43" s="7"/>
      <c r="I43" s="7">
        <v>13000</v>
      </c>
      <c r="K43" s="7">
        <f t="shared" si="1"/>
        <v>0</v>
      </c>
    </row>
    <row r="44" spans="1:12">
      <c r="A44" s="1" t="s">
        <v>50</v>
      </c>
      <c r="B44" s="1" t="str">
        <f>VLOOKUP(A44,LISTADHERENT!A$5:H$51,2)</f>
        <v>TCHOUAMOU JEAN PAUL</v>
      </c>
      <c r="C44" s="7">
        <f t="shared" si="0"/>
        <v>20000</v>
      </c>
      <c r="D44" s="7">
        <v>3000</v>
      </c>
      <c r="E44" s="7">
        <v>500</v>
      </c>
      <c r="F44" s="7">
        <v>1000</v>
      </c>
      <c r="G44" s="7">
        <v>2500</v>
      </c>
      <c r="H44" s="7"/>
      <c r="I44" s="7">
        <v>13000</v>
      </c>
      <c r="K44" s="7">
        <f t="shared" si="1"/>
        <v>0</v>
      </c>
    </row>
    <row r="45" spans="1:12">
      <c r="A45" s="1" t="s">
        <v>51</v>
      </c>
      <c r="B45" s="1" t="str">
        <f>VLOOKUP(A45,LISTADHERENT!A$5:H$51,2)</f>
        <v>TCHOUAMOU MATHIEU</v>
      </c>
      <c r="C45" s="7">
        <f t="shared" si="0"/>
        <v>20000</v>
      </c>
      <c r="D45" s="7">
        <v>3000</v>
      </c>
      <c r="E45" s="7">
        <v>500</v>
      </c>
      <c r="F45" s="7">
        <v>1000</v>
      </c>
      <c r="G45" s="7">
        <v>2500</v>
      </c>
      <c r="H45" s="7"/>
      <c r="I45" s="7">
        <v>13000</v>
      </c>
      <c r="J45" s="7">
        <v>500000</v>
      </c>
      <c r="K45" s="7">
        <f t="shared" si="1"/>
        <v>15000</v>
      </c>
      <c r="L45" s="7">
        <v>500000</v>
      </c>
    </row>
    <row r="46" spans="1:12">
      <c r="A46" s="1" t="s">
        <v>52</v>
      </c>
      <c r="B46" s="1" t="str">
        <f>VLOOKUP(A46,LISTADHERENT!A$5:H$51,2)</f>
        <v>TCHOUANTE FRANCOIS</v>
      </c>
      <c r="C46" s="7">
        <f t="shared" si="0"/>
        <v>23000</v>
      </c>
      <c r="D46" s="7">
        <v>6000</v>
      </c>
      <c r="E46" s="7">
        <v>500</v>
      </c>
      <c r="F46" s="7">
        <v>1000</v>
      </c>
      <c r="G46" s="7">
        <v>2500</v>
      </c>
      <c r="H46" s="7"/>
      <c r="I46" s="7">
        <v>13000</v>
      </c>
      <c r="K46" s="7">
        <f t="shared" si="1"/>
        <v>0</v>
      </c>
    </row>
    <row r="47" spans="1:12">
      <c r="A47" s="1" t="s">
        <v>53</v>
      </c>
      <c r="B47" s="1" t="str">
        <f>VLOOKUP(A47,LISTADHERENT!A$5:H$51,2)</f>
        <v>TCHOUTOU NANA CLAUDE</v>
      </c>
      <c r="C47" s="7">
        <f t="shared" si="0"/>
        <v>0</v>
      </c>
      <c r="D47" s="7"/>
      <c r="E47" s="7"/>
      <c r="F47" s="7"/>
      <c r="G47" s="7"/>
      <c r="H47" s="7"/>
      <c r="I47" s="7"/>
      <c r="K47" s="7">
        <f t="shared" si="1"/>
        <v>0</v>
      </c>
    </row>
    <row r="48" spans="1:12">
      <c r="A48" s="1" t="s">
        <v>54</v>
      </c>
      <c r="B48" s="1" t="str">
        <f>VLOOKUP(A48,LISTADHERENT!A$5:H$51,2)</f>
        <v>TIEYAM ERNEST</v>
      </c>
      <c r="C48" s="7">
        <f t="shared" si="0"/>
        <v>20000</v>
      </c>
      <c r="D48" s="7">
        <v>3000</v>
      </c>
      <c r="E48" s="7">
        <v>500</v>
      </c>
      <c r="F48" s="7">
        <v>1000</v>
      </c>
      <c r="G48" s="7">
        <v>2500</v>
      </c>
      <c r="H48" s="7"/>
      <c r="I48" s="7">
        <v>13000</v>
      </c>
      <c r="K48" s="7">
        <f t="shared" si="1"/>
        <v>0</v>
      </c>
    </row>
    <row r="49" spans="1:12">
      <c r="A49" s="1" t="s">
        <v>55</v>
      </c>
      <c r="B49" s="1" t="str">
        <f>VLOOKUP(A49,LISTADHERENT!A$5:H$51,2)</f>
        <v>TUGMA PIERRE LOTI</v>
      </c>
      <c r="C49" s="7">
        <f t="shared" si="0"/>
        <v>20000</v>
      </c>
      <c r="D49" s="7">
        <v>3000</v>
      </c>
      <c r="E49" s="7">
        <v>500</v>
      </c>
      <c r="F49" s="7">
        <v>1000</v>
      </c>
      <c r="G49" s="7">
        <v>2500</v>
      </c>
      <c r="H49" s="7"/>
      <c r="I49" s="7">
        <v>13000</v>
      </c>
      <c r="K49" s="7">
        <f t="shared" si="1"/>
        <v>0</v>
      </c>
    </row>
    <row r="50" spans="1:12" ht="18">
      <c r="A50" s="1" t="s">
        <v>66</v>
      </c>
      <c r="B50" s="1" t="str">
        <f>VLOOKUP(A50,LISTADHERENT!A$5:H$51,2)</f>
        <v>YEPMOU JEAN JACQUES</v>
      </c>
      <c r="C50" s="7">
        <f t="shared" si="0"/>
        <v>20000</v>
      </c>
      <c r="D50" s="7">
        <v>3000</v>
      </c>
      <c r="E50" s="7">
        <v>500</v>
      </c>
      <c r="F50" s="7">
        <v>1000</v>
      </c>
      <c r="G50" s="7">
        <v>2500</v>
      </c>
      <c r="H50" s="7"/>
      <c r="I50" s="7">
        <v>13000</v>
      </c>
      <c r="J50" s="9"/>
      <c r="K50" s="7">
        <f t="shared" si="1"/>
        <v>0</v>
      </c>
    </row>
    <row r="51" spans="1:12">
      <c r="A51" s="1" t="s">
        <v>178</v>
      </c>
      <c r="B51" s="1" t="str">
        <f>VLOOKUP(A51,LISTADHERENT!A$5:H$51,2)</f>
        <v>YOUMBI EMMANUEL</v>
      </c>
      <c r="C51" s="7">
        <f t="shared" si="0"/>
        <v>20000</v>
      </c>
      <c r="D51" s="7">
        <v>3000</v>
      </c>
      <c r="E51" s="7">
        <v>500</v>
      </c>
      <c r="F51" s="7">
        <v>1000</v>
      </c>
      <c r="G51" s="7">
        <v>2500</v>
      </c>
      <c r="I51" s="7">
        <v>13000</v>
      </c>
      <c r="K51" s="7">
        <f t="shared" si="1"/>
        <v>0</v>
      </c>
    </row>
    <row r="52" spans="1:12" ht="18">
      <c r="A52" s="1"/>
      <c r="B52" s="1" t="s">
        <v>180</v>
      </c>
      <c r="E52" s="4"/>
      <c r="I52" s="7">
        <f>87500+28000</f>
        <v>115500</v>
      </c>
      <c r="K52" s="7">
        <f t="shared" si="1"/>
        <v>0</v>
      </c>
      <c r="L52" s="9"/>
    </row>
    <row r="53" spans="1:12" ht="18">
      <c r="A53" s="1"/>
      <c r="B53" s="1"/>
      <c r="E53" s="4"/>
      <c r="L53" s="9"/>
    </row>
    <row r="54" spans="1:12" ht="18">
      <c r="A54" s="8" t="s">
        <v>56</v>
      </c>
      <c r="B54" s="8"/>
      <c r="C54" s="9">
        <f>SUM(C5:C52)</f>
        <v>1032000</v>
      </c>
      <c r="D54" s="9">
        <f t="shared" ref="D54:I54" si="2">SUM(D5:D52)</f>
        <v>301000</v>
      </c>
      <c r="E54" s="9">
        <f t="shared" si="2"/>
        <v>21500</v>
      </c>
      <c r="F54" s="9">
        <f t="shared" si="2"/>
        <v>43000</v>
      </c>
      <c r="G54" s="9">
        <f t="shared" si="2"/>
        <v>107500</v>
      </c>
      <c r="H54" s="9">
        <f t="shared" si="2"/>
        <v>0</v>
      </c>
      <c r="I54" s="9">
        <f t="shared" si="2"/>
        <v>674500</v>
      </c>
      <c r="J54" s="9">
        <f>SUM(J5:J51)</f>
        <v>3040000</v>
      </c>
      <c r="K54" s="9">
        <f>SUM(K5:K51)</f>
        <v>271200</v>
      </c>
    </row>
  </sheetData>
  <autoFilter ref="A4:L50">
    <filterColumn colId="8"/>
    <filterColumn colId="9"/>
    <filterColumn colId="10"/>
    <filterColumn colId="11"/>
  </autoFilter>
  <dataValidations count="1">
    <dataValidation type="list" allowBlank="1" showInputMessage="1" showErrorMessage="1" promptTitle="Saissisez le mode de VERSEMENT" sqref="E5:E51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54"/>
  <sheetViews>
    <sheetView workbookViewId="0">
      <pane xSplit="2" ySplit="4" topLeftCell="H11" activePane="bottomRight" state="frozen"/>
      <selection activeCell="B22" sqref="B22"/>
      <selection pane="topRight" activeCell="B22" sqref="B22"/>
      <selection pane="bottomLeft" activeCell="B22" sqref="B22"/>
      <selection pane="bottomRight" activeCell="L23" sqref="L23"/>
    </sheetView>
  </sheetViews>
  <sheetFormatPr baseColWidth="10" defaultRowHeight="15"/>
  <cols>
    <col min="1" max="1" width="13.85546875" customWidth="1"/>
    <col min="2" max="2" width="29.5703125" bestFit="1" customWidth="1"/>
    <col min="3" max="3" width="17.42578125" style="2" customWidth="1"/>
    <col min="4" max="4" width="12.5703125" bestFit="1" customWidth="1"/>
    <col min="5" max="5" width="17.5703125" style="3" bestFit="1" customWidth="1"/>
    <col min="6" max="6" width="15.7109375" style="2" customWidth="1"/>
    <col min="7" max="7" width="14.7109375" style="2" customWidth="1"/>
    <col min="8" max="8" width="18.140625" style="2" bestFit="1" customWidth="1"/>
    <col min="9" max="9" width="18.140625" customWidth="1"/>
    <col min="10" max="10" width="15" bestFit="1" customWidth="1"/>
    <col min="11" max="11" width="12.5703125" bestFit="1" customWidth="1"/>
    <col min="12" max="12" width="18.140625" customWidth="1"/>
  </cols>
  <sheetData>
    <row r="1" spans="1:12">
      <c r="A1" s="1" t="s">
        <v>0</v>
      </c>
      <c r="B1" s="1" t="s">
        <v>1</v>
      </c>
    </row>
    <row r="2" spans="1:12">
      <c r="A2" s="1" t="s">
        <v>2</v>
      </c>
      <c r="B2" s="1" t="s">
        <v>3</v>
      </c>
    </row>
    <row r="3" spans="1:12">
      <c r="A3" s="1" t="s">
        <v>4</v>
      </c>
      <c r="B3" s="1" t="s">
        <v>5</v>
      </c>
    </row>
    <row r="4" spans="1:12" ht="29.25">
      <c r="A4" s="1" t="s">
        <v>6</v>
      </c>
      <c r="B4" s="1" t="s">
        <v>7</v>
      </c>
      <c r="C4" s="5" t="s">
        <v>65</v>
      </c>
      <c r="D4" s="1" t="s">
        <v>57</v>
      </c>
      <c r="E4" s="5" t="s">
        <v>58</v>
      </c>
      <c r="F4" s="5" t="s">
        <v>59</v>
      </c>
      <c r="G4" s="5" t="s">
        <v>60</v>
      </c>
      <c r="H4" s="5" t="s">
        <v>61</v>
      </c>
      <c r="I4" s="5" t="s">
        <v>62</v>
      </c>
      <c r="J4" s="5" t="s">
        <v>63</v>
      </c>
      <c r="K4" s="5" t="s">
        <v>64</v>
      </c>
      <c r="L4" s="5" t="s">
        <v>8</v>
      </c>
    </row>
    <row r="5" spans="1:12">
      <c r="A5" s="1" t="s">
        <v>11</v>
      </c>
      <c r="B5" s="1" t="str">
        <f>VLOOKUP(A5,LISTADHERENT!A$5:H$51,2)</f>
        <v>BAKOP ACHILLE</v>
      </c>
      <c r="C5" s="7">
        <f t="shared" ref="C5:C51" si="0">D5+E5+F5+G5+H5+I5</f>
        <v>0</v>
      </c>
      <c r="D5" s="7"/>
      <c r="E5" s="7"/>
      <c r="F5" s="7"/>
      <c r="G5" s="7"/>
      <c r="H5" s="7"/>
      <c r="I5" s="7"/>
      <c r="J5" s="7"/>
      <c r="K5" s="7">
        <f>IF(J5&lt;=500000,(J5*1*3/100),(J5*12/100))</f>
        <v>0</v>
      </c>
    </row>
    <row r="6" spans="1:12">
      <c r="A6" s="1" t="s">
        <v>12</v>
      </c>
      <c r="B6" s="1" t="str">
        <f>VLOOKUP(A6,LISTADHERENT!A$5:H$51,2)</f>
        <v>BOUTCHOUANG WILLIAM</v>
      </c>
      <c r="C6" s="7">
        <f t="shared" si="0"/>
        <v>20000</v>
      </c>
      <c r="D6" s="7">
        <v>3000</v>
      </c>
      <c r="E6" s="7">
        <v>500</v>
      </c>
      <c r="F6" s="7">
        <v>1000</v>
      </c>
      <c r="G6" s="7">
        <v>2500</v>
      </c>
      <c r="H6" s="7"/>
      <c r="I6" s="7">
        <v>13000</v>
      </c>
      <c r="J6" s="7">
        <v>1000000</v>
      </c>
      <c r="K6" s="7">
        <f>IF(J6&lt;=500000,(J6*1*3/100),(J6*12/100))/3</f>
        <v>40000</v>
      </c>
    </row>
    <row r="7" spans="1:12">
      <c r="A7" s="1" t="s">
        <v>13</v>
      </c>
      <c r="B7" s="1" t="str">
        <f>VLOOKUP(A7,LISTADHERENT!A$5:H$51,2)</f>
        <v>CHINGUE FABRICE</v>
      </c>
      <c r="C7" s="7">
        <f t="shared" si="0"/>
        <v>20000</v>
      </c>
      <c r="D7" s="7">
        <v>3000</v>
      </c>
      <c r="E7" s="7">
        <v>500</v>
      </c>
      <c r="F7" s="7">
        <v>1000</v>
      </c>
      <c r="G7" s="7">
        <v>2500</v>
      </c>
      <c r="H7" s="7"/>
      <c r="I7" s="7">
        <v>13000</v>
      </c>
      <c r="K7" s="7">
        <f t="shared" ref="K6:K52" si="1">IF(J7&lt;=500000,(J7*1*3/100),(J7*12/100))</f>
        <v>0</v>
      </c>
    </row>
    <row r="8" spans="1:12">
      <c r="A8" s="1" t="s">
        <v>14</v>
      </c>
      <c r="B8" s="1" t="str">
        <f>VLOOKUP(A8,LISTADHERENT!A$5:H$51,2)</f>
        <v xml:space="preserve">DJOMO JEAN PAUL </v>
      </c>
      <c r="C8" s="7">
        <f t="shared" si="0"/>
        <v>20000</v>
      </c>
      <c r="D8" s="7">
        <v>3000</v>
      </c>
      <c r="E8" s="7">
        <v>500</v>
      </c>
      <c r="F8" s="7">
        <v>1000</v>
      </c>
      <c r="G8" s="7">
        <v>2500</v>
      </c>
      <c r="H8" s="7"/>
      <c r="I8" s="7">
        <v>13000</v>
      </c>
      <c r="K8" s="7">
        <f t="shared" si="1"/>
        <v>0</v>
      </c>
    </row>
    <row r="9" spans="1:12">
      <c r="A9" s="1" t="s">
        <v>15</v>
      </c>
      <c r="B9" s="1" t="str">
        <f>VLOOKUP(A9,LISTADHERENT!A$5:H$51,2)</f>
        <v>DJOUKWE GUY</v>
      </c>
      <c r="C9" s="7">
        <f t="shared" si="0"/>
        <v>20000</v>
      </c>
      <c r="D9" s="7">
        <v>3000</v>
      </c>
      <c r="E9" s="7">
        <v>500</v>
      </c>
      <c r="F9" s="7">
        <v>1000</v>
      </c>
      <c r="G9" s="7">
        <v>2500</v>
      </c>
      <c r="H9" s="7"/>
      <c r="I9" s="7">
        <v>13000</v>
      </c>
      <c r="K9" s="7">
        <f t="shared" si="1"/>
        <v>0</v>
      </c>
    </row>
    <row r="10" spans="1:12">
      <c r="A10" s="1" t="s">
        <v>16</v>
      </c>
      <c r="B10" s="1" t="str">
        <f>VLOOKUP(A10,LISTADHERENT!A$5:H$51,2)</f>
        <v>DJOSSEU JOSUE</v>
      </c>
      <c r="C10" s="7">
        <f t="shared" si="0"/>
        <v>0</v>
      </c>
      <c r="D10" s="7"/>
      <c r="E10" s="7"/>
      <c r="F10" s="7"/>
      <c r="G10" s="7"/>
      <c r="H10" s="7"/>
      <c r="I10" s="7"/>
      <c r="K10" s="7">
        <f t="shared" si="1"/>
        <v>0</v>
      </c>
    </row>
    <row r="11" spans="1:12">
      <c r="A11" s="1" t="s">
        <v>17</v>
      </c>
      <c r="B11" s="1" t="str">
        <f>VLOOKUP(A11,LISTADHERENT!A$5:H$51,2)</f>
        <v>DJOUNKEP SAMUEL</v>
      </c>
      <c r="C11" s="7">
        <f t="shared" si="0"/>
        <v>20000</v>
      </c>
      <c r="D11" s="7">
        <v>3000</v>
      </c>
      <c r="E11" s="7">
        <v>500</v>
      </c>
      <c r="F11" s="7">
        <v>1000</v>
      </c>
      <c r="G11" s="7">
        <v>2500</v>
      </c>
      <c r="H11" s="7"/>
      <c r="I11" s="7">
        <v>13000</v>
      </c>
      <c r="K11" s="7">
        <f t="shared" si="1"/>
        <v>0</v>
      </c>
    </row>
    <row r="12" spans="1:12">
      <c r="A12" s="1" t="s">
        <v>18</v>
      </c>
      <c r="B12" s="1" t="str">
        <f>VLOOKUP(A12,LISTADHERENT!A$5:H$51,2)</f>
        <v>DJUOMBESSY ANTOINE</v>
      </c>
      <c r="C12" s="7">
        <f t="shared" si="0"/>
        <v>20000</v>
      </c>
      <c r="D12" s="7">
        <v>3000</v>
      </c>
      <c r="E12" s="7">
        <v>500</v>
      </c>
      <c r="F12" s="7">
        <v>1000</v>
      </c>
      <c r="G12" s="7">
        <v>2500</v>
      </c>
      <c r="H12" s="7"/>
      <c r="I12" s="7">
        <v>13000</v>
      </c>
      <c r="K12" s="7">
        <f t="shared" si="1"/>
        <v>0</v>
      </c>
    </row>
    <row r="13" spans="1:12">
      <c r="A13" s="1" t="s">
        <v>19</v>
      </c>
      <c r="B13" s="1" t="str">
        <f>VLOOKUP(A13,LISTADHERENT!A$5:H$51,2)</f>
        <v>DONHOU DAVID</v>
      </c>
      <c r="C13" s="7">
        <f t="shared" si="0"/>
        <v>20000</v>
      </c>
      <c r="D13" s="7">
        <v>3000</v>
      </c>
      <c r="E13" s="7">
        <v>500</v>
      </c>
      <c r="F13" s="7">
        <v>1000</v>
      </c>
      <c r="G13" s="7">
        <v>2500</v>
      </c>
      <c r="H13" s="7"/>
      <c r="I13" s="7">
        <v>13000</v>
      </c>
      <c r="K13" s="7">
        <f t="shared" si="1"/>
        <v>0</v>
      </c>
    </row>
    <row r="14" spans="1:12">
      <c r="A14" s="1" t="s">
        <v>20</v>
      </c>
      <c r="B14" s="1" t="str">
        <f>VLOOKUP(A14,LISTADHERENT!A$5:H$51,2)</f>
        <v>FOTSO THOMAS</v>
      </c>
      <c r="C14" s="7">
        <f t="shared" si="0"/>
        <v>20000</v>
      </c>
      <c r="D14" s="7">
        <v>3000</v>
      </c>
      <c r="E14" s="7">
        <v>500</v>
      </c>
      <c r="F14" s="7">
        <v>1000</v>
      </c>
      <c r="G14" s="7">
        <v>2500</v>
      </c>
      <c r="H14" s="7"/>
      <c r="I14" s="7">
        <v>13000</v>
      </c>
      <c r="K14" s="7">
        <f t="shared" si="1"/>
        <v>0</v>
      </c>
    </row>
    <row r="15" spans="1:12">
      <c r="A15" s="1" t="s">
        <v>21</v>
      </c>
      <c r="B15" s="1" t="str">
        <f>VLOOKUP(A15,LISTADHERENT!A$5:H$51,2)</f>
        <v>HENGUE PAUL OMER</v>
      </c>
      <c r="C15" s="7">
        <f t="shared" si="0"/>
        <v>20000</v>
      </c>
      <c r="D15" s="7">
        <v>3000</v>
      </c>
      <c r="E15" s="7">
        <v>500</v>
      </c>
      <c r="F15" s="7">
        <v>1000</v>
      </c>
      <c r="G15" s="7">
        <v>2500</v>
      </c>
      <c r="H15" s="7"/>
      <c r="I15" s="7">
        <v>13000</v>
      </c>
      <c r="K15" s="7">
        <f t="shared" si="1"/>
        <v>0</v>
      </c>
    </row>
    <row r="16" spans="1:12">
      <c r="A16" s="1" t="s">
        <v>22</v>
      </c>
      <c r="B16" s="1" t="str">
        <f>VLOOKUP(A16,LISTADHERENT!A$5:H$51,2)</f>
        <v>HODIEP JULES</v>
      </c>
      <c r="C16" s="7">
        <f t="shared" si="0"/>
        <v>20000</v>
      </c>
      <c r="D16" s="7">
        <v>3000</v>
      </c>
      <c r="E16" s="7">
        <v>500</v>
      </c>
      <c r="F16" s="7">
        <v>1000</v>
      </c>
      <c r="G16" s="7">
        <v>2500</v>
      </c>
      <c r="H16" s="7"/>
      <c r="I16" s="7">
        <v>13000</v>
      </c>
      <c r="K16" s="7">
        <f t="shared" si="1"/>
        <v>0</v>
      </c>
    </row>
    <row r="17" spans="1:11">
      <c r="A17" s="1" t="s">
        <v>23</v>
      </c>
      <c r="B17" s="1" t="str">
        <f>VLOOKUP(A17,LISTADHERENT!A$5:H$51,2)</f>
        <v>HOTCHO BENJAMIN</v>
      </c>
      <c r="C17" s="7">
        <f t="shared" si="0"/>
        <v>20000</v>
      </c>
      <c r="D17" s="7">
        <v>3000</v>
      </c>
      <c r="E17" s="7">
        <v>500</v>
      </c>
      <c r="F17" s="7">
        <v>1000</v>
      </c>
      <c r="G17" s="7">
        <v>2500</v>
      </c>
      <c r="H17" s="7"/>
      <c r="I17" s="7">
        <v>13000</v>
      </c>
      <c r="K17" s="7">
        <f t="shared" si="1"/>
        <v>0</v>
      </c>
    </row>
    <row r="18" spans="1:11">
      <c r="A18" s="1" t="s">
        <v>24</v>
      </c>
      <c r="B18" s="1" t="str">
        <f>VLOOKUP(A18,LISTADHERENT!A$5:H$51,2)</f>
        <v>KEPHE DAVID</v>
      </c>
      <c r="C18" s="7">
        <f t="shared" si="0"/>
        <v>20000</v>
      </c>
      <c r="D18" s="7">
        <v>3000</v>
      </c>
      <c r="E18" s="7">
        <v>500</v>
      </c>
      <c r="F18" s="7">
        <v>1000</v>
      </c>
      <c r="G18" s="7">
        <v>2500</v>
      </c>
      <c r="H18" s="7"/>
      <c r="I18" s="7">
        <v>13000</v>
      </c>
      <c r="K18" s="7">
        <f t="shared" si="1"/>
        <v>0</v>
      </c>
    </row>
    <row r="19" spans="1:11">
      <c r="A19" s="1" t="s">
        <v>25</v>
      </c>
      <c r="B19" s="1" t="str">
        <f>VLOOKUP(A19,LISTADHERENT!A$5:H$51,2)</f>
        <v>KEPSEU FRANCIS</v>
      </c>
      <c r="C19" s="7">
        <f t="shared" si="0"/>
        <v>23000</v>
      </c>
      <c r="D19" s="7">
        <v>6000</v>
      </c>
      <c r="E19" s="7">
        <v>500</v>
      </c>
      <c r="F19" s="7">
        <v>1000</v>
      </c>
      <c r="G19" s="7">
        <v>2500</v>
      </c>
      <c r="H19" s="7"/>
      <c r="I19" s="7">
        <v>13000</v>
      </c>
      <c r="K19" s="7">
        <f t="shared" si="1"/>
        <v>0</v>
      </c>
    </row>
    <row r="20" spans="1:11">
      <c r="A20" s="1" t="s">
        <v>26</v>
      </c>
      <c r="B20" s="1" t="str">
        <f>VLOOKUP(A20,LISTADHERENT!A$5:H$51,2)</f>
        <v>KOUAMOU EMMANUEL</v>
      </c>
      <c r="C20" s="7">
        <f t="shared" si="0"/>
        <v>20000</v>
      </c>
      <c r="D20" s="7">
        <v>3000</v>
      </c>
      <c r="E20" s="7">
        <v>500</v>
      </c>
      <c r="F20" s="7">
        <v>1000</v>
      </c>
      <c r="G20" s="7">
        <v>2500</v>
      </c>
      <c r="H20" s="7"/>
      <c r="I20" s="7">
        <v>13000</v>
      </c>
      <c r="J20" s="7">
        <v>1000000</v>
      </c>
      <c r="K20" s="7">
        <f t="shared" si="1"/>
        <v>120000</v>
      </c>
    </row>
    <row r="21" spans="1:11">
      <c r="A21" s="1" t="s">
        <v>27</v>
      </c>
      <c r="B21" s="1" t="str">
        <f>VLOOKUP(A21,LISTADHERENT!A$5:H$51,2)</f>
        <v>KOUAMOU MOISE</v>
      </c>
      <c r="C21" s="7">
        <f t="shared" si="0"/>
        <v>20000</v>
      </c>
      <c r="D21" s="7">
        <v>3000</v>
      </c>
      <c r="E21" s="7">
        <v>500</v>
      </c>
      <c r="F21" s="7">
        <v>1000</v>
      </c>
      <c r="G21" s="7">
        <v>2500</v>
      </c>
      <c r="H21" s="7"/>
      <c r="I21" s="7">
        <v>13000</v>
      </c>
      <c r="J21" s="7">
        <v>800000</v>
      </c>
      <c r="K21" s="7">
        <f t="shared" si="1"/>
        <v>96000</v>
      </c>
    </row>
    <row r="22" spans="1:11">
      <c r="A22" s="1" t="s">
        <v>28</v>
      </c>
      <c r="B22" s="1" t="str">
        <f>VLOOKUP(A22,LISTADHERENT!A$5:H$51,2)</f>
        <v>KOUAMOU VICTOR PEGUY</v>
      </c>
      <c r="C22" s="7">
        <f t="shared" si="0"/>
        <v>20000</v>
      </c>
      <c r="D22" s="7">
        <v>3000</v>
      </c>
      <c r="E22" s="7">
        <v>500</v>
      </c>
      <c r="F22" s="7">
        <v>1000</v>
      </c>
      <c r="G22" s="7">
        <v>2500</v>
      </c>
      <c r="H22" s="7"/>
      <c r="I22" s="7">
        <v>13000</v>
      </c>
      <c r="J22" s="7">
        <v>1000000</v>
      </c>
      <c r="K22" s="7">
        <v>32000</v>
      </c>
    </row>
    <row r="23" spans="1:11">
      <c r="A23" s="1" t="s">
        <v>29</v>
      </c>
      <c r="B23" s="1" t="str">
        <f>VLOOKUP(A23,LISTADHERENT!A$5:H$51,2)</f>
        <v>KOUATCHO MESSACK</v>
      </c>
      <c r="C23" s="7">
        <f t="shared" si="0"/>
        <v>20000</v>
      </c>
      <c r="D23" s="7">
        <v>3000</v>
      </c>
      <c r="E23" s="7">
        <v>500</v>
      </c>
      <c r="F23" s="7">
        <v>1000</v>
      </c>
      <c r="G23" s="7">
        <v>2500</v>
      </c>
      <c r="H23" s="7"/>
      <c r="I23" s="7">
        <v>13000</v>
      </c>
      <c r="J23" s="7"/>
      <c r="K23" s="7">
        <f t="shared" si="1"/>
        <v>0</v>
      </c>
    </row>
    <row r="24" spans="1:11">
      <c r="A24" s="1" t="s">
        <v>30</v>
      </c>
      <c r="B24" s="1" t="str">
        <f>VLOOKUP(A24,LISTADHERENT!A$5:H$51,2)</f>
        <v>LOWE JEAN</v>
      </c>
      <c r="C24" s="7">
        <f t="shared" si="0"/>
        <v>20000</v>
      </c>
      <c r="D24" s="7">
        <v>3000</v>
      </c>
      <c r="E24" s="7">
        <v>500</v>
      </c>
      <c r="F24" s="7">
        <v>1000</v>
      </c>
      <c r="G24" s="7">
        <v>2500</v>
      </c>
      <c r="H24" s="7"/>
      <c r="I24" s="7">
        <v>13000</v>
      </c>
      <c r="K24" s="7">
        <f t="shared" si="1"/>
        <v>0</v>
      </c>
    </row>
    <row r="25" spans="1:11">
      <c r="A25" s="1" t="s">
        <v>31</v>
      </c>
      <c r="B25" s="1" t="str">
        <f>VLOOKUP(A25,LISTADHERENT!A$5:H$51,2)</f>
        <v>NANKAM APPOLINAIRE</v>
      </c>
      <c r="C25" s="7">
        <f t="shared" si="0"/>
        <v>20000</v>
      </c>
      <c r="D25" s="7">
        <v>3000</v>
      </c>
      <c r="E25" s="7">
        <v>500</v>
      </c>
      <c r="F25" s="7">
        <v>1000</v>
      </c>
      <c r="G25" s="7">
        <v>2500</v>
      </c>
      <c r="H25" s="7"/>
      <c r="I25" s="7">
        <v>13000</v>
      </c>
      <c r="J25" s="7">
        <v>1000000</v>
      </c>
      <c r="K25" s="7">
        <f t="shared" si="1"/>
        <v>120000</v>
      </c>
    </row>
    <row r="26" spans="1:11">
      <c r="A26" s="1" t="s">
        <v>32</v>
      </c>
      <c r="B26" s="1" t="str">
        <f>VLOOKUP(A26,LISTADHERENT!A$5:H$51,2)</f>
        <v>NDJOMO ETIENNE</v>
      </c>
      <c r="C26" s="7">
        <f t="shared" si="0"/>
        <v>25000</v>
      </c>
      <c r="D26" s="7">
        <v>8000</v>
      </c>
      <c r="E26" s="7">
        <v>500</v>
      </c>
      <c r="F26" s="7">
        <v>1000</v>
      </c>
      <c r="G26" s="7">
        <v>2500</v>
      </c>
      <c r="H26" s="7"/>
      <c r="I26" s="7">
        <v>13000</v>
      </c>
      <c r="J26" s="7"/>
      <c r="K26" s="7">
        <f t="shared" si="1"/>
        <v>0</v>
      </c>
    </row>
    <row r="27" spans="1:11">
      <c r="A27" s="1" t="s">
        <v>33</v>
      </c>
      <c r="B27" s="1" t="str">
        <f>VLOOKUP(A27,LISTADHERENT!A$5:H$51,2)</f>
        <v>NDOMBOU JEAN CLAUDE</v>
      </c>
      <c r="C27" s="7">
        <f t="shared" si="0"/>
        <v>0</v>
      </c>
      <c r="D27" s="7"/>
      <c r="E27" s="7"/>
      <c r="F27" s="7"/>
      <c r="G27" s="7"/>
      <c r="H27" s="7"/>
      <c r="I27" s="7"/>
      <c r="K27" s="7">
        <f t="shared" si="1"/>
        <v>0</v>
      </c>
    </row>
    <row r="28" spans="1:11">
      <c r="A28" s="1" t="s">
        <v>34</v>
      </c>
      <c r="B28" s="1" t="str">
        <f>VLOOKUP(A28,LISTADHERENT!A$5:H$51,2)</f>
        <v>NGONDIEP CLAUDE</v>
      </c>
      <c r="C28" s="7">
        <f t="shared" si="0"/>
        <v>20000</v>
      </c>
      <c r="D28" s="7">
        <v>3000</v>
      </c>
      <c r="E28" s="7">
        <v>500</v>
      </c>
      <c r="F28" s="7">
        <v>1000</v>
      </c>
      <c r="G28" s="7">
        <v>2500</v>
      </c>
      <c r="H28" s="7"/>
      <c r="I28" s="7">
        <v>13000</v>
      </c>
      <c r="K28" s="7">
        <f t="shared" si="1"/>
        <v>0</v>
      </c>
    </row>
    <row r="29" spans="1:11">
      <c r="A29" s="1" t="s">
        <v>35</v>
      </c>
      <c r="B29" s="1" t="str">
        <f>VLOOKUP(A29,LISTADHERENT!A$5:H$51,2)</f>
        <v>NGONGANG JEAN THEODORE</v>
      </c>
      <c r="C29" s="7">
        <f t="shared" si="0"/>
        <v>20000</v>
      </c>
      <c r="D29" s="7">
        <v>3000</v>
      </c>
      <c r="E29" s="7">
        <v>500</v>
      </c>
      <c r="F29" s="7">
        <v>1000</v>
      </c>
      <c r="G29" s="7">
        <v>2500</v>
      </c>
      <c r="H29" s="7"/>
      <c r="I29" s="7">
        <v>13000</v>
      </c>
      <c r="K29" s="7">
        <f t="shared" si="1"/>
        <v>0</v>
      </c>
    </row>
    <row r="30" spans="1:11">
      <c r="A30" s="1" t="s">
        <v>36</v>
      </c>
      <c r="B30" s="1" t="str">
        <f>VLOOKUP(A30,LISTADHERENT!A$5:H$51,2)</f>
        <v>NGUIEMEGNI MATHIEU BLAISE</v>
      </c>
      <c r="C30" s="7">
        <f t="shared" si="0"/>
        <v>20000</v>
      </c>
      <c r="D30" s="7">
        <v>3000</v>
      </c>
      <c r="E30" s="7">
        <v>500</v>
      </c>
      <c r="F30" s="7">
        <v>1000</v>
      </c>
      <c r="G30" s="7">
        <v>2500</v>
      </c>
      <c r="H30" s="7"/>
      <c r="I30" s="7">
        <v>13000</v>
      </c>
      <c r="K30" s="7">
        <f t="shared" si="1"/>
        <v>0</v>
      </c>
    </row>
    <row r="31" spans="1:11">
      <c r="A31" s="1" t="s">
        <v>37</v>
      </c>
      <c r="B31" s="1" t="str">
        <f>VLOOKUP(A31,LISTADHERENT!A$5:H$51,2)</f>
        <v>NJEPDJIO MBOUKAM DELUXE</v>
      </c>
      <c r="C31" s="7">
        <f t="shared" si="0"/>
        <v>20000</v>
      </c>
      <c r="D31" s="7">
        <v>3000</v>
      </c>
      <c r="E31" s="7">
        <v>500</v>
      </c>
      <c r="F31" s="7">
        <v>1000</v>
      </c>
      <c r="G31" s="7">
        <v>2500</v>
      </c>
      <c r="H31" s="7"/>
      <c r="I31" s="7">
        <v>13000</v>
      </c>
      <c r="K31" s="7">
        <f t="shared" si="1"/>
        <v>0</v>
      </c>
    </row>
    <row r="32" spans="1:11">
      <c r="A32" s="1" t="s">
        <v>38</v>
      </c>
      <c r="B32" s="1" t="str">
        <f>VLOOKUP(A32,LISTADHERENT!A$5:H$51,2)</f>
        <v>NKAMGANG JUSTIN DEJOLIE</v>
      </c>
      <c r="C32" s="7">
        <f t="shared" si="0"/>
        <v>23000</v>
      </c>
      <c r="D32" s="7">
        <v>6000</v>
      </c>
      <c r="E32" s="7">
        <v>500</v>
      </c>
      <c r="F32" s="7">
        <v>1000</v>
      </c>
      <c r="G32" s="7">
        <v>2500</v>
      </c>
      <c r="H32" s="7"/>
      <c r="I32" s="7">
        <v>13000</v>
      </c>
      <c r="J32" s="11"/>
      <c r="K32" s="7">
        <f t="shared" si="1"/>
        <v>0</v>
      </c>
    </row>
    <row r="33" spans="1:12" s="11" customFormat="1">
      <c r="A33" s="1" t="s">
        <v>39</v>
      </c>
      <c r="B33" s="1" t="str">
        <f>VLOOKUP(A33,LISTADHERENT!A$5:H$51,2)</f>
        <v>NKEPSEU DIEUDONNE</v>
      </c>
      <c r="C33" s="10">
        <f>D33+E33+F33+G33+H33+I33</f>
        <v>25000</v>
      </c>
      <c r="D33" s="7">
        <v>8000</v>
      </c>
      <c r="E33" s="7">
        <v>500</v>
      </c>
      <c r="F33" s="7">
        <v>1000</v>
      </c>
      <c r="G33" s="7">
        <v>2500</v>
      </c>
      <c r="H33" s="7"/>
      <c r="I33" s="7">
        <v>13000</v>
      </c>
      <c r="J33"/>
      <c r="K33" s="7">
        <f t="shared" si="1"/>
        <v>0</v>
      </c>
    </row>
    <row r="34" spans="1:12">
      <c r="A34" s="1" t="s">
        <v>40</v>
      </c>
      <c r="B34" s="1" t="str">
        <f>VLOOKUP(A34,LISTADHERENT!A$5:H$51,2)</f>
        <v>NKEPSEU HENANG RENE</v>
      </c>
      <c r="C34" s="7">
        <f t="shared" si="0"/>
        <v>20000</v>
      </c>
      <c r="D34" s="7">
        <v>3000</v>
      </c>
      <c r="E34" s="7">
        <v>500</v>
      </c>
      <c r="F34" s="7">
        <v>1000</v>
      </c>
      <c r="G34" s="7">
        <v>2500</v>
      </c>
      <c r="H34" s="7"/>
      <c r="I34" s="7">
        <v>13000</v>
      </c>
      <c r="K34" s="7">
        <f t="shared" si="1"/>
        <v>0</v>
      </c>
    </row>
    <row r="35" spans="1:12">
      <c r="A35" s="1" t="s">
        <v>41</v>
      </c>
      <c r="B35" s="1" t="str">
        <f>VLOOKUP(A35,LISTADHERENT!A$5:H$51,2)</f>
        <v>NTEPDIE TUEMAC MZ</v>
      </c>
      <c r="C35" s="7">
        <f t="shared" si="0"/>
        <v>0</v>
      </c>
      <c r="D35" s="7"/>
      <c r="E35" s="7"/>
      <c r="F35" s="7"/>
      <c r="G35" s="7"/>
      <c r="H35" s="7"/>
      <c r="I35" s="7"/>
      <c r="K35" s="7">
        <f t="shared" si="1"/>
        <v>0</v>
      </c>
    </row>
    <row r="36" spans="1:12">
      <c r="A36" s="1" t="s">
        <v>42</v>
      </c>
      <c r="B36" s="1" t="str">
        <f>VLOOKUP(A36,LISTADHERENT!A$5:H$51,2)</f>
        <v>NTOMBOU ADOLPHE</v>
      </c>
      <c r="C36" s="7">
        <f t="shared" si="0"/>
        <v>20000</v>
      </c>
      <c r="D36" s="7">
        <v>3000</v>
      </c>
      <c r="E36" s="7">
        <v>500</v>
      </c>
      <c r="F36" s="7">
        <v>1000</v>
      </c>
      <c r="G36" s="7">
        <v>2500</v>
      </c>
      <c r="H36" s="7"/>
      <c r="I36" s="7">
        <v>13000</v>
      </c>
      <c r="K36" s="7">
        <f t="shared" si="1"/>
        <v>0</v>
      </c>
    </row>
    <row r="37" spans="1:12">
      <c r="A37" s="1" t="s">
        <v>43</v>
      </c>
      <c r="B37" s="1" t="str">
        <f>VLOOKUP(A37,LISTADHERENT!A$5:H$51,2)</f>
        <v>PATEGO NJOSSU GUSTAVE</v>
      </c>
      <c r="C37" s="7">
        <f t="shared" si="0"/>
        <v>20000</v>
      </c>
      <c r="D37" s="7">
        <v>3000</v>
      </c>
      <c r="E37" s="7">
        <v>500</v>
      </c>
      <c r="F37" s="7">
        <v>1000</v>
      </c>
      <c r="G37" s="7">
        <v>2500</v>
      </c>
      <c r="H37" s="7"/>
      <c r="I37" s="7">
        <v>13000</v>
      </c>
      <c r="K37" s="7">
        <f t="shared" si="1"/>
        <v>0</v>
      </c>
    </row>
    <row r="38" spans="1:12">
      <c r="A38" s="1" t="s">
        <v>44</v>
      </c>
      <c r="B38" s="1" t="str">
        <f>VLOOKUP(A38,LISTADHERENT!A$5:H$51,2)</f>
        <v>SEUNOU RICHELOT</v>
      </c>
      <c r="C38" s="7">
        <f t="shared" si="0"/>
        <v>20000</v>
      </c>
      <c r="D38" s="7">
        <v>3000</v>
      </c>
      <c r="E38" s="7">
        <v>500</v>
      </c>
      <c r="F38" s="7">
        <v>1000</v>
      </c>
      <c r="G38" s="7">
        <v>2500</v>
      </c>
      <c r="H38" s="7"/>
      <c r="I38" s="7">
        <v>13000</v>
      </c>
      <c r="K38" s="7">
        <f t="shared" si="1"/>
        <v>0</v>
      </c>
    </row>
    <row r="39" spans="1:12">
      <c r="A39" s="1" t="s">
        <v>45</v>
      </c>
      <c r="B39" s="1" t="str">
        <f>VLOOKUP(A39,LISTADHERENT!A$5:H$51,2)</f>
        <v>SIME ABEL</v>
      </c>
      <c r="C39" s="7">
        <f t="shared" si="0"/>
        <v>20000</v>
      </c>
      <c r="D39" s="7">
        <v>3000</v>
      </c>
      <c r="E39" s="7">
        <v>500</v>
      </c>
      <c r="F39" s="7">
        <v>1000</v>
      </c>
      <c r="G39" s="7">
        <v>2500</v>
      </c>
      <c r="H39" s="7"/>
      <c r="I39" s="7">
        <v>13000</v>
      </c>
      <c r="K39" s="7">
        <f t="shared" si="1"/>
        <v>0</v>
      </c>
    </row>
    <row r="40" spans="1:12">
      <c r="A40" s="1" t="s">
        <v>46</v>
      </c>
      <c r="B40" s="1" t="str">
        <f>VLOOKUP(A40,LISTADHERENT!A$5:H$51,2)</f>
        <v>SIME FONGANG ERIC</v>
      </c>
      <c r="C40" s="7">
        <f t="shared" si="0"/>
        <v>20000</v>
      </c>
      <c r="D40" s="7">
        <v>3000</v>
      </c>
      <c r="E40" s="7">
        <v>500</v>
      </c>
      <c r="F40" s="7">
        <v>1000</v>
      </c>
      <c r="G40" s="7">
        <v>2500</v>
      </c>
      <c r="H40" s="7"/>
      <c r="I40" s="7">
        <v>13000</v>
      </c>
      <c r="K40" s="7">
        <f t="shared" si="1"/>
        <v>0</v>
      </c>
    </row>
    <row r="41" spans="1:12">
      <c r="A41" s="1" t="s">
        <v>47</v>
      </c>
      <c r="B41" s="1" t="str">
        <f>VLOOKUP(A41,LISTADHERENT!A$5:H$51,2)</f>
        <v>SIME MATHIEU</v>
      </c>
      <c r="C41" s="7">
        <f t="shared" si="0"/>
        <v>20000</v>
      </c>
      <c r="D41" s="7">
        <v>3000</v>
      </c>
      <c r="E41" s="7">
        <v>500</v>
      </c>
      <c r="F41" s="7">
        <v>1000</v>
      </c>
      <c r="G41" s="7">
        <v>2500</v>
      </c>
      <c r="H41" s="7"/>
      <c r="I41" s="7">
        <v>13000</v>
      </c>
      <c r="K41" s="7">
        <f t="shared" si="1"/>
        <v>0</v>
      </c>
    </row>
    <row r="42" spans="1:12">
      <c r="A42" s="1" t="s">
        <v>48</v>
      </c>
      <c r="B42" s="1" t="str">
        <f>VLOOKUP(A42,LISTADHERENT!A$5:H$51,2)</f>
        <v>SIME PIERRE</v>
      </c>
      <c r="C42" s="7">
        <f t="shared" si="0"/>
        <v>20000</v>
      </c>
      <c r="D42" s="7">
        <v>3000</v>
      </c>
      <c r="E42" s="7">
        <v>500</v>
      </c>
      <c r="F42" s="7">
        <v>1000</v>
      </c>
      <c r="G42" s="7">
        <v>2500</v>
      </c>
      <c r="H42" s="7"/>
      <c r="I42" s="7">
        <v>13000</v>
      </c>
      <c r="J42" s="7">
        <v>70000</v>
      </c>
      <c r="K42" s="7">
        <f t="shared" si="1"/>
        <v>2100</v>
      </c>
      <c r="L42" s="7">
        <v>200000</v>
      </c>
    </row>
    <row r="43" spans="1:12">
      <c r="A43" s="1" t="s">
        <v>49</v>
      </c>
      <c r="B43" s="1" t="str">
        <f>VLOOKUP(A43,LISTADHERENT!A$5:H$51,2)</f>
        <v>TAGNE NANGUEN MARTIN</v>
      </c>
      <c r="C43" s="7">
        <f t="shared" si="0"/>
        <v>20000</v>
      </c>
      <c r="D43" s="7">
        <v>3000</v>
      </c>
      <c r="E43" s="7">
        <v>500</v>
      </c>
      <c r="F43" s="7">
        <v>1000</v>
      </c>
      <c r="G43" s="7">
        <v>2500</v>
      </c>
      <c r="H43" s="7"/>
      <c r="I43" s="7">
        <v>13000</v>
      </c>
      <c r="K43" s="7">
        <f t="shared" si="1"/>
        <v>0</v>
      </c>
    </row>
    <row r="44" spans="1:12">
      <c r="A44" s="1" t="s">
        <v>50</v>
      </c>
      <c r="B44" s="1" t="str">
        <f>VLOOKUP(A44,LISTADHERENT!A$5:H$51,2)</f>
        <v>TCHOUAMOU JEAN PAUL</v>
      </c>
      <c r="C44" s="7">
        <f t="shared" si="0"/>
        <v>20000</v>
      </c>
      <c r="D44" s="7">
        <v>3000</v>
      </c>
      <c r="E44" s="7">
        <v>500</v>
      </c>
      <c r="F44" s="7">
        <v>1000</v>
      </c>
      <c r="G44" s="7">
        <v>2500</v>
      </c>
      <c r="H44" s="7"/>
      <c r="I44" s="7">
        <v>13000</v>
      </c>
      <c r="K44" s="7">
        <f t="shared" si="1"/>
        <v>0</v>
      </c>
    </row>
    <row r="45" spans="1:12">
      <c r="A45" s="1" t="s">
        <v>51</v>
      </c>
      <c r="B45" s="1" t="str">
        <f>VLOOKUP(A45,LISTADHERENT!A$5:H$51,2)</f>
        <v>TCHOUAMOU MATHIEU</v>
      </c>
      <c r="C45" s="7">
        <f t="shared" si="0"/>
        <v>20000</v>
      </c>
      <c r="D45" s="7">
        <v>3000</v>
      </c>
      <c r="E45" s="7">
        <v>500</v>
      </c>
      <c r="F45" s="7">
        <v>1000</v>
      </c>
      <c r="G45" s="7">
        <v>2500</v>
      </c>
      <c r="H45" s="7"/>
      <c r="I45" s="7">
        <v>13000</v>
      </c>
      <c r="J45" s="7"/>
      <c r="K45" s="7">
        <f t="shared" si="1"/>
        <v>0</v>
      </c>
    </row>
    <row r="46" spans="1:12">
      <c r="A46" s="1" t="s">
        <v>52</v>
      </c>
      <c r="B46" s="1" t="str">
        <f>VLOOKUP(A46,LISTADHERENT!A$5:H$51,2)</f>
        <v>TCHOUANTE FRANCOIS</v>
      </c>
      <c r="C46" s="7">
        <f t="shared" si="0"/>
        <v>23000</v>
      </c>
      <c r="D46" s="7">
        <v>6000</v>
      </c>
      <c r="E46" s="7">
        <v>500</v>
      </c>
      <c r="F46" s="7">
        <v>1000</v>
      </c>
      <c r="G46" s="7">
        <v>2500</v>
      </c>
      <c r="H46" s="7"/>
      <c r="I46" s="7">
        <v>13000</v>
      </c>
      <c r="K46" s="7">
        <f t="shared" si="1"/>
        <v>0</v>
      </c>
    </row>
    <row r="47" spans="1:12">
      <c r="A47" s="1" t="s">
        <v>53</v>
      </c>
      <c r="B47" s="1" t="str">
        <f>VLOOKUP(A47,LISTADHERENT!A$5:H$51,2)</f>
        <v>TCHOUTOU NANA CLAUDE</v>
      </c>
      <c r="C47" s="7">
        <f t="shared" si="0"/>
        <v>20000</v>
      </c>
      <c r="D47" s="7">
        <v>3000</v>
      </c>
      <c r="E47" s="7">
        <v>500</v>
      </c>
      <c r="F47" s="7">
        <v>1000</v>
      </c>
      <c r="G47" s="7">
        <v>2500</v>
      </c>
      <c r="H47" s="7"/>
      <c r="I47" s="7">
        <v>13000</v>
      </c>
      <c r="K47" s="7">
        <f t="shared" si="1"/>
        <v>0</v>
      </c>
    </row>
    <row r="48" spans="1:12">
      <c r="A48" s="1" t="s">
        <v>54</v>
      </c>
      <c r="B48" s="1" t="str">
        <f>VLOOKUP(A48,LISTADHERENT!A$5:H$51,2)</f>
        <v>TIEYAM ERNEST</v>
      </c>
      <c r="C48" s="7">
        <f t="shared" si="0"/>
        <v>20000</v>
      </c>
      <c r="D48" s="7">
        <v>3000</v>
      </c>
      <c r="E48" s="7">
        <v>500</v>
      </c>
      <c r="F48" s="7">
        <v>1000</v>
      </c>
      <c r="G48" s="7">
        <v>2500</v>
      </c>
      <c r="H48" s="7"/>
      <c r="I48" s="7">
        <v>13000</v>
      </c>
      <c r="K48" s="7">
        <f t="shared" si="1"/>
        <v>0</v>
      </c>
    </row>
    <row r="49" spans="1:12">
      <c r="A49" s="1" t="s">
        <v>55</v>
      </c>
      <c r="B49" s="1" t="str">
        <f>VLOOKUP(A49,LISTADHERENT!A$5:H$51,2)</f>
        <v>TUGMA PIERRE LOTI</v>
      </c>
      <c r="C49" s="7">
        <f t="shared" si="0"/>
        <v>20000</v>
      </c>
      <c r="D49" s="7">
        <v>3000</v>
      </c>
      <c r="E49" s="7">
        <v>500</v>
      </c>
      <c r="F49" s="7">
        <v>1000</v>
      </c>
      <c r="G49" s="7">
        <v>2500</v>
      </c>
      <c r="H49" s="7"/>
      <c r="I49" s="7">
        <v>13000</v>
      </c>
      <c r="K49" s="7">
        <f t="shared" si="1"/>
        <v>0</v>
      </c>
    </row>
    <row r="50" spans="1:12" ht="18">
      <c r="A50" s="1" t="s">
        <v>66</v>
      </c>
      <c r="B50" s="1" t="str">
        <f>VLOOKUP(A50,LISTADHERENT!A$5:H$51,2)</f>
        <v>YEPMOU JEAN JACQUES</v>
      </c>
      <c r="C50" s="7">
        <f t="shared" si="0"/>
        <v>20000</v>
      </c>
      <c r="D50" s="7">
        <v>3000</v>
      </c>
      <c r="E50" s="7">
        <v>500</v>
      </c>
      <c r="F50" s="7">
        <v>1000</v>
      </c>
      <c r="G50" s="7">
        <v>2500</v>
      </c>
      <c r="H50" s="7"/>
      <c r="I50" s="7">
        <v>13000</v>
      </c>
      <c r="J50" s="9"/>
      <c r="K50" s="7">
        <f t="shared" si="1"/>
        <v>0</v>
      </c>
    </row>
    <row r="51" spans="1:12">
      <c r="A51" s="1" t="s">
        <v>178</v>
      </c>
      <c r="B51" s="1" t="str">
        <f>VLOOKUP(A51,LISTADHERENT!A$5:H$51,2)</f>
        <v>YOUMBI EMMANUEL</v>
      </c>
      <c r="C51" s="7">
        <f t="shared" si="0"/>
        <v>20000</v>
      </c>
      <c r="D51" s="7">
        <v>3000</v>
      </c>
      <c r="E51" s="7">
        <v>500</v>
      </c>
      <c r="F51" s="7">
        <v>1000</v>
      </c>
      <c r="G51" s="7">
        <v>2500</v>
      </c>
      <c r="I51" s="7">
        <v>13000</v>
      </c>
      <c r="K51" s="7">
        <f t="shared" si="1"/>
        <v>0</v>
      </c>
    </row>
    <row r="52" spans="1:12" ht="18">
      <c r="A52" s="1"/>
      <c r="B52" s="1" t="s">
        <v>180</v>
      </c>
      <c r="E52" s="4"/>
      <c r="I52" s="7"/>
      <c r="K52" s="7">
        <f t="shared" si="1"/>
        <v>0</v>
      </c>
      <c r="L52" s="9"/>
    </row>
    <row r="53" spans="1:12" ht="18">
      <c r="A53" s="1"/>
      <c r="B53" s="1"/>
      <c r="E53" s="4"/>
      <c r="L53" s="9"/>
    </row>
    <row r="54" spans="1:12" ht="18">
      <c r="A54" s="8" t="s">
        <v>56</v>
      </c>
      <c r="B54" s="8"/>
      <c r="C54" s="9">
        <f>SUM(C5:C52)</f>
        <v>879000</v>
      </c>
      <c r="D54" s="9">
        <f t="shared" ref="D54:I54" si="2">SUM(D5:D52)</f>
        <v>148000</v>
      </c>
      <c r="E54" s="9">
        <f t="shared" si="2"/>
        <v>21500</v>
      </c>
      <c r="F54" s="9">
        <f t="shared" si="2"/>
        <v>43000</v>
      </c>
      <c r="G54" s="9">
        <f t="shared" si="2"/>
        <v>107500</v>
      </c>
      <c r="H54" s="9">
        <f t="shared" si="2"/>
        <v>0</v>
      </c>
      <c r="I54" s="9">
        <f t="shared" si="2"/>
        <v>559000</v>
      </c>
      <c r="J54" s="9">
        <f>SUM(J5:J51)</f>
        <v>4870000</v>
      </c>
      <c r="K54" s="9">
        <f>SUM(K5:K51)</f>
        <v>410100</v>
      </c>
    </row>
  </sheetData>
  <autoFilter ref="A4:L50">
    <filterColumn colId="8"/>
    <filterColumn colId="9"/>
    <filterColumn colId="10"/>
    <filterColumn colId="11"/>
  </autoFilter>
  <dataValidations count="1">
    <dataValidation type="list" allowBlank="1" showInputMessage="1" showErrorMessage="1" promptTitle="Saissisez le mode de VERSEMENT" sqref="E5:E51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54"/>
  <sheetViews>
    <sheetView workbookViewId="0">
      <pane xSplit="2" ySplit="4" topLeftCell="H5" activePane="bottomRight" state="frozen"/>
      <selection activeCell="B22" sqref="B22"/>
      <selection pane="topRight" activeCell="B22" sqref="B22"/>
      <selection pane="bottomLeft" activeCell="B22" sqref="B22"/>
      <selection pane="bottomRight" activeCell="J10" sqref="J10"/>
    </sheetView>
  </sheetViews>
  <sheetFormatPr baseColWidth="10" defaultRowHeight="15"/>
  <cols>
    <col min="1" max="1" width="13.85546875" customWidth="1"/>
    <col min="2" max="2" width="29.5703125" bestFit="1" customWidth="1"/>
    <col min="3" max="3" width="17.42578125" style="2" customWidth="1"/>
    <col min="4" max="4" width="12.5703125" bestFit="1" customWidth="1"/>
    <col min="5" max="5" width="12.5703125" customWidth="1"/>
    <col min="6" max="6" width="15.7109375" style="2" customWidth="1"/>
    <col min="7" max="7" width="14.7109375" style="2" customWidth="1"/>
    <col min="8" max="8" width="18.140625" style="2" bestFit="1" customWidth="1"/>
    <col min="9" max="9" width="18.140625" customWidth="1"/>
    <col min="10" max="10" width="15" bestFit="1" customWidth="1"/>
    <col min="11" max="11" width="12.5703125" bestFit="1" customWidth="1"/>
    <col min="12" max="13" width="18.140625" customWidth="1"/>
  </cols>
  <sheetData>
    <row r="1" spans="1:13">
      <c r="A1" s="1" t="s">
        <v>0</v>
      </c>
      <c r="B1" s="1" t="s">
        <v>1</v>
      </c>
    </row>
    <row r="2" spans="1:13">
      <c r="A2" s="1" t="s">
        <v>2</v>
      </c>
      <c r="B2" s="1" t="s">
        <v>3</v>
      </c>
    </row>
    <row r="3" spans="1:13">
      <c r="A3" s="1" t="s">
        <v>4</v>
      </c>
      <c r="B3" s="1" t="s">
        <v>5</v>
      </c>
    </row>
    <row r="4" spans="1:13" ht="43.5">
      <c r="A4" s="1" t="s">
        <v>6</v>
      </c>
      <c r="B4" s="1" t="s">
        <v>7</v>
      </c>
      <c r="C4" s="5" t="s">
        <v>65</v>
      </c>
      <c r="D4" s="1" t="s">
        <v>57</v>
      </c>
      <c r="E4" s="5" t="s">
        <v>58</v>
      </c>
      <c r="F4" s="5" t="s">
        <v>59</v>
      </c>
      <c r="G4" s="5" t="s">
        <v>60</v>
      </c>
      <c r="H4" s="5" t="s">
        <v>61</v>
      </c>
      <c r="I4" s="5" t="s">
        <v>62</v>
      </c>
      <c r="J4" s="5" t="s">
        <v>63</v>
      </c>
      <c r="K4" s="5" t="s">
        <v>64</v>
      </c>
      <c r="L4" s="5" t="s">
        <v>8</v>
      </c>
      <c r="M4" s="5" t="s">
        <v>181</v>
      </c>
    </row>
    <row r="5" spans="1:13">
      <c r="A5" s="1" t="s">
        <v>11</v>
      </c>
      <c r="B5" s="1" t="str">
        <f>VLOOKUP(A5,LISTADHERENT!A$5:H$51,2)</f>
        <v>BAKOP ACHILLE</v>
      </c>
      <c r="C5" s="7">
        <f>D5+E5+F5+G5+H5+I5</f>
        <v>20000</v>
      </c>
      <c r="D5" s="7">
        <v>3000</v>
      </c>
      <c r="E5" s="7">
        <v>500</v>
      </c>
      <c r="F5" s="7">
        <v>1000</v>
      </c>
      <c r="G5" s="7">
        <v>2500</v>
      </c>
      <c r="H5" s="7"/>
      <c r="I5" s="7">
        <v>13000</v>
      </c>
      <c r="J5" s="7">
        <v>500000</v>
      </c>
      <c r="K5" s="7">
        <f>IF(J5&lt;=500000,(J5*1*3/100),(J5*12/100))</f>
        <v>15000</v>
      </c>
      <c r="M5" s="7"/>
    </row>
    <row r="6" spans="1:13">
      <c r="A6" s="1" t="s">
        <v>12</v>
      </c>
      <c r="B6" s="1" t="str">
        <f>VLOOKUP(A6,LISTADHERENT!A$5:H$51,2)</f>
        <v>BOUTCHOUANG WILLIAM</v>
      </c>
      <c r="C6" s="7">
        <f t="shared" ref="C6:C51" si="0">D6+E6+F6+G6+H6+I6</f>
        <v>20000</v>
      </c>
      <c r="D6" s="7">
        <v>3000</v>
      </c>
      <c r="E6" s="7">
        <v>500</v>
      </c>
      <c r="F6" s="7">
        <v>1000</v>
      </c>
      <c r="G6" s="7">
        <v>2500</v>
      </c>
      <c r="H6" s="7"/>
      <c r="I6" s="7">
        <v>13000</v>
      </c>
      <c r="J6" s="7"/>
      <c r="K6" s="7">
        <f t="shared" ref="K6:K52" si="1">IF(J6&lt;=500000,(J6*1*3/100),(J6*12/100))</f>
        <v>0</v>
      </c>
      <c r="M6" s="7"/>
    </row>
    <row r="7" spans="1:13">
      <c r="A7" s="1" t="s">
        <v>13</v>
      </c>
      <c r="B7" s="1" t="str">
        <f>VLOOKUP(A7,LISTADHERENT!A$5:H$51,2)</f>
        <v>CHINGUE FABRICE</v>
      </c>
      <c r="C7" s="7">
        <f t="shared" si="0"/>
        <v>20000</v>
      </c>
      <c r="D7" s="7">
        <v>3000</v>
      </c>
      <c r="E7" s="7">
        <v>500</v>
      </c>
      <c r="F7" s="7">
        <v>1000</v>
      </c>
      <c r="G7" s="7">
        <v>2500</v>
      </c>
      <c r="H7" s="7"/>
      <c r="I7" s="7">
        <v>13000</v>
      </c>
      <c r="K7" s="7">
        <f t="shared" si="1"/>
        <v>0</v>
      </c>
      <c r="M7" s="7"/>
    </row>
    <row r="8" spans="1:13">
      <c r="A8" s="1" t="s">
        <v>14</v>
      </c>
      <c r="B8" s="1" t="str">
        <f>VLOOKUP(A8,LISTADHERENT!A$5:H$51,2)</f>
        <v xml:space="preserve">DJOMO JEAN PAUL </v>
      </c>
      <c r="C8" s="7">
        <f t="shared" si="0"/>
        <v>20000</v>
      </c>
      <c r="D8" s="7">
        <v>3000</v>
      </c>
      <c r="E8" s="7">
        <v>500</v>
      </c>
      <c r="F8" s="7">
        <v>1000</v>
      </c>
      <c r="G8" s="7">
        <v>2500</v>
      </c>
      <c r="H8" s="7"/>
      <c r="I8" s="7">
        <v>13000</v>
      </c>
      <c r="J8" s="7">
        <v>100000</v>
      </c>
      <c r="K8" s="7">
        <f t="shared" si="1"/>
        <v>3000</v>
      </c>
      <c r="M8" s="7"/>
    </row>
    <row r="9" spans="1:13">
      <c r="A9" s="1" t="s">
        <v>15</v>
      </c>
      <c r="B9" s="1" t="str">
        <f>VLOOKUP(A9,LISTADHERENT!A$5:H$51,2)</f>
        <v>DJOUKWE GUY</v>
      </c>
      <c r="C9" s="7">
        <f t="shared" si="0"/>
        <v>20000</v>
      </c>
      <c r="D9" s="7">
        <v>3000</v>
      </c>
      <c r="E9" s="7">
        <v>500</v>
      </c>
      <c r="F9" s="7">
        <v>1000</v>
      </c>
      <c r="G9" s="7">
        <v>2500</v>
      </c>
      <c r="H9" s="7"/>
      <c r="I9" s="7">
        <v>13000</v>
      </c>
      <c r="K9" s="7">
        <f t="shared" si="1"/>
        <v>0</v>
      </c>
      <c r="M9" s="7"/>
    </row>
    <row r="10" spans="1:13">
      <c r="A10" s="1" t="s">
        <v>16</v>
      </c>
      <c r="B10" s="1" t="str">
        <f>VLOOKUP(A10,LISTADHERENT!A$5:H$51,2)</f>
        <v>DJOSSEU JOSUE</v>
      </c>
      <c r="C10" s="7">
        <f t="shared" si="0"/>
        <v>0</v>
      </c>
      <c r="D10" s="7"/>
      <c r="E10" s="7"/>
      <c r="F10" s="7"/>
      <c r="G10" s="7"/>
      <c r="H10" s="7"/>
      <c r="I10" s="7"/>
      <c r="K10" s="7">
        <f t="shared" si="1"/>
        <v>0</v>
      </c>
      <c r="M10" s="7"/>
    </row>
    <row r="11" spans="1:13">
      <c r="A11" s="1" t="s">
        <v>17</v>
      </c>
      <c r="B11" s="1" t="str">
        <f>VLOOKUP(A11,LISTADHERENT!A$5:H$51,2)</f>
        <v>DJOUNKEP SAMUEL</v>
      </c>
      <c r="C11" s="7">
        <f t="shared" si="0"/>
        <v>20000</v>
      </c>
      <c r="D11" s="7">
        <v>3000</v>
      </c>
      <c r="E11" s="7">
        <v>500</v>
      </c>
      <c r="F11" s="7">
        <v>1000</v>
      </c>
      <c r="G11" s="7">
        <v>2500</v>
      </c>
      <c r="H11" s="7"/>
      <c r="I11" s="7">
        <v>13000</v>
      </c>
      <c r="K11" s="7">
        <f t="shared" si="1"/>
        <v>0</v>
      </c>
      <c r="M11" s="7"/>
    </row>
    <row r="12" spans="1:13">
      <c r="A12" s="1" t="s">
        <v>18</v>
      </c>
      <c r="B12" s="1" t="str">
        <f>VLOOKUP(A12,LISTADHERENT!A$5:H$51,2)</f>
        <v>DJUOMBESSY ANTOINE</v>
      </c>
      <c r="C12" s="7">
        <f>D12+E12+F12+G12+H12+I12+M12</f>
        <v>100000</v>
      </c>
      <c r="D12" s="7">
        <v>34560</v>
      </c>
      <c r="E12" s="7">
        <v>500</v>
      </c>
      <c r="F12" s="7">
        <v>1000</v>
      </c>
      <c r="G12" s="7">
        <v>2500</v>
      </c>
      <c r="H12" s="7"/>
      <c r="I12" s="7">
        <v>13000</v>
      </c>
      <c r="J12" s="7">
        <v>700000</v>
      </c>
      <c r="K12" s="7">
        <f t="shared" si="1"/>
        <v>84000</v>
      </c>
      <c r="M12" s="7">
        <v>48440</v>
      </c>
    </row>
    <row r="13" spans="1:13">
      <c r="A13" s="1" t="s">
        <v>19</v>
      </c>
      <c r="B13" s="1" t="str">
        <f>VLOOKUP(A13,LISTADHERENT!A$5:H$51,2)</f>
        <v>DONHOU DAVID</v>
      </c>
      <c r="C13" s="7">
        <f t="shared" si="0"/>
        <v>20000</v>
      </c>
      <c r="D13" s="7">
        <v>3000</v>
      </c>
      <c r="E13" s="7">
        <v>500</v>
      </c>
      <c r="F13" s="7">
        <v>1000</v>
      </c>
      <c r="G13" s="7">
        <v>2500</v>
      </c>
      <c r="H13" s="7"/>
      <c r="I13" s="7">
        <v>13000</v>
      </c>
      <c r="K13" s="7">
        <f t="shared" si="1"/>
        <v>0</v>
      </c>
      <c r="M13" s="7"/>
    </row>
    <row r="14" spans="1:13">
      <c r="A14" s="1" t="s">
        <v>20</v>
      </c>
      <c r="B14" s="1" t="str">
        <f>VLOOKUP(A14,LISTADHERENT!A$5:H$51,2)</f>
        <v>FOTSO THOMAS</v>
      </c>
      <c r="C14" s="7">
        <f t="shared" si="0"/>
        <v>20000</v>
      </c>
      <c r="D14" s="7">
        <v>3000</v>
      </c>
      <c r="E14" s="7">
        <v>500</v>
      </c>
      <c r="F14" s="7">
        <v>1000</v>
      </c>
      <c r="G14" s="7">
        <v>2500</v>
      </c>
      <c r="H14" s="7"/>
      <c r="I14" s="7">
        <v>13000</v>
      </c>
      <c r="K14" s="7">
        <f t="shared" si="1"/>
        <v>0</v>
      </c>
      <c r="M14" s="7"/>
    </row>
    <row r="15" spans="1:13">
      <c r="A15" s="1" t="s">
        <v>21</v>
      </c>
      <c r="B15" s="1" t="str">
        <f>VLOOKUP(A15,LISTADHERENT!A$5:H$51,2)</f>
        <v>HENGUE PAUL OMER</v>
      </c>
      <c r="C15" s="7">
        <f t="shared" si="0"/>
        <v>20000</v>
      </c>
      <c r="D15" s="7">
        <v>3000</v>
      </c>
      <c r="E15" s="7">
        <v>500</v>
      </c>
      <c r="F15" s="7">
        <v>1000</v>
      </c>
      <c r="G15" s="7">
        <v>2500</v>
      </c>
      <c r="H15" s="7"/>
      <c r="I15" s="7">
        <v>13000</v>
      </c>
      <c r="K15" s="7">
        <f t="shared" si="1"/>
        <v>0</v>
      </c>
      <c r="M15" s="7"/>
    </row>
    <row r="16" spans="1:13">
      <c r="A16" s="1" t="s">
        <v>22</v>
      </c>
      <c r="B16" s="1" t="str">
        <f>VLOOKUP(A16,LISTADHERENT!A$5:H$51,2)</f>
        <v>HODIEP JULES</v>
      </c>
      <c r="C16" s="7">
        <f t="shared" si="0"/>
        <v>20000</v>
      </c>
      <c r="D16" s="7">
        <v>3000</v>
      </c>
      <c r="E16" s="7">
        <v>500</v>
      </c>
      <c r="F16" s="7">
        <v>1000</v>
      </c>
      <c r="G16" s="7">
        <v>2500</v>
      </c>
      <c r="H16" s="7"/>
      <c r="I16" s="7">
        <v>13000</v>
      </c>
      <c r="K16" s="7">
        <f t="shared" si="1"/>
        <v>0</v>
      </c>
      <c r="M16" s="7"/>
    </row>
    <row r="17" spans="1:13">
      <c r="A17" s="1" t="s">
        <v>23</v>
      </c>
      <c r="B17" s="1" t="str">
        <f>VLOOKUP(A17,LISTADHERENT!A$5:H$51,2)</f>
        <v>HOTCHO BENJAMIN</v>
      </c>
      <c r="C17" s="7">
        <f t="shared" si="0"/>
        <v>20000</v>
      </c>
      <c r="D17" s="7">
        <v>3000</v>
      </c>
      <c r="E17" s="7">
        <v>500</v>
      </c>
      <c r="F17" s="7">
        <v>1000</v>
      </c>
      <c r="G17" s="7">
        <v>2500</v>
      </c>
      <c r="H17" s="7"/>
      <c r="I17" s="7">
        <v>13000</v>
      </c>
      <c r="K17" s="7">
        <f t="shared" si="1"/>
        <v>0</v>
      </c>
      <c r="M17" s="7"/>
    </row>
    <row r="18" spans="1:13">
      <c r="A18" s="1" t="s">
        <v>24</v>
      </c>
      <c r="B18" s="1" t="str">
        <f>VLOOKUP(A18,LISTADHERENT!A$5:H$51,2)</f>
        <v>KEPHE DAVID</v>
      </c>
      <c r="C18" s="7">
        <f t="shared" si="0"/>
        <v>20000</v>
      </c>
      <c r="D18" s="7">
        <v>3000</v>
      </c>
      <c r="E18" s="7">
        <v>500</v>
      </c>
      <c r="F18" s="7">
        <v>1000</v>
      </c>
      <c r="G18" s="7">
        <v>2500</v>
      </c>
      <c r="H18" s="7"/>
      <c r="I18" s="7">
        <v>13000</v>
      </c>
      <c r="K18" s="7">
        <f t="shared" si="1"/>
        <v>0</v>
      </c>
      <c r="M18" s="7"/>
    </row>
    <row r="19" spans="1:13">
      <c r="A19" s="1" t="s">
        <v>25</v>
      </c>
      <c r="B19" s="1" t="str">
        <f>VLOOKUP(A19,LISTADHERENT!A$5:H$51,2)</f>
        <v>KEPSEU FRANCIS</v>
      </c>
      <c r="C19" s="7">
        <f t="shared" si="0"/>
        <v>23000</v>
      </c>
      <c r="D19" s="7">
        <v>6000</v>
      </c>
      <c r="E19" s="7">
        <v>500</v>
      </c>
      <c r="F19" s="7">
        <v>1000</v>
      </c>
      <c r="G19" s="7">
        <v>2500</v>
      </c>
      <c r="H19" s="7"/>
      <c r="I19" s="7">
        <v>13000</v>
      </c>
      <c r="K19" s="7">
        <f t="shared" si="1"/>
        <v>0</v>
      </c>
      <c r="M19" s="7"/>
    </row>
    <row r="20" spans="1:13">
      <c r="A20" s="1" t="s">
        <v>26</v>
      </c>
      <c r="B20" s="1" t="str">
        <f>VLOOKUP(A20,LISTADHERENT!A$5:H$51,2)</f>
        <v>KOUAMOU EMMANUEL</v>
      </c>
      <c r="C20" s="7">
        <f t="shared" si="0"/>
        <v>20000</v>
      </c>
      <c r="D20" s="7">
        <v>3000</v>
      </c>
      <c r="E20" s="7">
        <v>500</v>
      </c>
      <c r="F20" s="7">
        <v>1000</v>
      </c>
      <c r="G20" s="7">
        <v>2500</v>
      </c>
      <c r="H20" s="7"/>
      <c r="I20" s="7">
        <v>13000</v>
      </c>
      <c r="K20" s="7">
        <f t="shared" si="1"/>
        <v>0</v>
      </c>
      <c r="M20" s="7"/>
    </row>
    <row r="21" spans="1:13">
      <c r="A21" s="1" t="s">
        <v>27</v>
      </c>
      <c r="B21" s="1" t="str">
        <f>VLOOKUP(A21,LISTADHERENT!A$5:H$51,2)</f>
        <v>KOUAMOU MOISE</v>
      </c>
      <c r="C21" s="7">
        <f t="shared" si="0"/>
        <v>20000</v>
      </c>
      <c r="D21" s="7">
        <v>3000</v>
      </c>
      <c r="E21" s="7">
        <v>500</v>
      </c>
      <c r="F21" s="7">
        <v>1000</v>
      </c>
      <c r="G21" s="7">
        <v>2500</v>
      </c>
      <c r="H21" s="7"/>
      <c r="I21" s="7">
        <v>13000</v>
      </c>
      <c r="K21" s="7">
        <f t="shared" si="1"/>
        <v>0</v>
      </c>
      <c r="M21" s="7"/>
    </row>
    <row r="22" spans="1:13">
      <c r="A22" s="1" t="s">
        <v>28</v>
      </c>
      <c r="B22" s="1" t="str">
        <f>VLOOKUP(A22,LISTADHERENT!A$5:H$51,2)</f>
        <v>KOUAMOU VICTOR PEGUY</v>
      </c>
      <c r="C22" s="7">
        <f t="shared" si="0"/>
        <v>20000</v>
      </c>
      <c r="D22" s="7">
        <v>3000</v>
      </c>
      <c r="E22" s="7">
        <v>500</v>
      </c>
      <c r="F22" s="7">
        <v>1000</v>
      </c>
      <c r="G22" s="7">
        <v>2500</v>
      </c>
      <c r="H22" s="7"/>
      <c r="I22" s="7">
        <v>13000</v>
      </c>
      <c r="K22" s="7">
        <f t="shared" si="1"/>
        <v>0</v>
      </c>
      <c r="M22" s="7"/>
    </row>
    <row r="23" spans="1:13">
      <c r="A23" s="1" t="s">
        <v>29</v>
      </c>
      <c r="B23" s="1" t="str">
        <f>VLOOKUP(A23,LISTADHERENT!A$5:H$51,2)</f>
        <v>KOUATCHO MESSACK</v>
      </c>
      <c r="C23" s="7">
        <f t="shared" si="0"/>
        <v>20000</v>
      </c>
      <c r="D23" s="7">
        <v>3000</v>
      </c>
      <c r="E23" s="7">
        <v>500</v>
      </c>
      <c r="F23" s="7">
        <v>1000</v>
      </c>
      <c r="G23" s="7">
        <v>2500</v>
      </c>
      <c r="H23" s="7"/>
      <c r="I23" s="7">
        <v>13000</v>
      </c>
      <c r="J23" s="7"/>
      <c r="K23" s="7">
        <f t="shared" si="1"/>
        <v>0</v>
      </c>
      <c r="M23" s="7"/>
    </row>
    <row r="24" spans="1:13">
      <c r="A24" s="1" t="s">
        <v>30</v>
      </c>
      <c r="B24" s="1" t="str">
        <f>VLOOKUP(A24,LISTADHERENT!A$5:H$51,2)</f>
        <v>LOWE JEAN</v>
      </c>
      <c r="C24" s="7">
        <f t="shared" si="0"/>
        <v>20000</v>
      </c>
      <c r="D24" s="7">
        <v>3000</v>
      </c>
      <c r="E24" s="7">
        <v>500</v>
      </c>
      <c r="F24" s="7">
        <v>1000</v>
      </c>
      <c r="G24" s="7">
        <v>2500</v>
      </c>
      <c r="H24" s="7"/>
      <c r="I24" s="7">
        <v>13000</v>
      </c>
      <c r="K24" s="7">
        <f t="shared" si="1"/>
        <v>0</v>
      </c>
      <c r="M24" s="7"/>
    </row>
    <row r="25" spans="1:13">
      <c r="A25" s="1" t="s">
        <v>31</v>
      </c>
      <c r="B25" s="1" t="str">
        <f>VLOOKUP(A25,LISTADHERENT!A$5:H$51,2)</f>
        <v>NANKAM APPOLINAIRE</v>
      </c>
      <c r="C25" s="7">
        <f t="shared" si="0"/>
        <v>20000</v>
      </c>
      <c r="D25" s="7">
        <v>3000</v>
      </c>
      <c r="E25" s="7">
        <v>500</v>
      </c>
      <c r="F25" s="7">
        <v>1000</v>
      </c>
      <c r="G25" s="7">
        <v>2500</v>
      </c>
      <c r="H25" s="7"/>
      <c r="I25" s="7">
        <v>13000</v>
      </c>
      <c r="K25" s="7">
        <f t="shared" si="1"/>
        <v>0</v>
      </c>
      <c r="M25" s="7"/>
    </row>
    <row r="26" spans="1:13">
      <c r="A26" s="1" t="s">
        <v>32</v>
      </c>
      <c r="B26" s="1" t="str">
        <f>VLOOKUP(A26,LISTADHERENT!A$5:H$51,2)</f>
        <v>NDJOMO ETIENNE</v>
      </c>
      <c r="C26" s="7">
        <f t="shared" si="0"/>
        <v>25000</v>
      </c>
      <c r="D26" s="7">
        <v>8000</v>
      </c>
      <c r="E26" s="7">
        <v>500</v>
      </c>
      <c r="F26" s="7">
        <v>1000</v>
      </c>
      <c r="G26" s="7">
        <v>2500</v>
      </c>
      <c r="H26" s="7"/>
      <c r="I26" s="7">
        <v>13000</v>
      </c>
      <c r="J26" s="7"/>
      <c r="K26" s="7">
        <f t="shared" si="1"/>
        <v>0</v>
      </c>
      <c r="M26" s="7"/>
    </row>
    <row r="27" spans="1:13">
      <c r="A27" s="1" t="s">
        <v>33</v>
      </c>
      <c r="B27" s="1" t="str">
        <f>VLOOKUP(A27,LISTADHERENT!A$5:H$51,2)</f>
        <v>NDOMBOU JEAN CLAUDE</v>
      </c>
      <c r="C27" s="7">
        <f t="shared" si="0"/>
        <v>0</v>
      </c>
      <c r="D27" s="7"/>
      <c r="E27" s="7"/>
      <c r="F27" s="7"/>
      <c r="G27" s="7"/>
      <c r="H27" s="7"/>
      <c r="I27" s="7"/>
      <c r="K27" s="7">
        <f t="shared" si="1"/>
        <v>0</v>
      </c>
      <c r="M27" s="7"/>
    </row>
    <row r="28" spans="1:13">
      <c r="A28" s="1" t="s">
        <v>34</v>
      </c>
      <c r="B28" s="1" t="str">
        <f>VLOOKUP(A28,LISTADHERENT!A$5:H$51,2)</f>
        <v>NGONDIEP CLAUDE</v>
      </c>
      <c r="C28" s="7">
        <f t="shared" si="0"/>
        <v>20000</v>
      </c>
      <c r="D28" s="7">
        <v>3000</v>
      </c>
      <c r="E28" s="7">
        <v>500</v>
      </c>
      <c r="F28" s="7">
        <v>1000</v>
      </c>
      <c r="G28" s="7">
        <v>2500</v>
      </c>
      <c r="H28" s="7"/>
      <c r="I28" s="7">
        <v>13000</v>
      </c>
      <c r="K28" s="7">
        <f t="shared" si="1"/>
        <v>0</v>
      </c>
      <c r="M28" s="7"/>
    </row>
    <row r="29" spans="1:13">
      <c r="A29" s="1" t="s">
        <v>35</v>
      </c>
      <c r="B29" s="1" t="str">
        <f>VLOOKUP(A29,LISTADHERENT!A$5:H$51,2)</f>
        <v>NGONGANG JEAN THEODORE</v>
      </c>
      <c r="C29" s="7">
        <f t="shared" si="0"/>
        <v>20000</v>
      </c>
      <c r="D29" s="7">
        <v>3000</v>
      </c>
      <c r="E29" s="7">
        <v>500</v>
      </c>
      <c r="F29" s="7">
        <v>1000</v>
      </c>
      <c r="G29" s="7">
        <v>2500</v>
      </c>
      <c r="H29" s="7"/>
      <c r="I29" s="7">
        <v>13000</v>
      </c>
      <c r="K29" s="7">
        <f t="shared" si="1"/>
        <v>0</v>
      </c>
      <c r="M29" s="7"/>
    </row>
    <row r="30" spans="1:13">
      <c r="A30" s="1" t="s">
        <v>36</v>
      </c>
      <c r="B30" s="1" t="str">
        <f>VLOOKUP(A30,LISTADHERENT!A$5:H$51,2)</f>
        <v>NGUIEMEGNI MATHIEU BLAISE</v>
      </c>
      <c r="C30" s="7">
        <f t="shared" si="0"/>
        <v>20000</v>
      </c>
      <c r="D30" s="7">
        <v>3000</v>
      </c>
      <c r="E30" s="7">
        <v>500</v>
      </c>
      <c r="F30" s="7">
        <v>1000</v>
      </c>
      <c r="G30" s="7">
        <v>2500</v>
      </c>
      <c r="H30" s="7"/>
      <c r="I30" s="7">
        <v>13000</v>
      </c>
      <c r="K30" s="7">
        <f t="shared" si="1"/>
        <v>0</v>
      </c>
      <c r="M30" s="7"/>
    </row>
    <row r="31" spans="1:13">
      <c r="A31" s="1" t="s">
        <v>37</v>
      </c>
      <c r="B31" s="1" t="str">
        <f>VLOOKUP(A31,LISTADHERENT!A$5:H$51,2)</f>
        <v>NJEPDJIO MBOUKAM DELUXE</v>
      </c>
      <c r="C31" s="7">
        <f t="shared" si="0"/>
        <v>20000</v>
      </c>
      <c r="D31" s="7">
        <v>3000</v>
      </c>
      <c r="E31" s="7">
        <v>500</v>
      </c>
      <c r="F31" s="7">
        <v>1000</v>
      </c>
      <c r="G31" s="7">
        <v>2500</v>
      </c>
      <c r="H31" s="7"/>
      <c r="I31" s="7">
        <v>13000</v>
      </c>
      <c r="K31" s="7">
        <f t="shared" si="1"/>
        <v>0</v>
      </c>
      <c r="M31" s="7"/>
    </row>
    <row r="32" spans="1:13">
      <c r="A32" s="1" t="s">
        <v>38</v>
      </c>
      <c r="B32" s="1" t="str">
        <f>VLOOKUP(A32,LISTADHERENT!A$5:H$51,2)</f>
        <v>NKAMGANG JUSTIN DEJOLIE</v>
      </c>
      <c r="C32" s="7">
        <f t="shared" si="0"/>
        <v>23000</v>
      </c>
      <c r="D32" s="7">
        <v>6000</v>
      </c>
      <c r="E32" s="7">
        <v>500</v>
      </c>
      <c r="F32" s="7">
        <v>1000</v>
      </c>
      <c r="G32" s="7">
        <v>2500</v>
      </c>
      <c r="H32" s="7"/>
      <c r="I32" s="7">
        <v>13000</v>
      </c>
      <c r="J32" s="11"/>
      <c r="K32" s="7">
        <f t="shared" si="1"/>
        <v>0</v>
      </c>
      <c r="M32" s="7"/>
    </row>
    <row r="33" spans="1:13" s="11" customFormat="1">
      <c r="A33" s="1" t="s">
        <v>39</v>
      </c>
      <c r="B33" s="1" t="str">
        <f>VLOOKUP(A33,LISTADHERENT!A$5:H$51,2)</f>
        <v>NKEPSEU DIEUDONNE</v>
      </c>
      <c r="C33" s="7">
        <f t="shared" si="0"/>
        <v>25000</v>
      </c>
      <c r="D33" s="7">
        <v>8000</v>
      </c>
      <c r="E33" s="7">
        <v>500</v>
      </c>
      <c r="F33" s="7">
        <v>1000</v>
      </c>
      <c r="G33" s="7">
        <v>2500</v>
      </c>
      <c r="H33" s="7"/>
      <c r="I33" s="7">
        <v>13000</v>
      </c>
      <c r="J33"/>
      <c r="K33" s="7">
        <f t="shared" si="1"/>
        <v>0</v>
      </c>
      <c r="M33" s="7"/>
    </row>
    <row r="34" spans="1:13">
      <c r="A34" s="1" t="s">
        <v>40</v>
      </c>
      <c r="B34" s="1" t="str">
        <f>VLOOKUP(A34,LISTADHERENT!A$5:H$51,2)</f>
        <v>NKEPSEU HENANG RENE</v>
      </c>
      <c r="C34" s="7">
        <f t="shared" si="0"/>
        <v>20000</v>
      </c>
      <c r="D34" s="7">
        <v>3000</v>
      </c>
      <c r="E34" s="7">
        <v>500</v>
      </c>
      <c r="F34" s="7">
        <v>1000</v>
      </c>
      <c r="G34" s="7">
        <v>2500</v>
      </c>
      <c r="H34" s="7"/>
      <c r="I34" s="7">
        <v>13000</v>
      </c>
      <c r="K34" s="7">
        <f t="shared" si="1"/>
        <v>0</v>
      </c>
      <c r="M34" s="7"/>
    </row>
    <row r="35" spans="1:13">
      <c r="A35" s="1" t="s">
        <v>41</v>
      </c>
      <c r="B35" s="1" t="str">
        <f>VLOOKUP(A35,LISTADHERENT!A$5:H$51,2)</f>
        <v>NTEPDIE TUEMAC MZ</v>
      </c>
      <c r="C35" s="7">
        <f t="shared" si="0"/>
        <v>0</v>
      </c>
      <c r="D35" s="7"/>
      <c r="E35" s="7"/>
      <c r="F35" s="7"/>
      <c r="G35" s="7"/>
      <c r="H35" s="7"/>
      <c r="I35" s="7"/>
      <c r="K35" s="7">
        <f t="shared" si="1"/>
        <v>0</v>
      </c>
      <c r="M35" s="7"/>
    </row>
    <row r="36" spans="1:13">
      <c r="A36" s="1" t="s">
        <v>42</v>
      </c>
      <c r="B36" s="1" t="str">
        <f>VLOOKUP(A36,LISTADHERENT!A$5:H$51,2)</f>
        <v>NTOMBOU ADOLPHE</v>
      </c>
      <c r="C36" s="7">
        <f t="shared" si="0"/>
        <v>20000</v>
      </c>
      <c r="D36" s="7">
        <v>3000</v>
      </c>
      <c r="E36" s="7">
        <v>500</v>
      </c>
      <c r="F36" s="7">
        <v>1000</v>
      </c>
      <c r="G36" s="7">
        <v>2500</v>
      </c>
      <c r="H36" s="7"/>
      <c r="I36" s="7">
        <v>13000</v>
      </c>
      <c r="K36" s="7">
        <f t="shared" si="1"/>
        <v>0</v>
      </c>
      <c r="M36" s="7"/>
    </row>
    <row r="37" spans="1:13">
      <c r="A37" s="1" t="s">
        <v>43</v>
      </c>
      <c r="B37" s="1" t="str">
        <f>VLOOKUP(A37,LISTADHERENT!A$5:H$51,2)</f>
        <v>PATEGO NJOSSU GUSTAVE</v>
      </c>
      <c r="C37" s="7">
        <f t="shared" si="0"/>
        <v>20000</v>
      </c>
      <c r="D37" s="7">
        <v>3000</v>
      </c>
      <c r="E37" s="7">
        <v>500</v>
      </c>
      <c r="F37" s="7">
        <v>1000</v>
      </c>
      <c r="G37" s="7">
        <v>2500</v>
      </c>
      <c r="H37" s="7"/>
      <c r="I37" s="7">
        <v>13000</v>
      </c>
      <c r="K37" s="7">
        <f t="shared" si="1"/>
        <v>0</v>
      </c>
      <c r="M37" s="7"/>
    </row>
    <row r="38" spans="1:13">
      <c r="A38" s="1" t="s">
        <v>44</v>
      </c>
      <c r="B38" s="1" t="str">
        <f>VLOOKUP(A38,LISTADHERENT!A$5:H$51,2)</f>
        <v>SEUNOU RICHELOT</v>
      </c>
      <c r="C38" s="7">
        <f t="shared" si="0"/>
        <v>20000</v>
      </c>
      <c r="D38" s="7">
        <v>3000</v>
      </c>
      <c r="E38" s="7">
        <v>500</v>
      </c>
      <c r="F38" s="7">
        <v>1000</v>
      </c>
      <c r="G38" s="7">
        <v>2500</v>
      </c>
      <c r="H38" s="7"/>
      <c r="I38" s="7">
        <v>13000</v>
      </c>
      <c r="K38" s="7">
        <f t="shared" si="1"/>
        <v>0</v>
      </c>
      <c r="M38" s="7"/>
    </row>
    <row r="39" spans="1:13">
      <c r="A39" s="1" t="s">
        <v>45</v>
      </c>
      <c r="B39" s="1" t="str">
        <f>VLOOKUP(A39,LISTADHERENT!A$5:H$51,2)</f>
        <v>SIME ABEL</v>
      </c>
      <c r="C39" s="7">
        <f t="shared" si="0"/>
        <v>20000</v>
      </c>
      <c r="D39" s="7">
        <v>3000</v>
      </c>
      <c r="E39" s="7">
        <v>500</v>
      </c>
      <c r="F39" s="7">
        <v>1000</v>
      </c>
      <c r="G39" s="7">
        <v>2500</v>
      </c>
      <c r="H39" s="7"/>
      <c r="I39" s="7">
        <v>13000</v>
      </c>
      <c r="K39" s="7">
        <f t="shared" si="1"/>
        <v>0</v>
      </c>
      <c r="M39" s="7"/>
    </row>
    <row r="40" spans="1:13">
      <c r="A40" s="1" t="s">
        <v>46</v>
      </c>
      <c r="B40" s="1" t="str">
        <f>VLOOKUP(A40,LISTADHERENT!A$5:H$51,2)</f>
        <v>SIME FONGANG ERIC</v>
      </c>
      <c r="C40" s="7">
        <f t="shared" si="0"/>
        <v>20000</v>
      </c>
      <c r="D40" s="7">
        <v>3000</v>
      </c>
      <c r="E40" s="7">
        <v>500</v>
      </c>
      <c r="F40" s="7">
        <v>1000</v>
      </c>
      <c r="G40" s="7">
        <v>2500</v>
      </c>
      <c r="H40" s="7"/>
      <c r="I40" s="7">
        <v>13000</v>
      </c>
      <c r="K40" s="7">
        <f t="shared" si="1"/>
        <v>0</v>
      </c>
      <c r="M40" s="7"/>
    </row>
    <row r="41" spans="1:13">
      <c r="A41" s="1" t="s">
        <v>47</v>
      </c>
      <c r="B41" s="1" t="str">
        <f>VLOOKUP(A41,LISTADHERENT!A$5:H$51,2)</f>
        <v>SIME MATHIEU</v>
      </c>
      <c r="C41" s="7">
        <f t="shared" si="0"/>
        <v>20000</v>
      </c>
      <c r="D41" s="7">
        <v>3000</v>
      </c>
      <c r="E41" s="7">
        <v>500</v>
      </c>
      <c r="F41" s="7">
        <v>1000</v>
      </c>
      <c r="G41" s="7">
        <v>2500</v>
      </c>
      <c r="H41" s="7"/>
      <c r="I41" s="7">
        <v>13000</v>
      </c>
      <c r="K41" s="7">
        <f t="shared" si="1"/>
        <v>0</v>
      </c>
      <c r="M41" s="7"/>
    </row>
    <row r="42" spans="1:13">
      <c r="A42" s="1" t="s">
        <v>48</v>
      </c>
      <c r="B42" s="1" t="str">
        <f>VLOOKUP(A42,LISTADHERENT!A$5:H$51,2)</f>
        <v>SIME PIERRE</v>
      </c>
      <c r="C42" s="7">
        <f t="shared" si="0"/>
        <v>20000</v>
      </c>
      <c r="D42" s="7">
        <v>3000</v>
      </c>
      <c r="E42" s="7">
        <v>500</v>
      </c>
      <c r="F42" s="7">
        <v>1000</v>
      </c>
      <c r="G42" s="7">
        <v>2500</v>
      </c>
      <c r="H42" s="7"/>
      <c r="I42" s="7">
        <v>13000</v>
      </c>
      <c r="K42" s="7">
        <f t="shared" si="1"/>
        <v>0</v>
      </c>
      <c r="M42" s="7"/>
    </row>
    <row r="43" spans="1:13">
      <c r="A43" s="1" t="s">
        <v>49</v>
      </c>
      <c r="B43" s="1" t="str">
        <f>VLOOKUP(A43,LISTADHERENT!A$5:H$51,2)</f>
        <v>TAGNE NANGUEN MARTIN</v>
      </c>
      <c r="C43" s="7">
        <f t="shared" si="0"/>
        <v>20000</v>
      </c>
      <c r="D43" s="7">
        <v>3000</v>
      </c>
      <c r="E43" s="7">
        <v>500</v>
      </c>
      <c r="F43" s="7">
        <v>1000</v>
      </c>
      <c r="G43" s="7">
        <v>2500</v>
      </c>
      <c r="H43" s="7"/>
      <c r="I43" s="7">
        <v>13000</v>
      </c>
      <c r="K43" s="7">
        <f t="shared" si="1"/>
        <v>0</v>
      </c>
      <c r="M43" s="7"/>
    </row>
    <row r="44" spans="1:13">
      <c r="A44" s="1" t="s">
        <v>50</v>
      </c>
      <c r="B44" s="1" t="str">
        <f>VLOOKUP(A44,LISTADHERENT!A$5:H$51,2)</f>
        <v>TCHOUAMOU JEAN PAUL</v>
      </c>
      <c r="C44" s="7">
        <f t="shared" si="0"/>
        <v>20000</v>
      </c>
      <c r="D44" s="7">
        <v>3000</v>
      </c>
      <c r="E44" s="7">
        <v>500</v>
      </c>
      <c r="F44" s="7">
        <v>1000</v>
      </c>
      <c r="G44" s="7">
        <v>2500</v>
      </c>
      <c r="H44" s="7"/>
      <c r="I44" s="7">
        <v>13000</v>
      </c>
      <c r="K44" s="7">
        <f t="shared" si="1"/>
        <v>0</v>
      </c>
      <c r="M44" s="7"/>
    </row>
    <row r="45" spans="1:13">
      <c r="A45" s="1" t="s">
        <v>51</v>
      </c>
      <c r="B45" s="1" t="str">
        <f>VLOOKUP(A45,LISTADHERENT!A$5:H$51,2)</f>
        <v>TCHOUAMOU MATHIEU</v>
      </c>
      <c r="C45" s="7">
        <f t="shared" si="0"/>
        <v>20000</v>
      </c>
      <c r="D45" s="7">
        <v>3000</v>
      </c>
      <c r="E45" s="7">
        <v>500</v>
      </c>
      <c r="F45" s="7">
        <v>1000</v>
      </c>
      <c r="G45" s="7">
        <v>2500</v>
      </c>
      <c r="H45" s="7"/>
      <c r="I45" s="7">
        <v>13000</v>
      </c>
      <c r="J45" s="7"/>
      <c r="K45" s="7">
        <f t="shared" si="1"/>
        <v>0</v>
      </c>
      <c r="M45" s="7"/>
    </row>
    <row r="46" spans="1:13">
      <c r="A46" s="1" t="s">
        <v>52</v>
      </c>
      <c r="B46" s="1" t="str">
        <f>VLOOKUP(A46,LISTADHERENT!A$5:H$51,2)</f>
        <v>TCHOUANTE FRANCOIS</v>
      </c>
      <c r="C46" s="7">
        <f t="shared" si="0"/>
        <v>23000</v>
      </c>
      <c r="D46" s="7">
        <v>6000</v>
      </c>
      <c r="E46" s="7">
        <v>500</v>
      </c>
      <c r="F46" s="7">
        <v>1000</v>
      </c>
      <c r="G46" s="7">
        <v>2500</v>
      </c>
      <c r="H46" s="7"/>
      <c r="I46" s="7">
        <v>13000</v>
      </c>
      <c r="K46" s="7">
        <f t="shared" si="1"/>
        <v>0</v>
      </c>
      <c r="M46" s="7"/>
    </row>
    <row r="47" spans="1:13">
      <c r="A47" s="1" t="s">
        <v>53</v>
      </c>
      <c r="B47" s="1" t="str">
        <f>VLOOKUP(A47,LISTADHERENT!A$5:H$51,2)</f>
        <v>TCHOUTOU NANA CLAUDE</v>
      </c>
      <c r="C47" s="7">
        <f t="shared" si="0"/>
        <v>20000</v>
      </c>
      <c r="D47" s="7">
        <v>3000</v>
      </c>
      <c r="E47" s="7">
        <v>500</v>
      </c>
      <c r="F47" s="7">
        <v>1000</v>
      </c>
      <c r="G47" s="7">
        <v>2500</v>
      </c>
      <c r="H47" s="7"/>
      <c r="I47" s="7">
        <v>13000</v>
      </c>
      <c r="K47" s="7">
        <f t="shared" si="1"/>
        <v>0</v>
      </c>
      <c r="M47" s="7"/>
    </row>
    <row r="48" spans="1:13">
      <c r="A48" s="1" t="s">
        <v>54</v>
      </c>
      <c r="B48" s="1" t="str">
        <f>VLOOKUP(A48,LISTADHERENT!A$5:H$51,2)</f>
        <v>TIEYAM ERNEST</v>
      </c>
      <c r="C48" s="7">
        <f t="shared" si="0"/>
        <v>40000</v>
      </c>
      <c r="D48" s="7">
        <v>6000</v>
      </c>
      <c r="E48" s="7">
        <v>1000</v>
      </c>
      <c r="F48" s="7">
        <v>2000</v>
      </c>
      <c r="G48" s="7">
        <v>5000</v>
      </c>
      <c r="H48" s="7"/>
      <c r="I48" s="7">
        <v>26000</v>
      </c>
      <c r="K48" s="7">
        <f t="shared" si="1"/>
        <v>0</v>
      </c>
      <c r="M48" s="7"/>
    </row>
    <row r="49" spans="1:13">
      <c r="A49" s="1" t="s">
        <v>55</v>
      </c>
      <c r="B49" s="1" t="str">
        <f>VLOOKUP(A49,LISTADHERENT!A$5:H$51,2)</f>
        <v>TUGMA PIERRE LOTI</v>
      </c>
      <c r="C49" s="7">
        <f t="shared" si="0"/>
        <v>20000</v>
      </c>
      <c r="D49" s="7">
        <v>3000</v>
      </c>
      <c r="E49" s="7">
        <v>500</v>
      </c>
      <c r="F49" s="7">
        <v>1000</v>
      </c>
      <c r="G49" s="7">
        <v>2500</v>
      </c>
      <c r="H49" s="7"/>
      <c r="I49" s="7">
        <v>13000</v>
      </c>
      <c r="K49" s="7">
        <f t="shared" si="1"/>
        <v>0</v>
      </c>
      <c r="M49" s="7"/>
    </row>
    <row r="50" spans="1:13" ht="18">
      <c r="A50" s="1" t="s">
        <v>66</v>
      </c>
      <c r="B50" s="1" t="str">
        <f>VLOOKUP(A50,LISTADHERENT!A$5:H$51,2)</f>
        <v>YEPMOU JEAN JACQUES</v>
      </c>
      <c r="C50" s="7">
        <f t="shared" si="0"/>
        <v>20000</v>
      </c>
      <c r="D50" s="7">
        <v>3000</v>
      </c>
      <c r="E50" s="7">
        <v>500</v>
      </c>
      <c r="F50" s="7">
        <v>1000</v>
      </c>
      <c r="G50" s="7">
        <v>2500</v>
      </c>
      <c r="H50" s="7"/>
      <c r="I50" s="7">
        <v>13000</v>
      </c>
      <c r="J50" s="9"/>
      <c r="K50" s="7">
        <f t="shared" si="1"/>
        <v>0</v>
      </c>
      <c r="M50" s="7"/>
    </row>
    <row r="51" spans="1:13">
      <c r="A51" s="1" t="s">
        <v>178</v>
      </c>
      <c r="B51" s="1" t="str">
        <f>VLOOKUP(A51,LISTADHERENT!A$5:H$51,2)</f>
        <v>YOUMBI EMMANUEL</v>
      </c>
      <c r="C51" s="7">
        <f t="shared" si="0"/>
        <v>20000</v>
      </c>
      <c r="D51" s="7">
        <v>3000</v>
      </c>
      <c r="E51" s="7">
        <v>500</v>
      </c>
      <c r="F51" s="7">
        <v>1000</v>
      </c>
      <c r="G51" s="7">
        <v>2500</v>
      </c>
      <c r="I51" s="7">
        <v>13000</v>
      </c>
      <c r="K51" s="7">
        <f t="shared" si="1"/>
        <v>0</v>
      </c>
      <c r="M51" s="7"/>
    </row>
    <row r="52" spans="1:13" ht="18">
      <c r="A52" s="1"/>
      <c r="B52" s="1" t="s">
        <v>180</v>
      </c>
      <c r="I52" s="7"/>
      <c r="K52" s="7">
        <f t="shared" si="1"/>
        <v>0</v>
      </c>
      <c r="L52" s="9"/>
      <c r="M52" s="7"/>
    </row>
    <row r="53" spans="1:13" ht="18">
      <c r="A53" s="1"/>
      <c r="B53" s="1"/>
      <c r="L53" s="9"/>
    </row>
    <row r="54" spans="1:13" ht="18">
      <c r="A54" s="8" t="s">
        <v>56</v>
      </c>
      <c r="B54" s="8"/>
      <c r="C54" s="9">
        <f>SUM(C5:C52)</f>
        <v>999000</v>
      </c>
      <c r="D54" s="9">
        <f>SUM(D5:D52)</f>
        <v>185560</v>
      </c>
      <c r="E54" s="9">
        <f t="shared" ref="E54:I54" si="2">SUM(E5:E52)</f>
        <v>22500</v>
      </c>
      <c r="F54" s="9">
        <f t="shared" si="2"/>
        <v>45000</v>
      </c>
      <c r="G54" s="9">
        <f t="shared" si="2"/>
        <v>112500</v>
      </c>
      <c r="H54" s="9">
        <f t="shared" si="2"/>
        <v>0</v>
      </c>
      <c r="I54" s="9">
        <f t="shared" si="2"/>
        <v>585000</v>
      </c>
      <c r="J54" s="9">
        <f>SUM(J5:J51)</f>
        <v>1300000</v>
      </c>
      <c r="K54" s="9">
        <f>SUM(K5:K51)</f>
        <v>102000</v>
      </c>
      <c r="M54" s="9"/>
    </row>
  </sheetData>
  <autoFilter ref="A4:L50">
    <filterColumn colId="4"/>
    <filterColumn colId="8"/>
    <filterColumn colId="9"/>
    <filterColumn colId="10"/>
    <filterColumn colId="11"/>
  </autoFilter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54"/>
  <sheetViews>
    <sheetView workbookViewId="0">
      <pane xSplit="2" ySplit="4" topLeftCell="J11" activePane="bottomRight" state="frozen"/>
      <selection activeCell="D29" sqref="D29"/>
      <selection pane="topRight" activeCell="D29" sqref="D29"/>
      <selection pane="bottomLeft" activeCell="D29" sqref="D29"/>
      <selection pane="bottomRight" activeCell="L23" sqref="L23"/>
    </sheetView>
  </sheetViews>
  <sheetFormatPr baseColWidth="10" defaultRowHeight="15"/>
  <cols>
    <col min="1" max="1" width="13.85546875" customWidth="1"/>
    <col min="2" max="2" width="29.5703125" bestFit="1" customWidth="1"/>
    <col min="3" max="3" width="17.42578125" style="2" customWidth="1"/>
    <col min="4" max="4" width="12.5703125" bestFit="1" customWidth="1"/>
    <col min="5" max="5" width="17.5703125" style="3" bestFit="1" customWidth="1"/>
    <col min="6" max="6" width="15.7109375" style="2" customWidth="1"/>
    <col min="7" max="7" width="14.7109375" style="2" customWidth="1"/>
    <col min="8" max="8" width="18.140625" style="2" bestFit="1" customWidth="1"/>
    <col min="9" max="9" width="18.140625" customWidth="1"/>
    <col min="10" max="10" width="15" bestFit="1" customWidth="1"/>
    <col min="11" max="11" width="12.5703125" bestFit="1" customWidth="1"/>
    <col min="12" max="14" width="18.140625" customWidth="1"/>
  </cols>
  <sheetData>
    <row r="1" spans="1:14">
      <c r="A1" s="1" t="s">
        <v>0</v>
      </c>
      <c r="B1" s="1" t="s">
        <v>1</v>
      </c>
    </row>
    <row r="2" spans="1:14">
      <c r="A2" s="1" t="s">
        <v>2</v>
      </c>
      <c r="B2" s="1" t="s">
        <v>3</v>
      </c>
    </row>
    <row r="3" spans="1:14">
      <c r="A3" s="1" t="s">
        <v>4</v>
      </c>
      <c r="B3" s="1" t="s">
        <v>5</v>
      </c>
    </row>
    <row r="4" spans="1:14" ht="29.25">
      <c r="A4" s="1" t="s">
        <v>6</v>
      </c>
      <c r="B4" s="1" t="s">
        <v>7</v>
      </c>
      <c r="C4" s="5" t="s">
        <v>65</v>
      </c>
      <c r="D4" s="1" t="s">
        <v>57</v>
      </c>
      <c r="E4" s="5" t="s">
        <v>58</v>
      </c>
      <c r="F4" s="5" t="s">
        <v>59</v>
      </c>
      <c r="G4" s="5" t="s">
        <v>60</v>
      </c>
      <c r="H4" s="5" t="s">
        <v>61</v>
      </c>
      <c r="I4" s="5" t="s">
        <v>62</v>
      </c>
      <c r="J4" s="5" t="s">
        <v>63</v>
      </c>
      <c r="K4" s="5" t="s">
        <v>64</v>
      </c>
      <c r="L4" s="5" t="s">
        <v>8</v>
      </c>
      <c r="M4" s="5" t="s">
        <v>182</v>
      </c>
      <c r="N4" s="5" t="s">
        <v>181</v>
      </c>
    </row>
    <row r="5" spans="1:14">
      <c r="A5" s="1" t="s">
        <v>11</v>
      </c>
      <c r="B5" s="1" t="str">
        <f>VLOOKUP(A5,LISTADHERENT!A$5:H$51,2)</f>
        <v>BAKOP ACHILLE</v>
      </c>
      <c r="C5" s="7">
        <f t="shared" ref="C5:C51" si="0">D5+E5+F5+G5+H5+I5</f>
        <v>0</v>
      </c>
      <c r="D5" s="7"/>
      <c r="E5" s="7"/>
      <c r="F5" s="7"/>
      <c r="G5" s="7"/>
      <c r="H5" s="7"/>
      <c r="I5" s="7"/>
      <c r="J5" s="7"/>
      <c r="K5" s="7">
        <f>IF(J5&lt;=500000,(J5*1*3/100),(J5*12/100))</f>
        <v>0</v>
      </c>
      <c r="N5" s="7"/>
    </row>
    <row r="6" spans="1:14">
      <c r="A6" s="1" t="s">
        <v>12</v>
      </c>
      <c r="B6" s="1" t="str">
        <f>VLOOKUP(A6,LISTADHERENT!A$5:H$51,2)</f>
        <v>BOUTCHOUANG WILLIAM</v>
      </c>
      <c r="C6" s="7">
        <f t="shared" si="0"/>
        <v>20000</v>
      </c>
      <c r="D6" s="7">
        <v>3000</v>
      </c>
      <c r="E6" s="7">
        <v>500</v>
      </c>
      <c r="F6" s="7">
        <v>1000</v>
      </c>
      <c r="G6" s="7">
        <v>2500</v>
      </c>
      <c r="H6" s="7"/>
      <c r="I6" s="7">
        <v>13000</v>
      </c>
      <c r="J6" s="7"/>
      <c r="K6" s="7">
        <f t="shared" ref="K6:K52" si="1">IF(J6&lt;=500000,(J6*1*3/100),(J6*12/100))</f>
        <v>0</v>
      </c>
      <c r="N6" s="7"/>
    </row>
    <row r="7" spans="1:14">
      <c r="A7" s="1" t="s">
        <v>13</v>
      </c>
      <c r="B7" s="1" t="str">
        <f>VLOOKUP(A7,LISTADHERENT!A$5:H$51,2)</f>
        <v>CHINGUE FABRICE</v>
      </c>
      <c r="C7" s="7">
        <f t="shared" si="0"/>
        <v>20000</v>
      </c>
      <c r="D7" s="7">
        <v>3000</v>
      </c>
      <c r="E7" s="7">
        <v>500</v>
      </c>
      <c r="F7" s="7">
        <v>1000</v>
      </c>
      <c r="G7" s="7">
        <v>2500</v>
      </c>
      <c r="H7" s="7"/>
      <c r="I7" s="7">
        <v>13000</v>
      </c>
      <c r="K7" s="7">
        <f t="shared" si="1"/>
        <v>0</v>
      </c>
      <c r="N7" s="7"/>
    </row>
    <row r="8" spans="1:14">
      <c r="A8" s="1" t="s">
        <v>14</v>
      </c>
      <c r="B8" s="1" t="str">
        <f>VLOOKUP(A8,LISTADHERENT!A$5:H$51,2)</f>
        <v xml:space="preserve">DJOMO JEAN PAUL </v>
      </c>
      <c r="C8" s="7">
        <f t="shared" si="0"/>
        <v>20000</v>
      </c>
      <c r="D8" s="7">
        <v>3000</v>
      </c>
      <c r="E8" s="7">
        <v>500</v>
      </c>
      <c r="F8" s="7">
        <v>1000</v>
      </c>
      <c r="G8" s="7">
        <v>2500</v>
      </c>
      <c r="H8" s="7"/>
      <c r="I8" s="7">
        <v>13000</v>
      </c>
      <c r="K8" s="7">
        <f t="shared" si="1"/>
        <v>0</v>
      </c>
      <c r="N8" s="7"/>
    </row>
    <row r="9" spans="1:14">
      <c r="A9" s="1" t="s">
        <v>15</v>
      </c>
      <c r="B9" s="1" t="str">
        <f>VLOOKUP(A9,LISTADHERENT!A$5:H$51,2)</f>
        <v>DJOUKWE GUY</v>
      </c>
      <c r="C9" s="7">
        <f t="shared" si="0"/>
        <v>20000</v>
      </c>
      <c r="D9" s="7">
        <v>3000</v>
      </c>
      <c r="E9" s="7">
        <v>500</v>
      </c>
      <c r="F9" s="7">
        <v>1000</v>
      </c>
      <c r="G9" s="7">
        <v>2500</v>
      </c>
      <c r="H9" s="7"/>
      <c r="I9" s="7">
        <v>13000</v>
      </c>
      <c r="K9" s="7">
        <f t="shared" si="1"/>
        <v>0</v>
      </c>
      <c r="N9" s="7"/>
    </row>
    <row r="10" spans="1:14">
      <c r="A10" s="1" t="s">
        <v>16</v>
      </c>
      <c r="B10" s="1" t="str">
        <f>VLOOKUP(A10,LISTADHERENT!A$5:H$51,2)</f>
        <v>DJOSSEU JOSUE</v>
      </c>
      <c r="C10" s="7">
        <f t="shared" si="0"/>
        <v>0</v>
      </c>
      <c r="D10" s="7"/>
      <c r="E10" s="7"/>
      <c r="F10" s="7"/>
      <c r="G10" s="7"/>
      <c r="H10" s="7"/>
      <c r="I10" s="7"/>
      <c r="K10" s="7">
        <f t="shared" si="1"/>
        <v>0</v>
      </c>
      <c r="N10" s="7"/>
    </row>
    <row r="11" spans="1:14">
      <c r="A11" s="1" t="s">
        <v>17</v>
      </c>
      <c r="B11" s="1" t="str">
        <f>VLOOKUP(A11,LISTADHERENT!A$5:H$51,2)</f>
        <v>DJOUNKEP SAMUEL</v>
      </c>
      <c r="C11" s="7">
        <f t="shared" si="0"/>
        <v>20000</v>
      </c>
      <c r="D11" s="7">
        <v>3000</v>
      </c>
      <c r="E11" s="7">
        <v>500</v>
      </c>
      <c r="F11" s="7">
        <v>1000</v>
      </c>
      <c r="G11" s="7">
        <v>2500</v>
      </c>
      <c r="H11" s="7"/>
      <c r="I11" s="7">
        <v>13000</v>
      </c>
      <c r="K11" s="7">
        <f t="shared" si="1"/>
        <v>0</v>
      </c>
      <c r="N11" s="7"/>
    </row>
    <row r="12" spans="1:14">
      <c r="A12" s="1" t="s">
        <v>18</v>
      </c>
      <c r="B12" s="1" t="str">
        <f>VLOOKUP(A12,LISTADHERENT!A$5:H$51,2)</f>
        <v>DJUOMBESSY ANTOINE</v>
      </c>
      <c r="C12" s="7">
        <f t="shared" si="0"/>
        <v>20000</v>
      </c>
      <c r="D12" s="7">
        <v>3000</v>
      </c>
      <c r="E12" s="7">
        <v>500</v>
      </c>
      <c r="F12" s="7">
        <v>1000</v>
      </c>
      <c r="G12" s="7">
        <v>2500</v>
      </c>
      <c r="H12" s="7"/>
      <c r="I12" s="7">
        <v>13000</v>
      </c>
      <c r="K12" s="7">
        <f t="shared" si="1"/>
        <v>0</v>
      </c>
      <c r="N12" s="7"/>
    </row>
    <row r="13" spans="1:14">
      <c r="A13" s="1" t="s">
        <v>19</v>
      </c>
      <c r="B13" s="1" t="str">
        <f>VLOOKUP(A13,LISTADHERENT!A$5:H$51,2)</f>
        <v>DONHOU DAVID</v>
      </c>
      <c r="C13" s="7">
        <f t="shared" si="0"/>
        <v>20000</v>
      </c>
      <c r="D13" s="7">
        <v>3000</v>
      </c>
      <c r="E13" s="7">
        <v>500</v>
      </c>
      <c r="F13" s="7">
        <v>1000</v>
      </c>
      <c r="G13" s="7">
        <v>2500</v>
      </c>
      <c r="H13" s="7"/>
      <c r="I13" s="7">
        <v>13000</v>
      </c>
      <c r="K13" s="7">
        <f t="shared" si="1"/>
        <v>0</v>
      </c>
      <c r="N13" s="7"/>
    </row>
    <row r="14" spans="1:14">
      <c r="A14" s="1" t="s">
        <v>20</v>
      </c>
      <c r="B14" s="1" t="str">
        <f>VLOOKUP(A14,LISTADHERENT!A$5:H$51,2)</f>
        <v>FOTSO THOMAS</v>
      </c>
      <c r="C14" s="7">
        <f t="shared" si="0"/>
        <v>20000</v>
      </c>
      <c r="D14" s="7">
        <v>3000</v>
      </c>
      <c r="E14" s="7">
        <v>500</v>
      </c>
      <c r="F14" s="7">
        <v>1000</v>
      </c>
      <c r="G14" s="7">
        <v>2500</v>
      </c>
      <c r="H14" s="7"/>
      <c r="I14" s="7">
        <v>13000</v>
      </c>
      <c r="K14" s="7">
        <f t="shared" si="1"/>
        <v>0</v>
      </c>
      <c r="N14" s="7"/>
    </row>
    <row r="15" spans="1:14">
      <c r="A15" s="1" t="s">
        <v>21</v>
      </c>
      <c r="B15" s="1" t="str">
        <f>VLOOKUP(A15,LISTADHERENT!A$5:H$51,2)</f>
        <v>HENGUE PAUL OMER</v>
      </c>
      <c r="C15" s="7">
        <f t="shared" si="0"/>
        <v>20000</v>
      </c>
      <c r="D15" s="7">
        <v>3000</v>
      </c>
      <c r="E15" s="7">
        <v>500</v>
      </c>
      <c r="F15" s="7">
        <v>1000</v>
      </c>
      <c r="G15" s="7">
        <v>2500</v>
      </c>
      <c r="H15" s="7"/>
      <c r="I15" s="7">
        <v>13000</v>
      </c>
      <c r="K15" s="7">
        <f t="shared" si="1"/>
        <v>0</v>
      </c>
      <c r="N15" s="7"/>
    </row>
    <row r="16" spans="1:14">
      <c r="A16" s="1" t="s">
        <v>22</v>
      </c>
      <c r="B16" s="1" t="str">
        <f>VLOOKUP(A16,LISTADHERENT!A$5:H$51,2)</f>
        <v>HODIEP JULES</v>
      </c>
      <c r="C16" s="7">
        <f t="shared" si="0"/>
        <v>20000</v>
      </c>
      <c r="D16" s="7">
        <v>3000</v>
      </c>
      <c r="E16" s="7">
        <v>500</v>
      </c>
      <c r="F16" s="7">
        <v>1000</v>
      </c>
      <c r="G16" s="7">
        <v>2500</v>
      </c>
      <c r="H16" s="7"/>
      <c r="I16" s="7">
        <v>13000</v>
      </c>
      <c r="K16" s="7">
        <f t="shared" si="1"/>
        <v>0</v>
      </c>
      <c r="N16" s="7"/>
    </row>
    <row r="17" spans="1:14">
      <c r="A17" s="1" t="s">
        <v>23</v>
      </c>
      <c r="B17" s="1" t="str">
        <f>VLOOKUP(A17,LISTADHERENT!A$5:H$51,2)</f>
        <v>HOTCHO BENJAMIN</v>
      </c>
      <c r="C17" s="7">
        <f t="shared" si="0"/>
        <v>20000</v>
      </c>
      <c r="D17" s="7">
        <v>3000</v>
      </c>
      <c r="E17" s="7">
        <v>500</v>
      </c>
      <c r="F17" s="7">
        <v>1000</v>
      </c>
      <c r="G17" s="7">
        <v>2500</v>
      </c>
      <c r="H17" s="7"/>
      <c r="I17" s="7">
        <v>13000</v>
      </c>
      <c r="K17" s="7">
        <f t="shared" si="1"/>
        <v>0</v>
      </c>
      <c r="N17" s="7"/>
    </row>
    <row r="18" spans="1:14">
      <c r="A18" s="1" t="s">
        <v>24</v>
      </c>
      <c r="B18" s="1" t="str">
        <f>VLOOKUP(A18,LISTADHERENT!A$5:H$51,2)</f>
        <v>KEPHE DAVID</v>
      </c>
      <c r="C18" s="7">
        <f t="shared" si="0"/>
        <v>20000</v>
      </c>
      <c r="D18" s="7">
        <v>3000</v>
      </c>
      <c r="E18" s="7">
        <v>500</v>
      </c>
      <c r="F18" s="7">
        <v>1000</v>
      </c>
      <c r="G18" s="7">
        <v>2500</v>
      </c>
      <c r="H18" s="7"/>
      <c r="I18" s="7">
        <v>13000</v>
      </c>
      <c r="K18" s="7">
        <f t="shared" si="1"/>
        <v>0</v>
      </c>
      <c r="N18" s="7"/>
    </row>
    <row r="19" spans="1:14">
      <c r="A19" s="1" t="s">
        <v>25</v>
      </c>
      <c r="B19" s="1" t="str">
        <f>VLOOKUP(A19,LISTADHERENT!A$5:H$51,2)</f>
        <v>KEPSEU FRANCIS</v>
      </c>
      <c r="C19" s="7">
        <f t="shared" si="0"/>
        <v>23000</v>
      </c>
      <c r="D19" s="7">
        <v>6000</v>
      </c>
      <c r="E19" s="7">
        <v>500</v>
      </c>
      <c r="F19" s="7">
        <v>1000</v>
      </c>
      <c r="G19" s="7">
        <v>2500</v>
      </c>
      <c r="H19" s="7"/>
      <c r="I19" s="7">
        <v>13000</v>
      </c>
      <c r="K19" s="7">
        <f t="shared" si="1"/>
        <v>0</v>
      </c>
      <c r="N19" s="7"/>
    </row>
    <row r="20" spans="1:14">
      <c r="A20" s="1" t="s">
        <v>26</v>
      </c>
      <c r="B20" s="1" t="str">
        <f>VLOOKUP(A20,LISTADHERENT!A$5:H$51,2)</f>
        <v>KOUAMOU EMMANUEL</v>
      </c>
      <c r="C20" s="7">
        <f t="shared" si="0"/>
        <v>20000</v>
      </c>
      <c r="D20" s="7">
        <v>3000</v>
      </c>
      <c r="E20" s="7">
        <v>500</v>
      </c>
      <c r="F20" s="7">
        <v>1000</v>
      </c>
      <c r="G20" s="7">
        <v>2500</v>
      </c>
      <c r="H20" s="7"/>
      <c r="I20" s="7">
        <v>13000</v>
      </c>
      <c r="K20" s="7">
        <f t="shared" si="1"/>
        <v>0</v>
      </c>
      <c r="N20" s="7"/>
    </row>
    <row r="21" spans="1:14">
      <c r="A21" s="1" t="s">
        <v>27</v>
      </c>
      <c r="B21" s="1" t="str">
        <f>VLOOKUP(A21,LISTADHERENT!A$5:H$51,2)</f>
        <v>KOUAMOU MOISE</v>
      </c>
      <c r="C21" s="7">
        <f t="shared" si="0"/>
        <v>20000</v>
      </c>
      <c r="D21" s="7">
        <v>3000</v>
      </c>
      <c r="E21" s="7">
        <v>500</v>
      </c>
      <c r="F21" s="7">
        <v>1000</v>
      </c>
      <c r="G21" s="7">
        <v>2500</v>
      </c>
      <c r="H21" s="7"/>
      <c r="I21" s="7">
        <v>13000</v>
      </c>
      <c r="K21" s="7">
        <f t="shared" si="1"/>
        <v>0</v>
      </c>
      <c r="N21" s="7"/>
    </row>
    <row r="22" spans="1:14">
      <c r="A22" s="1" t="s">
        <v>28</v>
      </c>
      <c r="B22" s="1" t="str">
        <f>VLOOKUP(A22,LISTADHERENT!A$5:H$51,2)</f>
        <v>KOUAMOU VICTOR PEGUY</v>
      </c>
      <c r="C22" s="7">
        <f t="shared" si="0"/>
        <v>20000</v>
      </c>
      <c r="D22" s="7">
        <v>3000</v>
      </c>
      <c r="E22" s="7">
        <v>500</v>
      </c>
      <c r="F22" s="7">
        <v>1000</v>
      </c>
      <c r="G22" s="7">
        <v>2500</v>
      </c>
      <c r="H22" s="7"/>
      <c r="I22" s="7">
        <v>13000</v>
      </c>
      <c r="K22" s="7">
        <f t="shared" si="1"/>
        <v>0</v>
      </c>
      <c r="N22" s="7"/>
    </row>
    <row r="23" spans="1:14">
      <c r="A23" s="1" t="s">
        <v>29</v>
      </c>
      <c r="B23" s="1" t="str">
        <f>VLOOKUP(A23,LISTADHERENT!A$5:H$51,2)</f>
        <v>KOUATCHO MESSACK</v>
      </c>
      <c r="C23" s="7">
        <f t="shared" si="0"/>
        <v>20000</v>
      </c>
      <c r="D23" s="7">
        <v>3000</v>
      </c>
      <c r="E23" s="7">
        <v>500</v>
      </c>
      <c r="F23" s="7">
        <v>1000</v>
      </c>
      <c r="G23" s="7">
        <v>2500</v>
      </c>
      <c r="H23" s="7"/>
      <c r="I23" s="7">
        <v>13000</v>
      </c>
      <c r="J23" s="7"/>
      <c r="K23" s="7">
        <f t="shared" si="1"/>
        <v>0</v>
      </c>
      <c r="N23" s="7"/>
    </row>
    <row r="24" spans="1:14">
      <c r="A24" s="1" t="s">
        <v>30</v>
      </c>
      <c r="B24" s="1" t="str">
        <f>VLOOKUP(A24,LISTADHERENT!A$5:H$51,2)</f>
        <v>LOWE JEAN</v>
      </c>
      <c r="C24" s="7">
        <f t="shared" si="0"/>
        <v>20000</v>
      </c>
      <c r="D24" s="7">
        <v>3000</v>
      </c>
      <c r="E24" s="7">
        <v>500</v>
      </c>
      <c r="F24" s="7">
        <v>1000</v>
      </c>
      <c r="G24" s="7">
        <v>2500</v>
      </c>
      <c r="H24" s="7"/>
      <c r="I24" s="7">
        <v>13000</v>
      </c>
      <c r="J24" s="7">
        <v>80000</v>
      </c>
      <c r="K24" s="7">
        <f t="shared" si="1"/>
        <v>2400</v>
      </c>
      <c r="L24" s="7">
        <v>80000</v>
      </c>
      <c r="N24" s="7"/>
    </row>
    <row r="25" spans="1:14">
      <c r="A25" s="1" t="s">
        <v>31</v>
      </c>
      <c r="B25" s="1" t="str">
        <f>VLOOKUP(A25,LISTADHERENT!A$5:H$51,2)</f>
        <v>NANKAM APPOLINAIRE</v>
      </c>
      <c r="C25" s="7">
        <f t="shared" si="0"/>
        <v>20000</v>
      </c>
      <c r="D25" s="7">
        <v>3000</v>
      </c>
      <c r="E25" s="7">
        <v>500</v>
      </c>
      <c r="F25" s="7">
        <v>1000</v>
      </c>
      <c r="G25" s="7">
        <v>2500</v>
      </c>
      <c r="H25" s="7"/>
      <c r="I25" s="7">
        <v>13000</v>
      </c>
      <c r="K25" s="7">
        <f t="shared" si="1"/>
        <v>0</v>
      </c>
      <c r="N25" s="7"/>
    </row>
    <row r="26" spans="1:14">
      <c r="A26" s="1" t="s">
        <v>32</v>
      </c>
      <c r="B26" s="1" t="str">
        <f>VLOOKUP(A26,LISTADHERENT!A$5:H$51,2)</f>
        <v>NDJOMO ETIENNE</v>
      </c>
      <c r="C26" s="7">
        <f t="shared" si="0"/>
        <v>25000</v>
      </c>
      <c r="D26" s="7">
        <v>8000</v>
      </c>
      <c r="E26" s="7">
        <v>500</v>
      </c>
      <c r="F26" s="7">
        <v>1000</v>
      </c>
      <c r="G26" s="7">
        <v>2500</v>
      </c>
      <c r="H26" s="7"/>
      <c r="I26" s="7">
        <v>13000</v>
      </c>
      <c r="J26" s="7">
        <v>400000</v>
      </c>
      <c r="K26" s="7">
        <f t="shared" si="1"/>
        <v>12000</v>
      </c>
      <c r="L26" s="7">
        <v>400000</v>
      </c>
      <c r="M26" s="7"/>
      <c r="N26" s="7"/>
    </row>
    <row r="27" spans="1:14">
      <c r="A27" s="1" t="s">
        <v>33</v>
      </c>
      <c r="B27" s="1" t="str">
        <f>VLOOKUP(A27,LISTADHERENT!A$5:H$51,2)</f>
        <v>NDOMBOU JEAN CLAUDE</v>
      </c>
      <c r="C27" s="7">
        <f t="shared" si="0"/>
        <v>0</v>
      </c>
      <c r="D27" s="7"/>
      <c r="E27" s="7"/>
      <c r="F27" s="7"/>
      <c r="G27" s="7"/>
      <c r="H27" s="7"/>
      <c r="I27" s="7"/>
      <c r="K27" s="7">
        <f t="shared" si="1"/>
        <v>0</v>
      </c>
      <c r="N27" s="7"/>
    </row>
    <row r="28" spans="1:14">
      <c r="A28" s="1" t="s">
        <v>34</v>
      </c>
      <c r="B28" s="1" t="str">
        <f>VLOOKUP(A28,LISTADHERENT!A$5:H$51,2)</f>
        <v>NGONDIEP CLAUDE</v>
      </c>
      <c r="C28" s="7">
        <f t="shared" si="0"/>
        <v>20000</v>
      </c>
      <c r="D28" s="7">
        <v>3000</v>
      </c>
      <c r="E28" s="7">
        <v>500</v>
      </c>
      <c r="F28" s="7">
        <v>1000</v>
      </c>
      <c r="G28" s="7">
        <v>2500</v>
      </c>
      <c r="H28" s="7"/>
      <c r="I28" s="7">
        <v>13000</v>
      </c>
      <c r="K28" s="7">
        <f t="shared" si="1"/>
        <v>0</v>
      </c>
      <c r="N28" s="7"/>
    </row>
    <row r="29" spans="1:14">
      <c r="A29" s="1" t="s">
        <v>35</v>
      </c>
      <c r="B29" s="1" t="str">
        <f>VLOOKUP(A29,LISTADHERENT!A$5:H$51,2)</f>
        <v>NGONGANG JEAN THEODORE</v>
      </c>
      <c r="C29" s="7">
        <f t="shared" si="0"/>
        <v>20000</v>
      </c>
      <c r="D29" s="7">
        <v>3000</v>
      </c>
      <c r="E29" s="7">
        <v>500</v>
      </c>
      <c r="F29" s="7">
        <v>1000</v>
      </c>
      <c r="G29" s="7">
        <v>2500</v>
      </c>
      <c r="H29" s="7"/>
      <c r="I29" s="7">
        <v>13000</v>
      </c>
      <c r="K29" s="7">
        <f t="shared" si="1"/>
        <v>0</v>
      </c>
      <c r="N29" s="7"/>
    </row>
    <row r="30" spans="1:14">
      <c r="A30" s="1" t="s">
        <v>36</v>
      </c>
      <c r="B30" s="1" t="str">
        <f>VLOOKUP(A30,LISTADHERENT!A$5:H$51,2)</f>
        <v>NGUIEMEGNI MATHIEU BLAISE</v>
      </c>
      <c r="C30" s="7">
        <f>D30+E30+F30+G30+H30+I30+N30</f>
        <v>520000</v>
      </c>
      <c r="D30" s="7">
        <v>402945</v>
      </c>
      <c r="E30" s="7">
        <v>500</v>
      </c>
      <c r="F30" s="7">
        <v>1000</v>
      </c>
      <c r="G30" s="7">
        <v>2500</v>
      </c>
      <c r="H30" s="7">
        <v>50000</v>
      </c>
      <c r="I30" s="7">
        <v>13000</v>
      </c>
      <c r="K30" s="7">
        <f t="shared" si="1"/>
        <v>0</v>
      </c>
      <c r="N30" s="7">
        <v>50055</v>
      </c>
    </row>
    <row r="31" spans="1:14">
      <c r="A31" s="1" t="s">
        <v>37</v>
      </c>
      <c r="B31" s="1" t="str">
        <f>VLOOKUP(A31,LISTADHERENT!A$5:H$51,2)</f>
        <v>NJEPDJIO MBOUKAM DELUXE</v>
      </c>
      <c r="C31" s="7">
        <f t="shared" si="0"/>
        <v>20000</v>
      </c>
      <c r="D31" s="7">
        <v>3000</v>
      </c>
      <c r="E31" s="7">
        <v>500</v>
      </c>
      <c r="F31" s="7">
        <v>1000</v>
      </c>
      <c r="G31" s="7">
        <v>2500</v>
      </c>
      <c r="H31" s="7"/>
      <c r="I31" s="7">
        <v>13000</v>
      </c>
      <c r="K31" s="7">
        <f t="shared" si="1"/>
        <v>0</v>
      </c>
      <c r="N31" s="7"/>
    </row>
    <row r="32" spans="1:14">
      <c r="A32" s="1" t="s">
        <v>38</v>
      </c>
      <c r="B32" s="1" t="str">
        <f>VLOOKUP(A32,LISTADHERENT!A$5:H$51,2)</f>
        <v>NKAMGANG JUSTIN DEJOLIE</v>
      </c>
      <c r="C32" s="7">
        <f t="shared" si="0"/>
        <v>23000</v>
      </c>
      <c r="D32" s="7">
        <v>6000</v>
      </c>
      <c r="E32" s="7">
        <v>500</v>
      </c>
      <c r="F32" s="7">
        <v>1000</v>
      </c>
      <c r="G32" s="7">
        <v>2500</v>
      </c>
      <c r="H32" s="7"/>
      <c r="I32" s="7">
        <v>13000</v>
      </c>
      <c r="J32" s="11"/>
      <c r="K32" s="7">
        <f t="shared" si="1"/>
        <v>0</v>
      </c>
      <c r="N32" s="7"/>
    </row>
    <row r="33" spans="1:14" s="11" customFormat="1">
      <c r="A33" s="1" t="s">
        <v>39</v>
      </c>
      <c r="B33" s="1" t="str">
        <f>VLOOKUP(A33,LISTADHERENT!A$5:H$51,2)</f>
        <v>NKEPSEU DIEUDONNE</v>
      </c>
      <c r="C33" s="10">
        <f>D33+E33+F33+G33+H33+I33</f>
        <v>25000</v>
      </c>
      <c r="D33" s="7">
        <v>8000</v>
      </c>
      <c r="E33" s="7">
        <v>500</v>
      </c>
      <c r="F33" s="7">
        <v>1000</v>
      </c>
      <c r="G33" s="7">
        <v>2500</v>
      </c>
      <c r="H33" s="7"/>
      <c r="I33" s="7">
        <v>13000</v>
      </c>
      <c r="J33"/>
      <c r="K33" s="7">
        <f t="shared" si="1"/>
        <v>0</v>
      </c>
      <c r="N33" s="7"/>
    </row>
    <row r="34" spans="1:14">
      <c r="A34" s="1" t="s">
        <v>40</v>
      </c>
      <c r="B34" s="1" t="str">
        <f>VLOOKUP(A34,LISTADHERENT!A$5:H$51,2)</f>
        <v>NKEPSEU HENANG RENE</v>
      </c>
      <c r="C34" s="7">
        <f t="shared" si="0"/>
        <v>0</v>
      </c>
      <c r="D34" s="7"/>
      <c r="E34" s="7"/>
      <c r="F34" s="7"/>
      <c r="G34" s="7"/>
      <c r="H34" s="7"/>
      <c r="I34" s="7"/>
      <c r="K34" s="7">
        <f t="shared" si="1"/>
        <v>0</v>
      </c>
      <c r="N34" s="7"/>
    </row>
    <row r="35" spans="1:14">
      <c r="A35" s="1" t="s">
        <v>41</v>
      </c>
      <c r="B35" s="1" t="str">
        <f>VLOOKUP(A35,LISTADHERENT!A$5:H$51,2)</f>
        <v>NTEPDIE TUEMAC MZ</v>
      </c>
      <c r="C35" s="7">
        <f t="shared" si="0"/>
        <v>20000</v>
      </c>
      <c r="D35" s="7">
        <v>3000</v>
      </c>
      <c r="E35" s="7">
        <v>500</v>
      </c>
      <c r="F35" s="7">
        <v>1000</v>
      </c>
      <c r="G35" s="7">
        <v>2500</v>
      </c>
      <c r="H35" s="7"/>
      <c r="I35" s="7">
        <v>13000</v>
      </c>
      <c r="K35" s="7">
        <f t="shared" si="1"/>
        <v>0</v>
      </c>
      <c r="N35" s="7"/>
    </row>
    <row r="36" spans="1:14">
      <c r="A36" s="1" t="s">
        <v>42</v>
      </c>
      <c r="B36" s="1" t="str">
        <f>VLOOKUP(A36,LISTADHERENT!A$5:H$51,2)</f>
        <v>NTOMBOU ADOLPHE</v>
      </c>
      <c r="C36" s="7">
        <f t="shared" si="0"/>
        <v>0</v>
      </c>
      <c r="D36" s="7"/>
      <c r="E36" s="7"/>
      <c r="F36" s="7"/>
      <c r="G36" s="7"/>
      <c r="H36" s="7"/>
      <c r="I36" s="7"/>
      <c r="K36" s="7">
        <f t="shared" si="1"/>
        <v>0</v>
      </c>
      <c r="N36" s="7"/>
    </row>
    <row r="37" spans="1:14">
      <c r="A37" s="1" t="s">
        <v>43</v>
      </c>
      <c r="B37" s="1" t="str">
        <f>VLOOKUP(A37,LISTADHERENT!A$5:H$51,2)</f>
        <v>PATEGO NJOSSU GUSTAVE</v>
      </c>
      <c r="C37" s="7">
        <f t="shared" si="0"/>
        <v>20000</v>
      </c>
      <c r="D37" s="7">
        <v>3000</v>
      </c>
      <c r="E37" s="7">
        <v>500</v>
      </c>
      <c r="F37" s="7">
        <v>1000</v>
      </c>
      <c r="G37" s="7">
        <v>2500</v>
      </c>
      <c r="H37" s="7"/>
      <c r="I37" s="7">
        <v>13000</v>
      </c>
      <c r="K37" s="7">
        <f t="shared" si="1"/>
        <v>0</v>
      </c>
      <c r="N37" s="7"/>
    </row>
    <row r="38" spans="1:14">
      <c r="A38" s="1" t="s">
        <v>44</v>
      </c>
      <c r="B38" s="1" t="str">
        <f>VLOOKUP(A38,LISTADHERENT!A$5:H$51,2)</f>
        <v>SEUNOU RICHELOT</v>
      </c>
      <c r="C38" s="7">
        <f t="shared" si="0"/>
        <v>20000</v>
      </c>
      <c r="D38" s="7">
        <v>3000</v>
      </c>
      <c r="E38" s="7">
        <v>500</v>
      </c>
      <c r="F38" s="7">
        <v>1000</v>
      </c>
      <c r="G38" s="7">
        <v>2500</v>
      </c>
      <c r="H38" s="7"/>
      <c r="I38" s="7">
        <v>13000</v>
      </c>
      <c r="K38" s="7">
        <f t="shared" si="1"/>
        <v>0</v>
      </c>
      <c r="N38" s="7"/>
    </row>
    <row r="39" spans="1:14">
      <c r="A39" s="1" t="s">
        <v>45</v>
      </c>
      <c r="B39" s="1" t="str">
        <f>VLOOKUP(A39,LISTADHERENT!A$5:H$51,2)</f>
        <v>SIME ABEL</v>
      </c>
      <c r="C39" s="7">
        <f t="shared" si="0"/>
        <v>20000</v>
      </c>
      <c r="D39" s="7">
        <v>3000</v>
      </c>
      <c r="E39" s="7">
        <v>500</v>
      </c>
      <c r="F39" s="7">
        <v>1000</v>
      </c>
      <c r="G39" s="7">
        <v>2500</v>
      </c>
      <c r="H39" s="7"/>
      <c r="I39" s="7">
        <v>13000</v>
      </c>
      <c r="K39" s="7">
        <f t="shared" si="1"/>
        <v>0</v>
      </c>
      <c r="N39" s="7"/>
    </row>
    <row r="40" spans="1:14">
      <c r="A40" s="1" t="s">
        <v>46</v>
      </c>
      <c r="B40" s="1" t="str">
        <f>VLOOKUP(A40,LISTADHERENT!A$5:H$51,2)</f>
        <v>SIME FONGANG ERIC</v>
      </c>
      <c r="C40" s="7">
        <f t="shared" si="0"/>
        <v>20000</v>
      </c>
      <c r="D40" s="7">
        <v>3000</v>
      </c>
      <c r="E40" s="7">
        <v>500</v>
      </c>
      <c r="F40" s="7">
        <v>1000</v>
      </c>
      <c r="G40" s="7">
        <v>2500</v>
      </c>
      <c r="H40" s="7"/>
      <c r="I40" s="7">
        <v>13000</v>
      </c>
      <c r="J40" s="7">
        <v>1000000</v>
      </c>
      <c r="K40" s="7">
        <f t="shared" si="1"/>
        <v>120000</v>
      </c>
      <c r="N40" s="7"/>
    </row>
    <row r="41" spans="1:14">
      <c r="A41" s="1" t="s">
        <v>47</v>
      </c>
      <c r="B41" s="1" t="str">
        <f>VLOOKUP(A41,LISTADHERENT!A$5:H$51,2)</f>
        <v>SIME MATHIEU</v>
      </c>
      <c r="C41" s="7">
        <f t="shared" si="0"/>
        <v>20000</v>
      </c>
      <c r="D41" s="7">
        <v>3000</v>
      </c>
      <c r="E41" s="7">
        <v>500</v>
      </c>
      <c r="F41" s="7">
        <v>1000</v>
      </c>
      <c r="G41" s="7">
        <v>2500</v>
      </c>
      <c r="H41" s="7"/>
      <c r="I41" s="7">
        <v>13000</v>
      </c>
      <c r="J41" s="7">
        <v>800000</v>
      </c>
      <c r="K41" s="7">
        <f t="shared" si="1"/>
        <v>96000</v>
      </c>
      <c r="N41" s="7"/>
    </row>
    <row r="42" spans="1:14">
      <c r="A42" s="1" t="s">
        <v>48</v>
      </c>
      <c r="B42" s="1" t="str">
        <f>VLOOKUP(A42,LISTADHERENT!A$5:H$51,2)</f>
        <v>SIME PIERRE</v>
      </c>
      <c r="C42" s="7">
        <f t="shared" si="0"/>
        <v>20000</v>
      </c>
      <c r="D42" s="7">
        <v>3000</v>
      </c>
      <c r="E42" s="7">
        <v>500</v>
      </c>
      <c r="F42" s="7">
        <v>1000</v>
      </c>
      <c r="G42" s="7">
        <v>2500</v>
      </c>
      <c r="H42" s="7"/>
      <c r="I42" s="7">
        <v>13000</v>
      </c>
      <c r="K42" s="7">
        <f t="shared" si="1"/>
        <v>0</v>
      </c>
      <c r="N42" s="7"/>
    </row>
    <row r="43" spans="1:14">
      <c r="A43" s="1" t="s">
        <v>49</v>
      </c>
      <c r="B43" s="1" t="str">
        <f>VLOOKUP(A43,LISTADHERENT!A$5:H$51,2)</f>
        <v>TAGNE NANGUEN MARTIN</v>
      </c>
      <c r="C43" s="7">
        <f t="shared" si="0"/>
        <v>20000</v>
      </c>
      <c r="D43" s="7">
        <v>3000</v>
      </c>
      <c r="E43" s="7">
        <v>500</v>
      </c>
      <c r="F43" s="7">
        <v>1000</v>
      </c>
      <c r="G43" s="7">
        <v>2500</v>
      </c>
      <c r="H43" s="7"/>
      <c r="I43" s="7">
        <v>13000</v>
      </c>
      <c r="K43" s="7">
        <f t="shared" si="1"/>
        <v>0</v>
      </c>
      <c r="N43" s="7"/>
    </row>
    <row r="44" spans="1:14">
      <c r="A44" s="1" t="s">
        <v>50</v>
      </c>
      <c r="B44" s="1" t="str">
        <f>VLOOKUP(A44,LISTADHERENT!A$5:H$51,2)</f>
        <v>TCHOUAMOU JEAN PAUL</v>
      </c>
      <c r="C44" s="7">
        <f t="shared" si="0"/>
        <v>20000</v>
      </c>
      <c r="D44" s="7">
        <v>3000</v>
      </c>
      <c r="E44" s="7">
        <v>500</v>
      </c>
      <c r="F44" s="7">
        <v>1000</v>
      </c>
      <c r="G44" s="7">
        <v>2500</v>
      </c>
      <c r="H44" s="7"/>
      <c r="I44" s="7">
        <v>13000</v>
      </c>
      <c r="K44" s="7">
        <f t="shared" si="1"/>
        <v>0</v>
      </c>
      <c r="N44" s="7"/>
    </row>
    <row r="45" spans="1:14">
      <c r="A45" s="1" t="s">
        <v>51</v>
      </c>
      <c r="B45" s="1" t="str">
        <f>VLOOKUP(A45,LISTADHERENT!A$5:H$51,2)</f>
        <v>TCHOUAMOU MATHIEU</v>
      </c>
      <c r="C45" s="7">
        <f t="shared" si="0"/>
        <v>20000</v>
      </c>
      <c r="D45" s="7">
        <v>3000</v>
      </c>
      <c r="E45" s="7">
        <v>500</v>
      </c>
      <c r="F45" s="7">
        <v>1000</v>
      </c>
      <c r="G45" s="7">
        <v>2500</v>
      </c>
      <c r="H45" s="7"/>
      <c r="I45" s="7">
        <v>13000</v>
      </c>
      <c r="J45" s="7"/>
      <c r="K45" s="7">
        <f t="shared" si="1"/>
        <v>0</v>
      </c>
      <c r="M45" s="7">
        <v>40750</v>
      </c>
      <c r="N45" s="7"/>
    </row>
    <row r="46" spans="1:14">
      <c r="A46" s="1" t="s">
        <v>52</v>
      </c>
      <c r="B46" s="1" t="str">
        <f>VLOOKUP(A46,LISTADHERENT!A$5:H$51,2)</f>
        <v>TCHOUANTE FRANCOIS</v>
      </c>
      <c r="C46" s="7">
        <f t="shared" si="0"/>
        <v>20000</v>
      </c>
      <c r="D46" s="7">
        <v>3000</v>
      </c>
      <c r="E46" s="7">
        <v>500</v>
      </c>
      <c r="F46" s="7">
        <v>1000</v>
      </c>
      <c r="G46" s="7">
        <v>2500</v>
      </c>
      <c r="H46" s="7"/>
      <c r="I46" s="7">
        <v>13000</v>
      </c>
      <c r="K46" s="7">
        <f t="shared" si="1"/>
        <v>0</v>
      </c>
      <c r="N46" s="7"/>
    </row>
    <row r="47" spans="1:14">
      <c r="A47" s="1" t="s">
        <v>53</v>
      </c>
      <c r="B47" s="1" t="str">
        <f>VLOOKUP(A47,LISTADHERENT!A$5:H$51,2)</f>
        <v>TCHOUTOU NANA CLAUDE</v>
      </c>
      <c r="C47" s="7">
        <f t="shared" si="0"/>
        <v>20000</v>
      </c>
      <c r="D47" s="7">
        <v>3000</v>
      </c>
      <c r="E47" s="7">
        <v>500</v>
      </c>
      <c r="F47" s="7">
        <v>1000</v>
      </c>
      <c r="G47" s="7">
        <v>2500</v>
      </c>
      <c r="H47" s="7"/>
      <c r="I47" s="7">
        <v>13000</v>
      </c>
      <c r="K47" s="7">
        <f t="shared" si="1"/>
        <v>0</v>
      </c>
      <c r="N47" s="7"/>
    </row>
    <row r="48" spans="1:14">
      <c r="A48" s="1" t="s">
        <v>54</v>
      </c>
      <c r="B48" s="1" t="str">
        <f>VLOOKUP(A48,LISTADHERENT!A$5:H$51,2)</f>
        <v>TIEYAM ERNEST</v>
      </c>
      <c r="C48" s="7">
        <f t="shared" si="0"/>
        <v>20000</v>
      </c>
      <c r="D48" s="7">
        <v>3000</v>
      </c>
      <c r="E48" s="7">
        <v>500</v>
      </c>
      <c r="F48" s="7">
        <v>1000</v>
      </c>
      <c r="G48" s="7">
        <v>2500</v>
      </c>
      <c r="H48" s="7"/>
      <c r="I48" s="7">
        <v>13000</v>
      </c>
      <c r="K48" s="7">
        <f t="shared" si="1"/>
        <v>0</v>
      </c>
      <c r="N48" s="7"/>
    </row>
    <row r="49" spans="1:14">
      <c r="A49" s="1" t="s">
        <v>55</v>
      </c>
      <c r="B49" s="1" t="str">
        <f>VLOOKUP(A49,LISTADHERENT!A$5:H$51,2)</f>
        <v>TUGMA PIERRE LOTI</v>
      </c>
      <c r="C49" s="7">
        <f t="shared" si="0"/>
        <v>20000</v>
      </c>
      <c r="D49" s="7">
        <v>3000</v>
      </c>
      <c r="E49" s="7">
        <v>500</v>
      </c>
      <c r="F49" s="7">
        <v>1000</v>
      </c>
      <c r="G49" s="7">
        <v>2500</v>
      </c>
      <c r="H49" s="7"/>
      <c r="I49" s="7">
        <v>13000</v>
      </c>
      <c r="K49" s="7">
        <f t="shared" si="1"/>
        <v>0</v>
      </c>
      <c r="N49" s="7"/>
    </row>
    <row r="50" spans="1:14" ht="18">
      <c r="A50" s="1" t="s">
        <v>66</v>
      </c>
      <c r="B50" s="1" t="str">
        <f>VLOOKUP(A50,LISTADHERENT!A$5:H$51,2)</f>
        <v>YEPMOU JEAN JACQUES</v>
      </c>
      <c r="C50" s="7">
        <f t="shared" si="0"/>
        <v>20000</v>
      </c>
      <c r="D50" s="7">
        <v>3000</v>
      </c>
      <c r="E50" s="7">
        <v>500</v>
      </c>
      <c r="F50" s="7">
        <v>1000</v>
      </c>
      <c r="G50" s="7">
        <v>2500</v>
      </c>
      <c r="H50" s="7"/>
      <c r="I50" s="7">
        <v>13000</v>
      </c>
      <c r="J50" s="9"/>
      <c r="K50" s="7">
        <f t="shared" si="1"/>
        <v>0</v>
      </c>
      <c r="N50" s="7"/>
    </row>
    <row r="51" spans="1:14">
      <c r="A51" s="1" t="s">
        <v>178</v>
      </c>
      <c r="B51" s="1" t="str">
        <f>VLOOKUP(A51,LISTADHERENT!A$5:H$51,2)</f>
        <v>YOUMBI EMMANUEL</v>
      </c>
      <c r="C51" s="7">
        <f t="shared" si="0"/>
        <v>20000</v>
      </c>
      <c r="D51" s="7">
        <v>3000</v>
      </c>
      <c r="E51" s="7">
        <v>500</v>
      </c>
      <c r="F51" s="7">
        <v>1000</v>
      </c>
      <c r="G51" s="7">
        <v>2500</v>
      </c>
      <c r="I51" s="7">
        <v>13000</v>
      </c>
      <c r="K51" s="7">
        <f t="shared" si="1"/>
        <v>0</v>
      </c>
      <c r="N51" s="7"/>
    </row>
    <row r="52" spans="1:14" ht="18">
      <c r="A52" s="1"/>
      <c r="B52" s="1" t="s">
        <v>180</v>
      </c>
      <c r="E52" s="4"/>
      <c r="I52" s="7"/>
      <c r="K52" s="7">
        <f t="shared" si="1"/>
        <v>0</v>
      </c>
      <c r="L52" s="9"/>
      <c r="M52" s="9"/>
      <c r="N52" s="7"/>
    </row>
    <row r="53" spans="1:14" ht="18">
      <c r="A53" s="1"/>
      <c r="B53" s="1"/>
      <c r="E53" s="4"/>
      <c r="L53" s="9"/>
      <c r="M53" s="9"/>
    </row>
    <row r="54" spans="1:14" ht="18">
      <c r="A54" s="8" t="s">
        <v>56</v>
      </c>
      <c r="B54" s="8"/>
      <c r="C54" s="9">
        <f>SUM(C5:C52)</f>
        <v>1356000</v>
      </c>
      <c r="D54" s="9">
        <f t="shared" ref="D54:N54" si="2">SUM(D5:D52)</f>
        <v>541945</v>
      </c>
      <c r="E54" s="9">
        <f t="shared" si="2"/>
        <v>21000</v>
      </c>
      <c r="F54" s="9">
        <f t="shared" si="2"/>
        <v>42000</v>
      </c>
      <c r="G54" s="9">
        <f t="shared" si="2"/>
        <v>105000</v>
      </c>
      <c r="H54" s="9">
        <f t="shared" si="2"/>
        <v>50000</v>
      </c>
      <c r="I54" s="9">
        <f t="shared" si="2"/>
        <v>546000</v>
      </c>
      <c r="J54" s="9">
        <f>SUM(J5:J51)</f>
        <v>2280000</v>
      </c>
      <c r="K54" s="9">
        <f>SUM(K5:K51)</f>
        <v>230400</v>
      </c>
      <c r="L54" s="9">
        <f t="shared" si="2"/>
        <v>480000</v>
      </c>
      <c r="M54" s="9"/>
      <c r="N54" s="9">
        <f t="shared" si="2"/>
        <v>50055</v>
      </c>
    </row>
  </sheetData>
  <autoFilter ref="A4:L50">
    <filterColumn colId="8"/>
    <filterColumn colId="9"/>
    <filterColumn colId="10"/>
    <filterColumn colId="11"/>
  </autoFilter>
  <dataValidations count="1">
    <dataValidation type="list" allowBlank="1" showInputMessage="1" showErrorMessage="1" promptTitle="Saissisez le mode de VERSEMENT" sqref="E5:E51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54"/>
  <sheetViews>
    <sheetView workbookViewId="0">
      <pane xSplit="2" ySplit="4" topLeftCell="I32" activePane="bottomRight" state="frozen"/>
      <selection activeCell="D29" sqref="D29"/>
      <selection pane="topRight" activeCell="D29" sqref="D29"/>
      <selection pane="bottomLeft" activeCell="D29" sqref="D29"/>
      <selection pane="bottomRight" activeCell="O40" sqref="O40"/>
    </sheetView>
  </sheetViews>
  <sheetFormatPr baseColWidth="10" defaultRowHeight="15"/>
  <cols>
    <col min="1" max="1" width="13.85546875" customWidth="1"/>
    <col min="2" max="2" width="29.5703125" bestFit="1" customWidth="1"/>
    <col min="3" max="3" width="17.42578125" style="2" customWidth="1"/>
    <col min="4" max="4" width="12.5703125" bestFit="1" customWidth="1"/>
    <col min="5" max="5" width="12.5703125" customWidth="1"/>
    <col min="6" max="6" width="15.7109375" style="2" customWidth="1"/>
    <col min="7" max="7" width="14.7109375" style="2" customWidth="1"/>
    <col min="8" max="8" width="18.140625" style="2" bestFit="1" customWidth="1"/>
    <col min="9" max="9" width="18.140625" customWidth="1"/>
    <col min="10" max="10" width="15" bestFit="1" customWidth="1"/>
    <col min="11" max="11" width="12.5703125" bestFit="1" customWidth="1"/>
    <col min="12" max="12" width="18.140625" customWidth="1"/>
  </cols>
  <sheetData>
    <row r="1" spans="1:13">
      <c r="A1" s="1" t="s">
        <v>0</v>
      </c>
      <c r="B1" s="1" t="s">
        <v>1</v>
      </c>
    </row>
    <row r="2" spans="1:13">
      <c r="A2" s="1" t="s">
        <v>2</v>
      </c>
      <c r="B2" s="1" t="s">
        <v>3</v>
      </c>
    </row>
    <row r="3" spans="1:13">
      <c r="A3" s="1" t="s">
        <v>4</v>
      </c>
      <c r="B3" s="1" t="s">
        <v>5</v>
      </c>
    </row>
    <row r="4" spans="1:13" ht="43.5">
      <c r="A4" s="1" t="s">
        <v>6</v>
      </c>
      <c r="B4" s="1" t="s">
        <v>7</v>
      </c>
      <c r="C4" s="5" t="s">
        <v>65</v>
      </c>
      <c r="D4" s="1" t="s">
        <v>57</v>
      </c>
      <c r="E4" s="5" t="s">
        <v>58</v>
      </c>
      <c r="F4" s="5" t="s">
        <v>59</v>
      </c>
      <c r="G4" s="5" t="s">
        <v>60</v>
      </c>
      <c r="H4" s="5" t="s">
        <v>61</v>
      </c>
      <c r="I4" s="5" t="s">
        <v>62</v>
      </c>
      <c r="J4" s="5" t="s">
        <v>63</v>
      </c>
      <c r="K4" s="5" t="s">
        <v>64</v>
      </c>
      <c r="L4" s="5" t="s">
        <v>8</v>
      </c>
      <c r="M4" s="5" t="s">
        <v>182</v>
      </c>
    </row>
    <row r="5" spans="1:13">
      <c r="A5" s="1" t="s">
        <v>11</v>
      </c>
      <c r="B5" s="1" t="str">
        <f>VLOOKUP(A5,LISTADHERENT!A$5:H$51,2)</f>
        <v>BAKOP ACHILLE</v>
      </c>
      <c r="C5" s="7">
        <f t="shared" ref="C5:C51" si="0">D5+E5+F5+G5+H5+I5</f>
        <v>65000</v>
      </c>
      <c r="D5" s="7">
        <v>6000</v>
      </c>
      <c r="E5" s="7">
        <v>1000</v>
      </c>
      <c r="F5" s="7">
        <v>2000</v>
      </c>
      <c r="G5" s="7">
        <v>5000</v>
      </c>
      <c r="H5" s="7">
        <v>25000</v>
      </c>
      <c r="I5" s="7">
        <v>26000</v>
      </c>
      <c r="J5" s="7"/>
      <c r="K5" s="7">
        <f>IF(J5&lt;=500000,(J5*1*3/100),(J5*12/100))</f>
        <v>0</v>
      </c>
    </row>
    <row r="6" spans="1:13">
      <c r="A6" s="1" t="s">
        <v>12</v>
      </c>
      <c r="B6" s="1" t="str">
        <f>VLOOKUP(A6,LISTADHERENT!A$5:H$51,2)</f>
        <v>BOUTCHOUANG WILLIAM</v>
      </c>
      <c r="C6" s="7">
        <f t="shared" si="0"/>
        <v>20000</v>
      </c>
      <c r="D6" s="7">
        <v>3000</v>
      </c>
      <c r="E6" s="7">
        <v>500</v>
      </c>
      <c r="F6" s="7">
        <v>1000</v>
      </c>
      <c r="G6" s="7">
        <v>2500</v>
      </c>
      <c r="H6" s="7"/>
      <c r="I6" s="7">
        <v>13000</v>
      </c>
      <c r="J6" s="7"/>
      <c r="K6" s="7">
        <f t="shared" ref="K6:K52" si="1">IF(J6&lt;=500000,(J6*1*3/100),(J6*12/100))</f>
        <v>0</v>
      </c>
    </row>
    <row r="7" spans="1:13">
      <c r="A7" s="1" t="s">
        <v>13</v>
      </c>
      <c r="B7" s="1" t="str">
        <f>VLOOKUP(A7,LISTADHERENT!A$5:H$51,2)</f>
        <v>CHINGUE FABRICE</v>
      </c>
      <c r="C7" s="7">
        <f t="shared" si="0"/>
        <v>20000</v>
      </c>
      <c r="D7" s="7">
        <v>3000</v>
      </c>
      <c r="E7" s="7">
        <v>500</v>
      </c>
      <c r="F7" s="7">
        <v>1000</v>
      </c>
      <c r="G7" s="7">
        <v>2500</v>
      </c>
      <c r="H7" s="7"/>
      <c r="I7" s="7">
        <v>13000</v>
      </c>
      <c r="K7" s="7">
        <f t="shared" si="1"/>
        <v>0</v>
      </c>
    </row>
    <row r="8" spans="1:13">
      <c r="A8" s="1" t="s">
        <v>14</v>
      </c>
      <c r="B8" s="1" t="str">
        <f>VLOOKUP(A8,LISTADHERENT!A$5:H$51,2)</f>
        <v xml:space="preserve">DJOMO JEAN PAUL </v>
      </c>
      <c r="C8" s="7">
        <f t="shared" si="0"/>
        <v>25000</v>
      </c>
      <c r="D8" s="7">
        <v>8000</v>
      </c>
      <c r="E8" s="7">
        <v>500</v>
      </c>
      <c r="F8" s="7">
        <v>1000</v>
      </c>
      <c r="G8" s="7">
        <v>2500</v>
      </c>
      <c r="H8" s="7"/>
      <c r="I8" s="7">
        <v>13000</v>
      </c>
      <c r="K8" s="7">
        <f t="shared" si="1"/>
        <v>0</v>
      </c>
    </row>
    <row r="9" spans="1:13">
      <c r="A9" s="1" t="s">
        <v>15</v>
      </c>
      <c r="B9" s="1" t="str">
        <f>VLOOKUP(A9,LISTADHERENT!A$5:H$51,2)</f>
        <v>DJOUKWE GUY</v>
      </c>
      <c r="C9" s="7">
        <f t="shared" si="0"/>
        <v>20000</v>
      </c>
      <c r="D9" s="7">
        <v>3000</v>
      </c>
      <c r="E9" s="7">
        <v>500</v>
      </c>
      <c r="F9" s="7">
        <v>1000</v>
      </c>
      <c r="G9" s="7">
        <v>2500</v>
      </c>
      <c r="H9" s="7"/>
      <c r="I9" s="7">
        <v>13000</v>
      </c>
      <c r="K9" s="7">
        <f t="shared" si="1"/>
        <v>0</v>
      </c>
    </row>
    <row r="10" spans="1:13">
      <c r="A10" s="1" t="s">
        <v>16</v>
      </c>
      <c r="B10" s="1" t="str">
        <f>VLOOKUP(A10,LISTADHERENT!A$5:H$51,2)</f>
        <v>DJOSSEU JOSUE</v>
      </c>
      <c r="C10" s="7">
        <f t="shared" si="0"/>
        <v>0</v>
      </c>
      <c r="D10" s="7"/>
      <c r="E10" s="7"/>
      <c r="F10" s="7"/>
      <c r="G10" s="7"/>
      <c r="H10" s="7"/>
      <c r="I10" s="7"/>
      <c r="K10" s="7">
        <f t="shared" si="1"/>
        <v>0</v>
      </c>
    </row>
    <row r="11" spans="1:13">
      <c r="A11" s="1" t="s">
        <v>17</v>
      </c>
      <c r="B11" s="1" t="str">
        <f>VLOOKUP(A11,LISTADHERENT!A$5:H$51,2)</f>
        <v>DJOUNKEP SAMUEL</v>
      </c>
      <c r="C11" s="7">
        <f t="shared" si="0"/>
        <v>20000</v>
      </c>
      <c r="D11" s="7">
        <v>3000</v>
      </c>
      <c r="E11" s="7">
        <v>500</v>
      </c>
      <c r="F11" s="7">
        <v>1000</v>
      </c>
      <c r="G11" s="7">
        <v>2500</v>
      </c>
      <c r="H11" s="7"/>
      <c r="I11" s="7">
        <v>13000</v>
      </c>
      <c r="K11" s="7">
        <f t="shared" si="1"/>
        <v>0</v>
      </c>
    </row>
    <row r="12" spans="1:13">
      <c r="A12" s="1" t="s">
        <v>18</v>
      </c>
      <c r="B12" s="1" t="str">
        <f>VLOOKUP(A12,LISTADHERENT!A$5:H$51,2)</f>
        <v>DJUOMBESSY ANTOINE</v>
      </c>
      <c r="C12" s="7">
        <f t="shared" si="0"/>
        <v>20000</v>
      </c>
      <c r="D12" s="7">
        <v>3000</v>
      </c>
      <c r="E12" s="7">
        <v>500</v>
      </c>
      <c r="F12" s="7">
        <v>1000</v>
      </c>
      <c r="G12" s="7">
        <v>2500</v>
      </c>
      <c r="H12" s="7"/>
      <c r="I12" s="7">
        <v>13000</v>
      </c>
      <c r="K12" s="7">
        <f t="shared" si="1"/>
        <v>0</v>
      </c>
    </row>
    <row r="13" spans="1:13">
      <c r="A13" s="1" t="s">
        <v>19</v>
      </c>
      <c r="B13" s="1" t="str">
        <f>VLOOKUP(A13,LISTADHERENT!A$5:H$51,2)</f>
        <v>DONHOU DAVID</v>
      </c>
      <c r="C13" s="7">
        <f t="shared" si="0"/>
        <v>20000</v>
      </c>
      <c r="D13" s="7">
        <v>3000</v>
      </c>
      <c r="E13" s="7">
        <v>500</v>
      </c>
      <c r="F13" s="7">
        <v>1000</v>
      </c>
      <c r="G13" s="7">
        <v>2500</v>
      </c>
      <c r="H13" s="7"/>
      <c r="I13" s="7">
        <v>13000</v>
      </c>
      <c r="K13" s="7">
        <f t="shared" si="1"/>
        <v>0</v>
      </c>
    </row>
    <row r="14" spans="1:13">
      <c r="A14" s="1" t="s">
        <v>20</v>
      </c>
      <c r="B14" s="1" t="str">
        <f>VLOOKUP(A14,LISTADHERENT!A$5:H$51,2)</f>
        <v>FOTSO THOMAS</v>
      </c>
      <c r="C14" s="7">
        <f t="shared" si="0"/>
        <v>20000</v>
      </c>
      <c r="D14" s="7">
        <v>3000</v>
      </c>
      <c r="E14" s="7">
        <v>500</v>
      </c>
      <c r="F14" s="7">
        <v>1000</v>
      </c>
      <c r="G14" s="7">
        <v>2500</v>
      </c>
      <c r="H14" s="7"/>
      <c r="I14" s="7">
        <v>13000</v>
      </c>
      <c r="K14" s="7">
        <f t="shared" si="1"/>
        <v>0</v>
      </c>
    </row>
    <row r="15" spans="1:13">
      <c r="A15" s="1" t="s">
        <v>21</v>
      </c>
      <c r="B15" s="1" t="str">
        <f>VLOOKUP(A15,LISTADHERENT!A$5:H$51,2)</f>
        <v>HENGUE PAUL OMER</v>
      </c>
      <c r="C15" s="7">
        <f t="shared" si="0"/>
        <v>0</v>
      </c>
      <c r="D15" s="7"/>
      <c r="E15" s="7"/>
      <c r="F15" s="7"/>
      <c r="G15" s="7"/>
      <c r="H15" s="7"/>
      <c r="I15" s="7"/>
      <c r="K15" s="7">
        <f t="shared" si="1"/>
        <v>0</v>
      </c>
    </row>
    <row r="16" spans="1:13">
      <c r="A16" s="1" t="s">
        <v>22</v>
      </c>
      <c r="B16" s="1" t="str">
        <f>VLOOKUP(A16,LISTADHERENT!A$5:H$51,2)</f>
        <v>HODIEP JULES</v>
      </c>
      <c r="C16" s="7">
        <f t="shared" si="0"/>
        <v>20000</v>
      </c>
      <c r="D16" s="7">
        <v>3000</v>
      </c>
      <c r="E16" s="7">
        <v>500</v>
      </c>
      <c r="F16" s="7">
        <v>1000</v>
      </c>
      <c r="G16" s="7">
        <v>2500</v>
      </c>
      <c r="H16" s="7"/>
      <c r="I16" s="7">
        <v>13000</v>
      </c>
      <c r="K16" s="7">
        <f t="shared" si="1"/>
        <v>0</v>
      </c>
    </row>
    <row r="17" spans="1:11">
      <c r="A17" s="1" t="s">
        <v>23</v>
      </c>
      <c r="B17" s="1" t="str">
        <f>VLOOKUP(A17,LISTADHERENT!A$5:H$51,2)</f>
        <v>HOTCHO BENJAMIN</v>
      </c>
      <c r="C17" s="7">
        <f t="shared" si="0"/>
        <v>118000</v>
      </c>
      <c r="D17" s="7">
        <v>51000</v>
      </c>
      <c r="E17" s="7">
        <v>500</v>
      </c>
      <c r="F17" s="7">
        <v>1000</v>
      </c>
      <c r="G17" s="7">
        <v>2500</v>
      </c>
      <c r="H17" s="7">
        <v>50000</v>
      </c>
      <c r="I17" s="7">
        <v>13000</v>
      </c>
      <c r="K17" s="7">
        <f t="shared" si="1"/>
        <v>0</v>
      </c>
    </row>
    <row r="18" spans="1:11">
      <c r="A18" s="1" t="s">
        <v>24</v>
      </c>
      <c r="B18" s="1" t="str">
        <f>VLOOKUP(A18,LISTADHERENT!A$5:H$51,2)</f>
        <v>KEPHE DAVID</v>
      </c>
      <c r="C18" s="7">
        <f t="shared" si="0"/>
        <v>20000</v>
      </c>
      <c r="D18" s="7">
        <v>3000</v>
      </c>
      <c r="E18" s="7">
        <v>500</v>
      </c>
      <c r="F18" s="7">
        <v>1000</v>
      </c>
      <c r="G18" s="7">
        <v>2500</v>
      </c>
      <c r="H18" s="7"/>
      <c r="I18" s="7">
        <v>13000</v>
      </c>
      <c r="K18" s="7">
        <f t="shared" si="1"/>
        <v>0</v>
      </c>
    </row>
    <row r="19" spans="1:11">
      <c r="A19" s="1" t="s">
        <v>25</v>
      </c>
      <c r="B19" s="1" t="str">
        <f>VLOOKUP(A19,LISTADHERENT!A$5:H$51,2)</f>
        <v>KEPSEU FRANCIS</v>
      </c>
      <c r="C19" s="7">
        <f t="shared" si="0"/>
        <v>23000</v>
      </c>
      <c r="D19" s="7">
        <v>6000</v>
      </c>
      <c r="E19" s="7">
        <v>500</v>
      </c>
      <c r="F19" s="7">
        <v>1000</v>
      </c>
      <c r="G19" s="7">
        <v>2500</v>
      </c>
      <c r="H19" s="7"/>
      <c r="I19" s="7">
        <v>13000</v>
      </c>
      <c r="K19" s="7">
        <f t="shared" si="1"/>
        <v>0</v>
      </c>
    </row>
    <row r="20" spans="1:11">
      <c r="A20" s="1" t="s">
        <v>26</v>
      </c>
      <c r="B20" s="1" t="str">
        <f>VLOOKUP(A20,LISTADHERENT!A$5:H$51,2)</f>
        <v>KOUAMOU EMMANUEL</v>
      </c>
      <c r="C20" s="7">
        <f t="shared" si="0"/>
        <v>20000</v>
      </c>
      <c r="D20" s="7">
        <v>3000</v>
      </c>
      <c r="E20" s="7">
        <v>500</v>
      </c>
      <c r="F20" s="7">
        <v>1000</v>
      </c>
      <c r="G20" s="7">
        <v>2500</v>
      </c>
      <c r="H20" s="7"/>
      <c r="I20" s="7">
        <v>13000</v>
      </c>
      <c r="K20" s="7">
        <f t="shared" si="1"/>
        <v>0</v>
      </c>
    </row>
    <row r="21" spans="1:11">
      <c r="A21" s="1" t="s">
        <v>27</v>
      </c>
      <c r="B21" s="1" t="str">
        <f>VLOOKUP(A21,LISTADHERENT!A$5:H$51,2)</f>
        <v>KOUAMOU MOISE</v>
      </c>
      <c r="C21" s="7">
        <f t="shared" si="0"/>
        <v>20000</v>
      </c>
      <c r="D21" s="7">
        <v>3000</v>
      </c>
      <c r="E21" s="7">
        <v>500</v>
      </c>
      <c r="F21" s="7">
        <v>1000</v>
      </c>
      <c r="G21" s="7">
        <v>2500</v>
      </c>
      <c r="H21" s="7"/>
      <c r="I21" s="7">
        <v>13000</v>
      </c>
      <c r="K21" s="7">
        <f t="shared" si="1"/>
        <v>0</v>
      </c>
    </row>
    <row r="22" spans="1:11">
      <c r="A22" s="1" t="s">
        <v>28</v>
      </c>
      <c r="B22" s="1" t="str">
        <f>VLOOKUP(A22,LISTADHERENT!A$5:H$51,2)</f>
        <v>KOUAMOU VICTOR PEGUY</v>
      </c>
      <c r="C22" s="7">
        <f t="shared" si="0"/>
        <v>20000</v>
      </c>
      <c r="D22" s="7">
        <v>3000</v>
      </c>
      <c r="E22" s="7">
        <v>500</v>
      </c>
      <c r="F22" s="7">
        <v>1000</v>
      </c>
      <c r="G22" s="7">
        <v>2500</v>
      </c>
      <c r="H22" s="7"/>
      <c r="I22" s="7">
        <v>13000</v>
      </c>
      <c r="K22" s="7">
        <f t="shared" si="1"/>
        <v>0</v>
      </c>
    </row>
    <row r="23" spans="1:11">
      <c r="A23" s="1" t="s">
        <v>29</v>
      </c>
      <c r="B23" s="1" t="str">
        <f>VLOOKUP(A23,LISTADHERENT!A$5:H$51,2)</f>
        <v>KOUATCHO MESSACK</v>
      </c>
      <c r="C23" s="7">
        <f t="shared" si="0"/>
        <v>20000</v>
      </c>
      <c r="D23" s="7">
        <v>3000</v>
      </c>
      <c r="E23" s="7">
        <v>500</v>
      </c>
      <c r="F23" s="7">
        <v>1000</v>
      </c>
      <c r="G23" s="7">
        <v>2500</v>
      </c>
      <c r="H23" s="7"/>
      <c r="I23" s="7">
        <v>13000</v>
      </c>
      <c r="J23" s="7"/>
      <c r="K23" s="7">
        <f t="shared" si="1"/>
        <v>0</v>
      </c>
    </row>
    <row r="24" spans="1:11">
      <c r="A24" s="1" t="s">
        <v>30</v>
      </c>
      <c r="B24" s="1" t="str">
        <f>VLOOKUP(A24,LISTADHERENT!A$5:H$51,2)</f>
        <v>LOWE JEAN</v>
      </c>
      <c r="C24" s="7">
        <f t="shared" si="0"/>
        <v>20000</v>
      </c>
      <c r="D24" s="7">
        <v>3000</v>
      </c>
      <c r="E24" s="7">
        <v>500</v>
      </c>
      <c r="F24" s="7">
        <v>1000</v>
      </c>
      <c r="G24" s="7">
        <v>2500</v>
      </c>
      <c r="H24" s="7"/>
      <c r="I24" s="7">
        <v>13000</v>
      </c>
      <c r="K24" s="7">
        <f t="shared" si="1"/>
        <v>0</v>
      </c>
    </row>
    <row r="25" spans="1:11">
      <c r="A25" s="1" t="s">
        <v>31</v>
      </c>
      <c r="B25" s="1" t="str">
        <f>VLOOKUP(A25,LISTADHERENT!A$5:H$51,2)</f>
        <v>NANKAM APPOLINAIRE</v>
      </c>
      <c r="C25" s="7">
        <f t="shared" si="0"/>
        <v>20000</v>
      </c>
      <c r="D25" s="7">
        <v>3000</v>
      </c>
      <c r="E25" s="7">
        <v>500</v>
      </c>
      <c r="F25" s="7">
        <v>1000</v>
      </c>
      <c r="G25" s="7">
        <v>2500</v>
      </c>
      <c r="H25" s="7"/>
      <c r="I25" s="7">
        <v>13000</v>
      </c>
      <c r="K25" s="7">
        <f t="shared" si="1"/>
        <v>0</v>
      </c>
    </row>
    <row r="26" spans="1:11">
      <c r="A26" s="1" t="s">
        <v>32</v>
      </c>
      <c r="B26" s="1" t="str">
        <f>VLOOKUP(A26,LISTADHERENT!A$5:H$51,2)</f>
        <v>NDJOMO ETIENNE</v>
      </c>
      <c r="C26" s="7">
        <f t="shared" si="0"/>
        <v>25000</v>
      </c>
      <c r="D26" s="7">
        <v>8000</v>
      </c>
      <c r="E26" s="7">
        <v>500</v>
      </c>
      <c r="F26" s="7">
        <v>1000</v>
      </c>
      <c r="G26" s="7">
        <v>2500</v>
      </c>
      <c r="H26" s="7"/>
      <c r="I26" s="7">
        <v>13000</v>
      </c>
      <c r="J26" s="7"/>
      <c r="K26" s="7">
        <f t="shared" si="1"/>
        <v>0</v>
      </c>
    </row>
    <row r="27" spans="1:11">
      <c r="A27" s="1" t="s">
        <v>33</v>
      </c>
      <c r="B27" s="1" t="str">
        <f>VLOOKUP(A27,LISTADHERENT!A$5:H$51,2)</f>
        <v>NDOMBOU JEAN CLAUDE</v>
      </c>
      <c r="C27" s="7">
        <f t="shared" si="0"/>
        <v>0</v>
      </c>
      <c r="D27" s="7"/>
      <c r="E27" s="7"/>
      <c r="F27" s="7"/>
      <c r="G27" s="7"/>
      <c r="H27" s="7"/>
      <c r="I27" s="7"/>
      <c r="K27" s="7">
        <f t="shared" si="1"/>
        <v>0</v>
      </c>
    </row>
    <row r="28" spans="1:11">
      <c r="A28" s="1" t="s">
        <v>34</v>
      </c>
      <c r="B28" s="1" t="str">
        <f>VLOOKUP(A28,LISTADHERENT!A$5:H$51,2)</f>
        <v>NGONDIEP CLAUDE</v>
      </c>
      <c r="C28" s="7">
        <f t="shared" si="0"/>
        <v>20000</v>
      </c>
      <c r="D28" s="7">
        <v>3000</v>
      </c>
      <c r="E28" s="7">
        <v>500</v>
      </c>
      <c r="F28" s="7">
        <v>1000</v>
      </c>
      <c r="G28" s="7">
        <v>2500</v>
      </c>
      <c r="H28" s="7"/>
      <c r="I28" s="7">
        <v>13000</v>
      </c>
      <c r="K28" s="7">
        <f t="shared" si="1"/>
        <v>0</v>
      </c>
    </row>
    <row r="29" spans="1:11">
      <c r="A29" s="1" t="s">
        <v>35</v>
      </c>
      <c r="B29" s="1" t="str">
        <f>VLOOKUP(A29,LISTADHERENT!A$5:H$51,2)</f>
        <v>NGONGANG JEAN THEODORE</v>
      </c>
      <c r="C29" s="7">
        <f t="shared" si="0"/>
        <v>20000</v>
      </c>
      <c r="D29" s="7">
        <v>3000</v>
      </c>
      <c r="E29" s="7">
        <v>500</v>
      </c>
      <c r="F29" s="7">
        <v>1000</v>
      </c>
      <c r="G29" s="7">
        <v>2500</v>
      </c>
      <c r="H29" s="7"/>
      <c r="I29" s="7">
        <v>13000</v>
      </c>
      <c r="K29" s="7">
        <f t="shared" si="1"/>
        <v>0</v>
      </c>
    </row>
    <row r="30" spans="1:11">
      <c r="A30" s="1" t="s">
        <v>36</v>
      </c>
      <c r="B30" s="1" t="str">
        <f>VLOOKUP(A30,LISTADHERENT!A$5:H$51,2)</f>
        <v>NGUIEMEGNI MATHIEU BLAISE</v>
      </c>
      <c r="C30" s="7">
        <f t="shared" si="0"/>
        <v>20000</v>
      </c>
      <c r="D30" s="7">
        <v>3000</v>
      </c>
      <c r="E30" s="7">
        <v>500</v>
      </c>
      <c r="F30" s="7">
        <v>1000</v>
      </c>
      <c r="G30" s="7">
        <v>2500</v>
      </c>
      <c r="H30" s="7"/>
      <c r="I30" s="7">
        <v>13000</v>
      </c>
      <c r="K30" s="7">
        <f t="shared" si="1"/>
        <v>0</v>
      </c>
    </row>
    <row r="31" spans="1:11">
      <c r="A31" s="1" t="s">
        <v>37</v>
      </c>
      <c r="B31" s="1" t="str">
        <f>VLOOKUP(A31,LISTADHERENT!A$5:H$51,2)</f>
        <v>NJEPDJIO MBOUKAM DELUXE</v>
      </c>
      <c r="C31" s="7">
        <f t="shared" si="0"/>
        <v>20000</v>
      </c>
      <c r="D31" s="7">
        <v>3000</v>
      </c>
      <c r="E31" s="7">
        <v>500</v>
      </c>
      <c r="F31" s="7">
        <v>1000</v>
      </c>
      <c r="G31" s="7">
        <v>2500</v>
      </c>
      <c r="H31" s="7"/>
      <c r="I31" s="7">
        <v>13000</v>
      </c>
      <c r="K31" s="7">
        <f t="shared" si="1"/>
        <v>0</v>
      </c>
    </row>
    <row r="32" spans="1:11">
      <c r="A32" s="1" t="s">
        <v>38</v>
      </c>
      <c r="B32" s="1" t="str">
        <f>VLOOKUP(A32,LISTADHERENT!A$5:H$51,2)</f>
        <v>NKAMGANG JUSTIN DEJOLIE</v>
      </c>
      <c r="C32" s="7">
        <f t="shared" si="0"/>
        <v>23000</v>
      </c>
      <c r="D32" s="7">
        <v>6000</v>
      </c>
      <c r="E32" s="7">
        <v>500</v>
      </c>
      <c r="F32" s="7">
        <v>1000</v>
      </c>
      <c r="G32" s="7">
        <v>2500</v>
      </c>
      <c r="H32" s="7"/>
      <c r="I32" s="7">
        <v>13000</v>
      </c>
      <c r="J32" s="11"/>
      <c r="K32" s="7">
        <f t="shared" si="1"/>
        <v>0</v>
      </c>
    </row>
    <row r="33" spans="1:13" s="11" customFormat="1">
      <c r="A33" s="1" t="s">
        <v>39</v>
      </c>
      <c r="B33" s="1" t="str">
        <f>VLOOKUP(A33,LISTADHERENT!A$5:H$51,2)</f>
        <v>NKEPSEU DIEUDONNE</v>
      </c>
      <c r="C33" s="10">
        <f>D33+E33+F33+G33+H33+I33</f>
        <v>50000</v>
      </c>
      <c r="D33" s="7">
        <v>8000</v>
      </c>
      <c r="E33" s="7">
        <v>500</v>
      </c>
      <c r="F33" s="7">
        <v>1000</v>
      </c>
      <c r="G33" s="7">
        <v>2500</v>
      </c>
      <c r="H33" s="7">
        <v>25000</v>
      </c>
      <c r="I33" s="7">
        <v>13000</v>
      </c>
      <c r="J33" s="7">
        <v>600000</v>
      </c>
      <c r="K33" s="7">
        <f t="shared" si="1"/>
        <v>72000</v>
      </c>
    </row>
    <row r="34" spans="1:13">
      <c r="A34" s="1" t="s">
        <v>40</v>
      </c>
      <c r="B34" s="1" t="str">
        <f>VLOOKUP(A34,LISTADHERENT!A$5:H$51,2)</f>
        <v>NKEPSEU HENANG RENE</v>
      </c>
      <c r="C34" s="7">
        <f t="shared" si="0"/>
        <v>0</v>
      </c>
      <c r="D34" s="7"/>
      <c r="E34" s="7"/>
      <c r="F34" s="7"/>
      <c r="G34" s="7"/>
      <c r="H34" s="7"/>
      <c r="I34" s="7"/>
      <c r="K34" s="7">
        <f t="shared" si="1"/>
        <v>0</v>
      </c>
    </row>
    <row r="35" spans="1:13">
      <c r="A35" s="1" t="s">
        <v>41</v>
      </c>
      <c r="B35" s="1" t="str">
        <f>VLOOKUP(A35,LISTADHERENT!A$5:H$51,2)</f>
        <v>NTEPDIE TUEMAC MZ</v>
      </c>
      <c r="C35" s="7">
        <f t="shared" si="0"/>
        <v>20000</v>
      </c>
      <c r="D35" s="7">
        <v>3000</v>
      </c>
      <c r="E35" s="7">
        <v>500</v>
      </c>
      <c r="F35" s="7">
        <v>1000</v>
      </c>
      <c r="G35" s="7">
        <v>2500</v>
      </c>
      <c r="H35" s="7"/>
      <c r="I35" s="7">
        <v>13000</v>
      </c>
      <c r="K35" s="7">
        <f t="shared" si="1"/>
        <v>0</v>
      </c>
    </row>
    <row r="36" spans="1:13">
      <c r="A36" s="1" t="s">
        <v>42</v>
      </c>
      <c r="B36" s="1" t="str">
        <f>VLOOKUP(A36,LISTADHERENT!A$5:H$51,2)</f>
        <v>NTOMBOU ADOLPHE</v>
      </c>
      <c r="C36" s="7">
        <f t="shared" si="0"/>
        <v>0</v>
      </c>
      <c r="D36" s="7"/>
      <c r="E36" s="7"/>
      <c r="F36" s="7"/>
      <c r="G36" s="7"/>
      <c r="H36" s="7"/>
      <c r="I36" s="7"/>
      <c r="K36" s="7">
        <f t="shared" si="1"/>
        <v>0</v>
      </c>
    </row>
    <row r="37" spans="1:13">
      <c r="A37" s="1" t="s">
        <v>43</v>
      </c>
      <c r="B37" s="1" t="str">
        <f>VLOOKUP(A37,LISTADHERENT!A$5:H$51,2)</f>
        <v>PATEGO NJOSSU GUSTAVE</v>
      </c>
      <c r="C37" s="7">
        <f t="shared" si="0"/>
        <v>20000</v>
      </c>
      <c r="D37" s="7">
        <v>3000</v>
      </c>
      <c r="E37" s="7">
        <v>500</v>
      </c>
      <c r="F37" s="7">
        <v>1000</v>
      </c>
      <c r="G37" s="7">
        <v>2500</v>
      </c>
      <c r="H37" s="7"/>
      <c r="I37" s="7">
        <v>13000</v>
      </c>
      <c r="K37" s="7">
        <f t="shared" si="1"/>
        <v>0</v>
      </c>
    </row>
    <row r="38" spans="1:13">
      <c r="A38" s="1" t="s">
        <v>44</v>
      </c>
      <c r="B38" s="1" t="str">
        <f>VLOOKUP(A38,LISTADHERENT!A$5:H$51,2)</f>
        <v>SEUNOU RICHELOT</v>
      </c>
      <c r="C38" s="7">
        <f t="shared" si="0"/>
        <v>20000</v>
      </c>
      <c r="D38" s="7">
        <v>3000</v>
      </c>
      <c r="E38" s="7">
        <v>500</v>
      </c>
      <c r="F38" s="7">
        <v>1000</v>
      </c>
      <c r="G38" s="7">
        <v>2500</v>
      </c>
      <c r="H38" s="7"/>
      <c r="I38" s="7">
        <v>13000</v>
      </c>
      <c r="J38" s="7">
        <v>1000000</v>
      </c>
      <c r="K38" s="7">
        <f t="shared" si="1"/>
        <v>120000</v>
      </c>
    </row>
    <row r="39" spans="1:13">
      <c r="A39" s="1" t="s">
        <v>45</v>
      </c>
      <c r="B39" s="1" t="str">
        <f>VLOOKUP(A39,LISTADHERENT!A$5:H$51,2)</f>
        <v>SIME ABEL</v>
      </c>
      <c r="C39" s="7">
        <f t="shared" si="0"/>
        <v>20000</v>
      </c>
      <c r="D39" s="7">
        <v>3000</v>
      </c>
      <c r="E39" s="7">
        <v>500</v>
      </c>
      <c r="F39" s="7">
        <v>1000</v>
      </c>
      <c r="G39" s="7">
        <v>2500</v>
      </c>
      <c r="H39" s="7"/>
      <c r="I39" s="7">
        <v>13000</v>
      </c>
      <c r="K39" s="7">
        <f t="shared" si="1"/>
        <v>0</v>
      </c>
    </row>
    <row r="40" spans="1:13">
      <c r="A40" s="1" t="s">
        <v>46</v>
      </c>
      <c r="B40" s="1" t="str">
        <f>VLOOKUP(A40,LISTADHERENT!A$5:H$51,2)</f>
        <v>SIME FONGANG ERIC</v>
      </c>
      <c r="C40" s="7">
        <f t="shared" si="0"/>
        <v>20000</v>
      </c>
      <c r="D40" s="7">
        <v>3000</v>
      </c>
      <c r="E40" s="7">
        <v>500</v>
      </c>
      <c r="F40" s="7">
        <v>1000</v>
      </c>
      <c r="G40" s="7">
        <v>2500</v>
      </c>
      <c r="H40" s="7"/>
      <c r="I40" s="7">
        <v>13000</v>
      </c>
      <c r="K40" s="7">
        <f t="shared" si="1"/>
        <v>0</v>
      </c>
    </row>
    <row r="41" spans="1:13">
      <c r="A41" s="1" t="s">
        <v>47</v>
      </c>
      <c r="B41" s="1" t="str">
        <f>VLOOKUP(A41,LISTADHERENT!A$5:H$51,2)</f>
        <v>SIME MATHIEU</v>
      </c>
      <c r="C41" s="7">
        <f t="shared" si="0"/>
        <v>20000</v>
      </c>
      <c r="D41" s="7">
        <v>3000</v>
      </c>
      <c r="E41" s="7">
        <v>500</v>
      </c>
      <c r="F41" s="7">
        <v>1000</v>
      </c>
      <c r="G41" s="7">
        <v>2500</v>
      </c>
      <c r="H41" s="7"/>
      <c r="I41" s="7">
        <v>13000</v>
      </c>
      <c r="K41" s="7">
        <f t="shared" si="1"/>
        <v>0</v>
      </c>
    </row>
    <row r="42" spans="1:13">
      <c r="A42" s="1" t="s">
        <v>48</v>
      </c>
      <c r="B42" s="1" t="str">
        <f>VLOOKUP(A42,LISTADHERENT!A$5:H$51,2)</f>
        <v>SIME PIERRE</v>
      </c>
      <c r="C42" s="7">
        <f t="shared" si="0"/>
        <v>20000</v>
      </c>
      <c r="D42" s="7">
        <v>3000</v>
      </c>
      <c r="E42" s="7">
        <v>500</v>
      </c>
      <c r="F42" s="7">
        <v>1000</v>
      </c>
      <c r="G42" s="7">
        <v>2500</v>
      </c>
      <c r="H42" s="7"/>
      <c r="I42" s="7">
        <v>13000</v>
      </c>
      <c r="J42" s="7">
        <v>70000</v>
      </c>
      <c r="K42" s="7">
        <f t="shared" si="1"/>
        <v>2100</v>
      </c>
      <c r="L42" s="7">
        <v>70000</v>
      </c>
    </row>
    <row r="43" spans="1:13">
      <c r="A43" s="1" t="s">
        <v>49</v>
      </c>
      <c r="B43" s="1" t="str">
        <f>VLOOKUP(A43,LISTADHERENT!A$5:H$51,2)</f>
        <v>TAGNE NANGUEN MARTIN</v>
      </c>
      <c r="C43" s="7">
        <f t="shared" si="0"/>
        <v>20000</v>
      </c>
      <c r="D43" s="7">
        <v>3000</v>
      </c>
      <c r="E43" s="7">
        <v>500</v>
      </c>
      <c r="F43" s="7">
        <v>1000</v>
      </c>
      <c r="G43" s="7">
        <v>2500</v>
      </c>
      <c r="H43" s="7"/>
      <c r="I43" s="7">
        <v>13000</v>
      </c>
      <c r="K43" s="7">
        <f t="shared" si="1"/>
        <v>0</v>
      </c>
    </row>
    <row r="44" spans="1:13">
      <c r="A44" s="1" t="s">
        <v>50</v>
      </c>
      <c r="B44" s="1" t="str">
        <f>VLOOKUP(A44,LISTADHERENT!A$5:H$51,2)</f>
        <v>TCHOUAMOU JEAN PAUL</v>
      </c>
      <c r="C44" s="7">
        <f t="shared" si="0"/>
        <v>20000</v>
      </c>
      <c r="D44" s="7">
        <v>3000</v>
      </c>
      <c r="E44" s="7">
        <v>500</v>
      </c>
      <c r="F44" s="7">
        <v>1000</v>
      </c>
      <c r="G44" s="7">
        <v>2500</v>
      </c>
      <c r="H44" s="7"/>
      <c r="I44" s="7">
        <v>13000</v>
      </c>
      <c r="K44" s="7">
        <f t="shared" si="1"/>
        <v>0</v>
      </c>
    </row>
    <row r="45" spans="1:13">
      <c r="A45" s="1" t="s">
        <v>51</v>
      </c>
      <c r="B45" s="1" t="str">
        <f>VLOOKUP(A45,LISTADHERENT!A$5:H$51,2)</f>
        <v>TCHOUAMOU MATHIEU</v>
      </c>
      <c r="C45" s="7">
        <f t="shared" si="0"/>
        <v>20000</v>
      </c>
      <c r="D45" s="7">
        <v>3000</v>
      </c>
      <c r="E45" s="7">
        <v>500</v>
      </c>
      <c r="F45" s="7">
        <v>1000</v>
      </c>
      <c r="G45" s="7">
        <v>2500</v>
      </c>
      <c r="H45" s="7"/>
      <c r="I45" s="7">
        <v>13000</v>
      </c>
      <c r="J45" s="7"/>
      <c r="K45" s="7">
        <f t="shared" si="1"/>
        <v>0</v>
      </c>
      <c r="M45" s="7">
        <v>54075</v>
      </c>
    </row>
    <row r="46" spans="1:13">
      <c r="A46" s="1" t="s">
        <v>52</v>
      </c>
      <c r="B46" s="1" t="str">
        <f>VLOOKUP(A46,LISTADHERENT!A$5:H$51,2)</f>
        <v>TCHOUANTE FRANCOIS</v>
      </c>
      <c r="C46" s="7">
        <f t="shared" si="0"/>
        <v>20000</v>
      </c>
      <c r="D46" s="7">
        <v>3000</v>
      </c>
      <c r="E46" s="7">
        <v>500</v>
      </c>
      <c r="F46" s="7">
        <v>1000</v>
      </c>
      <c r="G46" s="7">
        <v>2500</v>
      </c>
      <c r="H46" s="7"/>
      <c r="I46" s="7">
        <v>13000</v>
      </c>
      <c r="K46" s="7">
        <f t="shared" si="1"/>
        <v>0</v>
      </c>
    </row>
    <row r="47" spans="1:13">
      <c r="A47" s="1" t="s">
        <v>53</v>
      </c>
      <c r="B47" s="1" t="str">
        <f>VLOOKUP(A47,LISTADHERENT!A$5:H$51,2)</f>
        <v>TCHOUTOU NANA CLAUDE</v>
      </c>
      <c r="C47" s="7">
        <f t="shared" si="0"/>
        <v>20000</v>
      </c>
      <c r="D47" s="7">
        <v>3000</v>
      </c>
      <c r="E47" s="7">
        <v>500</v>
      </c>
      <c r="F47" s="7">
        <v>1000</v>
      </c>
      <c r="G47" s="7">
        <v>2500</v>
      </c>
      <c r="H47" s="7"/>
      <c r="I47" s="7">
        <v>13000</v>
      </c>
      <c r="K47" s="7">
        <f t="shared" si="1"/>
        <v>0</v>
      </c>
    </row>
    <row r="48" spans="1:13">
      <c r="A48" s="1" t="s">
        <v>54</v>
      </c>
      <c r="B48" s="1" t="str">
        <f>VLOOKUP(A48,LISTADHERENT!A$5:H$51,2)</f>
        <v>TIEYAM ERNEST</v>
      </c>
      <c r="C48" s="7">
        <f t="shared" si="0"/>
        <v>20000</v>
      </c>
      <c r="D48" s="7">
        <v>3000</v>
      </c>
      <c r="E48" s="7">
        <v>500</v>
      </c>
      <c r="F48" s="7">
        <v>1000</v>
      </c>
      <c r="G48" s="7">
        <v>2500</v>
      </c>
      <c r="H48" s="7"/>
      <c r="I48" s="7">
        <v>13000</v>
      </c>
      <c r="K48" s="7">
        <f t="shared" si="1"/>
        <v>0</v>
      </c>
    </row>
    <row r="49" spans="1:12">
      <c r="A49" s="1" t="s">
        <v>55</v>
      </c>
      <c r="B49" s="1" t="str">
        <f>VLOOKUP(A49,LISTADHERENT!A$5:H$51,2)</f>
        <v>TUGMA PIERRE LOTI</v>
      </c>
      <c r="C49" s="7">
        <f t="shared" si="0"/>
        <v>20000</v>
      </c>
      <c r="D49" s="7">
        <v>3000</v>
      </c>
      <c r="E49" s="7">
        <v>500</v>
      </c>
      <c r="F49" s="7">
        <v>1000</v>
      </c>
      <c r="G49" s="7">
        <v>2500</v>
      </c>
      <c r="H49" s="7"/>
      <c r="I49" s="7">
        <v>13000</v>
      </c>
      <c r="K49" s="7">
        <f t="shared" si="1"/>
        <v>0</v>
      </c>
    </row>
    <row r="50" spans="1:12" ht="18">
      <c r="A50" s="1" t="s">
        <v>66</v>
      </c>
      <c r="B50" s="1" t="str">
        <f>VLOOKUP(A50,LISTADHERENT!A$5:H$51,2)</f>
        <v>YEPMOU JEAN JACQUES</v>
      </c>
      <c r="C50" s="7">
        <f t="shared" si="0"/>
        <v>20000</v>
      </c>
      <c r="D50" s="7">
        <v>3000</v>
      </c>
      <c r="E50" s="7">
        <v>500</v>
      </c>
      <c r="F50" s="7">
        <v>1000</v>
      </c>
      <c r="G50" s="7">
        <v>2500</v>
      </c>
      <c r="H50" s="7"/>
      <c r="I50" s="7">
        <v>13000</v>
      </c>
      <c r="J50" s="9"/>
      <c r="K50" s="7">
        <f t="shared" si="1"/>
        <v>0</v>
      </c>
    </row>
    <row r="51" spans="1:12">
      <c r="A51" s="1" t="s">
        <v>178</v>
      </c>
      <c r="B51" s="1" t="str">
        <f>VLOOKUP(A51,LISTADHERENT!A$5:H$51,2)</f>
        <v>YOUMBI EMMANUEL</v>
      </c>
      <c r="C51" s="7">
        <f t="shared" si="0"/>
        <v>20000</v>
      </c>
      <c r="D51" s="7">
        <v>3000</v>
      </c>
      <c r="E51" s="7">
        <v>500</v>
      </c>
      <c r="F51" s="7">
        <v>1000</v>
      </c>
      <c r="G51" s="7">
        <v>2500</v>
      </c>
      <c r="I51" s="7">
        <v>13000</v>
      </c>
      <c r="K51" s="7">
        <f t="shared" si="1"/>
        <v>0</v>
      </c>
    </row>
    <row r="52" spans="1:12" ht="18">
      <c r="A52" s="1"/>
      <c r="B52" s="1" t="s">
        <v>180</v>
      </c>
      <c r="I52" s="7"/>
      <c r="K52" s="7">
        <f t="shared" si="1"/>
        <v>0</v>
      </c>
      <c r="L52" s="9"/>
    </row>
    <row r="53" spans="1:12" ht="18">
      <c r="A53" s="1"/>
      <c r="B53" s="1"/>
      <c r="L53" s="9"/>
    </row>
    <row r="54" spans="1:12" ht="18">
      <c r="A54" s="8" t="s">
        <v>56</v>
      </c>
      <c r="B54" s="8"/>
      <c r="C54" s="9">
        <f>SUM(C5:C52)</f>
        <v>1029000</v>
      </c>
      <c r="D54" s="9">
        <f t="shared" ref="D54:I54" si="2">SUM(D5:D52)</f>
        <v>198000</v>
      </c>
      <c r="E54" s="9">
        <f t="shared" si="2"/>
        <v>21500</v>
      </c>
      <c r="F54" s="9">
        <f t="shared" si="2"/>
        <v>43000</v>
      </c>
      <c r="G54" s="9">
        <f t="shared" si="2"/>
        <v>107500</v>
      </c>
      <c r="H54" s="9">
        <f t="shared" si="2"/>
        <v>100000</v>
      </c>
      <c r="I54" s="9">
        <f t="shared" si="2"/>
        <v>559000</v>
      </c>
      <c r="J54" s="9">
        <f>SUM(J5:J51)</f>
        <v>1670000</v>
      </c>
      <c r="K54" s="9">
        <f>SUM(K5:K51)</f>
        <v>194100</v>
      </c>
    </row>
  </sheetData>
  <autoFilter ref="A4:L50">
    <filterColumn colId="8"/>
    <filterColumn colId="9"/>
    <filterColumn colId="10"/>
    <filterColumn colId="11"/>
  </autoFilter>
  <pageMargins left="0.7" right="0.7" top="0.75" bottom="0.75" header="0.3" footer="0.3"/>
  <pageSetup orientation="portrait" horizontalDpi="4294967295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54"/>
  <sheetViews>
    <sheetView workbookViewId="0">
      <pane xSplit="2" ySplit="4" topLeftCell="C17" activePane="bottomRight" state="frozen"/>
      <selection activeCell="D29" sqref="D29"/>
      <selection pane="topRight" activeCell="D29" sqref="D29"/>
      <selection pane="bottomLeft" activeCell="D29" sqref="D29"/>
      <selection pane="bottomRight" activeCell="L25" sqref="L25"/>
    </sheetView>
  </sheetViews>
  <sheetFormatPr baseColWidth="10" defaultRowHeight="15"/>
  <cols>
    <col min="1" max="1" width="13.85546875" customWidth="1"/>
    <col min="2" max="2" width="29.5703125" bestFit="1" customWidth="1"/>
    <col min="3" max="3" width="17.42578125" style="2" customWidth="1"/>
    <col min="4" max="4" width="12.5703125" bestFit="1" customWidth="1"/>
    <col min="5" max="5" width="17.5703125" style="3" bestFit="1" customWidth="1"/>
    <col min="6" max="6" width="15.7109375" style="2" customWidth="1"/>
    <col min="7" max="7" width="14.7109375" style="2" customWidth="1"/>
    <col min="8" max="8" width="18.140625" style="2" bestFit="1" customWidth="1"/>
    <col min="9" max="9" width="18.140625" customWidth="1"/>
    <col min="10" max="10" width="15" bestFit="1" customWidth="1"/>
    <col min="11" max="11" width="12.5703125" bestFit="1" customWidth="1"/>
    <col min="12" max="12" width="18.140625" customWidth="1"/>
  </cols>
  <sheetData>
    <row r="1" spans="1:12">
      <c r="A1" s="1" t="s">
        <v>0</v>
      </c>
      <c r="B1" s="1" t="s">
        <v>1</v>
      </c>
    </row>
    <row r="2" spans="1:12">
      <c r="A2" s="1" t="s">
        <v>2</v>
      </c>
      <c r="B2" s="1" t="s">
        <v>3</v>
      </c>
    </row>
    <row r="3" spans="1:12">
      <c r="A3" s="1" t="s">
        <v>4</v>
      </c>
      <c r="B3" s="1" t="s">
        <v>5</v>
      </c>
    </row>
    <row r="4" spans="1:12" ht="29.25">
      <c r="A4" s="1" t="s">
        <v>6</v>
      </c>
      <c r="B4" s="1" t="s">
        <v>7</v>
      </c>
      <c r="C4" s="5" t="s">
        <v>65</v>
      </c>
      <c r="D4" s="1" t="s">
        <v>57</v>
      </c>
      <c r="E4" s="5" t="s">
        <v>58</v>
      </c>
      <c r="F4" s="5" t="s">
        <v>59</v>
      </c>
      <c r="G4" s="5" t="s">
        <v>60</v>
      </c>
      <c r="H4" s="5" t="s">
        <v>61</v>
      </c>
      <c r="I4" s="5" t="s">
        <v>62</v>
      </c>
      <c r="J4" s="5" t="s">
        <v>63</v>
      </c>
      <c r="K4" s="5" t="s">
        <v>64</v>
      </c>
      <c r="L4" s="5" t="s">
        <v>8</v>
      </c>
    </row>
    <row r="5" spans="1:12">
      <c r="A5" s="1" t="s">
        <v>11</v>
      </c>
      <c r="B5" s="1" t="str">
        <f>VLOOKUP(A5,LISTADHERENT!A$5:H$51,2)</f>
        <v>BAKOP ACHILLE</v>
      </c>
      <c r="C5" s="7">
        <f t="shared" ref="C5:C51" si="0">D5+E5+F5+G5+H5+I5</f>
        <v>0</v>
      </c>
      <c r="D5" s="7"/>
      <c r="E5" s="7"/>
      <c r="F5" s="7"/>
      <c r="G5" s="7"/>
      <c r="H5" s="7"/>
      <c r="I5" s="7"/>
      <c r="J5" s="7"/>
      <c r="K5" s="7">
        <f>IF(J5&lt;=500000,(J5*1*3/100),(J5*12/100))</f>
        <v>0</v>
      </c>
    </row>
    <row r="6" spans="1:12">
      <c r="A6" s="1" t="s">
        <v>12</v>
      </c>
      <c r="B6" s="1" t="str">
        <f>VLOOKUP(A6,LISTADHERENT!A$5:H$51,2)</f>
        <v>BOUTCHOUANG WILLIAM</v>
      </c>
      <c r="C6" s="7">
        <f t="shared" si="0"/>
        <v>20000</v>
      </c>
      <c r="D6" s="7">
        <v>3000</v>
      </c>
      <c r="E6" s="7">
        <v>500</v>
      </c>
      <c r="F6" s="7">
        <v>1000</v>
      </c>
      <c r="G6" s="7">
        <v>2500</v>
      </c>
      <c r="H6" s="7"/>
      <c r="I6" s="7">
        <v>13000</v>
      </c>
      <c r="J6" s="7">
        <v>700000</v>
      </c>
      <c r="K6" s="7">
        <f t="shared" ref="K6:K52" si="1">IF(J6&lt;=500000,(J6*1*3/100),(J6*12/100))</f>
        <v>84000</v>
      </c>
      <c r="L6" s="7">
        <v>1000000</v>
      </c>
    </row>
    <row r="7" spans="1:12">
      <c r="A7" s="1" t="s">
        <v>13</v>
      </c>
      <c r="B7" s="1" t="str">
        <f>VLOOKUP(A7,LISTADHERENT!A$5:H$51,2)</f>
        <v>CHINGUE FABRICE</v>
      </c>
      <c r="C7" s="7">
        <f t="shared" si="0"/>
        <v>20000</v>
      </c>
      <c r="D7" s="7">
        <v>3000</v>
      </c>
      <c r="E7" s="7">
        <v>500</v>
      </c>
      <c r="F7" s="7">
        <v>1000</v>
      </c>
      <c r="G7" s="7">
        <v>2500</v>
      </c>
      <c r="H7" s="7"/>
      <c r="I7" s="7">
        <v>13000</v>
      </c>
      <c r="K7" s="7">
        <f t="shared" si="1"/>
        <v>0</v>
      </c>
    </row>
    <row r="8" spans="1:12">
      <c r="A8" s="1" t="s">
        <v>14</v>
      </c>
      <c r="B8" s="1" t="str">
        <f>VLOOKUP(A8,LISTADHERENT!A$5:H$51,2)</f>
        <v xml:space="preserve">DJOMO JEAN PAUL </v>
      </c>
      <c r="C8" s="7">
        <f t="shared" si="0"/>
        <v>22000</v>
      </c>
      <c r="D8" s="7">
        <v>5000</v>
      </c>
      <c r="E8" s="7">
        <v>500</v>
      </c>
      <c r="F8" s="7">
        <v>1000</v>
      </c>
      <c r="G8" s="7">
        <v>2500</v>
      </c>
      <c r="H8" s="7"/>
      <c r="I8" s="7">
        <v>13000</v>
      </c>
      <c r="J8" s="7">
        <v>100000</v>
      </c>
      <c r="K8" s="7">
        <f t="shared" si="1"/>
        <v>3000</v>
      </c>
    </row>
    <row r="9" spans="1:12">
      <c r="A9" s="1" t="s">
        <v>15</v>
      </c>
      <c r="B9" s="1" t="str">
        <f>VLOOKUP(A9,LISTADHERENT!A$5:H$51,2)</f>
        <v>DJOUKWE GUY</v>
      </c>
      <c r="C9" s="7">
        <f t="shared" si="0"/>
        <v>20000</v>
      </c>
      <c r="D9" s="7">
        <v>3000</v>
      </c>
      <c r="E9" s="7">
        <v>500</v>
      </c>
      <c r="F9" s="7">
        <v>1000</v>
      </c>
      <c r="G9" s="7">
        <v>2500</v>
      </c>
      <c r="H9" s="7"/>
      <c r="I9" s="7">
        <v>13000</v>
      </c>
      <c r="K9" s="7">
        <f t="shared" si="1"/>
        <v>0</v>
      </c>
    </row>
    <row r="10" spans="1:12">
      <c r="A10" s="1" t="s">
        <v>16</v>
      </c>
      <c r="B10" s="1" t="str">
        <f>VLOOKUP(A10,LISTADHERENT!A$5:H$51,2)</f>
        <v>DJOSSEU JOSUE</v>
      </c>
      <c r="C10" s="7">
        <f t="shared" si="0"/>
        <v>0</v>
      </c>
      <c r="D10" s="7"/>
      <c r="E10" s="7"/>
      <c r="F10" s="7"/>
      <c r="G10" s="7"/>
      <c r="H10" s="7"/>
      <c r="I10" s="7"/>
      <c r="K10" s="7">
        <f t="shared" si="1"/>
        <v>0</v>
      </c>
    </row>
    <row r="11" spans="1:12">
      <c r="A11" s="1" t="s">
        <v>17</v>
      </c>
      <c r="B11" s="1" t="str">
        <f>VLOOKUP(A11,LISTADHERENT!A$5:H$51,2)</f>
        <v>DJOUNKEP SAMUEL</v>
      </c>
      <c r="C11" s="7">
        <f t="shared" si="0"/>
        <v>20000</v>
      </c>
      <c r="D11" s="7">
        <v>3000</v>
      </c>
      <c r="E11" s="7">
        <v>500</v>
      </c>
      <c r="F11" s="7">
        <v>1000</v>
      </c>
      <c r="G11" s="7">
        <v>2500</v>
      </c>
      <c r="H11" s="7"/>
      <c r="I11" s="7">
        <v>13000</v>
      </c>
      <c r="K11" s="7">
        <f t="shared" si="1"/>
        <v>0</v>
      </c>
    </row>
    <row r="12" spans="1:12">
      <c r="A12" s="1" t="s">
        <v>18</v>
      </c>
      <c r="B12" s="1" t="str">
        <f>VLOOKUP(A12,LISTADHERENT!A$5:H$51,2)</f>
        <v>DJUOMBESSY ANTOINE</v>
      </c>
      <c r="C12" s="7">
        <f t="shared" si="0"/>
        <v>20000</v>
      </c>
      <c r="D12" s="7">
        <v>3000</v>
      </c>
      <c r="E12" s="7">
        <v>500</v>
      </c>
      <c r="F12" s="7">
        <v>1000</v>
      </c>
      <c r="G12" s="7">
        <v>2500</v>
      </c>
      <c r="H12" s="7"/>
      <c r="I12" s="7">
        <v>13000</v>
      </c>
      <c r="K12" s="7">
        <f t="shared" si="1"/>
        <v>0</v>
      </c>
    </row>
    <row r="13" spans="1:12">
      <c r="A13" s="1" t="s">
        <v>19</v>
      </c>
      <c r="B13" s="1" t="str">
        <f>VLOOKUP(A13,LISTADHERENT!A$5:H$51,2)</f>
        <v>DONHOU DAVID</v>
      </c>
      <c r="C13" s="7">
        <f t="shared" si="0"/>
        <v>20000</v>
      </c>
      <c r="D13" s="7">
        <v>3000</v>
      </c>
      <c r="E13" s="7">
        <v>500</v>
      </c>
      <c r="F13" s="7">
        <v>1000</v>
      </c>
      <c r="G13" s="7">
        <v>2500</v>
      </c>
      <c r="H13" s="7"/>
      <c r="I13" s="7">
        <v>13000</v>
      </c>
      <c r="K13" s="7">
        <f t="shared" si="1"/>
        <v>0</v>
      </c>
    </row>
    <row r="14" spans="1:12">
      <c r="A14" s="1" t="s">
        <v>20</v>
      </c>
      <c r="B14" s="1" t="str">
        <f>VLOOKUP(A14,LISTADHERENT!A$5:H$51,2)</f>
        <v>FOTSO THOMAS</v>
      </c>
      <c r="C14" s="7">
        <f t="shared" si="0"/>
        <v>20000</v>
      </c>
      <c r="D14" s="7">
        <v>3000</v>
      </c>
      <c r="E14" s="7">
        <v>500</v>
      </c>
      <c r="F14" s="7">
        <v>1000</v>
      </c>
      <c r="G14" s="7">
        <v>2500</v>
      </c>
      <c r="H14" s="7"/>
      <c r="I14" s="7">
        <v>13000</v>
      </c>
      <c r="K14" s="7">
        <f t="shared" si="1"/>
        <v>0</v>
      </c>
    </row>
    <row r="15" spans="1:12">
      <c r="A15" s="1" t="s">
        <v>21</v>
      </c>
      <c r="B15" s="1" t="str">
        <f>VLOOKUP(A15,LISTADHERENT!A$5:H$51,2)</f>
        <v>HENGUE PAUL OMER</v>
      </c>
      <c r="C15" s="7">
        <f t="shared" si="0"/>
        <v>0</v>
      </c>
      <c r="D15" s="7"/>
      <c r="E15" s="7"/>
      <c r="F15" s="7"/>
      <c r="G15" s="7"/>
      <c r="H15" s="7"/>
      <c r="I15" s="7"/>
      <c r="K15" s="7">
        <f t="shared" si="1"/>
        <v>0</v>
      </c>
    </row>
    <row r="16" spans="1:12">
      <c r="A16" s="1" t="s">
        <v>22</v>
      </c>
      <c r="B16" s="1" t="str">
        <f>VLOOKUP(A16,LISTADHERENT!A$5:H$51,2)</f>
        <v>HODIEP JULES</v>
      </c>
      <c r="C16" s="7">
        <f t="shared" si="0"/>
        <v>20000</v>
      </c>
      <c r="D16" s="7">
        <v>3000</v>
      </c>
      <c r="E16" s="7">
        <v>500</v>
      </c>
      <c r="F16" s="7">
        <v>1000</v>
      </c>
      <c r="G16" s="7">
        <v>2500</v>
      </c>
      <c r="H16" s="7"/>
      <c r="I16" s="7">
        <v>13000</v>
      </c>
      <c r="K16" s="7">
        <f t="shared" si="1"/>
        <v>0</v>
      </c>
    </row>
    <row r="17" spans="1:12">
      <c r="A17" s="1" t="s">
        <v>23</v>
      </c>
      <c r="B17" s="1" t="str">
        <f>VLOOKUP(A17,LISTADHERENT!A$5:H$51,2)</f>
        <v>HOTCHO BENJAMIN</v>
      </c>
      <c r="C17" s="7">
        <f t="shared" si="0"/>
        <v>20000</v>
      </c>
      <c r="D17" s="7">
        <v>3000</v>
      </c>
      <c r="E17" s="7">
        <v>500</v>
      </c>
      <c r="F17" s="7">
        <v>1000</v>
      </c>
      <c r="G17" s="7">
        <v>2500</v>
      </c>
      <c r="H17" s="7"/>
      <c r="I17" s="7">
        <v>13000</v>
      </c>
      <c r="K17" s="7">
        <f t="shared" si="1"/>
        <v>0</v>
      </c>
    </row>
    <row r="18" spans="1:12">
      <c r="A18" s="1" t="s">
        <v>24</v>
      </c>
      <c r="B18" s="1" t="str">
        <f>VLOOKUP(A18,LISTADHERENT!A$5:H$51,2)</f>
        <v>KEPHE DAVID</v>
      </c>
      <c r="C18" s="7">
        <f t="shared" si="0"/>
        <v>20000</v>
      </c>
      <c r="D18" s="7">
        <v>3000</v>
      </c>
      <c r="E18" s="7">
        <v>500</v>
      </c>
      <c r="F18" s="7">
        <v>1000</v>
      </c>
      <c r="G18" s="7">
        <v>2500</v>
      </c>
      <c r="H18" s="7"/>
      <c r="I18" s="7">
        <v>13000</v>
      </c>
      <c r="K18" s="7">
        <f t="shared" si="1"/>
        <v>0</v>
      </c>
    </row>
    <row r="19" spans="1:12">
      <c r="A19" s="1" t="s">
        <v>25</v>
      </c>
      <c r="B19" s="1" t="str">
        <f>VLOOKUP(A19,LISTADHERENT!A$5:H$51,2)</f>
        <v>KEPSEU FRANCIS</v>
      </c>
      <c r="C19" s="7">
        <f t="shared" si="0"/>
        <v>23000</v>
      </c>
      <c r="D19" s="7">
        <v>6000</v>
      </c>
      <c r="E19" s="7">
        <v>500</v>
      </c>
      <c r="F19" s="7">
        <v>1000</v>
      </c>
      <c r="G19" s="7">
        <v>2500</v>
      </c>
      <c r="H19" s="7"/>
      <c r="I19" s="7">
        <v>13000</v>
      </c>
      <c r="K19" s="7">
        <f t="shared" si="1"/>
        <v>0</v>
      </c>
    </row>
    <row r="20" spans="1:12" ht="15.75" customHeight="1">
      <c r="A20" s="1" t="s">
        <v>26</v>
      </c>
      <c r="B20" s="1" t="str">
        <f>VLOOKUP(A20,LISTADHERENT!A$5:H$51,2)</f>
        <v>KOUAMOU EMMANUEL</v>
      </c>
      <c r="C20" s="7">
        <f t="shared" si="0"/>
        <v>20000</v>
      </c>
      <c r="D20" s="7">
        <v>3000</v>
      </c>
      <c r="E20" s="7">
        <v>500</v>
      </c>
      <c r="F20" s="7">
        <v>1000</v>
      </c>
      <c r="G20" s="7">
        <v>2500</v>
      </c>
      <c r="H20" s="7"/>
      <c r="I20" s="7">
        <v>13000</v>
      </c>
      <c r="K20" s="7">
        <f t="shared" si="1"/>
        <v>0</v>
      </c>
    </row>
    <row r="21" spans="1:12">
      <c r="A21" s="1" t="s">
        <v>27</v>
      </c>
      <c r="B21" s="1" t="str">
        <f>VLOOKUP(A21,LISTADHERENT!A$5:H$51,2)</f>
        <v>KOUAMOU MOISE</v>
      </c>
      <c r="C21" s="7">
        <f t="shared" si="0"/>
        <v>20000</v>
      </c>
      <c r="D21" s="7">
        <v>3000</v>
      </c>
      <c r="E21" s="7">
        <v>500</v>
      </c>
      <c r="F21" s="7">
        <v>1000</v>
      </c>
      <c r="G21" s="7">
        <v>2500</v>
      </c>
      <c r="H21" s="7"/>
      <c r="I21" s="7">
        <v>13000</v>
      </c>
      <c r="K21" s="7">
        <f t="shared" si="1"/>
        <v>0</v>
      </c>
    </row>
    <row r="22" spans="1:12">
      <c r="A22" s="1" t="s">
        <v>28</v>
      </c>
      <c r="B22" s="1" t="str">
        <f>VLOOKUP(A22,LISTADHERENT!A$5:H$51,2)</f>
        <v>KOUAMOU VICTOR PEGUY</v>
      </c>
      <c r="C22" s="7">
        <f t="shared" si="0"/>
        <v>19000</v>
      </c>
      <c r="D22" s="7">
        <v>2000</v>
      </c>
      <c r="E22" s="7">
        <v>500</v>
      </c>
      <c r="F22" s="7">
        <v>1000</v>
      </c>
      <c r="G22" s="7">
        <v>2500</v>
      </c>
      <c r="H22" s="7"/>
      <c r="I22" s="7">
        <v>13000</v>
      </c>
      <c r="J22" s="7">
        <v>800000</v>
      </c>
      <c r="K22" s="7">
        <f t="shared" si="1"/>
        <v>96000</v>
      </c>
      <c r="L22" s="7">
        <v>1000000</v>
      </c>
    </row>
    <row r="23" spans="1:12">
      <c r="A23" s="1" t="s">
        <v>29</v>
      </c>
      <c r="B23" s="1" t="str">
        <f>VLOOKUP(A23,LISTADHERENT!A$5:H$51,2)</f>
        <v>KOUATCHO MESSACK</v>
      </c>
      <c r="C23" s="7">
        <f t="shared" si="0"/>
        <v>20000</v>
      </c>
      <c r="D23" s="7">
        <v>3000</v>
      </c>
      <c r="E23" s="7">
        <v>500</v>
      </c>
      <c r="F23" s="7">
        <v>1000</v>
      </c>
      <c r="G23" s="7">
        <v>2500</v>
      </c>
      <c r="H23" s="7"/>
      <c r="I23" s="7">
        <v>13000</v>
      </c>
      <c r="J23" s="7"/>
      <c r="K23" s="7">
        <f t="shared" si="1"/>
        <v>0</v>
      </c>
    </row>
    <row r="24" spans="1:12">
      <c r="A24" s="1" t="s">
        <v>30</v>
      </c>
      <c r="B24" s="1" t="str">
        <f>VLOOKUP(A24,LISTADHERENT!A$5:H$51,2)</f>
        <v>LOWE JEAN</v>
      </c>
      <c r="C24" s="7">
        <f t="shared" si="0"/>
        <v>20000</v>
      </c>
      <c r="D24" s="7">
        <v>3000</v>
      </c>
      <c r="E24" s="7">
        <v>500</v>
      </c>
      <c r="F24" s="7">
        <v>1000</v>
      </c>
      <c r="G24" s="7">
        <v>2500</v>
      </c>
      <c r="H24" s="7"/>
      <c r="I24" s="7">
        <v>13000</v>
      </c>
      <c r="K24" s="7">
        <f t="shared" si="1"/>
        <v>0</v>
      </c>
    </row>
    <row r="25" spans="1:12">
      <c r="A25" s="1" t="s">
        <v>31</v>
      </c>
      <c r="B25" s="1" t="str">
        <f>VLOOKUP(A25,LISTADHERENT!A$5:H$51,2)</f>
        <v>NANKAM APPOLINAIRE</v>
      </c>
      <c r="C25" s="7">
        <f t="shared" si="0"/>
        <v>20000</v>
      </c>
      <c r="D25" s="7">
        <v>3000</v>
      </c>
      <c r="E25" s="7">
        <v>500</v>
      </c>
      <c r="F25" s="7">
        <v>1000</v>
      </c>
      <c r="G25" s="7">
        <v>2500</v>
      </c>
      <c r="H25" s="7"/>
      <c r="I25" s="7">
        <v>13000</v>
      </c>
      <c r="K25" s="7">
        <f t="shared" si="1"/>
        <v>0</v>
      </c>
    </row>
    <row r="26" spans="1:12">
      <c r="A26" s="1" t="s">
        <v>32</v>
      </c>
      <c r="B26" s="1" t="str">
        <f>VLOOKUP(A26,LISTADHERENT!A$5:H$51,2)</f>
        <v>NDJOMO ETIENNE</v>
      </c>
      <c r="C26" s="7">
        <f t="shared" si="0"/>
        <v>25000</v>
      </c>
      <c r="D26" s="7">
        <v>8000</v>
      </c>
      <c r="E26" s="7">
        <v>500</v>
      </c>
      <c r="F26" s="7">
        <v>1000</v>
      </c>
      <c r="G26" s="7">
        <v>2500</v>
      </c>
      <c r="H26" s="7"/>
      <c r="I26" s="7">
        <v>13000</v>
      </c>
      <c r="J26" s="7"/>
      <c r="K26" s="7">
        <f t="shared" si="1"/>
        <v>0</v>
      </c>
    </row>
    <row r="27" spans="1:12">
      <c r="A27" s="1" t="s">
        <v>33</v>
      </c>
      <c r="B27" s="1" t="str">
        <f>VLOOKUP(A27,LISTADHERENT!A$5:H$51,2)</f>
        <v>NDOMBOU JEAN CLAUDE</v>
      </c>
      <c r="C27" s="7">
        <f t="shared" si="0"/>
        <v>0</v>
      </c>
      <c r="D27" s="7"/>
      <c r="E27" s="7"/>
      <c r="F27" s="7"/>
      <c r="G27" s="7"/>
      <c r="H27" s="7"/>
      <c r="I27" s="7"/>
      <c r="K27" s="7">
        <f t="shared" si="1"/>
        <v>0</v>
      </c>
    </row>
    <row r="28" spans="1:12">
      <c r="A28" s="1" t="s">
        <v>34</v>
      </c>
      <c r="B28" s="1" t="str">
        <f>VLOOKUP(A28,LISTADHERENT!A$5:H$51,2)</f>
        <v>NGONDIEP CLAUDE</v>
      </c>
      <c r="C28" s="7">
        <f t="shared" si="0"/>
        <v>20000</v>
      </c>
      <c r="D28" s="7">
        <v>3000</v>
      </c>
      <c r="E28" s="7">
        <v>500</v>
      </c>
      <c r="F28" s="7">
        <v>1000</v>
      </c>
      <c r="G28" s="7">
        <v>2500</v>
      </c>
      <c r="H28" s="7"/>
      <c r="I28" s="7">
        <v>13000</v>
      </c>
      <c r="K28" s="7">
        <f t="shared" si="1"/>
        <v>0</v>
      </c>
    </row>
    <row r="29" spans="1:12">
      <c r="A29" s="1" t="s">
        <v>35</v>
      </c>
      <c r="B29" s="1" t="str">
        <f>VLOOKUP(A29,LISTADHERENT!A$5:H$51,2)</f>
        <v>NGONGANG JEAN THEODORE</v>
      </c>
      <c r="C29" s="7">
        <f t="shared" si="0"/>
        <v>20000</v>
      </c>
      <c r="D29" s="7">
        <v>3000</v>
      </c>
      <c r="E29" s="7">
        <v>500</v>
      </c>
      <c r="F29" s="7">
        <v>1000</v>
      </c>
      <c r="G29" s="7">
        <v>2500</v>
      </c>
      <c r="H29" s="7"/>
      <c r="I29" s="7">
        <v>13000</v>
      </c>
      <c r="K29" s="7">
        <f t="shared" si="1"/>
        <v>0</v>
      </c>
    </row>
    <row r="30" spans="1:12">
      <c r="A30" s="1" t="s">
        <v>36</v>
      </c>
      <c r="B30" s="1" t="str">
        <f>VLOOKUP(A30,LISTADHERENT!A$5:H$51,2)</f>
        <v>NGUIEMEGNI MATHIEU BLAISE</v>
      </c>
      <c r="C30" s="7">
        <f t="shared" si="0"/>
        <v>20000</v>
      </c>
      <c r="D30" s="7">
        <v>3000</v>
      </c>
      <c r="E30" s="7">
        <v>500</v>
      </c>
      <c r="F30" s="7">
        <v>1000</v>
      </c>
      <c r="G30" s="7">
        <v>2500</v>
      </c>
      <c r="H30" s="7"/>
      <c r="I30" s="7">
        <v>13000</v>
      </c>
      <c r="K30" s="7">
        <f t="shared" si="1"/>
        <v>0</v>
      </c>
    </row>
    <row r="31" spans="1:12">
      <c r="A31" s="1" t="s">
        <v>37</v>
      </c>
      <c r="B31" s="1" t="str">
        <f>VLOOKUP(A31,LISTADHERENT!A$5:H$51,2)</f>
        <v>NJEPDJIO MBOUKAM DELUXE</v>
      </c>
      <c r="C31" s="7">
        <f t="shared" si="0"/>
        <v>20000</v>
      </c>
      <c r="D31" s="7">
        <v>3000</v>
      </c>
      <c r="E31" s="7">
        <v>500</v>
      </c>
      <c r="F31" s="7">
        <v>1000</v>
      </c>
      <c r="G31" s="7">
        <v>2500</v>
      </c>
      <c r="H31" s="7"/>
      <c r="I31" s="7">
        <v>13000</v>
      </c>
      <c r="K31" s="7">
        <f t="shared" si="1"/>
        <v>0</v>
      </c>
    </row>
    <row r="32" spans="1:12">
      <c r="A32" s="1" t="s">
        <v>38</v>
      </c>
      <c r="B32" s="1" t="str">
        <f>VLOOKUP(A32,LISTADHERENT!A$5:H$51,2)</f>
        <v>NKAMGANG JUSTIN DEJOLIE</v>
      </c>
      <c r="C32" s="7">
        <f t="shared" si="0"/>
        <v>23000</v>
      </c>
      <c r="D32" s="7">
        <v>6000</v>
      </c>
      <c r="E32" s="7">
        <v>500</v>
      </c>
      <c r="F32" s="7">
        <v>1000</v>
      </c>
      <c r="G32" s="7">
        <v>2500</v>
      </c>
      <c r="H32" s="7"/>
      <c r="I32" s="7">
        <v>13000</v>
      </c>
      <c r="J32" s="7">
        <v>1000000</v>
      </c>
      <c r="K32" s="7">
        <f t="shared" si="1"/>
        <v>120000</v>
      </c>
    </row>
    <row r="33" spans="1:12" s="11" customFormat="1">
      <c r="A33" s="1" t="s">
        <v>39</v>
      </c>
      <c r="B33" s="1" t="str">
        <f>VLOOKUP(A33,LISTADHERENT!A$5:H$51,2)</f>
        <v>NKEPSEU DIEUDONNE</v>
      </c>
      <c r="C33" s="10">
        <f>D33+E33+F33+G33+H33+I33</f>
        <v>50000</v>
      </c>
      <c r="D33" s="7">
        <v>8000</v>
      </c>
      <c r="E33" s="7">
        <v>500</v>
      </c>
      <c r="F33" s="7">
        <v>1000</v>
      </c>
      <c r="G33" s="7">
        <v>2500</v>
      </c>
      <c r="H33" s="7">
        <v>25000</v>
      </c>
      <c r="I33" s="7">
        <v>13000</v>
      </c>
      <c r="J33"/>
      <c r="K33" s="7">
        <f t="shared" si="1"/>
        <v>0</v>
      </c>
    </row>
    <row r="34" spans="1:12">
      <c r="A34" s="1" t="s">
        <v>40</v>
      </c>
      <c r="B34" s="1" t="str">
        <f>VLOOKUP(A34,LISTADHERENT!A$5:H$51,2)</f>
        <v>NKEPSEU HENANG RENE</v>
      </c>
      <c r="C34" s="7">
        <f t="shared" si="0"/>
        <v>0</v>
      </c>
      <c r="D34" s="7"/>
      <c r="E34" s="7"/>
      <c r="F34" s="7"/>
      <c r="G34" s="7"/>
      <c r="H34" s="7"/>
      <c r="I34" s="7"/>
      <c r="K34" s="7">
        <f t="shared" si="1"/>
        <v>0</v>
      </c>
    </row>
    <row r="35" spans="1:12">
      <c r="A35" s="1" t="s">
        <v>41</v>
      </c>
      <c r="B35" s="1" t="str">
        <f>VLOOKUP(A35,LISTADHERENT!A$5:H$51,2)</f>
        <v>NTEPDIE TUEMAC MZ</v>
      </c>
      <c r="C35" s="7">
        <f t="shared" si="0"/>
        <v>20000</v>
      </c>
      <c r="D35" s="7">
        <v>3000</v>
      </c>
      <c r="E35" s="7">
        <v>500</v>
      </c>
      <c r="F35" s="7">
        <v>1000</v>
      </c>
      <c r="G35" s="7">
        <v>2500</v>
      </c>
      <c r="H35" s="7"/>
      <c r="I35" s="7">
        <v>13000</v>
      </c>
      <c r="K35" s="7">
        <f t="shared" si="1"/>
        <v>0</v>
      </c>
    </row>
    <row r="36" spans="1:12">
      <c r="A36" s="1" t="s">
        <v>42</v>
      </c>
      <c r="B36" s="1" t="str">
        <f>VLOOKUP(A36,LISTADHERENT!A$5:H$51,2)</f>
        <v>NTOMBOU ADOLPHE</v>
      </c>
      <c r="C36" s="7">
        <f t="shared" si="0"/>
        <v>0</v>
      </c>
      <c r="D36" s="7"/>
      <c r="E36" s="7"/>
      <c r="F36" s="7"/>
      <c r="G36" s="7"/>
      <c r="H36" s="7"/>
      <c r="I36" s="7"/>
      <c r="K36" s="7">
        <f t="shared" si="1"/>
        <v>0</v>
      </c>
    </row>
    <row r="37" spans="1:12">
      <c r="A37" s="1" t="s">
        <v>43</v>
      </c>
      <c r="B37" s="1" t="str">
        <f>VLOOKUP(A37,LISTADHERENT!A$5:H$51,2)</f>
        <v>PATEGO NJOSSU GUSTAVE</v>
      </c>
      <c r="C37" s="7">
        <f t="shared" si="0"/>
        <v>20000</v>
      </c>
      <c r="D37" s="7">
        <v>3000</v>
      </c>
      <c r="E37" s="7">
        <v>500</v>
      </c>
      <c r="F37" s="7">
        <v>1000</v>
      </c>
      <c r="G37" s="7">
        <v>2500</v>
      </c>
      <c r="H37" s="7"/>
      <c r="I37" s="7">
        <v>13000</v>
      </c>
      <c r="K37" s="7">
        <f t="shared" si="1"/>
        <v>0</v>
      </c>
    </row>
    <row r="38" spans="1:12">
      <c r="A38" s="1" t="s">
        <v>44</v>
      </c>
      <c r="B38" s="1" t="str">
        <f>VLOOKUP(A38,LISTADHERENT!A$5:H$51,2)</f>
        <v>SEUNOU RICHELOT</v>
      </c>
      <c r="C38" s="7">
        <f t="shared" si="0"/>
        <v>20000</v>
      </c>
      <c r="D38" s="7">
        <v>3000</v>
      </c>
      <c r="E38" s="7">
        <v>500</v>
      </c>
      <c r="F38" s="7">
        <v>1000</v>
      </c>
      <c r="G38" s="7">
        <v>2500</v>
      </c>
      <c r="H38" s="7"/>
      <c r="I38" s="7">
        <v>13000</v>
      </c>
      <c r="K38" s="7">
        <f t="shared" si="1"/>
        <v>0</v>
      </c>
    </row>
    <row r="39" spans="1:12">
      <c r="A39" s="1" t="s">
        <v>45</v>
      </c>
      <c r="B39" s="1" t="str">
        <f>VLOOKUP(A39,LISTADHERENT!A$5:H$51,2)</f>
        <v>SIME ABEL</v>
      </c>
      <c r="C39" s="7">
        <f t="shared" si="0"/>
        <v>20000</v>
      </c>
      <c r="D39" s="7">
        <v>3000</v>
      </c>
      <c r="E39" s="7">
        <v>500</v>
      </c>
      <c r="F39" s="7">
        <v>1000</v>
      </c>
      <c r="G39" s="7">
        <v>2500</v>
      </c>
      <c r="H39" s="7"/>
      <c r="I39" s="7">
        <v>13000</v>
      </c>
      <c r="K39" s="7">
        <f t="shared" si="1"/>
        <v>0</v>
      </c>
    </row>
    <row r="40" spans="1:12">
      <c r="A40" s="1" t="s">
        <v>46</v>
      </c>
      <c r="B40" s="1" t="str">
        <f>VLOOKUP(A40,LISTADHERENT!A$5:H$51,2)</f>
        <v>SIME FONGANG ERIC</v>
      </c>
      <c r="C40" s="7">
        <f t="shared" si="0"/>
        <v>20000</v>
      </c>
      <c r="D40" s="7">
        <v>3000</v>
      </c>
      <c r="E40" s="7">
        <v>500</v>
      </c>
      <c r="F40" s="7">
        <v>1000</v>
      </c>
      <c r="G40" s="7">
        <v>2500</v>
      </c>
      <c r="H40" s="7"/>
      <c r="I40" s="7">
        <v>13000</v>
      </c>
      <c r="K40" s="7">
        <f t="shared" si="1"/>
        <v>0</v>
      </c>
    </row>
    <row r="41" spans="1:12">
      <c r="A41" s="1" t="s">
        <v>47</v>
      </c>
      <c r="B41" s="1" t="str">
        <f>VLOOKUP(A41,LISTADHERENT!A$5:H$51,2)</f>
        <v>SIME MATHIEU</v>
      </c>
      <c r="C41" s="7">
        <f t="shared" si="0"/>
        <v>20000</v>
      </c>
      <c r="D41" s="7">
        <v>3000</v>
      </c>
      <c r="E41" s="7">
        <v>500</v>
      </c>
      <c r="F41" s="7">
        <v>1000</v>
      </c>
      <c r="G41" s="7">
        <v>2500</v>
      </c>
      <c r="H41" s="7"/>
      <c r="I41" s="7">
        <v>13000</v>
      </c>
      <c r="K41" s="7">
        <f t="shared" si="1"/>
        <v>0</v>
      </c>
    </row>
    <row r="42" spans="1:12">
      <c r="A42" s="1" t="s">
        <v>48</v>
      </c>
      <c r="B42" s="1" t="str">
        <f>VLOOKUP(A42,LISTADHERENT!A$5:H$51,2)</f>
        <v>SIME PIERRE</v>
      </c>
      <c r="C42" s="7">
        <f t="shared" si="0"/>
        <v>30000</v>
      </c>
      <c r="D42" s="7">
        <v>3000</v>
      </c>
      <c r="E42" s="7">
        <v>500</v>
      </c>
      <c r="F42" s="7">
        <v>1000</v>
      </c>
      <c r="G42" s="7">
        <v>2500</v>
      </c>
      <c r="H42" s="7">
        <v>10000</v>
      </c>
      <c r="I42" s="7">
        <v>13000</v>
      </c>
      <c r="J42" s="7">
        <v>570000</v>
      </c>
      <c r="K42" s="7">
        <f t="shared" si="1"/>
        <v>68400</v>
      </c>
      <c r="L42" s="7">
        <v>70000</v>
      </c>
    </row>
    <row r="43" spans="1:12">
      <c r="A43" s="1" t="s">
        <v>49</v>
      </c>
      <c r="B43" s="1" t="str">
        <f>VLOOKUP(A43,LISTADHERENT!A$5:H$51,2)</f>
        <v>TAGNE NANGUEN MARTIN</v>
      </c>
      <c r="C43" s="7">
        <f t="shared" si="0"/>
        <v>20000</v>
      </c>
      <c r="D43" s="7">
        <v>3000</v>
      </c>
      <c r="E43" s="7">
        <v>500</v>
      </c>
      <c r="F43" s="7">
        <v>1000</v>
      </c>
      <c r="G43" s="7">
        <v>2500</v>
      </c>
      <c r="H43" s="7"/>
      <c r="I43" s="7">
        <v>13000</v>
      </c>
      <c r="K43" s="7">
        <f t="shared" si="1"/>
        <v>0</v>
      </c>
    </row>
    <row r="44" spans="1:12">
      <c r="A44" s="1" t="s">
        <v>50</v>
      </c>
      <c r="B44" s="1" t="str">
        <f>VLOOKUP(A44,LISTADHERENT!A$5:H$51,2)</f>
        <v>TCHOUAMOU JEAN PAUL</v>
      </c>
      <c r="C44" s="7">
        <f t="shared" si="0"/>
        <v>70000</v>
      </c>
      <c r="D44" s="7">
        <v>3000</v>
      </c>
      <c r="E44" s="7">
        <v>500</v>
      </c>
      <c r="F44" s="7">
        <v>1000</v>
      </c>
      <c r="G44" s="7">
        <v>2500</v>
      </c>
      <c r="H44" s="7">
        <v>50000</v>
      </c>
      <c r="I44" s="7">
        <v>13000</v>
      </c>
      <c r="K44" s="7">
        <f t="shared" si="1"/>
        <v>0</v>
      </c>
    </row>
    <row r="45" spans="1:12">
      <c r="A45" s="1" t="s">
        <v>51</v>
      </c>
      <c r="B45" s="1" t="str">
        <f>VLOOKUP(A45,LISTADHERENT!A$5:H$51,2)</f>
        <v>TCHOUAMOU MATHIEU</v>
      </c>
      <c r="C45" s="7">
        <f t="shared" si="0"/>
        <v>20000</v>
      </c>
      <c r="D45" s="7">
        <v>3000</v>
      </c>
      <c r="E45" s="7">
        <v>500</v>
      </c>
      <c r="F45" s="7">
        <v>1000</v>
      </c>
      <c r="G45" s="7">
        <v>2500</v>
      </c>
      <c r="H45" s="7"/>
      <c r="I45" s="7">
        <v>13000</v>
      </c>
      <c r="J45" s="7"/>
      <c r="K45" s="7">
        <f t="shared" si="1"/>
        <v>0</v>
      </c>
    </row>
    <row r="46" spans="1:12">
      <c r="A46" s="1" t="s">
        <v>52</v>
      </c>
      <c r="B46" s="1" t="str">
        <f>VLOOKUP(A46,LISTADHERENT!A$5:H$51,2)</f>
        <v>TCHOUANTE FRANCOIS</v>
      </c>
      <c r="C46" s="7">
        <f t="shared" si="0"/>
        <v>20000</v>
      </c>
      <c r="D46" s="7">
        <v>3000</v>
      </c>
      <c r="E46" s="7">
        <v>500</v>
      </c>
      <c r="F46" s="7">
        <v>1000</v>
      </c>
      <c r="G46" s="7">
        <v>2500</v>
      </c>
      <c r="H46" s="7"/>
      <c r="I46" s="7">
        <v>13000</v>
      </c>
      <c r="K46" s="7">
        <f t="shared" si="1"/>
        <v>0</v>
      </c>
    </row>
    <row r="47" spans="1:12">
      <c r="A47" s="1" t="s">
        <v>53</v>
      </c>
      <c r="B47" s="1" t="str">
        <f>VLOOKUP(A47,LISTADHERENT!A$5:H$51,2)</f>
        <v>TCHOUTOU NANA CLAUDE</v>
      </c>
      <c r="C47" s="7">
        <f t="shared" si="0"/>
        <v>20000</v>
      </c>
      <c r="D47" s="7">
        <v>3000</v>
      </c>
      <c r="E47" s="7">
        <v>500</v>
      </c>
      <c r="F47" s="7">
        <v>1000</v>
      </c>
      <c r="G47" s="7">
        <v>2500</v>
      </c>
      <c r="H47" s="7"/>
      <c r="I47" s="7">
        <v>13000</v>
      </c>
      <c r="K47" s="7">
        <f t="shared" si="1"/>
        <v>0</v>
      </c>
    </row>
    <row r="48" spans="1:12">
      <c r="A48" s="1" t="s">
        <v>54</v>
      </c>
      <c r="B48" s="1" t="str">
        <f>VLOOKUP(A48,LISTADHERENT!A$5:H$51,2)</f>
        <v>TIEYAM ERNEST</v>
      </c>
      <c r="C48" s="7">
        <f t="shared" si="0"/>
        <v>20000</v>
      </c>
      <c r="D48" s="7">
        <v>3000</v>
      </c>
      <c r="E48" s="7">
        <v>500</v>
      </c>
      <c r="F48" s="7">
        <v>1000</v>
      </c>
      <c r="G48" s="7">
        <v>2500</v>
      </c>
      <c r="H48" s="7"/>
      <c r="I48" s="7">
        <v>13000</v>
      </c>
      <c r="K48" s="7">
        <f t="shared" si="1"/>
        <v>0</v>
      </c>
    </row>
    <row r="49" spans="1:12">
      <c r="A49" s="1" t="s">
        <v>55</v>
      </c>
      <c r="B49" s="1" t="str">
        <f>VLOOKUP(A49,LISTADHERENT!A$5:H$51,2)</f>
        <v>TUGMA PIERRE LOTI</v>
      </c>
      <c r="C49" s="7">
        <f t="shared" si="0"/>
        <v>20000</v>
      </c>
      <c r="D49" s="7">
        <v>3000</v>
      </c>
      <c r="E49" s="7">
        <v>500</v>
      </c>
      <c r="F49" s="7">
        <v>1000</v>
      </c>
      <c r="G49" s="7">
        <v>2500</v>
      </c>
      <c r="H49" s="7"/>
      <c r="I49" s="7">
        <v>13000</v>
      </c>
      <c r="K49" s="7">
        <f t="shared" si="1"/>
        <v>0</v>
      </c>
    </row>
    <row r="50" spans="1:12" ht="18">
      <c r="A50" s="1" t="s">
        <v>66</v>
      </c>
      <c r="B50" s="1" t="str">
        <f>VLOOKUP(A50,LISTADHERENT!A$5:H$51,2)</f>
        <v>YEPMOU JEAN JACQUES</v>
      </c>
      <c r="C50" s="7">
        <f t="shared" si="0"/>
        <v>20000</v>
      </c>
      <c r="D50" s="7">
        <v>3000</v>
      </c>
      <c r="E50" s="7">
        <v>500</v>
      </c>
      <c r="F50" s="7">
        <v>1000</v>
      </c>
      <c r="G50" s="7">
        <v>2500</v>
      </c>
      <c r="H50" s="7"/>
      <c r="I50" s="7">
        <v>13000</v>
      </c>
      <c r="J50" s="9"/>
      <c r="K50" s="7">
        <f t="shared" si="1"/>
        <v>0</v>
      </c>
    </row>
    <row r="51" spans="1:12">
      <c r="A51" s="1" t="s">
        <v>178</v>
      </c>
      <c r="B51" s="1" t="str">
        <f>VLOOKUP(A51,LISTADHERENT!A$5:H$51,2)</f>
        <v>YOUMBI EMMANUEL</v>
      </c>
      <c r="C51" s="7">
        <f t="shared" si="0"/>
        <v>20000</v>
      </c>
      <c r="D51" s="7">
        <v>3000</v>
      </c>
      <c r="E51" s="7">
        <v>500</v>
      </c>
      <c r="F51" s="7">
        <v>1000</v>
      </c>
      <c r="G51" s="7">
        <v>2500</v>
      </c>
      <c r="I51" s="7">
        <v>13000</v>
      </c>
      <c r="K51" s="7">
        <f t="shared" si="1"/>
        <v>0</v>
      </c>
    </row>
    <row r="52" spans="1:12" ht="18">
      <c r="A52" s="1"/>
      <c r="B52" s="1" t="s">
        <v>180</v>
      </c>
      <c r="E52" s="4"/>
      <c r="I52" s="7">
        <v>22500</v>
      </c>
      <c r="K52" s="7">
        <f t="shared" si="1"/>
        <v>0</v>
      </c>
      <c r="L52" s="9"/>
    </row>
    <row r="53" spans="1:12" ht="18">
      <c r="A53" s="1"/>
      <c r="B53" s="1"/>
      <c r="E53" s="4"/>
      <c r="L53" s="9"/>
    </row>
    <row r="54" spans="1:12" ht="18">
      <c r="A54" s="8" t="s">
        <v>56</v>
      </c>
      <c r="B54" s="8"/>
      <c r="C54" s="9">
        <f>SUM(C5:C52)</f>
        <v>922000</v>
      </c>
      <c r="D54" s="9">
        <f t="shared" ref="D54:I54" si="2">SUM(D5:D52)</f>
        <v>140000</v>
      </c>
      <c r="E54" s="9">
        <f t="shared" si="2"/>
        <v>20500</v>
      </c>
      <c r="F54" s="9">
        <f t="shared" si="2"/>
        <v>41000</v>
      </c>
      <c r="G54" s="9">
        <f t="shared" si="2"/>
        <v>102500</v>
      </c>
      <c r="H54" s="9">
        <f t="shared" si="2"/>
        <v>85000</v>
      </c>
      <c r="I54" s="9">
        <f t="shared" si="2"/>
        <v>555500</v>
      </c>
      <c r="J54" s="9">
        <f>SUM(J5:J51)</f>
        <v>3170000</v>
      </c>
      <c r="K54" s="9">
        <f>SUM(K5:K51)</f>
        <v>371400</v>
      </c>
    </row>
  </sheetData>
  <autoFilter ref="A4:L50">
    <filterColumn colId="8"/>
    <filterColumn colId="9"/>
    <filterColumn colId="10"/>
    <filterColumn colId="11"/>
  </autoFilter>
  <dataValidations count="1">
    <dataValidation type="list" allowBlank="1" showInputMessage="1" showErrorMessage="1" promptTitle="Saissisez le mode de VERSEMENT" sqref="E5:E51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1</vt:i4>
      </vt:variant>
    </vt:vector>
  </HeadingPairs>
  <TitlesOfParts>
    <vt:vector size="15" baseType="lpstr">
      <vt:lpstr>LISTADHERENT</vt:lpstr>
      <vt:lpstr>RECAPTONT20000</vt:lpstr>
      <vt:lpstr>TONT20000DEC2015</vt:lpstr>
      <vt:lpstr>TONT20000JANV</vt:lpstr>
      <vt:lpstr>TONT20000FEV</vt:lpstr>
      <vt:lpstr>TONT20000MARS</vt:lpstr>
      <vt:lpstr>TONT20000AVRIL</vt:lpstr>
      <vt:lpstr>TONT20000MAI</vt:lpstr>
      <vt:lpstr>TONT20000JUIN</vt:lpstr>
      <vt:lpstr>TONT20000JUIL</vt:lpstr>
      <vt:lpstr>TONT20000AOUT</vt:lpstr>
      <vt:lpstr>TONT20000SEPT</vt:lpstr>
      <vt:lpstr>TONT20000OCT</vt:lpstr>
      <vt:lpstr>TONT20000NOV</vt:lpstr>
      <vt:lpstr>LISTADHERENT!Impression_des_titres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2016-12-07T22:17:38Z</dcterms:created>
  <dcterms:modified xsi:type="dcterms:W3CDTF">2016-12-09T05:24:59Z</dcterms:modified>
</cp:coreProperties>
</file>